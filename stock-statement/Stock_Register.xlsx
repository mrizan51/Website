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F10" lockStructure="1"/>
  <bookViews>
    <workbookView visibility="visible" minimized="0" showHorizontalScroll="1" showVerticalScroll="1" showSheetTabs="1" xWindow="-120" yWindow="-120" windowWidth="20730" windowHeight="11160" tabRatio="500" firstSheet="2" activeTab="3" autoFilterDateGrouping="1"/>
  </bookViews>
  <sheets>
    <sheet name="Read me" sheetId="1" state="visible" r:id="rId1"/>
    <sheet name="Stock" sheetId="2" state="visible" r:id="rId2"/>
    <sheet name="Daily Entry" sheetId="3" state="visible" r:id="rId3"/>
    <sheet name="Summary" sheetId="4" state="visible" r:id="rId4"/>
    <sheet name="Daily Report" sheetId="5" state="visible" r:id="rId5"/>
    <sheet name="Carton Stock" sheetId="6" state="visible" r:id="rId6"/>
    <sheet name="Carton Entry" sheetId="7" state="visible" r:id="rId7"/>
    <sheet name="Packing" sheetId="8" state="visible" r:id="rId8"/>
  </sheets>
  <definedNames>
    <definedName name="Products">OFFSET(Stock!$O$8,0,0,MAX(1,COUNTA(Stock!$A$8:$A$101)),1)</definedName>
    <definedName name="CartonList">OFFSET('Carton Stock'!$B$8,0,0,MAX(1,COUNTA('Carton Stock'!$B$8:$B$47)),1)</definedName>
    <definedName name="_xlnm.Print_Area" localSheetId="0">'Read me'!$A$1:$B$55</definedName>
    <definedName name="_xlnm._FilterDatabase" localSheetId="1" hidden="1">'Stock'!$A$7:$M$101</definedName>
    <definedName name="_xlnm.Print_Titles" localSheetId="1">'Stock'!$7:$7</definedName>
    <definedName name="_xlnm.Print_Area" localSheetId="1">'Stock'!$A$1:$M$105</definedName>
    <definedName name="_xlnm._FilterDatabase" localSheetId="2" hidden="1">'Daily Entry'!$A$6:$E$253</definedName>
    <definedName name="_xlnm.Print_Titles" localSheetId="2">'Daily Entry'!$6:$6</definedName>
    <definedName name="_xlnm.Print_Titles" localSheetId="3">'Summary'!$1:$2</definedName>
    <definedName name="_xlnm.Print_Area" localSheetId="3">'Summary'!$A$1:$H$206</definedName>
    <definedName name="_xlnm.Print_Area" localSheetId="4">'Daily Report'!$A$1:$F$56</definedName>
    <definedName name="_xlnm._FilterDatabase" localSheetId="5" hidden="1">'Carton Stock'!$A$7:$L$47</definedName>
    <definedName name="_xlnm.Print_Titles" localSheetId="5">'Carton Stock'!$7:$7</definedName>
    <definedName name="_xlnm.Print_Area" localSheetId="5">'Carton Stock'!$A$1:$L$55</definedName>
    <definedName name="_xlnm.Print_Titles" localSheetId="6">'Carton Entry'!$6:$6</definedName>
    <definedName name="_xlnm._FilterDatabase" localSheetId="7" hidden="1">'Packing'!$A$7:$I$101</definedName>
    <definedName name="_xlnm.Print_Titles" localSheetId="7">'Packing'!$7:$7</definedName>
    <definedName name="_xlnm.Print_Area" localSheetId="7">'Packing'!$A$1:$I$101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5">
    <numFmt numFmtId="164" formatCode="&quot;₹ &quot;#,##0.00"/>
    <numFmt numFmtId="165" formatCode="[&gt;=10000000]##\,##\,##\,##0;[&gt;=100000]##\,##\,##0;#,##0"/>
    <numFmt numFmtId="166" formatCode="#,##0;\-#,##0;\–"/>
    <numFmt numFmtId="167" formatCode="[&gt;=100000]##\,##\,##0.0;#,##0.0"/>
    <numFmt numFmtId="168" formatCode="&quot;$ &quot;#,##0.00"/>
    <numFmt numFmtId="169" formatCode="[&gt;=10000000]&quot;₹ &quot;##\,##\,##\,##0.00;[&gt;=100000]&quot;₹ &quot;##\,##\,##0.00;&quot;₹ &quot;#,##0.00"/>
    <numFmt numFmtId="170" formatCode="[&gt;=100000]###\,##\,##0.0;#,##0.00"/>
    <numFmt numFmtId="171" formatCode="[&gt;=100000]####\,##\,##0.0;#,##0.000"/>
    <numFmt numFmtId="172" formatCode="[&gt;=100000]######\,##\,##0.0;#,##0.00000"/>
    <numFmt numFmtId="173" formatCode="[&gt;=100000]#####\,##\,##0.0;#,##0.0000"/>
    <numFmt numFmtId="174" formatCode="dd/mm/yyyy"/>
    <numFmt numFmtId="175" formatCode="#,##0;\-#,##0"/>
    <numFmt numFmtId="176" formatCode="+#,##0;\-#,##0;\–"/>
    <numFmt numFmtId="177" formatCode="0.0"/>
    <numFmt numFmtId="178" formatCode="#,##0.##"/>
  </numFmts>
  <fonts count="40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065E7A"/>
      <sz val="14"/>
    </font>
    <font>
      <name val="Arial"/>
      <family val="2"/>
      <b val="1"/>
      <color rgb="FF5E7C8B"/>
      <sz val="10"/>
    </font>
    <font>
      <name val="Arial"/>
      <family val="2"/>
      <b val="1"/>
      <color rgb="FF065E7A"/>
      <sz val="10"/>
    </font>
    <font>
      <name val="Arial"/>
      <family val="2"/>
      <color rgb="FF0B2C3A"/>
      <sz val="10"/>
    </font>
    <font>
      <name val="Arial"/>
      <family val="2"/>
      <b val="1"/>
      <color rgb="FF0000FF"/>
      <sz val="10"/>
    </font>
    <font>
      <name val="Arial"/>
      <family val="2"/>
      <b val="1"/>
      <sz val="10"/>
    </font>
    <font>
      <name val="Arial"/>
      <family val="2"/>
      <b val="1"/>
      <color rgb="FF0B2C3A"/>
      <sz val="10"/>
    </font>
    <font>
      <name val="Arial"/>
      <family val="2"/>
      <i val="1"/>
      <color rgb="FF5E7C8B"/>
      <sz val="9"/>
    </font>
    <font>
      <name val="Arial"/>
      <family val="2"/>
      <b val="1"/>
      <color rgb="FFFFFFFF"/>
      <sz val="9"/>
    </font>
    <font>
      <name val="Arial"/>
      <family val="2"/>
      <b val="1"/>
      <color rgb="FF5E7C8B"/>
      <sz val="9"/>
    </font>
    <font>
      <name val="Arial"/>
      <family val="2"/>
      <color rgb="FF0000FF"/>
      <sz val="10"/>
    </font>
    <font>
      <name val="Arial"/>
      <family val="2"/>
      <color rgb="FF5E7C8B"/>
      <sz val="9"/>
    </font>
    <font>
      <name val="Arial"/>
      <family val="2"/>
      <b val="1"/>
      <color rgb="FFFFFFFF"/>
      <sz val="10"/>
    </font>
    <font>
      <name val="Arial"/>
      <family val="2"/>
      <b val="1"/>
      <color rgb="FFB3261E"/>
      <sz val="10"/>
    </font>
    <font>
      <name val="Arial"/>
      <family val="2"/>
      <b val="1"/>
      <color rgb="FF065E7A"/>
      <sz val="15"/>
    </font>
    <font>
      <name val="Arial"/>
      <family val="2"/>
      <b val="1"/>
      <color rgb="FFFFFFFF"/>
      <sz val="8"/>
    </font>
    <font>
      <name val="Arial"/>
      <family val="2"/>
      <color rgb="FF0B2C3A"/>
      <sz val="9"/>
    </font>
    <font>
      <name val="Arial"/>
      <family val="2"/>
      <b val="1"/>
      <color rgb="FF0B2C3A"/>
      <sz val="9"/>
    </font>
    <font>
      <name val="Arial"/>
      <family val="2"/>
      <color rgb="FF5E7C8B"/>
      <sz val="8"/>
    </font>
    <font>
      <name val="Arial"/>
      <family val="2"/>
      <color rgb="FF00A2D3"/>
      <sz val="17"/>
    </font>
    <font>
      <name val="Arial"/>
      <family val="2"/>
      <b val="1"/>
      <color rgb="FF0B2C3A"/>
      <sz val="17"/>
    </font>
    <font>
      <name val="Arial"/>
      <family val="2"/>
      <b val="1"/>
      <color rgb="FF065E7A"/>
      <sz val="13"/>
    </font>
    <font>
      <name val="Arial"/>
      <family val="2"/>
      <b val="1"/>
      <color rgb="FF5E7C8B"/>
      <sz val="8"/>
    </font>
    <font>
      <name val="Arial"/>
      <family val="2"/>
      <b val="1"/>
      <color rgb="FFCFE8F2"/>
      <sz val="8"/>
    </font>
    <font>
      <name val="Arial"/>
      <family val="2"/>
      <b val="1"/>
      <color rgb="FF0B2C3A"/>
      <sz val="13"/>
    </font>
    <font>
      <name val="Arial"/>
      <family val="2"/>
      <b val="1"/>
      <color rgb="FFFFFFFF"/>
      <sz val="13"/>
    </font>
    <font>
      <name val="Arial"/>
      <family val="2"/>
      <b val="1"/>
      <color rgb="FFB3261E"/>
      <sz val="9"/>
    </font>
    <font>
      <name val="Arial"/>
      <family val="2"/>
      <b val="1"/>
      <color rgb="FF065E7A"/>
      <sz val="9"/>
    </font>
    <font>
      <name val="Arial"/>
      <family val="2"/>
      <b val="1"/>
      <color rgb="FFB3261E"/>
      <sz val="8"/>
    </font>
    <font>
      <name val="Arial"/>
      <family val="2"/>
      <i val="1"/>
      <color rgb="FF5E7C8B"/>
      <sz val="8"/>
    </font>
    <font>
      <name val="Calibri"/>
      <charset val="1"/>
      <family val="2"/>
      <sz val="11"/>
    </font>
    <font>
      <name val="Arial"/>
      <family val="2"/>
      <b val="1"/>
      <color theme="0"/>
      <sz val="9"/>
    </font>
    <font>
      <name val="Arial"/>
      <family val="2"/>
      <b val="1"/>
      <color rgb="FF065E7A"/>
      <sz val="12"/>
    </font>
    <font>
      <name val="Calibri"/>
      <charset val="1"/>
      <family val="2"/>
      <color theme="1"/>
      <sz val="12"/>
    </font>
    <font>
      <name val="Arial"/>
      <family val="2"/>
      <color rgb="FF000000"/>
      <sz val="10"/>
    </font>
    <font>
      <name val="Arial"/>
      <b val="1"/>
      <color rgb="FF0B2C3A"/>
      <sz val="10"/>
    </font>
    <font>
      <name val="Arial"/>
      <color rgb="FF0000FF"/>
      <sz val="10"/>
    </font>
    <font>
      <name val="Arial"/>
      <i val="1"/>
      <color rgb="FF5E7C8B"/>
      <sz val="10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65E7A"/>
        <bgColor rgb="FF008080"/>
      </patternFill>
    </fill>
    <fill>
      <patternFill patternType="solid">
        <fgColor rgb="FFFFFFFF"/>
        <bgColor rgb="FFF2F8FB"/>
      </patternFill>
    </fill>
    <fill>
      <patternFill patternType="solid">
        <fgColor rgb="FFD9D9D9"/>
        <bgColor rgb="FFCBDFE8"/>
      </patternFill>
    </fill>
    <fill>
      <patternFill patternType="solid">
        <fgColor rgb="FFF2F8FB"/>
        <bgColor rgb="FFE7F3F9"/>
      </patternFill>
    </fill>
    <fill>
      <patternFill patternType="solid">
        <fgColor rgb="FFE7F3F9"/>
        <bgColor rgb="FFF2F8FB"/>
      </patternFill>
    </fill>
    <fill>
      <patternFill patternType="solid">
        <fgColor rgb="FFFFFF00"/>
        <bgColor indexed="64"/>
      </patternFill>
    </fill>
    <fill>
      <patternFill patternType="solid">
        <fgColor rgb="FFF2F9FC"/>
        <bgColor rgb="FFE7F3F9"/>
      </patternFill>
    </fill>
    <fill>
      <patternFill patternType="solid">
        <fgColor rgb="FFF2F9FC"/>
        <bgColor rgb="FFF2F8FB"/>
      </patternFill>
    </fill>
    <fill>
      <patternFill patternType="solid">
        <fgColor rgb="FFF2F9FC"/>
        <bgColor indexed="64"/>
      </patternFill>
    </fill>
  </fills>
  <borders count="8">
    <border>
      <left/>
      <right/>
      <top/>
      <bottom/>
      <diagonal/>
    </border>
    <border>
      <left style="thin">
        <color rgb="FFCBDFE8"/>
      </left>
      <right style="thin">
        <color rgb="FFCBDFE8"/>
      </right>
      <top style="thin">
        <color rgb="FFCBDFE8"/>
      </top>
      <bottom style="thin">
        <color rgb="FFCBDFE8"/>
      </bottom>
      <diagonal/>
    </border>
    <border>
      <left/>
      <right/>
      <top style="thin">
        <color rgb="FFCBDFE8"/>
      </top>
      <bottom style="thin">
        <color rgb="FFCBDFE8"/>
      </bottom>
      <diagonal/>
    </border>
    <border>
      <left style="thin">
        <color rgb="FFCBDFE8"/>
      </left>
      <right style="thin">
        <color rgb="FFCBDFE8"/>
      </right>
      <top style="medium">
        <color rgb="FF065E7A"/>
      </top>
      <bottom style="thin">
        <color rgb="FFCBDFE8"/>
      </bottom>
      <diagonal/>
    </border>
    <border>
      <left/>
      <right/>
      <top/>
      <bottom style="medium">
        <color rgb="FF00A2D3"/>
      </bottom>
      <diagonal/>
    </border>
    <border>
      <left style="thin">
        <color rgb="FFCBDFE8"/>
      </left>
      <right style="thin">
        <color rgb="FFCBDFE8"/>
      </right>
      <top style="thin">
        <color rgb="FFCBDFE8"/>
      </top>
      <bottom/>
      <diagonal/>
    </border>
    <border>
      <left style="thin">
        <color rgb="FFCBDFE8"/>
      </left>
      <right style="thin">
        <color rgb="FFCBDFE8"/>
      </right>
      <top/>
      <bottom style="thin">
        <color rgb="FFCBDFE8"/>
      </bottom>
      <diagonal/>
    </border>
    <border>
      <left/>
      <right/>
      <top style="thin">
        <color rgb="FFCBDFE8"/>
      </top>
      <bottom/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2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4" fontId="6" fillId="2" borderId="1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vertical="center"/>
    </xf>
    <xf numFmtId="164" fontId="6" fillId="2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vertical="center"/>
    </xf>
    <xf numFmtId="165" fontId="12" fillId="4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7" fontId="8" fillId="0" borderId="1" applyAlignment="1" pivotButton="0" quotePrefix="0" xfId="0">
      <alignment vertical="center"/>
    </xf>
    <xf numFmtId="168" fontId="12" fillId="2" borderId="1" applyAlignment="1" applyProtection="1" pivotButton="0" quotePrefix="0" xfId="0">
      <alignment vertical="center"/>
      <protection locked="0" hidden="0"/>
    </xf>
    <xf numFmtId="169" fontId="5" fillId="0" borderId="1" applyAlignment="1" pivotButton="0" quotePrefix="0" xfId="0">
      <alignment vertical="center"/>
    </xf>
    <xf numFmtId="168" fontId="12" fillId="8" borderId="1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167" fontId="14" fillId="3" borderId="1" applyAlignment="1" pivotButton="0" quotePrefix="0" xfId="0">
      <alignment vertical="center"/>
    </xf>
    <xf numFmtId="169" fontId="14" fillId="3" borderId="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10" fillId="3" borderId="1" applyAlignment="1" pivotButton="0" quotePrefix="0" xfId="0">
      <alignment horizontal="center" vertical="center" wrapText="1"/>
    </xf>
    <xf numFmtId="2" fontId="12" fillId="2" borderId="1" applyAlignment="1" applyProtection="1" pivotButton="0" quotePrefix="0" xfId="0">
      <alignment vertical="center"/>
      <protection locked="0" hidden="0"/>
    </xf>
    <xf numFmtId="2" fontId="14" fillId="3" borderId="1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1" fillId="4" borderId="1" applyAlignment="1" applyProtection="1" pivotButton="0" quotePrefix="0" xfId="0">
      <alignment vertical="center"/>
      <protection locked="0" hidden="0"/>
    </xf>
    <xf numFmtId="0" fontId="7" fillId="3" borderId="1" applyAlignment="1" pivotButton="0" quotePrefix="0" xfId="0">
      <alignment vertical="center"/>
    </xf>
    <xf numFmtId="0" fontId="33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center"/>
    </xf>
    <xf numFmtId="0" fontId="1" fillId="10" borderId="1" applyAlignment="1" applyProtection="1" pivotButton="0" quotePrefix="0" xfId="0">
      <alignment vertical="center"/>
      <protection locked="0" hidden="0"/>
    </xf>
    <xf numFmtId="165" fontId="12" fillId="10" borderId="1" applyAlignment="1" pivotButton="0" quotePrefix="0" xfId="0">
      <alignment vertical="center"/>
    </xf>
    <xf numFmtId="166" fontId="5" fillId="9" borderId="1" applyAlignment="1" pivotButton="0" quotePrefix="0" xfId="0">
      <alignment vertical="center"/>
    </xf>
    <xf numFmtId="165" fontId="5" fillId="9" borderId="1" applyAlignment="1" pivotButton="0" quotePrefix="0" xfId="0">
      <alignment vertical="center"/>
    </xf>
    <xf numFmtId="165" fontId="8" fillId="9" borderId="1" applyAlignment="1" pivotButton="0" quotePrefix="0" xfId="0">
      <alignment vertical="center"/>
    </xf>
    <xf numFmtId="167" fontId="8" fillId="9" borderId="1" applyAlignment="1" pivotButton="0" quotePrefix="0" xfId="0">
      <alignment vertical="center"/>
    </xf>
    <xf numFmtId="169" fontId="5" fillId="9" borderId="1" applyAlignment="1" pivotButton="0" quotePrefix="0" xfId="0">
      <alignment vertical="center"/>
    </xf>
    <xf numFmtId="0" fontId="1" fillId="0" borderId="1" applyAlignment="1" applyProtection="1" pivotButton="0" quotePrefix="0" xfId="0">
      <alignment vertical="center"/>
      <protection locked="0" hidden="0"/>
    </xf>
    <xf numFmtId="165" fontId="12" fillId="0" borderId="1" applyAlignment="1" pivotButton="0" quotePrefix="0" xfId="0">
      <alignment vertical="center"/>
    </xf>
    <xf numFmtId="2" fontId="12" fillId="8" borderId="1" applyAlignment="1" applyProtection="1" pivotButton="0" quotePrefix="0" xfId="0">
      <alignment vertical="center"/>
      <protection locked="0" hidden="0"/>
    </xf>
    <xf numFmtId="0" fontId="5" fillId="11" borderId="1" applyAlignment="1" pivotButton="0" quotePrefix="0" xfId="0">
      <alignment vertical="center"/>
    </xf>
    <xf numFmtId="166" fontId="5" fillId="11" borderId="1" applyAlignment="1" pivotButton="0" quotePrefix="0" xfId="0">
      <alignment vertical="center"/>
    </xf>
    <xf numFmtId="165" fontId="5" fillId="11" borderId="1" applyAlignment="1" pivotButton="0" quotePrefix="0" xfId="0">
      <alignment vertical="center"/>
    </xf>
    <xf numFmtId="165" fontId="8" fillId="11" borderId="1" applyAlignment="1" pivotButton="0" quotePrefix="0" xfId="0">
      <alignment vertical="center"/>
    </xf>
    <xf numFmtId="167" fontId="8" fillId="11" borderId="1" applyAlignment="1" pivotButton="0" quotePrefix="0" xfId="0">
      <alignment vertical="center"/>
    </xf>
    <xf numFmtId="169" fontId="5" fillId="11" borderId="1" applyAlignment="1" pivotButton="0" quotePrefix="0" xfId="0">
      <alignment vertical="center"/>
    </xf>
    <xf numFmtId="0" fontId="5" fillId="11" borderId="1" applyAlignment="1" applyProtection="1" pivotButton="0" quotePrefix="0" xfId="0">
      <alignment vertical="center"/>
      <protection locked="0" hidden="0"/>
    </xf>
    <xf numFmtId="165" fontId="12" fillId="10" borderId="1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vertical="center"/>
      <protection locked="0" hidden="0"/>
    </xf>
    <xf numFmtId="165" fontId="12" fillId="0" borderId="1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2" fillId="0" borderId="0" applyAlignment="1" applyProtection="1" pivotButton="0" quotePrefix="0" xfId="0">
      <alignment vertical="center"/>
      <protection locked="0" hidden="0"/>
    </xf>
    <xf numFmtId="166" fontId="12" fillId="0" borderId="0" applyAlignment="1" applyProtection="1" pivotButton="0" quotePrefix="0" xfId="0">
      <alignment vertical="center"/>
      <protection locked="0" hidden="0"/>
    </xf>
    <xf numFmtId="0" fontId="11" fillId="0" borderId="0" applyAlignment="1" pivotButton="0" quotePrefix="0" xfId="0">
      <alignment vertical="center"/>
    </xf>
    <xf numFmtId="14" fontId="12" fillId="0" borderId="1" applyAlignment="1" applyProtection="1" pivotButton="0" quotePrefix="0" xfId="0">
      <alignment vertical="center"/>
      <protection locked="0" hidden="0"/>
    </xf>
    <xf numFmtId="0" fontId="12" fillId="0" borderId="1" applyAlignment="1" applyProtection="1" pivotButton="0" quotePrefix="0" xfId="0">
      <alignment vertical="center"/>
      <protection locked="0" hidden="0"/>
    </xf>
    <xf numFmtId="166" fontId="12" fillId="0" borderId="1" applyAlignment="1" applyProtection="1" pivotButton="0" quotePrefix="0" xfId="0">
      <alignment vertical="center"/>
      <protection locked="0" hidden="0"/>
    </xf>
    <xf numFmtId="14" fontId="12" fillId="0" borderId="0" applyAlignment="1" applyProtection="1" pivotButton="0" quotePrefix="0" xfId="0">
      <alignment vertical="center"/>
      <protection locked="0" hidden="0"/>
    </xf>
    <xf numFmtId="0" fontId="18" fillId="0" borderId="1" applyAlignment="1" pivotButton="0" quotePrefix="0" xfId="0">
      <alignment vertical="center"/>
    </xf>
    <xf numFmtId="165" fontId="18" fillId="0" borderId="1" applyAlignment="1" pivotButton="0" quotePrefix="0" xfId="0">
      <alignment vertical="center"/>
    </xf>
    <xf numFmtId="167" fontId="19" fillId="0" borderId="1" applyAlignment="1" pivotButton="0" quotePrefix="0" xfId="0">
      <alignment vertical="center"/>
    </xf>
    <xf numFmtId="168" fontId="18" fillId="0" borderId="1" applyAlignment="1" pivotButton="0" quotePrefix="0" xfId="0">
      <alignment vertical="center"/>
    </xf>
    <xf numFmtId="169" fontId="18" fillId="0" borderId="1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165" fontId="18" fillId="6" borderId="1" applyAlignment="1" pivotButton="0" quotePrefix="0" xfId="0">
      <alignment vertical="center"/>
    </xf>
    <xf numFmtId="167" fontId="19" fillId="6" borderId="1" applyAlignment="1" pivotButton="0" quotePrefix="0" xfId="0">
      <alignment vertical="center"/>
    </xf>
    <xf numFmtId="168" fontId="18" fillId="6" borderId="1" applyAlignment="1" pivotButton="0" quotePrefix="0" xfId="0">
      <alignment vertical="center"/>
    </xf>
    <xf numFmtId="169" fontId="18" fillId="6" borderId="1" applyAlignment="1" pivotButton="0" quotePrefix="0" xfId="0">
      <alignment vertical="center"/>
    </xf>
    <xf numFmtId="0" fontId="19" fillId="6" borderId="3" applyAlignment="1" pivotButton="0" quotePrefix="0" xfId="0">
      <alignment vertical="center"/>
    </xf>
    <xf numFmtId="167" fontId="19" fillId="6" borderId="3" applyAlignment="1" pivotButton="0" quotePrefix="0" xfId="0">
      <alignment vertical="center"/>
    </xf>
    <xf numFmtId="169" fontId="19" fillId="6" borderId="3" applyAlignment="1" pivotButton="0" quotePrefix="0" xfId="0">
      <alignment vertical="center"/>
    </xf>
    <xf numFmtId="0" fontId="17" fillId="3" borderId="1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/>
    </xf>
    <xf numFmtId="2" fontId="17" fillId="3" borderId="1" applyAlignment="1" pivotButton="0" quotePrefix="0" xfId="0">
      <alignment horizontal="center" vertical="center" wrapText="1"/>
    </xf>
    <xf numFmtId="2" fontId="18" fillId="0" borderId="1" applyAlignment="1" pivotButton="0" quotePrefix="0" xfId="0">
      <alignment vertical="center"/>
    </xf>
    <xf numFmtId="2" fontId="18" fillId="6" borderId="1" applyAlignment="1" pivotButton="0" quotePrefix="0" xfId="0">
      <alignment vertical="center"/>
    </xf>
    <xf numFmtId="2" fontId="19" fillId="6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6" borderId="5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67" fontId="1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7" fontId="18" fillId="6" borderId="1" applyAlignment="1" pivotButton="0" quotePrefix="0" xfId="0">
      <alignment vertical="center"/>
    </xf>
    <xf numFmtId="0" fontId="13" fillId="6" borderId="1" applyAlignment="1" pivotButton="0" quotePrefix="0" xfId="0">
      <alignment vertical="center"/>
    </xf>
    <xf numFmtId="0" fontId="0" fillId="6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vertical="center"/>
      <protection locked="0" hidden="0"/>
    </xf>
    <xf numFmtId="0" fontId="10" fillId="3" borderId="1" applyAlignment="1" pivotButton="0" quotePrefix="0" xfId="0">
      <alignment vertical="center"/>
    </xf>
    <xf numFmtId="169" fontId="10" fillId="3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6" fontId="18" fillId="0" borderId="0" applyAlignment="1" pivotButton="0" quotePrefix="0" xfId="0">
      <alignment vertical="center"/>
    </xf>
    <xf numFmtId="165" fontId="19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3" fillId="6" borderId="3" applyAlignment="1" pivotButton="0" quotePrefix="0" xfId="0">
      <alignment vertical="center"/>
    </xf>
    <xf numFmtId="0" fontId="20" fillId="6" borderId="3" applyAlignment="1" pivotButton="0" quotePrefix="0" xfId="0">
      <alignment horizontal="right" vertical="center"/>
    </xf>
    <xf numFmtId="170" fontId="26" fillId="6" borderId="6" applyAlignment="1" pivotButton="0" quotePrefix="0" xfId="0">
      <alignment horizontal="left" vertical="center"/>
    </xf>
    <xf numFmtId="171" fontId="26" fillId="6" borderId="6" applyAlignment="1" pivotButton="0" quotePrefix="0" xfId="0">
      <alignment horizontal="left" vertical="center"/>
    </xf>
    <xf numFmtId="172" fontId="26" fillId="6" borderId="6" applyAlignment="1" pivotButton="0" quotePrefix="0" xfId="0">
      <alignment horizontal="left" vertical="center"/>
    </xf>
    <xf numFmtId="170" fontId="10" fillId="3" borderId="1" applyAlignment="1" pivotButton="0" quotePrefix="0" xfId="0">
      <alignment vertical="center"/>
    </xf>
    <xf numFmtId="173" fontId="10" fillId="3" borderId="1" applyAlignment="1" pivotButton="0" quotePrefix="0" xfId="0">
      <alignment vertical="center"/>
    </xf>
    <xf numFmtId="170" fontId="19" fillId="6" borderId="3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2" fontId="18" fillId="0" borderId="6" applyAlignment="1" pivotButton="0" quotePrefix="0" xfId="0">
      <alignment vertical="center"/>
    </xf>
    <xf numFmtId="165" fontId="18" fillId="0" borderId="6" applyAlignment="1" pivotButton="0" quotePrefix="0" xfId="0">
      <alignment vertical="center"/>
    </xf>
    <xf numFmtId="167" fontId="19" fillId="0" borderId="6" applyAlignment="1" pivotButton="0" quotePrefix="0" xfId="0">
      <alignment vertical="center"/>
    </xf>
    <xf numFmtId="168" fontId="18" fillId="0" borderId="6" applyAlignment="1" pivotButton="0" quotePrefix="0" xfId="0">
      <alignment vertical="center"/>
    </xf>
    <xf numFmtId="169" fontId="18" fillId="0" borderId="6" applyAlignment="1" pivotButton="0" quotePrefix="0" xfId="0">
      <alignment vertical="center"/>
    </xf>
    <xf numFmtId="0" fontId="1" fillId="11" borderId="1" applyAlignment="1" applyProtection="1" pivotButton="0" quotePrefix="0" xfId="0">
      <alignment vertical="center"/>
      <protection locked="0" hidden="0"/>
    </xf>
    <xf numFmtId="165" fontId="12" fillId="11" borderId="1" applyAlignment="1" applyProtection="1" pivotButton="0" quotePrefix="0" xfId="0">
      <alignment vertical="center"/>
      <protection locked="0" hidden="0"/>
    </xf>
    <xf numFmtId="0" fontId="18" fillId="11" borderId="1" applyAlignment="1" pivotButton="0" quotePrefix="0" xfId="0">
      <alignment vertical="center"/>
    </xf>
    <xf numFmtId="0" fontId="7" fillId="2" borderId="0" applyAlignment="1" pivotButton="0" quotePrefix="1" xfId="0">
      <alignment vertical="center"/>
    </xf>
    <xf numFmtId="0" fontId="5" fillId="0" borderId="0" applyAlignment="1" pivotButton="0" quotePrefix="1" xfId="0">
      <alignment vertical="center"/>
    </xf>
    <xf numFmtId="16" fontId="12" fillId="0" borderId="1" applyAlignment="1" applyProtection="1" pivotButton="0" quotePrefix="0" xfId="0">
      <alignment vertical="center"/>
      <protection locked="0" hidden="0"/>
    </xf>
    <xf numFmtId="165" fontId="19" fillId="6" borderId="3" applyAlignment="1" pivotButton="0" quotePrefix="0" xfId="0">
      <alignment vertical="center"/>
    </xf>
    <xf numFmtId="169" fontId="16" fillId="0" borderId="0" applyAlignment="1" pivotButton="0" quotePrefix="0" xfId="0">
      <alignment vertical="center"/>
    </xf>
    <xf numFmtId="167" fontId="19" fillId="11" borderId="1" applyAlignment="1" pivotButton="0" quotePrefix="0" xfId="0">
      <alignment vertical="center"/>
    </xf>
    <xf numFmtId="0" fontId="36" fillId="9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7" fontId="16" fillId="0" borderId="0" applyAlignment="1" pivotButton="0" quotePrefix="0" xfId="0">
      <alignment vertical="center"/>
    </xf>
    <xf numFmtId="169" fontId="16" fillId="0" borderId="0" applyAlignment="1" pivotButton="0" quotePrefix="0" xfId="0">
      <alignment vertical="center"/>
    </xf>
    <xf numFmtId="168" fontId="16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34" fillId="7" borderId="2" applyAlignment="1" pivotButton="0" quotePrefix="0" xfId="0">
      <alignment vertical="center"/>
    </xf>
    <xf numFmtId="0" fontId="34" fillId="7" borderId="2" applyAlignment="1" applyProtection="1" pivotButton="0" quotePrefix="0" xfId="0">
      <alignment vertical="center"/>
      <protection locked="0" hidden="0"/>
    </xf>
    <xf numFmtId="0" fontId="2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31" fillId="0" borderId="7" applyAlignment="1" pivotButton="0" quotePrefix="0" xfId="0">
      <alignment vertical="center"/>
    </xf>
    <xf numFmtId="0" fontId="25" fillId="3" borderId="0" applyAlignment="1" pivotButton="0" quotePrefix="0" xfId="0">
      <alignment horizontal="left" vertical="center"/>
    </xf>
    <xf numFmtId="169" fontId="27" fillId="3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29" fillId="7" borderId="2" applyAlignment="1" pivotButton="0" quotePrefix="0" xfId="0">
      <alignment vertical="center"/>
    </xf>
    <xf numFmtId="0" fontId="20" fillId="0" borderId="0" applyAlignment="1" pivotButton="0" quotePrefix="0" xfId="0">
      <alignment horizontal="right"/>
    </xf>
    <xf numFmtId="14" fontId="23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172" fontId="26" fillId="6" borderId="6" applyAlignment="1" pivotButton="0" quotePrefix="0" xfId="0">
      <alignment horizontal="left" vertical="center"/>
    </xf>
    <xf numFmtId="173" fontId="10" fillId="3" borderId="1" applyAlignment="1" pivotButton="0" quotePrefix="0" xfId="0">
      <alignment vertical="center"/>
    </xf>
    <xf numFmtId="0" fontId="0" fillId="0" borderId="7" pivotButton="0" quotePrefix="0" xfId="0"/>
    <xf numFmtId="174" fontId="37" fillId="0" borderId="1" applyAlignment="1" pivotButton="0" quotePrefix="0" xfId="0">
      <alignment horizontal="center" vertical="center"/>
    </xf>
    <xf numFmtId="174" fontId="6" fillId="2" borderId="1" applyAlignment="1" applyProtection="1" pivotButton="0" quotePrefix="0" xfId="0">
      <alignment horizontal="center" vertical="center"/>
      <protection locked="0" hidden="0"/>
    </xf>
    <xf numFmtId="1" fontId="13" fillId="0" borderId="0" applyAlignment="1" pivotButton="0" quotePrefix="0" xfId="0">
      <alignment vertical="center"/>
    </xf>
    <xf numFmtId="0" fontId="38" fillId="0" borderId="1" applyAlignment="1" applyProtection="1" pivotButton="0" quotePrefix="0" xfId="0">
      <alignment vertical="center"/>
      <protection locked="0" hidden="0"/>
    </xf>
    <xf numFmtId="175" fontId="12" fillId="8" borderId="1" applyAlignment="1" applyProtection="1" pivotButton="0" quotePrefix="0" xfId="0">
      <alignment vertical="center"/>
      <protection locked="0" hidden="0"/>
    </xf>
    <xf numFmtId="175" fontId="5" fillId="0" borderId="1" applyAlignment="1" pivotButton="0" quotePrefix="0" xfId="0">
      <alignment vertical="center"/>
    </xf>
    <xf numFmtId="176" fontId="5" fillId="0" borderId="1" applyAlignment="1" pivotButton="0" quotePrefix="0" xfId="0">
      <alignment vertical="center"/>
    </xf>
    <xf numFmtId="175" fontId="8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175" fontId="5" fillId="0" borderId="1" applyAlignment="1" pivotButton="0" quotePrefix="0" xfId="0">
      <alignment horizontal="right" vertical="center"/>
    </xf>
    <xf numFmtId="177" fontId="13" fillId="0" borderId="0" applyAlignment="1" pivotButton="0" quotePrefix="0" xfId="0">
      <alignment vertical="center"/>
    </xf>
    <xf numFmtId="175" fontId="14" fillId="3" borderId="1" applyAlignment="1" pivotButton="0" quotePrefix="0" xfId="0">
      <alignment vertical="center"/>
    </xf>
    <xf numFmtId="166" fontId="14" fillId="3" borderId="1" applyAlignment="1" pivotButton="0" quotePrefix="0" xfId="0">
      <alignment vertical="center"/>
    </xf>
    <xf numFmtId="176" fontId="14" fillId="3" borderId="1" applyAlignment="1" pivotButton="0" quotePrefix="0" xfId="0">
      <alignment vertical="center"/>
    </xf>
    <xf numFmtId="0" fontId="14" fillId="3" borderId="1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174" fontId="12" fillId="0" borderId="1" applyAlignment="1" applyProtection="1" pivotButton="0" quotePrefix="0" xfId="0">
      <alignment vertical="center"/>
      <protection locked="0" hidden="0"/>
    </xf>
    <xf numFmtId="176" fontId="12" fillId="0" borderId="1" applyAlignment="1" applyProtection="1" pivotButton="0" quotePrefix="0" xfId="0">
      <alignment vertical="center"/>
      <protection locked="0" hidden="0"/>
    </xf>
    <xf numFmtId="178" fontId="12" fillId="8" borderId="1" applyAlignment="1" applyProtection="1" pivotButton="0" quotePrefix="0" xfId="0">
      <alignment vertical="center"/>
      <protection locked="0" hidden="0"/>
    </xf>
    <xf numFmtId="3" fontId="13" fillId="0" borderId="0" applyAlignment="1" pivotButton="0" quotePrefix="0" xfId="0">
      <alignment vertical="center"/>
    </xf>
  </cellXfs>
  <cellStyles count="1">
    <cellStyle name="Normal" xfId="0" builtinId="0"/>
  </cellStyles>
  <dxfs count="5">
    <dxf>
      <border>
        <left style="thin">
          <color rgb="FFCBDFE8"/>
        </left>
        <right style="thin">
          <color rgb="FFCBDFE8"/>
        </right>
        <top style="thin">
          <color rgb="FFCBDFE8"/>
        </top>
        <bottom style="thin">
          <color rgb="FFCBDFE8"/>
        </bottom>
      </border>
    </dxf>
    <dxf>
      <font>
        <name val="Arial"/>
        <b val="1"/>
        <color rgb="FFB3261E"/>
        <sz val="10"/>
      </font>
      <fill>
        <patternFill>
          <bgColor rgb="FFF8D7DA"/>
        </patternFill>
      </fill>
    </dxf>
    <dxf>
      <fill>
        <patternFill>
          <bgColor rgb="FFFDE7E9"/>
        </patternFill>
      </fill>
    </dxf>
    <dxf>
      <font>
        <name val="Arial"/>
        <b val="1"/>
        <color rgb="FF7A4B00"/>
        <sz val="10"/>
      </font>
      <fill>
        <patternFill>
          <bgColor rgb="FFFCE8B2"/>
        </patternFill>
      </fill>
    </dxf>
    <dxf>
      <font>
        <name val="Arial"/>
        <i val="1"/>
        <color rgb="FF5E7C8B"/>
        <sz val="10"/>
      </font>
      <fill>
        <patternFill>
          <bgColor rgb="FFFDE7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E7A"/>
      <rgbColor rgb="FFD9D9D9"/>
      <rgbColor rgb="FF808080"/>
      <rgbColor rgb="FF9999FF"/>
      <rgbColor rgb="FF993366"/>
      <rgbColor rgb="FFF2F8FB"/>
      <rgbColor rgb="FFE7F3F9"/>
      <rgbColor rgb="FF660066"/>
      <rgbColor rgb="FFFF8080"/>
      <rgbColor rgb="FF0066CC"/>
      <rgbColor rgb="FFCBD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2D3"/>
      <rgbColor rgb="FFCFE8F2"/>
      <rgbColor rgb="FFCCFFCC"/>
      <rgbColor rgb="FFFDE7E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7C8B"/>
      <rgbColor rgb="FF969696"/>
      <rgbColor rgb="FF0B2C3A"/>
      <rgbColor rgb="FF339966"/>
      <rgbColor rgb="FF003300"/>
      <rgbColor rgb="FF333300"/>
      <rgbColor rgb="FFB326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0</col>
      <colOff>913208</colOff>
      <row>2</row>
      <rowOff>139700</rowOff>
    </to>
    <pic>
      <nvPicPr>
        <cNvPr id="3" name="Picture 2" descr="Picture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913208" cy="7493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showGridLines="0" topLeftCell="A4" workbookViewId="0">
      <selection activeCell="B45" sqref="B45"/>
    </sheetView>
  </sheetViews>
  <sheetFormatPr baseColWidth="8" defaultColWidth="8.42578125" defaultRowHeight="18" customHeight="1"/>
  <cols>
    <col width="2" customWidth="1" style="3" min="1" max="1"/>
    <col width="112" customWidth="1" style="3" min="2" max="2"/>
    <col width="8.42578125" customWidth="1" style="3" min="3" max="16384"/>
  </cols>
  <sheetData>
    <row r="1" ht="18" customHeight="1">
      <c r="A1" s="2" t="inlineStr">
        <is>
          <t>PREMIER EXPORTS INTERNATIONAL</t>
        </is>
      </c>
    </row>
    <row r="2" ht="18" customHeight="1">
      <c r="A2" s="4" t="inlineStr">
        <is>
          <t>STOCK REGISTER — HOW IT WORKS</t>
        </is>
      </c>
    </row>
    <row r="3"/>
    <row r="4" ht="18" customHeight="1">
      <c r="B4" s="56" t="inlineStr">
        <is>
          <t>Every day, in one minute</t>
        </is>
      </c>
    </row>
    <row r="5" ht="18" customHeight="1">
      <c r="B5" s="57" t="inlineStr">
        <is>
          <t>1.  On 'Daily Entry' add one row per product that moved — date, product from the</t>
        </is>
      </c>
    </row>
    <row r="6" ht="18" customHeight="1">
      <c r="B6" s="57" t="inlineStr">
        <is>
          <t xml:space="preserve">    dropdown, and the quantity in that product's own unit.</t>
        </is>
      </c>
    </row>
    <row r="7" ht="18" customHeight="1">
      <c r="B7" s="57" t="inlineStr">
        <is>
          <t>2.  On 'Stock' set the Statement date and the US$ → ₹ rate for today.</t>
        </is>
      </c>
    </row>
    <row r="8" ht="18" customHeight="1">
      <c r="B8" s="57" t="inlineStr">
        <is>
          <t>3.  Open 'Daily Report' — it has already rebuilt itself.</t>
        </is>
      </c>
    </row>
    <row r="9" ht="18" customHeight="1">
      <c r="B9" s="57" t="inlineStr">
        <is>
          <t>4.  File ▸ Export ▸ Create PDF/XPS, "Selected sheet" — that is the directors' copy.</t>
        </is>
      </c>
    </row>
    <row r="10" ht="18" customHeight="1">
      <c r="B10" s="57" t="n"/>
    </row>
    <row r="11" ht="18" customHeight="1">
      <c r="B11" s="56" t="inlineStr">
        <is>
          <t>Units: slabs and kilos are not the same thing</t>
        </is>
      </c>
    </row>
    <row r="12" ht="18" customHeight="1">
      <c r="B12" s="57" t="inlineStr">
        <is>
          <t>Every product carries a Unit and a Kg / Unit on the Stock sheet.</t>
        </is>
      </c>
    </row>
    <row r="13" ht="18" customHeight="1">
      <c r="B13" s="57" t="inlineStr">
        <is>
          <t xml:space="preserve">    Slab, 2.00 - the shrimp brands — Blue Dolphin, Primus, AMF, THT, China, Deep Sea</t>
        </is>
      </c>
    </row>
    <row r="14" ht="18" customHeight="1">
      <c r="B14" s="57" t="inlineStr">
        <is>
          <t xml:space="preserve">    Kg, 1.00 - tuna and mackerel, where the balance is already in kilos</t>
        </is>
      </c>
    </row>
    <row r="15" ht="18" customHeight="1">
      <c r="B15" s="57" t="inlineStr">
        <is>
          <t xml:space="preserve">    Slab, other - squid, cuttlefish and shrimp whole, whose slab weight varies by buyer</t>
        </is>
      </c>
    </row>
    <row r="16" ht="18" customHeight="1">
      <c r="B16" s="57" t="inlineStr">
        <is>
          <t>Because a slab and a kilo cannot be added together, every total in this workbook is</t>
        </is>
      </c>
    </row>
    <row r="17" ht="18" customHeight="1">
      <c r="B17" s="57" t="inlineStr">
        <is>
          <t>taken in kilos: Closing Kg = Closing Balance × Kg / Unit.</t>
        </is>
      </c>
    </row>
    <row r="18" ht="18" customHeight="1">
      <c r="B18" s="57" t="inlineStr">
        <is>
          <t>A product with no Kg / Unit is shaded pink and left out of the totals, and the count</t>
        </is>
      </c>
    </row>
    <row r="19" ht="18" customHeight="1">
      <c r="B19" s="57" t="inlineStr">
        <is>
          <t>of such rows is shown on Stock, Summary and the Daily Report until you fill it in.</t>
        </is>
      </c>
    </row>
    <row r="20" ht="18" customHeight="1">
      <c r="B20" s="57" t="n"/>
    </row>
    <row r="21" ht="18" customHeight="1">
      <c r="B21" s="56" t="inlineStr">
        <is>
          <t>How the stock is valued</t>
        </is>
      </c>
    </row>
    <row r="22" ht="18" customHeight="1">
      <c r="B22" s="57" t="inlineStr">
        <is>
          <t>Rate / Kg is the export price per kilo, in US dollars.</t>
        </is>
      </c>
    </row>
    <row r="23" ht="18" customHeight="1">
      <c r="B23" s="57" t="inlineStr">
        <is>
          <t>Stock Value (₹) = Closing Kg × Rate / Kg (US$) × the US$ → ₹ rate in E4.</t>
        </is>
      </c>
    </row>
    <row r="24" ht="18" customHeight="1">
      <c r="B24" s="57" t="inlineStr">
        <is>
          <t>The exchange rate lives in that one cell, so changing it revalues everything at once.</t>
        </is>
      </c>
    </row>
    <row r="25" ht="18" customHeight="1">
      <c r="B25" s="57" t="n"/>
    </row>
    <row r="26" ht="18" customHeight="1">
      <c r="B26" s="56" t="inlineStr">
        <is>
          <t>Why you never re-type an opening balance</t>
        </is>
      </c>
    </row>
    <row r="27" ht="18" customHeight="1">
      <c r="B27" s="57" t="inlineStr">
        <is>
          <t>Opening Balance is a fixed baseline, not a daily figure. Closing Balance = Opening</t>
        </is>
      </c>
    </row>
    <row r="28" ht="18" customHeight="1">
      <c r="B28" s="57" t="inlineStr">
        <is>
          <t>+ production to date − shipment to date, counted from every row on 'Daily Entry'.</t>
        </is>
      </c>
    </row>
    <row r="29" ht="18" customHeight="1">
      <c r="B29" s="57" t="n"/>
    </row>
    <row r="30" ht="18" customHeight="1">
      <c r="B30" s="56" t="inlineStr">
        <is>
          <t>What can be typed into — everything else is locked</t>
        </is>
      </c>
    </row>
    <row r="31" ht="18" customHeight="1">
      <c r="B31" s="58" t="inlineStr">
        <is>
          <t>'Daily Entry' — the whole grid.</t>
        </is>
      </c>
    </row>
    <row r="32" ht="18" customHeight="1">
      <c r="B32" s="120" t="inlineStr">
        <is>
          <t>Stock' — Statement Date, Exchange Rate, Unit, Kg / Unit and Rate / Kg.</t>
        </is>
      </c>
    </row>
    <row r="33" ht="18" customHeight="1">
      <c r="B33" s="57" t="inlineStr">
        <is>
          <t>Every other cell is protected, and formatting is locked, so widths, fonts, colours</t>
        </is>
      </c>
    </row>
    <row r="34" ht="18" customHeight="1">
      <c r="B34" s="57" t="inlineStr">
        <is>
          <t>and number formats cannot be changed by accident. The owner holds the password.</t>
        </is>
      </c>
    </row>
    <row r="35" ht="18" customHeight="1">
      <c r="B35" s="57" t="n"/>
    </row>
    <row r="36" ht="18" customHeight="1">
      <c r="B36" s="56" t="inlineStr">
        <is>
          <t>Adding a product or a brand</t>
        </is>
      </c>
    </row>
    <row r="37" ht="18" customHeight="1">
      <c r="B37" s="121" t="inlineStr">
        <is>
          <t>Stock' keeps 6 blank rows under the last product. Type Brand, Product, Unit,</t>
        </is>
      </c>
    </row>
    <row r="38" ht="18" customHeight="1">
      <c r="B38" s="57" t="inlineStr">
        <is>
          <t>Kg / Unit and Opening Balance into the first blank row — no unprotecting needed.</t>
        </is>
      </c>
    </row>
    <row r="39" ht="18" customHeight="1">
      <c r="B39" s="57" t="inlineStr">
        <is>
          <t>For a new brand, also type its name into a blank brand band on 'Summary' and into a</t>
        </is>
      </c>
    </row>
    <row r="40" ht="18" customHeight="1">
      <c r="B40" s="57" t="inlineStr">
        <is>
          <t>blank row on the Daily Report's brand table. Until you do, a red line on both says</t>
        </is>
      </c>
    </row>
    <row r="41" ht="18" customHeight="1">
      <c r="B41" s="57" t="inlineStr">
        <is>
          <t>the totals understate the stock. Both clear themselves.</t>
        </is>
      </c>
    </row>
    <row r="42" ht="18" customHeight="1">
      <c r="B42" s="57" t="n"/>
    </row>
    <row r="43" ht="18" customHeight="1">
      <c r="B43" s="56" t="inlineStr">
        <is>
          <t>Dates must be real dates</t>
        </is>
      </c>
    </row>
    <row r="44" ht="18" customHeight="1">
      <c r="B44" s="57" t="inlineStr">
        <is>
          <t>Type 22/08/2026, not text. A date stored as text never matches the statement date.</t>
        </is>
      </c>
    </row>
    <row r="46">
      <c r="B46" s="56" t="inlineStr">
        <is>
          <t>Cartons — taken off by production, counted in once</t>
        </is>
      </c>
    </row>
    <row r="47">
      <c r="B47" s="57" t="inlineStr">
        <is>
          <t>Once: on 'Carton Stock' count each carton, type the count in Opening Stock and the day you counted in Count Date.</t>
        </is>
      </c>
    </row>
    <row r="48">
      <c r="B48" s="57" t="inlineStr">
        <is>
          <t xml:space="preserve">    A Reorder Level is optional; at or below it the Status turns amber.</t>
        </is>
      </c>
    </row>
    <row r="49">
      <c r="B49" s="57" t="inlineStr">
        <is>
          <t>Once: on 'Packing' check the carton each product goes into and how many slabs (or kilos) fill one carton.</t>
        </is>
      </c>
    </row>
    <row r="50">
      <c r="B50" s="57" t="inlineStr">
        <is>
          <t xml:space="preserve">    The shrimp brands start at 10 per carton, from the No. of Cases column; fill in the others.</t>
        </is>
      </c>
    </row>
    <row r="51">
      <c r="B51" s="57" t="inlineStr">
        <is>
          <t>Every day: nothing extra. Production typed on 'Daily Entry' takes its cartons off by itself.</t>
        </is>
      </c>
    </row>
    <row r="52">
      <c r="B52" s="57" t="inlineStr">
        <is>
          <t>When cartons arrive: one row on 'Carton Entry' — date, carton, number received.</t>
        </is>
      </c>
    </row>
    <row r="53">
      <c r="B53" s="57" t="inlineStr">
        <is>
          <t xml:space="preserve">    Damaged, or a recount differs: the same row, Adjustment, minus or plus.</t>
        </is>
      </c>
    </row>
    <row r="54">
      <c r="B54" s="57" t="inlineStr">
        <is>
          <t>Cartons used are rounded up for each product: a part-filled carton is a carton used.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pageMargins left="0.75" right="0.75" top="1" bottom="1" header="0.511811023622047" footer="0.511811023622047"/>
  <pageSetup orientation="portrait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05"/>
  <sheetViews>
    <sheetView showGridLines="0" workbookViewId="0">
      <pane xSplit="2" ySplit="7" topLeftCell="C98" activePane="bottomRight" state="frozen"/>
      <selection pane="bottomRight" activeCell="E3" sqref="E3"/>
      <selection pane="bottomLeft" activeCell="A8" sqref="A8"/>
      <selection pane="topRight" activeCell="C1" sqref="C1"/>
    </sheetView>
  </sheetViews>
  <sheetFormatPr baseColWidth="8" defaultColWidth="8.42578125" defaultRowHeight="15" customHeight="1"/>
  <cols>
    <col width="18" customWidth="1" style="3" min="1" max="1"/>
    <col width="24" customWidth="1" style="3" min="2" max="2"/>
    <col width="8" customWidth="1" style="31" min="3" max="3"/>
    <col width="9" customWidth="1" style="27" min="4" max="4"/>
    <col width="13" customWidth="1" style="3" min="5" max="5"/>
    <col width="12" customWidth="1" style="3" min="6" max="9"/>
    <col width="13" customWidth="1" style="3" min="10" max="10"/>
    <col width="12" customWidth="1" style="3" min="11" max="12"/>
    <col width="16" customWidth="1" style="3" min="13" max="13"/>
    <col width="2" customWidth="1" style="3" min="14" max="14"/>
    <col width="32" customWidth="1" style="3" min="15" max="15"/>
    <col width="11" customWidth="1" style="3" min="16" max="16"/>
    <col width="6" customWidth="1" style="3" min="17" max="17"/>
    <col width="24" customWidth="1" style="3" min="18" max="18"/>
    <col width="11" customWidth="1" style="3" min="19" max="19"/>
    <col width="12" customWidth="1" style="3" min="20" max="25"/>
    <col width="8.42578125" customWidth="1" style="3" min="26" max="16384"/>
  </cols>
  <sheetData>
    <row r="1" ht="18" customHeight="1">
      <c r="A1" s="2" t="inlineStr">
        <is>
          <t>PREMIER EXPORTS INTERNATIONAL</t>
        </is>
      </c>
    </row>
    <row r="2" ht="15" customHeight="1">
      <c r="A2" s="4" t="inlineStr">
        <is>
          <t>STOCK REGISTER — LIVE POSITION</t>
        </is>
      </c>
    </row>
    <row r="3" ht="15" customHeight="1">
      <c r="A3" s="5" t="inlineStr">
        <is>
          <t>Statement Date</t>
        </is>
      </c>
      <c r="E3" s="6" t="n">
        <v>46324</v>
      </c>
      <c r="F3" s="7" t="inlineStr">
        <is>
          <t>← today; drives the two "today" columns and the Daily Report</t>
        </is>
      </c>
    </row>
    <row r="4" ht="15" customHeight="1">
      <c r="A4" s="5" t="inlineStr">
        <is>
          <t>$ → ₹ Exchange Rate</t>
        </is>
      </c>
      <c r="E4" s="8" t="n">
        <v>94</v>
      </c>
      <c r="F4" s="7" t="inlineStr">
        <is>
          <t>← rupees per US dollar; converts the per-kilo export rates</t>
        </is>
      </c>
    </row>
    <row r="5" ht="15" customHeight="1">
      <c r="A5" s="7" t="inlineStr">
        <is>
          <t>Balances are counted in each product's own unit. Only kilos are comparable across products, so every total is taken in kilos.</t>
        </is>
      </c>
    </row>
    <row r="7" ht="30" customFormat="1" customHeight="1" s="26">
      <c r="A7" s="23" t="inlineStr">
        <is>
          <t>Brand</t>
        </is>
      </c>
      <c r="B7" s="23" t="inlineStr">
        <is>
          <t>Product</t>
        </is>
      </c>
      <c r="C7" s="34" t="inlineStr">
        <is>
          <t>Unit</t>
        </is>
      </c>
      <c r="D7" s="28" t="inlineStr">
        <is>
          <t>Kg / Unit</t>
        </is>
      </c>
      <c r="E7" s="23" t="inlineStr">
        <is>
          <t>Opening Balance</t>
        </is>
      </c>
      <c r="F7" s="23" t="inlineStr">
        <is>
          <t>Today's Production</t>
        </is>
      </c>
      <c r="G7" s="23" t="inlineStr">
        <is>
          <t>Today's Shipment</t>
        </is>
      </c>
      <c r="H7" s="23" t="inlineStr">
        <is>
          <t>Production to Date</t>
        </is>
      </c>
      <c r="I7" s="23" t="inlineStr">
        <is>
          <t>Shipment to Date</t>
        </is>
      </c>
      <c r="J7" s="23" t="inlineStr">
        <is>
          <t>Closing Balance</t>
        </is>
      </c>
      <c r="K7" s="23" t="inlineStr">
        <is>
          <t>Closing Stock (Kg)</t>
        </is>
      </c>
      <c r="L7" s="23" t="inlineStr">
        <is>
          <t>Rate / Kg ($)</t>
        </is>
      </c>
      <c r="M7" s="23" t="inlineStr">
        <is>
          <t>Stock Value (₹)</t>
        </is>
      </c>
      <c r="N7" s="24" t="n"/>
      <c r="O7" s="25" t="inlineStr">
        <is>
          <t>Key (do not edit)</t>
        </is>
      </c>
      <c r="P7" s="25" t="inlineStr">
        <is>
          <t>Moved today</t>
        </is>
      </c>
      <c r="Q7" s="25" t="inlineStr">
        <is>
          <t>Rank</t>
        </is>
      </c>
      <c r="R7" s="25" t="inlineStr">
        <is>
          <t>Brand seq</t>
        </is>
      </c>
      <c r="S7" s="25" t="inlineStr">
        <is>
          <t>Opening kg</t>
        </is>
      </c>
      <c r="T7" s="25" t="inlineStr">
        <is>
          <t>Prod kg today</t>
        </is>
      </c>
      <c r="U7" s="25" t="inlineStr">
        <is>
          <t>Ship kg today</t>
        </is>
      </c>
      <c r="V7" s="25" t="inlineStr">
        <is>
          <t>Prod kg to date</t>
        </is>
      </c>
      <c r="W7" s="25" t="inlineStr">
        <is>
          <t>Ship kg to date</t>
        </is>
      </c>
      <c r="X7" s="25" t="inlineStr">
        <is>
          <t>Needs Kg/Unit</t>
        </is>
      </c>
      <c r="Y7" s="25" t="inlineStr">
        <is>
          <t>Duplicate key</t>
        </is>
      </c>
    </row>
    <row r="8" ht="15" customHeight="1">
      <c r="A8" s="9" t="inlineStr">
        <is>
          <t>Blue Dolphin</t>
        </is>
      </c>
      <c r="B8" s="9" t="inlineStr">
        <is>
          <t>PD PVN 100/200</t>
        </is>
      </c>
      <c r="C8" s="43" t="inlineStr">
        <is>
          <t>Slab</t>
        </is>
      </c>
      <c r="D8" s="45" t="n">
        <v>2</v>
      </c>
      <c r="E8" s="44" t="n">
        <v>11459</v>
      </c>
      <c r="F8" s="11">
        <f>IF($A8="","",SUMIFS('Daily Entry'!$C$7:$C$5003,'Daily Entry'!$B$7:$B$5003,$O8,'Daily Entry'!$A$7:$A$5003,$E$3))</f>
        <v/>
      </c>
      <c r="G8" s="11">
        <f>IF($A8="","",SUMIFS('Daily Entry'!$D$7:$D$5003,'Daily Entry'!$B$7:$B$5003,$O8,'Daily Entry'!$A$7:$A$5003,$E$3))</f>
        <v/>
      </c>
      <c r="H8" s="12">
        <f>IF($A8="","",SUMIFS('Daily Entry'!$C$7:$C$5003,'Daily Entry'!$B$7:$B$5003,$O8))</f>
        <v/>
      </c>
      <c r="I8" s="12">
        <f>IF($A8="","",SUMIFS('Daily Entry'!$D$7:$D$5003,'Daily Entry'!$B$7:$B$5003,$O8))</f>
        <v/>
      </c>
      <c r="J8" s="13">
        <f>IF($A8="","",$E8+$H8-$I8)</f>
        <v/>
      </c>
      <c r="K8" s="14">
        <f>IF(OR($A8="",$D8=""),"",$J8*$D8)</f>
        <v/>
      </c>
      <c r="L8" s="17" t="n">
        <v>7.25</v>
      </c>
      <c r="M8" s="16">
        <f>IF(OR($A8="",$D8="",$L8="",$E$4=""),"",$K8*$L8*$E$4)</f>
        <v/>
      </c>
      <c r="O8" s="131">
        <f>IF($A8="","",$A8&amp;" - "&amp;$B8)</f>
        <v/>
      </c>
      <c r="P8" s="131">
        <f>IF($A8="",0,IF(OR($F8&lt;&gt;0,$G8&lt;&gt;0),1,0))</f>
        <v/>
      </c>
      <c r="Q8" s="131">
        <f>IF($P8=1,SUM($P$8:$P8),"")</f>
        <v/>
      </c>
      <c r="R8" s="131">
        <f>IF($A8="","",$A8&amp;"#"&amp;COUNTIF($A$8:$A8,$A8))</f>
        <v/>
      </c>
      <c r="S8" s="131">
        <f>IF(OR($A8="",$D8=""),0,$E8*$D8)</f>
        <v/>
      </c>
      <c r="T8" s="131">
        <f>IF(OR($A8="",$D8=""),0,$F8*$D8)</f>
        <v/>
      </c>
      <c r="U8" s="131">
        <f>IF(OR($A8="",$D8=""),0,$G8*$D8)</f>
        <v/>
      </c>
      <c r="V8" s="131">
        <f>IF(OR($A8="",$D8=""),0,$H8*$D8)</f>
        <v/>
      </c>
      <c r="W8" s="131">
        <f>IF(OR($A8="",$D8=""),0,$I8*$D8)</f>
        <v/>
      </c>
      <c r="X8" s="131">
        <f>IF(AND($A8&lt;&gt;"",$D8=""),1,0)</f>
        <v/>
      </c>
      <c r="Y8" s="131">
        <f>IF($A8="",0,IF(COUNTIF($O$8:$O$101,$O8)&gt;1,1,0))</f>
        <v/>
      </c>
    </row>
    <row r="9" ht="15" customHeight="1">
      <c r="A9" s="35" t="inlineStr">
        <is>
          <t>Blue Dolphin</t>
        </is>
      </c>
      <c r="B9" s="35" t="inlineStr">
        <is>
          <t>PD KKD 100/200</t>
        </is>
      </c>
      <c r="C9" s="36" t="inlineStr">
        <is>
          <t>Slab</t>
        </is>
      </c>
      <c r="D9" s="29" t="n">
        <v>2</v>
      </c>
      <c r="E9" s="37" t="n">
        <v>517</v>
      </c>
      <c r="F9" s="38">
        <f>IF($A9="","",SUMIFS('Daily Entry'!$C$7:$C$5003,'Daily Entry'!$B$7:$B$5003,$O9,'Daily Entry'!$A$7:$A$5003,$E$3))</f>
        <v/>
      </c>
      <c r="G9" s="38">
        <f>IF($A9="","",SUMIFS('Daily Entry'!$D$7:$D$5003,'Daily Entry'!$B$7:$B$5003,$O9,'Daily Entry'!$A$7:$A$5003,$E$3))</f>
        <v/>
      </c>
      <c r="H9" s="39">
        <f>IF($A9="","",SUMIFS('Daily Entry'!$C$7:$C$5003,'Daily Entry'!$B$7:$B$5003,$O9))</f>
        <v/>
      </c>
      <c r="I9" s="39">
        <f>IF($A9="","",SUMIFS('Daily Entry'!$D$7:$D$5003,'Daily Entry'!$B$7:$B$5003,$O9))</f>
        <v/>
      </c>
      <c r="J9" s="40">
        <f>IF($A9="","",$E9+$H9-$I9)</f>
        <v/>
      </c>
      <c r="K9" s="41">
        <f>IF(OR($A9="",$D9=""),"",$J9*$D9)</f>
        <v/>
      </c>
      <c r="L9" s="15" t="n">
        <v>7.25</v>
      </c>
      <c r="M9" s="42">
        <f>IF(OR($A9="",$D9="",$L9="",$E$4=""),"",$K9*$L9*$E$4)</f>
        <v/>
      </c>
      <c r="O9" s="131">
        <f>IF($A9="","",$A9&amp;" - "&amp;$B9)</f>
        <v/>
      </c>
      <c r="P9" s="131">
        <f>IF($A9="",0,IF(OR($F9&lt;&gt;0,$G9&lt;&gt;0),1,0))</f>
        <v/>
      </c>
      <c r="Q9" s="131">
        <f>IF($P9=1,SUM($P$8:$P9),"")</f>
        <v/>
      </c>
      <c r="R9" s="131">
        <f>IF($A9="","",$A9&amp;"#"&amp;COUNTIF($A$8:$A9,$A9))</f>
        <v/>
      </c>
      <c r="S9" s="131">
        <f>IF(OR($A9="",$D9=""),0,$E9*$D9)</f>
        <v/>
      </c>
      <c r="T9" s="131">
        <f>IF(OR($A9="",$D9=""),0,$F9*$D9)</f>
        <v/>
      </c>
      <c r="U9" s="131">
        <f>IF(OR($A9="",$D9=""),0,$G9*$D9)</f>
        <v/>
      </c>
      <c r="V9" s="131">
        <f>IF(OR($A9="",$D9=""),0,$H9*$D9)</f>
        <v/>
      </c>
      <c r="W9" s="131">
        <f>IF(OR($A9="",$D9=""),0,$I9*$D9)</f>
        <v/>
      </c>
      <c r="X9" s="131">
        <f>IF(AND($A9&lt;&gt;"",$D9=""),1,0)</f>
        <v/>
      </c>
      <c r="Y9" s="131">
        <f>IF($A9="",0,IF(COUNTIF($O$8:$O$101,$O9)&gt;1,1,0))</f>
        <v/>
      </c>
    </row>
    <row r="10" ht="15" customHeight="1">
      <c r="A10" s="9" t="inlineStr">
        <is>
          <t>Blue Dolphin</t>
        </is>
      </c>
      <c r="B10" s="9" t="inlineStr">
        <is>
          <t>PD PVN 200/300</t>
        </is>
      </c>
      <c r="C10" s="32" t="inlineStr">
        <is>
          <t>Slab</t>
        </is>
      </c>
      <c r="D10" s="29" t="n">
        <v>2</v>
      </c>
      <c r="E10" s="10" t="n">
        <v>2357</v>
      </c>
      <c r="F10" s="11">
        <f>IF($A10="","",SUMIFS('Daily Entry'!$C$7:$C$5003,'Daily Entry'!$B$7:$B$5003,$O10,'Daily Entry'!$A$7:$A$5003,$E$3))</f>
        <v/>
      </c>
      <c r="G10" s="11">
        <f>IF($A10="","",SUMIFS('Daily Entry'!$D$7:$D$5003,'Daily Entry'!$B$7:$B$5003,$O10,'Daily Entry'!$A$7:$A$5003,$E$3))</f>
        <v/>
      </c>
      <c r="H10" s="12">
        <f>IF($A10="","",SUMIFS('Daily Entry'!$C$7:$C$5003,'Daily Entry'!$B$7:$B$5003,$O10))</f>
        <v/>
      </c>
      <c r="I10" s="12">
        <f>IF($A10="","",SUMIFS('Daily Entry'!$D$7:$D$5003,'Daily Entry'!$B$7:$B$5003,$O10))</f>
        <v/>
      </c>
      <c r="J10" s="13">
        <f>IF($A10="","",$E10+$H10-$I10)</f>
        <v/>
      </c>
      <c r="K10" s="14">
        <f>IF(OR($A10="",$D10=""),"",$J10*$D10)</f>
        <v/>
      </c>
      <c r="L10" s="15" t="n">
        <v>6.65</v>
      </c>
      <c r="M10" s="16">
        <f>IF(OR($A10="",$D10="",$L10="",$E$4=""),"",$K10*$L10*$E$4)</f>
        <v/>
      </c>
      <c r="O10" s="131">
        <f>IF($A10="","",$A10&amp;" - "&amp;$B10)</f>
        <v/>
      </c>
      <c r="P10" s="131">
        <f>IF($A10="",0,IF(OR($F10&lt;&gt;0,$G10&lt;&gt;0),1,0))</f>
        <v/>
      </c>
      <c r="Q10" s="131">
        <f>IF($P10=1,SUM($P$8:$P10),"")</f>
        <v/>
      </c>
      <c r="R10" s="131">
        <f>IF($A10="","",$A10&amp;"#"&amp;COUNTIF($A$8:$A10,$A10))</f>
        <v/>
      </c>
      <c r="S10" s="131">
        <f>IF(OR($A10="",$D10=""),0,$E10*$D10)</f>
        <v/>
      </c>
      <c r="T10" s="131">
        <f>IF(OR($A10="",$D10=""),0,$F10*$D10)</f>
        <v/>
      </c>
      <c r="U10" s="131">
        <f>IF(OR($A10="",$D10=""),0,$G10*$D10)</f>
        <v/>
      </c>
      <c r="V10" s="131">
        <f>IF(OR($A10="",$D10=""),0,$H10*$D10)</f>
        <v/>
      </c>
      <c r="W10" s="131">
        <f>IF(OR($A10="",$D10=""),0,$I10*$D10)</f>
        <v/>
      </c>
      <c r="X10" s="131">
        <f>IF(AND($A10&lt;&gt;"",$D10=""),1,0)</f>
        <v/>
      </c>
      <c r="Y10" s="131">
        <f>IF($A10="",0,IF(COUNTIF($O$8:$O$101,$O10)&gt;1,1,0))</f>
        <v/>
      </c>
    </row>
    <row r="11" ht="15" customHeight="1">
      <c r="A11" s="35" t="inlineStr">
        <is>
          <t>Blue Dolphin</t>
        </is>
      </c>
      <c r="B11" s="35" t="inlineStr">
        <is>
          <t>PD KKD 200/300</t>
        </is>
      </c>
      <c r="C11" s="36" t="inlineStr">
        <is>
          <t>Slab</t>
        </is>
      </c>
      <c r="D11" s="29" t="n">
        <v>2</v>
      </c>
      <c r="E11" s="37" t="n">
        <v>0</v>
      </c>
      <c r="F11" s="38">
        <f>IF($A11="","",SUMIFS('Daily Entry'!$C$7:$C$5003,'Daily Entry'!$B$7:$B$5003,$O11,'Daily Entry'!$A$7:$A$5003,$E$3))</f>
        <v/>
      </c>
      <c r="G11" s="38">
        <f>IF($A11="","",SUMIFS('Daily Entry'!$D$7:$D$5003,'Daily Entry'!$B$7:$B$5003,$O11,'Daily Entry'!$A$7:$A$5003,$E$3))</f>
        <v/>
      </c>
      <c r="H11" s="39">
        <f>IF($A11="","",SUMIFS('Daily Entry'!$C$7:$C$5003,'Daily Entry'!$B$7:$B$5003,$O11))</f>
        <v/>
      </c>
      <c r="I11" s="39">
        <f>IF($A11="","",SUMIFS('Daily Entry'!$D$7:$D$5003,'Daily Entry'!$B$7:$B$5003,$O11))</f>
        <v/>
      </c>
      <c r="J11" s="40">
        <f>IF($A11="","",$E11+$H11-$I11)</f>
        <v/>
      </c>
      <c r="K11" s="41">
        <f>IF(OR($A11="",$D11=""),"",$J11*$D11)</f>
        <v/>
      </c>
      <c r="L11" s="15" t="n">
        <v>6.65</v>
      </c>
      <c r="M11" s="42">
        <f>IF(OR($A11="",$D11="",$L11="",$E$4=""),"",$K11*$L11*$E$4)</f>
        <v/>
      </c>
      <c r="O11" s="131">
        <f>IF($A11="","",$A11&amp;" - "&amp;$B11)</f>
        <v/>
      </c>
      <c r="P11" s="131">
        <f>IF($A11="",0,IF(OR($F11&lt;&gt;0,$G11&lt;&gt;0),1,0))</f>
        <v/>
      </c>
      <c r="Q11" s="131">
        <f>IF($P11=1,SUM($P$8:$P11),"")</f>
        <v/>
      </c>
      <c r="R11" s="131">
        <f>IF($A11="","",$A11&amp;"#"&amp;COUNTIF($A$8:$A11,$A11))</f>
        <v/>
      </c>
      <c r="S11" s="131">
        <f>IF(OR($A11="",$D11=""),0,$E11*$D11)</f>
        <v/>
      </c>
      <c r="T11" s="131">
        <f>IF(OR($A11="",$D11=""),0,$F11*$D11)</f>
        <v/>
      </c>
      <c r="U11" s="131">
        <f>IF(OR($A11="",$D11=""),0,$G11*$D11)</f>
        <v/>
      </c>
      <c r="V11" s="131">
        <f>IF(OR($A11="",$D11=""),0,$H11*$D11)</f>
        <v/>
      </c>
      <c r="W11" s="131">
        <f>IF(OR($A11="",$D11=""),0,$I11*$D11)</f>
        <v/>
      </c>
      <c r="X11" s="131">
        <f>IF(AND($A11&lt;&gt;"",$D11=""),1,0)</f>
        <v/>
      </c>
      <c r="Y11" s="131">
        <f>IF($A11="",0,IF(COUNTIF($O$8:$O$101,$O11)&gt;1,1,0))</f>
        <v/>
      </c>
    </row>
    <row r="12" ht="15" customHeight="1">
      <c r="A12" s="9" t="inlineStr">
        <is>
          <t>Blue Dolphin</t>
        </is>
      </c>
      <c r="B12" s="9" t="inlineStr">
        <is>
          <t>PUD PVN 200/300</t>
        </is>
      </c>
      <c r="C12" s="32" t="inlineStr">
        <is>
          <t>Slab</t>
        </is>
      </c>
      <c r="D12" s="29" t="n">
        <v>2</v>
      </c>
      <c r="E12" s="10" t="n">
        <v>2262</v>
      </c>
      <c r="F12" s="11">
        <f>IF($A12="","",SUMIFS('Daily Entry'!$C$7:$C$5003,'Daily Entry'!$B$7:$B$5003,$O12,'Daily Entry'!$A$7:$A$5003,$E$3))</f>
        <v/>
      </c>
      <c r="G12" s="11">
        <f>IF($A12="","",SUMIFS('Daily Entry'!$D$7:$D$5003,'Daily Entry'!$B$7:$B$5003,$O12,'Daily Entry'!$A$7:$A$5003,$E$3))</f>
        <v/>
      </c>
      <c r="H12" s="12">
        <f>IF($A12="","",SUMIFS('Daily Entry'!$C$7:$C$5003,'Daily Entry'!$B$7:$B$5003,$O12))</f>
        <v/>
      </c>
      <c r="I12" s="12">
        <f>IF($A12="","",SUMIFS('Daily Entry'!$D$7:$D$5003,'Daily Entry'!$B$7:$B$5003,$O12))</f>
        <v/>
      </c>
      <c r="J12" s="13">
        <f>IF($A12="","",$E12+$H12-$I12)</f>
        <v/>
      </c>
      <c r="K12" s="14">
        <f>IF(OR($A12="",$D12=""),"",$J12*$D12)</f>
        <v/>
      </c>
      <c r="L12" s="15" t="n">
        <v>6.3</v>
      </c>
      <c r="M12" s="16">
        <f>IF(OR($A12="",$D12="",$L12="",$E$4=""),"",$K12*$L12*$E$4)</f>
        <v/>
      </c>
      <c r="O12" s="131">
        <f>IF($A12="","",$A12&amp;" - "&amp;$B12)</f>
        <v/>
      </c>
      <c r="P12" s="131">
        <f>IF($A12="",0,IF(OR($F12&lt;&gt;0,$G12&lt;&gt;0),1,0))</f>
        <v/>
      </c>
      <c r="Q12" s="131">
        <f>IF($P12=1,SUM($P$8:$P12),"")</f>
        <v/>
      </c>
      <c r="R12" s="131">
        <f>IF($A12="","",$A12&amp;"#"&amp;COUNTIF($A$8:$A12,$A12))</f>
        <v/>
      </c>
      <c r="S12" s="131">
        <f>IF(OR($A12="",$D12=""),0,$E12*$D12)</f>
        <v/>
      </c>
      <c r="T12" s="131">
        <f>IF(OR($A12="",$D12=""),0,$F12*$D12)</f>
        <v/>
      </c>
      <c r="U12" s="131">
        <f>IF(OR($A12="",$D12=""),0,$G12*$D12)</f>
        <v/>
      </c>
      <c r="V12" s="131">
        <f>IF(OR($A12="",$D12=""),0,$H12*$D12)</f>
        <v/>
      </c>
      <c r="W12" s="131">
        <f>IF(OR($A12="",$D12=""),0,$I12*$D12)</f>
        <v/>
      </c>
      <c r="X12" s="131">
        <f>IF(AND($A12&lt;&gt;"",$D12=""),1,0)</f>
        <v/>
      </c>
      <c r="Y12" s="131">
        <f>IF($A12="",0,IF(COUNTIF($O$8:$O$101,$O12)&gt;1,1,0))</f>
        <v/>
      </c>
    </row>
    <row r="13" ht="15" customHeight="1">
      <c r="A13" s="35" t="inlineStr">
        <is>
          <t>Blue Dolphin</t>
        </is>
      </c>
      <c r="B13" s="35" t="inlineStr">
        <is>
          <t>PUD KKD 200/300</t>
        </is>
      </c>
      <c r="C13" s="36" t="inlineStr">
        <is>
          <t>Slab</t>
        </is>
      </c>
      <c r="D13" s="29" t="n">
        <v>2</v>
      </c>
      <c r="E13" s="37" t="n">
        <v>2835</v>
      </c>
      <c r="F13" s="38">
        <f>IF($A13="","",SUMIFS('Daily Entry'!$C$7:$C$5003,'Daily Entry'!$B$7:$B$5003,$O13,'Daily Entry'!$A$7:$A$5003,$E$3))</f>
        <v/>
      </c>
      <c r="G13" s="38">
        <f>IF($A13="","",SUMIFS('Daily Entry'!$D$7:$D$5003,'Daily Entry'!$B$7:$B$5003,$O13,'Daily Entry'!$A$7:$A$5003,$E$3))</f>
        <v/>
      </c>
      <c r="H13" s="39">
        <f>IF($A13="","",SUMIFS('Daily Entry'!$C$7:$C$5003,'Daily Entry'!$B$7:$B$5003,$O13))</f>
        <v/>
      </c>
      <c r="I13" s="39">
        <f>IF($A13="","",SUMIFS('Daily Entry'!$D$7:$D$5003,'Daily Entry'!$B$7:$B$5003,$O13))</f>
        <v/>
      </c>
      <c r="J13" s="40">
        <f>IF($A13="","",$E13+$H13-$I13)</f>
        <v/>
      </c>
      <c r="K13" s="41">
        <f>IF(OR($A13="",$D13=""),"",$J13*$D13)</f>
        <v/>
      </c>
      <c r="L13" s="15" t="n">
        <v>6.3</v>
      </c>
      <c r="M13" s="42">
        <f>IF(OR($A13="",$D13="",$L13="",$E$4=""),"",$K13*$L13*$E$4)</f>
        <v/>
      </c>
      <c r="O13" s="131">
        <f>IF($A13="","",$A13&amp;" - "&amp;$B13)</f>
        <v/>
      </c>
      <c r="P13" s="131">
        <f>IF($A13="",0,IF(OR($F13&lt;&gt;0,$G13&lt;&gt;0),1,0))</f>
        <v/>
      </c>
      <c r="Q13" s="131">
        <f>IF($P13=1,SUM($P$8:$P13),"")</f>
        <v/>
      </c>
      <c r="R13" s="131">
        <f>IF($A13="","",$A13&amp;"#"&amp;COUNTIF($A$8:$A13,$A13))</f>
        <v/>
      </c>
      <c r="S13" s="131">
        <f>IF(OR($A13="",$D13=""),0,$E13*$D13)</f>
        <v/>
      </c>
      <c r="T13" s="131">
        <f>IF(OR($A13="",$D13=""),0,$F13*$D13)</f>
        <v/>
      </c>
      <c r="U13" s="131">
        <f>IF(OR($A13="",$D13=""),0,$G13*$D13)</f>
        <v/>
      </c>
      <c r="V13" s="131">
        <f>IF(OR($A13="",$D13=""),0,$H13*$D13)</f>
        <v/>
      </c>
      <c r="W13" s="131">
        <f>IF(OR($A13="",$D13=""),0,$I13*$D13)</f>
        <v/>
      </c>
      <c r="X13" s="131">
        <f>IF(AND($A13&lt;&gt;"",$D13=""),1,0)</f>
        <v/>
      </c>
      <c r="Y13" s="131">
        <f>IF($A13="",0,IF(COUNTIF($O$8:$O$101,$O13)&gt;1,1,0))</f>
        <v/>
      </c>
    </row>
    <row r="14" ht="15" customHeight="1">
      <c r="A14" s="9" t="inlineStr">
        <is>
          <t>Blue Dolphin</t>
        </is>
      </c>
      <c r="B14" s="9" t="inlineStr">
        <is>
          <t>PUD PVN 300/500</t>
        </is>
      </c>
      <c r="C14" s="32" t="inlineStr">
        <is>
          <t>Slab</t>
        </is>
      </c>
      <c r="D14" s="29" t="n">
        <v>2</v>
      </c>
      <c r="E14" s="10" t="n">
        <v>1673</v>
      </c>
      <c r="F14" s="11">
        <f>IF($A14="","",SUMIFS('Daily Entry'!$C$7:$C$5003,'Daily Entry'!$B$7:$B$5003,$O14,'Daily Entry'!$A$7:$A$5003,$E$3))</f>
        <v/>
      </c>
      <c r="G14" s="11">
        <f>IF($A14="","",SUMIFS('Daily Entry'!$D$7:$D$5003,'Daily Entry'!$B$7:$B$5003,$O14,'Daily Entry'!$A$7:$A$5003,$E$3))</f>
        <v/>
      </c>
      <c r="H14" s="12">
        <f>IF($A14="","",SUMIFS('Daily Entry'!$C$7:$C$5003,'Daily Entry'!$B$7:$B$5003,$O14))</f>
        <v/>
      </c>
      <c r="I14" s="12">
        <f>IF($A14="","",SUMIFS('Daily Entry'!$D$7:$D$5003,'Daily Entry'!$B$7:$B$5003,$O14))</f>
        <v/>
      </c>
      <c r="J14" s="13">
        <f>IF($A14="","",$E14+$H14-$I14)</f>
        <v/>
      </c>
      <c r="K14" s="14">
        <f>IF(OR($A14="",$D14=""),"",$J14*$D14)</f>
        <v/>
      </c>
      <c r="L14" s="15" t="n">
        <v>6.25</v>
      </c>
      <c r="M14" s="16">
        <f>IF(OR($A14="",$D14="",$L14="",$E$4=""),"",$K14*$L14*$E$4)</f>
        <v/>
      </c>
      <c r="O14" s="131">
        <f>IF($A14="","",$A14&amp;" - "&amp;$B14)</f>
        <v/>
      </c>
      <c r="P14" s="131">
        <f>IF($A14="",0,IF(OR($F14&lt;&gt;0,$G14&lt;&gt;0),1,0))</f>
        <v/>
      </c>
      <c r="Q14" s="131">
        <f>IF($P14=1,SUM($P$8:$P14),"")</f>
        <v/>
      </c>
      <c r="R14" s="131">
        <f>IF($A14="","",$A14&amp;"#"&amp;COUNTIF($A$8:$A14,$A14))</f>
        <v/>
      </c>
      <c r="S14" s="131">
        <f>IF(OR($A14="",$D14=""),0,$E14*$D14)</f>
        <v/>
      </c>
      <c r="T14" s="131">
        <f>IF(OR($A14="",$D14=""),0,$F14*$D14)</f>
        <v/>
      </c>
      <c r="U14" s="131">
        <f>IF(OR($A14="",$D14=""),0,$G14*$D14)</f>
        <v/>
      </c>
      <c r="V14" s="131">
        <f>IF(OR($A14="",$D14=""),0,$H14*$D14)</f>
        <v/>
      </c>
      <c r="W14" s="131">
        <f>IF(OR($A14="",$D14=""),0,$I14*$D14)</f>
        <v/>
      </c>
      <c r="X14" s="131">
        <f>IF(AND($A14&lt;&gt;"",$D14=""),1,0)</f>
        <v/>
      </c>
      <c r="Y14" s="131">
        <f>IF($A14="",0,IF(COUNTIF($O$8:$O$101,$O14)&gt;1,1,0))</f>
        <v/>
      </c>
    </row>
    <row r="15" ht="15" customHeight="1">
      <c r="A15" s="35" t="inlineStr">
        <is>
          <t>Blue Dolphin</t>
        </is>
      </c>
      <c r="B15" s="35" t="inlineStr">
        <is>
          <t>PUD KKD 300/500</t>
        </is>
      </c>
      <c r="C15" s="36" t="inlineStr">
        <is>
          <t>Slab</t>
        </is>
      </c>
      <c r="D15" s="29" t="n">
        <v>2</v>
      </c>
      <c r="E15" s="37" t="n">
        <v>7542</v>
      </c>
      <c r="F15" s="38">
        <f>IF($A15="","",SUMIFS('Daily Entry'!$C$7:$C$5003,'Daily Entry'!$B$7:$B$5003,$O15,'Daily Entry'!$A$7:$A$5003,$E$3))</f>
        <v/>
      </c>
      <c r="G15" s="38">
        <f>IF($A15="","",SUMIFS('Daily Entry'!$D$7:$D$5003,'Daily Entry'!$B$7:$B$5003,$O15,'Daily Entry'!$A$7:$A$5003,$E$3))</f>
        <v/>
      </c>
      <c r="H15" s="39">
        <f>IF($A15="","",SUMIFS('Daily Entry'!$C$7:$C$5003,'Daily Entry'!$B$7:$B$5003,$O15))</f>
        <v/>
      </c>
      <c r="I15" s="39">
        <f>IF($A15="","",SUMIFS('Daily Entry'!$D$7:$D$5003,'Daily Entry'!$B$7:$B$5003,$O15))</f>
        <v/>
      </c>
      <c r="J15" s="40">
        <f>IF($A15="","",$E15+$H15-$I15)</f>
        <v/>
      </c>
      <c r="K15" s="41">
        <f>IF(OR($A15="",$D15=""),"",$J15*$D15)</f>
        <v/>
      </c>
      <c r="L15" s="15" t="n">
        <v>6.25</v>
      </c>
      <c r="M15" s="42">
        <f>IF(OR($A15="",$D15="",$L15="",$E$4=""),"",$K15*$L15*$E$4)</f>
        <v/>
      </c>
      <c r="O15" s="131">
        <f>IF($A15="","",$A15&amp;" - "&amp;$B15)</f>
        <v/>
      </c>
      <c r="P15" s="131">
        <f>IF($A15="",0,IF(OR($F15&lt;&gt;0,$G15&lt;&gt;0),1,0))</f>
        <v/>
      </c>
      <c r="Q15" s="131">
        <f>IF($P15=1,SUM($P$8:$P15),"")</f>
        <v/>
      </c>
      <c r="R15" s="131">
        <f>IF($A15="","",$A15&amp;"#"&amp;COUNTIF($A$8:$A15,$A15))</f>
        <v/>
      </c>
      <c r="S15" s="131">
        <f>IF(OR($A15="",$D15=""),0,$E15*$D15)</f>
        <v/>
      </c>
      <c r="T15" s="131">
        <f>IF(OR($A15="",$D15=""),0,$F15*$D15)</f>
        <v/>
      </c>
      <c r="U15" s="131">
        <f>IF(OR($A15="",$D15=""),0,$G15*$D15)</f>
        <v/>
      </c>
      <c r="V15" s="131">
        <f>IF(OR($A15="",$D15=""),0,$H15*$D15)</f>
        <v/>
      </c>
      <c r="W15" s="131">
        <f>IF(OR($A15="",$D15=""),0,$I15*$D15)</f>
        <v/>
      </c>
      <c r="X15" s="131">
        <f>IF(AND($A15&lt;&gt;"",$D15=""),1,0)</f>
        <v/>
      </c>
      <c r="Y15" s="131">
        <f>IF($A15="",0,IF(COUNTIF($O$8:$O$101,$O15)&gt;1,1,0))</f>
        <v/>
      </c>
    </row>
    <row r="16" ht="15" customHeight="1">
      <c r="A16" s="9" t="inlineStr">
        <is>
          <t>Primus Japan</t>
        </is>
      </c>
      <c r="B16" s="9" t="inlineStr">
        <is>
          <t>PD PVN 100/200</t>
        </is>
      </c>
      <c r="C16" s="32" t="inlineStr">
        <is>
          <t>Slab</t>
        </is>
      </c>
      <c r="D16" s="29" t="n">
        <v>2</v>
      </c>
      <c r="E16" s="10" t="n">
        <v>0</v>
      </c>
      <c r="F16" s="11">
        <f>IF($A16="","",SUMIFS('Daily Entry'!$C$7:$C$5003,'Daily Entry'!$B$7:$B$5003,$O16,'Daily Entry'!$A$7:$A$5003,$E$3))</f>
        <v/>
      </c>
      <c r="G16" s="11">
        <f>IF($A16="","",SUMIFS('Daily Entry'!$D$7:$D$5003,'Daily Entry'!$B$7:$B$5003,$O16,'Daily Entry'!$A$7:$A$5003,$E$3))</f>
        <v/>
      </c>
      <c r="H16" s="12">
        <f>IF($A16="","",SUMIFS('Daily Entry'!$C$7:$C$5003,'Daily Entry'!$B$7:$B$5003,$O16))</f>
        <v/>
      </c>
      <c r="I16" s="12">
        <f>IF($A16="","",SUMIFS('Daily Entry'!$D$7:$D$5003,'Daily Entry'!$B$7:$B$5003,$O16))</f>
        <v/>
      </c>
      <c r="J16" s="13">
        <f>IF($A16="","",$E16+$H16-$I16)</f>
        <v/>
      </c>
      <c r="K16" s="14">
        <f>IF(OR($A16="",$D16=""),"",$J16*$D16)</f>
        <v/>
      </c>
      <c r="L16" s="15" t="n">
        <v>7</v>
      </c>
      <c r="M16" s="16">
        <f>IF(OR($A16="",$D16="",$L16="",$E$4=""),"",$K16*$L16*$E$4)</f>
        <v/>
      </c>
      <c r="O16" s="131">
        <f>IF($A16="","",$A16&amp;" - "&amp;$B16)</f>
        <v/>
      </c>
      <c r="P16" s="131">
        <f>IF($A16="",0,IF(OR($F16&lt;&gt;0,$G16&lt;&gt;0),1,0))</f>
        <v/>
      </c>
      <c r="Q16" s="131">
        <f>IF($P16=1,SUM($P$8:$P16),"")</f>
        <v/>
      </c>
      <c r="R16" s="131">
        <f>IF($A16="","",$A16&amp;"#"&amp;COUNTIF($A$8:$A16,$A16))</f>
        <v/>
      </c>
      <c r="S16" s="131">
        <f>IF(OR($A16="",$D16=""),0,$E16*$D16)</f>
        <v/>
      </c>
      <c r="T16" s="131">
        <f>IF(OR($A16="",$D16=""),0,$F16*$D16)</f>
        <v/>
      </c>
      <c r="U16" s="131">
        <f>IF(OR($A16="",$D16=""),0,$G16*$D16)</f>
        <v/>
      </c>
      <c r="V16" s="131">
        <f>IF(OR($A16="",$D16=""),0,$H16*$D16)</f>
        <v/>
      </c>
      <c r="W16" s="131">
        <f>IF(OR($A16="",$D16=""),0,$I16*$D16)</f>
        <v/>
      </c>
      <c r="X16" s="131">
        <f>IF(AND($A16&lt;&gt;"",$D16=""),1,0)</f>
        <v/>
      </c>
      <c r="Y16" s="131">
        <f>IF($A16="",0,IF(COUNTIF($O$8:$O$101,$O16)&gt;1,1,0))</f>
        <v/>
      </c>
    </row>
    <row r="17" ht="15" customHeight="1">
      <c r="A17" s="35" t="inlineStr">
        <is>
          <t>Primus Japan</t>
        </is>
      </c>
      <c r="B17" s="35" t="inlineStr">
        <is>
          <t>PD KKD 100/200</t>
        </is>
      </c>
      <c r="C17" s="36" t="inlineStr">
        <is>
          <t>Slab</t>
        </is>
      </c>
      <c r="D17" s="29" t="n">
        <v>2</v>
      </c>
      <c r="E17" s="37" t="n">
        <v>0</v>
      </c>
      <c r="F17" s="38">
        <f>IF($A17="","",SUMIFS('Daily Entry'!$C$7:$C$5003,'Daily Entry'!$B$7:$B$5003,$O17,'Daily Entry'!$A$7:$A$5003,$E$3))</f>
        <v/>
      </c>
      <c r="G17" s="38">
        <f>IF($A17="","",SUMIFS('Daily Entry'!$D$7:$D$5003,'Daily Entry'!$B$7:$B$5003,$O17,'Daily Entry'!$A$7:$A$5003,$E$3))</f>
        <v/>
      </c>
      <c r="H17" s="39">
        <f>IF($A17="","",SUMIFS('Daily Entry'!$C$7:$C$5003,'Daily Entry'!$B$7:$B$5003,$O17))</f>
        <v/>
      </c>
      <c r="I17" s="39">
        <f>IF($A17="","",SUMIFS('Daily Entry'!$D$7:$D$5003,'Daily Entry'!$B$7:$B$5003,$O17))</f>
        <v/>
      </c>
      <c r="J17" s="40">
        <f>IF($A17="","",$E17+$H17-$I17)</f>
        <v/>
      </c>
      <c r="K17" s="41">
        <f>IF(OR($A17="",$D17=""),"",$J17*$D17)</f>
        <v/>
      </c>
      <c r="L17" s="15" t="n"/>
      <c r="M17" s="42">
        <f>IF(OR($A17="",$D17="",$L17="",$E$4=""),"",$K17*$L17*$E$4)</f>
        <v/>
      </c>
      <c r="O17" s="131">
        <f>IF($A17="","",$A17&amp;" - "&amp;$B17)</f>
        <v/>
      </c>
      <c r="P17" s="131">
        <f>IF($A17="",0,IF(OR($F17&lt;&gt;0,$G17&lt;&gt;0),1,0))</f>
        <v/>
      </c>
      <c r="Q17" s="131">
        <f>IF($P17=1,SUM($P$8:$P17),"")</f>
        <v/>
      </c>
      <c r="R17" s="131">
        <f>IF($A17="","",$A17&amp;"#"&amp;COUNTIF($A$8:$A17,$A17))</f>
        <v/>
      </c>
      <c r="S17" s="131">
        <f>IF(OR($A17="",$D17=""),0,$E17*$D17)</f>
        <v/>
      </c>
      <c r="T17" s="131">
        <f>IF(OR($A17="",$D17=""),0,$F17*$D17)</f>
        <v/>
      </c>
      <c r="U17" s="131">
        <f>IF(OR($A17="",$D17=""),0,$G17*$D17)</f>
        <v/>
      </c>
      <c r="V17" s="131">
        <f>IF(OR($A17="",$D17=""),0,$H17*$D17)</f>
        <v/>
      </c>
      <c r="W17" s="131">
        <f>IF(OR($A17="",$D17=""),0,$I17*$D17)</f>
        <v/>
      </c>
      <c r="X17" s="131">
        <f>IF(AND($A17&lt;&gt;"",$D17=""),1,0)</f>
        <v/>
      </c>
      <c r="Y17" s="131">
        <f>IF($A17="",0,IF(COUNTIF($O$8:$O$101,$O17)&gt;1,1,0))</f>
        <v/>
      </c>
    </row>
    <row r="18" ht="15" customHeight="1">
      <c r="A18" s="9" t="inlineStr">
        <is>
          <t>Primus Japan</t>
        </is>
      </c>
      <c r="B18" s="9" t="inlineStr">
        <is>
          <t>PD PVN 200/300</t>
        </is>
      </c>
      <c r="C18" s="32" t="inlineStr">
        <is>
          <t>Slab</t>
        </is>
      </c>
      <c r="D18" s="29" t="n">
        <v>2</v>
      </c>
      <c r="E18" s="10" t="n">
        <v>0</v>
      </c>
      <c r="F18" s="11">
        <f>IF($A18="","",SUMIFS('Daily Entry'!$C$7:$C$5003,'Daily Entry'!$B$7:$B$5003,$O18,'Daily Entry'!$A$7:$A$5003,$E$3))</f>
        <v/>
      </c>
      <c r="G18" s="11">
        <f>IF($A18="","",SUMIFS('Daily Entry'!$D$7:$D$5003,'Daily Entry'!$B$7:$B$5003,$O18,'Daily Entry'!$A$7:$A$5003,$E$3))</f>
        <v/>
      </c>
      <c r="H18" s="12">
        <f>IF($A18="","",SUMIFS('Daily Entry'!$C$7:$C$5003,'Daily Entry'!$B$7:$B$5003,$O18))</f>
        <v/>
      </c>
      <c r="I18" s="12">
        <f>IF($A18="","",SUMIFS('Daily Entry'!$D$7:$D$5003,'Daily Entry'!$B$7:$B$5003,$O18))</f>
        <v/>
      </c>
      <c r="J18" s="13">
        <f>IF($A18="","",$E18+$H18-$I18)</f>
        <v/>
      </c>
      <c r="K18" s="14">
        <f>IF(OR($A18="",$D18=""),"",$J18*$D18)</f>
        <v/>
      </c>
      <c r="L18" s="15" t="n"/>
      <c r="M18" s="16">
        <f>IF(OR($A18="",$D18="",$L18="",$E$4=""),"",$K18*$L18*$E$4)</f>
        <v/>
      </c>
      <c r="O18" s="131">
        <f>IF($A18="","",$A18&amp;" - "&amp;$B18)</f>
        <v/>
      </c>
      <c r="P18" s="131">
        <f>IF($A18="",0,IF(OR($F18&lt;&gt;0,$G18&lt;&gt;0),1,0))</f>
        <v/>
      </c>
      <c r="Q18" s="131">
        <f>IF($P18=1,SUM($P$8:$P18),"")</f>
        <v/>
      </c>
      <c r="R18" s="131">
        <f>IF($A18="","",$A18&amp;"#"&amp;COUNTIF($A$8:$A18,$A18))</f>
        <v/>
      </c>
      <c r="S18" s="131">
        <f>IF(OR($A18="",$D18=""),0,$E18*$D18)</f>
        <v/>
      </c>
      <c r="T18" s="131">
        <f>IF(OR($A18="",$D18=""),0,$F18*$D18)</f>
        <v/>
      </c>
      <c r="U18" s="131">
        <f>IF(OR($A18="",$D18=""),0,$G18*$D18)</f>
        <v/>
      </c>
      <c r="V18" s="131">
        <f>IF(OR($A18="",$D18=""),0,$H18*$D18)</f>
        <v/>
      </c>
      <c r="W18" s="131">
        <f>IF(OR($A18="",$D18=""),0,$I18*$D18)</f>
        <v/>
      </c>
      <c r="X18" s="131">
        <f>IF(AND($A18&lt;&gt;"",$D18=""),1,0)</f>
        <v/>
      </c>
      <c r="Y18" s="131">
        <f>IF($A18="",0,IF(COUNTIF($O$8:$O$101,$O18)&gt;1,1,0))</f>
        <v/>
      </c>
    </row>
    <row r="19" ht="15" customHeight="1">
      <c r="A19" s="35" t="inlineStr">
        <is>
          <t>Primus Japan</t>
        </is>
      </c>
      <c r="B19" s="35" t="inlineStr">
        <is>
          <t>PD KKD 200/300</t>
        </is>
      </c>
      <c r="C19" s="36" t="inlineStr">
        <is>
          <t>Slab</t>
        </is>
      </c>
      <c r="D19" s="29" t="n">
        <v>2</v>
      </c>
      <c r="E19" s="37" t="n">
        <v>0</v>
      </c>
      <c r="F19" s="38">
        <f>IF($A19="","",SUMIFS('Daily Entry'!$C$7:$C$5003,'Daily Entry'!$B$7:$B$5003,$O19,'Daily Entry'!$A$7:$A$5003,$E$3))</f>
        <v/>
      </c>
      <c r="G19" s="38">
        <f>IF($A19="","",SUMIFS('Daily Entry'!$D$7:$D$5003,'Daily Entry'!$B$7:$B$5003,$O19,'Daily Entry'!$A$7:$A$5003,$E$3))</f>
        <v/>
      </c>
      <c r="H19" s="39">
        <f>IF($A19="","",SUMIFS('Daily Entry'!$C$7:$C$5003,'Daily Entry'!$B$7:$B$5003,$O19))</f>
        <v/>
      </c>
      <c r="I19" s="39">
        <f>IF($A19="","",SUMIFS('Daily Entry'!$D$7:$D$5003,'Daily Entry'!$B$7:$B$5003,$O19))</f>
        <v/>
      </c>
      <c r="J19" s="40">
        <f>IF($A19="","",$E19+$H19-$I19)</f>
        <v/>
      </c>
      <c r="K19" s="41">
        <f>IF(OR($A19="",$D19=""),"",$J19*$D19)</f>
        <v/>
      </c>
      <c r="L19" s="15" t="n"/>
      <c r="M19" s="42">
        <f>IF(OR($A19="",$D19="",$L19="",$E$4=""),"",$K19*$L19*$E$4)</f>
        <v/>
      </c>
      <c r="O19" s="131">
        <f>IF($A19="","",$A19&amp;" - "&amp;$B19)</f>
        <v/>
      </c>
      <c r="P19" s="131">
        <f>IF($A19="",0,IF(OR($F19&lt;&gt;0,$G19&lt;&gt;0),1,0))</f>
        <v/>
      </c>
      <c r="Q19" s="131">
        <f>IF($P19=1,SUM($P$8:$P19),"")</f>
        <v/>
      </c>
      <c r="R19" s="131">
        <f>IF($A19="","",$A19&amp;"#"&amp;COUNTIF($A$8:$A19,$A19))</f>
        <v/>
      </c>
      <c r="S19" s="131">
        <f>IF(OR($A19="",$D19=""),0,$E19*$D19)</f>
        <v/>
      </c>
      <c r="T19" s="131">
        <f>IF(OR($A19="",$D19=""),0,$F19*$D19)</f>
        <v/>
      </c>
      <c r="U19" s="131">
        <f>IF(OR($A19="",$D19=""),0,$G19*$D19)</f>
        <v/>
      </c>
      <c r="V19" s="131">
        <f>IF(OR($A19="",$D19=""),0,$H19*$D19)</f>
        <v/>
      </c>
      <c r="W19" s="131">
        <f>IF(OR($A19="",$D19=""),0,$I19*$D19)</f>
        <v/>
      </c>
      <c r="X19" s="131">
        <f>IF(AND($A19&lt;&gt;"",$D19=""),1,0)</f>
        <v/>
      </c>
      <c r="Y19" s="131">
        <f>IF($A19="",0,IF(COUNTIF($O$8:$O$101,$O19)&gt;1,1,0))</f>
        <v/>
      </c>
    </row>
    <row r="20" ht="15" customHeight="1">
      <c r="A20" s="9" t="inlineStr">
        <is>
          <t>Primus Japan</t>
        </is>
      </c>
      <c r="B20" s="9" t="inlineStr">
        <is>
          <t>PUD KZN 40/60</t>
        </is>
      </c>
      <c r="C20" s="32" t="inlineStr">
        <is>
          <t>Slab</t>
        </is>
      </c>
      <c r="D20" s="29" t="n">
        <v>2</v>
      </c>
      <c r="E20" s="10" t="n">
        <v>64</v>
      </c>
      <c r="F20" s="11">
        <f>IF($A20="","",SUMIFS('Daily Entry'!$C$7:$C$5003,'Daily Entry'!$B$7:$B$5003,$O20,'Daily Entry'!$A$7:$A$5003,$E$3))</f>
        <v/>
      </c>
      <c r="G20" s="11">
        <f>IF($A20="","",SUMIFS('Daily Entry'!$D$7:$D$5003,'Daily Entry'!$B$7:$B$5003,$O20,'Daily Entry'!$A$7:$A$5003,$E$3))</f>
        <v/>
      </c>
      <c r="H20" s="12">
        <f>IF($A20="","",SUMIFS('Daily Entry'!$C$7:$C$5003,'Daily Entry'!$B$7:$B$5003,$O20))</f>
        <v/>
      </c>
      <c r="I20" s="12">
        <f>IF($A20="","",SUMIFS('Daily Entry'!$D$7:$D$5003,'Daily Entry'!$B$7:$B$5003,$O20))</f>
        <v/>
      </c>
      <c r="J20" s="13">
        <f>IF($A20="","",$E20+$H20-$I20)</f>
        <v/>
      </c>
      <c r="K20" s="14">
        <f>IF(OR($A20="",$D20=""),"",$J20*$D20)</f>
        <v/>
      </c>
      <c r="L20" s="15" t="n">
        <v>6.5</v>
      </c>
      <c r="M20" s="16">
        <f>IF(OR($A20="",$D20="",$L20="",$E$4=""),"",$K20*$L20*$E$4)</f>
        <v/>
      </c>
      <c r="O20" s="131">
        <f>IF($A20="","",$A20&amp;" - "&amp;$B20)</f>
        <v/>
      </c>
      <c r="P20" s="131">
        <f>IF($A20="",0,IF(OR($F20&lt;&gt;0,$G20&lt;&gt;0),1,0))</f>
        <v/>
      </c>
      <c r="Q20" s="131">
        <f>IF($P20=1,SUM($P$8:$P20),"")</f>
        <v/>
      </c>
      <c r="R20" s="131">
        <f>IF($A20="","",$A20&amp;"#"&amp;COUNTIF($A$8:$A20,$A20))</f>
        <v/>
      </c>
      <c r="S20" s="131">
        <f>IF(OR($A20="",$D20=""),0,$E20*$D20)</f>
        <v/>
      </c>
      <c r="T20" s="131">
        <f>IF(OR($A20="",$D20=""),0,$F20*$D20)</f>
        <v/>
      </c>
      <c r="U20" s="131">
        <f>IF(OR($A20="",$D20=""),0,$G20*$D20)</f>
        <v/>
      </c>
      <c r="V20" s="131">
        <f>IF(OR($A20="",$D20=""),0,$H20*$D20)</f>
        <v/>
      </c>
      <c r="W20" s="131">
        <f>IF(OR($A20="",$D20=""),0,$I20*$D20)</f>
        <v/>
      </c>
      <c r="X20" s="131">
        <f>IF(AND($A20&lt;&gt;"",$D20=""),1,0)</f>
        <v/>
      </c>
      <c r="Y20" s="131">
        <f>IF($A20="",0,IF(COUNTIF($O$8:$O$101,$O20)&gt;1,1,0))</f>
        <v/>
      </c>
    </row>
    <row r="21" ht="15" customHeight="1">
      <c r="A21" s="35" t="inlineStr">
        <is>
          <t>Primus Japan</t>
        </is>
      </c>
      <c r="B21" s="35" t="inlineStr">
        <is>
          <t>PUD KZN 60/80</t>
        </is>
      </c>
      <c r="C21" s="36" t="inlineStr">
        <is>
          <t>Slab</t>
        </is>
      </c>
      <c r="D21" s="29" t="n">
        <v>2</v>
      </c>
      <c r="E21" s="37" t="n">
        <v>191</v>
      </c>
      <c r="F21" s="38">
        <f>IF($A21="","",SUMIFS('Daily Entry'!$C$7:$C$5003,'Daily Entry'!$B$7:$B$5003,$O21,'Daily Entry'!$A$7:$A$5003,$E$3))</f>
        <v/>
      </c>
      <c r="G21" s="38">
        <f>IF($A21="","",SUMIFS('Daily Entry'!$D$7:$D$5003,'Daily Entry'!$B$7:$B$5003,$O21,'Daily Entry'!$A$7:$A$5003,$E$3))</f>
        <v/>
      </c>
      <c r="H21" s="39">
        <f>IF($A21="","",SUMIFS('Daily Entry'!$C$7:$C$5003,'Daily Entry'!$B$7:$B$5003,$O21))</f>
        <v/>
      </c>
      <c r="I21" s="39">
        <f>IF($A21="","",SUMIFS('Daily Entry'!$D$7:$D$5003,'Daily Entry'!$B$7:$B$5003,$O21))</f>
        <v/>
      </c>
      <c r="J21" s="40">
        <f>IF($A21="","",$E21+$H21-$I21)</f>
        <v/>
      </c>
      <c r="K21" s="41">
        <f>IF(OR($A21="",$D21=""),"",$J21*$D21)</f>
        <v/>
      </c>
      <c r="L21" s="15" t="n">
        <v>6.5</v>
      </c>
      <c r="M21" s="42">
        <f>IF(OR($A21="",$D21="",$L21="",$E$4=""),"",$K21*$L21*$E$4)</f>
        <v/>
      </c>
      <c r="O21" s="131">
        <f>IF($A21="","",$A21&amp;" - "&amp;$B21)</f>
        <v/>
      </c>
      <c r="P21" s="131">
        <f>IF($A21="",0,IF(OR($F21&lt;&gt;0,$G21&lt;&gt;0),1,0))</f>
        <v/>
      </c>
      <c r="Q21" s="131">
        <f>IF($P21=1,SUM($P$8:$P21),"")</f>
        <v/>
      </c>
      <c r="R21" s="131">
        <f>IF($A21="","",$A21&amp;"#"&amp;COUNTIF($A$8:$A21,$A21))</f>
        <v/>
      </c>
      <c r="S21" s="131">
        <f>IF(OR($A21="",$D21=""),0,$E21*$D21)</f>
        <v/>
      </c>
      <c r="T21" s="131">
        <f>IF(OR($A21="",$D21=""),0,$F21*$D21)</f>
        <v/>
      </c>
      <c r="U21" s="131">
        <f>IF(OR($A21="",$D21=""),0,$G21*$D21)</f>
        <v/>
      </c>
      <c r="V21" s="131">
        <f>IF(OR($A21="",$D21=""),0,$H21*$D21)</f>
        <v/>
      </c>
      <c r="W21" s="131">
        <f>IF(OR($A21="",$D21=""),0,$I21*$D21)</f>
        <v/>
      </c>
      <c r="X21" s="131">
        <f>IF(AND($A21&lt;&gt;"",$D21=""),1,0)</f>
        <v/>
      </c>
      <c r="Y21" s="131">
        <f>IF($A21="",0,IF(COUNTIF($O$8:$O$101,$O21)&gt;1,1,0))</f>
        <v/>
      </c>
    </row>
    <row r="22" ht="15" customHeight="1">
      <c r="A22" s="9" t="inlineStr">
        <is>
          <t>Primus Japan</t>
        </is>
      </c>
      <c r="B22" s="9" t="inlineStr">
        <is>
          <t>PUD PVN 80/120</t>
        </is>
      </c>
      <c r="C22" s="32" t="inlineStr">
        <is>
          <t>Slab</t>
        </is>
      </c>
      <c r="D22" s="29" t="n">
        <v>2</v>
      </c>
      <c r="E22" s="10" t="n">
        <v>16849</v>
      </c>
      <c r="F22" s="11">
        <f>IF($A22="","",SUMIFS('Daily Entry'!$C$7:$C$5003,'Daily Entry'!$B$7:$B$5003,$O22,'Daily Entry'!$A$7:$A$5003,$E$3))</f>
        <v/>
      </c>
      <c r="G22" s="11">
        <f>IF($A22="","",SUMIFS('Daily Entry'!$D$7:$D$5003,'Daily Entry'!$B$7:$B$5003,$O22,'Daily Entry'!$A$7:$A$5003,$E$3))</f>
        <v/>
      </c>
      <c r="H22" s="12">
        <f>IF($A22="","",SUMIFS('Daily Entry'!$C$7:$C$5003,'Daily Entry'!$B$7:$B$5003,$O22))</f>
        <v/>
      </c>
      <c r="I22" s="12">
        <f>IF($A22="","",SUMIFS('Daily Entry'!$D$7:$D$5003,'Daily Entry'!$B$7:$B$5003,$O22))</f>
        <v/>
      </c>
      <c r="J22" s="13">
        <f>IF($A22="","",$E22+$H22-$I22)</f>
        <v/>
      </c>
      <c r="K22" s="14">
        <f>IF(OR($A22="",$D22=""),"",$J22*$D22)</f>
        <v/>
      </c>
      <c r="L22" s="15" t="n">
        <v>6.5</v>
      </c>
      <c r="M22" s="16">
        <f>IF(OR($A22="",$D22="",$L22="",$E$4=""),"",$K22*$L22*$E$4)</f>
        <v/>
      </c>
      <c r="O22" s="131">
        <f>IF($A22="","",$A22&amp;" - "&amp;$B22)</f>
        <v/>
      </c>
      <c r="P22" s="131">
        <f>IF($A22="",0,IF(OR($F22&lt;&gt;0,$G22&lt;&gt;0),1,0))</f>
        <v/>
      </c>
      <c r="Q22" s="131">
        <f>IF($P22=1,SUM($P$8:$P22),"")</f>
        <v/>
      </c>
      <c r="R22" s="131">
        <f>IF($A22="","",$A22&amp;"#"&amp;COUNTIF($A$8:$A22,$A22))</f>
        <v/>
      </c>
      <c r="S22" s="131">
        <f>IF(OR($A22="",$D22=""),0,$E22*$D22)</f>
        <v/>
      </c>
      <c r="T22" s="131">
        <f>IF(OR($A22="",$D22=""),0,$F22*$D22)</f>
        <v/>
      </c>
      <c r="U22" s="131">
        <f>IF(OR($A22="",$D22=""),0,$G22*$D22)</f>
        <v/>
      </c>
      <c r="V22" s="131">
        <f>IF(OR($A22="",$D22=""),0,$H22*$D22)</f>
        <v/>
      </c>
      <c r="W22" s="131">
        <f>IF(OR($A22="",$D22=""),0,$I22*$D22)</f>
        <v/>
      </c>
      <c r="X22" s="131">
        <f>IF(AND($A22&lt;&gt;"",$D22=""),1,0)</f>
        <v/>
      </c>
      <c r="Y22" s="131">
        <f>IF($A22="",0,IF(COUNTIF($O$8:$O$101,$O22)&gt;1,1,0))</f>
        <v/>
      </c>
    </row>
    <row r="23" ht="15" customHeight="1">
      <c r="A23" s="35" t="inlineStr">
        <is>
          <t>Primus Japan</t>
        </is>
      </c>
      <c r="B23" s="35" t="inlineStr">
        <is>
          <t>PUD KZN 80/120</t>
        </is>
      </c>
      <c r="C23" s="36" t="inlineStr">
        <is>
          <t>Slab</t>
        </is>
      </c>
      <c r="D23" s="29" t="n">
        <v>2</v>
      </c>
      <c r="E23" s="37" t="n">
        <v>466</v>
      </c>
      <c r="F23" s="38">
        <f>IF($A23="","",SUMIFS('Daily Entry'!$C$7:$C$5003,'Daily Entry'!$B$7:$B$5003,$O23,'Daily Entry'!$A$7:$A$5003,$E$3))</f>
        <v/>
      </c>
      <c r="G23" s="38">
        <f>IF($A23="","",SUMIFS('Daily Entry'!$D$7:$D$5003,'Daily Entry'!$B$7:$B$5003,$O23,'Daily Entry'!$A$7:$A$5003,$E$3))</f>
        <v/>
      </c>
      <c r="H23" s="39">
        <f>IF($A23="","",SUMIFS('Daily Entry'!$C$7:$C$5003,'Daily Entry'!$B$7:$B$5003,$O23))</f>
        <v/>
      </c>
      <c r="I23" s="39">
        <f>IF($A23="","",SUMIFS('Daily Entry'!$D$7:$D$5003,'Daily Entry'!$B$7:$B$5003,$O23))</f>
        <v/>
      </c>
      <c r="J23" s="40">
        <f>IF($A23="","",$E23+$H23-$I23)</f>
        <v/>
      </c>
      <c r="K23" s="41">
        <f>IF(OR($A23="",$D23=""),"",$J23*$D23)</f>
        <v/>
      </c>
      <c r="L23" s="15" t="n">
        <v>6.5</v>
      </c>
      <c r="M23" s="42">
        <f>IF(OR($A23="",$D23="",$L23="",$E$4=""),"",$K23*$L23*$E$4)</f>
        <v/>
      </c>
      <c r="O23" s="131">
        <f>IF($A23="","",$A23&amp;" - "&amp;$B23)</f>
        <v/>
      </c>
      <c r="P23" s="131">
        <f>IF($A23="",0,IF(OR($F23&lt;&gt;0,$G23&lt;&gt;0),1,0))</f>
        <v/>
      </c>
      <c r="Q23" s="131">
        <f>IF($P23=1,SUM($P$8:$P23),"")</f>
        <v/>
      </c>
      <c r="R23" s="131">
        <f>IF($A23="","",$A23&amp;"#"&amp;COUNTIF($A$8:$A23,$A23))</f>
        <v/>
      </c>
      <c r="S23" s="131">
        <f>IF(OR($A23="",$D23=""),0,$E23*$D23)</f>
        <v/>
      </c>
      <c r="T23" s="131">
        <f>IF(OR($A23="",$D23=""),0,$F23*$D23)</f>
        <v/>
      </c>
      <c r="U23" s="131">
        <f>IF(OR($A23="",$D23=""),0,$G23*$D23)</f>
        <v/>
      </c>
      <c r="V23" s="131">
        <f>IF(OR($A23="",$D23=""),0,$H23*$D23)</f>
        <v/>
      </c>
      <c r="W23" s="131">
        <f>IF(OR($A23="",$D23=""),0,$I23*$D23)</f>
        <v/>
      </c>
      <c r="X23" s="131">
        <f>IF(AND($A23&lt;&gt;"",$D23=""),1,0)</f>
        <v/>
      </c>
      <c r="Y23" s="131">
        <f>IF($A23="",0,IF(COUNTIF($O$8:$O$101,$O23)&gt;1,1,0))</f>
        <v/>
      </c>
    </row>
    <row r="24" ht="15" customHeight="1">
      <c r="A24" s="9" t="inlineStr">
        <is>
          <t>Primus Japan</t>
        </is>
      </c>
      <c r="B24" s="9" t="inlineStr">
        <is>
          <t>PUD NRN 80/120</t>
        </is>
      </c>
      <c r="C24" s="32" t="inlineStr">
        <is>
          <t>Slab</t>
        </is>
      </c>
      <c r="D24" s="29" t="n">
        <v>2</v>
      </c>
      <c r="E24" s="10" t="n">
        <v>69</v>
      </c>
      <c r="F24" s="11">
        <f>IF($A24="","",SUMIFS('Daily Entry'!$C$7:$C$5003,'Daily Entry'!$B$7:$B$5003,$O24,'Daily Entry'!$A$7:$A$5003,$E$3))</f>
        <v/>
      </c>
      <c r="G24" s="11">
        <f>IF($A24="","",SUMIFS('Daily Entry'!$D$7:$D$5003,'Daily Entry'!$B$7:$B$5003,$O24,'Daily Entry'!$A$7:$A$5003,$E$3))</f>
        <v/>
      </c>
      <c r="H24" s="12">
        <f>IF($A24="","",SUMIFS('Daily Entry'!$C$7:$C$5003,'Daily Entry'!$B$7:$B$5003,$O24))</f>
        <v/>
      </c>
      <c r="I24" s="12">
        <f>IF($A24="","",SUMIFS('Daily Entry'!$D$7:$D$5003,'Daily Entry'!$B$7:$B$5003,$O24))</f>
        <v/>
      </c>
      <c r="J24" s="13">
        <f>IF($A24="","",$E24+$H24-$I24)</f>
        <v/>
      </c>
      <c r="K24" s="14">
        <f>IF(OR($A24="",$D24=""),"",$J24*$D24)</f>
        <v/>
      </c>
      <c r="L24" s="15" t="n">
        <v>6.5</v>
      </c>
      <c r="M24" s="16">
        <f>IF(OR($A24="",$D24="",$L24="",$E$4=""),"",$K24*$L24*$E$4)</f>
        <v/>
      </c>
      <c r="O24" s="131">
        <f>IF($A24="","",$A24&amp;" - "&amp;$B24)</f>
        <v/>
      </c>
      <c r="P24" s="131">
        <f>IF($A24="",0,IF(OR($F24&lt;&gt;0,$G24&lt;&gt;0),1,0))</f>
        <v/>
      </c>
      <c r="Q24" s="131">
        <f>IF($P24=1,SUM($P$8:$P24),"")</f>
        <v/>
      </c>
      <c r="R24" s="131">
        <f>IF($A24="","",$A24&amp;"#"&amp;COUNTIF($A$8:$A24,$A24))</f>
        <v/>
      </c>
      <c r="S24" s="131">
        <f>IF(OR($A24="",$D24=""),0,$E24*$D24)</f>
        <v/>
      </c>
      <c r="T24" s="131">
        <f>IF(OR($A24="",$D24=""),0,$F24*$D24)</f>
        <v/>
      </c>
      <c r="U24" s="131">
        <f>IF(OR($A24="",$D24=""),0,$G24*$D24)</f>
        <v/>
      </c>
      <c r="V24" s="131">
        <f>IF(OR($A24="",$D24=""),0,$H24*$D24)</f>
        <v/>
      </c>
      <c r="W24" s="131">
        <f>IF(OR($A24="",$D24=""),0,$I24*$D24)</f>
        <v/>
      </c>
      <c r="X24" s="131">
        <f>IF(AND($A24&lt;&gt;"",$D24=""),1,0)</f>
        <v/>
      </c>
      <c r="Y24" s="131">
        <f>IF($A24="",0,IF(COUNTIF($O$8:$O$101,$O24)&gt;1,1,0))</f>
        <v/>
      </c>
    </row>
    <row r="25" ht="15" customHeight="1">
      <c r="A25" s="35" t="inlineStr">
        <is>
          <t>Primus Japan</t>
        </is>
      </c>
      <c r="B25" s="35" t="inlineStr">
        <is>
          <t>PUD PVN 100/200</t>
        </is>
      </c>
      <c r="C25" s="36" t="inlineStr">
        <is>
          <t>Slab</t>
        </is>
      </c>
      <c r="D25" s="29" t="n">
        <v>2</v>
      </c>
      <c r="E25" s="37" t="n">
        <v>2617</v>
      </c>
      <c r="F25" s="38">
        <f>IF($A25="","",SUMIFS('Daily Entry'!$C$7:$C$5003,'Daily Entry'!$B$7:$B$5003,$O25,'Daily Entry'!$A$7:$A$5003,$E$3))</f>
        <v/>
      </c>
      <c r="G25" s="38">
        <f>IF($A25="","",SUMIFS('Daily Entry'!$D$7:$D$5003,'Daily Entry'!$B$7:$B$5003,$O25,'Daily Entry'!$A$7:$A$5003,$E$3))</f>
        <v/>
      </c>
      <c r="H25" s="39">
        <f>IF($A25="","",SUMIFS('Daily Entry'!$C$7:$C$5003,'Daily Entry'!$B$7:$B$5003,$O25))</f>
        <v/>
      </c>
      <c r="I25" s="39">
        <f>IF($A25="","",SUMIFS('Daily Entry'!$D$7:$D$5003,'Daily Entry'!$B$7:$B$5003,$O25))</f>
        <v/>
      </c>
      <c r="J25" s="40">
        <f>IF($A25="","",$E25+$H25-$I25)</f>
        <v/>
      </c>
      <c r="K25" s="41">
        <f>IF(OR($A25="",$D25=""),"",$J25*$D25)</f>
        <v/>
      </c>
      <c r="L25" s="15" t="n">
        <v>6.5</v>
      </c>
      <c r="M25" s="42">
        <f>IF(OR($A25="",$D25="",$L25="",$E$4=""),"",$K25*$L25*$E$4)</f>
        <v/>
      </c>
      <c r="O25" s="131">
        <f>IF($A25="","",$A25&amp;" - "&amp;$B25)</f>
        <v/>
      </c>
      <c r="P25" s="131">
        <f>IF($A25="",0,IF(OR($F25&lt;&gt;0,$G25&lt;&gt;0),1,0))</f>
        <v/>
      </c>
      <c r="Q25" s="131">
        <f>IF($P25=1,SUM($P$8:$P25),"")</f>
        <v/>
      </c>
      <c r="R25" s="131">
        <f>IF($A25="","",$A25&amp;"#"&amp;COUNTIF($A$8:$A25,$A25))</f>
        <v/>
      </c>
      <c r="S25" s="131">
        <f>IF(OR($A25="",$D25=""),0,$E25*$D25)</f>
        <v/>
      </c>
      <c r="T25" s="131">
        <f>IF(OR($A25="",$D25=""),0,$F25*$D25)</f>
        <v/>
      </c>
      <c r="U25" s="131">
        <f>IF(OR($A25="",$D25=""),0,$G25*$D25)</f>
        <v/>
      </c>
      <c r="V25" s="131">
        <f>IF(OR($A25="",$D25=""),0,$H25*$D25)</f>
        <v/>
      </c>
      <c r="W25" s="131">
        <f>IF(OR($A25="",$D25=""),0,$I25*$D25)</f>
        <v/>
      </c>
      <c r="X25" s="131">
        <f>IF(AND($A25&lt;&gt;"",$D25=""),1,0)</f>
        <v/>
      </c>
      <c r="Y25" s="131">
        <f>IF($A25="",0,IF(COUNTIF($O$8:$O$101,$O25)&gt;1,1,0))</f>
        <v/>
      </c>
    </row>
    <row r="26" ht="15" customHeight="1">
      <c r="A26" s="9" t="inlineStr">
        <is>
          <t>Primus Japan</t>
        </is>
      </c>
      <c r="B26" s="9" t="inlineStr">
        <is>
          <t>PUD KKD 100/200</t>
        </is>
      </c>
      <c r="C26" s="32" t="inlineStr">
        <is>
          <t>Slab</t>
        </is>
      </c>
      <c r="D26" s="29" t="n">
        <v>2</v>
      </c>
      <c r="E26" s="10" t="n">
        <v>0</v>
      </c>
      <c r="F26" s="11">
        <f>IF($A26="","",SUMIFS('Daily Entry'!$C$7:$C$5003,'Daily Entry'!$B$7:$B$5003,$O26,'Daily Entry'!$A$7:$A$5003,$E$3))</f>
        <v/>
      </c>
      <c r="G26" s="11">
        <f>IF($A26="","",SUMIFS('Daily Entry'!$D$7:$D$5003,'Daily Entry'!$B$7:$B$5003,$O26,'Daily Entry'!$A$7:$A$5003,$E$3))</f>
        <v/>
      </c>
      <c r="H26" s="12">
        <f>IF($A26="","",SUMIFS('Daily Entry'!$C$7:$C$5003,'Daily Entry'!$B$7:$B$5003,$O26))</f>
        <v/>
      </c>
      <c r="I26" s="12">
        <f>IF($A26="","",SUMIFS('Daily Entry'!$D$7:$D$5003,'Daily Entry'!$B$7:$B$5003,$O26))</f>
        <v/>
      </c>
      <c r="J26" s="13">
        <f>IF($A26="","",$E26+$H26-$I26)</f>
        <v/>
      </c>
      <c r="K26" s="14">
        <f>IF(OR($A26="",$D26=""),"",$J26*$D26)</f>
        <v/>
      </c>
      <c r="L26" s="15" t="n"/>
      <c r="M26" s="16">
        <f>IF(OR($A26="",$D26="",$L26="",$E$4=""),"",$K26*$L26*$E$4)</f>
        <v/>
      </c>
      <c r="O26" s="131">
        <f>IF($A26="","",$A26&amp;" - "&amp;$B26)</f>
        <v/>
      </c>
      <c r="P26" s="131">
        <f>IF($A26="",0,IF(OR($F26&lt;&gt;0,$G26&lt;&gt;0),1,0))</f>
        <v/>
      </c>
      <c r="Q26" s="131">
        <f>IF($P26=1,SUM($P$8:$P26),"")</f>
        <v/>
      </c>
      <c r="R26" s="131">
        <f>IF($A26="","",$A26&amp;"#"&amp;COUNTIF($A$8:$A26,$A26))</f>
        <v/>
      </c>
      <c r="S26" s="131">
        <f>IF(OR($A26="",$D26=""),0,$E26*$D26)</f>
        <v/>
      </c>
      <c r="T26" s="131">
        <f>IF(OR($A26="",$D26=""),0,$F26*$D26)</f>
        <v/>
      </c>
      <c r="U26" s="131">
        <f>IF(OR($A26="",$D26=""),0,$G26*$D26)</f>
        <v/>
      </c>
      <c r="V26" s="131">
        <f>IF(OR($A26="",$D26=""),0,$H26*$D26)</f>
        <v/>
      </c>
      <c r="W26" s="131">
        <f>IF(OR($A26="",$D26=""),0,$I26*$D26)</f>
        <v/>
      </c>
      <c r="X26" s="131">
        <f>IF(AND($A26&lt;&gt;"",$D26=""),1,0)</f>
        <v/>
      </c>
      <c r="Y26" s="131">
        <f>IF($A26="",0,IF(COUNTIF($O$8:$O$101,$O26)&gt;1,1,0))</f>
        <v/>
      </c>
    </row>
    <row r="27" ht="15" customHeight="1">
      <c r="A27" s="35" t="inlineStr">
        <is>
          <t>Primus Japan</t>
        </is>
      </c>
      <c r="B27" s="35" t="inlineStr">
        <is>
          <t>PUD KZN 100/200</t>
        </is>
      </c>
      <c r="C27" s="36" t="inlineStr">
        <is>
          <t>Slab</t>
        </is>
      </c>
      <c r="D27" s="29" t="n">
        <v>2</v>
      </c>
      <c r="E27" s="37" t="n">
        <v>4209</v>
      </c>
      <c r="F27" s="38">
        <f>IF($A27="","",SUMIFS('Daily Entry'!$C$7:$C$5003,'Daily Entry'!$B$7:$B$5003,$O27,'Daily Entry'!$A$7:$A$5003,$E$3))</f>
        <v/>
      </c>
      <c r="G27" s="38">
        <f>IF($A27="","",SUMIFS('Daily Entry'!$D$7:$D$5003,'Daily Entry'!$B$7:$B$5003,$O27,'Daily Entry'!$A$7:$A$5003,$E$3))</f>
        <v/>
      </c>
      <c r="H27" s="39">
        <f>IF($A27="","",SUMIFS('Daily Entry'!$C$7:$C$5003,'Daily Entry'!$B$7:$B$5003,$O27))</f>
        <v/>
      </c>
      <c r="I27" s="39">
        <f>IF($A27="","",SUMIFS('Daily Entry'!$D$7:$D$5003,'Daily Entry'!$B$7:$B$5003,$O27))</f>
        <v/>
      </c>
      <c r="J27" s="40">
        <f>IF($A27="","",$E27+$H27-$I27)</f>
        <v/>
      </c>
      <c r="K27" s="41">
        <f>IF(OR($A27="",$D27=""),"",$J27*$D27)</f>
        <v/>
      </c>
      <c r="L27" s="15" t="n">
        <v>5.5</v>
      </c>
      <c r="M27" s="42">
        <f>IF(OR($A27="",$D27="",$L27="",$E$4=""),"",$K27*$L27*$E$4)</f>
        <v/>
      </c>
      <c r="O27" s="131">
        <f>IF($A27="","",$A27&amp;" - "&amp;$B27)</f>
        <v/>
      </c>
      <c r="P27" s="131">
        <f>IF($A27="",0,IF(OR($F27&lt;&gt;0,$G27&lt;&gt;0),1,0))</f>
        <v/>
      </c>
      <c r="Q27" s="131">
        <f>IF($P27=1,SUM($P$8:$P27),"")</f>
        <v/>
      </c>
      <c r="R27" s="131">
        <f>IF($A27="","",$A27&amp;"#"&amp;COUNTIF($A$8:$A27,$A27))</f>
        <v/>
      </c>
      <c r="S27" s="131">
        <f>IF(OR($A27="",$D27=""),0,$E27*$D27)</f>
        <v/>
      </c>
      <c r="T27" s="131">
        <f>IF(OR($A27="",$D27=""),0,$F27*$D27)</f>
        <v/>
      </c>
      <c r="U27" s="131">
        <f>IF(OR($A27="",$D27=""),0,$G27*$D27)</f>
        <v/>
      </c>
      <c r="V27" s="131">
        <f>IF(OR($A27="",$D27=""),0,$H27*$D27)</f>
        <v/>
      </c>
      <c r="W27" s="131">
        <f>IF(OR($A27="",$D27=""),0,$I27*$D27)</f>
        <v/>
      </c>
      <c r="X27" s="131">
        <f>IF(AND($A27&lt;&gt;"",$D27=""),1,0)</f>
        <v/>
      </c>
      <c r="Y27" s="131">
        <f>IF($A27="",0,IF(COUNTIF($O$8:$O$101,$O27)&gt;1,1,0))</f>
        <v/>
      </c>
    </row>
    <row r="28" ht="15" customHeight="1">
      <c r="A28" s="9" t="inlineStr">
        <is>
          <t>Primus Japan</t>
        </is>
      </c>
      <c r="B28" s="9" t="inlineStr">
        <is>
          <t>PUD NRN 100/200</t>
        </is>
      </c>
      <c r="C28" s="32" t="inlineStr">
        <is>
          <t>Slab</t>
        </is>
      </c>
      <c r="D28" s="29" t="n">
        <v>2</v>
      </c>
      <c r="E28" s="10" t="n">
        <v>13</v>
      </c>
      <c r="F28" s="11">
        <f>IF($A28="","",SUMIFS('Daily Entry'!$C$7:$C$5003,'Daily Entry'!$B$7:$B$5003,$O28,'Daily Entry'!$A$7:$A$5003,$E$3))</f>
        <v/>
      </c>
      <c r="G28" s="11">
        <f>IF($A28="","",SUMIFS('Daily Entry'!$D$7:$D$5003,'Daily Entry'!$B$7:$B$5003,$O28,'Daily Entry'!$A$7:$A$5003,$E$3))</f>
        <v/>
      </c>
      <c r="H28" s="12">
        <f>IF($A28="","",SUMIFS('Daily Entry'!$C$7:$C$5003,'Daily Entry'!$B$7:$B$5003,$O28))</f>
        <v/>
      </c>
      <c r="I28" s="12">
        <f>IF($A28="","",SUMIFS('Daily Entry'!$D$7:$D$5003,'Daily Entry'!$B$7:$B$5003,$O28))</f>
        <v/>
      </c>
      <c r="J28" s="13">
        <f>IF($A28="","",$E28+$H28-$I28)</f>
        <v/>
      </c>
      <c r="K28" s="14">
        <f>IF(OR($A28="",$D28=""),"",$J28*$D28)</f>
        <v/>
      </c>
      <c r="L28" s="15" t="n">
        <v>5.5</v>
      </c>
      <c r="M28" s="16">
        <f>IF(OR($A28="",$D28="",$L28="",$E$4=""),"",$K28*$L28*$E$4)</f>
        <v/>
      </c>
      <c r="O28" s="131">
        <f>IF($A28="","",$A28&amp;" - "&amp;$B28)</f>
        <v/>
      </c>
      <c r="P28" s="131">
        <f>IF($A28="",0,IF(OR($F28&lt;&gt;0,$G28&lt;&gt;0),1,0))</f>
        <v/>
      </c>
      <c r="Q28" s="131">
        <f>IF($P28=1,SUM($P$8:$P28),"")</f>
        <v/>
      </c>
      <c r="R28" s="131">
        <f>IF($A28="","",$A28&amp;"#"&amp;COUNTIF($A$8:$A28,$A28))</f>
        <v/>
      </c>
      <c r="S28" s="131">
        <f>IF(OR($A28="",$D28=""),0,$E28*$D28)</f>
        <v/>
      </c>
      <c r="T28" s="131">
        <f>IF(OR($A28="",$D28=""),0,$F28*$D28)</f>
        <v/>
      </c>
      <c r="U28" s="131">
        <f>IF(OR($A28="",$D28=""),0,$G28*$D28)</f>
        <v/>
      </c>
      <c r="V28" s="131">
        <f>IF(OR($A28="",$D28=""),0,$H28*$D28)</f>
        <v/>
      </c>
      <c r="W28" s="131">
        <f>IF(OR($A28="",$D28=""),0,$I28*$D28)</f>
        <v/>
      </c>
      <c r="X28" s="131">
        <f>IF(AND($A28&lt;&gt;"",$D28=""),1,0)</f>
        <v/>
      </c>
      <c r="Y28" s="131">
        <f>IF($A28="",0,IF(COUNTIF($O$8:$O$101,$O28)&gt;1,1,0))</f>
        <v/>
      </c>
    </row>
    <row r="29" ht="15" customHeight="1">
      <c r="A29" s="126" t="inlineStr">
        <is>
          <t>Primus Japan</t>
        </is>
      </c>
      <c r="B29" s="126" t="inlineStr">
        <is>
          <t>PUD PVN 200/300</t>
        </is>
      </c>
      <c r="C29" s="36" t="inlineStr">
        <is>
          <t>Slab</t>
        </is>
      </c>
      <c r="D29" s="29" t="n">
        <v>2</v>
      </c>
      <c r="E29" s="37" t="n">
        <v>0</v>
      </c>
      <c r="F29" s="38">
        <f>IF($A29="","",SUMIFS('Daily Entry'!$C$7:$C$5003,'Daily Entry'!$B$7:$B$5003,$O29,'Daily Entry'!$A$7:$A$5003,$E$3))</f>
        <v/>
      </c>
      <c r="G29" s="38">
        <f>IF($A29="","",SUMIFS('Daily Entry'!$D$7:$D$5003,'Daily Entry'!$B$7:$B$5003,$O29,'Daily Entry'!$A$7:$A$5003,$E$3))</f>
        <v/>
      </c>
      <c r="H29" s="39">
        <f>IF($A29="","",SUMIFS('Daily Entry'!$C$7:$C$5003,'Daily Entry'!$B$7:$B$5003,$O29))</f>
        <v/>
      </c>
      <c r="I29" s="39">
        <f>IF($A29="","",SUMIFS('Daily Entry'!$D$7:$D$5003,'Daily Entry'!$B$7:$B$5003,$O29))</f>
        <v/>
      </c>
      <c r="J29" s="40">
        <f>IF($A29="","",$E29+$H29-$I29)</f>
        <v/>
      </c>
      <c r="K29" s="41">
        <f>IF(OR($A29="",$D29=""),"",$J29*$D29)</f>
        <v/>
      </c>
      <c r="L29" s="15" t="n">
        <v>6.15</v>
      </c>
      <c r="M29" s="42">
        <f>IF(OR($A29="",$D29="",$L29="",$E$4=""),"",$K29*$L29*$E$4)</f>
        <v/>
      </c>
      <c r="O29" s="131">
        <f>IF($A29="","",$A29&amp;" - "&amp;$B29)</f>
        <v/>
      </c>
      <c r="P29" s="131">
        <f>IF($A29="",0,IF(OR($F29&lt;&gt;0,$G29&lt;&gt;0),1,0))</f>
        <v/>
      </c>
      <c r="Q29" s="131">
        <f>IF($P29=1,SUM($P$8:$P29),"")</f>
        <v/>
      </c>
      <c r="R29" s="131">
        <f>IF($A29="","",$A29&amp;"#"&amp;COUNTIF($A$8:$A29,$A29))</f>
        <v/>
      </c>
      <c r="S29" s="131">
        <f>IF(OR($A29="",$D29=""),0,$E29*$D29)</f>
        <v/>
      </c>
      <c r="T29" s="131">
        <f>IF(OR($A29="",$D29=""),0,$F29*$D29)</f>
        <v/>
      </c>
      <c r="U29" s="131">
        <f>IF(OR($A29="",$D29=""),0,$G29*$D29)</f>
        <v/>
      </c>
      <c r="V29" s="131">
        <f>IF(OR($A29="",$D29=""),0,$H29*$D29)</f>
        <v/>
      </c>
      <c r="W29" s="131">
        <f>IF(OR($A29="",$D29=""),0,$I29*$D29)</f>
        <v/>
      </c>
      <c r="X29" s="131">
        <f>IF(AND($A29&lt;&gt;"",$D29=""),1,0)</f>
        <v/>
      </c>
      <c r="Y29" s="131">
        <f>IF($A29="",0,IF(COUNTIF($O$8:$O$101,$O29)&gt;1,1,0))</f>
        <v/>
      </c>
    </row>
    <row r="30" ht="15" customHeight="1">
      <c r="A30" s="9" t="inlineStr">
        <is>
          <t>Primus Japan</t>
        </is>
      </c>
      <c r="B30" s="9" t="inlineStr">
        <is>
          <t>PUD KKD 200/300</t>
        </is>
      </c>
      <c r="C30" s="32" t="inlineStr">
        <is>
          <t>Slab</t>
        </is>
      </c>
      <c r="D30" s="29" t="n">
        <v>2</v>
      </c>
      <c r="E30" s="10" t="n">
        <v>2757</v>
      </c>
      <c r="F30" s="11">
        <f>IF($A30="","",SUMIFS('Daily Entry'!$C$7:$C$5003,'Daily Entry'!$B$7:$B$5003,$O30,'Daily Entry'!$A$7:$A$5003,$E$3))</f>
        <v/>
      </c>
      <c r="G30" s="11">
        <f>IF($A30="","",SUMIFS('Daily Entry'!$D$7:$D$5003,'Daily Entry'!$B$7:$B$5003,$O30,'Daily Entry'!$A$7:$A$5003,$E$3))</f>
        <v/>
      </c>
      <c r="H30" s="12">
        <f>IF($A30="","",SUMIFS('Daily Entry'!$C$7:$C$5003,'Daily Entry'!$B$7:$B$5003,$O30))</f>
        <v/>
      </c>
      <c r="I30" s="12">
        <f>IF($A30="","",SUMIFS('Daily Entry'!$D$7:$D$5003,'Daily Entry'!$B$7:$B$5003,$O30))</f>
        <v/>
      </c>
      <c r="J30" s="13">
        <f>IF($A30="","",$E30+$H30-$I30)</f>
        <v/>
      </c>
      <c r="K30" s="14">
        <f>IF(OR($A30="",$D30=""),"",$J30*$D30)</f>
        <v/>
      </c>
      <c r="L30" s="15" t="n">
        <v>6.15</v>
      </c>
      <c r="M30" s="16">
        <f>IF(OR($A30="",$D30="",$L30="",$E$4=""),"",$K30*$L30*$E$4)</f>
        <v/>
      </c>
      <c r="O30" s="131">
        <f>IF($A30="","",$A30&amp;" - "&amp;$B30)</f>
        <v/>
      </c>
      <c r="P30" s="131">
        <f>IF($A30="",0,IF(OR($F30&lt;&gt;0,$G30&lt;&gt;0),1,0))</f>
        <v/>
      </c>
      <c r="Q30" s="131">
        <f>IF($P30=1,SUM($P$8:$P30),"")</f>
        <v/>
      </c>
      <c r="R30" s="131">
        <f>IF($A30="","",$A30&amp;"#"&amp;COUNTIF($A$8:$A30,$A30))</f>
        <v/>
      </c>
      <c r="S30" s="131">
        <f>IF(OR($A30="",$D30=""),0,$E30*$D30)</f>
        <v/>
      </c>
      <c r="T30" s="131">
        <f>IF(OR($A30="",$D30=""),0,$F30*$D30)</f>
        <v/>
      </c>
      <c r="U30" s="131">
        <f>IF(OR($A30="",$D30=""),0,$G30*$D30)</f>
        <v/>
      </c>
      <c r="V30" s="131">
        <f>IF(OR($A30="",$D30=""),0,$H30*$D30)</f>
        <v/>
      </c>
      <c r="W30" s="131">
        <f>IF(OR($A30="",$D30=""),0,$I30*$D30)</f>
        <v/>
      </c>
      <c r="X30" s="131">
        <f>IF(AND($A30&lt;&gt;"",$D30=""),1,0)</f>
        <v/>
      </c>
      <c r="Y30" s="131">
        <f>IF($A30="",0,IF(COUNTIF($O$8:$O$101,$O30)&gt;1,1,0))</f>
        <v/>
      </c>
    </row>
    <row r="31" ht="15" customHeight="1">
      <c r="A31" s="35" t="inlineStr">
        <is>
          <t>Primus Japan</t>
        </is>
      </c>
      <c r="B31" s="35" t="inlineStr">
        <is>
          <t>PUD KZN 200/300</t>
        </is>
      </c>
      <c r="C31" s="36" t="inlineStr">
        <is>
          <t>Slab</t>
        </is>
      </c>
      <c r="D31" s="29" t="n">
        <v>2</v>
      </c>
      <c r="E31" s="37" t="n">
        <v>1080</v>
      </c>
      <c r="F31" s="38">
        <f>IF($A31="","",SUMIFS('Daily Entry'!$C$7:$C$5003,'Daily Entry'!$B$7:$B$5003,$O31,'Daily Entry'!$A$7:$A$5003,$E$3))</f>
        <v/>
      </c>
      <c r="G31" s="38">
        <f>IF($A31="","",SUMIFS('Daily Entry'!$D$7:$D$5003,'Daily Entry'!$B$7:$B$5003,$O31,'Daily Entry'!$A$7:$A$5003,$E$3))</f>
        <v/>
      </c>
      <c r="H31" s="39">
        <f>IF($A31="","",SUMIFS('Daily Entry'!$C$7:$C$5003,'Daily Entry'!$B$7:$B$5003,$O31))</f>
        <v/>
      </c>
      <c r="I31" s="39">
        <f>IF($A31="","",SUMIFS('Daily Entry'!$D$7:$D$5003,'Daily Entry'!$B$7:$B$5003,$O31))</f>
        <v/>
      </c>
      <c r="J31" s="40">
        <f>IF($A31="","",$E31+$H31-$I31)</f>
        <v/>
      </c>
      <c r="K31" s="41">
        <f>IF(OR($A31="",$D31=""),"",$J31*$D31)</f>
        <v/>
      </c>
      <c r="L31" s="15" t="n">
        <v>5</v>
      </c>
      <c r="M31" s="42">
        <f>IF(OR($A31="",$D31="",$L31="",$E$4=""),"",$K31*$L31*$E$4)</f>
        <v/>
      </c>
      <c r="O31" s="131">
        <f>IF($A31="","",$A31&amp;" - "&amp;$B31)</f>
        <v/>
      </c>
      <c r="P31" s="131">
        <f>IF($A31="",0,IF(OR($F31&lt;&gt;0,$G31&lt;&gt;0),1,0))</f>
        <v/>
      </c>
      <c r="Q31" s="131">
        <f>IF($P31=1,SUM($P$8:$P31),"")</f>
        <v/>
      </c>
      <c r="R31" s="131">
        <f>IF($A31="","",$A31&amp;"#"&amp;COUNTIF($A$8:$A31,$A31))</f>
        <v/>
      </c>
      <c r="S31" s="131">
        <f>IF(OR($A31="",$D31=""),0,$E31*$D31)</f>
        <v/>
      </c>
      <c r="T31" s="131">
        <f>IF(OR($A31="",$D31=""),0,$F31*$D31)</f>
        <v/>
      </c>
      <c r="U31" s="131">
        <f>IF(OR($A31="",$D31=""),0,$G31*$D31)</f>
        <v/>
      </c>
      <c r="V31" s="131">
        <f>IF(OR($A31="",$D31=""),0,$H31*$D31)</f>
        <v/>
      </c>
      <c r="W31" s="131">
        <f>IF(OR($A31="",$D31=""),0,$I31*$D31)</f>
        <v/>
      </c>
      <c r="X31" s="131">
        <f>IF(AND($A31&lt;&gt;"",$D31=""),1,0)</f>
        <v/>
      </c>
      <c r="Y31" s="131">
        <f>IF($A31="",0,IF(COUNTIF($O$8:$O$101,$O31)&gt;1,1,0))</f>
        <v/>
      </c>
    </row>
    <row r="32" ht="15" customHeight="1">
      <c r="A32" s="9" t="inlineStr">
        <is>
          <t>Primus Japan</t>
        </is>
      </c>
      <c r="B32" s="9" t="inlineStr">
        <is>
          <t>PUD NRN 200/300</t>
        </is>
      </c>
      <c r="C32" s="32" t="inlineStr">
        <is>
          <t>Slab</t>
        </is>
      </c>
      <c r="D32" s="29" t="n">
        <v>2</v>
      </c>
      <c r="E32" s="10" t="n">
        <v>0</v>
      </c>
      <c r="F32" s="11">
        <f>IF($A32="","",SUMIFS('Daily Entry'!$C$7:$C$5003,'Daily Entry'!$B$7:$B$5003,$O32,'Daily Entry'!$A$7:$A$5003,$E$3))</f>
        <v/>
      </c>
      <c r="G32" s="11">
        <f>IF($A32="","",SUMIFS('Daily Entry'!$D$7:$D$5003,'Daily Entry'!$B$7:$B$5003,$O32,'Daily Entry'!$A$7:$A$5003,$E$3))</f>
        <v/>
      </c>
      <c r="H32" s="12">
        <f>IF($A32="","",SUMIFS('Daily Entry'!$C$7:$C$5003,'Daily Entry'!$B$7:$B$5003,$O32))</f>
        <v/>
      </c>
      <c r="I32" s="12">
        <f>IF($A32="","",SUMIFS('Daily Entry'!$D$7:$D$5003,'Daily Entry'!$B$7:$B$5003,$O32))</f>
        <v/>
      </c>
      <c r="J32" s="13">
        <f>IF($A32="","",$E32+$H32-$I32)</f>
        <v/>
      </c>
      <c r="K32" s="14">
        <f>IF(OR($A32="",$D32=""),"",$J32*$D32)</f>
        <v/>
      </c>
      <c r="L32" s="15" t="n">
        <v>5</v>
      </c>
      <c r="M32" s="16">
        <f>IF(OR($A32="",$D32="",$L32="",$E$4=""),"",$K32*$L32*$E$4)</f>
        <v/>
      </c>
      <c r="O32" s="131">
        <f>IF($A32="","",$A32&amp;" - "&amp;$B32)</f>
        <v/>
      </c>
      <c r="P32" s="131">
        <f>IF($A32="",0,IF(OR($F32&lt;&gt;0,$G32&lt;&gt;0),1,0))</f>
        <v/>
      </c>
      <c r="Q32" s="131">
        <f>IF($P32=1,SUM($P$8:$P32),"")</f>
        <v/>
      </c>
      <c r="R32" s="131">
        <f>IF($A32="","",$A32&amp;"#"&amp;COUNTIF($A$8:$A32,$A32))</f>
        <v/>
      </c>
      <c r="S32" s="131">
        <f>IF(OR($A32="",$D32=""),0,$E32*$D32)</f>
        <v/>
      </c>
      <c r="T32" s="131">
        <f>IF(OR($A32="",$D32=""),0,$F32*$D32)</f>
        <v/>
      </c>
      <c r="U32" s="131">
        <f>IF(OR($A32="",$D32=""),0,$G32*$D32)</f>
        <v/>
      </c>
      <c r="V32" s="131">
        <f>IF(OR($A32="",$D32=""),0,$H32*$D32)</f>
        <v/>
      </c>
      <c r="W32" s="131">
        <f>IF(OR($A32="",$D32=""),0,$I32*$D32)</f>
        <v/>
      </c>
      <c r="X32" s="131">
        <f>IF(AND($A32&lt;&gt;"",$D32=""),1,0)</f>
        <v/>
      </c>
      <c r="Y32" s="131">
        <f>IF($A32="",0,IF(COUNTIF($O$8:$O$101,$O32)&gt;1,1,0))</f>
        <v/>
      </c>
    </row>
    <row r="33" ht="15" customHeight="1">
      <c r="A33" s="35" t="inlineStr">
        <is>
          <t>Primus Japan</t>
        </is>
      </c>
      <c r="B33" s="35" t="inlineStr">
        <is>
          <t>PUD PVN 300/500</t>
        </is>
      </c>
      <c r="C33" s="36" t="inlineStr">
        <is>
          <t>Slab</t>
        </is>
      </c>
      <c r="D33" s="29" t="n">
        <v>2</v>
      </c>
      <c r="E33" s="37" t="n">
        <v>421</v>
      </c>
      <c r="F33" s="38">
        <f>IF($A33="","",SUMIFS('Daily Entry'!$C$7:$C$5003,'Daily Entry'!$B$7:$B$5003,$O33,'Daily Entry'!$A$7:$A$5003,$E$3))</f>
        <v/>
      </c>
      <c r="G33" s="38">
        <f>IF($A33="","",SUMIFS('Daily Entry'!$D$7:$D$5003,'Daily Entry'!$B$7:$B$5003,$O33,'Daily Entry'!$A$7:$A$5003,$E$3))</f>
        <v/>
      </c>
      <c r="H33" s="39">
        <f>IF($A33="","",SUMIFS('Daily Entry'!$C$7:$C$5003,'Daily Entry'!$B$7:$B$5003,$O33))</f>
        <v/>
      </c>
      <c r="I33" s="39">
        <f>IF($A33="","",SUMIFS('Daily Entry'!$D$7:$D$5003,'Daily Entry'!$B$7:$B$5003,$O33))</f>
        <v/>
      </c>
      <c r="J33" s="40">
        <f>IF($A33="","",$E33+$H33-$I33)</f>
        <v/>
      </c>
      <c r="K33" s="41">
        <f>IF(OR($A33="",$D33=""),"",$J33*$D33)</f>
        <v/>
      </c>
      <c r="L33" s="15" t="n">
        <v>6.1</v>
      </c>
      <c r="M33" s="42">
        <f>IF(OR($A33="",$D33="",$L33="",$E$4=""),"",$K33*$L33*$E$4)</f>
        <v/>
      </c>
      <c r="O33" s="131">
        <f>IF($A33="","",$A33&amp;" - "&amp;$B33)</f>
        <v/>
      </c>
      <c r="P33" s="131">
        <f>IF($A33="",0,IF(OR($F33&lt;&gt;0,$G33&lt;&gt;0),1,0))</f>
        <v/>
      </c>
      <c r="Q33" s="131">
        <f>IF($P33=1,SUM($P$8:$P33),"")</f>
        <v/>
      </c>
      <c r="R33" s="131">
        <f>IF($A33="","",$A33&amp;"#"&amp;COUNTIF($A$8:$A33,$A33))</f>
        <v/>
      </c>
      <c r="S33" s="131">
        <f>IF(OR($A33="",$D33=""),0,$E33*$D33)</f>
        <v/>
      </c>
      <c r="T33" s="131">
        <f>IF(OR($A33="",$D33=""),0,$F33*$D33)</f>
        <v/>
      </c>
      <c r="U33" s="131">
        <f>IF(OR($A33="",$D33=""),0,$G33*$D33)</f>
        <v/>
      </c>
      <c r="V33" s="131">
        <f>IF(OR($A33="",$D33=""),0,$H33*$D33)</f>
        <v/>
      </c>
      <c r="W33" s="131">
        <f>IF(OR($A33="",$D33=""),0,$I33*$D33)</f>
        <v/>
      </c>
      <c r="X33" s="131">
        <f>IF(AND($A33&lt;&gt;"",$D33=""),1,0)</f>
        <v/>
      </c>
      <c r="Y33" s="131">
        <f>IF($A33="",0,IF(COUNTIF($O$8:$O$101,$O33)&gt;1,1,0))</f>
        <v/>
      </c>
    </row>
    <row r="34" ht="15" customHeight="1">
      <c r="A34" s="9" t="inlineStr">
        <is>
          <t>Primus Japan</t>
        </is>
      </c>
      <c r="B34" s="9" t="inlineStr">
        <is>
          <t>PUD KKD 300/500</t>
        </is>
      </c>
      <c r="C34" s="32" t="inlineStr">
        <is>
          <t>Slab</t>
        </is>
      </c>
      <c r="D34" s="29" t="n">
        <v>2</v>
      </c>
      <c r="E34" s="10" t="n">
        <v>580</v>
      </c>
      <c r="F34" s="11">
        <f>IF($A34="","",SUMIFS('Daily Entry'!$C$7:$C$5003,'Daily Entry'!$B$7:$B$5003,$O34,'Daily Entry'!$A$7:$A$5003,$E$3))</f>
        <v/>
      </c>
      <c r="G34" s="11">
        <f>IF($A34="","",SUMIFS('Daily Entry'!$D$7:$D$5003,'Daily Entry'!$B$7:$B$5003,$O34,'Daily Entry'!$A$7:$A$5003,$E$3))</f>
        <v/>
      </c>
      <c r="H34" s="12">
        <f>IF($A34="","",SUMIFS('Daily Entry'!$C$7:$C$5003,'Daily Entry'!$B$7:$B$5003,$O34))</f>
        <v/>
      </c>
      <c r="I34" s="12">
        <f>IF($A34="","",SUMIFS('Daily Entry'!$D$7:$D$5003,'Daily Entry'!$B$7:$B$5003,$O34))</f>
        <v/>
      </c>
      <c r="J34" s="13">
        <f>IF($A34="","",$E34+$H34-$I34)</f>
        <v/>
      </c>
      <c r="K34" s="14">
        <f>IF(OR($A34="",$D34=""),"",$J34*$D34)</f>
        <v/>
      </c>
      <c r="L34" s="15" t="n">
        <v>6.1</v>
      </c>
      <c r="M34" s="16">
        <f>IF(OR($A34="",$D34="",$L34="",$E$4=""),"",$K34*$L34*$E$4)</f>
        <v/>
      </c>
      <c r="O34" s="131">
        <f>IF($A34="","",$A34&amp;" - "&amp;$B34)</f>
        <v/>
      </c>
      <c r="P34" s="131">
        <f>IF($A34="",0,IF(OR($F34&lt;&gt;0,$G34&lt;&gt;0),1,0))</f>
        <v/>
      </c>
      <c r="Q34" s="131">
        <f>IF($P34=1,SUM($P$8:$P34),"")</f>
        <v/>
      </c>
      <c r="R34" s="131">
        <f>IF($A34="","",$A34&amp;"#"&amp;COUNTIF($A$8:$A34,$A34))</f>
        <v/>
      </c>
      <c r="S34" s="131">
        <f>IF(OR($A34="",$D34=""),0,$E34*$D34)</f>
        <v/>
      </c>
      <c r="T34" s="131">
        <f>IF(OR($A34="",$D34=""),0,$F34*$D34)</f>
        <v/>
      </c>
      <c r="U34" s="131">
        <f>IF(OR($A34="",$D34=""),0,$G34*$D34)</f>
        <v/>
      </c>
      <c r="V34" s="131">
        <f>IF(OR($A34="",$D34=""),0,$H34*$D34)</f>
        <v/>
      </c>
      <c r="W34" s="131">
        <f>IF(OR($A34="",$D34=""),0,$I34*$D34)</f>
        <v/>
      </c>
      <c r="X34" s="131">
        <f>IF(AND($A34&lt;&gt;"",$D34=""),1,0)</f>
        <v/>
      </c>
      <c r="Y34" s="131">
        <f>IF($A34="",0,IF(COUNTIF($O$8:$O$101,$O34)&gt;1,1,0))</f>
        <v/>
      </c>
    </row>
    <row r="35" ht="15" customHeight="1">
      <c r="A35" s="35" t="inlineStr">
        <is>
          <t>Primus EU</t>
        </is>
      </c>
      <c r="B35" s="35" t="inlineStr">
        <is>
          <t>PUD 20/40</t>
        </is>
      </c>
      <c r="C35" s="36" t="inlineStr">
        <is>
          <t>Slab</t>
        </is>
      </c>
      <c r="D35" s="29" t="n">
        <v>2</v>
      </c>
      <c r="E35" s="37" t="n">
        <v>185</v>
      </c>
      <c r="F35" s="38">
        <f>IF($A35="","",SUMIFS('Daily Entry'!$C$7:$C$5003,'Daily Entry'!$B$7:$B$5003,$O35,'Daily Entry'!$A$7:$A$5003,$E$3))</f>
        <v/>
      </c>
      <c r="G35" s="38">
        <f>IF($A35="","",SUMIFS('Daily Entry'!$D$7:$D$5003,'Daily Entry'!$B$7:$B$5003,$O35,'Daily Entry'!$A$7:$A$5003,$E$3))</f>
        <v/>
      </c>
      <c r="H35" s="39">
        <f>IF($A35="","",SUMIFS('Daily Entry'!$C$7:$C$5003,'Daily Entry'!$B$7:$B$5003,$O35))</f>
        <v/>
      </c>
      <c r="I35" s="39">
        <f>IF($A35="","",SUMIFS('Daily Entry'!$D$7:$D$5003,'Daily Entry'!$B$7:$B$5003,$O35))</f>
        <v/>
      </c>
      <c r="J35" s="40">
        <f>IF($A35="","",$E35+$H35-$I35)</f>
        <v/>
      </c>
      <c r="K35" s="41">
        <f>IF(OR($A35="",$D35=""),"",$J35*$D35)</f>
        <v/>
      </c>
      <c r="L35" s="15" t="n">
        <v>6.5</v>
      </c>
      <c r="M35" s="42">
        <f>IF(OR($A35="",$D35="",$L35="",$E$4=""),"",$K35*$L35*$E$4)</f>
        <v/>
      </c>
      <c r="O35" s="131">
        <f>IF($A35="","",$A35&amp;" - "&amp;$B35)</f>
        <v/>
      </c>
      <c r="P35" s="131">
        <f>IF($A35="",0,IF(OR($F35&lt;&gt;0,$G35&lt;&gt;0),1,0))</f>
        <v/>
      </c>
      <c r="Q35" s="131">
        <f>IF($P35=1,SUM($P$8:$P35),"")</f>
        <v/>
      </c>
      <c r="R35" s="131">
        <f>IF($A35="","",$A35&amp;"#"&amp;COUNTIF($A$8:$A35,$A35))</f>
        <v/>
      </c>
      <c r="S35" s="131">
        <f>IF(OR($A35="",$D35=""),0,$E35*$D35)</f>
        <v/>
      </c>
      <c r="T35" s="131">
        <f>IF(OR($A35="",$D35=""),0,$F35*$D35)</f>
        <v/>
      </c>
      <c r="U35" s="131">
        <f>IF(OR($A35="",$D35=""),0,$G35*$D35)</f>
        <v/>
      </c>
      <c r="V35" s="131">
        <f>IF(OR($A35="",$D35=""),0,$H35*$D35)</f>
        <v/>
      </c>
      <c r="W35" s="131">
        <f>IF(OR($A35="",$D35=""),0,$I35*$D35)</f>
        <v/>
      </c>
      <c r="X35" s="131">
        <f>IF(AND($A35&lt;&gt;"",$D35=""),1,0)</f>
        <v/>
      </c>
      <c r="Y35" s="131">
        <f>IF($A35="",0,IF(COUNTIF($O$8:$O$101,$O35)&gt;1,1,0))</f>
        <v/>
      </c>
    </row>
    <row r="36" ht="15" customHeight="1">
      <c r="A36" s="9" t="inlineStr">
        <is>
          <t>Primus EU</t>
        </is>
      </c>
      <c r="B36" s="9" t="inlineStr">
        <is>
          <t>PUD 40/60</t>
        </is>
      </c>
      <c r="C36" s="32" t="inlineStr">
        <is>
          <t>Slab</t>
        </is>
      </c>
      <c r="D36" s="29" t="n">
        <v>2</v>
      </c>
      <c r="E36" s="10" t="n">
        <v>368</v>
      </c>
      <c r="F36" s="11">
        <f>IF($A36="","",SUMIFS('Daily Entry'!$C$7:$C$5003,'Daily Entry'!$B$7:$B$5003,$O36,'Daily Entry'!$A$7:$A$5003,$E$3))</f>
        <v/>
      </c>
      <c r="G36" s="11">
        <f>IF($A36="","",SUMIFS('Daily Entry'!$D$7:$D$5003,'Daily Entry'!$B$7:$B$5003,$O36,'Daily Entry'!$A$7:$A$5003,$E$3))</f>
        <v/>
      </c>
      <c r="H36" s="12">
        <f>IF($A36="","",SUMIFS('Daily Entry'!$C$7:$C$5003,'Daily Entry'!$B$7:$B$5003,$O36))</f>
        <v/>
      </c>
      <c r="I36" s="12">
        <f>IF($A36="","",SUMIFS('Daily Entry'!$D$7:$D$5003,'Daily Entry'!$B$7:$B$5003,$O36))</f>
        <v/>
      </c>
      <c r="J36" s="13">
        <f>IF($A36="","",$E36+$H36-$I36)</f>
        <v/>
      </c>
      <c r="K36" s="14">
        <f>IF(OR($A36="",$D36=""),"",$J36*$D36)</f>
        <v/>
      </c>
      <c r="L36" s="15" t="n">
        <v>6.5</v>
      </c>
      <c r="M36" s="16">
        <f>IF(OR($A36="",$D36="",$L36="",$E$4=""),"",$K36*$L36*$E$4)</f>
        <v/>
      </c>
      <c r="O36" s="131">
        <f>IF($A36="","",$A36&amp;" - "&amp;$B36)</f>
        <v/>
      </c>
      <c r="P36" s="131">
        <f>IF($A36="",0,IF(OR($F36&lt;&gt;0,$G36&lt;&gt;0),1,0))</f>
        <v/>
      </c>
      <c r="Q36" s="131">
        <f>IF($P36=1,SUM($P$8:$P36),"")</f>
        <v/>
      </c>
      <c r="R36" s="131">
        <f>IF($A36="","",$A36&amp;"#"&amp;COUNTIF($A$8:$A36,$A36))</f>
        <v/>
      </c>
      <c r="S36" s="131">
        <f>IF(OR($A36="",$D36=""),0,$E36*$D36)</f>
        <v/>
      </c>
      <c r="T36" s="131">
        <f>IF(OR($A36="",$D36=""),0,$F36*$D36)</f>
        <v/>
      </c>
      <c r="U36" s="131">
        <f>IF(OR($A36="",$D36=""),0,$G36*$D36)</f>
        <v/>
      </c>
      <c r="V36" s="131">
        <f>IF(OR($A36="",$D36=""),0,$H36*$D36)</f>
        <v/>
      </c>
      <c r="W36" s="131">
        <f>IF(OR($A36="",$D36=""),0,$I36*$D36)</f>
        <v/>
      </c>
      <c r="X36" s="131">
        <f>IF(AND($A36&lt;&gt;"",$D36=""),1,0)</f>
        <v/>
      </c>
      <c r="Y36" s="131">
        <f>IF($A36="",0,IF(COUNTIF($O$8:$O$101,$O36)&gt;1,1,0))</f>
        <v/>
      </c>
    </row>
    <row r="37" ht="15" customHeight="1">
      <c r="A37" s="35" t="inlineStr">
        <is>
          <t>Primus EU</t>
        </is>
      </c>
      <c r="B37" s="35" t="inlineStr">
        <is>
          <t>PUD 60/80</t>
        </is>
      </c>
      <c r="C37" s="36" t="inlineStr">
        <is>
          <t>Slab</t>
        </is>
      </c>
      <c r="D37" s="29" t="n">
        <v>2</v>
      </c>
      <c r="E37" s="37" t="n">
        <v>380</v>
      </c>
      <c r="F37" s="38">
        <f>IF($A37="","",SUMIFS('Daily Entry'!$C$7:$C$5003,'Daily Entry'!$B$7:$B$5003,$O37,'Daily Entry'!$A$7:$A$5003,$E$3))</f>
        <v/>
      </c>
      <c r="G37" s="38">
        <f>IF($A37="","",SUMIFS('Daily Entry'!$D$7:$D$5003,'Daily Entry'!$B$7:$B$5003,$O37,'Daily Entry'!$A$7:$A$5003,$E$3))</f>
        <v/>
      </c>
      <c r="H37" s="39">
        <f>IF($A37="","",SUMIFS('Daily Entry'!$C$7:$C$5003,'Daily Entry'!$B$7:$B$5003,$O37))</f>
        <v/>
      </c>
      <c r="I37" s="39">
        <f>IF($A37="","",SUMIFS('Daily Entry'!$D$7:$D$5003,'Daily Entry'!$B$7:$B$5003,$O37))</f>
        <v/>
      </c>
      <c r="J37" s="40">
        <f>IF($A37="","",$E37+$H37-$I37)</f>
        <v/>
      </c>
      <c r="K37" s="41">
        <f>IF(OR($A37="",$D37=""),"",$J37*$D37)</f>
        <v/>
      </c>
      <c r="L37" s="15" t="n">
        <v>6.5</v>
      </c>
      <c r="M37" s="42">
        <f>IF(OR($A37="",$D37="",$L37="",$E$4=""),"",$K37*$L37*$E$4)</f>
        <v/>
      </c>
      <c r="O37" s="131">
        <f>IF($A37="","",$A37&amp;" - "&amp;$B37)</f>
        <v/>
      </c>
      <c r="P37" s="131">
        <f>IF($A37="",0,IF(OR($F37&lt;&gt;0,$G37&lt;&gt;0),1,0))</f>
        <v/>
      </c>
      <c r="Q37" s="131">
        <f>IF($P37=1,SUM($P$8:$P37),"")</f>
        <v/>
      </c>
      <c r="R37" s="131">
        <f>IF($A37="","",$A37&amp;"#"&amp;COUNTIF($A$8:$A37,$A37))</f>
        <v/>
      </c>
      <c r="S37" s="131">
        <f>IF(OR($A37="",$D37=""),0,$E37*$D37)</f>
        <v/>
      </c>
      <c r="T37" s="131">
        <f>IF(OR($A37="",$D37=""),0,$F37*$D37)</f>
        <v/>
      </c>
      <c r="U37" s="131">
        <f>IF(OR($A37="",$D37=""),0,$G37*$D37)</f>
        <v/>
      </c>
      <c r="V37" s="131">
        <f>IF(OR($A37="",$D37=""),0,$H37*$D37)</f>
        <v/>
      </c>
      <c r="W37" s="131">
        <f>IF(OR($A37="",$D37=""),0,$I37*$D37)</f>
        <v/>
      </c>
      <c r="X37" s="131">
        <f>IF(AND($A37&lt;&gt;"",$D37=""),1,0)</f>
        <v/>
      </c>
      <c r="Y37" s="131">
        <f>IF($A37="",0,IF(COUNTIF($O$8:$O$101,$O37)&gt;1,1,0))</f>
        <v/>
      </c>
    </row>
    <row r="38" ht="15" customHeight="1">
      <c r="A38" s="9" t="inlineStr">
        <is>
          <t>Primus EU</t>
        </is>
      </c>
      <c r="B38" s="9" t="inlineStr">
        <is>
          <t>PUD 80/120</t>
        </is>
      </c>
      <c r="C38" s="32" t="inlineStr">
        <is>
          <t>Slab</t>
        </is>
      </c>
      <c r="D38" s="29" t="n">
        <v>2</v>
      </c>
      <c r="E38" s="10" t="n">
        <v>1151</v>
      </c>
      <c r="F38" s="11">
        <f>IF($A38="","",SUMIFS('Daily Entry'!$C$7:$C$5003,'Daily Entry'!$B$7:$B$5003,$O38,'Daily Entry'!$A$7:$A$5003,$E$3))</f>
        <v/>
      </c>
      <c r="G38" s="11">
        <f>IF($A38="","",SUMIFS('Daily Entry'!$D$7:$D$5003,'Daily Entry'!$B$7:$B$5003,$O38,'Daily Entry'!$A$7:$A$5003,$E$3))</f>
        <v/>
      </c>
      <c r="H38" s="12">
        <f>IF($A38="","",SUMIFS('Daily Entry'!$C$7:$C$5003,'Daily Entry'!$B$7:$B$5003,$O38))</f>
        <v/>
      </c>
      <c r="I38" s="12">
        <f>IF($A38="","",SUMIFS('Daily Entry'!$D$7:$D$5003,'Daily Entry'!$B$7:$B$5003,$O38))</f>
        <v/>
      </c>
      <c r="J38" s="13">
        <f>IF($A38="","",$E38+$H38-$I38)</f>
        <v/>
      </c>
      <c r="K38" s="14">
        <f>IF(OR($A38="",$D38=""),"",$J38*$D38)</f>
        <v/>
      </c>
      <c r="L38" s="15" t="n">
        <v>6.5</v>
      </c>
      <c r="M38" s="16">
        <f>IF(OR($A38="",$D38="",$L38="",$E$4=""),"",$K38*$L38*$E$4)</f>
        <v/>
      </c>
      <c r="O38" s="131">
        <f>IF($A38="","",$A38&amp;" - "&amp;$B38)</f>
        <v/>
      </c>
      <c r="P38" s="131">
        <f>IF($A38="",0,IF(OR($F38&lt;&gt;0,$G38&lt;&gt;0),1,0))</f>
        <v/>
      </c>
      <c r="Q38" s="131">
        <f>IF($P38=1,SUM($P$8:$P38),"")</f>
        <v/>
      </c>
      <c r="R38" s="131">
        <f>IF($A38="","",$A38&amp;"#"&amp;COUNTIF($A$8:$A38,$A38))</f>
        <v/>
      </c>
      <c r="S38" s="131">
        <f>IF(OR($A38="",$D38=""),0,$E38*$D38)</f>
        <v/>
      </c>
      <c r="T38" s="131">
        <f>IF(OR($A38="",$D38=""),0,$F38*$D38)</f>
        <v/>
      </c>
      <c r="U38" s="131">
        <f>IF(OR($A38="",$D38=""),0,$G38*$D38)</f>
        <v/>
      </c>
      <c r="V38" s="131">
        <f>IF(OR($A38="",$D38=""),0,$H38*$D38)</f>
        <v/>
      </c>
      <c r="W38" s="131">
        <f>IF(OR($A38="",$D38=""),0,$I38*$D38)</f>
        <v/>
      </c>
      <c r="X38" s="131">
        <f>IF(AND($A38&lt;&gt;"",$D38=""),1,0)</f>
        <v/>
      </c>
      <c r="Y38" s="131">
        <f>IF($A38="",0,IF(COUNTIF($O$8:$O$101,$O38)&gt;1,1,0))</f>
        <v/>
      </c>
    </row>
    <row r="39" ht="15" customHeight="1">
      <c r="A39" s="35" t="inlineStr">
        <is>
          <t>Primus EU</t>
        </is>
      </c>
      <c r="B39" s="35" t="inlineStr">
        <is>
          <t>PUD 100/200</t>
        </is>
      </c>
      <c r="C39" s="36" t="inlineStr">
        <is>
          <t>Slab</t>
        </is>
      </c>
      <c r="D39" s="29" t="n">
        <v>2</v>
      </c>
      <c r="E39" s="37" t="n">
        <v>3797</v>
      </c>
      <c r="F39" s="38">
        <f>IF($A39="","",SUMIFS('Daily Entry'!$C$7:$C$5003,'Daily Entry'!$B$7:$B$5003,$O39,'Daily Entry'!$A$7:$A$5003,$E$3))</f>
        <v/>
      </c>
      <c r="G39" s="38">
        <f>IF($A39="","",SUMIFS('Daily Entry'!$D$7:$D$5003,'Daily Entry'!$B$7:$B$5003,$O39,'Daily Entry'!$A$7:$A$5003,$E$3))</f>
        <v/>
      </c>
      <c r="H39" s="39">
        <f>IF($A39="","",SUMIFS('Daily Entry'!$C$7:$C$5003,'Daily Entry'!$B$7:$B$5003,$O39))</f>
        <v/>
      </c>
      <c r="I39" s="39">
        <f>IF($A39="","",SUMIFS('Daily Entry'!$D$7:$D$5003,'Daily Entry'!$B$7:$B$5003,$O39))</f>
        <v/>
      </c>
      <c r="J39" s="40">
        <f>IF($A39="","",$E39+$H39-$I39)</f>
        <v/>
      </c>
      <c r="K39" s="41">
        <f>IF(OR($A39="",$D39=""),"",$J39*$D39)</f>
        <v/>
      </c>
      <c r="L39" s="15" t="n">
        <v>5.5</v>
      </c>
      <c r="M39" s="42">
        <f>IF(OR($A39="",$D39="",$L39="",$E$4=""),"",$K39*$L39*$E$4)</f>
        <v/>
      </c>
      <c r="O39" s="131">
        <f>IF($A39="","",$A39&amp;" - "&amp;$B39)</f>
        <v/>
      </c>
      <c r="P39" s="131">
        <f>IF($A39="",0,IF(OR($F39&lt;&gt;0,$G39&lt;&gt;0),1,0))</f>
        <v/>
      </c>
      <c r="Q39" s="131">
        <f>IF($P39=1,SUM($P$8:$P39),"")</f>
        <v/>
      </c>
      <c r="R39" s="131">
        <f>IF($A39="","",$A39&amp;"#"&amp;COUNTIF($A$8:$A39,$A39))</f>
        <v/>
      </c>
      <c r="S39" s="131">
        <f>IF(OR($A39="",$D39=""),0,$E39*$D39)</f>
        <v/>
      </c>
      <c r="T39" s="131">
        <f>IF(OR($A39="",$D39=""),0,$F39*$D39)</f>
        <v/>
      </c>
      <c r="U39" s="131">
        <f>IF(OR($A39="",$D39=""),0,$G39*$D39)</f>
        <v/>
      </c>
      <c r="V39" s="131">
        <f>IF(OR($A39="",$D39=""),0,$H39*$D39)</f>
        <v/>
      </c>
      <c r="W39" s="131">
        <f>IF(OR($A39="",$D39=""),0,$I39*$D39)</f>
        <v/>
      </c>
      <c r="X39" s="131">
        <f>IF(AND($A39&lt;&gt;"",$D39=""),1,0)</f>
        <v/>
      </c>
      <c r="Y39" s="131">
        <f>IF($A39="",0,IF(COUNTIF($O$8:$O$101,$O39)&gt;1,1,0))</f>
        <v/>
      </c>
    </row>
    <row r="40" ht="15" customHeight="1">
      <c r="A40" s="9" t="inlineStr">
        <is>
          <t>Primus EU</t>
        </is>
      </c>
      <c r="B40" s="9" t="inlineStr">
        <is>
          <t>PUD 200/300</t>
        </is>
      </c>
      <c r="C40" s="32" t="inlineStr">
        <is>
          <t>Slab</t>
        </is>
      </c>
      <c r="D40" s="29" t="n">
        <v>2</v>
      </c>
      <c r="E40" s="10" t="n">
        <v>4118</v>
      </c>
      <c r="F40" s="11">
        <f>IF($A40="","",SUMIFS('Daily Entry'!$C$7:$C$5003,'Daily Entry'!$B$7:$B$5003,$O40,'Daily Entry'!$A$7:$A$5003,$E$3))</f>
        <v/>
      </c>
      <c r="G40" s="11">
        <f>IF($A40="","",SUMIFS('Daily Entry'!$D$7:$D$5003,'Daily Entry'!$B$7:$B$5003,$O40,'Daily Entry'!$A$7:$A$5003,$E$3))</f>
        <v/>
      </c>
      <c r="H40" s="12">
        <f>IF($A40="","",SUMIFS('Daily Entry'!$C$7:$C$5003,'Daily Entry'!$B$7:$B$5003,$O40))</f>
        <v/>
      </c>
      <c r="I40" s="12">
        <f>IF($A40="","",SUMIFS('Daily Entry'!$D$7:$D$5003,'Daily Entry'!$B$7:$B$5003,$O40))</f>
        <v/>
      </c>
      <c r="J40" s="13">
        <f>IF($A40="","",$E40+$H40-$I40)</f>
        <v/>
      </c>
      <c r="K40" s="14">
        <f>IF(OR($A40="",$D40=""),"",$J40*$D40)</f>
        <v/>
      </c>
      <c r="L40" s="15" t="n">
        <v>5</v>
      </c>
      <c r="M40" s="16">
        <f>IF(OR($A40="",$D40="",$L40="",$E$4=""),"",$K40*$L40*$E$4)</f>
        <v/>
      </c>
      <c r="O40" s="131">
        <f>IF($A40="","",$A40&amp;" - "&amp;$B40)</f>
        <v/>
      </c>
      <c r="P40" s="131">
        <f>IF($A40="",0,IF(OR($F40&lt;&gt;0,$G40&lt;&gt;0),1,0))</f>
        <v/>
      </c>
      <c r="Q40" s="131">
        <f>IF($P40=1,SUM($P$8:$P40),"")</f>
        <v/>
      </c>
      <c r="R40" s="131">
        <f>IF($A40="","",$A40&amp;"#"&amp;COUNTIF($A$8:$A40,$A40))</f>
        <v/>
      </c>
      <c r="S40" s="131">
        <f>IF(OR($A40="",$D40=""),0,$E40*$D40)</f>
        <v/>
      </c>
      <c r="T40" s="131">
        <f>IF(OR($A40="",$D40=""),0,$F40*$D40)</f>
        <v/>
      </c>
      <c r="U40" s="131">
        <f>IF(OR($A40="",$D40=""),0,$G40*$D40)</f>
        <v/>
      </c>
      <c r="V40" s="131">
        <f>IF(OR($A40="",$D40=""),0,$H40*$D40)</f>
        <v/>
      </c>
      <c r="W40" s="131">
        <f>IF(OR($A40="",$D40=""),0,$I40*$D40)</f>
        <v/>
      </c>
      <c r="X40" s="131">
        <f>IF(AND($A40&lt;&gt;"",$D40=""),1,0)</f>
        <v/>
      </c>
      <c r="Y40" s="131">
        <f>IF($A40="",0,IF(COUNTIF($O$8:$O$101,$O40)&gt;1,1,0))</f>
        <v/>
      </c>
    </row>
    <row r="41" ht="15" customHeight="1">
      <c r="A41" s="35" t="inlineStr">
        <is>
          <t>Primus EU</t>
        </is>
      </c>
      <c r="B41" s="35" t="inlineStr">
        <is>
          <t>PUD 300/500</t>
        </is>
      </c>
      <c r="C41" s="36" t="inlineStr">
        <is>
          <t>Slab</t>
        </is>
      </c>
      <c r="D41" s="29" t="n">
        <v>2</v>
      </c>
      <c r="E41" s="37" t="n">
        <v>1490</v>
      </c>
      <c r="F41" s="38">
        <f>IF($A41="","",SUMIFS('Daily Entry'!$C$7:$C$5003,'Daily Entry'!$B$7:$B$5003,$O41,'Daily Entry'!$A$7:$A$5003,$E$3))</f>
        <v/>
      </c>
      <c r="G41" s="38">
        <f>IF($A41="","",SUMIFS('Daily Entry'!$D$7:$D$5003,'Daily Entry'!$B$7:$B$5003,$O41,'Daily Entry'!$A$7:$A$5003,$E$3))</f>
        <v/>
      </c>
      <c r="H41" s="39">
        <f>IF($A41="","",SUMIFS('Daily Entry'!$C$7:$C$5003,'Daily Entry'!$B$7:$B$5003,$O41))</f>
        <v/>
      </c>
      <c r="I41" s="39">
        <f>IF($A41="","",SUMIFS('Daily Entry'!$D$7:$D$5003,'Daily Entry'!$B$7:$B$5003,$O41))</f>
        <v/>
      </c>
      <c r="J41" s="40">
        <f>IF($A41="","",$E41+$H41-$I41)</f>
        <v/>
      </c>
      <c r="K41" s="41">
        <f>IF(OR($A41="",$D41=""),"",$J41*$D41)</f>
        <v/>
      </c>
      <c r="L41" s="15" t="n">
        <v>4.5</v>
      </c>
      <c r="M41" s="42">
        <f>IF(OR($A41="",$D41="",$L41="",$E$4=""),"",$K41*$L41*$E$4)</f>
        <v/>
      </c>
      <c r="O41" s="131">
        <f>IF($A41="","",$A41&amp;" - "&amp;$B41)</f>
        <v/>
      </c>
      <c r="P41" s="131">
        <f>IF($A41="",0,IF(OR($F41&lt;&gt;0,$G41&lt;&gt;0),1,0))</f>
        <v/>
      </c>
      <c r="Q41" s="131">
        <f>IF($P41=1,SUM($P$8:$P41),"")</f>
        <v/>
      </c>
      <c r="R41" s="131">
        <f>IF($A41="","",$A41&amp;"#"&amp;COUNTIF($A$8:$A41,$A41))</f>
        <v/>
      </c>
      <c r="S41" s="131">
        <f>IF(OR($A41="",$D41=""),0,$E41*$D41)</f>
        <v/>
      </c>
      <c r="T41" s="131">
        <f>IF(OR($A41="",$D41=""),0,$F41*$D41)</f>
        <v/>
      </c>
      <c r="U41" s="131">
        <f>IF(OR($A41="",$D41=""),0,$G41*$D41)</f>
        <v/>
      </c>
      <c r="V41" s="131">
        <f>IF(OR($A41="",$D41=""),0,$H41*$D41)</f>
        <v/>
      </c>
      <c r="W41" s="131">
        <f>IF(OR($A41="",$D41=""),0,$I41*$D41)</f>
        <v/>
      </c>
      <c r="X41" s="131">
        <f>IF(AND($A41&lt;&gt;"",$D41=""),1,0)</f>
        <v/>
      </c>
      <c r="Y41" s="131">
        <f>IF($A41="",0,IF(COUNTIF($O$8:$O$101,$O41)&gt;1,1,0))</f>
        <v/>
      </c>
    </row>
    <row r="42" ht="15" customHeight="1">
      <c r="A42" s="9" t="inlineStr">
        <is>
          <t>Primus EU</t>
        </is>
      </c>
      <c r="B42" s="9" t="inlineStr">
        <is>
          <t>BKN</t>
        </is>
      </c>
      <c r="C42" s="32" t="inlineStr">
        <is>
          <t>Slab</t>
        </is>
      </c>
      <c r="D42" s="29" t="n">
        <v>2</v>
      </c>
      <c r="E42" s="10" t="n">
        <v>15130</v>
      </c>
      <c r="F42" s="11">
        <f>IF($A42="","",SUMIFS('Daily Entry'!$C$7:$C$5003,'Daily Entry'!$B$7:$B$5003,$O42,'Daily Entry'!$A$7:$A$5003,$E$3))</f>
        <v/>
      </c>
      <c r="G42" s="11">
        <f>IF($A42="","",SUMIFS('Daily Entry'!$D$7:$D$5003,'Daily Entry'!$B$7:$B$5003,$O42,'Daily Entry'!$A$7:$A$5003,$E$3))</f>
        <v/>
      </c>
      <c r="H42" s="12">
        <f>IF($A42="","",SUMIFS('Daily Entry'!$C$7:$C$5003,'Daily Entry'!$B$7:$B$5003,$O42))</f>
        <v/>
      </c>
      <c r="I42" s="12">
        <f>IF($A42="","",SUMIFS('Daily Entry'!$D$7:$D$5003,'Daily Entry'!$B$7:$B$5003,$O42))</f>
        <v/>
      </c>
      <c r="J42" s="13">
        <f>IF($A42="","",$E42+$H42-$I42)</f>
        <v/>
      </c>
      <c r="K42" s="14">
        <f>IF(OR($A42="",$D42=""),"",$J42*$D42)</f>
        <v/>
      </c>
      <c r="L42" s="15" t="n">
        <v>2.5</v>
      </c>
      <c r="M42" s="16">
        <f>IF(OR($A42="",$D42="",$L42="",$E$4=""),"",$K42*$L42*$E$4)</f>
        <v/>
      </c>
      <c r="O42" s="131">
        <f>IF($A42="","",$A42&amp;" - "&amp;$B42)</f>
        <v/>
      </c>
      <c r="P42" s="131">
        <f>IF($A42="",0,IF(OR($F42&lt;&gt;0,$G42&lt;&gt;0),1,0))</f>
        <v/>
      </c>
      <c r="Q42" s="131">
        <f>IF($P42=1,SUM($P$8:$P42),"")</f>
        <v/>
      </c>
      <c r="R42" s="131">
        <f>IF($A42="","",$A42&amp;"#"&amp;COUNTIF($A$8:$A42,$A42))</f>
        <v/>
      </c>
      <c r="S42" s="131">
        <f>IF(OR($A42="",$D42=""),0,$E42*$D42)</f>
        <v/>
      </c>
      <c r="T42" s="131">
        <f>IF(OR($A42="",$D42=""),0,$F42*$D42)</f>
        <v/>
      </c>
      <c r="U42" s="131">
        <f>IF(OR($A42="",$D42=""),0,$G42*$D42)</f>
        <v/>
      </c>
      <c r="V42" s="131">
        <f>IF(OR($A42="",$D42=""),0,$H42*$D42)</f>
        <v/>
      </c>
      <c r="W42" s="131">
        <f>IF(OR($A42="",$D42=""),0,$I42*$D42)</f>
        <v/>
      </c>
      <c r="X42" s="131">
        <f>IF(AND($A42&lt;&gt;"",$D42=""),1,0)</f>
        <v/>
      </c>
      <c r="Y42" s="131">
        <f>IF($A42="",0,IF(COUNTIF($O$8:$O$101,$O42)&gt;1,1,0))</f>
        <v/>
      </c>
    </row>
    <row r="43" ht="15" customHeight="1">
      <c r="A43" s="35" t="inlineStr">
        <is>
          <t>AMF Brand</t>
        </is>
      </c>
      <c r="B43" s="35" t="inlineStr">
        <is>
          <t>PD PVN 100/200</t>
        </is>
      </c>
      <c r="C43" s="36" t="inlineStr">
        <is>
          <t>Slab</t>
        </is>
      </c>
      <c r="D43" s="29" t="n">
        <v>2</v>
      </c>
      <c r="E43" s="37" t="n">
        <v>0</v>
      </c>
      <c r="F43" s="38">
        <f>IF($A43="","",SUMIFS('Daily Entry'!$C$7:$C$5003,'Daily Entry'!$B$7:$B$5003,$O43,'Daily Entry'!$A$7:$A$5003,$E$3))</f>
        <v/>
      </c>
      <c r="G43" s="38">
        <f>IF($A43="","",SUMIFS('Daily Entry'!$D$7:$D$5003,'Daily Entry'!$B$7:$B$5003,$O43,'Daily Entry'!$A$7:$A$5003,$E$3))</f>
        <v/>
      </c>
      <c r="H43" s="39">
        <f>IF($A43="","",SUMIFS('Daily Entry'!$C$7:$C$5003,'Daily Entry'!$B$7:$B$5003,$O43))</f>
        <v/>
      </c>
      <c r="I43" s="39">
        <f>IF($A43="","",SUMIFS('Daily Entry'!$D$7:$D$5003,'Daily Entry'!$B$7:$B$5003,$O43))</f>
        <v/>
      </c>
      <c r="J43" s="40">
        <f>IF($A43="","",$E43+$H43-$I43)</f>
        <v/>
      </c>
      <c r="K43" s="41">
        <f>IF(OR($A43="",$D43=""),"",$J43*$D43)</f>
        <v/>
      </c>
      <c r="L43" s="15" t="n">
        <v>7.25</v>
      </c>
      <c r="M43" s="42">
        <f>IF(OR($A43="",$D43="",$L43="",$E$4=""),"",$K43*$L43*$E$4)</f>
        <v/>
      </c>
      <c r="O43" s="131">
        <f>IF($A43="","",$A43&amp;" - "&amp;$B43)</f>
        <v/>
      </c>
      <c r="P43" s="131">
        <f>IF($A43="",0,IF(OR($F43&lt;&gt;0,$G43&lt;&gt;0),1,0))</f>
        <v/>
      </c>
      <c r="Q43" s="131">
        <f>IF($P43=1,SUM($P$8:$P43),"")</f>
        <v/>
      </c>
      <c r="R43" s="131">
        <f>IF($A43="","",$A43&amp;"#"&amp;COUNTIF($A$8:$A43,$A43))</f>
        <v/>
      </c>
      <c r="S43" s="131">
        <f>IF(OR($A43="",$D43=""),0,$E43*$D43)</f>
        <v/>
      </c>
      <c r="T43" s="131">
        <f>IF(OR($A43="",$D43=""),0,$F43*$D43)</f>
        <v/>
      </c>
      <c r="U43" s="131">
        <f>IF(OR($A43="",$D43=""),0,$G43*$D43)</f>
        <v/>
      </c>
      <c r="V43" s="131">
        <f>IF(OR($A43="",$D43=""),0,$H43*$D43)</f>
        <v/>
      </c>
      <c r="W43" s="131">
        <f>IF(OR($A43="",$D43=""),0,$I43*$D43)</f>
        <v/>
      </c>
      <c r="X43" s="131">
        <f>IF(AND($A43&lt;&gt;"",$D43=""),1,0)</f>
        <v/>
      </c>
      <c r="Y43" s="131">
        <f>IF($A43="",0,IF(COUNTIF($O$8:$O$101,$O43)&gt;1,1,0))</f>
        <v/>
      </c>
    </row>
    <row r="44" ht="15" customHeight="1">
      <c r="A44" s="9" t="inlineStr">
        <is>
          <t>AMF Brand</t>
        </is>
      </c>
      <c r="B44" s="9" t="inlineStr">
        <is>
          <t>PD KKD 100/200</t>
        </is>
      </c>
      <c r="C44" s="32" t="inlineStr">
        <is>
          <t>Slab</t>
        </is>
      </c>
      <c r="D44" s="29" t="n">
        <v>2</v>
      </c>
      <c r="E44" s="10" t="n">
        <v>0</v>
      </c>
      <c r="F44" s="11">
        <f>IF($A44="","",SUMIFS('Daily Entry'!$C$7:$C$5003,'Daily Entry'!$B$7:$B$5003,$O44,'Daily Entry'!$A$7:$A$5003,$E$3))</f>
        <v/>
      </c>
      <c r="G44" s="11">
        <f>IF($A44="","",SUMIFS('Daily Entry'!$D$7:$D$5003,'Daily Entry'!$B$7:$B$5003,$O44,'Daily Entry'!$A$7:$A$5003,$E$3))</f>
        <v/>
      </c>
      <c r="H44" s="12">
        <f>IF($A44="","",SUMIFS('Daily Entry'!$C$7:$C$5003,'Daily Entry'!$B$7:$B$5003,$O44))</f>
        <v/>
      </c>
      <c r="I44" s="12">
        <f>IF($A44="","",SUMIFS('Daily Entry'!$D$7:$D$5003,'Daily Entry'!$B$7:$B$5003,$O44))</f>
        <v/>
      </c>
      <c r="J44" s="13">
        <f>IF($A44="","",$E44+$H44-$I44)</f>
        <v/>
      </c>
      <c r="K44" s="14">
        <f>IF(OR($A44="",$D44=""),"",$J44*$D44)</f>
        <v/>
      </c>
      <c r="L44" s="15" t="n">
        <v>7.25</v>
      </c>
      <c r="M44" s="16">
        <f>IF(OR($A44="",$D44="",$L44="",$E$4=""),"",$K44*$L44*$E$4)</f>
        <v/>
      </c>
      <c r="O44" s="131">
        <f>IF($A44="","",$A44&amp;" - "&amp;$B44)</f>
        <v/>
      </c>
      <c r="P44" s="131">
        <f>IF($A44="",0,IF(OR($F44&lt;&gt;0,$G44&lt;&gt;0),1,0))</f>
        <v/>
      </c>
      <c r="Q44" s="131">
        <f>IF($P44=1,SUM($P$8:$P44),"")</f>
        <v/>
      </c>
      <c r="R44" s="131">
        <f>IF($A44="","",$A44&amp;"#"&amp;COUNTIF($A$8:$A44,$A44))</f>
        <v/>
      </c>
      <c r="S44" s="131">
        <f>IF(OR($A44="",$D44=""),0,$E44*$D44)</f>
        <v/>
      </c>
      <c r="T44" s="131">
        <f>IF(OR($A44="",$D44=""),0,$F44*$D44)</f>
        <v/>
      </c>
      <c r="U44" s="131">
        <f>IF(OR($A44="",$D44=""),0,$G44*$D44)</f>
        <v/>
      </c>
      <c r="V44" s="131">
        <f>IF(OR($A44="",$D44=""),0,$H44*$D44)</f>
        <v/>
      </c>
      <c r="W44" s="131">
        <f>IF(OR($A44="",$D44=""),0,$I44*$D44)</f>
        <v/>
      </c>
      <c r="X44" s="131">
        <f>IF(AND($A44&lt;&gt;"",$D44=""),1,0)</f>
        <v/>
      </c>
      <c r="Y44" s="131">
        <f>IF($A44="",0,IF(COUNTIF($O$8:$O$101,$O44)&gt;1,1,0))</f>
        <v/>
      </c>
    </row>
    <row r="45" ht="15" customHeight="1">
      <c r="A45" s="35" t="inlineStr">
        <is>
          <t>AMF Brand</t>
        </is>
      </c>
      <c r="B45" s="35" t="inlineStr">
        <is>
          <t>PD PVN 200/300</t>
        </is>
      </c>
      <c r="C45" s="36" t="inlineStr">
        <is>
          <t>Slab</t>
        </is>
      </c>
      <c r="D45" s="29" t="n">
        <v>2</v>
      </c>
      <c r="E45" s="37" t="n">
        <v>0</v>
      </c>
      <c r="F45" s="38">
        <f>IF($A45="","",SUMIFS('Daily Entry'!$C$7:$C$5003,'Daily Entry'!$B$7:$B$5003,$O45,'Daily Entry'!$A$7:$A$5003,$E$3))</f>
        <v/>
      </c>
      <c r="G45" s="38">
        <f>IF($A45="","",SUMIFS('Daily Entry'!$D$7:$D$5003,'Daily Entry'!$B$7:$B$5003,$O45,'Daily Entry'!$A$7:$A$5003,$E$3))</f>
        <v/>
      </c>
      <c r="H45" s="39">
        <f>IF($A45="","",SUMIFS('Daily Entry'!$C$7:$C$5003,'Daily Entry'!$B$7:$B$5003,$O45))</f>
        <v/>
      </c>
      <c r="I45" s="39">
        <f>IF($A45="","",SUMIFS('Daily Entry'!$D$7:$D$5003,'Daily Entry'!$B$7:$B$5003,$O45))</f>
        <v/>
      </c>
      <c r="J45" s="40">
        <f>IF($A45="","",$E45+$H45-$I45)</f>
        <v/>
      </c>
      <c r="K45" s="41">
        <f>IF(OR($A45="",$D45=""),"",$J45*$D45)</f>
        <v/>
      </c>
      <c r="L45" s="15" t="n">
        <v>6.65</v>
      </c>
      <c r="M45" s="42">
        <f>IF(OR($A45="",$D45="",$L45="",$E$4=""),"",$K45*$L45*$E$4)</f>
        <v/>
      </c>
      <c r="O45" s="131">
        <f>IF($A45="","",$A45&amp;" - "&amp;$B45)</f>
        <v/>
      </c>
      <c r="P45" s="131">
        <f>IF($A45="",0,IF(OR($F45&lt;&gt;0,$G45&lt;&gt;0),1,0))</f>
        <v/>
      </c>
      <c r="Q45" s="131">
        <f>IF($P45=1,SUM($P$8:$P45),"")</f>
        <v/>
      </c>
      <c r="R45" s="131">
        <f>IF($A45="","",$A45&amp;"#"&amp;COUNTIF($A$8:$A45,$A45))</f>
        <v/>
      </c>
      <c r="S45" s="131">
        <f>IF(OR($A45="",$D45=""),0,$E45*$D45)</f>
        <v/>
      </c>
      <c r="T45" s="131">
        <f>IF(OR($A45="",$D45=""),0,$F45*$D45)</f>
        <v/>
      </c>
      <c r="U45" s="131">
        <f>IF(OR($A45="",$D45=""),0,$G45*$D45)</f>
        <v/>
      </c>
      <c r="V45" s="131">
        <f>IF(OR($A45="",$D45=""),0,$H45*$D45)</f>
        <v/>
      </c>
      <c r="W45" s="131">
        <f>IF(OR($A45="",$D45=""),0,$I45*$D45)</f>
        <v/>
      </c>
      <c r="X45" s="131">
        <f>IF(AND($A45&lt;&gt;"",$D45=""),1,0)</f>
        <v/>
      </c>
      <c r="Y45" s="131">
        <f>IF($A45="",0,IF(COUNTIF($O$8:$O$101,$O45)&gt;1,1,0))</f>
        <v/>
      </c>
    </row>
    <row r="46" ht="15" customHeight="1">
      <c r="A46" s="9" t="inlineStr">
        <is>
          <t>AMF Brand</t>
        </is>
      </c>
      <c r="B46" s="9" t="inlineStr">
        <is>
          <t>PD KKD 200/300</t>
        </is>
      </c>
      <c r="C46" s="32" t="inlineStr">
        <is>
          <t>Slab</t>
        </is>
      </c>
      <c r="D46" s="29" t="n">
        <v>2</v>
      </c>
      <c r="E46" s="10" t="n">
        <v>0</v>
      </c>
      <c r="F46" s="11">
        <f>IF($A46="","",SUMIFS('Daily Entry'!$C$7:$C$5003,'Daily Entry'!$B$7:$B$5003,$O46,'Daily Entry'!$A$7:$A$5003,$E$3))</f>
        <v/>
      </c>
      <c r="G46" s="11">
        <f>IF($A46="","",SUMIFS('Daily Entry'!$D$7:$D$5003,'Daily Entry'!$B$7:$B$5003,$O46,'Daily Entry'!$A$7:$A$5003,$E$3))</f>
        <v/>
      </c>
      <c r="H46" s="12">
        <f>IF($A46="","",SUMIFS('Daily Entry'!$C$7:$C$5003,'Daily Entry'!$B$7:$B$5003,$O46))</f>
        <v/>
      </c>
      <c r="I46" s="12">
        <f>IF($A46="","",SUMIFS('Daily Entry'!$D$7:$D$5003,'Daily Entry'!$B$7:$B$5003,$O46))</f>
        <v/>
      </c>
      <c r="J46" s="13">
        <f>IF($A46="","",$E46+$H46-$I46)</f>
        <v/>
      </c>
      <c r="K46" s="14">
        <f>IF(OR($A46="",$D46=""),"",$J46*$D46)</f>
        <v/>
      </c>
      <c r="L46" s="17" t="n">
        <v>6.65</v>
      </c>
      <c r="M46" s="16">
        <f>IF(OR($A46="",$D46="",$L46="",$E$4=""),"",$K46*$L46*$E$4)</f>
        <v/>
      </c>
      <c r="O46" s="131">
        <f>IF($A46="","",$A46&amp;" - "&amp;$B46)</f>
        <v/>
      </c>
      <c r="P46" s="131">
        <f>IF($A46="",0,IF(OR($F46&lt;&gt;0,$G46&lt;&gt;0),1,0))</f>
        <v/>
      </c>
      <c r="Q46" s="131">
        <f>IF($P46=1,SUM($P$8:$P46),"")</f>
        <v/>
      </c>
      <c r="R46" s="131">
        <f>IF($A46="","",$A46&amp;"#"&amp;COUNTIF($A$8:$A46,$A46))</f>
        <v/>
      </c>
      <c r="S46" s="131">
        <f>IF(OR($A46="",$D46=""),0,$E46*$D46)</f>
        <v/>
      </c>
      <c r="T46" s="131">
        <f>IF(OR($A46="",$D46=""),0,$F46*$D46)</f>
        <v/>
      </c>
      <c r="U46" s="131">
        <f>IF(OR($A46="",$D46=""),0,$G46*$D46)</f>
        <v/>
      </c>
      <c r="V46" s="131">
        <f>IF(OR($A46="",$D46=""),0,$H46*$D46)</f>
        <v/>
      </c>
      <c r="W46" s="131">
        <f>IF(OR($A46="",$D46=""),0,$I46*$D46)</f>
        <v/>
      </c>
      <c r="X46" s="131">
        <f>IF(AND($A46&lt;&gt;"",$D46=""),1,0)</f>
        <v/>
      </c>
      <c r="Y46" s="131">
        <f>IF($A46="",0,IF(COUNTIF($O$8:$O$101,$O46)&gt;1,1,0))</f>
        <v/>
      </c>
    </row>
    <row r="47" ht="15" customHeight="1">
      <c r="A47" s="46" t="inlineStr">
        <is>
          <t>AMF Brand</t>
        </is>
      </c>
      <c r="B47" s="46" t="inlineStr">
        <is>
          <t>PUD PVN 200/300</t>
        </is>
      </c>
      <c r="C47" s="36" t="inlineStr">
        <is>
          <t>Slab</t>
        </is>
      </c>
      <c r="D47" s="29" t="n">
        <v>2</v>
      </c>
      <c r="E47" s="37" t="n">
        <v>1516</v>
      </c>
      <c r="F47" s="47">
        <f>IF($A47="","",SUMIFS('Daily Entry'!$C$7:$C$5003,'Daily Entry'!$B$7:$B$5003,$O47,'Daily Entry'!$A$7:$A$5003,$E$3))</f>
        <v/>
      </c>
      <c r="G47" s="47">
        <f>IF($A47="","",SUMIFS('Daily Entry'!$D$7:$D$5003,'Daily Entry'!$B$7:$B$5003,$O47,'Daily Entry'!$A$7:$A$5003,$E$3))</f>
        <v/>
      </c>
      <c r="H47" s="48">
        <f>IF($A47="","",SUMIFS('Daily Entry'!$C$7:$C$5003,'Daily Entry'!$B$7:$B$5003,$O47))</f>
        <v/>
      </c>
      <c r="I47" s="48">
        <f>IF($A47="","",SUMIFS('Daily Entry'!$D$7:$D$5003,'Daily Entry'!$B$7:$B$5003,$O47))</f>
        <v/>
      </c>
      <c r="J47" s="49">
        <f>IF($A47="","",$E47+$H47-$I47)</f>
        <v/>
      </c>
      <c r="K47" s="50">
        <f>IF(OR($A47="",$D47=""),"",$J47*$D47)</f>
        <v/>
      </c>
      <c r="L47" s="15" t="n">
        <v>6.3</v>
      </c>
      <c r="M47" s="51">
        <f>IF(OR($A47="",$D47="",$L47="",$E$4=""),"",$K47*$L47*$E$4)</f>
        <v/>
      </c>
      <c r="O47" s="131">
        <f>IF($A47="","",$A47&amp;" - "&amp;$B47)</f>
        <v/>
      </c>
      <c r="P47" s="131">
        <f>IF($A47="",0,IF(OR($F47&lt;&gt;0,$G47&lt;&gt;0),1,0))</f>
        <v/>
      </c>
      <c r="Q47" s="131">
        <f>IF($P47=1,SUM($P$8:$P47),"")</f>
        <v/>
      </c>
      <c r="R47" s="131">
        <f>IF($A47="","",$A47&amp;"#"&amp;COUNTIF($A$8:$A47,$A47))</f>
        <v/>
      </c>
      <c r="S47" s="131">
        <f>IF(OR($A47="",$D47=""),0,$E47*$D47)</f>
        <v/>
      </c>
      <c r="T47" s="131">
        <f>IF(OR($A47="",$D47=""),0,$F47*$D47)</f>
        <v/>
      </c>
      <c r="U47" s="131">
        <f>IF(OR($A47="",$D47=""),0,$G47*$D47)</f>
        <v/>
      </c>
      <c r="V47" s="131">
        <f>IF(OR($A47="",$D47=""),0,$H47*$D47)</f>
        <v/>
      </c>
      <c r="W47" s="131">
        <f>IF(OR($A47="",$D47=""),0,$I47*$D47)</f>
        <v/>
      </c>
      <c r="X47" s="131">
        <f>IF(AND($A47&lt;&gt;"",$D47=""),1,0)</f>
        <v/>
      </c>
      <c r="Y47" s="131">
        <f>IF($A47="",0,IF(COUNTIF($O$8:$O$101,$O47)&gt;1,1,0))</f>
        <v/>
      </c>
    </row>
    <row r="48" ht="15" customHeight="1">
      <c r="A48" s="9" t="inlineStr">
        <is>
          <t>AMF Brand</t>
        </is>
      </c>
      <c r="B48" s="9" t="inlineStr">
        <is>
          <t>PUD KKD 200/300</t>
        </is>
      </c>
      <c r="C48" s="43" t="inlineStr">
        <is>
          <t>Slab</t>
        </is>
      </c>
      <c r="D48" s="45" t="n">
        <v>2</v>
      </c>
      <c r="E48" s="44" t="n">
        <v>0</v>
      </c>
      <c r="F48" s="11">
        <f>IF($A48="","",SUMIFS('Daily Entry'!$C$7:$C$5003,'Daily Entry'!$B$7:$B$5003,$O48,'Daily Entry'!$A$7:$A$5003,$E$3))</f>
        <v/>
      </c>
      <c r="G48" s="11">
        <f>IF($A48="","",SUMIFS('Daily Entry'!$D$7:$D$5003,'Daily Entry'!$B$7:$B$5003,$O48,'Daily Entry'!$A$7:$A$5003,$E$3))</f>
        <v/>
      </c>
      <c r="H48" s="12">
        <f>IF($A48="","",SUMIFS('Daily Entry'!$C$7:$C$5003,'Daily Entry'!$B$7:$B$5003,$O48))</f>
        <v/>
      </c>
      <c r="I48" s="12">
        <f>IF($A48="","",SUMIFS('Daily Entry'!$D$7:$D$5003,'Daily Entry'!$B$7:$B$5003,$O48))</f>
        <v/>
      </c>
      <c r="J48" s="13">
        <f>IF($A48="","",$E48+$H48-$I48)</f>
        <v/>
      </c>
      <c r="K48" s="14">
        <f>IF(OR($A48="",$D48=""),"",$J48*$D48)</f>
        <v/>
      </c>
      <c r="L48" s="17" t="n">
        <v>6.3</v>
      </c>
      <c r="M48" s="16">
        <f>IF(OR($A48="",$D48="",$L48="",$E$4=""),"",$K48*$L48*$E$4)</f>
        <v/>
      </c>
      <c r="O48" s="131">
        <f>IF($A48="","",$A48&amp;" - "&amp;$B48)</f>
        <v/>
      </c>
      <c r="P48" s="131">
        <f>IF($A48="",0,IF(OR($F48&lt;&gt;0,$G48&lt;&gt;0),1,0))</f>
        <v/>
      </c>
      <c r="Q48" s="131">
        <f>IF($P48=1,SUM($P$8:$P48),"")</f>
        <v/>
      </c>
      <c r="R48" s="131">
        <f>IF($A48="","",$A48&amp;"#"&amp;COUNTIF($A$8:$A48,$A48))</f>
        <v/>
      </c>
      <c r="S48" s="131">
        <f>IF(OR($A48="",$D48=""),0,$E48*$D48)</f>
        <v/>
      </c>
      <c r="T48" s="131">
        <f>IF(OR($A48="",$D48=""),0,$F48*$D48)</f>
        <v/>
      </c>
      <c r="U48" s="131">
        <f>IF(OR($A48="",$D48=""),0,$G48*$D48)</f>
        <v/>
      </c>
      <c r="V48" s="131">
        <f>IF(OR($A48="",$D48=""),0,$H48*$D48)</f>
        <v/>
      </c>
      <c r="W48" s="131">
        <f>IF(OR($A48="",$D48=""),0,$I48*$D48)</f>
        <v/>
      </c>
      <c r="X48" s="131">
        <f>IF(AND($A48&lt;&gt;"",$D48=""),1,0)</f>
        <v/>
      </c>
      <c r="Y48" s="131">
        <f>IF($A48="",0,IF(COUNTIF($O$8:$O$101,$O48)&gt;1,1,0))</f>
        <v/>
      </c>
    </row>
    <row r="49" ht="15" customHeight="1">
      <c r="A49" s="46" t="inlineStr">
        <is>
          <t>AMF Brand</t>
        </is>
      </c>
      <c r="B49" s="46" t="inlineStr">
        <is>
          <t>PUD PVN 300/500</t>
        </is>
      </c>
      <c r="C49" s="36" t="inlineStr">
        <is>
          <t>Slab</t>
        </is>
      </c>
      <c r="D49" s="29" t="n">
        <v>2</v>
      </c>
      <c r="E49" s="37" t="n">
        <v>18</v>
      </c>
      <c r="F49" s="47">
        <f>IF($A49="","",SUMIFS('Daily Entry'!$C$7:$C$5003,'Daily Entry'!$B$7:$B$5003,$O49,'Daily Entry'!$A$7:$A$5003,$E$3))</f>
        <v/>
      </c>
      <c r="G49" s="47">
        <f>IF($A49="","",SUMIFS('Daily Entry'!$D$7:$D$5003,'Daily Entry'!$B$7:$B$5003,$O49,'Daily Entry'!$A$7:$A$5003,$E$3))</f>
        <v/>
      </c>
      <c r="H49" s="48">
        <f>IF($A49="","",SUMIFS('Daily Entry'!$C$7:$C$5003,'Daily Entry'!$B$7:$B$5003,$O49))</f>
        <v/>
      </c>
      <c r="I49" s="48">
        <f>IF($A49="","",SUMIFS('Daily Entry'!$D$7:$D$5003,'Daily Entry'!$B$7:$B$5003,$O49))</f>
        <v/>
      </c>
      <c r="J49" s="49">
        <f>IF($A49="","",$E49+$H49-$I49)</f>
        <v/>
      </c>
      <c r="K49" s="50">
        <f>IF(OR($A49="",$D49=""),"",$J49*$D49)</f>
        <v/>
      </c>
      <c r="L49" s="15" t="n">
        <v>6.25</v>
      </c>
      <c r="M49" s="51">
        <f>IF(OR($A49="",$D49="",$L49="",$E$4=""),"",$K49*$L49*$E$4)</f>
        <v/>
      </c>
      <c r="O49" s="131">
        <f>IF($A49="","",$A49&amp;" - "&amp;$B49)</f>
        <v/>
      </c>
      <c r="P49" s="131">
        <f>IF($A49="",0,IF(OR($F49&lt;&gt;0,$G49&lt;&gt;0),1,0))</f>
        <v/>
      </c>
      <c r="Q49" s="131">
        <f>IF($P49=1,SUM($P$8:$P49),"")</f>
        <v/>
      </c>
      <c r="R49" s="131">
        <f>IF($A49="","",$A49&amp;"#"&amp;COUNTIF($A$8:$A49,$A49))</f>
        <v/>
      </c>
      <c r="S49" s="131">
        <f>IF(OR($A49="",$D49=""),0,$E49*$D49)</f>
        <v/>
      </c>
      <c r="T49" s="131">
        <f>IF(OR($A49="",$D49=""),0,$F49*$D49)</f>
        <v/>
      </c>
      <c r="U49" s="131">
        <f>IF(OR($A49="",$D49=""),0,$G49*$D49)</f>
        <v/>
      </c>
      <c r="V49" s="131">
        <f>IF(OR($A49="",$D49=""),0,$H49*$D49)</f>
        <v/>
      </c>
      <c r="W49" s="131">
        <f>IF(OR($A49="",$D49=""),0,$I49*$D49)</f>
        <v/>
      </c>
      <c r="X49" s="131">
        <f>IF(AND($A49&lt;&gt;"",$D49=""),1,0)</f>
        <v/>
      </c>
      <c r="Y49" s="131">
        <f>IF($A49="",0,IF(COUNTIF($O$8:$O$101,$O49)&gt;1,1,0))</f>
        <v/>
      </c>
    </row>
    <row r="50" ht="15" customHeight="1">
      <c r="A50" s="9" t="inlineStr">
        <is>
          <t>AMF Brand</t>
        </is>
      </c>
      <c r="B50" s="9" t="inlineStr">
        <is>
          <t>PUD KKD 300/500</t>
        </is>
      </c>
      <c r="C50" s="43" t="inlineStr">
        <is>
          <t>Slab</t>
        </is>
      </c>
      <c r="D50" s="45" t="n">
        <v>2</v>
      </c>
      <c r="E50" s="44" t="n">
        <v>0</v>
      </c>
      <c r="F50" s="11">
        <f>IF($A50="","",SUMIFS('Daily Entry'!$C$7:$C$5003,'Daily Entry'!$B$7:$B$5003,$O50,'Daily Entry'!$A$7:$A$5003,$E$3))</f>
        <v/>
      </c>
      <c r="G50" s="11">
        <f>IF($A50="","",SUMIFS('Daily Entry'!$D$7:$D$5003,'Daily Entry'!$B$7:$B$5003,$O50,'Daily Entry'!$A$7:$A$5003,$E$3))</f>
        <v/>
      </c>
      <c r="H50" s="12">
        <f>IF($A50="","",SUMIFS('Daily Entry'!$C$7:$C$5003,'Daily Entry'!$B$7:$B$5003,$O50))</f>
        <v/>
      </c>
      <c r="I50" s="12">
        <f>IF($A50="","",SUMIFS('Daily Entry'!$D$7:$D$5003,'Daily Entry'!$B$7:$B$5003,$O50))</f>
        <v/>
      </c>
      <c r="J50" s="13">
        <f>IF($A50="","",$E50+$H50-$I50)</f>
        <v/>
      </c>
      <c r="K50" s="14">
        <f>IF(OR($A50="",$D50=""),"",$J50*$D50)</f>
        <v/>
      </c>
      <c r="L50" s="17" t="n">
        <v>6.25</v>
      </c>
      <c r="M50" s="16">
        <f>IF(OR($A50="",$D50="",$L50="",$E$4=""),"",$K50*$L50*$E$4)</f>
        <v/>
      </c>
      <c r="O50" s="131">
        <f>IF($A50="","",$A50&amp;" - "&amp;$B50)</f>
        <v/>
      </c>
      <c r="P50" s="131">
        <f>IF($A50="",0,IF(OR($F50&lt;&gt;0,$G50&lt;&gt;0),1,0))</f>
        <v/>
      </c>
      <c r="Q50" s="131">
        <f>IF($P50=1,SUM($P$8:$P50),"")</f>
        <v/>
      </c>
      <c r="R50" s="131">
        <f>IF($A50="","",$A50&amp;"#"&amp;COUNTIF($A$8:$A50,$A50))</f>
        <v/>
      </c>
      <c r="S50" s="131">
        <f>IF(OR($A50="",$D50=""),0,$E50*$D50)</f>
        <v/>
      </c>
      <c r="T50" s="131">
        <f>IF(OR($A50="",$D50=""),0,$F50*$D50)</f>
        <v/>
      </c>
      <c r="U50" s="131">
        <f>IF(OR($A50="",$D50=""),0,$G50*$D50)</f>
        <v/>
      </c>
      <c r="V50" s="131">
        <f>IF(OR($A50="",$D50=""),0,$H50*$D50)</f>
        <v/>
      </c>
      <c r="W50" s="131">
        <f>IF(OR($A50="",$D50=""),0,$I50*$D50)</f>
        <v/>
      </c>
      <c r="X50" s="131">
        <f>IF(AND($A50&lt;&gt;"",$D50=""),1,0)</f>
        <v/>
      </c>
      <c r="Y50" s="131">
        <f>IF($A50="",0,IF(COUNTIF($O$8:$O$101,$O50)&gt;1,1,0))</f>
        <v/>
      </c>
    </row>
    <row r="51" ht="15" customHeight="1">
      <c r="A51" s="46" t="inlineStr">
        <is>
          <t>THT Brand</t>
        </is>
      </c>
      <c r="B51" s="46" t="inlineStr">
        <is>
          <t>PUD PVN 80/120</t>
        </is>
      </c>
      <c r="C51" s="36" t="inlineStr">
        <is>
          <t>Slab</t>
        </is>
      </c>
      <c r="D51" s="29" t="n">
        <v>2</v>
      </c>
      <c r="E51" s="37" t="n">
        <v>1389</v>
      </c>
      <c r="F51" s="47">
        <f>IF($A51="","",SUMIFS('Daily Entry'!$C$7:$C$5003,'Daily Entry'!$B$7:$B$5003,$O51,'Daily Entry'!$A$7:$A$5003,$E$3))</f>
        <v/>
      </c>
      <c r="G51" s="47">
        <f>IF($A51="","",SUMIFS('Daily Entry'!$D$7:$D$5003,'Daily Entry'!$B$7:$B$5003,$O51,'Daily Entry'!$A$7:$A$5003,$E$3))</f>
        <v/>
      </c>
      <c r="H51" s="48">
        <f>IF($A51="","",SUMIFS('Daily Entry'!$C$7:$C$5003,'Daily Entry'!$B$7:$B$5003,$O51))</f>
        <v/>
      </c>
      <c r="I51" s="48">
        <f>IF($A51="","",SUMIFS('Daily Entry'!$D$7:$D$5003,'Daily Entry'!$B$7:$B$5003,$O51))</f>
        <v/>
      </c>
      <c r="J51" s="49">
        <f>IF($A51="","",$E51+$H51-$I51)</f>
        <v/>
      </c>
      <c r="K51" s="50">
        <f>IF(OR($A51="",$D51=""),"",$J51*$D51)</f>
        <v/>
      </c>
      <c r="L51" s="15" t="n">
        <v>7</v>
      </c>
      <c r="M51" s="51">
        <f>IF(OR($A51="",$D51="",$L51="",$E$4=""),"",$K51*$L51*$E$4)</f>
        <v/>
      </c>
      <c r="O51" s="131">
        <f>IF($A51="","",$A51&amp;" - "&amp;$B51)</f>
        <v/>
      </c>
      <c r="P51" s="131">
        <f>IF($A51="",0,IF(OR($F51&lt;&gt;0,$G51&lt;&gt;0),1,0))</f>
        <v/>
      </c>
      <c r="Q51" s="131">
        <f>IF($P51=1,SUM($P$8:$P51),"")</f>
        <v/>
      </c>
      <c r="R51" s="131">
        <f>IF($A51="","",$A51&amp;"#"&amp;COUNTIF($A$8:$A51,$A51))</f>
        <v/>
      </c>
      <c r="S51" s="131">
        <f>IF(OR($A51="",$D51=""),0,$E51*$D51)</f>
        <v/>
      </c>
      <c r="T51" s="131">
        <f>IF(OR($A51="",$D51=""),0,$F51*$D51)</f>
        <v/>
      </c>
      <c r="U51" s="131">
        <f>IF(OR($A51="",$D51=""),0,$G51*$D51)</f>
        <v/>
      </c>
      <c r="V51" s="131">
        <f>IF(OR($A51="",$D51=""),0,$H51*$D51)</f>
        <v/>
      </c>
      <c r="W51" s="131">
        <f>IF(OR($A51="",$D51=""),0,$I51*$D51)</f>
        <v/>
      </c>
      <c r="X51" s="131">
        <f>IF(AND($A51&lt;&gt;"",$D51=""),1,0)</f>
        <v/>
      </c>
      <c r="Y51" s="131">
        <f>IF($A51="",0,IF(COUNTIF($O$8:$O$101,$O51)&gt;1,1,0))</f>
        <v/>
      </c>
    </row>
    <row r="52" ht="15" customHeight="1">
      <c r="A52" s="9" t="inlineStr">
        <is>
          <t>THT Brand</t>
        </is>
      </c>
      <c r="B52" s="9" t="inlineStr">
        <is>
          <t>PUD PVN 100/200</t>
        </is>
      </c>
      <c r="C52" s="43" t="inlineStr">
        <is>
          <t>Slab</t>
        </is>
      </c>
      <c r="D52" s="45" t="n">
        <v>2</v>
      </c>
      <c r="E52" s="44" t="n">
        <v>7055</v>
      </c>
      <c r="F52" s="11">
        <f>IF($A52="","",SUMIFS('Daily Entry'!$C$7:$C$5003,'Daily Entry'!$B$7:$B$5003,$O52,'Daily Entry'!$A$7:$A$5003,$E$3))</f>
        <v/>
      </c>
      <c r="G52" s="11">
        <f>IF($A52="","",SUMIFS('Daily Entry'!$D$7:$D$5003,'Daily Entry'!$B$7:$B$5003,$O52,'Daily Entry'!$A$7:$A$5003,$E$3))</f>
        <v/>
      </c>
      <c r="H52" s="12">
        <f>IF($A52="","",SUMIFS('Daily Entry'!$C$7:$C$5003,'Daily Entry'!$B$7:$B$5003,$O52))</f>
        <v/>
      </c>
      <c r="I52" s="12">
        <f>IF($A52="","",SUMIFS('Daily Entry'!$D$7:$D$5003,'Daily Entry'!$B$7:$B$5003,$O52))</f>
        <v/>
      </c>
      <c r="J52" s="13">
        <f>IF($A52="","",$E52+$H52-$I52)</f>
        <v/>
      </c>
      <c r="K52" s="14">
        <f>IF(OR($A52="",$D52=""),"",$J52*$D52)</f>
        <v/>
      </c>
      <c r="L52" s="17" t="n">
        <v>6.5</v>
      </c>
      <c r="M52" s="16">
        <f>IF(OR($A52="",$D52="",$L52="",$E$4=""),"",$K52*$L52*$E$4)</f>
        <v/>
      </c>
      <c r="O52" s="131">
        <f>IF($A52="","",$A52&amp;" - "&amp;$B52)</f>
        <v/>
      </c>
      <c r="P52" s="131">
        <f>IF($A52="",0,IF(OR($F52&lt;&gt;0,$G52&lt;&gt;0),1,0))</f>
        <v/>
      </c>
      <c r="Q52" s="131">
        <f>IF($P52=1,SUM($P$8:$P52),"")</f>
        <v/>
      </c>
      <c r="R52" s="131">
        <f>IF($A52="","",$A52&amp;"#"&amp;COUNTIF($A$8:$A52,$A52))</f>
        <v/>
      </c>
      <c r="S52" s="131">
        <f>IF(OR($A52="",$D52=""),0,$E52*$D52)</f>
        <v/>
      </c>
      <c r="T52" s="131">
        <f>IF(OR($A52="",$D52=""),0,$F52*$D52)</f>
        <v/>
      </c>
      <c r="U52" s="131">
        <f>IF(OR($A52="",$D52=""),0,$G52*$D52)</f>
        <v/>
      </c>
      <c r="V52" s="131">
        <f>IF(OR($A52="",$D52=""),0,$H52*$D52)</f>
        <v/>
      </c>
      <c r="W52" s="131">
        <f>IF(OR($A52="",$D52=""),0,$I52*$D52)</f>
        <v/>
      </c>
      <c r="X52" s="131">
        <f>IF(AND($A52&lt;&gt;"",$D52=""),1,0)</f>
        <v/>
      </c>
      <c r="Y52" s="131">
        <f>IF($A52="",0,IF(COUNTIF($O$8:$O$101,$O52)&gt;1,1,0))</f>
        <v/>
      </c>
    </row>
    <row r="53" ht="15" customHeight="1">
      <c r="A53" s="46" t="inlineStr">
        <is>
          <t>THT Brand</t>
        </is>
      </c>
      <c r="B53" s="46" t="inlineStr">
        <is>
          <t>PUD PVN 200/300</t>
        </is>
      </c>
      <c r="C53" s="36" t="inlineStr">
        <is>
          <t>Slab</t>
        </is>
      </c>
      <c r="D53" s="29" t="n">
        <v>2</v>
      </c>
      <c r="E53" s="37" t="n">
        <v>4682</v>
      </c>
      <c r="F53" s="47">
        <f>IF($A53="","",SUMIFS('Daily Entry'!$C$7:$C$5003,'Daily Entry'!$B$7:$B$5003,$O53,'Daily Entry'!$A$7:$A$5003,$E$3))</f>
        <v/>
      </c>
      <c r="G53" s="47">
        <f>IF($A53="","",SUMIFS('Daily Entry'!$D$7:$D$5003,'Daily Entry'!$B$7:$B$5003,$O53,'Daily Entry'!$A$7:$A$5003,$E$3))</f>
        <v/>
      </c>
      <c r="H53" s="48">
        <f>IF($A53="","",SUMIFS('Daily Entry'!$C$7:$C$5003,'Daily Entry'!$B$7:$B$5003,$O53))</f>
        <v/>
      </c>
      <c r="I53" s="48">
        <f>IF($A53="","",SUMIFS('Daily Entry'!$D$7:$D$5003,'Daily Entry'!$B$7:$B$5003,$O53))</f>
        <v/>
      </c>
      <c r="J53" s="49">
        <f>IF($A53="","",$E53+$H53-$I53)</f>
        <v/>
      </c>
      <c r="K53" s="50">
        <f>IF(OR($A53="",$D53=""),"",$J53*$D53)</f>
        <v/>
      </c>
      <c r="L53" s="15" t="n">
        <v>6</v>
      </c>
      <c r="M53" s="51">
        <f>IF(OR($A53="",$D53="",$L53="",$E$4=""),"",$K53*$L53*$E$4)</f>
        <v/>
      </c>
      <c r="O53" s="131">
        <f>IF($A53="","",$A53&amp;" - "&amp;$B53)</f>
        <v/>
      </c>
      <c r="P53" s="131">
        <f>IF($A53="",0,IF(OR($F53&lt;&gt;0,$G53&lt;&gt;0),1,0))</f>
        <v/>
      </c>
      <c r="Q53" s="131">
        <f>IF($P53=1,SUM($P$8:$P53),"")</f>
        <v/>
      </c>
      <c r="R53" s="131">
        <f>IF($A53="","",$A53&amp;"#"&amp;COUNTIF($A$8:$A53,$A53))</f>
        <v/>
      </c>
      <c r="S53" s="131">
        <f>IF(OR($A53="",$D53=""),0,$E53*$D53)</f>
        <v/>
      </c>
      <c r="T53" s="131">
        <f>IF(OR($A53="",$D53=""),0,$F53*$D53)</f>
        <v/>
      </c>
      <c r="U53" s="131">
        <f>IF(OR($A53="",$D53=""),0,$G53*$D53)</f>
        <v/>
      </c>
      <c r="V53" s="131">
        <f>IF(OR($A53="",$D53=""),0,$H53*$D53)</f>
        <v/>
      </c>
      <c r="W53" s="131">
        <f>IF(OR($A53="",$D53=""),0,$I53*$D53)</f>
        <v/>
      </c>
      <c r="X53" s="131">
        <f>IF(AND($A53&lt;&gt;"",$D53=""),1,0)</f>
        <v/>
      </c>
      <c r="Y53" s="131">
        <f>IF($A53="",0,IF(COUNTIF($O$8:$O$101,$O53)&gt;1,1,0))</f>
        <v/>
      </c>
    </row>
    <row r="54" ht="15" customHeight="1">
      <c r="A54" s="9" t="inlineStr">
        <is>
          <t>China</t>
        </is>
      </c>
      <c r="B54" s="9" t="inlineStr">
        <is>
          <t>PUD PVN 300/500</t>
        </is>
      </c>
      <c r="C54" s="43" t="inlineStr">
        <is>
          <t>Slab</t>
        </is>
      </c>
      <c r="D54" s="45" t="n">
        <v>2</v>
      </c>
      <c r="E54" s="44" t="n">
        <v>451</v>
      </c>
      <c r="F54" s="11">
        <f>IF($A54="","",SUMIFS('Daily Entry'!$C$7:$C$5003,'Daily Entry'!$B$7:$B$5003,$O54,'Daily Entry'!$A$7:$A$5003,$E$3))</f>
        <v/>
      </c>
      <c r="G54" s="11">
        <f>IF($A54="","",SUMIFS('Daily Entry'!$D$7:$D$5003,'Daily Entry'!$B$7:$B$5003,$O54,'Daily Entry'!$A$7:$A$5003,$E$3))</f>
        <v/>
      </c>
      <c r="H54" s="12">
        <f>IF($A54="","",SUMIFS('Daily Entry'!$C$7:$C$5003,'Daily Entry'!$B$7:$B$5003,$O54))</f>
        <v/>
      </c>
      <c r="I54" s="12">
        <f>IF($A54="","",SUMIFS('Daily Entry'!$D$7:$D$5003,'Daily Entry'!$B$7:$B$5003,$O54))</f>
        <v/>
      </c>
      <c r="J54" s="13">
        <f>IF($A54="","",$E54+$H54-$I54)</f>
        <v/>
      </c>
      <c r="K54" s="14">
        <f>IF(OR($A54="",$D54=""),"",$J54*$D54)</f>
        <v/>
      </c>
      <c r="L54" s="17" t="n">
        <v>4.5</v>
      </c>
      <c r="M54" s="16">
        <f>IF(OR($A54="",$D54="",$L54="",$E$4=""),"",$K54*$L54*$E$4)</f>
        <v/>
      </c>
      <c r="O54" s="131">
        <f>IF($A54="","",$A54&amp;" - "&amp;$B54)</f>
        <v/>
      </c>
      <c r="P54" s="131">
        <f>IF($A54="",0,IF(OR($F54&lt;&gt;0,$G54&lt;&gt;0),1,0))</f>
        <v/>
      </c>
      <c r="Q54" s="131">
        <f>IF($P54=1,SUM($P$8:$P54),"")</f>
        <v/>
      </c>
      <c r="R54" s="131">
        <f>IF($A54="","",$A54&amp;"#"&amp;COUNTIF($A$8:$A54,$A54))</f>
        <v/>
      </c>
      <c r="S54" s="131">
        <f>IF(OR($A54="",$D54=""),0,$E54*$D54)</f>
        <v/>
      </c>
      <c r="T54" s="131">
        <f>IF(OR($A54="",$D54=""),0,$F54*$D54)</f>
        <v/>
      </c>
      <c r="U54" s="131">
        <f>IF(OR($A54="",$D54=""),0,$G54*$D54)</f>
        <v/>
      </c>
      <c r="V54" s="131">
        <f>IF(OR($A54="",$D54=""),0,$H54*$D54)</f>
        <v/>
      </c>
      <c r="W54" s="131">
        <f>IF(OR($A54="",$D54=""),0,$I54*$D54)</f>
        <v/>
      </c>
      <c r="X54" s="131">
        <f>IF(AND($A54&lt;&gt;"",$D54=""),1,0)</f>
        <v/>
      </c>
      <c r="Y54" s="131">
        <f>IF($A54="",0,IF(COUNTIF($O$8:$O$101,$O54)&gt;1,1,0))</f>
        <v/>
      </c>
    </row>
    <row r="55" ht="15" customHeight="1">
      <c r="A55" s="46" t="inlineStr">
        <is>
          <t>China</t>
        </is>
      </c>
      <c r="B55" s="46" t="inlineStr">
        <is>
          <t>PUD KKD 300/500</t>
        </is>
      </c>
      <c r="C55" s="36" t="inlineStr">
        <is>
          <t>Slab</t>
        </is>
      </c>
      <c r="D55" s="29" t="n">
        <v>2</v>
      </c>
      <c r="E55" s="37" t="n">
        <v>188</v>
      </c>
      <c r="F55" s="47">
        <f>IF($A55="","",SUMIFS('Daily Entry'!$C$7:$C$5003,'Daily Entry'!$B$7:$B$5003,$O55,'Daily Entry'!$A$7:$A$5003,$E$3))</f>
        <v/>
      </c>
      <c r="G55" s="47">
        <f>IF($A55="","",SUMIFS('Daily Entry'!$D$7:$D$5003,'Daily Entry'!$B$7:$B$5003,$O55,'Daily Entry'!$A$7:$A$5003,$E$3))</f>
        <v/>
      </c>
      <c r="H55" s="48">
        <f>IF($A55="","",SUMIFS('Daily Entry'!$C$7:$C$5003,'Daily Entry'!$B$7:$B$5003,$O55))</f>
        <v/>
      </c>
      <c r="I55" s="48">
        <f>IF($A55="","",SUMIFS('Daily Entry'!$D$7:$D$5003,'Daily Entry'!$B$7:$B$5003,$O55))</f>
        <v/>
      </c>
      <c r="J55" s="49">
        <f>IF($A55="","",$E55+$H55-$I55)</f>
        <v/>
      </c>
      <c r="K55" s="50">
        <f>IF(OR($A55="",$D55=""),"",$J55*$D55)</f>
        <v/>
      </c>
      <c r="L55" s="15" t="n">
        <v>4.5</v>
      </c>
      <c r="M55" s="51">
        <f>IF(OR($A55="",$D55="",$L55="",$E$4=""),"",$K55*$L55*$E$4)</f>
        <v/>
      </c>
      <c r="O55" s="131">
        <f>IF($A55="","",$A55&amp;" - "&amp;$B55)</f>
        <v/>
      </c>
      <c r="P55" s="131">
        <f>IF($A55="",0,IF(OR($F55&lt;&gt;0,$G55&lt;&gt;0),1,0))</f>
        <v/>
      </c>
      <c r="Q55" s="131">
        <f>IF($P55=1,SUM($P$8:$P55),"")</f>
        <v/>
      </c>
      <c r="R55" s="131">
        <f>IF($A55="","",$A55&amp;"#"&amp;COUNTIF($A$8:$A55,$A55))</f>
        <v/>
      </c>
      <c r="S55" s="131">
        <f>IF(OR($A55="",$D55=""),0,$E55*$D55)</f>
        <v/>
      </c>
      <c r="T55" s="131">
        <f>IF(OR($A55="",$D55=""),0,$F55*$D55)</f>
        <v/>
      </c>
      <c r="U55" s="131">
        <f>IF(OR($A55="",$D55=""),0,$G55*$D55)</f>
        <v/>
      </c>
      <c r="V55" s="131">
        <f>IF(OR($A55="",$D55=""),0,$H55*$D55)</f>
        <v/>
      </c>
      <c r="W55" s="131">
        <f>IF(OR($A55="",$D55=""),0,$I55*$D55)</f>
        <v/>
      </c>
      <c r="X55" s="131">
        <f>IF(AND($A55&lt;&gt;"",$D55=""),1,0)</f>
        <v/>
      </c>
      <c r="Y55" s="131">
        <f>IF($A55="",0,IF(COUNTIF($O$8:$O$101,$O55)&gt;1,1,0))</f>
        <v/>
      </c>
    </row>
    <row r="56" ht="15" customHeight="1">
      <c r="A56" s="9" t="inlineStr">
        <is>
          <t>China</t>
        </is>
      </c>
      <c r="B56" s="9" t="inlineStr">
        <is>
          <t>PUD PVN 500/800</t>
        </is>
      </c>
      <c r="C56" s="43" t="inlineStr">
        <is>
          <t>Slab</t>
        </is>
      </c>
      <c r="D56" s="45" t="n">
        <v>2</v>
      </c>
      <c r="E56" s="44" t="n">
        <v>401</v>
      </c>
      <c r="F56" s="11">
        <f>IF($A56="","",SUMIFS('Daily Entry'!$C$7:$C$5003,'Daily Entry'!$B$7:$B$5003,$O56,'Daily Entry'!$A$7:$A$5003,$E$3))</f>
        <v/>
      </c>
      <c r="G56" s="11">
        <f>IF($A56="","",SUMIFS('Daily Entry'!$D$7:$D$5003,'Daily Entry'!$B$7:$B$5003,$O56,'Daily Entry'!$A$7:$A$5003,$E$3))</f>
        <v/>
      </c>
      <c r="H56" s="12">
        <f>IF($A56="","",SUMIFS('Daily Entry'!$C$7:$C$5003,'Daily Entry'!$B$7:$B$5003,$O56))</f>
        <v/>
      </c>
      <c r="I56" s="12">
        <f>IF($A56="","",SUMIFS('Daily Entry'!$D$7:$D$5003,'Daily Entry'!$B$7:$B$5003,$O56))</f>
        <v/>
      </c>
      <c r="J56" s="13">
        <f>IF($A56="","",$E56+$H56-$I56)</f>
        <v/>
      </c>
      <c r="K56" s="14">
        <f>IF(OR($A56="",$D56=""),"",$J56*$D56)</f>
        <v/>
      </c>
      <c r="L56" s="17" t="n">
        <v>4</v>
      </c>
      <c r="M56" s="16">
        <f>IF(OR($A56="",$D56="",$L56="",$E$4=""),"",$K56*$L56*$E$4)</f>
        <v/>
      </c>
      <c r="O56" s="131">
        <f>IF($A56="","",$A56&amp;" - "&amp;$B56)</f>
        <v/>
      </c>
      <c r="P56" s="131">
        <f>IF($A56="",0,IF(OR($F56&lt;&gt;0,$G56&lt;&gt;0),1,0))</f>
        <v/>
      </c>
      <c r="Q56" s="131">
        <f>IF($P56=1,SUM($P$8:$P56),"")</f>
        <v/>
      </c>
      <c r="R56" s="131">
        <f>IF($A56="","",$A56&amp;"#"&amp;COUNTIF($A$8:$A56,$A56))</f>
        <v/>
      </c>
      <c r="S56" s="131">
        <f>IF(OR($A56="",$D56=""),0,$E56*$D56)</f>
        <v/>
      </c>
      <c r="T56" s="131">
        <f>IF(OR($A56="",$D56=""),0,$F56*$D56)</f>
        <v/>
      </c>
      <c r="U56" s="131">
        <f>IF(OR($A56="",$D56=""),0,$G56*$D56)</f>
        <v/>
      </c>
      <c r="V56" s="131">
        <f>IF(OR($A56="",$D56=""),0,$H56*$D56)</f>
        <v/>
      </c>
      <c r="W56" s="131">
        <f>IF(OR($A56="",$D56=""),0,$I56*$D56)</f>
        <v/>
      </c>
      <c r="X56" s="131">
        <f>IF(AND($A56&lt;&gt;"",$D56=""),1,0)</f>
        <v/>
      </c>
      <c r="Y56" s="131">
        <f>IF($A56="",0,IF(COUNTIF($O$8:$O$101,$O56)&gt;1,1,0))</f>
        <v/>
      </c>
    </row>
    <row r="57" ht="15" customHeight="1">
      <c r="A57" s="46" t="inlineStr">
        <is>
          <t>China</t>
        </is>
      </c>
      <c r="B57" s="46" t="inlineStr">
        <is>
          <t>PUD KKD 500/800</t>
        </is>
      </c>
      <c r="C57" s="36" t="inlineStr">
        <is>
          <t>Slab</t>
        </is>
      </c>
      <c r="D57" s="29" t="n">
        <v>2</v>
      </c>
      <c r="E57" s="37" t="n">
        <v>1920</v>
      </c>
      <c r="F57" s="47">
        <f>IF($A57="","",SUMIFS('Daily Entry'!$C$7:$C$5003,'Daily Entry'!$B$7:$B$5003,$O57,'Daily Entry'!$A$7:$A$5003,$E$3))</f>
        <v/>
      </c>
      <c r="G57" s="47">
        <f>IF($A57="","",SUMIFS('Daily Entry'!$D$7:$D$5003,'Daily Entry'!$B$7:$B$5003,$O57,'Daily Entry'!$A$7:$A$5003,$E$3))</f>
        <v/>
      </c>
      <c r="H57" s="48">
        <f>IF($A57="","",SUMIFS('Daily Entry'!$C$7:$C$5003,'Daily Entry'!$B$7:$B$5003,$O57))</f>
        <v/>
      </c>
      <c r="I57" s="48">
        <f>IF($A57="","",SUMIFS('Daily Entry'!$D$7:$D$5003,'Daily Entry'!$B$7:$B$5003,$O57))</f>
        <v/>
      </c>
      <c r="J57" s="49">
        <f>IF($A57="","",$E57+$H57-$I57)</f>
        <v/>
      </c>
      <c r="K57" s="50">
        <f>IF(OR($A57="",$D57=""),"",$J57*$D57)</f>
        <v/>
      </c>
      <c r="L57" s="15" t="n">
        <v>4</v>
      </c>
      <c r="M57" s="51">
        <f>IF(OR($A57="",$D57="",$L57="",$E$4=""),"",$K57*$L57*$E$4)</f>
        <v/>
      </c>
      <c r="O57" s="131">
        <f>IF($A57="","",$A57&amp;" - "&amp;$B57)</f>
        <v/>
      </c>
      <c r="P57" s="131">
        <f>IF($A57="",0,IF(OR($F57&lt;&gt;0,$G57&lt;&gt;0),1,0))</f>
        <v/>
      </c>
      <c r="Q57" s="131">
        <f>IF($P57=1,SUM($P$8:$P57),"")</f>
        <v/>
      </c>
      <c r="R57" s="131">
        <f>IF($A57="","",$A57&amp;"#"&amp;COUNTIF($A$8:$A57,$A57))</f>
        <v/>
      </c>
      <c r="S57" s="131">
        <f>IF(OR($A57="",$D57=""),0,$E57*$D57)</f>
        <v/>
      </c>
      <c r="T57" s="131">
        <f>IF(OR($A57="",$D57=""),0,$F57*$D57)</f>
        <v/>
      </c>
      <c r="U57" s="131">
        <f>IF(OR($A57="",$D57=""),0,$G57*$D57)</f>
        <v/>
      </c>
      <c r="V57" s="131">
        <f>IF(OR($A57="",$D57=""),0,$H57*$D57)</f>
        <v/>
      </c>
      <c r="W57" s="131">
        <f>IF(OR($A57="",$D57=""),0,$I57*$D57)</f>
        <v/>
      </c>
      <c r="X57" s="131">
        <f>IF(AND($A57&lt;&gt;"",$D57=""),1,0)</f>
        <v/>
      </c>
      <c r="Y57" s="131">
        <f>IF($A57="",0,IF(COUNTIF($O$8:$O$101,$O57)&gt;1,1,0))</f>
        <v/>
      </c>
    </row>
    <row r="58" ht="15" customHeight="1">
      <c r="A58" s="9" t="inlineStr">
        <is>
          <t>Deep Sea</t>
        </is>
      </c>
      <c r="B58" s="9" t="inlineStr">
        <is>
          <t>PUD 300/500</t>
        </is>
      </c>
      <c r="C58" s="43" t="inlineStr">
        <is>
          <t>Slab</t>
        </is>
      </c>
      <c r="D58" s="45" t="n">
        <v>2</v>
      </c>
      <c r="E58" s="44" t="n">
        <v>670</v>
      </c>
      <c r="F58" s="11">
        <f>IF($A58="","",SUMIFS('Daily Entry'!$C$7:$C$5003,'Daily Entry'!$B$7:$B$5003,$O58,'Daily Entry'!$A$7:$A$5003,$E$3))</f>
        <v/>
      </c>
      <c r="G58" s="11">
        <f>IF($A58="","",SUMIFS('Daily Entry'!$D$7:$D$5003,'Daily Entry'!$B$7:$B$5003,$O58,'Daily Entry'!$A$7:$A$5003,$E$3))</f>
        <v/>
      </c>
      <c r="H58" s="12">
        <f>IF($A58="","",SUMIFS('Daily Entry'!$C$7:$C$5003,'Daily Entry'!$B$7:$B$5003,$O58))</f>
        <v/>
      </c>
      <c r="I58" s="12">
        <f>IF($A58="","",SUMIFS('Daily Entry'!$D$7:$D$5003,'Daily Entry'!$B$7:$B$5003,$O58))</f>
        <v/>
      </c>
      <c r="J58" s="13">
        <f>IF($A58="","",$E58+$H58-$I58)</f>
        <v/>
      </c>
      <c r="K58" s="14">
        <f>IF(OR($A58="",$D58=""),"",$J58*$D58)</f>
        <v/>
      </c>
      <c r="L58" s="17" t="n">
        <v>3.5</v>
      </c>
      <c r="M58" s="16">
        <f>IF(OR($A58="",$D58="",$L58="",$E$4=""),"",$K58*$L58*$E$4)</f>
        <v/>
      </c>
      <c r="O58" s="131">
        <f>IF($A58="","",$A58&amp;" - "&amp;$B58)</f>
        <v/>
      </c>
      <c r="P58" s="131">
        <f>IF($A58="",0,IF(OR($F58&lt;&gt;0,$G58&lt;&gt;0),1,0))</f>
        <v/>
      </c>
      <c r="Q58" s="131">
        <f>IF($P58=1,SUM($P$8:$P58),"")</f>
        <v/>
      </c>
      <c r="R58" s="131">
        <f>IF($A58="","",$A58&amp;"#"&amp;COUNTIF($A$8:$A58,$A58))</f>
        <v/>
      </c>
      <c r="S58" s="131">
        <f>IF(OR($A58="",$D58=""),0,$E58*$D58)</f>
        <v/>
      </c>
      <c r="T58" s="131">
        <f>IF(OR($A58="",$D58=""),0,$F58*$D58)</f>
        <v/>
      </c>
      <c r="U58" s="131">
        <f>IF(OR($A58="",$D58=""),0,$G58*$D58)</f>
        <v/>
      </c>
      <c r="V58" s="131">
        <f>IF(OR($A58="",$D58=""),0,$H58*$D58)</f>
        <v/>
      </c>
      <c r="W58" s="131">
        <f>IF(OR($A58="",$D58=""),0,$I58*$D58)</f>
        <v/>
      </c>
      <c r="X58" s="131">
        <f>IF(AND($A58&lt;&gt;"",$D58=""),1,0)</f>
        <v/>
      </c>
      <c r="Y58" s="131">
        <f>IF($A58="",0,IF(COUNTIF($O$8:$O$101,$O58)&gt;1,1,0))</f>
        <v/>
      </c>
    </row>
    <row r="59" ht="15" customHeight="1">
      <c r="A59" s="46" t="inlineStr">
        <is>
          <t>Shrimp Whole</t>
        </is>
      </c>
      <c r="B59" s="46" t="inlineStr">
        <is>
          <t>HOSO PVN 4-7</t>
        </is>
      </c>
      <c r="C59" s="36" t="inlineStr">
        <is>
          <t>Slab</t>
        </is>
      </c>
      <c r="D59" s="29" t="n">
        <v>3</v>
      </c>
      <c r="E59" s="37" t="n">
        <v>0</v>
      </c>
      <c r="F59" s="47">
        <f>IF($A59="","",SUMIFS('Daily Entry'!$C$7:$C$5003,'Daily Entry'!$B$7:$B$5003,$O59,'Daily Entry'!$A$7:$A$5003,$E$3))</f>
        <v/>
      </c>
      <c r="G59" s="47">
        <f>IF($A59="","",SUMIFS('Daily Entry'!$D$7:$D$5003,'Daily Entry'!$B$7:$B$5003,$O59,'Daily Entry'!$A$7:$A$5003,$E$3))</f>
        <v/>
      </c>
      <c r="H59" s="48">
        <f>IF($A59="","",SUMIFS('Daily Entry'!$C$7:$C$5003,'Daily Entry'!$B$7:$B$5003,$O59))</f>
        <v/>
      </c>
      <c r="I59" s="48">
        <f>IF($A59="","",SUMIFS('Daily Entry'!$D$7:$D$5003,'Daily Entry'!$B$7:$B$5003,$O59))</f>
        <v/>
      </c>
      <c r="J59" s="49">
        <f>IF($A59="","",$E59+$H59-$I59)</f>
        <v/>
      </c>
      <c r="K59" s="50">
        <f>IF(OR($A59="",$D59=""),"",$J59*$D59)</f>
        <v/>
      </c>
      <c r="L59" s="15" t="n">
        <v>4</v>
      </c>
      <c r="M59" s="51">
        <f>IF(OR($A59="",$D59="",$L59="",$E$4=""),"",$K59*$L59*$E$4)</f>
        <v/>
      </c>
      <c r="O59" s="131">
        <f>IF($A59="","",$A59&amp;" - "&amp;$B59)</f>
        <v/>
      </c>
      <c r="P59" s="131">
        <f>IF($A59="",0,IF(OR($F59&lt;&gt;0,$G59&lt;&gt;0),1,0))</f>
        <v/>
      </c>
      <c r="Q59" s="131">
        <f>IF($P59=1,SUM($P$8:$P59),"")</f>
        <v/>
      </c>
      <c r="R59" s="131">
        <f>IF($A59="","",$A59&amp;"#"&amp;COUNTIF($A$8:$A59,$A59))</f>
        <v/>
      </c>
      <c r="S59" s="131">
        <f>IF(OR($A59="",$D59=""),0,$E59*$D59)</f>
        <v/>
      </c>
      <c r="T59" s="131">
        <f>IF(OR($A59="",$D59=""),0,$F59*$D59)</f>
        <v/>
      </c>
      <c r="U59" s="131">
        <f>IF(OR($A59="",$D59=""),0,$G59*$D59)</f>
        <v/>
      </c>
      <c r="V59" s="131">
        <f>IF(OR($A59="",$D59=""),0,$H59*$D59)</f>
        <v/>
      </c>
      <c r="W59" s="131">
        <f>IF(OR($A59="",$D59=""),0,$I59*$D59)</f>
        <v/>
      </c>
      <c r="X59" s="131">
        <f>IF(AND($A59&lt;&gt;"",$D59=""),1,0)</f>
        <v/>
      </c>
      <c r="Y59" s="131">
        <f>IF($A59="",0,IF(COUNTIF($O$8:$O$101,$O59)&gt;1,1,0))</f>
        <v/>
      </c>
    </row>
    <row r="60" ht="15" customHeight="1">
      <c r="A60" s="9" t="inlineStr">
        <is>
          <t>Tuna</t>
        </is>
      </c>
      <c r="B60" s="9" t="inlineStr">
        <is>
          <t>SKIPJACK 1/2</t>
        </is>
      </c>
      <c r="C60" s="43" t="inlineStr">
        <is>
          <t>Kg</t>
        </is>
      </c>
      <c r="D60" s="45" t="n">
        <v>1</v>
      </c>
      <c r="E60" s="44" t="n">
        <v>0</v>
      </c>
      <c r="F60" s="11">
        <f>IF($A60="","",SUMIFS('Daily Entry'!$C$7:$C$5003,'Daily Entry'!$B$7:$B$5003,$O60,'Daily Entry'!$A$7:$A$5003,$E$3))</f>
        <v/>
      </c>
      <c r="G60" s="11">
        <f>IF($A60="","",SUMIFS('Daily Entry'!$D$7:$D$5003,'Daily Entry'!$B$7:$B$5003,$O60,'Daily Entry'!$A$7:$A$5003,$E$3))</f>
        <v/>
      </c>
      <c r="H60" s="12">
        <f>IF($A60="","",SUMIFS('Daily Entry'!$C$7:$C$5003,'Daily Entry'!$B$7:$B$5003,$O60))</f>
        <v/>
      </c>
      <c r="I60" s="12">
        <f>IF($A60="","",SUMIFS('Daily Entry'!$D$7:$D$5003,'Daily Entry'!$B$7:$B$5003,$O60))</f>
        <v/>
      </c>
      <c r="J60" s="13">
        <f>IF($A60="","",$E60+$H60-$I60)</f>
        <v/>
      </c>
      <c r="K60" s="14">
        <f>IF(OR($A60="",$D60=""),"",$J60*$D60)</f>
        <v/>
      </c>
      <c r="L60" s="17" t="n"/>
      <c r="M60" s="16">
        <f>IF(OR($A60="",$D60="",$L60="",$E$4=""),"",$K60*$L60*$E$4)</f>
        <v/>
      </c>
      <c r="O60" s="131">
        <f>IF($A60="","",$A60&amp;" - "&amp;$B60)</f>
        <v/>
      </c>
      <c r="P60" s="131">
        <f>IF($A60="",0,IF(OR($F60&lt;&gt;0,$G60&lt;&gt;0),1,0))</f>
        <v/>
      </c>
      <c r="Q60" s="131">
        <f>IF($P60=1,SUM($P$8:$P60),"")</f>
        <v/>
      </c>
      <c r="R60" s="131">
        <f>IF($A60="","",$A60&amp;"#"&amp;COUNTIF($A$8:$A60,$A60))</f>
        <v/>
      </c>
      <c r="S60" s="131">
        <f>IF(OR($A60="",$D60=""),0,$E60*$D60)</f>
        <v/>
      </c>
      <c r="T60" s="131">
        <f>IF(OR($A60="",$D60=""),0,$F60*$D60)</f>
        <v/>
      </c>
      <c r="U60" s="131">
        <f>IF(OR($A60="",$D60=""),0,$G60*$D60)</f>
        <v/>
      </c>
      <c r="V60" s="131">
        <f>IF(OR($A60="",$D60=""),0,$H60*$D60)</f>
        <v/>
      </c>
      <c r="W60" s="131">
        <f>IF(OR($A60="",$D60=""),0,$I60*$D60)</f>
        <v/>
      </c>
      <c r="X60" s="131">
        <f>IF(AND($A60&lt;&gt;"",$D60=""),1,0)</f>
        <v/>
      </c>
      <c r="Y60" s="131">
        <f>IF($A60="",0,IF(COUNTIF($O$8:$O$101,$O60)&gt;1,1,0))</f>
        <v/>
      </c>
    </row>
    <row r="61" ht="15" customHeight="1">
      <c r="A61" s="46" t="inlineStr">
        <is>
          <t>Tuna</t>
        </is>
      </c>
      <c r="B61" s="46" t="inlineStr">
        <is>
          <t>SKIPJACK 2/4</t>
        </is>
      </c>
      <c r="C61" s="36" t="inlineStr">
        <is>
          <t>Kg</t>
        </is>
      </c>
      <c r="D61" s="29" t="n">
        <v>1</v>
      </c>
      <c r="E61" s="37" t="n">
        <v>14946.5</v>
      </c>
      <c r="F61" s="47">
        <f>IF($A61="","",SUMIFS('Daily Entry'!$C$7:$C$5003,'Daily Entry'!$B$7:$B$5003,$O61,'Daily Entry'!$A$7:$A$5003,$E$3))</f>
        <v/>
      </c>
      <c r="G61" s="47">
        <f>IF($A61="","",SUMIFS('Daily Entry'!$D$7:$D$5003,'Daily Entry'!$B$7:$B$5003,$O61,'Daily Entry'!$A$7:$A$5003,$E$3))</f>
        <v/>
      </c>
      <c r="H61" s="48">
        <f>IF($A61="","",SUMIFS('Daily Entry'!$C$7:$C$5003,'Daily Entry'!$B$7:$B$5003,$O61))</f>
        <v/>
      </c>
      <c r="I61" s="48">
        <f>IF($A61="","",SUMIFS('Daily Entry'!$D$7:$D$5003,'Daily Entry'!$B$7:$B$5003,$O61))</f>
        <v/>
      </c>
      <c r="J61" s="49">
        <f>IF($A61="","",$E61+$H61-$I61)</f>
        <v/>
      </c>
      <c r="K61" s="50">
        <f>IF(OR($A61="",$D61=""),"",$J61*$D61)</f>
        <v/>
      </c>
      <c r="L61" s="15" t="n">
        <v>1.58</v>
      </c>
      <c r="M61" s="51">
        <f>IF(OR($A61="",$D61="",$L61="",$E$4=""),"",$K61*$L61*$E$4)</f>
        <v/>
      </c>
      <c r="O61" s="131">
        <f>IF($A61="","",$A61&amp;" - "&amp;$B61)</f>
        <v/>
      </c>
      <c r="P61" s="131">
        <f>IF($A61="",0,IF(OR($F61&lt;&gt;0,$G61&lt;&gt;0),1,0))</f>
        <v/>
      </c>
      <c r="Q61" s="131">
        <f>IF($P61=1,SUM($P$8:$P61),"")</f>
        <v/>
      </c>
      <c r="R61" s="131">
        <f>IF($A61="","",$A61&amp;"#"&amp;COUNTIF($A$8:$A61,$A61))</f>
        <v/>
      </c>
      <c r="S61" s="131">
        <f>IF(OR($A61="",$D61=""),0,$E61*$D61)</f>
        <v/>
      </c>
      <c r="T61" s="131">
        <f>IF(OR($A61="",$D61=""),0,$F61*$D61)</f>
        <v/>
      </c>
      <c r="U61" s="131">
        <f>IF(OR($A61="",$D61=""),0,$G61*$D61)</f>
        <v/>
      </c>
      <c r="V61" s="131">
        <f>IF(OR($A61="",$D61=""),0,$H61*$D61)</f>
        <v/>
      </c>
      <c r="W61" s="131">
        <f>IF(OR($A61="",$D61=""),0,$I61*$D61)</f>
        <v/>
      </c>
      <c r="X61" s="131">
        <f>IF(AND($A61&lt;&gt;"",$D61=""),1,0)</f>
        <v/>
      </c>
      <c r="Y61" s="131">
        <f>IF($A61="",0,IF(COUNTIF($O$8:$O$101,$O61)&gt;1,1,0))</f>
        <v/>
      </c>
    </row>
    <row r="62" ht="15" customHeight="1">
      <c r="A62" s="9" t="inlineStr">
        <is>
          <t>Tuna</t>
        </is>
      </c>
      <c r="B62" s="9" t="inlineStr">
        <is>
          <t>SKIPJACK 4/10</t>
        </is>
      </c>
      <c r="C62" s="43" t="inlineStr">
        <is>
          <t>Kg</t>
        </is>
      </c>
      <c r="D62" s="45" t="n">
        <v>1</v>
      </c>
      <c r="E62" s="44" t="n">
        <v>913.5</v>
      </c>
      <c r="F62" s="11">
        <f>IF($A62="","",SUMIFS('Daily Entry'!$C$7:$C$5003,'Daily Entry'!$B$7:$B$5003,$O62,'Daily Entry'!$A$7:$A$5003,$E$3))</f>
        <v/>
      </c>
      <c r="G62" s="11">
        <f>IF($A62="","",SUMIFS('Daily Entry'!$D$7:$D$5003,'Daily Entry'!$B$7:$B$5003,$O62,'Daily Entry'!$A$7:$A$5003,$E$3))</f>
        <v/>
      </c>
      <c r="H62" s="12">
        <f>IF($A62="","",SUMIFS('Daily Entry'!$C$7:$C$5003,'Daily Entry'!$B$7:$B$5003,$O62))</f>
        <v/>
      </c>
      <c r="I62" s="12">
        <f>IF($A62="","",SUMIFS('Daily Entry'!$D$7:$D$5003,'Daily Entry'!$B$7:$B$5003,$O62))</f>
        <v/>
      </c>
      <c r="J62" s="13">
        <f>IF($A62="","",$E62+$H62-$I62)</f>
        <v/>
      </c>
      <c r="K62" s="14">
        <f>IF(OR($A62="",$D62=""),"",$J62*$D62)</f>
        <v/>
      </c>
      <c r="L62" s="17" t="n">
        <v>1.58</v>
      </c>
      <c r="M62" s="16">
        <f>IF(OR($A62="",$D62="",$L62="",$E$4=""),"",$K62*$L62*$E$4)</f>
        <v/>
      </c>
      <c r="O62" s="131">
        <f>IF($A62="","",$A62&amp;" - "&amp;$B62)</f>
        <v/>
      </c>
      <c r="P62" s="131">
        <f>IF($A62="",0,IF(OR($F62&lt;&gt;0,$G62&lt;&gt;0),1,0))</f>
        <v/>
      </c>
      <c r="Q62" s="131">
        <f>IF($P62=1,SUM($P$8:$P62),"")</f>
        <v/>
      </c>
      <c r="R62" s="131">
        <f>IF($A62="","",$A62&amp;"#"&amp;COUNTIF($A$8:$A62,$A62))</f>
        <v/>
      </c>
      <c r="S62" s="131">
        <f>IF(OR($A62="",$D62=""),0,$E62*$D62)</f>
        <v/>
      </c>
      <c r="T62" s="131">
        <f>IF(OR($A62="",$D62=""),0,$F62*$D62)</f>
        <v/>
      </c>
      <c r="U62" s="131">
        <f>IF(OR($A62="",$D62=""),0,$G62*$D62)</f>
        <v/>
      </c>
      <c r="V62" s="131">
        <f>IF(OR($A62="",$D62=""),0,$H62*$D62)</f>
        <v/>
      </c>
      <c r="W62" s="131">
        <f>IF(OR($A62="",$D62=""),0,$I62*$D62)</f>
        <v/>
      </c>
      <c r="X62" s="131">
        <f>IF(AND($A62&lt;&gt;"",$D62=""),1,0)</f>
        <v/>
      </c>
      <c r="Y62" s="131">
        <f>IF($A62="",0,IF(COUNTIF($O$8:$O$101,$O62)&gt;1,1,0))</f>
        <v/>
      </c>
    </row>
    <row r="63" ht="15" customHeight="1">
      <c r="A63" s="46" t="inlineStr">
        <is>
          <t>Tuna</t>
        </is>
      </c>
      <c r="B63" s="46" t="inlineStr">
        <is>
          <t>YELLOW FIN 1/2</t>
        </is>
      </c>
      <c r="C63" s="36" t="inlineStr">
        <is>
          <t>Kg</t>
        </is>
      </c>
      <c r="D63" s="29" t="n">
        <v>1</v>
      </c>
      <c r="E63" s="37" t="n">
        <v>0</v>
      </c>
      <c r="F63" s="47">
        <f>IF($A63="","",SUMIFS('Daily Entry'!$C$7:$C$5003,'Daily Entry'!$B$7:$B$5003,$O63,'Daily Entry'!$A$7:$A$5003,$E$3))</f>
        <v/>
      </c>
      <c r="G63" s="47">
        <f>IF($A63="","",SUMIFS('Daily Entry'!$D$7:$D$5003,'Daily Entry'!$B$7:$B$5003,$O63,'Daily Entry'!$A$7:$A$5003,$E$3))</f>
        <v/>
      </c>
      <c r="H63" s="48">
        <f>IF($A63="","",SUMIFS('Daily Entry'!$C$7:$C$5003,'Daily Entry'!$B$7:$B$5003,$O63))</f>
        <v/>
      </c>
      <c r="I63" s="48">
        <f>IF($A63="","",SUMIFS('Daily Entry'!$D$7:$D$5003,'Daily Entry'!$B$7:$B$5003,$O63))</f>
        <v/>
      </c>
      <c r="J63" s="49">
        <f>IF($A63="","",$E63+$H63-$I63)</f>
        <v/>
      </c>
      <c r="K63" s="50">
        <f>IF(OR($A63="",$D63=""),"",$J63*$D63)</f>
        <v/>
      </c>
      <c r="L63" s="15" t="n"/>
      <c r="M63" s="51">
        <f>IF(OR($A63="",$D63="",$L63="",$E$4=""),"",$K63*$L63*$E$4)</f>
        <v/>
      </c>
      <c r="O63" s="131">
        <f>IF($A63="","",$A63&amp;" - "&amp;$B63)</f>
        <v/>
      </c>
      <c r="P63" s="131">
        <f>IF($A63="",0,IF(OR($F63&lt;&gt;0,$G63&lt;&gt;0),1,0))</f>
        <v/>
      </c>
      <c r="Q63" s="131">
        <f>IF($P63=1,SUM($P$8:$P63),"")</f>
        <v/>
      </c>
      <c r="R63" s="131">
        <f>IF($A63="","",$A63&amp;"#"&amp;COUNTIF($A$8:$A63,$A63))</f>
        <v/>
      </c>
      <c r="S63" s="131">
        <f>IF(OR($A63="",$D63=""),0,$E63*$D63)</f>
        <v/>
      </c>
      <c r="T63" s="131">
        <f>IF(OR($A63="",$D63=""),0,$F63*$D63)</f>
        <v/>
      </c>
      <c r="U63" s="131">
        <f>IF(OR($A63="",$D63=""),0,$G63*$D63)</f>
        <v/>
      </c>
      <c r="V63" s="131">
        <f>IF(OR($A63="",$D63=""),0,$H63*$D63)</f>
        <v/>
      </c>
      <c r="W63" s="131">
        <f>IF(OR($A63="",$D63=""),0,$I63*$D63)</f>
        <v/>
      </c>
      <c r="X63" s="131">
        <f>IF(AND($A63&lt;&gt;"",$D63=""),1,0)</f>
        <v/>
      </c>
      <c r="Y63" s="131">
        <f>IF($A63="",0,IF(COUNTIF($O$8:$O$101,$O63)&gt;1,1,0))</f>
        <v/>
      </c>
    </row>
    <row r="64" ht="15" customHeight="1">
      <c r="A64" s="9" t="inlineStr">
        <is>
          <t>Tuna</t>
        </is>
      </c>
      <c r="B64" s="9" t="inlineStr">
        <is>
          <t>YELLOW FIN 2/4</t>
        </is>
      </c>
      <c r="C64" s="43" t="inlineStr">
        <is>
          <t>Kg</t>
        </is>
      </c>
      <c r="D64" s="45" t="n">
        <v>1</v>
      </c>
      <c r="E64" s="44" t="n">
        <v>32</v>
      </c>
      <c r="F64" s="11">
        <f>IF($A64="","",SUMIFS('Daily Entry'!$C$7:$C$5003,'Daily Entry'!$B$7:$B$5003,$O64,'Daily Entry'!$A$7:$A$5003,$E$3))</f>
        <v/>
      </c>
      <c r="G64" s="11">
        <f>IF($A64="","",SUMIFS('Daily Entry'!$D$7:$D$5003,'Daily Entry'!$B$7:$B$5003,$O64,'Daily Entry'!$A$7:$A$5003,$E$3))</f>
        <v/>
      </c>
      <c r="H64" s="12">
        <f>IF($A64="","",SUMIFS('Daily Entry'!$C$7:$C$5003,'Daily Entry'!$B$7:$B$5003,$O64))</f>
        <v/>
      </c>
      <c r="I64" s="12">
        <f>IF($A64="","",SUMIFS('Daily Entry'!$D$7:$D$5003,'Daily Entry'!$B$7:$B$5003,$O64))</f>
        <v/>
      </c>
      <c r="J64" s="13">
        <f>IF($A64="","",$E64+$H64-$I64)</f>
        <v/>
      </c>
      <c r="K64" s="14">
        <f>IF(OR($A64="",$D64=""),"",$J64*$D64)</f>
        <v/>
      </c>
      <c r="L64" s="17" t="n">
        <v>1.58</v>
      </c>
      <c r="M64" s="16">
        <f>IF(OR($A64="",$D64="",$L64="",$E$4=""),"",$K64*$L64*$E$4)</f>
        <v/>
      </c>
      <c r="O64" s="131">
        <f>IF($A64="","",$A64&amp;" - "&amp;$B64)</f>
        <v/>
      </c>
      <c r="P64" s="131">
        <f>IF($A64="",0,IF(OR($F64&lt;&gt;0,$G64&lt;&gt;0),1,0))</f>
        <v/>
      </c>
      <c r="Q64" s="131">
        <f>IF($P64=1,SUM($P$8:$P64),"")</f>
        <v/>
      </c>
      <c r="R64" s="131">
        <f>IF($A64="","",$A64&amp;"#"&amp;COUNTIF($A$8:$A64,$A64))</f>
        <v/>
      </c>
      <c r="S64" s="131">
        <f>IF(OR($A64="",$D64=""),0,$E64*$D64)</f>
        <v/>
      </c>
      <c r="T64" s="131">
        <f>IF(OR($A64="",$D64=""),0,$F64*$D64)</f>
        <v/>
      </c>
      <c r="U64" s="131">
        <f>IF(OR($A64="",$D64=""),0,$G64*$D64)</f>
        <v/>
      </c>
      <c r="V64" s="131">
        <f>IF(OR($A64="",$D64=""),0,$H64*$D64)</f>
        <v/>
      </c>
      <c r="W64" s="131">
        <f>IF(OR($A64="",$D64=""),0,$I64*$D64)</f>
        <v/>
      </c>
      <c r="X64" s="131">
        <f>IF(AND($A64&lt;&gt;"",$D64=""),1,0)</f>
        <v/>
      </c>
      <c r="Y64" s="131">
        <f>IF($A64="",0,IF(COUNTIF($O$8:$O$101,$O64)&gt;1,1,0))</f>
        <v/>
      </c>
    </row>
    <row r="65" ht="15" customHeight="1">
      <c r="A65" s="46" t="inlineStr">
        <is>
          <t>Tuna</t>
        </is>
      </c>
      <c r="B65" s="46" t="inlineStr">
        <is>
          <t>YELLOW FIN 4/10</t>
        </is>
      </c>
      <c r="C65" s="36" t="inlineStr">
        <is>
          <t>Kg</t>
        </is>
      </c>
      <c r="D65" s="29" t="n">
        <v>1</v>
      </c>
      <c r="E65" s="37" t="n">
        <v>1138</v>
      </c>
      <c r="F65" s="47">
        <f>IF($A65="","",SUMIFS('Daily Entry'!$C$7:$C$5003,'Daily Entry'!$B$7:$B$5003,$O65,'Daily Entry'!$A$7:$A$5003,$E$3))</f>
        <v/>
      </c>
      <c r="G65" s="47">
        <f>IF($A65="","",SUMIFS('Daily Entry'!$D$7:$D$5003,'Daily Entry'!$B$7:$B$5003,$O65,'Daily Entry'!$A$7:$A$5003,$E$3))</f>
        <v/>
      </c>
      <c r="H65" s="48">
        <f>IF($A65="","",SUMIFS('Daily Entry'!$C$7:$C$5003,'Daily Entry'!$B$7:$B$5003,$O65))</f>
        <v/>
      </c>
      <c r="I65" s="48">
        <f>IF($A65="","",SUMIFS('Daily Entry'!$D$7:$D$5003,'Daily Entry'!$B$7:$B$5003,$O65))</f>
        <v/>
      </c>
      <c r="J65" s="49">
        <f>IF($A65="","",$E65+$H65-$I65)</f>
        <v/>
      </c>
      <c r="K65" s="50">
        <f>IF(OR($A65="",$D65=""),"",$J65*$D65)</f>
        <v/>
      </c>
      <c r="L65" s="15" t="n">
        <v>1.7</v>
      </c>
      <c r="M65" s="51">
        <f>IF(OR($A65="",$D65="",$L65="",$E$4=""),"",$K65*$L65*$E$4)</f>
        <v/>
      </c>
      <c r="O65" s="131">
        <f>IF($A65="","",$A65&amp;" - "&amp;$B65)</f>
        <v/>
      </c>
      <c r="P65" s="131">
        <f>IF($A65="",0,IF(OR($F65&lt;&gt;0,$G65&lt;&gt;0),1,0))</f>
        <v/>
      </c>
      <c r="Q65" s="131">
        <f>IF($P65=1,SUM($P$8:$P65),"")</f>
        <v/>
      </c>
      <c r="R65" s="131">
        <f>IF($A65="","",$A65&amp;"#"&amp;COUNTIF($A$8:$A65,$A65))</f>
        <v/>
      </c>
      <c r="S65" s="131">
        <f>IF(OR($A65="",$D65=""),0,$E65*$D65)</f>
        <v/>
      </c>
      <c r="T65" s="131">
        <f>IF(OR($A65="",$D65=""),0,$F65*$D65)</f>
        <v/>
      </c>
      <c r="U65" s="131">
        <f>IF(OR($A65="",$D65=""),0,$G65*$D65)</f>
        <v/>
      </c>
      <c r="V65" s="131">
        <f>IF(OR($A65="",$D65=""),0,$H65*$D65)</f>
        <v/>
      </c>
      <c r="W65" s="131">
        <f>IF(OR($A65="",$D65=""),0,$I65*$D65)</f>
        <v/>
      </c>
      <c r="X65" s="131">
        <f>IF(AND($A65&lt;&gt;"",$D65=""),1,0)</f>
        <v/>
      </c>
      <c r="Y65" s="131">
        <f>IF($A65="",0,IF(COUNTIF($O$8:$O$101,$O65)&gt;1,1,0))</f>
        <v/>
      </c>
    </row>
    <row r="66" ht="15" customHeight="1">
      <c r="A66" s="9" t="inlineStr">
        <is>
          <t>Mackerel</t>
        </is>
      </c>
      <c r="B66" s="9" t="inlineStr">
        <is>
          <t>WHOLE 2/4</t>
        </is>
      </c>
      <c r="C66" s="43" t="inlineStr">
        <is>
          <t>Kg</t>
        </is>
      </c>
      <c r="D66" s="45" t="n">
        <v>1</v>
      </c>
      <c r="E66" s="44" t="n">
        <v>0</v>
      </c>
      <c r="F66" s="11">
        <f>IF($A66="","",SUMIFS('Daily Entry'!$C$7:$C$5003,'Daily Entry'!$B$7:$B$5003,$O66,'Daily Entry'!$A$7:$A$5003,$E$3))</f>
        <v/>
      </c>
      <c r="G66" s="11">
        <f>IF($A66="","",SUMIFS('Daily Entry'!$D$7:$D$5003,'Daily Entry'!$B$7:$B$5003,$O66,'Daily Entry'!$A$7:$A$5003,$E$3))</f>
        <v/>
      </c>
      <c r="H66" s="12">
        <f>IF($A66="","",SUMIFS('Daily Entry'!$C$7:$C$5003,'Daily Entry'!$B$7:$B$5003,$O66))</f>
        <v/>
      </c>
      <c r="I66" s="12">
        <f>IF($A66="","",SUMIFS('Daily Entry'!$D$7:$D$5003,'Daily Entry'!$B$7:$B$5003,$O66))</f>
        <v/>
      </c>
      <c r="J66" s="13">
        <f>IF($A66="","",$E66+$H66-$I66)</f>
        <v/>
      </c>
      <c r="K66" s="14">
        <f>IF(OR($A66="",$D66=""),"",$J66*$D66)</f>
        <v/>
      </c>
      <c r="L66" s="17" t="n"/>
      <c r="M66" s="16">
        <f>IF(OR($A66="",$D66="",$L66="",$E$4=""),"",$K66*$L66*$E$4)</f>
        <v/>
      </c>
      <c r="O66" s="131">
        <f>IF($A66="","",$A66&amp;" - "&amp;$B66)</f>
        <v/>
      </c>
      <c r="P66" s="131">
        <f>IF($A66="",0,IF(OR($F66&lt;&gt;0,$G66&lt;&gt;0),1,0))</f>
        <v/>
      </c>
      <c r="Q66" s="131">
        <f>IF($P66=1,SUM($P$8:$P66),"")</f>
        <v/>
      </c>
      <c r="R66" s="131">
        <f>IF($A66="","",$A66&amp;"#"&amp;COUNTIF($A$8:$A66,$A66))</f>
        <v/>
      </c>
      <c r="S66" s="131">
        <f>IF(OR($A66="",$D66=""),0,$E66*$D66)</f>
        <v/>
      </c>
      <c r="T66" s="131">
        <f>IF(OR($A66="",$D66=""),0,$F66*$D66)</f>
        <v/>
      </c>
      <c r="U66" s="131">
        <f>IF(OR($A66="",$D66=""),0,$G66*$D66)</f>
        <v/>
      </c>
      <c r="V66" s="131">
        <f>IF(OR($A66="",$D66=""),0,$H66*$D66)</f>
        <v/>
      </c>
      <c r="W66" s="131">
        <f>IF(OR($A66="",$D66=""),0,$I66*$D66)</f>
        <v/>
      </c>
      <c r="X66" s="131">
        <f>IF(AND($A66&lt;&gt;"",$D66=""),1,0)</f>
        <v/>
      </c>
      <c r="Y66" s="131">
        <f>IF($A66="",0,IF(COUNTIF($O$8:$O$101,$O66)&gt;1,1,0))</f>
        <v/>
      </c>
    </row>
    <row r="67" ht="15" customHeight="1">
      <c r="A67" s="46" t="inlineStr">
        <is>
          <t>Mackerel</t>
        </is>
      </c>
      <c r="B67" s="46" t="inlineStr">
        <is>
          <t>WHOLE 4/6</t>
        </is>
      </c>
      <c r="C67" s="36" t="inlineStr">
        <is>
          <t>Kg</t>
        </is>
      </c>
      <c r="D67" s="29" t="n">
        <v>1</v>
      </c>
      <c r="E67" s="37" t="n">
        <v>0</v>
      </c>
      <c r="F67" s="47">
        <f>IF($A67="","",SUMIFS('Daily Entry'!$C$7:$C$5003,'Daily Entry'!$B$7:$B$5003,$O67,'Daily Entry'!$A$7:$A$5003,$E$3))</f>
        <v/>
      </c>
      <c r="G67" s="47">
        <f>IF($A67="","",SUMIFS('Daily Entry'!$D$7:$D$5003,'Daily Entry'!$B$7:$B$5003,$O67,'Daily Entry'!$A$7:$A$5003,$E$3))</f>
        <v/>
      </c>
      <c r="H67" s="48">
        <f>IF($A67="","",SUMIFS('Daily Entry'!$C$7:$C$5003,'Daily Entry'!$B$7:$B$5003,$O67))</f>
        <v/>
      </c>
      <c r="I67" s="48">
        <f>IF($A67="","",SUMIFS('Daily Entry'!$D$7:$D$5003,'Daily Entry'!$B$7:$B$5003,$O67))</f>
        <v/>
      </c>
      <c r="J67" s="49">
        <f>IF($A67="","",$E67+$H67-$I67)</f>
        <v/>
      </c>
      <c r="K67" s="50">
        <f>IF(OR($A67="",$D67=""),"",$J67*$D67)</f>
        <v/>
      </c>
      <c r="L67" s="15" t="n"/>
      <c r="M67" s="51">
        <f>IF(OR($A67="",$D67="",$L67="",$E$4=""),"",$K67*$L67*$E$4)</f>
        <v/>
      </c>
      <c r="O67" s="131">
        <f>IF($A67="","",$A67&amp;" - "&amp;$B67)</f>
        <v/>
      </c>
      <c r="P67" s="131">
        <f>IF($A67="",0,IF(OR($F67&lt;&gt;0,$G67&lt;&gt;0),1,0))</f>
        <v/>
      </c>
      <c r="Q67" s="131">
        <f>IF($P67=1,SUM($P$8:$P67),"")</f>
        <v/>
      </c>
      <c r="R67" s="131">
        <f>IF($A67="","",$A67&amp;"#"&amp;COUNTIF($A$8:$A67,$A67))</f>
        <v/>
      </c>
      <c r="S67" s="131">
        <f>IF(OR($A67="",$D67=""),0,$E67*$D67)</f>
        <v/>
      </c>
      <c r="T67" s="131">
        <f>IF(OR($A67="",$D67=""),0,$F67*$D67)</f>
        <v/>
      </c>
      <c r="U67" s="131">
        <f>IF(OR($A67="",$D67=""),0,$G67*$D67)</f>
        <v/>
      </c>
      <c r="V67" s="131">
        <f>IF(OR($A67="",$D67=""),0,$H67*$D67)</f>
        <v/>
      </c>
      <c r="W67" s="131">
        <f>IF(OR($A67="",$D67=""),0,$I67*$D67)</f>
        <v/>
      </c>
      <c r="X67" s="131">
        <f>IF(AND($A67&lt;&gt;"",$D67=""),1,0)</f>
        <v/>
      </c>
      <c r="Y67" s="131">
        <f>IF($A67="",0,IF(COUNTIF($O$8:$O$101,$O67)&gt;1,1,0))</f>
        <v/>
      </c>
    </row>
    <row r="68" ht="15" customHeight="1">
      <c r="A68" s="9" t="inlineStr">
        <is>
          <t>Mackerel</t>
        </is>
      </c>
      <c r="B68" s="9" t="inlineStr">
        <is>
          <t>WHOLE 6/8</t>
        </is>
      </c>
      <c r="C68" s="43" t="inlineStr">
        <is>
          <t>Kg</t>
        </is>
      </c>
      <c r="D68" s="45" t="n">
        <v>1</v>
      </c>
      <c r="E68" s="44" t="n">
        <v>0</v>
      </c>
      <c r="F68" s="11">
        <f>IF($A68="","",SUMIFS('Daily Entry'!$C$7:$C$5003,'Daily Entry'!$B$7:$B$5003,$O68,'Daily Entry'!$A$7:$A$5003,$E$3))</f>
        <v/>
      </c>
      <c r="G68" s="11">
        <f>IF($A68="","",SUMIFS('Daily Entry'!$D$7:$D$5003,'Daily Entry'!$B$7:$B$5003,$O68,'Daily Entry'!$A$7:$A$5003,$E$3))</f>
        <v/>
      </c>
      <c r="H68" s="12">
        <f>IF($A68="","",SUMIFS('Daily Entry'!$C$7:$C$5003,'Daily Entry'!$B$7:$B$5003,$O68))</f>
        <v/>
      </c>
      <c r="I68" s="12">
        <f>IF($A68="","",SUMIFS('Daily Entry'!$D$7:$D$5003,'Daily Entry'!$B$7:$B$5003,$O68))</f>
        <v/>
      </c>
      <c r="J68" s="13">
        <f>IF($A68="","",$E68+$H68-$I68)</f>
        <v/>
      </c>
      <c r="K68" s="14">
        <f>IF(OR($A68="",$D68=""),"",$J68*$D68)</f>
        <v/>
      </c>
      <c r="L68" s="17" t="n">
        <v>2.35</v>
      </c>
      <c r="M68" s="16">
        <f>IF(OR($A68="",$D68="",$L68="",$E$4=""),"",$K68*$L68*$E$4)</f>
        <v/>
      </c>
      <c r="O68" s="131">
        <f>IF($A68="","",$A68&amp;" - "&amp;$B68)</f>
        <v/>
      </c>
      <c r="P68" s="131">
        <f>IF($A68="",0,IF(OR($F68&lt;&gt;0,$G68&lt;&gt;0),1,0))</f>
        <v/>
      </c>
      <c r="Q68" s="131">
        <f>IF($P68=1,SUM($P$8:$P68),"")</f>
        <v/>
      </c>
      <c r="R68" s="131">
        <f>IF($A68="","",$A68&amp;"#"&amp;COUNTIF($A$8:$A68,$A68))</f>
        <v/>
      </c>
      <c r="S68" s="131">
        <f>IF(OR($A68="",$D68=""),0,$E68*$D68)</f>
        <v/>
      </c>
      <c r="T68" s="131">
        <f>IF(OR($A68="",$D68=""),0,$F68*$D68)</f>
        <v/>
      </c>
      <c r="U68" s="131">
        <f>IF(OR($A68="",$D68=""),0,$G68*$D68)</f>
        <v/>
      </c>
      <c r="V68" s="131">
        <f>IF(OR($A68="",$D68=""),0,$H68*$D68)</f>
        <v/>
      </c>
      <c r="W68" s="131">
        <f>IF(OR($A68="",$D68=""),0,$I68*$D68)</f>
        <v/>
      </c>
      <c r="X68" s="131">
        <f>IF(AND($A68&lt;&gt;"",$D68=""),1,0)</f>
        <v/>
      </c>
      <c r="Y68" s="131">
        <f>IF($A68="",0,IF(COUNTIF($O$8:$O$101,$O68)&gt;1,1,0))</f>
        <v/>
      </c>
    </row>
    <row r="69" ht="15" customHeight="1">
      <c r="A69" s="46" t="inlineStr">
        <is>
          <t>Mackerel</t>
        </is>
      </c>
      <c r="B69" s="46" t="inlineStr">
        <is>
          <t>WHOLE 8/10</t>
        </is>
      </c>
      <c r="C69" s="36" t="inlineStr">
        <is>
          <t>Kg</t>
        </is>
      </c>
      <c r="D69" s="29" t="n">
        <v>1</v>
      </c>
      <c r="E69" s="37" t="n">
        <v>0</v>
      </c>
      <c r="F69" s="47">
        <f>IF($A69="","",SUMIFS('Daily Entry'!$C$7:$C$5003,'Daily Entry'!$B$7:$B$5003,$O69,'Daily Entry'!$A$7:$A$5003,$E$3))</f>
        <v/>
      </c>
      <c r="G69" s="47">
        <f>IF($A69="","",SUMIFS('Daily Entry'!$D$7:$D$5003,'Daily Entry'!$B$7:$B$5003,$O69,'Daily Entry'!$A$7:$A$5003,$E$3))</f>
        <v/>
      </c>
      <c r="H69" s="48">
        <f>IF($A69="","",SUMIFS('Daily Entry'!$C$7:$C$5003,'Daily Entry'!$B$7:$B$5003,$O69))</f>
        <v/>
      </c>
      <c r="I69" s="48">
        <f>IF($A69="","",SUMIFS('Daily Entry'!$D$7:$D$5003,'Daily Entry'!$B$7:$B$5003,$O69))</f>
        <v/>
      </c>
      <c r="J69" s="49">
        <f>IF($A69="","",$E69+$H69-$I69)</f>
        <v/>
      </c>
      <c r="K69" s="50">
        <f>IF(OR($A69="",$D69=""),"",$J69*$D69)</f>
        <v/>
      </c>
      <c r="L69" s="15" t="n">
        <v>2.25</v>
      </c>
      <c r="M69" s="51">
        <f>IF(OR($A69="",$D69="",$L69="",$E$4=""),"",$K69*$L69*$E$4)</f>
        <v/>
      </c>
      <c r="O69" s="131">
        <f>IF($A69="","",$A69&amp;" - "&amp;$B69)</f>
        <v/>
      </c>
      <c r="P69" s="131">
        <f>IF($A69="",0,IF(OR($F69&lt;&gt;0,$G69&lt;&gt;0),1,0))</f>
        <v/>
      </c>
      <c r="Q69" s="131">
        <f>IF($P69=1,SUM($P$8:$P69),"")</f>
        <v/>
      </c>
      <c r="R69" s="131">
        <f>IF($A69="","",$A69&amp;"#"&amp;COUNTIF($A$8:$A69,$A69))</f>
        <v/>
      </c>
      <c r="S69" s="131">
        <f>IF(OR($A69="",$D69=""),0,$E69*$D69)</f>
        <v/>
      </c>
      <c r="T69" s="131">
        <f>IF(OR($A69="",$D69=""),0,$F69*$D69)</f>
        <v/>
      </c>
      <c r="U69" s="131">
        <f>IF(OR($A69="",$D69=""),0,$G69*$D69)</f>
        <v/>
      </c>
      <c r="V69" s="131">
        <f>IF(OR($A69="",$D69=""),0,$H69*$D69)</f>
        <v/>
      </c>
      <c r="W69" s="131">
        <f>IF(OR($A69="",$D69=""),0,$I69*$D69)</f>
        <v/>
      </c>
      <c r="X69" s="131">
        <f>IF(AND($A69&lt;&gt;"",$D69=""),1,0)</f>
        <v/>
      </c>
      <c r="Y69" s="131">
        <f>IF($A69="",0,IF(COUNTIF($O$8:$O$101,$O69)&gt;1,1,0))</f>
        <v/>
      </c>
    </row>
    <row r="70" ht="15" customHeight="1">
      <c r="A70" s="46" t="inlineStr">
        <is>
          <t>Mackerel</t>
        </is>
      </c>
      <c r="B70" s="46" t="inlineStr">
        <is>
          <t>WHOLE 8/12</t>
        </is>
      </c>
      <c r="C70" s="36" t="inlineStr">
        <is>
          <t>Kg</t>
        </is>
      </c>
      <c r="D70" s="29" t="n">
        <v>1</v>
      </c>
      <c r="E70" s="37" t="n">
        <v>0</v>
      </c>
      <c r="F70" s="47">
        <f>IF($A70="","",SUMIFS('Daily Entry'!$C$7:$C$5003,'Daily Entry'!$B$7:$B$5003,$O70,'Daily Entry'!$A$7:$A$5003,$E$3))</f>
        <v/>
      </c>
      <c r="G70" s="47">
        <f>IF($A70="","",SUMIFS('Daily Entry'!$D$7:$D$5003,'Daily Entry'!$B$7:$B$5003,$O70,'Daily Entry'!$A$7:$A$5003,$E$3))</f>
        <v/>
      </c>
      <c r="H70" s="48">
        <f>IF($A70="","",SUMIFS('Daily Entry'!$C$7:$C$5003,'Daily Entry'!$B$7:$B$5003,$O70))</f>
        <v/>
      </c>
      <c r="I70" s="48">
        <f>IF($A70="","",SUMIFS('Daily Entry'!$D$7:$D$5003,'Daily Entry'!$B$7:$B$5003,$O70))</f>
        <v/>
      </c>
      <c r="J70" s="49">
        <f>IF($A70="","",$E70+$H70-$I70)</f>
        <v/>
      </c>
      <c r="K70" s="50">
        <f>IF(OR($A70="",$D70=""),"",$J70*$D70)</f>
        <v/>
      </c>
      <c r="L70" s="15" t="n">
        <v>2.05</v>
      </c>
      <c r="M70" s="51">
        <f>IF(OR($A70="",$D70="",$L70="",$E$4=""),"",$K70*$L70*$E$4)</f>
        <v/>
      </c>
      <c r="O70" s="131">
        <f>IF($A70="","",$A70&amp;" - "&amp;$B70)</f>
        <v/>
      </c>
      <c r="P70" s="131">
        <f>IF($A70="",0,IF(OR($F70&lt;&gt;0,$G70&lt;&gt;0),1,0))</f>
        <v/>
      </c>
      <c r="Q70" s="131">
        <f>IF($P70=1,SUM($P$8:$P70),"")</f>
        <v/>
      </c>
      <c r="R70" s="131">
        <f>IF($A70="","",$A70&amp;"#"&amp;COUNTIF($A$8:$A70,$A70))</f>
        <v/>
      </c>
      <c r="S70" s="131">
        <f>IF(OR($A70="",$D70=""),0,$E70*$D70)</f>
        <v/>
      </c>
      <c r="T70" s="131">
        <f>IF(OR($A70="",$D70=""),0,$F70*$D70)</f>
        <v/>
      </c>
      <c r="U70" s="131">
        <f>IF(OR($A70="",$D70=""),0,$G70*$D70)</f>
        <v/>
      </c>
      <c r="V70" s="131">
        <f>IF(OR($A70="",$D70=""),0,$H70*$D70)</f>
        <v/>
      </c>
      <c r="W70" s="131">
        <f>IF(OR($A70="",$D70=""),0,$I70*$D70)</f>
        <v/>
      </c>
      <c r="X70" s="131">
        <f>IF(AND($A70&lt;&gt;"",$D70=""),1,0)</f>
        <v/>
      </c>
      <c r="Y70" s="131">
        <f>IF($A70="",0,IF(COUNTIF($O$8:$O$101,$O70)&gt;1,1,0))</f>
        <v/>
      </c>
    </row>
    <row r="71" ht="15" customHeight="1">
      <c r="A71" s="9" t="inlineStr">
        <is>
          <t>Mackerel</t>
        </is>
      </c>
      <c r="B71" s="9" t="inlineStr">
        <is>
          <t>WHOLE 10/12</t>
        </is>
      </c>
      <c r="C71" s="43" t="inlineStr">
        <is>
          <t>Kg</t>
        </is>
      </c>
      <c r="D71" s="45" t="n">
        <v>1</v>
      </c>
      <c r="E71" s="44" t="n">
        <v>0</v>
      </c>
      <c r="F71" s="11">
        <f>IF($A71="","",SUMIFS('Daily Entry'!$C$7:$C$5003,'Daily Entry'!$B$7:$B$5003,$O71,'Daily Entry'!$A$7:$A$5003,$E$3))</f>
        <v/>
      </c>
      <c r="G71" s="11">
        <f>IF($A71="","",SUMIFS('Daily Entry'!$D$7:$D$5003,'Daily Entry'!$B$7:$B$5003,$O71,'Daily Entry'!$A$7:$A$5003,$E$3))</f>
        <v/>
      </c>
      <c r="H71" s="12">
        <f>IF($A71="","",SUMIFS('Daily Entry'!$C$7:$C$5003,'Daily Entry'!$B$7:$B$5003,$O71))</f>
        <v/>
      </c>
      <c r="I71" s="12">
        <f>IF($A71="","",SUMIFS('Daily Entry'!$D$7:$D$5003,'Daily Entry'!$B$7:$B$5003,$O71))</f>
        <v/>
      </c>
      <c r="J71" s="13">
        <f>IF($A71="","",$E71+$H71-$I71)</f>
        <v/>
      </c>
      <c r="K71" s="14">
        <f>IF(OR($A71="",$D71=""),"",$J71*$D71)</f>
        <v/>
      </c>
      <c r="L71" s="17" t="n">
        <v>1.95</v>
      </c>
      <c r="M71" s="16">
        <f>IF(OR($A71="",$D71="",$L71="",$E$4=""),"",$K71*$L71*$E$4)</f>
        <v/>
      </c>
      <c r="O71" s="131">
        <f>IF($A71="","",$A71&amp;" - "&amp;$B71)</f>
        <v/>
      </c>
      <c r="P71" s="131">
        <f>IF($A71="",0,IF(OR($F71&lt;&gt;0,$G71&lt;&gt;0),1,0))</f>
        <v/>
      </c>
      <c r="Q71" s="131">
        <f>IF($P71=1,SUM($P$8:$P71),"")</f>
        <v/>
      </c>
      <c r="R71" s="131">
        <f>IF($A71="","",$A71&amp;"#"&amp;COUNTIF($A$8:$A71,$A71))</f>
        <v/>
      </c>
      <c r="S71" s="131">
        <f>IF(OR($A71="",$D71=""),0,$E71*$D71)</f>
        <v/>
      </c>
      <c r="T71" s="131">
        <f>IF(OR($A71="",$D71=""),0,$F71*$D71)</f>
        <v/>
      </c>
      <c r="U71" s="131">
        <f>IF(OR($A71="",$D71=""),0,$G71*$D71)</f>
        <v/>
      </c>
      <c r="V71" s="131">
        <f>IF(OR($A71="",$D71=""),0,$H71*$D71)</f>
        <v/>
      </c>
      <c r="W71" s="131">
        <f>IF(OR($A71="",$D71=""),0,$I71*$D71)</f>
        <v/>
      </c>
      <c r="X71" s="131">
        <f>IF(AND($A71&lt;&gt;"",$D71=""),1,0)</f>
        <v/>
      </c>
      <c r="Y71" s="131">
        <f>IF($A71="",0,IF(COUNTIF($O$8:$O$101,$O71)&gt;1,1,0))</f>
        <v/>
      </c>
    </row>
    <row r="72" ht="15" customHeight="1">
      <c r="A72" s="46" t="inlineStr">
        <is>
          <t>Mackerel</t>
        </is>
      </c>
      <c r="B72" s="46" t="inlineStr">
        <is>
          <t>WHOLE 12/15</t>
        </is>
      </c>
      <c r="C72" s="36" t="inlineStr">
        <is>
          <t>Kg</t>
        </is>
      </c>
      <c r="D72" s="29" t="n">
        <v>1</v>
      </c>
      <c r="E72" s="37" t="n">
        <v>0</v>
      </c>
      <c r="F72" s="47">
        <f>IF($A72="","",SUMIFS('Daily Entry'!$C$7:$C$5003,'Daily Entry'!$B$7:$B$5003,$O72,'Daily Entry'!$A$7:$A$5003,$E$3))</f>
        <v/>
      </c>
      <c r="G72" s="47">
        <f>IF($A72="","",SUMIFS('Daily Entry'!$D$7:$D$5003,'Daily Entry'!$B$7:$B$5003,$O72,'Daily Entry'!$A$7:$A$5003,$E$3))</f>
        <v/>
      </c>
      <c r="H72" s="48">
        <f>IF($A72="","",SUMIFS('Daily Entry'!$C$7:$C$5003,'Daily Entry'!$B$7:$B$5003,$O72))</f>
        <v/>
      </c>
      <c r="I72" s="48">
        <f>IF($A72="","",SUMIFS('Daily Entry'!$D$7:$D$5003,'Daily Entry'!$B$7:$B$5003,$O72))</f>
        <v/>
      </c>
      <c r="J72" s="49">
        <f>IF($A72="","",$E72+$H72-$I72)</f>
        <v/>
      </c>
      <c r="K72" s="50">
        <f>IF(OR($A72="",$D72=""),"",$J72*$D72)</f>
        <v/>
      </c>
      <c r="L72" s="15" t="n">
        <v>1.7</v>
      </c>
      <c r="M72" s="51">
        <f>IF(OR($A72="",$D72="",$L72="",$E$4=""),"",$K72*$L72*$E$4)</f>
        <v/>
      </c>
      <c r="O72" s="131">
        <f>IF($A72="","",$A72&amp;" - "&amp;$B72)</f>
        <v/>
      </c>
      <c r="P72" s="131">
        <f>IF($A72="",0,IF(OR($F72&lt;&gt;0,$G72&lt;&gt;0),1,0))</f>
        <v/>
      </c>
      <c r="Q72" s="131">
        <f>IF($P72=1,SUM($P$8:$P72),"")</f>
        <v/>
      </c>
      <c r="R72" s="131">
        <f>IF($A72="","",$A72&amp;"#"&amp;COUNTIF($A$8:$A72,$A72))</f>
        <v/>
      </c>
      <c r="S72" s="131">
        <f>IF(OR($A72="",$D72=""),0,$E72*$D72)</f>
        <v/>
      </c>
      <c r="T72" s="131">
        <f>IF(OR($A72="",$D72=""),0,$F72*$D72)</f>
        <v/>
      </c>
      <c r="U72" s="131">
        <f>IF(OR($A72="",$D72=""),0,$G72*$D72)</f>
        <v/>
      </c>
      <c r="V72" s="131">
        <f>IF(OR($A72="",$D72=""),0,$H72*$D72)</f>
        <v/>
      </c>
      <c r="W72" s="131">
        <f>IF(OR($A72="",$D72=""),0,$I72*$D72)</f>
        <v/>
      </c>
      <c r="X72" s="131">
        <f>IF(AND($A72&lt;&gt;"",$D72=""),1,0)</f>
        <v/>
      </c>
      <c r="Y72" s="131">
        <f>IF($A72="",0,IF(COUNTIF($O$8:$O$101,$O72)&gt;1,1,0))</f>
        <v/>
      </c>
    </row>
    <row r="73" ht="15" customHeight="1">
      <c r="A73" s="9" t="inlineStr">
        <is>
          <t>Mackerel</t>
        </is>
      </c>
      <c r="B73" s="9" t="inlineStr">
        <is>
          <t>WHOLE 15/20</t>
        </is>
      </c>
      <c r="C73" s="43" t="inlineStr">
        <is>
          <t>Kg</t>
        </is>
      </c>
      <c r="D73" s="45" t="n">
        <v>1</v>
      </c>
      <c r="E73" s="44" t="n">
        <v>0</v>
      </c>
      <c r="F73" s="11">
        <f>IF($A73="","",SUMIFS('Daily Entry'!$C$7:$C$5003,'Daily Entry'!$B$7:$B$5003,$O73,'Daily Entry'!$A$7:$A$5003,$E$3))</f>
        <v/>
      </c>
      <c r="G73" s="11">
        <f>IF($A73="","",SUMIFS('Daily Entry'!$D$7:$D$5003,'Daily Entry'!$B$7:$B$5003,$O73,'Daily Entry'!$A$7:$A$5003,$E$3))</f>
        <v/>
      </c>
      <c r="H73" s="12">
        <f>IF($A73="","",SUMIFS('Daily Entry'!$C$7:$C$5003,'Daily Entry'!$B$7:$B$5003,$O73))</f>
        <v/>
      </c>
      <c r="I73" s="12">
        <f>IF($A73="","",SUMIFS('Daily Entry'!$D$7:$D$5003,'Daily Entry'!$B$7:$B$5003,$O73))</f>
        <v/>
      </c>
      <c r="J73" s="13">
        <f>IF($A73="","",$E73+$H73-$I73)</f>
        <v/>
      </c>
      <c r="K73" s="14">
        <f>IF(OR($A73="",$D73=""),"",$J73*$D73)</f>
        <v/>
      </c>
      <c r="L73" s="17" t="n"/>
      <c r="M73" s="16">
        <f>IF(OR($A73="",$D73="",$L73="",$E$4=""),"",$K73*$L73*$E$4)</f>
        <v/>
      </c>
      <c r="O73" s="131">
        <f>IF($A73="","",$A73&amp;" - "&amp;$B73)</f>
        <v/>
      </c>
      <c r="P73" s="131">
        <f>IF($A73="",0,IF(OR($F73&lt;&gt;0,$G73&lt;&gt;0),1,0))</f>
        <v/>
      </c>
      <c r="Q73" s="131">
        <f>IF($P73=1,SUM($P$8:$P73),"")</f>
        <v/>
      </c>
      <c r="R73" s="131">
        <f>IF($A73="","",$A73&amp;"#"&amp;COUNTIF($A$8:$A73,$A73))</f>
        <v/>
      </c>
      <c r="S73" s="131">
        <f>IF(OR($A73="",$D73=""),0,$E73*$D73)</f>
        <v/>
      </c>
      <c r="T73" s="131">
        <f>IF(OR($A73="",$D73=""),0,$F73*$D73)</f>
        <v/>
      </c>
      <c r="U73" s="131">
        <f>IF(OR($A73="",$D73=""),0,$G73*$D73)</f>
        <v/>
      </c>
      <c r="V73" s="131">
        <f>IF(OR($A73="",$D73=""),0,$H73*$D73)</f>
        <v/>
      </c>
      <c r="W73" s="131">
        <f>IF(OR($A73="",$D73=""),0,$I73*$D73)</f>
        <v/>
      </c>
      <c r="X73" s="131">
        <f>IF(AND($A73&lt;&gt;"",$D73=""),1,0)</f>
        <v/>
      </c>
      <c r="Y73" s="131">
        <f>IF($A73="",0,IF(COUNTIF($O$8:$O$101,$O73)&gt;1,1,0))</f>
        <v/>
      </c>
    </row>
    <row r="74" ht="15" customHeight="1">
      <c r="A74" s="46" t="inlineStr">
        <is>
          <t>Cuttlefish</t>
        </is>
      </c>
      <c r="B74" s="46" t="inlineStr">
        <is>
          <t>CFWC U/1 10%</t>
        </is>
      </c>
      <c r="C74" s="36" t="inlineStr">
        <is>
          <t>Slab</t>
        </is>
      </c>
      <c r="D74" s="29" t="n">
        <v>4</v>
      </c>
      <c r="E74" s="37" t="n">
        <v>0</v>
      </c>
      <c r="F74" s="47">
        <f>IF($A74="","",SUMIFS('Daily Entry'!$C$7:$C$5003,'Daily Entry'!$B$7:$B$5003,$O74,'Daily Entry'!$A$7:$A$5003,$E$3))</f>
        <v/>
      </c>
      <c r="G74" s="47">
        <f>IF($A74="","",SUMIFS('Daily Entry'!$D$7:$D$5003,'Daily Entry'!$B$7:$B$5003,$O74,'Daily Entry'!$A$7:$A$5003,$E$3))</f>
        <v/>
      </c>
      <c r="H74" s="48">
        <f>IF($A74="","",SUMIFS('Daily Entry'!$C$7:$C$5003,'Daily Entry'!$B$7:$B$5003,$O74))</f>
        <v/>
      </c>
      <c r="I74" s="48">
        <f>IF($A74="","",SUMIFS('Daily Entry'!$D$7:$D$5003,'Daily Entry'!$B$7:$B$5003,$O74))</f>
        <v/>
      </c>
      <c r="J74" s="49">
        <f>IF($A74="","",$E74+$H74-$I74)</f>
        <v/>
      </c>
      <c r="K74" s="50">
        <f>IF(OR($A74="",$D74=""),"",$J74*$D74)</f>
        <v/>
      </c>
      <c r="L74" s="15" t="n"/>
      <c r="M74" s="51">
        <f>IF(OR($A74="",$D74="",$L74="",$E$4=""),"",$K74*$L74*$E$4)</f>
        <v/>
      </c>
      <c r="O74" s="131">
        <f>IF($A74="","",$A74&amp;" - "&amp;$B74)</f>
        <v/>
      </c>
      <c r="P74" s="131">
        <f>IF($A74="",0,IF(OR($F74&lt;&gt;0,$G74&lt;&gt;0),1,0))</f>
        <v/>
      </c>
      <c r="Q74" s="131">
        <f>IF($P74=1,SUM($P$8:$P74),"")</f>
        <v/>
      </c>
      <c r="R74" s="131">
        <f>IF($A74="","",$A74&amp;"#"&amp;COUNTIF($A$8:$A74,$A74))</f>
        <v/>
      </c>
      <c r="S74" s="131">
        <f>IF(OR($A74="",$D74=""),0,$E74*$D74)</f>
        <v/>
      </c>
      <c r="T74" s="131">
        <f>IF(OR($A74="",$D74=""),0,$F74*$D74)</f>
        <v/>
      </c>
      <c r="U74" s="131">
        <f>IF(OR($A74="",$D74=""),0,$G74*$D74)</f>
        <v/>
      </c>
      <c r="V74" s="131">
        <f>IF(OR($A74="",$D74=""),0,$H74*$D74)</f>
        <v/>
      </c>
      <c r="W74" s="131">
        <f>IF(OR($A74="",$D74=""),0,$I74*$D74)</f>
        <v/>
      </c>
      <c r="X74" s="131">
        <f>IF(AND($A74&lt;&gt;"",$D74=""),1,0)</f>
        <v/>
      </c>
      <c r="Y74" s="131">
        <f>IF($A74="",0,IF(COUNTIF($O$8:$O$101,$O74)&gt;1,1,0))</f>
        <v/>
      </c>
    </row>
    <row r="75" ht="15" customHeight="1">
      <c r="A75" s="9" t="inlineStr">
        <is>
          <t>Cuttlefish</t>
        </is>
      </c>
      <c r="B75" s="9" t="inlineStr">
        <is>
          <t>CFWC 1/2 10%</t>
        </is>
      </c>
      <c r="C75" s="43" t="inlineStr">
        <is>
          <t>Slab</t>
        </is>
      </c>
      <c r="D75" s="45" t="n">
        <v>4</v>
      </c>
      <c r="E75" s="44" t="n">
        <v>0</v>
      </c>
      <c r="F75" s="11">
        <f>IF($A75="","",SUMIFS('Daily Entry'!$C$7:$C$5003,'Daily Entry'!$B$7:$B$5003,$O75,'Daily Entry'!$A$7:$A$5003,$E$3))</f>
        <v/>
      </c>
      <c r="G75" s="11">
        <f>IF($A75="","",SUMIFS('Daily Entry'!$D$7:$D$5003,'Daily Entry'!$B$7:$B$5003,$O75,'Daily Entry'!$A$7:$A$5003,$E$3))</f>
        <v/>
      </c>
      <c r="H75" s="12">
        <f>IF($A75="","",SUMIFS('Daily Entry'!$C$7:$C$5003,'Daily Entry'!$B$7:$B$5003,$O75))</f>
        <v/>
      </c>
      <c r="I75" s="12">
        <f>IF($A75="","",SUMIFS('Daily Entry'!$D$7:$D$5003,'Daily Entry'!$B$7:$B$5003,$O75))</f>
        <v/>
      </c>
      <c r="J75" s="13">
        <f>IF($A75="","",$E75+$H75-$I75)</f>
        <v/>
      </c>
      <c r="K75" s="14">
        <f>IF(OR($A75="",$D75=""),"",$J75*$D75)</f>
        <v/>
      </c>
      <c r="L75" s="17" t="n"/>
      <c r="M75" s="16">
        <f>IF(OR($A75="",$D75="",$L75="",$E$4=""),"",$K75*$L75*$E$4)</f>
        <v/>
      </c>
      <c r="O75" s="131">
        <f>IF($A75="","",$A75&amp;" - "&amp;$B75)</f>
        <v/>
      </c>
      <c r="P75" s="131">
        <f>IF($A75="",0,IF(OR($F75&lt;&gt;0,$G75&lt;&gt;0),1,0))</f>
        <v/>
      </c>
      <c r="Q75" s="131">
        <f>IF($P75=1,SUM($P$8:$P75),"")</f>
        <v/>
      </c>
      <c r="R75" s="131">
        <f>IF($A75="","",$A75&amp;"#"&amp;COUNTIF($A$8:$A75,$A75))</f>
        <v/>
      </c>
      <c r="S75" s="131">
        <f>IF(OR($A75="",$D75=""),0,$E75*$D75)</f>
        <v/>
      </c>
      <c r="T75" s="131">
        <f>IF(OR($A75="",$D75=""),0,$F75*$D75)</f>
        <v/>
      </c>
      <c r="U75" s="131">
        <f>IF(OR($A75="",$D75=""),0,$G75*$D75)</f>
        <v/>
      </c>
      <c r="V75" s="131">
        <f>IF(OR($A75="",$D75=""),0,$H75*$D75)</f>
        <v/>
      </c>
      <c r="W75" s="131">
        <f>IF(OR($A75="",$D75=""),0,$I75*$D75)</f>
        <v/>
      </c>
      <c r="X75" s="131">
        <f>IF(AND($A75&lt;&gt;"",$D75=""),1,0)</f>
        <v/>
      </c>
      <c r="Y75" s="131">
        <f>IF($A75="",0,IF(COUNTIF($O$8:$O$101,$O75)&gt;1,1,0))</f>
        <v/>
      </c>
    </row>
    <row r="76" ht="15" customHeight="1">
      <c r="A76" s="46" t="inlineStr">
        <is>
          <t>Cuttlefish</t>
        </is>
      </c>
      <c r="B76" s="46" t="inlineStr">
        <is>
          <t>CFWC 2/4 10%</t>
        </is>
      </c>
      <c r="C76" s="36" t="inlineStr">
        <is>
          <t>Slab</t>
        </is>
      </c>
      <c r="D76" s="29" t="n">
        <v>4</v>
      </c>
      <c r="E76" s="37" t="n">
        <v>0</v>
      </c>
      <c r="F76" s="47">
        <f>IF($A76="","",SUMIFS('Daily Entry'!$C$7:$C$5003,'Daily Entry'!$B$7:$B$5003,$O76,'Daily Entry'!$A$7:$A$5003,$E$3))</f>
        <v/>
      </c>
      <c r="G76" s="47">
        <f>IF($A76="","",SUMIFS('Daily Entry'!$D$7:$D$5003,'Daily Entry'!$B$7:$B$5003,$O76,'Daily Entry'!$A$7:$A$5003,$E$3))</f>
        <v/>
      </c>
      <c r="H76" s="48">
        <f>IF($A76="","",SUMIFS('Daily Entry'!$C$7:$C$5003,'Daily Entry'!$B$7:$B$5003,$O76))</f>
        <v/>
      </c>
      <c r="I76" s="48">
        <f>IF($A76="","",SUMIFS('Daily Entry'!$D$7:$D$5003,'Daily Entry'!$B$7:$B$5003,$O76))</f>
        <v/>
      </c>
      <c r="J76" s="49">
        <f>IF($A76="","",$E76+$H76-$I76)</f>
        <v/>
      </c>
      <c r="K76" s="50">
        <f>IF(OR($A76="",$D76=""),"",$J76*$D76)</f>
        <v/>
      </c>
      <c r="L76" s="15" t="n"/>
      <c r="M76" s="51">
        <f>IF(OR($A76="",$D76="",$L76="",$E$4=""),"",$K76*$L76*$E$4)</f>
        <v/>
      </c>
      <c r="O76" s="131">
        <f>IF($A76="","",$A76&amp;" - "&amp;$B76)</f>
        <v/>
      </c>
      <c r="P76" s="131">
        <f>IF($A76="",0,IF(OR($F76&lt;&gt;0,$G76&lt;&gt;0),1,0))</f>
        <v/>
      </c>
      <c r="Q76" s="131">
        <f>IF($P76=1,SUM($P$8:$P76),"")</f>
        <v/>
      </c>
      <c r="R76" s="131">
        <f>IF($A76="","",$A76&amp;"#"&amp;COUNTIF($A$8:$A76,$A76))</f>
        <v/>
      </c>
      <c r="S76" s="131">
        <f>IF(OR($A76="",$D76=""),0,$E76*$D76)</f>
        <v/>
      </c>
      <c r="T76" s="131">
        <f>IF(OR($A76="",$D76=""),0,$F76*$D76)</f>
        <v/>
      </c>
      <c r="U76" s="131">
        <f>IF(OR($A76="",$D76=""),0,$G76*$D76)</f>
        <v/>
      </c>
      <c r="V76" s="131">
        <f>IF(OR($A76="",$D76=""),0,$H76*$D76)</f>
        <v/>
      </c>
      <c r="W76" s="131">
        <f>IF(OR($A76="",$D76=""),0,$I76*$D76)</f>
        <v/>
      </c>
      <c r="X76" s="131">
        <f>IF(AND($A76&lt;&gt;"",$D76=""),1,0)</f>
        <v/>
      </c>
      <c r="Y76" s="131">
        <f>IF($A76="",0,IF(COUNTIF($O$8:$O$101,$O76)&gt;1,1,0))</f>
        <v/>
      </c>
    </row>
    <row r="77" ht="15" customHeight="1">
      <c r="A77" s="9" t="inlineStr">
        <is>
          <t>Cuttlefish</t>
        </is>
      </c>
      <c r="B77" s="9" t="inlineStr">
        <is>
          <t>CFWC 5/7 10%</t>
        </is>
      </c>
      <c r="C77" s="43" t="inlineStr">
        <is>
          <t>Slab</t>
        </is>
      </c>
      <c r="D77" s="45" t="n">
        <v>4</v>
      </c>
      <c r="E77" s="44" t="n">
        <v>0</v>
      </c>
      <c r="F77" s="11">
        <f>IF($A77="","",SUMIFS('Daily Entry'!$C$7:$C$5003,'Daily Entry'!$B$7:$B$5003,$O77,'Daily Entry'!$A$7:$A$5003,$E$3))</f>
        <v/>
      </c>
      <c r="G77" s="11">
        <f>IF($A77="","",SUMIFS('Daily Entry'!$D$7:$D$5003,'Daily Entry'!$B$7:$B$5003,$O77,'Daily Entry'!$A$7:$A$5003,$E$3))</f>
        <v/>
      </c>
      <c r="H77" s="12">
        <f>IF($A77="","",SUMIFS('Daily Entry'!$C$7:$C$5003,'Daily Entry'!$B$7:$B$5003,$O77))</f>
        <v/>
      </c>
      <c r="I77" s="12">
        <f>IF($A77="","",SUMIFS('Daily Entry'!$D$7:$D$5003,'Daily Entry'!$B$7:$B$5003,$O77))</f>
        <v/>
      </c>
      <c r="J77" s="13">
        <f>IF($A77="","",$E77+$H77-$I77)</f>
        <v/>
      </c>
      <c r="K77" s="14">
        <f>IF(OR($A77="",$D77=""),"",$J77*$D77)</f>
        <v/>
      </c>
      <c r="L77" s="17" t="n"/>
      <c r="M77" s="16">
        <f>IF(OR($A77="",$D77="",$L77="",$E$4=""),"",$K77*$L77*$E$4)</f>
        <v/>
      </c>
      <c r="O77" s="131">
        <f>IF($A77="","",$A77&amp;" - "&amp;$B77)</f>
        <v/>
      </c>
      <c r="P77" s="131">
        <f>IF($A77="",0,IF(OR($F77&lt;&gt;0,$G77&lt;&gt;0),1,0))</f>
        <v/>
      </c>
      <c r="Q77" s="131">
        <f>IF($P77=1,SUM($P$8:$P77),"")</f>
        <v/>
      </c>
      <c r="R77" s="131">
        <f>IF($A77="","",$A77&amp;"#"&amp;COUNTIF($A$8:$A77,$A77))</f>
        <v/>
      </c>
      <c r="S77" s="131">
        <f>IF(OR($A77="",$D77=""),0,$E77*$D77)</f>
        <v/>
      </c>
      <c r="T77" s="131">
        <f>IF(OR($A77="",$D77=""),0,$F77*$D77)</f>
        <v/>
      </c>
      <c r="U77" s="131">
        <f>IF(OR($A77="",$D77=""),0,$G77*$D77)</f>
        <v/>
      </c>
      <c r="V77" s="131">
        <f>IF(OR($A77="",$D77=""),0,$H77*$D77)</f>
        <v/>
      </c>
      <c r="W77" s="131">
        <f>IF(OR($A77="",$D77=""),0,$I77*$D77)</f>
        <v/>
      </c>
      <c r="X77" s="131">
        <f>IF(AND($A77&lt;&gt;"",$D77=""),1,0)</f>
        <v/>
      </c>
      <c r="Y77" s="131">
        <f>IF($A77="",0,IF(COUNTIF($O$8:$O$101,$O77)&gt;1,1,0))</f>
        <v/>
      </c>
    </row>
    <row r="78" ht="15" customHeight="1">
      <c r="A78" s="46" t="inlineStr">
        <is>
          <t>Cuttlefish</t>
        </is>
      </c>
      <c r="B78" s="46" t="inlineStr">
        <is>
          <t>CFWC 8/12 10%</t>
        </is>
      </c>
      <c r="C78" s="36" t="inlineStr">
        <is>
          <t>Slab</t>
        </is>
      </c>
      <c r="D78" s="29" t="n">
        <v>4</v>
      </c>
      <c r="E78" s="37" t="n">
        <v>0</v>
      </c>
      <c r="F78" s="47">
        <f>IF($A78="","",SUMIFS('Daily Entry'!$C$7:$C$5003,'Daily Entry'!$B$7:$B$5003,$O78,'Daily Entry'!$A$7:$A$5003,$E$3))</f>
        <v/>
      </c>
      <c r="G78" s="47">
        <f>IF($A78="","",SUMIFS('Daily Entry'!$D$7:$D$5003,'Daily Entry'!$B$7:$B$5003,$O78,'Daily Entry'!$A$7:$A$5003,$E$3))</f>
        <v/>
      </c>
      <c r="H78" s="48">
        <f>IF($A78="","",SUMIFS('Daily Entry'!$C$7:$C$5003,'Daily Entry'!$B$7:$B$5003,$O78))</f>
        <v/>
      </c>
      <c r="I78" s="48">
        <f>IF($A78="","",SUMIFS('Daily Entry'!$D$7:$D$5003,'Daily Entry'!$B$7:$B$5003,$O78))</f>
        <v/>
      </c>
      <c r="J78" s="49">
        <f>IF($A78="","",$E78+$H78-$I78)</f>
        <v/>
      </c>
      <c r="K78" s="50">
        <f>IF(OR($A78="",$D78=""),"",$J78*$D78)</f>
        <v/>
      </c>
      <c r="L78" s="15" t="n"/>
      <c r="M78" s="51">
        <f>IF(OR($A78="",$D78="",$L78="",$E$4=""),"",$K78*$L78*$E$4)</f>
        <v/>
      </c>
      <c r="O78" s="131">
        <f>IF($A78="","",$A78&amp;" - "&amp;$B78)</f>
        <v/>
      </c>
      <c r="P78" s="131">
        <f>IF($A78="",0,IF(OR($F78&lt;&gt;0,$G78&lt;&gt;0),1,0))</f>
        <v/>
      </c>
      <c r="Q78" s="131">
        <f>IF($P78=1,SUM($P$8:$P78),"")</f>
        <v/>
      </c>
      <c r="R78" s="131">
        <f>IF($A78="","",$A78&amp;"#"&amp;COUNTIF($A$8:$A78,$A78))</f>
        <v/>
      </c>
      <c r="S78" s="131">
        <f>IF(OR($A78="",$D78=""),0,$E78*$D78)</f>
        <v/>
      </c>
      <c r="T78" s="131">
        <f>IF(OR($A78="",$D78=""),0,$F78*$D78)</f>
        <v/>
      </c>
      <c r="U78" s="131">
        <f>IF(OR($A78="",$D78=""),0,$G78*$D78)</f>
        <v/>
      </c>
      <c r="V78" s="131">
        <f>IF(OR($A78="",$D78=""),0,$H78*$D78)</f>
        <v/>
      </c>
      <c r="W78" s="131">
        <f>IF(OR($A78="",$D78=""),0,$I78*$D78)</f>
        <v/>
      </c>
      <c r="X78" s="131">
        <f>IF(AND($A78&lt;&gt;"",$D78=""),1,0)</f>
        <v/>
      </c>
      <c r="Y78" s="131">
        <f>IF($A78="",0,IF(COUNTIF($O$8:$O$101,$O78)&gt;1,1,0))</f>
        <v/>
      </c>
    </row>
    <row r="79" ht="15" customHeight="1">
      <c r="A79" s="9" t="inlineStr">
        <is>
          <t>Cuttlefish</t>
        </is>
      </c>
      <c r="B79" s="9" t="inlineStr">
        <is>
          <t>CFWC 13/20 10%</t>
        </is>
      </c>
      <c r="C79" s="43" t="inlineStr">
        <is>
          <t>Slab</t>
        </is>
      </c>
      <c r="D79" s="45" t="n">
        <v>4</v>
      </c>
      <c r="E79" s="44" t="n">
        <v>0</v>
      </c>
      <c r="F79" s="11">
        <f>IF($A79="","",SUMIFS('Daily Entry'!$C$7:$C$5003,'Daily Entry'!$B$7:$B$5003,$O79,'Daily Entry'!$A$7:$A$5003,$E$3))</f>
        <v/>
      </c>
      <c r="G79" s="11">
        <f>IF($A79="","",SUMIFS('Daily Entry'!$D$7:$D$5003,'Daily Entry'!$B$7:$B$5003,$O79,'Daily Entry'!$A$7:$A$5003,$E$3))</f>
        <v/>
      </c>
      <c r="H79" s="12">
        <f>IF($A79="","",SUMIFS('Daily Entry'!$C$7:$C$5003,'Daily Entry'!$B$7:$B$5003,$O79))</f>
        <v/>
      </c>
      <c r="I79" s="12">
        <f>IF($A79="","",SUMIFS('Daily Entry'!$D$7:$D$5003,'Daily Entry'!$B$7:$B$5003,$O79))</f>
        <v/>
      </c>
      <c r="J79" s="13">
        <f>IF($A79="","",$E79+$H79-$I79)</f>
        <v/>
      </c>
      <c r="K79" s="14">
        <f>IF(OR($A79="",$D79=""),"",$J79*$D79)</f>
        <v/>
      </c>
      <c r="L79" s="17" t="n"/>
      <c r="M79" s="16">
        <f>IF(OR($A79="",$D79="",$L79="",$E$4=""),"",$K79*$L79*$E$4)</f>
        <v/>
      </c>
      <c r="O79" s="131">
        <f>IF($A79="","",$A79&amp;" - "&amp;$B79)</f>
        <v/>
      </c>
      <c r="P79" s="131">
        <f>IF($A79="",0,IF(OR($F79&lt;&gt;0,$G79&lt;&gt;0),1,0))</f>
        <v/>
      </c>
      <c r="Q79" s="131">
        <f>IF($P79=1,SUM($P$8:$P79),"")</f>
        <v/>
      </c>
      <c r="R79" s="131">
        <f>IF($A79="","",$A79&amp;"#"&amp;COUNTIF($A$8:$A79,$A79))</f>
        <v/>
      </c>
      <c r="S79" s="131">
        <f>IF(OR($A79="",$D79=""),0,$E79*$D79)</f>
        <v/>
      </c>
      <c r="T79" s="131">
        <f>IF(OR($A79="",$D79=""),0,$F79*$D79)</f>
        <v/>
      </c>
      <c r="U79" s="131">
        <f>IF(OR($A79="",$D79=""),0,$G79*$D79)</f>
        <v/>
      </c>
      <c r="V79" s="131">
        <f>IF(OR($A79="",$D79=""),0,$H79*$D79)</f>
        <v/>
      </c>
      <c r="W79" s="131">
        <f>IF(OR($A79="",$D79=""),0,$I79*$D79)</f>
        <v/>
      </c>
      <c r="X79" s="131">
        <f>IF(AND($A79&lt;&gt;"",$D79=""),1,0)</f>
        <v/>
      </c>
      <c r="Y79" s="131">
        <f>IF($A79="",0,IF(COUNTIF($O$8:$O$101,$O79)&gt;1,1,0))</f>
        <v/>
      </c>
    </row>
    <row r="80" ht="15" customHeight="1">
      <c r="A80" s="46" t="inlineStr">
        <is>
          <t>White Squid</t>
        </is>
      </c>
      <c r="B80" s="46" t="inlineStr">
        <is>
          <t>SQW U/3 10%</t>
        </is>
      </c>
      <c r="C80" s="36" t="inlineStr">
        <is>
          <t>Slab</t>
        </is>
      </c>
      <c r="D80" s="29" t="n">
        <v>2</v>
      </c>
      <c r="E80" s="37" t="n">
        <v>0</v>
      </c>
      <c r="F80" s="47">
        <f>IF($A80="","",SUMIFS('Daily Entry'!$C$7:$C$5003,'Daily Entry'!$B$7:$B$5003,$O80,'Daily Entry'!$A$7:$A$5003,$E$3))</f>
        <v/>
      </c>
      <c r="G80" s="47">
        <f>IF($A80="","",SUMIFS('Daily Entry'!$D$7:$D$5003,'Daily Entry'!$B$7:$B$5003,$O80,'Daily Entry'!$A$7:$A$5003,$E$3))</f>
        <v/>
      </c>
      <c r="H80" s="48">
        <f>IF($A80="","",SUMIFS('Daily Entry'!$C$7:$C$5003,'Daily Entry'!$B$7:$B$5003,$O80))</f>
        <v/>
      </c>
      <c r="I80" s="48">
        <f>IF($A80="","",SUMIFS('Daily Entry'!$D$7:$D$5003,'Daily Entry'!$B$7:$B$5003,$O80))</f>
        <v/>
      </c>
      <c r="J80" s="49">
        <f>IF($A80="","",$E80+$H80-$I80)</f>
        <v/>
      </c>
      <c r="K80" s="50">
        <f>IF(OR($A80="",$D80=""),"",$J80*$D80)</f>
        <v/>
      </c>
      <c r="L80" s="15" t="n">
        <v>6</v>
      </c>
      <c r="M80" s="51">
        <f>IF(OR($A80="",$D80="",$L80="",$E$4=""),"",$K80*$L80*$E$4)</f>
        <v/>
      </c>
      <c r="O80" s="131">
        <f>IF($A80="","",$A80&amp;" - "&amp;$B80)</f>
        <v/>
      </c>
      <c r="P80" s="131">
        <f>IF($A80="",0,IF(OR($F80&lt;&gt;0,$G80&lt;&gt;0),1,0))</f>
        <v/>
      </c>
      <c r="Q80" s="131">
        <f>IF($P80=1,SUM($P$8:$P80),"")</f>
        <v/>
      </c>
      <c r="R80" s="131">
        <f>IF($A80="","",$A80&amp;"#"&amp;COUNTIF($A$8:$A80,$A80))</f>
        <v/>
      </c>
      <c r="S80" s="131">
        <f>IF(OR($A80="",$D80=""),0,$E80*$D80)</f>
        <v/>
      </c>
      <c r="T80" s="131">
        <f>IF(OR($A80="",$D80=""),0,$F80*$D80)</f>
        <v/>
      </c>
      <c r="U80" s="131">
        <f>IF(OR($A80="",$D80=""),0,$G80*$D80)</f>
        <v/>
      </c>
      <c r="V80" s="131">
        <f>IF(OR($A80="",$D80=""),0,$H80*$D80)</f>
        <v/>
      </c>
      <c r="W80" s="131">
        <f>IF(OR($A80="",$D80=""),0,$I80*$D80)</f>
        <v/>
      </c>
      <c r="X80" s="131">
        <f>IF(AND($A80&lt;&gt;"",$D80=""),1,0)</f>
        <v/>
      </c>
      <c r="Y80" s="131">
        <f>IF($A80="",0,IF(COUNTIF($O$8:$O$101,$O80)&gt;1,1,0))</f>
        <v/>
      </c>
    </row>
    <row r="81" ht="15" customHeight="1">
      <c r="A81" s="9" t="inlineStr">
        <is>
          <t>White Squid</t>
        </is>
      </c>
      <c r="B81" s="9" t="inlineStr">
        <is>
          <t>SQW 3/6 10%</t>
        </is>
      </c>
      <c r="C81" s="43" t="inlineStr">
        <is>
          <t>Slab</t>
        </is>
      </c>
      <c r="D81" s="45" t="n">
        <v>2</v>
      </c>
      <c r="E81" s="44" t="n">
        <v>0</v>
      </c>
      <c r="F81" s="11">
        <f>IF($A81="","",SUMIFS('Daily Entry'!$C$7:$C$5003,'Daily Entry'!$B$7:$B$5003,$O81,'Daily Entry'!$A$7:$A$5003,$E$3))</f>
        <v/>
      </c>
      <c r="G81" s="11">
        <f>IF($A81="","",SUMIFS('Daily Entry'!$D$7:$D$5003,'Daily Entry'!$B$7:$B$5003,$O81,'Daily Entry'!$A$7:$A$5003,$E$3))</f>
        <v/>
      </c>
      <c r="H81" s="12">
        <f>IF($A81="","",SUMIFS('Daily Entry'!$C$7:$C$5003,'Daily Entry'!$B$7:$B$5003,$O81))</f>
        <v/>
      </c>
      <c r="I81" s="12">
        <f>IF($A81="","",SUMIFS('Daily Entry'!$D$7:$D$5003,'Daily Entry'!$B$7:$B$5003,$O81))</f>
        <v/>
      </c>
      <c r="J81" s="13">
        <f>IF($A81="","",$E81+$H81-$I81)</f>
        <v/>
      </c>
      <c r="K81" s="14">
        <f>IF(OR($A81="",$D81=""),"",$J81*$D81)</f>
        <v/>
      </c>
      <c r="L81" s="17" t="n">
        <v>5.5</v>
      </c>
      <c r="M81" s="16">
        <f>IF(OR($A81="",$D81="",$L81="",$E$4=""),"",$K81*$L81*$E$4)</f>
        <v/>
      </c>
      <c r="O81" s="131">
        <f>IF($A81="","",$A81&amp;" - "&amp;$B81)</f>
        <v/>
      </c>
      <c r="P81" s="131">
        <f>IF($A81="",0,IF(OR($F81&lt;&gt;0,$G81&lt;&gt;0),1,0))</f>
        <v/>
      </c>
      <c r="Q81" s="131">
        <f>IF($P81=1,SUM($P$8:$P81),"")</f>
        <v/>
      </c>
      <c r="R81" s="131">
        <f>IF($A81="","",$A81&amp;"#"&amp;COUNTIF($A$8:$A81,$A81))</f>
        <v/>
      </c>
      <c r="S81" s="131">
        <f>IF(OR($A81="",$D81=""),0,$E81*$D81)</f>
        <v/>
      </c>
      <c r="T81" s="131">
        <f>IF(OR($A81="",$D81=""),0,$F81*$D81)</f>
        <v/>
      </c>
      <c r="U81" s="131">
        <f>IF(OR($A81="",$D81=""),0,$G81*$D81)</f>
        <v/>
      </c>
      <c r="V81" s="131">
        <f>IF(OR($A81="",$D81=""),0,$H81*$D81)</f>
        <v/>
      </c>
      <c r="W81" s="131">
        <f>IF(OR($A81="",$D81=""),0,$I81*$D81)</f>
        <v/>
      </c>
      <c r="X81" s="131">
        <f>IF(AND($A81&lt;&gt;"",$D81=""),1,0)</f>
        <v/>
      </c>
      <c r="Y81" s="131">
        <f>IF($A81="",0,IF(COUNTIF($O$8:$O$101,$O81)&gt;1,1,0))</f>
        <v/>
      </c>
    </row>
    <row r="82" ht="15" customHeight="1">
      <c r="A82" s="46" t="inlineStr">
        <is>
          <t>White Squid</t>
        </is>
      </c>
      <c r="B82" s="46" t="inlineStr">
        <is>
          <t>SQW 6/10 10%</t>
        </is>
      </c>
      <c r="C82" s="36" t="inlineStr">
        <is>
          <t>Slab</t>
        </is>
      </c>
      <c r="D82" s="29" t="n">
        <v>2</v>
      </c>
      <c r="E82" s="37" t="n">
        <v>0</v>
      </c>
      <c r="F82" s="47">
        <f>IF($A82="","",SUMIFS('Daily Entry'!$C$7:$C$5003,'Daily Entry'!$B$7:$B$5003,$O82,'Daily Entry'!$A$7:$A$5003,$E$3))</f>
        <v/>
      </c>
      <c r="G82" s="47">
        <f>IF($A82="","",SUMIFS('Daily Entry'!$D$7:$D$5003,'Daily Entry'!$B$7:$B$5003,$O82,'Daily Entry'!$A$7:$A$5003,$E$3))</f>
        <v/>
      </c>
      <c r="H82" s="48">
        <f>IF($A82="","",SUMIFS('Daily Entry'!$C$7:$C$5003,'Daily Entry'!$B$7:$B$5003,$O82))</f>
        <v/>
      </c>
      <c r="I82" s="48">
        <f>IF($A82="","",SUMIFS('Daily Entry'!$D$7:$D$5003,'Daily Entry'!$B$7:$B$5003,$O82))</f>
        <v/>
      </c>
      <c r="J82" s="49">
        <f>IF($A82="","",$E82+$H82-$I82)</f>
        <v/>
      </c>
      <c r="K82" s="50">
        <f>IF(OR($A82="",$D82=""),"",$J82*$D82)</f>
        <v/>
      </c>
      <c r="L82" s="15" t="n">
        <v>5</v>
      </c>
      <c r="M82" s="51">
        <f>IF(OR($A82="",$D82="",$L82="",$E$4=""),"",$K82*$L82*$E$4)</f>
        <v/>
      </c>
      <c r="O82" s="131">
        <f>IF($A82="","",$A82&amp;" - "&amp;$B82)</f>
        <v/>
      </c>
      <c r="P82" s="131">
        <f>IF($A82="",0,IF(OR($F82&lt;&gt;0,$G82&lt;&gt;0),1,0))</f>
        <v/>
      </c>
      <c r="Q82" s="131">
        <f>IF($P82=1,SUM($P$8:$P82),"")</f>
        <v/>
      </c>
      <c r="R82" s="131">
        <f>IF($A82="","",$A82&amp;"#"&amp;COUNTIF($A$8:$A82,$A82))</f>
        <v/>
      </c>
      <c r="S82" s="131">
        <f>IF(OR($A82="",$D82=""),0,$E82*$D82)</f>
        <v/>
      </c>
      <c r="T82" s="131">
        <f>IF(OR($A82="",$D82=""),0,$F82*$D82)</f>
        <v/>
      </c>
      <c r="U82" s="131">
        <f>IF(OR($A82="",$D82=""),0,$G82*$D82)</f>
        <v/>
      </c>
      <c r="V82" s="131">
        <f>IF(OR($A82="",$D82=""),0,$H82*$D82)</f>
        <v/>
      </c>
      <c r="W82" s="131">
        <f>IF(OR($A82="",$D82=""),0,$I82*$D82)</f>
        <v/>
      </c>
      <c r="X82" s="131">
        <f>IF(AND($A82&lt;&gt;"",$D82=""),1,0)</f>
        <v/>
      </c>
      <c r="Y82" s="131">
        <f>IF($A82="",0,IF(COUNTIF($O$8:$O$101,$O82)&gt;1,1,0))</f>
        <v/>
      </c>
    </row>
    <row r="83" ht="15" customHeight="1">
      <c r="A83" s="9" t="inlineStr">
        <is>
          <t>White Squid</t>
        </is>
      </c>
      <c r="B83" s="9" t="inlineStr">
        <is>
          <t>SQW 10/20 10%</t>
        </is>
      </c>
      <c r="C83" s="43" t="inlineStr">
        <is>
          <t>Slab</t>
        </is>
      </c>
      <c r="D83" s="45" t="n">
        <v>2</v>
      </c>
      <c r="E83" s="44" t="n">
        <v>0</v>
      </c>
      <c r="F83" s="11">
        <f>IF($A83="","",SUMIFS('Daily Entry'!$C$7:$C$5003,'Daily Entry'!$B$7:$B$5003,$O83,'Daily Entry'!$A$7:$A$5003,$E$3))</f>
        <v/>
      </c>
      <c r="G83" s="11">
        <f>IF($A83="","",SUMIFS('Daily Entry'!$D$7:$D$5003,'Daily Entry'!$B$7:$B$5003,$O83,'Daily Entry'!$A$7:$A$5003,$E$3))</f>
        <v/>
      </c>
      <c r="H83" s="12">
        <f>IF($A83="","",SUMIFS('Daily Entry'!$C$7:$C$5003,'Daily Entry'!$B$7:$B$5003,$O83))</f>
        <v/>
      </c>
      <c r="I83" s="12">
        <f>IF($A83="","",SUMIFS('Daily Entry'!$D$7:$D$5003,'Daily Entry'!$B$7:$B$5003,$O83))</f>
        <v/>
      </c>
      <c r="J83" s="13">
        <f>IF($A83="","",$E83+$H83-$I83)</f>
        <v/>
      </c>
      <c r="K83" s="14">
        <f>IF(OR($A83="",$D83=""),"",$J83*$D83)</f>
        <v/>
      </c>
      <c r="L83" s="17" t="n">
        <v>4.5</v>
      </c>
      <c r="M83" s="16">
        <f>IF(OR($A83="",$D83="",$L83="",$E$4=""),"",$K83*$L83*$E$4)</f>
        <v/>
      </c>
      <c r="O83" s="131">
        <f>IF($A83="","",$A83&amp;" - "&amp;$B83)</f>
        <v/>
      </c>
      <c r="P83" s="131">
        <f>IF($A83="",0,IF(OR($F83&lt;&gt;0,$G83&lt;&gt;0),1,0))</f>
        <v/>
      </c>
      <c r="Q83" s="131">
        <f>IF($P83=1,SUM($P$8:$P83),"")</f>
        <v/>
      </c>
      <c r="R83" s="131">
        <f>IF($A83="","",$A83&amp;"#"&amp;COUNTIF($A$8:$A83,$A83))</f>
        <v/>
      </c>
      <c r="S83" s="131">
        <f>IF(OR($A83="",$D83=""),0,$E83*$D83)</f>
        <v/>
      </c>
      <c r="T83" s="131">
        <f>IF(OR($A83="",$D83=""),0,$F83*$D83)</f>
        <v/>
      </c>
      <c r="U83" s="131">
        <f>IF(OR($A83="",$D83=""),0,$G83*$D83)</f>
        <v/>
      </c>
      <c r="V83" s="131">
        <f>IF(OR($A83="",$D83=""),0,$H83*$D83)</f>
        <v/>
      </c>
      <c r="W83" s="131">
        <f>IF(OR($A83="",$D83=""),0,$I83*$D83)</f>
        <v/>
      </c>
      <c r="X83" s="131">
        <f>IF(AND($A83&lt;&gt;"",$D83=""),1,0)</f>
        <v/>
      </c>
      <c r="Y83" s="131">
        <f>IF($A83="",0,IF(COUNTIF($O$8:$O$101,$O83)&gt;1,1,0))</f>
        <v/>
      </c>
    </row>
    <row r="84" ht="15" customHeight="1">
      <c r="A84" s="46" t="inlineStr">
        <is>
          <t>White Squid</t>
        </is>
      </c>
      <c r="B84" s="46" t="inlineStr">
        <is>
          <t>SQW 20/40 10%</t>
        </is>
      </c>
      <c r="C84" s="36" t="inlineStr">
        <is>
          <t>Slab</t>
        </is>
      </c>
      <c r="D84" s="29" t="n">
        <v>2</v>
      </c>
      <c r="E84" s="37" t="n">
        <v>0</v>
      </c>
      <c r="F84" s="47">
        <f>IF($A84="","",SUMIFS('Daily Entry'!$C$7:$C$5003,'Daily Entry'!$B$7:$B$5003,$O84,'Daily Entry'!$A$7:$A$5003,$E$3))</f>
        <v/>
      </c>
      <c r="G84" s="47">
        <f>IF($A84="","",SUMIFS('Daily Entry'!$D$7:$D$5003,'Daily Entry'!$B$7:$B$5003,$O84,'Daily Entry'!$A$7:$A$5003,$E$3))</f>
        <v/>
      </c>
      <c r="H84" s="48">
        <f>IF($A84="","",SUMIFS('Daily Entry'!$C$7:$C$5003,'Daily Entry'!$B$7:$B$5003,$O84))</f>
        <v/>
      </c>
      <c r="I84" s="48">
        <f>IF($A84="","",SUMIFS('Daily Entry'!$D$7:$D$5003,'Daily Entry'!$B$7:$B$5003,$O84))</f>
        <v/>
      </c>
      <c r="J84" s="49">
        <f>IF($A84="","",$E84+$H84-$I84)</f>
        <v/>
      </c>
      <c r="K84" s="50">
        <f>IF(OR($A84="",$D84=""),"",$J84*$D84)</f>
        <v/>
      </c>
      <c r="L84" s="15" t="n"/>
      <c r="M84" s="51">
        <f>IF(OR($A84="",$D84="",$L84="",$E$4=""),"",$K84*$L84*$E$4)</f>
        <v/>
      </c>
      <c r="O84" s="131">
        <f>IF($A84="","",$A84&amp;" - "&amp;$B84)</f>
        <v/>
      </c>
      <c r="P84" s="131">
        <f>IF($A84="",0,IF(OR($F84&lt;&gt;0,$G84&lt;&gt;0),1,0))</f>
        <v/>
      </c>
      <c r="Q84" s="131">
        <f>IF($P84=1,SUM($P$8:$P84),"")</f>
        <v/>
      </c>
      <c r="R84" s="131">
        <f>IF($A84="","",$A84&amp;"#"&amp;COUNTIF($A$8:$A84,$A84))</f>
        <v/>
      </c>
      <c r="S84" s="131">
        <f>IF(OR($A84="",$D84=""),0,$E84*$D84)</f>
        <v/>
      </c>
      <c r="T84" s="131">
        <f>IF(OR($A84="",$D84=""),0,$F84*$D84)</f>
        <v/>
      </c>
      <c r="U84" s="131">
        <f>IF(OR($A84="",$D84=""),0,$G84*$D84)</f>
        <v/>
      </c>
      <c r="V84" s="131">
        <f>IF(OR($A84="",$D84=""),0,$H84*$D84)</f>
        <v/>
      </c>
      <c r="W84" s="131">
        <f>IF(OR($A84="",$D84=""),0,$I84*$D84)</f>
        <v/>
      </c>
      <c r="X84" s="131">
        <f>IF(AND($A84&lt;&gt;"",$D84=""),1,0)</f>
        <v/>
      </c>
      <c r="Y84" s="131">
        <f>IF($A84="",0,IF(COUNTIF($O$8:$O$101,$O84)&gt;1,1,0))</f>
        <v/>
      </c>
    </row>
    <row r="85" ht="15" customHeight="1">
      <c r="A85" s="9" t="inlineStr">
        <is>
          <t>White Squid</t>
        </is>
      </c>
      <c r="B85" s="9" t="inlineStr">
        <is>
          <t>SQWC U/5 25%</t>
        </is>
      </c>
      <c r="C85" s="43" t="inlineStr">
        <is>
          <t>Slab</t>
        </is>
      </c>
      <c r="D85" s="45" t="n">
        <v>2</v>
      </c>
      <c r="E85" s="44" t="n">
        <v>0</v>
      </c>
      <c r="F85" s="11">
        <f>IF($A85="","",SUMIFS('Daily Entry'!$C$7:$C$5003,'Daily Entry'!$B$7:$B$5003,$O85,'Daily Entry'!$A$7:$A$5003,$E$3))</f>
        <v/>
      </c>
      <c r="G85" s="11">
        <f>IF($A85="","",SUMIFS('Daily Entry'!$D$7:$D$5003,'Daily Entry'!$B$7:$B$5003,$O85,'Daily Entry'!$A$7:$A$5003,$E$3))</f>
        <v/>
      </c>
      <c r="H85" s="12">
        <f>IF($A85="","",SUMIFS('Daily Entry'!$C$7:$C$5003,'Daily Entry'!$B$7:$B$5003,$O85))</f>
        <v/>
      </c>
      <c r="I85" s="12">
        <f>IF($A85="","",SUMIFS('Daily Entry'!$D$7:$D$5003,'Daily Entry'!$B$7:$B$5003,$O85))</f>
        <v/>
      </c>
      <c r="J85" s="13">
        <f>IF($A85="","",$E85+$H85-$I85)</f>
        <v/>
      </c>
      <c r="K85" s="14">
        <f>IF(OR($A85="",$D85=""),"",$J85*$D85)</f>
        <v/>
      </c>
      <c r="L85" s="17" t="n"/>
      <c r="M85" s="16">
        <f>IF(OR($A85="",$D85="",$L85="",$E$4=""),"",$K85*$L85*$E$4)</f>
        <v/>
      </c>
      <c r="O85" s="131">
        <f>IF($A85="","",$A85&amp;" - "&amp;$B85)</f>
        <v/>
      </c>
      <c r="P85" s="131">
        <f>IF($A85="",0,IF(OR($F85&lt;&gt;0,$G85&lt;&gt;0),1,0))</f>
        <v/>
      </c>
      <c r="Q85" s="131">
        <f>IF($P85=1,SUM($P$8:$P85),"")</f>
        <v/>
      </c>
      <c r="R85" s="131">
        <f>IF($A85="","",$A85&amp;"#"&amp;COUNTIF($A$8:$A85,$A85))</f>
        <v/>
      </c>
      <c r="S85" s="131">
        <f>IF(OR($A85="",$D85=""),0,$E85*$D85)</f>
        <v/>
      </c>
      <c r="T85" s="131">
        <f>IF(OR($A85="",$D85=""),0,$F85*$D85)</f>
        <v/>
      </c>
      <c r="U85" s="131">
        <f>IF(OR($A85="",$D85=""),0,$G85*$D85)</f>
        <v/>
      </c>
      <c r="V85" s="131">
        <f>IF(OR($A85="",$D85=""),0,$H85*$D85)</f>
        <v/>
      </c>
      <c r="W85" s="131">
        <f>IF(OR($A85="",$D85=""),0,$I85*$D85)</f>
        <v/>
      </c>
      <c r="X85" s="131">
        <f>IF(AND($A85&lt;&gt;"",$D85=""),1,0)</f>
        <v/>
      </c>
      <c r="Y85" s="131">
        <f>IF($A85="",0,IF(COUNTIF($O$8:$O$101,$O85)&gt;1,1,0))</f>
        <v/>
      </c>
    </row>
    <row r="86" ht="15" customHeight="1">
      <c r="A86" s="46" t="inlineStr">
        <is>
          <t>White Squid</t>
        </is>
      </c>
      <c r="B86" s="46" t="inlineStr">
        <is>
          <t>SQWC U/10 25%</t>
        </is>
      </c>
      <c r="C86" s="36" t="inlineStr">
        <is>
          <t>Slab</t>
        </is>
      </c>
      <c r="D86" s="29" t="n">
        <v>2</v>
      </c>
      <c r="E86" s="37" t="n">
        <v>0</v>
      </c>
      <c r="F86" s="47">
        <f>IF($A86="","",SUMIFS('Daily Entry'!$C$7:$C$5003,'Daily Entry'!$B$7:$B$5003,$O86,'Daily Entry'!$A$7:$A$5003,$E$3))</f>
        <v/>
      </c>
      <c r="G86" s="47">
        <f>IF($A86="","",SUMIFS('Daily Entry'!$D$7:$D$5003,'Daily Entry'!$B$7:$B$5003,$O86,'Daily Entry'!$A$7:$A$5003,$E$3))</f>
        <v/>
      </c>
      <c r="H86" s="48">
        <f>IF($A86="","",SUMIFS('Daily Entry'!$C$7:$C$5003,'Daily Entry'!$B$7:$B$5003,$O86))</f>
        <v/>
      </c>
      <c r="I86" s="48">
        <f>IF($A86="","",SUMIFS('Daily Entry'!$D$7:$D$5003,'Daily Entry'!$B$7:$B$5003,$O86))</f>
        <v/>
      </c>
      <c r="J86" s="49">
        <f>IF($A86="","",$E86+$H86-$I86)</f>
        <v/>
      </c>
      <c r="K86" s="50">
        <f>IF(OR($A86="",$D86=""),"",$J86*$D86)</f>
        <v/>
      </c>
      <c r="L86" s="15" t="n"/>
      <c r="M86" s="51">
        <f>IF(OR($A86="",$D86="",$L86="",$E$4=""),"",$K86*$L86*$E$4)</f>
        <v/>
      </c>
      <c r="O86" s="131">
        <f>IF($A86="","",$A86&amp;" - "&amp;$B86)</f>
        <v/>
      </c>
      <c r="P86" s="131">
        <f>IF($A86="",0,IF(OR($F86&lt;&gt;0,$G86&lt;&gt;0),1,0))</f>
        <v/>
      </c>
      <c r="Q86" s="131">
        <f>IF($P86=1,SUM($P$8:$P86),"")</f>
        <v/>
      </c>
      <c r="R86" s="131">
        <f>IF($A86="","",$A86&amp;"#"&amp;COUNTIF($A$8:$A86,$A86))</f>
        <v/>
      </c>
      <c r="S86" s="131">
        <f>IF(OR($A86="",$D86=""),0,$E86*$D86)</f>
        <v/>
      </c>
      <c r="T86" s="131">
        <f>IF(OR($A86="",$D86=""),0,$F86*$D86)</f>
        <v/>
      </c>
      <c r="U86" s="131">
        <f>IF(OR($A86="",$D86=""),0,$G86*$D86)</f>
        <v/>
      </c>
      <c r="V86" s="131">
        <f>IF(OR($A86="",$D86=""),0,$H86*$D86)</f>
        <v/>
      </c>
      <c r="W86" s="131">
        <f>IF(OR($A86="",$D86=""),0,$I86*$D86)</f>
        <v/>
      </c>
      <c r="X86" s="131">
        <f>IF(AND($A86&lt;&gt;"",$D86=""),1,0)</f>
        <v/>
      </c>
      <c r="Y86" s="131">
        <f>IF($A86="",0,IF(COUNTIF($O$8:$O$101,$O86)&gt;1,1,0))</f>
        <v/>
      </c>
    </row>
    <row r="87" ht="15" customHeight="1">
      <c r="A87" s="9" t="inlineStr">
        <is>
          <t>White Squid</t>
        </is>
      </c>
      <c r="B87" s="9" t="inlineStr">
        <is>
          <t>SQWC 10/20 25%</t>
        </is>
      </c>
      <c r="C87" s="43" t="inlineStr">
        <is>
          <t>Slab</t>
        </is>
      </c>
      <c r="D87" s="45" t="n">
        <v>2</v>
      </c>
      <c r="E87" s="44" t="n">
        <v>0</v>
      </c>
      <c r="F87" s="11">
        <f>IF($A87="","",SUMIFS('Daily Entry'!$C$7:$C$5003,'Daily Entry'!$B$7:$B$5003,$O87,'Daily Entry'!$A$7:$A$5003,$E$3))</f>
        <v/>
      </c>
      <c r="G87" s="11">
        <f>IF($A87="","",SUMIFS('Daily Entry'!$D$7:$D$5003,'Daily Entry'!$B$7:$B$5003,$O87,'Daily Entry'!$A$7:$A$5003,$E$3))</f>
        <v/>
      </c>
      <c r="H87" s="12">
        <f>IF($A87="","",SUMIFS('Daily Entry'!$C$7:$C$5003,'Daily Entry'!$B$7:$B$5003,$O87))</f>
        <v/>
      </c>
      <c r="I87" s="12">
        <f>IF($A87="","",SUMIFS('Daily Entry'!$D$7:$D$5003,'Daily Entry'!$B$7:$B$5003,$O87))</f>
        <v/>
      </c>
      <c r="J87" s="13">
        <f>IF($A87="","",$E87+$H87-$I87)</f>
        <v/>
      </c>
      <c r="K87" s="14">
        <f>IF(OR($A87="",$D87=""),"",$J87*$D87)</f>
        <v/>
      </c>
      <c r="L87" s="17" t="n"/>
      <c r="M87" s="16">
        <f>IF(OR($A87="",$D87="",$L87="",$E$4=""),"",$K87*$L87*$E$4)</f>
        <v/>
      </c>
      <c r="O87" s="131">
        <f>IF($A87="","",$A87&amp;" - "&amp;$B87)</f>
        <v/>
      </c>
      <c r="P87" s="131">
        <f>IF($A87="",0,IF(OR($F87&lt;&gt;0,$G87&lt;&gt;0),1,0))</f>
        <v/>
      </c>
      <c r="Q87" s="131">
        <f>IF($P87=1,SUM($P$8:$P87),"")</f>
        <v/>
      </c>
      <c r="R87" s="131">
        <f>IF($A87="","",$A87&amp;"#"&amp;COUNTIF($A$8:$A87,$A87))</f>
        <v/>
      </c>
      <c r="S87" s="131">
        <f>IF(OR($A87="",$D87=""),0,$E87*$D87)</f>
        <v/>
      </c>
      <c r="T87" s="131">
        <f>IF(OR($A87="",$D87=""),0,$F87*$D87)</f>
        <v/>
      </c>
      <c r="U87" s="131">
        <f>IF(OR($A87="",$D87=""),0,$G87*$D87)</f>
        <v/>
      </c>
      <c r="V87" s="131">
        <f>IF(OR($A87="",$D87=""),0,$H87*$D87)</f>
        <v/>
      </c>
      <c r="W87" s="131">
        <f>IF(OR($A87="",$D87=""),0,$I87*$D87)</f>
        <v/>
      </c>
      <c r="X87" s="131">
        <f>IF(AND($A87&lt;&gt;"",$D87=""),1,0)</f>
        <v/>
      </c>
      <c r="Y87" s="131">
        <f>IF($A87="",0,IF(COUNTIF($O$8:$O$101,$O87)&gt;1,1,0))</f>
        <v/>
      </c>
    </row>
    <row r="88" ht="15" customHeight="1">
      <c r="A88" s="46" t="inlineStr">
        <is>
          <t>Semi Needle Squid</t>
        </is>
      </c>
      <c r="B88" s="46" t="inlineStr">
        <is>
          <t>SKIN-ON RINGS 3/6 25%</t>
        </is>
      </c>
      <c r="C88" s="36" t="inlineStr">
        <is>
          <t>Kg</t>
        </is>
      </c>
      <c r="D88" s="29" t="n">
        <v>1</v>
      </c>
      <c r="E88" s="37" t="n">
        <v>0</v>
      </c>
      <c r="F88" s="47">
        <f>IF($A88="","",SUMIFS('Daily Entry'!$C$7:$C$5003,'Daily Entry'!$B$7:$B$5003,$O88,'Daily Entry'!$A$7:$A$5003,$E$3))</f>
        <v/>
      </c>
      <c r="G88" s="47">
        <f>IF($A88="","",SUMIFS('Daily Entry'!$D$7:$D$5003,'Daily Entry'!$B$7:$B$5003,$O88,'Daily Entry'!$A$7:$A$5003,$E$3))</f>
        <v/>
      </c>
      <c r="H88" s="48">
        <f>IF($A88="","",SUMIFS('Daily Entry'!$C$7:$C$5003,'Daily Entry'!$B$7:$B$5003,$O88))</f>
        <v/>
      </c>
      <c r="I88" s="48">
        <f>IF($A88="","",SUMIFS('Daily Entry'!$D$7:$D$5003,'Daily Entry'!$B$7:$B$5003,$O88))</f>
        <v/>
      </c>
      <c r="J88" s="49">
        <f>IF($A88="","",$E88+$H88-$I88)</f>
        <v/>
      </c>
      <c r="K88" s="50">
        <f>IF(OR($A88="",$D88=""),"",$J88*$D88)</f>
        <v/>
      </c>
      <c r="L88" s="15" t="n"/>
      <c r="M88" s="51">
        <f>IF(OR($A88="",$D88="",$L88="",$E$4=""),"",$K88*$L88*$E$4)</f>
        <v/>
      </c>
      <c r="O88" s="131">
        <f>IF($A88="","",$A88&amp;" - "&amp;$B88)</f>
        <v/>
      </c>
      <c r="P88" s="131">
        <f>IF($A88="",0,IF(OR($F88&lt;&gt;0,$G88&lt;&gt;0),1,0))</f>
        <v/>
      </c>
      <c r="Q88" s="131">
        <f>IF($P88=1,SUM($P$8:$P88),"")</f>
        <v/>
      </c>
      <c r="R88" s="131">
        <f>IF($A88="","",$A88&amp;"#"&amp;COUNTIF($A$8:$A88,$A88))</f>
        <v/>
      </c>
      <c r="S88" s="131">
        <f>IF(OR($A88="",$D88=""),0,$E88*$D88)</f>
        <v/>
      </c>
      <c r="T88" s="131">
        <f>IF(OR($A88="",$D88=""),0,$F88*$D88)</f>
        <v/>
      </c>
      <c r="U88" s="131">
        <f>IF(OR($A88="",$D88=""),0,$G88*$D88)</f>
        <v/>
      </c>
      <c r="V88" s="131">
        <f>IF(OR($A88="",$D88=""),0,$H88*$D88)</f>
        <v/>
      </c>
      <c r="W88" s="131">
        <f>IF(OR($A88="",$D88=""),0,$I88*$D88)</f>
        <v/>
      </c>
      <c r="X88" s="131">
        <f>IF(AND($A88&lt;&gt;"",$D88=""),1,0)</f>
        <v/>
      </c>
      <c r="Y88" s="131">
        <f>IF($A88="",0,IF(COUNTIF($O$8:$O$101,$O88)&gt;1,1,0))</f>
        <v/>
      </c>
    </row>
    <row r="89" ht="15" customHeight="1">
      <c r="A89" s="9" t="inlineStr">
        <is>
          <t>Semi Needle Squid</t>
        </is>
      </c>
      <c r="B89" s="9" t="inlineStr">
        <is>
          <t>SKIN-ON RINGS 6/10 25%</t>
        </is>
      </c>
      <c r="C89" s="43" t="inlineStr">
        <is>
          <t>Kg</t>
        </is>
      </c>
      <c r="D89" s="45" t="n">
        <v>1</v>
      </c>
      <c r="E89" s="44" t="n">
        <v>11500</v>
      </c>
      <c r="F89" s="11">
        <f>IF($A89="","",SUMIFS('Daily Entry'!$C$7:$C$5003,'Daily Entry'!$B$7:$B$5003,$O89,'Daily Entry'!$A$7:$A$5003,$E$3))</f>
        <v/>
      </c>
      <c r="G89" s="11">
        <f>IF($A89="","",SUMIFS('Daily Entry'!$D$7:$D$5003,'Daily Entry'!$B$7:$B$5003,$O89,'Daily Entry'!$A$7:$A$5003,$E$3))</f>
        <v/>
      </c>
      <c r="H89" s="12">
        <f>IF($A89="","",SUMIFS('Daily Entry'!$C$7:$C$5003,'Daily Entry'!$B$7:$B$5003,$O89))</f>
        <v/>
      </c>
      <c r="I89" s="12">
        <f>IF($A89="","",SUMIFS('Daily Entry'!$D$7:$D$5003,'Daily Entry'!$B$7:$B$5003,$O89))</f>
        <v/>
      </c>
      <c r="J89" s="13">
        <f>IF($A89="","",$E89+$H89-$I89)</f>
        <v/>
      </c>
      <c r="K89" s="14">
        <f>IF(OR($A89="",$D89=""),"",$J89*$D89)</f>
        <v/>
      </c>
      <c r="L89" s="17" t="n">
        <v>4.15</v>
      </c>
      <c r="M89" s="16">
        <f>IF(OR($A89="",$D89="",$L89="",$E$4=""),"",$K89*$L89*$E$4)</f>
        <v/>
      </c>
      <c r="O89" s="131">
        <f>IF($A89="","",$A89&amp;" - "&amp;$B89)</f>
        <v/>
      </c>
      <c r="P89" s="131">
        <f>IF($A89="",0,IF(OR($F89&lt;&gt;0,$G89&lt;&gt;0),1,0))</f>
        <v/>
      </c>
      <c r="Q89" s="131">
        <f>IF($P89=1,SUM($P$8:$P89),"")</f>
        <v/>
      </c>
      <c r="R89" s="131">
        <f>IF($A89="","",$A89&amp;"#"&amp;COUNTIF($A$8:$A89,$A89))</f>
        <v/>
      </c>
      <c r="S89" s="131">
        <f>IF(OR($A89="",$D89=""),0,$E89*$D89)</f>
        <v/>
      </c>
      <c r="T89" s="131">
        <f>IF(OR($A89="",$D89=""),0,$F89*$D89)</f>
        <v/>
      </c>
      <c r="U89" s="131">
        <f>IF(OR($A89="",$D89=""),0,$G89*$D89)</f>
        <v/>
      </c>
      <c r="V89" s="131">
        <f>IF(OR($A89="",$D89=""),0,$H89*$D89)</f>
        <v/>
      </c>
      <c r="W89" s="131">
        <f>IF(OR($A89="",$D89=""),0,$I89*$D89)</f>
        <v/>
      </c>
      <c r="X89" s="131">
        <f>IF(AND($A89&lt;&gt;"",$D89=""),1,0)</f>
        <v/>
      </c>
      <c r="Y89" s="131">
        <f>IF($A89="",0,IF(COUNTIF($O$8:$O$101,$O89)&gt;1,1,0))</f>
        <v/>
      </c>
    </row>
    <row r="90" ht="15" customHeight="1">
      <c r="A90" s="46" t="inlineStr">
        <is>
          <t>Semi Needle Squid</t>
        </is>
      </c>
      <c r="B90" s="46" t="inlineStr">
        <is>
          <t>SKIN-ON RINGS 10/20 25%</t>
        </is>
      </c>
      <c r="C90" s="36" t="inlineStr">
        <is>
          <t>Kg</t>
        </is>
      </c>
      <c r="D90" s="29" t="n">
        <v>1</v>
      </c>
      <c r="E90" s="37" t="n">
        <v>8500</v>
      </c>
      <c r="F90" s="47">
        <f>IF($A90="","",SUMIFS('Daily Entry'!$C$7:$C$5003,'Daily Entry'!$B$7:$B$5003,$O90,'Daily Entry'!$A$7:$A$5003,$E$3))</f>
        <v/>
      </c>
      <c r="G90" s="47">
        <f>IF($A90="","",SUMIFS('Daily Entry'!$D$7:$D$5003,'Daily Entry'!$B$7:$B$5003,$O90,'Daily Entry'!$A$7:$A$5003,$E$3))</f>
        <v/>
      </c>
      <c r="H90" s="48">
        <f>IF($A90="","",SUMIFS('Daily Entry'!$C$7:$C$5003,'Daily Entry'!$B$7:$B$5003,$O90))</f>
        <v/>
      </c>
      <c r="I90" s="48">
        <f>IF($A90="","",SUMIFS('Daily Entry'!$D$7:$D$5003,'Daily Entry'!$B$7:$B$5003,$O90))</f>
        <v/>
      </c>
      <c r="J90" s="49">
        <f>IF($A90="","",$E90+$H90-$I90)</f>
        <v/>
      </c>
      <c r="K90" s="50">
        <f>IF(OR($A90="",$D90=""),"",$J90*$D90)</f>
        <v/>
      </c>
      <c r="L90" s="15" t="n">
        <v>3.7</v>
      </c>
      <c r="M90" s="51">
        <f>IF(OR($A90="",$D90="",$L90="",$E$4=""),"",$K90*$L90*$E$4)</f>
        <v/>
      </c>
      <c r="O90" s="131">
        <f>IF($A90="","",$A90&amp;" - "&amp;$B90)</f>
        <v/>
      </c>
      <c r="P90" s="131">
        <f>IF($A90="",0,IF(OR($F90&lt;&gt;0,$G90&lt;&gt;0),1,0))</f>
        <v/>
      </c>
      <c r="Q90" s="131">
        <f>IF($P90=1,SUM($P$8:$P90),"")</f>
        <v/>
      </c>
      <c r="R90" s="131">
        <f>IF($A90="","",$A90&amp;"#"&amp;COUNTIF($A$8:$A90,$A90))</f>
        <v/>
      </c>
      <c r="S90" s="131">
        <f>IF(OR($A90="",$D90=""),0,$E90*$D90)</f>
        <v/>
      </c>
      <c r="T90" s="131">
        <f>IF(OR($A90="",$D90=""),0,$F90*$D90)</f>
        <v/>
      </c>
      <c r="U90" s="131">
        <f>IF(OR($A90="",$D90=""),0,$G90*$D90)</f>
        <v/>
      </c>
      <c r="V90" s="131">
        <f>IF(OR($A90="",$D90=""),0,$H90*$D90)</f>
        <v/>
      </c>
      <c r="W90" s="131">
        <f>IF(OR($A90="",$D90=""),0,$I90*$D90)</f>
        <v/>
      </c>
      <c r="X90" s="131">
        <f>IF(AND($A90&lt;&gt;"",$D90=""),1,0)</f>
        <v/>
      </c>
      <c r="Y90" s="131">
        <f>IF($A90="",0,IF(COUNTIF($O$8:$O$101,$O90)&gt;1,1,0))</f>
        <v/>
      </c>
    </row>
    <row r="91" ht="15" customHeight="1">
      <c r="A91" s="9" t="inlineStr">
        <is>
          <t>Semi Needle Squid</t>
        </is>
      </c>
      <c r="B91" s="9" t="inlineStr">
        <is>
          <t>SKIN-ON TENTACLES 25%</t>
        </is>
      </c>
      <c r="C91" s="43" t="inlineStr">
        <is>
          <t>Kg</t>
        </is>
      </c>
      <c r="D91" s="45" t="n">
        <v>1</v>
      </c>
      <c r="E91" s="44" t="n">
        <v>0</v>
      </c>
      <c r="F91" s="11">
        <f>IF($A91="","",SUMIFS('Daily Entry'!$C$7:$C$5003,'Daily Entry'!$B$7:$B$5003,$O91,'Daily Entry'!$A$7:$A$5003,$E$3))</f>
        <v/>
      </c>
      <c r="G91" s="11">
        <f>IF($A91="","",SUMIFS('Daily Entry'!$D$7:$D$5003,'Daily Entry'!$B$7:$B$5003,$O91,'Daily Entry'!$A$7:$A$5003,$E$3))</f>
        <v/>
      </c>
      <c r="H91" s="12">
        <f>IF($A91="","",SUMIFS('Daily Entry'!$C$7:$C$5003,'Daily Entry'!$B$7:$B$5003,$O91))</f>
        <v/>
      </c>
      <c r="I91" s="12">
        <f>IF($A91="","",SUMIFS('Daily Entry'!$D$7:$D$5003,'Daily Entry'!$B$7:$B$5003,$O91))</f>
        <v/>
      </c>
      <c r="J91" s="13">
        <f>IF($A91="","",$E91+$H91-$I91)</f>
        <v/>
      </c>
      <c r="K91" s="14">
        <f>IF(OR($A91="",$D91=""),"",$J91*$D91)</f>
        <v/>
      </c>
      <c r="L91" s="17" t="n"/>
      <c r="M91" s="16">
        <f>IF(OR($A91="",$D91="",$L91="",$E$4=""),"",$K91*$L91*$E$4)</f>
        <v/>
      </c>
      <c r="O91" s="131">
        <f>IF($A91="","",$A91&amp;" - "&amp;$B91)</f>
        <v/>
      </c>
      <c r="P91" s="131">
        <f>IF($A91="",0,IF(OR($F91&lt;&gt;0,$G91&lt;&gt;0),1,0))</f>
        <v/>
      </c>
      <c r="Q91" s="131">
        <f>IF($P91=1,SUM($P$8:$P91),"")</f>
        <v/>
      </c>
      <c r="R91" s="131">
        <f>IF($A91="","",$A91&amp;"#"&amp;COUNTIF($A$8:$A91,$A91))</f>
        <v/>
      </c>
      <c r="S91" s="131">
        <f>IF(OR($A91="",$D91=""),0,$E91*$D91)</f>
        <v/>
      </c>
      <c r="T91" s="131">
        <f>IF(OR($A91="",$D91=""),0,$F91*$D91)</f>
        <v/>
      </c>
      <c r="U91" s="131">
        <f>IF(OR($A91="",$D91=""),0,$G91*$D91)</f>
        <v/>
      </c>
      <c r="V91" s="131">
        <f>IF(OR($A91="",$D91=""),0,$H91*$D91)</f>
        <v/>
      </c>
      <c r="W91" s="131">
        <f>IF(OR($A91="",$D91=""),0,$I91*$D91)</f>
        <v/>
      </c>
      <c r="X91" s="131">
        <f>IF(AND($A91&lt;&gt;"",$D91=""),1,0)</f>
        <v/>
      </c>
      <c r="Y91" s="131">
        <f>IF($A91="",0,IF(COUNTIF($O$8:$O$101,$O91)&gt;1,1,0))</f>
        <v/>
      </c>
    </row>
    <row r="92" ht="15" customHeight="1">
      <c r="A92" s="52" t="inlineStr">
        <is>
          <t>Semi Needle Squid</t>
        </is>
      </c>
      <c r="B92" s="52" t="inlineStr">
        <is>
          <t>SQW 10/20</t>
        </is>
      </c>
      <c r="C92" s="117" t="inlineStr">
        <is>
          <t>Slab</t>
        </is>
      </c>
      <c r="D92" s="45" t="n">
        <v>4</v>
      </c>
      <c r="E92" s="118" t="n">
        <v>0</v>
      </c>
      <c r="F92" s="47">
        <f>IF($A92="","",SUMIFS('Daily Entry'!$C$7:$C$5003,'Daily Entry'!$B$7:$B$5003,$O92,'Daily Entry'!$A$7:$A$5003,$E$3))</f>
        <v/>
      </c>
      <c r="G92" s="47">
        <f>IF($A92="","",SUMIFS('Daily Entry'!$D$7:$D$5003,'Daily Entry'!$B$7:$B$5003,$O92,'Daily Entry'!$A$7:$A$5003,$E$3))</f>
        <v/>
      </c>
      <c r="H92" s="48">
        <f>IF($A92="","",SUMIFS('Daily Entry'!$C$7:$C$5003,'Daily Entry'!$B$7:$B$5003,$O92))</f>
        <v/>
      </c>
      <c r="I92" s="48">
        <f>IF($A92="","",SUMIFS('Daily Entry'!$D$7:$D$5003,'Daily Entry'!$B$7:$B$5003,$O92))</f>
        <v/>
      </c>
      <c r="J92" s="49">
        <f>IF($A92="","",$E92+$H92-$I92)</f>
        <v/>
      </c>
      <c r="K92" s="50">
        <f>IF(OR($A92="",$D92=""),"",$J92*$D92)</f>
        <v/>
      </c>
      <c r="L92" s="17" t="n">
        <v>1.8</v>
      </c>
      <c r="M92" s="51">
        <f>IF(OR($A92="",$D92="",$L92="",$E$4=""),"",$K92*$L92*$E$4)</f>
        <v/>
      </c>
      <c r="O92" s="131">
        <f>IF($A92="","",$A92&amp;" - "&amp;$B92)</f>
        <v/>
      </c>
      <c r="P92" s="131">
        <f>IF($A92="",0,IF(OR($F92&lt;&gt;0,$G92&lt;&gt;0),1,0))</f>
        <v/>
      </c>
      <c r="Q92" s="131">
        <f>IF($P92=1,SUM($P$8:$P92),"")</f>
        <v/>
      </c>
      <c r="R92" s="131">
        <f>IF($A92="","",$A92&amp;"#"&amp;COUNTIF($A$8:$A92,$A92))</f>
        <v/>
      </c>
      <c r="S92" s="131">
        <f>IF(OR($A92="",$D92=""),0,$E92*$D92)</f>
        <v/>
      </c>
      <c r="T92" s="131">
        <f>IF(OR($A92="",$D92=""),0,$F92*$D92)</f>
        <v/>
      </c>
      <c r="U92" s="131">
        <f>IF(OR($A92="",$D92=""),0,$G92*$D92)</f>
        <v/>
      </c>
      <c r="V92" s="131">
        <f>IF(OR($A92="",$D92=""),0,$H92*$D92)</f>
        <v/>
      </c>
      <c r="W92" s="131">
        <f>IF(OR($A92="",$D92=""),0,$I92*$D92)</f>
        <v/>
      </c>
      <c r="X92" s="131">
        <f>IF(AND($A92&lt;&gt;"",$D92=""),1,0)</f>
        <v/>
      </c>
      <c r="Y92" s="131">
        <f>IF($A92="",0,IF(COUNTIF($O$8:$O$101,$O92)&gt;1,1,0))</f>
        <v/>
      </c>
    </row>
    <row r="93" ht="15" customHeight="1">
      <c r="A93" s="54" t="inlineStr">
        <is>
          <t>Semi Needle Squid</t>
        </is>
      </c>
      <c r="B93" s="54" t="inlineStr">
        <is>
          <t>SQW 20/40</t>
        </is>
      </c>
      <c r="C93" s="43" t="inlineStr">
        <is>
          <t>Slab</t>
        </is>
      </c>
      <c r="D93" s="45" t="n">
        <v>4</v>
      </c>
      <c r="E93" s="55" t="n">
        <v>0</v>
      </c>
      <c r="F93" s="11">
        <f>IF($A93="","",SUMIFS('Daily Entry'!$C$7:$C$5003,'Daily Entry'!$B$7:$B$5003,$O93,'Daily Entry'!$A$7:$A$5003,$E$3))</f>
        <v/>
      </c>
      <c r="G93" s="11">
        <f>IF($A93="","",SUMIFS('Daily Entry'!$D$7:$D$5003,'Daily Entry'!$B$7:$B$5003,$O93,'Daily Entry'!$A$7:$A$5003,$E$3))</f>
        <v/>
      </c>
      <c r="H93" s="12">
        <f>IF($A93="","",SUMIFS('Daily Entry'!$C$7:$C$5003,'Daily Entry'!$B$7:$B$5003,$O93))</f>
        <v/>
      </c>
      <c r="I93" s="12">
        <f>IF($A93="","",SUMIFS('Daily Entry'!$D$7:$D$5003,'Daily Entry'!$B$7:$B$5003,$O93))</f>
        <v/>
      </c>
      <c r="J93" s="13">
        <f>IF($A93="","",$E93+$H93-$I93)</f>
        <v/>
      </c>
      <c r="K93" s="14">
        <f>IF(OR($A93="",$D93=""),"",$J93*$D93)</f>
        <v/>
      </c>
      <c r="L93" s="17" t="n">
        <v>1.8</v>
      </c>
      <c r="M93" s="16">
        <f>IF(OR($A93="",$D93="",$L93="",$E$4=""),"",$K93*$L93*$E$4)</f>
        <v/>
      </c>
      <c r="O93" s="131">
        <f>IF($A93="","",$A93&amp;" - "&amp;$B93)</f>
        <v/>
      </c>
      <c r="P93" s="131">
        <f>IF($A93="",0,IF(OR($F93&lt;&gt;0,$G93&lt;&gt;0),1,0))</f>
        <v/>
      </c>
      <c r="Q93" s="131">
        <f>IF($P93=1,SUM($P$8:$P93),"")</f>
        <v/>
      </c>
      <c r="R93" s="131">
        <f>IF($A93="","",$A93&amp;"#"&amp;COUNTIF($A$8:$A93,$A93))</f>
        <v/>
      </c>
      <c r="S93" s="131">
        <f>IF(OR($A93="",$D93=""),0,$E93*$D93)</f>
        <v/>
      </c>
      <c r="T93" s="131">
        <f>IF(OR($A93="",$D93=""),0,$F93*$D93)</f>
        <v/>
      </c>
      <c r="U93" s="131">
        <f>IF(OR($A93="",$D93=""),0,$G93*$D93)</f>
        <v/>
      </c>
      <c r="V93" s="131">
        <f>IF(OR($A93="",$D93=""),0,$H93*$D93)</f>
        <v/>
      </c>
      <c r="W93" s="131">
        <f>IF(OR($A93="",$D93=""),0,$I93*$D93)</f>
        <v/>
      </c>
      <c r="X93" s="131">
        <f>IF(AND($A93&lt;&gt;"",$D93=""),1,0)</f>
        <v/>
      </c>
      <c r="Y93" s="131">
        <f>IF($A93="",0,IF(COUNTIF($O$8:$O$101,$O93)&gt;1,1,0))</f>
        <v/>
      </c>
    </row>
    <row r="94" ht="15" customHeight="1">
      <c r="A94" s="52" t="inlineStr">
        <is>
          <t>Semi Needle Squid</t>
        </is>
      </c>
      <c r="B94" s="52" t="inlineStr">
        <is>
          <t>SQW 40/60</t>
        </is>
      </c>
      <c r="C94" s="117" t="inlineStr">
        <is>
          <t>Slab</t>
        </is>
      </c>
      <c r="D94" s="45" t="n">
        <v>4</v>
      </c>
      <c r="E94" s="118" t="n">
        <v>0</v>
      </c>
      <c r="F94" s="47">
        <f>IF($A94="","",SUMIFS('Daily Entry'!$C$7:$C$5003,'Daily Entry'!$B$7:$B$5003,$O94,'Daily Entry'!$A$7:$A$5003,$E$3))</f>
        <v/>
      </c>
      <c r="G94" s="47">
        <f>IF($A94="","",SUMIFS('Daily Entry'!$D$7:$D$5003,'Daily Entry'!$B$7:$B$5003,$O94,'Daily Entry'!$A$7:$A$5003,$E$3))</f>
        <v/>
      </c>
      <c r="H94" s="48">
        <f>IF($A94="","",SUMIFS('Daily Entry'!$C$7:$C$5003,'Daily Entry'!$B$7:$B$5003,$O94))</f>
        <v/>
      </c>
      <c r="I94" s="48">
        <f>IF($A94="","",SUMIFS('Daily Entry'!$D$7:$D$5003,'Daily Entry'!$B$7:$B$5003,$O94))</f>
        <v/>
      </c>
      <c r="J94" s="49">
        <f>IF($A94="","",$E94+$H94-$I94)</f>
        <v/>
      </c>
      <c r="K94" s="50">
        <f>IF(OR($A94="",$D94=""),"",$J94*$D94)</f>
        <v/>
      </c>
      <c r="L94" s="17" t="n">
        <v>1.65</v>
      </c>
      <c r="M94" s="51">
        <f>IF(OR($A94="",$D94="",$L94="",$E$4=""),"",$K94*$L94*$E$4)</f>
        <v/>
      </c>
      <c r="O94" s="131">
        <f>IF($A94="","",$A94&amp;" - "&amp;$B94)</f>
        <v/>
      </c>
      <c r="P94" s="131">
        <f>IF($A94="",0,IF(OR($F94&lt;&gt;0,$G94&lt;&gt;0),1,0))</f>
        <v/>
      </c>
      <c r="Q94" s="131">
        <f>IF($P94=1,SUM($P$8:$P94),"")</f>
        <v/>
      </c>
      <c r="R94" s="131">
        <f>IF($A94="","",$A94&amp;"#"&amp;COUNTIF($A$8:$A94,$A94))</f>
        <v/>
      </c>
      <c r="S94" s="131">
        <f>IF(OR($A94="",$D94=""),0,$E94*$D94)</f>
        <v/>
      </c>
      <c r="T94" s="131">
        <f>IF(OR($A94="",$D94=""),0,$F94*$D94)</f>
        <v/>
      </c>
      <c r="U94" s="131">
        <f>IF(OR($A94="",$D94=""),0,$G94*$D94)</f>
        <v/>
      </c>
      <c r="V94" s="131">
        <f>IF(OR($A94="",$D94=""),0,$H94*$D94)</f>
        <v/>
      </c>
      <c r="W94" s="131">
        <f>IF(OR($A94="",$D94=""),0,$I94*$D94)</f>
        <v/>
      </c>
      <c r="X94" s="131">
        <f>IF(AND($A94&lt;&gt;"",$D94=""),1,0)</f>
        <v/>
      </c>
      <c r="Y94" s="131">
        <f>IF($A94="",0,IF(COUNTIF($O$8:$O$101,$O94)&gt;1,1,0))</f>
        <v/>
      </c>
    </row>
    <row r="95" ht="15" customHeight="1">
      <c r="A95" s="54" t="inlineStr">
        <is>
          <t>Semi Needle Squid</t>
        </is>
      </c>
      <c r="B95" s="54" t="inlineStr">
        <is>
          <t>SQW 60/80</t>
        </is>
      </c>
      <c r="C95" s="43" t="inlineStr">
        <is>
          <t>Slab</t>
        </is>
      </c>
      <c r="D95" s="45" t="n">
        <v>4</v>
      </c>
      <c r="E95" s="55" t="n">
        <v>0</v>
      </c>
      <c r="F95" s="11">
        <f>IF($A95="","",SUMIFS('Daily Entry'!$C$7:$C$5003,'Daily Entry'!$B$7:$B$5003,$O95,'Daily Entry'!$A$7:$A$5003,$E$3))</f>
        <v/>
      </c>
      <c r="G95" s="11">
        <f>IF($A95="","",SUMIFS('Daily Entry'!$D$7:$D$5003,'Daily Entry'!$B$7:$B$5003,$O95,'Daily Entry'!$A$7:$A$5003,$E$3))</f>
        <v/>
      </c>
      <c r="H95" s="12">
        <f>IF($A95="","",SUMIFS('Daily Entry'!$C$7:$C$5003,'Daily Entry'!$B$7:$B$5003,$O95))</f>
        <v/>
      </c>
      <c r="I95" s="12">
        <f>IF($A95="","",SUMIFS('Daily Entry'!$D$7:$D$5003,'Daily Entry'!$B$7:$B$5003,$O95))</f>
        <v/>
      </c>
      <c r="J95" s="13">
        <f>IF($A95="","",$E95+$H95-$I95)</f>
        <v/>
      </c>
      <c r="K95" s="14">
        <f>IF(OR($A95="",$D95=""),"",$J95*$D95)</f>
        <v/>
      </c>
      <c r="L95" s="17" t="n">
        <v>1.3</v>
      </c>
      <c r="M95" s="16">
        <f>IF(OR($A95="",$D95="",$L95="",$E$4=""),"",$K95*$L95*$E$4)</f>
        <v/>
      </c>
      <c r="O95" s="131">
        <f>IF($A95="","",$A95&amp;" - "&amp;$B95)</f>
        <v/>
      </c>
      <c r="P95" s="131">
        <f>IF($A95="",0,IF(OR($F95&lt;&gt;0,$G95&lt;&gt;0),1,0))</f>
        <v/>
      </c>
      <c r="Q95" s="131">
        <f>IF($P95=1,SUM($P$8:$P95),"")</f>
        <v/>
      </c>
      <c r="R95" s="131">
        <f>IF($A95="","",$A95&amp;"#"&amp;COUNTIF($A$8:$A95,$A95))</f>
        <v/>
      </c>
      <c r="S95" s="131">
        <f>IF(OR($A95="",$D95=""),0,$E95*$D95)</f>
        <v/>
      </c>
      <c r="T95" s="131">
        <f>IF(OR($A95="",$D95=""),0,$F95*$D95)</f>
        <v/>
      </c>
      <c r="U95" s="131">
        <f>IF(OR($A95="",$D95=""),0,$G95*$D95)</f>
        <v/>
      </c>
      <c r="V95" s="131">
        <f>IF(OR($A95="",$D95=""),0,$H95*$D95)</f>
        <v/>
      </c>
      <c r="W95" s="131">
        <f>IF(OR($A95="",$D95=""),0,$I95*$D95)</f>
        <v/>
      </c>
      <c r="X95" s="131">
        <f>IF(AND($A95&lt;&gt;"",$D95=""),1,0)</f>
        <v/>
      </c>
      <c r="Y95" s="131">
        <f>IF($A95="",0,IF(COUNTIF($O$8:$O$101,$O95)&gt;1,1,0))</f>
        <v/>
      </c>
    </row>
    <row r="96" ht="15" customHeight="1">
      <c r="A96" s="52" t="n"/>
      <c r="B96" s="52" t="n"/>
      <c r="C96" s="117" t="n"/>
      <c r="D96" s="45" t="n"/>
      <c r="E96" s="118" t="n"/>
      <c r="F96" s="47">
        <f>IF($A96="","",SUMIFS('Daily Entry'!$C$7:$C$5003,'Daily Entry'!$B$7:$B$5003,$O96,'Daily Entry'!$A$7:$A$5003,$E$3))</f>
        <v/>
      </c>
      <c r="G96" s="47">
        <f>IF($A96="","",SUMIFS('Daily Entry'!$D$7:$D$5003,'Daily Entry'!$B$7:$B$5003,$O96,'Daily Entry'!$A$7:$A$5003,$E$3))</f>
        <v/>
      </c>
      <c r="H96" s="48">
        <f>IF($A96="","",SUMIFS('Daily Entry'!$C$7:$C$5003,'Daily Entry'!$B$7:$B$5003,$O96))</f>
        <v/>
      </c>
      <c r="I96" s="48">
        <f>IF($A96="","",SUMIFS('Daily Entry'!$D$7:$D$5003,'Daily Entry'!$B$7:$B$5003,$O96))</f>
        <v/>
      </c>
      <c r="J96" s="49">
        <f>IF($A96="","",$E96+$H96-$I96)</f>
        <v/>
      </c>
      <c r="K96" s="50">
        <f>IF(OR($A96="",$D96=""),"",$J96*$D96)</f>
        <v/>
      </c>
      <c r="L96" s="17" t="n"/>
      <c r="M96" s="51">
        <f>IF(OR($A96="",$D96="",$L96="",$E$4=""),"",$K96*$L96*$E$4)</f>
        <v/>
      </c>
      <c r="O96" s="131">
        <f>IF($A96="","",$A96&amp;" - "&amp;$B96)</f>
        <v/>
      </c>
      <c r="P96" s="131">
        <f>IF($A96="",0,IF(OR($F96&lt;&gt;0,$G96&lt;&gt;0),1,0))</f>
        <v/>
      </c>
      <c r="Q96" s="131">
        <f>IF($P96=1,SUM($P$8:$P96),"")</f>
        <v/>
      </c>
      <c r="R96" s="131">
        <f>IF($A96="","",$A96&amp;"#"&amp;COUNTIF($A$8:$A96,$A96))</f>
        <v/>
      </c>
      <c r="S96" s="131">
        <f>IF(OR($A96="",$D96=""),0,$E96*$D96)</f>
        <v/>
      </c>
      <c r="T96" s="131">
        <f>IF(OR($A96="",$D96=""),0,$F96*$D96)</f>
        <v/>
      </c>
      <c r="U96" s="131">
        <f>IF(OR($A96="",$D96=""),0,$G96*$D96)</f>
        <v/>
      </c>
      <c r="V96" s="131">
        <f>IF(OR($A96="",$D96=""),0,$H96*$D96)</f>
        <v/>
      </c>
      <c r="W96" s="131">
        <f>IF(OR($A96="",$D96=""),0,$I96*$D96)</f>
        <v/>
      </c>
      <c r="X96" s="131">
        <f>IF(AND($A96&lt;&gt;"",$D96=""),1,0)</f>
        <v/>
      </c>
      <c r="Y96" s="131">
        <f>IF($A96="",0,IF(COUNTIF($O$8:$O$101,$O96)&gt;1,1,0))</f>
        <v/>
      </c>
    </row>
    <row r="97" ht="15" customHeight="1">
      <c r="A97" s="54" t="n"/>
      <c r="B97" s="54" t="n"/>
      <c r="C97" s="43" t="n"/>
      <c r="D97" s="45" t="n"/>
      <c r="E97" s="55" t="n"/>
      <c r="F97" s="11">
        <f>IF($A97="","",SUMIFS('Daily Entry'!$C$7:$C$5003,'Daily Entry'!$B$7:$B$5003,$O97,'Daily Entry'!$A$7:$A$5003,$E$3))</f>
        <v/>
      </c>
      <c r="G97" s="11">
        <f>IF($A97="","",SUMIFS('Daily Entry'!$D$7:$D$5003,'Daily Entry'!$B$7:$B$5003,$O97,'Daily Entry'!$A$7:$A$5003,$E$3))</f>
        <v/>
      </c>
      <c r="H97" s="12">
        <f>IF($A97="","",SUMIFS('Daily Entry'!$C$7:$C$5003,'Daily Entry'!$B$7:$B$5003,$O97))</f>
        <v/>
      </c>
      <c r="I97" s="12">
        <f>IF($A97="","",SUMIFS('Daily Entry'!$D$7:$D$5003,'Daily Entry'!$B$7:$B$5003,$O97))</f>
        <v/>
      </c>
      <c r="J97" s="13">
        <f>IF($A97="","",$E97+$H97-$I97)</f>
        <v/>
      </c>
      <c r="K97" s="14">
        <f>IF(OR($A97="",$D97=""),"",$J97*$D97)</f>
        <v/>
      </c>
      <c r="L97" s="17" t="n"/>
      <c r="M97" s="16">
        <f>IF(OR($A97="",$D97="",$L97="",$E$4=""),"",$K97*$L97*$E$4)</f>
        <v/>
      </c>
      <c r="O97" s="131">
        <f>IF($A97="","",$A97&amp;" - "&amp;$B97)</f>
        <v/>
      </c>
      <c r="P97" s="131">
        <f>IF($A97="",0,IF(OR($F97&lt;&gt;0,$G97&lt;&gt;0),1,0))</f>
        <v/>
      </c>
      <c r="Q97" s="131">
        <f>IF($P97=1,SUM($P$8:$P97),"")</f>
        <v/>
      </c>
      <c r="R97" s="131">
        <f>IF($A97="","",$A97&amp;"#"&amp;COUNTIF($A$8:$A97,$A97))</f>
        <v/>
      </c>
      <c r="S97" s="131">
        <f>IF(OR($A97="",$D97=""),0,$E97*$D97)</f>
        <v/>
      </c>
      <c r="T97" s="131">
        <f>IF(OR($A97="",$D97=""),0,$F97*$D97)</f>
        <v/>
      </c>
      <c r="U97" s="131">
        <f>IF(OR($A97="",$D97=""),0,$G97*$D97)</f>
        <v/>
      </c>
      <c r="V97" s="131">
        <f>IF(OR($A97="",$D97=""),0,$H97*$D97)</f>
        <v/>
      </c>
      <c r="W97" s="131">
        <f>IF(OR($A97="",$D97=""),0,$I97*$D97)</f>
        <v/>
      </c>
      <c r="X97" s="131">
        <f>IF(AND($A97&lt;&gt;"",$D97=""),1,0)</f>
        <v/>
      </c>
      <c r="Y97" s="131">
        <f>IF($A97="",0,IF(COUNTIF($O$8:$O$101,$O97)&gt;1,1,0))</f>
        <v/>
      </c>
    </row>
    <row r="98" ht="15" customHeight="1">
      <c r="A98" s="52" t="n"/>
      <c r="B98" s="52" t="n"/>
      <c r="C98" s="36" t="n"/>
      <c r="D98" s="45" t="n"/>
      <c r="E98" s="53" t="n"/>
      <c r="F98" s="47">
        <f>IF($A98="","",SUMIFS('Daily Entry'!$C$7:$C$5003,'Daily Entry'!$B$7:$B$5003,$O98,'Daily Entry'!$A$7:$A$5003,$E$3))</f>
        <v/>
      </c>
      <c r="G98" s="47">
        <f>IF($A98="","",SUMIFS('Daily Entry'!$D$7:$D$5003,'Daily Entry'!$B$7:$B$5003,$O98,'Daily Entry'!$A$7:$A$5003,$E$3))</f>
        <v/>
      </c>
      <c r="H98" s="48">
        <f>IF($A98="","",SUMIFS('Daily Entry'!$C$7:$C$5003,'Daily Entry'!$B$7:$B$5003,$O98))</f>
        <v/>
      </c>
      <c r="I98" s="48">
        <f>IF($A98="","",SUMIFS('Daily Entry'!$D$7:$D$5003,'Daily Entry'!$B$7:$B$5003,$O98))</f>
        <v/>
      </c>
      <c r="J98" s="49">
        <f>IF($A98="","",$E98+$H98-$I98)</f>
        <v/>
      </c>
      <c r="K98" s="50">
        <f>IF(OR($A98="",$D98=""),"",$J98*$D98)</f>
        <v/>
      </c>
      <c r="L98" s="17" t="n"/>
      <c r="M98" s="51">
        <f>IF(OR($A98="",$D98="",$L98="",$E$4=""),"",$K98*$L98*$E$4)</f>
        <v/>
      </c>
      <c r="O98" s="131">
        <f>IF($A98="","",$A98&amp;" - "&amp;$B98)</f>
        <v/>
      </c>
      <c r="P98" s="131">
        <f>IF($A98="",0,IF(OR($F98&lt;&gt;0,$G98&lt;&gt;0),1,0))</f>
        <v/>
      </c>
      <c r="Q98" s="131">
        <f>IF($P98=1,SUM($P$8:$P98),"")</f>
        <v/>
      </c>
      <c r="R98" s="131">
        <f>IF($A98="","",$A98&amp;"#"&amp;COUNTIF($A$8:$A98,$A98))</f>
        <v/>
      </c>
      <c r="S98" s="131">
        <f>IF(OR($A98="",$D98=""),0,$E98*$D98)</f>
        <v/>
      </c>
      <c r="T98" s="131">
        <f>IF(OR($A98="",$D98=""),0,$F98*$D98)</f>
        <v/>
      </c>
      <c r="U98" s="131">
        <f>IF(OR($A98="",$D98=""),0,$G98*$D98)</f>
        <v/>
      </c>
      <c r="V98" s="131">
        <f>IF(OR($A98="",$D98=""),0,$H98*$D98)</f>
        <v/>
      </c>
      <c r="W98" s="131">
        <f>IF(OR($A98="",$D98=""),0,$I98*$D98)</f>
        <v/>
      </c>
      <c r="X98" s="131">
        <f>IF(AND($A98&lt;&gt;"",$D98=""),1,0)</f>
        <v/>
      </c>
      <c r="Y98" s="131">
        <f>IF($A98="",0,IF(COUNTIF($O$8:$O$101,$O98)&gt;1,1,0))</f>
        <v/>
      </c>
    </row>
    <row r="99" ht="15" customHeight="1">
      <c r="A99" s="54" t="n"/>
      <c r="B99" s="54" t="n"/>
      <c r="C99" s="43" t="n"/>
      <c r="D99" s="45" t="n"/>
      <c r="E99" s="55" t="n"/>
      <c r="F99" s="11">
        <f>IF($A99="","",SUMIFS('Daily Entry'!$C$7:$C$5003,'Daily Entry'!$B$7:$B$5003,$O99,'Daily Entry'!$A$7:$A$5003,$E$3))</f>
        <v/>
      </c>
      <c r="G99" s="11">
        <f>IF($A99="","",SUMIFS('Daily Entry'!$D$7:$D$5003,'Daily Entry'!$B$7:$B$5003,$O99,'Daily Entry'!$A$7:$A$5003,$E$3))</f>
        <v/>
      </c>
      <c r="H99" s="12">
        <f>IF($A99="","",SUMIFS('Daily Entry'!$C$7:$C$5003,'Daily Entry'!$B$7:$B$5003,$O99))</f>
        <v/>
      </c>
      <c r="I99" s="12">
        <f>IF($A99="","",SUMIFS('Daily Entry'!$D$7:$D$5003,'Daily Entry'!$B$7:$B$5003,$O99))</f>
        <v/>
      </c>
      <c r="J99" s="13">
        <f>IF($A99="","",$E99+$H99-$I99)</f>
        <v/>
      </c>
      <c r="K99" s="14">
        <f>IF(OR($A99="",$D99=""),"",$J99*$D99)</f>
        <v/>
      </c>
      <c r="L99" s="17" t="n"/>
      <c r="M99" s="16">
        <f>IF(OR($A99="",$D99="",$L99="",$E$4=""),"",$K99*$L99*$E$4)</f>
        <v/>
      </c>
      <c r="O99" s="131">
        <f>IF($A99="","",$A99&amp;" - "&amp;$B99)</f>
        <v/>
      </c>
      <c r="P99" s="131">
        <f>IF($A99="",0,IF(OR($F99&lt;&gt;0,$G99&lt;&gt;0),1,0))</f>
        <v/>
      </c>
      <c r="Q99" s="131">
        <f>IF($P99=1,SUM($P$8:$P99),"")</f>
        <v/>
      </c>
      <c r="R99" s="131">
        <f>IF($A99="","",$A99&amp;"#"&amp;COUNTIF($A$8:$A99,$A99))</f>
        <v/>
      </c>
      <c r="S99" s="131">
        <f>IF(OR($A99="",$D99=""),0,$E99*$D99)</f>
        <v/>
      </c>
      <c r="T99" s="131">
        <f>IF(OR($A99="",$D99=""),0,$F99*$D99)</f>
        <v/>
      </c>
      <c r="U99" s="131">
        <f>IF(OR($A99="",$D99=""),0,$G99*$D99)</f>
        <v/>
      </c>
      <c r="V99" s="131">
        <f>IF(OR($A99="",$D99=""),0,$H99*$D99)</f>
        <v/>
      </c>
      <c r="W99" s="131">
        <f>IF(OR($A99="",$D99=""),0,$I99*$D99)</f>
        <v/>
      </c>
      <c r="X99" s="131">
        <f>IF(AND($A99&lt;&gt;"",$D99=""),1,0)</f>
        <v/>
      </c>
      <c r="Y99" s="131">
        <f>IF($A99="",0,IF(COUNTIF($O$8:$O$101,$O99)&gt;1,1,0))</f>
        <v/>
      </c>
    </row>
    <row r="100" ht="15" customHeight="1">
      <c r="A100" s="52" t="n"/>
      <c r="B100" s="52" t="n"/>
      <c r="C100" s="36" t="n"/>
      <c r="D100" s="45" t="n"/>
      <c r="E100" s="53" t="n"/>
      <c r="F100" s="47">
        <f>IF($A100="","",SUMIFS('Daily Entry'!$C$7:$C$5003,'Daily Entry'!$B$7:$B$5003,$O100,'Daily Entry'!$A$7:$A$5003,$E$3))</f>
        <v/>
      </c>
      <c r="G100" s="47">
        <f>IF($A100="","",SUMIFS('Daily Entry'!$D$7:$D$5003,'Daily Entry'!$B$7:$B$5003,$O100,'Daily Entry'!$A$7:$A$5003,$E$3))</f>
        <v/>
      </c>
      <c r="H100" s="48">
        <f>IF($A100="","",SUMIFS('Daily Entry'!$C$7:$C$5003,'Daily Entry'!$B$7:$B$5003,$O100))</f>
        <v/>
      </c>
      <c r="I100" s="48">
        <f>IF($A100="","",SUMIFS('Daily Entry'!$D$7:$D$5003,'Daily Entry'!$B$7:$B$5003,$O100))</f>
        <v/>
      </c>
      <c r="J100" s="49">
        <f>IF($A100="","",$E100+$H100-$I100)</f>
        <v/>
      </c>
      <c r="K100" s="50">
        <f>IF(OR($A100="",$D100=""),"",$J100*$D100)</f>
        <v/>
      </c>
      <c r="L100" s="17" t="n"/>
      <c r="M100" s="51">
        <f>IF(OR($A100="",$D100="",$L100="",$E$4=""),"",$K100*$L100*$E$4)</f>
        <v/>
      </c>
      <c r="O100" s="131">
        <f>IF($A100="","",$A100&amp;" - "&amp;$B100)</f>
        <v/>
      </c>
      <c r="P100" s="131">
        <f>IF($A100="",0,IF(OR($F100&lt;&gt;0,$G100&lt;&gt;0),1,0))</f>
        <v/>
      </c>
      <c r="Q100" s="131">
        <f>IF($P100=1,SUM($P$8:$P100),"")</f>
        <v/>
      </c>
      <c r="R100" s="131">
        <f>IF($A100="","",$A100&amp;"#"&amp;COUNTIF($A$8:$A100,$A100))</f>
        <v/>
      </c>
      <c r="S100" s="131">
        <f>IF(OR($A100="",$D100=""),0,$E100*$D100)</f>
        <v/>
      </c>
      <c r="T100" s="131">
        <f>IF(OR($A100="",$D100=""),0,$F100*$D100)</f>
        <v/>
      </c>
      <c r="U100" s="131">
        <f>IF(OR($A100="",$D100=""),0,$G100*$D100)</f>
        <v/>
      </c>
      <c r="V100" s="131">
        <f>IF(OR($A100="",$D100=""),0,$H100*$D100)</f>
        <v/>
      </c>
      <c r="W100" s="131">
        <f>IF(OR($A100="",$D100=""),0,$I100*$D100)</f>
        <v/>
      </c>
      <c r="X100" s="131">
        <f>IF(AND($A100&lt;&gt;"",$D100=""),1,0)</f>
        <v/>
      </c>
      <c r="Y100" s="131">
        <f>IF($A100="",0,IF(COUNTIF($O$8:$O$101,$O100)&gt;1,1,0))</f>
        <v/>
      </c>
    </row>
    <row r="101" ht="15" customHeight="1">
      <c r="A101" s="54" t="n"/>
      <c r="B101" s="54" t="n"/>
      <c r="C101" s="43" t="n"/>
      <c r="D101" s="45" t="n"/>
      <c r="E101" s="55" t="n"/>
      <c r="F101" s="11">
        <f>IF($A101="","",SUMIFS('Daily Entry'!$C$7:$C$5003,'Daily Entry'!$B$7:$B$5003,$O101,'Daily Entry'!$A$7:$A$5003,$E$3))</f>
        <v/>
      </c>
      <c r="G101" s="11">
        <f>IF($A101="","",SUMIFS('Daily Entry'!$D$7:$D$5003,'Daily Entry'!$B$7:$B$5003,$O101,'Daily Entry'!$A$7:$A$5003,$E$3))</f>
        <v/>
      </c>
      <c r="H101" s="12">
        <f>IF($A101="","",SUMIFS('Daily Entry'!$C$7:$C$5003,'Daily Entry'!$B$7:$B$5003,$O101))</f>
        <v/>
      </c>
      <c r="I101" s="12">
        <f>IF($A101="","",SUMIFS('Daily Entry'!$D$7:$D$5003,'Daily Entry'!$B$7:$B$5003,$O101))</f>
        <v/>
      </c>
      <c r="J101" s="13">
        <f>IF($A101="","",$E101+$H101-$I101)</f>
        <v/>
      </c>
      <c r="K101" s="14">
        <f>IF(OR($A101="",$D101=""),"",$J101*$D101)</f>
        <v/>
      </c>
      <c r="L101" s="17" t="n"/>
      <c r="M101" s="16">
        <f>IF(OR($A101="",$D101="",$L101="",$E$4=""),"",$K101*$L101*$E$4)</f>
        <v/>
      </c>
      <c r="O101" s="131">
        <f>IF($A101="","",$A101&amp;" - "&amp;$B101)</f>
        <v/>
      </c>
      <c r="P101" s="131">
        <f>IF($A101="",0,IF(OR($F101&lt;&gt;0,$G101&lt;&gt;0),1,0))</f>
        <v/>
      </c>
      <c r="Q101" s="131">
        <f>IF($P101=1,SUM($P$8:$P101),"")</f>
        <v/>
      </c>
      <c r="R101" s="131">
        <f>IF($A101="","",$A101&amp;"#"&amp;COUNTIF($A$8:$A101,$A101))</f>
        <v/>
      </c>
      <c r="S101" s="131">
        <f>IF(OR($A101="",$D101=""),0,$E101*$D101)</f>
        <v/>
      </c>
      <c r="T101" s="131">
        <f>IF(OR($A101="",$D101=""),0,$F101*$D101)</f>
        <v/>
      </c>
      <c r="U101" s="131">
        <f>IF(OR($A101="",$D101=""),0,$G101*$D101)</f>
        <v/>
      </c>
      <c r="V101" s="131">
        <f>IF(OR($A101="",$D101=""),0,$H101*$D101)</f>
        <v/>
      </c>
      <c r="W101" s="131">
        <f>IF(OR($A101="",$D101=""),0,$I101*$D101)</f>
        <v/>
      </c>
      <c r="X101" s="131">
        <f>IF(AND($A101&lt;&gt;"",$D101=""),1,0)</f>
        <v/>
      </c>
      <c r="Y101" s="131">
        <f>IF($A101="",0,IF(COUNTIF($O$8:$O$101,$O101)&gt;1,1,0))</f>
        <v/>
      </c>
    </row>
    <row r="102" ht="15" customHeight="1">
      <c r="A102" s="19" t="inlineStr">
        <is>
          <t>GRAND TOTAL (Kg)</t>
        </is>
      </c>
      <c r="B102" s="19" t="n"/>
      <c r="C102" s="33" t="n"/>
      <c r="D102" s="30" t="n"/>
      <c r="E102" s="19" t="n"/>
      <c r="F102" s="19" t="n"/>
      <c r="G102" s="19" t="n"/>
      <c r="H102" s="19" t="n"/>
      <c r="I102" s="19" t="n"/>
      <c r="J102" s="19" t="n"/>
      <c r="K102" s="20">
        <f>SUM($K$8:$K$101)</f>
        <v/>
      </c>
      <c r="L102" s="19" t="n"/>
      <c r="M102" s="21">
        <f>IF(SUM($M$8:$M$101)=0,"",SUM($M$8:$M$101))</f>
        <v/>
      </c>
    </row>
    <row r="103" ht="15" customHeight="1">
      <c r="A103" s="7" t="inlineStr">
        <is>
          <t>Balances are in each product's own unit, so only the kilo column totals. Stock Value (₹) = Closing Kg × Rate / Kg (US$) × the exchange rate.</t>
        </is>
      </c>
    </row>
    <row r="104" ht="15" customHeight="1">
      <c r="A104" s="22">
        <f>IF(SUM($X$8:$X$101)=0,"",SUM($X$8:$X$101)&amp;" product(s) have no Kg / Unit — they are not valued. Fill column D.")</f>
        <v/>
      </c>
    </row>
    <row r="105" ht="15" customHeight="1">
      <c r="A105" s="22">
        <f>IF(SUM($Y$8:$Y$101)=0,"","Two rows share a Brand + Product — production would be counted twice. Rename one.")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autoFilter ref="A7:M101"/>
  <conditionalFormatting sqref="D8:D101">
    <cfRule type="expression" priority="3" dxfId="2">
      <formula>AND($A8&lt;&gt;"",$D8="")</formula>
    </cfRule>
  </conditionalFormatting>
  <conditionalFormatting sqref="J8:J101">
    <cfRule type="cellIs" priority="2" operator="lessThan" dxfId="1">
      <formula>0</formula>
    </cfRule>
  </conditionalFormatting>
  <dataValidations count="1">
    <dataValidation sqref="C8:C101" showDropDown="0" showInputMessage="0" showErrorMessage="0" allowBlank="1" errorTitle="Unit" error="Unit must be Slab or Kg." type="list">
      <formula1>"Slab,Kg"</formula1>
      <formula2>0</formula2>
    </dataValidation>
  </dataValidations>
  <pageMargins left="0.75" right="0.75" top="1" bottom="1" header="0.511811023622047" footer="0.511811023622047"/>
  <pageSetup orientation="landscape" scale="6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003"/>
  <sheetViews>
    <sheetView showGridLines="0" workbookViewId="0">
      <pane ySplit="6" topLeftCell="A820" activePane="bottomLeft" state="frozen"/>
      <selection pane="bottomLeft" activeCell="E789" sqref="E789"/>
    </sheetView>
  </sheetViews>
  <sheetFormatPr baseColWidth="8" defaultColWidth="8.42578125" defaultRowHeight="18" customHeight="1"/>
  <cols>
    <col width="14" customWidth="1" style="65" min="1" max="1"/>
    <col width="40" customWidth="1" style="59" min="2" max="2"/>
    <col width="18" customWidth="1" style="60" min="3" max="4"/>
    <col width="40" customWidth="1" style="59" min="5" max="5"/>
    <col width="8.42578125" customWidth="1" style="3" min="6" max="6"/>
    <col width="24" customWidth="1" style="3" min="7" max="7"/>
    <col width="8.42578125" customWidth="1" style="3" min="8" max="9"/>
    <col width="6" customWidth="1" style="3" min="10" max="10"/>
    <col width="8.42578125" customWidth="1" style="3" min="11" max="16384"/>
  </cols>
  <sheetData>
    <row r="1">
      <c r="A1" s="2" t="inlineStr">
        <is>
          <t>PREMIER EXPORTS INTERNATIONAL</t>
        </is>
      </c>
    </row>
    <row r="2" ht="15" customHeight="1">
      <c r="A2" s="4" t="inlineStr">
        <is>
          <t>DAILY ENTRY — ADD ONE ROW PER PRODUCT THAT MOVED</t>
        </is>
      </c>
    </row>
    <row r="3" ht="15" customHeight="1"/>
    <row r="4" ht="15" customHeight="1">
      <c r="A4" s="7" t="inlineStr">
        <is>
          <t>After production, add a row below: date, product from the dropdown, and the quantity in that product's own unit — slabs for the shrimp brands, kilos for tuna and mackerel. Never delete past rows.</t>
        </is>
      </c>
      <c r="G4" s="127" t="inlineStr">
        <is>
          <t>Rows that will not reach Stock:</t>
        </is>
      </c>
      <c r="J4" s="22">
        <f>SUMPRODUCT((B7:B5003&lt;&gt;"")*(COUNTIF(Stock!$O$8:$O$101,B7:B5003)=0))</f>
        <v/>
      </c>
      <c r="K4" s="7" t="inlineStr">
        <is>
          <t>← must stay at 0; anything else is a mistyped product</t>
        </is>
      </c>
    </row>
    <row r="5" ht="15" customHeight="1"/>
    <row r="6" ht="30" customFormat="1" customHeight="1" s="26">
      <c r="A6" s="23" t="inlineStr">
        <is>
          <t>Date</t>
        </is>
      </c>
      <c r="B6" s="23" t="inlineStr">
        <is>
          <t>Item (pick from list)</t>
        </is>
      </c>
      <c r="C6" s="23" t="inlineStr">
        <is>
          <t>Production (in product unit)</t>
        </is>
      </c>
      <c r="D6" s="23" t="inlineStr">
        <is>
          <t>Shipment (in product unit)</t>
        </is>
      </c>
      <c r="E6" s="23" t="inlineStr">
        <is>
          <t>Note</t>
        </is>
      </c>
    </row>
    <row r="7" ht="18" customHeight="1">
      <c r="A7" s="62" t="n">
        <v>46254</v>
      </c>
      <c r="B7" s="63" t="inlineStr">
        <is>
          <t>Blue Dolphin - PD PVN 100/200</t>
        </is>
      </c>
      <c r="C7" s="64" t="n">
        <v>1068</v>
      </c>
      <c r="D7" s="64" t="n"/>
      <c r="E7" s="63" t="n"/>
    </row>
    <row r="8" ht="18" customHeight="1">
      <c r="A8" s="62" t="n">
        <v>46254</v>
      </c>
      <c r="B8" s="63" t="inlineStr">
        <is>
          <t>Blue Dolphin - PD KKD 100/200</t>
        </is>
      </c>
      <c r="C8" s="64" t="n">
        <v>65</v>
      </c>
      <c r="D8" s="64" t="n"/>
      <c r="E8" s="63" t="n"/>
    </row>
    <row r="9" ht="18" customHeight="1">
      <c r="A9" s="62" t="n">
        <v>46254</v>
      </c>
      <c r="B9" s="63" t="inlineStr">
        <is>
          <t>Blue Dolphin - PUD PVN 200/300</t>
        </is>
      </c>
      <c r="C9" s="64" t="n">
        <v>267</v>
      </c>
      <c r="D9" s="64" t="n"/>
      <c r="E9" s="63" t="n"/>
    </row>
    <row r="10" ht="18" customHeight="1">
      <c r="A10" s="62" t="n">
        <v>46254</v>
      </c>
      <c r="B10" s="63" t="inlineStr">
        <is>
          <t>Primus Japan - PUD KZN 40/60</t>
        </is>
      </c>
      <c r="C10" s="64" t="n">
        <v>29</v>
      </c>
      <c r="D10" s="64" t="n"/>
      <c r="E10" s="63" t="n"/>
    </row>
    <row r="11" ht="18" customHeight="1">
      <c r="A11" s="62" t="n">
        <v>46254</v>
      </c>
      <c r="B11" s="63" t="inlineStr">
        <is>
          <t>Primus Japan - PUD KZN 60/80</t>
        </is>
      </c>
      <c r="C11" s="64" t="n">
        <v>39</v>
      </c>
      <c r="D11" s="64" t="n"/>
      <c r="E11" s="63" t="n"/>
    </row>
    <row r="12" ht="18" customHeight="1">
      <c r="A12" s="62" t="n">
        <v>46254</v>
      </c>
      <c r="B12" s="63" t="inlineStr">
        <is>
          <t>Primus Japan - PUD KZN 80/120</t>
        </is>
      </c>
      <c r="C12" s="64" t="n">
        <v>50</v>
      </c>
      <c r="D12" s="64" t="n"/>
      <c r="E12" s="63" t="n"/>
    </row>
    <row r="13" ht="18" customHeight="1">
      <c r="A13" s="62" t="n">
        <v>46254</v>
      </c>
      <c r="B13" s="63" t="inlineStr">
        <is>
          <t>Primus Japan - PUD NRN 80/120</t>
        </is>
      </c>
      <c r="C13" s="64" t="n">
        <v>3</v>
      </c>
      <c r="D13" s="64" t="n"/>
      <c r="E13" s="63" t="n"/>
    </row>
    <row r="14" ht="18" customHeight="1">
      <c r="A14" s="62" t="n">
        <v>46254</v>
      </c>
      <c r="B14" s="63" t="inlineStr">
        <is>
          <t>Primus Japan - PUD KZN 100/200</t>
        </is>
      </c>
      <c r="C14" s="64" t="n">
        <v>50</v>
      </c>
      <c r="D14" s="64" t="n"/>
      <c r="E14" s="63" t="n"/>
    </row>
    <row r="15" ht="18" customHeight="1">
      <c r="A15" s="62" t="n">
        <v>46254</v>
      </c>
      <c r="B15" s="63" t="inlineStr">
        <is>
          <t>Primus Japan - PUD KZN 200/300</t>
        </is>
      </c>
      <c r="C15" s="64" t="n">
        <v>33</v>
      </c>
      <c r="D15" s="64" t="n"/>
      <c r="E15" s="63" t="n"/>
    </row>
    <row r="16" ht="18" customHeight="1">
      <c r="A16" s="62" t="n">
        <v>46254</v>
      </c>
      <c r="B16" s="63" t="inlineStr">
        <is>
          <t>Primus Japan - PUD PVN 300/500</t>
        </is>
      </c>
      <c r="C16" s="64" t="n">
        <v>156</v>
      </c>
      <c r="D16" s="64" t="n"/>
      <c r="E16" s="63" t="n"/>
    </row>
    <row r="17" ht="18" customHeight="1">
      <c r="A17" s="62" t="n">
        <v>46254</v>
      </c>
      <c r="B17" s="63" t="inlineStr">
        <is>
          <t>Primus Japan - PUD KKD 300/500</t>
        </is>
      </c>
      <c r="C17" s="64" t="n">
        <v>596</v>
      </c>
      <c r="D17" s="64" t="n"/>
      <c r="E17" s="63" t="n"/>
    </row>
    <row r="18" ht="18" customHeight="1">
      <c r="A18" s="62" t="n">
        <v>46254</v>
      </c>
      <c r="B18" s="63" t="inlineStr">
        <is>
          <t>Primus EU - BKN</t>
        </is>
      </c>
      <c r="C18" s="64" t="n">
        <v>52</v>
      </c>
      <c r="D18" s="64" t="n"/>
      <c r="E18" s="63" t="n"/>
    </row>
    <row r="19" ht="18" customHeight="1">
      <c r="A19" s="62" t="n">
        <v>46254</v>
      </c>
      <c r="B19" s="63" t="inlineStr">
        <is>
          <t>THT Brand - PUD PVN 80/120</t>
        </is>
      </c>
      <c r="C19" s="64" t="n">
        <v>1872</v>
      </c>
      <c r="D19" s="64" t="n"/>
      <c r="E19" s="63" t="n"/>
    </row>
    <row r="20" ht="18" customHeight="1">
      <c r="A20" s="62" t="n">
        <v>46254</v>
      </c>
      <c r="B20" s="63" t="inlineStr">
        <is>
          <t>THT Brand - PUD PVN 100/200</t>
        </is>
      </c>
      <c r="C20" s="64" t="n">
        <v>600</v>
      </c>
      <c r="D20" s="64" t="n"/>
      <c r="E20" s="63" t="n"/>
    </row>
    <row r="21" ht="18" customHeight="1">
      <c r="A21" s="62" t="n">
        <v>46255</v>
      </c>
      <c r="B21" s="63" t="inlineStr">
        <is>
          <t>Blue Dolphin - PD PVN 100/200</t>
        </is>
      </c>
      <c r="C21" s="64" t="n">
        <v>1123</v>
      </c>
      <c r="D21" s="64" t="n"/>
      <c r="E21" s="63" t="n"/>
    </row>
    <row r="22" ht="18" customHeight="1">
      <c r="A22" s="62" t="n">
        <v>46255</v>
      </c>
      <c r="B22" s="63" t="inlineStr">
        <is>
          <t>Blue Dolphin - PD KKD 100/200</t>
        </is>
      </c>
      <c r="C22" s="64" t="n">
        <v>59</v>
      </c>
      <c r="D22" s="64" t="n"/>
      <c r="E22" s="63" t="n"/>
    </row>
    <row r="23" ht="18" customHeight="1">
      <c r="A23" s="62" t="n">
        <v>46255</v>
      </c>
      <c r="B23" s="63" t="inlineStr">
        <is>
          <t>Blue Dolphin - PUD PVN 200/300</t>
        </is>
      </c>
      <c r="C23" s="64" t="n">
        <v>245</v>
      </c>
      <c r="D23" s="64" t="n"/>
      <c r="E23" s="63" t="n"/>
    </row>
    <row r="24" ht="18" customHeight="1">
      <c r="A24" s="62" t="n">
        <v>46255</v>
      </c>
      <c r="B24" s="63" t="inlineStr">
        <is>
          <t>Blue Dolphin - PUD PVN 300/500</t>
        </is>
      </c>
      <c r="C24" s="64" t="n">
        <v>63</v>
      </c>
      <c r="D24" s="64" t="n"/>
      <c r="E24" s="63" t="n"/>
    </row>
    <row r="25" ht="18" customHeight="1">
      <c r="A25" s="62" t="n">
        <v>46255</v>
      </c>
      <c r="B25" s="63" t="inlineStr">
        <is>
          <t>THT Brand - PUD PVN 80/120</t>
        </is>
      </c>
      <c r="C25" s="64" t="n">
        <v>1042</v>
      </c>
      <c r="D25" s="64" t="n"/>
      <c r="E25" s="63" t="n"/>
    </row>
    <row r="26" ht="18" customHeight="1">
      <c r="A26" s="62" t="n">
        <v>46255</v>
      </c>
      <c r="B26" s="63" t="inlineStr">
        <is>
          <t>THT Brand - PUD PVN 100/200</t>
        </is>
      </c>
      <c r="C26" s="64" t="n">
        <v>1769</v>
      </c>
      <c r="D26" s="64" t="n"/>
      <c r="E26" s="63" t="n"/>
    </row>
    <row r="27" ht="18" customHeight="1">
      <c r="A27" s="62" t="n">
        <v>46255</v>
      </c>
      <c r="B27" s="63" t="inlineStr">
        <is>
          <t>Primus Japan - PUD KZN 80/120</t>
        </is>
      </c>
      <c r="C27" s="64" t="n">
        <v>1</v>
      </c>
      <c r="D27" s="64" t="n"/>
      <c r="E27" s="63" t="n"/>
    </row>
    <row r="28" ht="18" customHeight="1">
      <c r="A28" s="62" t="n">
        <v>46255</v>
      </c>
      <c r="B28" s="63" t="inlineStr">
        <is>
          <t>Primus Japan - PUD KZN 100/200</t>
        </is>
      </c>
      <c r="C28" s="64" t="n">
        <v>15</v>
      </c>
      <c r="D28" s="64" t="n"/>
      <c r="E28" s="63" t="n"/>
    </row>
    <row r="29" ht="18" customHeight="1">
      <c r="A29" s="62" t="n">
        <v>46255</v>
      </c>
      <c r="B29" s="63" t="inlineStr">
        <is>
          <t>Primus Japan - PUD KZN 200/300</t>
        </is>
      </c>
      <c r="C29" s="64" t="n">
        <v>5</v>
      </c>
      <c r="D29" s="64" t="n"/>
      <c r="E29" s="63" t="n"/>
    </row>
    <row r="30" ht="18" customHeight="1">
      <c r="A30" s="62" t="n">
        <v>46255</v>
      </c>
      <c r="B30" s="63" t="inlineStr">
        <is>
          <t>Primus Japan - PUD KKD 300/500</t>
        </is>
      </c>
      <c r="C30" s="64" t="n">
        <v>648</v>
      </c>
      <c r="D30" s="64" t="n"/>
      <c r="E30" s="63" t="n"/>
    </row>
    <row r="31" ht="18" customHeight="1">
      <c r="A31" s="62" t="n">
        <v>46255</v>
      </c>
      <c r="B31" s="63" t="inlineStr">
        <is>
          <t>Primus EU - BKN</t>
        </is>
      </c>
      <c r="C31" s="64" t="n">
        <v>31</v>
      </c>
      <c r="D31" s="64" t="n"/>
      <c r="E31" s="63" t="n"/>
    </row>
    <row r="32" ht="18" customHeight="1">
      <c r="A32" s="62" t="n">
        <v>46255</v>
      </c>
      <c r="B32" s="63" t="inlineStr">
        <is>
          <t>Blue Dolphin - PD PVN 100/200</t>
        </is>
      </c>
      <c r="C32" s="64" t="n">
        <v>0</v>
      </c>
      <c r="D32" s="64" t="n">
        <v>5770</v>
      </c>
      <c r="E32" s="63" t="n"/>
    </row>
    <row r="33" ht="18" customHeight="1">
      <c r="A33" s="62" t="n">
        <v>46255</v>
      </c>
      <c r="B33" s="63" t="inlineStr">
        <is>
          <t>Blue Dolphin - PUD PVN 200/300</t>
        </is>
      </c>
      <c r="C33" s="64" t="n">
        <v>0</v>
      </c>
      <c r="D33" s="64" t="n">
        <v>1200</v>
      </c>
      <c r="E33" s="63" t="n"/>
    </row>
    <row r="34" ht="18" customHeight="1">
      <c r="A34" s="62" t="n">
        <v>46255</v>
      </c>
      <c r="B34" s="63" t="inlineStr">
        <is>
          <t>Blue Dolphin - PUD KKD 200/300</t>
        </is>
      </c>
      <c r="C34" s="64" t="n">
        <v>0</v>
      </c>
      <c r="D34" s="64" t="n">
        <v>1200</v>
      </c>
      <c r="E34" s="63" t="n"/>
    </row>
    <row r="35" ht="18" customHeight="1">
      <c r="A35" s="62" t="n">
        <v>46255</v>
      </c>
      <c r="B35" s="63" t="inlineStr">
        <is>
          <t>Blue Dolphin - PUD PVN 300/500</t>
        </is>
      </c>
      <c r="C35" s="64" t="n">
        <v>0</v>
      </c>
      <c r="D35" s="64" t="n">
        <v>660</v>
      </c>
      <c r="E35" s="63" t="n"/>
    </row>
    <row r="36" ht="18" customHeight="1">
      <c r="A36" s="62" t="n">
        <v>46255</v>
      </c>
      <c r="B36" s="63" t="inlineStr">
        <is>
          <t>Blue Dolphin - PUD KKD 300/500</t>
        </is>
      </c>
      <c r="C36" s="64" t="n">
        <v>0</v>
      </c>
      <c r="D36" s="64" t="n">
        <v>1170</v>
      </c>
      <c r="E36" s="63" t="n"/>
    </row>
    <row r="37" ht="18" customHeight="1">
      <c r="A37" s="62" t="n">
        <v>46256</v>
      </c>
      <c r="B37" s="63" t="inlineStr">
        <is>
          <t>Blue Dolphin - PD PVN 100/200</t>
        </is>
      </c>
      <c r="C37" s="64" t="n">
        <v>588</v>
      </c>
      <c r="D37" s="64" t="n"/>
      <c r="E37" s="63" t="n"/>
    </row>
    <row r="38" ht="18" customHeight="1">
      <c r="A38" s="62" t="n">
        <v>46256</v>
      </c>
      <c r="B38" s="63" t="inlineStr">
        <is>
          <t>Blue Dolphin - PD KKD 100/200</t>
        </is>
      </c>
      <c r="C38" s="64" t="n">
        <v>52</v>
      </c>
      <c r="D38" s="64" t="n"/>
      <c r="E38" s="63" t="n"/>
    </row>
    <row r="39" ht="18" customHeight="1">
      <c r="A39" s="62" t="n">
        <v>46256</v>
      </c>
      <c r="B39" s="63" t="inlineStr">
        <is>
          <t>Blue Dolphin - PUD PVN 200/300</t>
        </is>
      </c>
      <c r="C39" s="64" t="n">
        <v>419</v>
      </c>
      <c r="D39" s="64" t="n"/>
      <c r="E39" s="63" t="n"/>
    </row>
    <row r="40" ht="18" customHeight="1">
      <c r="A40" s="62" t="n">
        <v>46256</v>
      </c>
      <c r="B40" s="63" t="inlineStr">
        <is>
          <t>THT Brand - PUD PVN 80/120</t>
        </is>
      </c>
      <c r="C40" s="64" t="n">
        <v>413</v>
      </c>
      <c r="D40" s="64" t="n"/>
      <c r="E40" s="63" t="n"/>
    </row>
    <row r="41" ht="18" customHeight="1">
      <c r="A41" s="62" t="n">
        <v>46256</v>
      </c>
      <c r="B41" s="63" t="inlineStr">
        <is>
          <t>THT Brand - PUD PVN 100/200</t>
        </is>
      </c>
      <c r="C41" s="64" t="n">
        <v>556</v>
      </c>
      <c r="D41" s="64" t="n"/>
      <c r="E41" s="63" t="n"/>
    </row>
    <row r="42" ht="18" customHeight="1">
      <c r="A42" s="62" t="n">
        <v>46256</v>
      </c>
      <c r="B42" s="63" t="inlineStr">
        <is>
          <t>Primus Japan - PUD KKD 200/300</t>
        </is>
      </c>
      <c r="C42" s="64" t="n">
        <v>22</v>
      </c>
      <c r="D42" s="64" t="n"/>
      <c r="E42" s="63" t="n"/>
    </row>
    <row r="43" ht="18" customHeight="1">
      <c r="A43" s="62" t="n">
        <v>46256</v>
      </c>
      <c r="B43" s="63" t="inlineStr">
        <is>
          <t>Primus Japan - PUD KKD 300/500</t>
        </is>
      </c>
      <c r="C43" s="64" t="n">
        <v>374</v>
      </c>
      <c r="D43" s="64" t="n"/>
      <c r="E43" s="63" t="n"/>
    </row>
    <row r="44" ht="18" customHeight="1">
      <c r="A44" s="62" t="n">
        <v>46256</v>
      </c>
      <c r="B44" s="63" t="inlineStr">
        <is>
          <t>Primus Japan - PUD PVN 300/500</t>
        </is>
      </c>
      <c r="C44" s="64" t="n">
        <v>12</v>
      </c>
      <c r="D44" s="64" t="n"/>
      <c r="E44" s="63" t="n"/>
    </row>
    <row r="45" ht="18" customHeight="1">
      <c r="A45" s="62" t="n">
        <v>46256</v>
      </c>
      <c r="B45" s="63" t="inlineStr">
        <is>
          <t>Primus Japan - PUD KZN 80/120</t>
        </is>
      </c>
      <c r="C45" s="64" t="n">
        <v>2</v>
      </c>
      <c r="D45" s="64" t="n"/>
      <c r="E45" s="63" t="n"/>
    </row>
    <row r="46" ht="18" customHeight="1">
      <c r="A46" s="62" t="n">
        <v>46256</v>
      </c>
      <c r="B46" s="63" t="inlineStr">
        <is>
          <t>Primus Japan - PUD KZN 100/200</t>
        </is>
      </c>
      <c r="C46" s="64" t="n">
        <v>37</v>
      </c>
      <c r="D46" s="64" t="n"/>
      <c r="E46" s="63" t="n"/>
    </row>
    <row r="47" ht="18" customHeight="1">
      <c r="A47" s="62" t="n">
        <v>46256</v>
      </c>
      <c r="B47" s="63" t="inlineStr">
        <is>
          <t>Primus Japan - PUD KZN 200/300</t>
        </is>
      </c>
      <c r="C47" s="64" t="n">
        <v>12</v>
      </c>
      <c r="D47" s="64" t="n"/>
      <c r="E47" s="63" t="n"/>
    </row>
    <row r="48" ht="18" customHeight="1">
      <c r="A48" s="62" t="n">
        <v>46256</v>
      </c>
      <c r="B48" s="63" t="inlineStr">
        <is>
          <t>Primus EU - BKN</t>
        </is>
      </c>
      <c r="C48" s="64" t="n">
        <v>16</v>
      </c>
      <c r="D48" s="64" t="n"/>
      <c r="E48" s="63" t="n"/>
    </row>
    <row r="49" ht="18" customHeight="1">
      <c r="A49" s="62" t="n">
        <v>46256</v>
      </c>
      <c r="B49" s="63" t="inlineStr">
        <is>
          <t>Primus Japan - PUD PVN 80/120</t>
        </is>
      </c>
      <c r="C49" s="64" t="n">
        <v>0</v>
      </c>
      <c r="D49" s="64" t="n">
        <v>10000</v>
      </c>
      <c r="E49" s="63" t="n"/>
    </row>
    <row r="50" ht="18" customHeight="1">
      <c r="A50" s="62" t="n">
        <v>46256</v>
      </c>
      <c r="B50" s="63" t="inlineStr">
        <is>
          <t>Semi Needle Squid - SQW 20/40</t>
        </is>
      </c>
      <c r="C50" s="64" t="n">
        <v>165</v>
      </c>
      <c r="D50" s="64" t="n"/>
      <c r="E50" s="63" t="n"/>
    </row>
    <row r="51" ht="18" customHeight="1">
      <c r="A51" s="62" t="n">
        <v>46256</v>
      </c>
      <c r="B51" s="63" t="inlineStr">
        <is>
          <t>Semi Needle Squid - SQW 40/60</t>
        </is>
      </c>
      <c r="C51" s="64" t="n">
        <v>801</v>
      </c>
      <c r="D51" s="64" t="n"/>
      <c r="E51" s="63" t="n"/>
    </row>
    <row r="52" ht="18" customHeight="1">
      <c r="A52" s="62" t="n">
        <v>46256</v>
      </c>
      <c r="B52" s="63" t="inlineStr">
        <is>
          <t>Semi Needle Squid - SQW 60/80</t>
        </is>
      </c>
      <c r="C52" s="64" t="n">
        <v>137</v>
      </c>
      <c r="D52" s="64" t="n"/>
      <c r="E52" s="63" t="n"/>
    </row>
    <row r="53" ht="18" customHeight="1">
      <c r="A53" s="62" t="n">
        <v>46257</v>
      </c>
      <c r="B53" s="63" t="inlineStr">
        <is>
          <t>Blue Dolphin - PD PVN 100/200</t>
        </is>
      </c>
      <c r="C53" s="64" t="n">
        <v>52</v>
      </c>
      <c r="D53" s="64" t="n"/>
      <c r="E53" s="63" t="n"/>
    </row>
    <row r="54" ht="18" customHeight="1">
      <c r="A54" s="62" t="n">
        <v>46257</v>
      </c>
      <c r="B54" s="63" t="inlineStr">
        <is>
          <t>Blue Dolphin - PUD PVN 200/300</t>
        </is>
      </c>
      <c r="C54" s="64" t="n">
        <v>62</v>
      </c>
      <c r="D54" s="64" t="n"/>
      <c r="E54" s="63" t="n"/>
    </row>
    <row r="55" ht="18" customHeight="1">
      <c r="A55" s="62" t="n">
        <v>46257</v>
      </c>
      <c r="B55" s="63" t="inlineStr">
        <is>
          <t>Blue Dolphin - PUD PVN 300/500</t>
        </is>
      </c>
      <c r="C55" s="64" t="n">
        <v>15</v>
      </c>
      <c r="D55" s="64" t="n"/>
      <c r="E55" s="63" t="n"/>
    </row>
    <row r="56" ht="18" customHeight="1">
      <c r="A56" s="62" t="n">
        <v>46257</v>
      </c>
      <c r="B56" s="63" t="inlineStr">
        <is>
          <t>THT Brand - PUD PVN 80/120</t>
        </is>
      </c>
      <c r="C56" s="64" t="n">
        <v>58</v>
      </c>
      <c r="D56" s="64" t="n"/>
      <c r="E56" s="63" t="n"/>
    </row>
    <row r="57" ht="18" customHeight="1">
      <c r="A57" s="62" t="n">
        <v>46257</v>
      </c>
      <c r="B57" s="63" t="inlineStr">
        <is>
          <t>Primus Japan - PUD KKD 300/500</t>
        </is>
      </c>
      <c r="C57" s="64" t="n">
        <v>83</v>
      </c>
      <c r="D57" s="64" t="n"/>
      <c r="E57" s="63" t="n"/>
    </row>
    <row r="58" ht="18" customHeight="1">
      <c r="A58" s="62" t="n">
        <v>46257</v>
      </c>
      <c r="B58" s="63" t="inlineStr">
        <is>
          <t>Primus EU - BKN</t>
        </is>
      </c>
      <c r="C58" s="64" t="n">
        <v>3</v>
      </c>
      <c r="D58" s="64" t="n"/>
      <c r="E58" s="63" t="n"/>
    </row>
    <row r="59" ht="18" customHeight="1">
      <c r="A59" s="62" t="n">
        <v>46257</v>
      </c>
      <c r="B59" s="63" t="inlineStr">
        <is>
          <t>Semi Needle Squid - SQW 10/20</t>
        </is>
      </c>
      <c r="C59" s="64" t="n">
        <v>3</v>
      </c>
      <c r="D59" s="64" t="n"/>
      <c r="E59" s="63" t="n"/>
    </row>
    <row r="60" ht="18" customHeight="1">
      <c r="A60" s="62" t="n">
        <v>46257</v>
      </c>
      <c r="B60" s="63" t="inlineStr">
        <is>
          <t>Semi Needle Squid - SQW 20/40</t>
        </is>
      </c>
      <c r="C60" s="64" t="n">
        <v>50</v>
      </c>
      <c r="D60" s="64" t="n"/>
      <c r="E60" s="63" t="n"/>
    </row>
    <row r="61" ht="18" customHeight="1">
      <c r="A61" s="62" t="n">
        <v>46257</v>
      </c>
      <c r="B61" s="63" t="inlineStr">
        <is>
          <t>Semi Needle Squid - SQW 40/60</t>
        </is>
      </c>
      <c r="C61" s="64" t="n">
        <v>495</v>
      </c>
      <c r="D61" s="64" t="n"/>
      <c r="E61" s="63" t="n"/>
    </row>
    <row r="62" ht="18" customHeight="1">
      <c r="A62" s="62" t="n">
        <v>46257</v>
      </c>
      <c r="B62" s="63" t="inlineStr">
        <is>
          <t>Semi Needle Squid - SQW 60/80</t>
        </is>
      </c>
      <c r="C62" s="64" t="n">
        <v>602</v>
      </c>
      <c r="D62" s="64" t="n"/>
      <c r="E62" s="63" t="n"/>
    </row>
    <row r="63" ht="18" customHeight="1">
      <c r="A63" s="62" t="n">
        <v>46258</v>
      </c>
      <c r="B63" s="63" t="inlineStr">
        <is>
          <t>Blue Dolphin - PUD PVN 200/300</t>
        </is>
      </c>
      <c r="C63" s="64" t="n">
        <v>252</v>
      </c>
      <c r="D63" s="64" t="n"/>
      <c r="E63" s="63" t="n"/>
    </row>
    <row r="64" ht="18" customHeight="1">
      <c r="A64" s="62" t="n">
        <v>46258</v>
      </c>
      <c r="B64" s="63" t="inlineStr">
        <is>
          <t>Primus Japan - PUD PVN 300/500</t>
        </is>
      </c>
      <c r="C64" s="64" t="n">
        <v>38</v>
      </c>
      <c r="D64" s="64" t="n"/>
      <c r="E64" s="63" t="n"/>
    </row>
    <row r="65" ht="18" customHeight="1">
      <c r="A65" s="62" t="n">
        <v>46258</v>
      </c>
      <c r="B65" s="63" t="inlineStr">
        <is>
          <t>Primus Japan - PUD KKD 300/500</t>
        </is>
      </c>
      <c r="C65" s="64" t="n">
        <v>119</v>
      </c>
      <c r="D65" s="64" t="n"/>
      <c r="E65" s="63" t="n"/>
    </row>
    <row r="66" ht="18" customHeight="1">
      <c r="A66" s="62" t="n">
        <v>46258</v>
      </c>
      <c r="B66" s="63" t="inlineStr">
        <is>
          <t>THT Brand - PUD PVN 100/200</t>
        </is>
      </c>
      <c r="C66" s="64" t="n">
        <v>531</v>
      </c>
      <c r="D66" s="64" t="n"/>
      <c r="E66" s="63" t="n"/>
    </row>
    <row r="67" ht="18" customHeight="1">
      <c r="A67" s="62" t="n">
        <v>46258</v>
      </c>
      <c r="B67" s="63" t="inlineStr">
        <is>
          <t>Semi Needle Squid - SQW 20/40</t>
        </is>
      </c>
      <c r="C67" s="64" t="n">
        <v>71</v>
      </c>
      <c r="D67" s="64" t="n"/>
      <c r="E67" s="63" t="n"/>
    </row>
    <row r="68" ht="18" customHeight="1">
      <c r="A68" s="62" t="n">
        <v>46258</v>
      </c>
      <c r="B68" s="63" t="inlineStr">
        <is>
          <t>Semi Needle Squid - SQW 40/60</t>
        </is>
      </c>
      <c r="C68" s="64" t="n">
        <v>100</v>
      </c>
      <c r="D68" s="64" t="n"/>
      <c r="E68" s="63" t="n"/>
    </row>
    <row r="69" ht="18" customHeight="1">
      <c r="A69" s="62" t="n">
        <v>46258</v>
      </c>
      <c r="B69" s="63" t="inlineStr">
        <is>
          <t>Semi Needle Squid - SQW 60/80</t>
        </is>
      </c>
      <c r="C69" s="64" t="n">
        <v>506</v>
      </c>
      <c r="D69" s="64" t="n"/>
      <c r="E69" s="63" t="n"/>
    </row>
    <row r="70" ht="18" customHeight="1">
      <c r="A70" s="62" t="n">
        <v>46259</v>
      </c>
      <c r="B70" s="63" t="inlineStr">
        <is>
          <t>Semi Needle Squid - SQW 20/40</t>
        </is>
      </c>
      <c r="C70" s="64" t="n">
        <v>44</v>
      </c>
      <c r="D70" s="64" t="n"/>
      <c r="E70" s="63" t="n"/>
    </row>
    <row r="71" ht="18" customHeight="1">
      <c r="A71" s="62" t="n">
        <v>46259</v>
      </c>
      <c r="B71" s="63" t="inlineStr">
        <is>
          <t>Semi Needle Squid - SQW 40/60</t>
        </is>
      </c>
      <c r="C71" s="64" t="n">
        <v>146</v>
      </c>
      <c r="D71" s="64" t="n"/>
      <c r="E71" s="63" t="n"/>
    </row>
    <row r="72" ht="18" customHeight="1">
      <c r="A72" s="62" t="n">
        <v>46259</v>
      </c>
      <c r="B72" s="63" t="inlineStr">
        <is>
          <t>Semi Needle Squid - SQW 60/80</t>
        </is>
      </c>
      <c r="C72" s="64" t="n">
        <v>608</v>
      </c>
      <c r="D72" s="64" t="n"/>
      <c r="E72" s="63" t="n"/>
    </row>
    <row r="73" ht="18" customHeight="1">
      <c r="A73" s="62" t="n">
        <v>46259</v>
      </c>
      <c r="B73" s="63" t="inlineStr">
        <is>
          <t>Tuna - SKIPJACK 2/4</t>
        </is>
      </c>
      <c r="C73" s="64" t="n">
        <v>5952</v>
      </c>
      <c r="D73" s="64" t="n"/>
      <c r="E73" s="63" t="n"/>
    </row>
    <row r="74" ht="18" customHeight="1">
      <c r="A74" s="62" t="n">
        <v>46259</v>
      </c>
      <c r="B74" s="63" t="inlineStr">
        <is>
          <t>Tuna - SKIPJACK 4/10</t>
        </is>
      </c>
      <c r="C74" s="64" t="n">
        <v>1791.5</v>
      </c>
      <c r="D74" s="64" t="n"/>
      <c r="E74" s="63" t="n"/>
    </row>
    <row r="75" ht="18" customHeight="1">
      <c r="A75" s="62" t="n">
        <v>46260</v>
      </c>
      <c r="B75" s="63" t="inlineStr">
        <is>
          <t>Tuna - YELLOW FIN 2/4</t>
        </is>
      </c>
      <c r="C75" s="64" t="n">
        <v>1035.1</v>
      </c>
      <c r="D75" s="64" t="n"/>
      <c r="E75" s="63" t="n"/>
    </row>
    <row r="76" ht="18" customHeight="1">
      <c r="A76" s="62" t="n">
        <v>46260</v>
      </c>
      <c r="B76" s="63" t="inlineStr">
        <is>
          <t>Tuna - YELLOW FIN 4/10</t>
        </is>
      </c>
      <c r="C76" s="64" t="n">
        <v>144.2</v>
      </c>
      <c r="D76" s="64" t="n"/>
      <c r="E76" s="63" t="n"/>
    </row>
    <row r="77" ht="18" customHeight="1">
      <c r="A77" s="62" t="n">
        <v>46260</v>
      </c>
      <c r="B77" s="63" t="inlineStr">
        <is>
          <t>Tuna - SKIPJACK 2/4</t>
        </is>
      </c>
      <c r="C77" s="64" t="n">
        <v>7373.9</v>
      </c>
      <c r="D77" s="64" t="n"/>
      <c r="E77" s="63" t="n"/>
    </row>
    <row r="78" ht="18" customHeight="1">
      <c r="A78" s="62" t="n">
        <v>46260</v>
      </c>
      <c r="B78" s="63" t="inlineStr">
        <is>
          <t>Tuna - SKIPJACK 4/10</t>
        </is>
      </c>
      <c r="C78" s="64" t="n">
        <v>408.6</v>
      </c>
      <c r="D78" s="64" t="n"/>
      <c r="E78" s="63" t="n"/>
    </row>
    <row r="79" ht="18" customHeight="1">
      <c r="A79" s="62" t="n">
        <v>46260</v>
      </c>
      <c r="B79" s="63" t="inlineStr">
        <is>
          <t>Primus Japan - PUD PVN 80/120</t>
        </is>
      </c>
      <c r="C79" s="64" t="n">
        <v>0</v>
      </c>
      <c r="D79" s="64" t="n">
        <v>6849</v>
      </c>
      <c r="E79" s="63" t="n"/>
    </row>
    <row r="80" ht="18" customHeight="1">
      <c r="A80" s="62" t="n">
        <v>46260</v>
      </c>
      <c r="B80" s="63" t="inlineStr">
        <is>
          <t>Primus Japan - PUD PVN 100/200</t>
        </is>
      </c>
      <c r="C80" s="64" t="n">
        <v>0</v>
      </c>
      <c r="D80" s="64" t="n">
        <v>2617</v>
      </c>
      <c r="E80" s="63" t="n"/>
    </row>
    <row r="81" ht="18" customHeight="1">
      <c r="A81" s="62" t="n">
        <v>46260</v>
      </c>
      <c r="B81" s="63" t="inlineStr">
        <is>
          <t>THT Brand - PUD PVN 100/200</t>
        </is>
      </c>
      <c r="C81" s="64" t="n">
        <v>0</v>
      </c>
      <c r="D81" s="64" t="n">
        <v>383</v>
      </c>
      <c r="E81" s="63" t="n"/>
    </row>
    <row r="82" ht="18" customHeight="1">
      <c r="A82" s="62" t="n">
        <v>46260</v>
      </c>
      <c r="B82" s="63" t="inlineStr">
        <is>
          <t>THT Brand - PUD PVN 80/120</t>
        </is>
      </c>
      <c r="C82" s="64" t="n">
        <v>0</v>
      </c>
      <c r="D82" s="64" t="n">
        <v>151</v>
      </c>
      <c r="E82" s="63" t="n"/>
    </row>
    <row r="83" ht="18" customHeight="1">
      <c r="A83" s="62" t="n">
        <v>46261</v>
      </c>
      <c r="B83" s="63" t="inlineStr">
        <is>
          <t>Semi Needle Squid - SQW 10/20</t>
        </is>
      </c>
      <c r="C83" s="64" t="n">
        <v>20</v>
      </c>
      <c r="D83" s="64" t="n"/>
      <c r="E83" s="63" t="n"/>
    </row>
    <row r="84" ht="18" customHeight="1">
      <c r="A84" s="62" t="n">
        <v>46261</v>
      </c>
      <c r="B84" s="63" t="inlineStr">
        <is>
          <t>Semi Needle Squid - SQW 20/40</t>
        </is>
      </c>
      <c r="C84" s="64" t="n">
        <v>120</v>
      </c>
      <c r="D84" s="64" t="n"/>
      <c r="E84" s="63" t="n"/>
    </row>
    <row r="85" ht="18" customHeight="1">
      <c r="A85" s="62" t="n">
        <v>46261</v>
      </c>
      <c r="B85" s="63" t="inlineStr">
        <is>
          <t>Semi Needle Squid - SQW 40/60</t>
        </is>
      </c>
      <c r="C85" s="64" t="n">
        <v>94</v>
      </c>
      <c r="D85" s="64" t="n"/>
      <c r="E85" s="63" t="n"/>
    </row>
    <row r="86" ht="18" customHeight="1">
      <c r="A86" s="62" t="n">
        <v>46261</v>
      </c>
      <c r="B86" s="63" t="inlineStr">
        <is>
          <t>Semi Needle Squid - SQW 60/80</t>
        </is>
      </c>
      <c r="C86" s="64" t="n">
        <v>692</v>
      </c>
      <c r="D86" s="64" t="n"/>
      <c r="E86" s="63" t="n"/>
    </row>
    <row r="87" ht="18" customHeight="1">
      <c r="A87" s="62" t="n">
        <v>46261</v>
      </c>
      <c r="B87" s="63" t="inlineStr">
        <is>
          <t>Tuna - SKIPJACK 2/4</t>
        </is>
      </c>
      <c r="C87" s="64" t="n">
        <v>7665.5</v>
      </c>
      <c r="D87" s="64" t="n"/>
      <c r="E87" s="63" t="n"/>
    </row>
    <row r="88" ht="18" customHeight="1">
      <c r="A88" s="62" t="n">
        <v>46261</v>
      </c>
      <c r="B88" s="63" t="inlineStr">
        <is>
          <t>Tuna - SKIPJACK 4/10</t>
        </is>
      </c>
      <c r="C88" s="64" t="n">
        <v>3525</v>
      </c>
      <c r="D88" s="64" t="n"/>
      <c r="E88" s="63" t="n"/>
    </row>
    <row r="89" ht="18" customHeight="1">
      <c r="A89" s="62" t="n">
        <v>46262</v>
      </c>
      <c r="B89" s="63" t="inlineStr">
        <is>
          <t>Blue Dolphin - PUD PVN 200/300</t>
        </is>
      </c>
      <c r="C89" s="64" t="n">
        <v>43</v>
      </c>
      <c r="D89" s="64" t="n"/>
      <c r="E89" s="63" t="n"/>
    </row>
    <row r="90" ht="18" customHeight="1">
      <c r="A90" s="62" t="n">
        <v>46262</v>
      </c>
      <c r="B90" s="63" t="inlineStr">
        <is>
          <t>Primus Japan - PUD KKD 200/300</t>
        </is>
      </c>
      <c r="C90" s="64" t="n">
        <v>7</v>
      </c>
      <c r="D90" s="64" t="n"/>
      <c r="E90" s="63" t="n"/>
    </row>
    <row r="91" ht="18" customHeight="1">
      <c r="A91" s="62" t="n">
        <v>46262</v>
      </c>
      <c r="B91" s="63" t="inlineStr">
        <is>
          <t>Primus Japan - PUD KKD 300/500</t>
        </is>
      </c>
      <c r="C91" s="64" t="n">
        <v>97</v>
      </c>
      <c r="D91" s="64" t="n"/>
      <c r="E91" s="63" t="n"/>
    </row>
    <row r="92" ht="18" customHeight="1">
      <c r="A92" s="62" t="n">
        <v>46262</v>
      </c>
      <c r="B92" s="63" t="inlineStr">
        <is>
          <t>Primus Japan - PUD PVN 300/500</t>
        </is>
      </c>
      <c r="C92" s="64" t="n">
        <v>63</v>
      </c>
      <c r="D92" s="64" t="n"/>
      <c r="E92" s="63" t="n"/>
    </row>
    <row r="93" ht="18" customHeight="1">
      <c r="A93" s="62" t="n">
        <v>46262</v>
      </c>
      <c r="B93" s="63" t="inlineStr">
        <is>
          <t>THT Brand - PUD PVN 80/120</t>
        </is>
      </c>
      <c r="C93" s="64" t="n">
        <v>17</v>
      </c>
      <c r="D93" s="64" t="n"/>
      <c r="E93" s="63" t="n"/>
    </row>
    <row r="94" ht="18" customHeight="1">
      <c r="A94" s="62" t="n">
        <v>46262</v>
      </c>
      <c r="B94" s="63" t="inlineStr">
        <is>
          <t>THT Brand - PUD PVN 100/200</t>
        </is>
      </c>
      <c r="C94" s="64" t="n">
        <v>26</v>
      </c>
      <c r="D94" s="64" t="n"/>
      <c r="E94" s="63" t="n"/>
    </row>
    <row r="95" ht="18" customHeight="1">
      <c r="A95" s="62" t="n">
        <v>46262</v>
      </c>
      <c r="B95" s="63" t="inlineStr">
        <is>
          <t>Semi Needle Squid - SQW 20/40</t>
        </is>
      </c>
      <c r="C95" s="64" t="n">
        <v>61</v>
      </c>
      <c r="D95" s="64" t="n"/>
      <c r="E95" s="63" t="n"/>
    </row>
    <row r="96" ht="18" customHeight="1">
      <c r="A96" s="62" t="n">
        <v>46262</v>
      </c>
      <c r="B96" s="63" t="inlineStr">
        <is>
          <t>Semi Needle Squid - SQW 40/60</t>
        </is>
      </c>
      <c r="C96" s="64" t="n">
        <v>222</v>
      </c>
      <c r="D96" s="64" t="n"/>
      <c r="E96" s="63" t="n"/>
    </row>
    <row r="97" ht="18" customHeight="1">
      <c r="A97" s="62" t="n">
        <v>46262</v>
      </c>
      <c r="B97" s="63" t="inlineStr">
        <is>
          <t>Semi Needle Squid - SQW 60/80</t>
        </is>
      </c>
      <c r="C97" s="64" t="n">
        <v>206</v>
      </c>
      <c r="D97" s="64" t="n"/>
      <c r="E97" s="63" t="n"/>
    </row>
    <row r="98" ht="18" customHeight="1">
      <c r="A98" s="62" t="n">
        <v>46262</v>
      </c>
      <c r="B98" s="63" t="inlineStr">
        <is>
          <t>Tuna - SKIPJACK 2/4</t>
        </is>
      </c>
      <c r="C98" s="64" t="n">
        <v>7373.4</v>
      </c>
      <c r="D98" s="64" t="n"/>
      <c r="E98" s="63" t="n"/>
    </row>
    <row r="99" ht="18" customHeight="1">
      <c r="A99" s="62" t="n">
        <v>46262</v>
      </c>
      <c r="B99" s="63" t="inlineStr">
        <is>
          <t>Tuna - SKIPJACK 4/10</t>
        </is>
      </c>
      <c r="C99" s="64" t="n">
        <v>4148.7</v>
      </c>
      <c r="D99" s="64" t="n"/>
      <c r="E99" s="63" t="n"/>
    </row>
    <row r="100" ht="18" customHeight="1">
      <c r="A100" s="62" t="n">
        <v>46262</v>
      </c>
      <c r="B100" s="63" t="inlineStr">
        <is>
          <t>Blue Dolphin - PD PVN 100/200</t>
        </is>
      </c>
      <c r="C100" s="64" t="n">
        <v>0</v>
      </c>
      <c r="D100" s="64" t="n">
        <v>1520</v>
      </c>
      <c r="E100" s="63" t="n"/>
    </row>
    <row r="101" ht="18" customHeight="1">
      <c r="A101" s="62" t="n">
        <v>46262</v>
      </c>
      <c r="B101" s="63" t="inlineStr">
        <is>
          <t>Blue Dolphin - PD KKD 100/200</t>
        </is>
      </c>
      <c r="C101" s="64" t="n">
        <v>0</v>
      </c>
      <c r="D101" s="64" t="n">
        <v>400</v>
      </c>
      <c r="E101" s="63" t="n"/>
    </row>
    <row r="102" ht="18" customHeight="1">
      <c r="A102" s="62" t="n">
        <v>46262</v>
      </c>
      <c r="B102" s="63" t="inlineStr">
        <is>
          <t>Blue Dolphin - PUD KKD 200/300</t>
        </is>
      </c>
      <c r="C102" s="64" t="n">
        <v>0</v>
      </c>
      <c r="D102" s="64" t="n">
        <v>1200</v>
      </c>
      <c r="E102" s="63" t="n"/>
    </row>
    <row r="103" ht="18" customHeight="1">
      <c r="A103" s="62" t="n">
        <v>46262</v>
      </c>
      <c r="B103" s="63" t="inlineStr">
        <is>
          <t>Blue Dolphin - PUD PVN 300/500</t>
        </is>
      </c>
      <c r="C103" s="64" t="n">
        <v>0</v>
      </c>
      <c r="D103" s="64" t="n">
        <v>420</v>
      </c>
      <c r="E103" s="63" t="n"/>
    </row>
    <row r="104" ht="18" customHeight="1">
      <c r="A104" s="62" t="n">
        <v>46262</v>
      </c>
      <c r="B104" s="63" t="inlineStr">
        <is>
          <t>Blue Dolphin - PUD KKD 300/500</t>
        </is>
      </c>
      <c r="C104" s="64" t="n">
        <v>0</v>
      </c>
      <c r="D104" s="64" t="n">
        <v>6372</v>
      </c>
      <c r="E104" s="63" t="n"/>
    </row>
    <row r="105" ht="18" customHeight="1">
      <c r="A105" s="62" t="n">
        <v>46262</v>
      </c>
      <c r="B105" s="63" t="inlineStr">
        <is>
          <t>Primus Japan - PUD KKD 300/500</t>
        </is>
      </c>
      <c r="C105" s="64" t="n">
        <v>0</v>
      </c>
      <c r="D105" s="64" t="n">
        <v>88</v>
      </c>
      <c r="E105" s="63" t="n"/>
    </row>
    <row r="106" ht="18" customHeight="1">
      <c r="A106" s="62" t="n">
        <v>46263</v>
      </c>
      <c r="B106" s="63" t="inlineStr">
        <is>
          <t>Blue Dolphin - PUD PVN 200/300</t>
        </is>
      </c>
      <c r="C106" s="64" t="n">
        <v>92</v>
      </c>
      <c r="D106" s="64" t="n"/>
      <c r="E106" s="63" t="n"/>
    </row>
    <row r="107" ht="18" customHeight="1">
      <c r="A107" s="62" t="n">
        <v>46263</v>
      </c>
      <c r="B107" s="63" t="inlineStr">
        <is>
          <t>THT Brand - PUD PVN 100/200</t>
        </is>
      </c>
      <c r="C107" s="64" t="n">
        <v>96</v>
      </c>
      <c r="D107" s="64" t="n"/>
      <c r="E107" s="63" t="n"/>
    </row>
    <row r="108" ht="18" customHeight="1">
      <c r="A108" s="62" t="n">
        <v>46263</v>
      </c>
      <c r="B108" s="63" t="inlineStr">
        <is>
          <t>Primus Japan - PUD KKD 200/300</t>
        </is>
      </c>
      <c r="C108" s="64" t="n">
        <v>40</v>
      </c>
      <c r="D108" s="64" t="n"/>
      <c r="E108" s="63" t="n"/>
    </row>
    <row r="109" ht="18" customHeight="1">
      <c r="A109" s="62" t="n">
        <v>46263</v>
      </c>
      <c r="B109" s="63" t="inlineStr">
        <is>
          <t>Primus Japan - PUD KKD 300/500</t>
        </is>
      </c>
      <c r="C109" s="64" t="n">
        <v>892</v>
      </c>
      <c r="D109" s="64" t="n"/>
      <c r="E109" s="63" t="n"/>
    </row>
    <row r="110" ht="18" customHeight="1">
      <c r="A110" s="62" t="n">
        <v>46263</v>
      </c>
      <c r="B110" s="63" t="inlineStr">
        <is>
          <t>Semi Needle Squid - SQW 20/40</t>
        </is>
      </c>
      <c r="C110" s="64" t="n">
        <v>90</v>
      </c>
      <c r="D110" s="64" t="n"/>
      <c r="E110" s="63" t="n"/>
    </row>
    <row r="111" ht="18" customHeight="1">
      <c r="A111" s="62" t="n">
        <v>46263</v>
      </c>
      <c r="B111" s="63" t="inlineStr">
        <is>
          <t>Semi Needle Squid - SQW 40/60</t>
        </is>
      </c>
      <c r="C111" s="64" t="n">
        <v>124</v>
      </c>
      <c r="D111" s="64" t="n"/>
      <c r="E111" s="63" t="n"/>
    </row>
    <row r="112" ht="18" customHeight="1">
      <c r="A112" s="62" t="n">
        <v>46263</v>
      </c>
      <c r="B112" s="63" t="inlineStr">
        <is>
          <t>Semi Needle Squid - SQW 60/80</t>
        </is>
      </c>
      <c r="C112" s="64" t="n">
        <v>949</v>
      </c>
      <c r="D112" s="64" t="n"/>
      <c r="E112" s="63" t="n"/>
    </row>
    <row r="113" ht="18" customHeight="1">
      <c r="A113" s="62" t="n">
        <v>46263</v>
      </c>
      <c r="B113" s="63" t="inlineStr">
        <is>
          <t>Tuna - SKIPJACK 2/4</t>
        </is>
      </c>
      <c r="C113" s="64" t="n">
        <v>1243</v>
      </c>
      <c r="D113" s="64" t="n"/>
      <c r="E113" s="63" t="n"/>
    </row>
    <row r="114" ht="18" customHeight="1">
      <c r="A114" s="62" t="n">
        <v>46263</v>
      </c>
      <c r="B114" s="63" t="inlineStr">
        <is>
          <t>Tuna - SKIPJACK 4/10</t>
        </is>
      </c>
      <c r="C114" s="64" t="n">
        <v>525</v>
      </c>
      <c r="D114" s="64" t="n"/>
      <c r="E114" s="63" t="n"/>
    </row>
    <row r="115" ht="18" customHeight="1">
      <c r="A115" s="62" t="n">
        <v>46263</v>
      </c>
      <c r="B115" s="63" t="inlineStr">
        <is>
          <t>Tuna - YELLOW FIN 2/4</t>
        </is>
      </c>
      <c r="C115" s="64" t="n">
        <v>476</v>
      </c>
      <c r="D115" s="64" t="n"/>
      <c r="E115" s="63" t="n"/>
    </row>
    <row r="116" ht="18" customHeight="1">
      <c r="A116" s="62" t="n">
        <v>46263</v>
      </c>
      <c r="B116" s="63" t="inlineStr">
        <is>
          <t>Tuna - YELLOW FIN 4/10</t>
        </is>
      </c>
      <c r="C116" s="64" t="n">
        <v>562</v>
      </c>
      <c r="D116" s="64" t="n"/>
      <c r="E116" s="63" t="n"/>
    </row>
    <row r="117" ht="18" customHeight="1">
      <c r="A117" s="62" t="n">
        <v>46263</v>
      </c>
      <c r="B117" s="63" t="inlineStr">
        <is>
          <t>Tuna - SKIPJACK 2/4</t>
        </is>
      </c>
      <c r="C117" s="64" t="n">
        <v>0</v>
      </c>
      <c r="D117" s="64" t="n">
        <v>25884</v>
      </c>
      <c r="E117" s="63" t="n"/>
    </row>
    <row r="118" ht="18" customHeight="1">
      <c r="A118" s="62" t="n">
        <v>46263</v>
      </c>
      <c r="B118" s="63" t="inlineStr">
        <is>
          <t>Tuna - SKIPJACK 4/10</t>
        </is>
      </c>
      <c r="C118" s="64" t="n">
        <v>0</v>
      </c>
      <c r="D118" s="64" t="n">
        <v>3116</v>
      </c>
      <c r="E118" s="63" t="n"/>
    </row>
    <row r="119" ht="18" customHeight="1">
      <c r="A119" s="62" t="n">
        <v>46264</v>
      </c>
      <c r="B119" s="63" t="inlineStr">
        <is>
          <t>Primus Japan - PUD KKD 300/500</t>
        </is>
      </c>
      <c r="C119" s="64" t="n">
        <v>247</v>
      </c>
      <c r="D119" s="64" t="n"/>
      <c r="E119" s="63" t="n"/>
    </row>
    <row r="120" ht="18" customHeight="1">
      <c r="A120" s="62" t="n">
        <v>46264</v>
      </c>
      <c r="B120" s="63" t="inlineStr">
        <is>
          <t>Semi Needle Squid - SQW 20/40</t>
        </is>
      </c>
      <c r="C120" s="64" t="n">
        <v>95</v>
      </c>
      <c r="D120" s="64" t="n"/>
      <c r="E120" s="63" t="n"/>
    </row>
    <row r="121" ht="18" customHeight="1">
      <c r="A121" s="62" t="n">
        <v>46264</v>
      </c>
      <c r="B121" s="63" t="inlineStr">
        <is>
          <t>Semi Needle Squid - SQW 40/60</t>
        </is>
      </c>
      <c r="C121" s="64" t="n">
        <v>151</v>
      </c>
      <c r="D121" s="64" t="n"/>
      <c r="E121" s="63" t="n"/>
    </row>
    <row r="122" ht="18" customHeight="1">
      <c r="A122" s="62" t="n">
        <v>46264</v>
      </c>
      <c r="B122" s="63" t="inlineStr">
        <is>
          <t>Semi Needle Squid - SQW 60/80</t>
        </is>
      </c>
      <c r="C122" s="64" t="n">
        <v>394</v>
      </c>
      <c r="D122" s="64" t="n"/>
      <c r="E122" s="63" t="n"/>
    </row>
    <row r="123" ht="18" customHeight="1">
      <c r="A123" s="62" t="n">
        <v>46265</v>
      </c>
      <c r="B123" s="63" t="inlineStr">
        <is>
          <t>Blue Dolphin - PD PVN 100/200</t>
        </is>
      </c>
      <c r="C123" s="64" t="n">
        <v>512</v>
      </c>
      <c r="D123" s="64" t="n"/>
      <c r="E123" s="63" t="n"/>
    </row>
    <row r="124" ht="18" customHeight="1">
      <c r="A124" s="62" t="n">
        <v>46265</v>
      </c>
      <c r="B124" s="63" t="inlineStr">
        <is>
          <t>Blue Dolphin - PD KKD 100/200</t>
        </is>
      </c>
      <c r="C124" s="64" t="n">
        <v>8</v>
      </c>
      <c r="D124" s="64" t="n"/>
      <c r="E124" s="63" t="n"/>
    </row>
    <row r="125" ht="18" customHeight="1">
      <c r="A125" s="62" t="n">
        <v>46265</v>
      </c>
      <c r="B125" s="63" t="inlineStr">
        <is>
          <t>Blue Dolphin - PUD PVN 200/300</t>
        </is>
      </c>
      <c r="C125" s="64" t="n">
        <v>34</v>
      </c>
      <c r="D125" s="64" t="n"/>
      <c r="E125" s="63" t="n"/>
    </row>
    <row r="126" ht="18" customHeight="1">
      <c r="A126" s="62" t="n">
        <v>46265</v>
      </c>
      <c r="B126" s="63" t="inlineStr">
        <is>
          <t>THT Brand - PUD PVN 80/120</t>
        </is>
      </c>
      <c r="C126" s="64" t="n">
        <v>458</v>
      </c>
      <c r="D126" s="64" t="n"/>
      <c r="E126" s="63" t="n"/>
    </row>
    <row r="127" ht="18" customHeight="1">
      <c r="A127" s="62" t="n">
        <v>46265</v>
      </c>
      <c r="B127" s="63" t="inlineStr">
        <is>
          <t>Primus Japan - PUD KKD 300/500</t>
        </is>
      </c>
      <c r="C127" s="64" t="n">
        <v>1808</v>
      </c>
      <c r="D127" s="64" t="n"/>
      <c r="E127" s="63" t="n"/>
    </row>
    <row r="128" ht="18" customHeight="1">
      <c r="A128" s="62" t="n">
        <v>46265</v>
      </c>
      <c r="B128" s="63" t="inlineStr">
        <is>
          <t>Primus EU - PUD 20/40</t>
        </is>
      </c>
      <c r="C128" s="64" t="n">
        <v>2</v>
      </c>
      <c r="D128" s="64" t="n"/>
      <c r="E128" s="63" t="n"/>
    </row>
    <row r="129" ht="18" customHeight="1">
      <c r="A129" s="62" t="n">
        <v>46265</v>
      </c>
      <c r="B129" s="63" t="inlineStr">
        <is>
          <t>Primus Japan - PUD KZN 40/60</t>
        </is>
      </c>
      <c r="C129" s="64" t="n">
        <v>2</v>
      </c>
      <c r="D129" s="64" t="n"/>
      <c r="E129" s="63" t="n"/>
    </row>
    <row r="130" ht="18" customHeight="1">
      <c r="A130" s="62" t="n">
        <v>46265</v>
      </c>
      <c r="B130" s="63" t="inlineStr">
        <is>
          <t>Primus Japan - PUD KZN 60/80</t>
        </is>
      </c>
      <c r="C130" s="64" t="n">
        <v>5</v>
      </c>
      <c r="D130" s="64" t="n"/>
      <c r="E130" s="63" t="n"/>
    </row>
    <row r="131" ht="18" customHeight="1">
      <c r="A131" s="62" t="n">
        <v>46265</v>
      </c>
      <c r="B131" s="63" t="inlineStr">
        <is>
          <t>Primus Japan - PUD KZN 80/120</t>
        </is>
      </c>
      <c r="C131" s="64" t="n">
        <v>13</v>
      </c>
      <c r="D131" s="64" t="n"/>
      <c r="E131" s="63" t="n"/>
    </row>
    <row r="132" ht="18" customHeight="1">
      <c r="A132" s="62" t="n">
        <v>46265</v>
      </c>
      <c r="B132" s="63" t="inlineStr">
        <is>
          <t>Primus Japan - PUD KZN 100/200</t>
        </is>
      </c>
      <c r="C132" s="64" t="n">
        <v>14</v>
      </c>
      <c r="D132" s="64" t="n"/>
      <c r="E132" s="63" t="n"/>
    </row>
    <row r="133" ht="18" customHeight="1">
      <c r="A133" s="62" t="n">
        <v>46265</v>
      </c>
      <c r="B133" s="63" t="inlineStr">
        <is>
          <t>Primus EU - BKN</t>
        </is>
      </c>
      <c r="C133" s="64" t="n">
        <v>19</v>
      </c>
      <c r="D133" s="64" t="n"/>
      <c r="E133" s="63" t="n"/>
    </row>
    <row r="134" ht="18" customHeight="1">
      <c r="A134" s="62" t="n">
        <v>46265</v>
      </c>
      <c r="B134" s="63" t="inlineStr">
        <is>
          <t>Blue Dolphin - PUD KKD 200/300</t>
        </is>
      </c>
      <c r="C134" s="64" t="n">
        <v>41</v>
      </c>
      <c r="D134" s="64" t="n"/>
      <c r="E134" s="63" t="n"/>
    </row>
    <row r="135" ht="18" customHeight="1">
      <c r="A135" s="62" t="n">
        <v>46265</v>
      </c>
      <c r="B135" s="63" t="inlineStr">
        <is>
          <t>Primus Japan - PUD NRN 200/300</t>
        </is>
      </c>
      <c r="C135" s="64" t="n">
        <v>1</v>
      </c>
      <c r="D135" s="64" t="n"/>
      <c r="E135" s="63" t="n"/>
    </row>
    <row r="136" ht="18" customHeight="1">
      <c r="A136" s="62" t="n">
        <v>46266</v>
      </c>
      <c r="B136" s="63" t="inlineStr">
        <is>
          <t>Blue Dolphin - PD PVN 100/200</t>
        </is>
      </c>
      <c r="C136" s="64" t="n">
        <v>74</v>
      </c>
      <c r="D136" s="64" t="n"/>
      <c r="E136" s="63" t="n"/>
    </row>
    <row r="137" ht="18" customHeight="1">
      <c r="A137" s="62" t="n">
        <v>46266</v>
      </c>
      <c r="B137" s="63" t="inlineStr">
        <is>
          <t>Blue Dolphin - PD KKD 100/200</t>
        </is>
      </c>
      <c r="C137" s="64" t="n">
        <v>3</v>
      </c>
      <c r="D137" s="64" t="n"/>
      <c r="E137" s="63" t="n"/>
    </row>
    <row r="138" ht="18" customHeight="1">
      <c r="A138" s="62" t="n">
        <v>46266</v>
      </c>
      <c r="B138" s="63" t="inlineStr">
        <is>
          <t>Blue Dolphin - PD PVN 200/300</t>
        </is>
      </c>
      <c r="C138" s="64" t="n">
        <v>47</v>
      </c>
      <c r="D138" s="64" t="n"/>
      <c r="E138" s="63" t="n"/>
    </row>
    <row r="139" ht="18" customHeight="1">
      <c r="A139" s="62" t="n">
        <v>46266</v>
      </c>
      <c r="B139" s="63" t="inlineStr">
        <is>
          <t>THT Brand - PUD PVN 80/120</t>
        </is>
      </c>
      <c r="C139" s="64" t="n">
        <v>97</v>
      </c>
      <c r="D139" s="64" t="n"/>
      <c r="E139" s="63" t="n"/>
    </row>
    <row r="140" ht="18" customHeight="1">
      <c r="A140" s="62" t="n">
        <v>46266</v>
      </c>
      <c r="B140" s="63" t="inlineStr">
        <is>
          <t>Primus Japan - PUD KKD 200/300</t>
        </is>
      </c>
      <c r="C140" s="64" t="n">
        <v>14</v>
      </c>
      <c r="D140" s="64" t="n"/>
      <c r="E140" s="63" t="n"/>
    </row>
    <row r="141" ht="18" customHeight="1">
      <c r="A141" s="62" t="n">
        <v>46266</v>
      </c>
      <c r="B141" s="63" t="inlineStr">
        <is>
          <t>Primus Japan - PUD KKD 300/500</t>
        </is>
      </c>
      <c r="C141" s="64" t="n">
        <v>1193</v>
      </c>
      <c r="D141" s="64" t="n"/>
      <c r="E141" s="63" t="n"/>
    </row>
    <row r="142" ht="18" customHeight="1">
      <c r="A142" s="62" t="n">
        <v>46266</v>
      </c>
      <c r="B142" s="63" t="inlineStr">
        <is>
          <t>Primus Japan - PUD PVN 300/500</t>
        </is>
      </c>
      <c r="C142" s="64" t="n">
        <v>35</v>
      </c>
      <c r="D142" s="64" t="n"/>
      <c r="E142" s="63" t="n"/>
    </row>
    <row r="143" ht="18" customHeight="1">
      <c r="A143" s="62" t="n">
        <v>46266</v>
      </c>
      <c r="B143" s="63" t="inlineStr">
        <is>
          <t>Primus Japan - PUD KZN 80/120</t>
        </is>
      </c>
      <c r="C143" s="64" t="n">
        <v>1</v>
      </c>
      <c r="D143" s="64" t="n"/>
      <c r="E143" s="63" t="n"/>
    </row>
    <row r="144" ht="18" customHeight="1">
      <c r="A144" s="62" t="n">
        <v>46266</v>
      </c>
      <c r="B144" s="63" t="inlineStr">
        <is>
          <t>Primus EU - BKN</t>
        </is>
      </c>
      <c r="C144" s="64" t="n">
        <v>5</v>
      </c>
      <c r="D144" s="64" t="n"/>
      <c r="E144" s="63" t="n"/>
    </row>
    <row r="145" ht="18" customHeight="1">
      <c r="A145" s="62" t="n">
        <v>46266</v>
      </c>
      <c r="B145" s="63" t="inlineStr">
        <is>
          <t>Semi Needle Squid - SQW 20/40</t>
        </is>
      </c>
      <c r="C145" s="64" t="n">
        <v>97</v>
      </c>
      <c r="D145" s="64" t="n"/>
      <c r="E145" s="63" t="n"/>
    </row>
    <row r="146" ht="18" customHeight="1">
      <c r="A146" s="62" t="n">
        <v>46266</v>
      </c>
      <c r="B146" s="63" t="inlineStr">
        <is>
          <t>Semi Needle Squid - SQW 40/60</t>
        </is>
      </c>
      <c r="C146" s="64" t="n">
        <v>211</v>
      </c>
      <c r="D146" s="64" t="n"/>
      <c r="E146" s="63" t="n"/>
    </row>
    <row r="147" ht="18" customHeight="1">
      <c r="A147" s="62" t="n">
        <v>46266</v>
      </c>
      <c r="B147" s="63" t="inlineStr">
        <is>
          <t>Semi Needle Squid - SQW 60/80</t>
        </is>
      </c>
      <c r="C147" s="64" t="n">
        <v>942</v>
      </c>
      <c r="D147" s="64" t="n"/>
      <c r="E147" s="63" t="n"/>
    </row>
    <row r="148" ht="18" customHeight="1">
      <c r="A148" s="62" t="n">
        <v>46267</v>
      </c>
      <c r="B148" s="63" t="inlineStr">
        <is>
          <t>Blue Dolphin - PD PVN 100/200</t>
        </is>
      </c>
      <c r="C148" s="64" t="n">
        <v>178</v>
      </c>
      <c r="D148" s="64" t="n"/>
      <c r="E148" s="63" t="n"/>
    </row>
    <row r="149" ht="18" customHeight="1">
      <c r="A149" s="62" t="n">
        <v>46267</v>
      </c>
      <c r="B149" s="63" t="inlineStr">
        <is>
          <t>Blue Dolphin - PD PVN 200/300</t>
        </is>
      </c>
      <c r="C149" s="64" t="n">
        <v>93</v>
      </c>
      <c r="D149" s="64" t="n"/>
      <c r="E149" s="63" t="n"/>
    </row>
    <row r="150" ht="18" customHeight="1">
      <c r="A150" s="62" t="n">
        <v>46267</v>
      </c>
      <c r="B150" s="63" t="inlineStr">
        <is>
          <t>Blue Dolphin - PD KKD 100/200</t>
        </is>
      </c>
      <c r="C150" s="64" t="n">
        <v>37</v>
      </c>
      <c r="D150" s="64" t="n"/>
      <c r="E150" s="63" t="n"/>
    </row>
    <row r="151" ht="18" customHeight="1">
      <c r="A151" s="62" t="n">
        <v>46267</v>
      </c>
      <c r="B151" s="63" t="inlineStr">
        <is>
          <t>Blue Dolphin - PUD PVN 300/500</t>
        </is>
      </c>
      <c r="C151" s="64" t="n">
        <v>66</v>
      </c>
      <c r="D151" s="64" t="n"/>
      <c r="E151" s="63" t="n"/>
    </row>
    <row r="152" ht="18" customHeight="1">
      <c r="A152" s="62" t="n">
        <v>46267</v>
      </c>
      <c r="B152" s="63" t="inlineStr">
        <is>
          <t>Blue Dolphin - PD KKD 200/300</t>
        </is>
      </c>
      <c r="C152" s="64" t="n">
        <v>276</v>
      </c>
      <c r="D152" s="64" t="n"/>
      <c r="E152" s="63" t="n"/>
    </row>
    <row r="153" ht="18" customHeight="1">
      <c r="A153" s="62" t="n">
        <v>46267</v>
      </c>
      <c r="B153" s="63" t="inlineStr">
        <is>
          <t>THT Brand - PUD PVN 80/120</t>
        </is>
      </c>
      <c r="C153" s="64" t="n">
        <v>147</v>
      </c>
      <c r="D153" s="64" t="n"/>
      <c r="E153" s="63" t="n"/>
    </row>
    <row r="154" ht="18" customHeight="1">
      <c r="A154" s="62" t="n">
        <v>46267</v>
      </c>
      <c r="B154" s="63" t="inlineStr">
        <is>
          <t>Primus Japan - PUD KKD 300/500</t>
        </is>
      </c>
      <c r="C154" s="64" t="n">
        <v>1331</v>
      </c>
      <c r="D154" s="64" t="n"/>
      <c r="E154" s="63" t="n"/>
    </row>
    <row r="155" ht="18" customHeight="1">
      <c r="A155" s="62" t="n">
        <v>46267</v>
      </c>
      <c r="B155" s="63" t="inlineStr">
        <is>
          <t>Primus Japan - PUD KZN 80/120</t>
        </is>
      </c>
      <c r="C155" s="64" t="n">
        <v>2</v>
      </c>
      <c r="D155" s="64" t="n"/>
      <c r="E155" s="63" t="n"/>
    </row>
    <row r="156" ht="18" customHeight="1">
      <c r="A156" s="62" t="n">
        <v>46267</v>
      </c>
      <c r="B156" s="63" t="inlineStr">
        <is>
          <t>Primus Japan - PUD KZN 100/200</t>
        </is>
      </c>
      <c r="C156" s="64" t="n">
        <v>6</v>
      </c>
      <c r="D156" s="64" t="n"/>
      <c r="E156" s="63" t="n"/>
    </row>
    <row r="157" ht="18" customHeight="1">
      <c r="A157" s="62" t="n">
        <v>46267</v>
      </c>
      <c r="B157" s="63" t="inlineStr">
        <is>
          <t>Primus Japan - PUD KZN 200/300</t>
        </is>
      </c>
      <c r="C157" s="64" t="n">
        <v>3</v>
      </c>
      <c r="D157" s="64" t="n"/>
      <c r="E157" s="63" t="n"/>
    </row>
    <row r="158" ht="18" customHeight="1">
      <c r="A158" s="62" t="n">
        <v>46267</v>
      </c>
      <c r="B158" s="63" t="inlineStr">
        <is>
          <t>Primus EU - BKN</t>
        </is>
      </c>
      <c r="C158" s="64" t="n">
        <v>12</v>
      </c>
      <c r="D158" s="64" t="n"/>
      <c r="E158" s="63" t="n"/>
    </row>
    <row r="159" ht="18" customHeight="1">
      <c r="A159" s="62" t="n">
        <v>46267</v>
      </c>
      <c r="B159" s="63" t="inlineStr">
        <is>
          <t>Mackerel - WHOLE 6/8</t>
        </is>
      </c>
      <c r="C159" s="64" t="n">
        <v>210</v>
      </c>
      <c r="D159" s="64" t="n"/>
      <c r="E159" s="63" t="n"/>
    </row>
    <row r="160" ht="18" customHeight="1">
      <c r="A160" s="62" t="n">
        <v>46267</v>
      </c>
      <c r="B160" s="63" t="inlineStr">
        <is>
          <t>Mackerel - WHOLE 8/10</t>
        </is>
      </c>
      <c r="C160" s="64" t="n">
        <v>3310</v>
      </c>
      <c r="D160" s="64" t="n"/>
      <c r="E160" s="63" t="n"/>
    </row>
    <row r="161" ht="18" customHeight="1">
      <c r="A161" s="62" t="n">
        <v>46267</v>
      </c>
      <c r="B161" s="63" t="inlineStr">
        <is>
          <t>Mackerel - WHOLE 10/12</t>
        </is>
      </c>
      <c r="C161" s="64" t="n">
        <v>630</v>
      </c>
      <c r="D161" s="64" t="n"/>
      <c r="E161" s="63" t="n"/>
    </row>
    <row r="162" ht="18" customHeight="1">
      <c r="A162" s="62" t="n">
        <v>46267</v>
      </c>
      <c r="B162" s="63" t="inlineStr">
        <is>
          <t>Tuna - SKIPJACK 2/4</t>
        </is>
      </c>
      <c r="C162" s="64" t="n">
        <v>2699.5</v>
      </c>
      <c r="D162" s="64" t="n"/>
      <c r="E162" s="63" t="n"/>
    </row>
    <row r="163" ht="18" customHeight="1">
      <c r="A163" s="62" t="n">
        <v>46267</v>
      </c>
      <c r="B163" s="63" t="inlineStr">
        <is>
          <t>Tuna - SKIPJACK 4/10</t>
        </is>
      </c>
      <c r="C163" s="64" t="n">
        <v>3826.5</v>
      </c>
      <c r="D163" s="64" t="n"/>
      <c r="E163" s="63" t="n"/>
    </row>
    <row r="164" ht="18" customHeight="1">
      <c r="A164" s="62" t="n">
        <v>46268</v>
      </c>
      <c r="B164" s="63" t="inlineStr">
        <is>
          <t>Blue Dolphin - PD PVN 100/200</t>
        </is>
      </c>
      <c r="C164" s="64" t="n">
        <v>260</v>
      </c>
      <c r="D164" s="64" t="n"/>
      <c r="E164" s="63" t="n"/>
    </row>
    <row r="165" ht="18" customHeight="1">
      <c r="A165" s="62" t="n">
        <v>46268</v>
      </c>
      <c r="B165" s="63" t="inlineStr">
        <is>
          <t>Blue Dolphin - PD PVN 200/300</t>
        </is>
      </c>
      <c r="C165" s="64" t="n">
        <v>188</v>
      </c>
      <c r="D165" s="64" t="n"/>
      <c r="E165" s="63" t="n"/>
    </row>
    <row r="166" ht="18" customHeight="1">
      <c r="A166" s="62" t="n">
        <v>46268</v>
      </c>
      <c r="B166" s="63" t="inlineStr">
        <is>
          <t>THT Brand - PUD PVN 80/120</t>
        </is>
      </c>
      <c r="C166" s="64" t="n">
        <v>380</v>
      </c>
      <c r="D166" s="64" t="n"/>
      <c r="E166" s="63" t="n"/>
    </row>
    <row r="167" ht="18" customHeight="1">
      <c r="A167" s="62" t="n">
        <v>46268</v>
      </c>
      <c r="B167" s="63" t="inlineStr">
        <is>
          <t>THT Brand - PUD PVN 100/200</t>
        </is>
      </c>
      <c r="C167" s="64" t="n">
        <v>17</v>
      </c>
      <c r="D167" s="64" t="n"/>
      <c r="E167" s="63" t="n"/>
    </row>
    <row r="168" ht="18" customHeight="1">
      <c r="A168" s="62" t="n">
        <v>46268</v>
      </c>
      <c r="B168" s="63" t="inlineStr">
        <is>
          <t>Primus Japan - PUD PVN 300/500</t>
        </is>
      </c>
      <c r="C168" s="64" t="n">
        <v>31</v>
      </c>
      <c r="D168" s="64" t="n"/>
      <c r="E168" s="63" t="n"/>
    </row>
    <row r="169" ht="18" customHeight="1">
      <c r="A169" s="62" t="n">
        <v>46268</v>
      </c>
      <c r="B169" s="63" t="inlineStr">
        <is>
          <t>Primus Japan - PUD KKD 300/500</t>
        </is>
      </c>
      <c r="C169" s="64" t="n">
        <v>536</v>
      </c>
      <c r="D169" s="64" t="n"/>
      <c r="E169" s="63" t="n"/>
    </row>
    <row r="170" ht="18" customHeight="1">
      <c r="A170" s="62" t="n">
        <v>46268</v>
      </c>
      <c r="B170" s="63" t="inlineStr">
        <is>
          <t>Primus EU - BKN</t>
        </is>
      </c>
      <c r="C170" s="64" t="n">
        <v>5</v>
      </c>
      <c r="D170" s="64" t="n"/>
      <c r="E170" s="63" t="n"/>
    </row>
    <row r="171" ht="18" customHeight="1">
      <c r="A171" s="62" t="n">
        <v>46268</v>
      </c>
      <c r="B171" s="63" t="inlineStr">
        <is>
          <t>Semi Needle Squid - SQW 20/40</t>
        </is>
      </c>
      <c r="C171" s="64" t="n">
        <v>27</v>
      </c>
      <c r="D171" s="64" t="n"/>
      <c r="E171" s="63" t="n"/>
    </row>
    <row r="172" ht="18" customHeight="1">
      <c r="A172" s="62" t="n">
        <v>46268</v>
      </c>
      <c r="B172" s="63" t="inlineStr">
        <is>
          <t>Semi Needle Squid - SQW 40/60</t>
        </is>
      </c>
      <c r="C172" s="64" t="n">
        <v>56</v>
      </c>
      <c r="D172" s="64" t="n"/>
      <c r="E172" s="63" t="n"/>
    </row>
    <row r="173" ht="18" customHeight="1">
      <c r="A173" s="62" t="n">
        <v>46268</v>
      </c>
      <c r="B173" s="63" t="inlineStr">
        <is>
          <t>Semi Needle Squid - SQW 60/80</t>
        </is>
      </c>
      <c r="C173" s="64" t="n">
        <v>403</v>
      </c>
      <c r="D173" s="64" t="n"/>
      <c r="E173" s="63" t="n"/>
    </row>
    <row r="174" ht="18" customHeight="1">
      <c r="A174" s="62" t="n">
        <v>46268</v>
      </c>
      <c r="B174" s="63" t="inlineStr">
        <is>
          <t>Mackerel - WHOLE 8/10</t>
        </is>
      </c>
      <c r="C174" s="64" t="n">
        <v>1970</v>
      </c>
      <c r="D174" s="64" t="n"/>
      <c r="E174" s="63" t="n"/>
    </row>
    <row r="175" ht="18" customHeight="1">
      <c r="A175" s="62" t="n">
        <v>46268</v>
      </c>
      <c r="B175" s="63" t="inlineStr">
        <is>
          <t>Mackerel - WHOLE 10/12</t>
        </is>
      </c>
      <c r="C175" s="64" t="n">
        <v>1070</v>
      </c>
      <c r="D175" s="64" t="n"/>
      <c r="E175" s="63" t="n"/>
    </row>
    <row r="176" ht="18" customHeight="1">
      <c r="A176" s="62" t="n">
        <v>46269</v>
      </c>
      <c r="B176" s="63" t="inlineStr">
        <is>
          <t>Blue Dolphin - PD PVN 100/200</t>
        </is>
      </c>
      <c r="C176" s="64" t="n">
        <v>512</v>
      </c>
      <c r="D176" s="64" t="n"/>
      <c r="E176" s="63" t="n"/>
    </row>
    <row r="177" ht="18" customHeight="1">
      <c r="A177" s="62" t="n">
        <v>46269</v>
      </c>
      <c r="B177" s="63" t="inlineStr">
        <is>
          <t>Blue Dolphin - PD PVN 200/300</t>
        </is>
      </c>
      <c r="C177" s="64" t="n">
        <v>36</v>
      </c>
      <c r="D177" s="64" t="n"/>
      <c r="E177" s="63" t="n"/>
    </row>
    <row r="178" ht="18" customHeight="1">
      <c r="A178" s="62" t="n">
        <v>46269</v>
      </c>
      <c r="B178" s="63" t="inlineStr">
        <is>
          <t>Primus Japan - PUD KKD 300/500</t>
        </is>
      </c>
      <c r="C178" s="64" t="n">
        <v>495</v>
      </c>
      <c r="D178" s="64" t="n"/>
      <c r="E178" s="63" t="n"/>
    </row>
    <row r="179" ht="18" customHeight="1">
      <c r="A179" s="62" t="n">
        <v>46269</v>
      </c>
      <c r="B179" s="63" t="inlineStr">
        <is>
          <t>Primus Japan - PUD PVN 300/500</t>
        </is>
      </c>
      <c r="C179" s="64" t="n">
        <v>27</v>
      </c>
      <c r="D179" s="64" t="n"/>
      <c r="E179" s="63" t="n"/>
    </row>
    <row r="180" ht="18" customHeight="1">
      <c r="A180" s="62" t="n">
        <v>46269</v>
      </c>
      <c r="B180" s="63" t="inlineStr">
        <is>
          <t>Primus Japan - PUD KZN 60/80</t>
        </is>
      </c>
      <c r="C180" s="64" t="n">
        <v>3</v>
      </c>
      <c r="D180" s="64" t="n"/>
      <c r="E180" s="63" t="n"/>
    </row>
    <row r="181" ht="18" customHeight="1">
      <c r="A181" s="62" t="n">
        <v>46269</v>
      </c>
      <c r="B181" s="63" t="inlineStr">
        <is>
          <t>Primus Japan - PUD KZN 80/120</t>
        </is>
      </c>
      <c r="C181" s="64" t="n">
        <v>10</v>
      </c>
      <c r="D181" s="64" t="n"/>
      <c r="E181" s="63" t="n"/>
    </row>
    <row r="182" ht="18" customHeight="1">
      <c r="A182" s="62" t="n">
        <v>46269</v>
      </c>
      <c r="B182" s="63" t="inlineStr">
        <is>
          <t>Primus Japan - PUD KZN 100/200</t>
        </is>
      </c>
      <c r="C182" s="64" t="n">
        <v>9</v>
      </c>
      <c r="D182" s="64" t="n"/>
      <c r="E182" s="63" t="n"/>
    </row>
    <row r="183" ht="18" customHeight="1">
      <c r="A183" s="62" t="n">
        <v>46269</v>
      </c>
      <c r="B183" s="63" t="inlineStr">
        <is>
          <t>Primus Japan - PUD KZN 200/300</t>
        </is>
      </c>
      <c r="C183" s="64" t="n">
        <v>3</v>
      </c>
      <c r="D183" s="64" t="n"/>
      <c r="E183" s="63" t="n"/>
    </row>
    <row r="184" ht="18" customHeight="1">
      <c r="A184" s="62" t="n">
        <v>46269</v>
      </c>
      <c r="B184" s="63" t="inlineStr">
        <is>
          <t>Primus EU - BKN</t>
        </is>
      </c>
      <c r="C184" s="64" t="n">
        <v>19</v>
      </c>
      <c r="D184" s="64" t="n"/>
      <c r="E184" s="63" t="n"/>
    </row>
    <row r="185" ht="18" customHeight="1">
      <c r="A185" s="62" t="n">
        <v>46269</v>
      </c>
      <c r="B185" s="63" t="inlineStr">
        <is>
          <t>THT Brand - PUD PVN 80/120</t>
        </is>
      </c>
      <c r="C185" s="64" t="n">
        <v>843</v>
      </c>
      <c r="D185" s="64" t="n"/>
      <c r="E185" s="63" t="n"/>
    </row>
    <row r="186" ht="18" customHeight="1">
      <c r="A186" s="62" t="n">
        <v>46269</v>
      </c>
      <c r="B186" s="63" t="inlineStr">
        <is>
          <t>Mackerel - WHOLE 6/8</t>
        </is>
      </c>
      <c r="C186" s="64" t="n">
        <v>20</v>
      </c>
      <c r="D186" s="64" t="n"/>
      <c r="E186" s="63" t="n"/>
    </row>
    <row r="187" ht="18" customHeight="1">
      <c r="A187" s="62" t="n">
        <v>46269</v>
      </c>
      <c r="B187" s="63" t="inlineStr">
        <is>
          <t>Mackerel - WHOLE 8/10</t>
        </is>
      </c>
      <c r="C187" s="64" t="n">
        <v>840</v>
      </c>
      <c r="D187" s="64" t="n"/>
      <c r="E187" s="63" t="n"/>
    </row>
    <row r="188" ht="18" customHeight="1">
      <c r="A188" s="62" t="n">
        <v>46269</v>
      </c>
      <c r="B188" s="122" t="inlineStr">
        <is>
          <t>Mackerel - WHOLE 8/12</t>
        </is>
      </c>
      <c r="C188" s="64" t="n">
        <v>1000</v>
      </c>
      <c r="D188" s="64" t="n"/>
      <c r="E188" s="63" t="n"/>
    </row>
    <row r="189" ht="18" customHeight="1">
      <c r="A189" s="62" t="n">
        <v>46269</v>
      </c>
      <c r="B189" s="63" t="inlineStr">
        <is>
          <t>Mackerel - WHOLE 10/12</t>
        </is>
      </c>
      <c r="C189" s="64" t="n">
        <v>3300</v>
      </c>
      <c r="D189" s="64" t="n"/>
      <c r="E189" s="63" t="n"/>
    </row>
    <row r="190" ht="18" customHeight="1">
      <c r="A190" s="62" t="n">
        <v>46269</v>
      </c>
      <c r="B190" s="63" t="inlineStr">
        <is>
          <t>Tuna - SKIPJACK 2/4</t>
        </is>
      </c>
      <c r="C190" s="64" t="n">
        <v>860</v>
      </c>
      <c r="D190" s="64" t="n"/>
      <c r="E190" s="63" t="n"/>
    </row>
    <row r="191" ht="18" customHeight="1">
      <c r="A191" s="62" t="n">
        <v>46269</v>
      </c>
      <c r="B191" s="63" t="inlineStr">
        <is>
          <t>Tuna - SKIPJACK 4/10</t>
        </is>
      </c>
      <c r="C191" s="64" t="n">
        <v>3238</v>
      </c>
      <c r="D191" s="64" t="n"/>
      <c r="E191" s="63" t="n"/>
    </row>
    <row r="192" ht="18" customHeight="1">
      <c r="A192" s="62" t="n">
        <v>46270</v>
      </c>
      <c r="B192" s="63" t="inlineStr">
        <is>
          <t>Blue Dolphin - PD PVN 200/300</t>
        </is>
      </c>
      <c r="C192" s="64" t="n">
        <v>24</v>
      </c>
      <c r="D192" s="64" t="n"/>
      <c r="E192" s="63" t="n"/>
    </row>
    <row r="193" ht="18" customHeight="1">
      <c r="A193" s="62" t="n">
        <v>46270</v>
      </c>
      <c r="B193" s="63" t="inlineStr">
        <is>
          <t>Blue Dolphin - PD KKD 200/300</t>
        </is>
      </c>
      <c r="C193" s="64" t="n">
        <v>19</v>
      </c>
      <c r="D193" s="64" t="n"/>
      <c r="E193" s="63" t="n"/>
    </row>
    <row r="194" ht="18" customHeight="1">
      <c r="A194" s="62" t="n">
        <v>46270</v>
      </c>
      <c r="B194" s="63" t="inlineStr">
        <is>
          <t>THT Brand - PUD PVN 80/120</t>
        </is>
      </c>
      <c r="C194" s="64" t="n">
        <v>327</v>
      </c>
      <c r="D194" s="64" t="n"/>
      <c r="E194" s="63" t="n"/>
    </row>
    <row r="195" ht="18" customHeight="1">
      <c r="A195" s="62" t="n">
        <v>46270</v>
      </c>
      <c r="B195" s="63" t="inlineStr">
        <is>
          <t>THT Brand - PUD PVN 100/200</t>
        </is>
      </c>
      <c r="C195" s="64" t="n">
        <v>333</v>
      </c>
      <c r="D195" s="64" t="n"/>
      <c r="E195" s="63" t="n"/>
    </row>
    <row r="196" ht="18" customHeight="1">
      <c r="A196" s="62" t="n">
        <v>46270</v>
      </c>
      <c r="B196" s="63" t="inlineStr">
        <is>
          <t>Primus Japan - PUD KKD 300/500</t>
        </is>
      </c>
      <c r="C196" s="64" t="n">
        <v>324</v>
      </c>
      <c r="D196" s="64" t="n"/>
      <c r="E196" s="63" t="n"/>
    </row>
    <row r="197" ht="18" customHeight="1">
      <c r="A197" s="62" t="n">
        <v>46270</v>
      </c>
      <c r="B197" s="63" t="inlineStr">
        <is>
          <t>China - PUD KKD 500/800</t>
        </is>
      </c>
      <c r="C197" s="64" t="n">
        <v>41</v>
      </c>
      <c r="D197" s="64" t="n"/>
      <c r="E197" s="63" t="n"/>
    </row>
    <row r="198" ht="18" customHeight="1">
      <c r="A198" s="62" t="n">
        <v>46270</v>
      </c>
      <c r="B198" s="63" t="inlineStr">
        <is>
          <t>Primus Japan - PUD KZN 40/60</t>
        </is>
      </c>
      <c r="C198" s="64" t="n">
        <v>5</v>
      </c>
      <c r="D198" s="64" t="n"/>
      <c r="E198" s="63" t="n"/>
    </row>
    <row r="199" ht="18" customHeight="1">
      <c r="A199" s="62" t="n">
        <v>46270</v>
      </c>
      <c r="B199" s="63" t="inlineStr">
        <is>
          <t>Primus Japan - PUD KZN 60/80</t>
        </is>
      </c>
      <c r="C199" s="64" t="n">
        <v>6</v>
      </c>
      <c r="D199" s="64" t="n"/>
      <c r="E199" s="63" t="n"/>
    </row>
    <row r="200" ht="18" customHeight="1">
      <c r="A200" s="62" t="n">
        <v>46270</v>
      </c>
      <c r="B200" s="63" t="inlineStr">
        <is>
          <t>Primus Japan - PUD KZN 80/120</t>
        </is>
      </c>
      <c r="C200" s="64" t="n">
        <v>12</v>
      </c>
      <c r="D200" s="64" t="n"/>
      <c r="E200" s="63" t="n"/>
    </row>
    <row r="201" ht="18" customHeight="1">
      <c r="A201" s="62" t="n">
        <v>46270</v>
      </c>
      <c r="B201" s="63" t="inlineStr">
        <is>
          <t>Primus Japan - PUD KZN 100/200</t>
        </is>
      </c>
      <c r="C201" s="64" t="n">
        <v>12</v>
      </c>
      <c r="D201" s="64" t="n"/>
      <c r="E201" s="63" t="n"/>
    </row>
    <row r="202" ht="18" customHeight="1">
      <c r="A202" s="62" t="n">
        <v>46270</v>
      </c>
      <c r="B202" s="63" t="inlineStr">
        <is>
          <t>Primus Japan - PUD KZN 200/300</t>
        </is>
      </c>
      <c r="C202" s="64" t="n">
        <v>2</v>
      </c>
      <c r="D202" s="64" t="n"/>
      <c r="E202" s="63" t="n"/>
    </row>
    <row r="203" ht="18" customHeight="1">
      <c r="A203" s="62" t="n">
        <v>46270</v>
      </c>
      <c r="B203" s="63" t="inlineStr">
        <is>
          <t>Primus EU - BKN</t>
        </is>
      </c>
      <c r="C203" s="64" t="n">
        <v>7</v>
      </c>
      <c r="D203" s="64" t="n"/>
      <c r="E203" s="63" t="n"/>
    </row>
    <row r="204" ht="18" customHeight="1">
      <c r="A204" s="62" t="n">
        <v>46270</v>
      </c>
      <c r="B204" s="63" t="inlineStr">
        <is>
          <t>Tuna - SKIPJACK 2/4</t>
        </is>
      </c>
      <c r="C204" s="64" t="n">
        <v>2237.4</v>
      </c>
      <c r="D204" s="64" t="n"/>
      <c r="E204" s="63" t="n"/>
    </row>
    <row r="205" ht="18" customHeight="1">
      <c r="A205" s="62" t="n">
        <v>46270</v>
      </c>
      <c r="B205" s="63" t="inlineStr">
        <is>
          <t>Tuna - SKIPJACK 4/10</t>
        </is>
      </c>
      <c r="C205" s="64" t="n">
        <v>5455.6</v>
      </c>
      <c r="D205" s="64" t="n"/>
      <c r="E205" s="63" t="n"/>
    </row>
    <row r="206" ht="18" customHeight="1">
      <c r="A206" s="62" t="n">
        <v>46270</v>
      </c>
      <c r="B206" s="63" t="inlineStr">
        <is>
          <t>Mackerel - WHOLE 8/10</t>
        </is>
      </c>
      <c r="C206" s="64" t="n">
        <v>440</v>
      </c>
      <c r="D206" s="64" t="n"/>
      <c r="E206" s="63" t="n"/>
    </row>
    <row r="207" ht="18" customHeight="1">
      <c r="A207" s="62" t="n">
        <v>46270</v>
      </c>
      <c r="B207" s="63" t="inlineStr">
        <is>
          <t>Mackerel - WHOLE 8/12</t>
        </is>
      </c>
      <c r="C207" s="64" t="n">
        <v>3140</v>
      </c>
      <c r="D207" s="64" t="n"/>
      <c r="E207" s="63" t="n"/>
    </row>
    <row r="208" ht="18" customHeight="1">
      <c r="A208" s="62" t="n">
        <v>46270</v>
      </c>
      <c r="B208" s="63" t="inlineStr">
        <is>
          <t>Mackerel - WHOLE 10/12</t>
        </is>
      </c>
      <c r="C208" s="64" t="n">
        <v>1510</v>
      </c>
      <c r="D208" s="64" t="n"/>
      <c r="E208" s="63" t="n"/>
    </row>
    <row r="209" ht="18" customHeight="1">
      <c r="A209" s="62" t="n">
        <v>46271</v>
      </c>
      <c r="B209" s="63" t="inlineStr">
        <is>
          <t>Blue Dolphin - PUD PVN 200/300</t>
        </is>
      </c>
      <c r="C209" s="64" t="n">
        <v>8</v>
      </c>
      <c r="D209" s="64" t="n"/>
      <c r="E209" s="63" t="n"/>
    </row>
    <row r="210" ht="18" customHeight="1">
      <c r="A210" s="62" t="n">
        <v>46271</v>
      </c>
      <c r="B210" s="63" t="inlineStr">
        <is>
          <t>THT Brand - PUD PVN 100/200</t>
        </is>
      </c>
      <c r="C210" s="64" t="n">
        <v>15</v>
      </c>
      <c r="D210" s="64" t="n"/>
      <c r="E210" s="63" t="n"/>
    </row>
    <row r="211" ht="18" customHeight="1">
      <c r="A211" s="62" t="n">
        <v>46271</v>
      </c>
      <c r="B211" s="63" t="inlineStr">
        <is>
          <t>Primus Japan - PUD KKD 200/300</t>
        </is>
      </c>
      <c r="C211" s="64" t="n">
        <v>9</v>
      </c>
      <c r="D211" s="64" t="n"/>
      <c r="E211" s="63" t="inlineStr">
        <is>
          <t> </t>
        </is>
      </c>
    </row>
    <row r="212" ht="18" customHeight="1">
      <c r="A212" s="62" t="n">
        <v>46271</v>
      </c>
      <c r="B212" s="63" t="inlineStr">
        <is>
          <t>Primus Japan - PUD KKD 300/500</t>
        </is>
      </c>
      <c r="C212" s="64" t="n">
        <v>172</v>
      </c>
      <c r="D212" s="64" t="n"/>
      <c r="E212" s="63" t="n"/>
    </row>
    <row r="213" ht="18" customHeight="1">
      <c r="A213" s="62" t="n">
        <v>46271</v>
      </c>
      <c r="B213" s="63" t="inlineStr">
        <is>
          <t>Mackerel - WHOLE 8/10</t>
        </is>
      </c>
      <c r="C213" s="64" t="n">
        <v>450</v>
      </c>
      <c r="D213" s="64" t="n"/>
      <c r="E213" s="63" t="n"/>
    </row>
    <row r="214" ht="18" customHeight="1">
      <c r="A214" s="62" t="n">
        <v>46271</v>
      </c>
      <c r="B214" s="122" t="inlineStr">
        <is>
          <t>Mackerel - WHOLE 8/12</t>
        </is>
      </c>
      <c r="C214" s="64" t="n">
        <v>320</v>
      </c>
      <c r="D214" s="64" t="n"/>
      <c r="E214" s="63" t="n"/>
    </row>
    <row r="215" ht="18" customHeight="1">
      <c r="A215" s="62" t="n">
        <v>46271</v>
      </c>
      <c r="B215" s="122" t="inlineStr">
        <is>
          <t>Mackerel - WHOLE 10/12</t>
        </is>
      </c>
      <c r="C215" s="64" t="n">
        <v>6820</v>
      </c>
      <c r="D215" s="64" t="n"/>
      <c r="E215" s="63" t="n"/>
    </row>
    <row r="216" ht="18" customHeight="1">
      <c r="A216" s="62" t="n">
        <v>46271</v>
      </c>
      <c r="B216" s="63" t="inlineStr">
        <is>
          <t>Mackerel - WHOLE 12/15</t>
        </is>
      </c>
      <c r="C216" s="64" t="n">
        <v>6670</v>
      </c>
      <c r="D216" s="64" t="n"/>
      <c r="E216" s="63" t="n"/>
    </row>
    <row r="217" ht="18" customHeight="1">
      <c r="A217" s="62" t="n">
        <v>46270</v>
      </c>
      <c r="B217" s="63" t="inlineStr">
        <is>
          <t>Primus Japan - PUD KKD 200/300</t>
        </is>
      </c>
      <c r="C217" s="64" t="n">
        <v>0</v>
      </c>
      <c r="D217" s="64" t="n">
        <v>2849</v>
      </c>
      <c r="E217" s="63" t="n"/>
    </row>
    <row r="218" ht="18" customHeight="1">
      <c r="A218" s="62" t="n">
        <v>46270</v>
      </c>
      <c r="B218" s="63" t="inlineStr">
        <is>
          <t>Primus Japan - PUD PVN 300/500</t>
        </is>
      </c>
      <c r="C218" s="64" t="n">
        <v>0</v>
      </c>
      <c r="D218" s="64" t="n">
        <v>300</v>
      </c>
      <c r="E218" s="63" t="n"/>
    </row>
    <row r="219" ht="18" customHeight="1">
      <c r="A219" s="62" t="n">
        <v>46270</v>
      </c>
      <c r="B219" s="63" t="inlineStr">
        <is>
          <t>Primus Japan - PUD KKD 300/500</t>
        </is>
      </c>
      <c r="C219" s="64" t="n">
        <v>0</v>
      </c>
      <c r="D219" s="64" t="n">
        <v>6700</v>
      </c>
      <c r="E219" s="63" t="n"/>
    </row>
    <row r="220" ht="18" customHeight="1">
      <c r="A220" s="62" t="n">
        <v>46270</v>
      </c>
      <c r="B220" s="63" t="inlineStr">
        <is>
          <t>Blue Dolphin - PUD KKD 200/300</t>
        </is>
      </c>
      <c r="C220" s="64" t="n">
        <v>0</v>
      </c>
      <c r="D220" s="64" t="n">
        <v>151</v>
      </c>
      <c r="E220" s="63" t="n"/>
    </row>
    <row r="221" ht="18" customHeight="1">
      <c r="A221" s="62" t="n">
        <v>46272</v>
      </c>
      <c r="B221" s="63" t="inlineStr">
        <is>
          <t>Blue Dolphin - PD KKD 200/300</t>
        </is>
      </c>
      <c r="C221" s="64" t="n">
        <v>84</v>
      </c>
      <c r="D221" s="64" t="n"/>
      <c r="E221" s="63" t="n"/>
    </row>
    <row r="222" ht="18" customHeight="1">
      <c r="A222" s="62" t="n">
        <v>46272</v>
      </c>
      <c r="B222" s="63" t="inlineStr">
        <is>
          <t>Primus Japan - PUD KKD 200/300</t>
        </is>
      </c>
      <c r="C222" s="64" t="n">
        <v>51</v>
      </c>
      <c r="D222" s="64" t="n"/>
      <c r="E222" s="63" t="n"/>
    </row>
    <row r="223" ht="18" customHeight="1">
      <c r="A223" s="62" t="n">
        <v>46272</v>
      </c>
      <c r="B223" s="63" t="inlineStr">
        <is>
          <t>Primus Japan - PUD KKD 300/500</t>
        </is>
      </c>
      <c r="C223" s="64" t="n">
        <v>844</v>
      </c>
      <c r="D223" s="64" t="n"/>
      <c r="E223" s="63" t="n"/>
    </row>
    <row r="224" ht="18" customHeight="1">
      <c r="A224" s="62" t="n">
        <v>46272</v>
      </c>
      <c r="B224" s="63" t="inlineStr">
        <is>
          <t>China - PUD KKD 500/800</t>
        </is>
      </c>
      <c r="C224" s="64" t="n">
        <v>21</v>
      </c>
      <c r="D224" s="64" t="n"/>
      <c r="E224" s="63" t="n"/>
    </row>
    <row r="225" ht="18" customHeight="1">
      <c r="A225" s="62" t="n">
        <v>46272</v>
      </c>
      <c r="B225" s="63" t="inlineStr">
        <is>
          <t>Primus EU - BKN</t>
        </is>
      </c>
      <c r="C225" s="64" t="n">
        <v>1</v>
      </c>
      <c r="D225" s="64" t="n"/>
      <c r="E225" s="63" t="n"/>
    </row>
    <row r="226" ht="18" customHeight="1">
      <c r="A226" s="62" t="n">
        <v>46272</v>
      </c>
      <c r="B226" s="63" t="inlineStr">
        <is>
          <t>THT Brand - PUD PVN 100/200</t>
        </is>
      </c>
      <c r="C226" s="64" t="n">
        <v>74</v>
      </c>
      <c r="D226" s="64" t="n"/>
      <c r="E226" s="63" t="n"/>
    </row>
    <row r="227" ht="18" customHeight="1">
      <c r="A227" s="62" t="n">
        <v>46272</v>
      </c>
      <c r="B227" s="63" t="inlineStr">
        <is>
          <t>Mackerel - WHOLE 6/8</t>
        </is>
      </c>
      <c r="C227" s="64" t="n">
        <v>90</v>
      </c>
      <c r="D227" s="64" t="n"/>
      <c r="E227" s="63" t="n"/>
    </row>
    <row r="228" ht="18" customHeight="1">
      <c r="A228" s="62" t="n">
        <v>46272</v>
      </c>
      <c r="B228" s="63" t="inlineStr">
        <is>
          <t>Mackerel - WHOLE 8/10</t>
        </is>
      </c>
      <c r="C228" s="64" t="n">
        <v>300</v>
      </c>
      <c r="D228" s="64" t="n"/>
      <c r="E228" s="63" t="n"/>
    </row>
    <row r="229" ht="18" customHeight="1">
      <c r="A229" s="62" t="n">
        <v>46272</v>
      </c>
      <c r="B229" s="63" t="inlineStr">
        <is>
          <t>Mackerel - WHOLE 8/12</t>
        </is>
      </c>
      <c r="C229" s="64" t="n">
        <v>6700</v>
      </c>
      <c r="D229" s="64" t="n"/>
      <c r="E229" s="63" t="n"/>
    </row>
    <row r="230" ht="18" customHeight="1">
      <c r="A230" s="62" t="n">
        <v>46272</v>
      </c>
      <c r="B230" s="63" t="inlineStr">
        <is>
          <t>Mackerel - WHOLE 12/15</t>
        </is>
      </c>
      <c r="C230" s="64" t="n">
        <v>2490</v>
      </c>
      <c r="D230" s="64" t="n"/>
      <c r="E230" s="63" t="n"/>
    </row>
    <row r="231" ht="18" customHeight="1">
      <c r="A231" s="62" t="n">
        <v>46272</v>
      </c>
      <c r="B231" s="63" t="inlineStr">
        <is>
          <t>Mackerel - WHOLE 10/12</t>
        </is>
      </c>
      <c r="C231" s="64" t="n">
        <v>2450</v>
      </c>
      <c r="D231" s="64" t="n"/>
      <c r="E231" s="63" t="n"/>
    </row>
    <row r="232" ht="18" customHeight="1">
      <c r="A232" s="62" t="n">
        <v>46273</v>
      </c>
      <c r="B232" s="63" t="inlineStr">
        <is>
          <t>Blue Dolphin - PD KKD 100/200</t>
        </is>
      </c>
      <c r="C232" s="64" t="n">
        <v>38</v>
      </c>
      <c r="D232" s="64" t="n"/>
      <c r="E232" s="63" t="n"/>
    </row>
    <row r="233" ht="18" customHeight="1">
      <c r="A233" s="62" t="n">
        <v>46273</v>
      </c>
      <c r="B233" s="63" t="inlineStr">
        <is>
          <t>Blue Dolphin - PD KKD 200/300</t>
        </is>
      </c>
      <c r="C233" s="64" t="n">
        <v>240</v>
      </c>
      <c r="D233" s="64" t="n"/>
      <c r="E233" s="63" t="n"/>
    </row>
    <row r="234" ht="18" customHeight="1">
      <c r="A234" s="62" t="n">
        <v>46273</v>
      </c>
      <c r="B234" s="63" t="inlineStr">
        <is>
          <t>Primus Japan - PUD KKD 300/500</t>
        </is>
      </c>
      <c r="C234" s="64" t="n">
        <v>842</v>
      </c>
      <c r="D234" s="64" t="n"/>
      <c r="E234" s="63" t="n"/>
    </row>
    <row r="235" ht="18" customHeight="1">
      <c r="A235" s="62" t="n">
        <v>46273</v>
      </c>
      <c r="B235" s="63" t="inlineStr">
        <is>
          <t>Primus Japan - PUD KZN 100/200</t>
        </is>
      </c>
      <c r="C235" s="64" t="n">
        <v>1</v>
      </c>
      <c r="D235" s="64" t="n"/>
      <c r="E235" s="63" t="n"/>
    </row>
    <row r="236" ht="18" customHeight="1">
      <c r="A236" s="62" t="n">
        <v>46273</v>
      </c>
      <c r="B236" s="63" t="inlineStr">
        <is>
          <t>Primus EU - BKN</t>
        </is>
      </c>
      <c r="C236" s="64" t="n">
        <v>3</v>
      </c>
      <c r="D236" s="64" t="n"/>
      <c r="E236" s="63" t="n"/>
    </row>
    <row r="237" ht="18" customHeight="1">
      <c r="A237" s="62" t="n">
        <v>46273</v>
      </c>
      <c r="B237" s="63" t="inlineStr">
        <is>
          <t>Semi Needle Squid - SQW 20/40</t>
        </is>
      </c>
      <c r="C237" s="64" t="n">
        <v>3</v>
      </c>
      <c r="D237" s="64" t="n"/>
      <c r="E237" s="63" t="n"/>
    </row>
    <row r="238" ht="18" customHeight="1">
      <c r="A238" s="62" t="n">
        <v>46273</v>
      </c>
      <c r="B238" s="63" t="inlineStr">
        <is>
          <t>Semi Needle Squid - SQW 40/60</t>
        </is>
      </c>
      <c r="C238" s="64" t="n">
        <v>15</v>
      </c>
      <c r="D238" s="64" t="n"/>
      <c r="E238" s="63" t="n"/>
    </row>
    <row r="239" ht="18" customHeight="1">
      <c r="A239" s="62" t="n">
        <v>46273</v>
      </c>
      <c r="B239" s="63" t="inlineStr">
        <is>
          <t>Semi Needle Squid - SQW 60/80</t>
        </is>
      </c>
      <c r="C239" s="64" t="n">
        <v>179</v>
      </c>
      <c r="D239" s="64" t="n"/>
      <c r="E239" s="63" t="n"/>
    </row>
    <row r="240" ht="18" customHeight="1">
      <c r="A240" s="62" t="n">
        <v>46273</v>
      </c>
      <c r="B240" s="63" t="inlineStr">
        <is>
          <t>Mackerel - WHOLE 8/10</t>
        </is>
      </c>
      <c r="C240" s="64" t="n">
        <v>700</v>
      </c>
      <c r="D240" s="64" t="n"/>
      <c r="E240" s="63" t="n"/>
    </row>
    <row r="241" ht="18" customHeight="1">
      <c r="A241" s="62" t="n">
        <v>46273</v>
      </c>
      <c r="B241" s="63" t="inlineStr">
        <is>
          <t>Mackerel - WHOLE 8/12</t>
        </is>
      </c>
      <c r="C241" s="64" t="n">
        <v>11190</v>
      </c>
      <c r="D241" s="64" t="n"/>
      <c r="E241" s="63" t="n"/>
    </row>
    <row r="242" ht="18" customHeight="1">
      <c r="A242" s="62" t="n">
        <v>46273</v>
      </c>
      <c r="B242" s="63" t="inlineStr">
        <is>
          <t>Mackerel - WHOLE 10/12</t>
        </is>
      </c>
      <c r="C242" s="64" t="n">
        <v>3010</v>
      </c>
      <c r="D242" s="64" t="n"/>
      <c r="E242" s="63" t="n"/>
    </row>
    <row r="243" ht="18" customHeight="1">
      <c r="A243" s="62" t="n">
        <v>46273</v>
      </c>
      <c r="B243" s="63" t="inlineStr">
        <is>
          <t>Blue Dolphin - PD PVN 100/200</t>
        </is>
      </c>
      <c r="C243" s="64" t="n">
        <v>0</v>
      </c>
      <c r="D243" s="64" t="n">
        <v>7520</v>
      </c>
      <c r="E243" s="63" t="n"/>
    </row>
    <row r="244" ht="18" customHeight="1">
      <c r="A244" s="62" t="n">
        <v>46273</v>
      </c>
      <c r="B244" s="63" t="inlineStr">
        <is>
          <t>Blue Dolphin - PUD PVN 200/300</t>
        </is>
      </c>
      <c r="C244" s="64" t="n">
        <v>0</v>
      </c>
      <c r="D244" s="64" t="n">
        <v>1200</v>
      </c>
      <c r="E244" s="63" t="n"/>
    </row>
    <row r="245" ht="18" customHeight="1">
      <c r="A245" s="62" t="n">
        <v>46273</v>
      </c>
      <c r="B245" s="63" t="inlineStr">
        <is>
          <t>Blue Dolphin - PUD PVN 300/500</t>
        </is>
      </c>
      <c r="C245" s="64" t="n">
        <v>0</v>
      </c>
      <c r="D245" s="64" t="n">
        <v>700</v>
      </c>
      <c r="E245" s="63" t="n"/>
    </row>
    <row r="246" ht="18" customHeight="1">
      <c r="A246" s="62" t="n">
        <v>46273</v>
      </c>
      <c r="B246" s="63" t="inlineStr">
        <is>
          <t>Primus Japan - PUD KKD 300/500</t>
        </is>
      </c>
      <c r="C246" s="64" t="n">
        <v>0</v>
      </c>
      <c r="D246" s="64" t="n">
        <v>260</v>
      </c>
      <c r="E246" s="63" t="inlineStr">
        <is>
          <t>B/D</t>
        </is>
      </c>
    </row>
    <row r="247" ht="18" customHeight="1">
      <c r="A247" s="62" t="n">
        <v>46273</v>
      </c>
      <c r="B247" s="63" t="inlineStr">
        <is>
          <t>Blue Dolphin - PD KKD 100/200</t>
        </is>
      </c>
      <c r="C247" s="64" t="n">
        <v>0</v>
      </c>
      <c r="D247" s="64" t="n">
        <v>320</v>
      </c>
      <c r="E247" s="63" t="n"/>
    </row>
    <row r="248" ht="18" customHeight="1">
      <c r="A248" s="62" t="n">
        <v>46272</v>
      </c>
      <c r="B248" s="63" t="inlineStr">
        <is>
          <t>Tuna - SKIPJACK 2/4</t>
        </is>
      </c>
      <c r="C248" s="64" t="n">
        <v>0</v>
      </c>
      <c r="D248" s="64" t="n">
        <v>18364</v>
      </c>
      <c r="E248" s="63" t="n"/>
    </row>
    <row r="249" ht="18" customHeight="1">
      <c r="A249" s="62" t="n">
        <v>46272</v>
      </c>
      <c r="B249" s="63" t="inlineStr">
        <is>
          <t>Tuna - SKIPJACK 4/10</t>
        </is>
      </c>
      <c r="C249" s="64" t="n">
        <v>0</v>
      </c>
      <c r="D249" s="64" t="n">
        <v>6532</v>
      </c>
      <c r="E249" s="63" t="n"/>
    </row>
    <row r="250" ht="18" customHeight="1">
      <c r="A250" s="62" t="n">
        <v>46272</v>
      </c>
      <c r="B250" s="63" t="inlineStr">
        <is>
          <t>Tuna - YELLOW FIN 2/4</t>
        </is>
      </c>
      <c r="C250" s="64" t="n">
        <v>0</v>
      </c>
      <c r="D250" s="64" t="n">
        <v>1543.1</v>
      </c>
      <c r="E250" s="63" t="n"/>
    </row>
    <row r="251" ht="18" customHeight="1">
      <c r="A251" s="62" t="n">
        <v>38967</v>
      </c>
      <c r="B251" s="63" t="inlineStr">
        <is>
          <t>Tuna - YELLOW FIN 4/10</t>
        </is>
      </c>
      <c r="C251" s="64" t="n">
        <v>0</v>
      </c>
      <c r="D251" s="64" t="n">
        <v>1844</v>
      </c>
      <c r="E251" s="63" t="n"/>
    </row>
    <row r="252" ht="18" customHeight="1">
      <c r="A252" s="62" t="n">
        <v>46273</v>
      </c>
      <c r="B252" s="63" t="inlineStr">
        <is>
          <t>Mackerel - WHOLE 8/10</t>
        </is>
      </c>
      <c r="C252" s="64" t="n">
        <v>0</v>
      </c>
      <c r="D252" s="64" t="n">
        <v>1100</v>
      </c>
      <c r="E252" s="63" t="n"/>
    </row>
    <row r="253" ht="18" customHeight="1">
      <c r="A253" s="62" t="n">
        <v>46273</v>
      </c>
      <c r="B253" s="63" t="inlineStr">
        <is>
          <t>Mackerel - WHOLE 8/12</t>
        </is>
      </c>
      <c r="C253" s="64" t="n">
        <v>0</v>
      </c>
      <c r="D253" s="64" t="n">
        <v>4400</v>
      </c>
      <c r="E253" s="63" t="n"/>
    </row>
    <row r="254" ht="18" customHeight="1">
      <c r="A254" s="62" t="n">
        <v>46273</v>
      </c>
      <c r="B254" s="63" t="inlineStr">
        <is>
          <t>Mackerel - WHOLE 10/12</t>
        </is>
      </c>
      <c r="C254" s="64" t="n">
        <v>0</v>
      </c>
      <c r="D254" s="64" t="n">
        <v>13500</v>
      </c>
      <c r="E254" s="63" t="n"/>
    </row>
    <row r="255" ht="18" customHeight="1">
      <c r="A255" s="62" t="n">
        <v>46273</v>
      </c>
      <c r="B255" s="63" t="inlineStr">
        <is>
          <t>Mackerel - WHOLE 12/15</t>
        </is>
      </c>
      <c r="C255" s="64" t="n">
        <v>0</v>
      </c>
      <c r="D255" s="64" t="n">
        <v>7000</v>
      </c>
      <c r="E255" s="63" t="inlineStr">
        <is>
          <t>NO-1</t>
        </is>
      </c>
    </row>
    <row r="256" ht="18" customHeight="1">
      <c r="A256" s="62" t="n">
        <v>46274</v>
      </c>
      <c r="B256" s="63" t="inlineStr">
        <is>
          <t>Blue Dolphin - PD KKD 100/200</t>
        </is>
      </c>
      <c r="C256" s="64" t="n">
        <v>14</v>
      </c>
      <c r="D256" s="64" t="n"/>
      <c r="E256" s="63" t="n"/>
    </row>
    <row r="257" ht="18" customHeight="1">
      <c r="A257" s="62" t="n">
        <v>46274</v>
      </c>
      <c r="B257" s="63" t="inlineStr">
        <is>
          <t>Blue Dolphin - PD KKD 200/300</t>
        </is>
      </c>
      <c r="C257" s="64" t="n">
        <v>128</v>
      </c>
      <c r="D257" s="64" t="n"/>
      <c r="E257" s="63" t="n"/>
    </row>
    <row r="258" ht="18" customHeight="1">
      <c r="A258" s="62" t="n">
        <v>46274</v>
      </c>
      <c r="B258" s="63" t="inlineStr">
        <is>
          <t>Blue Dolphin - PD PVN 200/300</t>
        </is>
      </c>
      <c r="C258" s="64" t="n">
        <v>7</v>
      </c>
      <c r="D258" s="64" t="n"/>
      <c r="E258" s="63" t="n"/>
    </row>
    <row r="259" ht="18" customHeight="1">
      <c r="A259" s="62" t="n">
        <v>46274</v>
      </c>
      <c r="B259" s="63" t="inlineStr">
        <is>
          <t>Primus Japan - PUD PVN 80/120</t>
        </is>
      </c>
      <c r="C259" s="64" t="n">
        <v>517</v>
      </c>
      <c r="D259" s="64" t="n"/>
      <c r="E259" s="63" t="n"/>
    </row>
    <row r="260" ht="18" customHeight="1">
      <c r="A260" s="62" t="n">
        <v>46274</v>
      </c>
      <c r="B260" s="63" t="inlineStr">
        <is>
          <t>Primus Japan - PUD PVN 100/200</t>
        </is>
      </c>
      <c r="C260" s="64" t="n">
        <v>190</v>
      </c>
      <c r="D260" s="64" t="n"/>
      <c r="E260" s="63" t="n"/>
    </row>
    <row r="261" ht="18" customHeight="1">
      <c r="A261" s="62" t="n">
        <v>46274</v>
      </c>
      <c r="B261" s="63" t="inlineStr">
        <is>
          <t>Primus Japan - PUD PVN 200/300</t>
        </is>
      </c>
      <c r="C261" s="64" t="n">
        <v>1</v>
      </c>
      <c r="D261" s="64" t="n"/>
      <c r="E261" s="63" t="n"/>
    </row>
    <row r="262" ht="18" customHeight="1">
      <c r="A262" s="62" t="n">
        <v>46274</v>
      </c>
      <c r="B262" s="63" t="inlineStr">
        <is>
          <t>Primus Japan - PUD KKD 200/300</t>
        </is>
      </c>
      <c r="C262" s="64" t="n">
        <v>543</v>
      </c>
      <c r="D262" s="64" t="n"/>
      <c r="E262" s="63" t="n"/>
    </row>
    <row r="263" ht="18" customHeight="1">
      <c r="A263" s="62" t="n">
        <v>46274</v>
      </c>
      <c r="B263" s="63" t="inlineStr">
        <is>
          <t>Primus Japan - PUD KKD 300/500</t>
        </is>
      </c>
      <c r="C263" s="64" t="n">
        <v>731</v>
      </c>
      <c r="D263" s="64" t="n"/>
      <c r="E263" s="63" t="n"/>
    </row>
    <row r="264" ht="18" customHeight="1">
      <c r="A264" s="62" t="n">
        <v>46274</v>
      </c>
      <c r="B264" s="63" t="inlineStr">
        <is>
          <t>Primus Japan - PUD KZN 80/120</t>
        </is>
      </c>
      <c r="C264" s="64" t="n">
        <v>5</v>
      </c>
      <c r="D264" s="64" t="n"/>
      <c r="E264" s="63" t="n"/>
    </row>
    <row r="265" ht="18" customHeight="1">
      <c r="A265" s="62" t="n">
        <v>46274</v>
      </c>
      <c r="B265" s="63" t="inlineStr">
        <is>
          <t>Primus Japan - PUD KZN 100/200</t>
        </is>
      </c>
      <c r="C265" s="64" t="n">
        <v>2</v>
      </c>
      <c r="D265" s="64" t="n"/>
      <c r="E265" s="63" t="n"/>
    </row>
    <row r="266" ht="18" customHeight="1">
      <c r="A266" s="62" t="n">
        <v>46274</v>
      </c>
      <c r="B266" s="63" t="inlineStr">
        <is>
          <t>Primus EU - BKN</t>
        </is>
      </c>
      <c r="C266" s="64" t="n">
        <v>7</v>
      </c>
      <c r="D266" s="64" t="n"/>
      <c r="E266" s="63" t="n"/>
    </row>
    <row r="267" ht="18" customHeight="1">
      <c r="A267" s="62" t="n">
        <v>46274</v>
      </c>
      <c r="B267" s="63" t="inlineStr">
        <is>
          <t>Tuna - SKIPJACK 2/4</t>
        </is>
      </c>
      <c r="C267" s="64" t="n">
        <v>1400.2</v>
      </c>
      <c r="D267" s="64" t="n"/>
      <c r="E267" s="63" t="n"/>
    </row>
    <row r="268" ht="18" customHeight="1">
      <c r="A268" s="62" t="n">
        <v>46274</v>
      </c>
      <c r="B268" s="63" t="inlineStr">
        <is>
          <t>Tuna - SKIPJACK 4/10</t>
        </is>
      </c>
      <c r="C268" s="64" t="n">
        <v>2557.1</v>
      </c>
      <c r="D268" s="64" t="n"/>
      <c r="E268" s="63" t="n"/>
    </row>
    <row r="269" ht="18" customHeight="1">
      <c r="A269" s="62" t="n">
        <v>46274</v>
      </c>
      <c r="B269" s="63" t="inlineStr">
        <is>
          <t>Mackerel - WHOLE 8/10</t>
        </is>
      </c>
      <c r="C269" s="64" t="n">
        <v>460</v>
      </c>
      <c r="D269" s="64" t="n"/>
      <c r="E269" s="63" t="n"/>
    </row>
    <row r="270" ht="18" customHeight="1">
      <c r="A270" s="62" t="n">
        <v>46274</v>
      </c>
      <c r="B270" s="63" t="inlineStr">
        <is>
          <t>Mackerel - WHOLE 8/12</t>
        </is>
      </c>
      <c r="C270" s="64" t="n">
        <v>13150</v>
      </c>
      <c r="D270" s="64" t="n"/>
      <c r="E270" s="63" t="n"/>
    </row>
    <row r="271" ht="18" customHeight="1">
      <c r="A271" s="62" t="n">
        <v>46274</v>
      </c>
      <c r="B271" s="63" t="inlineStr">
        <is>
          <t>Mackerel - WHOLE 10/12</t>
        </is>
      </c>
      <c r="C271" s="64" t="n">
        <v>3710</v>
      </c>
      <c r="D271" s="64" t="n"/>
      <c r="E271" s="63" t="n"/>
    </row>
    <row r="272" ht="18" customHeight="1">
      <c r="A272" s="62" t="n">
        <v>46274</v>
      </c>
      <c r="B272" s="63" t="inlineStr">
        <is>
          <t>Mackerel - WHOLE 8/10</t>
        </is>
      </c>
      <c r="C272" s="64" t="n">
        <v>0</v>
      </c>
      <c r="D272" s="64" t="n">
        <v>1500</v>
      </c>
      <c r="E272" s="63" t="n"/>
    </row>
    <row r="273" ht="18" customHeight="1">
      <c r="A273" s="62" t="n">
        <v>46274</v>
      </c>
      <c r="B273" s="63" t="inlineStr">
        <is>
          <t>Mackerel - WHOLE 8/12</t>
        </is>
      </c>
      <c r="C273" s="64" t="n">
        <v>0</v>
      </c>
      <c r="D273" s="64" t="n">
        <v>18000</v>
      </c>
      <c r="E273" s="63" t="n"/>
    </row>
    <row r="274" ht="18" customHeight="1">
      <c r="A274" s="62" t="n">
        <v>46274</v>
      </c>
      <c r="B274" s="63" t="inlineStr">
        <is>
          <t>Mackerel - WHOLE 10/12</t>
        </is>
      </c>
      <c r="C274" s="64" t="n">
        <v>0</v>
      </c>
      <c r="D274" s="64" t="n">
        <v>4300</v>
      </c>
      <c r="E274" s="63" t="n"/>
    </row>
    <row r="275" ht="18" customHeight="1">
      <c r="A275" s="62" t="n">
        <v>46274</v>
      </c>
      <c r="B275" s="63" t="inlineStr">
        <is>
          <t>Mackerel - WHOLE 12/15</t>
        </is>
      </c>
      <c r="C275" s="64" t="n">
        <v>0</v>
      </c>
      <c r="D275" s="64" t="n">
        <v>2200</v>
      </c>
      <c r="E275" s="63" t="inlineStr">
        <is>
          <t>NO-2</t>
        </is>
      </c>
    </row>
    <row r="276" ht="18" customHeight="1">
      <c r="A276" s="62" t="n">
        <v>46275</v>
      </c>
      <c r="B276" s="63" t="inlineStr">
        <is>
          <t>Blue Dolphin - PD KKD 100/200</t>
        </is>
      </c>
      <c r="C276" s="64" t="n">
        <v>34</v>
      </c>
      <c r="D276" s="64" t="n"/>
      <c r="E276" s="63" t="n"/>
    </row>
    <row r="277" ht="18" customHeight="1">
      <c r="A277" s="62" t="n">
        <v>46275</v>
      </c>
      <c r="B277" s="63" t="inlineStr">
        <is>
          <t>Blue Dolphin - PD KKD 200/300</t>
        </is>
      </c>
      <c r="C277" s="64" t="n">
        <v>404</v>
      </c>
      <c r="D277" s="64" t="n"/>
      <c r="E277" s="63" t="n"/>
    </row>
    <row r="278" ht="18" customHeight="1">
      <c r="A278" s="62" t="n">
        <v>46275</v>
      </c>
      <c r="B278" s="63" t="inlineStr">
        <is>
          <t>Primus Japan - PUD KKD 200/300</t>
        </is>
      </c>
      <c r="C278" s="64" t="n">
        <v>490</v>
      </c>
      <c r="D278" s="64" t="n"/>
      <c r="E278" s="63" t="n"/>
    </row>
    <row r="279" ht="18" customHeight="1">
      <c r="A279" s="62" t="n">
        <v>46275</v>
      </c>
      <c r="B279" s="63" t="inlineStr">
        <is>
          <t>Primus Japan - PUD KKD 300/500</t>
        </is>
      </c>
      <c r="C279" s="64" t="n">
        <v>1083</v>
      </c>
      <c r="D279" s="64" t="n"/>
      <c r="E279" s="63" t="n"/>
    </row>
    <row r="280" ht="18" customHeight="1">
      <c r="A280" s="62" t="n">
        <v>46275</v>
      </c>
      <c r="B280" s="63" t="inlineStr">
        <is>
          <t>Primus Japan - PUD KZN 100/200</t>
        </is>
      </c>
      <c r="C280" s="64" t="n">
        <v>2</v>
      </c>
      <c r="D280" s="64" t="n"/>
      <c r="E280" s="63" t="n"/>
    </row>
    <row r="281" ht="18" customHeight="1">
      <c r="A281" s="62" t="n">
        <v>46275</v>
      </c>
      <c r="B281" s="63" t="inlineStr">
        <is>
          <t>Primus Japan - PUD KZN 200/300</t>
        </is>
      </c>
      <c r="C281" s="64" t="n">
        <v>5</v>
      </c>
      <c r="D281" s="64" t="n"/>
      <c r="E281" s="63" t="n"/>
    </row>
    <row r="282" ht="18" customHeight="1">
      <c r="A282" s="62" t="n">
        <v>46275</v>
      </c>
      <c r="B282" s="63" t="inlineStr">
        <is>
          <t>Primus EU - BKN</t>
        </is>
      </c>
      <c r="C282" s="64" t="n">
        <v>3</v>
      </c>
      <c r="D282" s="64" t="n"/>
      <c r="E282" s="63" t="n"/>
    </row>
    <row r="283" ht="18" customHeight="1">
      <c r="A283" s="62" t="n">
        <v>46275</v>
      </c>
      <c r="B283" s="63" t="inlineStr">
        <is>
          <t>Mackerel - WHOLE 8/12</t>
        </is>
      </c>
      <c r="C283" s="64" t="n">
        <v>8130</v>
      </c>
      <c r="D283" s="64" t="n"/>
      <c r="E283" s="63" t="n"/>
    </row>
    <row r="284" ht="18" customHeight="1">
      <c r="A284" s="62" t="n">
        <v>46275</v>
      </c>
      <c r="B284" s="63" t="inlineStr">
        <is>
          <t>Mackerel - WHOLE 10/12</t>
        </is>
      </c>
      <c r="C284" s="64" t="n">
        <v>13830</v>
      </c>
      <c r="D284" s="64" t="n"/>
      <c r="E284" s="63" t="n"/>
    </row>
    <row r="285" ht="18" customHeight="1">
      <c r="A285" s="62" t="n">
        <v>46275</v>
      </c>
      <c r="B285" s="63" t="inlineStr">
        <is>
          <t>Mackerel - WHOLE 12/15</t>
        </is>
      </c>
      <c r="C285" s="64" t="n">
        <v>70</v>
      </c>
      <c r="D285" s="64" t="n"/>
      <c r="E285" s="63" t="n"/>
    </row>
    <row r="286" ht="18" customHeight="1">
      <c r="A286" s="62" t="n">
        <v>46276</v>
      </c>
      <c r="B286" s="63" t="inlineStr">
        <is>
          <t>Mackerel - WHOLE 8/10</t>
        </is>
      </c>
      <c r="C286" s="64" t="n">
        <v>0</v>
      </c>
      <c r="D286" s="64" t="n">
        <v>5800</v>
      </c>
      <c r="E286" s="63" t="n"/>
    </row>
    <row r="287" ht="18" customHeight="1">
      <c r="A287" s="62" t="n">
        <v>46276</v>
      </c>
      <c r="B287" s="63" t="inlineStr">
        <is>
          <t>Mackerel - WHOLE 8/12</t>
        </is>
      </c>
      <c r="C287" s="64" t="n">
        <v>0</v>
      </c>
      <c r="D287" s="64" t="n">
        <v>16200</v>
      </c>
      <c r="E287" s="63" t="n"/>
    </row>
    <row r="288" ht="18" customHeight="1">
      <c r="A288" s="62" t="n">
        <v>46276</v>
      </c>
      <c r="B288" s="63" t="inlineStr">
        <is>
          <t>Mackerel - WHOLE 10/12</t>
        </is>
      </c>
      <c r="C288" s="64" t="n">
        <v>0</v>
      </c>
      <c r="D288" s="64" t="n">
        <v>4000</v>
      </c>
      <c r="E288" s="63" t="inlineStr">
        <is>
          <t>NO-3</t>
        </is>
      </c>
    </row>
    <row r="289" ht="18" customHeight="1">
      <c r="A289" s="62" t="n">
        <v>46276</v>
      </c>
      <c r="B289" s="63" t="inlineStr">
        <is>
          <t>Blue Dolphin - PD PVN 100/200</t>
        </is>
      </c>
      <c r="C289" s="64" t="n">
        <v>123</v>
      </c>
      <c r="D289" s="64" t="n"/>
      <c r="E289" s="63" t="n"/>
    </row>
    <row r="290" ht="18" customHeight="1">
      <c r="A290" s="62" t="n">
        <v>46276</v>
      </c>
      <c r="B290" s="63" t="inlineStr">
        <is>
          <t>Blue Dolphin - PD KKD 100/200</t>
        </is>
      </c>
      <c r="C290" s="64" t="n">
        <v>23</v>
      </c>
      <c r="D290" s="64" t="n"/>
      <c r="E290" s="63" t="n"/>
    </row>
    <row r="291" ht="18" customHeight="1">
      <c r="A291" s="62" t="n">
        <v>46276</v>
      </c>
      <c r="B291" s="63" t="inlineStr">
        <is>
          <t>Blue Dolphin - PD PVN 200/300</t>
        </is>
      </c>
      <c r="C291" s="64" t="n">
        <v>42</v>
      </c>
      <c r="D291" s="64" t="n"/>
      <c r="E291" s="63" t="n"/>
    </row>
    <row r="292" ht="18" customHeight="1">
      <c r="A292" s="62" t="n">
        <v>46276</v>
      </c>
      <c r="B292" s="63" t="inlineStr">
        <is>
          <t>Blue Dolphin - PD KKD 200/300</t>
        </is>
      </c>
      <c r="C292" s="64" t="n">
        <v>155</v>
      </c>
      <c r="D292" s="64" t="n"/>
      <c r="E292" s="63" t="n"/>
    </row>
    <row r="293" ht="18" customHeight="1">
      <c r="A293" s="62" t="n">
        <v>46276</v>
      </c>
      <c r="B293" s="63" t="inlineStr">
        <is>
          <t>Primus Japan - PUD KKD 200/300</t>
        </is>
      </c>
      <c r="C293" s="64" t="n">
        <v>312</v>
      </c>
      <c r="D293" s="64" t="n"/>
      <c r="E293" s="63" t="n"/>
    </row>
    <row r="294" ht="18" customHeight="1">
      <c r="A294" s="62" t="n">
        <v>46276</v>
      </c>
      <c r="B294" s="63" t="inlineStr">
        <is>
          <t>Primus Japan - PUD KKD 300/500</t>
        </is>
      </c>
      <c r="C294" s="64" t="n">
        <v>610</v>
      </c>
      <c r="D294" s="64" t="n"/>
      <c r="E294" s="63" t="n"/>
    </row>
    <row r="295" ht="18" customHeight="1">
      <c r="A295" s="62" t="n">
        <v>46276</v>
      </c>
      <c r="B295" s="63" t="inlineStr">
        <is>
          <t>Primus Japan - PUD PVN 300/500</t>
        </is>
      </c>
      <c r="C295" s="64" t="n">
        <v>9</v>
      </c>
      <c r="D295" s="64" t="n"/>
      <c r="E295" s="63" t="n"/>
    </row>
    <row r="296" ht="18" customHeight="1">
      <c r="A296" s="62" t="n">
        <v>46276</v>
      </c>
      <c r="B296" s="63" t="inlineStr">
        <is>
          <t>Primus Japan - PUD KZN 100/200</t>
        </is>
      </c>
      <c r="C296" s="64" t="n">
        <v>3</v>
      </c>
      <c r="D296" s="64" t="n"/>
      <c r="E296" s="63" t="n"/>
    </row>
    <row r="297" ht="18" customHeight="1">
      <c r="A297" s="62" t="n">
        <v>46276</v>
      </c>
      <c r="B297" s="63" t="inlineStr">
        <is>
          <t>Primus EU - BKN</t>
        </is>
      </c>
      <c r="C297" s="64" t="n">
        <v>2</v>
      </c>
      <c r="D297" s="64" t="n"/>
      <c r="E297" s="63" t="n"/>
    </row>
    <row r="298" ht="18" customHeight="1">
      <c r="A298" s="62" t="n">
        <v>46276</v>
      </c>
      <c r="B298" s="63" t="inlineStr">
        <is>
          <t>White Squid - SQW U/3 10%</t>
        </is>
      </c>
      <c r="C298" s="64" t="n">
        <v>4</v>
      </c>
      <c r="D298" s="64" t="n"/>
      <c r="E298" s="63" t="n"/>
    </row>
    <row r="299" ht="18" customHeight="1">
      <c r="A299" s="62" t="n">
        <v>46276</v>
      </c>
      <c r="B299" s="63" t="inlineStr">
        <is>
          <t>White Squid - SQW 3/6 10%</t>
        </is>
      </c>
      <c r="C299" s="64" t="n">
        <v>59</v>
      </c>
      <c r="D299" s="64" t="n"/>
      <c r="E299" s="63" t="n"/>
    </row>
    <row r="300" ht="18" customHeight="1">
      <c r="A300" s="62" t="n">
        <v>46276</v>
      </c>
      <c r="B300" s="63" t="inlineStr">
        <is>
          <t>White Squid - SQW 6/10 10%</t>
        </is>
      </c>
      <c r="C300" s="64" t="n">
        <v>92</v>
      </c>
      <c r="D300" s="64" t="n"/>
      <c r="E300" s="63" t="n"/>
    </row>
    <row r="301" ht="18" customHeight="1">
      <c r="A301" s="62" t="n">
        <v>46276</v>
      </c>
      <c r="B301" s="63" t="inlineStr">
        <is>
          <t>White Squid - SQW 10/20 10%</t>
        </is>
      </c>
      <c r="C301" s="64" t="n">
        <v>208</v>
      </c>
      <c r="D301" s="64" t="n"/>
      <c r="E301" s="63" t="n"/>
    </row>
    <row r="302" ht="18" customHeight="1">
      <c r="A302" s="62" t="n">
        <v>46276</v>
      </c>
      <c r="B302" s="63" t="inlineStr">
        <is>
          <t>Tuna - SKIPJACK 2/4</t>
        </is>
      </c>
      <c r="C302" s="64" t="n">
        <v>949.8</v>
      </c>
      <c r="D302" s="64" t="n"/>
      <c r="E302" s="63" t="n"/>
    </row>
    <row r="303" ht="18" customHeight="1">
      <c r="A303" s="62" t="n">
        <v>46276</v>
      </c>
      <c r="B303" s="63" t="inlineStr">
        <is>
          <t>Tuna - SKIPJACK 4/10</t>
        </is>
      </c>
      <c r="C303" s="64" t="n">
        <v>1336.8</v>
      </c>
      <c r="D303" s="64" t="n"/>
      <c r="E303" s="63" t="n"/>
    </row>
    <row r="304" ht="18" customHeight="1">
      <c r="A304" s="62" t="n">
        <v>46276</v>
      </c>
      <c r="B304" s="63" t="inlineStr">
        <is>
          <t>Tuna - YELLOW FIN 2/4</t>
        </is>
      </c>
      <c r="C304" s="64" t="n">
        <v>684.5</v>
      </c>
      <c r="D304" s="64" t="n"/>
      <c r="E304" s="63" t="n"/>
    </row>
    <row r="305" ht="18" customHeight="1">
      <c r="A305" s="62" t="n">
        <v>46276</v>
      </c>
      <c r="B305" s="63" t="inlineStr">
        <is>
          <t>Tuna - YELLOW FIN 4/10</t>
        </is>
      </c>
      <c r="C305" s="64" t="n">
        <v>993.9</v>
      </c>
      <c r="D305" s="64" t="n"/>
      <c r="E305" s="63" t="n"/>
    </row>
    <row r="306" ht="18" customHeight="1">
      <c r="A306" s="62" t="n">
        <v>46276</v>
      </c>
      <c r="B306" s="63" t="inlineStr">
        <is>
          <t>Mackerel - WHOLE 8/10</t>
        </is>
      </c>
      <c r="C306" s="64" t="n">
        <v>130</v>
      </c>
      <c r="D306" s="64" t="n"/>
      <c r="E306" s="63" t="n"/>
    </row>
    <row r="307" ht="18" customHeight="1">
      <c r="A307" s="62" t="n">
        <v>46276</v>
      </c>
      <c r="B307" s="63" t="inlineStr">
        <is>
          <t>Mackerel - WHOLE 8/12</t>
        </is>
      </c>
      <c r="C307" s="64" t="n">
        <v>320</v>
      </c>
      <c r="D307" s="64" t="n"/>
      <c r="E307" s="63" t="n"/>
    </row>
    <row r="308" ht="18" customHeight="1">
      <c r="A308" s="62" t="n">
        <v>46276</v>
      </c>
      <c r="B308" s="63" t="inlineStr">
        <is>
          <t>Mackerel - WHOLE 10/12</t>
        </is>
      </c>
      <c r="C308" s="64" t="n">
        <v>14330</v>
      </c>
      <c r="D308" s="64" t="n"/>
      <c r="E308" s="63" t="n"/>
    </row>
    <row r="309" ht="18" customHeight="1">
      <c r="A309" s="62" t="n">
        <v>46276</v>
      </c>
      <c r="B309" s="63" t="inlineStr">
        <is>
          <t>Mackerel - WHOLE 12/15</t>
        </is>
      </c>
      <c r="C309" s="64" t="n">
        <v>1070</v>
      </c>
      <c r="D309" s="64" t="n"/>
      <c r="E309" s="63" t="n"/>
    </row>
    <row r="310" ht="18" customHeight="1">
      <c r="A310" s="62" t="n">
        <v>46277</v>
      </c>
      <c r="B310" s="63" t="inlineStr">
        <is>
          <t>Blue Dolphin - PD PVN 100/200</t>
        </is>
      </c>
      <c r="C310" s="64" t="n">
        <v>43</v>
      </c>
      <c r="D310" s="64" t="n"/>
      <c r="E310" s="63" t="n"/>
    </row>
    <row r="311" ht="18" customHeight="1">
      <c r="A311" s="62" t="n">
        <v>46277</v>
      </c>
      <c r="B311" s="63" t="inlineStr">
        <is>
          <t>Blue Dolphin - PD PVN 200/300</t>
        </is>
      </c>
      <c r="C311" s="64" t="n">
        <v>64</v>
      </c>
      <c r="D311" s="64" t="n"/>
      <c r="E311" s="63" t="n"/>
    </row>
    <row r="312" ht="18" customHeight="1">
      <c r="A312" s="62" t="n">
        <v>46277</v>
      </c>
      <c r="B312" s="63" t="inlineStr">
        <is>
          <t>Primus Japan - PUD KKD 200/300</t>
        </is>
      </c>
      <c r="C312" s="64" t="n">
        <v>149</v>
      </c>
      <c r="D312" s="64" t="n"/>
      <c r="E312" s="63" t="n"/>
    </row>
    <row r="313" ht="18" customHeight="1">
      <c r="A313" s="62" t="n">
        <v>46277</v>
      </c>
      <c r="B313" s="63" t="inlineStr">
        <is>
          <t>Primus Japan - PUD KKD 300/500</t>
        </is>
      </c>
      <c r="C313" s="64" t="n">
        <v>626</v>
      </c>
      <c r="D313" s="64" t="n"/>
      <c r="E313" s="63" t="n"/>
    </row>
    <row r="314" ht="18" customHeight="1">
      <c r="A314" s="62" t="n">
        <v>46277</v>
      </c>
      <c r="B314" s="63" t="inlineStr">
        <is>
          <t>Primus Japan - PUD PVN 300/500</t>
        </is>
      </c>
      <c r="C314" s="64" t="n">
        <v>32</v>
      </c>
      <c r="D314" s="64" t="n"/>
      <c r="E314" s="63" t="n"/>
    </row>
    <row r="315" ht="18" customHeight="1">
      <c r="A315" s="62" t="n">
        <v>46277</v>
      </c>
      <c r="B315" s="63" t="inlineStr">
        <is>
          <t>Mackerel - WHOLE 8/12</t>
        </is>
      </c>
      <c r="C315" s="64" t="n">
        <v>160</v>
      </c>
      <c r="D315" s="64" t="n"/>
      <c r="E315" s="63" t="n"/>
    </row>
    <row r="316" ht="18" customHeight="1">
      <c r="A316" s="62" t="n">
        <v>46277</v>
      </c>
      <c r="B316" s="63" t="inlineStr">
        <is>
          <t>Mackerel - WHOLE 10/12</t>
        </is>
      </c>
      <c r="C316" s="64" t="n">
        <v>6890</v>
      </c>
      <c r="D316" s="64" t="n"/>
      <c r="E316" s="63" t="n"/>
    </row>
    <row r="317" ht="18" customHeight="1">
      <c r="A317" s="62" t="n">
        <v>46277</v>
      </c>
      <c r="B317" s="63" t="inlineStr">
        <is>
          <t>Mackerel - WHOLE 12/15</t>
        </is>
      </c>
      <c r="C317" s="64" t="n">
        <v>1030</v>
      </c>
      <c r="D317" s="64" t="n"/>
      <c r="E317" s="63" t="n"/>
    </row>
    <row r="318" ht="18" customHeight="1">
      <c r="A318" s="62" t="n">
        <v>46277</v>
      </c>
      <c r="B318" s="63" t="inlineStr">
        <is>
          <t>Tuna - SKIPJACK 2/4</t>
        </is>
      </c>
      <c r="C318" s="64" t="n">
        <v>5130.5</v>
      </c>
      <c r="D318" s="64" t="n"/>
      <c r="E318" s="63" t="n"/>
    </row>
    <row r="319" ht="18" customHeight="1">
      <c r="A319" s="62" t="n">
        <v>46277</v>
      </c>
      <c r="B319" s="63" t="inlineStr">
        <is>
          <t>Tuna - SKIPJACK 4/10</t>
        </is>
      </c>
      <c r="C319" s="64" t="n">
        <v>3169.5</v>
      </c>
      <c r="D319" s="64" t="n"/>
      <c r="E319" s="63" t="n"/>
    </row>
    <row r="320" ht="18" customHeight="1">
      <c r="A320" s="62" t="n">
        <v>46278</v>
      </c>
      <c r="B320" s="63" t="inlineStr">
        <is>
          <t>Primus Japan - PUD PVN 80/120</t>
        </is>
      </c>
      <c r="C320" s="64" t="n">
        <v>25</v>
      </c>
      <c r="D320" s="64" t="n"/>
      <c r="E320" s="63" t="n"/>
    </row>
    <row r="321" ht="18" customHeight="1">
      <c r="A321" s="62" t="n">
        <v>46278</v>
      </c>
      <c r="B321" s="63" t="inlineStr">
        <is>
          <t>Primus Japan - PD PVN 100/200</t>
        </is>
      </c>
      <c r="C321" s="64" t="n">
        <v>15</v>
      </c>
      <c r="D321" s="64" t="n"/>
      <c r="E321" s="63" t="n"/>
    </row>
    <row r="322" ht="18" customHeight="1">
      <c r="A322" s="62" t="n">
        <v>46278</v>
      </c>
      <c r="B322" s="63" t="inlineStr">
        <is>
          <t>Primus Japan - PUD KKD 200/300</t>
        </is>
      </c>
      <c r="C322" s="64" t="n">
        <v>139</v>
      </c>
      <c r="D322" s="64" t="n"/>
      <c r="E322" s="63" t="n"/>
    </row>
    <row r="323" ht="18" customHeight="1">
      <c r="A323" s="62" t="n">
        <v>46278</v>
      </c>
      <c r="B323" s="63" t="inlineStr">
        <is>
          <t>Primus Japan - PUD KKD 300/500</t>
        </is>
      </c>
      <c r="C323" s="64" t="n">
        <v>114</v>
      </c>
      <c r="D323" s="64" t="n"/>
      <c r="E323" s="63" t="n"/>
    </row>
    <row r="324" ht="18" customHeight="1">
      <c r="A324" s="62" t="n">
        <v>46278</v>
      </c>
      <c r="B324" s="63" t="inlineStr">
        <is>
          <t>Tuna - SKIPJACK 2/4</t>
        </is>
      </c>
      <c r="C324" s="64" t="n">
        <v>3900.5</v>
      </c>
      <c r="D324" s="64" t="n"/>
      <c r="E324" s="63" t="n"/>
    </row>
    <row r="325" ht="18" customHeight="1">
      <c r="A325" s="62" t="n">
        <v>46278</v>
      </c>
      <c r="B325" s="63" t="inlineStr">
        <is>
          <t>Tuna - SKIPJACK 4/10</t>
        </is>
      </c>
      <c r="C325" s="64" t="n">
        <v>4398.8</v>
      </c>
      <c r="D325" s="64" t="n"/>
      <c r="E325" s="63" t="n"/>
    </row>
    <row r="326" ht="18" customHeight="1">
      <c r="A326" s="62" t="n">
        <v>46278</v>
      </c>
      <c r="B326" s="63" t="inlineStr">
        <is>
          <t>Mackerel - WHOLE 8/12</t>
        </is>
      </c>
      <c r="C326" s="64" t="n">
        <v>5610</v>
      </c>
      <c r="D326" s="64" t="n"/>
      <c r="E326" s="63" t="n"/>
    </row>
    <row r="327" ht="18" customHeight="1">
      <c r="A327" s="62" t="n">
        <v>46278</v>
      </c>
      <c r="B327" s="63" t="inlineStr">
        <is>
          <t>Mackerel - WHOLE 10/12</t>
        </is>
      </c>
      <c r="C327" s="64" t="n">
        <v>4450</v>
      </c>
      <c r="D327" s="64" t="n"/>
      <c r="E327" s="63" t="n"/>
    </row>
    <row r="328" ht="18" customHeight="1">
      <c r="A328" s="62" t="n">
        <v>46278</v>
      </c>
      <c r="B328" s="63" t="inlineStr">
        <is>
          <t>Mackerel - WHOLE 12/15</t>
        </is>
      </c>
      <c r="C328" s="64" t="n">
        <v>340</v>
      </c>
      <c r="D328" s="64" t="n"/>
      <c r="E328" s="63" t="n"/>
    </row>
    <row r="329" ht="18" customHeight="1">
      <c r="A329" s="62" t="n">
        <v>46277</v>
      </c>
      <c r="B329" s="63" t="inlineStr">
        <is>
          <t>THT Brand - PUD PVN 80/120</t>
        </is>
      </c>
      <c r="C329" s="64" t="n">
        <v>0</v>
      </c>
      <c r="D329" s="64" t="n">
        <v>5390</v>
      </c>
      <c r="E329" s="63" t="n"/>
    </row>
    <row r="330" ht="18" customHeight="1">
      <c r="A330" s="62" t="n">
        <v>46277</v>
      </c>
      <c r="B330" s="63" t="inlineStr">
        <is>
          <t>THT Brand - PUD PVN 100/200</t>
        </is>
      </c>
      <c r="C330" s="64" t="n">
        <v>0</v>
      </c>
      <c r="D330" s="64" t="n">
        <v>4610</v>
      </c>
      <c r="E330" s="63" t="n"/>
    </row>
    <row r="331" ht="18" customHeight="1">
      <c r="A331" s="62" t="n">
        <v>46279</v>
      </c>
      <c r="B331" s="63" t="inlineStr">
        <is>
          <t>Mackerel - WHOLE 8/12</t>
        </is>
      </c>
      <c r="C331" s="64" t="n">
        <v>0</v>
      </c>
      <c r="D331" s="64" t="n">
        <v>4650</v>
      </c>
      <c r="E331" s="63" t="n"/>
    </row>
    <row r="332" ht="18" customHeight="1">
      <c r="A332" s="62" t="n">
        <v>46279</v>
      </c>
      <c r="B332" s="63" t="inlineStr">
        <is>
          <t>Mackerel - WHOLE 10/12</t>
        </is>
      </c>
      <c r="C332" s="64" t="n">
        <v>0</v>
      </c>
      <c r="D332" s="64" t="n">
        <v>21000</v>
      </c>
      <c r="E332" s="63" t="inlineStr">
        <is>
          <t>NO-4</t>
        </is>
      </c>
    </row>
    <row r="333" ht="18" customHeight="1">
      <c r="A333" s="62" t="n">
        <v>46279</v>
      </c>
      <c r="B333" s="63" t="inlineStr">
        <is>
          <t>Blue Dolphin - PD PVN 200/300</t>
        </is>
      </c>
      <c r="C333" s="64" t="n">
        <v>41</v>
      </c>
      <c r="D333" s="64" t="n"/>
      <c r="E333" s="63" t="n"/>
    </row>
    <row r="334" ht="18" customHeight="1">
      <c r="A334" s="62" t="n">
        <v>46279</v>
      </c>
      <c r="B334" s="63" t="inlineStr">
        <is>
          <t>Primus Japan - PUD PVN 100/200</t>
        </is>
      </c>
      <c r="C334" s="64" t="n">
        <v>285</v>
      </c>
      <c r="D334" s="64" t="n"/>
      <c r="E334" s="63" t="n"/>
    </row>
    <row r="335" ht="18" customHeight="1">
      <c r="A335" s="62" t="n">
        <v>46279</v>
      </c>
      <c r="B335" s="63" t="inlineStr">
        <is>
          <t>Primus Japan - PUD PVN 200/300</t>
        </is>
      </c>
      <c r="C335" s="64" t="n">
        <v>52</v>
      </c>
      <c r="D335" s="64" t="n"/>
      <c r="E335" s="63" t="n"/>
    </row>
    <row r="336" ht="18" customHeight="1">
      <c r="A336" s="62" t="n">
        <v>46279</v>
      </c>
      <c r="B336" s="63" t="inlineStr">
        <is>
          <t>Primus Japan - PUD PVN 300/500</t>
        </is>
      </c>
      <c r="C336" s="64" t="n">
        <v>135</v>
      </c>
      <c r="D336" s="64" t="n"/>
      <c r="E336" s="63" t="n"/>
    </row>
    <row r="337" ht="18" customHeight="1">
      <c r="A337" s="62" t="n">
        <v>46279</v>
      </c>
      <c r="B337" s="63" t="inlineStr">
        <is>
          <t>Primus Japan - PUD KKD 200/300</t>
        </is>
      </c>
      <c r="C337" s="64" t="n">
        <v>298</v>
      </c>
      <c r="D337" s="64" t="n"/>
      <c r="E337" s="63" t="n"/>
    </row>
    <row r="338" ht="18" customHeight="1">
      <c r="A338" s="62" t="n">
        <v>46279</v>
      </c>
      <c r="B338" s="63" t="inlineStr">
        <is>
          <t>Primus Japan - PUD KKD 300/500</t>
        </is>
      </c>
      <c r="C338" s="64" t="n">
        <v>158</v>
      </c>
      <c r="D338" s="64" t="n"/>
      <c r="E338" s="63" t="inlineStr">
        <is>
          <t> </t>
        </is>
      </c>
    </row>
    <row r="339" ht="18" customHeight="1">
      <c r="A339" s="62" t="n">
        <v>46279</v>
      </c>
      <c r="B339" s="63" t="inlineStr">
        <is>
          <t>Mackerel - WHOLE 8/10</t>
        </is>
      </c>
      <c r="C339" s="64" t="n">
        <v>9290</v>
      </c>
      <c r="D339" s="64" t="n"/>
      <c r="E339" s="63" t="n">
        <v>7500</v>
      </c>
    </row>
    <row r="340" ht="18" customHeight="1">
      <c r="A340" s="62" t="n">
        <v>46279</v>
      </c>
      <c r="B340" s="63" t="inlineStr">
        <is>
          <t>Mackerel - WHOLE 8/12</t>
        </is>
      </c>
      <c r="C340" s="64" t="n">
        <v>5060</v>
      </c>
      <c r="D340" s="64" t="n"/>
      <c r="E340" s="63" t="n">
        <v>3910</v>
      </c>
    </row>
    <row r="341" ht="18" customHeight="1">
      <c r="A341" s="62" t="n">
        <v>46279</v>
      </c>
      <c r="B341" s="63" t="inlineStr">
        <is>
          <t>Mackerel - WHOLE 10/12</t>
        </is>
      </c>
      <c r="C341" s="64" t="n">
        <v>970</v>
      </c>
      <c r="D341" s="64" t="n"/>
      <c r="E341" s="63" t="n"/>
    </row>
    <row r="342" ht="18" customHeight="1">
      <c r="A342" s="62" t="n">
        <v>46280</v>
      </c>
      <c r="B342" s="63" t="inlineStr">
        <is>
          <t>Blue Dolphin - PD KKD 100/200</t>
        </is>
      </c>
      <c r="C342" s="64" t="n">
        <v>21</v>
      </c>
      <c r="D342" s="64" t="n"/>
      <c r="E342" s="63" t="n"/>
    </row>
    <row r="343" ht="18" customHeight="1">
      <c r="A343" s="62" t="n">
        <v>46280</v>
      </c>
      <c r="B343" s="63" t="inlineStr">
        <is>
          <t>Blue Dolphin - PD KKD 200/300</t>
        </is>
      </c>
      <c r="C343" s="64" t="n">
        <v>160</v>
      </c>
      <c r="D343" s="64" t="n"/>
      <c r="E343" s="63" t="n"/>
    </row>
    <row r="344" ht="18" customHeight="1">
      <c r="A344" s="62" t="n">
        <v>46280</v>
      </c>
      <c r="B344" s="63" t="inlineStr">
        <is>
          <t>Primus Japan - PUD PVN 100/200</t>
        </is>
      </c>
      <c r="C344" s="64" t="n">
        <v>6</v>
      </c>
      <c r="D344" s="64" t="n"/>
      <c r="E344" s="63" t="n"/>
    </row>
    <row r="345" ht="18" customHeight="1">
      <c r="A345" s="62" t="n">
        <v>46280</v>
      </c>
      <c r="B345" s="63" t="inlineStr">
        <is>
          <t>Primus Japan - PUD PVN 300/500</t>
        </is>
      </c>
      <c r="C345" s="64" t="n">
        <v>28</v>
      </c>
      <c r="D345" s="64" t="n"/>
      <c r="E345" s="63" t="n"/>
    </row>
    <row r="346" ht="18" customHeight="1">
      <c r="A346" s="62" t="n">
        <v>46280</v>
      </c>
      <c r="B346" s="63" t="inlineStr">
        <is>
          <t>Primus Japan - PUD KKD 200/300</t>
        </is>
      </c>
      <c r="C346" s="64" t="n">
        <v>712</v>
      </c>
      <c r="D346" s="64" t="n"/>
      <c r="E346" s="63" t="n"/>
    </row>
    <row r="347" ht="18" customHeight="1">
      <c r="A347" s="62" t="n">
        <v>46280</v>
      </c>
      <c r="B347" s="63" t="inlineStr">
        <is>
          <t>Primus Japan - PUD KKD 300/500</t>
        </is>
      </c>
      <c r="C347" s="64" t="n">
        <v>1340</v>
      </c>
      <c r="D347" s="64" t="n"/>
      <c r="E347" s="63" t="n"/>
    </row>
    <row r="348" ht="18" customHeight="1">
      <c r="A348" s="62" t="n">
        <v>46280</v>
      </c>
      <c r="B348" s="63" t="inlineStr">
        <is>
          <t>Primus EU - BKN</t>
        </is>
      </c>
      <c r="C348" s="64" t="n">
        <v>1</v>
      </c>
      <c r="D348" s="64" t="n"/>
      <c r="E348" s="63" t="n"/>
    </row>
    <row r="349" ht="18" customHeight="1">
      <c r="A349" s="62" t="n">
        <v>46280</v>
      </c>
      <c r="B349" s="63" t="inlineStr">
        <is>
          <t>Mackerel - WHOLE 6/8</t>
        </is>
      </c>
      <c r="C349" s="64" t="n"/>
      <c r="D349" s="64" t="n"/>
      <c r="E349" s="63" t="n">
        <v>970</v>
      </c>
    </row>
    <row r="350" ht="18" customHeight="1">
      <c r="A350" s="62" t="n">
        <v>46280</v>
      </c>
      <c r="B350" s="63" t="inlineStr">
        <is>
          <t>Mackerel - WHOLE 8/10</t>
        </is>
      </c>
      <c r="C350" s="64" t="n">
        <v>8790</v>
      </c>
      <c r="D350" s="64" t="n"/>
      <c r="E350" s="63" t="n"/>
    </row>
    <row r="351" ht="18" customHeight="1">
      <c r="A351" s="62" t="n">
        <v>46280</v>
      </c>
      <c r="B351" s="63" t="inlineStr">
        <is>
          <t>Mackerel - WHOLE 8/12</t>
        </is>
      </c>
      <c r="C351" s="64" t="n">
        <v>3840</v>
      </c>
      <c r="D351" s="64" t="n"/>
      <c r="E351" s="63" t="n"/>
    </row>
    <row r="352" ht="18" customHeight="1">
      <c r="A352" s="62" t="n">
        <v>46280</v>
      </c>
      <c r="B352" s="63" t="inlineStr">
        <is>
          <t>Mackerel - WHOLE 10/12</t>
        </is>
      </c>
      <c r="C352" s="64" t="n">
        <v>1850</v>
      </c>
      <c r="D352" s="64" t="n"/>
      <c r="E352" s="63" t="n"/>
    </row>
    <row r="353" ht="18" customHeight="1">
      <c r="A353" s="62" t="n">
        <v>46281</v>
      </c>
      <c r="B353" s="63" t="inlineStr">
        <is>
          <t>Mackerel - WHOLE 8/12</t>
        </is>
      </c>
      <c r="C353" s="64" t="n">
        <v>0</v>
      </c>
      <c r="D353" s="64" t="n">
        <v>8000</v>
      </c>
      <c r="E353" s="63" t="n"/>
    </row>
    <row r="354" ht="18" customHeight="1">
      <c r="A354" s="62" t="n">
        <v>46281</v>
      </c>
      <c r="B354" s="63" t="inlineStr">
        <is>
          <t>Mackerel - WHOLE 10/12</t>
        </is>
      </c>
      <c r="C354" s="64" t="n">
        <v>0</v>
      </c>
      <c r="D354" s="64" t="n">
        <v>18000</v>
      </c>
      <c r="E354" s="63" t="inlineStr">
        <is>
          <t>NO-5</t>
        </is>
      </c>
    </row>
    <row r="355" ht="18" customHeight="1">
      <c r="A355" s="62" t="n">
        <v>46282</v>
      </c>
      <c r="B355" s="63" t="inlineStr">
        <is>
          <t>AMF Brand - PUD PVN 200/300</t>
        </is>
      </c>
      <c r="C355" s="64" t="n">
        <v>0</v>
      </c>
      <c r="D355" s="64" t="n">
        <v>1320</v>
      </c>
      <c r="E355" s="63" t="inlineStr">
        <is>
          <t>Primus brand japan</t>
        </is>
      </c>
    </row>
    <row r="356" ht="18" customHeight="1">
      <c r="A356" s="62" t="n">
        <v>46282</v>
      </c>
      <c r="B356" s="63" t="inlineStr">
        <is>
          <t>Primus Japan - PUD KKD 200/300</t>
        </is>
      </c>
      <c r="C356" s="64" t="n">
        <v>0</v>
      </c>
      <c r="D356" s="64" t="n">
        <v>1680</v>
      </c>
      <c r="E356" s="63" t="n"/>
    </row>
    <row r="357" ht="18" customHeight="1">
      <c r="A357" s="62" t="n">
        <v>46282</v>
      </c>
      <c r="B357" s="63" t="inlineStr">
        <is>
          <t>Primus Japan - PUD KKD 300/500</t>
        </is>
      </c>
      <c r="C357" s="64" t="n">
        <v>0</v>
      </c>
      <c r="D357" s="64" t="n">
        <v>7000</v>
      </c>
      <c r="E357" s="63" t="n"/>
    </row>
    <row r="358" ht="18" customHeight="1">
      <c r="A358" s="62" t="n">
        <v>46281</v>
      </c>
      <c r="B358" s="63" t="inlineStr">
        <is>
          <t>Blue Dolphin - PD PVN 100/200</t>
        </is>
      </c>
      <c r="C358" s="64" t="n">
        <v>18</v>
      </c>
      <c r="D358" s="64" t="n"/>
      <c r="E358" s="63" t="n"/>
    </row>
    <row r="359" ht="18" customHeight="1">
      <c r="A359" s="62" t="n">
        <v>46281</v>
      </c>
      <c r="B359" s="63" t="inlineStr">
        <is>
          <t>Blue Dolphin - PD PVN 200/300</t>
        </is>
      </c>
      <c r="C359" s="64" t="n">
        <v>58</v>
      </c>
      <c r="D359" s="64" t="n"/>
      <c r="E359" s="63" t="n"/>
    </row>
    <row r="360" ht="18" customHeight="1">
      <c r="A360" s="62" t="n">
        <v>46281</v>
      </c>
      <c r="B360" s="63" t="inlineStr">
        <is>
          <t>Blue Dolphin - PD KKD 100/200</t>
        </is>
      </c>
      <c r="C360" s="64" t="n">
        <v>18</v>
      </c>
      <c r="D360" s="64" t="n"/>
      <c r="E360" s="63" t="n"/>
    </row>
    <row r="361" ht="18" customHeight="1">
      <c r="A361" s="62" t="n">
        <v>46281</v>
      </c>
      <c r="B361" s="63" t="inlineStr">
        <is>
          <t>Blue Dolphin - PD KKD 200/300</t>
        </is>
      </c>
      <c r="C361" s="64" t="n">
        <v>82</v>
      </c>
      <c r="D361" s="64" t="n"/>
      <c r="E361" s="63" t="n"/>
    </row>
    <row r="362" ht="18" customHeight="1">
      <c r="A362" s="62" t="n">
        <v>46281</v>
      </c>
      <c r="B362" s="63" t="inlineStr">
        <is>
          <t>Primus Japan - PUD PVN 200/300</t>
        </is>
      </c>
      <c r="C362" s="64" t="n">
        <v>15</v>
      </c>
      <c r="D362" s="64" t="n"/>
      <c r="E362" s="63" t="n"/>
    </row>
    <row r="363" ht="18" customHeight="1">
      <c r="A363" s="62" t="n">
        <v>46281</v>
      </c>
      <c r="B363" s="63" t="inlineStr">
        <is>
          <t>Primus Japan - PUD PVN 300/500</t>
        </is>
      </c>
      <c r="C363" s="64" t="n">
        <v>124</v>
      </c>
      <c r="D363" s="64" t="n"/>
      <c r="E363" s="63" t="n"/>
    </row>
    <row r="364" ht="18" customHeight="1">
      <c r="A364" s="62" t="n">
        <v>46281</v>
      </c>
      <c r="B364" s="63" t="inlineStr">
        <is>
          <t>Primus Japan - PUD KKD 200/300</t>
        </is>
      </c>
      <c r="C364" s="64" t="n">
        <v>956</v>
      </c>
      <c r="D364" s="64" t="n"/>
      <c r="E364" s="63" t="n"/>
    </row>
    <row r="365" ht="18" customHeight="1">
      <c r="A365" s="62" t="n">
        <v>46281</v>
      </c>
      <c r="B365" s="63" t="inlineStr">
        <is>
          <t>Primus Japan - PUD KKD 300/500</t>
        </is>
      </c>
      <c r="C365" s="64" t="n">
        <v>746</v>
      </c>
      <c r="D365" s="64" t="n"/>
      <c r="E365" s="63" t="n"/>
    </row>
    <row r="366" ht="18" customHeight="1">
      <c r="A366" s="62" t="n">
        <v>46281</v>
      </c>
      <c r="B366" s="63" t="inlineStr">
        <is>
          <t>Primus Japan - PUD KZN 100/200</t>
        </is>
      </c>
      <c r="C366" s="64" t="n">
        <v>16</v>
      </c>
      <c r="D366" s="64" t="n"/>
      <c r="E366" s="63" t="n"/>
    </row>
    <row r="367" ht="18" customHeight="1">
      <c r="A367" s="62" t="n">
        <v>46281</v>
      </c>
      <c r="B367" s="63" t="inlineStr">
        <is>
          <t>Primus Japan - PUD KZN 200/300</t>
        </is>
      </c>
      <c r="C367" s="64" t="n">
        <v>5</v>
      </c>
      <c r="D367" s="64" t="n"/>
      <c r="E367" s="63" t="n"/>
    </row>
    <row r="368" ht="18" customHeight="1">
      <c r="A368" s="62" t="n">
        <v>46281</v>
      </c>
      <c r="B368" s="63" t="inlineStr">
        <is>
          <t>Primus EU - BKN</t>
        </is>
      </c>
      <c r="C368" s="64" t="n">
        <v>3</v>
      </c>
      <c r="D368" s="64" t="n"/>
      <c r="E368" s="63" t="n"/>
    </row>
    <row r="369" ht="18" customHeight="1">
      <c r="A369" s="62" t="n">
        <v>46281</v>
      </c>
      <c r="B369" s="63" t="inlineStr">
        <is>
          <t>Mackerel - WHOLE 6/8</t>
        </is>
      </c>
      <c r="C369" s="64" t="n">
        <v>70</v>
      </c>
      <c r="D369" s="64" t="n"/>
      <c r="E369" s="63" t="n"/>
    </row>
    <row r="370" ht="18" customHeight="1">
      <c r="A370" s="62" t="n">
        <v>46281</v>
      </c>
      <c r="B370" s="63" t="inlineStr">
        <is>
          <t>Mackerel - WHOLE 8/12</t>
        </is>
      </c>
      <c r="C370" s="64" t="n">
        <v>6200</v>
      </c>
      <c r="D370" s="64" t="n"/>
      <c r="E370" s="63" t="n"/>
    </row>
    <row r="371" ht="18" customHeight="1">
      <c r="A371" s="62" t="n">
        <v>46281</v>
      </c>
      <c r="B371" s="63" t="inlineStr">
        <is>
          <t>Mackerel - WHOLE 10/12</t>
        </is>
      </c>
      <c r="C371" s="64" t="n">
        <v>3730</v>
      </c>
      <c r="D371" s="64" t="n"/>
      <c r="E371" s="63" t="n"/>
    </row>
    <row r="372" ht="18" customHeight="1">
      <c r="A372" s="62" t="n">
        <v>46281</v>
      </c>
      <c r="B372" s="63" t="inlineStr">
        <is>
          <t>Tuna - SKIPJACK 2/4</t>
        </is>
      </c>
      <c r="C372" s="64" t="n">
        <v>2106</v>
      </c>
      <c r="D372" s="64" t="n"/>
      <c r="E372" s="63" t="inlineStr">
        <is>
          <t> </t>
        </is>
      </c>
    </row>
    <row r="373" ht="18" customHeight="1">
      <c r="A373" s="62" t="n">
        <v>46281</v>
      </c>
      <c r="B373" s="63" t="inlineStr">
        <is>
          <t>Tuna - SKIPJACK 4/10</t>
        </is>
      </c>
      <c r="C373" s="64" t="n">
        <v>5699</v>
      </c>
      <c r="D373" s="64" t="n"/>
      <c r="E373" s="63" t="n"/>
    </row>
    <row r="374" ht="18" customHeight="1">
      <c r="A374" s="62" t="n">
        <v>46282</v>
      </c>
      <c r="B374" s="63" t="inlineStr">
        <is>
          <t>Blue Dolphin - PD PVN 100/200</t>
        </is>
      </c>
      <c r="C374" s="64" t="n">
        <v>42</v>
      </c>
      <c r="D374" s="64" t="n"/>
      <c r="E374" s="63" t="n"/>
    </row>
    <row r="375" ht="18" customHeight="1">
      <c r="A375" s="62" t="n">
        <v>46282</v>
      </c>
      <c r="B375" s="63" t="inlineStr">
        <is>
          <t>Blue Dolphin - PD PVN 200/300</t>
        </is>
      </c>
      <c r="C375" s="64" t="n">
        <v>173</v>
      </c>
      <c r="D375" s="64" t="n"/>
      <c r="E375" s="63" t="n"/>
    </row>
    <row r="376" ht="18" customHeight="1">
      <c r="A376" s="62" t="n">
        <v>46282</v>
      </c>
      <c r="B376" s="63" t="inlineStr">
        <is>
          <t>Blue Dolphin - PD KKD 100/200</t>
        </is>
      </c>
      <c r="C376" s="64" t="n">
        <v>24</v>
      </c>
      <c r="D376" s="64" t="n"/>
      <c r="E376" s="63" t="n"/>
    </row>
    <row r="377" ht="18" customHeight="1">
      <c r="A377" s="62" t="n">
        <v>46282</v>
      </c>
      <c r="B377" s="63" t="inlineStr">
        <is>
          <t>Blue Dolphin - PD KKD 200/300</t>
        </is>
      </c>
      <c r="C377" s="64" t="n">
        <v>46</v>
      </c>
      <c r="D377" s="64" t="n"/>
      <c r="E377" s="63" t="n"/>
    </row>
    <row r="378" ht="18" customHeight="1">
      <c r="A378" s="62" t="n">
        <v>46282</v>
      </c>
      <c r="B378" s="63" t="inlineStr">
        <is>
          <t>Primus Japan - PUD PVN 300/500</t>
        </is>
      </c>
      <c r="C378" s="64" t="n">
        <v>48</v>
      </c>
      <c r="D378" s="64" t="n"/>
      <c r="E378" s="63" t="n"/>
    </row>
    <row r="379" ht="18" customHeight="1">
      <c r="A379" s="62" t="n">
        <v>46282</v>
      </c>
      <c r="B379" s="63" t="inlineStr">
        <is>
          <t>Primus Japan - PUD KKD 300/500</t>
        </is>
      </c>
      <c r="C379" s="64" t="n">
        <v>590</v>
      </c>
      <c r="D379" s="64" t="n"/>
      <c r="E379" s="63" t="n"/>
    </row>
    <row r="380" ht="18" customHeight="1">
      <c r="A380" s="62" t="n">
        <v>46282</v>
      </c>
      <c r="B380" s="63" t="inlineStr">
        <is>
          <t>Primus Japan - PUD KZN 100/200</t>
        </is>
      </c>
      <c r="C380" s="64" t="n">
        <v>20</v>
      </c>
      <c r="D380" s="64" t="n"/>
      <c r="E380" s="63" t="n"/>
    </row>
    <row r="381" ht="18" customHeight="1">
      <c r="A381" s="62" t="n">
        <v>46282</v>
      </c>
      <c r="B381" s="63" t="inlineStr">
        <is>
          <t>Primus Japan - PUD KZN 200/300</t>
        </is>
      </c>
      <c r="C381" s="64" t="n">
        <v>4</v>
      </c>
      <c r="D381" s="64" t="n"/>
      <c r="E381" s="63" t="n"/>
    </row>
    <row r="382" ht="18" customHeight="1">
      <c r="A382" s="62" t="n">
        <v>46282</v>
      </c>
      <c r="B382" s="63" t="inlineStr">
        <is>
          <t>Primus EU - BKN</t>
        </is>
      </c>
      <c r="C382" s="64" t="n">
        <v>3</v>
      </c>
      <c r="D382" s="64" t="n"/>
      <c r="E382" s="63" t="n"/>
    </row>
    <row r="383" ht="18" customHeight="1">
      <c r="A383" s="62" t="n">
        <v>46282</v>
      </c>
      <c r="B383" s="63" t="inlineStr">
        <is>
          <t>Mackerel - WHOLE 6/8</t>
        </is>
      </c>
      <c r="C383" s="64" t="n">
        <v>20</v>
      </c>
      <c r="D383" s="64" t="n"/>
      <c r="E383" s="63" t="n"/>
    </row>
    <row r="384" ht="18" customHeight="1">
      <c r="A384" s="62" t="n">
        <v>46282</v>
      </c>
      <c r="B384" s="122" t="inlineStr">
        <is>
          <t>Mackerel - WHOLE 8/10</t>
        </is>
      </c>
      <c r="C384" s="64" t="n">
        <v>240</v>
      </c>
      <c r="D384" s="64" t="n"/>
      <c r="E384" s="63" t="n"/>
    </row>
    <row r="385" ht="18" customHeight="1">
      <c r="A385" s="62" t="n">
        <v>46282</v>
      </c>
      <c r="B385" s="63" t="inlineStr">
        <is>
          <t>Mackerel - WHOLE 8/12</t>
        </is>
      </c>
      <c r="C385" s="64" t="n">
        <v>1890</v>
      </c>
      <c r="D385" s="64" t="n"/>
      <c r="E385" s="63" t="n"/>
    </row>
    <row r="386" ht="18" customHeight="1">
      <c r="A386" s="62" t="n">
        <v>46282</v>
      </c>
      <c r="B386" s="63" t="inlineStr">
        <is>
          <t>Mackerel - WHOLE 10/12</t>
        </is>
      </c>
      <c r="C386" s="64" t="n">
        <v>17420</v>
      </c>
      <c r="D386" s="64" t="n"/>
      <c r="E386" s="63" t="n"/>
    </row>
    <row r="387" ht="18" customHeight="1">
      <c r="A387" s="62" t="n">
        <v>46282</v>
      </c>
      <c r="B387" s="63" t="inlineStr">
        <is>
          <t>Mackerel - WHOLE 12/15</t>
        </is>
      </c>
      <c r="C387" s="64" t="n">
        <v>1420</v>
      </c>
      <c r="D387" s="64" t="n"/>
      <c r="E387" s="63" t="n"/>
    </row>
    <row r="388" ht="18" customHeight="1">
      <c r="A388" s="62" t="n">
        <v>46283</v>
      </c>
      <c r="B388" s="63" t="inlineStr">
        <is>
          <t>Tuna - SKIPJACK 2/4</t>
        </is>
      </c>
      <c r="C388" s="64" t="n">
        <v>0</v>
      </c>
      <c r="D388" s="64" t="n">
        <v>2981</v>
      </c>
      <c r="E388" s="63" t="inlineStr">
        <is>
          <t>BINU C/O BMR FISHERIES (5570*120)</t>
        </is>
      </c>
    </row>
    <row r="389" ht="18" customHeight="1">
      <c r="A389" s="62" t="n">
        <v>46283</v>
      </c>
      <c r="B389" s="63" t="inlineStr">
        <is>
          <t>Tuna - SKIPJACK 4/10</t>
        </is>
      </c>
      <c r="C389" s="64" t="n">
        <v>0</v>
      </c>
      <c r="D389" s="64" t="n">
        <v>2589</v>
      </c>
      <c r="E389" s="63" t="inlineStr">
        <is>
          <t>BINU C/O BMR FISHERIES (668400)</t>
        </is>
      </c>
    </row>
    <row r="390" ht="18" customHeight="1">
      <c r="A390" s="62" t="n">
        <v>46283</v>
      </c>
      <c r="B390" s="63" t="inlineStr">
        <is>
          <t>Blue Dolphin - PD PVN 100/200</t>
        </is>
      </c>
      <c r="C390" s="64" t="n">
        <v>54</v>
      </c>
      <c r="D390" s="64" t="n"/>
      <c r="E390" s="63" t="n"/>
    </row>
    <row r="391" ht="18" customHeight="1">
      <c r="A391" s="62" t="n">
        <v>46283</v>
      </c>
      <c r="B391" s="63" t="inlineStr">
        <is>
          <t>Blue Dolphin - PD KKD 100/200</t>
        </is>
      </c>
      <c r="C391" s="64" t="n">
        <v>24</v>
      </c>
      <c r="D391" s="64" t="n"/>
      <c r="E391" s="63" t="n"/>
    </row>
    <row r="392" ht="18" customHeight="1">
      <c r="A392" s="62" t="n">
        <v>46283</v>
      </c>
      <c r="B392" s="63" t="inlineStr">
        <is>
          <t>Blue Dolphin - PD PVN 200/300</t>
        </is>
      </c>
      <c r="C392" s="64" t="n">
        <v>60</v>
      </c>
      <c r="D392" s="64" t="n"/>
      <c r="E392" s="63" t="n"/>
    </row>
    <row r="393" ht="18" customHeight="1">
      <c r="A393" s="62" t="n">
        <v>46283</v>
      </c>
      <c r="B393" s="63" t="inlineStr">
        <is>
          <t>Blue Dolphin - PD KKD 200/300</t>
        </is>
      </c>
      <c r="C393" s="64" t="n">
        <v>286</v>
      </c>
      <c r="D393" s="64" t="n"/>
      <c r="E393" s="63" t="n"/>
    </row>
    <row r="394" ht="18" customHeight="1">
      <c r="A394" s="62" t="n">
        <v>46283</v>
      </c>
      <c r="B394" s="63" t="inlineStr">
        <is>
          <t>Primus Japan - PUD PVN 200/300</t>
        </is>
      </c>
      <c r="C394" s="64" t="n">
        <v>18</v>
      </c>
      <c r="D394" s="64" t="n"/>
      <c r="E394" s="63" t="n"/>
    </row>
    <row r="395" ht="18" customHeight="1">
      <c r="A395" s="62" t="n">
        <v>46283</v>
      </c>
      <c r="B395" s="63" t="inlineStr">
        <is>
          <t>Primus Japan - PUD KKD 200/300</t>
        </is>
      </c>
      <c r="C395" s="64" t="n">
        <v>147</v>
      </c>
      <c r="D395" s="64" t="n"/>
      <c r="E395" s="63" t="n"/>
    </row>
    <row r="396" ht="18" customHeight="1">
      <c r="A396" s="62" t="n">
        <v>46283</v>
      </c>
      <c r="B396" s="63" t="inlineStr">
        <is>
          <t>Primus Japan - PUD PVN 300/500</t>
        </is>
      </c>
      <c r="C396" s="64" t="n">
        <v>112</v>
      </c>
      <c r="D396" s="64" t="n"/>
      <c r="E396" s="63" t="n"/>
    </row>
    <row r="397" ht="18" customHeight="1">
      <c r="A397" s="62" t="n">
        <v>46283</v>
      </c>
      <c r="B397" s="63" t="inlineStr">
        <is>
          <t>Primus Japan - PUD KKD 300/500</t>
        </is>
      </c>
      <c r="C397" s="64" t="n">
        <v>763</v>
      </c>
      <c r="D397" s="64" t="n"/>
      <c r="E397" s="63" t="n"/>
    </row>
    <row r="398" ht="18" customHeight="1">
      <c r="A398" s="62" t="n">
        <v>46283</v>
      </c>
      <c r="B398" s="63" t="inlineStr">
        <is>
          <t>Primus Japan - PUD PVN 80/120</t>
        </is>
      </c>
      <c r="C398" s="64" t="n">
        <v>55</v>
      </c>
      <c r="D398" s="64" t="n"/>
      <c r="E398" s="63" t="n"/>
    </row>
    <row r="399" ht="18" customHeight="1">
      <c r="A399" s="62" t="n">
        <v>46283</v>
      </c>
      <c r="B399" s="63" t="inlineStr">
        <is>
          <t>Primus EU - BKN</t>
        </is>
      </c>
      <c r="C399" s="64" t="n">
        <v>4</v>
      </c>
      <c r="D399" s="64" t="n"/>
      <c r="E399" s="63" t="n"/>
    </row>
    <row r="400" ht="18" customHeight="1">
      <c r="A400" s="62" t="n">
        <v>46283</v>
      </c>
      <c r="B400" s="63" t="inlineStr">
        <is>
          <t>Tuna - SKIPJACK 2/4</t>
        </is>
      </c>
      <c r="C400" s="64" t="n">
        <v>2040</v>
      </c>
      <c r="D400" s="64" t="n"/>
      <c r="E400" s="63" t="n"/>
    </row>
    <row r="401" ht="18" customHeight="1">
      <c r="A401" s="62" t="n">
        <v>46283</v>
      </c>
      <c r="B401" s="63" t="inlineStr">
        <is>
          <t>Tuna - SKIPJACK 4/10</t>
        </is>
      </c>
      <c r="C401" s="64" t="n">
        <v>2046</v>
      </c>
      <c r="D401" s="64" t="n"/>
      <c r="E401" s="63" t="n"/>
    </row>
    <row r="402" ht="18" customHeight="1">
      <c r="A402" s="62" t="n">
        <v>46283</v>
      </c>
      <c r="B402" s="63" t="inlineStr">
        <is>
          <t>Mackerel - WHOLE 6/8</t>
        </is>
      </c>
      <c r="C402" s="64" t="n">
        <v>180</v>
      </c>
      <c r="D402" s="64" t="n"/>
      <c r="E402" s="63" t="n"/>
    </row>
    <row r="403" ht="18" customHeight="1">
      <c r="A403" s="62" t="n">
        <v>46283</v>
      </c>
      <c r="B403" s="63" t="inlineStr">
        <is>
          <t>Mackerel - WHOLE 8/10</t>
        </is>
      </c>
      <c r="C403" s="64" t="n">
        <v>90</v>
      </c>
      <c r="D403" s="64" t="n"/>
      <c r="E403" s="63" t="n"/>
    </row>
    <row r="404" ht="18" customHeight="1">
      <c r="A404" s="62" t="n">
        <v>46283</v>
      </c>
      <c r="B404" s="63" t="inlineStr">
        <is>
          <t>Mackerel - WHOLE 8/12</t>
        </is>
      </c>
      <c r="C404" s="64" t="n">
        <v>5460</v>
      </c>
      <c r="D404" s="64" t="n"/>
      <c r="E404" s="63" t="n"/>
    </row>
    <row r="405" ht="18" customHeight="1">
      <c r="A405" s="62" t="n">
        <v>46283</v>
      </c>
      <c r="B405" s="63" t="inlineStr">
        <is>
          <t>Mackerel - WHOLE 10/12</t>
        </is>
      </c>
      <c r="C405" s="64" t="n">
        <v>9380</v>
      </c>
      <c r="D405" s="64" t="n"/>
      <c r="E405" s="63" t="n"/>
    </row>
    <row r="406" ht="18" customHeight="1">
      <c r="A406" s="62" t="n">
        <v>46283</v>
      </c>
      <c r="B406" s="63" t="inlineStr">
        <is>
          <t>Mackerel - WHOLE 12/15</t>
        </is>
      </c>
      <c r="C406" s="64" t="n">
        <v>550</v>
      </c>
      <c r="D406" s="64" t="n"/>
      <c r="E406" s="63" t="n"/>
    </row>
    <row r="407" ht="18" customHeight="1">
      <c r="A407" s="62" t="n">
        <v>46284</v>
      </c>
      <c r="B407" s="63" t="inlineStr">
        <is>
          <t>Primus Japan - PUD KKD 200/300</t>
        </is>
      </c>
      <c r="C407" s="64" t="n">
        <v>825</v>
      </c>
      <c r="D407" s="64" t="n"/>
      <c r="E407" s="63" t="n"/>
    </row>
    <row r="408" ht="18" customHeight="1">
      <c r="A408" s="62" t="n">
        <v>46284</v>
      </c>
      <c r="B408" s="63" t="inlineStr">
        <is>
          <t>Primus Japan - PUD KKD 300/500</t>
        </is>
      </c>
      <c r="C408" s="64" t="n">
        <v>446</v>
      </c>
      <c r="D408" s="64" t="n"/>
      <c r="E408" s="63" t="n"/>
    </row>
    <row r="409" ht="18" customHeight="1">
      <c r="A409" s="62" t="n">
        <v>46284</v>
      </c>
      <c r="B409" s="63" t="inlineStr">
        <is>
          <t>Mackerel - WHOLE 8/10</t>
        </is>
      </c>
      <c r="C409" s="64" t="n">
        <v>1970</v>
      </c>
      <c r="D409" s="64" t="n"/>
      <c r="E409" s="63" t="n"/>
    </row>
    <row r="410" ht="18" customHeight="1">
      <c r="A410" s="62" t="n">
        <v>46284</v>
      </c>
      <c r="B410" s="63" t="inlineStr">
        <is>
          <t>Mackerel - WHOLE 8/12</t>
        </is>
      </c>
      <c r="C410" s="64" t="n">
        <v>11800</v>
      </c>
      <c r="D410" s="64" t="n"/>
      <c r="E410" s="63" t="n"/>
    </row>
    <row r="411" ht="18" customHeight="1">
      <c r="A411" s="62" t="n">
        <v>46284</v>
      </c>
      <c r="B411" s="63" t="inlineStr">
        <is>
          <t>Mackerel - WHOLE 10/12</t>
        </is>
      </c>
      <c r="C411" s="64" t="n">
        <v>8960</v>
      </c>
      <c r="D411" s="64" t="n"/>
      <c r="E411" s="63" t="n"/>
    </row>
    <row r="412" ht="18" customHeight="1">
      <c r="A412" s="62" t="n">
        <v>46284</v>
      </c>
      <c r="B412" s="63" t="inlineStr">
        <is>
          <t>Mackerel - WHOLE 12/15</t>
        </is>
      </c>
      <c r="C412" s="64" t="n">
        <v>130</v>
      </c>
      <c r="D412" s="64" t="n"/>
      <c r="E412" s="63" t="n"/>
    </row>
    <row r="413" ht="18" customHeight="1">
      <c r="A413" s="62" t="n">
        <v>46285</v>
      </c>
      <c r="B413" s="63" t="inlineStr">
        <is>
          <t>Blue Dolphin - PD PVN 100/200</t>
        </is>
      </c>
      <c r="C413" s="64" t="n">
        <v>4</v>
      </c>
      <c r="D413" s="64" t="n"/>
      <c r="E413" s="63" t="n"/>
    </row>
    <row r="414" ht="18" customHeight="1">
      <c r="A414" s="62" t="n">
        <v>46285</v>
      </c>
      <c r="B414" s="63" t="inlineStr">
        <is>
          <t>Blue Dolphin - PD KKD 100/200</t>
        </is>
      </c>
      <c r="C414" s="64" t="n">
        <v>20</v>
      </c>
      <c r="D414" s="64" t="n"/>
      <c r="E414" s="63" t="n"/>
    </row>
    <row r="415" ht="18" customHeight="1">
      <c r="A415" s="62" t="n">
        <v>46285</v>
      </c>
      <c r="B415" s="63" t="inlineStr">
        <is>
          <t>Blue Dolphin - PD KKD 200/300</t>
        </is>
      </c>
      <c r="C415" s="64" t="n">
        <v>145</v>
      </c>
      <c r="D415" s="64" t="n"/>
      <c r="E415" s="63" t="n"/>
    </row>
    <row r="416" ht="18" customHeight="1">
      <c r="A416" s="62" t="n">
        <v>46285</v>
      </c>
      <c r="B416" s="63" t="inlineStr">
        <is>
          <t>Primus Japan - PUD KKD 200/300</t>
        </is>
      </c>
      <c r="C416" s="64" t="n">
        <v>244</v>
      </c>
      <c r="D416" s="64" t="n"/>
      <c r="E416" s="63" t="n"/>
    </row>
    <row r="417" ht="18" customHeight="1">
      <c r="A417" s="62" t="n">
        <v>46285</v>
      </c>
      <c r="B417" s="63" t="inlineStr">
        <is>
          <t>Primus Japan - PUD PVN 300/500</t>
        </is>
      </c>
      <c r="C417" s="64" t="n">
        <v>23</v>
      </c>
      <c r="D417" s="64" t="n"/>
      <c r="E417" s="63" t="n"/>
    </row>
    <row r="418" ht="18" customHeight="1">
      <c r="A418" s="62" t="n">
        <v>46285</v>
      </c>
      <c r="B418" s="63" t="inlineStr">
        <is>
          <t>Primus Japan - PUD KKD 300/500</t>
        </is>
      </c>
      <c r="C418" s="64" t="n">
        <v>465</v>
      </c>
      <c r="D418" s="64" t="n"/>
      <c r="E418" s="63" t="n"/>
    </row>
    <row r="419" ht="18" customHeight="1">
      <c r="A419" s="62" t="n">
        <v>46285</v>
      </c>
      <c r="B419" s="63" t="inlineStr">
        <is>
          <t>Primus EU - BKN</t>
        </is>
      </c>
      <c r="C419" s="64" t="n">
        <v>2</v>
      </c>
      <c r="D419" s="64" t="n"/>
      <c r="E419" s="63" t="n"/>
    </row>
    <row r="420" ht="18" customHeight="1">
      <c r="A420" s="62" t="n">
        <v>46285</v>
      </c>
      <c r="B420" s="63" t="inlineStr">
        <is>
          <t>Mackerel - WHOLE 6/8</t>
        </is>
      </c>
      <c r="C420" s="64" t="n">
        <v>320</v>
      </c>
      <c r="D420" s="64" t="n"/>
      <c r="E420" s="63" t="n">
        <v>1190</v>
      </c>
    </row>
    <row r="421" ht="18" customHeight="1">
      <c r="A421" s="62" t="n">
        <v>46285</v>
      </c>
      <c r="B421" s="63" t="inlineStr">
        <is>
          <t>Mackerel - WHOLE 8/10</t>
        </is>
      </c>
      <c r="C421" s="64" t="n">
        <v>15910</v>
      </c>
      <c r="D421" s="64" t="n"/>
      <c r="E421" s="63" t="n"/>
    </row>
    <row r="422" ht="18" customHeight="1">
      <c r="A422" s="62" t="n">
        <v>46285</v>
      </c>
      <c r="B422" s="63" t="inlineStr">
        <is>
          <t>Mackerel - WHOLE 8/12</t>
        </is>
      </c>
      <c r="C422" s="64" t="n">
        <v>2450</v>
      </c>
      <c r="D422" s="64" t="n"/>
      <c r="E422" s="63" t="n"/>
    </row>
    <row r="423" ht="18" customHeight="1">
      <c r="A423" s="62" t="n">
        <v>46285</v>
      </c>
      <c r="B423" s="63" t="inlineStr">
        <is>
          <t>Mackerel - WHOLE 10/12</t>
        </is>
      </c>
      <c r="C423" s="64" t="n">
        <v>1020</v>
      </c>
      <c r="D423" s="64" t="n"/>
      <c r="E423" s="63" t="n"/>
    </row>
    <row r="424" ht="18" customHeight="1">
      <c r="A424" s="62" t="n">
        <v>46284</v>
      </c>
      <c r="B424" s="63" t="inlineStr">
        <is>
          <t>Mackerel - WHOLE 8/12</t>
        </is>
      </c>
      <c r="C424" s="64" t="n">
        <v>0</v>
      </c>
      <c r="D424" s="64" t="n">
        <v>13000</v>
      </c>
      <c r="E424" s="63" t="n"/>
    </row>
    <row r="425" ht="18" customHeight="1">
      <c r="A425" s="62" t="n">
        <v>46284</v>
      </c>
      <c r="B425" s="63" t="inlineStr">
        <is>
          <t>Mackerel - WHOLE 10/12</t>
        </is>
      </c>
      <c r="C425" s="64" t="n">
        <v>0</v>
      </c>
      <c r="D425" s="64" t="n">
        <v>13000</v>
      </c>
      <c r="E425" s="63" t="inlineStr">
        <is>
          <t>NO-6</t>
        </is>
      </c>
    </row>
    <row r="426" ht="18" customHeight="1">
      <c r="A426" s="62" t="n">
        <v>46284</v>
      </c>
      <c r="B426" s="63" t="inlineStr">
        <is>
          <t>Mackerel - WHOLE 8/10</t>
        </is>
      </c>
      <c r="C426" s="64" t="n">
        <v>0</v>
      </c>
      <c r="D426" s="64" t="n">
        <v>10000</v>
      </c>
      <c r="E426" s="63" t="n"/>
    </row>
    <row r="427" ht="18" customHeight="1">
      <c r="A427" s="62" t="n">
        <v>46284</v>
      </c>
      <c r="B427" s="63" t="inlineStr">
        <is>
          <t>Mackerel - WHOLE 8/12</t>
        </is>
      </c>
      <c r="C427" s="64" t="n">
        <v>0</v>
      </c>
      <c r="D427" s="64" t="n">
        <v>5000</v>
      </c>
      <c r="E427" s="63" t="n"/>
    </row>
    <row r="428" ht="18" customHeight="1">
      <c r="A428" s="62" t="n">
        <v>46284</v>
      </c>
      <c r="B428" s="63" t="inlineStr">
        <is>
          <t>Mackerel - WHOLE 10/12</t>
        </is>
      </c>
      <c r="C428" s="64" t="n">
        <v>0</v>
      </c>
      <c r="D428" s="64" t="n">
        <v>8000</v>
      </c>
      <c r="E428" s="63" t="n"/>
    </row>
    <row r="429" ht="18" customHeight="1">
      <c r="A429" s="62" t="n">
        <v>46284</v>
      </c>
      <c r="B429" s="63" t="inlineStr">
        <is>
          <t>Mackerel - WHOLE 12/15</t>
        </is>
      </c>
      <c r="C429" s="64" t="n">
        <v>0</v>
      </c>
      <c r="D429" s="64" t="n">
        <v>3000</v>
      </c>
      <c r="E429" s="63" t="inlineStr">
        <is>
          <t>NO-7</t>
        </is>
      </c>
    </row>
    <row r="430" ht="18" customHeight="1">
      <c r="A430" s="62" t="n">
        <v>46286</v>
      </c>
      <c r="B430" s="63" t="inlineStr">
        <is>
          <t>Blue Dolphin - PD PVN 100/200</t>
        </is>
      </c>
      <c r="C430" s="64" t="n">
        <v>2</v>
      </c>
      <c r="D430" s="64" t="n"/>
      <c r="E430" s="63" t="n"/>
    </row>
    <row r="431" ht="18" customHeight="1">
      <c r="A431" s="62" t="n">
        <v>46286</v>
      </c>
      <c r="B431" s="63" t="inlineStr">
        <is>
          <t>Blue Dolphin - PD KKD 100/200</t>
        </is>
      </c>
      <c r="C431" s="64" t="n">
        <v>12</v>
      </c>
      <c r="D431" s="64" t="n"/>
      <c r="E431" s="63" t="n"/>
    </row>
    <row r="432" ht="18" customHeight="1">
      <c r="A432" s="62" t="n">
        <v>46286</v>
      </c>
      <c r="B432" s="63" t="inlineStr">
        <is>
          <t>Blue Dolphin - PD KKD 200/300</t>
        </is>
      </c>
      <c r="C432" s="64" t="n">
        <v>97</v>
      </c>
      <c r="D432" s="64" t="n"/>
      <c r="E432" s="63" t="n"/>
    </row>
    <row r="433" ht="18" customHeight="1">
      <c r="A433" s="62" t="n">
        <v>46286</v>
      </c>
      <c r="B433" s="63" t="inlineStr">
        <is>
          <t>Blue Dolphin - PUD KKD 200/300</t>
        </is>
      </c>
      <c r="C433" s="64" t="n">
        <v>33</v>
      </c>
      <c r="D433" s="64" t="n"/>
      <c r="E433" s="63" t="n"/>
    </row>
    <row r="434" ht="18" customHeight="1">
      <c r="A434" s="62" t="n">
        <v>46286</v>
      </c>
      <c r="B434" s="63" t="inlineStr">
        <is>
          <t>Primus Japan - PD PVN 100/200</t>
        </is>
      </c>
      <c r="C434" s="64" t="n">
        <v>7</v>
      </c>
      <c r="D434" s="64" t="n"/>
      <c r="E434" s="63" t="n"/>
    </row>
    <row r="435" ht="18" customHeight="1">
      <c r="A435" s="62" t="n">
        <v>46286</v>
      </c>
      <c r="B435" s="63" t="inlineStr">
        <is>
          <t>Primus Japan - PUD PVN 300/500</t>
        </is>
      </c>
      <c r="C435" s="64" t="n">
        <v>1</v>
      </c>
      <c r="D435" s="64" t="n"/>
      <c r="E435" s="63" t="n"/>
    </row>
    <row r="436" ht="18" customHeight="1">
      <c r="A436" s="62" t="n">
        <v>46286</v>
      </c>
      <c r="B436" s="63" t="inlineStr">
        <is>
          <t>Primus Japan - PUD PVN 300/500</t>
        </is>
      </c>
      <c r="C436" s="64" t="n">
        <v>99</v>
      </c>
      <c r="D436" s="64" t="n"/>
      <c r="E436" s="63" t="n"/>
    </row>
    <row r="437" ht="18" customHeight="1">
      <c r="A437" s="62" t="n">
        <v>46286</v>
      </c>
      <c r="B437" s="63" t="inlineStr">
        <is>
          <t>Primus EU - BKN</t>
        </is>
      </c>
      <c r="C437" s="64" t="n">
        <v>2</v>
      </c>
      <c r="D437" s="64" t="n"/>
      <c r="E437" s="63" t="n"/>
    </row>
    <row r="438" ht="18" customHeight="1">
      <c r="A438" s="62" t="n">
        <v>46286</v>
      </c>
      <c r="B438" s="63" t="inlineStr">
        <is>
          <t>Mackerel - WHOLE 8/10</t>
        </is>
      </c>
      <c r="C438" s="64" t="n">
        <v>560</v>
      </c>
      <c r="D438" s="64" t="n"/>
      <c r="E438" s="63" t="n"/>
    </row>
    <row r="439" ht="18" customHeight="1">
      <c r="A439" s="62" t="n">
        <v>46286</v>
      </c>
      <c r="B439" s="63" t="inlineStr">
        <is>
          <t>Mackerel - WHOLE 8/12</t>
        </is>
      </c>
      <c r="C439" s="64" t="n">
        <v>7450</v>
      </c>
      <c r="D439" s="64" t="n"/>
      <c r="E439" s="63" t="n"/>
    </row>
    <row r="440" ht="18" customHeight="1">
      <c r="A440" s="62" t="n">
        <v>46286</v>
      </c>
      <c r="B440" s="63" t="inlineStr">
        <is>
          <t>Mackerel - WHOLE 10/12</t>
        </is>
      </c>
      <c r="C440" s="64" t="n">
        <v>3090</v>
      </c>
      <c r="D440" s="64" t="n"/>
      <c r="E440" s="63" t="n"/>
    </row>
    <row r="441" ht="18" customHeight="1">
      <c r="A441" s="62" t="n">
        <v>46286</v>
      </c>
      <c r="B441" s="63" t="inlineStr">
        <is>
          <t>Mackerel - WHOLE 6/8</t>
        </is>
      </c>
      <c r="C441" s="64" t="n">
        <v>0</v>
      </c>
      <c r="D441" s="64" t="n">
        <v>1500</v>
      </c>
      <c r="E441" s="63" t="n"/>
    </row>
    <row r="442" ht="18" customHeight="1">
      <c r="A442" s="62" t="n">
        <v>46286</v>
      </c>
      <c r="B442" s="63" t="inlineStr">
        <is>
          <t>Mackerel - WHOLE 8/10</t>
        </is>
      </c>
      <c r="C442" s="64" t="n">
        <v>0</v>
      </c>
      <c r="D442" s="64" t="n">
        <v>8500</v>
      </c>
      <c r="E442" s="63" t="n"/>
    </row>
    <row r="443" ht="18" customHeight="1">
      <c r="A443" s="62" t="n">
        <v>46286</v>
      </c>
      <c r="B443" s="63" t="inlineStr">
        <is>
          <t>Mackerel - WHOLE 10/12</t>
        </is>
      </c>
      <c r="C443" s="64" t="n">
        <v>0</v>
      </c>
      <c r="D443" s="64" t="n">
        <v>14600</v>
      </c>
      <c r="E443" s="63" t="n"/>
    </row>
    <row r="444" ht="18" customHeight="1">
      <c r="A444" s="62" t="n">
        <v>46286</v>
      </c>
      <c r="B444" s="63" t="inlineStr">
        <is>
          <t>Mackerel - WHOLE 12/15</t>
        </is>
      </c>
      <c r="C444" s="64" t="n">
        <v>0</v>
      </c>
      <c r="D444" s="64" t="n">
        <v>1400</v>
      </c>
      <c r="E444" s="63" t="inlineStr">
        <is>
          <t>NO-8</t>
        </is>
      </c>
    </row>
    <row r="445" ht="18" customHeight="1">
      <c r="A445" s="62" t="n">
        <v>46287</v>
      </c>
      <c r="B445" s="63" t="inlineStr">
        <is>
          <t>Blue Dolphin - PD PVN 100/200</t>
        </is>
      </c>
      <c r="C445" s="64" t="n">
        <v>20</v>
      </c>
      <c r="D445" s="64" t="n"/>
      <c r="E445" s="63" t="n"/>
    </row>
    <row r="446" ht="18" customHeight="1">
      <c r="A446" s="62" t="n">
        <v>46287</v>
      </c>
      <c r="B446" s="63" t="inlineStr">
        <is>
          <t>Blue Dolphin - PD KKD 100/200</t>
        </is>
      </c>
      <c r="C446" s="64" t="n">
        <v>12</v>
      </c>
      <c r="D446" s="64" t="n"/>
      <c r="E446" s="63" t="n"/>
    </row>
    <row r="447" ht="18" customHeight="1">
      <c r="A447" s="62" t="n">
        <v>46287</v>
      </c>
      <c r="B447" s="63" t="inlineStr">
        <is>
          <t>Blue Dolphin - PD KKD 200/300</t>
        </is>
      </c>
      <c r="C447" s="64" t="n">
        <v>124</v>
      </c>
      <c r="D447" s="64" t="n"/>
      <c r="E447" s="63" t="n"/>
    </row>
    <row r="448" ht="18" customHeight="1">
      <c r="A448" s="62" t="n">
        <v>46287</v>
      </c>
      <c r="B448" s="63" t="inlineStr">
        <is>
          <t>Blue Dolphin - PD PVN 200/300</t>
        </is>
      </c>
      <c r="C448" s="64" t="n">
        <v>1</v>
      </c>
      <c r="D448" s="64" t="n"/>
      <c r="E448" s="63" t="n"/>
    </row>
    <row r="449" ht="18" customHeight="1">
      <c r="A449" s="62" t="n">
        <v>46287</v>
      </c>
      <c r="B449" s="63" t="inlineStr">
        <is>
          <t>Primus Japan - PUD PVN 80/120</t>
        </is>
      </c>
      <c r="C449" s="64" t="n">
        <v>35</v>
      </c>
      <c r="D449" s="64" t="n"/>
      <c r="E449" s="63" t="n"/>
    </row>
    <row r="450" ht="18" customHeight="1">
      <c r="A450" s="62" t="n">
        <v>46287</v>
      </c>
      <c r="B450" s="63" t="inlineStr">
        <is>
          <t>Primus Japan - PUD KKD 300/500</t>
        </is>
      </c>
      <c r="C450" s="64" t="n">
        <v>383</v>
      </c>
      <c r="D450" s="64" t="n"/>
      <c r="E450" s="63" t="n"/>
    </row>
    <row r="451" ht="18" customHeight="1">
      <c r="A451" s="62" t="n">
        <v>46287</v>
      </c>
      <c r="B451" s="63" t="inlineStr">
        <is>
          <t>Primus EU - BKN</t>
        </is>
      </c>
      <c r="C451" s="64" t="n">
        <v>5</v>
      </c>
      <c r="D451" s="64" t="n"/>
      <c r="E451" s="63" t="n"/>
    </row>
    <row r="452" ht="18" customHeight="1">
      <c r="A452" s="62" t="n">
        <v>46287</v>
      </c>
      <c r="B452" s="63" t="inlineStr">
        <is>
          <t>Tuna - SKIPJACK 2/4</t>
        </is>
      </c>
      <c r="C452" s="64" t="n">
        <v>4458.5</v>
      </c>
      <c r="D452" s="64" t="n"/>
      <c r="E452" s="63" t="n"/>
    </row>
    <row r="453" ht="18" customHeight="1">
      <c r="A453" s="62" t="n">
        <v>46287</v>
      </c>
      <c r="B453" s="63" t="inlineStr">
        <is>
          <t>Tuna - SKIPJACK 4/10</t>
        </is>
      </c>
      <c r="C453" s="64" t="n">
        <v>3723.5</v>
      </c>
      <c r="D453" s="64" t="n"/>
      <c r="E453" s="63" t="n"/>
    </row>
    <row r="454" ht="18" customHeight="1">
      <c r="A454" s="62" t="n">
        <v>46287</v>
      </c>
      <c r="B454" s="63" t="inlineStr">
        <is>
          <t>Mackerel - WHOLE 8/12</t>
        </is>
      </c>
      <c r="C454" s="64" t="n">
        <v>5830</v>
      </c>
      <c r="D454" s="64" t="n"/>
      <c r="E454" s="63" t="n"/>
    </row>
    <row r="455" ht="18" customHeight="1">
      <c r="A455" s="62" t="n">
        <v>46287</v>
      </c>
      <c r="B455" s="63" t="inlineStr">
        <is>
          <t>Mackerel - WHOLE 10/12</t>
        </is>
      </c>
      <c r="C455" s="64" t="n">
        <v>720</v>
      </c>
      <c r="D455" s="64" t="n"/>
      <c r="E455" s="63" t="n"/>
    </row>
    <row r="456" ht="18" customHeight="1">
      <c r="A456" s="62" t="n">
        <v>46288</v>
      </c>
      <c r="B456" s="63" t="inlineStr">
        <is>
          <t>Blue Dolphin - PD PVN 100/200</t>
        </is>
      </c>
      <c r="C456" s="64" t="n">
        <v>9</v>
      </c>
      <c r="D456" s="64" t="n"/>
      <c r="E456" s="63" t="n"/>
    </row>
    <row r="457" ht="18" customHeight="1">
      <c r="A457" s="62" t="n">
        <v>46288</v>
      </c>
      <c r="B457" s="63" t="inlineStr">
        <is>
          <t>Blue Dolphin - PD KKD 100/200</t>
        </is>
      </c>
      <c r="C457" s="64" t="n">
        <v>19</v>
      </c>
      <c r="D457" s="64" t="n"/>
      <c r="E457" s="63" t="n"/>
    </row>
    <row r="458" ht="18" customHeight="1">
      <c r="A458" s="62" t="n">
        <v>46288</v>
      </c>
      <c r="B458" s="63" t="inlineStr">
        <is>
          <t>Blue Dolphin - PD KKD 200/300</t>
        </is>
      </c>
      <c r="C458" s="64" t="n">
        <v>237</v>
      </c>
      <c r="D458" s="64" t="n"/>
      <c r="E458" s="63" t="n"/>
    </row>
    <row r="459" ht="18" customHeight="1">
      <c r="A459" s="62" t="n">
        <v>46288</v>
      </c>
      <c r="B459" s="63" t="inlineStr">
        <is>
          <t>Blue Dolphin - PUD KKD 200/300</t>
        </is>
      </c>
      <c r="C459" s="64" t="n">
        <v>35</v>
      </c>
      <c r="D459" s="64" t="n"/>
      <c r="E459" s="63" t="n"/>
    </row>
    <row r="460" ht="18" customHeight="1">
      <c r="A460" s="62" t="n">
        <v>46288</v>
      </c>
      <c r="B460" s="63" t="inlineStr">
        <is>
          <t>Primus Japan - PUD PVN 80/120</t>
        </is>
      </c>
      <c r="C460" s="64" t="n">
        <v>69</v>
      </c>
      <c r="D460" s="64" t="n"/>
      <c r="E460" s="63" t="n"/>
    </row>
    <row r="461" ht="18" customHeight="1">
      <c r="A461" s="62" t="n">
        <v>46288</v>
      </c>
      <c r="B461" s="63" t="inlineStr">
        <is>
          <t>Primus Japan - PD PVN 100/200</t>
        </is>
      </c>
      <c r="C461" s="64" t="n">
        <v>37</v>
      </c>
      <c r="D461" s="64" t="n"/>
      <c r="E461" s="63" t="n"/>
    </row>
    <row r="462" ht="18" customHeight="1">
      <c r="A462" s="62" t="n">
        <v>46288</v>
      </c>
      <c r="B462" s="63" t="inlineStr">
        <is>
          <t>Primus Japan - PUD KKD 300/500</t>
        </is>
      </c>
      <c r="C462" s="64" t="n">
        <v>808</v>
      </c>
      <c r="D462" s="64" t="n"/>
      <c r="E462" s="63" t="n"/>
    </row>
    <row r="463" ht="18" customHeight="1">
      <c r="A463" s="62" t="n">
        <v>46288</v>
      </c>
      <c r="B463" s="63" t="inlineStr">
        <is>
          <t>Primus EU - BKN</t>
        </is>
      </c>
      <c r="C463" s="64" t="n">
        <v>5</v>
      </c>
      <c r="D463" s="64" t="n"/>
      <c r="E463" s="63" t="n"/>
    </row>
    <row r="464" ht="18" customHeight="1">
      <c r="A464" s="62" t="n">
        <v>46288</v>
      </c>
      <c r="B464" s="63" t="inlineStr">
        <is>
          <t>Tuna - SKIPJACK 2/4</t>
        </is>
      </c>
      <c r="C464" s="64" t="n">
        <v>2665.1</v>
      </c>
      <c r="D464" s="64" t="n"/>
      <c r="E464" s="63" t="n"/>
    </row>
    <row r="465" ht="18" customHeight="1">
      <c r="A465" s="62" t="n">
        <v>46288</v>
      </c>
      <c r="B465" s="63" t="inlineStr">
        <is>
          <t>Tuna - SKIPJACK 4/10</t>
        </is>
      </c>
      <c r="C465" s="64" t="n">
        <v>2202.7</v>
      </c>
      <c r="D465" s="64" t="n"/>
      <c r="E465" s="63" t="n"/>
    </row>
    <row r="466" ht="18" customHeight="1">
      <c r="A466" s="62" t="n">
        <v>46288</v>
      </c>
      <c r="B466" s="63" t="inlineStr">
        <is>
          <t>Mackerel - WHOLE 6/8</t>
        </is>
      </c>
      <c r="C466" s="64" t="n">
        <v>890</v>
      </c>
      <c r="D466" s="64" t="n"/>
      <c r="E466" s="63" t="n"/>
    </row>
    <row r="467" ht="18" customHeight="1">
      <c r="A467" s="62" t="n">
        <v>46288</v>
      </c>
      <c r="B467" s="122" t="inlineStr">
        <is>
          <t>Mackerel - WHOLE 8/10</t>
        </is>
      </c>
      <c r="C467" s="64" t="n">
        <v>14300</v>
      </c>
      <c r="D467" s="64" t="n"/>
      <c r="E467" s="63" t="n"/>
    </row>
    <row r="468" ht="18" customHeight="1">
      <c r="A468" s="62" t="n">
        <v>46288</v>
      </c>
      <c r="B468" s="63" t="inlineStr">
        <is>
          <t>Mackerel - WHOLE 8/12</t>
        </is>
      </c>
      <c r="C468" s="64" t="n">
        <v>3130</v>
      </c>
      <c r="D468" s="64" t="n"/>
      <c r="E468" s="63" t="n"/>
    </row>
    <row r="469" ht="18" customHeight="1">
      <c r="A469" s="62" t="n">
        <v>46288</v>
      </c>
      <c r="B469" s="63" t="inlineStr">
        <is>
          <t>Mackerel - WHOLE 10/12</t>
        </is>
      </c>
      <c r="C469" s="64" t="n">
        <v>330</v>
      </c>
      <c r="D469" s="64" t="n"/>
      <c r="E469" s="63" t="n"/>
    </row>
    <row r="470" ht="18" customHeight="1">
      <c r="A470" s="62" t="n">
        <v>46287</v>
      </c>
      <c r="B470" s="63" t="inlineStr">
        <is>
          <t>Mackerel - WHOLE 8/10</t>
        </is>
      </c>
      <c r="C470" s="64" t="n">
        <v>0</v>
      </c>
      <c r="D470" s="64" t="n">
        <v>8000</v>
      </c>
      <c r="E470" s="63" t="n"/>
    </row>
    <row r="471" ht="18" customHeight="1">
      <c r="A471" s="62" t="n">
        <v>46287</v>
      </c>
      <c r="B471" s="63" t="inlineStr">
        <is>
          <t>Mackerel - WHOLE 8/12</t>
        </is>
      </c>
      <c r="C471" s="64" t="n">
        <v>0</v>
      </c>
      <c r="D471" s="64" t="n">
        <v>12000</v>
      </c>
      <c r="E471" s="63" t="n"/>
    </row>
    <row r="472" ht="18" customHeight="1">
      <c r="A472" s="62" t="n">
        <v>46287</v>
      </c>
      <c r="B472" s="63" t="inlineStr">
        <is>
          <t>Mackerel - WHOLE 10/12</t>
        </is>
      </c>
      <c r="C472" s="64" t="n">
        <v>0</v>
      </c>
      <c r="D472" s="64" t="n">
        <v>6000</v>
      </c>
      <c r="E472" s="63" t="inlineStr">
        <is>
          <t>NO-9</t>
        </is>
      </c>
    </row>
    <row r="473" ht="18" customHeight="1">
      <c r="A473" s="62" t="n">
        <v>46287</v>
      </c>
      <c r="B473" s="63" t="inlineStr">
        <is>
          <t>Mackerel - WHOLE 6/8</t>
        </is>
      </c>
      <c r="C473" s="64" t="n">
        <v>0</v>
      </c>
      <c r="D473" s="64" t="n">
        <v>1200</v>
      </c>
      <c r="E473" s="63" t="n"/>
    </row>
    <row r="474" ht="18" customHeight="1">
      <c r="A474" s="62" t="n">
        <v>46287</v>
      </c>
      <c r="B474" s="63" t="inlineStr">
        <is>
          <t>Mackerel - WHOLE 8/10</t>
        </is>
      </c>
      <c r="C474" s="64" t="n">
        <v>0</v>
      </c>
      <c r="D474" s="64" t="n">
        <v>7000</v>
      </c>
      <c r="E474" s="63" t="n"/>
    </row>
    <row r="475" ht="18" customHeight="1">
      <c r="A475" s="62" t="n">
        <v>46287</v>
      </c>
      <c r="B475" s="63" t="inlineStr">
        <is>
          <t>Mackerel - WHOLE 8/12</t>
        </is>
      </c>
      <c r="C475" s="64" t="n">
        <v>0</v>
      </c>
      <c r="D475" s="64" t="n">
        <v>11000</v>
      </c>
      <c r="E475" s="63" t="inlineStr">
        <is>
          <t>NO-10</t>
        </is>
      </c>
    </row>
    <row r="476" ht="18" customHeight="1">
      <c r="A476" s="62" t="n">
        <v>46287</v>
      </c>
      <c r="B476" s="63" t="inlineStr">
        <is>
          <t>Mackerel - WHOLE 10/12</t>
        </is>
      </c>
      <c r="C476" s="64" t="n">
        <v>0</v>
      </c>
      <c r="D476" s="64" t="n">
        <v>4300</v>
      </c>
      <c r="E476" s="63" t="inlineStr">
        <is>
          <t>B GRADE 2000 kgs 8/10-100, 8/12-540, 10/12-1230, 12/15/-130 (200c/s)</t>
        </is>
      </c>
    </row>
    <row r="477" ht="18" customHeight="1">
      <c r="A477" s="62" t="n">
        <v>46287</v>
      </c>
      <c r="B477" s="63" t="inlineStr">
        <is>
          <t>Tuna - SKIPJACK 2/4</t>
        </is>
      </c>
      <c r="C477" s="64" t="n">
        <v>0</v>
      </c>
      <c r="D477" s="64" t="n">
        <v>12588</v>
      </c>
      <c r="E477" s="63" t="n"/>
    </row>
    <row r="478" ht="18" customHeight="1">
      <c r="A478" s="62" t="n">
        <v>46287</v>
      </c>
      <c r="B478" s="63" t="inlineStr">
        <is>
          <t>Tuna - SKIPJACK 4/10</t>
        </is>
      </c>
      <c r="C478" s="64" t="n">
        <v>0</v>
      </c>
      <c r="D478" s="64" t="n">
        <v>16412</v>
      </c>
      <c r="E478" s="63" t="n"/>
    </row>
    <row r="479" ht="18" customHeight="1">
      <c r="A479" s="62" t="n">
        <v>46288</v>
      </c>
      <c r="B479" s="63" t="inlineStr">
        <is>
          <t>Blue Dolphin - PD PVN 200/300</t>
        </is>
      </c>
      <c r="C479" s="64" t="n">
        <v>0</v>
      </c>
      <c r="D479" s="64" t="n">
        <v>3030</v>
      </c>
      <c r="E479" s="63" t="n"/>
    </row>
    <row r="480" ht="18" customHeight="1">
      <c r="A480" s="62" t="n">
        <v>46288</v>
      </c>
      <c r="B480" s="63" t="inlineStr">
        <is>
          <t>Blue Dolphin - PD KKD 200/300</t>
        </is>
      </c>
      <c r="C480" s="64" t="n">
        <v>0</v>
      </c>
      <c r="D480" s="64" t="n">
        <v>970</v>
      </c>
      <c r="E480" s="63" t="n"/>
    </row>
    <row r="481" ht="18" customHeight="1">
      <c r="A481" s="62" t="n">
        <v>46289</v>
      </c>
      <c r="B481" s="63" t="inlineStr">
        <is>
          <t>Blue Dolphin - PD PVN 100/200</t>
        </is>
      </c>
      <c r="C481" s="64" t="n">
        <v>1</v>
      </c>
      <c r="D481" s="64" t="n"/>
      <c r="E481" s="63" t="n"/>
    </row>
    <row r="482" ht="18" customHeight="1">
      <c r="A482" s="62" t="n">
        <v>46289</v>
      </c>
      <c r="B482" s="63" t="inlineStr">
        <is>
          <t>Blue Dolphin - PD KKD 100/200</t>
        </is>
      </c>
      <c r="C482" s="64" t="n">
        <v>4</v>
      </c>
      <c r="D482" s="64" t="n"/>
      <c r="E482" s="63" t="n"/>
    </row>
    <row r="483" ht="18" customHeight="1">
      <c r="A483" s="62" t="n">
        <v>46289</v>
      </c>
      <c r="B483" s="63" t="inlineStr">
        <is>
          <t>Blue Dolphin - PD KKD 200/300</t>
        </is>
      </c>
      <c r="C483" s="64" t="n">
        <v>57</v>
      </c>
      <c r="D483" s="64" t="n"/>
      <c r="E483" s="63" t="n"/>
    </row>
    <row r="484" ht="18" customHeight="1">
      <c r="A484" s="62" t="n">
        <v>46289</v>
      </c>
      <c r="B484" s="63" t="inlineStr">
        <is>
          <t>Primus Japan - PUD KKD 300/500</t>
        </is>
      </c>
      <c r="C484" s="64" t="n">
        <v>609</v>
      </c>
      <c r="D484" s="64" t="n"/>
      <c r="E484" s="63" t="n"/>
    </row>
    <row r="485" ht="18" customHeight="1">
      <c r="A485" s="62" t="n">
        <v>46289</v>
      </c>
      <c r="B485" s="63" t="inlineStr">
        <is>
          <t>Primus Japan - PUD KZN 200/300</t>
        </is>
      </c>
      <c r="C485" s="64" t="n">
        <v>2</v>
      </c>
      <c r="D485" s="64" t="n"/>
      <c r="E485" s="63" t="n"/>
    </row>
    <row r="486" ht="18" customHeight="1">
      <c r="A486" s="62" t="n">
        <v>46289</v>
      </c>
      <c r="B486" s="63" t="inlineStr">
        <is>
          <t>Primus EU - BKN</t>
        </is>
      </c>
      <c r="C486" s="64" t="n">
        <v>2</v>
      </c>
      <c r="D486" s="64" t="n"/>
      <c r="E486" s="63" t="n"/>
    </row>
    <row r="487" ht="18" customHeight="1">
      <c r="A487" s="62" t="n">
        <v>46289</v>
      </c>
      <c r="B487" s="63" t="inlineStr">
        <is>
          <t>Mackerel - WHOLE 6/8</t>
        </is>
      </c>
      <c r="C487" s="64" t="n">
        <v>790</v>
      </c>
      <c r="D487" s="64" t="n"/>
      <c r="E487" s="63" t="n"/>
    </row>
    <row r="488" ht="18" customHeight="1">
      <c r="A488" s="62" t="n">
        <v>46289</v>
      </c>
      <c r="B488" s="63" t="inlineStr">
        <is>
          <t>Mackerel - WHOLE 8/10</t>
        </is>
      </c>
      <c r="C488" s="64" t="n">
        <v>10980</v>
      </c>
      <c r="D488" s="64" t="n"/>
      <c r="E488" s="63" t="n"/>
    </row>
    <row r="489" ht="18" customHeight="1">
      <c r="A489" s="62" t="n">
        <v>46289</v>
      </c>
      <c r="B489" s="63" t="inlineStr">
        <is>
          <t>Mackerel - WHOLE 8/12</t>
        </is>
      </c>
      <c r="C489" s="64" t="n">
        <v>7650</v>
      </c>
      <c r="D489" s="64" t="n"/>
      <c r="E489" s="63" t="n"/>
    </row>
    <row r="490" ht="18" customHeight="1">
      <c r="A490" s="62" t="n">
        <v>46289</v>
      </c>
      <c r="B490" s="63" t="inlineStr">
        <is>
          <t>Mackerel - WHOLE 10/12</t>
        </is>
      </c>
      <c r="C490" s="64" t="n">
        <v>790</v>
      </c>
      <c r="D490" s="64" t="n"/>
      <c r="E490" s="63" t="n"/>
    </row>
    <row r="491" ht="18" customHeight="1">
      <c r="A491" s="62" t="n">
        <v>46287</v>
      </c>
      <c r="B491" s="63" t="inlineStr">
        <is>
          <t>Semi Needle Squid - SQW 40/60</t>
        </is>
      </c>
      <c r="C491" s="64" t="n">
        <v>0</v>
      </c>
      <c r="D491" s="64" t="n">
        <v>2000</v>
      </c>
      <c r="E491" s="63" t="n"/>
    </row>
    <row r="492" ht="18" customHeight="1">
      <c r="A492" s="62" t="n">
        <v>46287</v>
      </c>
      <c r="B492" s="63" t="inlineStr">
        <is>
          <t>Semi Needle Squid - SQW 60/80</t>
        </is>
      </c>
      <c r="C492" s="64" t="n">
        <v>0</v>
      </c>
      <c r="D492" s="64" t="n">
        <v>4000</v>
      </c>
      <c r="E492" s="63" t="n"/>
    </row>
    <row r="493" ht="18" customHeight="1">
      <c r="A493" s="62" t="n">
        <v>46289</v>
      </c>
      <c r="B493" s="63" t="inlineStr">
        <is>
          <t>Tuna - SKIPJACK 2/4</t>
        </is>
      </c>
      <c r="C493" s="64" t="n">
        <v>0</v>
      </c>
      <c r="D493" s="64" t="n">
        <v>12564</v>
      </c>
      <c r="E493" s="63" t="n"/>
    </row>
    <row r="494" ht="18" customHeight="1">
      <c r="A494" s="62" t="n">
        <v>46289</v>
      </c>
      <c r="B494" s="63" t="inlineStr">
        <is>
          <t>Tuna - SKIPJACK 4/10</t>
        </is>
      </c>
      <c r="C494" s="64" t="n">
        <v>0</v>
      </c>
      <c r="D494" s="64" t="n">
        <v>16436</v>
      </c>
      <c r="E494" s="63" t="n"/>
    </row>
    <row r="495" ht="18" customHeight="1">
      <c r="A495" s="62" t="n">
        <v>46290</v>
      </c>
      <c r="B495" s="63" t="inlineStr">
        <is>
          <t>Mackerel - WHOLE 8/10</t>
        </is>
      </c>
      <c r="C495" s="64" t="n">
        <v>0</v>
      </c>
      <c r="D495" s="64" t="n">
        <v>13500</v>
      </c>
      <c r="E495" s="63" t="n"/>
    </row>
    <row r="496" ht="18" customHeight="1">
      <c r="A496" s="62" t="n">
        <v>46290</v>
      </c>
      <c r="B496" s="63" t="inlineStr">
        <is>
          <t>Mackerel - WHOLE 8/12</t>
        </is>
      </c>
      <c r="C496" s="64" t="n">
        <v>0</v>
      </c>
      <c r="D496" s="64" t="n">
        <v>10000</v>
      </c>
      <c r="E496" s="63" t="n"/>
    </row>
    <row r="497" ht="18" customHeight="1">
      <c r="A497" s="62" t="n">
        <v>46290</v>
      </c>
      <c r="B497" s="63" t="inlineStr">
        <is>
          <t>Mackerel - WHOLE 10/12</t>
        </is>
      </c>
      <c r="C497" s="64" t="n">
        <v>0</v>
      </c>
      <c r="D497" s="64" t="n">
        <v>2500</v>
      </c>
      <c r="E497" s="63" t="inlineStr">
        <is>
          <t>NO-11</t>
        </is>
      </c>
    </row>
    <row r="498" ht="18" customHeight="1">
      <c r="A498" s="62" t="n">
        <v>46290</v>
      </c>
      <c r="B498" s="63" t="inlineStr">
        <is>
          <t>Blue Dolphin - PD PVN 100/200</t>
        </is>
      </c>
      <c r="C498" s="64" t="n">
        <v>4</v>
      </c>
      <c r="D498" s="64" t="n"/>
      <c r="E498" s="63" t="n"/>
    </row>
    <row r="499" ht="18" customHeight="1">
      <c r="A499" s="62" t="n">
        <v>46290</v>
      </c>
      <c r="B499" s="63" t="inlineStr">
        <is>
          <t>Blue Dolphin - PD KKD 100/200</t>
        </is>
      </c>
      <c r="C499" s="64" t="n">
        <v>43</v>
      </c>
      <c r="D499" s="64" t="n"/>
      <c r="E499" s="63" t="n"/>
    </row>
    <row r="500" ht="18" customHeight="1">
      <c r="A500" s="62" t="n">
        <v>46290</v>
      </c>
      <c r="B500" s="63" t="inlineStr">
        <is>
          <t>Blue Dolphin - PD KKD 200/300</t>
        </is>
      </c>
      <c r="C500" s="64" t="n">
        <v>541</v>
      </c>
      <c r="D500" s="64" t="n"/>
      <c r="E500" s="63" t="n"/>
    </row>
    <row r="501" ht="18" customHeight="1">
      <c r="A501" s="62" t="n">
        <v>46290</v>
      </c>
      <c r="B501" s="63" t="inlineStr">
        <is>
          <t>Blue Dolphin - PUD KKD 300/500</t>
        </is>
      </c>
      <c r="C501" s="64" t="n">
        <v>960</v>
      </c>
      <c r="D501" s="64" t="n"/>
      <c r="E501" s="63" t="n"/>
    </row>
    <row r="502" ht="18" customHeight="1">
      <c r="A502" s="62" t="n">
        <v>46290</v>
      </c>
      <c r="B502" s="63" t="inlineStr">
        <is>
          <t>Blue Dolphin - PUD PVN 300/500</t>
        </is>
      </c>
      <c r="C502" s="64" t="n">
        <v>74</v>
      </c>
      <c r="D502" s="64" t="n"/>
      <c r="E502" s="63" t="n"/>
    </row>
    <row r="503" ht="18" customHeight="1">
      <c r="A503" s="62" t="n">
        <v>46290</v>
      </c>
      <c r="B503" s="63" t="inlineStr">
        <is>
          <t>China - PUD KKD 500/800</t>
        </is>
      </c>
      <c r="C503" s="64" t="n">
        <v>73</v>
      </c>
      <c r="D503" s="64" t="n"/>
      <c r="E503" s="63" t="n"/>
    </row>
    <row r="504" ht="18" customHeight="1">
      <c r="A504" s="62" t="n">
        <v>46290</v>
      </c>
      <c r="B504" s="63" t="inlineStr">
        <is>
          <t>Primus EU - BKN</t>
        </is>
      </c>
      <c r="C504" s="64" t="n">
        <v>13</v>
      </c>
      <c r="D504" s="64" t="n"/>
      <c r="E504" s="63" t="n"/>
    </row>
    <row r="505" ht="18" customHeight="1">
      <c r="A505" s="62" t="n">
        <v>46290</v>
      </c>
      <c r="B505" s="63" t="inlineStr">
        <is>
          <t>Mackerel - WHOLE 6/8</t>
        </is>
      </c>
      <c r="C505" s="64" t="n">
        <v>660</v>
      </c>
      <c r="D505" s="64" t="n"/>
      <c r="E505" s="63" t="n"/>
    </row>
    <row r="506" ht="18" customHeight="1">
      <c r="A506" s="62" t="n">
        <v>46290</v>
      </c>
      <c r="B506" s="63" t="inlineStr">
        <is>
          <t>Mackerel - WHOLE 8/10</t>
        </is>
      </c>
      <c r="C506" s="64" t="n">
        <v>6560</v>
      </c>
      <c r="D506" s="64" t="n"/>
      <c r="E506" s="63" t="n"/>
    </row>
    <row r="507" ht="18" customHeight="1">
      <c r="A507" s="62" t="n">
        <v>46290</v>
      </c>
      <c r="B507" s="63" t="inlineStr">
        <is>
          <t>Mackerel - WHOLE 8/12</t>
        </is>
      </c>
      <c r="C507" s="64" t="n">
        <v>4720</v>
      </c>
      <c r="D507" s="64" t="n"/>
      <c r="E507" s="63" t="n"/>
    </row>
    <row r="508" ht="18" customHeight="1">
      <c r="A508" s="62" t="n">
        <v>46290</v>
      </c>
      <c r="B508" s="63" t="inlineStr">
        <is>
          <t>Mackerel - WHOLE 10/12</t>
        </is>
      </c>
      <c r="C508" s="64" t="n">
        <v>420</v>
      </c>
      <c r="D508" s="64" t="n"/>
      <c r="E508" s="63" t="n"/>
    </row>
    <row r="509" ht="18" customHeight="1">
      <c r="A509" s="62" t="n">
        <v>46291</v>
      </c>
      <c r="B509" s="63" t="inlineStr">
        <is>
          <t>Blue Dolphin - PD KKD 200/300</t>
        </is>
      </c>
      <c r="C509" s="64" t="n">
        <v>1</v>
      </c>
      <c r="D509" s="64" t="n"/>
      <c r="E509" s="63" t="n"/>
    </row>
    <row r="510" ht="18" customHeight="1">
      <c r="A510" s="62" t="n">
        <v>46291</v>
      </c>
      <c r="B510" s="63" t="inlineStr">
        <is>
          <t>Blue Dolphin - PUD KKD 200/300</t>
        </is>
      </c>
      <c r="C510" s="64" t="n">
        <v>6</v>
      </c>
      <c r="D510" s="64" t="n"/>
      <c r="E510" s="63" t="n"/>
    </row>
    <row r="511" ht="18" customHeight="1">
      <c r="A511" s="62" t="n">
        <v>46291</v>
      </c>
      <c r="B511" s="63" t="inlineStr">
        <is>
          <t>Blue Dolphin - PUD KKD 300/500</t>
        </is>
      </c>
      <c r="C511" s="64" t="n">
        <v>557</v>
      </c>
      <c r="D511" s="64" t="n"/>
      <c r="E511" s="63" t="n"/>
    </row>
    <row r="512" ht="18" customHeight="1">
      <c r="A512" s="62" t="n">
        <v>46291</v>
      </c>
      <c r="B512" s="63" t="inlineStr">
        <is>
          <t>Blue Dolphin - PUD PVN 300/500</t>
        </is>
      </c>
      <c r="C512" s="64" t="n">
        <v>19</v>
      </c>
      <c r="D512" s="64" t="n"/>
      <c r="E512" s="63" t="n"/>
    </row>
    <row r="513" ht="18" customHeight="1">
      <c r="A513" s="62" t="n">
        <v>46291</v>
      </c>
      <c r="B513" s="63" t="inlineStr">
        <is>
          <t>China - PUD KKD 500/800</t>
        </is>
      </c>
      <c r="C513" s="64" t="n">
        <v>4</v>
      </c>
      <c r="D513" s="64" t="n"/>
      <c r="E513" s="63" t="n"/>
    </row>
    <row r="514" ht="18" customHeight="1">
      <c r="A514" s="62" t="n">
        <v>46291</v>
      </c>
      <c r="B514" s="63" t="inlineStr">
        <is>
          <t>Primus Japan - PUD KZN 100/200</t>
        </is>
      </c>
      <c r="C514" s="64" t="n">
        <v>1</v>
      </c>
      <c r="D514" s="64" t="n"/>
      <c r="E514" s="63" t="n"/>
    </row>
    <row r="515" ht="18" customHeight="1">
      <c r="A515" s="62" t="n">
        <v>46291</v>
      </c>
      <c r="B515" s="63" t="inlineStr">
        <is>
          <t>Primus EU - BKN</t>
        </is>
      </c>
      <c r="C515" s="64" t="n">
        <v>1</v>
      </c>
      <c r="D515" s="64" t="n"/>
      <c r="E515" s="63" t="n"/>
    </row>
    <row r="516" ht="18" customHeight="1">
      <c r="A516" s="62" t="n">
        <v>46291</v>
      </c>
      <c r="B516" s="63" t="inlineStr">
        <is>
          <t>Mackerel - WHOLE 6/8</t>
        </is>
      </c>
      <c r="C516" s="64" t="n">
        <v>740</v>
      </c>
      <c r="D516" s="64" t="n"/>
      <c r="E516" s="63" t="n"/>
    </row>
    <row r="517" ht="18" customHeight="1">
      <c r="A517" s="62" t="n">
        <v>46291</v>
      </c>
      <c r="B517" s="122" t="inlineStr">
        <is>
          <t>Mackerel - WHOLE 8/10</t>
        </is>
      </c>
      <c r="C517" s="64" t="n">
        <v>14840</v>
      </c>
      <c r="D517" s="64" t="n"/>
      <c r="E517" s="63" t="n"/>
    </row>
    <row r="518" ht="18" customHeight="1">
      <c r="A518" s="62" t="n">
        <v>46291</v>
      </c>
      <c r="B518" s="63" t="inlineStr">
        <is>
          <t>Mackerel - WHOLE 10/12</t>
        </is>
      </c>
      <c r="C518" s="64" t="n">
        <v>620</v>
      </c>
      <c r="D518" s="64" t="n"/>
      <c r="E518" s="63" t="n"/>
    </row>
    <row r="519" ht="18" customHeight="1">
      <c r="A519" s="62" t="n">
        <v>46292</v>
      </c>
      <c r="B519" s="63" t="inlineStr">
        <is>
          <t>Blue Dolphin - PUD KKD 200/300</t>
        </is>
      </c>
      <c r="C519" s="64" t="n">
        <v>61</v>
      </c>
      <c r="D519" s="64" t="n"/>
      <c r="E519" s="63" t="n"/>
    </row>
    <row r="520" ht="18" customHeight="1">
      <c r="A520" s="62" t="n">
        <v>46292</v>
      </c>
      <c r="B520" s="63" t="inlineStr">
        <is>
          <t>Blue Dolphin - PUD KKD 300/500</t>
        </is>
      </c>
      <c r="C520" s="64" t="n">
        <v>313</v>
      </c>
      <c r="D520" s="64" t="n"/>
      <c r="E520" s="63" t="n"/>
    </row>
    <row r="521" ht="18" customHeight="1">
      <c r="A521" s="62" t="n">
        <v>46292</v>
      </c>
      <c r="B521" s="63" t="inlineStr">
        <is>
          <t>Mackerel - WHOLE 6/8</t>
        </is>
      </c>
      <c r="C521" s="64" t="n">
        <v>210</v>
      </c>
      <c r="D521" s="64" t="n"/>
      <c r="E521" s="63" t="n"/>
    </row>
    <row r="522" ht="18" customHeight="1">
      <c r="A522" s="62" t="n">
        <v>46292</v>
      </c>
      <c r="B522" s="63" t="inlineStr">
        <is>
          <t>Mackerel - WHOLE 8/10</t>
        </is>
      </c>
      <c r="C522" s="64" t="n">
        <v>13240</v>
      </c>
      <c r="D522" s="64" t="n"/>
      <c r="E522" s="63" t="n"/>
    </row>
    <row r="523" ht="18" customHeight="1">
      <c r="A523" s="62" t="n">
        <v>46292</v>
      </c>
      <c r="B523" s="63" t="inlineStr">
        <is>
          <t>Mackerel - WHOLE 10/12</t>
        </is>
      </c>
      <c r="C523" s="64" t="n">
        <v>1390</v>
      </c>
      <c r="D523" s="64" t="n"/>
      <c r="E523" s="63" t="n"/>
    </row>
    <row r="524" ht="18" customHeight="1">
      <c r="A524" s="62" t="n">
        <v>46292</v>
      </c>
      <c r="B524" s="63" t="inlineStr">
        <is>
          <t>Tuna - SKIPJACK 2/4</t>
        </is>
      </c>
      <c r="C524" s="64" t="n">
        <v>1823.3</v>
      </c>
      <c r="D524" s="64" t="n"/>
      <c r="E524" s="63" t="n"/>
    </row>
    <row r="525" ht="18" customHeight="1">
      <c r="A525" s="62" t="n">
        <v>46292</v>
      </c>
      <c r="B525" s="63" t="inlineStr">
        <is>
          <t>Tuna - SKIPJACK 4/10</t>
        </is>
      </c>
      <c r="C525" s="64" t="n">
        <v>3544.6</v>
      </c>
      <c r="D525" s="64" t="n"/>
      <c r="E525" s="63" t="n"/>
    </row>
    <row r="526" ht="18" customHeight="1">
      <c r="A526" s="62" t="n">
        <v>46292</v>
      </c>
      <c r="B526" s="63" t="inlineStr">
        <is>
          <t>Tuna - YELLOW FIN 2/4</t>
        </is>
      </c>
      <c r="C526" s="64" t="n">
        <v>167.8</v>
      </c>
      <c r="D526" s="64" t="n"/>
      <c r="E526" s="63" t="n"/>
    </row>
    <row r="527" ht="18" customHeight="1">
      <c r="A527" s="62" t="n">
        <v>46292</v>
      </c>
      <c r="B527" s="63" t="inlineStr">
        <is>
          <t>Tuna - YELLOW FIN 4/10</t>
        </is>
      </c>
      <c r="C527" s="64" t="n">
        <v>35.6</v>
      </c>
      <c r="D527" s="64" t="n"/>
      <c r="E527" s="63" t="n"/>
    </row>
    <row r="528" ht="18" customHeight="1">
      <c r="A528" s="62" t="n">
        <v>46292</v>
      </c>
      <c r="B528" s="63" t="inlineStr">
        <is>
          <t>Primus Japan - PUD KKD 200/300</t>
        </is>
      </c>
      <c r="C528" s="64" t="n">
        <v>0</v>
      </c>
      <c r="D528" s="64" t="n">
        <v>3000</v>
      </c>
      <c r="E528" s="63" t="n"/>
    </row>
    <row r="529" ht="18" customHeight="1">
      <c r="A529" s="62" t="n">
        <v>46292</v>
      </c>
      <c r="B529" s="63" t="inlineStr">
        <is>
          <t>Primus Japan - PUD PVN 300/500</t>
        </is>
      </c>
      <c r="C529" s="64" t="n">
        <v>0</v>
      </c>
      <c r="D529" s="64" t="n">
        <v>600</v>
      </c>
      <c r="E529" s="63" t="inlineStr">
        <is>
          <t>KON</t>
        </is>
      </c>
    </row>
    <row r="530" ht="18" customHeight="1">
      <c r="A530" s="62" t="n">
        <v>46292</v>
      </c>
      <c r="B530" s="63" t="inlineStr">
        <is>
          <t>Primus Japan - PUD KKD 300/500</t>
        </is>
      </c>
      <c r="C530" s="64" t="n">
        <v>0</v>
      </c>
      <c r="D530" s="64" t="n">
        <v>6400</v>
      </c>
      <c r="E530" s="63" t="n"/>
    </row>
    <row r="531" ht="18" customHeight="1">
      <c r="A531" s="62" t="n">
        <v>46293</v>
      </c>
      <c r="B531" s="63" t="inlineStr">
        <is>
          <t>Blue Dolphin - PD PVN 100/200</t>
        </is>
      </c>
      <c r="C531" s="64" t="n">
        <v>1</v>
      </c>
      <c r="D531" s="64" t="n"/>
      <c r="E531" s="63" t="n"/>
    </row>
    <row r="532" ht="18" customHeight="1">
      <c r="A532" s="62" t="n">
        <v>46293</v>
      </c>
      <c r="B532" s="63" t="inlineStr">
        <is>
          <t>Blue Dolphin - PD KKD 100/200</t>
        </is>
      </c>
      <c r="C532" s="64" t="n">
        <v>45</v>
      </c>
      <c r="D532" s="64" t="n"/>
      <c r="E532" s="63" t="n"/>
    </row>
    <row r="533" ht="18" customHeight="1">
      <c r="A533" s="62" t="n">
        <v>46293</v>
      </c>
      <c r="B533" s="63" t="inlineStr">
        <is>
          <t>Blue Dolphin - PD KKD 200/300</t>
        </is>
      </c>
      <c r="C533" s="64" t="n">
        <v>346</v>
      </c>
      <c r="D533" s="64" t="n"/>
      <c r="E533" s="63" t="n"/>
    </row>
    <row r="534" ht="18" customHeight="1">
      <c r="A534" s="62" t="n">
        <v>46293</v>
      </c>
      <c r="B534" s="63" t="inlineStr">
        <is>
          <t>Blue Dolphin - PUD KKD 200/300</t>
        </is>
      </c>
      <c r="C534" s="64" t="n">
        <v>7</v>
      </c>
      <c r="D534" s="64" t="n"/>
      <c r="E534" s="63" t="n"/>
    </row>
    <row r="535" ht="18" customHeight="1">
      <c r="A535" s="62" t="n">
        <v>46293</v>
      </c>
      <c r="B535" s="63" t="inlineStr">
        <is>
          <t>Blue Dolphin - PUD PVN 300/500</t>
        </is>
      </c>
      <c r="C535" s="64" t="n">
        <v>74</v>
      </c>
      <c r="D535" s="64" t="n"/>
      <c r="E535" s="63" t="n"/>
    </row>
    <row r="536" ht="18" customHeight="1">
      <c r="A536" s="62" t="n">
        <v>46293</v>
      </c>
      <c r="B536" s="63" t="inlineStr">
        <is>
          <t>Blue Dolphin - PUD KKD 300/500</t>
        </is>
      </c>
      <c r="C536" s="64" t="n">
        <v>1050</v>
      </c>
      <c r="D536" s="64" t="n"/>
      <c r="E536" s="63" t="n"/>
    </row>
    <row r="537" ht="18" customHeight="1">
      <c r="A537" s="62" t="n">
        <v>46293</v>
      </c>
      <c r="B537" s="63" t="inlineStr">
        <is>
          <t>Primus Japan - PUD KZN 100/200</t>
        </is>
      </c>
      <c r="C537" s="64" t="n">
        <v>1</v>
      </c>
      <c r="D537" s="64" t="n"/>
      <c r="E537" s="63" t="n"/>
    </row>
    <row r="538" ht="18" customHeight="1">
      <c r="A538" s="62" t="n">
        <v>46293</v>
      </c>
      <c r="B538" s="63" t="inlineStr">
        <is>
          <t>Primus EU - BKN</t>
        </is>
      </c>
      <c r="C538" s="64" t="n">
        <v>8</v>
      </c>
      <c r="D538" s="64" t="n"/>
      <c r="E538" s="63" t="n"/>
    </row>
    <row r="539" ht="18" customHeight="1">
      <c r="A539" s="62" t="n">
        <v>46293</v>
      </c>
      <c r="B539" s="63" t="inlineStr">
        <is>
          <t>Mackerel - WHOLE 8/10</t>
        </is>
      </c>
      <c r="C539" s="64" t="n">
        <v>6430</v>
      </c>
      <c r="D539" s="64" t="n"/>
      <c r="E539" s="63" t="n"/>
    </row>
    <row r="540" ht="18" customHeight="1">
      <c r="A540" s="62" t="n">
        <v>46293</v>
      </c>
      <c r="B540" s="63" t="inlineStr">
        <is>
          <t>Mackerel - WHOLE 10/12</t>
        </is>
      </c>
      <c r="C540" s="64" t="n">
        <v>640</v>
      </c>
      <c r="D540" s="64" t="n"/>
      <c r="E540" s="63" t="n"/>
    </row>
    <row r="541" ht="18" customHeight="1">
      <c r="A541" s="62" t="n">
        <v>46294</v>
      </c>
      <c r="B541" s="63" t="inlineStr">
        <is>
          <t>Blue Dolphin - PD PVN 100/200</t>
        </is>
      </c>
      <c r="C541" s="64" t="n">
        <v>634</v>
      </c>
      <c r="D541" s="64" t="n"/>
      <c r="E541" s="63" t="n"/>
    </row>
    <row r="542" ht="18" customHeight="1">
      <c r="A542" s="62" t="n">
        <v>46294</v>
      </c>
      <c r="B542" s="63" t="inlineStr">
        <is>
          <t>Blue Dolphin - PUD PVN 300/500</t>
        </is>
      </c>
      <c r="C542" s="64" t="n">
        <v>32</v>
      </c>
      <c r="D542" s="64" t="n"/>
      <c r="E542" s="63" t="n"/>
    </row>
    <row r="543" ht="18" customHeight="1">
      <c r="A543" s="62" t="n">
        <v>46294</v>
      </c>
      <c r="B543" s="63" t="inlineStr">
        <is>
          <t>Primus EU - BKN</t>
        </is>
      </c>
      <c r="C543" s="64" t="n">
        <v>6</v>
      </c>
      <c r="D543" s="64" t="n"/>
      <c r="E543" s="63" t="n"/>
    </row>
    <row r="544" ht="18" customHeight="1">
      <c r="A544" s="62" t="n">
        <v>46294</v>
      </c>
      <c r="B544" s="63" t="inlineStr">
        <is>
          <t>Mackerel - WHOLE 8/10</t>
        </is>
      </c>
      <c r="C544" s="64" t="n">
        <v>12300</v>
      </c>
      <c r="D544" s="64" t="n"/>
      <c r="E544" s="63" t="n"/>
    </row>
    <row r="545" ht="18" customHeight="1">
      <c r="A545" s="62" t="n">
        <v>46294</v>
      </c>
      <c r="B545" s="63" t="inlineStr">
        <is>
          <t>Mackerel - WHOLE 8/12</t>
        </is>
      </c>
      <c r="C545" s="64" t="n">
        <v>1770</v>
      </c>
      <c r="D545" s="64" t="n"/>
      <c r="E545" s="63" t="n"/>
    </row>
    <row r="546" ht="18" customHeight="1">
      <c r="A546" s="62" t="n">
        <v>46294</v>
      </c>
      <c r="B546" s="63" t="inlineStr">
        <is>
          <t>Mackerel - WHOLE 10/12</t>
        </is>
      </c>
      <c r="C546" s="64" t="n">
        <v>6330</v>
      </c>
      <c r="D546" s="64" t="n"/>
      <c r="E546" s="63" t="n"/>
    </row>
    <row r="547" ht="18" customHeight="1">
      <c r="A547" s="62" t="n">
        <v>46294</v>
      </c>
      <c r="B547" s="63" t="inlineStr">
        <is>
          <t>Mackerel - WHOLE 12/15</t>
        </is>
      </c>
      <c r="C547" s="64" t="n">
        <v>150</v>
      </c>
      <c r="D547" s="64" t="n"/>
      <c r="E547" s="63" t="n"/>
    </row>
    <row r="548" ht="18" customHeight="1">
      <c r="A548" s="62" t="n">
        <v>46295</v>
      </c>
      <c r="B548" s="63" t="inlineStr">
        <is>
          <t>Blue Dolphin - PD KKD 100/200</t>
        </is>
      </c>
      <c r="C548" s="64" t="n">
        <v>7</v>
      </c>
      <c r="D548" s="64" t="n"/>
      <c r="E548" s="63" t="n"/>
    </row>
    <row r="549" ht="18" customHeight="1">
      <c r="A549" s="62" t="n">
        <v>46295</v>
      </c>
      <c r="B549" s="63" t="inlineStr">
        <is>
          <t>Blue Dolphin - PD KKD 200/300</t>
        </is>
      </c>
      <c r="C549" s="64" t="n">
        <v>37</v>
      </c>
      <c r="D549" s="64" t="n"/>
      <c r="E549" s="63" t="n"/>
    </row>
    <row r="550" ht="18" customHeight="1">
      <c r="A550" s="62" t="n">
        <v>46295</v>
      </c>
      <c r="B550" s="63" t="inlineStr">
        <is>
          <t>Blue Dolphin - PUD KKD 200/300</t>
        </is>
      </c>
      <c r="C550" s="64" t="n">
        <v>3</v>
      </c>
      <c r="D550" s="64" t="n"/>
      <c r="E550" s="63" t="n"/>
    </row>
    <row r="551" ht="18" customHeight="1">
      <c r="A551" s="62" t="n">
        <v>46295</v>
      </c>
      <c r="B551" s="63" t="inlineStr">
        <is>
          <t>Blue Dolphin - PUD KKD 300/500</t>
        </is>
      </c>
      <c r="C551" s="64" t="n">
        <v>683</v>
      </c>
      <c r="D551" s="64" t="n"/>
      <c r="E551" s="63" t="n"/>
    </row>
    <row r="552" ht="18" customHeight="1">
      <c r="A552" s="62" t="n">
        <v>46295</v>
      </c>
      <c r="B552" s="63" t="inlineStr">
        <is>
          <t>Blue Dolphin - PUD PVN 300/500</t>
        </is>
      </c>
      <c r="C552" s="64" t="n">
        <v>32</v>
      </c>
      <c r="D552" s="64" t="n"/>
      <c r="E552" s="63" t="n"/>
    </row>
    <row r="553" ht="18" customHeight="1">
      <c r="A553" s="62" t="n">
        <v>46295</v>
      </c>
      <c r="B553" s="63" t="inlineStr">
        <is>
          <t>China - PUD KKD 500/800</t>
        </is>
      </c>
      <c r="C553" s="64" t="n">
        <v>43</v>
      </c>
      <c r="D553" s="64" t="n"/>
      <c r="E553" s="63" t="n"/>
    </row>
    <row r="554" ht="18" customHeight="1">
      <c r="A554" s="62" t="n">
        <v>46295</v>
      </c>
      <c r="B554" s="63" t="inlineStr">
        <is>
          <t>Primus EU - BKN</t>
        </is>
      </c>
      <c r="C554" s="64" t="n">
        <v>1</v>
      </c>
      <c r="D554" s="64" t="n"/>
      <c r="E554" s="63" t="n"/>
    </row>
    <row r="555" ht="18" customHeight="1">
      <c r="A555" s="62" t="n">
        <v>46295</v>
      </c>
      <c r="B555" s="63" t="inlineStr">
        <is>
          <t>Mackerel - WHOLE 6/8</t>
        </is>
      </c>
      <c r="C555" s="64" t="n">
        <v>120</v>
      </c>
      <c r="D555" s="64" t="n"/>
      <c r="E555" s="63" t="n"/>
    </row>
    <row r="556" ht="18" customHeight="1">
      <c r="A556" s="62" t="n">
        <v>46295</v>
      </c>
      <c r="B556" s="63" t="inlineStr">
        <is>
          <t>Mackerel - WHOLE 8/10</t>
        </is>
      </c>
      <c r="C556" s="64" t="n">
        <v>13780</v>
      </c>
      <c r="D556" s="64" t="n"/>
      <c r="E556" s="63" t="n"/>
    </row>
    <row r="557" ht="18" customHeight="1">
      <c r="A557" s="62" t="n">
        <v>46295</v>
      </c>
      <c r="B557" s="63" t="inlineStr">
        <is>
          <t>Mackerel - WHOLE 8/12</t>
        </is>
      </c>
      <c r="C557" s="64" t="n">
        <v>4490</v>
      </c>
      <c r="D557" s="64" t="n"/>
      <c r="E557" s="63" t="n"/>
    </row>
    <row r="558" ht="18" customHeight="1">
      <c r="A558" s="62" t="n">
        <v>46295</v>
      </c>
      <c r="B558" s="63" t="inlineStr">
        <is>
          <t>Mackerel - WHOLE 10/12</t>
        </is>
      </c>
      <c r="C558" s="64" t="n">
        <v>2040</v>
      </c>
      <c r="D558" s="64" t="n"/>
      <c r="E558" s="63" t="n"/>
    </row>
    <row r="559" ht="18" customHeight="1">
      <c r="A559" s="62" t="n">
        <v>46294</v>
      </c>
      <c r="B559" s="63" t="inlineStr">
        <is>
          <t>Mackerel - WHOLE 8/10</t>
        </is>
      </c>
      <c r="C559" s="64" t="n">
        <v>0</v>
      </c>
      <c r="D559" s="64" t="n">
        <v>19000</v>
      </c>
      <c r="E559" s="63" t="n"/>
    </row>
    <row r="560" ht="18" customHeight="1">
      <c r="A560" s="62" t="n">
        <v>46294</v>
      </c>
      <c r="B560" s="63" t="inlineStr">
        <is>
          <t>Mackerel - WHOLE 8/12</t>
        </is>
      </c>
      <c r="C560" s="64" t="n">
        <v>0</v>
      </c>
      <c r="D560" s="64" t="n">
        <v>5000</v>
      </c>
      <c r="E560" s="63" t="n"/>
    </row>
    <row r="561" ht="18" customHeight="1">
      <c r="A561" s="62" t="n">
        <v>46294</v>
      </c>
      <c r="B561" s="63" t="inlineStr">
        <is>
          <t>Mackerel - WHOLE 10/12</t>
        </is>
      </c>
      <c r="C561" s="64" t="n">
        <v>0</v>
      </c>
      <c r="D561" s="64" t="n">
        <v>2000</v>
      </c>
      <c r="E561" s="63" t="inlineStr">
        <is>
          <t>NO-12</t>
        </is>
      </c>
    </row>
    <row r="562" ht="18" customHeight="1">
      <c r="A562" s="62" t="n">
        <v>46296</v>
      </c>
      <c r="B562" s="63" t="inlineStr">
        <is>
          <t>Blue Dolphin - PUD PVN 200/300</t>
        </is>
      </c>
      <c r="C562" s="64" t="n">
        <v>29</v>
      </c>
      <c r="D562" s="64" t="n"/>
      <c r="E562" s="63" t="n"/>
    </row>
    <row r="563" ht="18" customHeight="1">
      <c r="A563" s="62" t="n">
        <v>46296</v>
      </c>
      <c r="B563" s="63" t="inlineStr">
        <is>
          <t>Blue Dolphin - PUD KKD 200/300</t>
        </is>
      </c>
      <c r="C563" s="64" t="n">
        <v>44</v>
      </c>
      <c r="D563" s="64" t="n"/>
      <c r="E563" s="63" t="n"/>
    </row>
    <row r="564" ht="18" customHeight="1">
      <c r="A564" s="62" t="n">
        <v>46296</v>
      </c>
      <c r="B564" s="63" t="inlineStr">
        <is>
          <t>Blue Dolphin - PUD PVN 300/500</t>
        </is>
      </c>
      <c r="C564" s="64" t="n">
        <v>114</v>
      </c>
      <c r="D564" s="64" t="n"/>
      <c r="E564" s="63" t="n"/>
    </row>
    <row r="565" ht="18" customHeight="1">
      <c r="A565" s="62" t="n">
        <v>46296</v>
      </c>
      <c r="B565" s="63" t="inlineStr">
        <is>
          <t>Blue Dolphin - PUD KKD 300/500</t>
        </is>
      </c>
      <c r="C565" s="64" t="n">
        <v>439</v>
      </c>
      <c r="D565" s="64" t="n"/>
      <c r="E565" s="63" t="n"/>
    </row>
    <row r="566" ht="18" customHeight="1">
      <c r="A566" s="62" t="n">
        <v>46296</v>
      </c>
      <c r="B566" s="63" t="inlineStr">
        <is>
          <t>Primus Japan - PUD PVN 100/200</t>
        </is>
      </c>
      <c r="C566" s="64" t="n">
        <v>17</v>
      </c>
      <c r="D566" s="64" t="n"/>
      <c r="E566" s="63" t="n"/>
    </row>
    <row r="567" ht="18" customHeight="1">
      <c r="A567" s="62" t="n">
        <v>46296</v>
      </c>
      <c r="B567" s="63" t="inlineStr">
        <is>
          <t>Mackerel - WHOLE 6/8</t>
        </is>
      </c>
      <c r="C567" s="64" t="n">
        <v>690</v>
      </c>
      <c r="D567" s="64" t="n"/>
      <c r="E567" s="63" t="n"/>
    </row>
    <row r="568" ht="18" customHeight="1">
      <c r="A568" s="62" t="n">
        <v>46296</v>
      </c>
      <c r="B568" s="122" t="inlineStr">
        <is>
          <t>Mackerel - WHOLE 8/10</t>
        </is>
      </c>
      <c r="C568" s="64" t="n">
        <v>19610</v>
      </c>
      <c r="D568" s="64" t="n"/>
      <c r="E568" s="63" t="n"/>
    </row>
    <row r="569" ht="18" customHeight="1">
      <c r="A569" s="62" t="n">
        <v>46296</v>
      </c>
      <c r="B569" s="63" t="inlineStr">
        <is>
          <t>Mackerel - WHOLE 8/12</t>
        </is>
      </c>
      <c r="C569" s="64" t="n">
        <v>790</v>
      </c>
      <c r="D569" s="64" t="n"/>
      <c r="E569" s="63" t="n"/>
    </row>
    <row r="570" ht="18" customHeight="1">
      <c r="A570" s="62" t="n">
        <v>46296</v>
      </c>
      <c r="B570" s="63" t="inlineStr">
        <is>
          <t>Mackerel - WHOLE 10/12</t>
        </is>
      </c>
      <c r="C570" s="64" t="n">
        <v>830</v>
      </c>
      <c r="D570" s="64" t="n"/>
      <c r="E570" s="63" t="n"/>
    </row>
    <row r="571" ht="18" customHeight="1">
      <c r="A571" s="62" t="n">
        <v>46296</v>
      </c>
      <c r="B571" s="63" t="inlineStr">
        <is>
          <t>Mackerel - WHOLE 8/10</t>
        </is>
      </c>
      <c r="C571" s="64" t="n">
        <v>0</v>
      </c>
      <c r="D571" s="64" t="n">
        <v>26000</v>
      </c>
      <c r="E571" s="63" t="inlineStr">
        <is>
          <t>NO-13</t>
        </is>
      </c>
    </row>
    <row r="572" ht="18" customHeight="1">
      <c r="A572" s="62" t="n">
        <v>46297</v>
      </c>
      <c r="B572" s="63" t="inlineStr">
        <is>
          <t>Blue Dolphin - PUD KKD 200/300</t>
        </is>
      </c>
      <c r="C572" s="64" t="n">
        <v>7</v>
      </c>
      <c r="D572" s="64" t="n"/>
      <c r="E572" s="63" t="n"/>
    </row>
    <row r="573" ht="18" customHeight="1">
      <c r="A573" s="62" t="n">
        <v>46297</v>
      </c>
      <c r="B573" s="63" t="inlineStr">
        <is>
          <t>Blue Dolphin - PUD KKD 300/500</t>
        </is>
      </c>
      <c r="C573" s="64" t="n">
        <v>176</v>
      </c>
      <c r="D573" s="64" t="n"/>
      <c r="E573" s="63" t="n"/>
    </row>
    <row r="574" ht="18" customHeight="1">
      <c r="A574" s="62" t="n">
        <v>46297</v>
      </c>
      <c r="B574" s="63" t="inlineStr">
        <is>
          <t>Blue Dolphin - PUD PVN 300/500</t>
        </is>
      </c>
      <c r="C574" s="64" t="n">
        <v>99</v>
      </c>
      <c r="D574" s="64" t="n"/>
      <c r="E574" s="63" t="n"/>
    </row>
    <row r="575" ht="18" customHeight="1">
      <c r="A575" s="62" t="n">
        <v>46297</v>
      </c>
      <c r="B575" s="63" t="inlineStr">
        <is>
          <t>Primus EU - BKN</t>
        </is>
      </c>
      <c r="C575" s="64" t="n">
        <v>1</v>
      </c>
      <c r="D575" s="64" t="n"/>
      <c r="E575" s="63" t="n"/>
    </row>
    <row r="576" ht="18" customHeight="1">
      <c r="A576" s="62" t="n">
        <v>46297</v>
      </c>
      <c r="B576" s="63" t="inlineStr">
        <is>
          <t>Mackerel - WHOLE 6/8</t>
        </is>
      </c>
      <c r="C576" s="64" t="n">
        <v>910</v>
      </c>
      <c r="D576" s="64" t="n"/>
      <c r="E576" s="63" t="n"/>
    </row>
    <row r="577" ht="18" customHeight="1">
      <c r="A577" s="62" t="n">
        <v>46297</v>
      </c>
      <c r="B577" s="63" t="inlineStr">
        <is>
          <t>Mackerel - WHOLE 8/10</t>
        </is>
      </c>
      <c r="C577" s="64" t="n">
        <v>17440</v>
      </c>
      <c r="D577" s="64" t="n"/>
      <c r="E577" s="63" t="n"/>
    </row>
    <row r="578" ht="18" customHeight="1">
      <c r="A578" s="62" t="n">
        <v>46297</v>
      </c>
      <c r="B578" s="63" t="inlineStr">
        <is>
          <t>Mackerel - WHOLE 8/12</t>
        </is>
      </c>
      <c r="C578" s="64" t="n">
        <v>1840</v>
      </c>
      <c r="D578" s="64" t="n"/>
      <c r="E578" s="63" t="n"/>
    </row>
    <row r="579" ht="18" customHeight="1">
      <c r="A579" s="62" t="n">
        <v>46297</v>
      </c>
      <c r="B579" s="63" t="inlineStr">
        <is>
          <t>Mackerel - WHOLE 10/12</t>
        </is>
      </c>
      <c r="C579" s="64" t="n">
        <v>3150</v>
      </c>
      <c r="D579" s="64" t="n"/>
      <c r="E579" s="63" t="n"/>
    </row>
    <row r="580" ht="18" customHeight="1">
      <c r="A580" s="62" t="n">
        <v>46297</v>
      </c>
      <c r="B580" s="63" t="inlineStr">
        <is>
          <t>Mackerel - WHOLE 12/15</t>
        </is>
      </c>
      <c r="C580" s="64" t="n">
        <v>200</v>
      </c>
      <c r="D580" s="64" t="n"/>
      <c r="E580" s="63" t="n"/>
    </row>
    <row r="581" ht="18" customHeight="1">
      <c r="A581" s="62" t="n">
        <v>46298</v>
      </c>
      <c r="B581" s="63" t="inlineStr">
        <is>
          <t>Blue Dolphin - PD PVN 100/200</t>
        </is>
      </c>
      <c r="C581" s="64" t="n">
        <v>39</v>
      </c>
      <c r="D581" s="64" t="n"/>
      <c r="E581" s="63" t="n"/>
    </row>
    <row r="582" ht="18" customHeight="1">
      <c r="A582" s="62" t="n">
        <v>46298</v>
      </c>
      <c r="B582" s="63" t="inlineStr">
        <is>
          <t>Blue Dolphin - PD KKD 200/300</t>
        </is>
      </c>
      <c r="C582" s="64" t="n">
        <v>11</v>
      </c>
      <c r="D582" s="64" t="n"/>
      <c r="E582" s="63" t="n"/>
    </row>
    <row r="583" ht="18" customHeight="1">
      <c r="A583" s="62" t="n">
        <v>46298</v>
      </c>
      <c r="B583" s="63" t="inlineStr">
        <is>
          <t>Blue Dolphin - PUD PVN 300/500</t>
        </is>
      </c>
      <c r="C583" s="64" t="n">
        <v>35</v>
      </c>
      <c r="D583" s="64" t="n"/>
      <c r="E583" s="63" t="n"/>
    </row>
    <row r="584" ht="18" customHeight="1">
      <c r="A584" s="62" t="n">
        <v>46298</v>
      </c>
      <c r="B584" s="63" t="inlineStr">
        <is>
          <t>Blue Dolphin - PUD KKD 300/500</t>
        </is>
      </c>
      <c r="C584" s="64" t="n">
        <v>297</v>
      </c>
      <c r="D584" s="64" t="n"/>
      <c r="E584" s="63" t="n"/>
    </row>
    <row r="585" ht="18" customHeight="1">
      <c r="A585" s="62" t="n">
        <v>46298</v>
      </c>
      <c r="B585" s="63" t="inlineStr">
        <is>
          <t>China - PUD KKD 500/800</t>
        </is>
      </c>
      <c r="C585" s="64" t="n">
        <v>17</v>
      </c>
      <c r="D585" s="64" t="n"/>
      <c r="E585" s="63" t="n"/>
    </row>
    <row r="586" ht="18" customHeight="1">
      <c r="A586" s="62" t="n">
        <v>46298</v>
      </c>
      <c r="B586" s="63" t="inlineStr">
        <is>
          <t>Mackerel - WHOLE 6/8</t>
        </is>
      </c>
      <c r="C586" s="64" t="n">
        <v>3680</v>
      </c>
      <c r="D586" s="64" t="n"/>
      <c r="E586" s="63" t="n"/>
    </row>
    <row r="587" ht="18" customHeight="1">
      <c r="A587" s="62" t="n">
        <v>46298</v>
      </c>
      <c r="B587" s="63" t="inlineStr">
        <is>
          <t>Mackerel - WHOLE 6/8</t>
        </is>
      </c>
      <c r="C587" s="64" t="n">
        <v>2050</v>
      </c>
      <c r="D587" s="64" t="n"/>
      <c r="E587" s="63" t="n"/>
    </row>
    <row r="588" ht="18" customHeight="1">
      <c r="A588" s="62" t="n">
        <v>46298</v>
      </c>
      <c r="B588" s="63" t="inlineStr">
        <is>
          <t>Mackerel - WHOLE 8/10</t>
        </is>
      </c>
      <c r="C588" s="64" t="n">
        <v>7990</v>
      </c>
      <c r="D588" s="64" t="n"/>
      <c r="E588" s="63" t="n"/>
    </row>
    <row r="589" ht="18" customHeight="1">
      <c r="A589" s="62" t="n">
        <v>46298</v>
      </c>
      <c r="B589" s="63" t="inlineStr">
        <is>
          <t>Mackerel - WHOLE 10/12</t>
        </is>
      </c>
      <c r="C589" s="64" t="n">
        <v>1870</v>
      </c>
      <c r="D589" s="64" t="n"/>
      <c r="E589" s="63" t="n"/>
    </row>
    <row r="590" ht="18" customHeight="1">
      <c r="A590" s="62" t="n">
        <v>46298</v>
      </c>
      <c r="B590" s="63" t="inlineStr">
        <is>
          <t>Mackerel - WHOLE 12/15</t>
        </is>
      </c>
      <c r="C590" s="64" t="n">
        <v>490</v>
      </c>
      <c r="D590" s="64" t="n"/>
      <c r="E590" s="63" t="n"/>
    </row>
    <row r="591" ht="18" customHeight="1">
      <c r="A591" s="62" t="n">
        <v>46299</v>
      </c>
      <c r="B591" s="63" t="inlineStr">
        <is>
          <t>Blue Dolphin - PUD KKD 200/300</t>
        </is>
      </c>
      <c r="C591" s="64" t="n">
        <v>5</v>
      </c>
      <c r="D591" s="64" t="n"/>
      <c r="E591" s="63" t="n"/>
    </row>
    <row r="592" ht="18" customHeight="1">
      <c r="A592" s="62" t="n">
        <v>46299</v>
      </c>
      <c r="B592" s="63" t="inlineStr">
        <is>
          <t>Blue Dolphin - PUD KKD 300/500</t>
        </is>
      </c>
      <c r="C592" s="64" t="n">
        <v>141</v>
      </c>
      <c r="D592" s="64" t="n"/>
      <c r="E592" s="63" t="n"/>
    </row>
    <row r="593" ht="18" customHeight="1">
      <c r="A593" s="62" t="n">
        <v>46299</v>
      </c>
      <c r="B593" s="63" t="inlineStr">
        <is>
          <t>Blue Dolphin - PUD PVN 300/500</t>
        </is>
      </c>
      <c r="C593" s="64" t="n">
        <v>55</v>
      </c>
      <c r="D593" s="64" t="n"/>
      <c r="E593" s="63" t="n"/>
    </row>
    <row r="594" ht="18" customHeight="1">
      <c r="A594" s="62" t="n">
        <v>46299</v>
      </c>
      <c r="B594" s="63" t="inlineStr">
        <is>
          <t>Blue Dolphin - PUD PVN 200/300</t>
        </is>
      </c>
      <c r="C594" s="64" t="n">
        <v>38</v>
      </c>
      <c r="D594" s="64" t="n"/>
      <c r="E594" s="63" t="n"/>
    </row>
    <row r="595" ht="18" customHeight="1">
      <c r="A595" s="62" t="n">
        <v>46299</v>
      </c>
      <c r="B595" s="63" t="inlineStr">
        <is>
          <t>Primus Japan - PUD PVN 100/200</t>
        </is>
      </c>
      <c r="C595" s="64" t="n">
        <v>22</v>
      </c>
      <c r="D595" s="64" t="n"/>
      <c r="E595" s="63" t="n"/>
    </row>
    <row r="596" ht="18" customHeight="1">
      <c r="A596" s="62" t="n">
        <v>46299</v>
      </c>
      <c r="B596" s="63" t="inlineStr">
        <is>
          <t>Primus EU - BKN</t>
        </is>
      </c>
      <c r="C596" s="64" t="n">
        <v>1</v>
      </c>
      <c r="D596" s="64" t="n"/>
      <c r="E596" s="63" t="n"/>
    </row>
    <row r="597" ht="18" customHeight="1">
      <c r="A597" s="62" t="n">
        <v>46299</v>
      </c>
      <c r="B597" s="63" t="inlineStr">
        <is>
          <t>Mackerel - WHOLE 6/8</t>
        </is>
      </c>
      <c r="C597" s="64" t="n">
        <v>1710</v>
      </c>
      <c r="D597" s="64" t="n"/>
      <c r="E597" s="63" t="n"/>
    </row>
    <row r="598" ht="18" customHeight="1">
      <c r="A598" s="62" t="n">
        <v>46299</v>
      </c>
      <c r="B598" s="63" t="inlineStr">
        <is>
          <t>Mackerel - WHOLE 8/10</t>
        </is>
      </c>
      <c r="C598" s="64" t="n">
        <v>11870</v>
      </c>
      <c r="D598" s="64" t="n"/>
      <c r="E598" s="63" t="n"/>
    </row>
    <row r="599" ht="18" customHeight="1">
      <c r="A599" s="62" t="n">
        <v>46299</v>
      </c>
      <c r="B599" s="63" t="inlineStr">
        <is>
          <t>Mackerel - WHOLE 8/12</t>
        </is>
      </c>
      <c r="C599" s="64" t="n">
        <v>3590</v>
      </c>
      <c r="D599" s="64" t="n"/>
      <c r="E599" s="63" t="n"/>
    </row>
    <row r="600" ht="18" customHeight="1">
      <c r="A600" s="62" t="n">
        <v>46299</v>
      </c>
      <c r="B600" s="63" t="inlineStr">
        <is>
          <t>Mackerel - WHOLE 10/12</t>
        </is>
      </c>
      <c r="C600" s="64" t="n">
        <v>5410</v>
      </c>
      <c r="D600" s="64" t="n"/>
      <c r="E600" s="63" t="n"/>
    </row>
    <row r="601" ht="18" customHeight="1">
      <c r="A601" s="62" t="n">
        <v>46299</v>
      </c>
      <c r="B601" s="63" t="inlineStr">
        <is>
          <t>Mackerel - WHOLE 12/15</t>
        </is>
      </c>
      <c r="C601" s="64" t="n">
        <v>1200</v>
      </c>
      <c r="D601" s="64" t="n"/>
      <c r="E601" s="63" t="n"/>
    </row>
    <row r="602" ht="18" customHeight="1">
      <c r="A602" s="62" t="n">
        <v>46300</v>
      </c>
      <c r="B602" s="63" t="inlineStr">
        <is>
          <t>Blue Dolphin - PD PVN 200/300</t>
        </is>
      </c>
      <c r="C602" s="64" t="n">
        <v>61</v>
      </c>
      <c r="D602" s="64" t="n"/>
      <c r="E602" s="63" t="n"/>
    </row>
    <row r="603" ht="18" customHeight="1">
      <c r="A603" s="62" t="n">
        <v>46300</v>
      </c>
      <c r="B603" s="63" t="inlineStr">
        <is>
          <t>Blue Dolphin - PD KKD 200/300</t>
        </is>
      </c>
      <c r="C603" s="64" t="n">
        <v>2</v>
      </c>
      <c r="D603" s="64" t="n"/>
      <c r="E603" s="63" t="n"/>
    </row>
    <row r="604" ht="18" customHeight="1">
      <c r="A604" s="62" t="n">
        <v>46300</v>
      </c>
      <c r="B604" s="63" t="inlineStr">
        <is>
          <t>Blue Dolphin - PUD PVN 200/300</t>
        </is>
      </c>
      <c r="C604" s="64" t="n">
        <v>35</v>
      </c>
      <c r="D604" s="64" t="n"/>
      <c r="E604" s="63" t="n"/>
    </row>
    <row r="605" ht="18" customHeight="1">
      <c r="A605" s="62" t="n">
        <v>46300</v>
      </c>
      <c r="B605" s="63" t="inlineStr">
        <is>
          <t>Blue Dolphin - PUD PVN 300/500</t>
        </is>
      </c>
      <c r="C605" s="64" t="n">
        <v>83</v>
      </c>
      <c r="D605" s="64" t="n"/>
      <c r="E605" s="63" t="n"/>
    </row>
    <row r="606" ht="18" customHeight="1">
      <c r="A606" s="62" t="n">
        <v>46300</v>
      </c>
      <c r="B606" s="63" t="inlineStr">
        <is>
          <t>Blue Dolphin - PUD KKD 300/500</t>
        </is>
      </c>
      <c r="C606" s="64" t="n">
        <v>103</v>
      </c>
      <c r="D606" s="64" t="n"/>
      <c r="E606" s="63" t="n"/>
    </row>
    <row r="607" ht="18" customHeight="1">
      <c r="A607" s="62" t="n">
        <v>46300</v>
      </c>
      <c r="B607" s="63" t="inlineStr">
        <is>
          <t>Primus Japan - PUD PVN 100/200</t>
        </is>
      </c>
      <c r="C607" s="64" t="n">
        <v>28</v>
      </c>
      <c r="D607" s="64" t="n"/>
      <c r="E607" s="63" t="n"/>
    </row>
    <row r="608" ht="18" customHeight="1">
      <c r="A608" s="62" t="n">
        <v>46300</v>
      </c>
      <c r="B608" s="63" t="inlineStr">
        <is>
          <t>China - PUD KKD 500/800</t>
        </is>
      </c>
      <c r="C608" s="64" t="n">
        <v>5</v>
      </c>
      <c r="D608" s="64" t="n"/>
      <c r="E608" s="63" t="n"/>
    </row>
    <row r="609" ht="18" customHeight="1">
      <c r="A609" s="62" t="n">
        <v>46300</v>
      </c>
      <c r="B609" s="63" t="inlineStr">
        <is>
          <t>Mackerel - WHOLE 6/8</t>
        </is>
      </c>
      <c r="C609" s="64" t="n">
        <v>420</v>
      </c>
      <c r="D609" s="64" t="n"/>
      <c r="E609" s="63" t="n"/>
    </row>
    <row r="610" ht="18" customHeight="1">
      <c r="A610" s="62" t="n">
        <v>46300</v>
      </c>
      <c r="B610" s="63" t="inlineStr">
        <is>
          <t>Mackerel - WHOLE 8/10</t>
        </is>
      </c>
      <c r="C610" s="64" t="n">
        <v>3200</v>
      </c>
      <c r="D610" s="64" t="n"/>
      <c r="E610" s="63" t="n"/>
    </row>
    <row r="611" ht="18" customHeight="1">
      <c r="A611" s="62" t="n">
        <v>46300</v>
      </c>
      <c r="B611" s="63" t="inlineStr">
        <is>
          <t>Mackerel - WHOLE 8/12</t>
        </is>
      </c>
      <c r="C611" s="64" t="n">
        <v>7360</v>
      </c>
      <c r="D611" s="64" t="n"/>
      <c r="E611" s="63" t="n"/>
    </row>
    <row r="612" ht="18" customHeight="1">
      <c r="A612" s="62" t="n">
        <v>46300</v>
      </c>
      <c r="B612" s="63" t="inlineStr">
        <is>
          <t>Mackerel - WHOLE 10/12</t>
        </is>
      </c>
      <c r="C612" s="64" t="n">
        <v>6760</v>
      </c>
      <c r="D612" s="64" t="n"/>
      <c r="E612" s="63" t="n"/>
    </row>
    <row r="613" ht="18" customHeight="1">
      <c r="A613" s="62" t="n">
        <v>46300</v>
      </c>
      <c r="B613" s="63" t="inlineStr">
        <is>
          <t>Mackerel - WHOLE 12/15</t>
        </is>
      </c>
      <c r="C613" s="64" t="n">
        <v>1130</v>
      </c>
      <c r="D613" s="64" t="n"/>
      <c r="E613" s="63" t="n"/>
    </row>
    <row r="614" ht="18" customHeight="1">
      <c r="A614" s="62" t="n">
        <v>46301</v>
      </c>
      <c r="B614" s="63" t="inlineStr">
        <is>
          <t>Blue Dolphin - PD PVN 100/200</t>
        </is>
      </c>
      <c r="C614" s="64" t="n">
        <v>15</v>
      </c>
      <c r="D614" s="64" t="n"/>
      <c r="E614" s="63" t="n"/>
    </row>
    <row r="615" ht="18" customHeight="1">
      <c r="A615" s="62" t="n">
        <v>46301</v>
      </c>
      <c r="B615" s="63" t="inlineStr">
        <is>
          <t>Blue Dolphin - PD PVN 200/300</t>
        </is>
      </c>
      <c r="C615" s="64" t="n">
        <v>8</v>
      </c>
      <c r="D615" s="64" t="n"/>
      <c r="E615" s="63" t="n"/>
    </row>
    <row r="616" ht="18" customHeight="1">
      <c r="A616" s="62" t="n">
        <v>46301</v>
      </c>
      <c r="B616" s="63" t="inlineStr">
        <is>
          <t>Blue Dolphin - PUD PVN 300/500</t>
        </is>
      </c>
      <c r="C616" s="64" t="n">
        <v>78</v>
      </c>
      <c r="D616" s="64" t="n"/>
      <c r="E616" s="63" t="n"/>
    </row>
    <row r="617" ht="18" customHeight="1">
      <c r="A617" s="62" t="n">
        <v>46301</v>
      </c>
      <c r="B617" s="63" t="inlineStr">
        <is>
          <t>Blue Dolphin - PUD KKD 300/500</t>
        </is>
      </c>
      <c r="C617" s="64" t="n">
        <v>376</v>
      </c>
      <c r="D617" s="64" t="n"/>
      <c r="E617" s="63" t="n"/>
    </row>
    <row r="618" ht="18" customHeight="1">
      <c r="A618" s="62" t="n">
        <v>46301</v>
      </c>
      <c r="B618" s="63" t="inlineStr">
        <is>
          <t>Mackerel - WHOLE 6/8</t>
        </is>
      </c>
      <c r="C618" s="64" t="n">
        <v>1160</v>
      </c>
      <c r="D618" s="64" t="n"/>
      <c r="E618" s="63" t="n"/>
    </row>
    <row r="619" ht="18" customHeight="1">
      <c r="A619" s="62" t="n">
        <v>46301</v>
      </c>
      <c r="B619" s="122" t="inlineStr">
        <is>
          <t>Mackerel - WHOLE 8/10</t>
        </is>
      </c>
      <c r="C619" s="64" t="n">
        <v>8090</v>
      </c>
      <c r="D619" s="64" t="n"/>
      <c r="E619" s="63" t="n"/>
    </row>
    <row r="620" ht="18" customHeight="1">
      <c r="A620" s="62" t="n">
        <v>46301</v>
      </c>
      <c r="B620" s="63" t="inlineStr">
        <is>
          <t>Mackerel - WHOLE 8/12</t>
        </is>
      </c>
      <c r="C620" s="64" t="n">
        <v>480</v>
      </c>
      <c r="D620" s="64" t="n"/>
      <c r="E620" s="63" t="n"/>
    </row>
    <row r="621" ht="18" customHeight="1">
      <c r="A621" s="62" t="n">
        <v>46301</v>
      </c>
      <c r="B621" s="63" t="inlineStr">
        <is>
          <t>Mackerel - WHOLE 10/12</t>
        </is>
      </c>
      <c r="C621" s="64" t="n">
        <v>3840</v>
      </c>
      <c r="D621" s="64" t="n"/>
      <c r="E621" s="63" t="n"/>
    </row>
    <row r="622" ht="18" customHeight="1">
      <c r="A622" s="62" t="n">
        <v>46301</v>
      </c>
      <c r="B622" s="63" t="inlineStr">
        <is>
          <t>Mackerel - WHOLE 12/15</t>
        </is>
      </c>
      <c r="C622" s="64" t="n">
        <v>740</v>
      </c>
      <c r="D622" s="64" t="n"/>
      <c r="E622" s="63" t="n"/>
    </row>
    <row r="623" ht="18" customHeight="1">
      <c r="A623" s="62" t="n">
        <v>46297</v>
      </c>
      <c r="B623" s="63" t="inlineStr">
        <is>
          <t>Mackerel - WHOLE 8/10</t>
        </is>
      </c>
      <c r="C623" s="64" t="n">
        <v>0</v>
      </c>
      <c r="D623" s="64" t="n">
        <v>9000</v>
      </c>
      <c r="E623" s="63" t="n"/>
    </row>
    <row r="624" ht="18" customHeight="1">
      <c r="A624" s="62" t="n">
        <v>46297</v>
      </c>
      <c r="B624" s="63" t="inlineStr">
        <is>
          <t>Mackerel - WHOLE 8/12</t>
        </is>
      </c>
      <c r="C624" s="64" t="n">
        <v>0</v>
      </c>
      <c r="D624" s="64" t="n">
        <v>6270</v>
      </c>
      <c r="E624" s="63" t="inlineStr">
        <is>
          <t>NO-14</t>
        </is>
      </c>
    </row>
    <row r="625" ht="18" customHeight="1">
      <c r="A625" s="62" t="n">
        <v>46297</v>
      </c>
      <c r="B625" s="63" t="inlineStr">
        <is>
          <t>Mackerel - WHOLE 10/12</t>
        </is>
      </c>
      <c r="C625" s="64" t="n">
        <v>0</v>
      </c>
      <c r="D625" s="64" t="n">
        <v>10200</v>
      </c>
      <c r="E625" s="63" t="inlineStr">
        <is>
          <t>B GRADE 8/10-240 10/12-60 8/12-230=530</t>
        </is>
      </c>
    </row>
    <row r="626" ht="18" customHeight="1">
      <c r="A626" s="62" t="n">
        <v>46299</v>
      </c>
      <c r="B626" s="63" t="inlineStr">
        <is>
          <t>Mackerel - WHOLE 6/8</t>
        </is>
      </c>
      <c r="C626" s="64" t="n">
        <v>0</v>
      </c>
      <c r="D626" s="64" t="n">
        <v>3850</v>
      </c>
      <c r="E626" s="63" t="n"/>
    </row>
    <row r="627" ht="18" customHeight="1">
      <c r="A627" s="62" t="n">
        <v>46299</v>
      </c>
      <c r="B627" s="63" t="inlineStr">
        <is>
          <t>Mackerel - WHOLE 8/10</t>
        </is>
      </c>
      <c r="C627" s="64" t="n">
        <v>0</v>
      </c>
      <c r="D627" s="64" t="n">
        <v>22150</v>
      </c>
      <c r="E627" s="63" t="inlineStr">
        <is>
          <t>NO-15</t>
        </is>
      </c>
    </row>
    <row r="628" ht="18" customHeight="1">
      <c r="A628" s="62" t="n">
        <v>46301</v>
      </c>
      <c r="B628" s="63" t="inlineStr">
        <is>
          <t>Mackerel - WHOLE 6/8</t>
        </is>
      </c>
      <c r="C628" s="64" t="n">
        <v>0</v>
      </c>
      <c r="D628" s="64" t="n">
        <v>2000</v>
      </c>
      <c r="E628" s="63" t="n"/>
    </row>
    <row r="629" ht="18" customHeight="1">
      <c r="A629" s="62" t="n">
        <v>46301</v>
      </c>
      <c r="B629" s="63" t="inlineStr">
        <is>
          <t>Mackerel - WHOLE 8/10</t>
        </is>
      </c>
      <c r="C629" s="64" t="n">
        <v>0</v>
      </c>
      <c r="D629" s="64" t="n">
        <v>16000</v>
      </c>
      <c r="E629" s="63" t="n"/>
    </row>
    <row r="630" ht="18" customHeight="1">
      <c r="A630" s="62" t="n">
        <v>46301</v>
      </c>
      <c r="B630" s="63" t="inlineStr">
        <is>
          <t>Mackerel - WHOLE 8/12</t>
        </is>
      </c>
      <c r="C630" s="64" t="n">
        <v>0</v>
      </c>
      <c r="D630" s="64" t="n">
        <v>4000</v>
      </c>
      <c r="E630" s="63" t="n"/>
    </row>
    <row r="631" ht="18" customHeight="1">
      <c r="A631" s="62" t="n">
        <v>46301</v>
      </c>
      <c r="B631" s="63" t="inlineStr">
        <is>
          <t>Mackerel - WHOLE 10/12</t>
        </is>
      </c>
      <c r="C631" s="64" t="n">
        <v>0</v>
      </c>
      <c r="D631" s="64" t="n">
        <v>4000</v>
      </c>
      <c r="E631" s="63" t="inlineStr">
        <is>
          <t>NO-16</t>
        </is>
      </c>
    </row>
    <row r="632" ht="18" customHeight="1">
      <c r="A632" s="62" t="n">
        <v>46302</v>
      </c>
      <c r="B632" s="63" t="inlineStr">
        <is>
          <t>Mackerel - WHOLE 8/10</t>
        </is>
      </c>
      <c r="C632" s="64" t="n">
        <v>0</v>
      </c>
      <c r="D632" s="64" t="n">
        <v>20000</v>
      </c>
      <c r="E632" s="63" t="n"/>
    </row>
    <row r="633" ht="18" customHeight="1">
      <c r="A633" s="62" t="n">
        <v>46302</v>
      </c>
      <c r="B633" s="63" t="inlineStr">
        <is>
          <t>Mackerel - WHOLE 8/12</t>
        </is>
      </c>
      <c r="C633" s="64" t="n">
        <v>0</v>
      </c>
      <c r="D633" s="64" t="n">
        <v>6000</v>
      </c>
      <c r="E633" s="63" t="inlineStr">
        <is>
          <t>NO-17</t>
        </is>
      </c>
    </row>
    <row r="634" ht="18" customHeight="1">
      <c r="A634" s="62" t="n">
        <v>46302</v>
      </c>
      <c r="B634" s="63" t="inlineStr">
        <is>
          <t>Blue Dolphin - PUD PVN 200/300</t>
        </is>
      </c>
      <c r="C634" s="64" t="n">
        <v>29</v>
      </c>
      <c r="D634" s="64" t="n"/>
      <c r="E634" s="63" t="n"/>
    </row>
    <row r="635" ht="18" customHeight="1">
      <c r="A635" s="62" t="n">
        <v>46302</v>
      </c>
      <c r="B635" s="63" t="inlineStr">
        <is>
          <t>Blue Dolphin - PUD KKD 200/300</t>
        </is>
      </c>
      <c r="C635" s="64" t="n">
        <v>8</v>
      </c>
      <c r="D635" s="64" t="n"/>
      <c r="E635" s="63" t="n"/>
    </row>
    <row r="636" ht="18" customHeight="1">
      <c r="A636" s="62" t="n">
        <v>46302</v>
      </c>
      <c r="B636" s="63" t="inlineStr">
        <is>
          <t>Blue Dolphin - PUD KKD 300/500</t>
        </is>
      </c>
      <c r="C636" s="64" t="n">
        <v>78</v>
      </c>
      <c r="D636" s="64" t="n"/>
      <c r="E636" s="63" t="n"/>
    </row>
    <row r="637" ht="18" customHeight="1">
      <c r="A637" s="62" t="n">
        <v>46302</v>
      </c>
      <c r="B637" s="63" t="inlineStr">
        <is>
          <t>Primus Japan - PUD PVN 80/120</t>
        </is>
      </c>
      <c r="C637" s="64" t="n">
        <v>7</v>
      </c>
      <c r="D637" s="64" t="n"/>
      <c r="E637" s="63" t="n"/>
    </row>
    <row r="638" ht="18" customHeight="1">
      <c r="A638" s="62" t="n">
        <v>46302</v>
      </c>
      <c r="B638" s="63" t="inlineStr">
        <is>
          <t>Primus Japan - PUD PVN 100/200</t>
        </is>
      </c>
      <c r="C638" s="64" t="n">
        <v>17</v>
      </c>
      <c r="D638" s="64" t="n"/>
      <c r="E638" s="63" t="n"/>
    </row>
    <row r="639" ht="18" customHeight="1">
      <c r="A639" s="62" t="n">
        <v>46302</v>
      </c>
      <c r="B639" s="63" t="inlineStr">
        <is>
          <t>Mackerel - WHOLE 6/8</t>
        </is>
      </c>
      <c r="C639" s="64" t="n">
        <v>2300</v>
      </c>
      <c r="D639" s="64" t="n"/>
      <c r="E639" s="63" t="n"/>
    </row>
    <row r="640" ht="18" customHeight="1">
      <c r="A640" s="62" t="n">
        <v>46302</v>
      </c>
      <c r="B640" s="63" t="inlineStr">
        <is>
          <t>Mackerel - WHOLE 8/10</t>
        </is>
      </c>
      <c r="C640" s="64" t="n">
        <v>11310</v>
      </c>
      <c r="D640" s="64" t="n"/>
      <c r="E640" s="63" t="n"/>
    </row>
    <row r="641" ht="18" customHeight="1">
      <c r="A641" s="62" t="n">
        <v>46302</v>
      </c>
      <c r="B641" s="63" t="inlineStr">
        <is>
          <t>Mackerel - WHOLE 10/12</t>
        </is>
      </c>
      <c r="C641" s="64" t="n">
        <v>1090</v>
      </c>
      <c r="D641" s="64" t="n"/>
      <c r="E641" s="63" t="n"/>
    </row>
    <row r="642" ht="18" customHeight="1">
      <c r="A642" s="62" t="n">
        <v>46302</v>
      </c>
      <c r="B642" s="63" t="inlineStr">
        <is>
          <t>Mackerel - WHOLE 12/15</t>
        </is>
      </c>
      <c r="C642" s="64" t="n">
        <v>100</v>
      </c>
      <c r="D642" s="64" t="n"/>
      <c r="E642" s="63" t="n"/>
    </row>
    <row r="643" ht="18" customHeight="1">
      <c r="A643" s="62" t="n">
        <v>46303</v>
      </c>
      <c r="B643" s="63" t="inlineStr">
        <is>
          <t>Blue Dolphin - PUD KKD 200/300</t>
        </is>
      </c>
      <c r="C643" s="64" t="n">
        <v>16</v>
      </c>
      <c r="D643" s="64" t="n"/>
      <c r="E643" s="63" t="n"/>
    </row>
    <row r="644" ht="18" customHeight="1">
      <c r="A644" s="62" t="n">
        <v>46303</v>
      </c>
      <c r="B644" s="63" t="inlineStr">
        <is>
          <t>Blue Dolphin - PUD KKD 300/500</t>
        </is>
      </c>
      <c r="C644" s="64" t="n">
        <v>32</v>
      </c>
      <c r="D644" s="64" t="n"/>
      <c r="E644" s="63" t="n"/>
    </row>
    <row r="645" ht="18" customHeight="1">
      <c r="A645" s="62" t="n">
        <v>46303</v>
      </c>
      <c r="B645" s="63" t="inlineStr">
        <is>
          <t>Mackerel - WHOLE 6/8</t>
        </is>
      </c>
      <c r="C645" s="64" t="n">
        <v>650</v>
      </c>
      <c r="D645" s="64" t="n"/>
      <c r="E645" s="63" t="n"/>
    </row>
    <row r="646" ht="18" customHeight="1">
      <c r="A646" s="62" t="n">
        <v>46303</v>
      </c>
      <c r="B646" s="63" t="inlineStr">
        <is>
          <t>Mackerel - WHOLE 8/10</t>
        </is>
      </c>
      <c r="C646" s="64" t="n">
        <v>11600</v>
      </c>
      <c r="D646" s="64" t="n"/>
      <c r="E646" s="63" t="n"/>
    </row>
    <row r="647" ht="18" customHeight="1">
      <c r="A647" s="62" t="n">
        <v>46303</v>
      </c>
      <c r="B647" s="63" t="inlineStr">
        <is>
          <t>Mackerel - WHOLE 10/12</t>
        </is>
      </c>
      <c r="C647" s="64" t="n">
        <v>1640</v>
      </c>
      <c r="D647" s="64" t="n"/>
      <c r="E647" s="63" t="n"/>
    </row>
    <row r="648" ht="18" customHeight="1">
      <c r="A648" s="62" t="n">
        <v>46303</v>
      </c>
      <c r="B648" s="63" t="inlineStr">
        <is>
          <t>Mackerel - WHOLE 12/15</t>
        </is>
      </c>
      <c r="C648" s="64" t="n">
        <v>80</v>
      </c>
      <c r="D648" s="64" t="n"/>
      <c r="E648" s="63" t="n"/>
    </row>
    <row r="649" ht="18" customHeight="1">
      <c r="A649" s="62" t="n">
        <v>46303</v>
      </c>
      <c r="B649" s="63" t="inlineStr">
        <is>
          <t>Mackerel - WHOLE 8/10</t>
        </is>
      </c>
      <c r="C649" s="64" t="n">
        <v>0</v>
      </c>
      <c r="D649" s="64" t="n">
        <v>16000</v>
      </c>
      <c r="E649" s="63" t="n"/>
    </row>
    <row r="650" ht="18" customHeight="1">
      <c r="A650" s="62" t="n">
        <v>46303</v>
      </c>
      <c r="B650" s="63" t="inlineStr">
        <is>
          <t>Mackerel - WHOLE 8/12</t>
        </is>
      </c>
      <c r="C650" s="64" t="n">
        <v>0</v>
      </c>
      <c r="D650" s="64" t="n">
        <v>10000</v>
      </c>
      <c r="E650" s="63" t="inlineStr">
        <is>
          <t>NO-18</t>
        </is>
      </c>
    </row>
    <row r="651" ht="18" customHeight="1">
      <c r="A651" s="62" t="n">
        <v>46304</v>
      </c>
      <c r="B651" s="63" t="inlineStr">
        <is>
          <t>Blue Dolphin - PUD PVN 300/500</t>
        </is>
      </c>
      <c r="C651" s="64" t="n">
        <v>113</v>
      </c>
      <c r="D651" s="64" t="n"/>
      <c r="E651" s="63" t="n"/>
    </row>
    <row r="652" ht="18" customHeight="1">
      <c r="A652" s="62" t="n">
        <v>46304</v>
      </c>
      <c r="B652" s="63" t="inlineStr">
        <is>
          <t>Blue Dolphin - PUD KKD 300/500</t>
        </is>
      </c>
      <c r="C652" s="64" t="n">
        <v>45</v>
      </c>
      <c r="D652" s="64" t="n"/>
      <c r="E652" s="63" t="n"/>
    </row>
    <row r="653" ht="18" customHeight="1">
      <c r="A653" s="62" t="n">
        <v>46305</v>
      </c>
      <c r="B653" s="63" t="inlineStr">
        <is>
          <t>Blue Dolphin - PUD PVN 200/300</t>
        </is>
      </c>
      <c r="C653" s="64" t="n">
        <v>1</v>
      </c>
      <c r="D653" s="64" t="n"/>
      <c r="E653" s="63" t="n"/>
    </row>
    <row r="654" ht="18" customHeight="1">
      <c r="A654" s="62" t="n">
        <v>46305</v>
      </c>
      <c r="B654" s="63" t="inlineStr">
        <is>
          <t>Blue Dolphin - PUD KKD 200/300</t>
        </is>
      </c>
      <c r="C654" s="64" t="n">
        <v>62</v>
      </c>
      <c r="D654" s="64" t="n"/>
      <c r="E654" s="63" t="n"/>
    </row>
    <row r="655" ht="18" customHeight="1">
      <c r="A655" s="62" t="n">
        <v>46305</v>
      </c>
      <c r="B655" s="63" t="inlineStr">
        <is>
          <t>Blue Dolphin - PUD KKD 300/500</t>
        </is>
      </c>
      <c r="C655" s="64" t="n">
        <v>23</v>
      </c>
      <c r="D655" s="64" t="n"/>
      <c r="E655" s="63" t="n"/>
    </row>
    <row r="656" ht="18" customHeight="1">
      <c r="A656" s="62" t="n">
        <v>46305</v>
      </c>
      <c r="B656" s="63" t="inlineStr">
        <is>
          <t>Blue Dolphin - PUD PVN 300/500</t>
        </is>
      </c>
      <c r="C656" s="64" t="n">
        <v>128</v>
      </c>
      <c r="D656" s="64" t="n"/>
      <c r="E656" s="63" t="n"/>
    </row>
    <row r="657" ht="18" customHeight="1">
      <c r="A657" s="62" t="n">
        <v>46305</v>
      </c>
      <c r="B657" s="63" t="inlineStr">
        <is>
          <t>Primus Japan - PUD PVN 100/200</t>
        </is>
      </c>
      <c r="C657" s="64" t="n">
        <v>1</v>
      </c>
      <c r="D657" s="64" t="n"/>
      <c r="E657" s="63" t="n"/>
    </row>
    <row r="658" ht="18" customHeight="1">
      <c r="A658" s="62" t="n">
        <v>46305</v>
      </c>
      <c r="B658" s="63" t="inlineStr">
        <is>
          <t>Mackerel - WHOLE 6/8</t>
        </is>
      </c>
      <c r="C658" s="64" t="n">
        <v>0</v>
      </c>
      <c r="D658" s="64" t="n">
        <v>6000</v>
      </c>
      <c r="E658" s="63" t="n"/>
    </row>
    <row r="659" ht="18" customHeight="1">
      <c r="A659" s="62" t="n">
        <v>46305</v>
      </c>
      <c r="B659" s="63" t="inlineStr">
        <is>
          <t>Mackerel - WHOLE 8/10</t>
        </is>
      </c>
      <c r="C659" s="64" t="n">
        <v>0</v>
      </c>
      <c r="D659" s="64" t="n">
        <v>20000</v>
      </c>
      <c r="E659" s="63" t="inlineStr">
        <is>
          <t>NO-19</t>
        </is>
      </c>
    </row>
    <row r="660" ht="18" customHeight="1">
      <c r="A660" s="62" t="n">
        <v>46307</v>
      </c>
      <c r="B660" s="63" t="inlineStr">
        <is>
          <t>Blue Dolphin - PD PVN 100/200</t>
        </is>
      </c>
      <c r="C660" s="64" t="n">
        <v>133</v>
      </c>
      <c r="D660" s="64" t="n"/>
      <c r="E660" s="63" t="n"/>
    </row>
    <row r="661" ht="18" customHeight="1">
      <c r="A661" s="62" t="n">
        <v>46307</v>
      </c>
      <c r="B661" s="63" t="inlineStr">
        <is>
          <t>Blue Dolphin - PD PVN 200/300</t>
        </is>
      </c>
      <c r="C661" s="64" t="n">
        <v>57</v>
      </c>
      <c r="D661" s="64" t="n"/>
      <c r="E661" s="63" t="n"/>
    </row>
    <row r="662" ht="18" customHeight="1">
      <c r="A662" s="62" t="n">
        <v>46307</v>
      </c>
      <c r="B662" s="63" t="inlineStr">
        <is>
          <t>Blue Dolphin - PD KKD 100/200</t>
        </is>
      </c>
      <c r="C662" s="64" t="n">
        <v>55</v>
      </c>
      <c r="D662" s="64" t="n"/>
      <c r="E662" s="63" t="n"/>
    </row>
    <row r="663" ht="18" customHeight="1">
      <c r="A663" s="62" t="n">
        <v>46307</v>
      </c>
      <c r="B663" s="63" t="inlineStr">
        <is>
          <t>Blue Dolphin - PD KKD 200/300</t>
        </is>
      </c>
      <c r="C663" s="64" t="n">
        <v>55</v>
      </c>
      <c r="D663" s="64" t="n"/>
      <c r="E663" s="63" t="n"/>
    </row>
    <row r="664" ht="18" customHeight="1">
      <c r="A664" s="62" t="n">
        <v>46307</v>
      </c>
      <c r="B664" s="63" t="inlineStr">
        <is>
          <t>Blue Dolphin - PUD PVN 300/500</t>
        </is>
      </c>
      <c r="C664" s="64" t="n">
        <v>210</v>
      </c>
      <c r="D664" s="64" t="n"/>
      <c r="E664" s="63" t="n"/>
    </row>
    <row r="665" ht="18" customHeight="1">
      <c r="A665" s="62" t="n">
        <v>46307</v>
      </c>
      <c r="B665" s="63" t="inlineStr">
        <is>
          <t>Blue Dolphin - PUD KKD 300/500</t>
        </is>
      </c>
      <c r="C665" s="64" t="n">
        <v>17</v>
      </c>
      <c r="D665" s="64" t="n"/>
      <c r="E665" s="63" t="n"/>
    </row>
    <row r="666" ht="18" customHeight="1">
      <c r="A666" s="62" t="n">
        <v>46307</v>
      </c>
      <c r="B666" s="63" t="inlineStr">
        <is>
          <t>Primus Japan - PUD KZN 100/200</t>
        </is>
      </c>
      <c r="C666" s="64" t="n">
        <v>1</v>
      </c>
      <c r="D666" s="64" t="n"/>
      <c r="E666" s="63" t="n"/>
    </row>
    <row r="667" ht="18" customHeight="1">
      <c r="A667" s="62" t="n">
        <v>46307</v>
      </c>
      <c r="B667" s="63" t="inlineStr">
        <is>
          <t>Primus EU - BKN</t>
        </is>
      </c>
      <c r="C667" s="64" t="n">
        <v>7</v>
      </c>
      <c r="D667" s="64" t="n"/>
      <c r="E667" s="63" t="n"/>
    </row>
    <row r="668" ht="18" customHeight="1">
      <c r="A668" s="62" t="n">
        <v>46308</v>
      </c>
      <c r="B668" s="63" t="inlineStr">
        <is>
          <t>Blue Dolphin - PD KKD 100/200</t>
        </is>
      </c>
      <c r="C668" s="64" t="n">
        <v>105</v>
      </c>
      <c r="D668" s="64" t="n"/>
      <c r="E668" s="63" t="n"/>
    </row>
    <row r="669" ht="18" customHeight="1">
      <c r="A669" s="62" t="n">
        <v>46308</v>
      </c>
      <c r="B669" s="63" t="inlineStr">
        <is>
          <t>Blue Dolphin - PD KKD 200/300</t>
        </is>
      </c>
      <c r="C669" s="64" t="n">
        <v>194</v>
      </c>
      <c r="D669" s="64" t="n"/>
      <c r="E669" s="63" t="n"/>
    </row>
    <row r="670" ht="18" customHeight="1">
      <c r="A670" s="62" t="n">
        <v>46308</v>
      </c>
      <c r="B670" s="63" t="inlineStr">
        <is>
          <t>Blue Dolphin - PUD PVN 200/300</t>
        </is>
      </c>
      <c r="C670" s="64" t="n">
        <v>13</v>
      </c>
      <c r="D670" s="64" t="n"/>
      <c r="E670" s="63" t="n"/>
    </row>
    <row r="671" ht="18" customHeight="1">
      <c r="A671" s="62" t="n">
        <v>46308</v>
      </c>
      <c r="B671" s="63" t="inlineStr">
        <is>
          <t>Blue Dolphin - PUD PVN 300/500</t>
        </is>
      </c>
      <c r="C671" s="64" t="n">
        <v>131</v>
      </c>
      <c r="D671" s="64" t="n"/>
      <c r="E671" s="63" t="n"/>
    </row>
    <row r="672" ht="18" customHeight="1">
      <c r="A672" s="62" t="n">
        <v>46308</v>
      </c>
      <c r="B672" s="63" t="inlineStr">
        <is>
          <t>Blue Dolphin - PUD KKD 300/500</t>
        </is>
      </c>
      <c r="C672" s="64" t="n">
        <v>282</v>
      </c>
      <c r="D672" s="64" t="n"/>
      <c r="E672" s="63" t="n"/>
    </row>
    <row r="673" ht="18" customHeight="1">
      <c r="A673" s="62" t="n">
        <v>46308</v>
      </c>
      <c r="B673" s="63" t="inlineStr">
        <is>
          <t>Primus Japan - PUD KZN 80/120</t>
        </is>
      </c>
      <c r="C673" s="64" t="n">
        <v>3</v>
      </c>
      <c r="D673" s="64" t="n"/>
      <c r="E673" s="63" t="n"/>
    </row>
    <row r="674" ht="18" customHeight="1">
      <c r="A674" s="62" t="n">
        <v>46308</v>
      </c>
      <c r="B674" s="63" t="inlineStr">
        <is>
          <t>Primus Japan - PUD KZN 100/200</t>
        </is>
      </c>
      <c r="C674" s="64" t="n">
        <v>7</v>
      </c>
      <c r="D674" s="64" t="n"/>
      <c r="E674" s="63" t="n"/>
    </row>
    <row r="675" ht="18" customHeight="1">
      <c r="A675" s="62" t="n">
        <v>46308</v>
      </c>
      <c r="B675" s="63" t="inlineStr">
        <is>
          <t>Primus Japan - PUD KZN 200/300</t>
        </is>
      </c>
      <c r="C675" s="64" t="n">
        <v>1</v>
      </c>
      <c r="D675" s="64" t="n"/>
      <c r="E675" s="63" t="n"/>
    </row>
    <row r="676" ht="18" customHeight="1">
      <c r="A676" s="62" t="n">
        <v>46308</v>
      </c>
      <c r="B676" s="63" t="inlineStr">
        <is>
          <t>Primus EU - BKN</t>
        </is>
      </c>
      <c r="C676" s="64" t="n">
        <v>5</v>
      </c>
      <c r="D676" s="64" t="n"/>
      <c r="E676" s="63" t="n"/>
    </row>
    <row r="677" ht="18" customHeight="1">
      <c r="A677" s="62" t="n">
        <v>46309</v>
      </c>
      <c r="B677" s="63" t="inlineStr">
        <is>
          <t>Blue Dolphin - PD KKD 100/200</t>
        </is>
      </c>
      <c r="C677" s="64" t="n">
        <v>80</v>
      </c>
      <c r="D677" s="64" t="n"/>
      <c r="E677" s="63" t="n"/>
    </row>
    <row r="678" ht="18" customHeight="1">
      <c r="A678" s="62" t="n">
        <v>46309</v>
      </c>
      <c r="B678" s="63" t="inlineStr">
        <is>
          <t>Blue Dolphin - PD KKD 200/300</t>
        </is>
      </c>
      <c r="C678" s="64" t="n">
        <v>199</v>
      </c>
      <c r="D678" s="64" t="n"/>
      <c r="E678" s="63" t="n"/>
    </row>
    <row r="679" ht="18" customHeight="1">
      <c r="A679" s="62" t="n">
        <v>46309</v>
      </c>
      <c r="B679" s="63" t="inlineStr">
        <is>
          <t>Blue Dolphin - PUD KKD 300/500</t>
        </is>
      </c>
      <c r="C679" s="64" t="n">
        <v>574</v>
      </c>
      <c r="D679" s="64" t="n"/>
      <c r="E679" s="63" t="n"/>
    </row>
    <row r="680" ht="18" customHeight="1">
      <c r="A680" s="62" t="n">
        <v>46309</v>
      </c>
      <c r="B680" s="63" t="inlineStr">
        <is>
          <t>Blue Dolphin - PUD PVN 300/500</t>
        </is>
      </c>
      <c r="C680" s="64" t="n">
        <v>87</v>
      </c>
      <c r="D680" s="64" t="n"/>
      <c r="E680" s="63" t="n"/>
    </row>
    <row r="681" ht="18" customHeight="1">
      <c r="A681" s="62" t="n">
        <v>46309</v>
      </c>
      <c r="B681" s="63" t="inlineStr">
        <is>
          <t>China - PUD KKD 500/800</t>
        </is>
      </c>
      <c r="C681" s="64" t="n">
        <v>41</v>
      </c>
      <c r="D681" s="64" t="n"/>
      <c r="E681" s="63" t="n"/>
    </row>
    <row r="682" ht="18" customHeight="1">
      <c r="A682" s="62" t="n">
        <v>46309</v>
      </c>
      <c r="B682" s="63" t="inlineStr">
        <is>
          <t>Primus Japan - PUD KZN 100/200</t>
        </is>
      </c>
      <c r="C682" s="64" t="n">
        <v>10</v>
      </c>
      <c r="D682" s="64" t="n"/>
      <c r="E682" s="63" t="n"/>
    </row>
    <row r="683" ht="18" customHeight="1">
      <c r="A683" s="62" t="n">
        <v>46309</v>
      </c>
      <c r="B683" s="63" t="inlineStr">
        <is>
          <t>Primus Japan - PUD KZN 200/300</t>
        </is>
      </c>
      <c r="C683" s="64" t="n">
        <v>2</v>
      </c>
      <c r="D683" s="64" t="n"/>
      <c r="E683" s="63" t="n"/>
    </row>
    <row r="684" ht="18" customHeight="1">
      <c r="A684" s="62" t="n">
        <v>46309</v>
      </c>
      <c r="B684" s="63" t="inlineStr">
        <is>
          <t>Primus EU - BKN</t>
        </is>
      </c>
      <c r="C684" s="64" t="n">
        <v>11</v>
      </c>
      <c r="D684" s="64" t="n"/>
      <c r="E684" s="63" t="n"/>
    </row>
    <row r="685" ht="18" customHeight="1">
      <c r="A685" s="62" t="n">
        <v>46309</v>
      </c>
      <c r="B685" s="63" t="inlineStr">
        <is>
          <t>Mackerel - WHOLE 8/10</t>
        </is>
      </c>
      <c r="C685" s="64" t="n">
        <v>5030</v>
      </c>
      <c r="D685" s="64" t="n"/>
      <c r="E685" s="63" t="n"/>
    </row>
    <row r="686" ht="18" customHeight="1">
      <c r="A686" s="62" t="n">
        <v>46309</v>
      </c>
      <c r="B686" s="63" t="inlineStr">
        <is>
          <t>Mackerel - WHOLE 10/12</t>
        </is>
      </c>
      <c r="C686" s="64" t="n">
        <v>1560</v>
      </c>
      <c r="D686" s="64" t="n"/>
      <c r="E686" s="63" t="n"/>
    </row>
    <row r="687" ht="18" customHeight="1">
      <c r="A687" s="62" t="n">
        <v>46309</v>
      </c>
      <c r="B687" s="63" t="inlineStr">
        <is>
          <t>Mackerel - WHOLE 12/15</t>
        </is>
      </c>
      <c r="C687" s="64" t="n">
        <v>100</v>
      </c>
      <c r="D687" s="64" t="n"/>
      <c r="E687" s="63" t="n"/>
    </row>
    <row r="688" ht="18" customHeight="1">
      <c r="A688" s="62" t="n">
        <v>46310</v>
      </c>
      <c r="B688" s="63" t="inlineStr">
        <is>
          <t>Blue Dolphin - PD KKD 100/200</t>
        </is>
      </c>
      <c r="C688" s="64" t="n">
        <v>20</v>
      </c>
      <c r="D688" s="64" t="n"/>
      <c r="E688" s="63" t="n"/>
    </row>
    <row r="689" ht="18" customHeight="1">
      <c r="A689" s="62" t="n">
        <v>46310</v>
      </c>
      <c r="B689" s="63" t="inlineStr">
        <is>
          <t>Blue Dolphin - PD KKD 200/300</t>
        </is>
      </c>
      <c r="C689" s="64" t="n">
        <v>62</v>
      </c>
      <c r="D689" s="64" t="n"/>
      <c r="E689" s="63" t="n"/>
    </row>
    <row r="690" ht="18" customHeight="1">
      <c r="A690" s="62" t="n">
        <v>46310</v>
      </c>
      <c r="B690" s="63" t="inlineStr">
        <is>
          <t>Blue Dolphin - PUD KKD 200/300</t>
        </is>
      </c>
      <c r="C690" s="64" t="n">
        <v>32</v>
      </c>
      <c r="D690" s="64" t="n"/>
      <c r="E690" s="63" t="n"/>
    </row>
    <row r="691" ht="18" customHeight="1">
      <c r="A691" s="62" t="n">
        <v>46310</v>
      </c>
      <c r="B691" s="63" t="inlineStr">
        <is>
          <t>Blue Dolphin - PUD KKD 300/500</t>
        </is>
      </c>
      <c r="C691" s="64" t="n">
        <v>282</v>
      </c>
      <c r="D691" s="64" t="n"/>
      <c r="E691" s="63" t="n"/>
    </row>
    <row r="692" ht="18" customHeight="1">
      <c r="A692" s="62" t="n">
        <v>46310</v>
      </c>
      <c r="B692" s="63" t="inlineStr">
        <is>
          <t>Blue Dolphin - PUD PVN 300/500</t>
        </is>
      </c>
      <c r="C692" s="64" t="n">
        <v>18</v>
      </c>
      <c r="D692" s="64" t="n"/>
      <c r="E692" s="63" t="n"/>
    </row>
    <row r="693" ht="18" customHeight="1">
      <c r="A693" s="62" t="n">
        <v>46310</v>
      </c>
      <c r="B693" s="63" t="inlineStr">
        <is>
          <t>Primus Japan - PUD PVN 100/200</t>
        </is>
      </c>
      <c r="C693" s="64" t="n">
        <v>6</v>
      </c>
      <c r="D693" s="64" t="n"/>
      <c r="E693" s="63" t="n"/>
    </row>
    <row r="694" ht="18" customHeight="1">
      <c r="A694" s="62" t="n">
        <v>46310</v>
      </c>
      <c r="B694" s="63" t="inlineStr">
        <is>
          <t>Primus EU - BKN</t>
        </is>
      </c>
      <c r="C694" s="64" t="n">
        <v>3</v>
      </c>
      <c r="D694" s="64" t="n"/>
      <c r="E694" s="63" t="n"/>
    </row>
    <row r="695" ht="18" customHeight="1">
      <c r="A695" s="62" t="n">
        <v>46310</v>
      </c>
      <c r="B695" s="63" t="inlineStr">
        <is>
          <t>Mackerel - WHOLE 8/10</t>
        </is>
      </c>
      <c r="C695" s="64" t="n">
        <v>9340</v>
      </c>
      <c r="D695" s="64" t="n"/>
      <c r="E695" s="63" t="n"/>
    </row>
    <row r="696" ht="18" customHeight="1">
      <c r="A696" s="62" t="n">
        <v>46310</v>
      </c>
      <c r="B696" s="63" t="inlineStr">
        <is>
          <t>Mackerel - WHOLE 10/12</t>
        </is>
      </c>
      <c r="C696" s="64" t="n">
        <v>1810</v>
      </c>
      <c r="D696" s="64" t="n"/>
      <c r="E696" s="63" t="n"/>
    </row>
    <row r="697" ht="18" customHeight="1">
      <c r="A697" s="62" t="n">
        <v>46310</v>
      </c>
      <c r="B697" s="63" t="inlineStr">
        <is>
          <t>Mackerel - WHOLE 12/15</t>
        </is>
      </c>
      <c r="C697" s="64" t="n">
        <v>480</v>
      </c>
      <c r="D697" s="64" t="n"/>
      <c r="E697" s="63" t="n"/>
    </row>
    <row r="698" ht="18" customHeight="1">
      <c r="A698" s="62" t="n">
        <v>46311</v>
      </c>
      <c r="B698" s="63" t="inlineStr">
        <is>
          <t>Blue Dolphin - PD KKD 100/200</t>
        </is>
      </c>
      <c r="C698" s="64" t="n">
        <v>87</v>
      </c>
      <c r="D698" s="64" t="n"/>
      <c r="E698" s="63" t="n"/>
    </row>
    <row r="699" ht="18" customHeight="1">
      <c r="A699" s="62" t="n">
        <v>46311</v>
      </c>
      <c r="B699" s="63" t="inlineStr">
        <is>
          <t>Blue Dolphin - PD KKD 200/300</t>
        </is>
      </c>
      <c r="C699" s="64" t="n">
        <v>162</v>
      </c>
      <c r="D699" s="64" t="n"/>
      <c r="E699" s="63" t="n"/>
    </row>
    <row r="700" ht="18" customHeight="1">
      <c r="A700" s="62" t="n">
        <v>46311</v>
      </c>
      <c r="B700" s="63" t="inlineStr">
        <is>
          <t>Blue Dolphin - PUD KKD 300/500</t>
        </is>
      </c>
      <c r="C700" s="64" t="n">
        <v>229</v>
      </c>
      <c r="D700" s="64" t="n"/>
      <c r="E700" s="63" t="n"/>
    </row>
    <row r="701" ht="18" customHeight="1">
      <c r="A701" s="62" t="n">
        <v>46311</v>
      </c>
      <c r="B701" s="63" t="inlineStr">
        <is>
          <t>Blue Dolphin - PUD PVN 300/500</t>
        </is>
      </c>
      <c r="C701" s="64" t="n">
        <v>128</v>
      </c>
      <c r="D701" s="64" t="n"/>
      <c r="E701" s="63" t="n"/>
    </row>
    <row r="702" ht="18" customHeight="1">
      <c r="A702" s="62" t="n">
        <v>46311</v>
      </c>
      <c r="B702" s="63" t="inlineStr">
        <is>
          <t>Primus Japan - PUD KZN 100/200</t>
        </is>
      </c>
      <c r="C702" s="64" t="n">
        <v>4</v>
      </c>
      <c r="D702" s="64" t="n"/>
      <c r="E702" s="63" t="n"/>
    </row>
    <row r="703" ht="18" customHeight="1">
      <c r="A703" s="62" t="n">
        <v>46311</v>
      </c>
      <c r="B703" s="63" t="inlineStr">
        <is>
          <t>Primus EU - BKN</t>
        </is>
      </c>
      <c r="C703" s="64" t="n">
        <v>4</v>
      </c>
      <c r="D703" s="64" t="n"/>
      <c r="E703" s="63" t="n"/>
    </row>
    <row r="704" ht="18" customHeight="1">
      <c r="A704" s="62" t="n">
        <v>46311</v>
      </c>
      <c r="B704" s="63" t="inlineStr">
        <is>
          <t>Mackerel - WHOLE 6/8</t>
        </is>
      </c>
      <c r="C704" s="64" t="n">
        <v>510</v>
      </c>
      <c r="D704" s="64" t="n"/>
      <c r="E704" s="63" t="n"/>
    </row>
    <row r="705" ht="18" customHeight="1">
      <c r="A705" s="62" t="n">
        <v>46311</v>
      </c>
      <c r="B705" s="63" t="inlineStr">
        <is>
          <t>Mackerel - WHOLE 8/10</t>
        </is>
      </c>
      <c r="C705" s="64" t="n">
        <v>2120</v>
      </c>
      <c r="D705" s="64" t="n"/>
      <c r="E705" s="63" t="n"/>
    </row>
    <row r="706" ht="18" customHeight="1">
      <c r="A706" s="62" t="n">
        <v>46311</v>
      </c>
      <c r="B706" s="63" t="inlineStr">
        <is>
          <t>THT Brand - PUD PVN 100/200</t>
        </is>
      </c>
      <c r="C706" s="64" t="n">
        <v>0</v>
      </c>
      <c r="D706" s="64" t="n">
        <v>5500</v>
      </c>
      <c r="E706" s="63" t="n"/>
    </row>
    <row r="707" ht="18" customHeight="1">
      <c r="A707" s="62" t="n">
        <v>46311</v>
      </c>
      <c r="B707" s="63" t="inlineStr">
        <is>
          <t>THT Brand - PUD PVN 200/300</t>
        </is>
      </c>
      <c r="C707" s="64" t="n">
        <v>0</v>
      </c>
      <c r="D707" s="64" t="n">
        <v>4500</v>
      </c>
      <c r="E707" s="63" t="n"/>
    </row>
    <row r="708" ht="18" customHeight="1">
      <c r="A708" s="62" t="n">
        <v>46312</v>
      </c>
      <c r="B708" s="63" t="inlineStr">
        <is>
          <t>Mackerel - WHOLE 6/8</t>
        </is>
      </c>
      <c r="C708" s="64" t="n">
        <v>0</v>
      </c>
      <c r="D708" s="64" t="n">
        <v>2900</v>
      </c>
      <c r="E708" s="63" t="n"/>
    </row>
    <row r="709" ht="18" customHeight="1">
      <c r="A709" s="62" t="n">
        <v>46312</v>
      </c>
      <c r="B709" s="63" t="inlineStr">
        <is>
          <t>Mackerel - WHOLE 8/10</t>
        </is>
      </c>
      <c r="C709" s="64" t="n">
        <v>0</v>
      </c>
      <c r="D709" s="64" t="n">
        <v>21050</v>
      </c>
      <c r="E709" s="63" t="n"/>
    </row>
    <row r="710" ht="18" customHeight="1">
      <c r="A710" s="62" t="n">
        <v>46312</v>
      </c>
      <c r="B710" s="63" t="inlineStr">
        <is>
          <t>Mackerel - WHOLE 8/10</t>
        </is>
      </c>
      <c r="C710" s="64" t="n">
        <v>0</v>
      </c>
      <c r="D710" s="64" t="n">
        <v>2050</v>
      </c>
      <c r="E710" s="63" t="inlineStr">
        <is>
          <t>NO-20</t>
        </is>
      </c>
    </row>
    <row r="711" ht="18" customHeight="1">
      <c r="A711" s="62" t="n">
        <v>46312</v>
      </c>
      <c r="B711" s="63" t="inlineStr">
        <is>
          <t>Blue Dolphin - PD PVN 200/300</t>
        </is>
      </c>
      <c r="C711" s="64" t="n">
        <v>0</v>
      </c>
      <c r="D711" s="64" t="n">
        <v>287</v>
      </c>
      <c r="E711" s="63" t="n">
        <v>670</v>
      </c>
    </row>
    <row r="712" ht="18" customHeight="1">
      <c r="A712" s="62" t="n">
        <v>46312</v>
      </c>
      <c r="B712" s="63" t="inlineStr">
        <is>
          <t>Blue Dolphin - PD KKD 200/300</t>
        </is>
      </c>
      <c r="C712" s="64" t="n">
        <v>0</v>
      </c>
      <c r="D712" s="64" t="n">
        <v>3213</v>
      </c>
      <c r="E712" s="63" t="inlineStr">
        <is>
          <t>Adjust kkd and pvn 2830</t>
        </is>
      </c>
    </row>
    <row r="713" ht="18" customHeight="1">
      <c r="A713" s="62" t="n">
        <v>46312</v>
      </c>
      <c r="B713" s="63" t="inlineStr">
        <is>
          <t>Blue Dolphin - PD KKD 100/200</t>
        </is>
      </c>
      <c r="C713" s="64" t="n">
        <v>95</v>
      </c>
      <c r="D713" s="64" t="n"/>
      <c r="E713" s="63" t="n"/>
    </row>
    <row r="714" ht="18" customHeight="1">
      <c r="A714" s="62" t="n">
        <v>46312</v>
      </c>
      <c r="B714" s="63" t="inlineStr">
        <is>
          <t>Blue Dolphin - PD KKD 200/300</t>
        </is>
      </c>
      <c r="C714" s="64" t="n">
        <v>81</v>
      </c>
      <c r="D714" s="64" t="n"/>
      <c r="E714" s="63" t="n"/>
    </row>
    <row r="715" ht="18" customHeight="1">
      <c r="A715" s="62" t="n">
        <v>46312</v>
      </c>
      <c r="B715" s="63" t="inlineStr">
        <is>
          <t>Blue Dolphin - PUD KKD 200/300</t>
        </is>
      </c>
      <c r="C715" s="64" t="n">
        <v>329</v>
      </c>
      <c r="D715" s="64" t="n"/>
      <c r="E715" s="63" t="inlineStr">
        <is>
          <t> </t>
        </is>
      </c>
    </row>
    <row r="716" ht="18" customHeight="1">
      <c r="A716" s="62" t="n">
        <v>46312</v>
      </c>
      <c r="B716" s="63" t="inlineStr">
        <is>
          <t>Blue Dolphin - PUD KKD 300/500</t>
        </is>
      </c>
      <c r="C716" s="64" t="n">
        <v>249</v>
      </c>
      <c r="D716" s="64" t="n"/>
      <c r="E716" s="63" t="n"/>
    </row>
    <row r="717" ht="18" customHeight="1">
      <c r="A717" s="62" t="n">
        <v>46312</v>
      </c>
      <c r="B717" s="63" t="inlineStr">
        <is>
          <t>Blue Dolphin - PUD PVN 200/300</t>
        </is>
      </c>
      <c r="C717" s="64" t="n">
        <v>4</v>
      </c>
      <c r="D717" s="64" t="n"/>
      <c r="E717" s="63" t="n"/>
    </row>
    <row r="718" ht="18" customHeight="1">
      <c r="A718" s="62" t="n">
        <v>46312</v>
      </c>
      <c r="B718" s="63" t="inlineStr">
        <is>
          <t>Blue Dolphin - PUD PVN 300/500</t>
        </is>
      </c>
      <c r="C718" s="64" t="n">
        <v>65</v>
      </c>
      <c r="D718" s="64" t="n"/>
      <c r="E718" s="63" t="n"/>
    </row>
    <row r="719" ht="18" customHeight="1">
      <c r="A719" s="62" t="n">
        <v>46312</v>
      </c>
      <c r="B719" s="63" t="inlineStr">
        <is>
          <t>Primus Japan - PUD KZN 80/120</t>
        </is>
      </c>
      <c r="C719" s="64" t="n">
        <v>5</v>
      </c>
      <c r="D719" s="64" t="n"/>
      <c r="E719" s="63" t="n"/>
    </row>
    <row r="720" ht="18" customHeight="1">
      <c r="A720" s="62" t="n">
        <v>46312</v>
      </c>
      <c r="B720" s="63" t="inlineStr">
        <is>
          <t>Primus Japan - PUD KZN 100/200</t>
        </is>
      </c>
      <c r="C720" s="64" t="n">
        <v>14</v>
      </c>
      <c r="D720" s="64" t="n"/>
      <c r="E720" s="63" t="n"/>
    </row>
    <row r="721" ht="18" customHeight="1">
      <c r="A721" s="62" t="n">
        <v>46312</v>
      </c>
      <c r="B721" s="63" t="inlineStr">
        <is>
          <t>Primus EU - BKN</t>
        </is>
      </c>
      <c r="C721" s="64" t="n">
        <v>4</v>
      </c>
      <c r="D721" s="64" t="n"/>
      <c r="E721" s="63" t="n"/>
    </row>
    <row r="722" ht="18" customHeight="1">
      <c r="A722" s="62" t="n">
        <v>46313</v>
      </c>
      <c r="B722" s="63" t="inlineStr">
        <is>
          <t>Blue Dolphin - PD KKD 100/200</t>
        </is>
      </c>
      <c r="C722" s="64" t="n">
        <v>196</v>
      </c>
      <c r="D722" s="64" t="n"/>
      <c r="E722" s="63" t="n"/>
    </row>
    <row r="723" ht="18" customHeight="1">
      <c r="A723" s="62" t="n">
        <v>46313</v>
      </c>
      <c r="B723" s="63" t="inlineStr">
        <is>
          <t>Blue Dolphin - PD KKD 200/300</t>
        </is>
      </c>
      <c r="C723" s="64" t="n">
        <v>74</v>
      </c>
      <c r="D723" s="64" t="n"/>
      <c r="E723" s="63" t="n"/>
    </row>
    <row r="724" ht="18" customHeight="1">
      <c r="A724" s="62" t="n">
        <v>46313</v>
      </c>
      <c r="B724" s="63" t="inlineStr">
        <is>
          <t>Blue Dolphin - PUD KKD 200/300</t>
        </is>
      </c>
      <c r="C724" s="64" t="n">
        <v>137</v>
      </c>
      <c r="D724" s="64" t="n"/>
      <c r="E724" s="63" t="n"/>
    </row>
    <row r="725" ht="18" customHeight="1">
      <c r="A725" s="62" t="n">
        <v>46313</v>
      </c>
      <c r="B725" s="63" t="inlineStr">
        <is>
          <t>Blue Dolphin - PUD KKD 300/500</t>
        </is>
      </c>
      <c r="C725" s="64" t="n">
        <v>419</v>
      </c>
      <c r="D725" s="64" t="n"/>
      <c r="E725" s="63" t="n"/>
    </row>
    <row r="726" ht="18" customHeight="1">
      <c r="A726" s="62" t="n">
        <v>46313</v>
      </c>
      <c r="B726" s="63" t="inlineStr">
        <is>
          <t>Primus Japan - PUD KZN 80/120</t>
        </is>
      </c>
      <c r="C726" s="64" t="n">
        <v>8</v>
      </c>
      <c r="D726" s="64" t="n"/>
      <c r="E726" s="63" t="n"/>
    </row>
    <row r="727" ht="18" customHeight="1">
      <c r="A727" s="62" t="n">
        <v>46313</v>
      </c>
      <c r="B727" s="63" t="inlineStr">
        <is>
          <t>Primus Japan - PUD KZN 100/200</t>
        </is>
      </c>
      <c r="C727" s="64" t="n">
        <v>25</v>
      </c>
      <c r="D727" s="64" t="n"/>
      <c r="E727" s="63" t="n"/>
    </row>
    <row r="728" ht="18" customHeight="1">
      <c r="A728" s="62" t="n">
        <v>46313</v>
      </c>
      <c r="B728" s="63" t="inlineStr">
        <is>
          <t>Primus Japan - PUD KZN 200/300</t>
        </is>
      </c>
      <c r="C728" s="64" t="n">
        <v>4</v>
      </c>
      <c r="D728" s="64" t="n"/>
      <c r="E728" s="63" t="n"/>
    </row>
    <row r="729" ht="18" customHeight="1">
      <c r="A729" s="62" t="n">
        <v>46313</v>
      </c>
      <c r="B729" s="63" t="inlineStr">
        <is>
          <t>Primus EU - BKN</t>
        </is>
      </c>
      <c r="C729" s="64" t="n">
        <v>7</v>
      </c>
      <c r="D729" s="64" t="n"/>
      <c r="E729" s="63" t="n"/>
    </row>
    <row r="730" ht="18" customHeight="1">
      <c r="A730" s="62" t="n">
        <v>46314</v>
      </c>
      <c r="B730" s="63" t="inlineStr">
        <is>
          <t>Blue Dolphin - PD KKD 100/200</t>
        </is>
      </c>
      <c r="C730" s="64" t="n">
        <v>65</v>
      </c>
      <c r="D730" s="64" t="n"/>
      <c r="E730" s="63" t="n"/>
    </row>
    <row r="731" ht="18" customHeight="1">
      <c r="A731" s="62" t="n">
        <v>46314</v>
      </c>
      <c r="B731" s="63" t="inlineStr">
        <is>
          <t>Blue Dolphin - PD KKD 200/300</t>
        </is>
      </c>
      <c r="C731" s="64" t="n">
        <v>190</v>
      </c>
      <c r="D731" s="64" t="n"/>
      <c r="E731" s="63" t="n"/>
    </row>
    <row r="732" ht="18" customHeight="1">
      <c r="A732" s="62" t="n">
        <v>46314</v>
      </c>
      <c r="B732" s="63" t="inlineStr">
        <is>
          <t>Blue Dolphin - PUD KKD 200/300</t>
        </is>
      </c>
      <c r="C732" s="64" t="n">
        <v>3</v>
      </c>
      <c r="D732" s="64" t="n"/>
      <c r="E732" s="63" t="n"/>
    </row>
    <row r="733" ht="18" customHeight="1">
      <c r="A733" s="62" t="n">
        <v>46314</v>
      </c>
      <c r="B733" s="63" t="inlineStr">
        <is>
          <t>Blue Dolphin - PUD KKD 300/500</t>
        </is>
      </c>
      <c r="C733" s="64" t="n">
        <v>314</v>
      </c>
      <c r="D733" s="64" t="n"/>
      <c r="E733" s="63" t="n"/>
    </row>
    <row r="734" ht="18" customHeight="1">
      <c r="A734" s="62" t="n">
        <v>46314</v>
      </c>
      <c r="B734" s="63" t="inlineStr">
        <is>
          <t>Primus EU - BKN</t>
        </is>
      </c>
      <c r="C734" s="64" t="n">
        <v>6</v>
      </c>
      <c r="D734" s="64" t="n"/>
      <c r="E734" s="63" t="n"/>
    </row>
    <row r="735" ht="18" customHeight="1">
      <c r="A735" s="62" t="n">
        <v>46314</v>
      </c>
      <c r="B735" s="63" t="inlineStr">
        <is>
          <t>Mackerel - WHOLE 8/10</t>
        </is>
      </c>
      <c r="C735" s="64" t="n">
        <v>420</v>
      </c>
      <c r="D735" s="64" t="n"/>
      <c r="E735" s="63" t="n"/>
    </row>
    <row r="736" ht="18" customHeight="1">
      <c r="A736" s="62" t="n">
        <v>46314</v>
      </c>
      <c r="B736" s="63" t="inlineStr">
        <is>
          <t>Mackerel - WHOLE 10/12</t>
        </is>
      </c>
      <c r="C736" s="64" t="n">
        <v>5570</v>
      </c>
      <c r="D736" s="64" t="n"/>
      <c r="E736" s="63" t="n"/>
    </row>
    <row r="737" ht="18" customHeight="1">
      <c r="A737" s="62" t="n">
        <v>46314</v>
      </c>
      <c r="B737" s="63" t="inlineStr">
        <is>
          <t>Mackerel - WHOLE 12/15</t>
        </is>
      </c>
      <c r="C737" s="64" t="n">
        <v>430</v>
      </c>
      <c r="D737" s="64" t="n"/>
      <c r="E737" s="63" t="n"/>
    </row>
    <row r="738" ht="18" customHeight="1">
      <c r="A738" s="62" t="n">
        <v>46315</v>
      </c>
      <c r="B738" s="63" t="inlineStr">
        <is>
          <t>Blue Dolphin - PD KKD 100/200</t>
        </is>
      </c>
      <c r="C738" s="64" t="n">
        <v>77</v>
      </c>
      <c r="D738" s="64" t="n"/>
      <c r="E738" s="63" t="n"/>
    </row>
    <row r="739" ht="18" customHeight="1">
      <c r="A739" s="62" t="n">
        <v>46315</v>
      </c>
      <c r="B739" s="63" t="inlineStr">
        <is>
          <t>Blue Dolphin - PD KKD 200/300</t>
        </is>
      </c>
      <c r="C739" s="64" t="n">
        <v>318</v>
      </c>
      <c r="D739" s="64" t="n"/>
      <c r="E739" s="63" t="n"/>
    </row>
    <row r="740" ht="18" customHeight="1">
      <c r="A740" s="62" t="n">
        <v>46315</v>
      </c>
      <c r="B740" s="63" t="inlineStr">
        <is>
          <t>Blue Dolphin - PUD KKD 300/500</t>
        </is>
      </c>
      <c r="C740" s="64" t="n">
        <v>700</v>
      </c>
      <c r="D740" s="64" t="n"/>
      <c r="E740" s="63" t="n"/>
    </row>
    <row r="741" ht="18" customHeight="1">
      <c r="A741" s="62" t="n">
        <v>46315</v>
      </c>
      <c r="B741" s="63" t="inlineStr">
        <is>
          <t>Blue Dolphin - PUD KKD 200/300</t>
        </is>
      </c>
      <c r="C741" s="64" t="n">
        <v>41</v>
      </c>
      <c r="D741" s="64" t="n"/>
      <c r="E741" s="63" t="n"/>
    </row>
    <row r="742" ht="18" customHeight="1">
      <c r="A742" s="62" t="n">
        <v>46315</v>
      </c>
      <c r="B742" s="63" t="inlineStr">
        <is>
          <t>Blue Dolphin - PUD PVN 200/300</t>
        </is>
      </c>
      <c r="C742" s="64" t="n">
        <v>20</v>
      </c>
      <c r="D742" s="64" t="n"/>
      <c r="E742" s="63" t="n"/>
    </row>
    <row r="743" ht="18" customHeight="1">
      <c r="A743" s="62" t="n">
        <v>46315</v>
      </c>
      <c r="B743" s="63" t="inlineStr">
        <is>
          <t>Blue Dolphin - PUD PVN 300/500</t>
        </is>
      </c>
      <c r="C743" s="64" t="n">
        <v>30</v>
      </c>
      <c r="D743" s="64" t="n"/>
      <c r="E743" s="63" t="n"/>
    </row>
    <row r="744" ht="18" customHeight="1">
      <c r="A744" s="62" t="n">
        <v>46315</v>
      </c>
      <c r="B744" s="63" t="inlineStr">
        <is>
          <t>Primus Japan - PUD KZN 100/200</t>
        </is>
      </c>
      <c r="C744" s="64" t="n">
        <v>5</v>
      </c>
      <c r="D744" s="64" t="n"/>
      <c r="E744" s="63" t="n"/>
    </row>
    <row r="745" ht="18" customHeight="1">
      <c r="A745" s="62" t="n">
        <v>46315</v>
      </c>
      <c r="B745" s="63" t="inlineStr">
        <is>
          <t>Primus Japan - PUD KZN 80/120</t>
        </is>
      </c>
      <c r="C745" s="64" t="n">
        <v>3</v>
      </c>
      <c r="D745" s="64" t="n"/>
      <c r="E745" s="63" t="n"/>
    </row>
    <row r="746" ht="18" customHeight="1">
      <c r="A746" s="62" t="n">
        <v>46315</v>
      </c>
      <c r="B746" s="63" t="inlineStr">
        <is>
          <t>Primus EU - BKN</t>
        </is>
      </c>
      <c r="C746" s="64" t="n">
        <v>16</v>
      </c>
      <c r="D746" s="64" t="n"/>
      <c r="E746" s="63" t="n"/>
    </row>
    <row r="747" ht="18" customHeight="1">
      <c r="A747" s="62" t="n">
        <v>46315</v>
      </c>
      <c r="B747" s="63" t="inlineStr">
        <is>
          <t>Mackerel - WHOLE 8/10</t>
        </is>
      </c>
      <c r="C747" s="64" t="n">
        <v>300</v>
      </c>
      <c r="D747" s="64" t="n"/>
      <c r="E747" s="63" t="n"/>
    </row>
    <row r="748" ht="18" customHeight="1">
      <c r="A748" s="62" t="n">
        <v>46315</v>
      </c>
      <c r="B748" s="63" t="inlineStr">
        <is>
          <t>Mackerel - WHOLE 10/12</t>
        </is>
      </c>
      <c r="C748" s="64" t="n">
        <v>3260</v>
      </c>
      <c r="D748" s="64" t="n"/>
      <c r="E748" s="63" t="n"/>
    </row>
    <row r="749" ht="18" customHeight="1">
      <c r="A749" s="62" t="n">
        <v>46315</v>
      </c>
      <c r="B749" s="63" t="inlineStr">
        <is>
          <t>Mackerel - WHOLE 12/15</t>
        </is>
      </c>
      <c r="C749" s="64" t="n">
        <v>170</v>
      </c>
      <c r="D749" s="64" t="n"/>
      <c r="E749" s="63" t="n"/>
    </row>
    <row r="750" ht="18" customHeight="1">
      <c r="A750" s="62" t="n">
        <v>46316</v>
      </c>
      <c r="B750" s="63" t="inlineStr">
        <is>
          <t>Blue Dolphin - PD KKD 100/200</t>
        </is>
      </c>
      <c r="C750" s="64" t="n">
        <v>35</v>
      </c>
      <c r="D750" s="64" t="n"/>
      <c r="E750" s="63" t="n"/>
    </row>
    <row r="751" ht="18" customHeight="1">
      <c r="A751" s="62" t="n">
        <v>46316</v>
      </c>
      <c r="B751" s="63" t="inlineStr">
        <is>
          <t>Blue Dolphin - PD KKD 200/300</t>
        </is>
      </c>
      <c r="C751" s="64" t="n">
        <v>113</v>
      </c>
      <c r="D751" s="64" t="n"/>
      <c r="E751" s="63" t="n"/>
    </row>
    <row r="752" ht="18" customHeight="1">
      <c r="A752" s="62" t="n">
        <v>46316</v>
      </c>
      <c r="B752" s="63" t="inlineStr">
        <is>
          <t>Blue Dolphin - PUD KKD 300/500</t>
        </is>
      </c>
      <c r="C752" s="64" t="n">
        <v>315</v>
      </c>
      <c r="D752" s="64" t="n"/>
      <c r="E752" s="63" t="n"/>
    </row>
    <row r="753" ht="18" customHeight="1">
      <c r="A753" s="62" t="n">
        <v>46316</v>
      </c>
      <c r="B753" s="63" t="inlineStr">
        <is>
          <t>Primus EU - BKN</t>
        </is>
      </c>
      <c r="C753" s="64" t="n">
        <v>5</v>
      </c>
      <c r="D753" s="64" t="n"/>
      <c r="E753" s="63" t="n"/>
    </row>
    <row r="754" ht="18" customHeight="1">
      <c r="A754" s="62" t="n">
        <v>46315</v>
      </c>
      <c r="B754" s="63" t="inlineStr">
        <is>
          <t>Mackerel - WHOLE 8/10</t>
        </is>
      </c>
      <c r="C754" s="64" t="n">
        <v>0</v>
      </c>
      <c r="D754" s="64" t="n">
        <v>18800</v>
      </c>
      <c r="E754" s="63" t="n"/>
    </row>
    <row r="755" ht="18" customHeight="1">
      <c r="A755" s="62" t="n">
        <v>46315</v>
      </c>
      <c r="B755" s="63" t="inlineStr">
        <is>
          <t>Mackerel - WHOLE 10/12</t>
        </is>
      </c>
      <c r="C755" s="64" t="n">
        <v>0</v>
      </c>
      <c r="D755" s="64" t="n">
        <v>6200</v>
      </c>
      <c r="E755" s="63" t="n"/>
    </row>
    <row r="756" ht="18" customHeight="1">
      <c r="A756" s="62" t="n">
        <v>46315</v>
      </c>
      <c r="B756" s="63" t="inlineStr">
        <is>
          <t>Mackerel - WHOLE 12/15</t>
        </is>
      </c>
      <c r="C756" s="64" t="n">
        <v>0</v>
      </c>
      <c r="D756" s="64" t="n">
        <v>1000</v>
      </c>
      <c r="E756" s="63" t="inlineStr">
        <is>
          <t>NO-21</t>
        </is>
      </c>
    </row>
    <row r="757" ht="18" customHeight="1">
      <c r="A757" s="62" t="n">
        <v>46316</v>
      </c>
      <c r="B757" s="63" t="inlineStr">
        <is>
          <t>Mackerel - WHOLE 8/12</t>
        </is>
      </c>
      <c r="C757" s="64" t="n">
        <v>0</v>
      </c>
      <c r="D757" s="64" t="n">
        <v>2000</v>
      </c>
      <c r="E757" s="63" t="n"/>
    </row>
    <row r="758" ht="18" customHeight="1">
      <c r="A758" s="62" t="n">
        <v>46316</v>
      </c>
      <c r="B758" s="63" t="inlineStr">
        <is>
          <t>Mackerel - WHOLE 10/12</t>
        </is>
      </c>
      <c r="C758" s="64" t="n">
        <v>0</v>
      </c>
      <c r="D758" s="64" t="n">
        <v>20500</v>
      </c>
      <c r="E758" s="63" t="n"/>
    </row>
    <row r="759" ht="18" customHeight="1">
      <c r="A759" s="62" t="n">
        <v>46316</v>
      </c>
      <c r="B759" s="63" t="inlineStr">
        <is>
          <t>Mackerel - WHOLE 12/15</t>
        </is>
      </c>
      <c r="C759" s="64" t="n">
        <v>0</v>
      </c>
      <c r="D759" s="64" t="n">
        <v>3500</v>
      </c>
      <c r="E759" s="63" t="inlineStr">
        <is>
          <t>NO-22</t>
        </is>
      </c>
    </row>
    <row r="760" ht="18" customHeight="1">
      <c r="A760" s="62" t="n">
        <v>46317</v>
      </c>
      <c r="B760" s="63" t="inlineStr">
        <is>
          <t>Blue Dolphin - PD KKD 100/200</t>
        </is>
      </c>
      <c r="C760" s="64" t="n">
        <v>23</v>
      </c>
      <c r="D760" s="64" t="n"/>
      <c r="E760" s="63" t="n"/>
    </row>
    <row r="761" ht="18" customHeight="1">
      <c r="A761" s="62" t="n">
        <v>46317</v>
      </c>
      <c r="B761" s="63" t="inlineStr">
        <is>
          <t>Blue Dolphin - PD KKD 200/300</t>
        </is>
      </c>
      <c r="C761" s="64" t="n">
        <v>123</v>
      </c>
      <c r="D761" s="64" t="n"/>
      <c r="E761" s="63" t="n"/>
    </row>
    <row r="762" ht="18" customHeight="1">
      <c r="A762" s="62" t="n">
        <v>46317</v>
      </c>
      <c r="B762" s="63" t="inlineStr">
        <is>
          <t>Blue Dolphin - PUD KKD 200/300</t>
        </is>
      </c>
      <c r="C762" s="64" t="n">
        <v>111</v>
      </c>
      <c r="D762" s="64" t="n"/>
      <c r="E762" s="63" t="n"/>
    </row>
    <row r="763" ht="18" customHeight="1">
      <c r="A763" s="62" t="n">
        <v>46317</v>
      </c>
      <c r="B763" s="63" t="inlineStr">
        <is>
          <t>Blue Dolphin - PUD KKD 300/500</t>
        </is>
      </c>
      <c r="C763" s="64" t="n">
        <v>688</v>
      </c>
      <c r="D763" s="64" t="n"/>
      <c r="E763" s="63" t="n"/>
    </row>
    <row r="764" ht="18" customHeight="1">
      <c r="A764" s="62" t="n">
        <v>46317</v>
      </c>
      <c r="B764" s="63" t="inlineStr">
        <is>
          <t>Blue Dolphin - PUD PVN 200/300</t>
        </is>
      </c>
      <c r="C764" s="64" t="n">
        <v>21</v>
      </c>
      <c r="D764" s="64" t="n"/>
      <c r="E764" s="63" t="n"/>
    </row>
    <row r="765" ht="18" customHeight="1">
      <c r="A765" s="62" t="n">
        <v>46317</v>
      </c>
      <c r="B765" s="63" t="inlineStr">
        <is>
          <t>Blue Dolphin - PUD PVN 300/500</t>
        </is>
      </c>
      <c r="C765" s="64" t="n">
        <v>48</v>
      </c>
      <c r="D765" s="64" t="n"/>
      <c r="E765" s="63" t="n"/>
    </row>
    <row r="766" ht="18" customHeight="1">
      <c r="A766" s="62" t="n">
        <v>46317</v>
      </c>
      <c r="B766" s="63" t="inlineStr">
        <is>
          <t>Primus EU - BKN</t>
        </is>
      </c>
      <c r="C766" s="64" t="n">
        <v>9</v>
      </c>
      <c r="D766" s="64" t="n"/>
      <c r="E766" s="63" t="n"/>
    </row>
    <row r="767" ht="18" customHeight="1">
      <c r="A767" s="62" t="n">
        <v>46317</v>
      </c>
      <c r="B767" s="63" t="inlineStr">
        <is>
          <t>Mackerel - WHOLE 8/10</t>
        </is>
      </c>
      <c r="C767" s="64" t="n">
        <v>1030</v>
      </c>
      <c r="D767" s="64" t="n"/>
      <c r="E767" s="63" t="n"/>
    </row>
    <row r="768" ht="18" customHeight="1">
      <c r="A768" s="62" t="n">
        <v>46317</v>
      </c>
      <c r="B768" s="63" t="inlineStr">
        <is>
          <t>Mackerel - WHOLE 10/12</t>
        </is>
      </c>
      <c r="C768" s="64" t="n">
        <v>450</v>
      </c>
      <c r="D768" s="64" t="n"/>
      <c r="E768" s="63" t="n"/>
    </row>
    <row r="769" ht="18" customHeight="1">
      <c r="A769" s="62" t="n">
        <v>46318</v>
      </c>
      <c r="B769" s="63" t="inlineStr">
        <is>
          <t>Blue Dolphin - PD PVN 100/200</t>
        </is>
      </c>
      <c r="C769" s="64" t="n">
        <v>137</v>
      </c>
      <c r="D769" s="64" t="n"/>
      <c r="E769" s="63" t="n"/>
    </row>
    <row r="770" ht="18" customHeight="1">
      <c r="A770" s="62" t="n">
        <v>46318</v>
      </c>
      <c r="B770" s="63" t="inlineStr">
        <is>
          <t>Blue Dolphin - PD KKD 100/200</t>
        </is>
      </c>
      <c r="C770" s="64" t="n">
        <v>56</v>
      </c>
      <c r="D770" s="64" t="n"/>
      <c r="E770" s="63" t="n"/>
    </row>
    <row r="771" ht="18" customHeight="1">
      <c r="A771" s="62" t="n">
        <v>46318</v>
      </c>
      <c r="B771" s="63" t="inlineStr">
        <is>
          <t>Blue Dolphin - PD KKD 200/300</t>
        </is>
      </c>
      <c r="C771" s="64" t="n">
        <v>128</v>
      </c>
      <c r="D771" s="64" t="n"/>
      <c r="E771" s="63" t="n"/>
    </row>
    <row r="772" ht="18" customHeight="1">
      <c r="A772" s="62" t="n">
        <v>46318</v>
      </c>
      <c r="B772" s="63" t="inlineStr">
        <is>
          <t>Blue Dolphin - PUD KKD 300/500</t>
        </is>
      </c>
      <c r="C772" s="64" t="n">
        <v>353</v>
      </c>
      <c r="D772" s="64" t="n"/>
      <c r="E772" s="63" t="n"/>
    </row>
    <row r="773" ht="18" customHeight="1">
      <c r="A773" s="62" t="n">
        <v>46318</v>
      </c>
      <c r="B773" s="63" t="inlineStr">
        <is>
          <t>Blue Dolphin - PUD PVN 200/300</t>
        </is>
      </c>
      <c r="C773" s="64" t="n">
        <v>17</v>
      </c>
      <c r="D773" s="64" t="n"/>
      <c r="E773" s="63" t="n"/>
    </row>
    <row r="774" ht="18" customHeight="1">
      <c r="A774" s="62" t="n">
        <v>46318</v>
      </c>
      <c r="B774" s="63" t="inlineStr">
        <is>
          <t>Blue Dolphin - PUD KKD 200/300</t>
        </is>
      </c>
      <c r="C774" s="64" t="n">
        <v>87</v>
      </c>
      <c r="D774" s="64" t="n"/>
      <c r="E774" s="63" t="n"/>
    </row>
    <row r="775" ht="18" customHeight="1">
      <c r="A775" s="62" t="n">
        <v>46318</v>
      </c>
      <c r="B775" s="63" t="inlineStr">
        <is>
          <t>Primus Japan - PUD KZN 100/200</t>
        </is>
      </c>
      <c r="C775" s="64" t="n">
        <v>1</v>
      </c>
      <c r="D775" s="64" t="n"/>
      <c r="E775" s="63" t="n"/>
    </row>
    <row r="776" ht="18" customHeight="1">
      <c r="A776" s="62" t="n">
        <v>46318</v>
      </c>
      <c r="B776" s="63" t="inlineStr">
        <is>
          <t>Primus EU - BKN</t>
        </is>
      </c>
      <c r="C776" s="64" t="n">
        <v>10</v>
      </c>
      <c r="D776" s="64" t="n"/>
      <c r="E776" s="63" t="n"/>
    </row>
    <row r="777" ht="18" customHeight="1">
      <c r="A777" s="62" t="n">
        <v>46319</v>
      </c>
      <c r="B777" s="63" t="inlineStr">
        <is>
          <t>Blue Dolphin - PD KKD 100/200</t>
        </is>
      </c>
      <c r="C777" s="64" t="n">
        <v>57</v>
      </c>
      <c r="D777" s="64" t="n"/>
      <c r="E777" s="63" t="n"/>
    </row>
    <row r="778" ht="18" customHeight="1">
      <c r="A778" s="62" t="n">
        <v>46319</v>
      </c>
      <c r="B778" s="63" t="inlineStr">
        <is>
          <t>Blue Dolphin - PD KKD 200/300</t>
        </is>
      </c>
      <c r="C778" s="64" t="n">
        <v>262</v>
      </c>
      <c r="D778" s="64" t="n"/>
      <c r="E778" s="63" t="n"/>
    </row>
    <row r="779" ht="18" customHeight="1">
      <c r="A779" s="62" t="n">
        <v>46319</v>
      </c>
      <c r="B779" s="63" t="inlineStr">
        <is>
          <t>Blue Dolphin - PUD KKD 200/300</t>
        </is>
      </c>
      <c r="C779" s="64" t="n">
        <v>100</v>
      </c>
      <c r="D779" s="64" t="n"/>
      <c r="E779" s="63" t="n"/>
    </row>
    <row r="780" ht="18" customHeight="1">
      <c r="A780" s="62" t="n">
        <v>46319</v>
      </c>
      <c r="B780" s="63" t="inlineStr">
        <is>
          <t>Blue Dolphin - PUD KKD 300/500</t>
        </is>
      </c>
      <c r="C780" s="64" t="n">
        <v>914</v>
      </c>
      <c r="D780" s="64" t="n"/>
      <c r="E780" s="63" t="n"/>
    </row>
    <row r="781" ht="18" customHeight="1">
      <c r="A781" s="62" t="n">
        <v>46319</v>
      </c>
      <c r="B781" s="63" t="inlineStr">
        <is>
          <t>Blue Dolphin - PUD PVN 200/300</t>
        </is>
      </c>
      <c r="C781" s="64" t="n">
        <v>11</v>
      </c>
      <c r="D781" s="64" t="n"/>
      <c r="E781" s="63" t="n"/>
    </row>
    <row r="782" ht="18" customHeight="1">
      <c r="A782" s="62" t="n">
        <v>46319</v>
      </c>
      <c r="B782" s="63" t="inlineStr">
        <is>
          <t>Blue Dolphin - PUD PVN 300/500</t>
        </is>
      </c>
      <c r="C782" s="64" t="n">
        <v>31</v>
      </c>
      <c r="D782" s="64" t="n"/>
      <c r="E782" s="63" t="n"/>
    </row>
    <row r="783" ht="18" customHeight="1">
      <c r="A783" s="62" t="n">
        <v>46319</v>
      </c>
      <c r="B783" s="63" t="inlineStr">
        <is>
          <t>Primus EU - BKN</t>
        </is>
      </c>
      <c r="C783" s="64" t="n">
        <v>12</v>
      </c>
      <c r="D783" s="64" t="inlineStr">
        <is>
          <t> </t>
        </is>
      </c>
      <c r="E783" s="63" t="n"/>
    </row>
    <row r="784" ht="18" customHeight="1">
      <c r="A784" s="62" t="n">
        <v>46319</v>
      </c>
      <c r="B784" s="63" t="inlineStr">
        <is>
          <t>Blue Dolphin - PD PVN 100/200</t>
        </is>
      </c>
      <c r="C784" s="64" t="n">
        <v>0</v>
      </c>
      <c r="D784" s="64" t="n">
        <v>1180</v>
      </c>
      <c r="E784" s="63" t="n"/>
    </row>
    <row r="785" ht="18" customHeight="1">
      <c r="A785" s="62" t="n">
        <v>46319</v>
      </c>
      <c r="B785" s="63" t="inlineStr">
        <is>
          <t>Blue Dolphin - PD KKD 100/200</t>
        </is>
      </c>
      <c r="C785" s="64" t="n">
        <v>0</v>
      </c>
      <c r="D785" s="64" t="n">
        <v>500</v>
      </c>
      <c r="E785" s="63" t="n"/>
    </row>
    <row r="786" ht="18" customHeight="1">
      <c r="A786" s="62" t="n">
        <v>46319</v>
      </c>
      <c r="B786" s="63" t="inlineStr">
        <is>
          <t>Blue Dolphin - PUD PVN 200/300</t>
        </is>
      </c>
      <c r="C786" s="64" t="n">
        <v>0</v>
      </c>
      <c r="D786" s="64" t="n">
        <v>1200</v>
      </c>
      <c r="E786" s="63" t="n"/>
    </row>
    <row r="787" ht="18" customHeight="1">
      <c r="A787" s="62" t="n">
        <v>46319</v>
      </c>
      <c r="B787" s="63" t="inlineStr">
        <is>
          <t>Blue Dolphin - PUD KKD 200/300</t>
        </is>
      </c>
      <c r="C787" s="64" t="n">
        <v>0</v>
      </c>
      <c r="D787" s="64" t="n">
        <v>320</v>
      </c>
      <c r="E787" s="63" t="n"/>
    </row>
    <row r="788" ht="18" customHeight="1">
      <c r="A788" s="62" t="n">
        <v>46319</v>
      </c>
      <c r="B788" s="63" t="inlineStr">
        <is>
          <t>Blue Dolphin - PUD PVN 300/500</t>
        </is>
      </c>
      <c r="C788" s="64" t="n">
        <v>0</v>
      </c>
      <c r="D788" s="64" t="n">
        <v>1270</v>
      </c>
      <c r="E788" s="63" t="inlineStr">
        <is>
          <t> </t>
        </is>
      </c>
    </row>
    <row r="789" ht="18" customHeight="1">
      <c r="A789" s="62" t="n">
        <v>46319</v>
      </c>
      <c r="B789" s="63" t="inlineStr">
        <is>
          <t>Blue Dolphin - PUD KKD 300/500</t>
        </is>
      </c>
      <c r="C789" s="64" t="n">
        <v>0</v>
      </c>
      <c r="D789" s="64" t="n">
        <v>5530</v>
      </c>
      <c r="E789" s="63" t="n"/>
    </row>
    <row r="790" ht="18" customHeight="1">
      <c r="A790" s="62" t="n">
        <v>46321</v>
      </c>
      <c r="B790" s="63" t="inlineStr">
        <is>
          <t>Blue Dolphin - PD KKD 100/200</t>
        </is>
      </c>
      <c r="C790" s="64" t="n">
        <v>63</v>
      </c>
      <c r="D790" s="64" t="n"/>
      <c r="E790" s="63" t="n"/>
    </row>
    <row r="791" ht="18" customHeight="1">
      <c r="A791" s="62" t="n">
        <v>46321</v>
      </c>
      <c r="B791" s="63" t="inlineStr">
        <is>
          <t>Blue Dolphin - PD KKD 200/300</t>
        </is>
      </c>
      <c r="C791" s="64" t="n">
        <v>188</v>
      </c>
      <c r="D791" s="64" t="n"/>
      <c r="E791" s="63" t="n"/>
    </row>
    <row r="792" ht="18" customHeight="1">
      <c r="A792" s="62" t="n">
        <v>46321</v>
      </c>
      <c r="B792" s="63" t="inlineStr">
        <is>
          <t>Blue Dolphin - PD PVN 200/300</t>
        </is>
      </c>
      <c r="C792" s="64" t="n">
        <v>10</v>
      </c>
      <c r="D792" s="64" t="n"/>
      <c r="E792" s="63" t="n"/>
    </row>
    <row r="793" ht="18" customHeight="1">
      <c r="A793" s="62" t="n">
        <v>46321</v>
      </c>
      <c r="B793" s="63" t="inlineStr">
        <is>
          <t>Blue Dolphin - PUD KKD 200/300</t>
        </is>
      </c>
      <c r="C793" s="64" t="n">
        <v>161</v>
      </c>
      <c r="D793" s="64" t="n"/>
      <c r="E793" s="63" t="n"/>
    </row>
    <row r="794" ht="18" customHeight="1">
      <c r="A794" s="62" t="n">
        <v>46321</v>
      </c>
      <c r="B794" s="63" t="inlineStr">
        <is>
          <t>Blue Dolphin - PUD KKD 300/500</t>
        </is>
      </c>
      <c r="C794" s="64" t="n">
        <v>625</v>
      </c>
      <c r="D794" s="64" t="n"/>
      <c r="E794" s="63" t="n"/>
    </row>
    <row r="795" ht="18" customHeight="1">
      <c r="A795" s="62" t="n">
        <v>46321</v>
      </c>
      <c r="B795" s="63" t="inlineStr">
        <is>
          <t>Blue Dolphin - PUD PVN 300/500</t>
        </is>
      </c>
      <c r="C795" s="64" t="n">
        <v>1</v>
      </c>
      <c r="D795" s="64" t="n"/>
      <c r="E795" s="63" t="n"/>
    </row>
    <row r="796" ht="18" customHeight="1">
      <c r="A796" s="62" t="n">
        <v>46321</v>
      </c>
      <c r="B796" s="63" t="inlineStr">
        <is>
          <t>Primus Japan - PUD KZN 100/200</t>
        </is>
      </c>
      <c r="C796" s="64" t="n">
        <v>2</v>
      </c>
      <c r="D796" s="64" t="n"/>
      <c r="E796" s="63" t="n"/>
    </row>
    <row r="797" ht="18" customHeight="1">
      <c r="A797" s="62" t="n">
        <v>46321</v>
      </c>
      <c r="B797" s="63" t="inlineStr">
        <is>
          <t>Primus EU - BKN</t>
        </is>
      </c>
      <c r="C797" s="64" t="n">
        <v>10</v>
      </c>
      <c r="D797" s="64" t="n"/>
      <c r="E797" s="63" t="n"/>
    </row>
    <row r="798" ht="18" customHeight="1">
      <c r="A798" s="62" t="n">
        <v>46322</v>
      </c>
      <c r="B798" s="63" t="inlineStr">
        <is>
          <t>Blue Dolphin - PD KKD 100/200</t>
        </is>
      </c>
      <c r="C798" s="64" t="n">
        <v>42</v>
      </c>
      <c r="D798" s="64" t="n"/>
      <c r="E798" s="63" t="n"/>
    </row>
    <row r="799" ht="18" customHeight="1">
      <c r="A799" s="62" t="n">
        <v>46322</v>
      </c>
      <c r="B799" s="63" t="inlineStr">
        <is>
          <t>Blue Dolphin - PD PVN 100/200</t>
        </is>
      </c>
      <c r="C799" s="64" t="n">
        <v>7</v>
      </c>
      <c r="D799" s="64" t="n"/>
      <c r="E799" s="63" t="n"/>
    </row>
    <row r="800" ht="18" customHeight="1">
      <c r="A800" s="62" t="n">
        <v>46322</v>
      </c>
      <c r="B800" s="63" t="inlineStr">
        <is>
          <t>Blue Dolphin - PD KKD 200/300</t>
        </is>
      </c>
      <c r="C800" s="64" t="n">
        <v>66</v>
      </c>
      <c r="D800" s="64" t="n"/>
      <c r="E800" s="63" t="n"/>
    </row>
    <row r="801" ht="18" customHeight="1">
      <c r="A801" s="62" t="n">
        <v>46322</v>
      </c>
      <c r="B801" s="63" t="inlineStr">
        <is>
          <t>Blue Dolphin - PD PVN 200/300</t>
        </is>
      </c>
      <c r="C801" s="64" t="n">
        <v>25</v>
      </c>
      <c r="D801" s="64" t="n"/>
      <c r="E801" s="63" t="n"/>
    </row>
    <row r="802" ht="18" customHeight="1">
      <c r="A802" s="62" t="n">
        <v>46322</v>
      </c>
      <c r="B802" s="63" t="inlineStr">
        <is>
          <t>Blue Dolphin - PUD KKD 200/300</t>
        </is>
      </c>
      <c r="C802" s="64" t="n">
        <v>15</v>
      </c>
      <c r="D802" s="64" t="n"/>
      <c r="E802" s="63" t="n"/>
    </row>
    <row r="803" ht="18" customHeight="1">
      <c r="A803" s="62" t="n">
        <v>46322</v>
      </c>
      <c r="B803" s="63" t="inlineStr">
        <is>
          <t>Blue Dolphin - PUD KKD 300/500</t>
        </is>
      </c>
      <c r="C803" s="64" t="n">
        <v>293</v>
      </c>
      <c r="D803" s="64" t="n"/>
      <c r="E803" s="63" t="n"/>
    </row>
    <row r="804" ht="18" customHeight="1">
      <c r="A804" s="62" t="n">
        <v>46322</v>
      </c>
      <c r="B804" s="63" t="inlineStr">
        <is>
          <t>Blue Dolphin - PUD PVN 300/500</t>
        </is>
      </c>
      <c r="C804" s="64" t="n">
        <v>56</v>
      </c>
      <c r="D804" s="64" t="n"/>
      <c r="E804" s="63" t="n"/>
    </row>
    <row r="805" ht="18" customHeight="1">
      <c r="A805" s="62" t="n">
        <v>46322</v>
      </c>
      <c r="B805" s="63" t="inlineStr">
        <is>
          <t>Primus Japan - PUD KZN 100/200</t>
        </is>
      </c>
      <c r="C805" s="64" t="n">
        <v>1</v>
      </c>
      <c r="D805" s="64" t="n"/>
      <c r="E805" s="63" t="n"/>
    </row>
    <row r="806" ht="18" customHeight="1">
      <c r="A806" s="62" t="n">
        <v>46322</v>
      </c>
      <c r="B806" s="63" t="inlineStr">
        <is>
          <t>Primus EU - BKN</t>
        </is>
      </c>
      <c r="C806" s="64" t="n">
        <v>5</v>
      </c>
      <c r="D806" s="64" t="n"/>
      <c r="E806" s="63" t="n"/>
    </row>
    <row r="807" ht="18" customHeight="1">
      <c r="A807" s="62" t="n">
        <v>46323</v>
      </c>
      <c r="B807" s="63" t="inlineStr">
        <is>
          <t>Blue Dolphin - PD KKD 200/300</t>
        </is>
      </c>
      <c r="C807" s="64" t="n">
        <v>11</v>
      </c>
      <c r="D807" s="64" t="n"/>
      <c r="E807" s="63" t="n"/>
    </row>
    <row r="808" ht="18" customHeight="1">
      <c r="A808" s="62" t="n">
        <v>46323</v>
      </c>
      <c r="B808" s="63" t="inlineStr">
        <is>
          <t>Blue Dolphin - PD PVN 200/300</t>
        </is>
      </c>
      <c r="C808" s="64" t="n">
        <v>11</v>
      </c>
      <c r="D808" s="64" t="n"/>
      <c r="E808" s="63" t="n"/>
    </row>
    <row r="809" ht="18" customHeight="1">
      <c r="A809" s="62" t="n">
        <v>46323</v>
      </c>
      <c r="B809" s="63" t="inlineStr">
        <is>
          <t>Blue Dolphin - PUD KKD 200/300</t>
        </is>
      </c>
      <c r="C809" s="64" t="n">
        <v>172</v>
      </c>
      <c r="D809" s="64" t="n"/>
      <c r="E809" s="63" t="n"/>
    </row>
    <row r="810" ht="18" customHeight="1">
      <c r="A810" s="62" t="n">
        <v>46323</v>
      </c>
      <c r="B810" s="63" t="inlineStr">
        <is>
          <t>Blue Dolphin - PUD KKD 300/500</t>
        </is>
      </c>
      <c r="C810" s="64" t="n">
        <v>277</v>
      </c>
      <c r="D810" s="64" t="n"/>
      <c r="E810" s="63" t="n"/>
    </row>
    <row r="811" ht="18" customHeight="1">
      <c r="A811" s="62" t="n">
        <v>46323</v>
      </c>
      <c r="B811" s="63" t="inlineStr">
        <is>
          <t>Blue Dolphin - PUD PVN 300/500</t>
        </is>
      </c>
      <c r="C811" s="64" t="n">
        <v>46</v>
      </c>
      <c r="D811" s="64" t="n"/>
      <c r="E811" s="63" t="n"/>
    </row>
    <row r="812" ht="18" customHeight="1">
      <c r="A812" s="62" t="n">
        <v>46323</v>
      </c>
      <c r="B812" s="63" t="inlineStr">
        <is>
          <t>Primus EU - BKN</t>
        </is>
      </c>
      <c r="C812" s="64" t="n">
        <v>3</v>
      </c>
      <c r="D812" s="64" t="n"/>
      <c r="E812" s="63" t="n"/>
    </row>
    <row r="813" ht="18" customHeight="1">
      <c r="A813" s="62" t="n">
        <v>46323</v>
      </c>
      <c r="B813" s="63" t="inlineStr">
        <is>
          <t>Tuna - SKIPJACK 2/4</t>
        </is>
      </c>
      <c r="C813" s="64" t="n">
        <v>3927.5</v>
      </c>
      <c r="D813" s="64" t="n"/>
      <c r="E813" s="63" t="n"/>
    </row>
    <row r="814" ht="18" customHeight="1">
      <c r="A814" s="62" t="n">
        <v>46323</v>
      </c>
      <c r="B814" s="63" t="inlineStr">
        <is>
          <t>Tuna - SKIPJACK 4/10</t>
        </is>
      </c>
      <c r="C814" s="64" t="n">
        <v>4090.5</v>
      </c>
      <c r="D814" s="64" t="n"/>
      <c r="E814" s="63" t="n"/>
    </row>
    <row r="815" ht="18" customHeight="1">
      <c r="A815" s="62" t="n">
        <v>46324</v>
      </c>
      <c r="B815" s="63" t="inlineStr">
        <is>
          <t>Blue Dolphin - PD KKD 100/200</t>
        </is>
      </c>
      <c r="C815" s="64" t="n">
        <v>104</v>
      </c>
      <c r="D815" s="64" t="n"/>
      <c r="E815" s="63" t="n"/>
    </row>
    <row r="816" ht="18" customHeight="1">
      <c r="A816" s="62" t="n">
        <v>46324</v>
      </c>
      <c r="B816" s="63" t="inlineStr">
        <is>
          <t>Blue Dolphin - PD KKD 200/300</t>
        </is>
      </c>
      <c r="C816" s="64" t="n">
        <v>258</v>
      </c>
      <c r="D816" s="64" t="n"/>
      <c r="E816" s="63" t="n"/>
    </row>
    <row r="817" ht="18" customHeight="1">
      <c r="A817" s="62" t="n">
        <v>46324</v>
      </c>
      <c r="B817" s="63" t="inlineStr">
        <is>
          <t>Blue Dolphin - PUD KKD 200/300</t>
        </is>
      </c>
      <c r="C817" s="64" t="n">
        <v>46</v>
      </c>
      <c r="D817" s="64" t="n"/>
      <c r="E817" s="63" t="n"/>
    </row>
    <row r="818" ht="18" customHeight="1">
      <c r="A818" s="62" t="n">
        <v>46324</v>
      </c>
      <c r="B818" s="63" t="inlineStr">
        <is>
          <t>Blue Dolphin - PUD KKD 300/500</t>
        </is>
      </c>
      <c r="C818" s="64" t="n">
        <v>801</v>
      </c>
      <c r="D818" s="64" t="n"/>
      <c r="E818" s="63" t="n"/>
    </row>
    <row r="819" ht="18" customHeight="1">
      <c r="A819" s="62" t="n">
        <v>46324</v>
      </c>
      <c r="B819" s="63" t="inlineStr">
        <is>
          <t>Blue Dolphin - PD PVN 200/300</t>
        </is>
      </c>
      <c r="C819" s="64" t="n">
        <v>4</v>
      </c>
      <c r="D819" s="64" t="inlineStr">
        <is>
          <t> </t>
        </is>
      </c>
      <c r="E819" s="63" t="n"/>
    </row>
    <row r="820" ht="18" customHeight="1">
      <c r="A820" s="62" t="n">
        <v>46324</v>
      </c>
      <c r="B820" s="63" t="inlineStr">
        <is>
          <t>Primus Japan - PUD KZN 100/200</t>
        </is>
      </c>
      <c r="C820" s="64" t="n">
        <v>2</v>
      </c>
      <c r="D820" s="64" t="n"/>
      <c r="E820" s="63" t="n"/>
    </row>
    <row r="821" ht="18" customHeight="1">
      <c r="A821" s="62" t="n">
        <v>46324</v>
      </c>
      <c r="B821" s="63" t="inlineStr">
        <is>
          <t>Primus EU - BKN</t>
        </is>
      </c>
      <c r="C821" s="64" t="n">
        <v>12</v>
      </c>
      <c r="D821" s="64" t="n"/>
      <c r="E821" s="63" t="n"/>
    </row>
    <row r="822" ht="18" customHeight="1">
      <c r="A822" s="62" t="n"/>
      <c r="B822" s="63" t="n"/>
      <c r="C822" s="64" t="n"/>
      <c r="D822" s="64" t="n"/>
      <c r="E822" s="63" t="n"/>
    </row>
    <row r="823" ht="18" customHeight="1">
      <c r="A823" s="62" t="n"/>
      <c r="B823" s="63" t="n"/>
      <c r="C823" s="64" t="n"/>
      <c r="D823" s="64" t="n"/>
      <c r="E823" s="63" t="n"/>
    </row>
    <row r="824" ht="18" customHeight="1">
      <c r="A824" s="62" t="n"/>
      <c r="B824" s="63" t="n"/>
      <c r="C824" s="64" t="n"/>
      <c r="D824" s="64" t="n"/>
      <c r="E824" s="63" t="n"/>
    </row>
    <row r="825" ht="18" customHeight="1">
      <c r="A825" s="62" t="n"/>
      <c r="B825" s="63" t="n"/>
      <c r="C825" s="64" t="n"/>
      <c r="D825" s="64" t="n"/>
      <c r="E825" s="63" t="n"/>
    </row>
    <row r="826" ht="18" customHeight="1">
      <c r="A826" s="62" t="n"/>
      <c r="B826" s="63" t="n"/>
      <c r="C826" s="64" t="n"/>
      <c r="D826" s="64" t="n"/>
      <c r="E826" s="63" t="n"/>
    </row>
    <row r="827" ht="18" customHeight="1">
      <c r="A827" s="62" t="n"/>
      <c r="B827" s="63" t="n"/>
      <c r="C827" s="64" t="n"/>
      <c r="D827" s="64" t="n"/>
      <c r="E827" s="63" t="n"/>
    </row>
    <row r="828" ht="18" customHeight="1">
      <c r="A828" s="62" t="n"/>
      <c r="B828" s="63" t="n"/>
      <c r="C828" s="64" t="n"/>
      <c r="D828" s="64" t="n"/>
      <c r="E828" s="63" t="n"/>
    </row>
    <row r="829" ht="18" customHeight="1">
      <c r="A829" s="62" t="n"/>
      <c r="B829" s="63" t="n"/>
      <c r="C829" s="64" t="n"/>
      <c r="D829" s="64" t="n"/>
      <c r="E829" s="63" t="n"/>
    </row>
    <row r="830" ht="18" customHeight="1">
      <c r="A830" s="62" t="n"/>
      <c r="B830" s="63" t="n"/>
      <c r="C830" s="64" t="n"/>
      <c r="D830" s="64" t="n"/>
      <c r="E830" s="63" t="n"/>
    </row>
    <row r="831" ht="18" customHeight="1">
      <c r="A831" s="62" t="n"/>
      <c r="B831" s="63" t="n"/>
      <c r="C831" s="64" t="n"/>
      <c r="D831" s="64" t="n"/>
      <c r="E831" s="63" t="n"/>
    </row>
    <row r="832" ht="18" customHeight="1">
      <c r="A832" s="62" t="n"/>
      <c r="B832" s="63" t="n"/>
      <c r="C832" s="64" t="n"/>
      <c r="D832" s="64" t="n"/>
      <c r="E832" s="63" t="n"/>
    </row>
    <row r="833" ht="18" customHeight="1">
      <c r="A833" s="62" t="n"/>
      <c r="B833" s="63" t="n"/>
      <c r="C833" s="64" t="n"/>
      <c r="D833" s="64" t="n"/>
      <c r="E833" s="63" t="n"/>
    </row>
    <row r="834" ht="18" customHeight="1">
      <c r="A834" s="62" t="n"/>
      <c r="B834" s="63" t="n"/>
      <c r="C834" s="64" t="n"/>
      <c r="D834" s="64" t="n"/>
      <c r="E834" s="63" t="n"/>
    </row>
    <row r="835" ht="18" customHeight="1">
      <c r="A835" s="62" t="n"/>
      <c r="B835" s="63" t="n"/>
      <c r="C835" s="64" t="n"/>
      <c r="D835" s="64" t="n"/>
      <c r="E835" s="63" t="n"/>
    </row>
    <row r="836" ht="18" customHeight="1">
      <c r="A836" s="62" t="n"/>
      <c r="B836" s="63" t="n"/>
      <c r="C836" s="64" t="n"/>
      <c r="D836" s="64" t="n"/>
      <c r="E836" s="63" t="n"/>
    </row>
    <row r="837" ht="18" customHeight="1">
      <c r="A837" s="62" t="n"/>
      <c r="B837" s="63" t="n"/>
      <c r="C837" s="64" t="n"/>
      <c r="D837" s="64" t="n"/>
      <c r="E837" s="63" t="n"/>
    </row>
    <row r="838" ht="18" customHeight="1">
      <c r="A838" s="62" t="n"/>
      <c r="B838" s="63" t="n"/>
      <c r="C838" s="64" t="n"/>
      <c r="D838" s="64" t="n"/>
      <c r="E838" s="63" t="n"/>
    </row>
    <row r="839" ht="18" customHeight="1">
      <c r="A839" s="62" t="n"/>
      <c r="B839" s="63" t="n"/>
      <c r="C839" s="64" t="n"/>
      <c r="D839" s="64" t="n"/>
      <c r="E839" s="63" t="n"/>
    </row>
    <row r="840" ht="18" customHeight="1">
      <c r="A840" s="62" t="n"/>
      <c r="B840" s="63" t="n"/>
      <c r="C840" s="64" t="n"/>
      <c r="D840" s="64" t="n"/>
      <c r="E840" s="63" t="n"/>
    </row>
    <row r="841" ht="18" customHeight="1">
      <c r="A841" s="62" t="n"/>
      <c r="B841" s="63" t="n"/>
      <c r="C841" s="64" t="n"/>
      <c r="D841" s="64" t="n"/>
      <c r="E841" s="63" t="n"/>
    </row>
    <row r="842" ht="18" customHeight="1">
      <c r="A842" s="62" t="n"/>
      <c r="B842" s="63" t="n"/>
      <c r="C842" s="64" t="n"/>
      <c r="D842" s="64" t="n"/>
      <c r="E842" s="63" t="n"/>
    </row>
    <row r="843" ht="18" customHeight="1">
      <c r="A843" s="62" t="n"/>
      <c r="B843" s="63" t="n"/>
      <c r="C843" s="64" t="n"/>
      <c r="D843" s="64" t="n"/>
      <c r="E843" s="63" t="n"/>
    </row>
    <row r="844" ht="18" customHeight="1">
      <c r="A844" s="62" t="n"/>
      <c r="B844" s="63" t="n"/>
      <c r="C844" s="64" t="n"/>
      <c r="D844" s="64" t="n"/>
      <c r="E844" s="63" t="n"/>
    </row>
    <row r="845" ht="18" customHeight="1">
      <c r="A845" s="62" t="n"/>
      <c r="B845" s="63" t="n"/>
      <c r="C845" s="64" t="n"/>
      <c r="D845" s="64" t="n"/>
      <c r="E845" s="63" t="n"/>
    </row>
    <row r="846" ht="18" customHeight="1">
      <c r="A846" s="62" t="n"/>
      <c r="B846" s="63" t="n"/>
      <c r="C846" s="64" t="n"/>
      <c r="D846" s="64" t="n"/>
      <c r="E846" s="63" t="n"/>
    </row>
    <row r="847" ht="18" customHeight="1">
      <c r="A847" s="62" t="n"/>
      <c r="B847" s="63" t="n"/>
      <c r="C847" s="64" t="n"/>
      <c r="D847" s="64" t="n"/>
      <c r="E847" s="63" t="n"/>
    </row>
    <row r="848" ht="18" customHeight="1">
      <c r="A848" s="62" t="n"/>
      <c r="B848" s="63" t="n"/>
      <c r="C848" s="64" t="n"/>
      <c r="D848" s="64" t="n"/>
      <c r="E848" s="63" t="n"/>
    </row>
    <row r="849" ht="18" customHeight="1">
      <c r="A849" s="62" t="n"/>
      <c r="B849" s="63" t="n"/>
      <c r="C849" s="64" t="n"/>
      <c r="D849" s="64" t="n"/>
      <c r="E849" s="63" t="n"/>
    </row>
    <row r="850" ht="18" customHeight="1">
      <c r="A850" s="62" t="n"/>
      <c r="B850" s="63" t="n"/>
      <c r="C850" s="64" t="n"/>
      <c r="D850" s="64" t="n"/>
      <c r="E850" s="63" t="n"/>
    </row>
    <row r="851" ht="18" customHeight="1">
      <c r="A851" s="62" t="n"/>
      <c r="B851" s="63" t="n"/>
      <c r="C851" s="64" t="n"/>
      <c r="D851" s="64" t="n"/>
      <c r="E851" s="63" t="n"/>
    </row>
    <row r="852" ht="18" customHeight="1">
      <c r="A852" s="62" t="n"/>
      <c r="B852" s="63" t="n"/>
      <c r="C852" s="64" t="n"/>
      <c r="D852" s="64" t="n"/>
      <c r="E852" s="63" t="n"/>
    </row>
    <row r="853" ht="18" customHeight="1">
      <c r="A853" s="62" t="n"/>
      <c r="B853" s="63" t="n"/>
      <c r="C853" s="64" t="n"/>
      <c r="D853" s="64" t="n"/>
      <c r="E853" s="63" t="n"/>
    </row>
    <row r="854" ht="18" customHeight="1">
      <c r="A854" s="62" t="n"/>
      <c r="B854" s="63" t="n"/>
      <c r="C854" s="64" t="n"/>
      <c r="D854" s="64" t="n"/>
      <c r="E854" s="63" t="n"/>
    </row>
    <row r="855" ht="18" customHeight="1">
      <c r="A855" s="62" t="n"/>
      <c r="B855" s="63" t="n"/>
      <c r="C855" s="64" t="n"/>
      <c r="D855" s="64" t="n"/>
      <c r="E855" s="63" t="n"/>
    </row>
    <row r="856" ht="18" customHeight="1">
      <c r="A856" s="62" t="n"/>
      <c r="B856" s="63" t="n"/>
      <c r="C856" s="64" t="n"/>
      <c r="D856" s="64" t="n"/>
      <c r="E856" s="63" t="n"/>
    </row>
    <row r="857" ht="18" customHeight="1">
      <c r="A857" s="62" t="n"/>
      <c r="B857" s="63" t="n"/>
      <c r="C857" s="64" t="n"/>
      <c r="D857" s="64" t="n"/>
      <c r="E857" s="63" t="n"/>
    </row>
    <row r="858" ht="18" customHeight="1">
      <c r="A858" s="62" t="n"/>
      <c r="B858" s="63" t="n"/>
      <c r="C858" s="64" t="n"/>
      <c r="D858" s="64" t="n"/>
      <c r="E858" s="63" t="n"/>
    </row>
    <row r="859" ht="18" customHeight="1">
      <c r="A859" s="62" t="n"/>
      <c r="B859" s="63" t="n"/>
      <c r="C859" s="64" t="n"/>
      <c r="D859" s="64" t="n"/>
      <c r="E859" s="63" t="n"/>
    </row>
    <row r="860" ht="18" customHeight="1">
      <c r="A860" s="62" t="n"/>
      <c r="B860" s="63" t="n"/>
      <c r="C860" s="64" t="n"/>
      <c r="D860" s="64" t="n"/>
      <c r="E860" s="63" t="n"/>
    </row>
    <row r="861" ht="18" customHeight="1">
      <c r="A861" s="62" t="n"/>
      <c r="B861" s="63" t="n"/>
      <c r="C861" s="64" t="n"/>
      <c r="D861" s="64" t="n"/>
      <c r="E861" s="63" t="n"/>
    </row>
    <row r="862" ht="18" customHeight="1">
      <c r="A862" s="62" t="n"/>
      <c r="B862" s="63" t="n"/>
      <c r="C862" s="64" t="n"/>
      <c r="D862" s="64" t="n"/>
      <c r="E862" s="63" t="n"/>
    </row>
    <row r="863" ht="18" customHeight="1">
      <c r="A863" s="62" t="n"/>
      <c r="B863" s="63" t="n"/>
      <c r="C863" s="64" t="n"/>
      <c r="D863" s="64" t="n"/>
      <c r="E863" s="63" t="n"/>
    </row>
    <row r="864" ht="18" customHeight="1">
      <c r="A864" s="62" t="n"/>
      <c r="B864" s="63" t="n"/>
      <c r="C864" s="64" t="n"/>
      <c r="D864" s="64" t="n"/>
      <c r="E864" s="63" t="n"/>
    </row>
    <row r="865" ht="18" customHeight="1">
      <c r="A865" s="62" t="n"/>
      <c r="B865" s="63" t="n"/>
      <c r="C865" s="64" t="n"/>
      <c r="D865" s="64" t="n"/>
      <c r="E865" s="63" t="n"/>
    </row>
    <row r="866" ht="18" customHeight="1">
      <c r="A866" s="62" t="n"/>
      <c r="B866" s="63" t="n"/>
      <c r="C866" s="64" t="n"/>
      <c r="D866" s="64" t="n"/>
      <c r="E866" s="63" t="n"/>
    </row>
    <row r="867" ht="18" customHeight="1">
      <c r="A867" s="62" t="n"/>
      <c r="B867" s="63" t="n"/>
      <c r="C867" s="64" t="n"/>
      <c r="D867" s="64" t="n"/>
      <c r="E867" s="63" t="n"/>
    </row>
    <row r="868" ht="18" customHeight="1">
      <c r="A868" s="62" t="n"/>
      <c r="B868" s="63" t="n"/>
      <c r="C868" s="64" t="n"/>
      <c r="D868" s="64" t="n"/>
      <c r="E868" s="63" t="n"/>
    </row>
    <row r="869" ht="18" customHeight="1">
      <c r="A869" s="62" t="n"/>
      <c r="B869" s="63" t="n"/>
      <c r="C869" s="64" t="n"/>
      <c r="D869" s="64" t="n"/>
      <c r="E869" s="63" t="n"/>
    </row>
    <row r="870" ht="18" customHeight="1">
      <c r="A870" s="62" t="n"/>
      <c r="B870" s="63" t="n"/>
      <c r="C870" s="64" t="n"/>
      <c r="D870" s="64" t="n"/>
      <c r="E870" s="63" t="n"/>
    </row>
    <row r="871" ht="18" customHeight="1">
      <c r="A871" s="62" t="n"/>
      <c r="B871" s="63" t="n"/>
      <c r="C871" s="64" t="n"/>
      <c r="D871" s="64" t="n"/>
      <c r="E871" s="63" t="n"/>
    </row>
    <row r="872" ht="18" customHeight="1">
      <c r="A872" s="62" t="n"/>
      <c r="B872" s="63" t="n"/>
      <c r="C872" s="64" t="n"/>
      <c r="D872" s="64" t="n"/>
      <c r="E872" s="63" t="n"/>
    </row>
    <row r="873" ht="18" customHeight="1">
      <c r="A873" s="62" t="n"/>
      <c r="B873" s="63" t="n"/>
      <c r="C873" s="64" t="n"/>
      <c r="D873" s="64" t="n"/>
      <c r="E873" s="63" t="n"/>
    </row>
    <row r="874" ht="18" customHeight="1">
      <c r="A874" s="62" t="n"/>
      <c r="B874" s="63" t="n"/>
      <c r="C874" s="64" t="n"/>
      <c r="D874" s="64" t="n"/>
      <c r="E874" s="63" t="n"/>
    </row>
    <row r="875" ht="18" customHeight="1">
      <c r="A875" s="62" t="n"/>
      <c r="B875" s="63" t="n"/>
      <c r="C875" s="64" t="n"/>
      <c r="D875" s="64" t="n"/>
      <c r="E875" s="63" t="n"/>
    </row>
    <row r="876" ht="18" customHeight="1">
      <c r="A876" s="62" t="n"/>
      <c r="B876" s="63" t="n"/>
      <c r="C876" s="64" t="n"/>
      <c r="D876" s="64" t="n"/>
      <c r="E876" s="63" t="n"/>
    </row>
    <row r="877" ht="18" customHeight="1">
      <c r="A877" s="62" t="n"/>
      <c r="B877" s="63" t="n"/>
      <c r="C877" s="64" t="n"/>
      <c r="D877" s="64" t="n"/>
      <c r="E877" s="63" t="n"/>
    </row>
    <row r="878" ht="18" customHeight="1">
      <c r="A878" s="62" t="n"/>
      <c r="B878" s="63" t="n"/>
      <c r="C878" s="64" t="n"/>
      <c r="D878" s="64" t="n"/>
      <c r="E878" s="63" t="n"/>
    </row>
    <row r="879" ht="18" customHeight="1">
      <c r="A879" s="62" t="n"/>
      <c r="B879" s="63" t="n"/>
      <c r="C879" s="64" t="n"/>
      <c r="D879" s="64" t="n"/>
      <c r="E879" s="63" t="n"/>
    </row>
    <row r="880" ht="18" customHeight="1">
      <c r="A880" s="62" t="n"/>
      <c r="B880" s="63" t="n"/>
      <c r="C880" s="64" t="n"/>
      <c r="D880" s="64" t="n"/>
      <c r="E880" s="63" t="n"/>
    </row>
    <row r="881" ht="18" customHeight="1">
      <c r="A881" s="62" t="n"/>
      <c r="B881" s="63" t="n"/>
      <c r="C881" s="64" t="n"/>
      <c r="D881" s="64" t="n"/>
      <c r="E881" s="63" t="n"/>
    </row>
    <row r="882" ht="18" customHeight="1">
      <c r="A882" s="62" t="n"/>
      <c r="B882" s="63" t="n"/>
      <c r="C882" s="64" t="n"/>
      <c r="D882" s="64" t="n"/>
      <c r="E882" s="63" t="n"/>
    </row>
    <row r="883" ht="18" customHeight="1">
      <c r="A883" s="62" t="n"/>
      <c r="B883" s="63" t="n"/>
      <c r="C883" s="64" t="n"/>
      <c r="D883" s="64" t="n"/>
      <c r="E883" s="63" t="n"/>
    </row>
    <row r="884" ht="18" customHeight="1">
      <c r="A884" s="62" t="n"/>
      <c r="B884" s="63" t="n"/>
      <c r="C884" s="64" t="n"/>
      <c r="D884" s="64" t="n"/>
      <c r="E884" s="63" t="n"/>
    </row>
    <row r="885" ht="18" customHeight="1">
      <c r="A885" s="62" t="n"/>
      <c r="B885" s="63" t="n"/>
      <c r="C885" s="64" t="n"/>
      <c r="D885" s="64" t="n"/>
      <c r="E885" s="63" t="n"/>
    </row>
    <row r="886" ht="18" customHeight="1">
      <c r="A886" s="62" t="n"/>
      <c r="B886" s="63" t="n"/>
      <c r="C886" s="64" t="n"/>
      <c r="D886" s="64" t="n"/>
      <c r="E886" s="63" t="n"/>
    </row>
    <row r="887" ht="18" customHeight="1">
      <c r="A887" s="62" t="n"/>
      <c r="B887" s="63" t="n"/>
      <c r="C887" s="64" t="n"/>
      <c r="D887" s="64" t="n"/>
      <c r="E887" s="63" t="n"/>
    </row>
    <row r="888" ht="18" customHeight="1">
      <c r="A888" s="62" t="n"/>
      <c r="B888" s="63" t="n"/>
      <c r="C888" s="64" t="n"/>
      <c r="D888" s="64" t="n"/>
      <c r="E888" s="63" t="n"/>
    </row>
    <row r="889" ht="18" customHeight="1">
      <c r="A889" s="62" t="n"/>
      <c r="B889" s="63" t="n"/>
      <c r="C889" s="64" t="n"/>
      <c r="D889" s="64" t="n"/>
      <c r="E889" s="63" t="n"/>
    </row>
    <row r="890" ht="18" customHeight="1">
      <c r="A890" s="62" t="n"/>
      <c r="B890" s="63" t="n"/>
      <c r="C890" s="64" t="n"/>
      <c r="D890" s="64" t="n"/>
      <c r="E890" s="63" t="n"/>
    </row>
    <row r="891" ht="18" customHeight="1">
      <c r="A891" s="62" t="n"/>
      <c r="B891" s="63" t="n"/>
      <c r="C891" s="64" t="n"/>
      <c r="D891" s="64" t="n"/>
      <c r="E891" s="63" t="n"/>
    </row>
    <row r="892" ht="18" customHeight="1">
      <c r="A892" s="62" t="n"/>
      <c r="B892" s="63" t="n"/>
      <c r="C892" s="64" t="n"/>
      <c r="D892" s="64" t="n"/>
      <c r="E892" s="63" t="n"/>
    </row>
    <row r="893" ht="18" customHeight="1">
      <c r="A893" s="62" t="n"/>
      <c r="B893" s="63" t="n"/>
      <c r="C893" s="64" t="n"/>
      <c r="D893" s="64" t="n"/>
      <c r="E893" s="63" t="n"/>
    </row>
    <row r="894" ht="18" customHeight="1">
      <c r="A894" s="62" t="n"/>
      <c r="B894" s="63" t="n"/>
      <c r="C894" s="64" t="n"/>
      <c r="D894" s="64" t="n"/>
      <c r="E894" s="63" t="n"/>
    </row>
    <row r="895" ht="18" customHeight="1">
      <c r="A895" s="62" t="n"/>
      <c r="B895" s="63" t="n"/>
      <c r="C895" s="64" t="n"/>
      <c r="D895" s="64" t="n"/>
      <c r="E895" s="63" t="n"/>
    </row>
    <row r="896" ht="18" customHeight="1">
      <c r="A896" s="62" t="n"/>
      <c r="B896" s="63" t="n"/>
      <c r="C896" s="64" t="n"/>
      <c r="D896" s="64" t="n"/>
      <c r="E896" s="63" t="n"/>
    </row>
    <row r="897" ht="18" customHeight="1">
      <c r="A897" s="62" t="n"/>
      <c r="B897" s="63" t="n"/>
      <c r="C897" s="64" t="n"/>
      <c r="D897" s="64" t="n"/>
      <c r="E897" s="63" t="n"/>
    </row>
    <row r="898" ht="18" customHeight="1">
      <c r="A898" s="62" t="n"/>
      <c r="B898" s="63" t="n"/>
      <c r="C898" s="64" t="n"/>
      <c r="D898" s="64" t="n"/>
      <c r="E898" s="63" t="n"/>
    </row>
    <row r="899" ht="18" customHeight="1">
      <c r="A899" s="62" t="n"/>
      <c r="B899" s="63" t="n"/>
      <c r="C899" s="64" t="n"/>
      <c r="D899" s="64" t="n"/>
      <c r="E899" s="63" t="n"/>
    </row>
    <row r="900" ht="18" customHeight="1">
      <c r="A900" s="62" t="n"/>
      <c r="B900" s="63" t="n"/>
      <c r="C900" s="64" t="n"/>
      <c r="D900" s="64" t="n"/>
      <c r="E900" s="63" t="n"/>
    </row>
    <row r="901" ht="18" customHeight="1">
      <c r="A901" s="62" t="n"/>
      <c r="B901" s="63" t="n"/>
      <c r="C901" s="64" t="n"/>
      <c r="D901" s="64" t="n"/>
      <c r="E901" s="63" t="n"/>
    </row>
    <row r="902" ht="18" customHeight="1">
      <c r="A902" s="62" t="n"/>
      <c r="B902" s="63" t="n"/>
      <c r="C902" s="64" t="n"/>
      <c r="D902" s="64" t="n"/>
      <c r="E902" s="63" t="n"/>
    </row>
    <row r="903" ht="18" customHeight="1">
      <c r="A903" s="62" t="n"/>
      <c r="B903" s="63" t="n"/>
      <c r="C903" s="64" t="n"/>
      <c r="D903" s="64" t="n"/>
      <c r="E903" s="63" t="n"/>
    </row>
    <row r="904" ht="18" customHeight="1">
      <c r="A904" s="62" t="n"/>
      <c r="B904" s="63" t="n"/>
      <c r="C904" s="64" t="n"/>
      <c r="D904" s="64" t="n"/>
      <c r="E904" s="63" t="n"/>
    </row>
    <row r="905" ht="18" customHeight="1">
      <c r="A905" s="62" t="n"/>
      <c r="B905" s="63" t="n"/>
      <c r="C905" s="64" t="n"/>
      <c r="D905" s="64" t="n"/>
      <c r="E905" s="63" t="n"/>
    </row>
    <row r="906" ht="18" customHeight="1">
      <c r="A906" s="62" t="n"/>
      <c r="B906" s="63" t="n"/>
      <c r="C906" s="64" t="n"/>
      <c r="D906" s="64" t="n"/>
      <c r="E906" s="63" t="n"/>
    </row>
    <row r="907" ht="18" customHeight="1">
      <c r="A907" s="62" t="n"/>
      <c r="B907" s="63" t="n"/>
      <c r="C907" s="64" t="n"/>
      <c r="D907" s="64" t="n"/>
      <c r="E907" s="63" t="n"/>
    </row>
    <row r="908" ht="18" customHeight="1">
      <c r="A908" s="62" t="n"/>
      <c r="B908" s="63" t="n"/>
      <c r="C908" s="64" t="n"/>
      <c r="D908" s="64" t="n"/>
      <c r="E908" s="63" t="n"/>
    </row>
    <row r="909" ht="18" customHeight="1">
      <c r="A909" s="62" t="n"/>
      <c r="B909" s="63" t="n"/>
      <c r="C909" s="64" t="n"/>
      <c r="D909" s="64" t="n"/>
      <c r="E909" s="63" t="n"/>
    </row>
    <row r="910" ht="18" customHeight="1">
      <c r="A910" s="62" t="n"/>
      <c r="B910" s="63" t="n"/>
      <c r="C910" s="64" t="n"/>
      <c r="D910" s="64" t="n"/>
      <c r="E910" s="63" t="n"/>
    </row>
    <row r="911" ht="18" customHeight="1">
      <c r="A911" s="62" t="n"/>
      <c r="B911" s="63" t="n"/>
      <c r="C911" s="64" t="n"/>
      <c r="D911" s="64" t="n"/>
      <c r="E911" s="63" t="n"/>
    </row>
    <row r="912" ht="18" customHeight="1">
      <c r="A912" s="62" t="n"/>
      <c r="B912" s="63" t="n"/>
      <c r="C912" s="64" t="n"/>
      <c r="D912" s="64" t="n"/>
      <c r="E912" s="63" t="n"/>
    </row>
    <row r="913" ht="18" customHeight="1">
      <c r="A913" s="62" t="n"/>
      <c r="B913" s="63" t="n"/>
      <c r="C913" s="64" t="n"/>
      <c r="D913" s="64" t="n"/>
      <c r="E913" s="63" t="n"/>
    </row>
    <row r="914" ht="18" customHeight="1">
      <c r="A914" s="62" t="n"/>
      <c r="B914" s="63" t="n"/>
      <c r="C914" s="64" t="n"/>
      <c r="D914" s="64" t="n"/>
      <c r="E914" s="63" t="n"/>
    </row>
    <row r="915" ht="18" customHeight="1">
      <c r="A915" s="62" t="n"/>
      <c r="B915" s="63" t="n"/>
      <c r="C915" s="64" t="n"/>
      <c r="D915" s="64" t="n"/>
      <c r="E915" s="63" t="n"/>
    </row>
    <row r="916" ht="18" customHeight="1">
      <c r="A916" s="62" t="n"/>
      <c r="B916" s="63" t="n"/>
      <c r="C916" s="64" t="n"/>
      <c r="D916" s="64" t="n"/>
      <c r="E916" s="63" t="n"/>
    </row>
    <row r="917" ht="18" customHeight="1">
      <c r="A917" s="62" t="n"/>
      <c r="B917" s="63" t="n"/>
      <c r="C917" s="64" t="n"/>
      <c r="D917" s="64" t="n"/>
      <c r="E917" s="63" t="n"/>
    </row>
    <row r="918" ht="18" customHeight="1">
      <c r="A918" s="62" t="n"/>
      <c r="B918" s="63" t="n"/>
      <c r="C918" s="64" t="n"/>
      <c r="D918" s="64" t="n"/>
      <c r="E918" s="63" t="n"/>
    </row>
    <row r="919" ht="18" customHeight="1">
      <c r="A919" s="62" t="n"/>
      <c r="B919" s="63" t="n"/>
      <c r="C919" s="64" t="n"/>
      <c r="D919" s="64" t="n"/>
      <c r="E919" s="63" t="n"/>
    </row>
    <row r="920" ht="18" customHeight="1">
      <c r="A920" s="62" t="n"/>
      <c r="B920" s="63" t="n"/>
      <c r="C920" s="64" t="n"/>
      <c r="D920" s="64" t="n"/>
      <c r="E920" s="63" t="n"/>
    </row>
    <row r="921" ht="18" customHeight="1">
      <c r="A921" s="62" t="n"/>
      <c r="B921" s="63" t="n"/>
      <c r="C921" s="64" t="n"/>
      <c r="D921" s="64" t="n"/>
      <c r="E921" s="63" t="n"/>
    </row>
    <row r="922" ht="18" customHeight="1">
      <c r="A922" s="62" t="n"/>
      <c r="B922" s="63" t="n"/>
      <c r="C922" s="64" t="n"/>
      <c r="D922" s="64" t="n"/>
      <c r="E922" s="63" t="n"/>
    </row>
    <row r="923" ht="18" customHeight="1">
      <c r="A923" s="62" t="n"/>
      <c r="B923" s="63" t="n"/>
      <c r="C923" s="64" t="n"/>
      <c r="D923" s="64" t="n"/>
      <c r="E923" s="63" t="n"/>
    </row>
    <row r="924" ht="18" customHeight="1">
      <c r="A924" s="62" t="n"/>
      <c r="B924" s="63" t="n"/>
      <c r="C924" s="64" t="n"/>
      <c r="D924" s="64" t="n"/>
      <c r="E924" s="63" t="n"/>
    </row>
    <row r="925" ht="18" customHeight="1">
      <c r="A925" s="62" t="n"/>
      <c r="B925" s="63" t="n"/>
      <c r="C925" s="64" t="n"/>
      <c r="D925" s="64" t="n"/>
      <c r="E925" s="63" t="n"/>
    </row>
    <row r="926" ht="18" customHeight="1">
      <c r="A926" s="62" t="n"/>
      <c r="B926" s="63" t="n"/>
      <c r="C926" s="64" t="n"/>
      <c r="D926" s="64" t="n"/>
      <c r="E926" s="63" t="n"/>
    </row>
    <row r="927" ht="18" customHeight="1">
      <c r="A927" s="62" t="n"/>
      <c r="B927" s="63" t="n"/>
      <c r="C927" s="64" t="n"/>
      <c r="D927" s="64" t="n"/>
      <c r="E927" s="63" t="n"/>
    </row>
    <row r="928" ht="18" customHeight="1">
      <c r="A928" s="62" t="n"/>
      <c r="B928" s="63" t="n"/>
      <c r="C928" s="64" t="n"/>
      <c r="D928" s="64" t="n"/>
      <c r="E928" s="63" t="n"/>
    </row>
    <row r="929" ht="18" customHeight="1">
      <c r="A929" s="62" t="n"/>
      <c r="B929" s="63" t="n"/>
      <c r="C929" s="64" t="n"/>
      <c r="D929" s="64" t="n"/>
      <c r="E929" s="63" t="n"/>
    </row>
    <row r="930" ht="18" customHeight="1">
      <c r="A930" s="62" t="n"/>
      <c r="B930" s="63" t="n"/>
      <c r="C930" s="64" t="n"/>
      <c r="D930" s="64" t="n"/>
      <c r="E930" s="63" t="n"/>
    </row>
    <row r="931" ht="18" customHeight="1">
      <c r="A931" s="62" t="n"/>
      <c r="B931" s="63" t="n"/>
      <c r="C931" s="64" t="n"/>
      <c r="D931" s="64" t="n"/>
      <c r="E931" s="63" t="n"/>
    </row>
    <row r="932" ht="18" customHeight="1">
      <c r="A932" s="62" t="n"/>
      <c r="B932" s="63" t="n"/>
      <c r="C932" s="64" t="n"/>
      <c r="D932" s="64" t="n"/>
      <c r="E932" s="63" t="n"/>
    </row>
    <row r="933" ht="18" customHeight="1">
      <c r="A933" s="62" t="n"/>
      <c r="B933" s="63" t="n"/>
      <c r="C933" s="64" t="n"/>
      <c r="D933" s="64" t="n"/>
      <c r="E933" s="63" t="n"/>
    </row>
    <row r="934" ht="18" customHeight="1">
      <c r="A934" s="62" t="n"/>
      <c r="B934" s="63" t="n"/>
      <c r="C934" s="64" t="n"/>
      <c r="D934" s="64" t="n"/>
      <c r="E934" s="63" t="n"/>
    </row>
    <row r="935" ht="18" customHeight="1">
      <c r="A935" s="62" t="n"/>
      <c r="B935" s="63" t="n"/>
      <c r="C935" s="64" t="n"/>
      <c r="D935" s="64" t="n"/>
      <c r="E935" s="63" t="n"/>
    </row>
    <row r="936" ht="18" customHeight="1">
      <c r="A936" s="62" t="n"/>
      <c r="B936" s="63" t="n"/>
      <c r="C936" s="64" t="n"/>
      <c r="D936" s="64" t="n"/>
      <c r="E936" s="63" t="n"/>
    </row>
    <row r="937" ht="18" customHeight="1">
      <c r="A937" s="62" t="n"/>
      <c r="B937" s="63" t="n"/>
      <c r="C937" s="64" t="n"/>
      <c r="D937" s="64" t="n"/>
      <c r="E937" s="63" t="n"/>
    </row>
    <row r="938" ht="18" customHeight="1">
      <c r="A938" s="62" t="n"/>
      <c r="B938" s="63" t="n"/>
      <c r="C938" s="64" t="n"/>
      <c r="D938" s="64" t="n"/>
      <c r="E938" s="63" t="n"/>
    </row>
    <row r="939" ht="18" customHeight="1">
      <c r="A939" s="62" t="n"/>
      <c r="B939" s="63" t="n"/>
      <c r="C939" s="64" t="n"/>
      <c r="D939" s="64" t="n"/>
      <c r="E939" s="63" t="n"/>
    </row>
    <row r="940" ht="18" customHeight="1">
      <c r="A940" s="62" t="n"/>
      <c r="B940" s="63" t="n"/>
      <c r="C940" s="64" t="n"/>
      <c r="D940" s="64" t="n"/>
      <c r="E940" s="63" t="n"/>
    </row>
    <row r="941" ht="18" customHeight="1">
      <c r="A941" s="62" t="n"/>
      <c r="B941" s="63" t="n"/>
      <c r="C941" s="64" t="n"/>
      <c r="D941" s="64" t="n"/>
      <c r="E941" s="63" t="n"/>
    </row>
    <row r="942" ht="18" customHeight="1">
      <c r="A942" s="62" t="n"/>
      <c r="B942" s="63" t="n"/>
      <c r="C942" s="64" t="n"/>
      <c r="D942" s="64" t="n"/>
      <c r="E942" s="63" t="n"/>
    </row>
    <row r="943" ht="18" customHeight="1">
      <c r="A943" s="62" t="n"/>
      <c r="B943" s="63" t="n"/>
      <c r="C943" s="64" t="n"/>
      <c r="D943" s="64" t="n"/>
      <c r="E943" s="63" t="n"/>
    </row>
    <row r="944" ht="18" customHeight="1">
      <c r="A944" s="62" t="n"/>
      <c r="B944" s="63" t="n"/>
      <c r="C944" s="64" t="n"/>
      <c r="D944" s="64" t="n"/>
      <c r="E944" s="63" t="n"/>
    </row>
    <row r="945" ht="18" customHeight="1">
      <c r="A945" s="62" t="n"/>
      <c r="B945" s="63" t="n"/>
      <c r="C945" s="64" t="n"/>
      <c r="D945" s="64" t="n"/>
      <c r="E945" s="63" t="n"/>
    </row>
    <row r="946" ht="18" customHeight="1">
      <c r="A946" s="62" t="n"/>
      <c r="B946" s="63" t="n"/>
      <c r="C946" s="64" t="n"/>
      <c r="D946" s="64" t="n"/>
      <c r="E946" s="63" t="n"/>
    </row>
    <row r="947" ht="18" customHeight="1">
      <c r="A947" s="62" t="n"/>
      <c r="B947" s="63" t="n"/>
      <c r="C947" s="64" t="n"/>
      <c r="D947" s="64" t="n"/>
      <c r="E947" s="63" t="n"/>
    </row>
    <row r="948" ht="18" customHeight="1">
      <c r="A948" s="62" t="n"/>
      <c r="B948" s="63" t="n"/>
      <c r="C948" s="64" t="n"/>
      <c r="D948" s="64" t="n"/>
      <c r="E948" s="63" t="n"/>
    </row>
    <row r="949" ht="18" customHeight="1">
      <c r="A949" s="62" t="n"/>
      <c r="B949" s="63" t="n"/>
      <c r="C949" s="64" t="n"/>
      <c r="D949" s="64" t="n"/>
      <c r="E949" s="63" t="n"/>
    </row>
    <row r="950" ht="18" customHeight="1">
      <c r="A950" s="62" t="n"/>
      <c r="B950" s="63" t="n"/>
      <c r="C950" s="64" t="n"/>
      <c r="D950" s="64" t="n"/>
      <c r="E950" s="63" t="n"/>
    </row>
    <row r="951" ht="18" customHeight="1">
      <c r="A951" s="62" t="n"/>
      <c r="B951" s="63" t="n"/>
      <c r="C951" s="64" t="n"/>
      <c r="D951" s="64" t="n"/>
      <c r="E951" s="63" t="n"/>
    </row>
    <row r="952" ht="18" customHeight="1">
      <c r="A952" s="62" t="n"/>
      <c r="B952" s="63" t="n"/>
      <c r="C952" s="64" t="n"/>
      <c r="D952" s="64" t="n"/>
      <c r="E952" s="63" t="n"/>
    </row>
    <row r="953" ht="18" customHeight="1">
      <c r="A953" s="62" t="n"/>
      <c r="B953" s="63" t="n"/>
      <c r="C953" s="64" t="n"/>
      <c r="D953" s="64" t="n"/>
      <c r="E953" s="63" t="n"/>
    </row>
    <row r="954" ht="18" customHeight="1">
      <c r="A954" s="62" t="n"/>
      <c r="B954" s="63" t="n"/>
      <c r="C954" s="64" t="n"/>
      <c r="D954" s="64" t="n"/>
      <c r="E954" s="63" t="n"/>
    </row>
    <row r="955" ht="18" customHeight="1">
      <c r="A955" s="62" t="n"/>
      <c r="B955" s="63" t="n"/>
      <c r="C955" s="64" t="n"/>
      <c r="D955" s="64" t="n"/>
      <c r="E955" s="63" t="n"/>
    </row>
    <row r="956" ht="18" customHeight="1">
      <c r="A956" s="62" t="n"/>
      <c r="B956" s="63" t="n"/>
      <c r="C956" s="64" t="n"/>
      <c r="D956" s="64" t="n"/>
      <c r="E956" s="63" t="n"/>
    </row>
    <row r="957" ht="18" customHeight="1">
      <c r="A957" s="62" t="n"/>
      <c r="B957" s="63" t="n"/>
      <c r="C957" s="64" t="n"/>
      <c r="D957" s="64" t="n"/>
      <c r="E957" s="63" t="n"/>
    </row>
    <row r="958" ht="18" customHeight="1">
      <c r="A958" s="62" t="n"/>
      <c r="B958" s="63" t="n"/>
      <c r="C958" s="64" t="n"/>
      <c r="D958" s="64" t="n"/>
      <c r="E958" s="63" t="n"/>
    </row>
    <row r="959" ht="18" customHeight="1">
      <c r="A959" s="62" t="n"/>
      <c r="B959" s="63" t="n"/>
      <c r="C959" s="64" t="n"/>
      <c r="D959" s="64" t="n"/>
      <c r="E959" s="63" t="n"/>
    </row>
    <row r="960" ht="18" customHeight="1">
      <c r="A960" s="62" t="n"/>
      <c r="B960" s="63" t="n"/>
      <c r="C960" s="64" t="n"/>
      <c r="D960" s="64" t="n"/>
      <c r="E960" s="63" t="n"/>
    </row>
    <row r="961" ht="18" customHeight="1">
      <c r="A961" s="62" t="n"/>
      <c r="B961" s="63" t="n"/>
      <c r="C961" s="64" t="n"/>
      <c r="D961" s="64" t="n"/>
      <c r="E961" s="63" t="n"/>
    </row>
    <row r="962" ht="18" customHeight="1">
      <c r="A962" s="62" t="n"/>
      <c r="B962" s="63" t="n"/>
      <c r="C962" s="64" t="n"/>
      <c r="D962" s="64" t="n"/>
      <c r="E962" s="63" t="n"/>
    </row>
    <row r="963" ht="18" customHeight="1">
      <c r="A963" s="62" t="n"/>
      <c r="B963" s="63" t="n"/>
      <c r="C963" s="64" t="n"/>
      <c r="D963" s="64" t="n"/>
      <c r="E963" s="63" t="n"/>
    </row>
    <row r="964" ht="18" customHeight="1">
      <c r="A964" s="62" t="n"/>
      <c r="B964" s="63" t="n"/>
      <c r="C964" s="64" t="n"/>
      <c r="D964" s="64" t="n"/>
      <c r="E964" s="63" t="n"/>
    </row>
    <row r="965" ht="18" customHeight="1">
      <c r="A965" s="62" t="n"/>
      <c r="B965" s="63" t="n"/>
      <c r="C965" s="64" t="n"/>
      <c r="D965" s="64" t="n"/>
      <c r="E965" s="63" t="n"/>
    </row>
    <row r="966" ht="18" customHeight="1">
      <c r="A966" s="62" t="n"/>
      <c r="B966" s="63" t="n"/>
      <c r="C966" s="64" t="n"/>
      <c r="D966" s="64" t="n"/>
      <c r="E966" s="63" t="n"/>
    </row>
    <row r="967" ht="18" customHeight="1">
      <c r="A967" s="62" t="n"/>
      <c r="B967" s="63" t="n"/>
      <c r="C967" s="64" t="n"/>
      <c r="D967" s="64" t="n"/>
      <c r="E967" s="63" t="n"/>
    </row>
    <row r="968" ht="18" customHeight="1">
      <c r="A968" s="62" t="n"/>
      <c r="B968" s="63" t="n"/>
      <c r="C968" s="64" t="n"/>
      <c r="D968" s="64" t="n"/>
      <c r="E968" s="63" t="n"/>
    </row>
    <row r="969" ht="18" customHeight="1">
      <c r="A969" s="62" t="n"/>
      <c r="B969" s="63" t="n"/>
      <c r="C969" s="64" t="n"/>
      <c r="D969" s="64" t="n"/>
      <c r="E969" s="63" t="n"/>
    </row>
    <row r="970" ht="18" customHeight="1">
      <c r="A970" s="62" t="n"/>
      <c r="B970" s="63" t="n"/>
      <c r="C970" s="64" t="n"/>
      <c r="D970" s="64" t="n"/>
      <c r="E970" s="63" t="n"/>
    </row>
    <row r="971" ht="18" customHeight="1">
      <c r="A971" s="62" t="n"/>
      <c r="B971" s="63" t="n"/>
      <c r="C971" s="64" t="n"/>
      <c r="D971" s="64" t="n"/>
      <c r="E971" s="63" t="n"/>
    </row>
    <row r="972" ht="18" customHeight="1">
      <c r="A972" s="62" t="n"/>
      <c r="B972" s="63" t="n"/>
      <c r="C972" s="64" t="n"/>
      <c r="D972" s="64" t="n"/>
      <c r="E972" s="63" t="n"/>
    </row>
    <row r="973" ht="18" customHeight="1">
      <c r="A973" s="62" t="n"/>
      <c r="B973" s="63" t="n"/>
      <c r="C973" s="64" t="n"/>
      <c r="D973" s="64" t="n"/>
      <c r="E973" s="63" t="n"/>
    </row>
    <row r="974" ht="18" customHeight="1">
      <c r="A974" s="62" t="n"/>
      <c r="B974" s="63" t="n"/>
      <c r="C974" s="64" t="n"/>
      <c r="D974" s="64" t="n"/>
      <c r="E974" s="63" t="n"/>
    </row>
    <row r="975" ht="18" customHeight="1">
      <c r="A975" s="62" t="n"/>
      <c r="B975" s="63" t="n"/>
      <c r="C975" s="64" t="n"/>
      <c r="D975" s="64" t="n"/>
      <c r="E975" s="63" t="n"/>
    </row>
    <row r="976" ht="18" customHeight="1">
      <c r="A976" s="62" t="n"/>
      <c r="B976" s="63" t="n"/>
      <c r="C976" s="64" t="n"/>
      <c r="D976" s="64" t="n"/>
      <c r="E976" s="63" t="n"/>
    </row>
    <row r="977" ht="18" customHeight="1">
      <c r="A977" s="62" t="n"/>
      <c r="B977" s="63" t="n"/>
      <c r="C977" s="64" t="n"/>
      <c r="D977" s="64" t="n"/>
      <c r="E977" s="63" t="n"/>
    </row>
    <row r="978" ht="18" customHeight="1">
      <c r="A978" s="62" t="n"/>
      <c r="B978" s="63" t="n"/>
      <c r="C978" s="64" t="n"/>
      <c r="D978" s="64" t="n"/>
      <c r="E978" s="63" t="n"/>
    </row>
    <row r="979" ht="18" customHeight="1">
      <c r="A979" s="62" t="n"/>
      <c r="B979" s="63" t="n"/>
      <c r="C979" s="64" t="n"/>
      <c r="D979" s="64" t="n"/>
      <c r="E979" s="63" t="n"/>
    </row>
    <row r="980" ht="18" customHeight="1">
      <c r="A980" s="62" t="n"/>
      <c r="B980" s="63" t="n"/>
      <c r="C980" s="64" t="n"/>
      <c r="D980" s="64" t="n"/>
      <c r="E980" s="63" t="n"/>
    </row>
    <row r="981" ht="18" customHeight="1">
      <c r="A981" s="62" t="n"/>
      <c r="B981" s="63" t="n"/>
      <c r="C981" s="64" t="n"/>
      <c r="D981" s="64" t="n"/>
      <c r="E981" s="63" t="n"/>
    </row>
    <row r="982" ht="18" customHeight="1">
      <c r="A982" s="62" t="n"/>
      <c r="B982" s="63" t="n"/>
      <c r="C982" s="64" t="n"/>
      <c r="D982" s="64" t="n"/>
      <c r="E982" s="63" t="n"/>
    </row>
    <row r="983" ht="18" customHeight="1">
      <c r="A983" s="62" t="n"/>
      <c r="B983" s="63" t="n"/>
      <c r="C983" s="64" t="n"/>
      <c r="D983" s="64" t="n"/>
      <c r="E983" s="63" t="n"/>
    </row>
    <row r="984" ht="18" customHeight="1">
      <c r="A984" s="62" t="n"/>
      <c r="B984" s="63" t="n"/>
      <c r="C984" s="64" t="n"/>
      <c r="D984" s="64" t="n"/>
      <c r="E984" s="63" t="n"/>
    </row>
    <row r="985" ht="18" customHeight="1">
      <c r="A985" s="62" t="n"/>
      <c r="B985" s="63" t="n"/>
      <c r="C985" s="64" t="n"/>
      <c r="D985" s="64" t="n"/>
      <c r="E985" s="63" t="n"/>
    </row>
    <row r="986" ht="18" customHeight="1">
      <c r="A986" s="62" t="n"/>
      <c r="B986" s="63" t="n"/>
      <c r="C986" s="64" t="n"/>
      <c r="D986" s="64" t="n"/>
      <c r="E986" s="63" t="n"/>
    </row>
    <row r="987" ht="18" customHeight="1">
      <c r="A987" s="62" t="n"/>
      <c r="B987" s="63" t="n"/>
      <c r="C987" s="64" t="n"/>
      <c r="D987" s="64" t="n"/>
      <c r="E987" s="63" t="n"/>
    </row>
    <row r="988" ht="18" customHeight="1">
      <c r="A988" s="62" t="n"/>
      <c r="B988" s="63" t="n"/>
      <c r="C988" s="64" t="n"/>
      <c r="D988" s="64" t="n"/>
      <c r="E988" s="63" t="n"/>
    </row>
    <row r="989" ht="18" customHeight="1">
      <c r="A989" s="62" t="n"/>
      <c r="B989" s="63" t="n"/>
      <c r="C989" s="64" t="n"/>
      <c r="D989" s="64" t="n"/>
      <c r="E989" s="63" t="n"/>
    </row>
    <row r="990" ht="18" customHeight="1">
      <c r="A990" s="62" t="n"/>
      <c r="B990" s="63" t="n"/>
      <c r="C990" s="64" t="n"/>
      <c r="D990" s="64" t="n"/>
      <c r="E990" s="63" t="n"/>
    </row>
    <row r="991" ht="18" customHeight="1">
      <c r="A991" s="62" t="n"/>
      <c r="B991" s="63" t="n"/>
      <c r="C991" s="64" t="n"/>
      <c r="D991" s="64" t="n"/>
      <c r="E991" s="63" t="n"/>
    </row>
    <row r="992" ht="18" customHeight="1">
      <c r="A992" s="62" t="n"/>
      <c r="B992" s="63" t="n"/>
      <c r="C992" s="64" t="n"/>
      <c r="D992" s="64" t="n"/>
      <c r="E992" s="63" t="n"/>
    </row>
    <row r="993" ht="18" customHeight="1">
      <c r="A993" s="62" t="n"/>
      <c r="B993" s="63" t="n"/>
      <c r="C993" s="64" t="n"/>
      <c r="D993" s="64" t="n"/>
      <c r="E993" s="63" t="n"/>
    </row>
    <row r="994" ht="18" customHeight="1">
      <c r="A994" s="62" t="n"/>
      <c r="B994" s="63" t="n"/>
      <c r="C994" s="64" t="n"/>
      <c r="D994" s="64" t="n"/>
      <c r="E994" s="63" t="n"/>
    </row>
    <row r="995" ht="18" customHeight="1">
      <c r="A995" s="62" t="n"/>
      <c r="B995" s="63" t="n"/>
      <c r="C995" s="64" t="n"/>
      <c r="D995" s="64" t="n"/>
      <c r="E995" s="63" t="n"/>
    </row>
    <row r="996" ht="18" customHeight="1">
      <c r="A996" s="62" t="n"/>
      <c r="B996" s="63" t="n"/>
      <c r="C996" s="64" t="n"/>
      <c r="D996" s="64" t="n"/>
      <c r="E996" s="63" t="n"/>
    </row>
    <row r="997" ht="18" customHeight="1">
      <c r="A997" s="62" t="n"/>
      <c r="B997" s="63" t="n"/>
      <c r="C997" s="64" t="n"/>
      <c r="D997" s="64" t="n"/>
      <c r="E997" s="63" t="n"/>
    </row>
    <row r="998" ht="18" customHeight="1">
      <c r="A998" s="62" t="n"/>
      <c r="B998" s="63" t="n"/>
      <c r="C998" s="64" t="n"/>
      <c r="D998" s="64" t="n"/>
      <c r="E998" s="63" t="n"/>
    </row>
    <row r="999" ht="18" customHeight="1">
      <c r="A999" s="62" t="n"/>
      <c r="B999" s="63" t="n"/>
      <c r="C999" s="64" t="n"/>
      <c r="D999" s="64" t="n"/>
      <c r="E999" s="63" t="n"/>
    </row>
    <row r="1000" ht="18" customHeight="1">
      <c r="A1000" s="62" t="n"/>
      <c r="B1000" s="63" t="n"/>
      <c r="C1000" s="64" t="n"/>
      <c r="D1000" s="64" t="n"/>
      <c r="E1000" s="63" t="n"/>
    </row>
    <row r="1001" ht="18" customHeight="1">
      <c r="A1001" s="62" t="n"/>
      <c r="B1001" s="63" t="n"/>
      <c r="C1001" s="64" t="n"/>
      <c r="D1001" s="64" t="n"/>
      <c r="E1001" s="63" t="n"/>
    </row>
    <row r="1002" ht="18" customHeight="1">
      <c r="A1002" s="62" t="n"/>
      <c r="B1002" s="63" t="n"/>
      <c r="C1002" s="64" t="n"/>
      <c r="D1002" s="64" t="n"/>
      <c r="E1002" s="63" t="n"/>
    </row>
    <row r="1003" ht="18" customHeight="1">
      <c r="A1003" s="62" t="n"/>
      <c r="B1003" s="63" t="n"/>
      <c r="C1003" s="64" t="n"/>
      <c r="D1003" s="64" t="n"/>
      <c r="E1003" s="63" t="n"/>
    </row>
    <row r="1004" ht="18" customHeight="1">
      <c r="A1004" s="62" t="n"/>
      <c r="B1004" s="63" t="n"/>
      <c r="C1004" s="64" t="n"/>
      <c r="D1004" s="64" t="n"/>
      <c r="E1004" s="63" t="n"/>
    </row>
    <row r="1005" ht="18" customHeight="1">
      <c r="A1005" s="62" t="n"/>
      <c r="B1005" s="63" t="n"/>
      <c r="C1005" s="64" t="n"/>
      <c r="D1005" s="64" t="n"/>
      <c r="E1005" s="63" t="n"/>
    </row>
    <row r="1006" ht="18" customHeight="1">
      <c r="A1006" s="62" t="n"/>
      <c r="B1006" s="63" t="n"/>
      <c r="C1006" s="64" t="n"/>
      <c r="D1006" s="64" t="n"/>
      <c r="E1006" s="63" t="n"/>
    </row>
    <row r="1007" ht="18" customHeight="1">
      <c r="A1007" s="62" t="n"/>
      <c r="B1007" s="63" t="n"/>
      <c r="C1007" s="64" t="n"/>
      <c r="D1007" s="64" t="n"/>
      <c r="E1007" s="63" t="n"/>
    </row>
    <row r="1008" ht="18" customHeight="1">
      <c r="A1008" s="62" t="n"/>
      <c r="B1008" s="63" t="n"/>
      <c r="C1008" s="64" t="n"/>
      <c r="D1008" s="64" t="n"/>
      <c r="E1008" s="63" t="n"/>
    </row>
    <row r="1009" ht="18" customHeight="1">
      <c r="A1009" s="62" t="n"/>
      <c r="B1009" s="63" t="n"/>
      <c r="C1009" s="64" t="n"/>
      <c r="D1009" s="64" t="n"/>
      <c r="E1009" s="63" t="n"/>
    </row>
    <row r="1010" ht="18" customHeight="1">
      <c r="A1010" s="62" t="n"/>
      <c r="B1010" s="63" t="n"/>
      <c r="C1010" s="64" t="n"/>
      <c r="D1010" s="64" t="n"/>
      <c r="E1010" s="63" t="n"/>
    </row>
    <row r="1011" ht="18" customHeight="1">
      <c r="A1011" s="62" t="n"/>
      <c r="B1011" s="63" t="n"/>
      <c r="C1011" s="64" t="n"/>
      <c r="D1011" s="64" t="n"/>
      <c r="E1011" s="63" t="n"/>
    </row>
    <row r="1012" ht="18" customHeight="1">
      <c r="A1012" s="62" t="n"/>
      <c r="B1012" s="63" t="n"/>
      <c r="C1012" s="64" t="n"/>
      <c r="D1012" s="64" t="n"/>
      <c r="E1012" s="63" t="n"/>
    </row>
    <row r="1013" ht="18" customHeight="1">
      <c r="A1013" s="62" t="n"/>
      <c r="B1013" s="63" t="n"/>
      <c r="C1013" s="64" t="n"/>
      <c r="D1013" s="64" t="n"/>
      <c r="E1013" s="63" t="n"/>
    </row>
    <row r="1014" ht="18" customHeight="1">
      <c r="A1014" s="62" t="n"/>
      <c r="B1014" s="63" t="n"/>
      <c r="C1014" s="64" t="n"/>
      <c r="D1014" s="64" t="n"/>
      <c r="E1014" s="63" t="n"/>
    </row>
    <row r="1015" ht="18" customHeight="1">
      <c r="A1015" s="62" t="n"/>
      <c r="B1015" s="63" t="n"/>
      <c r="C1015" s="64" t="n"/>
      <c r="D1015" s="64" t="n"/>
      <c r="E1015" s="63" t="n"/>
    </row>
    <row r="1016" ht="18" customHeight="1">
      <c r="A1016" s="62" t="n"/>
      <c r="B1016" s="63" t="n"/>
      <c r="C1016" s="64" t="n"/>
      <c r="D1016" s="64" t="n"/>
      <c r="E1016" s="63" t="n"/>
    </row>
    <row r="1017" ht="18" customHeight="1">
      <c r="A1017" s="62" t="n"/>
      <c r="B1017" s="63" t="n"/>
      <c r="C1017" s="64" t="n"/>
      <c r="D1017" s="64" t="n"/>
      <c r="E1017" s="63" t="n"/>
    </row>
    <row r="1018" ht="18" customHeight="1">
      <c r="A1018" s="62" t="n"/>
      <c r="B1018" s="63" t="n"/>
      <c r="C1018" s="64" t="n"/>
      <c r="D1018" s="64" t="n"/>
      <c r="E1018" s="63" t="n"/>
    </row>
    <row r="1019" ht="18" customHeight="1">
      <c r="A1019" s="62" t="n"/>
      <c r="B1019" s="63" t="n"/>
      <c r="C1019" s="64" t="n"/>
      <c r="D1019" s="64" t="n"/>
      <c r="E1019" s="63" t="n"/>
    </row>
    <row r="1020" ht="18" customHeight="1">
      <c r="A1020" s="62" t="n"/>
      <c r="B1020" s="63" t="n"/>
      <c r="C1020" s="64" t="n"/>
      <c r="D1020" s="64" t="n"/>
      <c r="E1020" s="63" t="n"/>
    </row>
    <row r="1021" ht="18" customHeight="1">
      <c r="A1021" s="62" t="n"/>
      <c r="B1021" s="63" t="n"/>
      <c r="C1021" s="64" t="n"/>
      <c r="D1021" s="64" t="n"/>
      <c r="E1021" s="63" t="n"/>
    </row>
    <row r="1022" ht="18" customHeight="1">
      <c r="A1022" s="62" t="n"/>
      <c r="B1022" s="63" t="n"/>
      <c r="C1022" s="64" t="n"/>
      <c r="D1022" s="64" t="n"/>
      <c r="E1022" s="63" t="n"/>
    </row>
    <row r="1023" ht="18" customHeight="1">
      <c r="A1023" s="62" t="n"/>
      <c r="B1023" s="63" t="n"/>
      <c r="C1023" s="64" t="n"/>
      <c r="D1023" s="64" t="n"/>
      <c r="E1023" s="63" t="n"/>
    </row>
    <row r="1024" ht="18" customHeight="1">
      <c r="A1024" s="62" t="n"/>
      <c r="B1024" s="63" t="n"/>
      <c r="C1024" s="64" t="n"/>
      <c r="D1024" s="64" t="n"/>
      <c r="E1024" s="63" t="n"/>
    </row>
    <row r="1025" ht="18" customHeight="1">
      <c r="A1025" s="62" t="n"/>
      <c r="B1025" s="63" t="n"/>
      <c r="C1025" s="64" t="n"/>
      <c r="D1025" s="64" t="n"/>
      <c r="E1025" s="63" t="n"/>
    </row>
    <row r="1026" ht="18" customHeight="1">
      <c r="A1026" s="62" t="n"/>
      <c r="B1026" s="63" t="n"/>
      <c r="C1026" s="64" t="n"/>
      <c r="D1026" s="64" t="n"/>
      <c r="E1026" s="63" t="n"/>
    </row>
    <row r="1027" ht="18" customHeight="1">
      <c r="A1027" s="62" t="n"/>
      <c r="B1027" s="63" t="n"/>
      <c r="C1027" s="64" t="n"/>
      <c r="D1027" s="64" t="n"/>
      <c r="E1027" s="63" t="n"/>
    </row>
    <row r="1028" ht="18" customHeight="1">
      <c r="A1028" s="62" t="n"/>
      <c r="B1028" s="63" t="n"/>
      <c r="C1028" s="64" t="n"/>
      <c r="D1028" s="64" t="n"/>
      <c r="E1028" s="63" t="n"/>
    </row>
    <row r="1029" ht="18" customHeight="1">
      <c r="A1029" s="62" t="n"/>
      <c r="B1029" s="63" t="n"/>
      <c r="C1029" s="64" t="n"/>
      <c r="D1029" s="64" t="n"/>
      <c r="E1029" s="63" t="n"/>
    </row>
    <row r="1030" ht="18" customHeight="1">
      <c r="A1030" s="62" t="n"/>
      <c r="B1030" s="63" t="n"/>
      <c r="C1030" s="64" t="n"/>
      <c r="D1030" s="64" t="n"/>
      <c r="E1030" s="63" t="n"/>
    </row>
    <row r="1031" ht="18" customHeight="1">
      <c r="A1031" s="62" t="n"/>
      <c r="B1031" s="63" t="n"/>
      <c r="C1031" s="64" t="n"/>
      <c r="D1031" s="64" t="n"/>
      <c r="E1031" s="63" t="n"/>
    </row>
    <row r="1032" ht="18" customHeight="1">
      <c r="A1032" s="62" t="n"/>
      <c r="B1032" s="63" t="n"/>
      <c r="C1032" s="64" t="n"/>
      <c r="D1032" s="64" t="n"/>
      <c r="E1032" s="63" t="n"/>
    </row>
    <row r="1033" ht="18" customHeight="1">
      <c r="A1033" s="62" t="n"/>
      <c r="B1033" s="63" t="n"/>
      <c r="C1033" s="64" t="n"/>
      <c r="D1033" s="64" t="n"/>
      <c r="E1033" s="63" t="n"/>
    </row>
    <row r="1034" ht="18" customHeight="1">
      <c r="A1034" s="62" t="n"/>
      <c r="B1034" s="63" t="n"/>
      <c r="C1034" s="64" t="n"/>
      <c r="D1034" s="64" t="n"/>
      <c r="E1034" s="63" t="n"/>
    </row>
    <row r="1035" ht="18" customHeight="1">
      <c r="A1035" s="62" t="n"/>
      <c r="B1035" s="63" t="n"/>
      <c r="C1035" s="64" t="n"/>
      <c r="D1035" s="64" t="n"/>
      <c r="E1035" s="63" t="n"/>
    </row>
    <row r="1036" ht="18" customHeight="1">
      <c r="A1036" s="62" t="n"/>
      <c r="B1036" s="63" t="n"/>
      <c r="C1036" s="64" t="n"/>
      <c r="D1036" s="64" t="n"/>
      <c r="E1036" s="63" t="n"/>
    </row>
    <row r="1037" ht="18" customHeight="1">
      <c r="A1037" s="62" t="n"/>
      <c r="B1037" s="63" t="n"/>
      <c r="C1037" s="64" t="n"/>
      <c r="D1037" s="64" t="n"/>
      <c r="E1037" s="63" t="n"/>
    </row>
    <row r="1038" ht="18" customHeight="1">
      <c r="A1038" s="62" t="n"/>
      <c r="B1038" s="63" t="n"/>
      <c r="C1038" s="64" t="n"/>
      <c r="D1038" s="64" t="n"/>
      <c r="E1038" s="63" t="n"/>
    </row>
    <row r="1039" ht="18" customHeight="1">
      <c r="A1039" s="62" t="n"/>
      <c r="B1039" s="63" t="n"/>
      <c r="C1039" s="64" t="n"/>
      <c r="D1039" s="64" t="n"/>
      <c r="E1039" s="63" t="n"/>
    </row>
    <row r="1040" ht="18" customHeight="1">
      <c r="A1040" s="62" t="n"/>
      <c r="B1040" s="63" t="n"/>
      <c r="C1040" s="64" t="n"/>
      <c r="D1040" s="64" t="n"/>
      <c r="E1040" s="63" t="n"/>
    </row>
    <row r="1041" ht="18" customHeight="1">
      <c r="A1041" s="62" t="n"/>
      <c r="B1041" s="63" t="n"/>
      <c r="C1041" s="64" t="n"/>
      <c r="D1041" s="64" t="n"/>
      <c r="E1041" s="63" t="n"/>
    </row>
    <row r="1042" ht="18" customHeight="1">
      <c r="A1042" s="62" t="n"/>
      <c r="B1042" s="63" t="n"/>
      <c r="C1042" s="64" t="n"/>
      <c r="D1042" s="64" t="n"/>
      <c r="E1042" s="63" t="n"/>
    </row>
    <row r="1043" ht="18" customHeight="1">
      <c r="A1043" s="62" t="n"/>
      <c r="B1043" s="63" t="n"/>
      <c r="C1043" s="64" t="n"/>
      <c r="D1043" s="64" t="n"/>
      <c r="E1043" s="63" t="n"/>
    </row>
    <row r="1044" ht="18" customHeight="1">
      <c r="A1044" s="62" t="n"/>
      <c r="B1044" s="63" t="n"/>
      <c r="C1044" s="64" t="n"/>
      <c r="D1044" s="64" t="n"/>
      <c r="E1044" s="63" t="n"/>
    </row>
    <row r="1045" ht="18" customHeight="1">
      <c r="A1045" s="62" t="n"/>
      <c r="B1045" s="63" t="n"/>
      <c r="C1045" s="64" t="n"/>
      <c r="D1045" s="64" t="n"/>
      <c r="E1045" s="63" t="n"/>
    </row>
    <row r="1046" ht="18" customHeight="1">
      <c r="A1046" s="62" t="n"/>
      <c r="B1046" s="63" t="n"/>
      <c r="C1046" s="64" t="n"/>
      <c r="D1046" s="64" t="n"/>
      <c r="E1046" s="63" t="n"/>
    </row>
    <row r="1047" ht="18" customHeight="1">
      <c r="A1047" s="62" t="n"/>
      <c r="B1047" s="63" t="n"/>
      <c r="C1047" s="64" t="n"/>
      <c r="D1047" s="64" t="n"/>
      <c r="E1047" s="63" t="n"/>
    </row>
    <row r="1048" ht="18" customHeight="1">
      <c r="A1048" s="62" t="n"/>
      <c r="B1048" s="63" t="n"/>
      <c r="C1048" s="64" t="n"/>
      <c r="D1048" s="64" t="n"/>
      <c r="E1048" s="63" t="n"/>
    </row>
    <row r="1049" ht="18" customHeight="1">
      <c r="A1049" s="62" t="n"/>
      <c r="B1049" s="63" t="n"/>
      <c r="C1049" s="64" t="n"/>
      <c r="D1049" s="64" t="n"/>
      <c r="E1049" s="63" t="n"/>
    </row>
    <row r="1050" ht="18" customHeight="1">
      <c r="A1050" s="62" t="n"/>
      <c r="B1050" s="63" t="n"/>
      <c r="C1050" s="64" t="n"/>
      <c r="D1050" s="64" t="n"/>
      <c r="E1050" s="63" t="n"/>
    </row>
    <row r="1051" ht="18" customHeight="1">
      <c r="A1051" s="62" t="n"/>
      <c r="B1051" s="63" t="n"/>
      <c r="C1051" s="64" t="n"/>
      <c r="D1051" s="64" t="n"/>
      <c r="E1051" s="63" t="n"/>
    </row>
    <row r="1052" ht="18" customHeight="1">
      <c r="A1052" s="62" t="n"/>
      <c r="B1052" s="63" t="n"/>
      <c r="C1052" s="64" t="n"/>
      <c r="D1052" s="64" t="n"/>
      <c r="E1052" s="63" t="n"/>
    </row>
    <row r="1053" ht="18" customHeight="1">
      <c r="A1053" s="62" t="n"/>
      <c r="B1053" s="63" t="n"/>
      <c r="C1053" s="64" t="n"/>
      <c r="D1053" s="64" t="n"/>
      <c r="E1053" s="63" t="n"/>
    </row>
    <row r="1054" ht="18" customHeight="1">
      <c r="A1054" s="62" t="n"/>
      <c r="B1054" s="63" t="n"/>
      <c r="C1054" s="64" t="n"/>
      <c r="D1054" s="64" t="n"/>
      <c r="E1054" s="63" t="n"/>
    </row>
    <row r="1055" ht="18" customHeight="1">
      <c r="A1055" s="62" t="n"/>
      <c r="B1055" s="63" t="n"/>
      <c r="C1055" s="64" t="n"/>
      <c r="D1055" s="64" t="n"/>
      <c r="E1055" s="63" t="n"/>
    </row>
    <row r="1056" ht="18" customHeight="1">
      <c r="A1056" s="62" t="n"/>
      <c r="B1056" s="63" t="n"/>
      <c r="C1056" s="64" t="n"/>
      <c r="D1056" s="64" t="n"/>
      <c r="E1056" s="63" t="n"/>
    </row>
    <row r="1057" ht="18" customHeight="1">
      <c r="A1057" s="62" t="n"/>
      <c r="B1057" s="63" t="n"/>
      <c r="C1057" s="64" t="n"/>
      <c r="D1057" s="64" t="n"/>
      <c r="E1057" s="63" t="n"/>
    </row>
    <row r="1058" ht="18" customHeight="1">
      <c r="A1058" s="62" t="n"/>
      <c r="B1058" s="63" t="n"/>
      <c r="C1058" s="64" t="n"/>
      <c r="D1058" s="64" t="n"/>
      <c r="E1058" s="63" t="n"/>
    </row>
    <row r="1059" ht="18" customHeight="1">
      <c r="A1059" s="62" t="n"/>
      <c r="B1059" s="63" t="n"/>
      <c r="C1059" s="64" t="n"/>
      <c r="D1059" s="64" t="n"/>
      <c r="E1059" s="63" t="n"/>
    </row>
    <row r="1060" ht="18" customHeight="1">
      <c r="A1060" s="62" t="n"/>
      <c r="B1060" s="63" t="n"/>
      <c r="C1060" s="64" t="n"/>
      <c r="D1060" s="64" t="n"/>
      <c r="E1060" s="63" t="n"/>
    </row>
    <row r="1061" ht="18" customHeight="1">
      <c r="A1061" s="62" t="n"/>
      <c r="B1061" s="63" t="n"/>
      <c r="C1061" s="64" t="n"/>
      <c r="D1061" s="64" t="n"/>
      <c r="E1061" s="63" t="n"/>
    </row>
    <row r="1062" ht="18" customHeight="1">
      <c r="A1062" s="62" t="n"/>
      <c r="B1062" s="63" t="n"/>
      <c r="C1062" s="64" t="n"/>
      <c r="D1062" s="64" t="n"/>
      <c r="E1062" s="63" t="n"/>
    </row>
    <row r="1063" ht="18" customHeight="1">
      <c r="A1063" s="62" t="n"/>
      <c r="B1063" s="63" t="n"/>
      <c r="C1063" s="64" t="n"/>
      <c r="D1063" s="64" t="n"/>
      <c r="E1063" s="63" t="n"/>
    </row>
    <row r="1064" ht="18" customHeight="1">
      <c r="A1064" s="62" t="n"/>
      <c r="B1064" s="63" t="n"/>
      <c r="C1064" s="64" t="n"/>
      <c r="D1064" s="64" t="n"/>
      <c r="E1064" s="63" t="n"/>
    </row>
    <row r="1065" ht="18" customHeight="1">
      <c r="A1065" s="62" t="n"/>
      <c r="B1065" s="63" t="n"/>
      <c r="C1065" s="64" t="n"/>
      <c r="D1065" s="64" t="n"/>
      <c r="E1065" s="63" t="n"/>
    </row>
    <row r="1066" ht="18" customHeight="1">
      <c r="A1066" s="62" t="n"/>
      <c r="B1066" s="63" t="n"/>
      <c r="C1066" s="64" t="n"/>
      <c r="D1066" s="64" t="n"/>
      <c r="E1066" s="63" t="n"/>
    </row>
    <row r="1067" ht="18" customHeight="1">
      <c r="A1067" s="62" t="n"/>
      <c r="B1067" s="63" t="n"/>
      <c r="C1067" s="64" t="n"/>
      <c r="D1067" s="64" t="n"/>
      <c r="E1067" s="63" t="n"/>
    </row>
    <row r="1068" ht="18" customHeight="1">
      <c r="A1068" s="62" t="n"/>
      <c r="B1068" s="63" t="n"/>
      <c r="C1068" s="64" t="n"/>
      <c r="D1068" s="64" t="n"/>
      <c r="E1068" s="63" t="n"/>
    </row>
    <row r="1069" ht="18" customHeight="1">
      <c r="A1069" s="62" t="n"/>
      <c r="B1069" s="63" t="n"/>
      <c r="C1069" s="64" t="n"/>
      <c r="D1069" s="64" t="n"/>
      <c r="E1069" s="63" t="n"/>
    </row>
    <row r="1070" ht="18" customHeight="1">
      <c r="A1070" s="62" t="n"/>
      <c r="B1070" s="63" t="n"/>
      <c r="C1070" s="64" t="n"/>
      <c r="D1070" s="64" t="n"/>
      <c r="E1070" s="63" t="n"/>
    </row>
    <row r="1071" ht="18" customHeight="1">
      <c r="A1071" s="62" t="n"/>
      <c r="B1071" s="63" t="n"/>
      <c r="C1071" s="64" t="n"/>
      <c r="D1071" s="64" t="n"/>
      <c r="E1071" s="63" t="n"/>
    </row>
    <row r="1072" ht="18" customHeight="1">
      <c r="A1072" s="62" t="n"/>
      <c r="B1072" s="63" t="n"/>
      <c r="C1072" s="64" t="n"/>
      <c r="D1072" s="64" t="n"/>
      <c r="E1072" s="63" t="n"/>
    </row>
    <row r="1073" ht="18" customHeight="1">
      <c r="A1073" s="62" t="n"/>
      <c r="B1073" s="63" t="n"/>
      <c r="C1073" s="64" t="n"/>
      <c r="D1073" s="64" t="n"/>
      <c r="E1073" s="63" t="n"/>
    </row>
    <row r="1074" ht="18" customHeight="1">
      <c r="A1074" s="62" t="n"/>
      <c r="B1074" s="63" t="n"/>
      <c r="C1074" s="64" t="n"/>
      <c r="D1074" s="64" t="n"/>
      <c r="E1074" s="63" t="n"/>
    </row>
    <row r="1075" ht="18" customHeight="1">
      <c r="A1075" s="62" t="n"/>
      <c r="B1075" s="63" t="n"/>
      <c r="C1075" s="64" t="n"/>
      <c r="D1075" s="64" t="n"/>
      <c r="E1075" s="63" t="n"/>
    </row>
    <row r="1076" ht="18" customHeight="1">
      <c r="A1076" s="62" t="n"/>
      <c r="B1076" s="63" t="n"/>
      <c r="C1076" s="64" t="n"/>
      <c r="D1076" s="64" t="n"/>
      <c r="E1076" s="63" t="n"/>
    </row>
    <row r="1077" ht="18" customHeight="1">
      <c r="A1077" s="62" t="n"/>
      <c r="B1077" s="63" t="n"/>
      <c r="C1077" s="64" t="n"/>
      <c r="D1077" s="64" t="n"/>
      <c r="E1077" s="63" t="n"/>
    </row>
    <row r="1078" ht="18" customHeight="1">
      <c r="A1078" s="62" t="n"/>
      <c r="B1078" s="63" t="n"/>
      <c r="C1078" s="64" t="n"/>
      <c r="D1078" s="64" t="n"/>
      <c r="E1078" s="63" t="n"/>
    </row>
    <row r="1079" ht="18" customHeight="1">
      <c r="A1079" s="62" t="n"/>
      <c r="B1079" s="63" t="n"/>
      <c r="C1079" s="64" t="n"/>
      <c r="D1079" s="64" t="n"/>
      <c r="E1079" s="63" t="n"/>
    </row>
    <row r="1080" ht="18" customHeight="1">
      <c r="A1080" s="62" t="n"/>
      <c r="B1080" s="63" t="n"/>
      <c r="C1080" s="64" t="n"/>
      <c r="D1080" s="64" t="n"/>
      <c r="E1080" s="63" t="n"/>
    </row>
    <row r="1081" ht="18" customHeight="1">
      <c r="A1081" s="62" t="n"/>
      <c r="B1081" s="63" t="n"/>
      <c r="C1081" s="64" t="n"/>
      <c r="D1081" s="64" t="n"/>
      <c r="E1081" s="63" t="n"/>
    </row>
    <row r="1082" ht="18" customHeight="1">
      <c r="A1082" s="62" t="n"/>
      <c r="B1082" s="63" t="n"/>
      <c r="C1082" s="64" t="n"/>
      <c r="D1082" s="64" t="n"/>
      <c r="E1082" s="63" t="n"/>
    </row>
    <row r="1083" ht="18" customHeight="1">
      <c r="A1083" s="62" t="n"/>
      <c r="B1083" s="63" t="n"/>
      <c r="C1083" s="64" t="n"/>
      <c r="D1083" s="64" t="n"/>
      <c r="E1083" s="63" t="n"/>
    </row>
    <row r="1084" ht="18" customHeight="1">
      <c r="A1084" s="62" t="n"/>
      <c r="B1084" s="63" t="n"/>
      <c r="C1084" s="64" t="n"/>
      <c r="D1084" s="64" t="n"/>
      <c r="E1084" s="63" t="n"/>
    </row>
    <row r="1085" ht="18" customHeight="1">
      <c r="A1085" s="62" t="n"/>
      <c r="B1085" s="63" t="n"/>
      <c r="C1085" s="64" t="n"/>
      <c r="D1085" s="64" t="n"/>
      <c r="E1085" s="63" t="n"/>
    </row>
    <row r="1086" ht="18" customHeight="1">
      <c r="A1086" s="62" t="n"/>
      <c r="B1086" s="63" t="n"/>
      <c r="C1086" s="64" t="n"/>
      <c r="D1086" s="64" t="n"/>
      <c r="E1086" s="63" t="n"/>
    </row>
    <row r="1087" ht="18" customHeight="1">
      <c r="A1087" s="62" t="n"/>
      <c r="B1087" s="63" t="n"/>
      <c r="C1087" s="64" t="n"/>
      <c r="D1087" s="64" t="n"/>
      <c r="E1087" s="63" t="n"/>
    </row>
    <row r="1088" ht="18" customHeight="1">
      <c r="A1088" s="62" t="n"/>
      <c r="B1088" s="63" t="n"/>
      <c r="C1088" s="64" t="n"/>
      <c r="D1088" s="64" t="n"/>
      <c r="E1088" s="63" t="n"/>
    </row>
    <row r="1089" ht="18" customHeight="1">
      <c r="A1089" s="62" t="n"/>
      <c r="B1089" s="63" t="n"/>
      <c r="C1089" s="64" t="n"/>
      <c r="D1089" s="64" t="n"/>
      <c r="E1089" s="63" t="n"/>
    </row>
    <row r="1090" ht="18" customHeight="1">
      <c r="A1090" s="62" t="n"/>
      <c r="B1090" s="63" t="n"/>
      <c r="C1090" s="64" t="n"/>
      <c r="D1090" s="64" t="n"/>
      <c r="E1090" s="63" t="n"/>
    </row>
    <row r="1091" ht="18" customHeight="1">
      <c r="A1091" s="62" t="n"/>
      <c r="B1091" s="63" t="n"/>
      <c r="C1091" s="64" t="n"/>
      <c r="D1091" s="64" t="n"/>
      <c r="E1091" s="63" t="n"/>
    </row>
    <row r="1092" ht="18" customHeight="1">
      <c r="A1092" s="62" t="n"/>
      <c r="B1092" s="63" t="n"/>
      <c r="C1092" s="64" t="n"/>
      <c r="D1092" s="64" t="n"/>
      <c r="E1092" s="63" t="n"/>
    </row>
    <row r="1093" ht="18" customHeight="1">
      <c r="A1093" s="62" t="n"/>
      <c r="B1093" s="63" t="n"/>
      <c r="C1093" s="64" t="n"/>
      <c r="D1093" s="64" t="n"/>
      <c r="E1093" s="63" t="n"/>
    </row>
    <row r="1094" ht="18" customHeight="1">
      <c r="A1094" s="62" t="n"/>
      <c r="B1094" s="63" t="n"/>
      <c r="C1094" s="64" t="n"/>
      <c r="D1094" s="64" t="n"/>
      <c r="E1094" s="63" t="n"/>
    </row>
    <row r="1095" ht="18" customHeight="1">
      <c r="A1095" s="62" t="n"/>
      <c r="B1095" s="63" t="n"/>
      <c r="C1095" s="64" t="n"/>
      <c r="D1095" s="64" t="n"/>
      <c r="E1095" s="63" t="n"/>
    </row>
    <row r="1096" ht="18" customHeight="1">
      <c r="A1096" s="62" t="n"/>
      <c r="B1096" s="63" t="n"/>
      <c r="C1096" s="64" t="n"/>
      <c r="D1096" s="64" t="n"/>
      <c r="E1096" s="63" t="n"/>
    </row>
    <row r="1097" ht="18" customHeight="1">
      <c r="A1097" s="62" t="n"/>
      <c r="B1097" s="63" t="n"/>
      <c r="C1097" s="64" t="n"/>
      <c r="D1097" s="64" t="n"/>
      <c r="E1097" s="63" t="n"/>
    </row>
    <row r="1098" ht="18" customHeight="1">
      <c r="A1098" s="62" t="n"/>
      <c r="B1098" s="63" t="n"/>
      <c r="C1098" s="64" t="n"/>
      <c r="D1098" s="64" t="n"/>
      <c r="E1098" s="63" t="n"/>
    </row>
    <row r="1099" ht="18" customHeight="1">
      <c r="A1099" s="62" t="n"/>
      <c r="B1099" s="63" t="n"/>
      <c r="C1099" s="64" t="n"/>
      <c r="D1099" s="64" t="n"/>
      <c r="E1099" s="63" t="n"/>
    </row>
    <row r="1100" ht="18" customHeight="1">
      <c r="A1100" s="62" t="n"/>
      <c r="B1100" s="63" t="n"/>
      <c r="C1100" s="64" t="n"/>
      <c r="D1100" s="64" t="n"/>
      <c r="E1100" s="63" t="n"/>
    </row>
    <row r="1101" ht="18" customHeight="1">
      <c r="A1101" s="62" t="n"/>
      <c r="B1101" s="63" t="n"/>
      <c r="C1101" s="64" t="n"/>
      <c r="D1101" s="64" t="n"/>
      <c r="E1101" s="63" t="n"/>
    </row>
    <row r="1102" ht="18" customHeight="1">
      <c r="A1102" s="62" t="n"/>
      <c r="B1102" s="63" t="n"/>
      <c r="C1102" s="64" t="n"/>
      <c r="D1102" s="64" t="n"/>
      <c r="E1102" s="63" t="n"/>
    </row>
    <row r="1103" ht="18" customHeight="1">
      <c r="A1103" s="62" t="n"/>
      <c r="B1103" s="63" t="n"/>
      <c r="C1103" s="64" t="n"/>
      <c r="D1103" s="64" t="n"/>
      <c r="E1103" s="63" t="n"/>
    </row>
    <row r="1104" ht="18" customHeight="1">
      <c r="A1104" s="62" t="n"/>
      <c r="B1104" s="63" t="n"/>
      <c r="C1104" s="64" t="n"/>
      <c r="D1104" s="64" t="n"/>
      <c r="E1104" s="63" t="n"/>
    </row>
    <row r="1105" ht="18" customHeight="1">
      <c r="A1105" s="62" t="n"/>
      <c r="B1105" s="63" t="n"/>
      <c r="C1105" s="64" t="n"/>
      <c r="D1105" s="64" t="n"/>
      <c r="E1105" s="63" t="n"/>
    </row>
    <row r="1106" ht="18" customHeight="1">
      <c r="A1106" s="62" t="n"/>
      <c r="B1106" s="63" t="n"/>
      <c r="C1106" s="64" t="n"/>
      <c r="D1106" s="64" t="n"/>
      <c r="E1106" s="63" t="n"/>
    </row>
    <row r="1107" ht="18" customHeight="1">
      <c r="A1107" s="62" t="n"/>
      <c r="B1107" s="63" t="n"/>
      <c r="C1107" s="64" t="n"/>
      <c r="D1107" s="64" t="n"/>
      <c r="E1107" s="63" t="n"/>
    </row>
    <row r="1108" ht="18" customHeight="1">
      <c r="A1108" s="62" t="n"/>
      <c r="B1108" s="63" t="n"/>
      <c r="C1108" s="64" t="n"/>
      <c r="D1108" s="64" t="n"/>
      <c r="E1108" s="63" t="n"/>
    </row>
    <row r="1109" ht="18" customHeight="1">
      <c r="A1109" s="62" t="n"/>
      <c r="B1109" s="63" t="n"/>
      <c r="C1109" s="64" t="n"/>
      <c r="D1109" s="64" t="n"/>
      <c r="E1109" s="63" t="n"/>
    </row>
    <row r="1110" ht="18" customHeight="1">
      <c r="A1110" s="62" t="n"/>
      <c r="B1110" s="63" t="n"/>
      <c r="C1110" s="64" t="n"/>
      <c r="D1110" s="64" t="n"/>
      <c r="E1110" s="63" t="n"/>
    </row>
    <row r="1111" ht="18" customHeight="1">
      <c r="A1111" s="62" t="n"/>
      <c r="B1111" s="63" t="n"/>
      <c r="C1111" s="64" t="n"/>
      <c r="D1111" s="64" t="n"/>
      <c r="E1111" s="63" t="n"/>
    </row>
    <row r="1112" ht="18" customHeight="1">
      <c r="A1112" s="62" t="n"/>
      <c r="B1112" s="63" t="n"/>
      <c r="C1112" s="64" t="n"/>
      <c r="D1112" s="64" t="n"/>
      <c r="E1112" s="63" t="n"/>
    </row>
    <row r="1113" ht="18" customHeight="1">
      <c r="A1113" s="62" t="n"/>
      <c r="B1113" s="63" t="n"/>
      <c r="C1113" s="64" t="n"/>
      <c r="D1113" s="64" t="n"/>
      <c r="E1113" s="63" t="n"/>
    </row>
    <row r="1114" ht="18" customHeight="1">
      <c r="A1114" s="62" t="n"/>
      <c r="B1114" s="63" t="n"/>
      <c r="C1114" s="64" t="n"/>
      <c r="D1114" s="64" t="n"/>
      <c r="E1114" s="63" t="n"/>
    </row>
    <row r="1115" ht="18" customHeight="1">
      <c r="A1115" s="62" t="n"/>
      <c r="B1115" s="63" t="n"/>
      <c r="C1115" s="64" t="n"/>
      <c r="D1115" s="64" t="n"/>
      <c r="E1115" s="63" t="n"/>
    </row>
    <row r="1116" ht="18" customHeight="1">
      <c r="A1116" s="62" t="n"/>
      <c r="B1116" s="63" t="n"/>
      <c r="C1116" s="64" t="n"/>
      <c r="D1116" s="64" t="n"/>
      <c r="E1116" s="63" t="n"/>
    </row>
    <row r="1117" ht="18" customHeight="1">
      <c r="A1117" s="62" t="n"/>
      <c r="B1117" s="63" t="n"/>
      <c r="C1117" s="64" t="n"/>
      <c r="D1117" s="64" t="n"/>
      <c r="E1117" s="63" t="n"/>
    </row>
    <row r="1118" ht="18" customHeight="1">
      <c r="A1118" s="62" t="n"/>
      <c r="B1118" s="63" t="n"/>
      <c r="C1118" s="64" t="n"/>
      <c r="D1118" s="64" t="n"/>
      <c r="E1118" s="63" t="n"/>
    </row>
    <row r="1119" ht="18" customHeight="1">
      <c r="A1119" s="62" t="n"/>
      <c r="B1119" s="63" t="n"/>
      <c r="C1119" s="64" t="n"/>
      <c r="D1119" s="64" t="n"/>
      <c r="E1119" s="63" t="n"/>
    </row>
    <row r="1120" ht="18" customHeight="1">
      <c r="A1120" s="62" t="n"/>
      <c r="B1120" s="63" t="n"/>
      <c r="C1120" s="64" t="n"/>
      <c r="D1120" s="64" t="n"/>
      <c r="E1120" s="63" t="n"/>
    </row>
    <row r="1121" ht="18" customHeight="1">
      <c r="A1121" s="62" t="n"/>
      <c r="B1121" s="63" t="n"/>
      <c r="C1121" s="64" t="n"/>
      <c r="D1121" s="64" t="n"/>
      <c r="E1121" s="63" t="n"/>
    </row>
    <row r="1122" ht="18" customHeight="1">
      <c r="A1122" s="62" t="n"/>
      <c r="B1122" s="63" t="n"/>
      <c r="C1122" s="64" t="n"/>
      <c r="D1122" s="64" t="n"/>
      <c r="E1122" s="63" t="n"/>
    </row>
    <row r="1123" ht="18" customHeight="1">
      <c r="A1123" s="62" t="n"/>
      <c r="B1123" s="63" t="n"/>
      <c r="C1123" s="64" t="n"/>
      <c r="D1123" s="64" t="n"/>
      <c r="E1123" s="63" t="n"/>
    </row>
    <row r="1124" ht="18" customHeight="1">
      <c r="A1124" s="62" t="n"/>
      <c r="B1124" s="63" t="n"/>
      <c r="C1124" s="64" t="n"/>
      <c r="D1124" s="64" t="n"/>
      <c r="E1124" s="63" t="n"/>
    </row>
    <row r="1125" ht="18" customHeight="1">
      <c r="A1125" s="62" t="n"/>
      <c r="B1125" s="63" t="n"/>
      <c r="C1125" s="64" t="n"/>
      <c r="D1125" s="64" t="n"/>
      <c r="E1125" s="63" t="n"/>
    </row>
    <row r="1126" ht="18" customHeight="1">
      <c r="A1126" s="62" t="n"/>
      <c r="B1126" s="63" t="n"/>
      <c r="C1126" s="64" t="n"/>
      <c r="D1126" s="64" t="n"/>
      <c r="E1126" s="63" t="n"/>
    </row>
    <row r="1127" ht="18" customHeight="1">
      <c r="A1127" s="62" t="n"/>
      <c r="B1127" s="63" t="n"/>
      <c r="C1127" s="64" t="n"/>
      <c r="D1127" s="64" t="n"/>
      <c r="E1127" s="63" t="n"/>
    </row>
    <row r="1128" ht="18" customHeight="1">
      <c r="A1128" s="62" t="n"/>
      <c r="B1128" s="63" t="n"/>
      <c r="C1128" s="64" t="n"/>
      <c r="D1128" s="64" t="n"/>
      <c r="E1128" s="63" t="n"/>
    </row>
    <row r="1129" ht="18" customHeight="1">
      <c r="A1129" s="62" t="n"/>
      <c r="B1129" s="63" t="n"/>
      <c r="C1129" s="64" t="n"/>
      <c r="D1129" s="64" t="n"/>
      <c r="E1129" s="63" t="n"/>
    </row>
    <row r="1130" ht="18" customHeight="1">
      <c r="A1130" s="62" t="n"/>
      <c r="B1130" s="63" t="n"/>
      <c r="C1130" s="64" t="n"/>
      <c r="D1130" s="64" t="n"/>
      <c r="E1130" s="63" t="n"/>
    </row>
    <row r="1131" ht="18" customHeight="1">
      <c r="A1131" s="62" t="n"/>
      <c r="B1131" s="63" t="n"/>
      <c r="C1131" s="64" t="n"/>
      <c r="D1131" s="64" t="n"/>
      <c r="E1131" s="63" t="n"/>
    </row>
    <row r="1132" ht="18" customHeight="1">
      <c r="A1132" s="62" t="n"/>
      <c r="B1132" s="63" t="n"/>
      <c r="C1132" s="64" t="n"/>
      <c r="D1132" s="64" t="n"/>
      <c r="E1132" s="63" t="n"/>
    </row>
    <row r="1133" ht="18" customHeight="1">
      <c r="A1133" s="62" t="n"/>
      <c r="B1133" s="63" t="n"/>
      <c r="C1133" s="64" t="n"/>
      <c r="D1133" s="64" t="n"/>
      <c r="E1133" s="63" t="n"/>
    </row>
    <row r="1134" ht="18" customHeight="1">
      <c r="A1134" s="62" t="n"/>
      <c r="B1134" s="63" t="n"/>
      <c r="C1134" s="64" t="n"/>
      <c r="D1134" s="64" t="n"/>
      <c r="E1134" s="63" t="n"/>
    </row>
    <row r="1135" ht="18" customHeight="1">
      <c r="A1135" s="62" t="n"/>
      <c r="B1135" s="63" t="n"/>
      <c r="C1135" s="64" t="n"/>
      <c r="D1135" s="64" t="n"/>
      <c r="E1135" s="63" t="n"/>
    </row>
    <row r="1136" ht="18" customHeight="1">
      <c r="A1136" s="62" t="n"/>
      <c r="B1136" s="63" t="n"/>
      <c r="C1136" s="64" t="n"/>
      <c r="D1136" s="64" t="n"/>
      <c r="E1136" s="63" t="n"/>
    </row>
    <row r="1137" ht="18" customHeight="1">
      <c r="A1137" s="62" t="n"/>
      <c r="B1137" s="63" t="n"/>
      <c r="C1137" s="64" t="n"/>
      <c r="D1137" s="64" t="n"/>
      <c r="E1137" s="63" t="n"/>
    </row>
    <row r="1138" ht="18" customHeight="1">
      <c r="A1138" s="62" t="n"/>
      <c r="B1138" s="63" t="n"/>
      <c r="C1138" s="64" t="n"/>
      <c r="D1138" s="64" t="n"/>
      <c r="E1138" s="63" t="n"/>
    </row>
    <row r="1139" ht="18" customHeight="1">
      <c r="A1139" s="62" t="n"/>
      <c r="B1139" s="63" t="n"/>
      <c r="C1139" s="64" t="n"/>
      <c r="D1139" s="64" t="n"/>
      <c r="E1139" s="63" t="n"/>
    </row>
    <row r="1140" ht="18" customHeight="1">
      <c r="A1140" s="62" t="n"/>
      <c r="B1140" s="63" t="n"/>
      <c r="C1140" s="64" t="n"/>
      <c r="D1140" s="64" t="n"/>
      <c r="E1140" s="63" t="n"/>
    </row>
    <row r="1141" ht="18" customHeight="1">
      <c r="A1141" s="62" t="n"/>
      <c r="B1141" s="63" t="n"/>
      <c r="C1141" s="64" t="n"/>
      <c r="D1141" s="64" t="n"/>
      <c r="E1141" s="63" t="n"/>
    </row>
    <row r="1142" ht="18" customHeight="1">
      <c r="A1142" s="62" t="n"/>
      <c r="B1142" s="63" t="n"/>
      <c r="C1142" s="64" t="n"/>
      <c r="D1142" s="64" t="n"/>
      <c r="E1142" s="63" t="n"/>
    </row>
    <row r="1143" ht="18" customHeight="1">
      <c r="A1143" s="62" t="n"/>
      <c r="B1143" s="63" t="n"/>
      <c r="C1143" s="64" t="n"/>
      <c r="D1143" s="64" t="n"/>
      <c r="E1143" s="63" t="n"/>
    </row>
    <row r="1144" ht="18" customHeight="1">
      <c r="A1144" s="62" t="n"/>
      <c r="B1144" s="63" t="n"/>
      <c r="C1144" s="64" t="n"/>
      <c r="D1144" s="64" t="n"/>
      <c r="E1144" s="63" t="n"/>
    </row>
    <row r="1145" ht="18" customHeight="1">
      <c r="A1145" s="62" t="n"/>
      <c r="B1145" s="63" t="n"/>
      <c r="C1145" s="64" t="n"/>
      <c r="D1145" s="64" t="n"/>
      <c r="E1145" s="63" t="n"/>
    </row>
    <row r="1146" ht="18" customHeight="1">
      <c r="A1146" s="62" t="n"/>
      <c r="B1146" s="63" t="n"/>
      <c r="C1146" s="64" t="n"/>
      <c r="D1146" s="64" t="n"/>
      <c r="E1146" s="63" t="n"/>
    </row>
    <row r="1147" ht="18" customHeight="1">
      <c r="A1147" s="62" t="n"/>
      <c r="B1147" s="63" t="n"/>
      <c r="C1147" s="64" t="n"/>
      <c r="D1147" s="64" t="n"/>
      <c r="E1147" s="63" t="n"/>
    </row>
    <row r="1148" ht="18" customHeight="1">
      <c r="A1148" s="62" t="n"/>
      <c r="B1148" s="63" t="n"/>
      <c r="C1148" s="64" t="n"/>
      <c r="D1148" s="64" t="n"/>
      <c r="E1148" s="63" t="n"/>
    </row>
    <row r="1149" ht="18" customHeight="1">
      <c r="A1149" s="62" t="n"/>
      <c r="B1149" s="63" t="n"/>
      <c r="C1149" s="64" t="n"/>
      <c r="D1149" s="64" t="n"/>
      <c r="E1149" s="63" t="n"/>
    </row>
    <row r="1150" ht="18" customHeight="1">
      <c r="A1150" s="62" t="n"/>
      <c r="B1150" s="63" t="n"/>
      <c r="C1150" s="64" t="n"/>
      <c r="D1150" s="64" t="n"/>
      <c r="E1150" s="63" t="n"/>
    </row>
    <row r="1151" ht="18" customHeight="1">
      <c r="A1151" s="62" t="n"/>
      <c r="B1151" s="63" t="n"/>
      <c r="C1151" s="64" t="n"/>
      <c r="D1151" s="64" t="n"/>
      <c r="E1151" s="63" t="n"/>
    </row>
    <row r="1152" ht="18" customHeight="1">
      <c r="A1152" s="62" t="n"/>
      <c r="B1152" s="63" t="n"/>
      <c r="C1152" s="64" t="n"/>
      <c r="D1152" s="64" t="n"/>
      <c r="E1152" s="63" t="n"/>
    </row>
    <row r="1153" ht="18" customHeight="1">
      <c r="A1153" s="62" t="n"/>
      <c r="B1153" s="63" t="n"/>
      <c r="C1153" s="64" t="n"/>
      <c r="D1153" s="64" t="n"/>
      <c r="E1153" s="63" t="n"/>
    </row>
    <row r="1154" ht="18" customHeight="1">
      <c r="A1154" s="62" t="n"/>
      <c r="B1154" s="63" t="n"/>
      <c r="C1154" s="64" t="n"/>
      <c r="D1154" s="64" t="n"/>
      <c r="E1154" s="63" t="n"/>
    </row>
    <row r="1155" ht="18" customHeight="1">
      <c r="A1155" s="62" t="n"/>
      <c r="B1155" s="63" t="n"/>
      <c r="C1155" s="64" t="n"/>
      <c r="D1155" s="64" t="n"/>
      <c r="E1155" s="63" t="n"/>
    </row>
    <row r="1156" ht="18" customHeight="1">
      <c r="A1156" s="62" t="n"/>
      <c r="B1156" s="63" t="n"/>
      <c r="C1156" s="64" t="n"/>
      <c r="D1156" s="64" t="n"/>
      <c r="E1156" s="63" t="n"/>
    </row>
    <row r="1157" ht="18" customHeight="1">
      <c r="A1157" s="62" t="n"/>
      <c r="B1157" s="63" t="n"/>
      <c r="C1157" s="64" t="n"/>
      <c r="D1157" s="64" t="n"/>
      <c r="E1157" s="63" t="n"/>
    </row>
    <row r="1158" ht="18" customHeight="1">
      <c r="A1158" s="62" t="n"/>
      <c r="B1158" s="63" t="n"/>
      <c r="C1158" s="64" t="n"/>
      <c r="D1158" s="64" t="n"/>
      <c r="E1158" s="63" t="n"/>
    </row>
    <row r="1159" ht="18" customHeight="1">
      <c r="A1159" s="62" t="n"/>
      <c r="B1159" s="63" t="n"/>
      <c r="C1159" s="64" t="n"/>
      <c r="D1159" s="64" t="n"/>
      <c r="E1159" s="63" t="n"/>
    </row>
    <row r="1160" ht="18" customHeight="1">
      <c r="A1160" s="62" t="n"/>
      <c r="B1160" s="63" t="n"/>
      <c r="C1160" s="64" t="n"/>
      <c r="D1160" s="64" t="n"/>
      <c r="E1160" s="63" t="n"/>
    </row>
    <row r="1161" ht="18" customHeight="1">
      <c r="A1161" s="62" t="n"/>
      <c r="B1161" s="63" t="n"/>
      <c r="C1161" s="64" t="n"/>
      <c r="D1161" s="64" t="n"/>
      <c r="E1161" s="63" t="n"/>
    </row>
    <row r="1162" ht="18" customHeight="1">
      <c r="A1162" s="62" t="n"/>
      <c r="B1162" s="63" t="n"/>
      <c r="C1162" s="64" t="n"/>
      <c r="D1162" s="64" t="n"/>
      <c r="E1162" s="63" t="n"/>
    </row>
    <row r="1163" ht="18" customHeight="1">
      <c r="A1163" s="62" t="n"/>
      <c r="B1163" s="63" t="n"/>
      <c r="C1163" s="64" t="n"/>
      <c r="D1163" s="64" t="n"/>
      <c r="E1163" s="63" t="n"/>
    </row>
    <row r="1164" ht="18" customHeight="1">
      <c r="A1164" s="62" t="n"/>
      <c r="B1164" s="63" t="n"/>
      <c r="C1164" s="64" t="n"/>
      <c r="D1164" s="64" t="n"/>
      <c r="E1164" s="63" t="n"/>
    </row>
    <row r="1165" ht="18" customHeight="1">
      <c r="A1165" s="62" t="n"/>
      <c r="B1165" s="63" t="n"/>
      <c r="C1165" s="64" t="n"/>
      <c r="D1165" s="64" t="n"/>
      <c r="E1165" s="63" t="n"/>
    </row>
    <row r="1166" ht="18" customHeight="1">
      <c r="A1166" s="62" t="n"/>
      <c r="B1166" s="63" t="n"/>
      <c r="C1166" s="64" t="n"/>
      <c r="D1166" s="64" t="n"/>
      <c r="E1166" s="63" t="n"/>
    </row>
    <row r="1167" ht="18" customHeight="1">
      <c r="A1167" s="62" t="n"/>
      <c r="B1167" s="63" t="n"/>
      <c r="C1167" s="64" t="n"/>
      <c r="D1167" s="64" t="n"/>
      <c r="E1167" s="63" t="n"/>
    </row>
    <row r="1168" ht="18" customHeight="1">
      <c r="A1168" s="62" t="n"/>
      <c r="B1168" s="63" t="n"/>
      <c r="C1168" s="64" t="n"/>
      <c r="D1168" s="64" t="n"/>
      <c r="E1168" s="63" t="n"/>
    </row>
    <row r="1169" ht="18" customHeight="1">
      <c r="A1169" s="62" t="n"/>
      <c r="B1169" s="63" t="n"/>
      <c r="C1169" s="64" t="n"/>
      <c r="D1169" s="64" t="n"/>
      <c r="E1169" s="63" t="n"/>
    </row>
    <row r="1170" ht="18" customHeight="1">
      <c r="A1170" s="62" t="n"/>
      <c r="B1170" s="63" t="n"/>
      <c r="C1170" s="64" t="n"/>
      <c r="D1170" s="64" t="n"/>
      <c r="E1170" s="63" t="n"/>
    </row>
    <row r="1171" ht="18" customHeight="1">
      <c r="A1171" s="62" t="n"/>
      <c r="B1171" s="63" t="n"/>
      <c r="C1171" s="64" t="n"/>
      <c r="D1171" s="64" t="n"/>
      <c r="E1171" s="63" t="n"/>
    </row>
    <row r="1172" ht="18" customHeight="1">
      <c r="A1172" s="62" t="n"/>
      <c r="B1172" s="63" t="n"/>
      <c r="C1172" s="64" t="n"/>
      <c r="D1172" s="64" t="n"/>
      <c r="E1172" s="63" t="n"/>
    </row>
    <row r="1173" ht="18" customHeight="1">
      <c r="A1173" s="62" t="n"/>
      <c r="B1173" s="63" t="n"/>
      <c r="C1173" s="64" t="n"/>
      <c r="D1173" s="64" t="n"/>
      <c r="E1173" s="63" t="n"/>
    </row>
    <row r="1174" ht="18" customHeight="1">
      <c r="A1174" s="62" t="n"/>
      <c r="B1174" s="63" t="n"/>
      <c r="C1174" s="64" t="n"/>
      <c r="D1174" s="64" t="n"/>
      <c r="E1174" s="63" t="n"/>
    </row>
    <row r="1175" ht="18" customHeight="1">
      <c r="A1175" s="62" t="n"/>
      <c r="B1175" s="63" t="n"/>
      <c r="C1175" s="64" t="n"/>
      <c r="D1175" s="64" t="n"/>
      <c r="E1175" s="63" t="n"/>
    </row>
    <row r="1176" ht="18" customHeight="1">
      <c r="A1176" s="62" t="n"/>
      <c r="B1176" s="63" t="n"/>
      <c r="C1176" s="64" t="n"/>
      <c r="D1176" s="64" t="n"/>
      <c r="E1176" s="63" t="n"/>
    </row>
    <row r="1177" ht="18" customHeight="1">
      <c r="A1177" s="62" t="n"/>
      <c r="B1177" s="63" t="n"/>
      <c r="C1177" s="64" t="n"/>
      <c r="D1177" s="64" t="n"/>
      <c r="E1177" s="63" t="n"/>
    </row>
    <row r="1178" ht="18" customHeight="1">
      <c r="A1178" s="62" t="n"/>
      <c r="B1178" s="63" t="n"/>
      <c r="C1178" s="64" t="n"/>
      <c r="D1178" s="64" t="n"/>
      <c r="E1178" s="63" t="n"/>
    </row>
    <row r="1179" ht="18" customHeight="1">
      <c r="A1179" s="62" t="n"/>
      <c r="B1179" s="63" t="n"/>
      <c r="C1179" s="64" t="n"/>
      <c r="D1179" s="64" t="n"/>
      <c r="E1179" s="63" t="n"/>
    </row>
    <row r="1180" ht="18" customHeight="1">
      <c r="A1180" s="62" t="n"/>
      <c r="B1180" s="63" t="n"/>
      <c r="C1180" s="64" t="n"/>
      <c r="D1180" s="64" t="n"/>
      <c r="E1180" s="63" t="n"/>
    </row>
    <row r="1181" ht="18" customHeight="1">
      <c r="A1181" s="62" t="n"/>
      <c r="B1181" s="63" t="n"/>
      <c r="C1181" s="64" t="n"/>
      <c r="D1181" s="64" t="n"/>
      <c r="E1181" s="63" t="n"/>
    </row>
    <row r="1182" ht="18" customHeight="1">
      <c r="A1182" s="62" t="n"/>
      <c r="B1182" s="63" t="n"/>
      <c r="C1182" s="64" t="n"/>
      <c r="D1182" s="64" t="n"/>
      <c r="E1182" s="63" t="n"/>
    </row>
    <row r="1183" ht="18" customHeight="1">
      <c r="A1183" s="62" t="n"/>
      <c r="B1183" s="63" t="n"/>
      <c r="C1183" s="64" t="n"/>
      <c r="D1183" s="64" t="n"/>
      <c r="E1183" s="63" t="n"/>
    </row>
    <row r="1184" ht="18" customHeight="1">
      <c r="A1184" s="62" t="n"/>
      <c r="B1184" s="63" t="n"/>
      <c r="C1184" s="64" t="n"/>
      <c r="D1184" s="64" t="n"/>
      <c r="E1184" s="63" t="n"/>
    </row>
    <row r="1185" ht="18" customHeight="1">
      <c r="A1185" s="62" t="n"/>
      <c r="B1185" s="63" t="n"/>
      <c r="C1185" s="64" t="n"/>
      <c r="D1185" s="64" t="n"/>
      <c r="E1185" s="63" t="n"/>
    </row>
    <row r="1186" ht="18" customHeight="1">
      <c r="A1186" s="62" t="n"/>
      <c r="B1186" s="63" t="n"/>
      <c r="C1186" s="64" t="n"/>
      <c r="D1186" s="64" t="n"/>
      <c r="E1186" s="63" t="n"/>
    </row>
    <row r="1187" ht="18" customHeight="1">
      <c r="A1187" s="62" t="n"/>
      <c r="B1187" s="63" t="n"/>
      <c r="C1187" s="64" t="n"/>
      <c r="D1187" s="64" t="n"/>
      <c r="E1187" s="63" t="n"/>
    </row>
    <row r="1188" ht="18" customHeight="1">
      <c r="A1188" s="62" t="n"/>
      <c r="B1188" s="63" t="n"/>
      <c r="C1188" s="64" t="n"/>
      <c r="D1188" s="64" t="n"/>
      <c r="E1188" s="63" t="n"/>
    </row>
    <row r="1189" ht="18" customHeight="1">
      <c r="A1189" s="62" t="n"/>
      <c r="B1189" s="63" t="n"/>
      <c r="C1189" s="64" t="n"/>
      <c r="D1189" s="64" t="n"/>
      <c r="E1189" s="63" t="n"/>
    </row>
    <row r="1190" ht="18" customHeight="1">
      <c r="A1190" s="62" t="n"/>
      <c r="B1190" s="63" t="n"/>
      <c r="C1190" s="64" t="n"/>
      <c r="D1190" s="64" t="n"/>
      <c r="E1190" s="63" t="n"/>
    </row>
    <row r="1191" ht="18" customHeight="1">
      <c r="A1191" s="62" t="n"/>
      <c r="B1191" s="63" t="n"/>
      <c r="C1191" s="64" t="n"/>
      <c r="D1191" s="64" t="n"/>
      <c r="E1191" s="63" t="n"/>
    </row>
    <row r="1192" ht="18" customHeight="1">
      <c r="A1192" s="62" t="n"/>
      <c r="B1192" s="63" t="n"/>
      <c r="C1192" s="64" t="n"/>
      <c r="D1192" s="64" t="n"/>
      <c r="E1192" s="63" t="n"/>
    </row>
    <row r="1193" ht="18" customHeight="1">
      <c r="A1193" s="62" t="n"/>
      <c r="B1193" s="63" t="n"/>
      <c r="C1193" s="64" t="n"/>
      <c r="D1193" s="64" t="n"/>
      <c r="E1193" s="63" t="n"/>
    </row>
    <row r="1194" ht="18" customHeight="1">
      <c r="A1194" s="62" t="n"/>
      <c r="B1194" s="63" t="n"/>
      <c r="C1194" s="64" t="n"/>
      <c r="D1194" s="64" t="n"/>
      <c r="E1194" s="63" t="n"/>
    </row>
    <row r="1195" ht="18" customHeight="1">
      <c r="A1195" s="62" t="n"/>
      <c r="B1195" s="63" t="n"/>
      <c r="C1195" s="64" t="n"/>
      <c r="D1195" s="64" t="n"/>
      <c r="E1195" s="63" t="n"/>
    </row>
    <row r="1196" ht="18" customHeight="1">
      <c r="A1196" s="62" t="n"/>
      <c r="B1196" s="63" t="n"/>
      <c r="C1196" s="64" t="n"/>
      <c r="D1196" s="64" t="n"/>
      <c r="E1196" s="63" t="n"/>
    </row>
    <row r="1197" ht="18" customHeight="1">
      <c r="A1197" s="62" t="n"/>
      <c r="B1197" s="63" t="n"/>
      <c r="C1197" s="64" t="n"/>
      <c r="D1197" s="64" t="n"/>
      <c r="E1197" s="63" t="n"/>
    </row>
    <row r="1198" ht="18" customHeight="1">
      <c r="A1198" s="62" t="n"/>
      <c r="B1198" s="63" t="n"/>
      <c r="C1198" s="64" t="n"/>
      <c r="D1198" s="64" t="n"/>
      <c r="E1198" s="63" t="n"/>
    </row>
    <row r="1199" ht="18" customHeight="1">
      <c r="A1199" s="62" t="n"/>
      <c r="B1199" s="63" t="n"/>
      <c r="C1199" s="64" t="n"/>
      <c r="D1199" s="64" t="n"/>
      <c r="E1199" s="63" t="n"/>
    </row>
    <row r="1200" ht="18" customHeight="1">
      <c r="A1200" s="62" t="n"/>
      <c r="B1200" s="63" t="n"/>
      <c r="C1200" s="64" t="n"/>
      <c r="D1200" s="64" t="n"/>
      <c r="E1200" s="63" t="n"/>
    </row>
    <row r="1201" ht="18" customHeight="1">
      <c r="A1201" s="62" t="n"/>
      <c r="B1201" s="63" t="n"/>
      <c r="C1201" s="64" t="n"/>
      <c r="D1201" s="64" t="n"/>
      <c r="E1201" s="63" t="n"/>
    </row>
    <row r="1202" ht="18" customHeight="1">
      <c r="A1202" s="62" t="n"/>
      <c r="B1202" s="63" t="n"/>
      <c r="C1202" s="64" t="n"/>
      <c r="D1202" s="64" t="n"/>
      <c r="E1202" s="63" t="n"/>
    </row>
    <row r="1203" ht="18" customHeight="1">
      <c r="A1203" s="62" t="n"/>
      <c r="B1203" s="63" t="n"/>
      <c r="C1203" s="64" t="n"/>
      <c r="D1203" s="64" t="n"/>
      <c r="E1203" s="63" t="n"/>
    </row>
    <row r="1204" ht="18" customHeight="1">
      <c r="A1204" s="62" t="n"/>
      <c r="B1204" s="63" t="n"/>
      <c r="C1204" s="64" t="n"/>
      <c r="D1204" s="64" t="n"/>
      <c r="E1204" s="63" t="n"/>
    </row>
    <row r="1205" ht="18" customHeight="1">
      <c r="A1205" s="62" t="n"/>
      <c r="B1205" s="63" t="n"/>
      <c r="C1205" s="64" t="n"/>
      <c r="D1205" s="64" t="n"/>
      <c r="E1205" s="63" t="n"/>
    </row>
    <row r="1206" ht="18" customHeight="1">
      <c r="A1206" s="62" t="n"/>
      <c r="B1206" s="63" t="n"/>
      <c r="C1206" s="64" t="n"/>
      <c r="D1206" s="64" t="n"/>
      <c r="E1206" s="63" t="n"/>
    </row>
    <row r="1207" ht="18" customHeight="1">
      <c r="A1207" s="62" t="n"/>
      <c r="B1207" s="63" t="n"/>
      <c r="C1207" s="64" t="n"/>
      <c r="D1207" s="64" t="n"/>
      <c r="E1207" s="63" t="n"/>
    </row>
    <row r="1208" ht="18" customHeight="1">
      <c r="A1208" s="62" t="n"/>
      <c r="B1208" s="63" t="n"/>
      <c r="C1208" s="64" t="n"/>
      <c r="D1208" s="64" t="n"/>
      <c r="E1208" s="63" t="n"/>
    </row>
    <row r="1209" ht="18" customHeight="1">
      <c r="A1209" s="62" t="n"/>
      <c r="B1209" s="63" t="n"/>
      <c r="C1209" s="64" t="n"/>
      <c r="D1209" s="64" t="n"/>
      <c r="E1209" s="63" t="n"/>
    </row>
    <row r="1210" ht="18" customHeight="1">
      <c r="A1210" s="62" t="n"/>
      <c r="B1210" s="63" t="n"/>
      <c r="C1210" s="64" t="n"/>
      <c r="D1210" s="64" t="n"/>
      <c r="E1210" s="63" t="n"/>
    </row>
    <row r="1211" ht="18" customHeight="1">
      <c r="A1211" s="62" t="n"/>
      <c r="B1211" s="63" t="n"/>
      <c r="C1211" s="64" t="n"/>
      <c r="D1211" s="64" t="n"/>
      <c r="E1211" s="63" t="n"/>
    </row>
    <row r="1212" ht="18" customHeight="1">
      <c r="A1212" s="62" t="n"/>
      <c r="B1212" s="63" t="n"/>
      <c r="C1212" s="64" t="n"/>
      <c r="D1212" s="64" t="n"/>
      <c r="E1212" s="63" t="n"/>
    </row>
    <row r="1213" ht="18" customHeight="1">
      <c r="A1213" s="62" t="n"/>
      <c r="B1213" s="63" t="n"/>
      <c r="C1213" s="64" t="n"/>
      <c r="D1213" s="64" t="n"/>
      <c r="E1213" s="63" t="n"/>
    </row>
    <row r="1214" ht="18" customHeight="1">
      <c r="A1214" s="62" t="n"/>
      <c r="B1214" s="63" t="n"/>
      <c r="C1214" s="64" t="n"/>
      <c r="D1214" s="64" t="n"/>
      <c r="E1214" s="63" t="n"/>
    </row>
    <row r="1215" ht="18" customHeight="1">
      <c r="A1215" s="62" t="n"/>
      <c r="B1215" s="63" t="n"/>
      <c r="C1215" s="64" t="n"/>
      <c r="D1215" s="64" t="n"/>
      <c r="E1215" s="63" t="n"/>
    </row>
    <row r="1216" ht="18" customHeight="1">
      <c r="A1216" s="62" t="n"/>
      <c r="B1216" s="63" t="n"/>
      <c r="C1216" s="64" t="n"/>
      <c r="D1216" s="64" t="n"/>
      <c r="E1216" s="63" t="n"/>
    </row>
    <row r="1217" ht="18" customHeight="1">
      <c r="A1217" s="62" t="n"/>
      <c r="B1217" s="63" t="n"/>
      <c r="C1217" s="64" t="n"/>
      <c r="D1217" s="64" t="n"/>
      <c r="E1217" s="63" t="n"/>
    </row>
    <row r="1218" ht="18" customHeight="1">
      <c r="A1218" s="62" t="n"/>
      <c r="B1218" s="63" t="n"/>
      <c r="C1218" s="64" t="n"/>
      <c r="D1218" s="64" t="n"/>
      <c r="E1218" s="63" t="n"/>
    </row>
    <row r="1219" ht="18" customHeight="1">
      <c r="A1219" s="62" t="n"/>
      <c r="B1219" s="63" t="n"/>
      <c r="C1219" s="64" t="n"/>
      <c r="D1219" s="64" t="n"/>
      <c r="E1219" s="63" t="n"/>
    </row>
    <row r="1220" ht="18" customHeight="1">
      <c r="A1220" s="62" t="n"/>
      <c r="B1220" s="63" t="n"/>
      <c r="C1220" s="64" t="n"/>
      <c r="D1220" s="64" t="n"/>
      <c r="E1220" s="63" t="n"/>
    </row>
    <row r="1221" ht="18" customHeight="1">
      <c r="A1221" s="62" t="n"/>
      <c r="B1221" s="63" t="n"/>
      <c r="C1221" s="64" t="n"/>
      <c r="D1221" s="64" t="n"/>
      <c r="E1221" s="63" t="n"/>
    </row>
    <row r="1222" ht="18" customHeight="1">
      <c r="A1222" s="62" t="n"/>
      <c r="B1222" s="63" t="n"/>
      <c r="C1222" s="64" t="n"/>
      <c r="D1222" s="64" t="n"/>
      <c r="E1222" s="63" t="n"/>
    </row>
    <row r="1223" ht="18" customHeight="1">
      <c r="A1223" s="62" t="n"/>
      <c r="B1223" s="63" t="n"/>
      <c r="C1223" s="64" t="n"/>
      <c r="D1223" s="64" t="n"/>
      <c r="E1223" s="63" t="n"/>
    </row>
    <row r="1224" ht="18" customHeight="1">
      <c r="A1224" s="62" t="n"/>
      <c r="B1224" s="63" t="n"/>
      <c r="C1224" s="64" t="n"/>
      <c r="D1224" s="64" t="n"/>
      <c r="E1224" s="63" t="n"/>
    </row>
    <row r="1225" ht="18" customHeight="1">
      <c r="A1225" s="62" t="n"/>
      <c r="B1225" s="63" t="n"/>
      <c r="C1225" s="64" t="n"/>
      <c r="D1225" s="64" t="n"/>
      <c r="E1225" s="63" t="n"/>
    </row>
    <row r="1226" ht="18" customHeight="1">
      <c r="A1226" s="62" t="n"/>
      <c r="B1226" s="63" t="n"/>
      <c r="C1226" s="64" t="n"/>
      <c r="D1226" s="64" t="n"/>
      <c r="E1226" s="63" t="n"/>
    </row>
    <row r="1227" ht="18" customHeight="1">
      <c r="A1227" s="62" t="n"/>
      <c r="B1227" s="63" t="n"/>
      <c r="C1227" s="64" t="n"/>
      <c r="D1227" s="64" t="n"/>
      <c r="E1227" s="63" t="n"/>
    </row>
    <row r="1228" ht="18" customHeight="1">
      <c r="A1228" s="62" t="n"/>
      <c r="B1228" s="63" t="n"/>
      <c r="C1228" s="64" t="n"/>
      <c r="D1228" s="64" t="n"/>
      <c r="E1228" s="63" t="n"/>
    </row>
    <row r="1229" ht="18" customHeight="1">
      <c r="A1229" s="62" t="n"/>
      <c r="B1229" s="63" t="n"/>
      <c r="C1229" s="64" t="n"/>
      <c r="D1229" s="64" t="n"/>
      <c r="E1229" s="63" t="n"/>
    </row>
    <row r="1230" ht="18" customHeight="1">
      <c r="A1230" s="62" t="n"/>
      <c r="B1230" s="63" t="n"/>
      <c r="C1230" s="64" t="n"/>
      <c r="D1230" s="64" t="n"/>
      <c r="E1230" s="63" t="n"/>
    </row>
    <row r="1231" ht="18" customHeight="1">
      <c r="A1231" s="62" t="n"/>
      <c r="B1231" s="63" t="n"/>
      <c r="C1231" s="64" t="n"/>
      <c r="D1231" s="64" t="n"/>
      <c r="E1231" s="63" t="n"/>
    </row>
    <row r="1232" ht="18" customHeight="1">
      <c r="A1232" s="62" t="n"/>
      <c r="B1232" s="63" t="n"/>
      <c r="C1232" s="64" t="n"/>
      <c r="D1232" s="64" t="n"/>
      <c r="E1232" s="63" t="n"/>
    </row>
    <row r="1233" ht="18" customHeight="1">
      <c r="A1233" s="62" t="n"/>
      <c r="B1233" s="63" t="n"/>
      <c r="C1233" s="64" t="n"/>
      <c r="D1233" s="64" t="n"/>
      <c r="E1233" s="63" t="n"/>
    </row>
    <row r="1234" ht="18" customHeight="1">
      <c r="A1234" s="62" t="n"/>
      <c r="B1234" s="63" t="n"/>
      <c r="C1234" s="64" t="n"/>
      <c r="D1234" s="64" t="n"/>
      <c r="E1234" s="63" t="n"/>
    </row>
    <row r="1235" ht="18" customHeight="1">
      <c r="A1235" s="62" t="n"/>
      <c r="B1235" s="63" t="n"/>
      <c r="C1235" s="64" t="n"/>
      <c r="D1235" s="64" t="n"/>
      <c r="E1235" s="63" t="n"/>
    </row>
    <row r="1236" ht="18" customHeight="1">
      <c r="A1236" s="62" t="n"/>
      <c r="B1236" s="63" t="n"/>
      <c r="C1236" s="64" t="n"/>
      <c r="D1236" s="64" t="n"/>
      <c r="E1236" s="63" t="n"/>
    </row>
    <row r="1237" ht="18" customHeight="1">
      <c r="A1237" s="62" t="n"/>
      <c r="B1237" s="63" t="n"/>
      <c r="C1237" s="64" t="n"/>
      <c r="D1237" s="64" t="n"/>
      <c r="E1237" s="63" t="n"/>
    </row>
    <row r="1238" ht="18" customHeight="1">
      <c r="A1238" s="62" t="n"/>
      <c r="B1238" s="63" t="n"/>
      <c r="C1238" s="64" t="n"/>
      <c r="D1238" s="64" t="n"/>
      <c r="E1238" s="63" t="n"/>
    </row>
    <row r="1239" ht="18" customHeight="1">
      <c r="A1239" s="62" t="n"/>
      <c r="B1239" s="63" t="n"/>
      <c r="C1239" s="64" t="n"/>
      <c r="D1239" s="64" t="n"/>
      <c r="E1239" s="63" t="n"/>
    </row>
    <row r="1240" ht="18" customHeight="1">
      <c r="A1240" s="62" t="n"/>
      <c r="B1240" s="63" t="n"/>
      <c r="C1240" s="64" t="n"/>
      <c r="D1240" s="64" t="n"/>
      <c r="E1240" s="63" t="n"/>
    </row>
    <row r="1241" ht="18" customHeight="1">
      <c r="A1241" s="62" t="n"/>
      <c r="B1241" s="63" t="n"/>
      <c r="C1241" s="64" t="n"/>
      <c r="D1241" s="64" t="n"/>
      <c r="E1241" s="63" t="n"/>
    </row>
    <row r="1242" ht="18" customHeight="1">
      <c r="A1242" s="62" t="n"/>
      <c r="B1242" s="63" t="n"/>
      <c r="C1242" s="64" t="n"/>
      <c r="D1242" s="64" t="n"/>
      <c r="E1242" s="63" t="n"/>
    </row>
    <row r="1243" ht="18" customHeight="1">
      <c r="A1243" s="62" t="n"/>
      <c r="B1243" s="63" t="n"/>
      <c r="C1243" s="64" t="n"/>
      <c r="D1243" s="64" t="n"/>
      <c r="E1243" s="63" t="n"/>
    </row>
    <row r="1244" ht="18" customHeight="1">
      <c r="A1244" s="62" t="n"/>
      <c r="B1244" s="63" t="n"/>
      <c r="C1244" s="64" t="n"/>
      <c r="D1244" s="64" t="n"/>
      <c r="E1244" s="63" t="n"/>
    </row>
    <row r="1245" ht="18" customHeight="1">
      <c r="A1245" s="62" t="n"/>
      <c r="B1245" s="63" t="n"/>
      <c r="C1245" s="64" t="n"/>
      <c r="D1245" s="64" t="n"/>
      <c r="E1245" s="63" t="n"/>
    </row>
    <row r="1246" ht="18" customHeight="1">
      <c r="A1246" s="62" t="n"/>
      <c r="B1246" s="63" t="n"/>
      <c r="C1246" s="64" t="n"/>
      <c r="D1246" s="64" t="n"/>
      <c r="E1246" s="63" t="n"/>
    </row>
    <row r="1247" ht="18" customHeight="1">
      <c r="A1247" s="62" t="n"/>
      <c r="B1247" s="63" t="n"/>
      <c r="C1247" s="64" t="n"/>
      <c r="D1247" s="64" t="n"/>
      <c r="E1247" s="63" t="n"/>
    </row>
    <row r="1248" ht="18" customHeight="1">
      <c r="A1248" s="62" t="n"/>
      <c r="B1248" s="63" t="n"/>
      <c r="C1248" s="64" t="n"/>
      <c r="D1248" s="64" t="n"/>
      <c r="E1248" s="63" t="n"/>
    </row>
    <row r="1249" ht="18" customHeight="1">
      <c r="A1249" s="62" t="n"/>
      <c r="B1249" s="63" t="n"/>
      <c r="C1249" s="64" t="n"/>
      <c r="D1249" s="64" t="n"/>
      <c r="E1249" s="63" t="n"/>
    </row>
    <row r="1250" ht="18" customHeight="1">
      <c r="A1250" s="62" t="n"/>
      <c r="B1250" s="63" t="n"/>
      <c r="C1250" s="64" t="n"/>
      <c r="D1250" s="64" t="n"/>
      <c r="E1250" s="63" t="n"/>
    </row>
    <row r="1251" ht="18" customHeight="1">
      <c r="A1251" s="62" t="n"/>
      <c r="B1251" s="63" t="n"/>
      <c r="C1251" s="64" t="n"/>
      <c r="D1251" s="64" t="n"/>
      <c r="E1251" s="63" t="n"/>
    </row>
    <row r="1252" ht="18" customHeight="1">
      <c r="A1252" s="62" t="n"/>
      <c r="B1252" s="63" t="n"/>
      <c r="C1252" s="64" t="n"/>
      <c r="D1252" s="64" t="n"/>
      <c r="E1252" s="63" t="n"/>
    </row>
    <row r="1253" ht="18" customHeight="1">
      <c r="A1253" s="62" t="n"/>
      <c r="B1253" s="63" t="n"/>
      <c r="C1253" s="64" t="n"/>
      <c r="D1253" s="64" t="n"/>
      <c r="E1253" s="63" t="n"/>
    </row>
    <row r="1254" ht="18" customHeight="1">
      <c r="A1254" s="62" t="n"/>
      <c r="B1254" s="63" t="n"/>
      <c r="C1254" s="64" t="n"/>
      <c r="D1254" s="64" t="n"/>
      <c r="E1254" s="63" t="n"/>
    </row>
    <row r="1255" ht="18" customHeight="1">
      <c r="A1255" s="62" t="n"/>
      <c r="B1255" s="63" t="n"/>
      <c r="C1255" s="64" t="n"/>
      <c r="D1255" s="64" t="n"/>
      <c r="E1255" s="63" t="n"/>
    </row>
    <row r="1256" ht="18" customHeight="1">
      <c r="A1256" s="62" t="n"/>
      <c r="B1256" s="63" t="n"/>
      <c r="C1256" s="64" t="n"/>
      <c r="D1256" s="64" t="n"/>
      <c r="E1256" s="63" t="n"/>
    </row>
    <row r="1257" ht="18" customHeight="1">
      <c r="A1257" s="62" t="n"/>
      <c r="B1257" s="63" t="n"/>
      <c r="C1257" s="64" t="n"/>
      <c r="D1257" s="64" t="n"/>
      <c r="E1257" s="63" t="n"/>
    </row>
    <row r="1258" ht="18" customHeight="1">
      <c r="A1258" s="62" t="n"/>
      <c r="B1258" s="63" t="n"/>
      <c r="C1258" s="64" t="n"/>
      <c r="D1258" s="64" t="n"/>
      <c r="E1258" s="63" t="n"/>
    </row>
    <row r="1259" ht="18" customHeight="1">
      <c r="A1259" s="62" t="n"/>
      <c r="B1259" s="63" t="n"/>
      <c r="C1259" s="64" t="n"/>
      <c r="D1259" s="64" t="n"/>
      <c r="E1259" s="63" t="n"/>
    </row>
    <row r="1260" ht="18" customHeight="1">
      <c r="A1260" s="62" t="n"/>
      <c r="B1260" s="63" t="n"/>
      <c r="C1260" s="64" t="n"/>
      <c r="D1260" s="64" t="n"/>
      <c r="E1260" s="63" t="n"/>
    </row>
    <row r="1261" ht="18" customHeight="1">
      <c r="A1261" s="62" t="n"/>
      <c r="B1261" s="63" t="n"/>
      <c r="C1261" s="64" t="n"/>
      <c r="D1261" s="64" t="n"/>
      <c r="E1261" s="63" t="n"/>
    </row>
    <row r="1262" ht="18" customHeight="1">
      <c r="A1262" s="62" t="n"/>
      <c r="B1262" s="63" t="n"/>
      <c r="C1262" s="64" t="n"/>
      <c r="D1262" s="64" t="n"/>
      <c r="E1262" s="63" t="n"/>
    </row>
    <row r="1263" ht="18" customHeight="1">
      <c r="A1263" s="62" t="n"/>
      <c r="B1263" s="63" t="n"/>
      <c r="C1263" s="64" t="n"/>
      <c r="D1263" s="64" t="n"/>
      <c r="E1263" s="63" t="n"/>
    </row>
    <row r="1264" ht="18" customHeight="1">
      <c r="A1264" s="62" t="n"/>
      <c r="B1264" s="63" t="n"/>
      <c r="C1264" s="64" t="n"/>
      <c r="D1264" s="64" t="n"/>
      <c r="E1264" s="63" t="n"/>
    </row>
    <row r="1265" ht="18" customHeight="1">
      <c r="A1265" s="62" t="n"/>
      <c r="B1265" s="63" t="n"/>
      <c r="C1265" s="64" t="n"/>
      <c r="D1265" s="64" t="n"/>
      <c r="E1265" s="63" t="n"/>
    </row>
    <row r="1266" ht="18" customHeight="1">
      <c r="A1266" s="62" t="n"/>
      <c r="B1266" s="63" t="n"/>
      <c r="C1266" s="64" t="n"/>
      <c r="D1266" s="64" t="n"/>
      <c r="E1266" s="63" t="n"/>
    </row>
    <row r="1267" ht="18" customHeight="1">
      <c r="A1267" s="62" t="n"/>
      <c r="B1267" s="63" t="n"/>
      <c r="C1267" s="64" t="n"/>
      <c r="D1267" s="64" t="n"/>
      <c r="E1267" s="63" t="n"/>
    </row>
    <row r="1268" ht="18" customHeight="1">
      <c r="A1268" s="62" t="n"/>
      <c r="B1268" s="63" t="n"/>
      <c r="C1268" s="64" t="n"/>
      <c r="D1268" s="64" t="n"/>
      <c r="E1268" s="63" t="n"/>
    </row>
    <row r="1269" ht="18" customHeight="1">
      <c r="A1269" s="62" t="n"/>
      <c r="B1269" s="63" t="n"/>
      <c r="C1269" s="64" t="n"/>
      <c r="D1269" s="64" t="n"/>
      <c r="E1269" s="63" t="n"/>
    </row>
    <row r="1270" ht="18" customHeight="1">
      <c r="A1270" s="62" t="n"/>
      <c r="B1270" s="63" t="n"/>
      <c r="C1270" s="64" t="n"/>
      <c r="D1270" s="64" t="n"/>
      <c r="E1270" s="63" t="n"/>
    </row>
    <row r="1271" ht="18" customHeight="1">
      <c r="A1271" s="62" t="n"/>
      <c r="B1271" s="63" t="n"/>
      <c r="C1271" s="64" t="n"/>
      <c r="D1271" s="64" t="n"/>
      <c r="E1271" s="63" t="n"/>
    </row>
    <row r="1272" ht="18" customHeight="1">
      <c r="A1272" s="62" t="n"/>
      <c r="B1272" s="63" t="n"/>
      <c r="C1272" s="64" t="n"/>
      <c r="D1272" s="64" t="n"/>
      <c r="E1272" s="63" t="n"/>
    </row>
    <row r="1273" ht="18" customHeight="1">
      <c r="A1273" s="62" t="n"/>
      <c r="B1273" s="63" t="n"/>
      <c r="C1273" s="64" t="n"/>
      <c r="D1273" s="64" t="n"/>
      <c r="E1273" s="63" t="n"/>
    </row>
    <row r="1274" ht="18" customHeight="1">
      <c r="A1274" s="62" t="n"/>
      <c r="B1274" s="63" t="n"/>
      <c r="C1274" s="64" t="n"/>
      <c r="D1274" s="64" t="n"/>
      <c r="E1274" s="63" t="n"/>
    </row>
    <row r="1275" ht="18" customHeight="1">
      <c r="A1275" s="62" t="n"/>
      <c r="B1275" s="63" t="n"/>
      <c r="C1275" s="64" t="n"/>
      <c r="D1275" s="64" t="n"/>
      <c r="E1275" s="63" t="n"/>
    </row>
    <row r="1276" ht="18" customHeight="1">
      <c r="A1276" s="62" t="n"/>
      <c r="B1276" s="63" t="n"/>
      <c r="C1276" s="64" t="n"/>
      <c r="D1276" s="64" t="n"/>
      <c r="E1276" s="63" t="n"/>
    </row>
    <row r="1277" ht="18" customHeight="1">
      <c r="A1277" s="62" t="n"/>
      <c r="B1277" s="63" t="n"/>
      <c r="C1277" s="64" t="n"/>
      <c r="D1277" s="64" t="n"/>
      <c r="E1277" s="63" t="n"/>
    </row>
    <row r="1278" ht="18" customHeight="1">
      <c r="A1278" s="62" t="n"/>
      <c r="B1278" s="63" t="n"/>
      <c r="C1278" s="64" t="n"/>
      <c r="D1278" s="64" t="n"/>
      <c r="E1278" s="63" t="n"/>
    </row>
    <row r="1279" ht="18" customHeight="1">
      <c r="A1279" s="62" t="n"/>
      <c r="B1279" s="63" t="n"/>
      <c r="C1279" s="64" t="n"/>
      <c r="D1279" s="64" t="n"/>
      <c r="E1279" s="63" t="n"/>
    </row>
    <row r="1280" ht="18" customHeight="1">
      <c r="A1280" s="62" t="n"/>
      <c r="B1280" s="63" t="n"/>
      <c r="C1280" s="64" t="n"/>
      <c r="D1280" s="64" t="n"/>
      <c r="E1280" s="63" t="n"/>
    </row>
    <row r="1281" ht="18" customHeight="1">
      <c r="A1281" s="62" t="n"/>
      <c r="B1281" s="63" t="n"/>
      <c r="C1281" s="64" t="n"/>
      <c r="D1281" s="64" t="n"/>
      <c r="E1281" s="63" t="n"/>
    </row>
    <row r="1282" ht="18" customHeight="1">
      <c r="A1282" s="62" t="n"/>
      <c r="B1282" s="63" t="n"/>
      <c r="C1282" s="64" t="n"/>
      <c r="D1282" s="64" t="n"/>
      <c r="E1282" s="63" t="n"/>
    </row>
    <row r="1283" ht="18" customHeight="1">
      <c r="A1283" s="62" t="n"/>
      <c r="B1283" s="63" t="n"/>
      <c r="C1283" s="64" t="n"/>
      <c r="D1283" s="64" t="n"/>
      <c r="E1283" s="63" t="n"/>
    </row>
    <row r="1284" ht="18" customHeight="1">
      <c r="A1284" s="62" t="n"/>
      <c r="B1284" s="63" t="n"/>
      <c r="C1284" s="64" t="n"/>
      <c r="D1284" s="64" t="n"/>
      <c r="E1284" s="63" t="n"/>
    </row>
    <row r="1285" ht="18" customHeight="1">
      <c r="A1285" s="62" t="n"/>
      <c r="B1285" s="63" t="n"/>
      <c r="C1285" s="64" t="n"/>
      <c r="D1285" s="64" t="n"/>
      <c r="E1285" s="63" t="n"/>
    </row>
    <row r="1286" ht="18" customHeight="1">
      <c r="A1286" s="62" t="n"/>
      <c r="B1286" s="63" t="n"/>
      <c r="C1286" s="64" t="n"/>
      <c r="D1286" s="64" t="n"/>
      <c r="E1286" s="63" t="n"/>
    </row>
    <row r="1287" ht="18" customHeight="1">
      <c r="A1287" s="62" t="n"/>
      <c r="B1287" s="63" t="n"/>
      <c r="C1287" s="64" t="n"/>
      <c r="D1287" s="64" t="n"/>
      <c r="E1287" s="63" t="n"/>
    </row>
    <row r="1288" ht="18" customHeight="1">
      <c r="A1288" s="62" t="n"/>
      <c r="B1288" s="63" t="n"/>
      <c r="C1288" s="64" t="n"/>
      <c r="D1288" s="64" t="n"/>
      <c r="E1288" s="63" t="n"/>
    </row>
    <row r="1289" ht="18" customHeight="1">
      <c r="A1289" s="62" t="n"/>
      <c r="B1289" s="63" t="n"/>
      <c r="C1289" s="64" t="n"/>
      <c r="D1289" s="64" t="n"/>
      <c r="E1289" s="63" t="n"/>
    </row>
    <row r="1290" ht="18" customHeight="1">
      <c r="A1290" s="62" t="n"/>
      <c r="B1290" s="63" t="n"/>
      <c r="C1290" s="64" t="n"/>
      <c r="D1290" s="64" t="n"/>
      <c r="E1290" s="63" t="n"/>
    </row>
    <row r="1291" ht="18" customHeight="1">
      <c r="A1291" s="62" t="n"/>
      <c r="B1291" s="63" t="n"/>
      <c r="C1291" s="64" t="n"/>
      <c r="D1291" s="64" t="n"/>
      <c r="E1291" s="63" t="n"/>
    </row>
    <row r="1292" ht="18" customHeight="1">
      <c r="A1292" s="62" t="n"/>
      <c r="B1292" s="63" t="n"/>
      <c r="C1292" s="64" t="n"/>
      <c r="D1292" s="64" t="n"/>
      <c r="E1292" s="63" t="n"/>
    </row>
    <row r="1293" ht="18" customHeight="1">
      <c r="A1293" s="62" t="n"/>
      <c r="B1293" s="63" t="n"/>
      <c r="C1293" s="64" t="n"/>
      <c r="D1293" s="64" t="n"/>
      <c r="E1293" s="63" t="n"/>
    </row>
    <row r="1294" ht="18" customHeight="1">
      <c r="A1294" s="62" t="n"/>
      <c r="B1294" s="63" t="n"/>
      <c r="C1294" s="64" t="n"/>
      <c r="D1294" s="64" t="n"/>
      <c r="E1294" s="63" t="n"/>
    </row>
    <row r="1295" ht="18" customHeight="1">
      <c r="A1295" s="62" t="n"/>
      <c r="B1295" s="63" t="n"/>
      <c r="C1295" s="64" t="n"/>
      <c r="D1295" s="64" t="n"/>
      <c r="E1295" s="63" t="n"/>
    </row>
    <row r="1296" ht="18" customHeight="1">
      <c r="A1296" s="62" t="n"/>
      <c r="B1296" s="63" t="n"/>
      <c r="C1296" s="64" t="n"/>
      <c r="D1296" s="64" t="n"/>
      <c r="E1296" s="63" t="n"/>
    </row>
    <row r="1297" ht="18" customHeight="1">
      <c r="A1297" s="62" t="n"/>
      <c r="B1297" s="63" t="n"/>
      <c r="C1297" s="64" t="n"/>
      <c r="D1297" s="64" t="n"/>
      <c r="E1297" s="63" t="n"/>
    </row>
    <row r="1298" ht="18" customHeight="1">
      <c r="A1298" s="62" t="n"/>
      <c r="B1298" s="63" t="n"/>
      <c r="C1298" s="64" t="n"/>
      <c r="D1298" s="64" t="n"/>
      <c r="E1298" s="63" t="n"/>
    </row>
    <row r="1299" ht="18" customHeight="1">
      <c r="A1299" s="62" t="n"/>
      <c r="B1299" s="63" t="n"/>
      <c r="C1299" s="64" t="n"/>
      <c r="D1299" s="64" t="n"/>
      <c r="E1299" s="63" t="n"/>
    </row>
    <row r="1300" ht="18" customHeight="1">
      <c r="A1300" s="62" t="n"/>
      <c r="B1300" s="63" t="n"/>
      <c r="C1300" s="64" t="n"/>
      <c r="D1300" s="64" t="n"/>
      <c r="E1300" s="63" t="n"/>
    </row>
    <row r="1301" ht="18" customHeight="1">
      <c r="A1301" s="62" t="n"/>
      <c r="B1301" s="63" t="n"/>
      <c r="C1301" s="64" t="n"/>
      <c r="D1301" s="64" t="n"/>
      <c r="E1301" s="63" t="n"/>
    </row>
    <row r="1302" ht="18" customHeight="1">
      <c r="A1302" s="62" t="n"/>
      <c r="B1302" s="63" t="n"/>
      <c r="C1302" s="64" t="n"/>
      <c r="D1302" s="64" t="n"/>
      <c r="E1302" s="63" t="n"/>
    </row>
    <row r="1303" ht="18" customHeight="1">
      <c r="A1303" s="62" t="n"/>
      <c r="B1303" s="63" t="n"/>
      <c r="C1303" s="64" t="n"/>
      <c r="D1303" s="64" t="n"/>
      <c r="E1303" s="63" t="n"/>
    </row>
    <row r="1304" ht="18" customHeight="1">
      <c r="A1304" s="62" t="n"/>
      <c r="B1304" s="63" t="n"/>
      <c r="C1304" s="64" t="n"/>
      <c r="D1304" s="64" t="n"/>
      <c r="E1304" s="63" t="n"/>
    </row>
    <row r="1305" ht="18" customHeight="1">
      <c r="A1305" s="62" t="n"/>
      <c r="B1305" s="63" t="n"/>
      <c r="C1305" s="64" t="n"/>
      <c r="D1305" s="64" t="n"/>
      <c r="E1305" s="63" t="n"/>
    </row>
    <row r="1306" ht="18" customHeight="1">
      <c r="A1306" s="62" t="n"/>
      <c r="B1306" s="63" t="n"/>
      <c r="C1306" s="64" t="n"/>
      <c r="D1306" s="64" t="n"/>
      <c r="E1306" s="63" t="n"/>
    </row>
    <row r="1307" ht="18" customHeight="1">
      <c r="A1307" s="62" t="n"/>
      <c r="B1307" s="63" t="n"/>
      <c r="C1307" s="64" t="n"/>
      <c r="D1307" s="64" t="n"/>
      <c r="E1307" s="63" t="n"/>
    </row>
    <row r="1308" ht="18" customHeight="1">
      <c r="A1308" s="62" t="n"/>
      <c r="B1308" s="63" t="n"/>
      <c r="C1308" s="64" t="n"/>
      <c r="D1308" s="64" t="n"/>
      <c r="E1308" s="63" t="n"/>
    </row>
    <row r="1309" ht="18" customHeight="1">
      <c r="A1309" s="62" t="n"/>
      <c r="B1309" s="63" t="n"/>
      <c r="C1309" s="64" t="n"/>
      <c r="D1309" s="64" t="n"/>
      <c r="E1309" s="63" t="n"/>
    </row>
    <row r="1310" ht="18" customHeight="1">
      <c r="A1310" s="62" t="n"/>
      <c r="B1310" s="63" t="n"/>
      <c r="C1310" s="64" t="n"/>
      <c r="D1310" s="64" t="n"/>
      <c r="E1310" s="63" t="n"/>
    </row>
    <row r="1311" ht="18" customHeight="1">
      <c r="A1311" s="62" t="n"/>
      <c r="B1311" s="63" t="n"/>
      <c r="C1311" s="64" t="n"/>
      <c r="D1311" s="64" t="n"/>
      <c r="E1311" s="63" t="n"/>
    </row>
    <row r="1312" ht="18" customHeight="1">
      <c r="A1312" s="62" t="n"/>
      <c r="B1312" s="63" t="n"/>
      <c r="C1312" s="64" t="n"/>
      <c r="D1312" s="64" t="n"/>
      <c r="E1312" s="63" t="n"/>
    </row>
    <row r="1313" ht="18" customHeight="1">
      <c r="A1313" s="62" t="n"/>
      <c r="B1313" s="63" t="n"/>
      <c r="C1313" s="64" t="n"/>
      <c r="D1313" s="64" t="n"/>
      <c r="E1313" s="63" t="n"/>
    </row>
    <row r="1314" ht="18" customHeight="1">
      <c r="A1314" s="62" t="n"/>
      <c r="B1314" s="63" t="n"/>
      <c r="C1314" s="64" t="n"/>
      <c r="D1314" s="64" t="n"/>
      <c r="E1314" s="63" t="n"/>
    </row>
    <row r="1315" ht="18" customHeight="1">
      <c r="A1315" s="62" t="n"/>
      <c r="B1315" s="63" t="n"/>
      <c r="C1315" s="64" t="n"/>
      <c r="D1315" s="64" t="n"/>
      <c r="E1315" s="63" t="n"/>
    </row>
    <row r="1316" ht="18" customHeight="1">
      <c r="A1316" s="62" t="n"/>
      <c r="B1316" s="63" t="n"/>
      <c r="C1316" s="64" t="n"/>
      <c r="D1316" s="64" t="n"/>
      <c r="E1316" s="63" t="n"/>
    </row>
    <row r="1317" ht="18" customHeight="1">
      <c r="A1317" s="62" t="n"/>
      <c r="B1317" s="63" t="n"/>
      <c r="C1317" s="64" t="n"/>
      <c r="D1317" s="64" t="n"/>
      <c r="E1317" s="63" t="n"/>
    </row>
    <row r="1318" ht="18" customHeight="1">
      <c r="A1318" s="62" t="n"/>
      <c r="B1318" s="63" t="n"/>
      <c r="C1318" s="64" t="n"/>
      <c r="D1318" s="64" t="n"/>
      <c r="E1318" s="63" t="n"/>
    </row>
    <row r="1319" ht="18" customHeight="1">
      <c r="A1319" s="62" t="n"/>
      <c r="B1319" s="63" t="n"/>
      <c r="C1319" s="64" t="n"/>
      <c r="D1319" s="64" t="n"/>
      <c r="E1319" s="63" t="n"/>
    </row>
    <row r="1320" ht="18" customHeight="1">
      <c r="A1320" s="62" t="n"/>
      <c r="B1320" s="63" t="n"/>
      <c r="C1320" s="64" t="n"/>
      <c r="D1320" s="64" t="n"/>
      <c r="E1320" s="63" t="n"/>
    </row>
    <row r="1321" ht="18" customHeight="1">
      <c r="A1321" s="62" t="n"/>
      <c r="B1321" s="63" t="n"/>
      <c r="C1321" s="64" t="n"/>
      <c r="D1321" s="64" t="n"/>
      <c r="E1321" s="63" t="n"/>
    </row>
    <row r="1322" ht="18" customHeight="1">
      <c r="A1322" s="62" t="n"/>
      <c r="B1322" s="63" t="n"/>
      <c r="C1322" s="64" t="n"/>
      <c r="D1322" s="64" t="n"/>
      <c r="E1322" s="63" t="n"/>
    </row>
    <row r="1323" ht="18" customHeight="1">
      <c r="A1323" s="62" t="n"/>
      <c r="B1323" s="63" t="n"/>
      <c r="C1323" s="64" t="n"/>
      <c r="D1323" s="64" t="n"/>
      <c r="E1323" s="63" t="n"/>
    </row>
    <row r="1324" ht="18" customHeight="1">
      <c r="A1324" s="62" t="n"/>
      <c r="B1324" s="63" t="n"/>
      <c r="C1324" s="64" t="n"/>
      <c r="D1324" s="64" t="n"/>
      <c r="E1324" s="63" t="n"/>
    </row>
    <row r="1325" ht="18" customHeight="1">
      <c r="A1325" s="62" t="n"/>
      <c r="B1325" s="63" t="n"/>
      <c r="C1325" s="64" t="n"/>
      <c r="D1325" s="64" t="n"/>
      <c r="E1325" s="63" t="n"/>
    </row>
    <row r="1326" ht="18" customHeight="1">
      <c r="A1326" s="62" t="n"/>
      <c r="B1326" s="63" t="n"/>
      <c r="C1326" s="64" t="n"/>
      <c r="D1326" s="64" t="n"/>
      <c r="E1326" s="63" t="n"/>
    </row>
    <row r="1327" ht="18" customHeight="1">
      <c r="A1327" s="62" t="n"/>
      <c r="B1327" s="63" t="n"/>
      <c r="C1327" s="64" t="n"/>
      <c r="D1327" s="64" t="n"/>
      <c r="E1327" s="63" t="n"/>
    </row>
    <row r="1328" ht="18" customHeight="1">
      <c r="A1328" s="62" t="n"/>
      <c r="B1328" s="63" t="n"/>
      <c r="C1328" s="64" t="n"/>
      <c r="D1328" s="64" t="n"/>
      <c r="E1328" s="63" t="n"/>
    </row>
    <row r="1329" ht="18" customHeight="1">
      <c r="A1329" s="62" t="n"/>
      <c r="B1329" s="63" t="n"/>
      <c r="C1329" s="64" t="n"/>
      <c r="D1329" s="64" t="n"/>
      <c r="E1329" s="63" t="n"/>
    </row>
    <row r="1330" ht="18" customHeight="1">
      <c r="A1330" s="62" t="n"/>
      <c r="B1330" s="63" t="n"/>
      <c r="C1330" s="64" t="n"/>
      <c r="D1330" s="64" t="n"/>
      <c r="E1330" s="63" t="n"/>
    </row>
    <row r="1331" ht="18" customHeight="1">
      <c r="A1331" s="62" t="n"/>
      <c r="B1331" s="63" t="n"/>
      <c r="C1331" s="64" t="n"/>
      <c r="D1331" s="64" t="n"/>
      <c r="E1331" s="63" t="n"/>
    </row>
    <row r="1332" ht="18" customHeight="1">
      <c r="A1332" s="62" t="n"/>
      <c r="B1332" s="63" t="n"/>
      <c r="C1332" s="64" t="n"/>
      <c r="D1332" s="64" t="n"/>
      <c r="E1332" s="63" t="n"/>
    </row>
    <row r="1333" ht="18" customHeight="1">
      <c r="A1333" s="62" t="n"/>
      <c r="B1333" s="63" t="n"/>
      <c r="C1333" s="64" t="n"/>
      <c r="D1333" s="64" t="n"/>
      <c r="E1333" s="63" t="n"/>
    </row>
    <row r="1334" ht="18" customHeight="1">
      <c r="A1334" s="62" t="n"/>
      <c r="B1334" s="63" t="n"/>
      <c r="C1334" s="64" t="n"/>
      <c r="D1334" s="64" t="n"/>
      <c r="E1334" s="63" t="n"/>
    </row>
    <row r="1335" ht="18" customHeight="1">
      <c r="A1335" s="62" t="n"/>
      <c r="B1335" s="63" t="n"/>
      <c r="C1335" s="64" t="n"/>
      <c r="D1335" s="64" t="n"/>
      <c r="E1335" s="63" t="n"/>
    </row>
    <row r="1336" ht="18" customHeight="1">
      <c r="A1336" s="62" t="n"/>
      <c r="B1336" s="63" t="n"/>
      <c r="C1336" s="64" t="n"/>
      <c r="D1336" s="64" t="n"/>
      <c r="E1336" s="63" t="n"/>
    </row>
    <row r="1337" ht="18" customHeight="1">
      <c r="A1337" s="62" t="n"/>
      <c r="B1337" s="63" t="n"/>
      <c r="C1337" s="64" t="n"/>
      <c r="D1337" s="64" t="n"/>
      <c r="E1337" s="63" t="n"/>
    </row>
    <row r="1338" ht="18" customHeight="1">
      <c r="A1338" s="62" t="n"/>
      <c r="B1338" s="63" t="n"/>
      <c r="C1338" s="64" t="n"/>
      <c r="D1338" s="64" t="n"/>
      <c r="E1338" s="63" t="n"/>
    </row>
    <row r="1339" ht="18" customHeight="1">
      <c r="A1339" s="62" t="n"/>
      <c r="B1339" s="63" t="n"/>
      <c r="C1339" s="64" t="n"/>
      <c r="D1339" s="64" t="n"/>
      <c r="E1339" s="63" t="n"/>
    </row>
    <row r="1340" ht="18" customHeight="1">
      <c r="A1340" s="62" t="n"/>
      <c r="B1340" s="63" t="n"/>
      <c r="C1340" s="64" t="n"/>
      <c r="D1340" s="64" t="n"/>
      <c r="E1340" s="63" t="n"/>
    </row>
    <row r="1341" ht="18" customHeight="1">
      <c r="A1341" s="62" t="n"/>
      <c r="B1341" s="63" t="n"/>
      <c r="C1341" s="64" t="n"/>
      <c r="D1341" s="64" t="n"/>
      <c r="E1341" s="63" t="n"/>
    </row>
    <row r="1342" ht="18" customHeight="1">
      <c r="A1342" s="62" t="n"/>
      <c r="B1342" s="63" t="n"/>
      <c r="C1342" s="64" t="n"/>
      <c r="D1342" s="64" t="n"/>
      <c r="E1342" s="63" t="n"/>
    </row>
    <row r="1343" ht="18" customHeight="1">
      <c r="A1343" s="62" t="n"/>
      <c r="B1343" s="63" t="n"/>
      <c r="C1343" s="64" t="n"/>
      <c r="D1343" s="64" t="n"/>
      <c r="E1343" s="63" t="n"/>
    </row>
    <row r="1344" ht="18" customHeight="1">
      <c r="A1344" s="62" t="n"/>
      <c r="B1344" s="63" t="n"/>
      <c r="C1344" s="64" t="n"/>
      <c r="D1344" s="64" t="n"/>
      <c r="E1344" s="63" t="n"/>
    </row>
    <row r="1345" ht="18" customHeight="1">
      <c r="A1345" s="62" t="n"/>
      <c r="B1345" s="63" t="n"/>
      <c r="C1345" s="64" t="n"/>
      <c r="D1345" s="64" t="n"/>
      <c r="E1345" s="63" t="n"/>
    </row>
    <row r="1346" ht="18" customHeight="1">
      <c r="A1346" s="62" t="n"/>
      <c r="B1346" s="63" t="n"/>
      <c r="C1346" s="64" t="n"/>
      <c r="D1346" s="64" t="n"/>
      <c r="E1346" s="63" t="n"/>
    </row>
    <row r="1347" ht="18" customHeight="1">
      <c r="A1347" s="62" t="n"/>
      <c r="B1347" s="63" t="n"/>
      <c r="C1347" s="64" t="n"/>
      <c r="D1347" s="64" t="n"/>
      <c r="E1347" s="63" t="n"/>
    </row>
    <row r="1348" ht="18" customHeight="1">
      <c r="A1348" s="62" t="n"/>
      <c r="B1348" s="63" t="n"/>
      <c r="C1348" s="64" t="n"/>
      <c r="D1348" s="64" t="n"/>
      <c r="E1348" s="63" t="n"/>
    </row>
    <row r="1349" ht="18" customHeight="1">
      <c r="A1349" s="62" t="n"/>
      <c r="B1349" s="63" t="n"/>
      <c r="C1349" s="64" t="n"/>
      <c r="D1349" s="64" t="n"/>
      <c r="E1349" s="63" t="n"/>
    </row>
    <row r="1350" ht="18" customHeight="1">
      <c r="A1350" s="62" t="n"/>
      <c r="B1350" s="63" t="n"/>
      <c r="C1350" s="64" t="n"/>
      <c r="D1350" s="64" t="n"/>
      <c r="E1350" s="63" t="n"/>
    </row>
    <row r="1351" ht="18" customHeight="1">
      <c r="A1351" s="62" t="n"/>
      <c r="B1351" s="63" t="n"/>
      <c r="C1351" s="64" t="n"/>
      <c r="D1351" s="64" t="n"/>
      <c r="E1351" s="63" t="n"/>
    </row>
    <row r="1352" ht="18" customHeight="1">
      <c r="A1352" s="62" t="n"/>
      <c r="B1352" s="63" t="n"/>
      <c r="C1352" s="64" t="n"/>
      <c r="D1352" s="64" t="n"/>
      <c r="E1352" s="63" t="n"/>
    </row>
    <row r="1353" ht="18" customHeight="1">
      <c r="A1353" s="62" t="n"/>
      <c r="B1353" s="63" t="n"/>
      <c r="C1353" s="64" t="n"/>
      <c r="D1353" s="64" t="n"/>
      <c r="E1353" s="63" t="n"/>
    </row>
    <row r="1354" ht="18" customHeight="1">
      <c r="A1354" s="62" t="n"/>
      <c r="B1354" s="63" t="n"/>
      <c r="C1354" s="64" t="n"/>
      <c r="D1354" s="64" t="n"/>
      <c r="E1354" s="63" t="n"/>
    </row>
    <row r="1355" ht="18" customHeight="1">
      <c r="A1355" s="62" t="n"/>
      <c r="B1355" s="63" t="n"/>
      <c r="C1355" s="64" t="n"/>
      <c r="D1355" s="64" t="n"/>
      <c r="E1355" s="63" t="n"/>
    </row>
    <row r="1356" ht="18" customHeight="1">
      <c r="A1356" s="62" t="n"/>
      <c r="B1356" s="63" t="n"/>
      <c r="C1356" s="64" t="n"/>
      <c r="D1356" s="64" t="n"/>
      <c r="E1356" s="63" t="n"/>
    </row>
    <row r="1357" ht="18" customHeight="1">
      <c r="A1357" s="62" t="n"/>
      <c r="B1357" s="63" t="n"/>
      <c r="C1357" s="64" t="n"/>
      <c r="D1357" s="64" t="n"/>
      <c r="E1357" s="63" t="n"/>
    </row>
    <row r="1358" ht="18" customHeight="1">
      <c r="A1358" s="62" t="n"/>
      <c r="B1358" s="63" t="n"/>
      <c r="C1358" s="64" t="n"/>
      <c r="D1358" s="64" t="n"/>
      <c r="E1358" s="63" t="n"/>
    </row>
    <row r="1359" ht="18" customHeight="1">
      <c r="A1359" s="62" t="n"/>
      <c r="B1359" s="63" t="n"/>
      <c r="C1359" s="64" t="n"/>
      <c r="D1359" s="64" t="n"/>
      <c r="E1359" s="63" t="n"/>
    </row>
    <row r="1360" ht="18" customHeight="1">
      <c r="A1360" s="62" t="n"/>
      <c r="B1360" s="63" t="n"/>
      <c r="C1360" s="64" t="n"/>
      <c r="D1360" s="64" t="n"/>
      <c r="E1360" s="63" t="n"/>
    </row>
    <row r="1361" ht="18" customHeight="1">
      <c r="A1361" s="62" t="n"/>
      <c r="B1361" s="63" t="n"/>
      <c r="C1361" s="64" t="n"/>
      <c r="D1361" s="64" t="n"/>
      <c r="E1361" s="63" t="n"/>
    </row>
    <row r="1362" ht="18" customHeight="1">
      <c r="A1362" s="62" t="n"/>
      <c r="B1362" s="63" t="n"/>
      <c r="C1362" s="64" t="n"/>
      <c r="D1362" s="64" t="n"/>
      <c r="E1362" s="63" t="n"/>
    </row>
    <row r="1363" ht="18" customHeight="1">
      <c r="A1363" s="62" t="n"/>
      <c r="B1363" s="63" t="n"/>
      <c r="C1363" s="64" t="n"/>
      <c r="D1363" s="64" t="n"/>
      <c r="E1363" s="63" t="n"/>
    </row>
    <row r="1364" ht="18" customHeight="1">
      <c r="A1364" s="62" t="n"/>
      <c r="B1364" s="63" t="n"/>
      <c r="C1364" s="64" t="n"/>
      <c r="D1364" s="64" t="n"/>
      <c r="E1364" s="63" t="n"/>
    </row>
    <row r="1365" ht="18" customHeight="1">
      <c r="A1365" s="62" t="n"/>
      <c r="B1365" s="63" t="n"/>
      <c r="C1365" s="64" t="n"/>
      <c r="D1365" s="64" t="n"/>
      <c r="E1365" s="63" t="n"/>
    </row>
    <row r="1366" ht="18" customHeight="1">
      <c r="A1366" s="62" t="n"/>
      <c r="B1366" s="63" t="n"/>
      <c r="C1366" s="64" t="n"/>
      <c r="D1366" s="64" t="n"/>
      <c r="E1366" s="63" t="n"/>
    </row>
    <row r="1367" ht="18" customHeight="1">
      <c r="A1367" s="62" t="n"/>
      <c r="B1367" s="63" t="n"/>
      <c r="C1367" s="64" t="n"/>
      <c r="D1367" s="64" t="n"/>
      <c r="E1367" s="63" t="n"/>
    </row>
    <row r="1368" ht="18" customHeight="1">
      <c r="A1368" s="62" t="n"/>
      <c r="B1368" s="63" t="n"/>
      <c r="C1368" s="64" t="n"/>
      <c r="D1368" s="64" t="n"/>
      <c r="E1368" s="63" t="n"/>
    </row>
    <row r="1369" ht="18" customHeight="1">
      <c r="A1369" s="62" t="n"/>
      <c r="B1369" s="63" t="n"/>
      <c r="C1369" s="64" t="n"/>
      <c r="D1369" s="64" t="n"/>
      <c r="E1369" s="63" t="n"/>
    </row>
    <row r="1370" ht="18" customHeight="1">
      <c r="A1370" s="62" t="n"/>
      <c r="B1370" s="63" t="n"/>
      <c r="C1370" s="64" t="n"/>
      <c r="D1370" s="64" t="n"/>
      <c r="E1370" s="63" t="n"/>
    </row>
    <row r="1371" ht="18" customHeight="1">
      <c r="A1371" s="62" t="n"/>
      <c r="B1371" s="63" t="n"/>
      <c r="C1371" s="64" t="n"/>
      <c r="D1371" s="64" t="n"/>
      <c r="E1371" s="63" t="n"/>
    </row>
    <row r="1372" ht="18" customHeight="1">
      <c r="A1372" s="62" t="n"/>
      <c r="B1372" s="63" t="n"/>
      <c r="C1372" s="64" t="n"/>
      <c r="D1372" s="64" t="n"/>
      <c r="E1372" s="63" t="n"/>
    </row>
    <row r="1373" ht="18" customHeight="1">
      <c r="A1373" s="62" t="n"/>
      <c r="B1373" s="63" t="n"/>
      <c r="C1373" s="64" t="n"/>
      <c r="D1373" s="64" t="n"/>
      <c r="E1373" s="63" t="n"/>
    </row>
    <row r="1374" ht="18" customHeight="1">
      <c r="A1374" s="62" t="n"/>
      <c r="B1374" s="63" t="n"/>
      <c r="C1374" s="64" t="n"/>
      <c r="D1374" s="64" t="n"/>
      <c r="E1374" s="63" t="n"/>
    </row>
    <row r="1375" ht="18" customHeight="1">
      <c r="A1375" s="62" t="n"/>
      <c r="B1375" s="63" t="n"/>
      <c r="C1375" s="64" t="n"/>
      <c r="D1375" s="64" t="n"/>
      <c r="E1375" s="63" t="n"/>
    </row>
    <row r="1376" ht="18" customHeight="1">
      <c r="A1376" s="62" t="n"/>
      <c r="B1376" s="63" t="n"/>
      <c r="C1376" s="64" t="n"/>
      <c r="D1376" s="64" t="n"/>
      <c r="E1376" s="63" t="n"/>
    </row>
    <row r="1377" ht="18" customHeight="1">
      <c r="A1377" s="62" t="n"/>
      <c r="B1377" s="63" t="n"/>
      <c r="C1377" s="64" t="n"/>
      <c r="D1377" s="64" t="n"/>
      <c r="E1377" s="63" t="n"/>
    </row>
    <row r="1378" ht="18" customHeight="1">
      <c r="A1378" s="62" t="n"/>
      <c r="B1378" s="63" t="n"/>
      <c r="C1378" s="64" t="n"/>
      <c r="D1378" s="64" t="n"/>
      <c r="E1378" s="63" t="n"/>
    </row>
    <row r="1379" ht="18" customHeight="1">
      <c r="A1379" s="62" t="n"/>
      <c r="B1379" s="63" t="n"/>
      <c r="C1379" s="64" t="n"/>
      <c r="D1379" s="64" t="n"/>
      <c r="E1379" s="63" t="n"/>
    </row>
    <row r="1380" ht="18" customHeight="1">
      <c r="A1380" s="62" t="n"/>
      <c r="B1380" s="63" t="n"/>
      <c r="C1380" s="64" t="n"/>
      <c r="D1380" s="64" t="n"/>
      <c r="E1380" s="63" t="n"/>
    </row>
    <row r="1381" ht="18" customHeight="1">
      <c r="A1381" s="62" t="n"/>
      <c r="B1381" s="63" t="n"/>
      <c r="C1381" s="64" t="n"/>
      <c r="D1381" s="64" t="n"/>
      <c r="E1381" s="63" t="n"/>
    </row>
    <row r="1382" ht="18" customHeight="1">
      <c r="A1382" s="62" t="n"/>
      <c r="B1382" s="63" t="n"/>
      <c r="C1382" s="64" t="n"/>
      <c r="D1382" s="64" t="n"/>
      <c r="E1382" s="63" t="n"/>
    </row>
    <row r="1383" ht="18" customHeight="1">
      <c r="A1383" s="62" t="n"/>
      <c r="B1383" s="63" t="n"/>
      <c r="C1383" s="64" t="n"/>
      <c r="D1383" s="64" t="n"/>
      <c r="E1383" s="63" t="n"/>
    </row>
    <row r="1384" ht="18" customHeight="1">
      <c r="A1384" s="62" t="n"/>
      <c r="B1384" s="63" t="n"/>
      <c r="C1384" s="64" t="n"/>
      <c r="D1384" s="64" t="n"/>
      <c r="E1384" s="63" t="n"/>
    </row>
    <row r="1385" ht="18" customHeight="1">
      <c r="A1385" s="62" t="n"/>
      <c r="B1385" s="63" t="n"/>
      <c r="C1385" s="64" t="n"/>
      <c r="D1385" s="64" t="n"/>
      <c r="E1385" s="63" t="n"/>
    </row>
    <row r="1386" ht="18" customHeight="1">
      <c r="A1386" s="62" t="n"/>
      <c r="B1386" s="63" t="n"/>
      <c r="C1386" s="64" t="n"/>
      <c r="D1386" s="64" t="n"/>
      <c r="E1386" s="63" t="n"/>
    </row>
    <row r="1387" ht="18" customHeight="1">
      <c r="A1387" s="62" t="n"/>
      <c r="B1387" s="63" t="n"/>
      <c r="C1387" s="64" t="n"/>
      <c r="D1387" s="64" t="n"/>
      <c r="E1387" s="63" t="n"/>
    </row>
    <row r="1388" ht="18" customHeight="1">
      <c r="A1388" s="62" t="n"/>
      <c r="B1388" s="63" t="n"/>
      <c r="C1388" s="64" t="n"/>
      <c r="D1388" s="64" t="n"/>
      <c r="E1388" s="63" t="n"/>
    </row>
    <row r="1389" ht="18" customHeight="1">
      <c r="A1389" s="62" t="n"/>
      <c r="B1389" s="63" t="n"/>
      <c r="C1389" s="64" t="n"/>
      <c r="D1389" s="64" t="n"/>
      <c r="E1389" s="63" t="n"/>
    </row>
    <row r="1390" ht="18" customHeight="1">
      <c r="A1390" s="62" t="n"/>
      <c r="B1390" s="63" t="n"/>
      <c r="C1390" s="64" t="n"/>
      <c r="D1390" s="64" t="n"/>
      <c r="E1390" s="63" t="n"/>
    </row>
    <row r="1391" ht="18" customHeight="1">
      <c r="A1391" s="62" t="n"/>
      <c r="B1391" s="63" t="n"/>
      <c r="C1391" s="64" t="n"/>
      <c r="D1391" s="64" t="n"/>
      <c r="E1391" s="63" t="n"/>
    </row>
    <row r="1392" ht="18" customHeight="1">
      <c r="A1392" s="62" t="n"/>
      <c r="B1392" s="63" t="n"/>
      <c r="C1392" s="64" t="n"/>
      <c r="D1392" s="64" t="n"/>
      <c r="E1392" s="63" t="n"/>
    </row>
    <row r="1393" ht="18" customHeight="1">
      <c r="A1393" s="62" t="n"/>
      <c r="B1393" s="63" t="n"/>
      <c r="C1393" s="64" t="n"/>
      <c r="D1393" s="64" t="n"/>
      <c r="E1393" s="63" t="n"/>
    </row>
    <row r="1394" ht="18" customHeight="1">
      <c r="A1394" s="62" t="n"/>
      <c r="B1394" s="63" t="n"/>
      <c r="C1394" s="64" t="n"/>
      <c r="D1394" s="64" t="n"/>
      <c r="E1394" s="63" t="n"/>
    </row>
    <row r="1395" ht="18" customHeight="1">
      <c r="A1395" s="62" t="n"/>
      <c r="B1395" s="63" t="n"/>
      <c r="C1395" s="64" t="n"/>
      <c r="D1395" s="64" t="n"/>
      <c r="E1395" s="63" t="n"/>
    </row>
    <row r="1396" ht="18" customHeight="1">
      <c r="A1396" s="62" t="n"/>
      <c r="B1396" s="63" t="n"/>
      <c r="C1396" s="64" t="n"/>
      <c r="D1396" s="64" t="n"/>
      <c r="E1396" s="63" t="n"/>
    </row>
    <row r="1397" ht="18" customHeight="1">
      <c r="A1397" s="62" t="n"/>
      <c r="B1397" s="63" t="n"/>
      <c r="C1397" s="64" t="n"/>
      <c r="D1397" s="64" t="n"/>
      <c r="E1397" s="63" t="n"/>
    </row>
    <row r="1398" ht="18" customHeight="1">
      <c r="A1398" s="62" t="n"/>
      <c r="B1398" s="63" t="n"/>
      <c r="C1398" s="64" t="n"/>
      <c r="D1398" s="64" t="n"/>
      <c r="E1398" s="63" t="n"/>
    </row>
    <row r="1399" ht="18" customHeight="1">
      <c r="A1399" s="62" t="n"/>
      <c r="B1399" s="63" t="n"/>
      <c r="C1399" s="64" t="n"/>
      <c r="D1399" s="64" t="n"/>
      <c r="E1399" s="63" t="n"/>
    </row>
    <row r="1400" ht="18" customHeight="1">
      <c r="A1400" s="62" t="n"/>
      <c r="B1400" s="63" t="n"/>
      <c r="C1400" s="64" t="n"/>
      <c r="D1400" s="64" t="n"/>
      <c r="E1400" s="63" t="n"/>
    </row>
    <row r="1401" ht="18" customHeight="1">
      <c r="A1401" s="62" t="n"/>
      <c r="B1401" s="63" t="n"/>
      <c r="C1401" s="64" t="n"/>
      <c r="D1401" s="64" t="n"/>
      <c r="E1401" s="63" t="n"/>
    </row>
    <row r="1402" ht="18" customHeight="1">
      <c r="A1402" s="62" t="n"/>
      <c r="B1402" s="63" t="n"/>
      <c r="C1402" s="64" t="n"/>
      <c r="D1402" s="64" t="n"/>
      <c r="E1402" s="63" t="n"/>
    </row>
    <row r="1403" ht="18" customHeight="1">
      <c r="A1403" s="62" t="n"/>
      <c r="B1403" s="63" t="n"/>
      <c r="C1403" s="64" t="n"/>
      <c r="D1403" s="64" t="n"/>
      <c r="E1403" s="63" t="n"/>
    </row>
    <row r="1404" ht="18" customHeight="1">
      <c r="A1404" s="62" t="n"/>
      <c r="B1404" s="63" t="n"/>
      <c r="C1404" s="64" t="n"/>
      <c r="D1404" s="64" t="n"/>
      <c r="E1404" s="63" t="n"/>
    </row>
    <row r="1405" ht="18" customHeight="1">
      <c r="A1405" s="62" t="n"/>
      <c r="B1405" s="63" t="n"/>
      <c r="C1405" s="64" t="n"/>
      <c r="D1405" s="64" t="n"/>
      <c r="E1405" s="63" t="n"/>
    </row>
    <row r="1406" ht="18" customHeight="1">
      <c r="A1406" s="62" t="n"/>
      <c r="B1406" s="63" t="n"/>
      <c r="C1406" s="64" t="n"/>
      <c r="D1406" s="64" t="n"/>
      <c r="E1406" s="63" t="n"/>
    </row>
    <row r="1407" ht="18" customHeight="1">
      <c r="A1407" s="62" t="n"/>
      <c r="B1407" s="63" t="n"/>
      <c r="C1407" s="64" t="n"/>
      <c r="D1407" s="64" t="n"/>
      <c r="E1407" s="63" t="n"/>
    </row>
    <row r="1408" ht="18" customHeight="1">
      <c r="A1408" s="62" t="n"/>
      <c r="B1408" s="63" t="n"/>
      <c r="C1408" s="64" t="n"/>
      <c r="D1408" s="64" t="n"/>
      <c r="E1408" s="63" t="n"/>
    </row>
    <row r="1409" ht="18" customHeight="1">
      <c r="A1409" s="62" t="n"/>
      <c r="B1409" s="63" t="n"/>
      <c r="C1409" s="64" t="n"/>
      <c r="D1409" s="64" t="n"/>
      <c r="E1409" s="63" t="n"/>
    </row>
    <row r="1410" ht="18" customHeight="1">
      <c r="A1410" s="62" t="n"/>
      <c r="B1410" s="63" t="n"/>
      <c r="C1410" s="64" t="n"/>
      <c r="D1410" s="64" t="n"/>
      <c r="E1410" s="63" t="n"/>
    </row>
    <row r="1411" ht="18" customHeight="1">
      <c r="A1411" s="62" t="n"/>
      <c r="B1411" s="63" t="n"/>
      <c r="C1411" s="64" t="n"/>
      <c r="D1411" s="64" t="n"/>
      <c r="E1411" s="63" t="n"/>
    </row>
    <row r="1412" ht="18" customHeight="1">
      <c r="A1412" s="62" t="n"/>
      <c r="B1412" s="63" t="n"/>
      <c r="C1412" s="64" t="n"/>
      <c r="D1412" s="64" t="n"/>
      <c r="E1412" s="63" t="n"/>
    </row>
    <row r="1413" ht="18" customHeight="1">
      <c r="A1413" s="62" t="n"/>
      <c r="B1413" s="63" t="n"/>
      <c r="C1413" s="64" t="n"/>
      <c r="D1413" s="64" t="n"/>
      <c r="E1413" s="63" t="n"/>
    </row>
    <row r="1414" ht="18" customHeight="1">
      <c r="A1414" s="62" t="n"/>
      <c r="B1414" s="63" t="n"/>
      <c r="C1414" s="64" t="n"/>
      <c r="D1414" s="64" t="n"/>
      <c r="E1414" s="63" t="n"/>
    </row>
    <row r="1415" ht="18" customHeight="1">
      <c r="A1415" s="62" t="n"/>
      <c r="B1415" s="63" t="n"/>
      <c r="C1415" s="64" t="n"/>
      <c r="D1415" s="64" t="n"/>
      <c r="E1415" s="63" t="n"/>
    </row>
    <row r="1416" ht="18" customHeight="1">
      <c r="A1416" s="62" t="n"/>
      <c r="B1416" s="63" t="n"/>
      <c r="C1416" s="64" t="n"/>
      <c r="D1416" s="64" t="n"/>
      <c r="E1416" s="63" t="n"/>
    </row>
    <row r="1417" ht="18" customHeight="1">
      <c r="A1417" s="62" t="n"/>
      <c r="B1417" s="63" t="n"/>
      <c r="C1417" s="64" t="n"/>
      <c r="D1417" s="64" t="n"/>
      <c r="E1417" s="63" t="n"/>
    </row>
    <row r="1418" ht="18" customHeight="1">
      <c r="A1418" s="62" t="n"/>
      <c r="B1418" s="63" t="n"/>
      <c r="C1418" s="64" t="n"/>
      <c r="D1418" s="64" t="n"/>
      <c r="E1418" s="63" t="n"/>
    </row>
    <row r="1419" ht="18" customHeight="1">
      <c r="A1419" s="62" t="n"/>
      <c r="B1419" s="63" t="n"/>
      <c r="C1419" s="64" t="n"/>
      <c r="D1419" s="64" t="n"/>
      <c r="E1419" s="63" t="n"/>
    </row>
    <row r="1420" ht="18" customHeight="1">
      <c r="A1420" s="62" t="n"/>
      <c r="B1420" s="63" t="n"/>
      <c r="C1420" s="64" t="n"/>
      <c r="D1420" s="64" t="n"/>
      <c r="E1420" s="63" t="n"/>
    </row>
    <row r="1421" ht="18" customHeight="1">
      <c r="A1421" s="62" t="n"/>
      <c r="B1421" s="63" t="n"/>
      <c r="C1421" s="64" t="n"/>
      <c r="D1421" s="64" t="n"/>
      <c r="E1421" s="63" t="n"/>
    </row>
    <row r="1422" ht="18" customHeight="1">
      <c r="A1422" s="62" t="n"/>
      <c r="B1422" s="63" t="n"/>
      <c r="C1422" s="64" t="n"/>
      <c r="D1422" s="64" t="n"/>
      <c r="E1422" s="63" t="n"/>
    </row>
    <row r="1423" ht="18" customHeight="1">
      <c r="A1423" s="62" t="n"/>
      <c r="B1423" s="63" t="n"/>
      <c r="C1423" s="64" t="n"/>
      <c r="D1423" s="64" t="n"/>
      <c r="E1423" s="63" t="n"/>
    </row>
    <row r="1424" ht="18" customHeight="1">
      <c r="A1424" s="62" t="n"/>
      <c r="B1424" s="63" t="n"/>
      <c r="C1424" s="64" t="n"/>
      <c r="D1424" s="64" t="n"/>
      <c r="E1424" s="63" t="n"/>
    </row>
    <row r="1425" ht="18" customHeight="1">
      <c r="A1425" s="62" t="n"/>
      <c r="B1425" s="63" t="n"/>
      <c r="C1425" s="64" t="n"/>
      <c r="D1425" s="64" t="n"/>
      <c r="E1425" s="63" t="n"/>
    </row>
    <row r="1426" ht="18" customHeight="1">
      <c r="A1426" s="62" t="n"/>
      <c r="B1426" s="63" t="n"/>
      <c r="C1426" s="64" t="n"/>
      <c r="D1426" s="64" t="n"/>
      <c r="E1426" s="63" t="n"/>
    </row>
    <row r="1427" ht="18" customHeight="1">
      <c r="A1427" s="62" t="n"/>
      <c r="B1427" s="63" t="n"/>
      <c r="C1427" s="64" t="n"/>
      <c r="D1427" s="64" t="n"/>
      <c r="E1427" s="63" t="n"/>
    </row>
    <row r="1428" ht="18" customHeight="1">
      <c r="A1428" s="62" t="n"/>
      <c r="B1428" s="63" t="n"/>
      <c r="C1428" s="64" t="n"/>
      <c r="D1428" s="64" t="n"/>
      <c r="E1428" s="63" t="n"/>
    </row>
    <row r="1429" ht="18" customHeight="1">
      <c r="A1429" s="62" t="n"/>
      <c r="B1429" s="63" t="n"/>
      <c r="C1429" s="64" t="n"/>
      <c r="D1429" s="64" t="n"/>
      <c r="E1429" s="63" t="n"/>
    </row>
    <row r="1430" ht="18" customHeight="1">
      <c r="A1430" s="62" t="n"/>
      <c r="B1430" s="63" t="n"/>
      <c r="C1430" s="64" t="n"/>
      <c r="D1430" s="64" t="n"/>
      <c r="E1430" s="63" t="n"/>
    </row>
    <row r="1431" ht="18" customHeight="1">
      <c r="A1431" s="62" t="n"/>
      <c r="B1431" s="63" t="n"/>
      <c r="C1431" s="64" t="n"/>
      <c r="D1431" s="64" t="n"/>
      <c r="E1431" s="63" t="n"/>
    </row>
    <row r="1432" ht="18" customHeight="1">
      <c r="A1432" s="62" t="n"/>
      <c r="B1432" s="63" t="n"/>
      <c r="C1432" s="64" t="n"/>
      <c r="D1432" s="64" t="n"/>
      <c r="E1432" s="63" t="n"/>
    </row>
    <row r="1433" ht="18" customHeight="1">
      <c r="A1433" s="62" t="n"/>
      <c r="B1433" s="63" t="n"/>
      <c r="C1433" s="64" t="n"/>
      <c r="D1433" s="64" t="n"/>
      <c r="E1433" s="63" t="n"/>
    </row>
    <row r="1434" ht="18" customHeight="1">
      <c r="A1434" s="62" t="n"/>
      <c r="B1434" s="63" t="n"/>
      <c r="C1434" s="64" t="n"/>
      <c r="D1434" s="64" t="n"/>
      <c r="E1434" s="63" t="n"/>
    </row>
    <row r="1435" ht="18" customHeight="1">
      <c r="A1435" s="62" t="n"/>
      <c r="B1435" s="63" t="n"/>
      <c r="C1435" s="64" t="n"/>
      <c r="D1435" s="64" t="n"/>
      <c r="E1435" s="63" t="n"/>
    </row>
    <row r="1436" ht="18" customHeight="1">
      <c r="A1436" s="62" t="n"/>
      <c r="B1436" s="63" t="n"/>
      <c r="C1436" s="64" t="n"/>
      <c r="D1436" s="64" t="n"/>
      <c r="E1436" s="63" t="n"/>
    </row>
    <row r="1437" ht="18" customHeight="1">
      <c r="A1437" s="62" t="n"/>
      <c r="B1437" s="63" t="n"/>
      <c r="C1437" s="64" t="n"/>
      <c r="D1437" s="64" t="n"/>
      <c r="E1437" s="63" t="n"/>
    </row>
    <row r="1438" ht="18" customHeight="1">
      <c r="A1438" s="62" t="n"/>
      <c r="B1438" s="63" t="n"/>
      <c r="C1438" s="64" t="n"/>
      <c r="D1438" s="64" t="n"/>
      <c r="E1438" s="63" t="n"/>
    </row>
    <row r="1439" ht="18" customHeight="1">
      <c r="A1439" s="62" t="n"/>
      <c r="B1439" s="63" t="n"/>
      <c r="C1439" s="64" t="n"/>
      <c r="D1439" s="64" t="n"/>
      <c r="E1439" s="63" t="n"/>
    </row>
    <row r="1440" ht="18" customHeight="1">
      <c r="A1440" s="62" t="n"/>
      <c r="B1440" s="63" t="n"/>
      <c r="C1440" s="64" t="n"/>
      <c r="D1440" s="64" t="n"/>
      <c r="E1440" s="63" t="n"/>
    </row>
    <row r="1441" ht="18" customHeight="1">
      <c r="A1441" s="62" t="n"/>
      <c r="B1441" s="63" t="n"/>
      <c r="C1441" s="64" t="n"/>
      <c r="D1441" s="64" t="n"/>
      <c r="E1441" s="63" t="n"/>
    </row>
    <row r="1442" ht="18" customHeight="1">
      <c r="A1442" s="62" t="n"/>
      <c r="B1442" s="63" t="n"/>
      <c r="C1442" s="64" t="n"/>
      <c r="D1442" s="64" t="n"/>
      <c r="E1442" s="63" t="n"/>
    </row>
    <row r="1443" ht="18" customHeight="1">
      <c r="A1443" s="62" t="n"/>
      <c r="B1443" s="63" t="n"/>
      <c r="C1443" s="64" t="n"/>
      <c r="D1443" s="64" t="n"/>
      <c r="E1443" s="63" t="n"/>
    </row>
    <row r="1444" ht="18" customHeight="1">
      <c r="A1444" s="62" t="n"/>
      <c r="B1444" s="63" t="n"/>
      <c r="C1444" s="64" t="n"/>
      <c r="D1444" s="64" t="n"/>
      <c r="E1444" s="63" t="n"/>
    </row>
    <row r="1445" ht="18" customHeight="1">
      <c r="A1445" s="62" t="n"/>
      <c r="B1445" s="63" t="n"/>
      <c r="C1445" s="64" t="n"/>
      <c r="D1445" s="64" t="n"/>
      <c r="E1445" s="63" t="n"/>
    </row>
    <row r="1446" ht="18" customHeight="1">
      <c r="A1446" s="62" t="n"/>
      <c r="B1446" s="63" t="n"/>
      <c r="C1446" s="64" t="n"/>
      <c r="D1446" s="64" t="n"/>
      <c r="E1446" s="63" t="n"/>
    </row>
    <row r="1447" ht="18" customHeight="1">
      <c r="A1447" s="62" t="n"/>
      <c r="B1447" s="63" t="n"/>
      <c r="C1447" s="64" t="n"/>
      <c r="D1447" s="64" t="n"/>
      <c r="E1447" s="63" t="n"/>
    </row>
    <row r="1448" ht="18" customHeight="1">
      <c r="A1448" s="62" t="n"/>
      <c r="B1448" s="63" t="n"/>
      <c r="C1448" s="64" t="n"/>
      <c r="D1448" s="64" t="n"/>
      <c r="E1448" s="63" t="n"/>
    </row>
    <row r="1449" ht="18" customHeight="1">
      <c r="A1449" s="62" t="n"/>
      <c r="B1449" s="63" t="n"/>
      <c r="C1449" s="64" t="n"/>
      <c r="D1449" s="64" t="n"/>
      <c r="E1449" s="63" t="n"/>
    </row>
    <row r="1450" ht="18" customHeight="1">
      <c r="A1450" s="62" t="n"/>
      <c r="B1450" s="63" t="n"/>
      <c r="C1450" s="64" t="n"/>
      <c r="D1450" s="64" t="n"/>
      <c r="E1450" s="63" t="n"/>
    </row>
    <row r="1451" ht="18" customHeight="1">
      <c r="A1451" s="62" t="n"/>
      <c r="B1451" s="63" t="n"/>
      <c r="C1451" s="64" t="n"/>
      <c r="D1451" s="64" t="n"/>
      <c r="E1451" s="63" t="n"/>
    </row>
    <row r="1452" ht="18" customHeight="1">
      <c r="A1452" s="62" t="n"/>
      <c r="B1452" s="63" t="n"/>
      <c r="C1452" s="64" t="n"/>
      <c r="D1452" s="64" t="n"/>
      <c r="E1452" s="63" t="n"/>
    </row>
    <row r="1453" ht="18" customHeight="1">
      <c r="A1453" s="62" t="n"/>
      <c r="B1453" s="63" t="n"/>
      <c r="C1453" s="64" t="n"/>
      <c r="D1453" s="64" t="n"/>
      <c r="E1453" s="63" t="n"/>
    </row>
    <row r="1454" ht="18" customHeight="1">
      <c r="A1454" s="62" t="n"/>
      <c r="B1454" s="63" t="n"/>
      <c r="C1454" s="64" t="n"/>
      <c r="D1454" s="64" t="n"/>
      <c r="E1454" s="63" t="n"/>
    </row>
    <row r="1455" ht="18" customHeight="1">
      <c r="A1455" s="62" t="n"/>
      <c r="B1455" s="63" t="n"/>
      <c r="C1455" s="64" t="n"/>
      <c r="D1455" s="64" t="n"/>
      <c r="E1455" s="63" t="n"/>
    </row>
    <row r="1456" ht="18" customHeight="1">
      <c r="A1456" s="62" t="n"/>
      <c r="B1456" s="63" t="n"/>
      <c r="C1456" s="64" t="n"/>
      <c r="D1456" s="64" t="n"/>
      <c r="E1456" s="63" t="n"/>
    </row>
    <row r="1457" ht="18" customHeight="1">
      <c r="A1457" s="62" t="n"/>
      <c r="B1457" s="63" t="n"/>
      <c r="C1457" s="64" t="n"/>
      <c r="D1457" s="64" t="n"/>
      <c r="E1457" s="63" t="n"/>
    </row>
    <row r="1458" ht="18" customHeight="1">
      <c r="A1458" s="62" t="n"/>
      <c r="B1458" s="63" t="n"/>
      <c r="C1458" s="64" t="n"/>
      <c r="D1458" s="64" t="n"/>
      <c r="E1458" s="63" t="n"/>
    </row>
    <row r="1459" ht="18" customHeight="1">
      <c r="A1459" s="62" t="n"/>
      <c r="B1459" s="63" t="n"/>
      <c r="C1459" s="64" t="n"/>
      <c r="D1459" s="64" t="n"/>
      <c r="E1459" s="63" t="n"/>
    </row>
    <row r="1460" ht="18" customHeight="1">
      <c r="A1460" s="62" t="n"/>
      <c r="B1460" s="63" t="n"/>
      <c r="C1460" s="64" t="n"/>
      <c r="D1460" s="64" t="n"/>
      <c r="E1460" s="63" t="n"/>
    </row>
    <row r="1461" ht="18" customHeight="1">
      <c r="A1461" s="62" t="n"/>
      <c r="B1461" s="63" t="n"/>
      <c r="C1461" s="64" t="n"/>
      <c r="D1461" s="64" t="n"/>
      <c r="E1461" s="63" t="n"/>
    </row>
    <row r="1462" ht="18" customHeight="1">
      <c r="A1462" s="62" t="n"/>
      <c r="B1462" s="63" t="n"/>
      <c r="C1462" s="64" t="n"/>
      <c r="D1462" s="64" t="n"/>
      <c r="E1462" s="63" t="n"/>
    </row>
    <row r="1463" ht="18" customHeight="1">
      <c r="A1463" s="62" t="n"/>
      <c r="B1463" s="63" t="n"/>
      <c r="C1463" s="64" t="n"/>
      <c r="D1463" s="64" t="n"/>
      <c r="E1463" s="63" t="n"/>
    </row>
    <row r="1464" ht="18" customHeight="1">
      <c r="A1464" s="62" t="n"/>
      <c r="B1464" s="63" t="n"/>
      <c r="C1464" s="64" t="n"/>
      <c r="D1464" s="64" t="n"/>
      <c r="E1464" s="63" t="n"/>
    </row>
    <row r="1465" ht="18" customHeight="1">
      <c r="A1465" s="62" t="n"/>
      <c r="B1465" s="63" t="n"/>
      <c r="C1465" s="64" t="n"/>
      <c r="D1465" s="64" t="n"/>
      <c r="E1465" s="63" t="n"/>
    </row>
    <row r="1466" ht="18" customHeight="1">
      <c r="A1466" s="62" t="n"/>
      <c r="B1466" s="63" t="n"/>
      <c r="C1466" s="64" t="n"/>
      <c r="D1466" s="64" t="n"/>
      <c r="E1466" s="63" t="n"/>
    </row>
    <row r="1467" ht="18" customHeight="1">
      <c r="A1467" s="62" t="n"/>
      <c r="B1467" s="63" t="n"/>
      <c r="C1467" s="64" t="n"/>
      <c r="D1467" s="64" t="n"/>
      <c r="E1467" s="63" t="n"/>
    </row>
    <row r="1468" ht="18" customHeight="1">
      <c r="A1468" s="62" t="n"/>
      <c r="B1468" s="63" t="n"/>
      <c r="C1468" s="64" t="n"/>
      <c r="D1468" s="64" t="n"/>
      <c r="E1468" s="63" t="n"/>
    </row>
    <row r="1469" ht="18" customHeight="1">
      <c r="A1469" s="62" t="n"/>
      <c r="B1469" s="63" t="n"/>
      <c r="C1469" s="64" t="n"/>
      <c r="D1469" s="64" t="n"/>
      <c r="E1469" s="63" t="n"/>
    </row>
    <row r="1470" ht="18" customHeight="1">
      <c r="A1470" s="62" t="n"/>
      <c r="B1470" s="63" t="n"/>
      <c r="C1470" s="64" t="n"/>
      <c r="D1470" s="64" t="n"/>
      <c r="E1470" s="63" t="n"/>
    </row>
    <row r="1471" ht="18" customHeight="1">
      <c r="A1471" s="62" t="n"/>
      <c r="B1471" s="63" t="n"/>
      <c r="C1471" s="64" t="n"/>
      <c r="D1471" s="64" t="n"/>
      <c r="E1471" s="63" t="n"/>
    </row>
    <row r="1472" ht="18" customHeight="1">
      <c r="A1472" s="62" t="n"/>
      <c r="B1472" s="63" t="n"/>
      <c r="C1472" s="64" t="n"/>
      <c r="D1472" s="64" t="n"/>
      <c r="E1472" s="63" t="n"/>
    </row>
    <row r="1473" ht="18" customHeight="1">
      <c r="A1473" s="62" t="n"/>
      <c r="B1473" s="63" t="n"/>
      <c r="C1473" s="64" t="n"/>
      <c r="D1473" s="64" t="n"/>
      <c r="E1473" s="63" t="n"/>
    </row>
    <row r="1474" ht="18" customHeight="1">
      <c r="A1474" s="62" t="n"/>
      <c r="B1474" s="63" t="n"/>
      <c r="C1474" s="64" t="n"/>
      <c r="D1474" s="64" t="n"/>
      <c r="E1474" s="63" t="n"/>
    </row>
    <row r="1475" ht="18" customHeight="1">
      <c r="A1475" s="62" t="n"/>
      <c r="B1475" s="63" t="n"/>
      <c r="C1475" s="64" t="n"/>
      <c r="D1475" s="64" t="n"/>
      <c r="E1475" s="63" t="n"/>
    </row>
    <row r="1476" ht="18" customHeight="1">
      <c r="A1476" s="62" t="n"/>
      <c r="B1476" s="63" t="n"/>
      <c r="C1476" s="64" t="n"/>
      <c r="D1476" s="64" t="n"/>
      <c r="E1476" s="63" t="n"/>
    </row>
    <row r="1477" ht="18" customHeight="1">
      <c r="A1477" s="62" t="n"/>
      <c r="B1477" s="63" t="n"/>
      <c r="C1477" s="64" t="n"/>
      <c r="D1477" s="64" t="n"/>
      <c r="E1477" s="63" t="n"/>
    </row>
    <row r="1478" ht="18" customHeight="1">
      <c r="A1478" s="62" t="n"/>
      <c r="B1478" s="63" t="n"/>
      <c r="C1478" s="64" t="n"/>
      <c r="D1478" s="64" t="n"/>
      <c r="E1478" s="63" t="n"/>
    </row>
    <row r="1479" ht="18" customHeight="1">
      <c r="A1479" s="62" t="n"/>
      <c r="B1479" s="63" t="n"/>
      <c r="C1479" s="64" t="n"/>
      <c r="D1479" s="64" t="n"/>
      <c r="E1479" s="63" t="n"/>
    </row>
    <row r="1480" ht="18" customHeight="1">
      <c r="A1480" s="62" t="n"/>
      <c r="B1480" s="63" t="n"/>
      <c r="C1480" s="64" t="n"/>
      <c r="D1480" s="64" t="n"/>
      <c r="E1480" s="63" t="n"/>
    </row>
    <row r="1481" ht="18" customHeight="1">
      <c r="A1481" s="62" t="n"/>
      <c r="B1481" s="63" t="n"/>
      <c r="C1481" s="64" t="n"/>
      <c r="D1481" s="64" t="n"/>
      <c r="E1481" s="63" t="n"/>
    </row>
    <row r="1482" ht="18" customHeight="1">
      <c r="A1482" s="62" t="n"/>
      <c r="B1482" s="63" t="n"/>
      <c r="C1482" s="64" t="n"/>
      <c r="D1482" s="64" t="n"/>
      <c r="E1482" s="63" t="n"/>
    </row>
    <row r="1483" ht="18" customHeight="1">
      <c r="A1483" s="62" t="n"/>
      <c r="B1483" s="63" t="n"/>
      <c r="C1483" s="64" t="n"/>
      <c r="D1483" s="64" t="n"/>
      <c r="E1483" s="63" t="n"/>
    </row>
    <row r="1484" ht="18" customHeight="1">
      <c r="A1484" s="62" t="n"/>
      <c r="B1484" s="63" t="n"/>
      <c r="C1484" s="64" t="n"/>
      <c r="D1484" s="64" t="n"/>
      <c r="E1484" s="63" t="n"/>
    </row>
    <row r="1485" ht="18" customHeight="1">
      <c r="A1485" s="62" t="n"/>
      <c r="B1485" s="63" t="n"/>
      <c r="C1485" s="64" t="n"/>
      <c r="D1485" s="64" t="n"/>
      <c r="E1485" s="63" t="n"/>
    </row>
    <row r="1486" ht="18" customHeight="1">
      <c r="A1486" s="62" t="n"/>
      <c r="B1486" s="63" t="n"/>
      <c r="C1486" s="64" t="n"/>
      <c r="D1486" s="64" t="n"/>
      <c r="E1486" s="63" t="n"/>
    </row>
    <row r="1487" ht="18" customHeight="1">
      <c r="A1487" s="62" t="n"/>
      <c r="B1487" s="63" t="n"/>
      <c r="C1487" s="64" t="n"/>
      <c r="D1487" s="64" t="n"/>
      <c r="E1487" s="63" t="n"/>
    </row>
    <row r="1488" ht="18" customHeight="1">
      <c r="A1488" s="62" t="n"/>
      <c r="B1488" s="63" t="n"/>
      <c r="C1488" s="64" t="n"/>
      <c r="D1488" s="64" t="n"/>
      <c r="E1488" s="63" t="n"/>
    </row>
    <row r="1489" ht="18" customHeight="1">
      <c r="A1489" s="62" t="n"/>
      <c r="B1489" s="63" t="n"/>
      <c r="C1489" s="64" t="n"/>
      <c r="D1489" s="64" t="n"/>
      <c r="E1489" s="63" t="n"/>
    </row>
    <row r="1490" ht="18" customHeight="1">
      <c r="A1490" s="62" t="n"/>
      <c r="B1490" s="63" t="n"/>
      <c r="C1490" s="64" t="n"/>
      <c r="D1490" s="64" t="n"/>
      <c r="E1490" s="63" t="n"/>
    </row>
    <row r="1491" ht="18" customHeight="1">
      <c r="A1491" s="62" t="n"/>
      <c r="B1491" s="63" t="n"/>
      <c r="C1491" s="64" t="n"/>
      <c r="D1491" s="64" t="n"/>
      <c r="E1491" s="63" t="n"/>
    </row>
    <row r="1492" ht="18" customHeight="1">
      <c r="A1492" s="62" t="n"/>
      <c r="B1492" s="63" t="n"/>
      <c r="C1492" s="64" t="n"/>
      <c r="D1492" s="64" t="n"/>
      <c r="E1492" s="63" t="n"/>
    </row>
    <row r="1493" ht="18" customHeight="1">
      <c r="A1493" s="62" t="n"/>
      <c r="B1493" s="63" t="n"/>
      <c r="C1493" s="64" t="n"/>
      <c r="D1493" s="64" t="n"/>
      <c r="E1493" s="63" t="n"/>
    </row>
    <row r="1494" ht="18" customHeight="1">
      <c r="A1494" s="62" t="n"/>
      <c r="B1494" s="63" t="n"/>
      <c r="C1494" s="64" t="n"/>
      <c r="D1494" s="64" t="n"/>
      <c r="E1494" s="63" t="n"/>
    </row>
    <row r="1495" ht="18" customHeight="1">
      <c r="A1495" s="62" t="n"/>
      <c r="B1495" s="63" t="n"/>
      <c r="C1495" s="64" t="n"/>
      <c r="D1495" s="64" t="n"/>
      <c r="E1495" s="63" t="n"/>
    </row>
    <row r="1496" ht="18" customHeight="1">
      <c r="A1496" s="62" t="n"/>
      <c r="B1496" s="63" t="n"/>
      <c r="C1496" s="64" t="n"/>
      <c r="D1496" s="64" t="n"/>
      <c r="E1496" s="63" t="n"/>
    </row>
    <row r="1497" ht="18" customHeight="1">
      <c r="A1497" s="62" t="n"/>
      <c r="B1497" s="63" t="n"/>
      <c r="C1497" s="64" t="n"/>
      <c r="D1497" s="64" t="n"/>
      <c r="E1497" s="63" t="n"/>
    </row>
    <row r="1498" ht="18" customHeight="1">
      <c r="A1498" s="62" t="n"/>
      <c r="B1498" s="63" t="n"/>
      <c r="C1498" s="64" t="n"/>
      <c r="D1498" s="64" t="n"/>
      <c r="E1498" s="63" t="n"/>
    </row>
    <row r="1499" ht="18" customHeight="1">
      <c r="A1499" s="62" t="n"/>
      <c r="B1499" s="63" t="n"/>
      <c r="C1499" s="64" t="n"/>
      <c r="D1499" s="64" t="n"/>
      <c r="E1499" s="63" t="n"/>
    </row>
    <row r="1500" ht="18" customHeight="1">
      <c r="A1500" s="62" t="n"/>
      <c r="B1500" s="63" t="n"/>
      <c r="C1500" s="64" t="n"/>
      <c r="D1500" s="64" t="n"/>
      <c r="E1500" s="63" t="n"/>
    </row>
    <row r="1501" ht="18" customHeight="1">
      <c r="A1501" s="62" t="n"/>
      <c r="B1501" s="63" t="n"/>
      <c r="C1501" s="64" t="n"/>
      <c r="D1501" s="64" t="n"/>
      <c r="E1501" s="63" t="n"/>
    </row>
    <row r="1502" ht="18" customHeight="1">
      <c r="A1502" s="62" t="n"/>
      <c r="B1502" s="63" t="n"/>
      <c r="C1502" s="64" t="n"/>
      <c r="D1502" s="64" t="n"/>
      <c r="E1502" s="63" t="n"/>
    </row>
    <row r="1503" ht="18" customHeight="1">
      <c r="A1503" s="62" t="n"/>
      <c r="B1503" s="63" t="n"/>
      <c r="C1503" s="64" t="n"/>
      <c r="D1503" s="64" t="n"/>
      <c r="E1503" s="63" t="n"/>
    </row>
    <row r="1504" ht="18" customHeight="1">
      <c r="A1504" s="62" t="n"/>
      <c r="B1504" s="63" t="n"/>
      <c r="C1504" s="64" t="n"/>
      <c r="D1504" s="64" t="n"/>
      <c r="E1504" s="63" t="n"/>
    </row>
    <row r="1505" ht="18" customHeight="1">
      <c r="A1505" s="62" t="n"/>
      <c r="B1505" s="63" t="n"/>
      <c r="C1505" s="64" t="n"/>
      <c r="D1505" s="64" t="n"/>
      <c r="E1505" s="63" t="n"/>
    </row>
    <row r="1506" ht="18" customHeight="1">
      <c r="A1506" s="62" t="n"/>
      <c r="B1506" s="63" t="n"/>
      <c r="C1506" s="64" t="n"/>
      <c r="D1506" s="64" t="n"/>
      <c r="E1506" s="63" t="n"/>
    </row>
    <row r="1507" ht="18" customHeight="1">
      <c r="A1507" s="62" t="n"/>
      <c r="B1507" s="63" t="n"/>
      <c r="C1507" s="64" t="n"/>
      <c r="D1507" s="64" t="n"/>
      <c r="E1507" s="63" t="n"/>
    </row>
    <row r="1508" ht="18" customHeight="1">
      <c r="A1508" s="62" t="n"/>
      <c r="B1508" s="63" t="n"/>
      <c r="C1508" s="64" t="n"/>
      <c r="D1508" s="64" t="n"/>
      <c r="E1508" s="63" t="n"/>
    </row>
    <row r="1509" ht="18" customHeight="1">
      <c r="A1509" s="62" t="n"/>
      <c r="B1509" s="63" t="n"/>
      <c r="C1509" s="64" t="n"/>
      <c r="D1509" s="64" t="n"/>
      <c r="E1509" s="63" t="n"/>
    </row>
    <row r="1510" ht="18" customHeight="1">
      <c r="A1510" s="62" t="n"/>
      <c r="B1510" s="63" t="n"/>
      <c r="C1510" s="64" t="n"/>
      <c r="D1510" s="64" t="n"/>
      <c r="E1510" s="63" t="n"/>
    </row>
    <row r="1511" ht="18" customHeight="1">
      <c r="A1511" s="62" t="n"/>
      <c r="B1511" s="63" t="n"/>
      <c r="C1511" s="64" t="n"/>
      <c r="D1511" s="64" t="n"/>
      <c r="E1511" s="63" t="n"/>
    </row>
    <row r="1512" ht="18" customHeight="1">
      <c r="A1512" s="62" t="n"/>
      <c r="B1512" s="63" t="n"/>
      <c r="C1512" s="64" t="n"/>
      <c r="D1512" s="64" t="n"/>
      <c r="E1512" s="63" t="n"/>
    </row>
    <row r="1513" ht="18" customHeight="1">
      <c r="A1513" s="62" t="n"/>
      <c r="B1513" s="63" t="n"/>
      <c r="C1513" s="64" t="n"/>
      <c r="D1513" s="64" t="n"/>
      <c r="E1513" s="63" t="n"/>
    </row>
    <row r="1514" ht="18" customHeight="1">
      <c r="A1514" s="62" t="n"/>
      <c r="B1514" s="63" t="n"/>
      <c r="C1514" s="64" t="n"/>
      <c r="D1514" s="64" t="n"/>
      <c r="E1514" s="63" t="n"/>
    </row>
    <row r="1515" ht="18" customHeight="1">
      <c r="A1515" s="62" t="n"/>
      <c r="B1515" s="63" t="n"/>
      <c r="C1515" s="64" t="n"/>
      <c r="D1515" s="64" t="n"/>
      <c r="E1515" s="63" t="n"/>
    </row>
    <row r="1516" ht="18" customHeight="1">
      <c r="A1516" s="62" t="n"/>
      <c r="B1516" s="63" t="n"/>
      <c r="C1516" s="64" t="n"/>
      <c r="D1516" s="64" t="n"/>
      <c r="E1516" s="63" t="n"/>
    </row>
    <row r="1517" ht="18" customHeight="1">
      <c r="A1517" s="62" t="n"/>
      <c r="B1517" s="63" t="n"/>
      <c r="C1517" s="64" t="n"/>
      <c r="D1517" s="64" t="n"/>
      <c r="E1517" s="63" t="n"/>
    </row>
    <row r="1518" ht="18" customHeight="1">
      <c r="A1518" s="62" t="n"/>
      <c r="B1518" s="63" t="n"/>
      <c r="C1518" s="64" t="n"/>
      <c r="D1518" s="64" t="n"/>
      <c r="E1518" s="63" t="n"/>
    </row>
    <row r="1519" ht="18" customHeight="1">
      <c r="A1519" s="62" t="n"/>
      <c r="B1519" s="63" t="n"/>
      <c r="C1519" s="64" t="n"/>
      <c r="D1519" s="64" t="n"/>
      <c r="E1519" s="63" t="n"/>
    </row>
    <row r="1520" ht="18" customHeight="1">
      <c r="A1520" s="62" t="n"/>
      <c r="B1520" s="63" t="n"/>
      <c r="C1520" s="64" t="n"/>
      <c r="D1520" s="64" t="n"/>
      <c r="E1520" s="63" t="n"/>
    </row>
    <row r="1521" ht="18" customHeight="1">
      <c r="A1521" s="62" t="n"/>
      <c r="B1521" s="63" t="n"/>
      <c r="C1521" s="64" t="n"/>
      <c r="D1521" s="64" t="n"/>
      <c r="E1521" s="63" t="n"/>
    </row>
    <row r="1522" ht="18" customHeight="1">
      <c r="A1522" s="62" t="n"/>
      <c r="B1522" s="63" t="n"/>
      <c r="C1522" s="64" t="n"/>
      <c r="D1522" s="64" t="n"/>
      <c r="E1522" s="63" t="n"/>
    </row>
    <row r="1523" ht="18" customHeight="1">
      <c r="A1523" s="62" t="n"/>
      <c r="B1523" s="63" t="n"/>
      <c r="C1523" s="64" t="n"/>
      <c r="D1523" s="64" t="n"/>
      <c r="E1523" s="63" t="n"/>
    </row>
    <row r="1524" ht="18" customHeight="1">
      <c r="A1524" s="62" t="n"/>
      <c r="B1524" s="63" t="n"/>
      <c r="C1524" s="64" t="n"/>
      <c r="D1524" s="64" t="n"/>
      <c r="E1524" s="63" t="n"/>
    </row>
    <row r="1525" ht="18" customHeight="1">
      <c r="A1525" s="62" t="n"/>
      <c r="B1525" s="63" t="n"/>
      <c r="C1525" s="64" t="n"/>
      <c r="D1525" s="64" t="n"/>
      <c r="E1525" s="63" t="n"/>
    </row>
    <row r="1526" ht="18" customHeight="1">
      <c r="A1526" s="62" t="n"/>
      <c r="B1526" s="63" t="n"/>
      <c r="C1526" s="64" t="n"/>
      <c r="D1526" s="64" t="n"/>
      <c r="E1526" s="63" t="n"/>
    </row>
    <row r="1527" ht="18" customHeight="1">
      <c r="A1527" s="62" t="n"/>
      <c r="B1527" s="63" t="n"/>
      <c r="C1527" s="64" t="n"/>
      <c r="D1527" s="64" t="n"/>
      <c r="E1527" s="63" t="n"/>
    </row>
    <row r="1528" ht="18" customHeight="1">
      <c r="A1528" s="62" t="n"/>
      <c r="B1528" s="63" t="n"/>
      <c r="C1528" s="64" t="n"/>
      <c r="D1528" s="64" t="n"/>
      <c r="E1528" s="63" t="n"/>
    </row>
    <row r="1529" ht="18" customHeight="1">
      <c r="A1529" s="62" t="n"/>
      <c r="B1529" s="63" t="n"/>
      <c r="C1529" s="64" t="n"/>
      <c r="D1529" s="64" t="n"/>
      <c r="E1529" s="63" t="n"/>
    </row>
    <row r="1530" ht="18" customHeight="1">
      <c r="A1530" s="62" t="n"/>
      <c r="B1530" s="63" t="n"/>
      <c r="C1530" s="64" t="n"/>
      <c r="D1530" s="64" t="n"/>
      <c r="E1530" s="63" t="n"/>
    </row>
    <row r="1531" ht="18" customHeight="1">
      <c r="A1531" s="62" t="n"/>
      <c r="B1531" s="63" t="n"/>
      <c r="C1531" s="64" t="n"/>
      <c r="D1531" s="64" t="n"/>
      <c r="E1531" s="63" t="n"/>
    </row>
    <row r="1532" ht="18" customHeight="1">
      <c r="A1532" s="62" t="n"/>
      <c r="B1532" s="63" t="n"/>
      <c r="C1532" s="64" t="n"/>
      <c r="D1532" s="64" t="n"/>
      <c r="E1532" s="63" t="n"/>
    </row>
    <row r="1533" ht="18" customHeight="1">
      <c r="A1533" s="62" t="n"/>
      <c r="B1533" s="63" t="n"/>
      <c r="C1533" s="64" t="n"/>
      <c r="D1533" s="64" t="n"/>
      <c r="E1533" s="63" t="n"/>
    </row>
    <row r="1534" ht="18" customHeight="1">
      <c r="A1534" s="62" t="n"/>
      <c r="B1534" s="63" t="n"/>
      <c r="C1534" s="64" t="n"/>
      <c r="D1534" s="64" t="n"/>
      <c r="E1534" s="63" t="n"/>
    </row>
    <row r="1535" ht="18" customHeight="1">
      <c r="A1535" s="62" t="n"/>
      <c r="B1535" s="63" t="n"/>
      <c r="C1535" s="64" t="n"/>
      <c r="D1535" s="64" t="n"/>
      <c r="E1535" s="63" t="n"/>
    </row>
    <row r="1536" ht="18" customHeight="1">
      <c r="A1536" s="62" t="n"/>
      <c r="B1536" s="63" t="n"/>
      <c r="C1536" s="64" t="n"/>
      <c r="D1536" s="64" t="n"/>
      <c r="E1536" s="63" t="n"/>
    </row>
    <row r="1537" ht="18" customHeight="1">
      <c r="A1537" s="62" t="n"/>
      <c r="B1537" s="63" t="n"/>
      <c r="C1537" s="64" t="n"/>
      <c r="D1537" s="64" t="n"/>
      <c r="E1537" s="63" t="n"/>
    </row>
    <row r="1538" ht="18" customHeight="1">
      <c r="A1538" s="62" t="n"/>
      <c r="B1538" s="63" t="n"/>
      <c r="C1538" s="64" t="n"/>
      <c r="D1538" s="64" t="n"/>
      <c r="E1538" s="63" t="n"/>
    </row>
    <row r="1539" ht="18" customHeight="1">
      <c r="A1539" s="62" t="n"/>
      <c r="B1539" s="63" t="n"/>
      <c r="C1539" s="64" t="n"/>
      <c r="D1539" s="64" t="n"/>
      <c r="E1539" s="63" t="n"/>
    </row>
    <row r="1540" ht="18" customHeight="1">
      <c r="A1540" s="62" t="n"/>
      <c r="B1540" s="63" t="n"/>
      <c r="C1540" s="64" t="n"/>
      <c r="D1540" s="64" t="n"/>
      <c r="E1540" s="63" t="n"/>
    </row>
    <row r="1541" ht="18" customHeight="1">
      <c r="A1541" s="62" t="n"/>
      <c r="B1541" s="63" t="n"/>
      <c r="C1541" s="64" t="n"/>
      <c r="D1541" s="64" t="n"/>
      <c r="E1541" s="63" t="n"/>
    </row>
    <row r="1542" ht="18" customHeight="1">
      <c r="A1542" s="62" t="n"/>
      <c r="B1542" s="63" t="n"/>
      <c r="C1542" s="64" t="n"/>
      <c r="D1542" s="64" t="n"/>
      <c r="E1542" s="63" t="n"/>
    </row>
    <row r="1543" ht="18" customHeight="1">
      <c r="A1543" s="62" t="n"/>
      <c r="B1543" s="63" t="n"/>
      <c r="C1543" s="64" t="n"/>
      <c r="D1543" s="64" t="n"/>
      <c r="E1543" s="63" t="n"/>
    </row>
    <row r="1544" ht="18" customHeight="1">
      <c r="A1544" s="62" t="n"/>
      <c r="B1544" s="63" t="n"/>
      <c r="C1544" s="64" t="n"/>
      <c r="D1544" s="64" t="n"/>
      <c r="E1544" s="63" t="n"/>
    </row>
    <row r="1545" ht="18" customHeight="1">
      <c r="A1545" s="62" t="n"/>
      <c r="B1545" s="63" t="n"/>
      <c r="C1545" s="64" t="n"/>
      <c r="D1545" s="64" t="n"/>
      <c r="E1545" s="63" t="n"/>
    </row>
    <row r="1546" ht="18" customHeight="1">
      <c r="A1546" s="62" t="n"/>
      <c r="B1546" s="63" t="n"/>
      <c r="C1546" s="64" t="n"/>
      <c r="D1546" s="64" t="n"/>
      <c r="E1546" s="63" t="n"/>
    </row>
    <row r="1547" ht="18" customHeight="1">
      <c r="A1547" s="62" t="n"/>
      <c r="B1547" s="63" t="n"/>
      <c r="C1547" s="64" t="n"/>
      <c r="D1547" s="64" t="n"/>
      <c r="E1547" s="63" t="n"/>
    </row>
    <row r="1548" ht="18" customHeight="1">
      <c r="A1548" s="62" t="n"/>
      <c r="B1548" s="63" t="n"/>
      <c r="C1548" s="64" t="n"/>
      <c r="D1548" s="64" t="n"/>
      <c r="E1548" s="63" t="n"/>
    </row>
    <row r="1549" ht="18" customHeight="1">
      <c r="A1549" s="62" t="n"/>
      <c r="B1549" s="63" t="n"/>
      <c r="C1549" s="64" t="n"/>
      <c r="D1549" s="64" t="n"/>
      <c r="E1549" s="63" t="n"/>
    </row>
    <row r="1550" ht="18" customHeight="1">
      <c r="A1550" s="62" t="n"/>
      <c r="B1550" s="63" t="n"/>
      <c r="C1550" s="64" t="n"/>
      <c r="D1550" s="64" t="n"/>
      <c r="E1550" s="63" t="n"/>
    </row>
    <row r="1551" ht="18" customHeight="1">
      <c r="A1551" s="62" t="n"/>
      <c r="B1551" s="63" t="n"/>
      <c r="C1551" s="64" t="n"/>
      <c r="D1551" s="64" t="n"/>
      <c r="E1551" s="63" t="n"/>
    </row>
    <row r="1552" ht="18" customHeight="1">
      <c r="A1552" s="62" t="n"/>
      <c r="B1552" s="63" t="n"/>
      <c r="C1552" s="64" t="n"/>
      <c r="D1552" s="64" t="n"/>
      <c r="E1552" s="63" t="n"/>
    </row>
    <row r="1553" ht="18" customHeight="1">
      <c r="A1553" s="62" t="n"/>
      <c r="B1553" s="63" t="n"/>
      <c r="C1553" s="64" t="n"/>
      <c r="D1553" s="64" t="n"/>
      <c r="E1553" s="63" t="n"/>
    </row>
    <row r="1554" ht="18" customHeight="1">
      <c r="A1554" s="62" t="n"/>
      <c r="B1554" s="63" t="n"/>
      <c r="C1554" s="64" t="n"/>
      <c r="D1554" s="64" t="n"/>
      <c r="E1554" s="63" t="n"/>
    </row>
    <row r="1555" ht="18" customHeight="1">
      <c r="A1555" s="62" t="n"/>
      <c r="B1555" s="63" t="n"/>
      <c r="C1555" s="64" t="n"/>
      <c r="D1555" s="64" t="n"/>
      <c r="E1555" s="63" t="n"/>
    </row>
    <row r="1556" ht="18" customHeight="1">
      <c r="A1556" s="62" t="n"/>
      <c r="B1556" s="63" t="n"/>
      <c r="C1556" s="64" t="n"/>
      <c r="D1556" s="64" t="n"/>
      <c r="E1556" s="63" t="n"/>
    </row>
    <row r="1557" ht="18" customHeight="1">
      <c r="A1557" s="62" t="n"/>
      <c r="B1557" s="63" t="n"/>
      <c r="C1557" s="64" t="n"/>
      <c r="D1557" s="64" t="n"/>
      <c r="E1557" s="63" t="n"/>
    </row>
    <row r="1558" ht="18" customHeight="1">
      <c r="A1558" s="62" t="n"/>
      <c r="B1558" s="63" t="n"/>
      <c r="C1558" s="64" t="n"/>
      <c r="D1558" s="64" t="n"/>
      <c r="E1558" s="63" t="n"/>
    </row>
    <row r="1559" ht="18" customHeight="1">
      <c r="A1559" s="62" t="n"/>
      <c r="B1559" s="63" t="n"/>
      <c r="C1559" s="64" t="n"/>
      <c r="D1559" s="64" t="n"/>
      <c r="E1559" s="63" t="n"/>
    </row>
    <row r="1560" ht="18" customHeight="1">
      <c r="A1560" s="62" t="n"/>
      <c r="B1560" s="63" t="n"/>
      <c r="C1560" s="64" t="n"/>
      <c r="D1560" s="64" t="n"/>
      <c r="E1560" s="63" t="n"/>
    </row>
    <row r="1561" ht="18" customHeight="1">
      <c r="A1561" s="62" t="n"/>
      <c r="B1561" s="63" t="n"/>
      <c r="C1561" s="64" t="n"/>
      <c r="D1561" s="64" t="n"/>
      <c r="E1561" s="63" t="n"/>
    </row>
    <row r="1562" ht="18" customHeight="1">
      <c r="A1562" s="62" t="n"/>
      <c r="B1562" s="63" t="n"/>
      <c r="C1562" s="64" t="n"/>
      <c r="D1562" s="64" t="n"/>
      <c r="E1562" s="63" t="n"/>
    </row>
    <row r="1563" ht="18" customHeight="1">
      <c r="A1563" s="62" t="n"/>
      <c r="B1563" s="63" t="n"/>
      <c r="C1563" s="64" t="n"/>
      <c r="D1563" s="64" t="n"/>
      <c r="E1563" s="63" t="n"/>
    </row>
    <row r="1564" ht="18" customHeight="1">
      <c r="A1564" s="62" t="n"/>
      <c r="B1564" s="63" t="n"/>
      <c r="C1564" s="64" t="n"/>
      <c r="D1564" s="64" t="n"/>
      <c r="E1564" s="63" t="n"/>
    </row>
    <row r="1565" ht="18" customHeight="1">
      <c r="A1565" s="62" t="n"/>
      <c r="B1565" s="63" t="n"/>
      <c r="C1565" s="64" t="n"/>
      <c r="D1565" s="64" t="n"/>
      <c r="E1565" s="63" t="n"/>
    </row>
    <row r="1566" ht="18" customHeight="1">
      <c r="A1566" s="62" t="n"/>
      <c r="B1566" s="63" t="n"/>
      <c r="C1566" s="64" t="n"/>
      <c r="D1566" s="64" t="n"/>
      <c r="E1566" s="63" t="n"/>
    </row>
    <row r="1567" ht="18" customHeight="1">
      <c r="A1567" s="62" t="n"/>
      <c r="B1567" s="63" t="n"/>
      <c r="C1567" s="64" t="n"/>
      <c r="D1567" s="64" t="n"/>
      <c r="E1567" s="63" t="n"/>
    </row>
    <row r="1568" ht="18" customHeight="1">
      <c r="A1568" s="62" t="n"/>
      <c r="B1568" s="63" t="n"/>
      <c r="C1568" s="64" t="n"/>
      <c r="D1568" s="64" t="n"/>
      <c r="E1568" s="63" t="n"/>
    </row>
    <row r="1569" ht="18" customHeight="1">
      <c r="A1569" s="62" t="n"/>
      <c r="B1569" s="63" t="n"/>
      <c r="C1569" s="64" t="n"/>
      <c r="D1569" s="64" t="n"/>
      <c r="E1569" s="63" t="n"/>
    </row>
    <row r="1570" ht="18" customHeight="1">
      <c r="A1570" s="62" t="n"/>
      <c r="B1570" s="63" t="n"/>
      <c r="C1570" s="64" t="n"/>
      <c r="D1570" s="64" t="n"/>
      <c r="E1570" s="63" t="n"/>
    </row>
    <row r="1571" ht="18" customHeight="1">
      <c r="A1571" s="62" t="n"/>
      <c r="B1571" s="63" t="n"/>
      <c r="C1571" s="64" t="n"/>
      <c r="D1571" s="64" t="n"/>
      <c r="E1571" s="63" t="n"/>
    </row>
    <row r="1572" ht="18" customHeight="1">
      <c r="A1572" s="62" t="n"/>
      <c r="B1572" s="63" t="n"/>
      <c r="C1572" s="64" t="n"/>
      <c r="D1572" s="64" t="n"/>
      <c r="E1572" s="63" t="n"/>
    </row>
    <row r="1573" ht="18" customHeight="1">
      <c r="A1573" s="62" t="n"/>
      <c r="B1573" s="63" t="n"/>
      <c r="C1573" s="64" t="n"/>
      <c r="D1573" s="64" t="n"/>
      <c r="E1573" s="63" t="n"/>
    </row>
    <row r="1574" ht="18" customHeight="1">
      <c r="A1574" s="62" t="n"/>
      <c r="B1574" s="63" t="n"/>
      <c r="C1574" s="64" t="n"/>
      <c r="D1574" s="64" t="n"/>
      <c r="E1574" s="63" t="n"/>
    </row>
    <row r="1575" ht="18" customHeight="1">
      <c r="A1575" s="62" t="n"/>
      <c r="B1575" s="63" t="n"/>
      <c r="C1575" s="64" t="n"/>
      <c r="D1575" s="64" t="n"/>
      <c r="E1575" s="63" t="n"/>
    </row>
    <row r="1576" ht="18" customHeight="1">
      <c r="A1576" s="62" t="n"/>
      <c r="B1576" s="63" t="n"/>
      <c r="C1576" s="64" t="n"/>
      <c r="D1576" s="64" t="n"/>
      <c r="E1576" s="63" t="n"/>
    </row>
    <row r="1577" ht="18" customHeight="1">
      <c r="A1577" s="62" t="n"/>
      <c r="B1577" s="63" t="n"/>
      <c r="C1577" s="64" t="n"/>
      <c r="D1577" s="64" t="n"/>
      <c r="E1577" s="63" t="n"/>
    </row>
    <row r="1578" ht="18" customHeight="1">
      <c r="A1578" s="62" t="n"/>
      <c r="B1578" s="63" t="n"/>
      <c r="C1578" s="64" t="n"/>
      <c r="D1578" s="64" t="n"/>
      <c r="E1578" s="63" t="n"/>
    </row>
    <row r="1579" ht="18" customHeight="1">
      <c r="A1579" s="62" t="n"/>
      <c r="B1579" s="63" t="n"/>
      <c r="C1579" s="64" t="n"/>
      <c r="D1579" s="64" t="n"/>
      <c r="E1579" s="63" t="n"/>
    </row>
    <row r="1580" ht="18" customHeight="1">
      <c r="A1580" s="62" t="n"/>
      <c r="B1580" s="63" t="n"/>
      <c r="C1580" s="64" t="n"/>
      <c r="D1580" s="64" t="n"/>
      <c r="E1580" s="63" t="n"/>
    </row>
    <row r="1581" ht="18" customHeight="1">
      <c r="A1581" s="62" t="n"/>
      <c r="B1581" s="63" t="n"/>
      <c r="C1581" s="64" t="n"/>
      <c r="D1581" s="64" t="n"/>
      <c r="E1581" s="63" t="n"/>
    </row>
    <row r="1582" ht="18" customHeight="1">
      <c r="A1582" s="62" t="n"/>
      <c r="B1582" s="63" t="n"/>
      <c r="C1582" s="64" t="n"/>
      <c r="D1582" s="64" t="n"/>
      <c r="E1582" s="63" t="n"/>
    </row>
    <row r="1583" ht="18" customHeight="1">
      <c r="A1583" s="62" t="n"/>
      <c r="B1583" s="63" t="n"/>
      <c r="C1583" s="64" t="n"/>
      <c r="D1583" s="64" t="n"/>
      <c r="E1583" s="63" t="n"/>
    </row>
    <row r="1584" ht="18" customHeight="1">
      <c r="A1584" s="62" t="n"/>
      <c r="B1584" s="63" t="n"/>
      <c r="C1584" s="64" t="n"/>
      <c r="D1584" s="64" t="n"/>
      <c r="E1584" s="63" t="n"/>
    </row>
    <row r="1585" ht="18" customHeight="1">
      <c r="A1585" s="62" t="n"/>
      <c r="B1585" s="63" t="n"/>
      <c r="C1585" s="64" t="n"/>
      <c r="D1585" s="64" t="n"/>
      <c r="E1585" s="63" t="n"/>
    </row>
    <row r="1586" ht="18" customHeight="1">
      <c r="A1586" s="62" t="n"/>
      <c r="B1586" s="63" t="n"/>
      <c r="C1586" s="64" t="n"/>
      <c r="D1586" s="64" t="n"/>
      <c r="E1586" s="63" t="n"/>
    </row>
    <row r="1587" ht="18" customHeight="1">
      <c r="A1587" s="62" t="n"/>
      <c r="B1587" s="63" t="n"/>
      <c r="C1587" s="64" t="n"/>
      <c r="D1587" s="64" t="n"/>
      <c r="E1587" s="63" t="n"/>
    </row>
    <row r="1588" ht="18" customHeight="1">
      <c r="A1588" s="62" t="n"/>
      <c r="B1588" s="63" t="n"/>
      <c r="C1588" s="64" t="n"/>
      <c r="D1588" s="64" t="n"/>
      <c r="E1588" s="63" t="n"/>
    </row>
    <row r="1589" ht="18" customHeight="1">
      <c r="A1589" s="62" t="n"/>
      <c r="B1589" s="63" t="n"/>
      <c r="C1589" s="64" t="n"/>
      <c r="D1589" s="64" t="n"/>
      <c r="E1589" s="63" t="n"/>
    </row>
    <row r="1590" ht="18" customHeight="1">
      <c r="A1590" s="62" t="n"/>
      <c r="B1590" s="63" t="n"/>
      <c r="C1590" s="64" t="n"/>
      <c r="D1590" s="64" t="n"/>
      <c r="E1590" s="63" t="n"/>
    </row>
    <row r="1591" ht="18" customHeight="1">
      <c r="A1591" s="62" t="n"/>
      <c r="B1591" s="63" t="n"/>
      <c r="C1591" s="64" t="n"/>
      <c r="D1591" s="64" t="n"/>
      <c r="E1591" s="63" t="n"/>
    </row>
    <row r="1592" ht="18" customHeight="1">
      <c r="A1592" s="62" t="n"/>
      <c r="B1592" s="63" t="n"/>
      <c r="C1592" s="64" t="n"/>
      <c r="D1592" s="64" t="n"/>
      <c r="E1592" s="63" t="n"/>
    </row>
    <row r="1593" ht="18" customHeight="1">
      <c r="A1593" s="62" t="n"/>
      <c r="B1593" s="63" t="n"/>
      <c r="C1593" s="64" t="n"/>
      <c r="D1593" s="64" t="n"/>
      <c r="E1593" s="63" t="n"/>
    </row>
    <row r="1594" ht="18" customHeight="1">
      <c r="A1594" s="62" t="n"/>
      <c r="B1594" s="63" t="n"/>
      <c r="C1594" s="64" t="n"/>
      <c r="D1594" s="64" t="n"/>
      <c r="E1594" s="63" t="n"/>
    </row>
    <row r="1595" ht="18" customHeight="1">
      <c r="A1595" s="62" t="n"/>
      <c r="B1595" s="63" t="n"/>
      <c r="C1595" s="64" t="n"/>
      <c r="D1595" s="64" t="n"/>
      <c r="E1595" s="63" t="n"/>
    </row>
    <row r="1596" ht="18" customHeight="1">
      <c r="A1596" s="62" t="n"/>
      <c r="B1596" s="63" t="n"/>
      <c r="C1596" s="64" t="n"/>
      <c r="D1596" s="64" t="n"/>
      <c r="E1596" s="63" t="n"/>
    </row>
    <row r="1597" ht="18" customHeight="1">
      <c r="A1597" s="62" t="n"/>
      <c r="B1597" s="63" t="n"/>
      <c r="C1597" s="64" t="n"/>
      <c r="D1597" s="64" t="n"/>
      <c r="E1597" s="63" t="n"/>
    </row>
    <row r="1598" ht="18" customHeight="1">
      <c r="A1598" s="62" t="n"/>
      <c r="B1598" s="63" t="n"/>
      <c r="C1598" s="64" t="n"/>
      <c r="D1598" s="64" t="n"/>
      <c r="E1598" s="63" t="n"/>
    </row>
    <row r="1599" ht="18" customHeight="1">
      <c r="A1599" s="62" t="n"/>
      <c r="B1599" s="63" t="n"/>
      <c r="C1599" s="64" t="n"/>
      <c r="D1599" s="64" t="n"/>
      <c r="E1599" s="63" t="n"/>
    </row>
    <row r="1600" ht="18" customHeight="1">
      <c r="A1600" s="62" t="n"/>
      <c r="B1600" s="63" t="n"/>
      <c r="C1600" s="64" t="n"/>
      <c r="D1600" s="64" t="n"/>
      <c r="E1600" s="63" t="n"/>
    </row>
    <row r="1601" ht="18" customHeight="1">
      <c r="A1601" s="62" t="n"/>
      <c r="B1601" s="63" t="n"/>
      <c r="C1601" s="64" t="n"/>
      <c r="D1601" s="64" t="n"/>
      <c r="E1601" s="63" t="n"/>
    </row>
    <row r="1602" ht="18" customHeight="1">
      <c r="A1602" s="62" t="n"/>
      <c r="B1602" s="63" t="n"/>
      <c r="C1602" s="64" t="n"/>
      <c r="D1602" s="64" t="n"/>
      <c r="E1602" s="63" t="n"/>
    </row>
    <row r="1603" ht="18" customHeight="1">
      <c r="A1603" s="62" t="n"/>
      <c r="B1603" s="63" t="n"/>
      <c r="C1603" s="64" t="n"/>
      <c r="D1603" s="64" t="n"/>
      <c r="E1603" s="63" t="n"/>
    </row>
    <row r="1604" ht="18" customHeight="1">
      <c r="A1604" s="62" t="n"/>
      <c r="B1604" s="63" t="n"/>
      <c r="C1604" s="64" t="n"/>
      <c r="D1604" s="64" t="n"/>
      <c r="E1604" s="63" t="n"/>
    </row>
    <row r="1605" ht="18" customHeight="1">
      <c r="A1605" s="62" t="n"/>
      <c r="B1605" s="63" t="n"/>
      <c r="C1605" s="64" t="n"/>
      <c r="D1605" s="64" t="n"/>
      <c r="E1605" s="63" t="n"/>
    </row>
    <row r="1606" ht="18" customHeight="1">
      <c r="A1606" s="62" t="n"/>
      <c r="B1606" s="63" t="n"/>
      <c r="C1606" s="64" t="n"/>
      <c r="D1606" s="64" t="n"/>
      <c r="E1606" s="63" t="n"/>
    </row>
    <row r="1607" ht="18" customHeight="1">
      <c r="A1607" s="62" t="n"/>
      <c r="B1607" s="63" t="n"/>
      <c r="C1607" s="64" t="n"/>
      <c r="D1607" s="64" t="n"/>
      <c r="E1607" s="63" t="n"/>
    </row>
    <row r="1608" ht="18" customHeight="1">
      <c r="A1608" s="62" t="n"/>
      <c r="B1608" s="63" t="n"/>
      <c r="C1608" s="64" t="n"/>
      <c r="D1608" s="64" t="n"/>
      <c r="E1608" s="63" t="n"/>
    </row>
    <row r="1609" ht="18" customHeight="1">
      <c r="A1609" s="62" t="n"/>
      <c r="B1609" s="63" t="n"/>
      <c r="C1609" s="64" t="n"/>
      <c r="D1609" s="64" t="n"/>
      <c r="E1609" s="63" t="n"/>
    </row>
    <row r="1610" ht="18" customHeight="1">
      <c r="A1610" s="62" t="n"/>
      <c r="B1610" s="63" t="n"/>
      <c r="C1610" s="64" t="n"/>
      <c r="D1610" s="64" t="n"/>
      <c r="E1610" s="63" t="n"/>
    </row>
    <row r="1611" ht="18" customHeight="1">
      <c r="A1611" s="62" t="n"/>
      <c r="B1611" s="63" t="n"/>
      <c r="C1611" s="64" t="n"/>
      <c r="D1611" s="64" t="n"/>
      <c r="E1611" s="63" t="n"/>
    </row>
    <row r="1612" ht="18" customHeight="1">
      <c r="A1612" s="62" t="n"/>
      <c r="B1612" s="63" t="n"/>
      <c r="C1612" s="64" t="n"/>
      <c r="D1612" s="64" t="n"/>
      <c r="E1612" s="63" t="n"/>
    </row>
    <row r="1613" ht="18" customHeight="1">
      <c r="A1613" s="62" t="n"/>
      <c r="B1613" s="63" t="n"/>
      <c r="C1613" s="64" t="n"/>
      <c r="D1613" s="64" t="n"/>
      <c r="E1613" s="63" t="n"/>
    </row>
    <row r="1614" ht="18" customHeight="1">
      <c r="A1614" s="62" t="n"/>
      <c r="B1614" s="63" t="n"/>
      <c r="C1614" s="64" t="n"/>
      <c r="D1614" s="64" t="n"/>
      <c r="E1614" s="63" t="n"/>
    </row>
    <row r="1615" ht="18" customHeight="1">
      <c r="A1615" s="62" t="n"/>
      <c r="B1615" s="63" t="n"/>
      <c r="C1615" s="64" t="n"/>
      <c r="D1615" s="64" t="n"/>
      <c r="E1615" s="63" t="n"/>
    </row>
    <row r="1616" ht="18" customHeight="1">
      <c r="A1616" s="62" t="n"/>
      <c r="B1616" s="63" t="n"/>
      <c r="C1616" s="64" t="n"/>
      <c r="D1616" s="64" t="n"/>
      <c r="E1616" s="63" t="n"/>
    </row>
    <row r="1617" ht="18" customHeight="1">
      <c r="A1617" s="62" t="n"/>
      <c r="B1617" s="63" t="n"/>
      <c r="C1617" s="64" t="n"/>
      <c r="D1617" s="64" t="n"/>
      <c r="E1617" s="63" t="n"/>
    </row>
    <row r="1618" ht="18" customHeight="1">
      <c r="A1618" s="62" t="n"/>
      <c r="B1618" s="63" t="n"/>
      <c r="C1618" s="64" t="n"/>
      <c r="D1618" s="64" t="n"/>
      <c r="E1618" s="63" t="n"/>
    </row>
    <row r="1619" ht="18" customHeight="1">
      <c r="A1619" s="62" t="n"/>
      <c r="B1619" s="63" t="n"/>
      <c r="C1619" s="64" t="n"/>
      <c r="D1619" s="64" t="n"/>
      <c r="E1619" s="63" t="n"/>
    </row>
    <row r="1620" ht="18" customHeight="1">
      <c r="A1620" s="62" t="n"/>
      <c r="B1620" s="63" t="n"/>
      <c r="C1620" s="64" t="n"/>
      <c r="D1620" s="64" t="n"/>
      <c r="E1620" s="63" t="n"/>
    </row>
    <row r="1621" ht="18" customHeight="1">
      <c r="A1621" s="62" t="n"/>
      <c r="B1621" s="63" t="n"/>
      <c r="C1621" s="64" t="n"/>
      <c r="D1621" s="64" t="n"/>
      <c r="E1621" s="63" t="n"/>
    </row>
    <row r="1622" ht="18" customHeight="1">
      <c r="A1622" s="62" t="n"/>
      <c r="B1622" s="63" t="n"/>
      <c r="C1622" s="64" t="n"/>
      <c r="D1622" s="64" t="n"/>
      <c r="E1622" s="63" t="n"/>
    </row>
    <row r="1623" ht="18" customHeight="1">
      <c r="A1623" s="62" t="n"/>
      <c r="B1623" s="63" t="n"/>
      <c r="C1623" s="64" t="n"/>
      <c r="D1623" s="64" t="n"/>
      <c r="E1623" s="63" t="n"/>
    </row>
    <row r="1624" ht="18" customHeight="1">
      <c r="A1624" s="62" t="n"/>
      <c r="B1624" s="63" t="n"/>
      <c r="C1624" s="64" t="n"/>
      <c r="D1624" s="64" t="n"/>
      <c r="E1624" s="63" t="n"/>
    </row>
    <row r="1625" ht="18" customHeight="1">
      <c r="A1625" s="62" t="n"/>
      <c r="B1625" s="63" t="n"/>
      <c r="C1625" s="64" t="n"/>
      <c r="D1625" s="64" t="n"/>
      <c r="E1625" s="63" t="n"/>
    </row>
    <row r="1626" ht="18" customHeight="1">
      <c r="A1626" s="62" t="n"/>
      <c r="B1626" s="63" t="n"/>
      <c r="C1626" s="64" t="n"/>
      <c r="D1626" s="64" t="n"/>
      <c r="E1626" s="63" t="n"/>
    </row>
    <row r="1627" ht="18" customHeight="1">
      <c r="A1627" s="62" t="n"/>
      <c r="B1627" s="63" t="n"/>
      <c r="C1627" s="64" t="n"/>
      <c r="D1627" s="64" t="n"/>
      <c r="E1627" s="63" t="n"/>
    </row>
    <row r="1628" ht="18" customHeight="1">
      <c r="A1628" s="62" t="n"/>
      <c r="B1628" s="63" t="n"/>
      <c r="C1628" s="64" t="n"/>
      <c r="D1628" s="64" t="n"/>
      <c r="E1628" s="63" t="n"/>
    </row>
    <row r="1629" ht="18" customHeight="1">
      <c r="A1629" s="62" t="n"/>
      <c r="B1629" s="63" t="n"/>
      <c r="C1629" s="64" t="n"/>
      <c r="D1629" s="64" t="n"/>
      <c r="E1629" s="63" t="n"/>
    </row>
    <row r="1630" ht="18" customHeight="1">
      <c r="A1630" s="62" t="n"/>
      <c r="B1630" s="63" t="n"/>
      <c r="C1630" s="64" t="n"/>
      <c r="D1630" s="64" t="n"/>
      <c r="E1630" s="63" t="n"/>
    </row>
    <row r="1631" ht="18" customHeight="1">
      <c r="A1631" s="62" t="n"/>
      <c r="B1631" s="63" t="n"/>
      <c r="C1631" s="64" t="n"/>
      <c r="D1631" s="64" t="n"/>
      <c r="E1631" s="63" t="n"/>
    </row>
    <row r="1632" ht="18" customHeight="1">
      <c r="A1632" s="62" t="n"/>
      <c r="B1632" s="63" t="n"/>
      <c r="C1632" s="64" t="n"/>
      <c r="D1632" s="64" t="n"/>
      <c r="E1632" s="63" t="n"/>
    </row>
    <row r="1633" ht="18" customHeight="1">
      <c r="A1633" s="62" t="n"/>
      <c r="B1633" s="63" t="n"/>
      <c r="C1633" s="64" t="n"/>
      <c r="D1633" s="64" t="n"/>
      <c r="E1633" s="63" t="n"/>
    </row>
    <row r="1634" ht="18" customHeight="1">
      <c r="A1634" s="62" t="n"/>
      <c r="B1634" s="63" t="n"/>
      <c r="C1634" s="64" t="n"/>
      <c r="D1634" s="64" t="n"/>
      <c r="E1634" s="63" t="n"/>
    </row>
    <row r="1635" ht="18" customHeight="1">
      <c r="A1635" s="62" t="n"/>
      <c r="B1635" s="63" t="n"/>
      <c r="C1635" s="64" t="n"/>
      <c r="D1635" s="64" t="n"/>
      <c r="E1635" s="63" t="n"/>
    </row>
    <row r="1636" ht="18" customHeight="1">
      <c r="A1636" s="62" t="n"/>
      <c r="B1636" s="63" t="n"/>
      <c r="C1636" s="64" t="n"/>
      <c r="D1636" s="64" t="n"/>
      <c r="E1636" s="63" t="n"/>
    </row>
    <row r="1637" ht="18" customHeight="1">
      <c r="A1637" s="62" t="n"/>
      <c r="B1637" s="63" t="n"/>
      <c r="C1637" s="64" t="n"/>
      <c r="D1637" s="64" t="n"/>
      <c r="E1637" s="63" t="n"/>
    </row>
    <row r="1638" ht="18" customHeight="1">
      <c r="A1638" s="62" t="n"/>
      <c r="B1638" s="63" t="n"/>
      <c r="C1638" s="64" t="n"/>
      <c r="D1638" s="64" t="n"/>
      <c r="E1638" s="63" t="n"/>
    </row>
    <row r="1639" ht="18" customHeight="1">
      <c r="A1639" s="62" t="n"/>
      <c r="B1639" s="63" t="n"/>
      <c r="C1639" s="64" t="n"/>
      <c r="D1639" s="64" t="n"/>
      <c r="E1639" s="63" t="n"/>
    </row>
    <row r="1640" ht="18" customHeight="1">
      <c r="A1640" s="62" t="n"/>
      <c r="B1640" s="63" t="n"/>
      <c r="C1640" s="64" t="n"/>
      <c r="D1640" s="64" t="n"/>
      <c r="E1640" s="63" t="n"/>
    </row>
    <row r="1641" ht="18" customHeight="1">
      <c r="A1641" s="62" t="n"/>
      <c r="B1641" s="63" t="n"/>
      <c r="C1641" s="64" t="n"/>
      <c r="D1641" s="64" t="n"/>
      <c r="E1641" s="63" t="n"/>
    </row>
    <row r="1642" ht="18" customHeight="1">
      <c r="A1642" s="62" t="n"/>
      <c r="B1642" s="63" t="n"/>
      <c r="C1642" s="64" t="n"/>
      <c r="D1642" s="64" t="n"/>
      <c r="E1642" s="63" t="n"/>
    </row>
    <row r="1643" ht="18" customHeight="1">
      <c r="A1643" s="62" t="n"/>
      <c r="B1643" s="63" t="n"/>
      <c r="C1643" s="64" t="n"/>
      <c r="D1643" s="64" t="n"/>
      <c r="E1643" s="63" t="n"/>
    </row>
    <row r="1644" ht="18" customHeight="1">
      <c r="A1644" s="62" t="n"/>
      <c r="B1644" s="63" t="n"/>
      <c r="C1644" s="64" t="n"/>
      <c r="D1644" s="64" t="n"/>
      <c r="E1644" s="63" t="n"/>
    </row>
    <row r="1645" ht="18" customHeight="1">
      <c r="A1645" s="62" t="n"/>
      <c r="B1645" s="63" t="n"/>
      <c r="C1645" s="64" t="n"/>
      <c r="D1645" s="64" t="n"/>
      <c r="E1645" s="63" t="n"/>
    </row>
    <row r="1646" ht="18" customHeight="1">
      <c r="A1646" s="62" t="n"/>
      <c r="B1646" s="63" t="n"/>
      <c r="C1646" s="64" t="n"/>
      <c r="D1646" s="64" t="n"/>
      <c r="E1646" s="63" t="n"/>
    </row>
    <row r="1647" ht="18" customHeight="1">
      <c r="A1647" s="62" t="n"/>
      <c r="B1647" s="63" t="n"/>
      <c r="C1647" s="64" t="n"/>
      <c r="D1647" s="64" t="n"/>
      <c r="E1647" s="63" t="n"/>
    </row>
    <row r="1648" ht="18" customHeight="1">
      <c r="A1648" s="62" t="n"/>
      <c r="B1648" s="63" t="n"/>
      <c r="C1648" s="64" t="n"/>
      <c r="D1648" s="64" t="n"/>
      <c r="E1648" s="63" t="n"/>
    </row>
    <row r="1649" ht="18" customHeight="1">
      <c r="A1649" s="62" t="n"/>
      <c r="B1649" s="63" t="n"/>
      <c r="C1649" s="64" t="n"/>
      <c r="D1649" s="64" t="n"/>
      <c r="E1649" s="63" t="n"/>
    </row>
    <row r="1650" ht="18" customHeight="1">
      <c r="A1650" s="62" t="n"/>
      <c r="B1650" s="63" t="n"/>
      <c r="C1650" s="64" t="n"/>
      <c r="D1650" s="64" t="n"/>
      <c r="E1650" s="63" t="n"/>
    </row>
    <row r="1651" ht="18" customHeight="1">
      <c r="A1651" s="62" t="n"/>
      <c r="B1651" s="63" t="n"/>
      <c r="C1651" s="64" t="n"/>
      <c r="D1651" s="64" t="n"/>
      <c r="E1651" s="63" t="n"/>
    </row>
    <row r="1652" ht="18" customHeight="1">
      <c r="A1652" s="62" t="n"/>
      <c r="B1652" s="63" t="n"/>
      <c r="C1652" s="64" t="n"/>
      <c r="D1652" s="64" t="n"/>
      <c r="E1652" s="63" t="n"/>
    </row>
    <row r="1653" ht="18" customHeight="1">
      <c r="A1653" s="62" t="n"/>
      <c r="B1653" s="63" t="n"/>
      <c r="C1653" s="64" t="n"/>
      <c r="D1653" s="64" t="n"/>
      <c r="E1653" s="63" t="n"/>
    </row>
    <row r="1654" ht="18" customHeight="1">
      <c r="A1654" s="62" t="n"/>
      <c r="B1654" s="63" t="n"/>
      <c r="C1654" s="64" t="n"/>
      <c r="D1654" s="64" t="n"/>
      <c r="E1654" s="63" t="n"/>
    </row>
    <row r="1655" ht="18" customHeight="1">
      <c r="A1655" s="62" t="n"/>
      <c r="B1655" s="63" t="n"/>
      <c r="C1655" s="64" t="n"/>
      <c r="D1655" s="64" t="n"/>
      <c r="E1655" s="63" t="n"/>
    </row>
    <row r="1656" ht="18" customHeight="1">
      <c r="A1656" s="62" t="n"/>
      <c r="B1656" s="63" t="n"/>
      <c r="C1656" s="64" t="n"/>
      <c r="D1656" s="64" t="n"/>
      <c r="E1656" s="63" t="n"/>
    </row>
    <row r="1657" ht="18" customHeight="1">
      <c r="A1657" s="62" t="n"/>
      <c r="B1657" s="63" t="n"/>
      <c r="C1657" s="64" t="n"/>
      <c r="D1657" s="64" t="n"/>
      <c r="E1657" s="63" t="n"/>
    </row>
    <row r="1658" ht="18" customHeight="1">
      <c r="A1658" s="62" t="n"/>
      <c r="B1658" s="63" t="n"/>
      <c r="C1658" s="64" t="n"/>
      <c r="D1658" s="64" t="n"/>
      <c r="E1658" s="63" t="n"/>
    </row>
    <row r="1659" ht="18" customHeight="1">
      <c r="A1659" s="62" t="n"/>
      <c r="B1659" s="63" t="n"/>
      <c r="C1659" s="64" t="n"/>
      <c r="D1659" s="64" t="n"/>
      <c r="E1659" s="63" t="n"/>
    </row>
    <row r="1660" ht="18" customHeight="1">
      <c r="A1660" s="62" t="n"/>
      <c r="B1660" s="63" t="n"/>
      <c r="C1660" s="64" t="n"/>
      <c r="D1660" s="64" t="n"/>
      <c r="E1660" s="63" t="n"/>
    </row>
    <row r="1661" ht="18" customHeight="1">
      <c r="A1661" s="62" t="n"/>
      <c r="B1661" s="63" t="n"/>
      <c r="C1661" s="64" t="n"/>
      <c r="D1661" s="64" t="n"/>
      <c r="E1661" s="63" t="n"/>
    </row>
    <row r="1662" ht="18" customHeight="1">
      <c r="A1662" s="62" t="n"/>
      <c r="B1662" s="63" t="n"/>
      <c r="C1662" s="64" t="n"/>
      <c r="D1662" s="64" t="n"/>
      <c r="E1662" s="63" t="n"/>
    </row>
    <row r="1663" ht="18" customHeight="1">
      <c r="A1663" s="62" t="n"/>
      <c r="B1663" s="63" t="n"/>
      <c r="C1663" s="64" t="n"/>
      <c r="D1663" s="64" t="n"/>
      <c r="E1663" s="63" t="n"/>
    </row>
    <row r="1664" ht="18" customHeight="1">
      <c r="A1664" s="62" t="n"/>
      <c r="B1664" s="63" t="n"/>
      <c r="C1664" s="64" t="n"/>
      <c r="D1664" s="64" t="n"/>
      <c r="E1664" s="63" t="n"/>
    </row>
    <row r="1665" ht="18" customHeight="1">
      <c r="A1665" s="62" t="n"/>
      <c r="B1665" s="63" t="n"/>
      <c r="C1665" s="64" t="n"/>
      <c r="D1665" s="64" t="n"/>
      <c r="E1665" s="63" t="n"/>
    </row>
    <row r="1666" ht="18" customHeight="1">
      <c r="A1666" s="62" t="n"/>
      <c r="B1666" s="63" t="n"/>
      <c r="C1666" s="64" t="n"/>
      <c r="D1666" s="64" t="n"/>
      <c r="E1666" s="63" t="n"/>
    </row>
    <row r="1667" ht="18" customHeight="1">
      <c r="A1667" s="62" t="n"/>
      <c r="B1667" s="63" t="n"/>
      <c r="C1667" s="64" t="n"/>
      <c r="D1667" s="64" t="n"/>
      <c r="E1667" s="63" t="n"/>
    </row>
    <row r="1668" ht="18" customHeight="1">
      <c r="A1668" s="62" t="n"/>
      <c r="B1668" s="63" t="n"/>
      <c r="C1668" s="64" t="n"/>
      <c r="D1668" s="64" t="n"/>
      <c r="E1668" s="63" t="n"/>
    </row>
    <row r="1669" ht="18" customHeight="1">
      <c r="A1669" s="62" t="n"/>
      <c r="B1669" s="63" t="n"/>
      <c r="C1669" s="64" t="n"/>
      <c r="D1669" s="64" t="n"/>
      <c r="E1669" s="63" t="n"/>
    </row>
    <row r="1670" ht="18" customHeight="1">
      <c r="A1670" s="62" t="n"/>
      <c r="B1670" s="63" t="n"/>
      <c r="C1670" s="64" t="n"/>
      <c r="D1670" s="64" t="n"/>
      <c r="E1670" s="63" t="n"/>
    </row>
    <row r="1671" ht="18" customHeight="1">
      <c r="A1671" s="62" t="n"/>
      <c r="B1671" s="63" t="n"/>
      <c r="C1671" s="64" t="n"/>
      <c r="D1671" s="64" t="n"/>
      <c r="E1671" s="63" t="n"/>
    </row>
    <row r="1672" ht="18" customHeight="1">
      <c r="A1672" s="62" t="n"/>
      <c r="B1672" s="63" t="n"/>
      <c r="C1672" s="64" t="n"/>
      <c r="D1672" s="64" t="n"/>
      <c r="E1672" s="63" t="n"/>
    </row>
    <row r="1673" ht="18" customHeight="1">
      <c r="A1673" s="62" t="n"/>
      <c r="B1673" s="63" t="n"/>
      <c r="C1673" s="64" t="n"/>
      <c r="D1673" s="64" t="n"/>
      <c r="E1673" s="63" t="n"/>
    </row>
    <row r="1674" ht="18" customHeight="1">
      <c r="A1674" s="62" t="n"/>
      <c r="B1674" s="63" t="n"/>
      <c r="C1674" s="64" t="n"/>
      <c r="D1674" s="64" t="n"/>
      <c r="E1674" s="63" t="n"/>
    </row>
    <row r="1675" ht="18" customHeight="1">
      <c r="A1675" s="62" t="n"/>
      <c r="B1675" s="63" t="n"/>
      <c r="C1675" s="64" t="n"/>
      <c r="D1675" s="64" t="n"/>
      <c r="E1675" s="63" t="n"/>
    </row>
    <row r="1676" ht="18" customHeight="1">
      <c r="A1676" s="62" t="n"/>
      <c r="B1676" s="63" t="n"/>
      <c r="C1676" s="64" t="n"/>
      <c r="D1676" s="64" t="n"/>
      <c r="E1676" s="63" t="n"/>
    </row>
    <row r="1677" ht="18" customHeight="1">
      <c r="A1677" s="62" t="n"/>
      <c r="B1677" s="63" t="n"/>
      <c r="C1677" s="64" t="n"/>
      <c r="D1677" s="64" t="n"/>
      <c r="E1677" s="63" t="n"/>
    </row>
    <row r="1678" ht="18" customHeight="1">
      <c r="A1678" s="62" t="n"/>
      <c r="B1678" s="63" t="n"/>
      <c r="C1678" s="64" t="n"/>
      <c r="D1678" s="64" t="n"/>
      <c r="E1678" s="63" t="n"/>
    </row>
    <row r="1679" ht="18" customHeight="1">
      <c r="A1679" s="62" t="n"/>
      <c r="B1679" s="63" t="n"/>
      <c r="C1679" s="64" t="n"/>
      <c r="D1679" s="64" t="n"/>
      <c r="E1679" s="63" t="n"/>
    </row>
    <row r="1680" ht="18" customHeight="1">
      <c r="A1680" s="62" t="n"/>
      <c r="B1680" s="63" t="n"/>
      <c r="C1680" s="64" t="n"/>
      <c r="D1680" s="64" t="n"/>
      <c r="E1680" s="63" t="n"/>
    </row>
    <row r="1681" ht="18" customHeight="1">
      <c r="A1681" s="62" t="n"/>
      <c r="B1681" s="63" t="n"/>
      <c r="C1681" s="64" t="n"/>
      <c r="D1681" s="64" t="n"/>
      <c r="E1681" s="63" t="n"/>
    </row>
    <row r="1682" ht="18" customHeight="1">
      <c r="A1682" s="62" t="n"/>
      <c r="B1682" s="63" t="n"/>
      <c r="C1682" s="64" t="n"/>
      <c r="D1682" s="64" t="n"/>
      <c r="E1682" s="63" t="n"/>
    </row>
    <row r="1683" ht="18" customHeight="1">
      <c r="A1683" s="62" t="n"/>
      <c r="B1683" s="63" t="n"/>
      <c r="C1683" s="64" t="n"/>
      <c r="D1683" s="64" t="n"/>
      <c r="E1683" s="63" t="n"/>
    </row>
    <row r="1684" ht="18" customHeight="1">
      <c r="A1684" s="62" t="n"/>
      <c r="B1684" s="63" t="n"/>
      <c r="C1684" s="64" t="n"/>
      <c r="D1684" s="64" t="n"/>
      <c r="E1684" s="63" t="n"/>
    </row>
    <row r="1685" ht="18" customHeight="1">
      <c r="A1685" s="62" t="n"/>
      <c r="B1685" s="63" t="n"/>
      <c r="C1685" s="64" t="n"/>
      <c r="D1685" s="64" t="n"/>
      <c r="E1685" s="63" t="n"/>
    </row>
    <row r="1686" ht="18" customHeight="1">
      <c r="A1686" s="62" t="n"/>
      <c r="B1686" s="63" t="n"/>
      <c r="C1686" s="64" t="n"/>
      <c r="D1686" s="64" t="n"/>
      <c r="E1686" s="63" t="n"/>
    </row>
    <row r="1687" ht="18" customHeight="1">
      <c r="A1687" s="62" t="n"/>
      <c r="B1687" s="63" t="n"/>
      <c r="C1687" s="64" t="n"/>
      <c r="D1687" s="64" t="n"/>
      <c r="E1687" s="63" t="n"/>
    </row>
    <row r="1688" ht="18" customHeight="1">
      <c r="A1688" s="62" t="n"/>
      <c r="B1688" s="63" t="n"/>
      <c r="C1688" s="64" t="n"/>
      <c r="D1688" s="64" t="n"/>
      <c r="E1688" s="63" t="n"/>
    </row>
    <row r="1689" ht="18" customHeight="1">
      <c r="A1689" s="62" t="n"/>
      <c r="B1689" s="63" t="n"/>
      <c r="C1689" s="64" t="n"/>
      <c r="D1689" s="64" t="n"/>
      <c r="E1689" s="63" t="n"/>
    </row>
    <row r="1690" ht="18" customHeight="1">
      <c r="A1690" s="62" t="n"/>
      <c r="B1690" s="63" t="n"/>
      <c r="C1690" s="64" t="n"/>
      <c r="D1690" s="64" t="n"/>
      <c r="E1690" s="63" t="n"/>
    </row>
    <row r="1691" ht="18" customHeight="1">
      <c r="A1691" s="62" t="n"/>
      <c r="B1691" s="63" t="n"/>
      <c r="C1691" s="64" t="n"/>
      <c r="D1691" s="64" t="n"/>
      <c r="E1691" s="63" t="n"/>
    </row>
    <row r="1692" ht="18" customHeight="1">
      <c r="A1692" s="62" t="n"/>
      <c r="B1692" s="63" t="n"/>
      <c r="C1692" s="64" t="n"/>
      <c r="D1692" s="64" t="n"/>
      <c r="E1692" s="63" t="n"/>
    </row>
    <row r="1693" ht="18" customHeight="1">
      <c r="A1693" s="62" t="n"/>
      <c r="B1693" s="63" t="n"/>
      <c r="C1693" s="64" t="n"/>
      <c r="D1693" s="64" t="n"/>
      <c r="E1693" s="63" t="n"/>
    </row>
    <row r="1694" ht="18" customHeight="1">
      <c r="A1694" s="62" t="n"/>
      <c r="B1694" s="63" t="n"/>
      <c r="C1694" s="64" t="n"/>
      <c r="D1694" s="64" t="n"/>
      <c r="E1694" s="63" t="n"/>
    </row>
    <row r="1695" ht="18" customHeight="1">
      <c r="A1695" s="62" t="n"/>
      <c r="B1695" s="63" t="n"/>
      <c r="C1695" s="64" t="n"/>
      <c r="D1695" s="64" t="n"/>
      <c r="E1695" s="63" t="n"/>
    </row>
    <row r="1696" ht="18" customHeight="1">
      <c r="A1696" s="62" t="n"/>
      <c r="B1696" s="63" t="n"/>
      <c r="C1696" s="64" t="n"/>
      <c r="D1696" s="64" t="n"/>
      <c r="E1696" s="63" t="n"/>
    </row>
    <row r="1697" ht="18" customHeight="1">
      <c r="A1697" s="62" t="n"/>
      <c r="B1697" s="63" t="n"/>
      <c r="C1697" s="64" t="n"/>
      <c r="D1697" s="64" t="n"/>
      <c r="E1697" s="63" t="n"/>
    </row>
    <row r="1698" ht="18" customHeight="1">
      <c r="A1698" s="62" t="n"/>
      <c r="B1698" s="63" t="n"/>
      <c r="C1698" s="64" t="n"/>
      <c r="D1698" s="64" t="n"/>
      <c r="E1698" s="63" t="n"/>
    </row>
    <row r="1699" ht="18" customHeight="1">
      <c r="A1699" s="62" t="n"/>
      <c r="B1699" s="63" t="n"/>
      <c r="C1699" s="64" t="n"/>
      <c r="D1699" s="64" t="n"/>
      <c r="E1699" s="63" t="n"/>
    </row>
    <row r="1700" ht="18" customHeight="1">
      <c r="A1700" s="62" t="n"/>
      <c r="B1700" s="63" t="n"/>
      <c r="C1700" s="64" t="n"/>
      <c r="D1700" s="64" t="n"/>
      <c r="E1700" s="63" t="n"/>
    </row>
    <row r="1701" ht="18" customHeight="1">
      <c r="A1701" s="62" t="n"/>
      <c r="B1701" s="63" t="n"/>
      <c r="C1701" s="64" t="n"/>
      <c r="D1701" s="64" t="n"/>
      <c r="E1701" s="63" t="n"/>
    </row>
    <row r="1702" ht="18" customHeight="1">
      <c r="A1702" s="62" t="n"/>
      <c r="B1702" s="63" t="n"/>
      <c r="C1702" s="64" t="n"/>
      <c r="D1702" s="64" t="n"/>
      <c r="E1702" s="63" t="n"/>
    </row>
    <row r="1703" ht="18" customHeight="1">
      <c r="A1703" s="62" t="n"/>
      <c r="B1703" s="63" t="n"/>
      <c r="C1703" s="64" t="n"/>
      <c r="D1703" s="64" t="n"/>
      <c r="E1703" s="63" t="n"/>
    </row>
    <row r="1704" ht="18" customHeight="1">
      <c r="A1704" s="62" t="n"/>
      <c r="B1704" s="63" t="n"/>
      <c r="C1704" s="64" t="n"/>
      <c r="D1704" s="64" t="n"/>
      <c r="E1704" s="63" t="n"/>
    </row>
    <row r="1705" ht="18" customHeight="1">
      <c r="A1705" s="62" t="n"/>
      <c r="B1705" s="63" t="n"/>
      <c r="C1705" s="64" t="n"/>
      <c r="D1705" s="64" t="n"/>
      <c r="E1705" s="63" t="n"/>
    </row>
    <row r="1706" ht="18" customHeight="1">
      <c r="A1706" s="62" t="n"/>
      <c r="B1706" s="63" t="n"/>
      <c r="C1706" s="64" t="n"/>
      <c r="D1706" s="64" t="n"/>
      <c r="E1706" s="63" t="n"/>
    </row>
    <row r="1707" ht="18" customHeight="1">
      <c r="A1707" s="62" t="n"/>
      <c r="B1707" s="63" t="n"/>
      <c r="C1707" s="64" t="n"/>
      <c r="D1707" s="64" t="n"/>
      <c r="E1707" s="63" t="n"/>
    </row>
    <row r="1708" ht="18" customHeight="1">
      <c r="A1708" s="62" t="n"/>
      <c r="B1708" s="63" t="n"/>
      <c r="C1708" s="64" t="n"/>
      <c r="D1708" s="64" t="n"/>
      <c r="E1708" s="63" t="n"/>
    </row>
    <row r="1709" ht="18" customHeight="1">
      <c r="A1709" s="62" t="n"/>
      <c r="B1709" s="63" t="n"/>
      <c r="C1709" s="64" t="n"/>
      <c r="D1709" s="64" t="n"/>
      <c r="E1709" s="63" t="n"/>
    </row>
    <row r="1710" ht="18" customHeight="1">
      <c r="A1710" s="62" t="n"/>
      <c r="B1710" s="63" t="n"/>
      <c r="C1710" s="64" t="n"/>
      <c r="D1710" s="64" t="n"/>
      <c r="E1710" s="63" t="n"/>
    </row>
    <row r="1711" ht="18" customHeight="1">
      <c r="A1711" s="62" t="n"/>
      <c r="B1711" s="63" t="n"/>
      <c r="C1711" s="64" t="n"/>
      <c r="D1711" s="64" t="n"/>
      <c r="E1711" s="63" t="n"/>
    </row>
    <row r="1712" ht="18" customHeight="1">
      <c r="A1712" s="62" t="n"/>
      <c r="B1712" s="63" t="n"/>
      <c r="C1712" s="64" t="n"/>
      <c r="D1712" s="64" t="n"/>
      <c r="E1712" s="63" t="n"/>
    </row>
    <row r="1713" ht="18" customHeight="1">
      <c r="A1713" s="62" t="n"/>
      <c r="B1713" s="63" t="n"/>
      <c r="C1713" s="64" t="n"/>
      <c r="D1713" s="64" t="n"/>
      <c r="E1713" s="63" t="n"/>
    </row>
    <row r="1714" ht="18" customHeight="1">
      <c r="A1714" s="62" t="n"/>
      <c r="B1714" s="63" t="n"/>
      <c r="C1714" s="64" t="n"/>
      <c r="D1714" s="64" t="n"/>
      <c r="E1714" s="63" t="n"/>
    </row>
    <row r="1715" ht="18" customHeight="1">
      <c r="A1715" s="62" t="n"/>
      <c r="B1715" s="63" t="n"/>
      <c r="C1715" s="64" t="n"/>
      <c r="D1715" s="64" t="n"/>
      <c r="E1715" s="63" t="n"/>
    </row>
    <row r="1716" ht="18" customHeight="1">
      <c r="A1716" s="62" t="n"/>
      <c r="B1716" s="63" t="n"/>
      <c r="C1716" s="64" t="n"/>
      <c r="D1716" s="64" t="n"/>
      <c r="E1716" s="63" t="n"/>
    </row>
    <row r="1717" ht="18" customHeight="1">
      <c r="A1717" s="62" t="n"/>
      <c r="B1717" s="63" t="n"/>
      <c r="C1717" s="64" t="n"/>
      <c r="D1717" s="64" t="n"/>
      <c r="E1717" s="63" t="n"/>
    </row>
    <row r="1718" ht="18" customHeight="1">
      <c r="A1718" s="62" t="n"/>
      <c r="B1718" s="63" t="n"/>
      <c r="C1718" s="64" t="n"/>
      <c r="D1718" s="64" t="n"/>
      <c r="E1718" s="63" t="n"/>
    </row>
    <row r="1719" ht="18" customHeight="1">
      <c r="A1719" s="62" t="n"/>
      <c r="B1719" s="63" t="n"/>
      <c r="C1719" s="64" t="n"/>
      <c r="D1719" s="64" t="n"/>
      <c r="E1719" s="63" t="n"/>
    </row>
    <row r="1720" ht="18" customHeight="1">
      <c r="A1720" s="62" t="n"/>
      <c r="B1720" s="63" t="n"/>
      <c r="C1720" s="64" t="n"/>
      <c r="D1720" s="64" t="n"/>
      <c r="E1720" s="63" t="n"/>
    </row>
    <row r="1721" ht="18" customHeight="1">
      <c r="A1721" s="62" t="n"/>
      <c r="B1721" s="63" t="n"/>
      <c r="C1721" s="64" t="n"/>
      <c r="D1721" s="64" t="n"/>
      <c r="E1721" s="63" t="n"/>
    </row>
    <row r="1722" ht="18" customHeight="1">
      <c r="A1722" s="62" t="n"/>
      <c r="B1722" s="63" t="n"/>
      <c r="C1722" s="64" t="n"/>
      <c r="D1722" s="64" t="n"/>
      <c r="E1722" s="63" t="n"/>
    </row>
    <row r="1723" ht="18" customHeight="1">
      <c r="A1723" s="62" t="n"/>
      <c r="B1723" s="63" t="n"/>
      <c r="C1723" s="64" t="n"/>
      <c r="D1723" s="64" t="n"/>
      <c r="E1723" s="63" t="n"/>
    </row>
    <row r="1724" ht="18" customHeight="1">
      <c r="A1724" s="62" t="n"/>
      <c r="B1724" s="63" t="n"/>
      <c r="C1724" s="64" t="n"/>
      <c r="D1724" s="64" t="n"/>
      <c r="E1724" s="63" t="n"/>
    </row>
    <row r="1725" ht="18" customHeight="1">
      <c r="A1725" s="62" t="n"/>
      <c r="B1725" s="63" t="n"/>
      <c r="C1725" s="64" t="n"/>
      <c r="D1725" s="64" t="n"/>
      <c r="E1725" s="63" t="n"/>
    </row>
    <row r="1726" ht="18" customHeight="1">
      <c r="A1726" s="62" t="n"/>
      <c r="B1726" s="63" t="n"/>
      <c r="C1726" s="64" t="n"/>
      <c r="D1726" s="64" t="n"/>
      <c r="E1726" s="63" t="n"/>
    </row>
    <row r="1727" ht="18" customHeight="1">
      <c r="A1727" s="62" t="n"/>
      <c r="B1727" s="63" t="n"/>
      <c r="C1727" s="64" t="n"/>
      <c r="D1727" s="64" t="n"/>
      <c r="E1727" s="63" t="n"/>
    </row>
    <row r="1728" ht="18" customHeight="1">
      <c r="A1728" s="62" t="n"/>
      <c r="B1728" s="63" t="n"/>
      <c r="C1728" s="64" t="n"/>
      <c r="D1728" s="64" t="n"/>
      <c r="E1728" s="63" t="n"/>
    </row>
    <row r="1729" ht="18" customHeight="1">
      <c r="A1729" s="62" t="n"/>
      <c r="B1729" s="63" t="n"/>
      <c r="C1729" s="64" t="n"/>
      <c r="D1729" s="64" t="n"/>
      <c r="E1729" s="63" t="n"/>
    </row>
    <row r="1730" ht="18" customHeight="1">
      <c r="A1730" s="62" t="n"/>
      <c r="B1730" s="63" t="n"/>
      <c r="C1730" s="64" t="n"/>
      <c r="D1730" s="64" t="n"/>
      <c r="E1730" s="63" t="n"/>
    </row>
    <row r="1731" ht="18" customHeight="1">
      <c r="A1731" s="62" t="n"/>
      <c r="B1731" s="63" t="n"/>
      <c r="C1731" s="64" t="n"/>
      <c r="D1731" s="64" t="n"/>
      <c r="E1731" s="63" t="n"/>
    </row>
    <row r="1732" ht="18" customHeight="1">
      <c r="A1732" s="62" t="n"/>
      <c r="B1732" s="63" t="n"/>
      <c r="C1732" s="64" t="n"/>
      <c r="D1732" s="64" t="n"/>
      <c r="E1732" s="63" t="n"/>
    </row>
    <row r="1733" ht="18" customHeight="1">
      <c r="A1733" s="62" t="n"/>
      <c r="B1733" s="63" t="n"/>
      <c r="C1733" s="64" t="n"/>
      <c r="D1733" s="64" t="n"/>
      <c r="E1733" s="63" t="n"/>
    </row>
    <row r="1734" ht="18" customHeight="1">
      <c r="A1734" s="62" t="n"/>
      <c r="B1734" s="63" t="n"/>
      <c r="C1734" s="64" t="n"/>
      <c r="D1734" s="64" t="n"/>
      <c r="E1734" s="63" t="n"/>
    </row>
    <row r="1735" ht="18" customHeight="1">
      <c r="A1735" s="62" t="n"/>
      <c r="B1735" s="63" t="n"/>
      <c r="C1735" s="64" t="n"/>
      <c r="D1735" s="64" t="n"/>
      <c r="E1735" s="63" t="n"/>
    </row>
    <row r="1736" ht="18" customHeight="1">
      <c r="A1736" s="62" t="n"/>
      <c r="B1736" s="63" t="n"/>
      <c r="C1736" s="64" t="n"/>
      <c r="D1736" s="64" t="n"/>
      <c r="E1736" s="63" t="n"/>
    </row>
    <row r="1737" ht="18" customHeight="1">
      <c r="A1737" s="62" t="n"/>
      <c r="B1737" s="63" t="n"/>
      <c r="C1737" s="64" t="n"/>
      <c r="D1737" s="64" t="n"/>
      <c r="E1737" s="63" t="n"/>
    </row>
    <row r="1738" ht="18" customHeight="1">
      <c r="A1738" s="62" t="n"/>
      <c r="B1738" s="63" t="n"/>
      <c r="C1738" s="64" t="n"/>
      <c r="D1738" s="64" t="n"/>
      <c r="E1738" s="63" t="n"/>
    </row>
    <row r="1739" ht="18" customHeight="1">
      <c r="A1739" s="62" t="n"/>
      <c r="B1739" s="63" t="n"/>
      <c r="C1739" s="64" t="n"/>
      <c r="D1739" s="64" t="n"/>
      <c r="E1739" s="63" t="n"/>
    </row>
    <row r="1740" ht="18" customHeight="1">
      <c r="A1740" s="62" t="n"/>
      <c r="B1740" s="63" t="n"/>
      <c r="C1740" s="64" t="n"/>
      <c r="D1740" s="64" t="n"/>
      <c r="E1740" s="63" t="n"/>
    </row>
    <row r="1741" ht="18" customHeight="1">
      <c r="A1741" s="62" t="n"/>
      <c r="B1741" s="63" t="n"/>
      <c r="C1741" s="64" t="n"/>
      <c r="D1741" s="64" t="n"/>
      <c r="E1741" s="63" t="n"/>
    </row>
    <row r="1742" ht="18" customHeight="1">
      <c r="A1742" s="62" t="n"/>
      <c r="B1742" s="63" t="n"/>
      <c r="C1742" s="64" t="n"/>
      <c r="D1742" s="64" t="n"/>
      <c r="E1742" s="63" t="n"/>
    </row>
    <row r="1743" ht="18" customHeight="1">
      <c r="A1743" s="62" t="n"/>
      <c r="B1743" s="63" t="n"/>
      <c r="C1743" s="64" t="n"/>
      <c r="D1743" s="64" t="n"/>
      <c r="E1743" s="63" t="n"/>
    </row>
    <row r="1744" ht="18" customHeight="1">
      <c r="A1744" s="62" t="n"/>
      <c r="B1744" s="63" t="n"/>
      <c r="C1744" s="64" t="n"/>
      <c r="D1744" s="64" t="n"/>
      <c r="E1744" s="63" t="n"/>
    </row>
    <row r="1745" ht="18" customHeight="1">
      <c r="A1745" s="62" t="n"/>
      <c r="B1745" s="63" t="n"/>
      <c r="C1745" s="64" t="n"/>
      <c r="D1745" s="64" t="n"/>
      <c r="E1745" s="63" t="n"/>
    </row>
    <row r="1746" ht="18" customHeight="1">
      <c r="A1746" s="62" t="n"/>
      <c r="B1746" s="63" t="n"/>
      <c r="C1746" s="64" t="n"/>
      <c r="D1746" s="64" t="n"/>
      <c r="E1746" s="63" t="n"/>
    </row>
    <row r="1747" ht="18" customHeight="1">
      <c r="A1747" s="62" t="n"/>
      <c r="B1747" s="63" t="n"/>
      <c r="C1747" s="64" t="n"/>
      <c r="D1747" s="64" t="n"/>
      <c r="E1747" s="63" t="n"/>
    </row>
    <row r="1748" ht="18" customHeight="1">
      <c r="A1748" s="62" t="n"/>
      <c r="B1748" s="63" t="n"/>
      <c r="C1748" s="64" t="n"/>
      <c r="D1748" s="64" t="n"/>
      <c r="E1748" s="63" t="n"/>
    </row>
    <row r="1749" ht="18" customHeight="1">
      <c r="A1749" s="62" t="n"/>
      <c r="B1749" s="63" t="n"/>
      <c r="C1749" s="64" t="n"/>
      <c r="D1749" s="64" t="n"/>
      <c r="E1749" s="63" t="n"/>
    </row>
    <row r="1750" ht="18" customHeight="1">
      <c r="A1750" s="62" t="n"/>
      <c r="B1750" s="63" t="n"/>
      <c r="C1750" s="64" t="n"/>
      <c r="D1750" s="64" t="n"/>
      <c r="E1750" s="63" t="n"/>
    </row>
    <row r="1751" ht="18" customHeight="1">
      <c r="A1751" s="62" t="n"/>
      <c r="B1751" s="63" t="n"/>
      <c r="C1751" s="64" t="n"/>
      <c r="D1751" s="64" t="n"/>
      <c r="E1751" s="63" t="n"/>
    </row>
    <row r="1752" ht="18" customHeight="1">
      <c r="A1752" s="62" t="n"/>
      <c r="B1752" s="63" t="n"/>
      <c r="C1752" s="64" t="n"/>
      <c r="D1752" s="64" t="n"/>
      <c r="E1752" s="63" t="n"/>
    </row>
    <row r="1753" ht="18" customHeight="1">
      <c r="A1753" s="62" t="n"/>
      <c r="B1753" s="63" t="n"/>
      <c r="C1753" s="64" t="n"/>
      <c r="D1753" s="64" t="n"/>
      <c r="E1753" s="63" t="n"/>
    </row>
    <row r="1754" ht="18" customHeight="1">
      <c r="A1754" s="62" t="n"/>
      <c r="B1754" s="63" t="n"/>
      <c r="C1754" s="64" t="n"/>
      <c r="D1754" s="64" t="n"/>
      <c r="E1754" s="63" t="n"/>
    </row>
    <row r="1755" ht="18" customHeight="1">
      <c r="A1755" s="62" t="n"/>
      <c r="B1755" s="63" t="n"/>
      <c r="C1755" s="64" t="n"/>
      <c r="D1755" s="64" t="n"/>
      <c r="E1755" s="63" t="n"/>
    </row>
    <row r="1756" ht="18" customHeight="1">
      <c r="A1756" s="62" t="n"/>
      <c r="B1756" s="63" t="n"/>
      <c r="C1756" s="64" t="n"/>
      <c r="D1756" s="64" t="n"/>
      <c r="E1756" s="63" t="n"/>
    </row>
    <row r="1757" ht="18" customHeight="1">
      <c r="A1757" s="62" t="n"/>
      <c r="B1757" s="63" t="n"/>
      <c r="C1757" s="64" t="n"/>
      <c r="D1757" s="64" t="n"/>
      <c r="E1757" s="63" t="n"/>
    </row>
    <row r="1758" ht="18" customHeight="1">
      <c r="A1758" s="62" t="n"/>
      <c r="B1758" s="63" t="n"/>
      <c r="C1758" s="64" t="n"/>
      <c r="D1758" s="64" t="n"/>
      <c r="E1758" s="63" t="n"/>
    </row>
    <row r="1759" ht="18" customHeight="1">
      <c r="A1759" s="62" t="n"/>
      <c r="B1759" s="63" t="n"/>
      <c r="C1759" s="64" t="n"/>
      <c r="D1759" s="64" t="n"/>
      <c r="E1759" s="63" t="n"/>
    </row>
    <row r="1760" ht="18" customHeight="1">
      <c r="A1760" s="62" t="n"/>
      <c r="B1760" s="63" t="n"/>
      <c r="C1760" s="64" t="n"/>
      <c r="D1760" s="64" t="n"/>
      <c r="E1760" s="63" t="n"/>
    </row>
    <row r="1761" ht="18" customHeight="1">
      <c r="A1761" s="62" t="n"/>
      <c r="B1761" s="63" t="n"/>
      <c r="C1761" s="64" t="n"/>
      <c r="D1761" s="64" t="n"/>
      <c r="E1761" s="63" t="n"/>
    </row>
    <row r="1762" ht="18" customHeight="1">
      <c r="A1762" s="62" t="n"/>
      <c r="B1762" s="63" t="n"/>
      <c r="C1762" s="64" t="n"/>
      <c r="D1762" s="64" t="n"/>
      <c r="E1762" s="63" t="n"/>
    </row>
    <row r="1763" ht="18" customHeight="1">
      <c r="A1763" s="62" t="n"/>
      <c r="B1763" s="63" t="n"/>
      <c r="C1763" s="64" t="n"/>
      <c r="D1763" s="64" t="n"/>
      <c r="E1763" s="63" t="n"/>
    </row>
    <row r="1764" ht="18" customHeight="1">
      <c r="A1764" s="62" t="n"/>
      <c r="B1764" s="63" t="n"/>
      <c r="C1764" s="64" t="n"/>
      <c r="D1764" s="64" t="n"/>
      <c r="E1764" s="63" t="n"/>
    </row>
    <row r="1765" ht="18" customHeight="1">
      <c r="A1765" s="62" t="n"/>
      <c r="B1765" s="63" t="n"/>
      <c r="C1765" s="64" t="n"/>
      <c r="D1765" s="64" t="n"/>
      <c r="E1765" s="63" t="n"/>
    </row>
    <row r="1766" ht="18" customHeight="1">
      <c r="A1766" s="62" t="n"/>
      <c r="B1766" s="63" t="n"/>
      <c r="C1766" s="64" t="n"/>
      <c r="D1766" s="64" t="n"/>
      <c r="E1766" s="63" t="n"/>
    </row>
    <row r="1767" ht="18" customHeight="1">
      <c r="A1767" s="62" t="n"/>
      <c r="B1767" s="63" t="n"/>
      <c r="C1767" s="64" t="n"/>
      <c r="D1767" s="64" t="n"/>
      <c r="E1767" s="63" t="n"/>
    </row>
    <row r="1768" ht="18" customHeight="1">
      <c r="A1768" s="62" t="n"/>
      <c r="B1768" s="63" t="n"/>
      <c r="C1768" s="64" t="n"/>
      <c r="D1768" s="64" t="n"/>
      <c r="E1768" s="63" t="n"/>
    </row>
    <row r="1769" ht="18" customHeight="1">
      <c r="A1769" s="62" t="n"/>
      <c r="B1769" s="63" t="n"/>
      <c r="C1769" s="64" t="n"/>
      <c r="D1769" s="64" t="n"/>
      <c r="E1769" s="63" t="n"/>
    </row>
    <row r="1770" ht="18" customHeight="1">
      <c r="A1770" s="62" t="n"/>
      <c r="B1770" s="63" t="n"/>
      <c r="C1770" s="64" t="n"/>
      <c r="D1770" s="64" t="n"/>
      <c r="E1770" s="63" t="n"/>
    </row>
    <row r="1771" ht="18" customHeight="1">
      <c r="A1771" s="62" t="n"/>
      <c r="B1771" s="63" t="n"/>
      <c r="C1771" s="64" t="n"/>
      <c r="D1771" s="64" t="n"/>
      <c r="E1771" s="63" t="n"/>
    </row>
    <row r="1772" ht="18" customHeight="1">
      <c r="A1772" s="62" t="n"/>
      <c r="B1772" s="63" t="n"/>
      <c r="C1772" s="64" t="n"/>
      <c r="D1772" s="64" t="n"/>
      <c r="E1772" s="63" t="n"/>
    </row>
    <row r="1773" ht="18" customHeight="1">
      <c r="A1773" s="62" t="n"/>
      <c r="B1773" s="63" t="n"/>
      <c r="C1773" s="64" t="n"/>
      <c r="D1773" s="64" t="n"/>
      <c r="E1773" s="63" t="n"/>
    </row>
    <row r="1774" ht="18" customHeight="1">
      <c r="A1774" s="62" t="n"/>
      <c r="B1774" s="63" t="n"/>
      <c r="C1774" s="64" t="n"/>
      <c r="D1774" s="64" t="n"/>
      <c r="E1774" s="63" t="n"/>
    </row>
    <row r="1775" ht="18" customHeight="1">
      <c r="A1775" s="62" t="n"/>
      <c r="B1775" s="63" t="n"/>
      <c r="C1775" s="64" t="n"/>
      <c r="D1775" s="64" t="n"/>
      <c r="E1775" s="63" t="n"/>
    </row>
    <row r="1776" ht="18" customHeight="1">
      <c r="A1776" s="62" t="n"/>
      <c r="B1776" s="63" t="n"/>
      <c r="C1776" s="64" t="n"/>
      <c r="D1776" s="64" t="n"/>
      <c r="E1776" s="63" t="n"/>
    </row>
    <row r="1777" ht="18" customHeight="1">
      <c r="A1777" s="62" t="n"/>
      <c r="B1777" s="63" t="n"/>
      <c r="C1777" s="64" t="n"/>
      <c r="D1777" s="64" t="n"/>
      <c r="E1777" s="63" t="n"/>
    </row>
    <row r="1778" ht="18" customHeight="1">
      <c r="A1778" s="62" t="n"/>
      <c r="B1778" s="63" t="n"/>
      <c r="C1778" s="64" t="n"/>
      <c r="D1778" s="64" t="n"/>
      <c r="E1778" s="63" t="n"/>
    </row>
    <row r="1779" ht="18" customHeight="1">
      <c r="A1779" s="62" t="n"/>
      <c r="B1779" s="63" t="n"/>
      <c r="C1779" s="64" t="n"/>
      <c r="D1779" s="64" t="n"/>
      <c r="E1779" s="63" t="n"/>
    </row>
    <row r="1780" ht="18" customHeight="1">
      <c r="A1780" s="62" t="n"/>
      <c r="B1780" s="63" t="n"/>
      <c r="C1780" s="64" t="n"/>
      <c r="D1780" s="64" t="n"/>
      <c r="E1780" s="63" t="n"/>
    </row>
    <row r="1781" ht="18" customHeight="1">
      <c r="A1781" s="62" t="n"/>
      <c r="B1781" s="63" t="n"/>
      <c r="C1781" s="64" t="n"/>
      <c r="D1781" s="64" t="n"/>
      <c r="E1781" s="63" t="n"/>
    </row>
    <row r="1782" ht="18" customHeight="1">
      <c r="A1782" s="62" t="n"/>
      <c r="B1782" s="63" t="n"/>
      <c r="C1782" s="64" t="n"/>
      <c r="D1782" s="64" t="n"/>
      <c r="E1782" s="63" t="n"/>
    </row>
    <row r="1783" ht="18" customHeight="1">
      <c r="A1783" s="62" t="n"/>
      <c r="B1783" s="63" t="n"/>
      <c r="C1783" s="64" t="n"/>
      <c r="D1783" s="64" t="n"/>
      <c r="E1783" s="63" t="n"/>
    </row>
    <row r="1784" ht="18" customHeight="1">
      <c r="A1784" s="62" t="n"/>
      <c r="B1784" s="63" t="n"/>
      <c r="C1784" s="64" t="n"/>
      <c r="D1784" s="64" t="n"/>
      <c r="E1784" s="63" t="n"/>
    </row>
    <row r="1785" ht="18" customHeight="1">
      <c r="A1785" s="62" t="n"/>
      <c r="B1785" s="63" t="n"/>
      <c r="C1785" s="64" t="n"/>
      <c r="D1785" s="64" t="n"/>
      <c r="E1785" s="63" t="n"/>
    </row>
    <row r="1786" ht="18" customHeight="1">
      <c r="A1786" s="62" t="n"/>
      <c r="B1786" s="63" t="n"/>
      <c r="C1786" s="64" t="n"/>
      <c r="D1786" s="64" t="n"/>
      <c r="E1786" s="63" t="n"/>
    </row>
    <row r="1787" ht="18" customHeight="1">
      <c r="A1787" s="62" t="n"/>
      <c r="B1787" s="63" t="n"/>
      <c r="C1787" s="64" t="n"/>
      <c r="D1787" s="64" t="n"/>
      <c r="E1787" s="63" t="n"/>
    </row>
    <row r="1788" ht="18" customHeight="1">
      <c r="A1788" s="62" t="n"/>
      <c r="B1788" s="63" t="n"/>
      <c r="C1788" s="64" t="n"/>
      <c r="D1788" s="64" t="n"/>
      <c r="E1788" s="63" t="n"/>
    </row>
    <row r="1789" ht="18" customHeight="1">
      <c r="A1789" s="62" t="n"/>
      <c r="B1789" s="63" t="n"/>
      <c r="C1789" s="64" t="n"/>
      <c r="D1789" s="64" t="n"/>
      <c r="E1789" s="63" t="n"/>
    </row>
    <row r="1790" ht="18" customHeight="1">
      <c r="A1790" s="62" t="n"/>
      <c r="B1790" s="63" t="n"/>
      <c r="C1790" s="64" t="n"/>
      <c r="D1790" s="64" t="n"/>
      <c r="E1790" s="63" t="n"/>
    </row>
    <row r="1791" ht="18" customHeight="1">
      <c r="A1791" s="62" t="n"/>
      <c r="B1791" s="63" t="n"/>
      <c r="C1791" s="64" t="n"/>
      <c r="D1791" s="64" t="n"/>
      <c r="E1791" s="63" t="n"/>
    </row>
    <row r="1792" ht="18" customHeight="1">
      <c r="A1792" s="62" t="n"/>
      <c r="B1792" s="63" t="n"/>
      <c r="C1792" s="64" t="n"/>
      <c r="D1792" s="64" t="n"/>
      <c r="E1792" s="63" t="n"/>
    </row>
    <row r="1793" ht="18" customHeight="1">
      <c r="A1793" s="62" t="n"/>
      <c r="B1793" s="63" t="n"/>
      <c r="C1793" s="64" t="n"/>
      <c r="D1793" s="64" t="n"/>
      <c r="E1793" s="63" t="n"/>
    </row>
    <row r="1794" ht="18" customHeight="1">
      <c r="A1794" s="62" t="n"/>
      <c r="B1794" s="63" t="n"/>
      <c r="C1794" s="64" t="n"/>
      <c r="D1794" s="64" t="n"/>
      <c r="E1794" s="63" t="n"/>
    </row>
    <row r="1795" ht="18" customHeight="1">
      <c r="A1795" s="62" t="n"/>
      <c r="B1795" s="63" t="n"/>
      <c r="C1795" s="64" t="n"/>
      <c r="D1795" s="64" t="n"/>
      <c r="E1795" s="63" t="n"/>
    </row>
    <row r="1796" ht="18" customHeight="1">
      <c r="A1796" s="62" t="n"/>
      <c r="B1796" s="63" t="n"/>
      <c r="C1796" s="64" t="n"/>
      <c r="D1796" s="64" t="n"/>
      <c r="E1796" s="63" t="n"/>
    </row>
    <row r="1797" ht="18" customHeight="1">
      <c r="A1797" s="62" t="n"/>
      <c r="B1797" s="63" t="n"/>
      <c r="C1797" s="64" t="n"/>
      <c r="D1797" s="64" t="n"/>
      <c r="E1797" s="63" t="n"/>
    </row>
    <row r="1798" ht="18" customHeight="1">
      <c r="A1798" s="62" t="n"/>
      <c r="B1798" s="63" t="n"/>
      <c r="C1798" s="64" t="n"/>
      <c r="D1798" s="64" t="n"/>
      <c r="E1798" s="63" t="n"/>
    </row>
    <row r="1799" ht="18" customHeight="1">
      <c r="A1799" s="62" t="n"/>
      <c r="B1799" s="63" t="n"/>
      <c r="C1799" s="64" t="n"/>
      <c r="D1799" s="64" t="n"/>
      <c r="E1799" s="63" t="n"/>
    </row>
    <row r="1800" ht="18" customHeight="1">
      <c r="A1800" s="62" t="n"/>
      <c r="B1800" s="63" t="n"/>
      <c r="C1800" s="64" t="n"/>
      <c r="D1800" s="64" t="n"/>
      <c r="E1800" s="63" t="n"/>
    </row>
    <row r="1801" ht="18" customHeight="1">
      <c r="A1801" s="62" t="n"/>
      <c r="B1801" s="63" t="n"/>
      <c r="C1801" s="64" t="n"/>
      <c r="D1801" s="64" t="n"/>
      <c r="E1801" s="63" t="n"/>
    </row>
    <row r="1802" ht="18" customHeight="1">
      <c r="A1802" s="62" t="n"/>
      <c r="B1802" s="63" t="n"/>
      <c r="C1802" s="64" t="n"/>
      <c r="D1802" s="64" t="n"/>
      <c r="E1802" s="63" t="n"/>
    </row>
    <row r="1803" ht="18" customHeight="1">
      <c r="A1803" s="62" t="n"/>
      <c r="B1803" s="63" t="n"/>
      <c r="C1803" s="64" t="n"/>
      <c r="D1803" s="64" t="n"/>
      <c r="E1803" s="63" t="n"/>
    </row>
    <row r="1804" ht="18" customHeight="1">
      <c r="A1804" s="62" t="n"/>
      <c r="B1804" s="63" t="n"/>
      <c r="C1804" s="64" t="n"/>
      <c r="D1804" s="64" t="n"/>
      <c r="E1804" s="63" t="n"/>
    </row>
    <row r="1805" ht="18" customHeight="1">
      <c r="A1805" s="62" t="n"/>
      <c r="B1805" s="63" t="n"/>
      <c r="C1805" s="64" t="n"/>
      <c r="D1805" s="64" t="n"/>
      <c r="E1805" s="63" t="n"/>
    </row>
    <row r="1806" ht="18" customHeight="1">
      <c r="A1806" s="62" t="n"/>
      <c r="B1806" s="63" t="n"/>
      <c r="C1806" s="64" t="n"/>
      <c r="D1806" s="64" t="n"/>
      <c r="E1806" s="63" t="n"/>
    </row>
    <row r="1807" ht="18" customHeight="1">
      <c r="A1807" s="62" t="n"/>
      <c r="B1807" s="63" t="n"/>
      <c r="C1807" s="64" t="n"/>
      <c r="D1807" s="64" t="n"/>
      <c r="E1807" s="63" t="n"/>
    </row>
    <row r="1808" ht="18" customHeight="1">
      <c r="A1808" s="62" t="n"/>
      <c r="B1808" s="63" t="n"/>
      <c r="C1808" s="64" t="n"/>
      <c r="D1808" s="64" t="n"/>
      <c r="E1808" s="63" t="n"/>
    </row>
    <row r="1809" ht="18" customHeight="1">
      <c r="A1809" s="62" t="n"/>
      <c r="B1809" s="63" t="n"/>
      <c r="C1809" s="64" t="n"/>
      <c r="D1809" s="64" t="n"/>
      <c r="E1809" s="63" t="n"/>
    </row>
    <row r="1810" ht="18" customHeight="1">
      <c r="A1810" s="62" t="n"/>
      <c r="B1810" s="63" t="n"/>
      <c r="C1810" s="64" t="n"/>
      <c r="D1810" s="64" t="n"/>
      <c r="E1810" s="63" t="n"/>
    </row>
    <row r="1811" ht="18" customHeight="1">
      <c r="A1811" s="62" t="n"/>
      <c r="B1811" s="63" t="n"/>
      <c r="C1811" s="64" t="n"/>
      <c r="D1811" s="64" t="n"/>
      <c r="E1811" s="63" t="n"/>
    </row>
    <row r="1812" ht="18" customHeight="1">
      <c r="A1812" s="62" t="n"/>
      <c r="B1812" s="63" t="n"/>
      <c r="C1812" s="64" t="n"/>
      <c r="D1812" s="64" t="n"/>
      <c r="E1812" s="63" t="n"/>
    </row>
    <row r="1813" ht="18" customHeight="1">
      <c r="A1813" s="62" t="n"/>
      <c r="B1813" s="63" t="n"/>
      <c r="C1813" s="64" t="n"/>
      <c r="D1813" s="64" t="n"/>
      <c r="E1813" s="63" t="n"/>
    </row>
    <row r="1814" ht="18" customHeight="1">
      <c r="A1814" s="62" t="n"/>
      <c r="B1814" s="63" t="n"/>
      <c r="C1814" s="64" t="n"/>
      <c r="D1814" s="64" t="n"/>
      <c r="E1814" s="63" t="n"/>
    </row>
    <row r="1815" ht="18" customHeight="1">
      <c r="A1815" s="62" t="n"/>
      <c r="B1815" s="63" t="n"/>
      <c r="C1815" s="64" t="n"/>
      <c r="D1815" s="64" t="n"/>
      <c r="E1815" s="63" t="n"/>
    </row>
    <row r="1816" ht="18" customHeight="1">
      <c r="A1816" s="62" t="n"/>
      <c r="B1816" s="63" t="n"/>
      <c r="C1816" s="64" t="n"/>
      <c r="D1816" s="64" t="n"/>
      <c r="E1816" s="63" t="n"/>
    </row>
    <row r="1817" ht="18" customHeight="1">
      <c r="A1817" s="62" t="n"/>
      <c r="B1817" s="63" t="n"/>
      <c r="C1817" s="64" t="n"/>
      <c r="D1817" s="64" t="n"/>
      <c r="E1817" s="63" t="n"/>
    </row>
    <row r="1818" ht="18" customHeight="1">
      <c r="A1818" s="62" t="n"/>
      <c r="B1818" s="63" t="n"/>
      <c r="C1818" s="64" t="n"/>
      <c r="D1818" s="64" t="n"/>
      <c r="E1818" s="63" t="n"/>
    </row>
    <row r="1819" ht="18" customHeight="1">
      <c r="A1819" s="62" t="n"/>
      <c r="B1819" s="63" t="n"/>
      <c r="C1819" s="64" t="n"/>
      <c r="D1819" s="64" t="n"/>
      <c r="E1819" s="63" t="n"/>
    </row>
    <row r="1820" ht="18" customHeight="1">
      <c r="A1820" s="62" t="n"/>
      <c r="B1820" s="63" t="n"/>
      <c r="C1820" s="64" t="n"/>
      <c r="D1820" s="64" t="n"/>
      <c r="E1820" s="63" t="n"/>
    </row>
    <row r="1821" ht="18" customHeight="1">
      <c r="A1821" s="62" t="n"/>
      <c r="B1821" s="63" t="n"/>
      <c r="C1821" s="64" t="n"/>
      <c r="D1821" s="64" t="n"/>
      <c r="E1821" s="63" t="n"/>
    </row>
    <row r="1822" ht="18" customHeight="1">
      <c r="A1822" s="62" t="n"/>
      <c r="B1822" s="63" t="n"/>
      <c r="C1822" s="64" t="n"/>
      <c r="D1822" s="64" t="n"/>
      <c r="E1822" s="63" t="n"/>
    </row>
    <row r="1823" ht="18" customHeight="1">
      <c r="A1823" s="62" t="n"/>
      <c r="B1823" s="63" t="n"/>
      <c r="C1823" s="64" t="n"/>
      <c r="D1823" s="64" t="n"/>
      <c r="E1823" s="63" t="n"/>
    </row>
    <row r="1824" ht="18" customHeight="1">
      <c r="A1824" s="62" t="n"/>
      <c r="B1824" s="63" t="n"/>
      <c r="C1824" s="64" t="n"/>
      <c r="D1824" s="64" t="n"/>
      <c r="E1824" s="63" t="n"/>
    </row>
    <row r="1825" ht="18" customHeight="1">
      <c r="A1825" s="62" t="n"/>
      <c r="B1825" s="63" t="n"/>
      <c r="C1825" s="64" t="n"/>
      <c r="D1825" s="64" t="n"/>
      <c r="E1825" s="63" t="n"/>
    </row>
    <row r="1826" ht="18" customHeight="1">
      <c r="A1826" s="62" t="n"/>
      <c r="B1826" s="63" t="n"/>
      <c r="C1826" s="64" t="n"/>
      <c r="D1826" s="64" t="n"/>
      <c r="E1826" s="63" t="n"/>
    </row>
    <row r="1827" ht="18" customHeight="1">
      <c r="A1827" s="62" t="n"/>
      <c r="B1827" s="63" t="n"/>
      <c r="C1827" s="64" t="n"/>
      <c r="D1827" s="64" t="n"/>
      <c r="E1827" s="63" t="n"/>
    </row>
    <row r="1828" ht="18" customHeight="1">
      <c r="A1828" s="62" t="n"/>
      <c r="B1828" s="63" t="n"/>
      <c r="C1828" s="64" t="n"/>
      <c r="D1828" s="64" t="n"/>
      <c r="E1828" s="63" t="n"/>
    </row>
    <row r="1829" ht="18" customHeight="1">
      <c r="A1829" s="62" t="n"/>
      <c r="B1829" s="63" t="n"/>
      <c r="C1829" s="64" t="n"/>
      <c r="D1829" s="64" t="n"/>
      <c r="E1829" s="63" t="n"/>
    </row>
    <row r="1830" ht="18" customHeight="1">
      <c r="A1830" s="62" t="n"/>
      <c r="B1830" s="63" t="n"/>
      <c r="C1830" s="64" t="n"/>
      <c r="D1830" s="64" t="n"/>
      <c r="E1830" s="63" t="n"/>
    </row>
    <row r="1831" ht="18" customHeight="1">
      <c r="A1831" s="62" t="n"/>
      <c r="B1831" s="63" t="n"/>
      <c r="C1831" s="64" t="n"/>
      <c r="D1831" s="64" t="n"/>
      <c r="E1831" s="63" t="n"/>
    </row>
    <row r="1832" ht="18" customHeight="1">
      <c r="A1832" s="62" t="n"/>
      <c r="B1832" s="63" t="n"/>
      <c r="C1832" s="64" t="n"/>
      <c r="D1832" s="64" t="n"/>
      <c r="E1832" s="63" t="n"/>
    </row>
    <row r="1833" ht="18" customHeight="1">
      <c r="A1833" s="62" t="n"/>
      <c r="B1833" s="63" t="n"/>
      <c r="C1833" s="64" t="n"/>
      <c r="D1833" s="64" t="n"/>
      <c r="E1833" s="63" t="n"/>
    </row>
    <row r="1834" ht="18" customHeight="1">
      <c r="A1834" s="62" t="n"/>
      <c r="B1834" s="63" t="n"/>
      <c r="C1834" s="64" t="n"/>
      <c r="D1834" s="64" t="n"/>
      <c r="E1834" s="63" t="n"/>
    </row>
    <row r="1835" ht="18" customHeight="1">
      <c r="A1835" s="62" t="n"/>
      <c r="B1835" s="63" t="n"/>
      <c r="C1835" s="64" t="n"/>
      <c r="D1835" s="64" t="n"/>
      <c r="E1835" s="63" t="n"/>
    </row>
    <row r="1836" ht="18" customHeight="1">
      <c r="A1836" s="62" t="n"/>
      <c r="B1836" s="63" t="n"/>
      <c r="C1836" s="64" t="n"/>
      <c r="D1836" s="64" t="n"/>
      <c r="E1836" s="63" t="n"/>
    </row>
    <row r="1837" ht="18" customHeight="1">
      <c r="A1837" s="62" t="n"/>
      <c r="B1837" s="63" t="n"/>
      <c r="C1837" s="64" t="n"/>
      <c r="D1837" s="64" t="n"/>
      <c r="E1837" s="63" t="n"/>
    </row>
    <row r="1838" ht="18" customHeight="1">
      <c r="A1838" s="62" t="n"/>
      <c r="B1838" s="63" t="n"/>
      <c r="C1838" s="64" t="n"/>
      <c r="D1838" s="64" t="n"/>
      <c r="E1838" s="63" t="n"/>
    </row>
    <row r="1839" ht="18" customHeight="1">
      <c r="A1839" s="62" t="n"/>
      <c r="B1839" s="63" t="n"/>
      <c r="C1839" s="64" t="n"/>
      <c r="D1839" s="64" t="n"/>
      <c r="E1839" s="63" t="n"/>
    </row>
    <row r="1840" ht="18" customHeight="1">
      <c r="A1840" s="62" t="n"/>
      <c r="B1840" s="63" t="n"/>
      <c r="C1840" s="64" t="n"/>
      <c r="D1840" s="64" t="n"/>
      <c r="E1840" s="63" t="n"/>
    </row>
    <row r="1841" ht="18" customHeight="1">
      <c r="A1841" s="62" t="n"/>
      <c r="B1841" s="63" t="n"/>
      <c r="C1841" s="64" t="n"/>
      <c r="D1841" s="64" t="n"/>
      <c r="E1841" s="63" t="n"/>
    </row>
    <row r="1842" ht="18" customHeight="1">
      <c r="A1842" s="62" t="n"/>
      <c r="B1842" s="63" t="n"/>
      <c r="C1842" s="64" t="n"/>
      <c r="D1842" s="64" t="n"/>
      <c r="E1842" s="63" t="n"/>
    </row>
    <row r="1843" ht="18" customHeight="1">
      <c r="A1843" s="62" t="n"/>
      <c r="B1843" s="63" t="n"/>
      <c r="C1843" s="64" t="n"/>
      <c r="D1843" s="64" t="n"/>
      <c r="E1843" s="63" t="n"/>
    </row>
    <row r="1844" ht="18" customHeight="1">
      <c r="A1844" s="62" t="n"/>
      <c r="B1844" s="63" t="n"/>
      <c r="C1844" s="64" t="n"/>
      <c r="D1844" s="64" t="n"/>
      <c r="E1844" s="63" t="n"/>
    </row>
    <row r="1845" ht="18" customHeight="1">
      <c r="A1845" s="62" t="n"/>
      <c r="B1845" s="63" t="n"/>
      <c r="C1845" s="64" t="n"/>
      <c r="D1845" s="64" t="n"/>
      <c r="E1845" s="63" t="n"/>
    </row>
    <row r="1846" ht="18" customHeight="1">
      <c r="A1846" s="62" t="n"/>
      <c r="B1846" s="63" t="n"/>
      <c r="C1846" s="64" t="n"/>
      <c r="D1846" s="64" t="n"/>
      <c r="E1846" s="63" t="n"/>
    </row>
    <row r="1847" ht="18" customHeight="1">
      <c r="A1847" s="62" t="n"/>
      <c r="B1847" s="63" t="n"/>
      <c r="C1847" s="64" t="n"/>
      <c r="D1847" s="64" t="n"/>
      <c r="E1847" s="63" t="n"/>
    </row>
    <row r="1848" ht="18" customHeight="1">
      <c r="A1848" s="62" t="n"/>
      <c r="B1848" s="63" t="n"/>
      <c r="C1848" s="64" t="n"/>
      <c r="D1848" s="64" t="n"/>
      <c r="E1848" s="63" t="n"/>
    </row>
    <row r="1849" ht="18" customHeight="1">
      <c r="A1849" s="62" t="n"/>
      <c r="B1849" s="63" t="n"/>
      <c r="C1849" s="64" t="n"/>
      <c r="D1849" s="64" t="n"/>
      <c r="E1849" s="63" t="n"/>
    </row>
    <row r="1850" ht="18" customHeight="1">
      <c r="A1850" s="62" t="n"/>
      <c r="B1850" s="63" t="n"/>
      <c r="C1850" s="64" t="n"/>
      <c r="D1850" s="64" t="n"/>
      <c r="E1850" s="63" t="n"/>
    </row>
    <row r="1851" ht="18" customHeight="1">
      <c r="A1851" s="62" t="n"/>
      <c r="B1851" s="63" t="n"/>
      <c r="C1851" s="64" t="n"/>
      <c r="D1851" s="64" t="n"/>
      <c r="E1851" s="63" t="n"/>
    </row>
    <row r="1852" ht="18" customHeight="1">
      <c r="A1852" s="62" t="n"/>
      <c r="B1852" s="63" t="n"/>
      <c r="C1852" s="64" t="n"/>
      <c r="D1852" s="64" t="n"/>
      <c r="E1852" s="63" t="n"/>
    </row>
    <row r="1853" ht="18" customHeight="1">
      <c r="A1853" s="62" t="n"/>
      <c r="B1853" s="63" t="n"/>
      <c r="C1853" s="64" t="n"/>
      <c r="D1853" s="64" t="n"/>
      <c r="E1853" s="63" t="n"/>
    </row>
    <row r="1854" ht="18" customHeight="1">
      <c r="A1854" s="62" t="n"/>
      <c r="B1854" s="63" t="n"/>
      <c r="C1854" s="64" t="n"/>
      <c r="D1854" s="64" t="n"/>
      <c r="E1854" s="63" t="n"/>
    </row>
    <row r="1855" ht="18" customHeight="1">
      <c r="A1855" s="62" t="n"/>
      <c r="B1855" s="63" t="n"/>
      <c r="C1855" s="64" t="n"/>
      <c r="D1855" s="64" t="n"/>
      <c r="E1855" s="63" t="n"/>
    </row>
    <row r="1856" ht="18" customHeight="1">
      <c r="A1856" s="62" t="n"/>
      <c r="B1856" s="63" t="n"/>
      <c r="C1856" s="64" t="n"/>
      <c r="D1856" s="64" t="n"/>
      <c r="E1856" s="63" t="n"/>
    </row>
    <row r="1857" ht="18" customHeight="1">
      <c r="A1857" s="62" t="n"/>
      <c r="B1857" s="63" t="n"/>
      <c r="C1857" s="64" t="n"/>
      <c r="D1857" s="64" t="n"/>
      <c r="E1857" s="63" t="n"/>
    </row>
    <row r="1858" ht="18" customHeight="1">
      <c r="A1858" s="62" t="n"/>
      <c r="B1858" s="63" t="n"/>
      <c r="C1858" s="64" t="n"/>
      <c r="D1858" s="64" t="n"/>
      <c r="E1858" s="63" t="n"/>
    </row>
    <row r="1859" ht="18" customHeight="1">
      <c r="A1859" s="62" t="n"/>
      <c r="B1859" s="63" t="n"/>
      <c r="C1859" s="64" t="n"/>
      <c r="D1859" s="64" t="n"/>
      <c r="E1859" s="63" t="n"/>
    </row>
    <row r="1860" ht="18" customHeight="1">
      <c r="A1860" s="62" t="n"/>
      <c r="B1860" s="63" t="n"/>
      <c r="C1860" s="64" t="n"/>
      <c r="D1860" s="64" t="n"/>
      <c r="E1860" s="63" t="n"/>
    </row>
    <row r="1861" ht="18" customHeight="1">
      <c r="A1861" s="62" t="n"/>
      <c r="B1861" s="63" t="n"/>
      <c r="C1861" s="64" t="n"/>
      <c r="D1861" s="64" t="n"/>
      <c r="E1861" s="63" t="n"/>
    </row>
    <row r="1862" ht="18" customHeight="1">
      <c r="A1862" s="62" t="n"/>
      <c r="B1862" s="63" t="n"/>
      <c r="C1862" s="64" t="n"/>
      <c r="D1862" s="64" t="n"/>
      <c r="E1862" s="63" t="n"/>
    </row>
    <row r="1863" ht="18" customHeight="1">
      <c r="A1863" s="62" t="n"/>
      <c r="B1863" s="63" t="n"/>
      <c r="C1863" s="64" t="n"/>
      <c r="D1863" s="64" t="n"/>
      <c r="E1863" s="63" t="n"/>
    </row>
    <row r="1864" ht="18" customHeight="1">
      <c r="A1864" s="62" t="n"/>
      <c r="B1864" s="63" t="n"/>
      <c r="C1864" s="64" t="n"/>
      <c r="D1864" s="64" t="n"/>
      <c r="E1864" s="63" t="n"/>
    </row>
    <row r="1865" ht="18" customHeight="1">
      <c r="A1865" s="62" t="n"/>
      <c r="B1865" s="63" t="n"/>
      <c r="C1865" s="64" t="n"/>
      <c r="D1865" s="64" t="n"/>
      <c r="E1865" s="63" t="n"/>
    </row>
    <row r="1866" ht="18" customHeight="1">
      <c r="A1866" s="62" t="n"/>
      <c r="B1866" s="63" t="n"/>
      <c r="C1866" s="64" t="n"/>
      <c r="D1866" s="64" t="n"/>
      <c r="E1866" s="63" t="n"/>
    </row>
    <row r="1867" ht="18" customHeight="1">
      <c r="A1867" s="62" t="n"/>
      <c r="B1867" s="63" t="n"/>
      <c r="C1867" s="64" t="n"/>
      <c r="D1867" s="64" t="n"/>
      <c r="E1867" s="63" t="n"/>
    </row>
    <row r="1868" ht="18" customHeight="1">
      <c r="A1868" s="62" t="n"/>
      <c r="B1868" s="63" t="n"/>
      <c r="C1868" s="64" t="n"/>
      <c r="D1868" s="64" t="n"/>
      <c r="E1868" s="63" t="n"/>
    </row>
    <row r="1869" ht="18" customHeight="1">
      <c r="A1869" s="62" t="n"/>
      <c r="B1869" s="63" t="n"/>
      <c r="C1869" s="64" t="n"/>
      <c r="D1869" s="64" t="n"/>
      <c r="E1869" s="63" t="n"/>
    </row>
    <row r="1870" ht="18" customHeight="1">
      <c r="A1870" s="62" t="n"/>
      <c r="B1870" s="63" t="n"/>
      <c r="C1870" s="64" t="n"/>
      <c r="D1870" s="64" t="n"/>
      <c r="E1870" s="63" t="n"/>
    </row>
    <row r="1871" ht="18" customHeight="1">
      <c r="A1871" s="62" t="n"/>
      <c r="B1871" s="63" t="n"/>
      <c r="C1871" s="64" t="n"/>
      <c r="D1871" s="64" t="n"/>
      <c r="E1871" s="63" t="n"/>
    </row>
    <row r="1872" ht="18" customHeight="1">
      <c r="A1872" s="62" t="n"/>
      <c r="B1872" s="63" t="n"/>
      <c r="C1872" s="64" t="n"/>
      <c r="D1872" s="64" t="n"/>
      <c r="E1872" s="63" t="n"/>
    </row>
    <row r="1873" ht="18" customHeight="1">
      <c r="A1873" s="62" t="n"/>
      <c r="B1873" s="63" t="n"/>
      <c r="C1873" s="64" t="n"/>
      <c r="D1873" s="64" t="n"/>
      <c r="E1873" s="63" t="n"/>
    </row>
    <row r="1874" ht="18" customHeight="1">
      <c r="A1874" s="62" t="n"/>
      <c r="B1874" s="63" t="n"/>
      <c r="C1874" s="64" t="n"/>
      <c r="D1874" s="64" t="n"/>
      <c r="E1874" s="63" t="n"/>
    </row>
    <row r="1875" ht="18" customHeight="1">
      <c r="A1875" s="62" t="n"/>
      <c r="B1875" s="63" t="n"/>
      <c r="C1875" s="64" t="n"/>
      <c r="D1875" s="64" t="n"/>
      <c r="E1875" s="63" t="n"/>
    </row>
    <row r="1876" ht="18" customHeight="1">
      <c r="A1876" s="62" t="n"/>
      <c r="B1876" s="63" t="n"/>
      <c r="C1876" s="64" t="n"/>
      <c r="D1876" s="64" t="n"/>
      <c r="E1876" s="63" t="n"/>
    </row>
    <row r="1877" ht="18" customHeight="1">
      <c r="A1877" s="62" t="n"/>
      <c r="B1877" s="63" t="n"/>
      <c r="C1877" s="64" t="n"/>
      <c r="D1877" s="64" t="n"/>
      <c r="E1877" s="63" t="n"/>
    </row>
    <row r="1878" ht="18" customHeight="1">
      <c r="A1878" s="62" t="n"/>
      <c r="B1878" s="63" t="n"/>
      <c r="C1878" s="64" t="n"/>
      <c r="D1878" s="64" t="n"/>
      <c r="E1878" s="63" t="n"/>
    </row>
    <row r="1879" ht="18" customHeight="1">
      <c r="A1879" s="62" t="n"/>
      <c r="B1879" s="63" t="n"/>
      <c r="C1879" s="64" t="n"/>
      <c r="D1879" s="64" t="n"/>
      <c r="E1879" s="63" t="n"/>
    </row>
    <row r="1880" ht="18" customHeight="1">
      <c r="A1880" s="62" t="n"/>
      <c r="B1880" s="63" t="n"/>
      <c r="C1880" s="64" t="n"/>
      <c r="D1880" s="64" t="n"/>
      <c r="E1880" s="63" t="n"/>
    </row>
    <row r="1881" ht="18" customHeight="1">
      <c r="A1881" s="62" t="n"/>
      <c r="B1881" s="63" t="n"/>
      <c r="C1881" s="64" t="n"/>
      <c r="D1881" s="64" t="n"/>
      <c r="E1881" s="63" t="n"/>
    </row>
    <row r="1882" ht="18" customHeight="1">
      <c r="A1882" s="62" t="n"/>
      <c r="B1882" s="63" t="n"/>
      <c r="C1882" s="64" t="n"/>
      <c r="D1882" s="64" t="n"/>
      <c r="E1882" s="63" t="n"/>
    </row>
    <row r="1883" ht="18" customHeight="1">
      <c r="A1883" s="62" t="n"/>
      <c r="B1883" s="63" t="n"/>
      <c r="C1883" s="64" t="n"/>
      <c r="D1883" s="64" t="n"/>
      <c r="E1883" s="63" t="n"/>
    </row>
    <row r="1884" ht="18" customHeight="1">
      <c r="A1884" s="62" t="n"/>
      <c r="B1884" s="63" t="n"/>
      <c r="C1884" s="64" t="n"/>
      <c r="D1884" s="64" t="n"/>
      <c r="E1884" s="63" t="n"/>
    </row>
    <row r="1885" ht="18" customHeight="1">
      <c r="A1885" s="62" t="n"/>
      <c r="B1885" s="63" t="n"/>
      <c r="C1885" s="64" t="n"/>
      <c r="D1885" s="64" t="n"/>
      <c r="E1885" s="63" t="n"/>
    </row>
    <row r="1886" ht="18" customHeight="1">
      <c r="A1886" s="62" t="n"/>
      <c r="B1886" s="63" t="n"/>
      <c r="C1886" s="64" t="n"/>
      <c r="D1886" s="64" t="n"/>
      <c r="E1886" s="63" t="n"/>
    </row>
    <row r="1887" ht="18" customHeight="1">
      <c r="A1887" s="62" t="n"/>
      <c r="B1887" s="63" t="n"/>
      <c r="C1887" s="64" t="n"/>
      <c r="D1887" s="64" t="n"/>
      <c r="E1887" s="63" t="n"/>
    </row>
    <row r="1888" ht="18" customHeight="1">
      <c r="A1888" s="62" t="n"/>
      <c r="B1888" s="63" t="n"/>
      <c r="C1888" s="64" t="n"/>
      <c r="D1888" s="64" t="n"/>
      <c r="E1888" s="63" t="n"/>
    </row>
    <row r="1889" ht="18" customHeight="1">
      <c r="A1889" s="62" t="n"/>
      <c r="B1889" s="63" t="n"/>
      <c r="C1889" s="64" t="n"/>
      <c r="D1889" s="64" t="n"/>
      <c r="E1889" s="63" t="n"/>
    </row>
    <row r="1890" ht="18" customHeight="1">
      <c r="A1890" s="62" t="n"/>
      <c r="B1890" s="63" t="n"/>
      <c r="C1890" s="64" t="n"/>
      <c r="D1890" s="64" t="n"/>
      <c r="E1890" s="63" t="n"/>
    </row>
    <row r="1891" ht="18" customHeight="1">
      <c r="A1891" s="62" t="n"/>
      <c r="B1891" s="63" t="n"/>
      <c r="C1891" s="64" t="n"/>
      <c r="D1891" s="64" t="n"/>
      <c r="E1891" s="63" t="n"/>
    </row>
    <row r="1892" ht="18" customHeight="1">
      <c r="A1892" s="62" t="n"/>
      <c r="B1892" s="63" t="n"/>
      <c r="C1892" s="64" t="n"/>
      <c r="D1892" s="64" t="n"/>
      <c r="E1892" s="63" t="n"/>
    </row>
    <row r="1893" ht="18" customHeight="1">
      <c r="A1893" s="62" t="n"/>
      <c r="B1893" s="63" t="n"/>
      <c r="C1893" s="64" t="n"/>
      <c r="D1893" s="64" t="n"/>
      <c r="E1893" s="63" t="n"/>
    </row>
    <row r="1894" ht="18" customHeight="1">
      <c r="A1894" s="62" t="n"/>
      <c r="B1894" s="63" t="n"/>
      <c r="C1894" s="64" t="n"/>
      <c r="D1894" s="64" t="n"/>
      <c r="E1894" s="63" t="n"/>
    </row>
    <row r="1895" ht="18" customHeight="1">
      <c r="A1895" s="62" t="n"/>
      <c r="B1895" s="63" t="n"/>
      <c r="C1895" s="64" t="n"/>
      <c r="D1895" s="64" t="n"/>
      <c r="E1895" s="63" t="n"/>
    </row>
    <row r="1896" ht="18" customHeight="1">
      <c r="A1896" s="62" t="n"/>
      <c r="B1896" s="63" t="n"/>
      <c r="C1896" s="64" t="n"/>
      <c r="D1896" s="64" t="n"/>
      <c r="E1896" s="63" t="n"/>
    </row>
    <row r="1897" ht="18" customHeight="1">
      <c r="A1897" s="62" t="n"/>
      <c r="B1897" s="63" t="n"/>
      <c r="C1897" s="64" t="n"/>
      <c r="D1897" s="64" t="n"/>
      <c r="E1897" s="63" t="n"/>
    </row>
    <row r="1898" ht="18" customHeight="1">
      <c r="A1898" s="62" t="n"/>
      <c r="B1898" s="63" t="n"/>
      <c r="C1898" s="64" t="n"/>
      <c r="D1898" s="64" t="n"/>
      <c r="E1898" s="63" t="n"/>
    </row>
    <row r="1899" ht="18" customHeight="1">
      <c r="A1899" s="62" t="n"/>
      <c r="B1899" s="63" t="n"/>
      <c r="C1899" s="64" t="n"/>
      <c r="D1899" s="64" t="n"/>
      <c r="E1899" s="63" t="n"/>
    </row>
    <row r="1900" ht="18" customHeight="1">
      <c r="A1900" s="62" t="n"/>
      <c r="B1900" s="63" t="n"/>
      <c r="C1900" s="64" t="n"/>
      <c r="D1900" s="64" t="n"/>
      <c r="E1900" s="63" t="n"/>
    </row>
    <row r="1901" ht="18" customHeight="1">
      <c r="A1901" s="62" t="n"/>
      <c r="B1901" s="63" t="n"/>
      <c r="C1901" s="64" t="n"/>
      <c r="D1901" s="64" t="n"/>
      <c r="E1901" s="63" t="n"/>
    </row>
    <row r="1902" ht="18" customHeight="1">
      <c r="A1902" s="62" t="n"/>
      <c r="B1902" s="63" t="n"/>
      <c r="C1902" s="64" t="n"/>
      <c r="D1902" s="64" t="n"/>
      <c r="E1902" s="63" t="n"/>
    </row>
    <row r="1903" ht="18" customHeight="1">
      <c r="A1903" s="62" t="n"/>
      <c r="B1903" s="63" t="n"/>
      <c r="C1903" s="64" t="n"/>
      <c r="D1903" s="64" t="n"/>
      <c r="E1903" s="63" t="n"/>
    </row>
    <row r="1904" ht="18" customHeight="1">
      <c r="A1904" s="62" t="n"/>
      <c r="B1904" s="63" t="n"/>
      <c r="C1904" s="64" t="n"/>
      <c r="D1904" s="64" t="n"/>
      <c r="E1904" s="63" t="n"/>
    </row>
    <row r="1905" ht="18" customHeight="1">
      <c r="A1905" s="62" t="n"/>
      <c r="B1905" s="63" t="n"/>
      <c r="C1905" s="64" t="n"/>
      <c r="D1905" s="64" t="n"/>
      <c r="E1905" s="63" t="n"/>
    </row>
    <row r="1906" ht="18" customHeight="1">
      <c r="A1906" s="62" t="n"/>
      <c r="B1906" s="63" t="n"/>
      <c r="C1906" s="64" t="n"/>
      <c r="D1906" s="64" t="n"/>
      <c r="E1906" s="63" t="n"/>
    </row>
    <row r="1907" ht="18" customHeight="1">
      <c r="A1907" s="62" t="n"/>
      <c r="B1907" s="63" t="n"/>
      <c r="C1907" s="64" t="n"/>
      <c r="D1907" s="64" t="n"/>
      <c r="E1907" s="63" t="n"/>
    </row>
    <row r="1908" ht="18" customHeight="1">
      <c r="A1908" s="62" t="n"/>
      <c r="B1908" s="63" t="n"/>
      <c r="C1908" s="64" t="n"/>
      <c r="D1908" s="64" t="n"/>
      <c r="E1908" s="63" t="n"/>
    </row>
    <row r="1909" ht="18" customHeight="1">
      <c r="A1909" s="62" t="n"/>
      <c r="B1909" s="63" t="n"/>
      <c r="C1909" s="64" t="n"/>
      <c r="D1909" s="64" t="n"/>
      <c r="E1909" s="63" t="n"/>
    </row>
    <row r="1910" ht="18" customHeight="1">
      <c r="A1910" s="62" t="n"/>
      <c r="B1910" s="63" t="n"/>
      <c r="C1910" s="64" t="n"/>
      <c r="D1910" s="64" t="n"/>
      <c r="E1910" s="63" t="n"/>
    </row>
    <row r="1911" ht="18" customHeight="1">
      <c r="A1911" s="62" t="n"/>
      <c r="B1911" s="63" t="n"/>
      <c r="C1911" s="64" t="n"/>
      <c r="D1911" s="64" t="n"/>
      <c r="E1911" s="63" t="n"/>
    </row>
    <row r="1912" ht="18" customHeight="1">
      <c r="A1912" s="62" t="n"/>
      <c r="B1912" s="63" t="n"/>
      <c r="C1912" s="64" t="n"/>
      <c r="D1912" s="64" t="n"/>
      <c r="E1912" s="63" t="n"/>
    </row>
    <row r="1913" ht="18" customHeight="1">
      <c r="A1913" s="62" t="n"/>
      <c r="B1913" s="63" t="n"/>
      <c r="C1913" s="64" t="n"/>
      <c r="D1913" s="64" t="n"/>
      <c r="E1913" s="63" t="n"/>
    </row>
    <row r="1914" ht="18" customHeight="1">
      <c r="A1914" s="62" t="n"/>
      <c r="B1914" s="63" t="n"/>
      <c r="C1914" s="64" t="n"/>
      <c r="D1914" s="64" t="n"/>
      <c r="E1914" s="63" t="n"/>
    </row>
    <row r="1915" ht="18" customHeight="1">
      <c r="A1915" s="62" t="n"/>
      <c r="B1915" s="63" t="n"/>
      <c r="C1915" s="64" t="n"/>
      <c r="D1915" s="64" t="n"/>
      <c r="E1915" s="63" t="n"/>
    </row>
    <row r="1916" ht="18" customHeight="1">
      <c r="A1916" s="62" t="n"/>
      <c r="B1916" s="63" t="n"/>
      <c r="C1916" s="64" t="n"/>
      <c r="D1916" s="64" t="n"/>
      <c r="E1916" s="63" t="n"/>
    </row>
    <row r="1917" ht="18" customHeight="1">
      <c r="A1917" s="62" t="n"/>
      <c r="B1917" s="63" t="n"/>
      <c r="C1917" s="64" t="n"/>
      <c r="D1917" s="64" t="n"/>
      <c r="E1917" s="63" t="n"/>
    </row>
    <row r="1918" ht="18" customHeight="1">
      <c r="A1918" s="62" t="n"/>
      <c r="B1918" s="63" t="n"/>
      <c r="C1918" s="64" t="n"/>
      <c r="D1918" s="64" t="n"/>
      <c r="E1918" s="63" t="n"/>
    </row>
    <row r="1919" ht="18" customHeight="1">
      <c r="A1919" s="62" t="n"/>
      <c r="B1919" s="63" t="n"/>
      <c r="C1919" s="64" t="n"/>
      <c r="D1919" s="64" t="n"/>
      <c r="E1919" s="63" t="n"/>
    </row>
    <row r="1920" ht="18" customHeight="1">
      <c r="A1920" s="62" t="n"/>
      <c r="B1920" s="63" t="n"/>
      <c r="C1920" s="64" t="n"/>
      <c r="D1920" s="64" t="n"/>
      <c r="E1920" s="63" t="n"/>
    </row>
    <row r="1921" ht="18" customHeight="1">
      <c r="A1921" s="62" t="n"/>
      <c r="B1921" s="63" t="n"/>
      <c r="C1921" s="64" t="n"/>
      <c r="D1921" s="64" t="n"/>
      <c r="E1921" s="63" t="n"/>
    </row>
    <row r="1922" ht="18" customHeight="1">
      <c r="A1922" s="62" t="n"/>
      <c r="B1922" s="63" t="n"/>
      <c r="C1922" s="64" t="n"/>
      <c r="D1922" s="64" t="n"/>
      <c r="E1922" s="63" t="n"/>
    </row>
    <row r="1923" ht="18" customHeight="1">
      <c r="A1923" s="62" t="n"/>
      <c r="B1923" s="63" t="n"/>
      <c r="C1923" s="64" t="n"/>
      <c r="D1923" s="64" t="n"/>
      <c r="E1923" s="63" t="n"/>
    </row>
    <row r="1924" ht="18" customHeight="1">
      <c r="A1924" s="62" t="n"/>
      <c r="B1924" s="63" t="n"/>
      <c r="C1924" s="64" t="n"/>
      <c r="D1924" s="64" t="n"/>
      <c r="E1924" s="63" t="n"/>
    </row>
    <row r="1925" ht="18" customHeight="1">
      <c r="A1925" s="62" t="n"/>
      <c r="B1925" s="63" t="n"/>
      <c r="C1925" s="64" t="n"/>
      <c r="D1925" s="64" t="n"/>
      <c r="E1925" s="63" t="n"/>
    </row>
    <row r="1926" ht="18" customHeight="1">
      <c r="A1926" s="62" t="n"/>
      <c r="B1926" s="63" t="n"/>
      <c r="C1926" s="64" t="n"/>
      <c r="D1926" s="64" t="n"/>
      <c r="E1926" s="63" t="n"/>
    </row>
    <row r="1927" ht="18" customHeight="1">
      <c r="A1927" s="62" t="n"/>
      <c r="B1927" s="63" t="n"/>
      <c r="C1927" s="64" t="n"/>
      <c r="D1927" s="64" t="n"/>
      <c r="E1927" s="63" t="n"/>
    </row>
    <row r="1928" ht="18" customHeight="1">
      <c r="A1928" s="62" t="n"/>
      <c r="B1928" s="63" t="n"/>
      <c r="C1928" s="64" t="n"/>
      <c r="D1928" s="64" t="n"/>
      <c r="E1928" s="63" t="n"/>
    </row>
    <row r="1929" ht="18" customHeight="1">
      <c r="A1929" s="62" t="n"/>
      <c r="B1929" s="63" t="n"/>
      <c r="C1929" s="64" t="n"/>
      <c r="D1929" s="64" t="n"/>
      <c r="E1929" s="63" t="n"/>
    </row>
    <row r="1930" ht="18" customHeight="1">
      <c r="A1930" s="62" t="n"/>
      <c r="B1930" s="63" t="n"/>
      <c r="C1930" s="64" t="n"/>
      <c r="D1930" s="64" t="n"/>
      <c r="E1930" s="63" t="n"/>
    </row>
    <row r="1931" ht="18" customHeight="1">
      <c r="A1931" s="62" t="n"/>
      <c r="B1931" s="63" t="n"/>
      <c r="C1931" s="64" t="n"/>
      <c r="D1931" s="64" t="n"/>
      <c r="E1931" s="63" t="n"/>
    </row>
    <row r="1932" ht="18" customHeight="1">
      <c r="A1932" s="62" t="n"/>
      <c r="B1932" s="63" t="n"/>
      <c r="C1932" s="64" t="n"/>
      <c r="D1932" s="64" t="n"/>
      <c r="E1932" s="63" t="n"/>
    </row>
    <row r="1933" ht="18" customHeight="1">
      <c r="A1933" s="62" t="n"/>
      <c r="B1933" s="63" t="n"/>
      <c r="C1933" s="64" t="n"/>
      <c r="D1933" s="64" t="n"/>
      <c r="E1933" s="63" t="n"/>
    </row>
    <row r="1934" ht="18" customHeight="1">
      <c r="A1934" s="62" t="n"/>
      <c r="B1934" s="63" t="n"/>
      <c r="C1934" s="64" t="n"/>
      <c r="D1934" s="64" t="n"/>
      <c r="E1934" s="63" t="n"/>
    </row>
    <row r="1935" ht="18" customHeight="1">
      <c r="A1935" s="62" t="n"/>
      <c r="B1935" s="63" t="n"/>
      <c r="C1935" s="64" t="n"/>
      <c r="D1935" s="64" t="n"/>
      <c r="E1935" s="63" t="n"/>
    </row>
    <row r="1936" ht="18" customHeight="1">
      <c r="A1936" s="62" t="n"/>
      <c r="B1936" s="63" t="n"/>
      <c r="C1936" s="64" t="n"/>
      <c r="D1936" s="64" t="n"/>
      <c r="E1936" s="63" t="n"/>
    </row>
    <row r="1937" ht="18" customHeight="1">
      <c r="A1937" s="62" t="n"/>
      <c r="B1937" s="63" t="n"/>
      <c r="C1937" s="64" t="n"/>
      <c r="D1937" s="64" t="n"/>
      <c r="E1937" s="63" t="n"/>
    </row>
    <row r="1938" ht="18" customHeight="1">
      <c r="A1938" s="62" t="n"/>
      <c r="B1938" s="63" t="n"/>
      <c r="C1938" s="64" t="n"/>
      <c r="D1938" s="64" t="n"/>
      <c r="E1938" s="63" t="n"/>
    </row>
    <row r="1939" ht="18" customHeight="1">
      <c r="A1939" s="62" t="n"/>
      <c r="B1939" s="63" t="n"/>
      <c r="C1939" s="64" t="n"/>
      <c r="D1939" s="64" t="n"/>
      <c r="E1939" s="63" t="n"/>
    </row>
    <row r="1940" ht="18" customHeight="1">
      <c r="A1940" s="62" t="n"/>
      <c r="B1940" s="63" t="n"/>
      <c r="C1940" s="64" t="n"/>
      <c r="D1940" s="64" t="n"/>
      <c r="E1940" s="63" t="n"/>
    </row>
    <row r="1941" ht="18" customHeight="1">
      <c r="A1941" s="62" t="n"/>
      <c r="B1941" s="63" t="n"/>
      <c r="C1941" s="64" t="n"/>
      <c r="D1941" s="64" t="n"/>
      <c r="E1941" s="63" t="n"/>
    </row>
    <row r="1942" ht="18" customHeight="1">
      <c r="A1942" s="62" t="n"/>
      <c r="B1942" s="63" t="n"/>
      <c r="C1942" s="64" t="n"/>
      <c r="D1942" s="64" t="n"/>
      <c r="E1942" s="63" t="n"/>
    </row>
    <row r="1943" ht="18" customHeight="1">
      <c r="A1943" s="62" t="n"/>
      <c r="B1943" s="63" t="n"/>
      <c r="C1943" s="64" t="n"/>
      <c r="D1943" s="64" t="n"/>
      <c r="E1943" s="63" t="n"/>
    </row>
    <row r="1944" ht="18" customHeight="1">
      <c r="A1944" s="62" t="n"/>
      <c r="B1944" s="63" t="n"/>
      <c r="C1944" s="64" t="n"/>
      <c r="D1944" s="64" t="n"/>
      <c r="E1944" s="63" t="n"/>
    </row>
    <row r="1945" ht="18" customHeight="1">
      <c r="A1945" s="62" t="n"/>
      <c r="B1945" s="63" t="n"/>
      <c r="C1945" s="64" t="n"/>
      <c r="D1945" s="64" t="n"/>
      <c r="E1945" s="63" t="n"/>
    </row>
    <row r="1946" ht="18" customHeight="1">
      <c r="A1946" s="62" t="n"/>
      <c r="B1946" s="63" t="n"/>
      <c r="C1946" s="64" t="n"/>
      <c r="D1946" s="64" t="n"/>
      <c r="E1946" s="63" t="n"/>
    </row>
    <row r="1947" ht="18" customHeight="1">
      <c r="A1947" s="62" t="n"/>
      <c r="B1947" s="63" t="n"/>
      <c r="C1947" s="64" t="n"/>
      <c r="D1947" s="64" t="n"/>
      <c r="E1947" s="63" t="n"/>
    </row>
    <row r="1948" ht="18" customHeight="1">
      <c r="A1948" s="62" t="n"/>
      <c r="B1948" s="63" t="n"/>
      <c r="C1948" s="64" t="n"/>
      <c r="D1948" s="64" t="n"/>
      <c r="E1948" s="63" t="n"/>
    </row>
    <row r="1949" ht="18" customHeight="1">
      <c r="A1949" s="62" t="n"/>
      <c r="B1949" s="63" t="n"/>
      <c r="C1949" s="64" t="n"/>
      <c r="D1949" s="64" t="n"/>
      <c r="E1949" s="63" t="n"/>
    </row>
    <row r="1950" ht="18" customHeight="1">
      <c r="A1950" s="62" t="n"/>
      <c r="B1950" s="63" t="n"/>
      <c r="C1950" s="64" t="n"/>
      <c r="D1950" s="64" t="n"/>
      <c r="E1950" s="63" t="n"/>
    </row>
    <row r="1951" ht="18" customHeight="1">
      <c r="A1951" s="62" t="n"/>
      <c r="B1951" s="63" t="n"/>
      <c r="C1951" s="64" t="n"/>
      <c r="D1951" s="64" t="n"/>
      <c r="E1951" s="63" t="n"/>
    </row>
    <row r="1952" ht="18" customHeight="1">
      <c r="A1952" s="62" t="n"/>
      <c r="B1952" s="63" t="n"/>
      <c r="C1952" s="64" t="n"/>
      <c r="D1952" s="64" t="n"/>
      <c r="E1952" s="63" t="n"/>
    </row>
    <row r="1953" ht="18" customHeight="1">
      <c r="A1953" s="62" t="n"/>
      <c r="B1953" s="63" t="n"/>
      <c r="C1953" s="64" t="n"/>
      <c r="D1953" s="64" t="n"/>
      <c r="E1953" s="63" t="n"/>
    </row>
    <row r="1954" ht="18" customHeight="1">
      <c r="A1954" s="62" t="n"/>
      <c r="B1954" s="63" t="n"/>
      <c r="C1954" s="64" t="n"/>
      <c r="D1954" s="64" t="n"/>
      <c r="E1954" s="63" t="n"/>
    </row>
    <row r="1955" ht="18" customHeight="1">
      <c r="A1955" s="62" t="n"/>
      <c r="B1955" s="63" t="n"/>
      <c r="C1955" s="64" t="n"/>
      <c r="D1955" s="64" t="n"/>
      <c r="E1955" s="63" t="n"/>
    </row>
    <row r="1956" ht="18" customHeight="1">
      <c r="A1956" s="62" t="n"/>
      <c r="B1956" s="63" t="n"/>
      <c r="C1956" s="64" t="n"/>
      <c r="D1956" s="64" t="n"/>
      <c r="E1956" s="63" t="n"/>
    </row>
    <row r="1957" ht="18" customHeight="1">
      <c r="A1957" s="62" t="n"/>
      <c r="B1957" s="63" t="n"/>
      <c r="C1957" s="64" t="n"/>
      <c r="D1957" s="64" t="n"/>
      <c r="E1957" s="63" t="n"/>
    </row>
    <row r="1958" ht="18" customHeight="1">
      <c r="A1958" s="62" t="n"/>
      <c r="B1958" s="63" t="n"/>
      <c r="C1958" s="64" t="n"/>
      <c r="D1958" s="64" t="n"/>
      <c r="E1958" s="63" t="n"/>
    </row>
    <row r="1959" ht="18" customHeight="1">
      <c r="A1959" s="62" t="n"/>
      <c r="B1959" s="63" t="n"/>
      <c r="C1959" s="64" t="n"/>
      <c r="D1959" s="64" t="n"/>
      <c r="E1959" s="63" t="n"/>
    </row>
    <row r="1960" ht="18" customHeight="1">
      <c r="A1960" s="62" t="n"/>
      <c r="B1960" s="63" t="n"/>
      <c r="C1960" s="64" t="n"/>
      <c r="D1960" s="64" t="n"/>
      <c r="E1960" s="63" t="n"/>
    </row>
    <row r="1961" ht="18" customHeight="1">
      <c r="A1961" s="62" t="n"/>
      <c r="B1961" s="63" t="n"/>
      <c r="C1961" s="64" t="n"/>
      <c r="D1961" s="64" t="n"/>
      <c r="E1961" s="63" t="n"/>
    </row>
    <row r="1962" ht="18" customHeight="1">
      <c r="A1962" s="62" t="n"/>
      <c r="B1962" s="63" t="n"/>
      <c r="C1962" s="64" t="n"/>
      <c r="D1962" s="64" t="n"/>
      <c r="E1962" s="63" t="n"/>
    </row>
    <row r="1963" ht="18" customHeight="1">
      <c r="A1963" s="62" t="n"/>
      <c r="B1963" s="63" t="n"/>
      <c r="C1963" s="64" t="n"/>
      <c r="D1963" s="64" t="n"/>
      <c r="E1963" s="63" t="n"/>
    </row>
    <row r="1964" ht="18" customHeight="1">
      <c r="A1964" s="62" t="n"/>
      <c r="B1964" s="63" t="n"/>
      <c r="C1964" s="64" t="n"/>
      <c r="D1964" s="64" t="n"/>
      <c r="E1964" s="63" t="n"/>
    </row>
    <row r="1965" ht="18" customHeight="1">
      <c r="A1965" s="62" t="n"/>
      <c r="B1965" s="63" t="n"/>
      <c r="C1965" s="64" t="n"/>
      <c r="D1965" s="64" t="n"/>
      <c r="E1965" s="63" t="n"/>
    </row>
    <row r="1966" ht="18" customHeight="1">
      <c r="A1966" s="62" t="n"/>
      <c r="B1966" s="63" t="n"/>
      <c r="C1966" s="64" t="n"/>
      <c r="D1966" s="64" t="n"/>
      <c r="E1966" s="63" t="n"/>
    </row>
    <row r="1967" ht="18" customHeight="1">
      <c r="A1967" s="62" t="n"/>
      <c r="B1967" s="63" t="n"/>
      <c r="C1967" s="64" t="n"/>
      <c r="D1967" s="64" t="n"/>
      <c r="E1967" s="63" t="n"/>
    </row>
    <row r="1968" ht="18" customHeight="1">
      <c r="A1968" s="62" t="n"/>
      <c r="B1968" s="63" t="n"/>
      <c r="C1968" s="64" t="n"/>
      <c r="D1968" s="64" t="n"/>
      <c r="E1968" s="63" t="n"/>
    </row>
    <row r="1969" ht="18" customHeight="1">
      <c r="A1969" s="62" t="n"/>
      <c r="B1969" s="63" t="n"/>
      <c r="C1969" s="64" t="n"/>
      <c r="D1969" s="64" t="n"/>
      <c r="E1969" s="63" t="n"/>
    </row>
    <row r="1970" ht="18" customHeight="1">
      <c r="A1970" s="62" t="n"/>
      <c r="B1970" s="63" t="n"/>
      <c r="C1970" s="64" t="n"/>
      <c r="D1970" s="64" t="n"/>
      <c r="E1970" s="63" t="n"/>
    </row>
    <row r="1971" ht="18" customHeight="1">
      <c r="A1971" s="62" t="n"/>
      <c r="B1971" s="63" t="n"/>
      <c r="C1971" s="64" t="n"/>
      <c r="D1971" s="64" t="n"/>
      <c r="E1971" s="63" t="n"/>
    </row>
    <row r="1972" ht="18" customHeight="1">
      <c r="A1972" s="62" t="n"/>
      <c r="B1972" s="63" t="n"/>
      <c r="C1972" s="64" t="n"/>
      <c r="D1972" s="64" t="n"/>
      <c r="E1972" s="63" t="n"/>
    </row>
    <row r="1973" ht="18" customHeight="1">
      <c r="A1973" s="62" t="n"/>
      <c r="B1973" s="63" t="n"/>
      <c r="C1973" s="64" t="n"/>
      <c r="D1973" s="64" t="n"/>
      <c r="E1973" s="63" t="n"/>
    </row>
    <row r="1974" ht="18" customHeight="1">
      <c r="A1974" s="62" t="n"/>
      <c r="B1974" s="63" t="n"/>
      <c r="C1974" s="64" t="n"/>
      <c r="D1974" s="64" t="n"/>
      <c r="E1974" s="63" t="n"/>
    </row>
    <row r="1975" ht="18" customHeight="1">
      <c r="A1975" s="62" t="n"/>
      <c r="B1975" s="63" t="n"/>
      <c r="C1975" s="64" t="n"/>
      <c r="D1975" s="64" t="n"/>
      <c r="E1975" s="63" t="n"/>
    </row>
    <row r="1976" ht="18" customHeight="1">
      <c r="A1976" s="62" t="n"/>
      <c r="B1976" s="63" t="n"/>
      <c r="C1976" s="64" t="n"/>
      <c r="D1976" s="64" t="n"/>
      <c r="E1976" s="63" t="n"/>
    </row>
    <row r="1977" ht="18" customHeight="1">
      <c r="A1977" s="62" t="n"/>
      <c r="B1977" s="63" t="n"/>
      <c r="C1977" s="64" t="n"/>
      <c r="D1977" s="64" t="n"/>
      <c r="E1977" s="63" t="n"/>
    </row>
    <row r="1978" ht="18" customHeight="1">
      <c r="A1978" s="62" t="n"/>
      <c r="B1978" s="63" t="n"/>
      <c r="C1978" s="64" t="n"/>
      <c r="D1978" s="64" t="n"/>
      <c r="E1978" s="63" t="n"/>
    </row>
    <row r="1979" ht="18" customHeight="1">
      <c r="A1979" s="62" t="n"/>
      <c r="B1979" s="63" t="n"/>
      <c r="C1979" s="64" t="n"/>
      <c r="D1979" s="64" t="n"/>
      <c r="E1979" s="63" t="n"/>
    </row>
    <row r="1980" ht="18" customHeight="1">
      <c r="A1980" s="62" t="n"/>
      <c r="B1980" s="63" t="n"/>
      <c r="C1980" s="64" t="n"/>
      <c r="D1980" s="64" t="n"/>
      <c r="E1980" s="63" t="n"/>
    </row>
    <row r="1981" ht="18" customHeight="1">
      <c r="A1981" s="62" t="n"/>
      <c r="B1981" s="63" t="n"/>
      <c r="C1981" s="64" t="n"/>
      <c r="D1981" s="64" t="n"/>
      <c r="E1981" s="63" t="n"/>
    </row>
    <row r="1982" ht="18" customHeight="1">
      <c r="A1982" s="62" t="n"/>
      <c r="B1982" s="63" t="n"/>
      <c r="C1982" s="64" t="n"/>
      <c r="D1982" s="64" t="n"/>
      <c r="E1982" s="63" t="n"/>
    </row>
    <row r="1983" ht="18" customHeight="1">
      <c r="A1983" s="62" t="n"/>
      <c r="B1983" s="63" t="n"/>
      <c r="C1983" s="64" t="n"/>
      <c r="D1983" s="64" t="n"/>
      <c r="E1983" s="63" t="n"/>
    </row>
    <row r="1984" ht="18" customHeight="1">
      <c r="A1984" s="62" t="n"/>
      <c r="B1984" s="63" t="n"/>
      <c r="C1984" s="64" t="n"/>
      <c r="D1984" s="64" t="n"/>
      <c r="E1984" s="63" t="n"/>
    </row>
    <row r="1985" ht="18" customHeight="1">
      <c r="A1985" s="62" t="n"/>
      <c r="B1985" s="63" t="n"/>
      <c r="C1985" s="64" t="n"/>
      <c r="D1985" s="64" t="n"/>
      <c r="E1985" s="63" t="n"/>
    </row>
    <row r="1986" ht="18" customHeight="1">
      <c r="A1986" s="62" t="n"/>
      <c r="B1986" s="63" t="n"/>
      <c r="C1986" s="64" t="n"/>
      <c r="D1986" s="64" t="n"/>
      <c r="E1986" s="63" t="n"/>
    </row>
    <row r="1987" ht="18" customHeight="1">
      <c r="A1987" s="62" t="n"/>
      <c r="B1987" s="63" t="n"/>
      <c r="C1987" s="64" t="n"/>
      <c r="D1987" s="64" t="n"/>
      <c r="E1987" s="63" t="n"/>
    </row>
    <row r="1988" ht="18" customHeight="1">
      <c r="A1988" s="62" t="n"/>
      <c r="B1988" s="63" t="n"/>
      <c r="C1988" s="64" t="n"/>
      <c r="D1988" s="64" t="n"/>
      <c r="E1988" s="63" t="n"/>
    </row>
    <row r="1989" ht="18" customHeight="1">
      <c r="A1989" s="62" t="n"/>
      <c r="B1989" s="63" t="n"/>
      <c r="C1989" s="64" t="n"/>
      <c r="D1989" s="64" t="n"/>
      <c r="E1989" s="63" t="n"/>
    </row>
    <row r="1990" ht="18" customHeight="1">
      <c r="A1990" s="62" t="n"/>
      <c r="B1990" s="63" t="n"/>
      <c r="C1990" s="64" t="n"/>
      <c r="D1990" s="64" t="n"/>
      <c r="E1990" s="63" t="n"/>
    </row>
    <row r="1991" ht="18" customHeight="1">
      <c r="A1991" s="62" t="n"/>
      <c r="B1991" s="63" t="n"/>
      <c r="C1991" s="64" t="n"/>
      <c r="D1991" s="64" t="n"/>
      <c r="E1991" s="63" t="n"/>
    </row>
    <row r="1992" ht="18" customHeight="1">
      <c r="A1992" s="62" t="n"/>
      <c r="B1992" s="63" t="n"/>
      <c r="C1992" s="64" t="n"/>
      <c r="D1992" s="64" t="n"/>
      <c r="E1992" s="63" t="n"/>
    </row>
    <row r="1993" ht="18" customHeight="1">
      <c r="A1993" s="62" t="n"/>
      <c r="B1993" s="63" t="n"/>
      <c r="C1993" s="64" t="n"/>
      <c r="D1993" s="64" t="n"/>
      <c r="E1993" s="63" t="n"/>
    </row>
    <row r="1994" ht="18" customHeight="1">
      <c r="A1994" s="62" t="n"/>
      <c r="B1994" s="63" t="n"/>
      <c r="C1994" s="64" t="n"/>
      <c r="D1994" s="64" t="n"/>
      <c r="E1994" s="63" t="n"/>
    </row>
    <row r="1995" ht="18" customHeight="1">
      <c r="A1995" s="62" t="n"/>
      <c r="B1995" s="63" t="n"/>
      <c r="C1995" s="64" t="n"/>
      <c r="D1995" s="64" t="n"/>
      <c r="E1995" s="63" t="n"/>
    </row>
    <row r="1996" ht="18" customHeight="1">
      <c r="A1996" s="62" t="n"/>
      <c r="B1996" s="63" t="n"/>
      <c r="C1996" s="64" t="n"/>
      <c r="D1996" s="64" t="n"/>
      <c r="E1996" s="63" t="n"/>
    </row>
    <row r="1997" ht="18" customHeight="1">
      <c r="A1997" s="62" t="n"/>
      <c r="B1997" s="63" t="n"/>
      <c r="C1997" s="64" t="n"/>
      <c r="D1997" s="64" t="n"/>
      <c r="E1997" s="63" t="n"/>
    </row>
    <row r="1998" ht="18" customHeight="1">
      <c r="A1998" s="62" t="n"/>
      <c r="B1998" s="63" t="n"/>
      <c r="C1998" s="64" t="n"/>
      <c r="D1998" s="64" t="n"/>
      <c r="E1998" s="63" t="n"/>
    </row>
    <row r="1999" ht="18" customHeight="1">
      <c r="A1999" s="62" t="n"/>
      <c r="B1999" s="63" t="n"/>
      <c r="C1999" s="64" t="n"/>
      <c r="D1999" s="64" t="n"/>
      <c r="E1999" s="63" t="n"/>
    </row>
    <row r="2000" ht="18" customHeight="1">
      <c r="A2000" s="62" t="n"/>
      <c r="B2000" s="63" t="n"/>
      <c r="C2000" s="64" t="n"/>
      <c r="D2000" s="64" t="n"/>
      <c r="E2000" s="63" t="n"/>
    </row>
    <row r="2001" ht="18" customHeight="1">
      <c r="A2001" s="62" t="n"/>
      <c r="B2001" s="63" t="n"/>
      <c r="C2001" s="64" t="n"/>
      <c r="D2001" s="64" t="n"/>
      <c r="E2001" s="63" t="n"/>
    </row>
    <row r="2002" ht="18" customHeight="1">
      <c r="A2002" s="62" t="n"/>
      <c r="B2002" s="63" t="n"/>
      <c r="C2002" s="64" t="n"/>
      <c r="D2002" s="64" t="n"/>
      <c r="E2002" s="63" t="n"/>
    </row>
    <row r="2003" ht="18" customHeight="1">
      <c r="A2003" s="62" t="n"/>
      <c r="B2003" s="63" t="n"/>
      <c r="C2003" s="64" t="n"/>
      <c r="D2003" s="64" t="n"/>
      <c r="E2003" s="63" t="n"/>
    </row>
    <row r="2004" ht="18" customHeight="1">
      <c r="A2004" s="62" t="n"/>
      <c r="B2004" s="63" t="n"/>
      <c r="C2004" s="64" t="n"/>
      <c r="D2004" s="64" t="n"/>
      <c r="E2004" s="63" t="n"/>
    </row>
    <row r="2005" ht="18" customHeight="1">
      <c r="A2005" s="62" t="n"/>
      <c r="B2005" s="63" t="n"/>
      <c r="C2005" s="64" t="n"/>
      <c r="D2005" s="64" t="n"/>
      <c r="E2005" s="63" t="n"/>
    </row>
    <row r="2006" ht="18" customHeight="1">
      <c r="A2006" s="62" t="n"/>
      <c r="B2006" s="63" t="n"/>
      <c r="C2006" s="64" t="n"/>
      <c r="D2006" s="64" t="n"/>
      <c r="E2006" s="63" t="n"/>
    </row>
    <row r="2007" ht="18" customHeight="1">
      <c r="A2007" s="62" t="n"/>
      <c r="B2007" s="63" t="n"/>
      <c r="C2007" s="64" t="n"/>
      <c r="D2007" s="64" t="n"/>
      <c r="E2007" s="63" t="n"/>
    </row>
    <row r="2008" ht="18" customHeight="1">
      <c r="A2008" s="62" t="n"/>
      <c r="B2008" s="63" t="n"/>
      <c r="C2008" s="64" t="n"/>
      <c r="D2008" s="64" t="n"/>
      <c r="E2008" s="63" t="n"/>
    </row>
    <row r="2009" ht="18" customHeight="1">
      <c r="A2009" s="62" t="n"/>
      <c r="B2009" s="63" t="n"/>
      <c r="C2009" s="64" t="n"/>
      <c r="D2009" s="64" t="n"/>
      <c r="E2009" s="63" t="n"/>
    </row>
    <row r="2010" ht="18" customHeight="1">
      <c r="A2010" s="62" t="n"/>
      <c r="B2010" s="63" t="n"/>
      <c r="C2010" s="64" t="n"/>
      <c r="D2010" s="64" t="n"/>
      <c r="E2010" s="63" t="n"/>
    </row>
    <row r="2011" ht="18" customHeight="1">
      <c r="A2011" s="62" t="n"/>
      <c r="B2011" s="63" t="n"/>
      <c r="C2011" s="64" t="n"/>
      <c r="D2011" s="64" t="n"/>
      <c r="E2011" s="63" t="n"/>
    </row>
    <row r="2012" ht="18" customHeight="1">
      <c r="A2012" s="62" t="n"/>
      <c r="B2012" s="63" t="n"/>
      <c r="C2012" s="64" t="n"/>
      <c r="D2012" s="64" t="n"/>
      <c r="E2012" s="63" t="n"/>
    </row>
    <row r="2013" ht="18" customHeight="1">
      <c r="A2013" s="62" t="n"/>
      <c r="B2013" s="63" t="n"/>
      <c r="C2013" s="64" t="n"/>
      <c r="D2013" s="64" t="n"/>
      <c r="E2013" s="63" t="n"/>
    </row>
    <row r="2014" ht="18" customHeight="1">
      <c r="A2014" s="62" t="n"/>
      <c r="B2014" s="63" t="n"/>
      <c r="C2014" s="64" t="n"/>
      <c r="D2014" s="64" t="n"/>
      <c r="E2014" s="63" t="n"/>
    </row>
    <row r="2015" ht="18" customHeight="1">
      <c r="A2015" s="62" t="n"/>
      <c r="B2015" s="63" t="n"/>
      <c r="C2015" s="64" t="n"/>
      <c r="D2015" s="64" t="n"/>
      <c r="E2015" s="63" t="n"/>
    </row>
    <row r="2016" ht="18" customHeight="1">
      <c r="A2016" s="62" t="n"/>
      <c r="B2016" s="63" t="n"/>
      <c r="C2016" s="64" t="n"/>
      <c r="D2016" s="64" t="n"/>
      <c r="E2016" s="63" t="n"/>
    </row>
    <row r="2017" ht="18" customHeight="1">
      <c r="A2017" s="62" t="n"/>
      <c r="B2017" s="63" t="n"/>
      <c r="C2017" s="64" t="n"/>
      <c r="D2017" s="64" t="n"/>
      <c r="E2017" s="63" t="n"/>
    </row>
    <row r="2018" ht="18" customHeight="1">
      <c r="A2018" s="62" t="n"/>
      <c r="B2018" s="63" t="n"/>
      <c r="C2018" s="64" t="n"/>
      <c r="D2018" s="64" t="n"/>
      <c r="E2018" s="63" t="n"/>
    </row>
    <row r="2019" ht="18" customHeight="1">
      <c r="A2019" s="62" t="n"/>
      <c r="B2019" s="63" t="n"/>
      <c r="C2019" s="64" t="n"/>
      <c r="D2019" s="64" t="n"/>
      <c r="E2019" s="63" t="n"/>
    </row>
    <row r="2020" ht="18" customHeight="1">
      <c r="A2020" s="62" t="n"/>
      <c r="B2020" s="63" t="n"/>
      <c r="C2020" s="64" t="n"/>
      <c r="D2020" s="64" t="n"/>
      <c r="E2020" s="63" t="n"/>
    </row>
    <row r="2021" ht="18" customHeight="1">
      <c r="A2021" s="62" t="n"/>
      <c r="B2021" s="63" t="n"/>
      <c r="C2021" s="64" t="n"/>
      <c r="D2021" s="64" t="n"/>
      <c r="E2021" s="63" t="n"/>
    </row>
    <row r="2022" ht="18" customHeight="1">
      <c r="A2022" s="62" t="n"/>
      <c r="B2022" s="63" t="n"/>
      <c r="C2022" s="64" t="n"/>
      <c r="D2022" s="64" t="n"/>
      <c r="E2022" s="63" t="n"/>
    </row>
    <row r="2023" ht="18" customHeight="1">
      <c r="A2023" s="62" t="n"/>
      <c r="B2023" s="63" t="n"/>
      <c r="C2023" s="64" t="n"/>
      <c r="D2023" s="64" t="n"/>
      <c r="E2023" s="63" t="n"/>
    </row>
    <row r="2024" ht="18" customHeight="1">
      <c r="A2024" s="62" t="n"/>
      <c r="B2024" s="63" t="n"/>
      <c r="C2024" s="64" t="n"/>
      <c r="D2024" s="64" t="n"/>
      <c r="E2024" s="63" t="n"/>
    </row>
    <row r="2025" ht="18" customHeight="1">
      <c r="A2025" s="62" t="n"/>
      <c r="B2025" s="63" t="n"/>
      <c r="C2025" s="64" t="n"/>
      <c r="D2025" s="64" t="n"/>
      <c r="E2025" s="63" t="n"/>
    </row>
    <row r="2026" ht="18" customHeight="1">
      <c r="A2026" s="62" t="n"/>
      <c r="B2026" s="63" t="n"/>
      <c r="C2026" s="64" t="n"/>
      <c r="D2026" s="64" t="n"/>
      <c r="E2026" s="63" t="n"/>
    </row>
    <row r="2027" ht="18" customHeight="1">
      <c r="A2027" s="62" t="n"/>
      <c r="B2027" s="63" t="n"/>
      <c r="C2027" s="64" t="n"/>
      <c r="D2027" s="64" t="n"/>
      <c r="E2027" s="63" t="n"/>
    </row>
    <row r="2028" ht="18" customHeight="1">
      <c r="A2028" s="62" t="n"/>
      <c r="B2028" s="63" t="n"/>
      <c r="C2028" s="64" t="n"/>
      <c r="D2028" s="64" t="n"/>
      <c r="E2028" s="63" t="n"/>
    </row>
    <row r="2029" ht="18" customHeight="1">
      <c r="A2029" s="62" t="n"/>
      <c r="B2029" s="63" t="n"/>
      <c r="C2029" s="64" t="n"/>
      <c r="D2029" s="64" t="n"/>
      <c r="E2029" s="63" t="n"/>
    </row>
    <row r="2030" ht="18" customHeight="1">
      <c r="A2030" s="62" t="n"/>
      <c r="B2030" s="63" t="n"/>
      <c r="C2030" s="64" t="n"/>
      <c r="D2030" s="64" t="n"/>
      <c r="E2030" s="63" t="n"/>
    </row>
    <row r="2031" ht="18" customHeight="1">
      <c r="A2031" s="62" t="n"/>
      <c r="B2031" s="63" t="n"/>
      <c r="C2031" s="64" t="n"/>
      <c r="D2031" s="64" t="n"/>
      <c r="E2031" s="63" t="n"/>
    </row>
    <row r="2032" ht="18" customHeight="1">
      <c r="A2032" s="62" t="n"/>
      <c r="B2032" s="63" t="n"/>
      <c r="C2032" s="64" t="n"/>
      <c r="D2032" s="64" t="n"/>
      <c r="E2032" s="63" t="n"/>
    </row>
    <row r="2033" ht="18" customHeight="1">
      <c r="A2033" s="62" t="n"/>
      <c r="B2033" s="63" t="n"/>
      <c r="C2033" s="64" t="n"/>
      <c r="D2033" s="64" t="n"/>
      <c r="E2033" s="63" t="n"/>
    </row>
    <row r="2034" ht="18" customHeight="1">
      <c r="A2034" s="62" t="n"/>
      <c r="B2034" s="63" t="n"/>
      <c r="C2034" s="64" t="n"/>
      <c r="D2034" s="64" t="n"/>
      <c r="E2034" s="63" t="n"/>
    </row>
    <row r="2035" ht="18" customHeight="1">
      <c r="A2035" s="62" t="n"/>
      <c r="B2035" s="63" t="n"/>
      <c r="C2035" s="64" t="n"/>
      <c r="D2035" s="64" t="n"/>
      <c r="E2035" s="63" t="n"/>
    </row>
    <row r="2036" ht="18" customHeight="1">
      <c r="A2036" s="62" t="n"/>
      <c r="B2036" s="63" t="n"/>
      <c r="C2036" s="64" t="n"/>
      <c r="D2036" s="64" t="n"/>
      <c r="E2036" s="63" t="n"/>
    </row>
    <row r="2037" ht="18" customHeight="1">
      <c r="A2037" s="62" t="n"/>
      <c r="B2037" s="63" t="n"/>
      <c r="C2037" s="64" t="n"/>
      <c r="D2037" s="64" t="n"/>
      <c r="E2037" s="63" t="n"/>
    </row>
    <row r="2038" ht="18" customHeight="1">
      <c r="A2038" s="62" t="n"/>
      <c r="B2038" s="63" t="n"/>
      <c r="C2038" s="64" t="n"/>
      <c r="D2038" s="64" t="n"/>
      <c r="E2038" s="63" t="n"/>
    </row>
    <row r="2039" ht="18" customHeight="1">
      <c r="A2039" s="62" t="n"/>
      <c r="B2039" s="63" t="n"/>
      <c r="C2039" s="64" t="n"/>
      <c r="D2039" s="64" t="n"/>
      <c r="E2039" s="63" t="n"/>
    </row>
    <row r="2040" ht="18" customHeight="1">
      <c r="A2040" s="62" t="n"/>
      <c r="B2040" s="63" t="n"/>
      <c r="C2040" s="64" t="n"/>
      <c r="D2040" s="64" t="n"/>
      <c r="E2040" s="63" t="n"/>
    </row>
    <row r="2041" ht="18" customHeight="1">
      <c r="A2041" s="62" t="n"/>
      <c r="B2041" s="63" t="n"/>
      <c r="C2041" s="64" t="n"/>
      <c r="D2041" s="64" t="n"/>
      <c r="E2041" s="63" t="n"/>
    </row>
    <row r="2042" ht="18" customHeight="1">
      <c r="A2042" s="62" t="n"/>
      <c r="B2042" s="63" t="n"/>
      <c r="C2042" s="64" t="n"/>
      <c r="D2042" s="64" t="n"/>
      <c r="E2042" s="63" t="n"/>
    </row>
    <row r="2043" ht="18" customHeight="1">
      <c r="A2043" s="62" t="n"/>
      <c r="B2043" s="63" t="n"/>
      <c r="C2043" s="64" t="n"/>
      <c r="D2043" s="64" t="n"/>
      <c r="E2043" s="63" t="n"/>
    </row>
    <row r="2044" ht="18" customHeight="1">
      <c r="A2044" s="62" t="n"/>
      <c r="B2044" s="63" t="n"/>
      <c r="C2044" s="64" t="n"/>
      <c r="D2044" s="64" t="n"/>
      <c r="E2044" s="63" t="n"/>
    </row>
    <row r="2045" ht="18" customHeight="1">
      <c r="A2045" s="62" t="n"/>
      <c r="B2045" s="63" t="n"/>
      <c r="C2045" s="64" t="n"/>
      <c r="D2045" s="64" t="n"/>
      <c r="E2045" s="63" t="n"/>
    </row>
    <row r="2046" ht="18" customHeight="1">
      <c r="A2046" s="62" t="n"/>
      <c r="B2046" s="63" t="n"/>
      <c r="C2046" s="64" t="n"/>
      <c r="D2046" s="64" t="n"/>
      <c r="E2046" s="63" t="n"/>
    </row>
    <row r="2047" ht="18" customHeight="1">
      <c r="A2047" s="62" t="n"/>
      <c r="B2047" s="63" t="n"/>
      <c r="C2047" s="64" t="n"/>
      <c r="D2047" s="64" t="n"/>
      <c r="E2047" s="63" t="n"/>
    </row>
    <row r="2048" ht="18" customHeight="1">
      <c r="A2048" s="62" t="n"/>
      <c r="B2048" s="63" t="n"/>
      <c r="C2048" s="64" t="n"/>
      <c r="D2048" s="64" t="n"/>
      <c r="E2048" s="63" t="n"/>
    </row>
    <row r="2049" ht="18" customHeight="1">
      <c r="A2049" s="62" t="n"/>
      <c r="B2049" s="63" t="n"/>
      <c r="C2049" s="64" t="n"/>
      <c r="D2049" s="64" t="n"/>
      <c r="E2049" s="63" t="n"/>
    </row>
    <row r="2050" ht="18" customHeight="1">
      <c r="A2050" s="62" t="n"/>
      <c r="B2050" s="63" t="n"/>
      <c r="C2050" s="64" t="n"/>
      <c r="D2050" s="64" t="n"/>
      <c r="E2050" s="63" t="n"/>
    </row>
    <row r="2051" ht="18" customHeight="1">
      <c r="A2051" s="62" t="n"/>
      <c r="B2051" s="63" t="n"/>
      <c r="C2051" s="64" t="n"/>
      <c r="D2051" s="64" t="n"/>
      <c r="E2051" s="63" t="n"/>
    </row>
    <row r="2052" ht="18" customHeight="1">
      <c r="A2052" s="62" t="n"/>
      <c r="B2052" s="63" t="n"/>
      <c r="C2052" s="64" t="n"/>
      <c r="D2052" s="64" t="n"/>
      <c r="E2052" s="63" t="n"/>
    </row>
    <row r="2053" ht="18" customHeight="1">
      <c r="A2053" s="62" t="n"/>
      <c r="B2053" s="63" t="n"/>
      <c r="C2053" s="64" t="n"/>
      <c r="D2053" s="64" t="n"/>
      <c r="E2053" s="63" t="n"/>
    </row>
    <row r="2054" ht="18" customHeight="1">
      <c r="A2054" s="62" t="n"/>
      <c r="B2054" s="63" t="n"/>
      <c r="C2054" s="64" t="n"/>
      <c r="D2054" s="64" t="n"/>
      <c r="E2054" s="63" t="n"/>
    </row>
    <row r="2055" ht="18" customHeight="1">
      <c r="A2055" s="62" t="n"/>
      <c r="B2055" s="63" t="n"/>
      <c r="C2055" s="64" t="n"/>
      <c r="D2055" s="64" t="n"/>
      <c r="E2055" s="63" t="n"/>
    </row>
    <row r="2056" ht="18" customHeight="1">
      <c r="A2056" s="62" t="n"/>
      <c r="B2056" s="63" t="n"/>
      <c r="C2056" s="64" t="n"/>
      <c r="D2056" s="64" t="n"/>
      <c r="E2056" s="63" t="n"/>
    </row>
    <row r="2057" ht="18" customHeight="1">
      <c r="A2057" s="62" t="n"/>
      <c r="B2057" s="63" t="n"/>
      <c r="C2057" s="64" t="n"/>
      <c r="D2057" s="64" t="n"/>
      <c r="E2057" s="63" t="n"/>
    </row>
    <row r="2058" ht="18" customHeight="1">
      <c r="A2058" s="62" t="n"/>
      <c r="B2058" s="63" t="n"/>
      <c r="C2058" s="64" t="n"/>
      <c r="D2058" s="64" t="n"/>
      <c r="E2058" s="63" t="n"/>
    </row>
    <row r="2059" ht="18" customHeight="1">
      <c r="A2059" s="62" t="n"/>
      <c r="B2059" s="63" t="n"/>
      <c r="C2059" s="64" t="n"/>
      <c r="D2059" s="64" t="n"/>
      <c r="E2059" s="63" t="n"/>
    </row>
    <row r="2060" ht="18" customHeight="1">
      <c r="A2060" s="62" t="n"/>
      <c r="B2060" s="63" t="n"/>
      <c r="C2060" s="64" t="n"/>
      <c r="D2060" s="64" t="n"/>
      <c r="E2060" s="63" t="n"/>
    </row>
    <row r="2061" ht="18" customHeight="1">
      <c r="A2061" s="62" t="n"/>
      <c r="B2061" s="63" t="n"/>
      <c r="C2061" s="64" t="n"/>
      <c r="D2061" s="64" t="n"/>
      <c r="E2061" s="63" t="n"/>
    </row>
    <row r="2062" ht="18" customHeight="1">
      <c r="A2062" s="62" t="n"/>
      <c r="B2062" s="63" t="n"/>
      <c r="C2062" s="64" t="n"/>
      <c r="D2062" s="64" t="n"/>
      <c r="E2062" s="63" t="n"/>
    </row>
    <row r="2063" ht="18" customHeight="1">
      <c r="A2063" s="62" t="n"/>
      <c r="B2063" s="63" t="n"/>
      <c r="C2063" s="64" t="n"/>
      <c r="D2063" s="64" t="n"/>
      <c r="E2063" s="63" t="n"/>
    </row>
    <row r="2064" ht="18" customHeight="1">
      <c r="A2064" s="62" t="n"/>
      <c r="B2064" s="63" t="n"/>
      <c r="C2064" s="64" t="n"/>
      <c r="D2064" s="64" t="n"/>
      <c r="E2064" s="63" t="n"/>
    </row>
    <row r="2065" ht="18" customHeight="1">
      <c r="A2065" s="62" t="n"/>
      <c r="B2065" s="63" t="n"/>
      <c r="C2065" s="64" t="n"/>
      <c r="D2065" s="64" t="n"/>
      <c r="E2065" s="63" t="n"/>
    </row>
    <row r="2066" ht="18" customHeight="1">
      <c r="A2066" s="62" t="n"/>
      <c r="B2066" s="63" t="n"/>
      <c r="C2066" s="64" t="n"/>
      <c r="D2066" s="64" t="n"/>
      <c r="E2066" s="63" t="n"/>
    </row>
    <row r="2067" ht="18" customHeight="1">
      <c r="A2067" s="62" t="n"/>
      <c r="B2067" s="63" t="n"/>
      <c r="C2067" s="64" t="n"/>
      <c r="D2067" s="64" t="n"/>
      <c r="E2067" s="63" t="n"/>
    </row>
    <row r="2068" ht="18" customHeight="1">
      <c r="A2068" s="62" t="n"/>
      <c r="B2068" s="63" t="n"/>
      <c r="C2068" s="64" t="n"/>
      <c r="D2068" s="64" t="n"/>
      <c r="E2068" s="63" t="n"/>
    </row>
    <row r="2069" ht="18" customHeight="1">
      <c r="A2069" s="62" t="n"/>
      <c r="B2069" s="63" t="n"/>
      <c r="C2069" s="64" t="n"/>
      <c r="D2069" s="64" t="n"/>
      <c r="E2069" s="63" t="n"/>
    </row>
    <row r="2070" ht="18" customHeight="1">
      <c r="A2070" s="62" t="n"/>
      <c r="B2070" s="63" t="n"/>
      <c r="C2070" s="64" t="n"/>
      <c r="D2070" s="64" t="n"/>
      <c r="E2070" s="63" t="n"/>
    </row>
    <row r="2071" ht="18" customHeight="1">
      <c r="A2071" s="62" t="n"/>
      <c r="B2071" s="63" t="n"/>
      <c r="C2071" s="64" t="n"/>
      <c r="D2071" s="64" t="n"/>
      <c r="E2071" s="63" t="n"/>
    </row>
    <row r="2072" ht="18" customHeight="1">
      <c r="A2072" s="62" t="n"/>
      <c r="B2072" s="63" t="n"/>
      <c r="C2072" s="64" t="n"/>
      <c r="D2072" s="64" t="n"/>
      <c r="E2072" s="63" t="n"/>
    </row>
    <row r="2073" ht="18" customHeight="1">
      <c r="A2073" s="62" t="n"/>
      <c r="B2073" s="63" t="n"/>
      <c r="C2073" s="64" t="n"/>
      <c r="D2073" s="64" t="n"/>
      <c r="E2073" s="63" t="n"/>
    </row>
    <row r="2074" ht="18" customHeight="1">
      <c r="A2074" s="62" t="n"/>
      <c r="B2074" s="63" t="n"/>
      <c r="C2074" s="64" t="n"/>
      <c r="D2074" s="64" t="n"/>
      <c r="E2074" s="63" t="n"/>
    </row>
    <row r="2075" ht="18" customHeight="1">
      <c r="A2075" s="62" t="n"/>
      <c r="B2075" s="63" t="n"/>
      <c r="C2075" s="64" t="n"/>
      <c r="D2075" s="64" t="n"/>
      <c r="E2075" s="63" t="n"/>
    </row>
    <row r="2076" ht="18" customHeight="1">
      <c r="A2076" s="62" t="n"/>
      <c r="B2076" s="63" t="n"/>
      <c r="C2076" s="64" t="n"/>
      <c r="D2076" s="64" t="n"/>
      <c r="E2076" s="63" t="n"/>
    </row>
    <row r="2077" ht="18" customHeight="1">
      <c r="A2077" s="62" t="n"/>
      <c r="B2077" s="63" t="n"/>
      <c r="C2077" s="64" t="n"/>
      <c r="D2077" s="64" t="n"/>
      <c r="E2077" s="63" t="n"/>
    </row>
    <row r="2078" ht="18" customHeight="1">
      <c r="A2078" s="62" t="n"/>
      <c r="B2078" s="63" t="n"/>
      <c r="C2078" s="64" t="n"/>
      <c r="D2078" s="64" t="n"/>
      <c r="E2078" s="63" t="n"/>
    </row>
    <row r="2079" ht="18" customHeight="1">
      <c r="A2079" s="62" t="n"/>
      <c r="B2079" s="63" t="n"/>
      <c r="C2079" s="64" t="n"/>
      <c r="D2079" s="64" t="n"/>
      <c r="E2079" s="63" t="n"/>
    </row>
    <row r="2080" ht="18" customHeight="1">
      <c r="A2080" s="62" t="n"/>
      <c r="B2080" s="63" t="n"/>
      <c r="C2080" s="64" t="n"/>
      <c r="D2080" s="64" t="n"/>
      <c r="E2080" s="63" t="n"/>
    </row>
    <row r="2081" ht="18" customHeight="1">
      <c r="A2081" s="62" t="n"/>
      <c r="B2081" s="63" t="n"/>
      <c r="C2081" s="64" t="n"/>
      <c r="D2081" s="64" t="n"/>
      <c r="E2081" s="63" t="n"/>
    </row>
    <row r="2082" ht="18" customHeight="1">
      <c r="A2082" s="62" t="n"/>
      <c r="B2082" s="63" t="n"/>
      <c r="C2082" s="64" t="n"/>
      <c r="D2082" s="64" t="n"/>
      <c r="E2082" s="63" t="n"/>
    </row>
    <row r="2083" ht="18" customHeight="1">
      <c r="A2083" s="62" t="n"/>
      <c r="B2083" s="63" t="n"/>
      <c r="C2083" s="64" t="n"/>
      <c r="D2083" s="64" t="n"/>
      <c r="E2083" s="63" t="n"/>
    </row>
    <row r="2084" ht="18" customHeight="1">
      <c r="A2084" s="62" t="n"/>
      <c r="B2084" s="63" t="n"/>
      <c r="C2084" s="64" t="n"/>
      <c r="D2084" s="64" t="n"/>
      <c r="E2084" s="63" t="n"/>
    </row>
    <row r="2085" ht="18" customHeight="1">
      <c r="A2085" s="62" t="n"/>
      <c r="B2085" s="63" t="n"/>
      <c r="C2085" s="64" t="n"/>
      <c r="D2085" s="64" t="n"/>
      <c r="E2085" s="63" t="n"/>
    </row>
    <row r="2086" ht="18" customHeight="1">
      <c r="A2086" s="62" t="n"/>
      <c r="B2086" s="63" t="n"/>
      <c r="C2086" s="64" t="n"/>
      <c r="D2086" s="64" t="n"/>
      <c r="E2086" s="63" t="n"/>
    </row>
    <row r="2087" ht="18" customHeight="1">
      <c r="A2087" s="62" t="n"/>
      <c r="B2087" s="63" t="n"/>
      <c r="C2087" s="64" t="n"/>
      <c r="D2087" s="64" t="n"/>
      <c r="E2087" s="63" t="n"/>
    </row>
    <row r="2088" ht="18" customHeight="1">
      <c r="A2088" s="62" t="n"/>
      <c r="B2088" s="63" t="n"/>
      <c r="C2088" s="64" t="n"/>
      <c r="D2088" s="64" t="n"/>
      <c r="E2088" s="63" t="n"/>
    </row>
    <row r="2089" ht="18" customHeight="1">
      <c r="A2089" s="62" t="n"/>
      <c r="B2089" s="63" t="n"/>
      <c r="C2089" s="64" t="n"/>
      <c r="D2089" s="64" t="n"/>
      <c r="E2089" s="63" t="n"/>
    </row>
    <row r="2090" ht="18" customHeight="1">
      <c r="A2090" s="62" t="n"/>
      <c r="B2090" s="63" t="n"/>
      <c r="C2090" s="64" t="n"/>
      <c r="D2090" s="64" t="n"/>
      <c r="E2090" s="63" t="n"/>
    </row>
    <row r="2091" ht="18" customHeight="1">
      <c r="A2091" s="62" t="n"/>
      <c r="B2091" s="63" t="n"/>
      <c r="C2091" s="64" t="n"/>
      <c r="D2091" s="64" t="n"/>
      <c r="E2091" s="63" t="n"/>
    </row>
    <row r="2092" ht="18" customHeight="1">
      <c r="A2092" s="62" t="n"/>
      <c r="B2092" s="63" t="n"/>
      <c r="C2092" s="64" t="n"/>
      <c r="D2092" s="64" t="n"/>
      <c r="E2092" s="63" t="n"/>
    </row>
    <row r="2093" ht="18" customHeight="1">
      <c r="A2093" s="62" t="n"/>
      <c r="B2093" s="63" t="n"/>
      <c r="C2093" s="64" t="n"/>
      <c r="D2093" s="64" t="n"/>
      <c r="E2093" s="63" t="n"/>
    </row>
    <row r="2094" ht="18" customHeight="1">
      <c r="A2094" s="62" t="n"/>
      <c r="B2094" s="63" t="n"/>
      <c r="C2094" s="64" t="n"/>
      <c r="D2094" s="64" t="n"/>
      <c r="E2094" s="63" t="n"/>
    </row>
    <row r="2095" ht="18" customHeight="1">
      <c r="A2095" s="62" t="n"/>
      <c r="B2095" s="63" t="n"/>
      <c r="C2095" s="64" t="n"/>
      <c r="D2095" s="64" t="n"/>
      <c r="E2095" s="63" t="n"/>
    </row>
    <row r="2096" ht="18" customHeight="1">
      <c r="A2096" s="62" t="n"/>
      <c r="B2096" s="63" t="n"/>
      <c r="C2096" s="64" t="n"/>
      <c r="D2096" s="64" t="n"/>
      <c r="E2096" s="63" t="n"/>
    </row>
    <row r="2097" ht="18" customHeight="1">
      <c r="A2097" s="62" t="n"/>
      <c r="B2097" s="63" t="n"/>
      <c r="C2097" s="64" t="n"/>
      <c r="D2097" s="64" t="n"/>
      <c r="E2097" s="63" t="n"/>
    </row>
    <row r="2098" ht="18" customHeight="1">
      <c r="A2098" s="62" t="n"/>
      <c r="B2098" s="63" t="n"/>
      <c r="C2098" s="64" t="n"/>
      <c r="D2098" s="64" t="n"/>
      <c r="E2098" s="63" t="n"/>
    </row>
    <row r="2099" ht="18" customHeight="1">
      <c r="A2099" s="62" t="n"/>
      <c r="B2099" s="63" t="n"/>
      <c r="C2099" s="64" t="n"/>
      <c r="D2099" s="64" t="n"/>
      <c r="E2099" s="63" t="n"/>
    </row>
    <row r="2100" ht="18" customHeight="1">
      <c r="A2100" s="62" t="n"/>
      <c r="B2100" s="63" t="n"/>
      <c r="C2100" s="64" t="n"/>
      <c r="D2100" s="64" t="n"/>
      <c r="E2100" s="63" t="n"/>
    </row>
    <row r="2101" ht="18" customHeight="1">
      <c r="A2101" s="62" t="n"/>
      <c r="B2101" s="63" t="n"/>
      <c r="C2101" s="64" t="n"/>
      <c r="D2101" s="64" t="n"/>
      <c r="E2101" s="63" t="n"/>
    </row>
    <row r="2102" ht="18" customHeight="1">
      <c r="A2102" s="62" t="n"/>
      <c r="B2102" s="63" t="n"/>
      <c r="C2102" s="64" t="n"/>
      <c r="D2102" s="64" t="n"/>
      <c r="E2102" s="63" t="n"/>
    </row>
    <row r="2103" ht="18" customHeight="1">
      <c r="A2103" s="62" t="n"/>
      <c r="B2103" s="63" t="n"/>
      <c r="C2103" s="64" t="n"/>
      <c r="D2103" s="64" t="n"/>
      <c r="E2103" s="63" t="n"/>
    </row>
    <row r="2104" ht="18" customHeight="1">
      <c r="A2104" s="62" t="n"/>
      <c r="B2104" s="63" t="n"/>
      <c r="C2104" s="64" t="n"/>
      <c r="D2104" s="64" t="n"/>
      <c r="E2104" s="63" t="n"/>
    </row>
    <row r="2105" ht="18" customHeight="1">
      <c r="A2105" s="62" t="n"/>
      <c r="B2105" s="63" t="n"/>
      <c r="C2105" s="64" t="n"/>
      <c r="D2105" s="64" t="n"/>
      <c r="E2105" s="63" t="n"/>
    </row>
    <row r="2106" ht="18" customHeight="1">
      <c r="A2106" s="62" t="n"/>
      <c r="B2106" s="63" t="n"/>
      <c r="C2106" s="64" t="n"/>
      <c r="D2106" s="64" t="n"/>
      <c r="E2106" s="63" t="n"/>
    </row>
    <row r="2107" ht="18" customHeight="1">
      <c r="A2107" s="62" t="n"/>
      <c r="B2107" s="63" t="n"/>
      <c r="C2107" s="64" t="n"/>
      <c r="D2107" s="64" t="n"/>
      <c r="E2107" s="63" t="n"/>
    </row>
    <row r="2108" ht="18" customHeight="1">
      <c r="A2108" s="62" t="n"/>
      <c r="B2108" s="63" t="n"/>
      <c r="C2108" s="64" t="n"/>
      <c r="D2108" s="64" t="n"/>
      <c r="E2108" s="63" t="n"/>
    </row>
    <row r="2109" ht="18" customHeight="1">
      <c r="A2109" s="62" t="n"/>
      <c r="B2109" s="63" t="n"/>
      <c r="C2109" s="64" t="n"/>
      <c r="D2109" s="64" t="n"/>
      <c r="E2109" s="63" t="n"/>
    </row>
    <row r="2110" ht="18" customHeight="1">
      <c r="A2110" s="62" t="n"/>
      <c r="B2110" s="63" t="n"/>
      <c r="C2110" s="64" t="n"/>
      <c r="D2110" s="64" t="n"/>
      <c r="E2110" s="63" t="n"/>
    </row>
    <row r="2111" ht="18" customHeight="1">
      <c r="A2111" s="62" t="n"/>
      <c r="B2111" s="63" t="n"/>
      <c r="C2111" s="64" t="n"/>
      <c r="D2111" s="64" t="n"/>
      <c r="E2111" s="63" t="n"/>
    </row>
    <row r="2112" ht="18" customHeight="1">
      <c r="A2112" s="62" t="n"/>
      <c r="B2112" s="63" t="n"/>
      <c r="C2112" s="64" t="n"/>
      <c r="D2112" s="64" t="n"/>
      <c r="E2112" s="63" t="n"/>
    </row>
    <row r="2113" ht="18" customHeight="1">
      <c r="A2113" s="62" t="n"/>
      <c r="B2113" s="63" t="n"/>
      <c r="C2113" s="64" t="n"/>
      <c r="D2113" s="64" t="n"/>
      <c r="E2113" s="63" t="n"/>
    </row>
    <row r="2114" ht="18" customHeight="1">
      <c r="A2114" s="62" t="n"/>
      <c r="B2114" s="63" t="n"/>
      <c r="C2114" s="64" t="n"/>
      <c r="D2114" s="64" t="n"/>
      <c r="E2114" s="63" t="n"/>
    </row>
    <row r="2115" ht="18" customHeight="1">
      <c r="A2115" s="62" t="n"/>
      <c r="B2115" s="63" t="n"/>
      <c r="C2115" s="64" t="n"/>
      <c r="D2115" s="64" t="n"/>
      <c r="E2115" s="63" t="n"/>
    </row>
    <row r="2116" ht="18" customHeight="1">
      <c r="A2116" s="62" t="n"/>
      <c r="B2116" s="63" t="n"/>
      <c r="C2116" s="64" t="n"/>
      <c r="D2116" s="64" t="n"/>
      <c r="E2116" s="63" t="n"/>
    </row>
    <row r="2117" ht="18" customHeight="1">
      <c r="A2117" s="62" t="n"/>
      <c r="B2117" s="63" t="n"/>
      <c r="C2117" s="64" t="n"/>
      <c r="D2117" s="64" t="n"/>
      <c r="E2117" s="63" t="n"/>
    </row>
    <row r="2118" ht="18" customHeight="1">
      <c r="A2118" s="62" t="n"/>
      <c r="B2118" s="63" t="n"/>
      <c r="C2118" s="64" t="n"/>
      <c r="D2118" s="64" t="n"/>
      <c r="E2118" s="63" t="n"/>
    </row>
    <row r="2119" ht="18" customHeight="1">
      <c r="A2119" s="62" t="n"/>
      <c r="B2119" s="63" t="n"/>
      <c r="C2119" s="64" t="n"/>
      <c r="D2119" s="64" t="n"/>
      <c r="E2119" s="63" t="n"/>
    </row>
    <row r="2120" ht="18" customHeight="1">
      <c r="A2120" s="62" t="n"/>
      <c r="B2120" s="63" t="n"/>
      <c r="C2120" s="64" t="n"/>
      <c r="D2120" s="64" t="n"/>
      <c r="E2120" s="63" t="n"/>
    </row>
    <row r="2121" ht="18" customHeight="1">
      <c r="A2121" s="62" t="n"/>
      <c r="B2121" s="63" t="n"/>
      <c r="C2121" s="64" t="n"/>
      <c r="D2121" s="64" t="n"/>
      <c r="E2121" s="63" t="n"/>
    </row>
    <row r="2122" ht="18" customHeight="1">
      <c r="A2122" s="62" t="n"/>
      <c r="B2122" s="63" t="n"/>
      <c r="C2122" s="64" t="n"/>
      <c r="D2122" s="64" t="n"/>
      <c r="E2122" s="63" t="n"/>
    </row>
    <row r="2123" ht="18" customHeight="1">
      <c r="A2123" s="62" t="n"/>
      <c r="B2123" s="63" t="n"/>
      <c r="C2123" s="64" t="n"/>
      <c r="D2123" s="64" t="n"/>
      <c r="E2123" s="63" t="n"/>
    </row>
    <row r="2124" ht="18" customHeight="1">
      <c r="A2124" s="62" t="n"/>
      <c r="B2124" s="63" t="n"/>
      <c r="C2124" s="64" t="n"/>
      <c r="D2124" s="64" t="n"/>
      <c r="E2124" s="63" t="n"/>
    </row>
    <row r="2125" ht="18" customHeight="1">
      <c r="A2125" s="62" t="n"/>
      <c r="B2125" s="63" t="n"/>
      <c r="C2125" s="64" t="n"/>
      <c r="D2125" s="64" t="n"/>
      <c r="E2125" s="63" t="n"/>
    </row>
    <row r="2126" ht="18" customHeight="1">
      <c r="A2126" s="62" t="n"/>
      <c r="B2126" s="63" t="n"/>
      <c r="C2126" s="64" t="n"/>
      <c r="D2126" s="64" t="n"/>
      <c r="E2126" s="63" t="n"/>
    </row>
    <row r="2127" ht="18" customHeight="1">
      <c r="A2127" s="62" t="n"/>
      <c r="B2127" s="63" t="n"/>
      <c r="C2127" s="64" t="n"/>
      <c r="D2127" s="64" t="n"/>
      <c r="E2127" s="63" t="n"/>
    </row>
    <row r="2128" ht="18" customHeight="1">
      <c r="A2128" s="62" t="n"/>
      <c r="B2128" s="63" t="n"/>
      <c r="C2128" s="64" t="n"/>
      <c r="D2128" s="64" t="n"/>
      <c r="E2128" s="63" t="n"/>
    </row>
    <row r="2129" ht="18" customHeight="1">
      <c r="A2129" s="62" t="n"/>
      <c r="B2129" s="63" t="n"/>
      <c r="C2129" s="64" t="n"/>
      <c r="D2129" s="64" t="n"/>
      <c r="E2129" s="63" t="n"/>
    </row>
    <row r="2130" ht="18" customHeight="1">
      <c r="A2130" s="62" t="n"/>
      <c r="B2130" s="63" t="n"/>
      <c r="C2130" s="64" t="n"/>
      <c r="D2130" s="64" t="n"/>
      <c r="E2130" s="63" t="n"/>
    </row>
    <row r="2131" ht="18" customHeight="1">
      <c r="A2131" s="62" t="n"/>
      <c r="B2131" s="63" t="n"/>
      <c r="C2131" s="64" t="n"/>
      <c r="D2131" s="64" t="n"/>
      <c r="E2131" s="63" t="n"/>
    </row>
    <row r="2132" ht="18" customHeight="1">
      <c r="A2132" s="62" t="n"/>
      <c r="B2132" s="63" t="n"/>
      <c r="C2132" s="64" t="n"/>
      <c r="D2132" s="64" t="n"/>
      <c r="E2132" s="63" t="n"/>
    </row>
    <row r="2133" ht="18" customHeight="1">
      <c r="A2133" s="62" t="n"/>
      <c r="B2133" s="63" t="n"/>
      <c r="C2133" s="64" t="n"/>
      <c r="D2133" s="64" t="n"/>
      <c r="E2133" s="63" t="n"/>
    </row>
    <row r="2134" ht="18" customHeight="1">
      <c r="A2134" s="62" t="n"/>
      <c r="B2134" s="63" t="n"/>
      <c r="C2134" s="64" t="n"/>
      <c r="D2134" s="64" t="n"/>
      <c r="E2134" s="63" t="n"/>
    </row>
    <row r="2135" ht="18" customHeight="1">
      <c r="A2135" s="62" t="n"/>
      <c r="B2135" s="63" t="n"/>
      <c r="C2135" s="64" t="n"/>
      <c r="D2135" s="64" t="n"/>
      <c r="E2135" s="63" t="n"/>
    </row>
    <row r="2136" ht="18" customHeight="1">
      <c r="A2136" s="62" t="n"/>
      <c r="B2136" s="63" t="n"/>
      <c r="C2136" s="64" t="n"/>
      <c r="D2136" s="64" t="n"/>
      <c r="E2136" s="63" t="n"/>
    </row>
    <row r="2137" ht="18" customHeight="1">
      <c r="A2137" s="62" t="n"/>
      <c r="B2137" s="63" t="n"/>
      <c r="C2137" s="64" t="n"/>
      <c r="D2137" s="64" t="n"/>
      <c r="E2137" s="63" t="n"/>
    </row>
    <row r="2138" ht="18" customHeight="1">
      <c r="A2138" s="62" t="n"/>
      <c r="B2138" s="63" t="n"/>
      <c r="C2138" s="64" t="n"/>
      <c r="D2138" s="64" t="n"/>
      <c r="E2138" s="63" t="n"/>
    </row>
    <row r="2139" ht="18" customHeight="1">
      <c r="A2139" s="62" t="n"/>
      <c r="B2139" s="63" t="n"/>
      <c r="C2139" s="64" t="n"/>
      <c r="D2139" s="64" t="n"/>
      <c r="E2139" s="63" t="n"/>
    </row>
    <row r="2140" ht="18" customHeight="1">
      <c r="A2140" s="62" t="n"/>
      <c r="B2140" s="63" t="n"/>
      <c r="C2140" s="64" t="n"/>
      <c r="D2140" s="64" t="n"/>
      <c r="E2140" s="63" t="n"/>
    </row>
    <row r="2141" ht="18" customHeight="1">
      <c r="A2141" s="62" t="n"/>
      <c r="B2141" s="63" t="n"/>
      <c r="C2141" s="64" t="n"/>
      <c r="D2141" s="64" t="n"/>
      <c r="E2141" s="63" t="n"/>
    </row>
    <row r="2142" ht="18" customHeight="1">
      <c r="A2142" s="62" t="n"/>
      <c r="B2142" s="63" t="n"/>
      <c r="C2142" s="64" t="n"/>
      <c r="D2142" s="64" t="n"/>
      <c r="E2142" s="63" t="n"/>
    </row>
    <row r="2143" ht="18" customHeight="1">
      <c r="A2143" s="62" t="n"/>
      <c r="B2143" s="63" t="n"/>
      <c r="C2143" s="64" t="n"/>
      <c r="D2143" s="64" t="n"/>
      <c r="E2143" s="63" t="n"/>
    </row>
    <row r="2144" ht="18" customHeight="1">
      <c r="A2144" s="62" t="n"/>
      <c r="B2144" s="63" t="n"/>
      <c r="C2144" s="64" t="n"/>
      <c r="D2144" s="64" t="n"/>
      <c r="E2144" s="63" t="n"/>
    </row>
    <row r="2145" ht="18" customHeight="1">
      <c r="A2145" s="62" t="n"/>
      <c r="B2145" s="63" t="n"/>
      <c r="C2145" s="64" t="n"/>
      <c r="D2145" s="64" t="n"/>
      <c r="E2145" s="63" t="n"/>
    </row>
    <row r="2146" ht="18" customHeight="1">
      <c r="A2146" s="62" t="n"/>
      <c r="B2146" s="63" t="n"/>
      <c r="C2146" s="64" t="n"/>
      <c r="D2146" s="64" t="n"/>
      <c r="E2146" s="63" t="n"/>
    </row>
    <row r="2147" ht="18" customHeight="1">
      <c r="A2147" s="62" t="n"/>
      <c r="B2147" s="63" t="n"/>
      <c r="C2147" s="64" t="n"/>
      <c r="D2147" s="64" t="n"/>
      <c r="E2147" s="63" t="n"/>
    </row>
    <row r="2148" ht="18" customHeight="1">
      <c r="A2148" s="62" t="n"/>
      <c r="B2148" s="63" t="n"/>
      <c r="C2148" s="64" t="n"/>
      <c r="D2148" s="64" t="n"/>
      <c r="E2148" s="63" t="n"/>
    </row>
    <row r="2149" ht="18" customHeight="1">
      <c r="A2149" s="62" t="n"/>
      <c r="B2149" s="63" t="n"/>
      <c r="C2149" s="64" t="n"/>
      <c r="D2149" s="64" t="n"/>
      <c r="E2149" s="63" t="n"/>
    </row>
    <row r="2150" ht="18" customHeight="1">
      <c r="A2150" s="62" t="n"/>
      <c r="B2150" s="63" t="n"/>
      <c r="C2150" s="64" t="n"/>
      <c r="D2150" s="64" t="n"/>
      <c r="E2150" s="63" t="n"/>
    </row>
    <row r="2151" ht="18" customHeight="1">
      <c r="A2151" s="62" t="n"/>
      <c r="B2151" s="63" t="n"/>
      <c r="C2151" s="64" t="n"/>
      <c r="D2151" s="64" t="n"/>
      <c r="E2151" s="63" t="n"/>
    </row>
    <row r="2152" ht="18" customHeight="1">
      <c r="A2152" s="62" t="n"/>
      <c r="B2152" s="63" t="n"/>
      <c r="C2152" s="64" t="n"/>
      <c r="D2152" s="64" t="n"/>
      <c r="E2152" s="63" t="n"/>
    </row>
    <row r="2153" ht="18" customHeight="1">
      <c r="A2153" s="62" t="n"/>
      <c r="B2153" s="63" t="n"/>
      <c r="C2153" s="64" t="n"/>
      <c r="D2153" s="64" t="n"/>
      <c r="E2153" s="63" t="n"/>
    </row>
    <row r="2154" ht="18" customHeight="1">
      <c r="A2154" s="62" t="n"/>
      <c r="B2154" s="63" t="n"/>
      <c r="C2154" s="64" t="n"/>
      <c r="D2154" s="64" t="n"/>
      <c r="E2154" s="63" t="n"/>
    </row>
    <row r="2155" ht="18" customHeight="1">
      <c r="A2155" s="62" t="n"/>
      <c r="B2155" s="63" t="n"/>
      <c r="C2155" s="64" t="n"/>
      <c r="D2155" s="64" t="n"/>
      <c r="E2155" s="63" t="n"/>
    </row>
    <row r="2156" ht="18" customHeight="1">
      <c r="A2156" s="62" t="n"/>
      <c r="B2156" s="63" t="n"/>
      <c r="C2156" s="64" t="n"/>
      <c r="D2156" s="64" t="n"/>
      <c r="E2156" s="63" t="n"/>
    </row>
    <row r="2157" ht="18" customHeight="1">
      <c r="A2157" s="62" t="n"/>
      <c r="B2157" s="63" t="n"/>
      <c r="C2157" s="64" t="n"/>
      <c r="D2157" s="64" t="n"/>
      <c r="E2157" s="63" t="n"/>
    </row>
    <row r="2158" ht="18" customHeight="1">
      <c r="A2158" s="62" t="n"/>
      <c r="B2158" s="63" t="n"/>
      <c r="C2158" s="64" t="n"/>
      <c r="D2158" s="64" t="n"/>
      <c r="E2158" s="63" t="n"/>
    </row>
    <row r="2159" ht="18" customHeight="1">
      <c r="A2159" s="62" t="n"/>
      <c r="B2159" s="63" t="n"/>
      <c r="C2159" s="64" t="n"/>
      <c r="D2159" s="64" t="n"/>
      <c r="E2159" s="63" t="n"/>
    </row>
    <row r="2160" ht="18" customHeight="1">
      <c r="A2160" s="62" t="n"/>
      <c r="B2160" s="63" t="n"/>
      <c r="C2160" s="64" t="n"/>
      <c r="D2160" s="64" t="n"/>
      <c r="E2160" s="63" t="n"/>
    </row>
    <row r="2161" ht="18" customHeight="1">
      <c r="A2161" s="62" t="n"/>
      <c r="B2161" s="63" t="n"/>
      <c r="C2161" s="64" t="n"/>
      <c r="D2161" s="64" t="n"/>
      <c r="E2161" s="63" t="n"/>
    </row>
    <row r="2162" ht="18" customHeight="1">
      <c r="A2162" s="62" t="n"/>
      <c r="B2162" s="63" t="n"/>
      <c r="C2162" s="64" t="n"/>
      <c r="D2162" s="64" t="n"/>
      <c r="E2162" s="63" t="n"/>
    </row>
    <row r="2163" ht="18" customHeight="1">
      <c r="A2163" s="62" t="n"/>
      <c r="B2163" s="63" t="n"/>
      <c r="C2163" s="64" t="n"/>
      <c r="D2163" s="64" t="n"/>
      <c r="E2163" s="63" t="n"/>
    </row>
    <row r="2164" ht="18" customHeight="1">
      <c r="A2164" s="62" t="n"/>
      <c r="B2164" s="63" t="n"/>
      <c r="C2164" s="64" t="n"/>
      <c r="D2164" s="64" t="n"/>
      <c r="E2164" s="63" t="n"/>
    </row>
    <row r="2165" ht="18" customHeight="1">
      <c r="A2165" s="62" t="n"/>
      <c r="B2165" s="63" t="n"/>
      <c r="C2165" s="64" t="n"/>
      <c r="D2165" s="64" t="n"/>
      <c r="E2165" s="63" t="n"/>
    </row>
    <row r="2166" ht="18" customHeight="1">
      <c r="A2166" s="62" t="n"/>
      <c r="B2166" s="63" t="n"/>
      <c r="C2166" s="64" t="n"/>
      <c r="D2166" s="64" t="n"/>
      <c r="E2166" s="63" t="n"/>
    </row>
    <row r="2167" ht="18" customHeight="1">
      <c r="A2167" s="62" t="n"/>
      <c r="B2167" s="63" t="n"/>
      <c r="C2167" s="64" t="n"/>
      <c r="D2167" s="64" t="n"/>
      <c r="E2167" s="63" t="n"/>
    </row>
    <row r="2168" ht="18" customHeight="1">
      <c r="A2168" s="62" t="n"/>
      <c r="B2168" s="63" t="n"/>
      <c r="C2168" s="64" t="n"/>
      <c r="D2168" s="64" t="n"/>
      <c r="E2168" s="63" t="n"/>
    </row>
    <row r="2169" ht="18" customHeight="1">
      <c r="A2169" s="62" t="n"/>
      <c r="B2169" s="63" t="n"/>
      <c r="C2169" s="64" t="n"/>
      <c r="D2169" s="64" t="n"/>
      <c r="E2169" s="63" t="n"/>
    </row>
    <row r="2170" ht="18" customHeight="1">
      <c r="A2170" s="62" t="n"/>
      <c r="B2170" s="63" t="n"/>
      <c r="C2170" s="64" t="n"/>
      <c r="D2170" s="64" t="n"/>
      <c r="E2170" s="63" t="n"/>
    </row>
    <row r="2171" ht="18" customHeight="1">
      <c r="A2171" s="62" t="n"/>
      <c r="B2171" s="63" t="n"/>
      <c r="C2171" s="64" t="n"/>
      <c r="D2171" s="64" t="n"/>
      <c r="E2171" s="63" t="n"/>
    </row>
    <row r="2172" ht="18" customHeight="1">
      <c r="A2172" s="62" t="n"/>
      <c r="B2172" s="63" t="n"/>
      <c r="C2172" s="64" t="n"/>
      <c r="D2172" s="64" t="n"/>
      <c r="E2172" s="63" t="n"/>
    </row>
    <row r="2173" ht="18" customHeight="1">
      <c r="A2173" s="62" t="n"/>
      <c r="B2173" s="63" t="n"/>
      <c r="C2173" s="64" t="n"/>
      <c r="D2173" s="64" t="n"/>
      <c r="E2173" s="63" t="n"/>
    </row>
    <row r="2174" ht="18" customHeight="1">
      <c r="A2174" s="62" t="n"/>
      <c r="B2174" s="63" t="n"/>
      <c r="C2174" s="64" t="n"/>
      <c r="D2174" s="64" t="n"/>
      <c r="E2174" s="63" t="n"/>
    </row>
    <row r="2175" ht="18" customHeight="1">
      <c r="A2175" s="62" t="n"/>
      <c r="B2175" s="63" t="n"/>
      <c r="C2175" s="64" t="n"/>
      <c r="D2175" s="64" t="n"/>
      <c r="E2175" s="63" t="n"/>
    </row>
    <row r="2176" ht="18" customHeight="1">
      <c r="A2176" s="62" t="n"/>
      <c r="B2176" s="63" t="n"/>
      <c r="C2176" s="64" t="n"/>
      <c r="D2176" s="64" t="n"/>
      <c r="E2176" s="63" t="n"/>
    </row>
    <row r="2177" ht="18" customHeight="1">
      <c r="A2177" s="62" t="n"/>
      <c r="B2177" s="63" t="n"/>
      <c r="C2177" s="64" t="n"/>
      <c r="D2177" s="64" t="n"/>
      <c r="E2177" s="63" t="n"/>
    </row>
    <row r="2178" ht="18" customHeight="1">
      <c r="A2178" s="62" t="n"/>
      <c r="B2178" s="63" t="n"/>
      <c r="C2178" s="64" t="n"/>
      <c r="D2178" s="64" t="n"/>
      <c r="E2178" s="63" t="n"/>
    </row>
    <row r="2179" ht="18" customHeight="1">
      <c r="A2179" s="62" t="n"/>
      <c r="B2179" s="63" t="n"/>
      <c r="C2179" s="64" t="n"/>
      <c r="D2179" s="64" t="n"/>
      <c r="E2179" s="63" t="n"/>
    </row>
    <row r="2180" ht="18" customHeight="1">
      <c r="A2180" s="62" t="n"/>
      <c r="B2180" s="63" t="n"/>
      <c r="C2180" s="64" t="n"/>
      <c r="D2180" s="64" t="n"/>
      <c r="E2180" s="63" t="n"/>
    </row>
    <row r="2181" ht="18" customHeight="1">
      <c r="A2181" s="62" t="n"/>
      <c r="B2181" s="63" t="n"/>
      <c r="C2181" s="64" t="n"/>
      <c r="D2181" s="64" t="n"/>
      <c r="E2181" s="63" t="n"/>
    </row>
    <row r="2182" ht="18" customHeight="1">
      <c r="A2182" s="62" t="n"/>
      <c r="B2182" s="63" t="n"/>
      <c r="C2182" s="64" t="n"/>
      <c r="D2182" s="64" t="n"/>
      <c r="E2182" s="63" t="n"/>
    </row>
    <row r="2183" ht="18" customHeight="1">
      <c r="A2183" s="62" t="n"/>
      <c r="B2183" s="63" t="n"/>
      <c r="C2183" s="64" t="n"/>
      <c r="D2183" s="64" t="n"/>
      <c r="E2183" s="63" t="n"/>
    </row>
    <row r="2184" ht="18" customHeight="1">
      <c r="A2184" s="62" t="n"/>
      <c r="B2184" s="63" t="n"/>
      <c r="C2184" s="64" t="n"/>
      <c r="D2184" s="64" t="n"/>
      <c r="E2184" s="63" t="n"/>
    </row>
    <row r="2185" ht="18" customHeight="1">
      <c r="A2185" s="62" t="n"/>
      <c r="B2185" s="63" t="n"/>
      <c r="C2185" s="64" t="n"/>
      <c r="D2185" s="64" t="n"/>
      <c r="E2185" s="63" t="n"/>
    </row>
    <row r="2186" ht="18" customHeight="1">
      <c r="A2186" s="62" t="n"/>
      <c r="B2186" s="63" t="n"/>
      <c r="C2186" s="64" t="n"/>
      <c r="D2186" s="64" t="n"/>
      <c r="E2186" s="63" t="n"/>
    </row>
    <row r="2187" ht="18" customHeight="1">
      <c r="A2187" s="62" t="n"/>
      <c r="B2187" s="63" t="n"/>
      <c r="C2187" s="64" t="n"/>
      <c r="D2187" s="64" t="n"/>
      <c r="E2187" s="63" t="n"/>
    </row>
    <row r="2188" ht="18" customHeight="1">
      <c r="A2188" s="62" t="n"/>
      <c r="B2188" s="63" t="n"/>
      <c r="C2188" s="64" t="n"/>
      <c r="D2188" s="64" t="n"/>
      <c r="E2188" s="63" t="n"/>
    </row>
    <row r="2189" ht="18" customHeight="1">
      <c r="A2189" s="62" t="n"/>
      <c r="B2189" s="63" t="n"/>
      <c r="C2189" s="64" t="n"/>
      <c r="D2189" s="64" t="n"/>
      <c r="E2189" s="63" t="n"/>
    </row>
    <row r="2190" ht="18" customHeight="1">
      <c r="A2190" s="62" t="n"/>
      <c r="B2190" s="63" t="n"/>
      <c r="C2190" s="64" t="n"/>
      <c r="D2190" s="64" t="n"/>
      <c r="E2190" s="63" t="n"/>
    </row>
    <row r="2191" ht="18" customHeight="1">
      <c r="A2191" s="62" t="n"/>
      <c r="B2191" s="63" t="n"/>
      <c r="C2191" s="64" t="n"/>
      <c r="D2191" s="64" t="n"/>
      <c r="E2191" s="63" t="n"/>
    </row>
    <row r="2192" ht="18" customHeight="1">
      <c r="A2192" s="62" t="n"/>
      <c r="B2192" s="63" t="n"/>
      <c r="C2192" s="64" t="n"/>
      <c r="D2192" s="64" t="n"/>
      <c r="E2192" s="63" t="n"/>
    </row>
    <row r="2193" ht="18" customHeight="1">
      <c r="A2193" s="62" t="n"/>
      <c r="B2193" s="63" t="n"/>
      <c r="C2193" s="64" t="n"/>
      <c r="D2193" s="64" t="n"/>
      <c r="E2193" s="63" t="n"/>
    </row>
    <row r="2194" ht="18" customHeight="1">
      <c r="A2194" s="62" t="n"/>
      <c r="B2194" s="63" t="n"/>
      <c r="C2194" s="64" t="n"/>
      <c r="D2194" s="64" t="n"/>
      <c r="E2194" s="63" t="n"/>
    </row>
    <row r="2195" ht="18" customHeight="1">
      <c r="A2195" s="62" t="n"/>
      <c r="B2195" s="63" t="n"/>
      <c r="C2195" s="64" t="n"/>
      <c r="D2195" s="64" t="n"/>
      <c r="E2195" s="63" t="n"/>
    </row>
    <row r="2196" ht="18" customHeight="1">
      <c r="A2196" s="62" t="n"/>
      <c r="B2196" s="63" t="n"/>
      <c r="C2196" s="64" t="n"/>
      <c r="D2196" s="64" t="n"/>
      <c r="E2196" s="63" t="n"/>
    </row>
    <row r="2197" ht="18" customHeight="1">
      <c r="A2197" s="62" t="n"/>
      <c r="B2197" s="63" t="n"/>
      <c r="C2197" s="64" t="n"/>
      <c r="D2197" s="64" t="n"/>
      <c r="E2197" s="63" t="n"/>
    </row>
    <row r="2198" ht="18" customHeight="1">
      <c r="A2198" s="62" t="n"/>
      <c r="B2198" s="63" t="n"/>
      <c r="C2198" s="64" t="n"/>
      <c r="D2198" s="64" t="n"/>
      <c r="E2198" s="63" t="n"/>
    </row>
    <row r="2199" ht="18" customHeight="1">
      <c r="A2199" s="62" t="n"/>
      <c r="B2199" s="63" t="n"/>
      <c r="C2199" s="64" t="n"/>
      <c r="D2199" s="64" t="n"/>
      <c r="E2199" s="63" t="n"/>
    </row>
    <row r="2200" ht="18" customHeight="1">
      <c r="A2200" s="62" t="n"/>
      <c r="B2200" s="63" t="n"/>
      <c r="C2200" s="64" t="n"/>
      <c r="D2200" s="64" t="n"/>
      <c r="E2200" s="63" t="n"/>
    </row>
    <row r="2201" ht="18" customHeight="1">
      <c r="A2201" s="62" t="n"/>
      <c r="B2201" s="63" t="n"/>
      <c r="C2201" s="64" t="n"/>
      <c r="D2201" s="64" t="n"/>
      <c r="E2201" s="63" t="n"/>
    </row>
    <row r="2202" ht="18" customHeight="1">
      <c r="A2202" s="62" t="n"/>
      <c r="B2202" s="63" t="n"/>
      <c r="C2202" s="64" t="n"/>
      <c r="D2202" s="64" t="n"/>
      <c r="E2202" s="63" t="n"/>
    </row>
    <row r="2203" ht="18" customHeight="1">
      <c r="A2203" s="62" t="n"/>
      <c r="B2203" s="63" t="n"/>
      <c r="C2203" s="64" t="n"/>
      <c r="D2203" s="64" t="n"/>
      <c r="E2203" s="63" t="n"/>
    </row>
    <row r="2204" ht="18" customHeight="1">
      <c r="A2204" s="62" t="n"/>
      <c r="B2204" s="63" t="n"/>
      <c r="C2204" s="64" t="n"/>
      <c r="D2204" s="64" t="n"/>
      <c r="E2204" s="63" t="n"/>
    </row>
    <row r="2205" ht="18" customHeight="1">
      <c r="A2205" s="62" t="n"/>
      <c r="B2205" s="63" t="n"/>
      <c r="C2205" s="64" t="n"/>
      <c r="D2205" s="64" t="n"/>
      <c r="E2205" s="63" t="n"/>
    </row>
    <row r="2206" ht="18" customHeight="1">
      <c r="A2206" s="62" t="n"/>
      <c r="B2206" s="63" t="n"/>
      <c r="C2206" s="64" t="n"/>
      <c r="D2206" s="64" t="n"/>
      <c r="E2206" s="63" t="n"/>
    </row>
    <row r="2207" ht="18" customHeight="1">
      <c r="A2207" s="62" t="n"/>
      <c r="B2207" s="63" t="n"/>
      <c r="C2207" s="64" t="n"/>
      <c r="D2207" s="64" t="n"/>
      <c r="E2207" s="63" t="n"/>
    </row>
    <row r="2208" ht="18" customHeight="1">
      <c r="A2208" s="62" t="n"/>
      <c r="B2208" s="63" t="n"/>
      <c r="C2208" s="64" t="n"/>
      <c r="D2208" s="64" t="n"/>
      <c r="E2208" s="63" t="n"/>
    </row>
    <row r="2209" ht="18" customHeight="1">
      <c r="A2209" s="62" t="n"/>
      <c r="B2209" s="63" t="n"/>
      <c r="C2209" s="64" t="n"/>
      <c r="D2209" s="64" t="n"/>
      <c r="E2209" s="63" t="n"/>
    </row>
    <row r="2210" ht="18" customHeight="1">
      <c r="A2210" s="62" t="n"/>
      <c r="B2210" s="63" t="n"/>
      <c r="C2210" s="64" t="n"/>
      <c r="D2210" s="64" t="n"/>
      <c r="E2210" s="63" t="n"/>
    </row>
    <row r="2211" ht="18" customHeight="1">
      <c r="A2211" s="62" t="n"/>
      <c r="B2211" s="63" t="n"/>
      <c r="C2211" s="64" t="n"/>
      <c r="D2211" s="64" t="n"/>
      <c r="E2211" s="63" t="n"/>
    </row>
    <row r="2212" ht="18" customHeight="1">
      <c r="A2212" s="62" t="n"/>
      <c r="B2212" s="63" t="n"/>
      <c r="C2212" s="64" t="n"/>
      <c r="D2212" s="64" t="n"/>
      <c r="E2212" s="63" t="n"/>
    </row>
    <row r="2213" ht="18" customHeight="1">
      <c r="A2213" s="62" t="n"/>
      <c r="B2213" s="63" t="n"/>
      <c r="C2213" s="64" t="n"/>
      <c r="D2213" s="64" t="n"/>
      <c r="E2213" s="63" t="n"/>
    </row>
    <row r="2214" ht="18" customHeight="1">
      <c r="A2214" s="62" t="n"/>
      <c r="B2214" s="63" t="n"/>
      <c r="C2214" s="64" t="n"/>
      <c r="D2214" s="64" t="n"/>
      <c r="E2214" s="63" t="n"/>
    </row>
    <row r="2215" ht="18" customHeight="1">
      <c r="A2215" s="62" t="n"/>
      <c r="B2215" s="63" t="n"/>
      <c r="C2215" s="64" t="n"/>
      <c r="D2215" s="64" t="n"/>
      <c r="E2215" s="63" t="n"/>
    </row>
    <row r="2216" ht="18" customHeight="1">
      <c r="A2216" s="62" t="n"/>
      <c r="B2216" s="63" t="n"/>
      <c r="C2216" s="64" t="n"/>
      <c r="D2216" s="64" t="n"/>
      <c r="E2216" s="63" t="n"/>
    </row>
    <row r="2217" ht="18" customHeight="1">
      <c r="A2217" s="62" t="n"/>
      <c r="B2217" s="63" t="n"/>
      <c r="C2217" s="64" t="n"/>
      <c r="D2217" s="64" t="n"/>
      <c r="E2217" s="63" t="n"/>
    </row>
    <row r="2218" ht="18" customHeight="1">
      <c r="A2218" s="62" t="n"/>
      <c r="B2218" s="63" t="n"/>
      <c r="C2218" s="64" t="n"/>
      <c r="D2218" s="64" t="n"/>
      <c r="E2218" s="63" t="n"/>
    </row>
    <row r="2219" ht="18" customHeight="1">
      <c r="A2219" s="62" t="n"/>
      <c r="B2219" s="63" t="n"/>
      <c r="C2219" s="64" t="n"/>
      <c r="D2219" s="64" t="n"/>
      <c r="E2219" s="63" t="n"/>
    </row>
    <row r="2220" ht="18" customHeight="1">
      <c r="A2220" s="62" t="n"/>
      <c r="B2220" s="63" t="n"/>
      <c r="C2220" s="64" t="n"/>
      <c r="D2220" s="64" t="n"/>
      <c r="E2220" s="63" t="n"/>
    </row>
    <row r="2221" ht="18" customHeight="1">
      <c r="A2221" s="62" t="n"/>
      <c r="B2221" s="63" t="n"/>
      <c r="C2221" s="64" t="n"/>
      <c r="D2221" s="64" t="n"/>
      <c r="E2221" s="63" t="n"/>
    </row>
    <row r="2222" ht="18" customHeight="1">
      <c r="A2222" s="62" t="n"/>
      <c r="B2222" s="63" t="n"/>
      <c r="C2222" s="64" t="n"/>
      <c r="D2222" s="64" t="n"/>
      <c r="E2222" s="63" t="n"/>
    </row>
    <row r="2223" ht="18" customHeight="1">
      <c r="A2223" s="62" t="n"/>
      <c r="B2223" s="63" t="n"/>
      <c r="C2223" s="64" t="n"/>
      <c r="D2223" s="64" t="n"/>
      <c r="E2223" s="63" t="n"/>
    </row>
    <row r="2224" ht="18" customHeight="1">
      <c r="A2224" s="62" t="n"/>
      <c r="B2224" s="63" t="n"/>
      <c r="C2224" s="64" t="n"/>
      <c r="D2224" s="64" t="n"/>
      <c r="E2224" s="63" t="n"/>
    </row>
    <row r="2225" ht="18" customHeight="1">
      <c r="A2225" s="62" t="n"/>
      <c r="B2225" s="63" t="n"/>
      <c r="C2225" s="64" t="n"/>
      <c r="D2225" s="64" t="n"/>
      <c r="E2225" s="63" t="n"/>
    </row>
    <row r="2226" ht="18" customHeight="1">
      <c r="A2226" s="62" t="n"/>
      <c r="B2226" s="63" t="n"/>
      <c r="C2226" s="64" t="n"/>
      <c r="D2226" s="64" t="n"/>
      <c r="E2226" s="63" t="n"/>
    </row>
    <row r="2227" ht="18" customHeight="1">
      <c r="A2227" s="62" t="n"/>
      <c r="B2227" s="63" t="n"/>
      <c r="C2227" s="64" t="n"/>
      <c r="D2227" s="64" t="n"/>
      <c r="E2227" s="63" t="n"/>
    </row>
    <row r="2228" ht="18" customHeight="1">
      <c r="A2228" s="62" t="n"/>
      <c r="B2228" s="63" t="n"/>
      <c r="C2228" s="64" t="n"/>
      <c r="D2228" s="64" t="n"/>
      <c r="E2228" s="63" t="n"/>
    </row>
    <row r="2229" ht="18" customHeight="1">
      <c r="A2229" s="62" t="n"/>
      <c r="B2229" s="63" t="n"/>
      <c r="C2229" s="64" t="n"/>
      <c r="D2229" s="64" t="n"/>
      <c r="E2229" s="63" t="n"/>
    </row>
    <row r="2230" ht="18" customHeight="1">
      <c r="A2230" s="62" t="n"/>
      <c r="B2230" s="63" t="n"/>
      <c r="C2230" s="64" t="n"/>
      <c r="D2230" s="64" t="n"/>
      <c r="E2230" s="63" t="n"/>
    </row>
    <row r="2231" ht="18" customHeight="1">
      <c r="A2231" s="62" t="n"/>
      <c r="B2231" s="63" t="n"/>
      <c r="C2231" s="64" t="n"/>
      <c r="D2231" s="64" t="n"/>
      <c r="E2231" s="63" t="n"/>
    </row>
    <row r="2232" ht="18" customHeight="1">
      <c r="A2232" s="62" t="n"/>
      <c r="B2232" s="63" t="n"/>
      <c r="C2232" s="64" t="n"/>
      <c r="D2232" s="64" t="n"/>
      <c r="E2232" s="63" t="n"/>
    </row>
    <row r="2233" ht="18" customHeight="1">
      <c r="A2233" s="62" t="n"/>
      <c r="B2233" s="63" t="n"/>
      <c r="C2233" s="64" t="n"/>
      <c r="D2233" s="64" t="n"/>
      <c r="E2233" s="63" t="n"/>
    </row>
    <row r="2234" ht="18" customHeight="1">
      <c r="A2234" s="62" t="n"/>
      <c r="B2234" s="63" t="n"/>
      <c r="C2234" s="64" t="n"/>
      <c r="D2234" s="64" t="n"/>
      <c r="E2234" s="63" t="n"/>
    </row>
    <row r="2235" ht="18" customHeight="1">
      <c r="A2235" s="62" t="n"/>
      <c r="B2235" s="63" t="n"/>
      <c r="C2235" s="64" t="n"/>
      <c r="D2235" s="64" t="n"/>
      <c r="E2235" s="63" t="n"/>
    </row>
    <row r="2236" ht="18" customHeight="1">
      <c r="A2236" s="62" t="n"/>
      <c r="B2236" s="63" t="n"/>
      <c r="C2236" s="64" t="n"/>
      <c r="D2236" s="64" t="n"/>
      <c r="E2236" s="63" t="n"/>
    </row>
    <row r="2237" ht="18" customHeight="1">
      <c r="A2237" s="62" t="n"/>
      <c r="B2237" s="63" t="n"/>
      <c r="C2237" s="64" t="n"/>
      <c r="D2237" s="64" t="n"/>
      <c r="E2237" s="63" t="n"/>
    </row>
    <row r="2238" ht="18" customHeight="1">
      <c r="A2238" s="62" t="n"/>
      <c r="B2238" s="63" t="n"/>
      <c r="C2238" s="64" t="n"/>
      <c r="D2238" s="64" t="n"/>
      <c r="E2238" s="63" t="n"/>
    </row>
    <row r="2239" ht="18" customHeight="1">
      <c r="A2239" s="62" t="n"/>
      <c r="B2239" s="63" t="n"/>
      <c r="C2239" s="64" t="n"/>
      <c r="D2239" s="64" t="n"/>
      <c r="E2239" s="63" t="n"/>
    </row>
    <row r="2240" ht="18" customHeight="1">
      <c r="A2240" s="62" t="n"/>
      <c r="B2240" s="63" t="n"/>
      <c r="C2240" s="64" t="n"/>
      <c r="D2240" s="64" t="n"/>
      <c r="E2240" s="63" t="n"/>
    </row>
    <row r="2241" ht="18" customHeight="1">
      <c r="A2241" s="62" t="n"/>
      <c r="B2241" s="63" t="n"/>
      <c r="C2241" s="64" t="n"/>
      <c r="D2241" s="64" t="n"/>
      <c r="E2241" s="63" t="n"/>
    </row>
    <row r="2242" ht="18" customHeight="1">
      <c r="A2242" s="62" t="n"/>
      <c r="B2242" s="63" t="n"/>
      <c r="C2242" s="64" t="n"/>
      <c r="D2242" s="64" t="n"/>
      <c r="E2242" s="63" t="n"/>
    </row>
    <row r="2243" ht="18" customHeight="1">
      <c r="A2243" s="62" t="n"/>
      <c r="B2243" s="63" t="n"/>
      <c r="C2243" s="64" t="n"/>
      <c r="D2243" s="64" t="n"/>
      <c r="E2243" s="63" t="n"/>
    </row>
    <row r="2244" ht="18" customHeight="1">
      <c r="A2244" s="62" t="n"/>
      <c r="B2244" s="63" t="n"/>
      <c r="C2244" s="64" t="n"/>
      <c r="D2244" s="64" t="n"/>
      <c r="E2244" s="63" t="n"/>
    </row>
    <row r="2245" ht="18" customHeight="1">
      <c r="A2245" s="62" t="n"/>
      <c r="B2245" s="63" t="n"/>
      <c r="C2245" s="64" t="n"/>
      <c r="D2245" s="64" t="n"/>
      <c r="E2245" s="63" t="n"/>
    </row>
    <row r="2246" ht="18" customHeight="1">
      <c r="A2246" s="62" t="n"/>
      <c r="B2246" s="63" t="n"/>
      <c r="C2246" s="64" t="n"/>
      <c r="D2246" s="64" t="n"/>
      <c r="E2246" s="63" t="n"/>
    </row>
    <row r="2247" ht="18" customHeight="1">
      <c r="A2247" s="62" t="n"/>
      <c r="B2247" s="63" t="n"/>
      <c r="C2247" s="64" t="n"/>
      <c r="D2247" s="64" t="n"/>
      <c r="E2247" s="63" t="n"/>
    </row>
    <row r="2248" ht="18" customHeight="1">
      <c r="A2248" s="62" t="n"/>
      <c r="B2248" s="63" t="n"/>
      <c r="C2248" s="64" t="n"/>
      <c r="D2248" s="64" t="n"/>
      <c r="E2248" s="63" t="n"/>
    </row>
    <row r="2249" ht="18" customHeight="1">
      <c r="A2249" s="62" t="n"/>
      <c r="B2249" s="63" t="n"/>
      <c r="C2249" s="64" t="n"/>
      <c r="D2249" s="64" t="n"/>
      <c r="E2249" s="63" t="n"/>
    </row>
    <row r="2250" ht="18" customHeight="1">
      <c r="A2250" s="62" t="n"/>
      <c r="B2250" s="63" t="n"/>
      <c r="C2250" s="64" t="n"/>
      <c r="D2250" s="64" t="n"/>
      <c r="E2250" s="63" t="n"/>
    </row>
    <row r="2251" ht="18" customHeight="1">
      <c r="A2251" s="62" t="n"/>
      <c r="B2251" s="63" t="n"/>
      <c r="C2251" s="64" t="n"/>
      <c r="D2251" s="64" t="n"/>
      <c r="E2251" s="63" t="n"/>
    </row>
    <row r="2252" ht="18" customHeight="1">
      <c r="A2252" s="62" t="n"/>
      <c r="B2252" s="63" t="n"/>
      <c r="C2252" s="64" t="n"/>
      <c r="D2252" s="64" t="n"/>
      <c r="E2252" s="63" t="n"/>
    </row>
    <row r="2253" ht="18" customHeight="1">
      <c r="A2253" s="62" t="n"/>
      <c r="B2253" s="63" t="n"/>
      <c r="C2253" s="64" t="n"/>
      <c r="D2253" s="64" t="n"/>
      <c r="E2253" s="63" t="n"/>
    </row>
    <row r="2254" ht="18" customHeight="1">
      <c r="A2254" s="62" t="n"/>
      <c r="B2254" s="63" t="n"/>
      <c r="C2254" s="64" t="n"/>
      <c r="D2254" s="64" t="n"/>
      <c r="E2254" s="63" t="n"/>
    </row>
    <row r="2255" ht="18" customHeight="1">
      <c r="A2255" s="62" t="n"/>
      <c r="B2255" s="63" t="n"/>
      <c r="C2255" s="64" t="n"/>
      <c r="D2255" s="64" t="n"/>
      <c r="E2255" s="63" t="n"/>
    </row>
    <row r="2256" ht="18" customHeight="1">
      <c r="A2256" s="62" t="n"/>
      <c r="B2256" s="63" t="n"/>
      <c r="C2256" s="64" t="n"/>
      <c r="D2256" s="64" t="n"/>
      <c r="E2256" s="63" t="n"/>
    </row>
    <row r="2257" ht="18" customHeight="1">
      <c r="A2257" s="62" t="n"/>
      <c r="B2257" s="63" t="n"/>
      <c r="C2257" s="64" t="n"/>
      <c r="D2257" s="64" t="n"/>
      <c r="E2257" s="63" t="n"/>
    </row>
    <row r="2258" ht="18" customHeight="1">
      <c r="A2258" s="62" t="n"/>
      <c r="B2258" s="63" t="n"/>
      <c r="C2258" s="64" t="n"/>
      <c r="D2258" s="64" t="n"/>
      <c r="E2258" s="63" t="n"/>
    </row>
    <row r="2259" ht="18" customHeight="1">
      <c r="A2259" s="62" t="n"/>
      <c r="B2259" s="63" t="n"/>
      <c r="C2259" s="64" t="n"/>
      <c r="D2259" s="64" t="n"/>
      <c r="E2259" s="63" t="n"/>
    </row>
    <row r="2260" ht="18" customHeight="1">
      <c r="A2260" s="62" t="n"/>
      <c r="B2260" s="63" t="n"/>
      <c r="C2260" s="64" t="n"/>
      <c r="D2260" s="64" t="n"/>
      <c r="E2260" s="63" t="n"/>
    </row>
    <row r="2261" ht="18" customHeight="1">
      <c r="A2261" s="62" t="n"/>
      <c r="B2261" s="63" t="n"/>
      <c r="C2261" s="64" t="n"/>
      <c r="D2261" s="64" t="n"/>
      <c r="E2261" s="63" t="n"/>
    </row>
    <row r="2262" ht="18" customHeight="1">
      <c r="A2262" s="62" t="n"/>
      <c r="B2262" s="63" t="n"/>
      <c r="C2262" s="64" t="n"/>
      <c r="D2262" s="64" t="n"/>
      <c r="E2262" s="63" t="n"/>
    </row>
    <row r="2263" ht="18" customHeight="1">
      <c r="A2263" s="62" t="n"/>
      <c r="B2263" s="63" t="n"/>
      <c r="C2263" s="64" t="n"/>
      <c r="D2263" s="64" t="n"/>
      <c r="E2263" s="63" t="n"/>
    </row>
    <row r="2264" ht="18" customHeight="1">
      <c r="A2264" s="62" t="n"/>
      <c r="B2264" s="63" t="n"/>
      <c r="C2264" s="64" t="n"/>
      <c r="D2264" s="64" t="n"/>
      <c r="E2264" s="63" t="n"/>
    </row>
    <row r="2265" ht="18" customHeight="1">
      <c r="A2265" s="62" t="n"/>
      <c r="B2265" s="63" t="n"/>
      <c r="C2265" s="64" t="n"/>
      <c r="D2265" s="64" t="n"/>
      <c r="E2265" s="63" t="n"/>
    </row>
    <row r="2266" ht="18" customHeight="1">
      <c r="A2266" s="62" t="n"/>
      <c r="B2266" s="63" t="n"/>
      <c r="C2266" s="64" t="n"/>
      <c r="D2266" s="64" t="n"/>
      <c r="E2266" s="63" t="n"/>
    </row>
    <row r="2267" ht="18" customHeight="1">
      <c r="A2267" s="62" t="n"/>
      <c r="B2267" s="63" t="n"/>
      <c r="C2267" s="64" t="n"/>
      <c r="D2267" s="64" t="n"/>
      <c r="E2267" s="63" t="n"/>
    </row>
    <row r="2268" ht="18" customHeight="1">
      <c r="A2268" s="62" t="n"/>
      <c r="B2268" s="63" t="n"/>
      <c r="C2268" s="64" t="n"/>
      <c r="D2268" s="64" t="n"/>
      <c r="E2268" s="63" t="n"/>
    </row>
    <row r="2269" ht="18" customHeight="1">
      <c r="A2269" s="62" t="n"/>
      <c r="B2269" s="63" t="n"/>
      <c r="C2269" s="64" t="n"/>
      <c r="D2269" s="64" t="n"/>
      <c r="E2269" s="63" t="n"/>
    </row>
    <row r="2270" ht="18" customHeight="1">
      <c r="A2270" s="62" t="n"/>
      <c r="B2270" s="63" t="n"/>
      <c r="C2270" s="64" t="n"/>
      <c r="D2270" s="64" t="n"/>
      <c r="E2270" s="63" t="n"/>
    </row>
    <row r="2271" ht="18" customHeight="1">
      <c r="A2271" s="62" t="n"/>
      <c r="B2271" s="63" t="n"/>
      <c r="C2271" s="64" t="n"/>
      <c r="D2271" s="64" t="n"/>
      <c r="E2271" s="63" t="n"/>
    </row>
    <row r="2272" ht="18" customHeight="1">
      <c r="A2272" s="62" t="n"/>
      <c r="B2272" s="63" t="n"/>
      <c r="C2272" s="64" t="n"/>
      <c r="D2272" s="64" t="n"/>
      <c r="E2272" s="63" t="n"/>
    </row>
    <row r="2273" ht="18" customHeight="1">
      <c r="A2273" s="62" t="n"/>
      <c r="B2273" s="63" t="n"/>
      <c r="C2273" s="64" t="n"/>
      <c r="D2273" s="64" t="n"/>
      <c r="E2273" s="63" t="n"/>
    </row>
    <row r="2274" ht="18" customHeight="1">
      <c r="A2274" s="62" t="n"/>
      <c r="B2274" s="63" t="n"/>
      <c r="C2274" s="64" t="n"/>
      <c r="D2274" s="64" t="n"/>
      <c r="E2274" s="63" t="n"/>
    </row>
    <row r="2275" ht="18" customHeight="1">
      <c r="A2275" s="62" t="n"/>
      <c r="B2275" s="63" t="n"/>
      <c r="C2275" s="64" t="n"/>
      <c r="D2275" s="64" t="n"/>
      <c r="E2275" s="63" t="n"/>
    </row>
    <row r="2276" ht="18" customHeight="1">
      <c r="A2276" s="62" t="n"/>
      <c r="B2276" s="63" t="n"/>
      <c r="C2276" s="64" t="n"/>
      <c r="D2276" s="64" t="n"/>
      <c r="E2276" s="63" t="n"/>
    </row>
    <row r="2277" ht="18" customHeight="1">
      <c r="A2277" s="62" t="n"/>
      <c r="B2277" s="63" t="n"/>
      <c r="C2277" s="64" t="n"/>
      <c r="D2277" s="64" t="n"/>
      <c r="E2277" s="63" t="n"/>
    </row>
    <row r="2278" ht="18" customHeight="1">
      <c r="A2278" s="62" t="n"/>
      <c r="B2278" s="63" t="n"/>
      <c r="C2278" s="64" t="n"/>
      <c r="D2278" s="64" t="n"/>
      <c r="E2278" s="63" t="n"/>
    </row>
    <row r="2279" ht="18" customHeight="1">
      <c r="A2279" s="62" t="n"/>
      <c r="B2279" s="63" t="n"/>
      <c r="C2279" s="64" t="n"/>
      <c r="D2279" s="64" t="n"/>
      <c r="E2279" s="63" t="n"/>
    </row>
    <row r="2280" ht="18" customHeight="1">
      <c r="A2280" s="62" t="n"/>
      <c r="B2280" s="63" t="n"/>
      <c r="C2280" s="64" t="n"/>
      <c r="D2280" s="64" t="n"/>
      <c r="E2280" s="63" t="n"/>
    </row>
    <row r="2281" ht="18" customHeight="1">
      <c r="A2281" s="62" t="n"/>
      <c r="B2281" s="63" t="n"/>
      <c r="C2281" s="64" t="n"/>
      <c r="D2281" s="64" t="n"/>
      <c r="E2281" s="63" t="n"/>
    </row>
    <row r="2282" ht="18" customHeight="1">
      <c r="A2282" s="62" t="n"/>
      <c r="B2282" s="63" t="n"/>
      <c r="C2282" s="64" t="n"/>
      <c r="D2282" s="64" t="n"/>
      <c r="E2282" s="63" t="n"/>
    </row>
    <row r="2283" ht="18" customHeight="1">
      <c r="A2283" s="62" t="n"/>
      <c r="B2283" s="63" t="n"/>
      <c r="C2283" s="64" t="n"/>
      <c r="D2283" s="64" t="n"/>
      <c r="E2283" s="63" t="n"/>
    </row>
    <row r="2284" ht="18" customHeight="1">
      <c r="A2284" s="62" t="n"/>
      <c r="B2284" s="63" t="n"/>
      <c r="C2284" s="64" t="n"/>
      <c r="D2284" s="64" t="n"/>
      <c r="E2284" s="63" t="n"/>
    </row>
    <row r="2285" ht="18" customHeight="1">
      <c r="A2285" s="62" t="n"/>
      <c r="B2285" s="63" t="n"/>
      <c r="C2285" s="64" t="n"/>
      <c r="D2285" s="64" t="n"/>
      <c r="E2285" s="63" t="n"/>
    </row>
    <row r="2286" ht="18" customHeight="1">
      <c r="A2286" s="62" t="n"/>
      <c r="B2286" s="63" t="n"/>
      <c r="C2286" s="64" t="n"/>
      <c r="D2286" s="64" t="n"/>
      <c r="E2286" s="63" t="n"/>
    </row>
    <row r="2287" ht="18" customHeight="1">
      <c r="A2287" s="62" t="n"/>
      <c r="B2287" s="63" t="n"/>
      <c r="C2287" s="64" t="n"/>
      <c r="D2287" s="64" t="n"/>
      <c r="E2287" s="63" t="n"/>
    </row>
    <row r="2288" ht="18" customHeight="1">
      <c r="A2288" s="62" t="n"/>
      <c r="B2288" s="63" t="n"/>
      <c r="C2288" s="64" t="n"/>
      <c r="D2288" s="64" t="n"/>
      <c r="E2288" s="63" t="n"/>
    </row>
    <row r="2289" ht="18" customHeight="1">
      <c r="A2289" s="62" t="n"/>
      <c r="B2289" s="63" t="n"/>
      <c r="C2289" s="64" t="n"/>
      <c r="D2289" s="64" t="n"/>
      <c r="E2289" s="63" t="n"/>
    </row>
    <row r="2290" ht="18" customHeight="1">
      <c r="A2290" s="62" t="n"/>
      <c r="B2290" s="63" t="n"/>
      <c r="C2290" s="64" t="n"/>
      <c r="D2290" s="64" t="n"/>
      <c r="E2290" s="63" t="n"/>
    </row>
    <row r="2291" ht="18" customHeight="1">
      <c r="A2291" s="62" t="n"/>
      <c r="B2291" s="63" t="n"/>
      <c r="C2291" s="64" t="n"/>
      <c r="D2291" s="64" t="n"/>
      <c r="E2291" s="63" t="n"/>
    </row>
    <row r="2292" ht="18" customHeight="1">
      <c r="A2292" s="62" t="n"/>
      <c r="B2292" s="63" t="n"/>
      <c r="C2292" s="64" t="n"/>
      <c r="D2292" s="64" t="n"/>
      <c r="E2292" s="63" t="n"/>
    </row>
    <row r="2293" ht="18" customHeight="1">
      <c r="A2293" s="62" t="n"/>
      <c r="B2293" s="63" t="n"/>
      <c r="C2293" s="64" t="n"/>
      <c r="D2293" s="64" t="n"/>
      <c r="E2293" s="63" t="n"/>
    </row>
    <row r="2294" ht="18" customHeight="1">
      <c r="A2294" s="62" t="n"/>
      <c r="B2294" s="63" t="n"/>
      <c r="C2294" s="64" t="n"/>
      <c r="D2294" s="64" t="n"/>
      <c r="E2294" s="63" t="n"/>
    </row>
    <row r="2295" ht="18" customHeight="1">
      <c r="A2295" s="62" t="n"/>
      <c r="B2295" s="63" t="n"/>
      <c r="C2295" s="64" t="n"/>
      <c r="D2295" s="64" t="n"/>
      <c r="E2295" s="63" t="n"/>
    </row>
    <row r="2296" ht="18" customHeight="1">
      <c r="A2296" s="62" t="n"/>
      <c r="B2296" s="63" t="n"/>
      <c r="C2296" s="64" t="n"/>
      <c r="D2296" s="64" t="n"/>
      <c r="E2296" s="63" t="n"/>
    </row>
    <row r="2297" ht="18" customHeight="1">
      <c r="A2297" s="62" t="n"/>
      <c r="B2297" s="63" t="n"/>
      <c r="C2297" s="64" t="n"/>
      <c r="D2297" s="64" t="n"/>
      <c r="E2297" s="63" t="n"/>
    </row>
    <row r="2298" ht="18" customHeight="1">
      <c r="A2298" s="62" t="n"/>
      <c r="B2298" s="63" t="n"/>
      <c r="C2298" s="64" t="n"/>
      <c r="D2298" s="64" t="n"/>
      <c r="E2298" s="63" t="n"/>
    </row>
    <row r="2299" ht="18" customHeight="1">
      <c r="A2299" s="62" t="n"/>
      <c r="B2299" s="63" t="n"/>
      <c r="C2299" s="64" t="n"/>
      <c r="D2299" s="64" t="n"/>
      <c r="E2299" s="63" t="n"/>
    </row>
    <row r="2300" ht="18" customHeight="1">
      <c r="A2300" s="62" t="n"/>
      <c r="B2300" s="63" t="n"/>
      <c r="C2300" s="64" t="n"/>
      <c r="D2300" s="64" t="n"/>
      <c r="E2300" s="63" t="n"/>
    </row>
    <row r="2301" ht="18" customHeight="1">
      <c r="A2301" s="62" t="n"/>
      <c r="B2301" s="63" t="n"/>
      <c r="C2301" s="64" t="n"/>
      <c r="D2301" s="64" t="n"/>
      <c r="E2301" s="63" t="n"/>
    </row>
    <row r="2302" ht="18" customHeight="1">
      <c r="A2302" s="62" t="n"/>
      <c r="B2302" s="63" t="n"/>
      <c r="C2302" s="64" t="n"/>
      <c r="D2302" s="64" t="n"/>
      <c r="E2302" s="63" t="n"/>
    </row>
    <row r="2303" ht="18" customHeight="1">
      <c r="A2303" s="62" t="n"/>
      <c r="B2303" s="63" t="n"/>
      <c r="C2303" s="64" t="n"/>
      <c r="D2303" s="64" t="n"/>
      <c r="E2303" s="63" t="n"/>
    </row>
    <row r="2304" ht="18" customHeight="1">
      <c r="A2304" s="62" t="n"/>
      <c r="B2304" s="63" t="n"/>
      <c r="C2304" s="64" t="n"/>
      <c r="D2304" s="64" t="n"/>
      <c r="E2304" s="63" t="n"/>
    </row>
    <row r="2305" ht="18" customHeight="1">
      <c r="A2305" s="62" t="n"/>
      <c r="B2305" s="63" t="n"/>
      <c r="C2305" s="64" t="n"/>
      <c r="D2305" s="64" t="n"/>
      <c r="E2305" s="63" t="n"/>
    </row>
    <row r="2306" ht="18" customHeight="1">
      <c r="A2306" s="62" t="n"/>
      <c r="B2306" s="63" t="n"/>
      <c r="C2306" s="64" t="n"/>
      <c r="D2306" s="64" t="n"/>
      <c r="E2306" s="63" t="n"/>
    </row>
    <row r="2307" ht="18" customHeight="1">
      <c r="A2307" s="62" t="n"/>
      <c r="B2307" s="63" t="n"/>
      <c r="C2307" s="64" t="n"/>
      <c r="D2307" s="64" t="n"/>
      <c r="E2307" s="63" t="n"/>
    </row>
    <row r="2308" ht="18" customHeight="1">
      <c r="A2308" s="62" t="n"/>
      <c r="B2308" s="63" t="n"/>
      <c r="C2308" s="64" t="n"/>
      <c r="D2308" s="64" t="n"/>
      <c r="E2308" s="63" t="n"/>
    </row>
    <row r="2309" ht="18" customHeight="1">
      <c r="A2309" s="62" t="n"/>
      <c r="B2309" s="63" t="n"/>
      <c r="C2309" s="64" t="n"/>
      <c r="D2309" s="64" t="n"/>
      <c r="E2309" s="63" t="n"/>
    </row>
    <row r="2310" ht="18" customHeight="1">
      <c r="A2310" s="62" t="n"/>
      <c r="B2310" s="63" t="n"/>
      <c r="C2310" s="64" t="n"/>
      <c r="D2310" s="64" t="n"/>
      <c r="E2310" s="63" t="n"/>
    </row>
    <row r="2311" ht="18" customHeight="1">
      <c r="A2311" s="62" t="n"/>
      <c r="B2311" s="63" t="n"/>
      <c r="C2311" s="64" t="n"/>
      <c r="D2311" s="64" t="n"/>
      <c r="E2311" s="63" t="n"/>
    </row>
    <row r="2312" ht="18" customHeight="1">
      <c r="A2312" s="62" t="n"/>
      <c r="B2312" s="63" t="n"/>
      <c r="C2312" s="64" t="n"/>
      <c r="D2312" s="64" t="n"/>
      <c r="E2312" s="63" t="n"/>
    </row>
    <row r="2313" ht="18" customHeight="1">
      <c r="A2313" s="62" t="n"/>
      <c r="B2313" s="63" t="n"/>
      <c r="C2313" s="64" t="n"/>
      <c r="D2313" s="64" t="n"/>
      <c r="E2313" s="63" t="n"/>
    </row>
    <row r="2314" ht="18" customHeight="1">
      <c r="A2314" s="62" t="n"/>
      <c r="B2314" s="63" t="n"/>
      <c r="C2314" s="64" t="n"/>
      <c r="D2314" s="64" t="n"/>
      <c r="E2314" s="63" t="n"/>
    </row>
    <row r="2315" ht="18" customHeight="1">
      <c r="A2315" s="62" t="n"/>
      <c r="B2315" s="63" t="n"/>
      <c r="C2315" s="64" t="n"/>
      <c r="D2315" s="64" t="n"/>
      <c r="E2315" s="63" t="n"/>
    </row>
    <row r="2316" ht="18" customHeight="1">
      <c r="A2316" s="62" t="n"/>
      <c r="B2316" s="63" t="n"/>
      <c r="C2316" s="64" t="n"/>
      <c r="D2316" s="64" t="n"/>
      <c r="E2316" s="63" t="n"/>
    </row>
    <row r="2317" ht="18" customHeight="1">
      <c r="A2317" s="62" t="n"/>
      <c r="B2317" s="63" t="n"/>
      <c r="C2317" s="64" t="n"/>
      <c r="D2317" s="64" t="n"/>
      <c r="E2317" s="63" t="n"/>
    </row>
    <row r="2318" ht="18" customHeight="1">
      <c r="A2318" s="62" t="n"/>
      <c r="B2318" s="63" t="n"/>
      <c r="C2318" s="64" t="n"/>
      <c r="D2318" s="64" t="n"/>
      <c r="E2318" s="63" t="n"/>
    </row>
    <row r="2319" ht="18" customHeight="1">
      <c r="A2319" s="62" t="n"/>
      <c r="B2319" s="63" t="n"/>
      <c r="C2319" s="64" t="n"/>
      <c r="D2319" s="64" t="n"/>
      <c r="E2319" s="63" t="n"/>
    </row>
    <row r="2320" ht="18" customHeight="1">
      <c r="A2320" s="62" t="n"/>
      <c r="B2320" s="63" t="n"/>
      <c r="C2320" s="64" t="n"/>
      <c r="D2320" s="64" t="n"/>
      <c r="E2320" s="63" t="n"/>
    </row>
    <row r="2321" ht="18" customHeight="1">
      <c r="A2321" s="62" t="n"/>
      <c r="B2321" s="63" t="n"/>
      <c r="C2321" s="64" t="n"/>
      <c r="D2321" s="64" t="n"/>
      <c r="E2321" s="63" t="n"/>
    </row>
    <row r="2322" ht="18" customHeight="1">
      <c r="A2322" s="62" t="n"/>
      <c r="B2322" s="63" t="n"/>
      <c r="C2322" s="64" t="n"/>
      <c r="D2322" s="64" t="n"/>
      <c r="E2322" s="63" t="n"/>
    </row>
    <row r="2323" ht="18" customHeight="1">
      <c r="A2323" s="62" t="n"/>
      <c r="B2323" s="63" t="n"/>
      <c r="C2323" s="64" t="n"/>
      <c r="D2323" s="64" t="n"/>
      <c r="E2323" s="63" t="n"/>
    </row>
    <row r="2324" ht="18" customHeight="1">
      <c r="A2324" s="62" t="n"/>
      <c r="B2324" s="63" t="n"/>
      <c r="C2324" s="64" t="n"/>
      <c r="D2324" s="64" t="n"/>
      <c r="E2324" s="63" t="n"/>
    </row>
    <row r="2325" ht="18" customHeight="1">
      <c r="A2325" s="62" t="n"/>
      <c r="B2325" s="63" t="n"/>
      <c r="C2325" s="64" t="n"/>
      <c r="D2325" s="64" t="n"/>
      <c r="E2325" s="63" t="n"/>
    </row>
    <row r="2326" ht="18" customHeight="1">
      <c r="A2326" s="62" t="n"/>
      <c r="B2326" s="63" t="n"/>
      <c r="C2326" s="64" t="n"/>
      <c r="D2326" s="64" t="n"/>
      <c r="E2326" s="63" t="n"/>
    </row>
    <row r="2327" ht="18" customHeight="1">
      <c r="A2327" s="62" t="n"/>
      <c r="B2327" s="63" t="n"/>
      <c r="C2327" s="64" t="n"/>
      <c r="D2327" s="64" t="n"/>
      <c r="E2327" s="63" t="n"/>
    </row>
    <row r="2328" ht="18" customHeight="1">
      <c r="A2328" s="62" t="n"/>
      <c r="B2328" s="63" t="n"/>
      <c r="C2328" s="64" t="n"/>
      <c r="D2328" s="64" t="n"/>
      <c r="E2328" s="63" t="n"/>
    </row>
    <row r="2329" ht="18" customHeight="1">
      <c r="A2329" s="62" t="n"/>
      <c r="B2329" s="63" t="n"/>
      <c r="C2329" s="64" t="n"/>
      <c r="D2329" s="64" t="n"/>
      <c r="E2329" s="63" t="n"/>
    </row>
    <row r="2330" ht="18" customHeight="1">
      <c r="A2330" s="62" t="n"/>
      <c r="B2330" s="63" t="n"/>
      <c r="C2330" s="64" t="n"/>
      <c r="D2330" s="64" t="n"/>
      <c r="E2330" s="63" t="n"/>
    </row>
    <row r="2331" ht="18" customHeight="1">
      <c r="A2331" s="62" t="n"/>
      <c r="B2331" s="63" t="n"/>
      <c r="C2331" s="64" t="n"/>
      <c r="D2331" s="64" t="n"/>
      <c r="E2331" s="63" t="n"/>
    </row>
    <row r="2332" ht="18" customHeight="1">
      <c r="A2332" s="62" t="n"/>
      <c r="B2332" s="63" t="n"/>
      <c r="C2332" s="64" t="n"/>
      <c r="D2332" s="64" t="n"/>
      <c r="E2332" s="63" t="n"/>
    </row>
    <row r="2333" ht="18" customHeight="1">
      <c r="A2333" s="62" t="n"/>
      <c r="B2333" s="63" t="n"/>
      <c r="C2333" s="64" t="n"/>
      <c r="D2333" s="64" t="n"/>
      <c r="E2333" s="63" t="n"/>
    </row>
    <row r="2334" ht="18" customHeight="1">
      <c r="A2334" s="62" t="n"/>
      <c r="B2334" s="63" t="n"/>
      <c r="C2334" s="64" t="n"/>
      <c r="D2334" s="64" t="n"/>
      <c r="E2334" s="63" t="n"/>
    </row>
    <row r="2335" ht="18" customHeight="1">
      <c r="A2335" s="62" t="n"/>
      <c r="B2335" s="63" t="n"/>
      <c r="C2335" s="64" t="n"/>
      <c r="D2335" s="64" t="n"/>
      <c r="E2335" s="63" t="n"/>
    </row>
    <row r="2336" ht="18" customHeight="1">
      <c r="A2336" s="62" t="n"/>
      <c r="B2336" s="63" t="n"/>
      <c r="C2336" s="64" t="n"/>
      <c r="D2336" s="64" t="n"/>
      <c r="E2336" s="63" t="n"/>
    </row>
    <row r="2337" ht="18" customHeight="1">
      <c r="A2337" s="62" t="n"/>
      <c r="B2337" s="63" t="n"/>
      <c r="C2337" s="64" t="n"/>
      <c r="D2337" s="64" t="n"/>
      <c r="E2337" s="63" t="n"/>
    </row>
    <row r="2338" ht="18" customHeight="1">
      <c r="A2338" s="62" t="n"/>
      <c r="B2338" s="63" t="n"/>
      <c r="C2338" s="64" t="n"/>
      <c r="D2338" s="64" t="n"/>
      <c r="E2338" s="63" t="n"/>
    </row>
    <row r="2339" ht="18" customHeight="1">
      <c r="A2339" s="62" t="n"/>
      <c r="B2339" s="63" t="n"/>
      <c r="C2339" s="64" t="n"/>
      <c r="D2339" s="64" t="n"/>
      <c r="E2339" s="63" t="n"/>
    </row>
    <row r="2340" ht="18" customHeight="1">
      <c r="A2340" s="62" t="n"/>
      <c r="B2340" s="63" t="n"/>
      <c r="C2340" s="64" t="n"/>
      <c r="D2340" s="64" t="n"/>
      <c r="E2340" s="63" t="n"/>
    </row>
    <row r="2341" ht="18" customHeight="1">
      <c r="A2341" s="62" t="n"/>
      <c r="B2341" s="63" t="n"/>
      <c r="C2341" s="64" t="n"/>
      <c r="D2341" s="64" t="n"/>
      <c r="E2341" s="63" t="n"/>
    </row>
    <row r="2342" ht="18" customHeight="1">
      <c r="A2342" s="62" t="n"/>
      <c r="B2342" s="63" t="n"/>
      <c r="C2342" s="64" t="n"/>
      <c r="D2342" s="64" t="n"/>
      <c r="E2342" s="63" t="n"/>
    </row>
    <row r="2343" ht="18" customHeight="1">
      <c r="A2343" s="62" t="n"/>
      <c r="B2343" s="63" t="n"/>
      <c r="C2343" s="64" t="n"/>
      <c r="D2343" s="64" t="n"/>
      <c r="E2343" s="63" t="n"/>
    </row>
    <row r="2344" ht="18" customHeight="1">
      <c r="A2344" s="62" t="n"/>
      <c r="B2344" s="63" t="n"/>
      <c r="C2344" s="64" t="n"/>
      <c r="D2344" s="64" t="n"/>
      <c r="E2344" s="63" t="n"/>
    </row>
    <row r="2345" ht="18" customHeight="1">
      <c r="A2345" s="62" t="n"/>
      <c r="B2345" s="63" t="n"/>
      <c r="C2345" s="64" t="n"/>
      <c r="D2345" s="64" t="n"/>
      <c r="E2345" s="63" t="n"/>
    </row>
    <row r="2346" ht="18" customHeight="1">
      <c r="A2346" s="62" t="n"/>
      <c r="B2346" s="63" t="n"/>
      <c r="C2346" s="64" t="n"/>
      <c r="D2346" s="64" t="n"/>
      <c r="E2346" s="63" t="n"/>
    </row>
    <row r="2347" ht="18" customHeight="1">
      <c r="A2347" s="62" t="n"/>
      <c r="B2347" s="63" t="n"/>
      <c r="C2347" s="64" t="n"/>
      <c r="D2347" s="64" t="n"/>
      <c r="E2347" s="63" t="n"/>
    </row>
    <row r="2348" ht="18" customHeight="1">
      <c r="A2348" s="62" t="n"/>
      <c r="B2348" s="63" t="n"/>
      <c r="C2348" s="64" t="n"/>
      <c r="D2348" s="64" t="n"/>
      <c r="E2348" s="63" t="n"/>
    </row>
    <row r="2349" ht="18" customHeight="1">
      <c r="A2349" s="62" t="n"/>
      <c r="B2349" s="63" t="n"/>
      <c r="C2349" s="64" t="n"/>
      <c r="D2349" s="64" t="n"/>
      <c r="E2349" s="63" t="n"/>
    </row>
    <row r="2350" ht="18" customHeight="1">
      <c r="A2350" s="62" t="n"/>
      <c r="B2350" s="63" t="n"/>
      <c r="C2350" s="64" t="n"/>
      <c r="D2350" s="64" t="n"/>
      <c r="E2350" s="63" t="n"/>
    </row>
    <row r="2351" ht="18" customHeight="1">
      <c r="A2351" s="62" t="n"/>
      <c r="B2351" s="63" t="n"/>
      <c r="C2351" s="64" t="n"/>
      <c r="D2351" s="64" t="n"/>
      <c r="E2351" s="63" t="n"/>
    </row>
    <row r="2352" ht="18" customHeight="1">
      <c r="A2352" s="62" t="n"/>
      <c r="B2352" s="63" t="n"/>
      <c r="C2352" s="64" t="n"/>
      <c r="D2352" s="64" t="n"/>
      <c r="E2352" s="63" t="n"/>
    </row>
    <row r="2353" ht="18" customHeight="1">
      <c r="A2353" s="62" t="n"/>
      <c r="B2353" s="63" t="n"/>
      <c r="C2353" s="64" t="n"/>
      <c r="D2353" s="64" t="n"/>
      <c r="E2353" s="63" t="n"/>
    </row>
    <row r="2354" ht="18" customHeight="1">
      <c r="A2354" s="62" t="n"/>
      <c r="B2354" s="63" t="n"/>
      <c r="C2354" s="64" t="n"/>
      <c r="D2354" s="64" t="n"/>
      <c r="E2354" s="63" t="n"/>
    </row>
    <row r="2355" ht="18" customHeight="1">
      <c r="A2355" s="62" t="n"/>
      <c r="B2355" s="63" t="n"/>
      <c r="C2355" s="64" t="n"/>
      <c r="D2355" s="64" t="n"/>
      <c r="E2355" s="63" t="n"/>
    </row>
    <row r="2356" ht="18" customHeight="1">
      <c r="A2356" s="62" t="n"/>
      <c r="B2356" s="63" t="n"/>
      <c r="C2356" s="64" t="n"/>
      <c r="D2356" s="64" t="n"/>
      <c r="E2356" s="63" t="n"/>
    </row>
    <row r="2357" ht="18" customHeight="1">
      <c r="A2357" s="62" t="n"/>
      <c r="B2357" s="63" t="n"/>
      <c r="C2357" s="64" t="n"/>
      <c r="D2357" s="64" t="n"/>
      <c r="E2357" s="63" t="n"/>
    </row>
    <row r="2358" ht="18" customHeight="1">
      <c r="A2358" s="62" t="n"/>
      <c r="B2358" s="63" t="n"/>
      <c r="C2358" s="64" t="n"/>
      <c r="D2358" s="64" t="n"/>
      <c r="E2358" s="63" t="n"/>
    </row>
    <row r="2359" ht="18" customHeight="1">
      <c r="A2359" s="62" t="n"/>
      <c r="B2359" s="63" t="n"/>
      <c r="C2359" s="64" t="n"/>
      <c r="D2359" s="64" t="n"/>
      <c r="E2359" s="63" t="n"/>
    </row>
    <row r="2360" ht="18" customHeight="1">
      <c r="A2360" s="62" t="n"/>
      <c r="B2360" s="63" t="n"/>
      <c r="C2360" s="64" t="n"/>
      <c r="D2360" s="64" t="n"/>
      <c r="E2360" s="63" t="n"/>
    </row>
    <row r="2361" ht="18" customHeight="1">
      <c r="A2361" s="62" t="n"/>
      <c r="B2361" s="63" t="n"/>
      <c r="C2361" s="64" t="n"/>
      <c r="D2361" s="64" t="n"/>
      <c r="E2361" s="63" t="n"/>
    </row>
    <row r="2362" ht="18" customHeight="1">
      <c r="A2362" s="62" t="n"/>
      <c r="B2362" s="63" t="n"/>
      <c r="C2362" s="64" t="n"/>
      <c r="D2362" s="64" t="n"/>
      <c r="E2362" s="63" t="n"/>
    </row>
    <row r="2363" ht="18" customHeight="1">
      <c r="A2363" s="62" t="n"/>
      <c r="B2363" s="63" t="n"/>
      <c r="C2363" s="64" t="n"/>
      <c r="D2363" s="64" t="n"/>
      <c r="E2363" s="63" t="n"/>
    </row>
    <row r="2364" ht="18" customHeight="1">
      <c r="A2364" s="62" t="n"/>
      <c r="B2364" s="63" t="n"/>
      <c r="C2364" s="64" t="n"/>
      <c r="D2364" s="64" t="n"/>
      <c r="E2364" s="63" t="n"/>
    </row>
    <row r="2365" ht="18" customHeight="1">
      <c r="A2365" s="62" t="n"/>
      <c r="B2365" s="63" t="n"/>
      <c r="C2365" s="64" t="n"/>
      <c r="D2365" s="64" t="n"/>
      <c r="E2365" s="63" t="n"/>
    </row>
    <row r="2366" ht="18" customHeight="1">
      <c r="A2366" s="62" t="n"/>
      <c r="B2366" s="63" t="n"/>
      <c r="C2366" s="64" t="n"/>
      <c r="D2366" s="64" t="n"/>
      <c r="E2366" s="63" t="n"/>
    </row>
    <row r="2367" ht="18" customHeight="1">
      <c r="A2367" s="62" t="n"/>
      <c r="B2367" s="63" t="n"/>
      <c r="C2367" s="64" t="n"/>
      <c r="D2367" s="64" t="n"/>
      <c r="E2367" s="63" t="n"/>
    </row>
    <row r="2368" ht="18" customHeight="1">
      <c r="A2368" s="62" t="n"/>
      <c r="B2368" s="63" t="n"/>
      <c r="C2368" s="64" t="n"/>
      <c r="D2368" s="64" t="n"/>
      <c r="E2368" s="63" t="n"/>
    </row>
    <row r="2369" ht="18" customHeight="1">
      <c r="A2369" s="62" t="n"/>
      <c r="B2369" s="63" t="n"/>
      <c r="C2369" s="64" t="n"/>
      <c r="D2369" s="64" t="n"/>
      <c r="E2369" s="63" t="n"/>
    </row>
    <row r="2370" ht="18" customHeight="1">
      <c r="A2370" s="62" t="n"/>
      <c r="B2370" s="63" t="n"/>
      <c r="C2370" s="64" t="n"/>
      <c r="D2370" s="64" t="n"/>
      <c r="E2370" s="63" t="n"/>
    </row>
    <row r="2371" ht="18" customHeight="1">
      <c r="A2371" s="62" t="n"/>
      <c r="B2371" s="63" t="n"/>
      <c r="C2371" s="64" t="n"/>
      <c r="D2371" s="64" t="n"/>
      <c r="E2371" s="63" t="n"/>
    </row>
    <row r="2372" ht="18" customHeight="1">
      <c r="A2372" s="62" t="n"/>
      <c r="B2372" s="63" t="n"/>
      <c r="C2372" s="64" t="n"/>
      <c r="D2372" s="64" t="n"/>
      <c r="E2372" s="63" t="n"/>
    </row>
    <row r="2373" ht="18" customHeight="1">
      <c r="A2373" s="62" t="n"/>
      <c r="B2373" s="63" t="n"/>
      <c r="C2373" s="64" t="n"/>
      <c r="D2373" s="64" t="n"/>
      <c r="E2373" s="63" t="n"/>
    </row>
    <row r="2374" ht="18" customHeight="1">
      <c r="A2374" s="62" t="n"/>
      <c r="B2374" s="63" t="n"/>
      <c r="C2374" s="64" t="n"/>
      <c r="D2374" s="64" t="n"/>
      <c r="E2374" s="63" t="n"/>
    </row>
    <row r="2375" ht="18" customHeight="1">
      <c r="A2375" s="62" t="n"/>
      <c r="B2375" s="63" t="n"/>
      <c r="C2375" s="64" t="n"/>
      <c r="D2375" s="64" t="n"/>
      <c r="E2375" s="63" t="n"/>
    </row>
    <row r="2376" ht="18" customHeight="1">
      <c r="A2376" s="62" t="n"/>
      <c r="B2376" s="63" t="n"/>
      <c r="C2376" s="64" t="n"/>
      <c r="D2376" s="64" t="n"/>
      <c r="E2376" s="63" t="n"/>
    </row>
    <row r="2377" ht="18" customHeight="1">
      <c r="A2377" s="62" t="n"/>
      <c r="B2377" s="63" t="n"/>
      <c r="C2377" s="64" t="n"/>
      <c r="D2377" s="64" t="n"/>
      <c r="E2377" s="63" t="n"/>
    </row>
    <row r="2378" ht="18" customHeight="1">
      <c r="A2378" s="62" t="n"/>
      <c r="B2378" s="63" t="n"/>
      <c r="C2378" s="64" t="n"/>
      <c r="D2378" s="64" t="n"/>
      <c r="E2378" s="63" t="n"/>
    </row>
    <row r="2379" ht="18" customHeight="1">
      <c r="A2379" s="62" t="n"/>
      <c r="B2379" s="63" t="n"/>
      <c r="C2379" s="64" t="n"/>
      <c r="D2379" s="64" t="n"/>
      <c r="E2379" s="63" t="n"/>
    </row>
    <row r="2380" ht="18" customHeight="1">
      <c r="A2380" s="62" t="n"/>
      <c r="B2380" s="63" t="n"/>
      <c r="C2380" s="64" t="n"/>
      <c r="D2380" s="64" t="n"/>
      <c r="E2380" s="63" t="n"/>
    </row>
    <row r="2381" ht="18" customHeight="1">
      <c r="A2381" s="62" t="n"/>
      <c r="B2381" s="63" t="n"/>
      <c r="C2381" s="64" t="n"/>
      <c r="D2381" s="64" t="n"/>
      <c r="E2381" s="63" t="n"/>
    </row>
    <row r="2382" ht="18" customHeight="1">
      <c r="A2382" s="62" t="n"/>
      <c r="B2382" s="63" t="n"/>
      <c r="C2382" s="64" t="n"/>
      <c r="D2382" s="64" t="n"/>
      <c r="E2382" s="63" t="n"/>
    </row>
    <row r="2383" ht="18" customHeight="1">
      <c r="A2383" s="62" t="n"/>
      <c r="B2383" s="63" t="n"/>
      <c r="C2383" s="64" t="n"/>
      <c r="D2383" s="64" t="n"/>
      <c r="E2383" s="63" t="n"/>
    </row>
    <row r="2384" ht="18" customHeight="1">
      <c r="A2384" s="62" t="n"/>
      <c r="B2384" s="63" t="n"/>
      <c r="C2384" s="64" t="n"/>
      <c r="D2384" s="64" t="n"/>
      <c r="E2384" s="63" t="n"/>
    </row>
    <row r="2385" ht="18" customHeight="1">
      <c r="A2385" s="62" t="n"/>
      <c r="B2385" s="63" t="n"/>
      <c r="C2385" s="64" t="n"/>
      <c r="D2385" s="64" t="n"/>
      <c r="E2385" s="63" t="n"/>
    </row>
    <row r="2386" ht="18" customHeight="1">
      <c r="A2386" s="62" t="n"/>
      <c r="B2386" s="63" t="n"/>
      <c r="C2386" s="64" t="n"/>
      <c r="D2386" s="64" t="n"/>
      <c r="E2386" s="63" t="n"/>
    </row>
    <row r="2387" ht="18" customHeight="1">
      <c r="A2387" s="62" t="n"/>
      <c r="B2387" s="63" t="n"/>
      <c r="C2387" s="64" t="n"/>
      <c r="D2387" s="64" t="n"/>
      <c r="E2387" s="63" t="n"/>
    </row>
    <row r="2388" ht="18" customHeight="1">
      <c r="A2388" s="62" t="n"/>
      <c r="B2388" s="63" t="n"/>
      <c r="C2388" s="64" t="n"/>
      <c r="D2388" s="64" t="n"/>
      <c r="E2388" s="63" t="n"/>
    </row>
    <row r="2389" ht="18" customHeight="1">
      <c r="A2389" s="62" t="n"/>
      <c r="B2389" s="63" t="n"/>
      <c r="C2389" s="64" t="n"/>
      <c r="D2389" s="64" t="n"/>
      <c r="E2389" s="63" t="n"/>
    </row>
    <row r="2390" ht="18" customHeight="1">
      <c r="A2390" s="62" t="n"/>
      <c r="B2390" s="63" t="n"/>
      <c r="C2390" s="64" t="n"/>
      <c r="D2390" s="64" t="n"/>
      <c r="E2390" s="63" t="n"/>
    </row>
    <row r="2391" ht="18" customHeight="1">
      <c r="A2391" s="62" t="n"/>
      <c r="B2391" s="63" t="n"/>
      <c r="C2391" s="64" t="n"/>
      <c r="D2391" s="64" t="n"/>
      <c r="E2391" s="63" t="n"/>
    </row>
    <row r="2392" ht="18" customHeight="1">
      <c r="A2392" s="62" t="n"/>
      <c r="B2392" s="63" t="n"/>
      <c r="C2392" s="64" t="n"/>
      <c r="D2392" s="64" t="n"/>
      <c r="E2392" s="63" t="n"/>
    </row>
    <row r="2393" ht="18" customHeight="1">
      <c r="A2393" s="62" t="n"/>
      <c r="B2393" s="63" t="n"/>
      <c r="C2393" s="64" t="n"/>
      <c r="D2393" s="64" t="n"/>
      <c r="E2393" s="63" t="n"/>
    </row>
    <row r="2394" ht="18" customHeight="1">
      <c r="A2394" s="62" t="n"/>
      <c r="B2394" s="63" t="n"/>
      <c r="C2394" s="64" t="n"/>
      <c r="D2394" s="64" t="n"/>
      <c r="E2394" s="63" t="n"/>
    </row>
    <row r="2395" ht="18" customHeight="1">
      <c r="A2395" s="62" t="n"/>
      <c r="B2395" s="63" t="n"/>
      <c r="C2395" s="64" t="n"/>
      <c r="D2395" s="64" t="n"/>
      <c r="E2395" s="63" t="n"/>
    </row>
    <row r="2396" ht="18" customHeight="1">
      <c r="A2396" s="62" t="n"/>
      <c r="B2396" s="63" t="n"/>
      <c r="C2396" s="64" t="n"/>
      <c r="D2396" s="64" t="n"/>
      <c r="E2396" s="63" t="n"/>
    </row>
    <row r="2397" ht="18" customHeight="1">
      <c r="A2397" s="62" t="n"/>
      <c r="B2397" s="63" t="n"/>
      <c r="C2397" s="64" t="n"/>
      <c r="D2397" s="64" t="n"/>
      <c r="E2397" s="63" t="n"/>
    </row>
    <row r="2398" ht="18" customHeight="1">
      <c r="A2398" s="62" t="n"/>
      <c r="B2398" s="63" t="n"/>
      <c r="C2398" s="64" t="n"/>
      <c r="D2398" s="64" t="n"/>
      <c r="E2398" s="63" t="n"/>
    </row>
    <row r="2399" ht="18" customHeight="1">
      <c r="A2399" s="62" t="n"/>
      <c r="B2399" s="63" t="n"/>
      <c r="C2399" s="64" t="n"/>
      <c r="D2399" s="64" t="n"/>
      <c r="E2399" s="63" t="n"/>
    </row>
    <row r="2400" ht="18" customHeight="1">
      <c r="A2400" s="62" t="n"/>
      <c r="B2400" s="63" t="n"/>
      <c r="C2400" s="64" t="n"/>
      <c r="D2400" s="64" t="n"/>
      <c r="E2400" s="63" t="n"/>
    </row>
    <row r="2401" ht="18" customHeight="1">
      <c r="A2401" s="62" t="n"/>
      <c r="B2401" s="63" t="n"/>
      <c r="C2401" s="64" t="n"/>
      <c r="D2401" s="64" t="n"/>
      <c r="E2401" s="63" t="n"/>
    </row>
    <row r="2402" ht="18" customHeight="1">
      <c r="A2402" s="62" t="n"/>
      <c r="B2402" s="63" t="n"/>
      <c r="C2402" s="64" t="n"/>
      <c r="D2402" s="64" t="n"/>
      <c r="E2402" s="63" t="n"/>
    </row>
    <row r="2403" ht="18" customHeight="1">
      <c r="A2403" s="62" t="n"/>
      <c r="B2403" s="63" t="n"/>
      <c r="C2403" s="64" t="n"/>
      <c r="D2403" s="64" t="n"/>
      <c r="E2403" s="63" t="n"/>
    </row>
    <row r="2404" ht="18" customHeight="1">
      <c r="A2404" s="62" t="n"/>
      <c r="B2404" s="63" t="n"/>
      <c r="C2404" s="64" t="n"/>
      <c r="D2404" s="64" t="n"/>
      <c r="E2404" s="63" t="n"/>
    </row>
    <row r="2405" ht="18" customHeight="1">
      <c r="A2405" s="62" t="n"/>
      <c r="B2405" s="63" t="n"/>
      <c r="C2405" s="64" t="n"/>
      <c r="D2405" s="64" t="n"/>
      <c r="E2405" s="63" t="n"/>
    </row>
    <row r="2406" ht="18" customHeight="1">
      <c r="A2406" s="62" t="n"/>
      <c r="B2406" s="63" t="n"/>
      <c r="C2406" s="64" t="n"/>
      <c r="D2406" s="64" t="n"/>
      <c r="E2406" s="63" t="n"/>
    </row>
    <row r="2407" ht="18" customHeight="1">
      <c r="A2407" s="62" t="n"/>
      <c r="B2407" s="63" t="n"/>
      <c r="C2407" s="64" t="n"/>
      <c r="D2407" s="64" t="n"/>
      <c r="E2407" s="63" t="n"/>
    </row>
    <row r="2408" ht="18" customHeight="1">
      <c r="A2408" s="62" t="n"/>
      <c r="B2408" s="63" t="n"/>
      <c r="C2408" s="64" t="n"/>
      <c r="D2408" s="64" t="n"/>
      <c r="E2408" s="63" t="n"/>
    </row>
    <row r="2409" ht="18" customHeight="1">
      <c r="A2409" s="62" t="n"/>
      <c r="B2409" s="63" t="n"/>
      <c r="C2409" s="64" t="n"/>
      <c r="D2409" s="64" t="n"/>
      <c r="E2409" s="63" t="n"/>
    </row>
    <row r="2410" ht="18" customHeight="1">
      <c r="A2410" s="62" t="n"/>
      <c r="B2410" s="63" t="n"/>
      <c r="C2410" s="64" t="n"/>
      <c r="D2410" s="64" t="n"/>
      <c r="E2410" s="63" t="n"/>
    </row>
    <row r="2411" ht="18" customHeight="1">
      <c r="A2411" s="62" t="n"/>
      <c r="B2411" s="63" t="n"/>
      <c r="C2411" s="64" t="n"/>
      <c r="D2411" s="64" t="n"/>
      <c r="E2411" s="63" t="n"/>
    </row>
    <row r="2412" ht="18" customHeight="1">
      <c r="A2412" s="62" t="n"/>
      <c r="B2412" s="63" t="n"/>
      <c r="C2412" s="64" t="n"/>
      <c r="D2412" s="64" t="n"/>
      <c r="E2412" s="63" t="n"/>
    </row>
    <row r="2413" ht="18" customHeight="1">
      <c r="A2413" s="62" t="n"/>
      <c r="B2413" s="63" t="n"/>
      <c r="C2413" s="64" t="n"/>
      <c r="D2413" s="64" t="n"/>
      <c r="E2413" s="63" t="n"/>
    </row>
    <row r="2414" ht="18" customHeight="1">
      <c r="A2414" s="62" t="n"/>
      <c r="B2414" s="63" t="n"/>
      <c r="C2414" s="64" t="n"/>
      <c r="D2414" s="64" t="n"/>
      <c r="E2414" s="63" t="n"/>
    </row>
    <row r="2415" ht="18" customHeight="1">
      <c r="A2415" s="62" t="n"/>
      <c r="B2415" s="63" t="n"/>
      <c r="C2415" s="64" t="n"/>
      <c r="D2415" s="64" t="n"/>
      <c r="E2415" s="63" t="n"/>
    </row>
    <row r="2416" ht="18" customHeight="1">
      <c r="A2416" s="62" t="n"/>
      <c r="B2416" s="63" t="n"/>
      <c r="C2416" s="64" t="n"/>
      <c r="D2416" s="64" t="n"/>
      <c r="E2416" s="63" t="n"/>
    </row>
    <row r="2417" ht="18" customHeight="1">
      <c r="A2417" s="62" t="n"/>
      <c r="B2417" s="63" t="n"/>
      <c r="C2417" s="64" t="n"/>
      <c r="D2417" s="64" t="n"/>
      <c r="E2417" s="63" t="n"/>
    </row>
    <row r="2418" ht="18" customHeight="1">
      <c r="A2418" s="62" t="n"/>
      <c r="B2418" s="63" t="n"/>
      <c r="C2418" s="64" t="n"/>
      <c r="D2418" s="64" t="n"/>
      <c r="E2418" s="63" t="n"/>
    </row>
    <row r="2419" ht="18" customHeight="1">
      <c r="A2419" s="62" t="n"/>
      <c r="B2419" s="63" t="n"/>
      <c r="C2419" s="64" t="n"/>
      <c r="D2419" s="64" t="n"/>
      <c r="E2419" s="63" t="n"/>
    </row>
    <row r="2420" ht="18" customHeight="1">
      <c r="A2420" s="62" t="n"/>
      <c r="B2420" s="63" t="n"/>
      <c r="C2420" s="64" t="n"/>
      <c r="D2420" s="64" t="n"/>
      <c r="E2420" s="63" t="n"/>
    </row>
    <row r="2421" ht="18" customHeight="1">
      <c r="A2421" s="62" t="n"/>
      <c r="B2421" s="63" t="n"/>
      <c r="C2421" s="64" t="n"/>
      <c r="D2421" s="64" t="n"/>
      <c r="E2421" s="63" t="n"/>
    </row>
    <row r="2422" ht="18" customHeight="1">
      <c r="A2422" s="62" t="n"/>
      <c r="B2422" s="63" t="n"/>
      <c r="C2422" s="64" t="n"/>
      <c r="D2422" s="64" t="n"/>
      <c r="E2422" s="63" t="n"/>
    </row>
    <row r="2423" ht="18" customHeight="1">
      <c r="A2423" s="62" t="n"/>
      <c r="B2423" s="63" t="n"/>
      <c r="C2423" s="64" t="n"/>
      <c r="D2423" s="64" t="n"/>
      <c r="E2423" s="63" t="n"/>
    </row>
    <row r="2424" ht="18" customHeight="1">
      <c r="A2424" s="62" t="n"/>
      <c r="B2424" s="63" t="n"/>
      <c r="C2424" s="64" t="n"/>
      <c r="D2424" s="64" t="n"/>
      <c r="E2424" s="63" t="n"/>
    </row>
    <row r="2425" ht="18" customHeight="1">
      <c r="A2425" s="62" t="n"/>
      <c r="B2425" s="63" t="n"/>
      <c r="C2425" s="64" t="n"/>
      <c r="D2425" s="64" t="n"/>
      <c r="E2425" s="63" t="n"/>
    </row>
    <row r="2426" ht="18" customHeight="1">
      <c r="A2426" s="62" t="n"/>
      <c r="B2426" s="63" t="n"/>
      <c r="C2426" s="64" t="n"/>
      <c r="D2426" s="64" t="n"/>
      <c r="E2426" s="63" t="n"/>
    </row>
    <row r="2427" ht="18" customHeight="1">
      <c r="A2427" s="62" t="n"/>
      <c r="B2427" s="63" t="n"/>
      <c r="C2427" s="64" t="n"/>
      <c r="D2427" s="64" t="n"/>
      <c r="E2427" s="63" t="n"/>
    </row>
    <row r="2428" ht="18" customHeight="1">
      <c r="A2428" s="62" t="n"/>
      <c r="B2428" s="63" t="n"/>
      <c r="C2428" s="64" t="n"/>
      <c r="D2428" s="64" t="n"/>
      <c r="E2428" s="63" t="n"/>
    </row>
    <row r="2429" ht="18" customHeight="1">
      <c r="A2429" s="62" t="n"/>
      <c r="B2429" s="63" t="n"/>
      <c r="C2429" s="64" t="n"/>
      <c r="D2429" s="64" t="n"/>
      <c r="E2429" s="63" t="n"/>
    </row>
    <row r="2430" ht="18" customHeight="1">
      <c r="A2430" s="62" t="n"/>
      <c r="B2430" s="63" t="n"/>
      <c r="C2430" s="64" t="n"/>
      <c r="D2430" s="64" t="n"/>
      <c r="E2430" s="63" t="n"/>
    </row>
    <row r="2431" ht="18" customHeight="1">
      <c r="A2431" s="62" t="n"/>
      <c r="B2431" s="63" t="n"/>
      <c r="C2431" s="64" t="n"/>
      <c r="D2431" s="64" t="n"/>
      <c r="E2431" s="63" t="n"/>
    </row>
    <row r="2432" ht="18" customHeight="1">
      <c r="A2432" s="62" t="n"/>
      <c r="B2432" s="63" t="n"/>
      <c r="C2432" s="64" t="n"/>
      <c r="D2432" s="64" t="n"/>
      <c r="E2432" s="63" t="n"/>
    </row>
    <row r="2433" ht="18" customHeight="1">
      <c r="A2433" s="62" t="n"/>
      <c r="B2433" s="63" t="n"/>
      <c r="C2433" s="64" t="n"/>
      <c r="D2433" s="64" t="n"/>
      <c r="E2433" s="63" t="n"/>
    </row>
    <row r="2434" ht="18" customHeight="1">
      <c r="A2434" s="62" t="n"/>
      <c r="B2434" s="63" t="n"/>
      <c r="C2434" s="64" t="n"/>
      <c r="D2434" s="64" t="n"/>
      <c r="E2434" s="63" t="n"/>
    </row>
    <row r="2435" ht="18" customHeight="1">
      <c r="A2435" s="62" t="n"/>
      <c r="B2435" s="63" t="n"/>
      <c r="C2435" s="64" t="n"/>
      <c r="D2435" s="64" t="n"/>
      <c r="E2435" s="63" t="n"/>
    </row>
    <row r="2436" ht="18" customHeight="1">
      <c r="A2436" s="62" t="n"/>
      <c r="B2436" s="63" t="n"/>
      <c r="C2436" s="64" t="n"/>
      <c r="D2436" s="64" t="n"/>
      <c r="E2436" s="63" t="n"/>
    </row>
    <row r="2437" ht="18" customHeight="1">
      <c r="A2437" s="62" t="n"/>
      <c r="B2437" s="63" t="n"/>
      <c r="C2437" s="64" t="n"/>
      <c r="D2437" s="64" t="n"/>
      <c r="E2437" s="63" t="n"/>
    </row>
    <row r="2438" ht="18" customHeight="1">
      <c r="A2438" s="62" t="n"/>
      <c r="B2438" s="63" t="n"/>
      <c r="C2438" s="64" t="n"/>
      <c r="D2438" s="64" t="n"/>
      <c r="E2438" s="63" t="n"/>
    </row>
    <row r="2439" ht="18" customHeight="1">
      <c r="A2439" s="62" t="n"/>
      <c r="B2439" s="63" t="n"/>
      <c r="C2439" s="64" t="n"/>
      <c r="D2439" s="64" t="n"/>
      <c r="E2439" s="63" t="n"/>
    </row>
    <row r="2440" ht="18" customHeight="1">
      <c r="A2440" s="62" t="n"/>
      <c r="B2440" s="63" t="n"/>
      <c r="C2440" s="64" t="n"/>
      <c r="D2440" s="64" t="n"/>
      <c r="E2440" s="63" t="n"/>
    </row>
    <row r="2441" ht="18" customHeight="1">
      <c r="A2441" s="62" t="n"/>
      <c r="B2441" s="63" t="n"/>
      <c r="C2441" s="64" t="n"/>
      <c r="D2441" s="64" t="n"/>
      <c r="E2441" s="63" t="n"/>
    </row>
    <row r="2442" ht="18" customHeight="1">
      <c r="A2442" s="62" t="n"/>
      <c r="B2442" s="63" t="n"/>
      <c r="C2442" s="64" t="n"/>
      <c r="D2442" s="64" t="n"/>
      <c r="E2442" s="63" t="n"/>
    </row>
    <row r="2443" ht="18" customHeight="1">
      <c r="A2443" s="62" t="n"/>
      <c r="B2443" s="63" t="n"/>
      <c r="C2443" s="64" t="n"/>
      <c r="D2443" s="64" t="n"/>
      <c r="E2443" s="63" t="n"/>
    </row>
    <row r="2444" ht="18" customHeight="1">
      <c r="A2444" s="62" t="n"/>
      <c r="B2444" s="63" t="n"/>
      <c r="C2444" s="64" t="n"/>
      <c r="D2444" s="64" t="n"/>
      <c r="E2444" s="63" t="n"/>
    </row>
    <row r="2445" ht="18" customHeight="1">
      <c r="A2445" s="62" t="n"/>
      <c r="B2445" s="63" t="n"/>
      <c r="C2445" s="64" t="n"/>
      <c r="D2445" s="64" t="n"/>
      <c r="E2445" s="63" t="n"/>
    </row>
    <row r="2446" ht="18" customHeight="1">
      <c r="A2446" s="62" t="n"/>
      <c r="B2446" s="63" t="n"/>
      <c r="C2446" s="64" t="n"/>
      <c r="D2446" s="64" t="n"/>
      <c r="E2446" s="63" t="n"/>
    </row>
    <row r="2447" ht="18" customHeight="1">
      <c r="A2447" s="62" t="n"/>
      <c r="B2447" s="63" t="n"/>
      <c r="C2447" s="64" t="n"/>
      <c r="D2447" s="64" t="n"/>
      <c r="E2447" s="63" t="n"/>
    </row>
    <row r="2448" ht="18" customHeight="1">
      <c r="A2448" s="62" t="n"/>
      <c r="B2448" s="63" t="n"/>
      <c r="C2448" s="64" t="n"/>
      <c r="D2448" s="64" t="n"/>
      <c r="E2448" s="63" t="n"/>
    </row>
    <row r="2449" ht="18" customHeight="1">
      <c r="A2449" s="62" t="n"/>
      <c r="B2449" s="63" t="n"/>
      <c r="C2449" s="64" t="n"/>
      <c r="D2449" s="64" t="n"/>
      <c r="E2449" s="63" t="n"/>
    </row>
    <row r="2450" ht="18" customHeight="1">
      <c r="A2450" s="62" t="n"/>
      <c r="B2450" s="63" t="n"/>
      <c r="C2450" s="64" t="n"/>
      <c r="D2450" s="64" t="n"/>
      <c r="E2450" s="63" t="n"/>
    </row>
    <row r="2451" ht="18" customHeight="1">
      <c r="A2451" s="62" t="n"/>
      <c r="B2451" s="63" t="n"/>
      <c r="C2451" s="64" t="n"/>
      <c r="D2451" s="64" t="n"/>
      <c r="E2451" s="63" t="n"/>
    </row>
    <row r="2452" ht="18" customHeight="1">
      <c r="A2452" s="62" t="n"/>
      <c r="B2452" s="63" t="n"/>
      <c r="C2452" s="64" t="n"/>
      <c r="D2452" s="64" t="n"/>
      <c r="E2452" s="63" t="n"/>
    </row>
    <row r="2453" ht="18" customHeight="1">
      <c r="A2453" s="62" t="n"/>
      <c r="B2453" s="63" t="n"/>
      <c r="C2453" s="64" t="n"/>
      <c r="D2453" s="64" t="n"/>
      <c r="E2453" s="63" t="n"/>
    </row>
    <row r="2454" ht="18" customHeight="1">
      <c r="A2454" s="62" t="n"/>
      <c r="B2454" s="63" t="n"/>
      <c r="C2454" s="64" t="n"/>
      <c r="D2454" s="64" t="n"/>
      <c r="E2454" s="63" t="n"/>
    </row>
    <row r="2455" ht="18" customHeight="1">
      <c r="A2455" s="62" t="n"/>
      <c r="B2455" s="63" t="n"/>
      <c r="C2455" s="64" t="n"/>
      <c r="D2455" s="64" t="n"/>
      <c r="E2455" s="63" t="n"/>
    </row>
    <row r="2456" ht="18" customHeight="1">
      <c r="A2456" s="62" t="n"/>
      <c r="B2456" s="63" t="n"/>
      <c r="C2456" s="64" t="n"/>
      <c r="D2456" s="64" t="n"/>
      <c r="E2456" s="63" t="n"/>
    </row>
    <row r="2457" ht="18" customHeight="1">
      <c r="A2457" s="62" t="n"/>
      <c r="B2457" s="63" t="n"/>
      <c r="C2457" s="64" t="n"/>
      <c r="D2457" s="64" t="n"/>
      <c r="E2457" s="63" t="n"/>
    </row>
    <row r="2458" ht="18" customHeight="1">
      <c r="A2458" s="62" t="n"/>
      <c r="B2458" s="63" t="n"/>
      <c r="C2458" s="64" t="n"/>
      <c r="D2458" s="64" t="n"/>
      <c r="E2458" s="63" t="n"/>
    </row>
    <row r="2459" ht="18" customHeight="1">
      <c r="A2459" s="62" t="n"/>
      <c r="B2459" s="63" t="n"/>
      <c r="C2459" s="64" t="n"/>
      <c r="D2459" s="64" t="n"/>
      <c r="E2459" s="63" t="n"/>
    </row>
    <row r="2460" ht="18" customHeight="1">
      <c r="A2460" s="62" t="n"/>
      <c r="B2460" s="63" t="n"/>
      <c r="C2460" s="64" t="n"/>
      <c r="D2460" s="64" t="n"/>
      <c r="E2460" s="63" t="n"/>
    </row>
    <row r="2461" ht="18" customHeight="1">
      <c r="A2461" s="62" t="n"/>
      <c r="B2461" s="63" t="n"/>
      <c r="C2461" s="64" t="n"/>
      <c r="D2461" s="64" t="n"/>
      <c r="E2461" s="63" t="n"/>
    </row>
    <row r="2462" ht="18" customHeight="1">
      <c r="A2462" s="62" t="n"/>
      <c r="B2462" s="63" t="n"/>
      <c r="C2462" s="64" t="n"/>
      <c r="D2462" s="64" t="n"/>
      <c r="E2462" s="63" t="n"/>
    </row>
    <row r="2463" ht="18" customHeight="1">
      <c r="A2463" s="62" t="n"/>
      <c r="B2463" s="63" t="n"/>
      <c r="C2463" s="64" t="n"/>
      <c r="D2463" s="64" t="n"/>
      <c r="E2463" s="63" t="n"/>
    </row>
    <row r="2464" ht="18" customHeight="1">
      <c r="A2464" s="62" t="n"/>
      <c r="B2464" s="63" t="n"/>
      <c r="C2464" s="64" t="n"/>
      <c r="D2464" s="64" t="n"/>
      <c r="E2464" s="63" t="n"/>
    </row>
    <row r="2465" ht="18" customHeight="1">
      <c r="A2465" s="62" t="n"/>
      <c r="B2465" s="63" t="n"/>
      <c r="C2465" s="64" t="n"/>
      <c r="D2465" s="64" t="n"/>
      <c r="E2465" s="63" t="n"/>
    </row>
    <row r="2466" ht="18" customHeight="1">
      <c r="A2466" s="62" t="n"/>
      <c r="B2466" s="63" t="n"/>
      <c r="C2466" s="64" t="n"/>
      <c r="D2466" s="64" t="n"/>
      <c r="E2466" s="63" t="n"/>
    </row>
    <row r="2467" ht="18" customHeight="1">
      <c r="A2467" s="62" t="n"/>
      <c r="B2467" s="63" t="n"/>
      <c r="C2467" s="64" t="n"/>
      <c r="D2467" s="64" t="n"/>
      <c r="E2467" s="63" t="n"/>
    </row>
    <row r="2468" ht="18" customHeight="1">
      <c r="A2468" s="62" t="n"/>
      <c r="B2468" s="63" t="n"/>
      <c r="C2468" s="64" t="n"/>
      <c r="D2468" s="64" t="n"/>
      <c r="E2468" s="63" t="n"/>
    </row>
    <row r="2469" ht="18" customHeight="1">
      <c r="A2469" s="62" t="n"/>
      <c r="B2469" s="63" t="n"/>
      <c r="C2469" s="64" t="n"/>
      <c r="D2469" s="64" t="n"/>
      <c r="E2469" s="63" t="n"/>
    </row>
    <row r="2470" ht="18" customHeight="1">
      <c r="A2470" s="62" t="n"/>
      <c r="B2470" s="63" t="n"/>
      <c r="C2470" s="64" t="n"/>
      <c r="D2470" s="64" t="n"/>
      <c r="E2470" s="63" t="n"/>
    </row>
    <row r="2471" ht="18" customHeight="1">
      <c r="A2471" s="62" t="n"/>
      <c r="B2471" s="63" t="n"/>
      <c r="C2471" s="64" t="n"/>
      <c r="D2471" s="64" t="n"/>
      <c r="E2471" s="63" t="n"/>
    </row>
    <row r="2472" ht="18" customHeight="1">
      <c r="A2472" s="62" t="n"/>
      <c r="B2472" s="63" t="n"/>
      <c r="C2472" s="64" t="n"/>
      <c r="D2472" s="64" t="n"/>
      <c r="E2472" s="63" t="n"/>
    </row>
    <row r="2473" ht="18" customHeight="1">
      <c r="A2473" s="62" t="n"/>
      <c r="B2473" s="63" t="n"/>
      <c r="C2473" s="64" t="n"/>
      <c r="D2473" s="64" t="n"/>
      <c r="E2473" s="63" t="n"/>
    </row>
    <row r="2474" ht="18" customHeight="1">
      <c r="A2474" s="62" t="n"/>
      <c r="B2474" s="63" t="n"/>
      <c r="C2474" s="64" t="n"/>
      <c r="D2474" s="64" t="n"/>
      <c r="E2474" s="63" t="n"/>
    </row>
    <row r="2475" ht="18" customHeight="1">
      <c r="A2475" s="62" t="n"/>
      <c r="B2475" s="63" t="n"/>
      <c r="C2475" s="64" t="n"/>
      <c r="D2475" s="64" t="n"/>
      <c r="E2475" s="63" t="n"/>
    </row>
    <row r="2476" ht="18" customHeight="1">
      <c r="A2476" s="62" t="n"/>
      <c r="B2476" s="63" t="n"/>
      <c r="C2476" s="64" t="n"/>
      <c r="D2476" s="64" t="n"/>
      <c r="E2476" s="63" t="n"/>
    </row>
    <row r="2477" ht="18" customHeight="1">
      <c r="A2477" s="62" t="n"/>
      <c r="B2477" s="63" t="n"/>
      <c r="C2477" s="64" t="n"/>
      <c r="D2477" s="64" t="n"/>
      <c r="E2477" s="63" t="n"/>
    </row>
    <row r="2478" ht="18" customHeight="1">
      <c r="A2478" s="62" t="n"/>
      <c r="B2478" s="63" t="n"/>
      <c r="C2478" s="64" t="n"/>
      <c r="D2478" s="64" t="n"/>
      <c r="E2478" s="63" t="n"/>
    </row>
    <row r="2479" ht="18" customHeight="1">
      <c r="A2479" s="62" t="n"/>
      <c r="B2479" s="63" t="n"/>
      <c r="C2479" s="64" t="n"/>
      <c r="D2479" s="64" t="n"/>
      <c r="E2479" s="63" t="n"/>
    </row>
    <row r="2480" ht="18" customHeight="1">
      <c r="A2480" s="62" t="n"/>
      <c r="B2480" s="63" t="n"/>
      <c r="C2480" s="64" t="n"/>
      <c r="D2480" s="64" t="n"/>
      <c r="E2480" s="63" t="n"/>
    </row>
    <row r="2481" ht="18" customHeight="1">
      <c r="A2481" s="62" t="n"/>
      <c r="B2481" s="63" t="n"/>
      <c r="C2481" s="64" t="n"/>
      <c r="D2481" s="64" t="n"/>
      <c r="E2481" s="63" t="n"/>
    </row>
    <row r="2482" ht="18" customHeight="1">
      <c r="A2482" s="62" t="n"/>
      <c r="B2482" s="63" t="n"/>
      <c r="C2482" s="64" t="n"/>
      <c r="D2482" s="64" t="n"/>
      <c r="E2482" s="63" t="n"/>
    </row>
    <row r="2483" ht="18" customHeight="1">
      <c r="A2483" s="62" t="n"/>
      <c r="B2483" s="63" t="n"/>
      <c r="C2483" s="64" t="n"/>
      <c r="D2483" s="64" t="n"/>
      <c r="E2483" s="63" t="n"/>
    </row>
    <row r="2484" ht="18" customHeight="1">
      <c r="A2484" s="62" t="n"/>
      <c r="B2484" s="63" t="n"/>
      <c r="C2484" s="64" t="n"/>
      <c r="D2484" s="64" t="n"/>
      <c r="E2484" s="63" t="n"/>
    </row>
    <row r="2485" ht="18" customHeight="1">
      <c r="A2485" s="62" t="n"/>
      <c r="B2485" s="63" t="n"/>
      <c r="C2485" s="64" t="n"/>
      <c r="D2485" s="64" t="n"/>
      <c r="E2485" s="63" t="n"/>
    </row>
    <row r="2486" ht="18" customHeight="1">
      <c r="A2486" s="62" t="n"/>
      <c r="B2486" s="63" t="n"/>
      <c r="C2486" s="64" t="n"/>
      <c r="D2486" s="64" t="n"/>
      <c r="E2486" s="63" t="n"/>
    </row>
    <row r="2487" ht="18" customHeight="1">
      <c r="A2487" s="62" t="n"/>
      <c r="B2487" s="63" t="n"/>
      <c r="C2487" s="64" t="n"/>
      <c r="D2487" s="64" t="n"/>
      <c r="E2487" s="63" t="n"/>
    </row>
    <row r="2488" ht="18" customHeight="1">
      <c r="A2488" s="62" t="n"/>
      <c r="B2488" s="63" t="n"/>
      <c r="C2488" s="64" t="n"/>
      <c r="D2488" s="64" t="n"/>
      <c r="E2488" s="63" t="n"/>
    </row>
    <row r="2489" ht="18" customHeight="1">
      <c r="A2489" s="62" t="n"/>
      <c r="B2489" s="63" t="n"/>
      <c r="C2489" s="64" t="n"/>
      <c r="D2489" s="64" t="n"/>
      <c r="E2489" s="63" t="n"/>
    </row>
    <row r="2490" ht="18" customHeight="1">
      <c r="A2490" s="62" t="n"/>
      <c r="B2490" s="63" t="n"/>
      <c r="C2490" s="64" t="n"/>
      <c r="D2490" s="64" t="n"/>
      <c r="E2490" s="63" t="n"/>
    </row>
    <row r="2491" ht="18" customHeight="1">
      <c r="A2491" s="62" t="n"/>
      <c r="B2491" s="63" t="n"/>
      <c r="C2491" s="64" t="n"/>
      <c r="D2491" s="64" t="n"/>
      <c r="E2491" s="63" t="n"/>
    </row>
    <row r="2492" ht="18" customHeight="1">
      <c r="A2492" s="62" t="n"/>
      <c r="B2492" s="63" t="n"/>
      <c r="C2492" s="64" t="n"/>
      <c r="D2492" s="64" t="n"/>
      <c r="E2492" s="63" t="n"/>
    </row>
    <row r="2493" ht="18" customHeight="1">
      <c r="A2493" s="62" t="n"/>
      <c r="B2493" s="63" t="n"/>
      <c r="C2493" s="64" t="n"/>
      <c r="D2493" s="64" t="n"/>
      <c r="E2493" s="63" t="n"/>
    </row>
    <row r="2494" ht="18" customHeight="1">
      <c r="A2494" s="62" t="n"/>
      <c r="B2494" s="63" t="n"/>
      <c r="C2494" s="64" t="n"/>
      <c r="D2494" s="64" t="n"/>
      <c r="E2494" s="63" t="n"/>
    </row>
    <row r="2495" ht="18" customHeight="1">
      <c r="A2495" s="62" t="n"/>
      <c r="B2495" s="63" t="n"/>
      <c r="C2495" s="64" t="n"/>
      <c r="D2495" s="64" t="n"/>
      <c r="E2495" s="63" t="n"/>
    </row>
    <row r="2496" ht="18" customHeight="1">
      <c r="A2496" s="62" t="n"/>
      <c r="B2496" s="63" t="n"/>
      <c r="C2496" s="64" t="n"/>
      <c r="D2496" s="64" t="n"/>
      <c r="E2496" s="63" t="n"/>
    </row>
    <row r="2497" ht="18" customHeight="1">
      <c r="A2497" s="62" t="n"/>
      <c r="B2497" s="63" t="n"/>
      <c r="C2497" s="64" t="n"/>
      <c r="D2497" s="64" t="n"/>
      <c r="E2497" s="63" t="n"/>
    </row>
    <row r="2498" ht="18" customHeight="1">
      <c r="A2498" s="62" t="n"/>
      <c r="B2498" s="63" t="n"/>
      <c r="C2498" s="64" t="n"/>
      <c r="D2498" s="64" t="n"/>
      <c r="E2498" s="63" t="n"/>
    </row>
    <row r="2499" ht="18" customHeight="1">
      <c r="A2499" s="62" t="n"/>
      <c r="B2499" s="63" t="n"/>
      <c r="C2499" s="64" t="n"/>
      <c r="D2499" s="64" t="n"/>
      <c r="E2499" s="63" t="n"/>
    </row>
    <row r="2500" ht="18" customHeight="1">
      <c r="A2500" s="62" t="n"/>
      <c r="B2500" s="63" t="n"/>
      <c r="C2500" s="64" t="n"/>
      <c r="D2500" s="64" t="n"/>
      <c r="E2500" s="63" t="n"/>
    </row>
    <row r="2501" ht="18" customHeight="1">
      <c r="A2501" s="62" t="n"/>
      <c r="B2501" s="63" t="n"/>
      <c r="C2501" s="64" t="n"/>
      <c r="D2501" s="64" t="n"/>
      <c r="E2501" s="63" t="n"/>
    </row>
    <row r="2502" ht="18" customHeight="1">
      <c r="A2502" s="62" t="n"/>
      <c r="B2502" s="63" t="n"/>
      <c r="C2502" s="64" t="n"/>
      <c r="D2502" s="64" t="n"/>
      <c r="E2502" s="63" t="n"/>
    </row>
    <row r="2503" ht="18" customHeight="1">
      <c r="A2503" s="62" t="n"/>
      <c r="B2503" s="63" t="n"/>
      <c r="C2503" s="64" t="n"/>
      <c r="D2503" s="64" t="n"/>
      <c r="E2503" s="63" t="n"/>
    </row>
    <row r="2504" ht="18" customHeight="1">
      <c r="A2504" s="62" t="n"/>
      <c r="B2504" s="63" t="n"/>
      <c r="C2504" s="64" t="n"/>
      <c r="D2504" s="64" t="n"/>
      <c r="E2504" s="63" t="n"/>
    </row>
    <row r="2505" ht="18" customHeight="1">
      <c r="A2505" s="62" t="n"/>
      <c r="B2505" s="63" t="n"/>
      <c r="C2505" s="64" t="n"/>
      <c r="D2505" s="64" t="n"/>
      <c r="E2505" s="63" t="n"/>
    </row>
    <row r="2506" ht="18" customHeight="1">
      <c r="A2506" s="62" t="n"/>
      <c r="B2506" s="63" t="n"/>
      <c r="C2506" s="64" t="n"/>
      <c r="D2506" s="64" t="n"/>
      <c r="E2506" s="63" t="n"/>
    </row>
    <row r="2507" ht="18" customHeight="1">
      <c r="A2507" s="62" t="n"/>
      <c r="B2507" s="63" t="n"/>
      <c r="C2507" s="64" t="n"/>
      <c r="D2507" s="64" t="n"/>
      <c r="E2507" s="63" t="n"/>
    </row>
    <row r="2508" ht="18" customHeight="1">
      <c r="A2508" s="62" t="n"/>
      <c r="B2508" s="63" t="n"/>
      <c r="C2508" s="64" t="n"/>
      <c r="D2508" s="64" t="n"/>
      <c r="E2508" s="63" t="n"/>
    </row>
    <row r="2509" ht="18" customHeight="1">
      <c r="A2509" s="62" t="n"/>
      <c r="B2509" s="63" t="n"/>
      <c r="C2509" s="64" t="n"/>
      <c r="D2509" s="64" t="n"/>
      <c r="E2509" s="63" t="n"/>
    </row>
    <row r="2510" ht="18" customHeight="1">
      <c r="A2510" s="62" t="n"/>
      <c r="B2510" s="63" t="n"/>
      <c r="C2510" s="64" t="n"/>
      <c r="D2510" s="64" t="n"/>
      <c r="E2510" s="63" t="n"/>
    </row>
    <row r="2511" ht="18" customHeight="1">
      <c r="A2511" s="62" t="n"/>
      <c r="B2511" s="63" t="n"/>
      <c r="C2511" s="64" t="n"/>
      <c r="D2511" s="64" t="n"/>
      <c r="E2511" s="63" t="n"/>
    </row>
    <row r="2512" ht="18" customHeight="1">
      <c r="A2512" s="62" t="n"/>
      <c r="B2512" s="63" t="n"/>
      <c r="C2512" s="64" t="n"/>
      <c r="D2512" s="64" t="n"/>
      <c r="E2512" s="63" t="n"/>
    </row>
    <row r="2513" ht="18" customHeight="1">
      <c r="A2513" s="62" t="n"/>
      <c r="B2513" s="63" t="n"/>
      <c r="C2513" s="64" t="n"/>
      <c r="D2513" s="64" t="n"/>
      <c r="E2513" s="63" t="n"/>
    </row>
    <row r="2514" ht="18" customHeight="1">
      <c r="A2514" s="62" t="n"/>
      <c r="B2514" s="63" t="n"/>
      <c r="C2514" s="64" t="n"/>
      <c r="D2514" s="64" t="n"/>
      <c r="E2514" s="63" t="n"/>
    </row>
    <row r="2515" ht="18" customHeight="1">
      <c r="A2515" s="62" t="n"/>
      <c r="B2515" s="63" t="n"/>
      <c r="C2515" s="64" t="n"/>
      <c r="D2515" s="64" t="n"/>
      <c r="E2515" s="63" t="n"/>
    </row>
    <row r="2516" ht="18" customHeight="1">
      <c r="A2516" s="62" t="n"/>
      <c r="B2516" s="63" t="n"/>
      <c r="C2516" s="64" t="n"/>
      <c r="D2516" s="64" t="n"/>
      <c r="E2516" s="63" t="n"/>
    </row>
    <row r="2517" ht="18" customHeight="1">
      <c r="A2517" s="62" t="n"/>
      <c r="B2517" s="63" t="n"/>
      <c r="C2517" s="64" t="n"/>
      <c r="D2517" s="64" t="n"/>
      <c r="E2517" s="63" t="n"/>
    </row>
    <row r="2518" ht="18" customHeight="1">
      <c r="A2518" s="62" t="n"/>
      <c r="B2518" s="63" t="n"/>
      <c r="C2518" s="64" t="n"/>
      <c r="D2518" s="64" t="n"/>
      <c r="E2518" s="63" t="n"/>
    </row>
    <row r="2519" ht="18" customHeight="1">
      <c r="A2519" s="62" t="n"/>
      <c r="B2519" s="63" t="n"/>
      <c r="C2519" s="64" t="n"/>
      <c r="D2519" s="64" t="n"/>
      <c r="E2519" s="63" t="n"/>
    </row>
    <row r="2520" ht="18" customHeight="1">
      <c r="A2520" s="62" t="n"/>
      <c r="B2520" s="63" t="n"/>
      <c r="C2520" s="64" t="n"/>
      <c r="D2520" s="64" t="n"/>
      <c r="E2520" s="63" t="n"/>
    </row>
    <row r="2521" ht="18" customHeight="1">
      <c r="A2521" s="62" t="n"/>
      <c r="B2521" s="63" t="n"/>
      <c r="C2521" s="64" t="n"/>
      <c r="D2521" s="64" t="n"/>
      <c r="E2521" s="63" t="n"/>
    </row>
    <row r="2522" ht="18" customHeight="1">
      <c r="A2522" s="62" t="n"/>
      <c r="B2522" s="63" t="n"/>
      <c r="C2522" s="64" t="n"/>
      <c r="D2522" s="64" t="n"/>
      <c r="E2522" s="63" t="n"/>
    </row>
    <row r="2523" ht="18" customHeight="1">
      <c r="A2523" s="62" t="n"/>
      <c r="B2523" s="63" t="n"/>
      <c r="C2523" s="64" t="n"/>
      <c r="D2523" s="64" t="n"/>
      <c r="E2523" s="63" t="n"/>
    </row>
    <row r="2524" ht="18" customHeight="1">
      <c r="A2524" s="62" t="n"/>
      <c r="B2524" s="63" t="n"/>
      <c r="C2524" s="64" t="n"/>
      <c r="D2524" s="64" t="n"/>
      <c r="E2524" s="63" t="n"/>
    </row>
    <row r="2525" ht="18" customHeight="1">
      <c r="A2525" s="62" t="n"/>
      <c r="B2525" s="63" t="n"/>
      <c r="C2525" s="64" t="n"/>
      <c r="D2525" s="64" t="n"/>
      <c r="E2525" s="63" t="n"/>
    </row>
    <row r="2526" ht="18" customHeight="1">
      <c r="A2526" s="62" t="n"/>
      <c r="B2526" s="63" t="n"/>
      <c r="C2526" s="64" t="n"/>
      <c r="D2526" s="64" t="n"/>
      <c r="E2526" s="63" t="n"/>
    </row>
    <row r="2527" ht="18" customHeight="1">
      <c r="A2527" s="62" t="n"/>
      <c r="B2527" s="63" t="n"/>
      <c r="C2527" s="64" t="n"/>
      <c r="D2527" s="64" t="n"/>
      <c r="E2527" s="63" t="n"/>
    </row>
    <row r="2528" ht="18" customHeight="1">
      <c r="A2528" s="62" t="n"/>
      <c r="B2528" s="63" t="n"/>
      <c r="C2528" s="64" t="n"/>
      <c r="D2528" s="64" t="n"/>
      <c r="E2528" s="63" t="n"/>
    </row>
    <row r="2529" ht="18" customHeight="1">
      <c r="A2529" s="62" t="n"/>
      <c r="B2529" s="63" t="n"/>
      <c r="C2529" s="64" t="n"/>
      <c r="D2529" s="64" t="n"/>
      <c r="E2529" s="63" t="n"/>
    </row>
    <row r="2530" ht="18" customHeight="1">
      <c r="A2530" s="62" t="n"/>
      <c r="B2530" s="63" t="n"/>
      <c r="C2530" s="64" t="n"/>
      <c r="D2530" s="64" t="n"/>
      <c r="E2530" s="63" t="n"/>
    </row>
    <row r="2531" ht="18" customHeight="1">
      <c r="A2531" s="62" t="n"/>
      <c r="B2531" s="63" t="n"/>
      <c r="C2531" s="64" t="n"/>
      <c r="D2531" s="64" t="n"/>
      <c r="E2531" s="63" t="n"/>
    </row>
    <row r="2532" ht="18" customHeight="1">
      <c r="A2532" s="62" t="n"/>
      <c r="B2532" s="63" t="n"/>
      <c r="C2532" s="64" t="n"/>
      <c r="D2532" s="64" t="n"/>
      <c r="E2532" s="63" t="n"/>
    </row>
    <row r="2533" ht="18" customHeight="1">
      <c r="A2533" s="62" t="n"/>
      <c r="B2533" s="63" t="n"/>
      <c r="C2533" s="64" t="n"/>
      <c r="D2533" s="64" t="n"/>
      <c r="E2533" s="63" t="n"/>
    </row>
    <row r="2534" ht="18" customHeight="1">
      <c r="A2534" s="62" t="n"/>
      <c r="B2534" s="63" t="n"/>
      <c r="C2534" s="64" t="n"/>
      <c r="D2534" s="64" t="n"/>
      <c r="E2534" s="63" t="n"/>
    </row>
    <row r="2535" ht="18" customHeight="1">
      <c r="A2535" s="62" t="n"/>
      <c r="B2535" s="63" t="n"/>
      <c r="C2535" s="64" t="n"/>
      <c r="D2535" s="64" t="n"/>
      <c r="E2535" s="63" t="n"/>
    </row>
    <row r="2536" ht="18" customHeight="1">
      <c r="A2536" s="62" t="n"/>
      <c r="B2536" s="63" t="n"/>
      <c r="C2536" s="64" t="n"/>
      <c r="D2536" s="64" t="n"/>
      <c r="E2536" s="63" t="n"/>
    </row>
    <row r="2537" ht="18" customHeight="1">
      <c r="A2537" s="62" t="n"/>
      <c r="B2537" s="63" t="n"/>
      <c r="C2537" s="64" t="n"/>
      <c r="D2537" s="64" t="n"/>
      <c r="E2537" s="63" t="n"/>
    </row>
    <row r="2538" ht="18" customHeight="1">
      <c r="A2538" s="62" t="n"/>
      <c r="B2538" s="63" t="n"/>
      <c r="C2538" s="64" t="n"/>
      <c r="D2538" s="64" t="n"/>
      <c r="E2538" s="63" t="n"/>
    </row>
    <row r="2539" ht="18" customHeight="1">
      <c r="A2539" s="62" t="n"/>
      <c r="B2539" s="63" t="n"/>
      <c r="C2539" s="64" t="n"/>
      <c r="D2539" s="64" t="n"/>
      <c r="E2539" s="63" t="n"/>
    </row>
    <row r="2540" ht="18" customHeight="1">
      <c r="A2540" s="62" t="n"/>
      <c r="B2540" s="63" t="n"/>
      <c r="C2540" s="64" t="n"/>
      <c r="D2540" s="64" t="n"/>
      <c r="E2540" s="63" t="n"/>
    </row>
    <row r="2541" ht="18" customHeight="1">
      <c r="A2541" s="62" t="n"/>
      <c r="B2541" s="63" t="n"/>
      <c r="C2541" s="64" t="n"/>
      <c r="D2541" s="64" t="n"/>
      <c r="E2541" s="63" t="n"/>
    </row>
    <row r="2542" ht="18" customHeight="1">
      <c r="A2542" s="62" t="n"/>
      <c r="B2542" s="63" t="n"/>
      <c r="C2542" s="64" t="n"/>
      <c r="D2542" s="64" t="n"/>
      <c r="E2542" s="63" t="n"/>
    </row>
    <row r="2543" ht="18" customHeight="1">
      <c r="A2543" s="62" t="n"/>
      <c r="B2543" s="63" t="n"/>
      <c r="C2543" s="64" t="n"/>
      <c r="D2543" s="64" t="n"/>
      <c r="E2543" s="63" t="n"/>
    </row>
    <row r="2544" ht="18" customHeight="1">
      <c r="A2544" s="62" t="n"/>
      <c r="B2544" s="63" t="n"/>
      <c r="C2544" s="64" t="n"/>
      <c r="D2544" s="64" t="n"/>
      <c r="E2544" s="63" t="n"/>
    </row>
    <row r="2545" ht="18" customHeight="1">
      <c r="A2545" s="62" t="n"/>
      <c r="B2545" s="63" t="n"/>
      <c r="C2545" s="64" t="n"/>
      <c r="D2545" s="64" t="n"/>
      <c r="E2545" s="63" t="n"/>
    </row>
    <row r="2546" ht="18" customHeight="1">
      <c r="A2546" s="62" t="n"/>
      <c r="B2546" s="63" t="n"/>
      <c r="C2546" s="64" t="n"/>
      <c r="D2546" s="64" t="n"/>
      <c r="E2546" s="63" t="n"/>
    </row>
    <row r="2547" ht="18" customHeight="1">
      <c r="A2547" s="62" t="n"/>
      <c r="B2547" s="63" t="n"/>
      <c r="C2547" s="64" t="n"/>
      <c r="D2547" s="64" t="n"/>
      <c r="E2547" s="63" t="n"/>
    </row>
    <row r="2548" ht="18" customHeight="1">
      <c r="A2548" s="62" t="n"/>
      <c r="B2548" s="63" t="n"/>
      <c r="C2548" s="64" t="n"/>
      <c r="D2548" s="64" t="n"/>
      <c r="E2548" s="63" t="n"/>
    </row>
    <row r="2549" ht="18" customHeight="1">
      <c r="A2549" s="62" t="n"/>
      <c r="B2549" s="63" t="n"/>
      <c r="C2549" s="64" t="n"/>
      <c r="D2549" s="64" t="n"/>
      <c r="E2549" s="63" t="n"/>
    </row>
    <row r="2550" ht="18" customHeight="1">
      <c r="A2550" s="62" t="n"/>
      <c r="B2550" s="63" t="n"/>
      <c r="C2550" s="64" t="n"/>
      <c r="D2550" s="64" t="n"/>
      <c r="E2550" s="63" t="n"/>
    </row>
    <row r="2551" ht="18" customHeight="1">
      <c r="A2551" s="62" t="n"/>
      <c r="B2551" s="63" t="n"/>
      <c r="C2551" s="64" t="n"/>
      <c r="D2551" s="64" t="n"/>
      <c r="E2551" s="63" t="n"/>
    </row>
    <row r="2552" ht="18" customHeight="1">
      <c r="A2552" s="62" t="n"/>
      <c r="B2552" s="63" t="n"/>
      <c r="C2552" s="64" t="n"/>
      <c r="D2552" s="64" t="n"/>
      <c r="E2552" s="63" t="n"/>
    </row>
    <row r="2553" ht="18" customHeight="1">
      <c r="A2553" s="62" t="n"/>
      <c r="B2553" s="63" t="n"/>
      <c r="C2553" s="64" t="n"/>
      <c r="D2553" s="64" t="n"/>
      <c r="E2553" s="63" t="n"/>
    </row>
    <row r="2554" ht="18" customHeight="1">
      <c r="A2554" s="62" t="n"/>
      <c r="B2554" s="63" t="n"/>
      <c r="C2554" s="64" t="n"/>
      <c r="D2554" s="64" t="n"/>
      <c r="E2554" s="63" t="n"/>
    </row>
    <row r="2555" ht="18" customHeight="1">
      <c r="A2555" s="62" t="n"/>
      <c r="B2555" s="63" t="n"/>
      <c r="C2555" s="64" t="n"/>
      <c r="D2555" s="64" t="n"/>
      <c r="E2555" s="63" t="n"/>
    </row>
    <row r="2556" ht="18" customHeight="1">
      <c r="A2556" s="62" t="n"/>
      <c r="B2556" s="63" t="n"/>
      <c r="C2556" s="64" t="n"/>
      <c r="D2556" s="64" t="n"/>
      <c r="E2556" s="63" t="n"/>
    </row>
    <row r="2557" ht="18" customHeight="1">
      <c r="A2557" s="62" t="n"/>
      <c r="B2557" s="63" t="n"/>
      <c r="C2557" s="64" t="n"/>
      <c r="D2557" s="64" t="n"/>
      <c r="E2557" s="63" t="n"/>
    </row>
    <row r="2558" ht="18" customHeight="1">
      <c r="A2558" s="62" t="n"/>
      <c r="B2558" s="63" t="n"/>
      <c r="C2558" s="64" t="n"/>
      <c r="D2558" s="64" t="n"/>
      <c r="E2558" s="63" t="n"/>
    </row>
    <row r="2559" ht="18" customHeight="1">
      <c r="A2559" s="62" t="n"/>
      <c r="B2559" s="63" t="n"/>
      <c r="C2559" s="64" t="n"/>
      <c r="D2559" s="64" t="n"/>
      <c r="E2559" s="63" t="n"/>
    </row>
    <row r="2560" ht="18" customHeight="1">
      <c r="A2560" s="62" t="n"/>
      <c r="B2560" s="63" t="n"/>
      <c r="C2560" s="64" t="n"/>
      <c r="D2560" s="64" t="n"/>
      <c r="E2560" s="63" t="n"/>
    </row>
    <row r="2561" ht="18" customHeight="1">
      <c r="A2561" s="62" t="n"/>
      <c r="B2561" s="63" t="n"/>
      <c r="C2561" s="64" t="n"/>
      <c r="D2561" s="64" t="n"/>
      <c r="E2561" s="63" t="n"/>
    </row>
    <row r="2562" ht="18" customHeight="1">
      <c r="A2562" s="62" t="n"/>
      <c r="B2562" s="63" t="n"/>
      <c r="C2562" s="64" t="n"/>
      <c r="D2562" s="64" t="n"/>
      <c r="E2562" s="63" t="n"/>
    </row>
    <row r="2563" ht="18" customHeight="1">
      <c r="A2563" s="62" t="n"/>
      <c r="B2563" s="63" t="n"/>
      <c r="C2563" s="64" t="n"/>
      <c r="D2563" s="64" t="n"/>
      <c r="E2563" s="63" t="n"/>
    </row>
    <row r="2564" ht="18" customHeight="1">
      <c r="A2564" s="62" t="n"/>
      <c r="B2564" s="63" t="n"/>
      <c r="C2564" s="64" t="n"/>
      <c r="D2564" s="64" t="n"/>
      <c r="E2564" s="63" t="n"/>
    </row>
    <row r="2565" ht="18" customHeight="1">
      <c r="A2565" s="62" t="n"/>
      <c r="B2565" s="63" t="n"/>
      <c r="C2565" s="64" t="n"/>
      <c r="D2565" s="64" t="n"/>
      <c r="E2565" s="63" t="n"/>
    </row>
    <row r="2566" ht="18" customHeight="1">
      <c r="A2566" s="62" t="n"/>
      <c r="B2566" s="63" t="n"/>
      <c r="C2566" s="64" t="n"/>
      <c r="D2566" s="64" t="n"/>
      <c r="E2566" s="63" t="n"/>
    </row>
    <row r="2567" ht="18" customHeight="1">
      <c r="A2567" s="62" t="n"/>
      <c r="B2567" s="63" t="n"/>
      <c r="C2567" s="64" t="n"/>
      <c r="D2567" s="64" t="n"/>
      <c r="E2567" s="63" t="n"/>
    </row>
    <row r="2568" ht="18" customHeight="1">
      <c r="A2568" s="62" t="n"/>
      <c r="B2568" s="63" t="n"/>
      <c r="C2568" s="64" t="n"/>
      <c r="D2568" s="64" t="n"/>
      <c r="E2568" s="63" t="n"/>
    </row>
    <row r="2569" ht="18" customHeight="1">
      <c r="A2569" s="62" t="n"/>
      <c r="B2569" s="63" t="n"/>
      <c r="C2569" s="64" t="n"/>
      <c r="D2569" s="64" t="n"/>
      <c r="E2569" s="63" t="n"/>
    </row>
    <row r="2570" ht="18" customHeight="1">
      <c r="A2570" s="62" t="n"/>
      <c r="B2570" s="63" t="n"/>
      <c r="C2570" s="64" t="n"/>
      <c r="D2570" s="64" t="n"/>
      <c r="E2570" s="63" t="n"/>
    </row>
    <row r="2571" ht="18" customHeight="1">
      <c r="A2571" s="62" t="n"/>
      <c r="B2571" s="63" t="n"/>
      <c r="C2571" s="64" t="n"/>
      <c r="D2571" s="64" t="n"/>
      <c r="E2571" s="63" t="n"/>
    </row>
    <row r="2572" ht="18" customHeight="1">
      <c r="A2572" s="62" t="n"/>
      <c r="B2572" s="63" t="n"/>
      <c r="C2572" s="64" t="n"/>
      <c r="D2572" s="64" t="n"/>
      <c r="E2572" s="63" t="n"/>
    </row>
    <row r="2573" ht="18" customHeight="1">
      <c r="A2573" s="62" t="n"/>
      <c r="B2573" s="63" t="n"/>
      <c r="C2573" s="64" t="n"/>
      <c r="D2573" s="64" t="n"/>
      <c r="E2573" s="63" t="n"/>
    </row>
    <row r="2574" ht="18" customHeight="1">
      <c r="A2574" s="62" t="n"/>
      <c r="B2574" s="63" t="n"/>
      <c r="C2574" s="64" t="n"/>
      <c r="D2574" s="64" t="n"/>
      <c r="E2574" s="63" t="n"/>
    </row>
    <row r="2575" ht="18" customHeight="1">
      <c r="A2575" s="62" t="n"/>
      <c r="B2575" s="63" t="n"/>
      <c r="C2575" s="64" t="n"/>
      <c r="D2575" s="64" t="n"/>
      <c r="E2575" s="63" t="n"/>
    </row>
    <row r="2576" ht="18" customHeight="1">
      <c r="A2576" s="62" t="n"/>
      <c r="B2576" s="63" t="n"/>
      <c r="C2576" s="64" t="n"/>
      <c r="D2576" s="64" t="n"/>
      <c r="E2576" s="63" t="n"/>
    </row>
    <row r="2577" ht="18" customHeight="1">
      <c r="A2577" s="62" t="n"/>
      <c r="B2577" s="63" t="n"/>
      <c r="C2577" s="64" t="n"/>
      <c r="D2577" s="64" t="n"/>
      <c r="E2577" s="63" t="n"/>
    </row>
    <row r="2578" ht="18" customHeight="1">
      <c r="A2578" s="62" t="n"/>
      <c r="B2578" s="63" t="n"/>
      <c r="C2578" s="64" t="n"/>
      <c r="D2578" s="64" t="n"/>
      <c r="E2578" s="63" t="n"/>
    </row>
    <row r="2579" ht="18" customHeight="1">
      <c r="A2579" s="62" t="n"/>
      <c r="B2579" s="63" t="n"/>
      <c r="C2579" s="64" t="n"/>
      <c r="D2579" s="64" t="n"/>
      <c r="E2579" s="63" t="n"/>
    </row>
    <row r="2580" ht="18" customHeight="1">
      <c r="A2580" s="62" t="n"/>
      <c r="B2580" s="63" t="n"/>
      <c r="C2580" s="64" t="n"/>
      <c r="D2580" s="64" t="n"/>
      <c r="E2580" s="63" t="n"/>
    </row>
    <row r="2581" ht="18" customHeight="1">
      <c r="A2581" s="62" t="n"/>
      <c r="B2581" s="63" t="n"/>
      <c r="C2581" s="64" t="n"/>
      <c r="D2581" s="64" t="n"/>
      <c r="E2581" s="63" t="n"/>
    </row>
    <row r="2582" ht="18" customHeight="1">
      <c r="A2582" s="62" t="n"/>
      <c r="B2582" s="63" t="n"/>
      <c r="C2582" s="64" t="n"/>
      <c r="D2582" s="64" t="n"/>
      <c r="E2582" s="63" t="n"/>
    </row>
    <row r="2583" ht="18" customHeight="1">
      <c r="A2583" s="62" t="n"/>
      <c r="B2583" s="63" t="n"/>
      <c r="C2583" s="64" t="n"/>
      <c r="D2583" s="64" t="n"/>
      <c r="E2583" s="63" t="n"/>
    </row>
    <row r="2584" ht="18" customHeight="1">
      <c r="A2584" s="62" t="n"/>
      <c r="B2584" s="63" t="n"/>
      <c r="C2584" s="64" t="n"/>
      <c r="D2584" s="64" t="n"/>
      <c r="E2584" s="63" t="n"/>
    </row>
    <row r="2585" ht="18" customHeight="1">
      <c r="A2585" s="62" t="n"/>
      <c r="B2585" s="63" t="n"/>
      <c r="C2585" s="64" t="n"/>
      <c r="D2585" s="64" t="n"/>
      <c r="E2585" s="63" t="n"/>
    </row>
    <row r="2586" ht="18" customHeight="1">
      <c r="A2586" s="62" t="n"/>
      <c r="B2586" s="63" t="n"/>
      <c r="C2586" s="64" t="n"/>
      <c r="D2586" s="64" t="n"/>
      <c r="E2586" s="63" t="n"/>
    </row>
    <row r="2587" ht="18" customHeight="1">
      <c r="A2587" s="62" t="n"/>
      <c r="B2587" s="63" t="n"/>
      <c r="C2587" s="64" t="n"/>
      <c r="D2587" s="64" t="n"/>
      <c r="E2587" s="63" t="n"/>
    </row>
    <row r="2588" ht="18" customHeight="1">
      <c r="A2588" s="62" t="n"/>
      <c r="B2588" s="63" t="n"/>
      <c r="C2588" s="64" t="n"/>
      <c r="D2588" s="64" t="n"/>
      <c r="E2588" s="63" t="n"/>
    </row>
    <row r="2589" ht="18" customHeight="1">
      <c r="A2589" s="62" t="n"/>
      <c r="B2589" s="63" t="n"/>
      <c r="C2589" s="64" t="n"/>
      <c r="D2589" s="64" t="n"/>
      <c r="E2589" s="63" t="n"/>
    </row>
    <row r="2590" ht="18" customHeight="1">
      <c r="A2590" s="62" t="n"/>
      <c r="B2590" s="63" t="n"/>
      <c r="C2590" s="64" t="n"/>
      <c r="D2590" s="64" t="n"/>
      <c r="E2590" s="63" t="n"/>
    </row>
    <row r="2591" ht="18" customHeight="1">
      <c r="A2591" s="62" t="n"/>
      <c r="B2591" s="63" t="n"/>
      <c r="C2591" s="64" t="n"/>
      <c r="D2591" s="64" t="n"/>
      <c r="E2591" s="63" t="n"/>
    </row>
    <row r="2592" ht="18" customHeight="1">
      <c r="A2592" s="62" t="n"/>
      <c r="B2592" s="63" t="n"/>
      <c r="C2592" s="64" t="n"/>
      <c r="D2592" s="64" t="n"/>
      <c r="E2592" s="63" t="n"/>
    </row>
    <row r="2593" ht="18" customHeight="1">
      <c r="A2593" s="62" t="n"/>
      <c r="B2593" s="63" t="n"/>
      <c r="C2593" s="64" t="n"/>
      <c r="D2593" s="64" t="n"/>
      <c r="E2593" s="63" t="n"/>
    </row>
    <row r="2594" ht="18" customHeight="1">
      <c r="A2594" s="62" t="n"/>
      <c r="B2594" s="63" t="n"/>
      <c r="C2594" s="64" t="n"/>
      <c r="D2594" s="64" t="n"/>
      <c r="E2594" s="63" t="n"/>
    </row>
    <row r="2595" ht="18" customHeight="1">
      <c r="A2595" s="62" t="n"/>
      <c r="B2595" s="63" t="n"/>
      <c r="C2595" s="64" t="n"/>
      <c r="D2595" s="64" t="n"/>
      <c r="E2595" s="63" t="n"/>
    </row>
    <row r="2596" ht="18" customHeight="1">
      <c r="A2596" s="62" t="n"/>
      <c r="B2596" s="63" t="n"/>
      <c r="C2596" s="64" t="n"/>
      <c r="D2596" s="64" t="n"/>
      <c r="E2596" s="63" t="n"/>
    </row>
    <row r="2597" ht="18" customHeight="1">
      <c r="A2597" s="62" t="n"/>
      <c r="B2597" s="63" t="n"/>
      <c r="C2597" s="64" t="n"/>
      <c r="D2597" s="64" t="n"/>
      <c r="E2597" s="63" t="n"/>
    </row>
    <row r="2598" ht="18" customHeight="1">
      <c r="A2598" s="62" t="n"/>
      <c r="B2598" s="63" t="n"/>
      <c r="C2598" s="64" t="n"/>
      <c r="D2598" s="64" t="n"/>
      <c r="E2598" s="63" t="n"/>
    </row>
    <row r="2599" ht="18" customHeight="1">
      <c r="A2599" s="62" t="n"/>
      <c r="B2599" s="63" t="n"/>
      <c r="C2599" s="64" t="n"/>
      <c r="D2599" s="64" t="n"/>
      <c r="E2599" s="63" t="n"/>
    </row>
    <row r="2600" ht="18" customHeight="1">
      <c r="A2600" s="62" t="n"/>
      <c r="B2600" s="63" t="n"/>
      <c r="C2600" s="64" t="n"/>
      <c r="D2600" s="64" t="n"/>
      <c r="E2600" s="63" t="n"/>
    </row>
    <row r="2601" ht="18" customHeight="1">
      <c r="A2601" s="62" t="n"/>
      <c r="B2601" s="63" t="n"/>
      <c r="C2601" s="64" t="n"/>
      <c r="D2601" s="64" t="n"/>
      <c r="E2601" s="63" t="n"/>
    </row>
    <row r="2602" ht="18" customHeight="1">
      <c r="A2602" s="62" t="n"/>
      <c r="B2602" s="63" t="n"/>
      <c r="C2602" s="64" t="n"/>
      <c r="D2602" s="64" t="n"/>
      <c r="E2602" s="63" t="n"/>
    </row>
    <row r="2603" ht="18" customHeight="1">
      <c r="A2603" s="62" t="n"/>
      <c r="B2603" s="63" t="n"/>
      <c r="C2603" s="64" t="n"/>
      <c r="D2603" s="64" t="n"/>
      <c r="E2603" s="63" t="n"/>
    </row>
    <row r="2604" ht="18" customHeight="1">
      <c r="A2604" s="62" t="n"/>
      <c r="B2604" s="63" t="n"/>
      <c r="C2604" s="64" t="n"/>
      <c r="D2604" s="64" t="n"/>
      <c r="E2604" s="63" t="n"/>
    </row>
    <row r="2605" ht="18" customHeight="1">
      <c r="A2605" s="62" t="n"/>
      <c r="B2605" s="63" t="n"/>
      <c r="C2605" s="64" t="n"/>
      <c r="D2605" s="64" t="n"/>
      <c r="E2605" s="63" t="n"/>
    </row>
    <row r="2606" ht="18" customHeight="1">
      <c r="A2606" s="62" t="n"/>
      <c r="B2606" s="63" t="n"/>
      <c r="C2606" s="64" t="n"/>
      <c r="D2606" s="64" t="n"/>
      <c r="E2606" s="63" t="n"/>
    </row>
    <row r="2607" ht="18" customHeight="1">
      <c r="A2607" s="62" t="n"/>
      <c r="B2607" s="63" t="n"/>
      <c r="C2607" s="64" t="n"/>
      <c r="D2607" s="64" t="n"/>
      <c r="E2607" s="63" t="n"/>
    </row>
    <row r="2608" ht="18" customHeight="1">
      <c r="A2608" s="62" t="n"/>
      <c r="B2608" s="63" t="n"/>
      <c r="C2608" s="64" t="n"/>
      <c r="D2608" s="64" t="n"/>
      <c r="E2608" s="63" t="n"/>
    </row>
    <row r="2609" ht="18" customHeight="1">
      <c r="A2609" s="62" t="n"/>
      <c r="B2609" s="63" t="n"/>
      <c r="C2609" s="64" t="n"/>
      <c r="D2609" s="64" t="n"/>
      <c r="E2609" s="63" t="n"/>
    </row>
    <row r="2610" ht="18" customHeight="1">
      <c r="A2610" s="62" t="n"/>
      <c r="B2610" s="63" t="n"/>
      <c r="C2610" s="64" t="n"/>
      <c r="D2610" s="64" t="n"/>
      <c r="E2610" s="63" t="n"/>
    </row>
    <row r="2611" ht="18" customHeight="1">
      <c r="A2611" s="62" t="n"/>
      <c r="B2611" s="63" t="n"/>
      <c r="C2611" s="64" t="n"/>
      <c r="D2611" s="64" t="n"/>
      <c r="E2611" s="63" t="n"/>
    </row>
    <row r="2612" ht="18" customHeight="1">
      <c r="A2612" s="62" t="n"/>
      <c r="B2612" s="63" t="n"/>
      <c r="C2612" s="64" t="n"/>
      <c r="D2612" s="64" t="n"/>
      <c r="E2612" s="63" t="n"/>
    </row>
    <row r="2613" ht="18" customHeight="1">
      <c r="A2613" s="62" t="n"/>
      <c r="B2613" s="63" t="n"/>
      <c r="C2613" s="64" t="n"/>
      <c r="D2613" s="64" t="n"/>
      <c r="E2613" s="63" t="n"/>
    </row>
    <row r="2614" ht="18" customHeight="1">
      <c r="A2614" s="62" t="n"/>
      <c r="B2614" s="63" t="n"/>
      <c r="C2614" s="64" t="n"/>
      <c r="D2614" s="64" t="n"/>
      <c r="E2614" s="63" t="n"/>
    </row>
    <row r="2615" ht="18" customHeight="1">
      <c r="A2615" s="62" t="n"/>
      <c r="B2615" s="63" t="n"/>
      <c r="C2615" s="64" t="n"/>
      <c r="D2615" s="64" t="n"/>
      <c r="E2615" s="63" t="n"/>
    </row>
    <row r="2616" ht="18" customHeight="1">
      <c r="A2616" s="62" t="n"/>
      <c r="B2616" s="63" t="n"/>
      <c r="C2616" s="64" t="n"/>
      <c r="D2616" s="64" t="n"/>
      <c r="E2616" s="63" t="n"/>
    </row>
    <row r="2617" ht="18" customHeight="1">
      <c r="A2617" s="62" t="n"/>
      <c r="B2617" s="63" t="n"/>
      <c r="C2617" s="64" t="n"/>
      <c r="D2617" s="64" t="n"/>
      <c r="E2617" s="63" t="n"/>
    </row>
    <row r="2618" ht="18" customHeight="1">
      <c r="A2618" s="62" t="n"/>
      <c r="B2618" s="63" t="n"/>
      <c r="C2618" s="64" t="n"/>
      <c r="D2618" s="64" t="n"/>
      <c r="E2618" s="63" t="n"/>
    </row>
    <row r="2619" ht="18" customHeight="1">
      <c r="A2619" s="62" t="n"/>
      <c r="B2619" s="63" t="n"/>
      <c r="C2619" s="64" t="n"/>
      <c r="D2619" s="64" t="n"/>
      <c r="E2619" s="63" t="n"/>
    </row>
    <row r="2620" ht="18" customHeight="1">
      <c r="A2620" s="62" t="n"/>
      <c r="B2620" s="63" t="n"/>
      <c r="C2620" s="64" t="n"/>
      <c r="D2620" s="64" t="n"/>
      <c r="E2620" s="63" t="n"/>
    </row>
    <row r="2621" ht="18" customHeight="1">
      <c r="A2621" s="62" t="n"/>
      <c r="B2621" s="63" t="n"/>
      <c r="C2621" s="64" t="n"/>
      <c r="D2621" s="64" t="n"/>
      <c r="E2621" s="63" t="n"/>
    </row>
    <row r="2622" ht="18" customHeight="1">
      <c r="A2622" s="62" t="n"/>
      <c r="B2622" s="63" t="n"/>
      <c r="C2622" s="64" t="n"/>
      <c r="D2622" s="64" t="n"/>
      <c r="E2622" s="63" t="n"/>
    </row>
    <row r="2623" ht="18" customHeight="1">
      <c r="A2623" s="62" t="n"/>
      <c r="B2623" s="63" t="n"/>
      <c r="C2623" s="64" t="n"/>
      <c r="D2623" s="64" t="n"/>
      <c r="E2623" s="63" t="n"/>
    </row>
    <row r="2624" ht="18" customHeight="1">
      <c r="A2624" s="62" t="n"/>
      <c r="B2624" s="63" t="n"/>
      <c r="C2624" s="64" t="n"/>
      <c r="D2624" s="64" t="n"/>
      <c r="E2624" s="63" t="n"/>
    </row>
    <row r="2625" ht="18" customHeight="1">
      <c r="A2625" s="62" t="n"/>
      <c r="B2625" s="63" t="n"/>
      <c r="C2625" s="64" t="n"/>
      <c r="D2625" s="64" t="n"/>
      <c r="E2625" s="63" t="n"/>
    </row>
    <row r="2626" ht="18" customHeight="1">
      <c r="A2626" s="62" t="n"/>
      <c r="B2626" s="63" t="n"/>
      <c r="C2626" s="64" t="n"/>
      <c r="D2626" s="64" t="n"/>
      <c r="E2626" s="63" t="n"/>
    </row>
    <row r="2627" ht="18" customHeight="1">
      <c r="A2627" s="62" t="n"/>
      <c r="B2627" s="63" t="n"/>
      <c r="C2627" s="64" t="n"/>
      <c r="D2627" s="64" t="n"/>
      <c r="E2627" s="63" t="n"/>
    </row>
    <row r="2628" ht="18" customHeight="1">
      <c r="A2628" s="62" t="n"/>
      <c r="B2628" s="63" t="n"/>
      <c r="C2628" s="64" t="n"/>
      <c r="D2628" s="64" t="n"/>
      <c r="E2628" s="63" t="n"/>
    </row>
    <row r="2629" ht="18" customHeight="1">
      <c r="A2629" s="62" t="n"/>
      <c r="B2629" s="63" t="n"/>
      <c r="C2629" s="64" t="n"/>
      <c r="D2629" s="64" t="n"/>
      <c r="E2629" s="63" t="n"/>
    </row>
    <row r="2630" ht="18" customHeight="1">
      <c r="A2630" s="62" t="n"/>
      <c r="B2630" s="63" t="n"/>
      <c r="C2630" s="64" t="n"/>
      <c r="D2630" s="64" t="n"/>
      <c r="E2630" s="63" t="n"/>
    </row>
    <row r="2631" ht="18" customHeight="1">
      <c r="A2631" s="62" t="n"/>
      <c r="B2631" s="63" t="n"/>
      <c r="C2631" s="64" t="n"/>
      <c r="D2631" s="64" t="n"/>
      <c r="E2631" s="63" t="n"/>
    </row>
    <row r="2632" ht="18" customHeight="1">
      <c r="A2632" s="62" t="n"/>
      <c r="B2632" s="63" t="n"/>
      <c r="C2632" s="64" t="n"/>
      <c r="D2632" s="64" t="n"/>
      <c r="E2632" s="63" t="n"/>
    </row>
    <row r="2633" ht="18" customHeight="1">
      <c r="A2633" s="62" t="n"/>
      <c r="B2633" s="63" t="n"/>
      <c r="C2633" s="64" t="n"/>
      <c r="D2633" s="64" t="n"/>
      <c r="E2633" s="63" t="n"/>
    </row>
    <row r="2634" ht="18" customHeight="1">
      <c r="A2634" s="62" t="n"/>
      <c r="B2634" s="63" t="n"/>
      <c r="C2634" s="64" t="n"/>
      <c r="D2634" s="64" t="n"/>
      <c r="E2634" s="63" t="n"/>
    </row>
    <row r="2635" ht="18" customHeight="1">
      <c r="A2635" s="62" t="n"/>
      <c r="B2635" s="63" t="n"/>
      <c r="C2635" s="64" t="n"/>
      <c r="D2635" s="64" t="n"/>
      <c r="E2635" s="63" t="n"/>
    </row>
    <row r="2636" ht="18" customHeight="1">
      <c r="A2636" s="62" t="n"/>
      <c r="B2636" s="63" t="n"/>
      <c r="C2636" s="64" t="n"/>
      <c r="D2636" s="64" t="n"/>
      <c r="E2636" s="63" t="n"/>
    </row>
    <row r="2637" ht="18" customHeight="1">
      <c r="A2637" s="62" t="n"/>
      <c r="B2637" s="63" t="n"/>
      <c r="C2637" s="64" t="n"/>
      <c r="D2637" s="64" t="n"/>
      <c r="E2637" s="63" t="n"/>
    </row>
    <row r="2638" ht="18" customHeight="1">
      <c r="A2638" s="62" t="n"/>
      <c r="B2638" s="63" t="n"/>
      <c r="C2638" s="64" t="n"/>
      <c r="D2638" s="64" t="n"/>
      <c r="E2638" s="63" t="n"/>
    </row>
    <row r="2639" ht="18" customHeight="1">
      <c r="A2639" s="62" t="n"/>
      <c r="B2639" s="63" t="n"/>
      <c r="C2639" s="64" t="n"/>
      <c r="D2639" s="64" t="n"/>
      <c r="E2639" s="63" t="n"/>
    </row>
    <row r="2640" ht="18" customHeight="1">
      <c r="A2640" s="62" t="n"/>
      <c r="B2640" s="63" t="n"/>
      <c r="C2640" s="64" t="n"/>
      <c r="D2640" s="64" t="n"/>
      <c r="E2640" s="63" t="n"/>
    </row>
    <row r="2641" ht="18" customHeight="1">
      <c r="A2641" s="62" t="n"/>
      <c r="B2641" s="63" t="n"/>
      <c r="C2641" s="64" t="n"/>
      <c r="D2641" s="64" t="n"/>
      <c r="E2641" s="63" t="n"/>
    </row>
    <row r="2642" ht="18" customHeight="1">
      <c r="A2642" s="62" t="n"/>
      <c r="B2642" s="63" t="n"/>
      <c r="C2642" s="64" t="n"/>
      <c r="D2642" s="64" t="n"/>
      <c r="E2642" s="63" t="n"/>
    </row>
    <row r="2643" ht="18" customHeight="1">
      <c r="A2643" s="62" t="n"/>
      <c r="B2643" s="63" t="n"/>
      <c r="C2643" s="64" t="n"/>
      <c r="D2643" s="64" t="n"/>
      <c r="E2643" s="63" t="n"/>
    </row>
    <row r="2644" ht="18" customHeight="1">
      <c r="A2644" s="62" t="n"/>
      <c r="B2644" s="63" t="n"/>
      <c r="C2644" s="64" t="n"/>
      <c r="D2644" s="64" t="n"/>
      <c r="E2644" s="63" t="n"/>
    </row>
    <row r="2645" ht="18" customHeight="1">
      <c r="A2645" s="62" t="n"/>
      <c r="B2645" s="63" t="n"/>
      <c r="C2645" s="64" t="n"/>
      <c r="D2645" s="64" t="n"/>
      <c r="E2645" s="63" t="n"/>
    </row>
    <row r="2646" ht="18" customHeight="1">
      <c r="A2646" s="62" t="n"/>
      <c r="B2646" s="63" t="n"/>
      <c r="C2646" s="64" t="n"/>
      <c r="D2646" s="64" t="n"/>
      <c r="E2646" s="63" t="n"/>
    </row>
    <row r="2647" ht="18" customHeight="1">
      <c r="A2647" s="62" t="n"/>
      <c r="B2647" s="63" t="n"/>
      <c r="C2647" s="64" t="n"/>
      <c r="D2647" s="64" t="n"/>
      <c r="E2647" s="63" t="n"/>
    </row>
    <row r="2648" ht="18" customHeight="1">
      <c r="A2648" s="62" t="n"/>
      <c r="B2648" s="63" t="n"/>
      <c r="C2648" s="64" t="n"/>
      <c r="D2648" s="64" t="n"/>
      <c r="E2648" s="63" t="n"/>
    </row>
    <row r="2649" ht="18" customHeight="1">
      <c r="A2649" s="62" t="n"/>
      <c r="B2649" s="63" t="n"/>
      <c r="C2649" s="64" t="n"/>
      <c r="D2649" s="64" t="n"/>
      <c r="E2649" s="63" t="n"/>
    </row>
    <row r="2650" ht="18" customHeight="1">
      <c r="A2650" s="62" t="n"/>
      <c r="B2650" s="63" t="n"/>
      <c r="C2650" s="64" t="n"/>
      <c r="D2650" s="64" t="n"/>
      <c r="E2650" s="63" t="n"/>
    </row>
    <row r="2651" ht="18" customHeight="1">
      <c r="A2651" s="62" t="n"/>
      <c r="B2651" s="63" t="n"/>
      <c r="C2651" s="64" t="n"/>
      <c r="D2651" s="64" t="n"/>
      <c r="E2651" s="63" t="n"/>
    </row>
    <row r="2652" ht="18" customHeight="1">
      <c r="A2652" s="62" t="n"/>
      <c r="B2652" s="63" t="n"/>
      <c r="C2652" s="64" t="n"/>
      <c r="D2652" s="64" t="n"/>
      <c r="E2652" s="63" t="n"/>
    </row>
    <row r="2653" ht="18" customHeight="1">
      <c r="A2653" s="62" t="n"/>
      <c r="B2653" s="63" t="n"/>
      <c r="C2653" s="64" t="n"/>
      <c r="D2653" s="64" t="n"/>
      <c r="E2653" s="63" t="n"/>
    </row>
    <row r="2654" ht="18" customHeight="1">
      <c r="A2654" s="62" t="n"/>
      <c r="B2654" s="63" t="n"/>
      <c r="C2654" s="64" t="n"/>
      <c r="D2654" s="64" t="n"/>
      <c r="E2654" s="63" t="n"/>
    </row>
    <row r="2655" ht="18" customHeight="1">
      <c r="A2655" s="62" t="n"/>
      <c r="B2655" s="63" t="n"/>
      <c r="C2655" s="64" t="n"/>
      <c r="D2655" s="64" t="n"/>
      <c r="E2655" s="63" t="n"/>
    </row>
    <row r="2656" ht="18" customHeight="1">
      <c r="A2656" s="62" t="n"/>
      <c r="B2656" s="63" t="n"/>
      <c r="C2656" s="64" t="n"/>
      <c r="D2656" s="64" t="n"/>
      <c r="E2656" s="63" t="n"/>
    </row>
    <row r="2657" ht="18" customHeight="1">
      <c r="A2657" s="62" t="n"/>
      <c r="B2657" s="63" t="n"/>
      <c r="C2657" s="64" t="n"/>
      <c r="D2657" s="64" t="n"/>
      <c r="E2657" s="63" t="n"/>
    </row>
    <row r="2658" ht="18" customHeight="1">
      <c r="A2658" s="62" t="n"/>
      <c r="B2658" s="63" t="n"/>
      <c r="C2658" s="64" t="n"/>
      <c r="D2658" s="64" t="n"/>
      <c r="E2658" s="63" t="n"/>
    </row>
    <row r="2659" ht="18" customHeight="1">
      <c r="A2659" s="62" t="n"/>
      <c r="B2659" s="63" t="n"/>
      <c r="C2659" s="64" t="n"/>
      <c r="D2659" s="64" t="n"/>
      <c r="E2659" s="63" t="n"/>
    </row>
    <row r="2660" ht="18" customHeight="1">
      <c r="A2660" s="62" t="n"/>
      <c r="B2660" s="63" t="n"/>
      <c r="C2660" s="64" t="n"/>
      <c r="D2660" s="64" t="n"/>
      <c r="E2660" s="63" t="n"/>
    </row>
    <row r="2661" ht="18" customHeight="1">
      <c r="A2661" s="62" t="n"/>
      <c r="B2661" s="63" t="n"/>
      <c r="C2661" s="64" t="n"/>
      <c r="D2661" s="64" t="n"/>
      <c r="E2661" s="63" t="n"/>
    </row>
    <row r="2662" ht="18" customHeight="1">
      <c r="A2662" s="62" t="n"/>
      <c r="B2662" s="63" t="n"/>
      <c r="C2662" s="64" t="n"/>
      <c r="D2662" s="64" t="n"/>
      <c r="E2662" s="63" t="n"/>
    </row>
    <row r="2663" ht="18" customHeight="1">
      <c r="A2663" s="62" t="n"/>
      <c r="B2663" s="63" t="n"/>
      <c r="C2663" s="64" t="n"/>
      <c r="D2663" s="64" t="n"/>
      <c r="E2663" s="63" t="n"/>
    </row>
    <row r="2664" ht="18" customHeight="1">
      <c r="A2664" s="62" t="n"/>
      <c r="B2664" s="63" t="n"/>
      <c r="C2664" s="64" t="n"/>
      <c r="D2664" s="64" t="n"/>
      <c r="E2664" s="63" t="n"/>
    </row>
    <row r="2665" ht="18" customHeight="1">
      <c r="A2665" s="62" t="n"/>
      <c r="B2665" s="63" t="n"/>
      <c r="C2665" s="64" t="n"/>
      <c r="D2665" s="64" t="n"/>
      <c r="E2665" s="63" t="n"/>
    </row>
    <row r="2666" ht="18" customHeight="1">
      <c r="A2666" s="62" t="n"/>
      <c r="B2666" s="63" t="n"/>
      <c r="C2666" s="64" t="n"/>
      <c r="D2666" s="64" t="n"/>
      <c r="E2666" s="63" t="n"/>
    </row>
    <row r="2667" ht="18" customHeight="1">
      <c r="A2667" s="62" t="n"/>
      <c r="B2667" s="63" t="n"/>
      <c r="C2667" s="64" t="n"/>
      <c r="D2667" s="64" t="n"/>
      <c r="E2667" s="63" t="n"/>
    </row>
    <row r="2668" ht="18" customHeight="1">
      <c r="A2668" s="62" t="n"/>
      <c r="B2668" s="63" t="n"/>
      <c r="C2668" s="64" t="n"/>
      <c r="D2668" s="64" t="n"/>
      <c r="E2668" s="63" t="n"/>
    </row>
    <row r="2669" ht="18" customHeight="1">
      <c r="A2669" s="62" t="n"/>
      <c r="B2669" s="63" t="n"/>
      <c r="C2669" s="64" t="n"/>
      <c r="D2669" s="64" t="n"/>
      <c r="E2669" s="63" t="n"/>
    </row>
    <row r="2670" ht="18" customHeight="1">
      <c r="A2670" s="62" t="n"/>
      <c r="B2670" s="63" t="n"/>
      <c r="C2670" s="64" t="n"/>
      <c r="D2670" s="64" t="n"/>
      <c r="E2670" s="63" t="n"/>
    </row>
    <row r="2671" ht="18" customHeight="1">
      <c r="A2671" s="62" t="n"/>
      <c r="B2671" s="63" t="n"/>
      <c r="C2671" s="64" t="n"/>
      <c r="D2671" s="64" t="n"/>
      <c r="E2671" s="63" t="n"/>
    </row>
    <row r="2672" ht="18" customHeight="1">
      <c r="A2672" s="62" t="n"/>
      <c r="B2672" s="63" t="n"/>
      <c r="C2672" s="64" t="n"/>
      <c r="D2672" s="64" t="n"/>
      <c r="E2672" s="63" t="n"/>
    </row>
    <row r="2673" ht="18" customHeight="1">
      <c r="A2673" s="62" t="n"/>
      <c r="B2673" s="63" t="n"/>
      <c r="C2673" s="64" t="n"/>
      <c r="D2673" s="64" t="n"/>
      <c r="E2673" s="63" t="n"/>
    </row>
    <row r="2674" ht="18" customHeight="1">
      <c r="A2674" s="62" t="n"/>
      <c r="B2674" s="63" t="n"/>
      <c r="C2674" s="64" t="n"/>
      <c r="D2674" s="64" t="n"/>
      <c r="E2674" s="63" t="n"/>
    </row>
    <row r="2675" ht="18" customHeight="1">
      <c r="A2675" s="62" t="n"/>
      <c r="B2675" s="63" t="n"/>
      <c r="C2675" s="64" t="n"/>
      <c r="D2675" s="64" t="n"/>
      <c r="E2675" s="63" t="n"/>
    </row>
    <row r="2676" ht="18" customHeight="1">
      <c r="A2676" s="62" t="n"/>
      <c r="B2676" s="63" t="n"/>
      <c r="C2676" s="64" t="n"/>
      <c r="D2676" s="64" t="n"/>
      <c r="E2676" s="63" t="n"/>
    </row>
    <row r="2677" ht="18" customHeight="1">
      <c r="A2677" s="62" t="n"/>
      <c r="B2677" s="63" t="n"/>
      <c r="C2677" s="64" t="n"/>
      <c r="D2677" s="64" t="n"/>
      <c r="E2677" s="63" t="n"/>
    </row>
    <row r="2678" ht="18" customHeight="1">
      <c r="A2678" s="62" t="n"/>
      <c r="B2678" s="63" t="n"/>
      <c r="C2678" s="64" t="n"/>
      <c r="D2678" s="64" t="n"/>
      <c r="E2678" s="63" t="n"/>
    </row>
    <row r="2679" ht="18" customHeight="1">
      <c r="A2679" s="62" t="n"/>
      <c r="B2679" s="63" t="n"/>
      <c r="C2679" s="64" t="n"/>
      <c r="D2679" s="64" t="n"/>
      <c r="E2679" s="63" t="n"/>
    </row>
    <row r="2680" ht="18" customHeight="1">
      <c r="A2680" s="62" t="n"/>
      <c r="B2680" s="63" t="n"/>
      <c r="C2680" s="64" t="n"/>
      <c r="D2680" s="64" t="n"/>
      <c r="E2680" s="63" t="n"/>
    </row>
    <row r="2681" ht="18" customHeight="1">
      <c r="A2681" s="62" t="n"/>
      <c r="B2681" s="63" t="n"/>
      <c r="C2681" s="64" t="n"/>
      <c r="D2681" s="64" t="n"/>
      <c r="E2681" s="63" t="n"/>
    </row>
    <row r="2682" ht="18" customHeight="1">
      <c r="A2682" s="62" t="n"/>
      <c r="B2682" s="63" t="n"/>
      <c r="C2682" s="64" t="n"/>
      <c r="D2682" s="64" t="n"/>
      <c r="E2682" s="63" t="n"/>
    </row>
    <row r="2683" ht="18" customHeight="1">
      <c r="A2683" s="62" t="n"/>
      <c r="B2683" s="63" t="n"/>
      <c r="C2683" s="64" t="n"/>
      <c r="D2683" s="64" t="n"/>
      <c r="E2683" s="63" t="n"/>
    </row>
    <row r="2684" ht="18" customHeight="1">
      <c r="A2684" s="62" t="n"/>
      <c r="B2684" s="63" t="n"/>
      <c r="C2684" s="64" t="n"/>
      <c r="D2684" s="64" t="n"/>
      <c r="E2684" s="63" t="n"/>
    </row>
    <row r="2685" ht="18" customHeight="1">
      <c r="A2685" s="62" t="n"/>
      <c r="B2685" s="63" t="n"/>
      <c r="C2685" s="64" t="n"/>
      <c r="D2685" s="64" t="n"/>
      <c r="E2685" s="63" t="n"/>
    </row>
    <row r="2686" ht="18" customHeight="1">
      <c r="A2686" s="62" t="n"/>
      <c r="B2686" s="63" t="n"/>
      <c r="C2686" s="64" t="n"/>
      <c r="D2686" s="64" t="n"/>
      <c r="E2686" s="63" t="n"/>
    </row>
    <row r="2687" ht="18" customHeight="1">
      <c r="A2687" s="62" t="n"/>
      <c r="B2687" s="63" t="n"/>
      <c r="C2687" s="64" t="n"/>
      <c r="D2687" s="64" t="n"/>
      <c r="E2687" s="63" t="n"/>
    </row>
    <row r="2688" ht="18" customHeight="1">
      <c r="A2688" s="62" t="n"/>
      <c r="B2688" s="63" t="n"/>
      <c r="C2688" s="64" t="n"/>
      <c r="D2688" s="64" t="n"/>
      <c r="E2688" s="63" t="n"/>
    </row>
    <row r="2689" ht="18" customHeight="1">
      <c r="A2689" s="62" t="n"/>
      <c r="B2689" s="63" t="n"/>
      <c r="C2689" s="64" t="n"/>
      <c r="D2689" s="64" t="n"/>
      <c r="E2689" s="63" t="n"/>
    </row>
    <row r="2690" ht="18" customHeight="1">
      <c r="A2690" s="62" t="n"/>
      <c r="B2690" s="63" t="n"/>
      <c r="C2690" s="64" t="n"/>
      <c r="D2690" s="64" t="n"/>
      <c r="E2690" s="63" t="n"/>
    </row>
    <row r="2691" ht="18" customHeight="1">
      <c r="A2691" s="62" t="n"/>
      <c r="B2691" s="63" t="n"/>
      <c r="C2691" s="64" t="n"/>
      <c r="D2691" s="64" t="n"/>
      <c r="E2691" s="63" t="n"/>
    </row>
    <row r="2692" ht="18" customHeight="1">
      <c r="A2692" s="62" t="n"/>
      <c r="B2692" s="63" t="n"/>
      <c r="C2692" s="64" t="n"/>
      <c r="D2692" s="64" t="n"/>
      <c r="E2692" s="63" t="n"/>
    </row>
    <row r="2693" ht="18" customHeight="1">
      <c r="A2693" s="62" t="n"/>
      <c r="B2693" s="63" t="n"/>
      <c r="C2693" s="64" t="n"/>
      <c r="D2693" s="64" t="n"/>
      <c r="E2693" s="63" t="n"/>
    </row>
    <row r="2694" ht="18" customHeight="1">
      <c r="A2694" s="62" t="n"/>
      <c r="B2694" s="63" t="n"/>
      <c r="C2694" s="64" t="n"/>
      <c r="D2694" s="64" t="n"/>
      <c r="E2694" s="63" t="n"/>
    </row>
    <row r="2695" ht="18" customHeight="1">
      <c r="A2695" s="62" t="n"/>
      <c r="B2695" s="63" t="n"/>
      <c r="C2695" s="64" t="n"/>
      <c r="D2695" s="64" t="n"/>
      <c r="E2695" s="63" t="n"/>
    </row>
    <row r="2696" ht="18" customHeight="1">
      <c r="A2696" s="62" t="n"/>
      <c r="B2696" s="63" t="n"/>
      <c r="C2696" s="64" t="n"/>
      <c r="D2696" s="64" t="n"/>
      <c r="E2696" s="63" t="n"/>
    </row>
    <row r="2697" ht="18" customHeight="1">
      <c r="A2697" s="62" t="n"/>
      <c r="B2697" s="63" t="n"/>
      <c r="C2697" s="64" t="n"/>
      <c r="D2697" s="64" t="n"/>
      <c r="E2697" s="63" t="n"/>
    </row>
    <row r="2698" ht="18" customHeight="1">
      <c r="A2698" s="62" t="n"/>
      <c r="B2698" s="63" t="n"/>
      <c r="C2698" s="64" t="n"/>
      <c r="D2698" s="64" t="n"/>
      <c r="E2698" s="63" t="n"/>
    </row>
    <row r="2699" ht="18" customHeight="1">
      <c r="A2699" s="62" t="n"/>
      <c r="B2699" s="63" t="n"/>
      <c r="C2699" s="64" t="n"/>
      <c r="D2699" s="64" t="n"/>
      <c r="E2699" s="63" t="n"/>
    </row>
    <row r="2700" ht="18" customHeight="1">
      <c r="A2700" s="62" t="n"/>
      <c r="B2700" s="63" t="n"/>
      <c r="C2700" s="64" t="n"/>
      <c r="D2700" s="64" t="n"/>
      <c r="E2700" s="63" t="n"/>
    </row>
    <row r="2701" ht="18" customHeight="1">
      <c r="A2701" s="62" t="n"/>
      <c r="B2701" s="63" t="n"/>
      <c r="C2701" s="64" t="n"/>
      <c r="D2701" s="64" t="n"/>
      <c r="E2701" s="63" t="n"/>
    </row>
    <row r="2702" ht="18" customHeight="1">
      <c r="A2702" s="62" t="n"/>
      <c r="B2702" s="63" t="n"/>
      <c r="C2702" s="64" t="n"/>
      <c r="D2702" s="64" t="n"/>
      <c r="E2702" s="63" t="n"/>
    </row>
    <row r="2703" ht="18" customHeight="1">
      <c r="A2703" s="62" t="n"/>
      <c r="B2703" s="63" t="n"/>
      <c r="C2703" s="64" t="n"/>
      <c r="D2703" s="64" t="n"/>
      <c r="E2703" s="63" t="n"/>
    </row>
    <row r="2704" ht="18" customHeight="1">
      <c r="A2704" s="62" t="n"/>
      <c r="B2704" s="63" t="n"/>
      <c r="C2704" s="64" t="n"/>
      <c r="D2704" s="64" t="n"/>
      <c r="E2704" s="63" t="n"/>
    </row>
    <row r="2705" ht="18" customHeight="1">
      <c r="A2705" s="62" t="n"/>
      <c r="B2705" s="63" t="n"/>
      <c r="C2705" s="64" t="n"/>
      <c r="D2705" s="64" t="n"/>
      <c r="E2705" s="63" t="n"/>
    </row>
    <row r="2706" ht="18" customHeight="1">
      <c r="A2706" s="62" t="n"/>
      <c r="B2706" s="63" t="n"/>
      <c r="C2706" s="64" t="n"/>
      <c r="D2706" s="64" t="n"/>
      <c r="E2706" s="63" t="n"/>
    </row>
    <row r="2707" ht="18" customHeight="1">
      <c r="A2707" s="62" t="n"/>
      <c r="B2707" s="63" t="n"/>
      <c r="C2707" s="64" t="n"/>
      <c r="D2707" s="64" t="n"/>
      <c r="E2707" s="63" t="n"/>
    </row>
    <row r="2708" ht="18" customHeight="1">
      <c r="A2708" s="62" t="n"/>
      <c r="B2708" s="63" t="n"/>
      <c r="C2708" s="64" t="n"/>
      <c r="D2708" s="64" t="n"/>
      <c r="E2708" s="63" t="n"/>
    </row>
    <row r="2709" ht="18" customHeight="1">
      <c r="A2709" s="62" t="n"/>
      <c r="B2709" s="63" t="n"/>
      <c r="C2709" s="64" t="n"/>
      <c r="D2709" s="64" t="n"/>
      <c r="E2709" s="63" t="n"/>
    </row>
    <row r="2710" ht="18" customHeight="1">
      <c r="A2710" s="62" t="n"/>
      <c r="B2710" s="63" t="n"/>
      <c r="C2710" s="64" t="n"/>
      <c r="D2710" s="64" t="n"/>
      <c r="E2710" s="63" t="n"/>
    </row>
    <row r="2711" ht="18" customHeight="1">
      <c r="A2711" s="62" t="n"/>
      <c r="B2711" s="63" t="n"/>
      <c r="C2711" s="64" t="n"/>
      <c r="D2711" s="64" t="n"/>
      <c r="E2711" s="63" t="n"/>
    </row>
    <row r="2712" ht="18" customHeight="1">
      <c r="A2712" s="62" t="n"/>
      <c r="B2712" s="63" t="n"/>
      <c r="C2712" s="64" t="n"/>
      <c r="D2712" s="64" t="n"/>
      <c r="E2712" s="63" t="n"/>
    </row>
    <row r="2713" ht="18" customHeight="1">
      <c r="A2713" s="62" t="n"/>
      <c r="B2713" s="63" t="n"/>
      <c r="C2713" s="64" t="n"/>
      <c r="D2713" s="64" t="n"/>
      <c r="E2713" s="63" t="n"/>
    </row>
    <row r="2714" ht="18" customHeight="1">
      <c r="A2714" s="62" t="n"/>
      <c r="B2714" s="63" t="n"/>
      <c r="C2714" s="64" t="n"/>
      <c r="D2714" s="64" t="n"/>
      <c r="E2714" s="63" t="n"/>
    </row>
    <row r="2715" ht="18" customHeight="1">
      <c r="A2715" s="62" t="n"/>
      <c r="B2715" s="63" t="n"/>
      <c r="C2715" s="64" t="n"/>
      <c r="D2715" s="64" t="n"/>
      <c r="E2715" s="63" t="n"/>
    </row>
    <row r="2716" ht="18" customHeight="1">
      <c r="A2716" s="62" t="n"/>
      <c r="B2716" s="63" t="n"/>
      <c r="C2716" s="64" t="n"/>
      <c r="D2716" s="64" t="n"/>
      <c r="E2716" s="63" t="n"/>
    </row>
    <row r="2717" ht="18" customHeight="1">
      <c r="A2717" s="62" t="n"/>
      <c r="B2717" s="63" t="n"/>
      <c r="C2717" s="64" t="n"/>
      <c r="D2717" s="64" t="n"/>
      <c r="E2717" s="63" t="n"/>
    </row>
    <row r="2718" ht="18" customHeight="1">
      <c r="A2718" s="62" t="n"/>
      <c r="B2718" s="63" t="n"/>
      <c r="C2718" s="64" t="n"/>
      <c r="D2718" s="64" t="n"/>
      <c r="E2718" s="63" t="n"/>
    </row>
    <row r="2719" ht="18" customHeight="1">
      <c r="A2719" s="62" t="n"/>
      <c r="B2719" s="63" t="n"/>
      <c r="C2719" s="64" t="n"/>
      <c r="D2719" s="64" t="n"/>
      <c r="E2719" s="63" t="n"/>
    </row>
    <row r="2720" ht="18" customHeight="1">
      <c r="A2720" s="62" t="n"/>
      <c r="B2720" s="63" t="n"/>
      <c r="C2720" s="64" t="n"/>
      <c r="D2720" s="64" t="n"/>
      <c r="E2720" s="63" t="n"/>
    </row>
    <row r="2721" ht="18" customHeight="1">
      <c r="A2721" s="62" t="n"/>
      <c r="B2721" s="63" t="n"/>
      <c r="C2721" s="64" t="n"/>
      <c r="D2721" s="64" t="n"/>
      <c r="E2721" s="63" t="n"/>
    </row>
    <row r="2722" ht="18" customHeight="1">
      <c r="A2722" s="62" t="n"/>
      <c r="B2722" s="63" t="n"/>
      <c r="C2722" s="64" t="n"/>
      <c r="D2722" s="64" t="n"/>
      <c r="E2722" s="63" t="n"/>
    </row>
    <row r="2723" ht="18" customHeight="1">
      <c r="A2723" s="62" t="n"/>
      <c r="B2723" s="63" t="n"/>
      <c r="C2723" s="64" t="n"/>
      <c r="D2723" s="64" t="n"/>
      <c r="E2723" s="63" t="n"/>
    </row>
    <row r="2724" ht="18" customHeight="1">
      <c r="A2724" s="62" t="n"/>
      <c r="B2724" s="63" t="n"/>
      <c r="C2724" s="64" t="n"/>
      <c r="D2724" s="64" t="n"/>
      <c r="E2724" s="63" t="n"/>
    </row>
    <row r="2725" ht="18" customHeight="1">
      <c r="A2725" s="62" t="n"/>
      <c r="B2725" s="63" t="n"/>
      <c r="C2725" s="64" t="n"/>
      <c r="D2725" s="64" t="n"/>
      <c r="E2725" s="63" t="n"/>
    </row>
    <row r="2726" ht="18" customHeight="1">
      <c r="A2726" s="62" t="n"/>
      <c r="B2726" s="63" t="n"/>
      <c r="C2726" s="64" t="n"/>
      <c r="D2726" s="64" t="n"/>
      <c r="E2726" s="63" t="n"/>
    </row>
    <row r="2727" ht="18" customHeight="1">
      <c r="A2727" s="62" t="n"/>
      <c r="B2727" s="63" t="n"/>
      <c r="C2727" s="64" t="n"/>
      <c r="D2727" s="64" t="n"/>
      <c r="E2727" s="63" t="n"/>
    </row>
    <row r="2728" ht="18" customHeight="1">
      <c r="A2728" s="62" t="n"/>
      <c r="B2728" s="63" t="n"/>
      <c r="C2728" s="64" t="n"/>
      <c r="D2728" s="64" t="n"/>
      <c r="E2728" s="63" t="n"/>
    </row>
    <row r="2729" ht="18" customHeight="1">
      <c r="A2729" s="62" t="n"/>
      <c r="B2729" s="63" t="n"/>
      <c r="C2729" s="64" t="n"/>
      <c r="D2729" s="64" t="n"/>
      <c r="E2729" s="63" t="n"/>
    </row>
    <row r="2730" ht="18" customHeight="1">
      <c r="A2730" s="62" t="n"/>
      <c r="B2730" s="63" t="n"/>
      <c r="C2730" s="64" t="n"/>
      <c r="D2730" s="64" t="n"/>
      <c r="E2730" s="63" t="n"/>
    </row>
    <row r="2731" ht="18" customHeight="1">
      <c r="A2731" s="62" t="n"/>
      <c r="B2731" s="63" t="n"/>
      <c r="C2731" s="64" t="n"/>
      <c r="D2731" s="64" t="n"/>
      <c r="E2731" s="63" t="n"/>
    </row>
    <row r="2732" ht="18" customHeight="1">
      <c r="A2732" s="62" t="n"/>
      <c r="B2732" s="63" t="n"/>
      <c r="C2732" s="64" t="n"/>
      <c r="D2732" s="64" t="n"/>
      <c r="E2732" s="63" t="n"/>
    </row>
    <row r="2733" ht="18" customHeight="1">
      <c r="A2733" s="62" t="n"/>
      <c r="B2733" s="63" t="n"/>
      <c r="C2733" s="64" t="n"/>
      <c r="D2733" s="64" t="n"/>
      <c r="E2733" s="63" t="n"/>
    </row>
    <row r="2734" ht="18" customHeight="1">
      <c r="A2734" s="62" t="n"/>
      <c r="B2734" s="63" t="n"/>
      <c r="C2734" s="64" t="n"/>
      <c r="D2734" s="64" t="n"/>
      <c r="E2734" s="63" t="n"/>
    </row>
    <row r="2735" ht="18" customHeight="1">
      <c r="A2735" s="62" t="n"/>
      <c r="B2735" s="63" t="n"/>
      <c r="C2735" s="64" t="n"/>
      <c r="D2735" s="64" t="n"/>
      <c r="E2735" s="63" t="n"/>
    </row>
    <row r="2736" ht="18" customHeight="1">
      <c r="A2736" s="62" t="n"/>
      <c r="B2736" s="63" t="n"/>
      <c r="C2736" s="64" t="n"/>
      <c r="D2736" s="64" t="n"/>
      <c r="E2736" s="63" t="n"/>
    </row>
    <row r="2737" ht="18" customHeight="1">
      <c r="A2737" s="62" t="n"/>
      <c r="B2737" s="63" t="n"/>
      <c r="C2737" s="64" t="n"/>
      <c r="D2737" s="64" t="n"/>
      <c r="E2737" s="63" t="n"/>
    </row>
    <row r="2738" ht="18" customHeight="1">
      <c r="A2738" s="62" t="n"/>
      <c r="B2738" s="63" t="n"/>
      <c r="C2738" s="64" t="n"/>
      <c r="D2738" s="64" t="n"/>
      <c r="E2738" s="63" t="n"/>
    </row>
    <row r="2739" ht="18" customHeight="1">
      <c r="A2739" s="62" t="n"/>
      <c r="B2739" s="63" t="n"/>
      <c r="C2739" s="64" t="n"/>
      <c r="D2739" s="64" t="n"/>
      <c r="E2739" s="63" t="n"/>
    </row>
    <row r="2740" ht="18" customHeight="1">
      <c r="A2740" s="62" t="n"/>
      <c r="B2740" s="63" t="n"/>
      <c r="C2740" s="64" t="n"/>
      <c r="D2740" s="64" t="n"/>
      <c r="E2740" s="63" t="n"/>
    </row>
    <row r="2741" ht="18" customHeight="1">
      <c r="A2741" s="62" t="n"/>
      <c r="B2741" s="63" t="n"/>
      <c r="C2741" s="64" t="n"/>
      <c r="D2741" s="64" t="n"/>
      <c r="E2741" s="63" t="n"/>
    </row>
    <row r="2742" ht="18" customHeight="1">
      <c r="A2742" s="62" t="n"/>
      <c r="B2742" s="63" t="n"/>
      <c r="C2742" s="64" t="n"/>
      <c r="D2742" s="64" t="n"/>
      <c r="E2742" s="63" t="n"/>
    </row>
    <row r="2743" ht="18" customHeight="1">
      <c r="A2743" s="62" t="n"/>
      <c r="B2743" s="63" t="n"/>
      <c r="C2743" s="64" t="n"/>
      <c r="D2743" s="64" t="n"/>
      <c r="E2743" s="63" t="n"/>
    </row>
    <row r="2744" ht="18" customHeight="1">
      <c r="A2744" s="62" t="n"/>
      <c r="B2744" s="63" t="n"/>
      <c r="C2744" s="64" t="n"/>
      <c r="D2744" s="64" t="n"/>
      <c r="E2744" s="63" t="n"/>
    </row>
    <row r="2745" ht="18" customHeight="1">
      <c r="A2745" s="62" t="n"/>
      <c r="B2745" s="63" t="n"/>
      <c r="C2745" s="64" t="n"/>
      <c r="D2745" s="64" t="n"/>
      <c r="E2745" s="63" t="n"/>
    </row>
    <row r="2746" ht="18" customHeight="1">
      <c r="A2746" s="62" t="n"/>
      <c r="B2746" s="63" t="n"/>
      <c r="C2746" s="64" t="n"/>
      <c r="D2746" s="64" t="n"/>
      <c r="E2746" s="63" t="n"/>
    </row>
    <row r="2747" ht="18" customHeight="1">
      <c r="A2747" s="62" t="n"/>
      <c r="B2747" s="63" t="n"/>
      <c r="C2747" s="64" t="n"/>
      <c r="D2747" s="64" t="n"/>
      <c r="E2747" s="63" t="n"/>
    </row>
    <row r="2748" ht="18" customHeight="1">
      <c r="A2748" s="62" t="n"/>
      <c r="B2748" s="63" t="n"/>
      <c r="C2748" s="64" t="n"/>
      <c r="D2748" s="64" t="n"/>
      <c r="E2748" s="63" t="n"/>
    </row>
    <row r="2749" ht="18" customHeight="1">
      <c r="A2749" s="62" t="n"/>
      <c r="B2749" s="63" t="n"/>
      <c r="C2749" s="64" t="n"/>
      <c r="D2749" s="64" t="n"/>
      <c r="E2749" s="63" t="n"/>
    </row>
    <row r="2750" ht="18" customHeight="1">
      <c r="A2750" s="62" t="n"/>
      <c r="B2750" s="63" t="n"/>
      <c r="C2750" s="64" t="n"/>
      <c r="D2750" s="64" t="n"/>
      <c r="E2750" s="63" t="n"/>
    </row>
    <row r="2751" ht="18" customHeight="1">
      <c r="A2751" s="62" t="n"/>
      <c r="B2751" s="63" t="n"/>
      <c r="C2751" s="64" t="n"/>
      <c r="D2751" s="64" t="n"/>
      <c r="E2751" s="63" t="n"/>
    </row>
    <row r="2752" ht="18" customHeight="1">
      <c r="A2752" s="62" t="n"/>
      <c r="B2752" s="63" t="n"/>
      <c r="C2752" s="64" t="n"/>
      <c r="D2752" s="64" t="n"/>
      <c r="E2752" s="63" t="n"/>
    </row>
    <row r="2753" ht="18" customHeight="1">
      <c r="A2753" s="62" t="n"/>
      <c r="B2753" s="63" t="n"/>
      <c r="C2753" s="64" t="n"/>
      <c r="D2753" s="64" t="n"/>
      <c r="E2753" s="63" t="n"/>
    </row>
    <row r="2754" ht="18" customHeight="1">
      <c r="A2754" s="62" t="n"/>
      <c r="B2754" s="63" t="n"/>
      <c r="C2754" s="64" t="n"/>
      <c r="D2754" s="64" t="n"/>
      <c r="E2754" s="63" t="n"/>
    </row>
    <row r="2755" ht="18" customHeight="1">
      <c r="A2755" s="62" t="n"/>
      <c r="B2755" s="63" t="n"/>
      <c r="C2755" s="64" t="n"/>
      <c r="D2755" s="64" t="n"/>
      <c r="E2755" s="63" t="n"/>
    </row>
    <row r="2756" ht="18" customHeight="1">
      <c r="A2756" s="62" t="n"/>
      <c r="B2756" s="63" t="n"/>
      <c r="C2756" s="64" t="n"/>
      <c r="D2756" s="64" t="n"/>
      <c r="E2756" s="63" t="n"/>
    </row>
    <row r="2757" ht="18" customHeight="1">
      <c r="A2757" s="62" t="n"/>
      <c r="B2757" s="63" t="n"/>
      <c r="C2757" s="64" t="n"/>
      <c r="D2757" s="64" t="n"/>
      <c r="E2757" s="63" t="n"/>
    </row>
    <row r="2758" ht="18" customHeight="1">
      <c r="A2758" s="62" t="n"/>
      <c r="B2758" s="63" t="n"/>
      <c r="C2758" s="64" t="n"/>
      <c r="D2758" s="64" t="n"/>
      <c r="E2758" s="63" t="n"/>
    </row>
    <row r="2759" ht="18" customHeight="1">
      <c r="A2759" s="62" t="n"/>
      <c r="B2759" s="63" t="n"/>
      <c r="C2759" s="64" t="n"/>
      <c r="D2759" s="64" t="n"/>
      <c r="E2759" s="63" t="n"/>
    </row>
    <row r="2760" ht="18" customHeight="1">
      <c r="A2760" s="62" t="n"/>
      <c r="B2760" s="63" t="n"/>
      <c r="C2760" s="64" t="n"/>
      <c r="D2760" s="64" t="n"/>
      <c r="E2760" s="63" t="n"/>
    </row>
    <row r="2761" ht="18" customHeight="1">
      <c r="A2761" s="62" t="n"/>
      <c r="B2761" s="63" t="n"/>
      <c r="C2761" s="64" t="n"/>
      <c r="D2761" s="64" t="n"/>
      <c r="E2761" s="63" t="n"/>
    </row>
    <row r="2762" ht="18" customHeight="1">
      <c r="A2762" s="62" t="n"/>
      <c r="B2762" s="63" t="n"/>
      <c r="C2762" s="64" t="n"/>
      <c r="D2762" s="64" t="n"/>
      <c r="E2762" s="63" t="n"/>
    </row>
    <row r="2763" ht="18" customHeight="1">
      <c r="A2763" s="62" t="n"/>
      <c r="B2763" s="63" t="n"/>
      <c r="C2763" s="64" t="n"/>
      <c r="D2763" s="64" t="n"/>
      <c r="E2763" s="63" t="n"/>
    </row>
    <row r="2764" ht="18" customHeight="1">
      <c r="A2764" s="62" t="n"/>
      <c r="B2764" s="63" t="n"/>
      <c r="C2764" s="64" t="n"/>
      <c r="D2764" s="64" t="n"/>
      <c r="E2764" s="63" t="n"/>
    </row>
    <row r="2765" ht="18" customHeight="1">
      <c r="A2765" s="62" t="n"/>
      <c r="B2765" s="63" t="n"/>
      <c r="C2765" s="64" t="n"/>
      <c r="D2765" s="64" t="n"/>
      <c r="E2765" s="63" t="n"/>
    </row>
    <row r="2766" ht="18" customHeight="1">
      <c r="A2766" s="62" t="n"/>
      <c r="B2766" s="63" t="n"/>
      <c r="C2766" s="64" t="n"/>
      <c r="D2766" s="64" t="n"/>
      <c r="E2766" s="63" t="n"/>
    </row>
    <row r="2767" ht="18" customHeight="1">
      <c r="A2767" s="62" t="n"/>
      <c r="B2767" s="63" t="n"/>
      <c r="C2767" s="64" t="n"/>
      <c r="D2767" s="64" t="n"/>
      <c r="E2767" s="63" t="n"/>
    </row>
    <row r="2768" ht="18" customHeight="1">
      <c r="A2768" s="62" t="n"/>
      <c r="B2768" s="63" t="n"/>
      <c r="C2768" s="64" t="n"/>
      <c r="D2768" s="64" t="n"/>
      <c r="E2768" s="63" t="n"/>
    </row>
    <row r="2769" ht="18" customHeight="1">
      <c r="A2769" s="62" t="n"/>
      <c r="B2769" s="63" t="n"/>
      <c r="C2769" s="64" t="n"/>
      <c r="D2769" s="64" t="n"/>
      <c r="E2769" s="63" t="n"/>
    </row>
    <row r="2770" ht="18" customHeight="1">
      <c r="A2770" s="62" t="n"/>
      <c r="B2770" s="63" t="n"/>
      <c r="C2770" s="64" t="n"/>
      <c r="D2770" s="64" t="n"/>
      <c r="E2770" s="63" t="n"/>
    </row>
    <row r="2771" ht="18" customHeight="1">
      <c r="A2771" s="62" t="n"/>
      <c r="B2771" s="63" t="n"/>
      <c r="C2771" s="64" t="n"/>
      <c r="D2771" s="64" t="n"/>
      <c r="E2771" s="63" t="n"/>
    </row>
    <row r="2772" ht="18" customHeight="1">
      <c r="A2772" s="62" t="n"/>
      <c r="B2772" s="63" t="n"/>
      <c r="C2772" s="64" t="n"/>
      <c r="D2772" s="64" t="n"/>
      <c r="E2772" s="63" t="n"/>
    </row>
    <row r="2773" ht="18" customHeight="1">
      <c r="A2773" s="62" t="n"/>
      <c r="B2773" s="63" t="n"/>
      <c r="C2773" s="64" t="n"/>
      <c r="D2773" s="64" t="n"/>
      <c r="E2773" s="63" t="n"/>
    </row>
    <row r="2774" ht="18" customHeight="1">
      <c r="A2774" s="62" t="n"/>
      <c r="B2774" s="63" t="n"/>
      <c r="C2774" s="64" t="n"/>
      <c r="D2774" s="64" t="n"/>
      <c r="E2774" s="63" t="n"/>
    </row>
    <row r="2775" ht="18" customHeight="1">
      <c r="A2775" s="62" t="n"/>
      <c r="B2775" s="63" t="n"/>
      <c r="C2775" s="64" t="n"/>
      <c r="D2775" s="64" t="n"/>
      <c r="E2775" s="63" t="n"/>
    </row>
    <row r="2776" ht="18" customHeight="1">
      <c r="A2776" s="62" t="n"/>
      <c r="B2776" s="63" t="n"/>
      <c r="C2776" s="64" t="n"/>
      <c r="D2776" s="64" t="n"/>
      <c r="E2776" s="63" t="n"/>
    </row>
    <row r="2777" ht="18" customHeight="1">
      <c r="A2777" s="62" t="n"/>
      <c r="B2777" s="63" t="n"/>
      <c r="C2777" s="64" t="n"/>
      <c r="D2777" s="64" t="n"/>
      <c r="E2777" s="63" t="n"/>
    </row>
    <row r="2778" ht="18" customHeight="1">
      <c r="A2778" s="62" t="n"/>
      <c r="B2778" s="63" t="n"/>
      <c r="C2778" s="64" t="n"/>
      <c r="D2778" s="64" t="n"/>
      <c r="E2778" s="63" t="n"/>
    </row>
    <row r="2779" ht="18" customHeight="1">
      <c r="A2779" s="62" t="n"/>
      <c r="B2779" s="63" t="n"/>
      <c r="C2779" s="64" t="n"/>
      <c r="D2779" s="64" t="n"/>
      <c r="E2779" s="63" t="n"/>
    </row>
    <row r="2780" ht="18" customHeight="1">
      <c r="A2780" s="62" t="n"/>
      <c r="B2780" s="63" t="n"/>
      <c r="C2780" s="64" t="n"/>
      <c r="D2780" s="64" t="n"/>
      <c r="E2780" s="63" t="n"/>
    </row>
    <row r="2781" ht="18" customHeight="1">
      <c r="A2781" s="62" t="n"/>
      <c r="B2781" s="63" t="n"/>
      <c r="C2781" s="64" t="n"/>
      <c r="D2781" s="64" t="n"/>
      <c r="E2781" s="63" t="n"/>
    </row>
    <row r="2782" ht="18" customHeight="1">
      <c r="A2782" s="62" t="n"/>
      <c r="B2782" s="63" t="n"/>
      <c r="C2782" s="64" t="n"/>
      <c r="D2782" s="64" t="n"/>
      <c r="E2782" s="63" t="n"/>
    </row>
    <row r="2783" ht="18" customHeight="1">
      <c r="A2783" s="62" t="n"/>
      <c r="B2783" s="63" t="n"/>
      <c r="C2783" s="64" t="n"/>
      <c r="D2783" s="64" t="n"/>
      <c r="E2783" s="63" t="n"/>
    </row>
    <row r="2784" ht="18" customHeight="1">
      <c r="A2784" s="62" t="n"/>
      <c r="B2784" s="63" t="n"/>
      <c r="C2784" s="64" t="n"/>
      <c r="D2784" s="64" t="n"/>
      <c r="E2784" s="63" t="n"/>
    </row>
    <row r="2785" ht="18" customHeight="1">
      <c r="A2785" s="62" t="n"/>
      <c r="B2785" s="63" t="n"/>
      <c r="C2785" s="64" t="n"/>
      <c r="D2785" s="64" t="n"/>
      <c r="E2785" s="63" t="n"/>
    </row>
    <row r="2786" ht="18" customHeight="1">
      <c r="A2786" s="62" t="n"/>
      <c r="B2786" s="63" t="n"/>
      <c r="C2786" s="64" t="n"/>
      <c r="D2786" s="64" t="n"/>
      <c r="E2786" s="63" t="n"/>
    </row>
    <row r="2787" ht="18" customHeight="1">
      <c r="A2787" s="62" t="n"/>
      <c r="B2787" s="63" t="n"/>
      <c r="C2787" s="64" t="n"/>
      <c r="D2787" s="64" t="n"/>
      <c r="E2787" s="63" t="n"/>
    </row>
    <row r="2788" ht="18" customHeight="1">
      <c r="A2788" s="62" t="n"/>
      <c r="B2788" s="63" t="n"/>
      <c r="C2788" s="64" t="n"/>
      <c r="D2788" s="64" t="n"/>
      <c r="E2788" s="63" t="n"/>
    </row>
    <row r="2789" ht="18" customHeight="1">
      <c r="A2789" s="62" t="n"/>
      <c r="B2789" s="63" t="n"/>
      <c r="C2789" s="64" t="n"/>
      <c r="D2789" s="64" t="n"/>
      <c r="E2789" s="63" t="n"/>
    </row>
    <row r="2790" ht="18" customHeight="1">
      <c r="A2790" s="62" t="n"/>
      <c r="B2790" s="63" t="n"/>
      <c r="C2790" s="64" t="n"/>
      <c r="D2790" s="64" t="n"/>
      <c r="E2790" s="63" t="n"/>
    </row>
    <row r="2791" ht="18" customHeight="1">
      <c r="A2791" s="62" t="n"/>
      <c r="B2791" s="63" t="n"/>
      <c r="C2791" s="64" t="n"/>
      <c r="D2791" s="64" t="n"/>
      <c r="E2791" s="63" t="n"/>
    </row>
    <row r="2792" ht="18" customHeight="1">
      <c r="A2792" s="62" t="n"/>
      <c r="B2792" s="63" t="n"/>
      <c r="C2792" s="64" t="n"/>
      <c r="D2792" s="64" t="n"/>
      <c r="E2792" s="63" t="n"/>
    </row>
    <row r="2793" ht="18" customHeight="1">
      <c r="A2793" s="62" t="n"/>
      <c r="B2793" s="63" t="n"/>
      <c r="C2793" s="64" t="n"/>
      <c r="D2793" s="64" t="n"/>
      <c r="E2793" s="63" t="n"/>
    </row>
    <row r="2794" ht="18" customHeight="1">
      <c r="A2794" s="62" t="n"/>
      <c r="B2794" s="63" t="n"/>
      <c r="C2794" s="64" t="n"/>
      <c r="D2794" s="64" t="n"/>
      <c r="E2794" s="63" t="n"/>
    </row>
    <row r="2795" ht="18" customHeight="1">
      <c r="A2795" s="62" t="n"/>
      <c r="B2795" s="63" t="n"/>
      <c r="C2795" s="64" t="n"/>
      <c r="D2795" s="64" t="n"/>
      <c r="E2795" s="63" t="n"/>
    </row>
    <row r="2796" ht="18" customHeight="1">
      <c r="A2796" s="62" t="n"/>
      <c r="B2796" s="63" t="n"/>
      <c r="C2796" s="64" t="n"/>
      <c r="D2796" s="64" t="n"/>
      <c r="E2796" s="63" t="n"/>
    </row>
    <row r="2797" ht="18" customHeight="1">
      <c r="A2797" s="62" t="n"/>
      <c r="B2797" s="63" t="n"/>
      <c r="C2797" s="64" t="n"/>
      <c r="D2797" s="64" t="n"/>
      <c r="E2797" s="63" t="n"/>
    </row>
    <row r="2798" ht="18" customHeight="1">
      <c r="A2798" s="62" t="n"/>
      <c r="B2798" s="63" t="n"/>
      <c r="C2798" s="64" t="n"/>
      <c r="D2798" s="64" t="n"/>
      <c r="E2798" s="63" t="n"/>
    </row>
    <row r="2799" ht="18" customHeight="1">
      <c r="A2799" s="62" t="n"/>
      <c r="B2799" s="63" t="n"/>
      <c r="C2799" s="64" t="n"/>
      <c r="D2799" s="64" t="n"/>
      <c r="E2799" s="63" t="n"/>
    </row>
    <row r="2800" ht="18" customHeight="1">
      <c r="A2800" s="62" t="n"/>
      <c r="B2800" s="63" t="n"/>
      <c r="C2800" s="64" t="n"/>
      <c r="D2800" s="64" t="n"/>
      <c r="E2800" s="63" t="n"/>
    </row>
    <row r="2801" ht="18" customHeight="1">
      <c r="A2801" s="62" t="n"/>
      <c r="B2801" s="63" t="n"/>
      <c r="C2801" s="64" t="n"/>
      <c r="D2801" s="64" t="n"/>
      <c r="E2801" s="63" t="n"/>
    </row>
    <row r="2802" ht="18" customHeight="1">
      <c r="A2802" s="62" t="n"/>
      <c r="B2802" s="63" t="n"/>
      <c r="C2802" s="64" t="n"/>
      <c r="D2802" s="64" t="n"/>
      <c r="E2802" s="63" t="n"/>
    </row>
    <row r="2803" ht="18" customHeight="1">
      <c r="A2803" s="62" t="n"/>
      <c r="B2803" s="63" t="n"/>
      <c r="C2803" s="64" t="n"/>
      <c r="D2803" s="64" t="n"/>
      <c r="E2803" s="63" t="n"/>
    </row>
    <row r="2804" ht="18" customHeight="1">
      <c r="A2804" s="62" t="n"/>
      <c r="B2804" s="63" t="n"/>
      <c r="C2804" s="64" t="n"/>
      <c r="D2804" s="64" t="n"/>
      <c r="E2804" s="63" t="n"/>
    </row>
    <row r="2805" ht="18" customHeight="1">
      <c r="A2805" s="62" t="n"/>
      <c r="B2805" s="63" t="n"/>
      <c r="C2805" s="64" t="n"/>
      <c r="D2805" s="64" t="n"/>
      <c r="E2805" s="63" t="n"/>
    </row>
    <row r="2806" ht="18" customHeight="1">
      <c r="A2806" s="62" t="n"/>
      <c r="B2806" s="63" t="n"/>
      <c r="C2806" s="64" t="n"/>
      <c r="D2806" s="64" t="n"/>
      <c r="E2806" s="63" t="n"/>
    </row>
    <row r="2807" ht="18" customHeight="1">
      <c r="A2807" s="62" t="n"/>
      <c r="B2807" s="63" t="n"/>
      <c r="C2807" s="64" t="n"/>
      <c r="D2807" s="64" t="n"/>
      <c r="E2807" s="63" t="n"/>
    </row>
    <row r="2808" ht="18" customHeight="1">
      <c r="A2808" s="62" t="n"/>
      <c r="B2808" s="63" t="n"/>
      <c r="C2808" s="64" t="n"/>
      <c r="D2808" s="64" t="n"/>
      <c r="E2808" s="63" t="n"/>
    </row>
    <row r="2809" ht="18" customHeight="1">
      <c r="A2809" s="62" t="n"/>
      <c r="B2809" s="63" t="n"/>
      <c r="C2809" s="64" t="n"/>
      <c r="D2809" s="64" t="n"/>
      <c r="E2809" s="63" t="n"/>
    </row>
    <row r="2810" ht="18" customHeight="1">
      <c r="A2810" s="62" t="n"/>
      <c r="B2810" s="63" t="n"/>
      <c r="C2810" s="64" t="n"/>
      <c r="D2810" s="64" t="n"/>
      <c r="E2810" s="63" t="n"/>
    </row>
    <row r="2811" ht="18" customHeight="1">
      <c r="A2811" s="62" t="n"/>
      <c r="B2811" s="63" t="n"/>
      <c r="C2811" s="64" t="n"/>
      <c r="D2811" s="64" t="n"/>
      <c r="E2811" s="63" t="n"/>
    </row>
    <row r="2812" ht="18" customHeight="1">
      <c r="A2812" s="62" t="n"/>
      <c r="B2812" s="63" t="n"/>
      <c r="C2812" s="64" t="n"/>
      <c r="D2812" s="64" t="n"/>
      <c r="E2812" s="63" t="n"/>
    </row>
    <row r="2813" ht="18" customHeight="1">
      <c r="A2813" s="62" t="n"/>
      <c r="B2813" s="63" t="n"/>
      <c r="C2813" s="64" t="n"/>
      <c r="D2813" s="64" t="n"/>
      <c r="E2813" s="63" t="n"/>
    </row>
    <row r="2814" ht="18" customHeight="1">
      <c r="A2814" s="62" t="n"/>
      <c r="B2814" s="63" t="n"/>
      <c r="C2814" s="64" t="n"/>
      <c r="D2814" s="64" t="n"/>
      <c r="E2814" s="63" t="n"/>
    </row>
    <row r="2815" ht="18" customHeight="1">
      <c r="A2815" s="62" t="n"/>
      <c r="B2815" s="63" t="n"/>
      <c r="C2815" s="64" t="n"/>
      <c r="D2815" s="64" t="n"/>
      <c r="E2815" s="63" t="n"/>
    </row>
    <row r="2816" ht="18" customHeight="1">
      <c r="A2816" s="62" t="n"/>
      <c r="B2816" s="63" t="n"/>
      <c r="C2816" s="64" t="n"/>
      <c r="D2816" s="64" t="n"/>
      <c r="E2816" s="63" t="n"/>
    </row>
    <row r="2817" ht="18" customHeight="1">
      <c r="A2817" s="62" t="n"/>
      <c r="B2817" s="63" t="n"/>
      <c r="C2817" s="64" t="n"/>
      <c r="D2817" s="64" t="n"/>
      <c r="E2817" s="63" t="n"/>
    </row>
    <row r="2818" ht="18" customHeight="1">
      <c r="A2818" s="62" t="n"/>
      <c r="B2818" s="63" t="n"/>
      <c r="C2818" s="64" t="n"/>
      <c r="D2818" s="64" t="n"/>
      <c r="E2818" s="63" t="n"/>
    </row>
    <row r="2819" ht="18" customHeight="1">
      <c r="A2819" s="62" t="n"/>
      <c r="B2819" s="63" t="n"/>
      <c r="C2819" s="64" t="n"/>
      <c r="D2819" s="64" t="n"/>
      <c r="E2819" s="63" t="n"/>
    </row>
    <row r="2820" ht="18" customHeight="1">
      <c r="A2820" s="62" t="n"/>
      <c r="B2820" s="63" t="n"/>
      <c r="C2820" s="64" t="n"/>
      <c r="D2820" s="64" t="n"/>
      <c r="E2820" s="63" t="n"/>
    </row>
    <row r="2821" ht="18" customHeight="1">
      <c r="A2821" s="62" t="n"/>
      <c r="B2821" s="63" t="n"/>
      <c r="C2821" s="64" t="n"/>
      <c r="D2821" s="64" t="n"/>
      <c r="E2821" s="63" t="n"/>
    </row>
    <row r="2822" ht="18" customHeight="1">
      <c r="A2822" s="62" t="n"/>
      <c r="B2822" s="63" t="n"/>
      <c r="C2822" s="64" t="n"/>
      <c r="D2822" s="64" t="n"/>
      <c r="E2822" s="63" t="n"/>
    </row>
    <row r="2823" ht="18" customHeight="1">
      <c r="A2823" s="62" t="n"/>
      <c r="B2823" s="63" t="n"/>
      <c r="C2823" s="64" t="n"/>
      <c r="D2823" s="64" t="n"/>
      <c r="E2823" s="63" t="n"/>
    </row>
    <row r="2824" ht="18" customHeight="1">
      <c r="A2824" s="62" t="n"/>
      <c r="B2824" s="63" t="n"/>
      <c r="C2824" s="64" t="n"/>
      <c r="D2824" s="64" t="n"/>
      <c r="E2824" s="63" t="n"/>
    </row>
    <row r="2825" ht="18" customHeight="1">
      <c r="A2825" s="62" t="n"/>
      <c r="B2825" s="63" t="n"/>
      <c r="C2825" s="64" t="n"/>
      <c r="D2825" s="64" t="n"/>
      <c r="E2825" s="63" t="n"/>
    </row>
    <row r="2826" ht="18" customHeight="1">
      <c r="A2826" s="62" t="n"/>
      <c r="B2826" s="63" t="n"/>
      <c r="C2826" s="64" t="n"/>
      <c r="D2826" s="64" t="n"/>
      <c r="E2826" s="63" t="n"/>
    </row>
    <row r="2827" ht="18" customHeight="1">
      <c r="A2827" s="62" t="n"/>
      <c r="B2827" s="63" t="n"/>
      <c r="C2827" s="64" t="n"/>
      <c r="D2827" s="64" t="n"/>
      <c r="E2827" s="63" t="n"/>
    </row>
    <row r="2828" ht="18" customHeight="1">
      <c r="A2828" s="62" t="n"/>
      <c r="B2828" s="63" t="n"/>
      <c r="C2828" s="64" t="n"/>
      <c r="D2828" s="64" t="n"/>
      <c r="E2828" s="63" t="n"/>
    </row>
    <row r="2829" ht="18" customHeight="1">
      <c r="A2829" s="62" t="n"/>
      <c r="B2829" s="63" t="n"/>
      <c r="C2829" s="64" t="n"/>
      <c r="D2829" s="64" t="n"/>
      <c r="E2829" s="63" t="n"/>
    </row>
    <row r="2830" ht="18" customHeight="1">
      <c r="A2830" s="62" t="n"/>
      <c r="B2830" s="63" t="n"/>
      <c r="C2830" s="64" t="n"/>
      <c r="D2830" s="64" t="n"/>
      <c r="E2830" s="63" t="n"/>
    </row>
    <row r="2831" ht="18" customHeight="1">
      <c r="A2831" s="62" t="n"/>
      <c r="B2831" s="63" t="n"/>
      <c r="C2831" s="64" t="n"/>
      <c r="D2831" s="64" t="n"/>
      <c r="E2831" s="63" t="n"/>
    </row>
    <row r="2832" ht="18" customHeight="1">
      <c r="A2832" s="62" t="n"/>
      <c r="B2832" s="63" t="n"/>
      <c r="C2832" s="64" t="n"/>
      <c r="D2832" s="64" t="n"/>
      <c r="E2832" s="63" t="n"/>
    </row>
    <row r="2833" ht="18" customHeight="1">
      <c r="A2833" s="62" t="n"/>
      <c r="B2833" s="63" t="n"/>
      <c r="C2833" s="64" t="n"/>
      <c r="D2833" s="64" t="n"/>
      <c r="E2833" s="63" t="n"/>
    </row>
    <row r="2834" ht="18" customHeight="1">
      <c r="A2834" s="62" t="n"/>
      <c r="B2834" s="63" t="n"/>
      <c r="C2834" s="64" t="n"/>
      <c r="D2834" s="64" t="n"/>
      <c r="E2834" s="63" t="n"/>
    </row>
    <row r="2835" ht="18" customHeight="1">
      <c r="A2835" s="62" t="n"/>
      <c r="B2835" s="63" t="n"/>
      <c r="C2835" s="64" t="n"/>
      <c r="D2835" s="64" t="n"/>
      <c r="E2835" s="63" t="n"/>
    </row>
    <row r="2836" ht="18" customHeight="1">
      <c r="A2836" s="62" t="n"/>
      <c r="B2836" s="63" t="n"/>
      <c r="C2836" s="64" t="n"/>
      <c r="D2836" s="64" t="n"/>
      <c r="E2836" s="63" t="n"/>
    </row>
    <row r="2837" ht="18" customHeight="1">
      <c r="A2837" s="62" t="n"/>
      <c r="B2837" s="63" t="n"/>
      <c r="C2837" s="64" t="n"/>
      <c r="D2837" s="64" t="n"/>
      <c r="E2837" s="63" t="n"/>
    </row>
    <row r="2838" ht="18" customHeight="1">
      <c r="A2838" s="62" t="n"/>
      <c r="B2838" s="63" t="n"/>
      <c r="C2838" s="64" t="n"/>
      <c r="D2838" s="64" t="n"/>
      <c r="E2838" s="63" t="n"/>
    </row>
    <row r="2839" ht="18" customHeight="1">
      <c r="A2839" s="62" t="n"/>
      <c r="B2839" s="63" t="n"/>
      <c r="C2839" s="64" t="n"/>
      <c r="D2839" s="64" t="n"/>
      <c r="E2839" s="63" t="n"/>
    </row>
    <row r="2840" ht="18" customHeight="1">
      <c r="A2840" s="62" t="n"/>
      <c r="B2840" s="63" t="n"/>
      <c r="C2840" s="64" t="n"/>
      <c r="D2840" s="64" t="n"/>
      <c r="E2840" s="63" t="n"/>
    </row>
    <row r="2841" ht="18" customHeight="1">
      <c r="A2841" s="62" t="n"/>
      <c r="B2841" s="63" t="n"/>
      <c r="C2841" s="64" t="n"/>
      <c r="D2841" s="64" t="n"/>
      <c r="E2841" s="63" t="n"/>
    </row>
    <row r="2842" ht="18" customHeight="1">
      <c r="A2842" s="62" t="n"/>
      <c r="B2842" s="63" t="n"/>
      <c r="C2842" s="64" t="n"/>
      <c r="D2842" s="64" t="n"/>
      <c r="E2842" s="63" t="n"/>
    </row>
    <row r="2843" ht="18" customHeight="1">
      <c r="A2843" s="62" t="n"/>
      <c r="B2843" s="63" t="n"/>
      <c r="C2843" s="64" t="n"/>
      <c r="D2843" s="64" t="n"/>
      <c r="E2843" s="63" t="n"/>
    </row>
    <row r="2844" ht="18" customHeight="1">
      <c r="A2844" s="62" t="n"/>
      <c r="B2844" s="63" t="n"/>
      <c r="C2844" s="64" t="n"/>
      <c r="D2844" s="64" t="n"/>
      <c r="E2844" s="63" t="n"/>
    </row>
    <row r="2845" ht="18" customHeight="1">
      <c r="A2845" s="62" t="n"/>
      <c r="B2845" s="63" t="n"/>
      <c r="C2845" s="64" t="n"/>
      <c r="D2845" s="64" t="n"/>
      <c r="E2845" s="63" t="n"/>
    </row>
    <row r="2846" ht="18" customHeight="1">
      <c r="A2846" s="62" t="n"/>
      <c r="B2846" s="63" t="n"/>
      <c r="C2846" s="64" t="n"/>
      <c r="D2846" s="64" t="n"/>
      <c r="E2846" s="63" t="n"/>
    </row>
    <row r="2847" ht="18" customHeight="1">
      <c r="A2847" s="62" t="n"/>
      <c r="B2847" s="63" t="n"/>
      <c r="C2847" s="64" t="n"/>
      <c r="D2847" s="64" t="n"/>
      <c r="E2847" s="63" t="n"/>
    </row>
    <row r="2848" ht="18" customHeight="1">
      <c r="A2848" s="62" t="n"/>
      <c r="B2848" s="63" t="n"/>
      <c r="C2848" s="64" t="n"/>
      <c r="D2848" s="64" t="n"/>
      <c r="E2848" s="63" t="n"/>
    </row>
    <row r="2849" ht="18" customHeight="1">
      <c r="A2849" s="62" t="n"/>
      <c r="B2849" s="63" t="n"/>
      <c r="C2849" s="64" t="n"/>
      <c r="D2849" s="64" t="n"/>
      <c r="E2849" s="63" t="n"/>
    </row>
    <row r="2850" ht="18" customHeight="1">
      <c r="A2850" s="62" t="n"/>
      <c r="B2850" s="63" t="n"/>
      <c r="C2850" s="64" t="n"/>
      <c r="D2850" s="64" t="n"/>
      <c r="E2850" s="63" t="n"/>
    </row>
    <row r="2851" ht="18" customHeight="1">
      <c r="A2851" s="62" t="n"/>
      <c r="B2851" s="63" t="n"/>
      <c r="C2851" s="64" t="n"/>
      <c r="D2851" s="64" t="n"/>
      <c r="E2851" s="63" t="n"/>
    </row>
    <row r="2852" ht="18" customHeight="1">
      <c r="A2852" s="62" t="n"/>
      <c r="B2852" s="63" t="n"/>
      <c r="C2852" s="64" t="n"/>
      <c r="D2852" s="64" t="n"/>
      <c r="E2852" s="63" t="n"/>
    </row>
    <row r="2853" ht="18" customHeight="1">
      <c r="A2853" s="62" t="n"/>
      <c r="B2853" s="63" t="n"/>
      <c r="C2853" s="64" t="n"/>
      <c r="D2853" s="64" t="n"/>
      <c r="E2853" s="63" t="n"/>
    </row>
    <row r="2854" ht="18" customHeight="1">
      <c r="A2854" s="62" t="n"/>
      <c r="B2854" s="63" t="n"/>
      <c r="C2854" s="64" t="n"/>
      <c r="D2854" s="64" t="n"/>
      <c r="E2854" s="63" t="n"/>
    </row>
    <row r="2855" ht="18" customHeight="1">
      <c r="A2855" s="62" t="n"/>
      <c r="B2855" s="63" t="n"/>
      <c r="C2855" s="64" t="n"/>
      <c r="D2855" s="64" t="n"/>
      <c r="E2855" s="63" t="n"/>
    </row>
    <row r="2856" ht="18" customHeight="1">
      <c r="A2856" s="62" t="n"/>
      <c r="B2856" s="63" t="n"/>
      <c r="C2856" s="64" t="n"/>
      <c r="D2856" s="64" t="n"/>
      <c r="E2856" s="63" t="n"/>
    </row>
    <row r="2857" ht="18" customHeight="1">
      <c r="A2857" s="62" t="n"/>
      <c r="B2857" s="63" t="n"/>
      <c r="C2857" s="64" t="n"/>
      <c r="D2857" s="64" t="n"/>
      <c r="E2857" s="63" t="n"/>
    </row>
    <row r="2858" ht="18" customHeight="1">
      <c r="A2858" s="62" t="n"/>
      <c r="B2858" s="63" t="n"/>
      <c r="C2858" s="64" t="n"/>
      <c r="D2858" s="64" t="n"/>
      <c r="E2858" s="63" t="n"/>
    </row>
    <row r="2859" ht="18" customHeight="1">
      <c r="A2859" s="62" t="n"/>
      <c r="B2859" s="63" t="n"/>
      <c r="C2859" s="64" t="n"/>
      <c r="D2859" s="64" t="n"/>
      <c r="E2859" s="63" t="n"/>
    </row>
    <row r="2860" ht="18" customHeight="1">
      <c r="A2860" s="62" t="n"/>
      <c r="B2860" s="63" t="n"/>
      <c r="C2860" s="64" t="n"/>
      <c r="D2860" s="64" t="n"/>
      <c r="E2860" s="63" t="n"/>
    </row>
    <row r="2861" ht="18" customHeight="1">
      <c r="A2861" s="62" t="n"/>
      <c r="B2861" s="63" t="n"/>
      <c r="C2861" s="64" t="n"/>
      <c r="D2861" s="64" t="n"/>
      <c r="E2861" s="63" t="n"/>
    </row>
    <row r="2862" ht="18" customHeight="1">
      <c r="A2862" s="62" t="n"/>
      <c r="B2862" s="63" t="n"/>
      <c r="C2862" s="64" t="n"/>
      <c r="D2862" s="64" t="n"/>
      <c r="E2862" s="63" t="n"/>
    </row>
    <row r="2863" ht="18" customHeight="1">
      <c r="A2863" s="62" t="n"/>
      <c r="B2863" s="63" t="n"/>
      <c r="C2863" s="64" t="n"/>
      <c r="D2863" s="64" t="n"/>
      <c r="E2863" s="63" t="n"/>
    </row>
    <row r="2864" ht="18" customHeight="1">
      <c r="A2864" s="62" t="n"/>
      <c r="B2864" s="63" t="n"/>
      <c r="C2864" s="64" t="n"/>
      <c r="D2864" s="64" t="n"/>
      <c r="E2864" s="63" t="n"/>
    </row>
    <row r="2865" ht="18" customHeight="1">
      <c r="A2865" s="62" t="n"/>
      <c r="B2865" s="63" t="n"/>
      <c r="C2865" s="64" t="n"/>
      <c r="D2865" s="64" t="n"/>
      <c r="E2865" s="63" t="n"/>
    </row>
    <row r="2866" ht="18" customHeight="1">
      <c r="A2866" s="62" t="n"/>
      <c r="B2866" s="63" t="n"/>
      <c r="C2866" s="64" t="n"/>
      <c r="D2866" s="64" t="n"/>
      <c r="E2866" s="63" t="n"/>
    </row>
    <row r="2867" ht="18" customHeight="1">
      <c r="A2867" s="62" t="n"/>
      <c r="B2867" s="63" t="n"/>
      <c r="C2867" s="64" t="n"/>
      <c r="D2867" s="64" t="n"/>
      <c r="E2867" s="63" t="n"/>
    </row>
    <row r="2868" ht="18" customHeight="1">
      <c r="A2868" s="62" t="n"/>
      <c r="B2868" s="63" t="n"/>
      <c r="C2868" s="64" t="n"/>
      <c r="D2868" s="64" t="n"/>
      <c r="E2868" s="63" t="n"/>
    </row>
    <row r="2869" ht="18" customHeight="1">
      <c r="A2869" s="62" t="n"/>
      <c r="B2869" s="63" t="n"/>
      <c r="C2869" s="64" t="n"/>
      <c r="D2869" s="64" t="n"/>
      <c r="E2869" s="63" t="n"/>
    </row>
    <row r="2870" ht="18" customHeight="1">
      <c r="A2870" s="62" t="n"/>
      <c r="B2870" s="63" t="n"/>
      <c r="C2870" s="64" t="n"/>
      <c r="D2870" s="64" t="n"/>
      <c r="E2870" s="63" t="n"/>
    </row>
    <row r="2871" ht="18" customHeight="1">
      <c r="A2871" s="62" t="n"/>
      <c r="B2871" s="63" t="n"/>
      <c r="C2871" s="64" t="n"/>
      <c r="D2871" s="64" t="n"/>
      <c r="E2871" s="63" t="n"/>
    </row>
    <row r="2872" ht="18" customHeight="1">
      <c r="A2872" s="62" t="n"/>
      <c r="B2872" s="63" t="n"/>
      <c r="C2872" s="64" t="n"/>
      <c r="D2872" s="64" t="n"/>
      <c r="E2872" s="63" t="n"/>
    </row>
    <row r="2873" ht="18" customHeight="1">
      <c r="A2873" s="62" t="n"/>
      <c r="B2873" s="63" t="n"/>
      <c r="C2873" s="64" t="n"/>
      <c r="D2873" s="64" t="n"/>
      <c r="E2873" s="63" t="n"/>
    </row>
    <row r="2874" ht="18" customHeight="1">
      <c r="A2874" s="62" t="n"/>
      <c r="B2874" s="63" t="n"/>
      <c r="C2874" s="64" t="n"/>
      <c r="D2874" s="64" t="n"/>
      <c r="E2874" s="63" t="n"/>
    </row>
    <row r="2875" ht="18" customHeight="1">
      <c r="A2875" s="62" t="n"/>
      <c r="B2875" s="63" t="n"/>
      <c r="C2875" s="64" t="n"/>
      <c r="D2875" s="64" t="n"/>
      <c r="E2875" s="63" t="n"/>
    </row>
    <row r="2876" ht="18" customHeight="1">
      <c r="A2876" s="62" t="n"/>
      <c r="B2876" s="63" t="n"/>
      <c r="C2876" s="64" t="n"/>
      <c r="D2876" s="64" t="n"/>
      <c r="E2876" s="63" t="n"/>
    </row>
    <row r="2877" ht="18" customHeight="1">
      <c r="A2877" s="62" t="n"/>
      <c r="B2877" s="63" t="n"/>
      <c r="C2877" s="64" t="n"/>
      <c r="D2877" s="64" t="n"/>
      <c r="E2877" s="63" t="n"/>
    </row>
    <row r="2878" ht="18" customHeight="1">
      <c r="A2878" s="62" t="n"/>
      <c r="B2878" s="63" t="n"/>
      <c r="C2878" s="64" t="n"/>
      <c r="D2878" s="64" t="n"/>
      <c r="E2878" s="63" t="n"/>
    </row>
    <row r="2879" ht="18" customHeight="1">
      <c r="A2879" s="62" t="n"/>
      <c r="B2879" s="63" t="n"/>
      <c r="C2879" s="64" t="n"/>
      <c r="D2879" s="64" t="n"/>
      <c r="E2879" s="63" t="n"/>
    </row>
    <row r="2880" ht="18" customHeight="1">
      <c r="A2880" s="62" t="n"/>
      <c r="B2880" s="63" t="n"/>
      <c r="C2880" s="64" t="n"/>
      <c r="D2880" s="64" t="n"/>
      <c r="E2880" s="63" t="n"/>
    </row>
    <row r="2881" ht="18" customHeight="1">
      <c r="A2881" s="62" t="n"/>
      <c r="B2881" s="63" t="n"/>
      <c r="C2881" s="64" t="n"/>
      <c r="D2881" s="64" t="n"/>
      <c r="E2881" s="63" t="n"/>
    </row>
    <row r="2882" ht="18" customHeight="1">
      <c r="A2882" s="62" t="n"/>
      <c r="B2882" s="63" t="n"/>
      <c r="C2882" s="64" t="n"/>
      <c r="D2882" s="64" t="n"/>
      <c r="E2882" s="63" t="n"/>
    </row>
    <row r="2883" ht="18" customHeight="1">
      <c r="A2883" s="62" t="n"/>
      <c r="B2883" s="63" t="n"/>
      <c r="C2883" s="64" t="n"/>
      <c r="D2883" s="64" t="n"/>
      <c r="E2883" s="63" t="n"/>
    </row>
    <row r="2884" ht="18" customHeight="1">
      <c r="A2884" s="62" t="n"/>
      <c r="B2884" s="63" t="n"/>
      <c r="C2884" s="64" t="n"/>
      <c r="D2884" s="64" t="n"/>
      <c r="E2884" s="63" t="n"/>
    </row>
    <row r="2885" ht="18" customHeight="1">
      <c r="A2885" s="62" t="n"/>
      <c r="B2885" s="63" t="n"/>
      <c r="C2885" s="64" t="n"/>
      <c r="D2885" s="64" t="n"/>
      <c r="E2885" s="63" t="n"/>
    </row>
    <row r="2886" ht="18" customHeight="1">
      <c r="A2886" s="62" t="n"/>
      <c r="B2886" s="63" t="n"/>
      <c r="C2886" s="64" t="n"/>
      <c r="D2886" s="64" t="n"/>
      <c r="E2886" s="63" t="n"/>
    </row>
    <row r="2887" ht="18" customHeight="1">
      <c r="A2887" s="62" t="n"/>
      <c r="B2887" s="63" t="n"/>
      <c r="C2887" s="64" t="n"/>
      <c r="D2887" s="64" t="n"/>
      <c r="E2887" s="63" t="n"/>
    </row>
    <row r="2888" ht="18" customHeight="1">
      <c r="A2888" s="62" t="n"/>
      <c r="B2888" s="63" t="n"/>
      <c r="C2888" s="64" t="n"/>
      <c r="D2888" s="64" t="n"/>
      <c r="E2888" s="63" t="n"/>
    </row>
    <row r="2889" ht="18" customHeight="1">
      <c r="A2889" s="62" t="n"/>
      <c r="B2889" s="63" t="n"/>
      <c r="C2889" s="64" t="n"/>
      <c r="D2889" s="64" t="n"/>
      <c r="E2889" s="63" t="n"/>
    </row>
    <row r="2890" ht="18" customHeight="1">
      <c r="A2890" s="62" t="n"/>
      <c r="B2890" s="63" t="n"/>
      <c r="C2890" s="64" t="n"/>
      <c r="D2890" s="64" t="n"/>
      <c r="E2890" s="63" t="n"/>
    </row>
    <row r="2891" ht="18" customHeight="1">
      <c r="A2891" s="62" t="n"/>
      <c r="B2891" s="63" t="n"/>
      <c r="C2891" s="64" t="n"/>
      <c r="D2891" s="64" t="n"/>
      <c r="E2891" s="63" t="n"/>
    </row>
    <row r="2892" ht="18" customHeight="1">
      <c r="A2892" s="62" t="n"/>
      <c r="B2892" s="63" t="n"/>
      <c r="C2892" s="64" t="n"/>
      <c r="D2892" s="64" t="n"/>
      <c r="E2892" s="63" t="n"/>
    </row>
    <row r="2893" ht="18" customHeight="1">
      <c r="A2893" s="62" t="n"/>
      <c r="B2893" s="63" t="n"/>
      <c r="C2893" s="64" t="n"/>
      <c r="D2893" s="64" t="n"/>
      <c r="E2893" s="63" t="n"/>
    </row>
    <row r="2894" ht="18" customHeight="1">
      <c r="A2894" s="62" t="n"/>
      <c r="B2894" s="63" t="n"/>
      <c r="C2894" s="64" t="n"/>
      <c r="D2894" s="64" t="n"/>
      <c r="E2894" s="63" t="n"/>
    </row>
    <row r="2895" ht="18" customHeight="1">
      <c r="A2895" s="62" t="n"/>
      <c r="B2895" s="63" t="n"/>
      <c r="C2895" s="64" t="n"/>
      <c r="D2895" s="64" t="n"/>
      <c r="E2895" s="63" t="n"/>
    </row>
    <row r="2896" ht="18" customHeight="1">
      <c r="A2896" s="62" t="n"/>
      <c r="B2896" s="63" t="n"/>
      <c r="C2896" s="64" t="n"/>
      <c r="D2896" s="64" t="n"/>
      <c r="E2896" s="63" t="n"/>
    </row>
    <row r="2897" ht="18" customHeight="1">
      <c r="A2897" s="62" t="n"/>
      <c r="B2897" s="63" t="n"/>
      <c r="C2897" s="64" t="n"/>
      <c r="D2897" s="64" t="n"/>
      <c r="E2897" s="63" t="n"/>
    </row>
    <row r="2898" ht="18" customHeight="1">
      <c r="A2898" s="62" t="n"/>
      <c r="B2898" s="63" t="n"/>
      <c r="C2898" s="64" t="n"/>
      <c r="D2898" s="64" t="n"/>
      <c r="E2898" s="63" t="n"/>
    </row>
    <row r="2899" ht="18" customHeight="1">
      <c r="A2899" s="62" t="n"/>
      <c r="B2899" s="63" t="n"/>
      <c r="C2899" s="64" t="n"/>
      <c r="D2899" s="64" t="n"/>
      <c r="E2899" s="63" t="n"/>
    </row>
    <row r="2900" ht="18" customHeight="1">
      <c r="A2900" s="62" t="n"/>
      <c r="B2900" s="63" t="n"/>
      <c r="C2900" s="64" t="n"/>
      <c r="D2900" s="64" t="n"/>
      <c r="E2900" s="63" t="n"/>
    </row>
    <row r="2901" ht="18" customHeight="1">
      <c r="A2901" s="62" t="n"/>
      <c r="B2901" s="63" t="n"/>
      <c r="C2901" s="64" t="n"/>
      <c r="D2901" s="64" t="n"/>
      <c r="E2901" s="63" t="n"/>
    </row>
    <row r="2902" ht="18" customHeight="1">
      <c r="A2902" s="62" t="n"/>
      <c r="B2902" s="63" t="n"/>
      <c r="C2902" s="64" t="n"/>
      <c r="D2902" s="64" t="n"/>
      <c r="E2902" s="63" t="n"/>
    </row>
    <row r="2903" ht="18" customHeight="1">
      <c r="A2903" s="62" t="n"/>
      <c r="B2903" s="63" t="n"/>
      <c r="C2903" s="64" t="n"/>
      <c r="D2903" s="64" t="n"/>
      <c r="E2903" s="63" t="n"/>
    </row>
    <row r="2904" ht="18" customHeight="1">
      <c r="A2904" s="62" t="n"/>
      <c r="B2904" s="63" t="n"/>
      <c r="C2904" s="64" t="n"/>
      <c r="D2904" s="64" t="n"/>
      <c r="E2904" s="63" t="n"/>
    </row>
    <row r="2905" ht="18" customHeight="1">
      <c r="A2905" s="62" t="n"/>
      <c r="B2905" s="63" t="n"/>
      <c r="C2905" s="64" t="n"/>
      <c r="D2905" s="64" t="n"/>
      <c r="E2905" s="63" t="n"/>
    </row>
    <row r="2906" ht="18" customHeight="1">
      <c r="A2906" s="62" t="n"/>
      <c r="B2906" s="63" t="n"/>
      <c r="C2906" s="64" t="n"/>
      <c r="D2906" s="64" t="n"/>
      <c r="E2906" s="63" t="n"/>
    </row>
    <row r="2907" ht="18" customHeight="1">
      <c r="A2907" s="62" t="n"/>
      <c r="B2907" s="63" t="n"/>
      <c r="C2907" s="64" t="n"/>
      <c r="D2907" s="64" t="n"/>
      <c r="E2907" s="63" t="n"/>
    </row>
    <row r="2908" ht="18" customHeight="1">
      <c r="A2908" s="62" t="n"/>
      <c r="B2908" s="63" t="n"/>
      <c r="C2908" s="64" t="n"/>
      <c r="D2908" s="64" t="n"/>
      <c r="E2908" s="63" t="n"/>
    </row>
    <row r="2909" ht="18" customHeight="1">
      <c r="A2909" s="62" t="n"/>
      <c r="B2909" s="63" t="n"/>
      <c r="C2909" s="64" t="n"/>
      <c r="D2909" s="64" t="n"/>
      <c r="E2909" s="63" t="n"/>
    </row>
    <row r="2910" ht="18" customHeight="1">
      <c r="A2910" s="62" t="n"/>
      <c r="B2910" s="63" t="n"/>
      <c r="C2910" s="64" t="n"/>
      <c r="D2910" s="64" t="n"/>
      <c r="E2910" s="63" t="n"/>
    </row>
    <row r="2911" ht="18" customHeight="1">
      <c r="A2911" s="62" t="n"/>
      <c r="B2911" s="63" t="n"/>
      <c r="C2911" s="64" t="n"/>
      <c r="D2911" s="64" t="n"/>
      <c r="E2911" s="63" t="n"/>
    </row>
    <row r="2912" ht="18" customHeight="1">
      <c r="A2912" s="62" t="n"/>
      <c r="B2912" s="63" t="n"/>
      <c r="C2912" s="64" t="n"/>
      <c r="D2912" s="64" t="n"/>
      <c r="E2912" s="63" t="n"/>
    </row>
    <row r="2913" ht="18" customHeight="1">
      <c r="A2913" s="62" t="n"/>
      <c r="B2913" s="63" t="n"/>
      <c r="C2913" s="64" t="n"/>
      <c r="D2913" s="64" t="n"/>
      <c r="E2913" s="63" t="n"/>
    </row>
    <row r="2914" ht="18" customHeight="1">
      <c r="A2914" s="62" t="n"/>
      <c r="B2914" s="63" t="n"/>
      <c r="C2914" s="64" t="n"/>
      <c r="D2914" s="64" t="n"/>
      <c r="E2914" s="63" t="n"/>
    </row>
    <row r="2915" ht="18" customHeight="1">
      <c r="A2915" s="62" t="n"/>
      <c r="B2915" s="63" t="n"/>
      <c r="C2915" s="64" t="n"/>
      <c r="D2915" s="64" t="n"/>
      <c r="E2915" s="63" t="n"/>
    </row>
    <row r="2916" ht="18" customHeight="1">
      <c r="A2916" s="62" t="n"/>
      <c r="B2916" s="63" t="n"/>
      <c r="C2916" s="64" t="n"/>
      <c r="D2916" s="64" t="n"/>
      <c r="E2916" s="63" t="n"/>
    </row>
    <row r="2917" ht="18" customHeight="1">
      <c r="A2917" s="62" t="n"/>
      <c r="B2917" s="63" t="n"/>
      <c r="C2917" s="64" t="n"/>
      <c r="D2917" s="64" t="n"/>
      <c r="E2917" s="63" t="n"/>
    </row>
    <row r="2918" ht="18" customHeight="1">
      <c r="A2918" s="62" t="n"/>
      <c r="B2918" s="63" t="n"/>
      <c r="C2918" s="64" t="n"/>
      <c r="D2918" s="64" t="n"/>
      <c r="E2918" s="63" t="n"/>
    </row>
    <row r="2919" ht="18" customHeight="1">
      <c r="A2919" s="62" t="n"/>
      <c r="B2919" s="63" t="n"/>
      <c r="C2919" s="64" t="n"/>
      <c r="D2919" s="64" t="n"/>
      <c r="E2919" s="63" t="n"/>
    </row>
    <row r="2920" ht="18" customHeight="1">
      <c r="A2920" s="62" t="n"/>
      <c r="B2920" s="63" t="n"/>
      <c r="C2920" s="64" t="n"/>
      <c r="D2920" s="64" t="n"/>
      <c r="E2920" s="63" t="n"/>
    </row>
    <row r="2921" ht="18" customHeight="1">
      <c r="A2921" s="62" t="n"/>
      <c r="B2921" s="63" t="n"/>
      <c r="C2921" s="64" t="n"/>
      <c r="D2921" s="64" t="n"/>
      <c r="E2921" s="63" t="n"/>
    </row>
    <row r="2922" ht="18" customHeight="1">
      <c r="A2922" s="62" t="n"/>
      <c r="B2922" s="63" t="n"/>
      <c r="C2922" s="64" t="n"/>
      <c r="D2922" s="64" t="n"/>
      <c r="E2922" s="63" t="n"/>
    </row>
    <row r="2923" ht="18" customHeight="1">
      <c r="A2923" s="62" t="n"/>
      <c r="B2923" s="63" t="n"/>
      <c r="C2923" s="64" t="n"/>
      <c r="D2923" s="64" t="n"/>
      <c r="E2923" s="63" t="n"/>
    </row>
    <row r="2924" ht="18" customHeight="1">
      <c r="A2924" s="62" t="n"/>
      <c r="B2924" s="63" t="n"/>
      <c r="C2924" s="64" t="n"/>
      <c r="D2924" s="64" t="n"/>
      <c r="E2924" s="63" t="n"/>
    </row>
    <row r="2925" ht="18" customHeight="1">
      <c r="A2925" s="62" t="n"/>
      <c r="B2925" s="63" t="n"/>
      <c r="C2925" s="64" t="n"/>
      <c r="D2925" s="64" t="n"/>
      <c r="E2925" s="63" t="n"/>
    </row>
    <row r="2926" ht="18" customHeight="1">
      <c r="A2926" s="62" t="n"/>
      <c r="B2926" s="63" t="n"/>
      <c r="C2926" s="64" t="n"/>
      <c r="D2926" s="64" t="n"/>
      <c r="E2926" s="63" t="n"/>
    </row>
    <row r="2927" ht="18" customHeight="1">
      <c r="A2927" s="62" t="n"/>
      <c r="B2927" s="63" t="n"/>
      <c r="C2927" s="64" t="n"/>
      <c r="D2927" s="64" t="n"/>
      <c r="E2927" s="63" t="n"/>
    </row>
    <row r="2928" ht="18" customHeight="1">
      <c r="A2928" s="62" t="n"/>
      <c r="B2928" s="63" t="n"/>
      <c r="C2928" s="64" t="n"/>
      <c r="D2928" s="64" t="n"/>
      <c r="E2928" s="63" t="n"/>
    </row>
    <row r="2929" ht="18" customHeight="1">
      <c r="A2929" s="62" t="n"/>
      <c r="B2929" s="63" t="n"/>
      <c r="C2929" s="64" t="n"/>
      <c r="D2929" s="64" t="n"/>
      <c r="E2929" s="63" t="n"/>
    </row>
    <row r="2930" ht="18" customHeight="1">
      <c r="A2930" s="62" t="n"/>
      <c r="B2930" s="63" t="n"/>
      <c r="C2930" s="64" t="n"/>
      <c r="D2930" s="64" t="n"/>
      <c r="E2930" s="63" t="n"/>
    </row>
    <row r="2931" ht="18" customHeight="1">
      <c r="A2931" s="62" t="n"/>
      <c r="B2931" s="63" t="n"/>
      <c r="C2931" s="64" t="n"/>
      <c r="D2931" s="64" t="n"/>
      <c r="E2931" s="63" t="n"/>
    </row>
    <row r="2932" ht="18" customHeight="1">
      <c r="A2932" s="62" t="n"/>
      <c r="B2932" s="63" t="n"/>
      <c r="C2932" s="64" t="n"/>
      <c r="D2932" s="64" t="n"/>
      <c r="E2932" s="63" t="n"/>
    </row>
    <row r="2933" ht="18" customHeight="1">
      <c r="A2933" s="62" t="n"/>
      <c r="B2933" s="63" t="n"/>
      <c r="C2933" s="64" t="n"/>
      <c r="D2933" s="64" t="n"/>
      <c r="E2933" s="63" t="n"/>
    </row>
    <row r="2934" ht="18" customHeight="1">
      <c r="A2934" s="62" t="n"/>
      <c r="B2934" s="63" t="n"/>
      <c r="C2934" s="64" t="n"/>
      <c r="D2934" s="64" t="n"/>
      <c r="E2934" s="63" t="n"/>
    </row>
    <row r="2935" ht="18" customHeight="1">
      <c r="A2935" s="62" t="n"/>
      <c r="B2935" s="63" t="n"/>
      <c r="C2935" s="64" t="n"/>
      <c r="D2935" s="64" t="n"/>
      <c r="E2935" s="63" t="n"/>
    </row>
    <row r="2936" ht="18" customHeight="1">
      <c r="A2936" s="62" t="n"/>
      <c r="B2936" s="63" t="n"/>
      <c r="C2936" s="64" t="n"/>
      <c r="D2936" s="64" t="n"/>
      <c r="E2936" s="63" t="n"/>
    </row>
    <row r="2937" ht="18" customHeight="1">
      <c r="A2937" s="62" t="n"/>
      <c r="B2937" s="63" t="n"/>
      <c r="C2937" s="64" t="n"/>
      <c r="D2937" s="64" t="n"/>
      <c r="E2937" s="63" t="n"/>
    </row>
    <row r="2938" ht="18" customHeight="1">
      <c r="A2938" s="62" t="n"/>
      <c r="B2938" s="63" t="n"/>
      <c r="C2938" s="64" t="n"/>
      <c r="D2938" s="64" t="n"/>
      <c r="E2938" s="63" t="n"/>
    </row>
    <row r="2939" ht="18" customHeight="1">
      <c r="A2939" s="62" t="n"/>
      <c r="B2939" s="63" t="n"/>
      <c r="C2939" s="64" t="n"/>
      <c r="D2939" s="64" t="n"/>
      <c r="E2939" s="63" t="n"/>
    </row>
    <row r="2940" ht="18" customHeight="1">
      <c r="A2940" s="62" t="n"/>
      <c r="B2940" s="63" t="n"/>
      <c r="C2940" s="64" t="n"/>
      <c r="D2940" s="64" t="n"/>
      <c r="E2940" s="63" t="n"/>
    </row>
    <row r="2941" ht="18" customHeight="1">
      <c r="A2941" s="62" t="n"/>
      <c r="B2941" s="63" t="n"/>
      <c r="C2941" s="64" t="n"/>
      <c r="D2941" s="64" t="n"/>
      <c r="E2941" s="63" t="n"/>
    </row>
    <row r="2942" ht="18" customHeight="1">
      <c r="A2942" s="62" t="n"/>
      <c r="B2942" s="63" t="n"/>
      <c r="C2942" s="64" t="n"/>
      <c r="D2942" s="64" t="n"/>
      <c r="E2942" s="63" t="n"/>
    </row>
    <row r="2943" ht="18" customHeight="1">
      <c r="A2943" s="62" t="n"/>
      <c r="B2943" s="63" t="n"/>
      <c r="C2943" s="64" t="n"/>
      <c r="D2943" s="64" t="n"/>
      <c r="E2943" s="63" t="n"/>
    </row>
    <row r="2944" ht="18" customHeight="1">
      <c r="A2944" s="62" t="n"/>
      <c r="B2944" s="63" t="n"/>
      <c r="C2944" s="64" t="n"/>
      <c r="D2944" s="64" t="n"/>
      <c r="E2944" s="63" t="n"/>
    </row>
    <row r="2945" ht="18" customHeight="1">
      <c r="A2945" s="62" t="n"/>
      <c r="B2945" s="63" t="n"/>
      <c r="C2945" s="64" t="n"/>
      <c r="D2945" s="64" t="n"/>
      <c r="E2945" s="63" t="n"/>
    </row>
    <row r="2946" ht="18" customHeight="1">
      <c r="A2946" s="62" t="n"/>
      <c r="B2946" s="63" t="n"/>
      <c r="C2946" s="64" t="n"/>
      <c r="D2946" s="64" t="n"/>
      <c r="E2946" s="63" t="n"/>
    </row>
    <row r="2947" ht="18" customHeight="1">
      <c r="A2947" s="62" t="n"/>
      <c r="B2947" s="63" t="n"/>
      <c r="C2947" s="64" t="n"/>
      <c r="D2947" s="64" t="n"/>
      <c r="E2947" s="63" t="n"/>
    </row>
    <row r="2948" ht="18" customHeight="1">
      <c r="A2948" s="62" t="n"/>
      <c r="B2948" s="63" t="n"/>
      <c r="C2948" s="64" t="n"/>
      <c r="D2948" s="64" t="n"/>
      <c r="E2948" s="63" t="n"/>
    </row>
    <row r="2949" ht="18" customHeight="1">
      <c r="A2949" s="62" t="n"/>
      <c r="B2949" s="63" t="n"/>
      <c r="C2949" s="64" t="n"/>
      <c r="D2949" s="64" t="n"/>
      <c r="E2949" s="63" t="n"/>
    </row>
    <row r="2950" ht="18" customHeight="1">
      <c r="A2950" s="62" t="n"/>
      <c r="B2950" s="63" t="n"/>
      <c r="C2950" s="64" t="n"/>
      <c r="D2950" s="64" t="n"/>
      <c r="E2950" s="63" t="n"/>
    </row>
    <row r="2951" ht="18" customHeight="1">
      <c r="A2951" s="62" t="n"/>
      <c r="B2951" s="63" t="n"/>
      <c r="C2951" s="64" t="n"/>
      <c r="D2951" s="64" t="n"/>
      <c r="E2951" s="63" t="n"/>
    </row>
    <row r="2952" ht="18" customHeight="1">
      <c r="A2952" s="62" t="n"/>
      <c r="B2952" s="63" t="n"/>
      <c r="C2952" s="64" t="n"/>
      <c r="D2952" s="64" t="n"/>
      <c r="E2952" s="63" t="n"/>
    </row>
    <row r="2953" ht="18" customHeight="1">
      <c r="A2953" s="62" t="n"/>
      <c r="B2953" s="63" t="n"/>
      <c r="C2953" s="64" t="n"/>
      <c r="D2953" s="64" t="n"/>
      <c r="E2953" s="63" t="n"/>
    </row>
    <row r="2954" ht="18" customHeight="1">
      <c r="A2954" s="62" t="n"/>
      <c r="B2954" s="63" t="n"/>
      <c r="C2954" s="64" t="n"/>
      <c r="D2954" s="64" t="n"/>
      <c r="E2954" s="63" t="n"/>
    </row>
    <row r="2955" ht="18" customHeight="1">
      <c r="A2955" s="62" t="n"/>
      <c r="B2955" s="63" t="n"/>
      <c r="C2955" s="64" t="n"/>
      <c r="D2955" s="64" t="n"/>
      <c r="E2955" s="63" t="n"/>
    </row>
    <row r="2956" ht="18" customHeight="1">
      <c r="A2956" s="62" t="n"/>
      <c r="B2956" s="63" t="n"/>
      <c r="C2956" s="64" t="n"/>
      <c r="D2956" s="64" t="n"/>
      <c r="E2956" s="63" t="n"/>
    </row>
    <row r="2957" ht="18" customHeight="1">
      <c r="A2957" s="62" t="n"/>
      <c r="B2957" s="63" t="n"/>
      <c r="C2957" s="64" t="n"/>
      <c r="D2957" s="64" t="n"/>
      <c r="E2957" s="63" t="n"/>
    </row>
    <row r="2958" ht="18" customHeight="1">
      <c r="A2958" s="62" t="n"/>
      <c r="B2958" s="63" t="n"/>
      <c r="C2958" s="64" t="n"/>
      <c r="D2958" s="64" t="n"/>
      <c r="E2958" s="63" t="n"/>
    </row>
    <row r="2959" ht="18" customHeight="1">
      <c r="A2959" s="62" t="n"/>
      <c r="B2959" s="63" t="n"/>
      <c r="C2959" s="64" t="n"/>
      <c r="D2959" s="64" t="n"/>
      <c r="E2959" s="63" t="n"/>
    </row>
    <row r="2960" ht="18" customHeight="1">
      <c r="A2960" s="62" t="n"/>
      <c r="B2960" s="63" t="n"/>
      <c r="C2960" s="64" t="n"/>
      <c r="D2960" s="64" t="n"/>
      <c r="E2960" s="63" t="n"/>
    </row>
    <row r="2961" ht="18" customHeight="1">
      <c r="A2961" s="62" t="n"/>
      <c r="B2961" s="63" t="n"/>
      <c r="C2961" s="64" t="n"/>
      <c r="D2961" s="64" t="n"/>
      <c r="E2961" s="63" t="n"/>
    </row>
    <row r="2962" ht="18" customHeight="1">
      <c r="A2962" s="62" t="n"/>
      <c r="B2962" s="63" t="n"/>
      <c r="C2962" s="64" t="n"/>
      <c r="D2962" s="64" t="n"/>
      <c r="E2962" s="63" t="n"/>
    </row>
    <row r="2963" ht="18" customHeight="1">
      <c r="A2963" s="62" t="n"/>
      <c r="B2963" s="63" t="n"/>
      <c r="C2963" s="64" t="n"/>
      <c r="D2963" s="64" t="n"/>
      <c r="E2963" s="63" t="n"/>
    </row>
    <row r="2964" ht="18" customHeight="1">
      <c r="A2964" s="62" t="n"/>
      <c r="B2964" s="63" t="n"/>
      <c r="C2964" s="64" t="n"/>
      <c r="D2964" s="64" t="n"/>
      <c r="E2964" s="63" t="n"/>
    </row>
    <row r="2965" ht="18" customHeight="1">
      <c r="A2965" s="62" t="n"/>
      <c r="B2965" s="63" t="n"/>
      <c r="C2965" s="64" t="n"/>
      <c r="D2965" s="64" t="n"/>
      <c r="E2965" s="63" t="n"/>
    </row>
    <row r="2966" ht="18" customHeight="1">
      <c r="A2966" s="62" t="n"/>
      <c r="B2966" s="63" t="n"/>
      <c r="C2966" s="64" t="n"/>
      <c r="D2966" s="64" t="n"/>
      <c r="E2966" s="63" t="n"/>
    </row>
    <row r="2967" ht="18" customHeight="1">
      <c r="A2967" s="62" t="n"/>
      <c r="B2967" s="63" t="n"/>
      <c r="C2967" s="64" t="n"/>
      <c r="D2967" s="64" t="n"/>
      <c r="E2967" s="63" t="n"/>
    </row>
    <row r="2968" ht="18" customHeight="1">
      <c r="A2968" s="62" t="n"/>
      <c r="B2968" s="63" t="n"/>
      <c r="C2968" s="64" t="n"/>
      <c r="D2968" s="64" t="n"/>
      <c r="E2968" s="63" t="n"/>
    </row>
    <row r="2969" ht="18" customHeight="1">
      <c r="A2969" s="62" t="n"/>
      <c r="B2969" s="63" t="n"/>
      <c r="C2969" s="64" t="n"/>
      <c r="D2969" s="64" t="n"/>
      <c r="E2969" s="63" t="n"/>
    </row>
    <row r="2970" ht="18" customHeight="1">
      <c r="A2970" s="62" t="n"/>
      <c r="B2970" s="63" t="n"/>
      <c r="C2970" s="64" t="n"/>
      <c r="D2970" s="64" t="n"/>
      <c r="E2970" s="63" t="n"/>
    </row>
    <row r="2971" ht="18" customHeight="1">
      <c r="A2971" s="62" t="n"/>
      <c r="B2971" s="63" t="n"/>
      <c r="C2971" s="64" t="n"/>
      <c r="D2971" s="64" t="n"/>
      <c r="E2971" s="63" t="n"/>
    </row>
    <row r="2972" ht="18" customHeight="1">
      <c r="A2972" s="62" t="n"/>
      <c r="B2972" s="63" t="n"/>
      <c r="C2972" s="64" t="n"/>
      <c r="D2972" s="64" t="n"/>
      <c r="E2972" s="63" t="n"/>
    </row>
    <row r="2973" ht="18" customHeight="1">
      <c r="A2973" s="62" t="n"/>
      <c r="B2973" s="63" t="n"/>
      <c r="C2973" s="64" t="n"/>
      <c r="D2973" s="64" t="n"/>
      <c r="E2973" s="63" t="n"/>
    </row>
    <row r="2974" ht="18" customHeight="1">
      <c r="A2974" s="62" t="n"/>
      <c r="B2974" s="63" t="n"/>
      <c r="C2974" s="64" t="n"/>
      <c r="D2974" s="64" t="n"/>
      <c r="E2974" s="63" t="n"/>
    </row>
    <row r="2975" ht="18" customHeight="1">
      <c r="A2975" s="62" t="n"/>
      <c r="B2975" s="63" t="n"/>
      <c r="C2975" s="64" t="n"/>
      <c r="D2975" s="64" t="n"/>
      <c r="E2975" s="63" t="n"/>
    </row>
    <row r="2976" ht="18" customHeight="1">
      <c r="A2976" s="62" t="n"/>
      <c r="B2976" s="63" t="n"/>
      <c r="C2976" s="64" t="n"/>
      <c r="D2976" s="64" t="n"/>
      <c r="E2976" s="63" t="n"/>
    </row>
    <row r="2977" ht="18" customHeight="1">
      <c r="A2977" s="62" t="n"/>
      <c r="B2977" s="63" t="n"/>
      <c r="C2977" s="64" t="n"/>
      <c r="D2977" s="64" t="n"/>
      <c r="E2977" s="63" t="n"/>
    </row>
    <row r="2978" ht="18" customHeight="1">
      <c r="A2978" s="62" t="n"/>
      <c r="B2978" s="63" t="n"/>
      <c r="C2978" s="64" t="n"/>
      <c r="D2978" s="64" t="n"/>
      <c r="E2978" s="63" t="n"/>
    </row>
    <row r="2979" ht="18" customHeight="1">
      <c r="A2979" s="62" t="n"/>
      <c r="B2979" s="63" t="n"/>
      <c r="C2979" s="64" t="n"/>
      <c r="D2979" s="64" t="n"/>
      <c r="E2979" s="63" t="n"/>
    </row>
    <row r="2980" ht="18" customHeight="1">
      <c r="A2980" s="62" t="n"/>
      <c r="B2980" s="63" t="n"/>
      <c r="C2980" s="64" t="n"/>
      <c r="D2980" s="64" t="n"/>
      <c r="E2980" s="63" t="n"/>
    </row>
    <row r="2981" ht="18" customHeight="1">
      <c r="A2981" s="62" t="n"/>
      <c r="B2981" s="63" t="n"/>
      <c r="C2981" s="64" t="n"/>
      <c r="D2981" s="64" t="n"/>
      <c r="E2981" s="63" t="n"/>
    </row>
    <row r="2982" ht="18" customHeight="1">
      <c r="A2982" s="62" t="n"/>
      <c r="B2982" s="63" t="n"/>
      <c r="C2982" s="64" t="n"/>
      <c r="D2982" s="64" t="n"/>
      <c r="E2982" s="63" t="n"/>
    </row>
    <row r="2983" ht="18" customHeight="1">
      <c r="A2983" s="62" t="n"/>
      <c r="B2983" s="63" t="n"/>
      <c r="C2983" s="64" t="n"/>
      <c r="D2983" s="64" t="n"/>
      <c r="E2983" s="63" t="n"/>
    </row>
    <row r="2984" ht="18" customHeight="1">
      <c r="A2984" s="62" t="n"/>
      <c r="B2984" s="63" t="n"/>
      <c r="C2984" s="64" t="n"/>
      <c r="D2984" s="64" t="n"/>
      <c r="E2984" s="63" t="n"/>
    </row>
    <row r="2985" ht="18" customHeight="1">
      <c r="A2985" s="62" t="n"/>
      <c r="B2985" s="63" t="n"/>
      <c r="C2985" s="64" t="n"/>
      <c r="D2985" s="64" t="n"/>
      <c r="E2985" s="63" t="n"/>
    </row>
    <row r="2986" ht="18" customHeight="1">
      <c r="A2986" s="62" t="n"/>
      <c r="B2986" s="63" t="n"/>
      <c r="C2986" s="64" t="n"/>
      <c r="D2986" s="64" t="n"/>
      <c r="E2986" s="63" t="n"/>
    </row>
    <row r="2987" ht="18" customHeight="1">
      <c r="A2987" s="62" t="n"/>
      <c r="B2987" s="63" t="n"/>
      <c r="C2987" s="64" t="n"/>
      <c r="D2987" s="64" t="n"/>
      <c r="E2987" s="63" t="n"/>
    </row>
    <row r="2988" ht="18" customHeight="1">
      <c r="A2988" s="62" t="n"/>
      <c r="B2988" s="63" t="n"/>
      <c r="C2988" s="64" t="n"/>
      <c r="D2988" s="64" t="n"/>
      <c r="E2988" s="63" t="n"/>
    </row>
    <row r="2989" ht="18" customHeight="1">
      <c r="A2989" s="62" t="n"/>
      <c r="B2989" s="63" t="n"/>
      <c r="C2989" s="64" t="n"/>
      <c r="D2989" s="64" t="n"/>
      <c r="E2989" s="63" t="n"/>
    </row>
    <row r="2990" ht="18" customHeight="1">
      <c r="A2990" s="62" t="n"/>
      <c r="B2990" s="63" t="n"/>
      <c r="C2990" s="64" t="n"/>
      <c r="D2990" s="64" t="n"/>
      <c r="E2990" s="63" t="n"/>
    </row>
    <row r="2991" ht="18" customHeight="1">
      <c r="A2991" s="62" t="n"/>
      <c r="B2991" s="63" t="n"/>
      <c r="C2991" s="64" t="n"/>
      <c r="D2991" s="64" t="n"/>
      <c r="E2991" s="63" t="n"/>
    </row>
    <row r="2992" ht="18" customHeight="1">
      <c r="A2992" s="62" t="n"/>
      <c r="B2992" s="63" t="n"/>
      <c r="C2992" s="64" t="n"/>
      <c r="D2992" s="64" t="n"/>
      <c r="E2992" s="63" t="n"/>
    </row>
    <row r="2993" ht="18" customHeight="1">
      <c r="A2993" s="62" t="n"/>
      <c r="B2993" s="63" t="n"/>
      <c r="C2993" s="64" t="n"/>
      <c r="D2993" s="64" t="n"/>
      <c r="E2993" s="63" t="n"/>
    </row>
    <row r="2994" ht="18" customHeight="1">
      <c r="A2994" s="62" t="n"/>
      <c r="B2994" s="63" t="n"/>
      <c r="C2994" s="64" t="n"/>
      <c r="D2994" s="64" t="n"/>
      <c r="E2994" s="63" t="n"/>
    </row>
    <row r="2995" ht="18" customHeight="1">
      <c r="A2995" s="62" t="n"/>
      <c r="B2995" s="63" t="n"/>
      <c r="C2995" s="64" t="n"/>
      <c r="D2995" s="64" t="n"/>
      <c r="E2995" s="63" t="n"/>
    </row>
    <row r="2996" ht="18" customHeight="1">
      <c r="A2996" s="62" t="n"/>
      <c r="B2996" s="63" t="n"/>
      <c r="C2996" s="64" t="n"/>
      <c r="D2996" s="64" t="n"/>
      <c r="E2996" s="63" t="n"/>
    </row>
    <row r="2997" ht="18" customHeight="1">
      <c r="A2997" s="62" t="n"/>
      <c r="B2997" s="63" t="n"/>
      <c r="C2997" s="64" t="n"/>
      <c r="D2997" s="64" t="n"/>
      <c r="E2997" s="63" t="n"/>
    </row>
    <row r="2998" ht="18" customHeight="1">
      <c r="A2998" s="62" t="n"/>
      <c r="B2998" s="63" t="n"/>
      <c r="C2998" s="64" t="n"/>
      <c r="D2998" s="64" t="n"/>
      <c r="E2998" s="63" t="n"/>
    </row>
    <row r="2999" ht="18" customHeight="1">
      <c r="A2999" s="62" t="n"/>
      <c r="B2999" s="63" t="n"/>
      <c r="C2999" s="64" t="n"/>
      <c r="D2999" s="64" t="n"/>
      <c r="E2999" s="63" t="n"/>
    </row>
    <row r="3000" ht="18" customHeight="1">
      <c r="A3000" s="62" t="n"/>
      <c r="B3000" s="63" t="n"/>
      <c r="C3000" s="64" t="n"/>
      <c r="D3000" s="64" t="n"/>
      <c r="E3000" s="63" t="n"/>
    </row>
    <row r="3001" ht="18" customHeight="1">
      <c r="A3001" s="62" t="n"/>
      <c r="B3001" s="63" t="n"/>
      <c r="C3001" s="64" t="n"/>
      <c r="D3001" s="64" t="n"/>
      <c r="E3001" s="63" t="n"/>
    </row>
    <row r="3002" ht="18" customHeight="1">
      <c r="A3002" s="62" t="n"/>
      <c r="B3002" s="63" t="n"/>
      <c r="C3002" s="64" t="n"/>
      <c r="D3002" s="64" t="n"/>
      <c r="E3002" s="63" t="n"/>
    </row>
    <row r="3003" ht="18" customHeight="1">
      <c r="A3003" s="62" t="n"/>
      <c r="B3003" s="63" t="n"/>
      <c r="C3003" s="64" t="n"/>
      <c r="D3003" s="64" t="n"/>
      <c r="E3003" s="63" t="n"/>
    </row>
    <row r="3004" ht="18" customHeight="1">
      <c r="A3004" s="62" t="n"/>
      <c r="B3004" s="63" t="n"/>
      <c r="C3004" s="64" t="n"/>
      <c r="D3004" s="64" t="n"/>
      <c r="E3004" s="63" t="n"/>
    </row>
    <row r="3005" ht="18" customHeight="1">
      <c r="A3005" s="62" t="n"/>
      <c r="B3005" s="63" t="n"/>
      <c r="C3005" s="64" t="n"/>
      <c r="D3005" s="64" t="n"/>
      <c r="E3005" s="63" t="n"/>
    </row>
    <row r="3006" ht="18" customHeight="1">
      <c r="A3006" s="62" t="n"/>
      <c r="B3006" s="63" t="n"/>
      <c r="C3006" s="64" t="n"/>
      <c r="D3006" s="64" t="n"/>
      <c r="E3006" s="63" t="n"/>
    </row>
    <row r="3007" ht="18" customHeight="1">
      <c r="A3007" s="62" t="n"/>
      <c r="B3007" s="63" t="n"/>
      <c r="C3007" s="64" t="n"/>
      <c r="D3007" s="64" t="n"/>
      <c r="E3007" s="63" t="n"/>
    </row>
    <row r="3008" ht="18" customHeight="1">
      <c r="A3008" s="62" t="n"/>
      <c r="B3008" s="63" t="n"/>
      <c r="C3008" s="64" t="n"/>
      <c r="D3008" s="64" t="n"/>
      <c r="E3008" s="63" t="n"/>
    </row>
    <row r="3009" ht="18" customHeight="1">
      <c r="A3009" s="62" t="n"/>
      <c r="B3009" s="63" t="n"/>
      <c r="C3009" s="64" t="n"/>
      <c r="D3009" s="64" t="n"/>
      <c r="E3009" s="63" t="n"/>
    </row>
    <row r="3010" ht="18" customHeight="1">
      <c r="A3010" s="62" t="n"/>
      <c r="B3010" s="63" t="n"/>
      <c r="C3010" s="64" t="n"/>
      <c r="D3010" s="64" t="n"/>
      <c r="E3010" s="63" t="n"/>
    </row>
    <row r="3011" ht="18" customHeight="1">
      <c r="A3011" s="62" t="n"/>
      <c r="B3011" s="63" t="n"/>
      <c r="C3011" s="64" t="n"/>
      <c r="D3011" s="64" t="n"/>
      <c r="E3011" s="63" t="n"/>
    </row>
    <row r="3012" ht="18" customHeight="1">
      <c r="A3012" s="62" t="n"/>
      <c r="B3012" s="63" t="n"/>
      <c r="C3012" s="64" t="n"/>
      <c r="D3012" s="64" t="n"/>
      <c r="E3012" s="63" t="n"/>
    </row>
    <row r="3013" ht="18" customHeight="1">
      <c r="A3013" s="62" t="n"/>
      <c r="B3013" s="63" t="n"/>
      <c r="C3013" s="64" t="n"/>
      <c r="D3013" s="64" t="n"/>
      <c r="E3013" s="63" t="n"/>
    </row>
    <row r="3014" ht="18" customHeight="1">
      <c r="A3014" s="62" t="n"/>
      <c r="B3014" s="63" t="n"/>
      <c r="C3014" s="64" t="n"/>
      <c r="D3014" s="64" t="n"/>
      <c r="E3014" s="63" t="n"/>
    </row>
    <row r="3015" ht="18" customHeight="1">
      <c r="A3015" s="62" t="n"/>
      <c r="B3015" s="63" t="n"/>
      <c r="C3015" s="64" t="n"/>
      <c r="D3015" s="64" t="n"/>
      <c r="E3015" s="63" t="n"/>
    </row>
    <row r="3016" ht="18" customHeight="1">
      <c r="A3016" s="62" t="n"/>
      <c r="B3016" s="63" t="n"/>
      <c r="C3016" s="64" t="n"/>
      <c r="D3016" s="64" t="n"/>
      <c r="E3016" s="63" t="n"/>
    </row>
    <row r="3017" ht="18" customHeight="1">
      <c r="A3017" s="62" t="n"/>
      <c r="B3017" s="63" t="n"/>
      <c r="C3017" s="64" t="n"/>
      <c r="D3017" s="64" t="n"/>
      <c r="E3017" s="63" t="n"/>
    </row>
    <row r="3018" ht="18" customHeight="1">
      <c r="A3018" s="62" t="n"/>
      <c r="B3018" s="63" t="n"/>
      <c r="C3018" s="64" t="n"/>
      <c r="D3018" s="64" t="n"/>
      <c r="E3018" s="63" t="n"/>
    </row>
    <row r="3019" ht="18" customHeight="1">
      <c r="A3019" s="62" t="n"/>
      <c r="B3019" s="63" t="n"/>
      <c r="C3019" s="64" t="n"/>
      <c r="D3019" s="64" t="n"/>
      <c r="E3019" s="63" t="n"/>
    </row>
    <row r="3020" ht="18" customHeight="1">
      <c r="A3020" s="62" t="n"/>
      <c r="B3020" s="63" t="n"/>
      <c r="C3020" s="64" t="n"/>
      <c r="D3020" s="64" t="n"/>
      <c r="E3020" s="63" t="n"/>
    </row>
    <row r="3021" ht="18" customHeight="1">
      <c r="A3021" s="62" t="n"/>
      <c r="B3021" s="63" t="n"/>
      <c r="C3021" s="64" t="n"/>
      <c r="D3021" s="64" t="n"/>
      <c r="E3021" s="63" t="n"/>
    </row>
    <row r="3022" ht="18" customHeight="1">
      <c r="A3022" s="62" t="n"/>
      <c r="B3022" s="63" t="n"/>
      <c r="C3022" s="64" t="n"/>
      <c r="D3022" s="64" t="n"/>
      <c r="E3022" s="63" t="n"/>
    </row>
    <row r="3023" ht="18" customHeight="1">
      <c r="A3023" s="62" t="n"/>
      <c r="B3023" s="63" t="n"/>
      <c r="C3023" s="64" t="n"/>
      <c r="D3023" s="64" t="n"/>
      <c r="E3023" s="63" t="n"/>
    </row>
    <row r="3024" ht="18" customHeight="1">
      <c r="A3024" s="62" t="n"/>
      <c r="B3024" s="63" t="n"/>
      <c r="C3024" s="64" t="n"/>
      <c r="D3024" s="64" t="n"/>
      <c r="E3024" s="63" t="n"/>
    </row>
    <row r="3025" ht="18" customHeight="1">
      <c r="A3025" s="62" t="n"/>
      <c r="B3025" s="63" t="n"/>
      <c r="C3025" s="64" t="n"/>
      <c r="D3025" s="64" t="n"/>
      <c r="E3025" s="63" t="n"/>
    </row>
    <row r="3026" ht="18" customHeight="1">
      <c r="A3026" s="62" t="n"/>
      <c r="B3026" s="63" t="n"/>
      <c r="C3026" s="64" t="n"/>
      <c r="D3026" s="64" t="n"/>
      <c r="E3026" s="63" t="n"/>
    </row>
    <row r="3027" ht="18" customHeight="1">
      <c r="A3027" s="62" t="n"/>
      <c r="B3027" s="63" t="n"/>
      <c r="C3027" s="64" t="n"/>
      <c r="D3027" s="64" t="n"/>
      <c r="E3027" s="63" t="n"/>
    </row>
    <row r="3028" ht="18" customHeight="1">
      <c r="A3028" s="62" t="n"/>
      <c r="B3028" s="63" t="n"/>
      <c r="C3028" s="64" t="n"/>
      <c r="D3028" s="64" t="n"/>
      <c r="E3028" s="63" t="n"/>
    </row>
    <row r="3029" ht="18" customHeight="1">
      <c r="A3029" s="62" t="n"/>
      <c r="B3029" s="63" t="n"/>
      <c r="C3029" s="64" t="n"/>
      <c r="D3029" s="64" t="n"/>
      <c r="E3029" s="63" t="n"/>
    </row>
    <row r="3030" ht="18" customHeight="1">
      <c r="A3030" s="62" t="n"/>
      <c r="B3030" s="63" t="n"/>
      <c r="C3030" s="64" t="n"/>
      <c r="D3030" s="64" t="n"/>
      <c r="E3030" s="63" t="n"/>
    </row>
    <row r="3031" ht="18" customHeight="1">
      <c r="A3031" s="62" t="n"/>
      <c r="B3031" s="63" t="n"/>
      <c r="C3031" s="64" t="n"/>
      <c r="D3031" s="64" t="n"/>
      <c r="E3031" s="63" t="n"/>
    </row>
    <row r="3032" ht="18" customHeight="1">
      <c r="A3032" s="62" t="n"/>
      <c r="B3032" s="63" t="n"/>
      <c r="C3032" s="64" t="n"/>
      <c r="D3032" s="64" t="n"/>
      <c r="E3032" s="63" t="n"/>
    </row>
    <row r="3033" ht="18" customHeight="1">
      <c r="A3033" s="62" t="n"/>
      <c r="B3033" s="63" t="n"/>
      <c r="C3033" s="64" t="n"/>
      <c r="D3033" s="64" t="n"/>
      <c r="E3033" s="63" t="n"/>
    </row>
    <row r="3034" ht="18" customHeight="1">
      <c r="A3034" s="62" t="n"/>
      <c r="B3034" s="63" t="n"/>
      <c r="C3034" s="64" t="n"/>
      <c r="D3034" s="64" t="n"/>
      <c r="E3034" s="63" t="n"/>
    </row>
    <row r="3035" ht="18" customHeight="1">
      <c r="A3035" s="62" t="n"/>
      <c r="B3035" s="63" t="n"/>
      <c r="C3035" s="64" t="n"/>
      <c r="D3035" s="64" t="n"/>
      <c r="E3035" s="63" t="n"/>
    </row>
    <row r="3036" ht="18" customHeight="1">
      <c r="A3036" s="62" t="n"/>
      <c r="B3036" s="63" t="n"/>
      <c r="C3036" s="64" t="n"/>
      <c r="D3036" s="64" t="n"/>
      <c r="E3036" s="63" t="n"/>
    </row>
    <row r="3037" ht="18" customHeight="1">
      <c r="A3037" s="62" t="n"/>
      <c r="B3037" s="63" t="n"/>
      <c r="C3037" s="64" t="n"/>
      <c r="D3037" s="64" t="n"/>
      <c r="E3037" s="63" t="n"/>
    </row>
    <row r="3038" ht="18" customHeight="1">
      <c r="A3038" s="62" t="n"/>
      <c r="B3038" s="63" t="n"/>
      <c r="C3038" s="64" t="n"/>
      <c r="D3038" s="64" t="n"/>
      <c r="E3038" s="63" t="n"/>
    </row>
    <row r="3039" ht="18" customHeight="1">
      <c r="A3039" s="62" t="n"/>
      <c r="B3039" s="63" t="n"/>
      <c r="C3039" s="64" t="n"/>
      <c r="D3039" s="64" t="n"/>
      <c r="E3039" s="63" t="n"/>
    </row>
    <row r="3040" ht="18" customHeight="1">
      <c r="A3040" s="62" t="n"/>
      <c r="B3040" s="63" t="n"/>
      <c r="C3040" s="64" t="n"/>
      <c r="D3040" s="64" t="n"/>
      <c r="E3040" s="63" t="n"/>
    </row>
    <row r="3041" ht="18" customHeight="1">
      <c r="A3041" s="62" t="n"/>
      <c r="B3041" s="63" t="n"/>
      <c r="C3041" s="64" t="n"/>
      <c r="D3041" s="64" t="n"/>
      <c r="E3041" s="63" t="n"/>
    </row>
    <row r="3042" ht="18" customHeight="1">
      <c r="A3042" s="62" t="n"/>
      <c r="B3042" s="63" t="n"/>
      <c r="C3042" s="64" t="n"/>
      <c r="D3042" s="64" t="n"/>
      <c r="E3042" s="63" t="n"/>
    </row>
    <row r="3043" ht="18" customHeight="1">
      <c r="A3043" s="62" t="n"/>
      <c r="B3043" s="63" t="n"/>
      <c r="C3043" s="64" t="n"/>
      <c r="D3043" s="64" t="n"/>
      <c r="E3043" s="63" t="n"/>
    </row>
    <row r="3044" ht="18" customHeight="1">
      <c r="A3044" s="62" t="n"/>
      <c r="B3044" s="63" t="n"/>
      <c r="C3044" s="64" t="n"/>
      <c r="D3044" s="64" t="n"/>
      <c r="E3044" s="63" t="n"/>
    </row>
    <row r="3045" ht="18" customHeight="1">
      <c r="A3045" s="62" t="n"/>
      <c r="B3045" s="63" t="n"/>
      <c r="C3045" s="64" t="n"/>
      <c r="D3045" s="64" t="n"/>
      <c r="E3045" s="63" t="n"/>
    </row>
    <row r="3046" ht="18" customHeight="1">
      <c r="A3046" s="62" t="n"/>
      <c r="B3046" s="63" t="n"/>
      <c r="C3046" s="64" t="n"/>
      <c r="D3046" s="64" t="n"/>
      <c r="E3046" s="63" t="n"/>
    </row>
    <row r="3047" ht="18" customHeight="1">
      <c r="A3047" s="62" t="n"/>
      <c r="B3047" s="63" t="n"/>
      <c r="C3047" s="64" t="n"/>
      <c r="D3047" s="64" t="n"/>
      <c r="E3047" s="63" t="n"/>
    </row>
    <row r="3048" ht="18" customHeight="1">
      <c r="A3048" s="62" t="n"/>
      <c r="B3048" s="63" t="n"/>
      <c r="C3048" s="64" t="n"/>
      <c r="D3048" s="64" t="n"/>
      <c r="E3048" s="63" t="n"/>
    </row>
    <row r="3049" ht="18" customHeight="1">
      <c r="A3049" s="62" t="n"/>
      <c r="B3049" s="63" t="n"/>
      <c r="C3049" s="64" t="n"/>
      <c r="D3049" s="64" t="n"/>
      <c r="E3049" s="63" t="n"/>
    </row>
    <row r="3050" ht="18" customHeight="1">
      <c r="A3050" s="62" t="n"/>
      <c r="B3050" s="63" t="n"/>
      <c r="C3050" s="64" t="n"/>
      <c r="D3050" s="64" t="n"/>
      <c r="E3050" s="63" t="n"/>
    </row>
    <row r="3051" ht="18" customHeight="1">
      <c r="A3051" s="62" t="n"/>
      <c r="B3051" s="63" t="n"/>
      <c r="C3051" s="64" t="n"/>
      <c r="D3051" s="64" t="n"/>
      <c r="E3051" s="63" t="n"/>
    </row>
    <row r="3052" ht="18" customHeight="1">
      <c r="A3052" s="62" t="n"/>
      <c r="B3052" s="63" t="n"/>
      <c r="C3052" s="64" t="n"/>
      <c r="D3052" s="64" t="n"/>
      <c r="E3052" s="63" t="n"/>
    </row>
    <row r="3053" ht="18" customHeight="1">
      <c r="A3053" s="62" t="n"/>
      <c r="B3053" s="63" t="n"/>
      <c r="C3053" s="64" t="n"/>
      <c r="D3053" s="64" t="n"/>
      <c r="E3053" s="63" t="n"/>
    </row>
    <row r="3054" ht="18" customHeight="1">
      <c r="A3054" s="62" t="n"/>
      <c r="B3054" s="63" t="n"/>
      <c r="C3054" s="64" t="n"/>
      <c r="D3054" s="64" t="n"/>
      <c r="E3054" s="63" t="n"/>
    </row>
    <row r="3055" ht="18" customHeight="1">
      <c r="A3055" s="62" t="n"/>
      <c r="B3055" s="63" t="n"/>
      <c r="C3055" s="64" t="n"/>
      <c r="D3055" s="64" t="n"/>
      <c r="E3055" s="63" t="n"/>
    </row>
    <row r="3056" ht="18" customHeight="1">
      <c r="A3056" s="62" t="n"/>
      <c r="B3056" s="63" t="n"/>
      <c r="C3056" s="64" t="n"/>
      <c r="D3056" s="64" t="n"/>
      <c r="E3056" s="63" t="n"/>
    </row>
    <row r="3057" ht="18" customHeight="1">
      <c r="A3057" s="62" t="n"/>
      <c r="B3057" s="63" t="n"/>
      <c r="C3057" s="64" t="n"/>
      <c r="D3057" s="64" t="n"/>
      <c r="E3057" s="63" t="n"/>
    </row>
    <row r="3058" ht="18" customHeight="1">
      <c r="A3058" s="62" t="n"/>
      <c r="B3058" s="63" t="n"/>
      <c r="C3058" s="64" t="n"/>
      <c r="D3058" s="64" t="n"/>
      <c r="E3058" s="63" t="n"/>
    </row>
    <row r="3059" ht="18" customHeight="1">
      <c r="A3059" s="62" t="n"/>
      <c r="B3059" s="63" t="n"/>
      <c r="C3059" s="64" t="n"/>
      <c r="D3059" s="64" t="n"/>
      <c r="E3059" s="63" t="n"/>
    </row>
    <row r="3060" ht="18" customHeight="1">
      <c r="A3060" s="62" t="n"/>
      <c r="B3060" s="63" t="n"/>
      <c r="C3060" s="64" t="n"/>
      <c r="D3060" s="64" t="n"/>
      <c r="E3060" s="63" t="n"/>
    </row>
    <row r="3061" ht="18" customHeight="1">
      <c r="A3061" s="62" t="n"/>
      <c r="B3061" s="63" t="n"/>
      <c r="C3061" s="64" t="n"/>
      <c r="D3061" s="64" t="n"/>
      <c r="E3061" s="63" t="n"/>
    </row>
    <row r="3062" ht="18" customHeight="1">
      <c r="A3062" s="62" t="n"/>
      <c r="B3062" s="63" t="n"/>
      <c r="C3062" s="64" t="n"/>
      <c r="D3062" s="64" t="n"/>
      <c r="E3062" s="63" t="n"/>
    </row>
    <row r="3063" ht="18" customHeight="1">
      <c r="A3063" s="62" t="n"/>
      <c r="B3063" s="63" t="n"/>
      <c r="C3063" s="64" t="n"/>
      <c r="D3063" s="64" t="n"/>
      <c r="E3063" s="63" t="n"/>
    </row>
    <row r="3064" ht="18" customHeight="1">
      <c r="A3064" s="62" t="n"/>
      <c r="B3064" s="63" t="n"/>
      <c r="C3064" s="64" t="n"/>
      <c r="D3064" s="64" t="n"/>
      <c r="E3064" s="63" t="n"/>
    </row>
    <row r="3065" ht="18" customHeight="1">
      <c r="A3065" s="62" t="n"/>
      <c r="B3065" s="63" t="n"/>
      <c r="C3065" s="64" t="n"/>
      <c r="D3065" s="64" t="n"/>
      <c r="E3065" s="63" t="n"/>
    </row>
    <row r="3066" ht="18" customHeight="1">
      <c r="A3066" s="62" t="n"/>
      <c r="B3066" s="63" t="n"/>
      <c r="C3066" s="64" t="n"/>
      <c r="D3066" s="64" t="n"/>
      <c r="E3066" s="63" t="n"/>
    </row>
    <row r="3067" ht="18" customHeight="1">
      <c r="A3067" s="62" t="n"/>
      <c r="B3067" s="63" t="n"/>
      <c r="C3067" s="64" t="n"/>
      <c r="D3067" s="64" t="n"/>
      <c r="E3067" s="63" t="n"/>
    </row>
    <row r="3068" ht="18" customHeight="1">
      <c r="A3068" s="62" t="n"/>
      <c r="B3068" s="63" t="n"/>
      <c r="C3068" s="64" t="n"/>
      <c r="D3068" s="64" t="n"/>
      <c r="E3068" s="63" t="n"/>
    </row>
    <row r="3069" ht="18" customHeight="1">
      <c r="A3069" s="62" t="n"/>
      <c r="B3069" s="63" t="n"/>
      <c r="C3069" s="64" t="n"/>
      <c r="D3069" s="64" t="n"/>
      <c r="E3069" s="63" t="n"/>
    </row>
    <row r="3070" ht="18" customHeight="1">
      <c r="A3070" s="62" t="n"/>
      <c r="B3070" s="63" t="n"/>
      <c r="C3070" s="64" t="n"/>
      <c r="D3070" s="64" t="n"/>
      <c r="E3070" s="63" t="n"/>
    </row>
    <row r="3071" ht="18" customHeight="1">
      <c r="A3071" s="62" t="n"/>
      <c r="B3071" s="63" t="n"/>
      <c r="C3071" s="64" t="n"/>
      <c r="D3071" s="64" t="n"/>
      <c r="E3071" s="63" t="n"/>
    </row>
    <row r="3072" ht="18" customHeight="1">
      <c r="A3072" s="62" t="n"/>
      <c r="B3072" s="63" t="n"/>
      <c r="C3072" s="64" t="n"/>
      <c r="D3072" s="64" t="n"/>
      <c r="E3072" s="63" t="n"/>
    </row>
    <row r="3073" ht="18" customHeight="1">
      <c r="A3073" s="62" t="n"/>
      <c r="B3073" s="63" t="n"/>
      <c r="C3073" s="64" t="n"/>
      <c r="D3073" s="64" t="n"/>
      <c r="E3073" s="63" t="n"/>
    </row>
    <row r="3074" ht="18" customHeight="1">
      <c r="A3074" s="62" t="n"/>
      <c r="B3074" s="63" t="n"/>
      <c r="C3074" s="64" t="n"/>
      <c r="D3074" s="64" t="n"/>
      <c r="E3074" s="63" t="n"/>
    </row>
    <row r="3075" ht="18" customHeight="1">
      <c r="A3075" s="62" t="n"/>
      <c r="B3075" s="63" t="n"/>
      <c r="C3075" s="64" t="n"/>
      <c r="D3075" s="64" t="n"/>
      <c r="E3075" s="63" t="n"/>
    </row>
    <row r="3076" ht="18" customHeight="1">
      <c r="A3076" s="62" t="n"/>
      <c r="B3076" s="63" t="n"/>
      <c r="C3076" s="64" t="n"/>
      <c r="D3076" s="64" t="n"/>
      <c r="E3076" s="63" t="n"/>
    </row>
    <row r="3077" ht="18" customHeight="1">
      <c r="A3077" s="62" t="n"/>
      <c r="B3077" s="63" t="n"/>
      <c r="C3077" s="64" t="n"/>
      <c r="D3077" s="64" t="n"/>
      <c r="E3077" s="63" t="n"/>
    </row>
    <row r="3078" ht="18" customHeight="1">
      <c r="A3078" s="62" t="n"/>
      <c r="B3078" s="63" t="n"/>
      <c r="C3078" s="64" t="n"/>
      <c r="D3078" s="64" t="n"/>
      <c r="E3078" s="63" t="n"/>
    </row>
    <row r="3079" ht="18" customHeight="1">
      <c r="A3079" s="62" t="n"/>
      <c r="B3079" s="63" t="n"/>
      <c r="C3079" s="64" t="n"/>
      <c r="D3079" s="64" t="n"/>
      <c r="E3079" s="63" t="n"/>
    </row>
    <row r="3080" ht="18" customHeight="1">
      <c r="A3080" s="62" t="n"/>
      <c r="B3080" s="63" t="n"/>
      <c r="C3080" s="64" t="n"/>
      <c r="D3080" s="64" t="n"/>
      <c r="E3080" s="63" t="n"/>
    </row>
    <row r="3081" ht="18" customHeight="1">
      <c r="A3081" s="62" t="n"/>
      <c r="B3081" s="63" t="n"/>
      <c r="C3081" s="64" t="n"/>
      <c r="D3081" s="64" t="n"/>
      <c r="E3081" s="63" t="n"/>
    </row>
    <row r="3082" ht="18" customHeight="1">
      <c r="A3082" s="62" t="n"/>
      <c r="B3082" s="63" t="n"/>
      <c r="C3082" s="64" t="n"/>
      <c r="D3082" s="64" t="n"/>
      <c r="E3082" s="63" t="n"/>
    </row>
    <row r="3083" ht="18" customHeight="1">
      <c r="A3083" s="62" t="n"/>
      <c r="B3083" s="63" t="n"/>
      <c r="C3083" s="64" t="n"/>
      <c r="D3083" s="64" t="n"/>
      <c r="E3083" s="63" t="n"/>
    </row>
    <row r="3084" ht="18" customHeight="1">
      <c r="A3084" s="62" t="n"/>
      <c r="B3084" s="63" t="n"/>
      <c r="C3084" s="64" t="n"/>
      <c r="D3084" s="64" t="n"/>
      <c r="E3084" s="63" t="n"/>
    </row>
    <row r="3085" ht="18" customHeight="1">
      <c r="A3085" s="62" t="n"/>
      <c r="B3085" s="63" t="n"/>
      <c r="C3085" s="64" t="n"/>
      <c r="D3085" s="64" t="n"/>
      <c r="E3085" s="63" t="n"/>
    </row>
    <row r="3086" ht="18" customHeight="1">
      <c r="A3086" s="62" t="n"/>
      <c r="B3086" s="63" t="n"/>
      <c r="C3086" s="64" t="n"/>
      <c r="D3086" s="64" t="n"/>
      <c r="E3086" s="63" t="n"/>
    </row>
    <row r="3087" ht="18" customHeight="1">
      <c r="A3087" s="62" t="n"/>
      <c r="B3087" s="63" t="n"/>
      <c r="C3087" s="64" t="n"/>
      <c r="D3087" s="64" t="n"/>
      <c r="E3087" s="63" t="n"/>
    </row>
    <row r="3088" ht="18" customHeight="1">
      <c r="A3088" s="62" t="n"/>
      <c r="B3088" s="63" t="n"/>
      <c r="C3088" s="64" t="n"/>
      <c r="D3088" s="64" t="n"/>
      <c r="E3088" s="63" t="n"/>
    </row>
    <row r="3089" ht="18" customHeight="1">
      <c r="A3089" s="62" t="n"/>
      <c r="B3089" s="63" t="n"/>
      <c r="C3089" s="64" t="n"/>
      <c r="D3089" s="64" t="n"/>
      <c r="E3089" s="63" t="n"/>
    </row>
    <row r="3090" ht="18" customHeight="1">
      <c r="A3090" s="62" t="n"/>
      <c r="B3090" s="63" t="n"/>
      <c r="C3090" s="64" t="n"/>
      <c r="D3090" s="64" t="n"/>
      <c r="E3090" s="63" t="n"/>
    </row>
    <row r="3091" ht="18" customHeight="1">
      <c r="A3091" s="62" t="n"/>
      <c r="B3091" s="63" t="n"/>
      <c r="C3091" s="64" t="n"/>
      <c r="D3091" s="64" t="n"/>
      <c r="E3091" s="63" t="n"/>
    </row>
    <row r="3092" ht="18" customHeight="1">
      <c r="A3092" s="62" t="n"/>
      <c r="B3092" s="63" t="n"/>
      <c r="C3092" s="64" t="n"/>
      <c r="D3092" s="64" t="n"/>
      <c r="E3092" s="63" t="n"/>
    </row>
    <row r="3093" ht="18" customHeight="1">
      <c r="A3093" s="62" t="n"/>
      <c r="B3093" s="63" t="n"/>
      <c r="C3093" s="64" t="n"/>
      <c r="D3093" s="64" t="n"/>
      <c r="E3093" s="63" t="n"/>
    </row>
    <row r="3094" ht="18" customHeight="1">
      <c r="A3094" s="62" t="n"/>
      <c r="B3094" s="63" t="n"/>
      <c r="C3094" s="64" t="n"/>
      <c r="D3094" s="64" t="n"/>
      <c r="E3094" s="63" t="n"/>
    </row>
    <row r="3095" ht="18" customHeight="1">
      <c r="A3095" s="62" t="n"/>
      <c r="B3095" s="63" t="n"/>
      <c r="C3095" s="64" t="n"/>
      <c r="D3095" s="64" t="n"/>
      <c r="E3095" s="63" t="n"/>
    </row>
    <row r="3096" ht="18" customHeight="1">
      <c r="A3096" s="62" t="n"/>
      <c r="B3096" s="63" t="n"/>
      <c r="C3096" s="64" t="n"/>
      <c r="D3096" s="64" t="n"/>
      <c r="E3096" s="63" t="n"/>
    </row>
    <row r="3097" ht="18" customHeight="1">
      <c r="A3097" s="62" t="n"/>
      <c r="B3097" s="63" t="n"/>
      <c r="C3097" s="64" t="n"/>
      <c r="D3097" s="64" t="n"/>
      <c r="E3097" s="63" t="n"/>
    </row>
    <row r="3098" ht="18" customHeight="1">
      <c r="A3098" s="62" t="n"/>
      <c r="B3098" s="63" t="n"/>
      <c r="C3098" s="64" t="n"/>
      <c r="D3098" s="64" t="n"/>
      <c r="E3098" s="63" t="n"/>
    </row>
    <row r="3099" ht="18" customHeight="1">
      <c r="A3099" s="62" t="n"/>
      <c r="B3099" s="63" t="n"/>
      <c r="C3099" s="64" t="n"/>
      <c r="D3099" s="64" t="n"/>
      <c r="E3099" s="63" t="n"/>
    </row>
    <row r="3100" ht="18" customHeight="1">
      <c r="A3100" s="62" t="n"/>
      <c r="B3100" s="63" t="n"/>
      <c r="C3100" s="64" t="n"/>
      <c r="D3100" s="64" t="n"/>
      <c r="E3100" s="63" t="n"/>
    </row>
    <row r="3101" ht="18" customHeight="1">
      <c r="A3101" s="62" t="n"/>
      <c r="B3101" s="63" t="n"/>
      <c r="C3101" s="64" t="n"/>
      <c r="D3101" s="64" t="n"/>
      <c r="E3101" s="63" t="n"/>
    </row>
    <row r="3102" ht="18" customHeight="1">
      <c r="A3102" s="62" t="n"/>
      <c r="B3102" s="63" t="n"/>
      <c r="C3102" s="64" t="n"/>
      <c r="D3102" s="64" t="n"/>
      <c r="E3102" s="63" t="n"/>
    </row>
    <row r="3103" ht="18" customHeight="1">
      <c r="A3103" s="62" t="n"/>
      <c r="B3103" s="63" t="n"/>
      <c r="C3103" s="64" t="n"/>
      <c r="D3103" s="64" t="n"/>
      <c r="E3103" s="63" t="n"/>
    </row>
    <row r="3104" ht="18" customHeight="1">
      <c r="A3104" s="62" t="n"/>
      <c r="B3104" s="63" t="n"/>
      <c r="C3104" s="64" t="n"/>
      <c r="D3104" s="64" t="n"/>
      <c r="E3104" s="63" t="n"/>
    </row>
    <row r="3105" ht="18" customHeight="1">
      <c r="A3105" s="62" t="n"/>
      <c r="B3105" s="63" t="n"/>
      <c r="C3105" s="64" t="n"/>
      <c r="D3105" s="64" t="n"/>
      <c r="E3105" s="63" t="n"/>
    </row>
    <row r="3106" ht="18" customHeight="1">
      <c r="A3106" s="62" t="n"/>
      <c r="B3106" s="63" t="n"/>
      <c r="C3106" s="64" t="n"/>
      <c r="D3106" s="64" t="n"/>
      <c r="E3106" s="63" t="n"/>
    </row>
    <row r="3107" ht="18" customHeight="1">
      <c r="A3107" s="62" t="n"/>
      <c r="B3107" s="63" t="n"/>
      <c r="C3107" s="64" t="n"/>
      <c r="D3107" s="64" t="n"/>
      <c r="E3107" s="63" t="n"/>
    </row>
    <row r="3108" ht="18" customHeight="1">
      <c r="A3108" s="62" t="n"/>
      <c r="B3108" s="63" t="n"/>
      <c r="C3108" s="64" t="n"/>
      <c r="D3108" s="64" t="n"/>
      <c r="E3108" s="63" t="n"/>
    </row>
    <row r="3109" ht="18" customHeight="1">
      <c r="A3109" s="62" t="n"/>
      <c r="B3109" s="63" t="n"/>
      <c r="C3109" s="64" t="n"/>
      <c r="D3109" s="64" t="n"/>
      <c r="E3109" s="63" t="n"/>
    </row>
    <row r="3110" ht="18" customHeight="1">
      <c r="A3110" s="62" t="n"/>
      <c r="B3110" s="63" t="n"/>
      <c r="C3110" s="64" t="n"/>
      <c r="D3110" s="64" t="n"/>
      <c r="E3110" s="63" t="n"/>
    </row>
    <row r="3111" ht="18" customHeight="1">
      <c r="A3111" s="62" t="n"/>
      <c r="B3111" s="63" t="n"/>
      <c r="C3111" s="64" t="n"/>
      <c r="D3111" s="64" t="n"/>
      <c r="E3111" s="63" t="n"/>
    </row>
    <row r="3112" ht="18" customHeight="1">
      <c r="A3112" s="62" t="n"/>
      <c r="B3112" s="63" t="n"/>
      <c r="C3112" s="64" t="n"/>
      <c r="D3112" s="64" t="n"/>
      <c r="E3112" s="63" t="n"/>
    </row>
    <row r="3113" ht="18" customHeight="1">
      <c r="A3113" s="62" t="n"/>
      <c r="B3113" s="63" t="n"/>
      <c r="C3113" s="64" t="n"/>
      <c r="D3113" s="64" t="n"/>
      <c r="E3113" s="63" t="n"/>
    </row>
    <row r="3114" ht="18" customHeight="1">
      <c r="A3114" s="62" t="n"/>
      <c r="B3114" s="63" t="n"/>
      <c r="C3114" s="64" t="n"/>
      <c r="D3114" s="64" t="n"/>
      <c r="E3114" s="63" t="n"/>
    </row>
    <row r="3115" ht="18" customHeight="1">
      <c r="A3115" s="62" t="n"/>
      <c r="B3115" s="63" t="n"/>
      <c r="C3115" s="64" t="n"/>
      <c r="D3115" s="64" t="n"/>
      <c r="E3115" s="63" t="n"/>
    </row>
    <row r="3116" ht="18" customHeight="1">
      <c r="A3116" s="62" t="n"/>
      <c r="B3116" s="63" t="n"/>
      <c r="C3116" s="64" t="n"/>
      <c r="D3116" s="64" t="n"/>
      <c r="E3116" s="63" t="n"/>
    </row>
    <row r="3117" ht="18" customHeight="1">
      <c r="A3117" s="62" t="n"/>
      <c r="B3117" s="63" t="n"/>
      <c r="C3117" s="64" t="n"/>
      <c r="D3117" s="64" t="n"/>
      <c r="E3117" s="63" t="n"/>
    </row>
    <row r="3118" ht="18" customHeight="1">
      <c r="A3118" s="62" t="n"/>
      <c r="B3118" s="63" t="n"/>
      <c r="C3118" s="64" t="n"/>
      <c r="D3118" s="64" t="n"/>
      <c r="E3118" s="63" t="n"/>
    </row>
    <row r="3119" ht="18" customHeight="1">
      <c r="A3119" s="62" t="n"/>
      <c r="B3119" s="63" t="n"/>
      <c r="C3119" s="64" t="n"/>
      <c r="D3119" s="64" t="n"/>
      <c r="E3119" s="63" t="n"/>
    </row>
    <row r="3120" ht="18" customHeight="1">
      <c r="A3120" s="62" t="n"/>
      <c r="B3120" s="63" t="n"/>
      <c r="C3120" s="64" t="n"/>
      <c r="D3120" s="64" t="n"/>
      <c r="E3120" s="63" t="n"/>
    </row>
    <row r="3121" ht="18" customHeight="1">
      <c r="A3121" s="62" t="n"/>
      <c r="B3121" s="63" t="n"/>
      <c r="C3121" s="64" t="n"/>
      <c r="D3121" s="64" t="n"/>
      <c r="E3121" s="63" t="n"/>
    </row>
    <row r="3122" ht="18" customHeight="1">
      <c r="A3122" s="62" t="n"/>
      <c r="B3122" s="63" t="n"/>
      <c r="C3122" s="64" t="n"/>
      <c r="D3122" s="64" t="n"/>
      <c r="E3122" s="63" t="n"/>
    </row>
    <row r="3123" ht="18" customHeight="1">
      <c r="A3123" s="62" t="n"/>
      <c r="B3123" s="63" t="n"/>
      <c r="C3123" s="64" t="n"/>
      <c r="D3123" s="64" t="n"/>
      <c r="E3123" s="63" t="n"/>
    </row>
    <row r="3124" ht="18" customHeight="1">
      <c r="A3124" s="62" t="n"/>
      <c r="B3124" s="63" t="n"/>
      <c r="C3124" s="64" t="n"/>
      <c r="D3124" s="64" t="n"/>
      <c r="E3124" s="63" t="n"/>
    </row>
    <row r="3125" ht="18" customHeight="1">
      <c r="A3125" s="62" t="n"/>
      <c r="B3125" s="63" t="n"/>
      <c r="C3125" s="64" t="n"/>
      <c r="D3125" s="64" t="n"/>
      <c r="E3125" s="63" t="n"/>
    </row>
    <row r="3126" ht="18" customHeight="1">
      <c r="A3126" s="62" t="n"/>
      <c r="B3126" s="63" t="n"/>
      <c r="C3126" s="64" t="n"/>
      <c r="D3126" s="64" t="n"/>
      <c r="E3126" s="63" t="n"/>
    </row>
    <row r="3127" ht="18" customHeight="1">
      <c r="A3127" s="62" t="n"/>
      <c r="B3127" s="63" t="n"/>
      <c r="C3127" s="64" t="n"/>
      <c r="D3127" s="64" t="n"/>
      <c r="E3127" s="63" t="n"/>
    </row>
    <row r="3128" ht="18" customHeight="1">
      <c r="A3128" s="62" t="n"/>
      <c r="B3128" s="63" t="n"/>
      <c r="C3128" s="64" t="n"/>
      <c r="D3128" s="64" t="n"/>
      <c r="E3128" s="63" t="n"/>
    </row>
    <row r="3129" ht="18" customHeight="1">
      <c r="A3129" s="62" t="n"/>
      <c r="B3129" s="63" t="n"/>
      <c r="C3129" s="64" t="n"/>
      <c r="D3129" s="64" t="n"/>
      <c r="E3129" s="63" t="n"/>
    </row>
    <row r="3130" ht="18" customHeight="1">
      <c r="A3130" s="62" t="n"/>
      <c r="B3130" s="63" t="n"/>
      <c r="C3130" s="64" t="n"/>
      <c r="D3130" s="64" t="n"/>
      <c r="E3130" s="63" t="n"/>
    </row>
    <row r="3131" ht="18" customHeight="1">
      <c r="A3131" s="62" t="n"/>
      <c r="B3131" s="63" t="n"/>
      <c r="C3131" s="64" t="n"/>
      <c r="D3131" s="64" t="n"/>
      <c r="E3131" s="63" t="n"/>
    </row>
    <row r="3132" ht="18" customHeight="1">
      <c r="A3132" s="62" t="n"/>
      <c r="B3132" s="63" t="n"/>
      <c r="C3132" s="64" t="n"/>
      <c r="D3132" s="64" t="n"/>
      <c r="E3132" s="63" t="n"/>
    </row>
    <row r="3133" ht="18" customHeight="1">
      <c r="A3133" s="62" t="n"/>
      <c r="B3133" s="63" t="n"/>
      <c r="C3133" s="64" t="n"/>
      <c r="D3133" s="64" t="n"/>
      <c r="E3133" s="63" t="n"/>
    </row>
    <row r="3134" ht="18" customHeight="1">
      <c r="A3134" s="62" t="n"/>
      <c r="B3134" s="63" t="n"/>
      <c r="C3134" s="64" t="n"/>
      <c r="D3134" s="64" t="n"/>
      <c r="E3134" s="63" t="n"/>
    </row>
    <row r="3135" ht="18" customHeight="1">
      <c r="A3135" s="62" t="n"/>
      <c r="B3135" s="63" t="n"/>
      <c r="C3135" s="64" t="n"/>
      <c r="D3135" s="64" t="n"/>
      <c r="E3135" s="63" t="n"/>
    </row>
    <row r="3136" ht="18" customHeight="1">
      <c r="A3136" s="62" t="n"/>
      <c r="B3136" s="63" t="n"/>
      <c r="C3136" s="64" t="n"/>
      <c r="D3136" s="64" t="n"/>
      <c r="E3136" s="63" t="n"/>
    </row>
    <row r="3137" ht="18" customHeight="1">
      <c r="A3137" s="62" t="n"/>
      <c r="B3137" s="63" t="n"/>
      <c r="C3137" s="64" t="n"/>
      <c r="D3137" s="64" t="n"/>
      <c r="E3137" s="63" t="n"/>
    </row>
    <row r="3138" ht="18" customHeight="1">
      <c r="A3138" s="62" t="n"/>
      <c r="B3138" s="63" t="n"/>
      <c r="C3138" s="64" t="n"/>
      <c r="D3138" s="64" t="n"/>
      <c r="E3138" s="63" t="n"/>
    </row>
    <row r="3139" ht="18" customHeight="1">
      <c r="A3139" s="62" t="n"/>
      <c r="B3139" s="63" t="n"/>
      <c r="C3139" s="64" t="n"/>
      <c r="D3139" s="64" t="n"/>
      <c r="E3139" s="63" t="n"/>
    </row>
    <row r="3140" ht="18" customHeight="1">
      <c r="A3140" s="62" t="n"/>
      <c r="B3140" s="63" t="n"/>
      <c r="C3140" s="64" t="n"/>
      <c r="D3140" s="64" t="n"/>
      <c r="E3140" s="63" t="n"/>
    </row>
    <row r="3141" ht="18" customHeight="1">
      <c r="A3141" s="62" t="n"/>
      <c r="B3141" s="63" t="n"/>
      <c r="C3141" s="64" t="n"/>
      <c r="D3141" s="64" t="n"/>
      <c r="E3141" s="63" t="n"/>
    </row>
    <row r="3142" ht="18" customHeight="1">
      <c r="A3142" s="62" t="n"/>
      <c r="B3142" s="63" t="n"/>
      <c r="C3142" s="64" t="n"/>
      <c r="D3142" s="64" t="n"/>
      <c r="E3142" s="63" t="n"/>
    </row>
    <row r="3143" ht="18" customHeight="1">
      <c r="A3143" s="62" t="n"/>
      <c r="B3143" s="63" t="n"/>
      <c r="C3143" s="64" t="n"/>
      <c r="D3143" s="64" t="n"/>
      <c r="E3143" s="63" t="n"/>
    </row>
    <row r="3144" ht="18" customHeight="1">
      <c r="A3144" s="62" t="n"/>
      <c r="B3144" s="63" t="n"/>
      <c r="C3144" s="64" t="n"/>
      <c r="D3144" s="64" t="n"/>
      <c r="E3144" s="63" t="n"/>
    </row>
    <row r="3145" ht="18" customHeight="1">
      <c r="A3145" s="62" t="n"/>
      <c r="B3145" s="63" t="n"/>
      <c r="C3145" s="64" t="n"/>
      <c r="D3145" s="64" t="n"/>
      <c r="E3145" s="63" t="n"/>
    </row>
    <row r="3146" ht="18" customHeight="1">
      <c r="A3146" s="62" t="n"/>
      <c r="B3146" s="63" t="n"/>
      <c r="C3146" s="64" t="n"/>
      <c r="D3146" s="64" t="n"/>
      <c r="E3146" s="63" t="n"/>
    </row>
    <row r="3147" ht="18" customHeight="1">
      <c r="A3147" s="62" t="n"/>
      <c r="B3147" s="63" t="n"/>
      <c r="C3147" s="64" t="n"/>
      <c r="D3147" s="64" t="n"/>
      <c r="E3147" s="63" t="n"/>
    </row>
    <row r="3148" ht="18" customHeight="1">
      <c r="A3148" s="62" t="n"/>
      <c r="B3148" s="63" t="n"/>
      <c r="C3148" s="64" t="n"/>
      <c r="D3148" s="64" t="n"/>
      <c r="E3148" s="63" t="n"/>
    </row>
    <row r="3149" ht="18" customHeight="1">
      <c r="A3149" s="62" t="n"/>
      <c r="B3149" s="63" t="n"/>
      <c r="C3149" s="64" t="n"/>
      <c r="D3149" s="64" t="n"/>
      <c r="E3149" s="63" t="n"/>
    </row>
    <row r="3150" ht="18" customHeight="1">
      <c r="A3150" s="62" t="n"/>
      <c r="B3150" s="63" t="n"/>
      <c r="C3150" s="64" t="n"/>
      <c r="D3150" s="64" t="n"/>
      <c r="E3150" s="63" t="n"/>
    </row>
    <row r="3151" ht="18" customHeight="1">
      <c r="A3151" s="62" t="n"/>
      <c r="B3151" s="63" t="n"/>
      <c r="C3151" s="64" t="n"/>
      <c r="D3151" s="64" t="n"/>
      <c r="E3151" s="63" t="n"/>
    </row>
    <row r="3152" ht="18" customHeight="1">
      <c r="A3152" s="62" t="n"/>
      <c r="B3152" s="63" t="n"/>
      <c r="C3152" s="64" t="n"/>
      <c r="D3152" s="64" t="n"/>
      <c r="E3152" s="63" t="n"/>
    </row>
    <row r="3153" ht="18" customHeight="1">
      <c r="A3153" s="62" t="n"/>
      <c r="B3153" s="63" t="n"/>
      <c r="C3153" s="64" t="n"/>
      <c r="D3153" s="64" t="n"/>
      <c r="E3153" s="63" t="n"/>
    </row>
    <row r="3154" ht="18" customHeight="1">
      <c r="A3154" s="62" t="n"/>
      <c r="B3154" s="63" t="n"/>
      <c r="C3154" s="64" t="n"/>
      <c r="D3154" s="64" t="n"/>
      <c r="E3154" s="63" t="n"/>
    </row>
    <row r="3155" ht="18" customHeight="1">
      <c r="A3155" s="62" t="n"/>
      <c r="B3155" s="63" t="n"/>
      <c r="C3155" s="64" t="n"/>
      <c r="D3155" s="64" t="n"/>
      <c r="E3155" s="63" t="n"/>
    </row>
    <row r="3156" ht="18" customHeight="1">
      <c r="A3156" s="62" t="n"/>
      <c r="B3156" s="63" t="n"/>
      <c r="C3156" s="64" t="n"/>
      <c r="D3156" s="64" t="n"/>
      <c r="E3156" s="63" t="n"/>
    </row>
    <row r="3157" ht="18" customHeight="1">
      <c r="A3157" s="62" t="n"/>
      <c r="B3157" s="63" t="n"/>
      <c r="C3157" s="64" t="n"/>
      <c r="D3157" s="64" t="n"/>
      <c r="E3157" s="63" t="n"/>
    </row>
    <row r="3158" ht="18" customHeight="1">
      <c r="A3158" s="62" t="n"/>
      <c r="B3158" s="63" t="n"/>
      <c r="C3158" s="64" t="n"/>
      <c r="D3158" s="64" t="n"/>
      <c r="E3158" s="63" t="n"/>
    </row>
    <row r="3159" ht="18" customHeight="1">
      <c r="A3159" s="62" t="n"/>
      <c r="B3159" s="63" t="n"/>
      <c r="C3159" s="64" t="n"/>
      <c r="D3159" s="64" t="n"/>
      <c r="E3159" s="63" t="n"/>
    </row>
    <row r="3160" ht="18" customHeight="1">
      <c r="A3160" s="62" t="n"/>
      <c r="B3160" s="63" t="n"/>
      <c r="C3160" s="64" t="n"/>
      <c r="D3160" s="64" t="n"/>
      <c r="E3160" s="63" t="n"/>
    </row>
    <row r="3161" ht="18" customHeight="1">
      <c r="A3161" s="62" t="n"/>
      <c r="B3161" s="63" t="n"/>
      <c r="C3161" s="64" t="n"/>
      <c r="D3161" s="64" t="n"/>
      <c r="E3161" s="63" t="n"/>
    </row>
    <row r="3162" ht="18" customHeight="1">
      <c r="A3162" s="62" t="n"/>
      <c r="B3162" s="63" t="n"/>
      <c r="C3162" s="64" t="n"/>
      <c r="D3162" s="64" t="n"/>
      <c r="E3162" s="63" t="n"/>
    </row>
    <row r="3163" ht="18" customHeight="1">
      <c r="A3163" s="62" t="n"/>
      <c r="B3163" s="63" t="n"/>
      <c r="C3163" s="64" t="n"/>
      <c r="D3163" s="64" t="n"/>
      <c r="E3163" s="63" t="n"/>
    </row>
    <row r="3164" ht="18" customHeight="1">
      <c r="A3164" s="62" t="n"/>
      <c r="B3164" s="63" t="n"/>
      <c r="C3164" s="64" t="n"/>
      <c r="D3164" s="64" t="n"/>
      <c r="E3164" s="63" t="n"/>
    </row>
    <row r="3165" ht="18" customHeight="1">
      <c r="A3165" s="62" t="n"/>
      <c r="B3165" s="63" t="n"/>
      <c r="C3165" s="64" t="n"/>
      <c r="D3165" s="64" t="n"/>
      <c r="E3165" s="63" t="n"/>
    </row>
    <row r="3166" ht="18" customHeight="1">
      <c r="A3166" s="62" t="n"/>
      <c r="B3166" s="63" t="n"/>
      <c r="C3166" s="64" t="n"/>
      <c r="D3166" s="64" t="n"/>
      <c r="E3166" s="63" t="n"/>
    </row>
    <row r="3167" ht="18" customHeight="1">
      <c r="A3167" s="62" t="n"/>
      <c r="B3167" s="63" t="n"/>
      <c r="C3167" s="64" t="n"/>
      <c r="D3167" s="64" t="n"/>
      <c r="E3167" s="63" t="n"/>
    </row>
    <row r="3168" ht="18" customHeight="1">
      <c r="A3168" s="62" t="n"/>
      <c r="B3168" s="63" t="n"/>
      <c r="C3168" s="64" t="n"/>
      <c r="D3168" s="64" t="n"/>
      <c r="E3168" s="63" t="n"/>
    </row>
    <row r="3169" ht="18" customHeight="1">
      <c r="A3169" s="62" t="n"/>
      <c r="B3169" s="63" t="n"/>
      <c r="C3169" s="64" t="n"/>
      <c r="D3169" s="64" t="n"/>
      <c r="E3169" s="63" t="n"/>
    </row>
    <row r="3170" ht="18" customHeight="1">
      <c r="A3170" s="62" t="n"/>
      <c r="B3170" s="63" t="n"/>
      <c r="C3170" s="64" t="n"/>
      <c r="D3170" s="64" t="n"/>
      <c r="E3170" s="63" t="n"/>
    </row>
    <row r="3171" ht="18" customHeight="1">
      <c r="A3171" s="62" t="n"/>
      <c r="B3171" s="63" t="n"/>
      <c r="C3171" s="64" t="n"/>
      <c r="D3171" s="64" t="n"/>
      <c r="E3171" s="63" t="n"/>
    </row>
    <row r="3172" ht="18" customHeight="1">
      <c r="A3172" s="62" t="n"/>
      <c r="B3172" s="63" t="n"/>
      <c r="C3172" s="64" t="n"/>
      <c r="D3172" s="64" t="n"/>
      <c r="E3172" s="63" t="n"/>
    </row>
    <row r="3173" ht="18" customHeight="1">
      <c r="A3173" s="62" t="n"/>
      <c r="B3173" s="63" t="n"/>
      <c r="C3173" s="64" t="n"/>
      <c r="D3173" s="64" t="n"/>
      <c r="E3173" s="63" t="n"/>
    </row>
    <row r="3174" ht="18" customHeight="1">
      <c r="A3174" s="62" t="n"/>
      <c r="B3174" s="63" t="n"/>
      <c r="C3174" s="64" t="n"/>
      <c r="D3174" s="64" t="n"/>
      <c r="E3174" s="63" t="n"/>
    </row>
    <row r="3175" ht="18" customHeight="1">
      <c r="A3175" s="62" t="n"/>
      <c r="B3175" s="63" t="n"/>
      <c r="C3175" s="64" t="n"/>
      <c r="D3175" s="64" t="n"/>
      <c r="E3175" s="63" t="n"/>
    </row>
    <row r="3176" ht="18" customHeight="1">
      <c r="A3176" s="62" t="n"/>
      <c r="B3176" s="63" t="n"/>
      <c r="C3176" s="64" t="n"/>
      <c r="D3176" s="64" t="n"/>
      <c r="E3176" s="63" t="n"/>
    </row>
    <row r="3177" ht="18" customHeight="1">
      <c r="A3177" s="62" t="n"/>
      <c r="B3177" s="63" t="n"/>
      <c r="C3177" s="64" t="n"/>
      <c r="D3177" s="64" t="n"/>
      <c r="E3177" s="63" t="n"/>
    </row>
    <row r="3178" ht="18" customHeight="1">
      <c r="A3178" s="62" t="n"/>
      <c r="B3178" s="63" t="n"/>
      <c r="C3178" s="64" t="n"/>
      <c r="D3178" s="64" t="n"/>
      <c r="E3178" s="63" t="n"/>
    </row>
    <row r="3179" ht="18" customHeight="1">
      <c r="A3179" s="62" t="n"/>
      <c r="B3179" s="63" t="n"/>
      <c r="C3179" s="64" t="n"/>
      <c r="D3179" s="64" t="n"/>
      <c r="E3179" s="63" t="n"/>
    </row>
    <row r="3180" ht="18" customHeight="1">
      <c r="A3180" s="62" t="n"/>
      <c r="B3180" s="63" t="n"/>
      <c r="C3180" s="64" t="n"/>
      <c r="D3180" s="64" t="n"/>
      <c r="E3180" s="63" t="n"/>
    </row>
    <row r="3181" ht="18" customHeight="1">
      <c r="A3181" s="62" t="n"/>
      <c r="B3181" s="63" t="n"/>
      <c r="C3181" s="64" t="n"/>
      <c r="D3181" s="64" t="n"/>
      <c r="E3181" s="63" t="n"/>
    </row>
    <row r="3182" ht="18" customHeight="1">
      <c r="A3182" s="62" t="n"/>
      <c r="B3182" s="63" t="n"/>
      <c r="C3182" s="64" t="n"/>
      <c r="D3182" s="64" t="n"/>
      <c r="E3182" s="63" t="n"/>
    </row>
    <row r="3183" ht="18" customHeight="1">
      <c r="A3183" s="62" t="n"/>
      <c r="B3183" s="63" t="n"/>
      <c r="C3183" s="64" t="n"/>
      <c r="D3183" s="64" t="n"/>
      <c r="E3183" s="63" t="n"/>
    </row>
    <row r="3184" ht="18" customHeight="1">
      <c r="A3184" s="62" t="n"/>
      <c r="B3184" s="63" t="n"/>
      <c r="C3184" s="64" t="n"/>
      <c r="D3184" s="64" t="n"/>
      <c r="E3184" s="63" t="n"/>
    </row>
    <row r="3185" ht="18" customHeight="1">
      <c r="A3185" s="62" t="n"/>
      <c r="B3185" s="63" t="n"/>
      <c r="C3185" s="64" t="n"/>
      <c r="D3185" s="64" t="n"/>
      <c r="E3185" s="63" t="n"/>
    </row>
    <row r="3186" ht="18" customHeight="1">
      <c r="A3186" s="62" t="n"/>
      <c r="B3186" s="63" t="n"/>
      <c r="C3186" s="64" t="n"/>
      <c r="D3186" s="64" t="n"/>
      <c r="E3186" s="63" t="n"/>
    </row>
    <row r="3187" ht="18" customHeight="1">
      <c r="A3187" s="62" t="n"/>
      <c r="B3187" s="63" t="n"/>
      <c r="C3187" s="64" t="n"/>
      <c r="D3187" s="64" t="n"/>
      <c r="E3187" s="63" t="n"/>
    </row>
    <row r="3188" ht="18" customHeight="1">
      <c r="A3188" s="62" t="n"/>
      <c r="B3188" s="63" t="n"/>
      <c r="C3188" s="64" t="n"/>
      <c r="D3188" s="64" t="n"/>
      <c r="E3188" s="63" t="n"/>
    </row>
    <row r="3189" ht="18" customHeight="1">
      <c r="A3189" s="62" t="n"/>
      <c r="B3189" s="63" t="n"/>
      <c r="C3189" s="64" t="n"/>
      <c r="D3189" s="64" t="n"/>
      <c r="E3189" s="63" t="n"/>
    </row>
    <row r="3190" ht="18" customHeight="1">
      <c r="A3190" s="62" t="n"/>
      <c r="B3190" s="63" t="n"/>
      <c r="C3190" s="64" t="n"/>
      <c r="D3190" s="64" t="n"/>
      <c r="E3190" s="63" t="n"/>
    </row>
    <row r="3191" ht="18" customHeight="1">
      <c r="A3191" s="62" t="n"/>
      <c r="B3191" s="63" t="n"/>
      <c r="C3191" s="64" t="n"/>
      <c r="D3191" s="64" t="n"/>
      <c r="E3191" s="63" t="n"/>
    </row>
    <row r="3192" ht="18" customHeight="1">
      <c r="A3192" s="62" t="n"/>
      <c r="B3192" s="63" t="n"/>
      <c r="C3192" s="64" t="n"/>
      <c r="D3192" s="64" t="n"/>
      <c r="E3192" s="63" t="n"/>
    </row>
    <row r="3193" ht="18" customHeight="1">
      <c r="A3193" s="62" t="n"/>
      <c r="B3193" s="63" t="n"/>
      <c r="C3193" s="64" t="n"/>
      <c r="D3193" s="64" t="n"/>
      <c r="E3193" s="63" t="n"/>
    </row>
    <row r="3194" ht="18" customHeight="1">
      <c r="A3194" s="62" t="n"/>
      <c r="B3194" s="63" t="n"/>
      <c r="C3194" s="64" t="n"/>
      <c r="D3194" s="64" t="n"/>
      <c r="E3194" s="63" t="n"/>
    </row>
    <row r="3195" ht="18" customHeight="1">
      <c r="A3195" s="62" t="n"/>
      <c r="B3195" s="63" t="n"/>
      <c r="C3195" s="64" t="n"/>
      <c r="D3195" s="64" t="n"/>
      <c r="E3195" s="63" t="n"/>
    </row>
    <row r="3196" ht="18" customHeight="1">
      <c r="A3196" s="62" t="n"/>
      <c r="B3196" s="63" t="n"/>
      <c r="C3196" s="64" t="n"/>
      <c r="D3196" s="64" t="n"/>
      <c r="E3196" s="63" t="n"/>
    </row>
    <row r="3197" ht="18" customHeight="1">
      <c r="A3197" s="62" t="n"/>
      <c r="B3197" s="63" t="n"/>
      <c r="C3197" s="64" t="n"/>
      <c r="D3197" s="64" t="n"/>
      <c r="E3197" s="63" t="n"/>
    </row>
    <row r="3198" ht="18" customHeight="1">
      <c r="A3198" s="62" t="n"/>
      <c r="B3198" s="63" t="n"/>
      <c r="C3198" s="64" t="n"/>
      <c r="D3198" s="64" t="n"/>
      <c r="E3198" s="63" t="n"/>
    </row>
    <row r="3199" ht="18" customHeight="1">
      <c r="A3199" s="62" t="n"/>
      <c r="B3199" s="63" t="n"/>
      <c r="C3199" s="64" t="n"/>
      <c r="D3199" s="64" t="n"/>
      <c r="E3199" s="63" t="n"/>
    </row>
    <row r="3200" ht="18" customHeight="1">
      <c r="A3200" s="62" t="n"/>
      <c r="B3200" s="63" t="n"/>
      <c r="C3200" s="64" t="n"/>
      <c r="D3200" s="64" t="n"/>
      <c r="E3200" s="63" t="n"/>
    </row>
    <row r="3201" ht="18" customHeight="1">
      <c r="A3201" s="62" t="n"/>
      <c r="B3201" s="63" t="n"/>
      <c r="C3201" s="64" t="n"/>
      <c r="D3201" s="64" t="n"/>
      <c r="E3201" s="63" t="n"/>
    </row>
    <row r="3202" ht="18" customHeight="1">
      <c r="A3202" s="62" t="n"/>
      <c r="B3202" s="63" t="n"/>
      <c r="C3202" s="64" t="n"/>
      <c r="D3202" s="64" t="n"/>
      <c r="E3202" s="63" t="n"/>
    </row>
    <row r="3203" ht="18" customHeight="1">
      <c r="A3203" s="62" t="n"/>
      <c r="B3203" s="63" t="n"/>
      <c r="C3203" s="64" t="n"/>
      <c r="D3203" s="64" t="n"/>
      <c r="E3203" s="63" t="n"/>
    </row>
    <row r="3204" ht="18" customHeight="1">
      <c r="A3204" s="62" t="n"/>
      <c r="B3204" s="63" t="n"/>
      <c r="C3204" s="64" t="n"/>
      <c r="D3204" s="64" t="n"/>
      <c r="E3204" s="63" t="n"/>
    </row>
    <row r="3205" ht="18" customHeight="1">
      <c r="A3205" s="62" t="n"/>
      <c r="B3205" s="63" t="n"/>
      <c r="C3205" s="64" t="n"/>
      <c r="D3205" s="64" t="n"/>
      <c r="E3205" s="63" t="n"/>
    </row>
    <row r="3206" ht="18" customHeight="1">
      <c r="A3206" s="62" t="n"/>
      <c r="B3206" s="63" t="n"/>
      <c r="C3206" s="64" t="n"/>
      <c r="D3206" s="64" t="n"/>
      <c r="E3206" s="63" t="n"/>
    </row>
    <row r="3207" ht="18" customHeight="1">
      <c r="A3207" s="62" t="n"/>
      <c r="B3207" s="63" t="n"/>
      <c r="C3207" s="64" t="n"/>
      <c r="D3207" s="64" t="n"/>
      <c r="E3207" s="63" t="n"/>
    </row>
    <row r="3208" ht="18" customHeight="1">
      <c r="A3208" s="62" t="n"/>
      <c r="B3208" s="63" t="n"/>
      <c r="C3208" s="64" t="n"/>
      <c r="D3208" s="64" t="n"/>
      <c r="E3208" s="63" t="n"/>
    </row>
    <row r="3209" ht="18" customHeight="1">
      <c r="A3209" s="62" t="n"/>
      <c r="B3209" s="63" t="n"/>
      <c r="C3209" s="64" t="n"/>
      <c r="D3209" s="64" t="n"/>
      <c r="E3209" s="63" t="n"/>
    </row>
    <row r="3210" ht="18" customHeight="1">
      <c r="A3210" s="62" t="n"/>
      <c r="B3210" s="63" t="n"/>
      <c r="C3210" s="64" t="n"/>
      <c r="D3210" s="64" t="n"/>
      <c r="E3210" s="63" t="n"/>
    </row>
    <row r="3211" ht="18" customHeight="1">
      <c r="A3211" s="62" t="n"/>
      <c r="B3211" s="63" t="n"/>
      <c r="C3211" s="64" t="n"/>
      <c r="D3211" s="64" t="n"/>
      <c r="E3211" s="63" t="n"/>
    </row>
    <row r="3212" ht="18" customHeight="1">
      <c r="A3212" s="62" t="n"/>
      <c r="B3212" s="63" t="n"/>
      <c r="C3212" s="64" t="n"/>
      <c r="D3212" s="64" t="n"/>
      <c r="E3212" s="63" t="n"/>
    </row>
    <row r="3213" ht="18" customHeight="1">
      <c r="A3213" s="62" t="n"/>
      <c r="B3213" s="63" t="n"/>
      <c r="C3213" s="64" t="n"/>
      <c r="D3213" s="64" t="n"/>
      <c r="E3213" s="63" t="n"/>
    </row>
    <row r="3214" ht="18" customHeight="1">
      <c r="A3214" s="62" t="n"/>
      <c r="B3214" s="63" t="n"/>
      <c r="C3214" s="64" t="n"/>
      <c r="D3214" s="64" t="n"/>
      <c r="E3214" s="63" t="n"/>
    </row>
    <row r="3215" ht="18" customHeight="1">
      <c r="A3215" s="62" t="n"/>
      <c r="B3215" s="63" t="n"/>
      <c r="C3215" s="64" t="n"/>
      <c r="D3215" s="64" t="n"/>
      <c r="E3215" s="63" t="n"/>
    </row>
    <row r="3216" ht="18" customHeight="1">
      <c r="A3216" s="62" t="n"/>
      <c r="B3216" s="63" t="n"/>
      <c r="C3216" s="64" t="n"/>
      <c r="D3216" s="64" t="n"/>
      <c r="E3216" s="63" t="n"/>
    </row>
    <row r="3217" ht="18" customHeight="1">
      <c r="A3217" s="62" t="n"/>
      <c r="B3217" s="63" t="n"/>
      <c r="C3217" s="64" t="n"/>
      <c r="D3217" s="64" t="n"/>
      <c r="E3217" s="63" t="n"/>
    </row>
    <row r="3218" ht="18" customHeight="1">
      <c r="A3218" s="62" t="n"/>
      <c r="B3218" s="63" t="n"/>
      <c r="C3218" s="64" t="n"/>
      <c r="D3218" s="64" t="n"/>
      <c r="E3218" s="63" t="n"/>
    </row>
    <row r="3219" ht="18" customHeight="1">
      <c r="A3219" s="62" t="n"/>
      <c r="B3219" s="63" t="n"/>
      <c r="C3219" s="64" t="n"/>
      <c r="D3219" s="64" t="n"/>
      <c r="E3219" s="63" t="n"/>
    </row>
    <row r="3220" ht="18" customHeight="1">
      <c r="A3220" s="62" t="n"/>
      <c r="B3220" s="63" t="n"/>
      <c r="C3220" s="64" t="n"/>
      <c r="D3220" s="64" t="n"/>
      <c r="E3220" s="63" t="n"/>
    </row>
    <row r="3221" ht="18" customHeight="1">
      <c r="A3221" s="62" t="n"/>
      <c r="B3221" s="63" t="n"/>
      <c r="C3221" s="64" t="n"/>
      <c r="D3221" s="64" t="n"/>
      <c r="E3221" s="63" t="n"/>
    </row>
    <row r="3222" ht="18" customHeight="1">
      <c r="A3222" s="62" t="n"/>
      <c r="B3222" s="63" t="n"/>
      <c r="C3222" s="64" t="n"/>
      <c r="D3222" s="64" t="n"/>
      <c r="E3222" s="63" t="n"/>
    </row>
    <row r="3223" ht="18" customHeight="1">
      <c r="A3223" s="62" t="n"/>
      <c r="B3223" s="63" t="n"/>
      <c r="C3223" s="64" t="n"/>
      <c r="D3223" s="64" t="n"/>
      <c r="E3223" s="63" t="n"/>
    </row>
    <row r="3224" ht="18" customHeight="1">
      <c r="A3224" s="62" t="n"/>
      <c r="B3224" s="63" t="n"/>
      <c r="C3224" s="64" t="n"/>
      <c r="D3224" s="64" t="n"/>
      <c r="E3224" s="63" t="n"/>
    </row>
    <row r="3225" ht="18" customHeight="1">
      <c r="A3225" s="62" t="n"/>
      <c r="B3225" s="63" t="n"/>
      <c r="C3225" s="64" t="n"/>
      <c r="D3225" s="64" t="n"/>
      <c r="E3225" s="63" t="n"/>
    </row>
    <row r="3226" ht="18" customHeight="1">
      <c r="A3226" s="62" t="n"/>
      <c r="B3226" s="63" t="n"/>
      <c r="C3226" s="64" t="n"/>
      <c r="D3226" s="64" t="n"/>
      <c r="E3226" s="63" t="n"/>
    </row>
    <row r="3227" ht="18" customHeight="1">
      <c r="A3227" s="62" t="n"/>
      <c r="B3227" s="63" t="n"/>
      <c r="C3227" s="64" t="n"/>
      <c r="D3227" s="64" t="n"/>
      <c r="E3227" s="63" t="n"/>
    </row>
    <row r="3228" ht="18" customHeight="1">
      <c r="A3228" s="62" t="n"/>
      <c r="B3228" s="63" t="n"/>
      <c r="C3228" s="64" t="n"/>
      <c r="D3228" s="64" t="n"/>
      <c r="E3228" s="63" t="n"/>
    </row>
    <row r="3229" ht="18" customHeight="1">
      <c r="A3229" s="62" t="n"/>
      <c r="B3229" s="63" t="n"/>
      <c r="C3229" s="64" t="n"/>
      <c r="D3229" s="64" t="n"/>
      <c r="E3229" s="63" t="n"/>
    </row>
    <row r="3230" ht="18" customHeight="1">
      <c r="A3230" s="62" t="n"/>
      <c r="B3230" s="63" t="n"/>
      <c r="C3230" s="64" t="n"/>
      <c r="D3230" s="64" t="n"/>
      <c r="E3230" s="63" t="n"/>
    </row>
    <row r="3231" ht="18" customHeight="1">
      <c r="A3231" s="62" t="n"/>
      <c r="B3231" s="63" t="n"/>
      <c r="C3231" s="64" t="n"/>
      <c r="D3231" s="64" t="n"/>
      <c r="E3231" s="63" t="n"/>
    </row>
    <row r="3232" ht="18" customHeight="1">
      <c r="A3232" s="62" t="n"/>
      <c r="B3232" s="63" t="n"/>
      <c r="C3232" s="64" t="n"/>
      <c r="D3232" s="64" t="n"/>
      <c r="E3232" s="63" t="n"/>
    </row>
    <row r="3233" ht="18" customHeight="1">
      <c r="A3233" s="62" t="n"/>
      <c r="B3233" s="63" t="n"/>
      <c r="C3233" s="64" t="n"/>
      <c r="D3233" s="64" t="n"/>
      <c r="E3233" s="63" t="n"/>
    </row>
    <row r="3234" ht="18" customHeight="1">
      <c r="A3234" s="62" t="n"/>
      <c r="B3234" s="63" t="n"/>
      <c r="C3234" s="64" t="n"/>
      <c r="D3234" s="64" t="n"/>
      <c r="E3234" s="63" t="n"/>
    </row>
    <row r="3235" ht="18" customHeight="1">
      <c r="A3235" s="62" t="n"/>
      <c r="B3235" s="63" t="n"/>
      <c r="C3235" s="64" t="n"/>
      <c r="D3235" s="64" t="n"/>
      <c r="E3235" s="63" t="n"/>
    </row>
    <row r="3236" ht="18" customHeight="1">
      <c r="A3236" s="62" t="n"/>
      <c r="B3236" s="63" t="n"/>
      <c r="C3236" s="64" t="n"/>
      <c r="D3236" s="64" t="n"/>
      <c r="E3236" s="63" t="n"/>
    </row>
    <row r="3237" ht="18" customHeight="1">
      <c r="A3237" s="62" t="n"/>
      <c r="B3237" s="63" t="n"/>
      <c r="C3237" s="64" t="n"/>
      <c r="D3237" s="64" t="n"/>
      <c r="E3237" s="63" t="n"/>
    </row>
    <row r="3238" ht="18" customHeight="1">
      <c r="A3238" s="62" t="n"/>
      <c r="B3238" s="63" t="n"/>
      <c r="C3238" s="64" t="n"/>
      <c r="D3238" s="64" t="n"/>
      <c r="E3238" s="63" t="n"/>
    </row>
    <row r="3239" ht="18" customHeight="1">
      <c r="A3239" s="62" t="n"/>
      <c r="B3239" s="63" t="n"/>
      <c r="C3239" s="64" t="n"/>
      <c r="D3239" s="64" t="n"/>
      <c r="E3239" s="63" t="n"/>
    </row>
    <row r="3240" ht="18" customHeight="1">
      <c r="A3240" s="62" t="n"/>
      <c r="B3240" s="63" t="n"/>
      <c r="C3240" s="64" t="n"/>
      <c r="D3240" s="64" t="n"/>
      <c r="E3240" s="63" t="n"/>
    </row>
    <row r="3241" ht="18" customHeight="1">
      <c r="A3241" s="62" t="n"/>
      <c r="B3241" s="63" t="n"/>
      <c r="C3241" s="64" t="n"/>
      <c r="D3241" s="64" t="n"/>
      <c r="E3241" s="63" t="n"/>
    </row>
    <row r="3242" ht="18" customHeight="1">
      <c r="A3242" s="62" t="n"/>
      <c r="B3242" s="63" t="n"/>
      <c r="C3242" s="64" t="n"/>
      <c r="D3242" s="64" t="n"/>
      <c r="E3242" s="63" t="n"/>
    </row>
    <row r="3243" ht="18" customHeight="1">
      <c r="A3243" s="62" t="n"/>
      <c r="B3243" s="63" t="n"/>
      <c r="C3243" s="64" t="n"/>
      <c r="D3243" s="64" t="n"/>
      <c r="E3243" s="63" t="n"/>
    </row>
    <row r="3244" ht="18" customHeight="1">
      <c r="A3244" s="62" t="n"/>
      <c r="B3244" s="63" t="n"/>
      <c r="C3244" s="64" t="n"/>
      <c r="D3244" s="64" t="n"/>
      <c r="E3244" s="63" t="n"/>
    </row>
    <row r="3245" ht="18" customHeight="1">
      <c r="A3245" s="62" t="n"/>
      <c r="B3245" s="63" t="n"/>
      <c r="C3245" s="64" t="n"/>
      <c r="D3245" s="64" t="n"/>
      <c r="E3245" s="63" t="n"/>
    </row>
    <row r="3246" ht="18" customHeight="1">
      <c r="A3246" s="62" t="n"/>
      <c r="B3246" s="63" t="n"/>
      <c r="C3246" s="64" t="n"/>
      <c r="D3246" s="64" t="n"/>
      <c r="E3246" s="63" t="n"/>
    </row>
    <row r="3247" ht="18" customHeight="1">
      <c r="A3247" s="62" t="n"/>
      <c r="B3247" s="63" t="n"/>
      <c r="C3247" s="64" t="n"/>
      <c r="D3247" s="64" t="n"/>
      <c r="E3247" s="63" t="n"/>
    </row>
    <row r="3248" ht="18" customHeight="1">
      <c r="A3248" s="62" t="n"/>
      <c r="B3248" s="63" t="n"/>
      <c r="C3248" s="64" t="n"/>
      <c r="D3248" s="64" t="n"/>
      <c r="E3248" s="63" t="n"/>
    </row>
    <row r="3249" ht="18" customHeight="1">
      <c r="A3249" s="62" t="n"/>
      <c r="B3249" s="63" t="n"/>
      <c r="C3249" s="64" t="n"/>
      <c r="D3249" s="64" t="n"/>
      <c r="E3249" s="63" t="n"/>
    </row>
    <row r="3250" ht="18" customHeight="1">
      <c r="A3250" s="62" t="n"/>
      <c r="B3250" s="63" t="n"/>
      <c r="C3250" s="64" t="n"/>
      <c r="D3250" s="64" t="n"/>
      <c r="E3250" s="63" t="n"/>
    </row>
    <row r="3251" ht="18" customHeight="1">
      <c r="A3251" s="62" t="n"/>
      <c r="B3251" s="63" t="n"/>
      <c r="C3251" s="64" t="n"/>
      <c r="D3251" s="64" t="n"/>
      <c r="E3251" s="63" t="n"/>
    </row>
    <row r="3252" ht="18" customHeight="1">
      <c r="A3252" s="62" t="n"/>
      <c r="B3252" s="63" t="n"/>
      <c r="C3252" s="64" t="n"/>
      <c r="D3252" s="64" t="n"/>
      <c r="E3252" s="63" t="n"/>
    </row>
    <row r="3253" ht="18" customHeight="1">
      <c r="A3253" s="62" t="n"/>
      <c r="B3253" s="63" t="n"/>
      <c r="C3253" s="64" t="n"/>
      <c r="D3253" s="64" t="n"/>
      <c r="E3253" s="63" t="n"/>
    </row>
    <row r="3254" ht="18" customHeight="1">
      <c r="A3254" s="62" t="n"/>
      <c r="B3254" s="63" t="n"/>
      <c r="C3254" s="64" t="n"/>
      <c r="D3254" s="64" t="n"/>
      <c r="E3254" s="63" t="n"/>
    </row>
    <row r="3255" ht="18" customHeight="1">
      <c r="A3255" s="62" t="n"/>
      <c r="B3255" s="63" t="n"/>
      <c r="C3255" s="64" t="n"/>
      <c r="D3255" s="64" t="n"/>
      <c r="E3255" s="63" t="n"/>
    </row>
    <row r="3256" ht="18" customHeight="1">
      <c r="A3256" s="62" t="n"/>
      <c r="B3256" s="63" t="n"/>
      <c r="C3256" s="64" t="n"/>
      <c r="D3256" s="64" t="n"/>
      <c r="E3256" s="63" t="n"/>
    </row>
    <row r="3257" ht="18" customHeight="1">
      <c r="A3257" s="62" t="n"/>
      <c r="B3257" s="63" t="n"/>
      <c r="C3257" s="64" t="n"/>
      <c r="D3257" s="64" t="n"/>
      <c r="E3257" s="63" t="n"/>
    </row>
    <row r="3258" ht="18" customHeight="1">
      <c r="A3258" s="62" t="n"/>
      <c r="B3258" s="63" t="n"/>
      <c r="C3258" s="64" t="n"/>
      <c r="D3258" s="64" t="n"/>
      <c r="E3258" s="63" t="n"/>
    </row>
    <row r="3259" ht="18" customHeight="1">
      <c r="A3259" s="62" t="n"/>
      <c r="B3259" s="63" t="n"/>
      <c r="C3259" s="64" t="n"/>
      <c r="D3259" s="64" t="n"/>
      <c r="E3259" s="63" t="n"/>
    </row>
    <row r="3260" ht="18" customHeight="1">
      <c r="A3260" s="62" t="n"/>
      <c r="B3260" s="63" t="n"/>
      <c r="C3260" s="64" t="n"/>
      <c r="D3260" s="64" t="n"/>
      <c r="E3260" s="63" t="n"/>
    </row>
    <row r="3261" ht="18" customHeight="1">
      <c r="A3261" s="62" t="n"/>
      <c r="B3261" s="63" t="n"/>
      <c r="C3261" s="64" t="n"/>
      <c r="D3261" s="64" t="n"/>
      <c r="E3261" s="63" t="n"/>
    </row>
    <row r="3262" ht="18" customHeight="1">
      <c r="A3262" s="62" t="n"/>
      <c r="B3262" s="63" t="n"/>
      <c r="C3262" s="64" t="n"/>
      <c r="D3262" s="64" t="n"/>
      <c r="E3262" s="63" t="n"/>
    </row>
    <row r="3263" ht="18" customHeight="1">
      <c r="A3263" s="62" t="n"/>
      <c r="B3263" s="63" t="n"/>
      <c r="C3263" s="64" t="n"/>
      <c r="D3263" s="64" t="n"/>
      <c r="E3263" s="63" t="n"/>
    </row>
    <row r="3264" ht="18" customHeight="1">
      <c r="A3264" s="62" t="n"/>
      <c r="B3264" s="63" t="n"/>
      <c r="C3264" s="64" t="n"/>
      <c r="D3264" s="64" t="n"/>
      <c r="E3264" s="63" t="n"/>
    </row>
    <row r="3265" ht="18" customHeight="1">
      <c r="A3265" s="62" t="n"/>
      <c r="B3265" s="63" t="n"/>
      <c r="C3265" s="64" t="n"/>
      <c r="D3265" s="64" t="n"/>
      <c r="E3265" s="63" t="n"/>
    </row>
    <row r="3266" ht="18" customHeight="1">
      <c r="A3266" s="62" t="n"/>
      <c r="B3266" s="63" t="n"/>
      <c r="C3266" s="64" t="n"/>
      <c r="D3266" s="64" t="n"/>
      <c r="E3266" s="63" t="n"/>
    </row>
    <row r="3267" ht="18" customHeight="1">
      <c r="A3267" s="62" t="n"/>
      <c r="B3267" s="63" t="n"/>
      <c r="C3267" s="64" t="n"/>
      <c r="D3267" s="64" t="n"/>
      <c r="E3267" s="63" t="n"/>
    </row>
    <row r="3268" ht="18" customHeight="1">
      <c r="A3268" s="62" t="n"/>
      <c r="B3268" s="63" t="n"/>
      <c r="C3268" s="64" t="n"/>
      <c r="D3268" s="64" t="n"/>
      <c r="E3268" s="63" t="n"/>
    </row>
    <row r="3269" ht="18" customHeight="1">
      <c r="A3269" s="62" t="n"/>
      <c r="B3269" s="63" t="n"/>
      <c r="C3269" s="64" t="n"/>
      <c r="D3269" s="64" t="n"/>
      <c r="E3269" s="63" t="n"/>
    </row>
    <row r="3270" ht="18" customHeight="1">
      <c r="A3270" s="62" t="n"/>
      <c r="B3270" s="63" t="n"/>
      <c r="C3270" s="64" t="n"/>
      <c r="D3270" s="64" t="n"/>
      <c r="E3270" s="63" t="n"/>
    </row>
    <row r="3271" ht="18" customHeight="1">
      <c r="A3271" s="62" t="n"/>
      <c r="B3271" s="63" t="n"/>
      <c r="C3271" s="64" t="n"/>
      <c r="D3271" s="64" t="n"/>
      <c r="E3271" s="63" t="n"/>
    </row>
    <row r="3272" ht="18" customHeight="1">
      <c r="A3272" s="62" t="n"/>
      <c r="B3272" s="63" t="n"/>
      <c r="C3272" s="64" t="n"/>
      <c r="D3272" s="64" t="n"/>
      <c r="E3272" s="63" t="n"/>
    </row>
    <row r="3273" ht="18" customHeight="1">
      <c r="A3273" s="62" t="n"/>
      <c r="B3273" s="63" t="n"/>
      <c r="C3273" s="64" t="n"/>
      <c r="D3273" s="64" t="n"/>
      <c r="E3273" s="63" t="n"/>
    </row>
    <row r="3274" ht="18" customHeight="1">
      <c r="A3274" s="62" t="n"/>
      <c r="B3274" s="63" t="n"/>
      <c r="C3274" s="64" t="n"/>
      <c r="D3274" s="64" t="n"/>
      <c r="E3274" s="63" t="n"/>
    </row>
    <row r="3275" ht="18" customHeight="1">
      <c r="A3275" s="62" t="n"/>
      <c r="B3275" s="63" t="n"/>
      <c r="C3275" s="64" t="n"/>
      <c r="D3275" s="64" t="n"/>
      <c r="E3275" s="63" t="n"/>
    </row>
    <row r="3276" ht="18" customHeight="1">
      <c r="A3276" s="62" t="n"/>
      <c r="B3276" s="63" t="n"/>
      <c r="C3276" s="64" t="n"/>
      <c r="D3276" s="64" t="n"/>
      <c r="E3276" s="63" t="n"/>
    </row>
    <row r="3277" ht="18" customHeight="1">
      <c r="A3277" s="62" t="n"/>
      <c r="B3277" s="63" t="n"/>
      <c r="C3277" s="64" t="n"/>
      <c r="D3277" s="64" t="n"/>
      <c r="E3277" s="63" t="n"/>
    </row>
    <row r="3278" ht="18" customHeight="1">
      <c r="A3278" s="62" t="n"/>
      <c r="B3278" s="63" t="n"/>
      <c r="C3278" s="64" t="n"/>
      <c r="D3278" s="64" t="n"/>
      <c r="E3278" s="63" t="n"/>
    </row>
    <row r="3279" ht="18" customHeight="1">
      <c r="A3279" s="62" t="n"/>
      <c r="B3279" s="63" t="n"/>
      <c r="C3279" s="64" t="n"/>
      <c r="D3279" s="64" t="n"/>
      <c r="E3279" s="63" t="n"/>
    </row>
    <row r="3280" ht="18" customHeight="1">
      <c r="A3280" s="62" t="n"/>
      <c r="B3280" s="63" t="n"/>
      <c r="C3280" s="64" t="n"/>
      <c r="D3280" s="64" t="n"/>
      <c r="E3280" s="63" t="n"/>
    </row>
    <row r="3281" ht="18" customHeight="1">
      <c r="A3281" s="62" t="n"/>
      <c r="B3281" s="63" t="n"/>
      <c r="C3281" s="64" t="n"/>
      <c r="D3281" s="64" t="n"/>
      <c r="E3281" s="63" t="n"/>
    </row>
    <row r="3282" ht="18" customHeight="1">
      <c r="A3282" s="62" t="n"/>
      <c r="B3282" s="63" t="n"/>
      <c r="C3282" s="64" t="n"/>
      <c r="D3282" s="64" t="n"/>
      <c r="E3282" s="63" t="n"/>
    </row>
    <row r="3283" ht="18" customHeight="1">
      <c r="A3283" s="62" t="n"/>
      <c r="B3283" s="63" t="n"/>
      <c r="C3283" s="64" t="n"/>
      <c r="D3283" s="64" t="n"/>
      <c r="E3283" s="63" t="n"/>
    </row>
    <row r="3284" ht="18" customHeight="1">
      <c r="A3284" s="62" t="n"/>
      <c r="B3284" s="63" t="n"/>
      <c r="C3284" s="64" t="n"/>
      <c r="D3284" s="64" t="n"/>
      <c r="E3284" s="63" t="n"/>
    </row>
    <row r="3285" ht="18" customHeight="1">
      <c r="A3285" s="62" t="n"/>
      <c r="B3285" s="63" t="n"/>
      <c r="C3285" s="64" t="n"/>
      <c r="D3285" s="64" t="n"/>
      <c r="E3285" s="63" t="n"/>
    </row>
    <row r="3286" ht="18" customHeight="1">
      <c r="A3286" s="62" t="n"/>
      <c r="B3286" s="63" t="n"/>
      <c r="C3286" s="64" t="n"/>
      <c r="D3286" s="64" t="n"/>
      <c r="E3286" s="63" t="n"/>
    </row>
    <row r="3287" ht="18" customHeight="1">
      <c r="A3287" s="62" t="n"/>
      <c r="B3287" s="63" t="n"/>
      <c r="C3287" s="64" t="n"/>
      <c r="D3287" s="64" t="n"/>
      <c r="E3287" s="63" t="n"/>
    </row>
    <row r="3288" ht="18" customHeight="1">
      <c r="A3288" s="62" t="n"/>
      <c r="B3288" s="63" t="n"/>
      <c r="C3288" s="64" t="n"/>
      <c r="D3288" s="64" t="n"/>
      <c r="E3288" s="63" t="n"/>
    </row>
    <row r="3289" ht="18" customHeight="1">
      <c r="A3289" s="62" t="n"/>
      <c r="B3289" s="63" t="n"/>
      <c r="C3289" s="64" t="n"/>
      <c r="D3289" s="64" t="n"/>
      <c r="E3289" s="63" t="n"/>
    </row>
    <row r="3290" ht="18" customHeight="1">
      <c r="A3290" s="62" t="n"/>
      <c r="B3290" s="63" t="n"/>
      <c r="C3290" s="64" t="n"/>
      <c r="D3290" s="64" t="n"/>
      <c r="E3290" s="63" t="n"/>
    </row>
    <row r="3291" ht="18" customHeight="1">
      <c r="A3291" s="62" t="n"/>
      <c r="B3291" s="63" t="n"/>
      <c r="C3291" s="64" t="n"/>
      <c r="D3291" s="64" t="n"/>
      <c r="E3291" s="63" t="n"/>
    </row>
    <row r="3292" ht="18" customHeight="1">
      <c r="A3292" s="62" t="n"/>
      <c r="B3292" s="63" t="n"/>
      <c r="C3292" s="64" t="n"/>
      <c r="D3292" s="64" t="n"/>
      <c r="E3292" s="63" t="n"/>
    </row>
    <row r="3293" ht="18" customHeight="1">
      <c r="A3293" s="62" t="n"/>
      <c r="B3293" s="63" t="n"/>
      <c r="C3293" s="64" t="n"/>
      <c r="D3293" s="64" t="n"/>
      <c r="E3293" s="63" t="n"/>
    </row>
    <row r="3294" ht="18" customHeight="1">
      <c r="A3294" s="62" t="n"/>
      <c r="B3294" s="63" t="n"/>
      <c r="C3294" s="64" t="n"/>
      <c r="D3294" s="64" t="n"/>
      <c r="E3294" s="63" t="n"/>
    </row>
    <row r="3295" ht="18" customHeight="1">
      <c r="A3295" s="62" t="n"/>
      <c r="B3295" s="63" t="n"/>
      <c r="C3295" s="64" t="n"/>
      <c r="D3295" s="64" t="n"/>
      <c r="E3295" s="63" t="n"/>
    </row>
    <row r="3296" ht="18" customHeight="1">
      <c r="A3296" s="62" t="n"/>
      <c r="B3296" s="63" t="n"/>
      <c r="C3296" s="64" t="n"/>
      <c r="D3296" s="64" t="n"/>
      <c r="E3296" s="63" t="n"/>
    </row>
    <row r="3297" ht="18" customHeight="1">
      <c r="A3297" s="62" t="n"/>
      <c r="B3297" s="63" t="n"/>
      <c r="C3297" s="64" t="n"/>
      <c r="D3297" s="64" t="n"/>
      <c r="E3297" s="63" t="n"/>
    </row>
    <row r="3298" ht="18" customHeight="1">
      <c r="A3298" s="62" t="n"/>
      <c r="B3298" s="63" t="n"/>
      <c r="C3298" s="64" t="n"/>
      <c r="D3298" s="64" t="n"/>
      <c r="E3298" s="63" t="n"/>
    </row>
    <row r="3299" ht="18" customHeight="1">
      <c r="A3299" s="62" t="n"/>
      <c r="B3299" s="63" t="n"/>
      <c r="C3299" s="64" t="n"/>
      <c r="D3299" s="64" t="n"/>
      <c r="E3299" s="63" t="n"/>
    </row>
    <row r="3300" ht="18" customHeight="1">
      <c r="A3300" s="62" t="n"/>
      <c r="B3300" s="63" t="n"/>
      <c r="C3300" s="64" t="n"/>
      <c r="D3300" s="64" t="n"/>
      <c r="E3300" s="63" t="n"/>
    </row>
    <row r="3301" ht="18" customHeight="1">
      <c r="A3301" s="62" t="n"/>
      <c r="B3301" s="63" t="n"/>
      <c r="C3301" s="64" t="n"/>
      <c r="D3301" s="64" t="n"/>
      <c r="E3301" s="63" t="n"/>
    </row>
    <row r="3302" ht="18" customHeight="1">
      <c r="A3302" s="62" t="n"/>
      <c r="B3302" s="63" t="n"/>
      <c r="C3302" s="64" t="n"/>
      <c r="D3302" s="64" t="n"/>
      <c r="E3302" s="63" t="n"/>
    </row>
    <row r="3303" ht="18" customHeight="1">
      <c r="A3303" s="62" t="n"/>
      <c r="B3303" s="63" t="n"/>
      <c r="C3303" s="64" t="n"/>
      <c r="D3303" s="64" t="n"/>
      <c r="E3303" s="63" t="n"/>
    </row>
    <row r="3304" ht="18" customHeight="1">
      <c r="A3304" s="62" t="n"/>
      <c r="B3304" s="63" t="n"/>
      <c r="C3304" s="64" t="n"/>
      <c r="D3304" s="64" t="n"/>
      <c r="E3304" s="63" t="n"/>
    </row>
    <row r="3305" ht="18" customHeight="1">
      <c r="A3305" s="62" t="n"/>
      <c r="B3305" s="63" t="n"/>
      <c r="C3305" s="64" t="n"/>
      <c r="D3305" s="64" t="n"/>
      <c r="E3305" s="63" t="n"/>
    </row>
    <row r="3306" ht="18" customHeight="1">
      <c r="A3306" s="62" t="n"/>
      <c r="B3306" s="63" t="n"/>
      <c r="C3306" s="64" t="n"/>
      <c r="D3306" s="64" t="n"/>
      <c r="E3306" s="63" t="n"/>
    </row>
    <row r="3307" ht="18" customHeight="1">
      <c r="A3307" s="62" t="n"/>
      <c r="B3307" s="63" t="n"/>
      <c r="C3307" s="64" t="n"/>
      <c r="D3307" s="64" t="n"/>
      <c r="E3307" s="63" t="n"/>
    </row>
    <row r="3308" ht="18" customHeight="1">
      <c r="A3308" s="62" t="n"/>
      <c r="B3308" s="63" t="n"/>
      <c r="C3308" s="64" t="n"/>
      <c r="D3308" s="64" t="n"/>
      <c r="E3308" s="63" t="n"/>
    </row>
    <row r="3309" ht="18" customHeight="1">
      <c r="A3309" s="62" t="n"/>
      <c r="B3309" s="63" t="n"/>
      <c r="C3309" s="64" t="n"/>
      <c r="D3309" s="64" t="n"/>
      <c r="E3309" s="63" t="n"/>
    </row>
    <row r="3310" ht="18" customHeight="1">
      <c r="A3310" s="62" t="n"/>
      <c r="B3310" s="63" t="n"/>
      <c r="C3310" s="64" t="n"/>
      <c r="D3310" s="64" t="n"/>
      <c r="E3310" s="63" t="n"/>
    </row>
    <row r="3311" ht="18" customHeight="1">
      <c r="A3311" s="62" t="n"/>
      <c r="B3311" s="63" t="n"/>
      <c r="C3311" s="64" t="n"/>
      <c r="D3311" s="64" t="n"/>
      <c r="E3311" s="63" t="n"/>
    </row>
    <row r="3312" ht="18" customHeight="1">
      <c r="A3312" s="62" t="n"/>
      <c r="B3312" s="63" t="n"/>
      <c r="C3312" s="64" t="n"/>
      <c r="D3312" s="64" t="n"/>
      <c r="E3312" s="63" t="n"/>
    </row>
    <row r="3313" ht="18" customHeight="1">
      <c r="A3313" s="62" t="n"/>
      <c r="B3313" s="63" t="n"/>
      <c r="C3313" s="64" t="n"/>
      <c r="D3313" s="64" t="n"/>
      <c r="E3313" s="63" t="n"/>
    </row>
    <row r="3314" ht="18" customHeight="1">
      <c r="A3314" s="62" t="n"/>
      <c r="B3314" s="63" t="n"/>
      <c r="C3314" s="64" t="n"/>
      <c r="D3314" s="64" t="n"/>
      <c r="E3314" s="63" t="n"/>
    </row>
    <row r="3315" ht="18" customHeight="1">
      <c r="A3315" s="62" t="n"/>
      <c r="B3315" s="63" t="n"/>
      <c r="C3315" s="64" t="n"/>
      <c r="D3315" s="64" t="n"/>
      <c r="E3315" s="63" t="n"/>
    </row>
    <row r="3316" ht="18" customHeight="1">
      <c r="A3316" s="62" t="n"/>
      <c r="B3316" s="63" t="n"/>
      <c r="C3316" s="64" t="n"/>
      <c r="D3316" s="64" t="n"/>
      <c r="E3316" s="63" t="n"/>
    </row>
    <row r="3317" ht="18" customHeight="1">
      <c r="A3317" s="62" t="n"/>
      <c r="B3317" s="63" t="n"/>
      <c r="C3317" s="64" t="n"/>
      <c r="D3317" s="64" t="n"/>
      <c r="E3317" s="63" t="n"/>
    </row>
    <row r="3318" ht="18" customHeight="1">
      <c r="A3318" s="62" t="n"/>
      <c r="B3318" s="63" t="n"/>
      <c r="C3318" s="64" t="n"/>
      <c r="D3318" s="64" t="n"/>
      <c r="E3318" s="63" t="n"/>
    </row>
    <row r="3319" ht="18" customHeight="1">
      <c r="A3319" s="62" t="n"/>
      <c r="B3319" s="63" t="n"/>
      <c r="C3319" s="64" t="n"/>
      <c r="D3319" s="64" t="n"/>
      <c r="E3319" s="63" t="n"/>
    </row>
    <row r="3320" ht="18" customHeight="1">
      <c r="A3320" s="62" t="n"/>
      <c r="B3320" s="63" t="n"/>
      <c r="C3320" s="64" t="n"/>
      <c r="D3320" s="64" t="n"/>
      <c r="E3320" s="63" t="n"/>
    </row>
    <row r="3321" ht="18" customHeight="1">
      <c r="A3321" s="62" t="n"/>
      <c r="B3321" s="63" t="n"/>
      <c r="C3321" s="64" t="n"/>
      <c r="D3321" s="64" t="n"/>
      <c r="E3321" s="63" t="n"/>
    </row>
    <row r="3322" ht="18" customHeight="1">
      <c r="A3322" s="62" t="n"/>
      <c r="B3322" s="63" t="n"/>
      <c r="C3322" s="64" t="n"/>
      <c r="D3322" s="64" t="n"/>
      <c r="E3322" s="63" t="n"/>
    </row>
    <row r="3323" ht="18" customHeight="1">
      <c r="A3323" s="62" t="n"/>
      <c r="B3323" s="63" t="n"/>
      <c r="C3323" s="64" t="n"/>
      <c r="D3323" s="64" t="n"/>
      <c r="E3323" s="63" t="n"/>
    </row>
    <row r="3324" ht="18" customHeight="1">
      <c r="A3324" s="62" t="n"/>
      <c r="B3324" s="63" t="n"/>
      <c r="C3324" s="64" t="n"/>
      <c r="D3324" s="64" t="n"/>
      <c r="E3324" s="63" t="n"/>
    </row>
    <row r="3325" ht="18" customHeight="1">
      <c r="A3325" s="62" t="n"/>
      <c r="B3325" s="63" t="n"/>
      <c r="C3325" s="64" t="n"/>
      <c r="D3325" s="64" t="n"/>
      <c r="E3325" s="63" t="n"/>
    </row>
    <row r="3326" ht="18" customHeight="1">
      <c r="A3326" s="62" t="n"/>
      <c r="B3326" s="63" t="n"/>
      <c r="C3326" s="64" t="n"/>
      <c r="D3326" s="64" t="n"/>
      <c r="E3326" s="63" t="n"/>
    </row>
    <row r="3327" ht="18" customHeight="1">
      <c r="A3327" s="62" t="n"/>
      <c r="B3327" s="63" t="n"/>
      <c r="C3327" s="64" t="n"/>
      <c r="D3327" s="64" t="n"/>
      <c r="E3327" s="63" t="n"/>
    </row>
    <row r="3328" ht="18" customHeight="1">
      <c r="A3328" s="62" t="n"/>
      <c r="B3328" s="63" t="n"/>
      <c r="C3328" s="64" t="n"/>
      <c r="D3328" s="64" t="n"/>
      <c r="E3328" s="63" t="n"/>
    </row>
    <row r="3329" ht="18" customHeight="1">
      <c r="A3329" s="62" t="n"/>
      <c r="B3329" s="63" t="n"/>
      <c r="C3329" s="64" t="n"/>
      <c r="D3329" s="64" t="n"/>
      <c r="E3329" s="63" t="n"/>
    </row>
    <row r="3330" ht="18" customHeight="1">
      <c r="A3330" s="62" t="n"/>
      <c r="B3330" s="63" t="n"/>
      <c r="C3330" s="64" t="n"/>
      <c r="D3330" s="64" t="n"/>
      <c r="E3330" s="63" t="n"/>
    </row>
    <row r="3331" ht="18" customHeight="1">
      <c r="A3331" s="62" t="n"/>
      <c r="B3331" s="63" t="n"/>
      <c r="C3331" s="64" t="n"/>
      <c r="D3331" s="64" t="n"/>
      <c r="E3331" s="63" t="n"/>
    </row>
    <row r="3332" ht="18" customHeight="1">
      <c r="A3332" s="62" t="n"/>
      <c r="B3332" s="63" t="n"/>
      <c r="C3332" s="64" t="n"/>
      <c r="D3332" s="64" t="n"/>
      <c r="E3332" s="63" t="n"/>
    </row>
    <row r="3333" ht="18" customHeight="1">
      <c r="A3333" s="62" t="n"/>
      <c r="B3333" s="63" t="n"/>
      <c r="C3333" s="64" t="n"/>
      <c r="D3333" s="64" t="n"/>
      <c r="E3333" s="63" t="n"/>
    </row>
    <row r="3334" ht="18" customHeight="1">
      <c r="A3334" s="62" t="n"/>
      <c r="B3334" s="63" t="n"/>
      <c r="C3334" s="64" t="n"/>
      <c r="D3334" s="64" t="n"/>
      <c r="E3334" s="63" t="n"/>
    </row>
    <row r="3335" ht="18" customHeight="1">
      <c r="A3335" s="62" t="n"/>
      <c r="B3335" s="63" t="n"/>
      <c r="C3335" s="64" t="n"/>
      <c r="D3335" s="64" t="n"/>
      <c r="E3335" s="63" t="n"/>
    </row>
    <row r="3336" ht="18" customHeight="1">
      <c r="A3336" s="62" t="n"/>
      <c r="B3336" s="63" t="n"/>
      <c r="C3336" s="64" t="n"/>
      <c r="D3336" s="64" t="n"/>
      <c r="E3336" s="63" t="n"/>
    </row>
    <row r="3337" ht="18" customHeight="1">
      <c r="A3337" s="62" t="n"/>
      <c r="B3337" s="63" t="n"/>
      <c r="C3337" s="64" t="n"/>
      <c r="D3337" s="64" t="n"/>
      <c r="E3337" s="63" t="n"/>
    </row>
    <row r="3338" ht="18" customHeight="1">
      <c r="A3338" s="62" t="n"/>
      <c r="B3338" s="63" t="n"/>
      <c r="C3338" s="64" t="n"/>
      <c r="D3338" s="64" t="n"/>
      <c r="E3338" s="63" t="n"/>
    </row>
    <row r="3339" ht="18" customHeight="1">
      <c r="A3339" s="62" t="n"/>
      <c r="B3339" s="63" t="n"/>
      <c r="C3339" s="64" t="n"/>
      <c r="D3339" s="64" t="n"/>
      <c r="E3339" s="63" t="n"/>
    </row>
    <row r="3340" ht="18" customHeight="1">
      <c r="A3340" s="62" t="n"/>
      <c r="B3340" s="63" t="n"/>
      <c r="C3340" s="64" t="n"/>
      <c r="D3340" s="64" t="n"/>
      <c r="E3340" s="63" t="n"/>
    </row>
    <row r="3341" ht="18" customHeight="1">
      <c r="A3341" s="62" t="n"/>
      <c r="B3341" s="63" t="n"/>
      <c r="C3341" s="64" t="n"/>
      <c r="D3341" s="64" t="n"/>
      <c r="E3341" s="63" t="n"/>
    </row>
    <row r="3342" ht="18" customHeight="1">
      <c r="A3342" s="62" t="n"/>
      <c r="B3342" s="63" t="n"/>
      <c r="C3342" s="64" t="n"/>
      <c r="D3342" s="64" t="n"/>
      <c r="E3342" s="63" t="n"/>
    </row>
    <row r="3343" ht="18" customHeight="1">
      <c r="A3343" s="62" t="n"/>
      <c r="B3343" s="63" t="n"/>
      <c r="C3343" s="64" t="n"/>
      <c r="D3343" s="64" t="n"/>
      <c r="E3343" s="63" t="n"/>
    </row>
    <row r="3344" ht="18" customHeight="1">
      <c r="A3344" s="62" t="n"/>
      <c r="B3344" s="63" t="n"/>
      <c r="C3344" s="64" t="n"/>
      <c r="D3344" s="64" t="n"/>
      <c r="E3344" s="63" t="n"/>
    </row>
    <row r="3345" ht="18" customHeight="1">
      <c r="A3345" s="62" t="n"/>
      <c r="B3345" s="63" t="n"/>
      <c r="C3345" s="64" t="n"/>
      <c r="D3345" s="64" t="n"/>
      <c r="E3345" s="63" t="n"/>
    </row>
    <row r="3346" ht="18" customHeight="1">
      <c r="A3346" s="62" t="n"/>
      <c r="B3346" s="63" t="n"/>
      <c r="C3346" s="64" t="n"/>
      <c r="D3346" s="64" t="n"/>
      <c r="E3346" s="63" t="n"/>
    </row>
    <row r="3347" ht="18" customHeight="1">
      <c r="A3347" s="62" t="n"/>
      <c r="B3347" s="63" t="n"/>
      <c r="C3347" s="64" t="n"/>
      <c r="D3347" s="64" t="n"/>
      <c r="E3347" s="63" t="n"/>
    </row>
    <row r="3348" ht="18" customHeight="1">
      <c r="A3348" s="62" t="n"/>
      <c r="B3348" s="63" t="n"/>
      <c r="C3348" s="64" t="n"/>
      <c r="D3348" s="64" t="n"/>
      <c r="E3348" s="63" t="n"/>
    </row>
    <row r="3349" ht="18" customHeight="1">
      <c r="A3349" s="62" t="n"/>
      <c r="B3349" s="63" t="n"/>
      <c r="C3349" s="64" t="n"/>
      <c r="D3349" s="64" t="n"/>
      <c r="E3349" s="63" t="n"/>
    </row>
    <row r="3350" ht="18" customHeight="1">
      <c r="A3350" s="62" t="n"/>
      <c r="B3350" s="63" t="n"/>
      <c r="C3350" s="64" t="n"/>
      <c r="D3350" s="64" t="n"/>
      <c r="E3350" s="63" t="n"/>
    </row>
    <row r="3351" ht="18" customHeight="1">
      <c r="A3351" s="62" t="n"/>
      <c r="B3351" s="63" t="n"/>
      <c r="C3351" s="64" t="n"/>
      <c r="D3351" s="64" t="n"/>
      <c r="E3351" s="63" t="n"/>
    </row>
    <row r="3352" ht="18" customHeight="1">
      <c r="A3352" s="62" t="n"/>
      <c r="B3352" s="63" t="n"/>
      <c r="C3352" s="64" t="n"/>
      <c r="D3352" s="64" t="n"/>
      <c r="E3352" s="63" t="n"/>
    </row>
    <row r="3353" ht="18" customHeight="1">
      <c r="A3353" s="62" t="n"/>
      <c r="B3353" s="63" t="n"/>
      <c r="C3353" s="64" t="n"/>
      <c r="D3353" s="64" t="n"/>
      <c r="E3353" s="63" t="n"/>
    </row>
    <row r="3354" ht="18" customHeight="1">
      <c r="A3354" s="62" t="n"/>
      <c r="B3354" s="63" t="n"/>
      <c r="C3354" s="64" t="n"/>
      <c r="D3354" s="64" t="n"/>
      <c r="E3354" s="63" t="n"/>
    </row>
    <row r="3355" ht="18" customHeight="1">
      <c r="A3355" s="62" t="n"/>
      <c r="B3355" s="63" t="n"/>
      <c r="C3355" s="64" t="n"/>
      <c r="D3355" s="64" t="n"/>
      <c r="E3355" s="63" t="n"/>
    </row>
    <row r="3356" ht="18" customHeight="1">
      <c r="A3356" s="62" t="n"/>
      <c r="B3356" s="63" t="n"/>
      <c r="C3356" s="64" t="n"/>
      <c r="D3356" s="64" t="n"/>
      <c r="E3356" s="63" t="n"/>
    </row>
    <row r="3357" ht="18" customHeight="1">
      <c r="A3357" s="62" t="n"/>
      <c r="B3357" s="63" t="n"/>
      <c r="C3357" s="64" t="n"/>
      <c r="D3357" s="64" t="n"/>
      <c r="E3357" s="63" t="n"/>
    </row>
    <row r="3358" ht="18" customHeight="1">
      <c r="A3358" s="62" t="n"/>
      <c r="B3358" s="63" t="n"/>
      <c r="C3358" s="64" t="n"/>
      <c r="D3358" s="64" t="n"/>
      <c r="E3358" s="63" t="n"/>
    </row>
    <row r="3359" ht="18" customHeight="1">
      <c r="A3359" s="62" t="n"/>
      <c r="B3359" s="63" t="n"/>
      <c r="C3359" s="64" t="n"/>
      <c r="D3359" s="64" t="n"/>
      <c r="E3359" s="63" t="n"/>
    </row>
    <row r="3360" ht="18" customHeight="1">
      <c r="A3360" s="62" t="n"/>
      <c r="B3360" s="63" t="n"/>
      <c r="C3360" s="64" t="n"/>
      <c r="D3360" s="64" t="n"/>
      <c r="E3360" s="63" t="n"/>
    </row>
    <row r="3361" ht="18" customHeight="1">
      <c r="A3361" s="62" t="n"/>
      <c r="B3361" s="63" t="n"/>
      <c r="C3361" s="64" t="n"/>
      <c r="D3361" s="64" t="n"/>
      <c r="E3361" s="63" t="n"/>
    </row>
    <row r="3362" ht="18" customHeight="1">
      <c r="A3362" s="62" t="n"/>
      <c r="B3362" s="63" t="n"/>
      <c r="C3362" s="64" t="n"/>
      <c r="D3362" s="64" t="n"/>
      <c r="E3362" s="63" t="n"/>
    </row>
    <row r="3363" ht="18" customHeight="1">
      <c r="A3363" s="62" t="n"/>
      <c r="B3363" s="63" t="n"/>
      <c r="C3363" s="64" t="n"/>
      <c r="D3363" s="64" t="n"/>
      <c r="E3363" s="63" t="n"/>
    </row>
    <row r="3364" ht="18" customHeight="1">
      <c r="A3364" s="62" t="n"/>
      <c r="B3364" s="63" t="n"/>
      <c r="C3364" s="64" t="n"/>
      <c r="D3364" s="64" t="n"/>
      <c r="E3364" s="63" t="n"/>
    </row>
    <row r="3365" ht="18" customHeight="1">
      <c r="A3365" s="62" t="n"/>
      <c r="B3365" s="63" t="n"/>
      <c r="C3365" s="64" t="n"/>
      <c r="D3365" s="64" t="n"/>
      <c r="E3365" s="63" t="n"/>
    </row>
    <row r="3366" ht="18" customHeight="1">
      <c r="A3366" s="62" t="n"/>
      <c r="B3366" s="63" t="n"/>
      <c r="C3366" s="64" t="n"/>
      <c r="D3366" s="64" t="n"/>
      <c r="E3366" s="63" t="n"/>
    </row>
    <row r="3367" ht="18" customHeight="1">
      <c r="A3367" s="62" t="n"/>
      <c r="B3367" s="63" t="n"/>
      <c r="C3367" s="64" t="n"/>
      <c r="D3367" s="64" t="n"/>
      <c r="E3367" s="63" t="n"/>
    </row>
    <row r="3368" ht="18" customHeight="1">
      <c r="A3368" s="62" t="n"/>
      <c r="B3368" s="63" t="n"/>
      <c r="C3368" s="64" t="n"/>
      <c r="D3368" s="64" t="n"/>
      <c r="E3368" s="63" t="n"/>
    </row>
    <row r="3369" ht="18" customHeight="1">
      <c r="A3369" s="62" t="n"/>
      <c r="B3369" s="63" t="n"/>
      <c r="C3369" s="64" t="n"/>
      <c r="D3369" s="64" t="n"/>
      <c r="E3369" s="63" t="n"/>
    </row>
    <row r="3370" ht="18" customHeight="1">
      <c r="A3370" s="62" t="n"/>
      <c r="B3370" s="63" t="n"/>
      <c r="C3370" s="64" t="n"/>
      <c r="D3370" s="64" t="n"/>
      <c r="E3370" s="63" t="n"/>
    </row>
    <row r="3371" ht="18" customHeight="1">
      <c r="A3371" s="62" t="n"/>
      <c r="B3371" s="63" t="n"/>
      <c r="C3371" s="64" t="n"/>
      <c r="D3371" s="64" t="n"/>
      <c r="E3371" s="63" t="n"/>
    </row>
    <row r="3372" ht="18" customHeight="1">
      <c r="A3372" s="62" t="n"/>
      <c r="B3372" s="63" t="n"/>
      <c r="C3372" s="64" t="n"/>
      <c r="D3372" s="64" t="n"/>
      <c r="E3372" s="63" t="n"/>
    </row>
    <row r="3373" ht="18" customHeight="1">
      <c r="A3373" s="62" t="n"/>
      <c r="B3373" s="63" t="n"/>
      <c r="C3373" s="64" t="n"/>
      <c r="D3373" s="64" t="n"/>
      <c r="E3373" s="63" t="n"/>
    </row>
    <row r="3374" ht="18" customHeight="1">
      <c r="A3374" s="62" t="n"/>
      <c r="B3374" s="63" t="n"/>
      <c r="C3374" s="64" t="n"/>
      <c r="D3374" s="64" t="n"/>
      <c r="E3374" s="63" t="n"/>
    </row>
    <row r="3375" ht="18" customHeight="1">
      <c r="A3375" s="62" t="n"/>
      <c r="B3375" s="63" t="n"/>
      <c r="C3375" s="64" t="n"/>
      <c r="D3375" s="64" t="n"/>
      <c r="E3375" s="63" t="n"/>
    </row>
    <row r="3376" ht="18" customHeight="1">
      <c r="A3376" s="62" t="n"/>
      <c r="B3376" s="63" t="n"/>
      <c r="C3376" s="64" t="n"/>
      <c r="D3376" s="64" t="n"/>
      <c r="E3376" s="63" t="n"/>
    </row>
    <row r="3377" ht="18" customHeight="1">
      <c r="A3377" s="62" t="n"/>
      <c r="B3377" s="63" t="n"/>
      <c r="C3377" s="64" t="n"/>
      <c r="D3377" s="64" t="n"/>
      <c r="E3377" s="63" t="n"/>
    </row>
    <row r="3378" ht="18" customHeight="1">
      <c r="A3378" s="62" t="n"/>
      <c r="B3378" s="63" t="n"/>
      <c r="C3378" s="64" t="n"/>
      <c r="D3378" s="64" t="n"/>
      <c r="E3378" s="63" t="n"/>
    </row>
    <row r="3379" ht="18" customHeight="1">
      <c r="A3379" s="62" t="n"/>
      <c r="B3379" s="63" t="n"/>
      <c r="C3379" s="64" t="n"/>
      <c r="D3379" s="64" t="n"/>
      <c r="E3379" s="63" t="n"/>
    </row>
    <row r="3380" ht="18" customHeight="1">
      <c r="A3380" s="62" t="n"/>
      <c r="B3380" s="63" t="n"/>
      <c r="C3380" s="64" t="n"/>
      <c r="D3380" s="64" t="n"/>
      <c r="E3380" s="63" t="n"/>
    </row>
    <row r="3381" ht="18" customHeight="1">
      <c r="A3381" s="62" t="n"/>
      <c r="B3381" s="63" t="n"/>
      <c r="C3381" s="64" t="n"/>
      <c r="D3381" s="64" t="n"/>
      <c r="E3381" s="63" t="n"/>
    </row>
    <row r="3382" ht="18" customHeight="1">
      <c r="A3382" s="62" t="n"/>
      <c r="B3382" s="63" t="n"/>
      <c r="C3382" s="64" t="n"/>
      <c r="D3382" s="64" t="n"/>
      <c r="E3382" s="63" t="n"/>
    </row>
    <row r="3383" ht="18" customHeight="1">
      <c r="A3383" s="62" t="n"/>
      <c r="B3383" s="63" t="n"/>
      <c r="C3383" s="64" t="n"/>
      <c r="D3383" s="64" t="n"/>
      <c r="E3383" s="63" t="n"/>
    </row>
    <row r="3384" ht="18" customHeight="1">
      <c r="A3384" s="62" t="n"/>
      <c r="B3384" s="63" t="n"/>
      <c r="C3384" s="64" t="n"/>
      <c r="D3384" s="64" t="n"/>
      <c r="E3384" s="63" t="n"/>
    </row>
    <row r="3385" ht="18" customHeight="1">
      <c r="A3385" s="62" t="n"/>
      <c r="B3385" s="63" t="n"/>
      <c r="C3385" s="64" t="n"/>
      <c r="D3385" s="64" t="n"/>
      <c r="E3385" s="63" t="n"/>
    </row>
    <row r="3386" ht="18" customHeight="1">
      <c r="A3386" s="62" t="n"/>
      <c r="B3386" s="63" t="n"/>
      <c r="C3386" s="64" t="n"/>
      <c r="D3386" s="64" t="n"/>
      <c r="E3386" s="63" t="n"/>
    </row>
    <row r="3387" ht="18" customHeight="1">
      <c r="A3387" s="62" t="n"/>
      <c r="B3387" s="63" t="n"/>
      <c r="C3387" s="64" t="n"/>
      <c r="D3387" s="64" t="n"/>
      <c r="E3387" s="63" t="n"/>
    </row>
    <row r="3388" ht="18" customHeight="1">
      <c r="A3388" s="62" t="n"/>
      <c r="B3388" s="63" t="n"/>
      <c r="C3388" s="64" t="n"/>
      <c r="D3388" s="64" t="n"/>
      <c r="E3388" s="63" t="n"/>
    </row>
    <row r="3389" ht="18" customHeight="1">
      <c r="A3389" s="62" t="n"/>
      <c r="B3389" s="63" t="n"/>
      <c r="C3389" s="64" t="n"/>
      <c r="D3389" s="64" t="n"/>
      <c r="E3389" s="63" t="n"/>
    </row>
    <row r="3390" ht="18" customHeight="1">
      <c r="A3390" s="62" t="n"/>
      <c r="B3390" s="63" t="n"/>
      <c r="C3390" s="64" t="n"/>
      <c r="D3390" s="64" t="n"/>
      <c r="E3390" s="63" t="n"/>
    </row>
    <row r="3391" ht="18" customHeight="1">
      <c r="A3391" s="62" t="n"/>
      <c r="B3391" s="63" t="n"/>
      <c r="C3391" s="64" t="n"/>
      <c r="D3391" s="64" t="n"/>
      <c r="E3391" s="63" t="n"/>
    </row>
    <row r="3392" ht="18" customHeight="1">
      <c r="A3392" s="62" t="n"/>
      <c r="B3392" s="63" t="n"/>
      <c r="C3392" s="64" t="n"/>
      <c r="D3392" s="64" t="n"/>
      <c r="E3392" s="63" t="n"/>
    </row>
    <row r="3393" ht="18" customHeight="1">
      <c r="A3393" s="62" t="n"/>
      <c r="B3393" s="63" t="n"/>
      <c r="C3393" s="64" t="n"/>
      <c r="D3393" s="64" t="n"/>
      <c r="E3393" s="63" t="n"/>
    </row>
    <row r="3394" ht="18" customHeight="1">
      <c r="A3394" s="62" t="n"/>
      <c r="B3394" s="63" t="n"/>
      <c r="C3394" s="64" t="n"/>
      <c r="D3394" s="64" t="n"/>
      <c r="E3394" s="63" t="n"/>
    </row>
    <row r="3395" ht="18" customHeight="1">
      <c r="A3395" s="62" t="n"/>
      <c r="B3395" s="63" t="n"/>
      <c r="C3395" s="64" t="n"/>
      <c r="D3395" s="64" t="n"/>
      <c r="E3395" s="63" t="n"/>
    </row>
    <row r="3396" ht="18" customHeight="1">
      <c r="A3396" s="62" t="n"/>
      <c r="B3396" s="63" t="n"/>
      <c r="C3396" s="64" t="n"/>
      <c r="D3396" s="64" t="n"/>
      <c r="E3396" s="63" t="n"/>
    </row>
    <row r="3397" ht="18" customHeight="1">
      <c r="A3397" s="62" t="n"/>
      <c r="B3397" s="63" t="n"/>
      <c r="C3397" s="64" t="n"/>
      <c r="D3397" s="64" t="n"/>
      <c r="E3397" s="63" t="n"/>
    </row>
    <row r="3398" ht="18" customHeight="1">
      <c r="A3398" s="62" t="n"/>
      <c r="B3398" s="63" t="n"/>
      <c r="C3398" s="64" t="n"/>
      <c r="D3398" s="64" t="n"/>
      <c r="E3398" s="63" t="n"/>
    </row>
    <row r="3399" ht="18" customHeight="1">
      <c r="A3399" s="62" t="n"/>
      <c r="B3399" s="63" t="n"/>
      <c r="C3399" s="64" t="n"/>
      <c r="D3399" s="64" t="n"/>
      <c r="E3399" s="63" t="n"/>
    </row>
    <row r="3400" ht="18" customHeight="1">
      <c r="A3400" s="62" t="n"/>
      <c r="B3400" s="63" t="n"/>
      <c r="C3400" s="64" t="n"/>
      <c r="D3400" s="64" t="n"/>
      <c r="E3400" s="63" t="n"/>
    </row>
    <row r="3401" ht="18" customHeight="1">
      <c r="A3401" s="62" t="n"/>
      <c r="B3401" s="63" t="n"/>
      <c r="C3401" s="64" t="n"/>
      <c r="D3401" s="64" t="n"/>
      <c r="E3401" s="63" t="n"/>
    </row>
    <row r="3402" ht="18" customHeight="1">
      <c r="A3402" s="62" t="n"/>
      <c r="B3402" s="63" t="n"/>
      <c r="C3402" s="64" t="n"/>
      <c r="D3402" s="64" t="n"/>
      <c r="E3402" s="63" t="n"/>
    </row>
    <row r="3403" ht="18" customHeight="1">
      <c r="A3403" s="62" t="n"/>
      <c r="B3403" s="63" t="n"/>
      <c r="C3403" s="64" t="n"/>
      <c r="D3403" s="64" t="n"/>
      <c r="E3403" s="63" t="n"/>
    </row>
    <row r="3404" ht="18" customHeight="1">
      <c r="A3404" s="62" t="n"/>
      <c r="B3404" s="63" t="n"/>
      <c r="C3404" s="64" t="n"/>
      <c r="D3404" s="64" t="n"/>
      <c r="E3404" s="63" t="n"/>
    </row>
    <row r="3405" ht="18" customHeight="1">
      <c r="A3405" s="62" t="n"/>
      <c r="B3405" s="63" t="n"/>
      <c r="C3405" s="64" t="n"/>
      <c r="D3405" s="64" t="n"/>
      <c r="E3405" s="63" t="n"/>
    </row>
    <row r="3406" ht="18" customHeight="1">
      <c r="A3406" s="62" t="n"/>
      <c r="B3406" s="63" t="n"/>
      <c r="C3406" s="64" t="n"/>
      <c r="D3406" s="64" t="n"/>
      <c r="E3406" s="63" t="n"/>
    </row>
    <row r="3407" ht="18" customHeight="1">
      <c r="A3407" s="62" t="n"/>
      <c r="B3407" s="63" t="n"/>
      <c r="C3407" s="64" t="n"/>
      <c r="D3407" s="64" t="n"/>
      <c r="E3407" s="63" t="n"/>
    </row>
    <row r="3408" ht="18" customHeight="1">
      <c r="A3408" s="62" t="n"/>
      <c r="B3408" s="63" t="n"/>
      <c r="C3408" s="64" t="n"/>
      <c r="D3408" s="64" t="n"/>
      <c r="E3408" s="63" t="n"/>
    </row>
    <row r="3409" ht="18" customHeight="1">
      <c r="A3409" s="62" t="n"/>
      <c r="B3409" s="63" t="n"/>
      <c r="C3409" s="64" t="n"/>
      <c r="D3409" s="64" t="n"/>
      <c r="E3409" s="63" t="n"/>
    </row>
    <row r="3410" ht="18" customHeight="1">
      <c r="A3410" s="62" t="n"/>
      <c r="B3410" s="63" t="n"/>
      <c r="C3410" s="64" t="n"/>
      <c r="D3410" s="64" t="n"/>
      <c r="E3410" s="63" t="n"/>
    </row>
    <row r="3411" ht="18" customHeight="1">
      <c r="A3411" s="62" t="n"/>
      <c r="B3411" s="63" t="n"/>
      <c r="C3411" s="64" t="n"/>
      <c r="D3411" s="64" t="n"/>
      <c r="E3411" s="63" t="n"/>
    </row>
    <row r="3412" ht="18" customHeight="1">
      <c r="A3412" s="62" t="n"/>
      <c r="B3412" s="63" t="n"/>
      <c r="C3412" s="64" t="n"/>
      <c r="D3412" s="64" t="n"/>
      <c r="E3412" s="63" t="n"/>
    </row>
    <row r="3413" ht="18" customHeight="1">
      <c r="A3413" s="62" t="n"/>
      <c r="B3413" s="63" t="n"/>
      <c r="C3413" s="64" t="n"/>
      <c r="D3413" s="64" t="n"/>
      <c r="E3413" s="63" t="n"/>
    </row>
    <row r="3414" ht="18" customHeight="1">
      <c r="A3414" s="62" t="n"/>
      <c r="B3414" s="63" t="n"/>
      <c r="C3414" s="64" t="n"/>
      <c r="D3414" s="64" t="n"/>
      <c r="E3414" s="63" t="n"/>
    </row>
    <row r="3415" ht="18" customHeight="1">
      <c r="A3415" s="62" t="n"/>
      <c r="B3415" s="63" t="n"/>
      <c r="C3415" s="64" t="n"/>
      <c r="D3415" s="64" t="n"/>
      <c r="E3415" s="63" t="n"/>
    </row>
    <row r="3416" ht="18" customHeight="1">
      <c r="A3416" s="62" t="n"/>
      <c r="B3416" s="63" t="n"/>
      <c r="C3416" s="64" t="n"/>
      <c r="D3416" s="64" t="n"/>
      <c r="E3416" s="63" t="n"/>
    </row>
    <row r="3417" ht="18" customHeight="1">
      <c r="A3417" s="62" t="n"/>
      <c r="B3417" s="63" t="n"/>
      <c r="C3417" s="64" t="n"/>
      <c r="D3417" s="64" t="n"/>
      <c r="E3417" s="63" t="n"/>
    </row>
    <row r="3418" ht="18" customHeight="1">
      <c r="A3418" s="62" t="n"/>
      <c r="B3418" s="63" t="n"/>
      <c r="C3418" s="64" t="n"/>
      <c r="D3418" s="64" t="n"/>
      <c r="E3418" s="63" t="n"/>
    </row>
    <row r="3419" ht="18" customHeight="1">
      <c r="A3419" s="62" t="n"/>
      <c r="B3419" s="63" t="n"/>
      <c r="C3419" s="64" t="n"/>
      <c r="D3419" s="64" t="n"/>
      <c r="E3419" s="63" t="n"/>
    </row>
    <row r="3420" ht="18" customHeight="1">
      <c r="A3420" s="62" t="n"/>
      <c r="B3420" s="63" t="n"/>
      <c r="C3420" s="64" t="n"/>
      <c r="D3420" s="64" t="n"/>
      <c r="E3420" s="63" t="n"/>
    </row>
    <row r="3421" ht="18" customHeight="1">
      <c r="A3421" s="62" t="n"/>
      <c r="B3421" s="63" t="n"/>
      <c r="C3421" s="64" t="n"/>
      <c r="D3421" s="64" t="n"/>
      <c r="E3421" s="63" t="n"/>
    </row>
    <row r="3422" ht="18" customHeight="1">
      <c r="A3422" s="62" t="n"/>
      <c r="B3422" s="63" t="n"/>
      <c r="C3422" s="64" t="n"/>
      <c r="D3422" s="64" t="n"/>
      <c r="E3422" s="63" t="n"/>
    </row>
    <row r="3423" ht="18" customHeight="1">
      <c r="A3423" s="62" t="n"/>
      <c r="B3423" s="63" t="n"/>
      <c r="C3423" s="64" t="n"/>
      <c r="D3423" s="64" t="n"/>
      <c r="E3423" s="63" t="n"/>
    </row>
    <row r="3424" ht="18" customHeight="1">
      <c r="A3424" s="62" t="n"/>
      <c r="B3424" s="63" t="n"/>
      <c r="C3424" s="64" t="n"/>
      <c r="D3424" s="64" t="n"/>
      <c r="E3424" s="63" t="n"/>
    </row>
    <row r="3425" ht="18" customHeight="1">
      <c r="A3425" s="62" t="n"/>
      <c r="B3425" s="63" t="n"/>
      <c r="C3425" s="64" t="n"/>
      <c r="D3425" s="64" t="n"/>
      <c r="E3425" s="63" t="n"/>
    </row>
    <row r="3426" ht="18" customHeight="1">
      <c r="A3426" s="62" t="n"/>
      <c r="B3426" s="63" t="n"/>
      <c r="C3426" s="64" t="n"/>
      <c r="D3426" s="64" t="n"/>
      <c r="E3426" s="63" t="n"/>
    </row>
    <row r="3427" ht="18" customHeight="1">
      <c r="A3427" s="62" t="n"/>
      <c r="B3427" s="63" t="n"/>
      <c r="C3427" s="64" t="n"/>
      <c r="D3427" s="64" t="n"/>
      <c r="E3427" s="63" t="n"/>
    </row>
    <row r="3428" ht="18" customHeight="1">
      <c r="A3428" s="62" t="n"/>
      <c r="B3428" s="63" t="n"/>
      <c r="C3428" s="64" t="n"/>
      <c r="D3428" s="64" t="n"/>
      <c r="E3428" s="63" t="n"/>
    </row>
    <row r="3429" ht="18" customHeight="1">
      <c r="A3429" s="62" t="n"/>
      <c r="B3429" s="63" t="n"/>
      <c r="C3429" s="64" t="n"/>
      <c r="D3429" s="64" t="n"/>
      <c r="E3429" s="63" t="n"/>
    </row>
    <row r="3430" ht="18" customHeight="1">
      <c r="A3430" s="62" t="n"/>
      <c r="B3430" s="63" t="n"/>
      <c r="C3430" s="64" t="n"/>
      <c r="D3430" s="64" t="n"/>
      <c r="E3430" s="63" t="n"/>
    </row>
    <row r="3431" ht="18" customHeight="1">
      <c r="A3431" s="62" t="n"/>
      <c r="B3431" s="63" t="n"/>
      <c r="C3431" s="64" t="n"/>
      <c r="D3431" s="64" t="n"/>
      <c r="E3431" s="63" t="n"/>
    </row>
    <row r="3432" ht="18" customHeight="1">
      <c r="A3432" s="62" t="n"/>
      <c r="B3432" s="63" t="n"/>
      <c r="C3432" s="64" t="n"/>
      <c r="D3432" s="64" t="n"/>
      <c r="E3432" s="63" t="n"/>
    </row>
    <row r="3433" ht="18" customHeight="1">
      <c r="A3433" s="62" t="n"/>
      <c r="B3433" s="63" t="n"/>
      <c r="C3433" s="64" t="n"/>
      <c r="D3433" s="64" t="n"/>
      <c r="E3433" s="63" t="n"/>
    </row>
    <row r="3434" ht="18" customHeight="1">
      <c r="A3434" s="62" t="n"/>
      <c r="B3434" s="63" t="n"/>
      <c r="C3434" s="64" t="n"/>
      <c r="D3434" s="64" t="n"/>
      <c r="E3434" s="63" t="n"/>
    </row>
    <row r="3435" ht="18" customHeight="1">
      <c r="A3435" s="62" t="n"/>
      <c r="B3435" s="63" t="n"/>
      <c r="C3435" s="64" t="n"/>
      <c r="D3435" s="64" t="n"/>
      <c r="E3435" s="63" t="n"/>
    </row>
    <row r="3436" ht="18" customHeight="1">
      <c r="A3436" s="62" t="n"/>
      <c r="B3436" s="63" t="n"/>
      <c r="C3436" s="64" t="n"/>
      <c r="D3436" s="64" t="n"/>
      <c r="E3436" s="63" t="n"/>
    </row>
    <row r="3437" ht="18" customHeight="1">
      <c r="A3437" s="62" t="n"/>
      <c r="B3437" s="63" t="n"/>
      <c r="C3437" s="64" t="n"/>
      <c r="D3437" s="64" t="n"/>
      <c r="E3437" s="63" t="n"/>
    </row>
    <row r="3438" ht="18" customHeight="1">
      <c r="A3438" s="62" t="n"/>
      <c r="B3438" s="63" t="n"/>
      <c r="C3438" s="64" t="n"/>
      <c r="D3438" s="64" t="n"/>
      <c r="E3438" s="63" t="n"/>
    </row>
    <row r="3439" ht="18" customHeight="1">
      <c r="A3439" s="62" t="n"/>
      <c r="B3439" s="63" t="n"/>
      <c r="C3439" s="64" t="n"/>
      <c r="D3439" s="64" t="n"/>
      <c r="E3439" s="63" t="n"/>
    </row>
    <row r="3440" ht="18" customHeight="1">
      <c r="A3440" s="62" t="n"/>
      <c r="B3440" s="63" t="n"/>
      <c r="C3440" s="64" t="n"/>
      <c r="D3440" s="64" t="n"/>
      <c r="E3440" s="63" t="n"/>
    </row>
    <row r="3441" ht="18" customHeight="1">
      <c r="A3441" s="62" t="n"/>
      <c r="B3441" s="63" t="n"/>
      <c r="C3441" s="64" t="n"/>
      <c r="D3441" s="64" t="n"/>
      <c r="E3441" s="63" t="n"/>
    </row>
    <row r="3442" ht="18" customHeight="1">
      <c r="A3442" s="62" t="n"/>
      <c r="B3442" s="63" t="n"/>
      <c r="C3442" s="64" t="n"/>
      <c r="D3442" s="64" t="n"/>
      <c r="E3442" s="63" t="n"/>
    </row>
    <row r="3443" ht="18" customHeight="1">
      <c r="A3443" s="62" t="n"/>
      <c r="B3443" s="63" t="n"/>
      <c r="C3443" s="64" t="n"/>
      <c r="D3443" s="64" t="n"/>
      <c r="E3443" s="63" t="n"/>
    </row>
    <row r="3444" ht="18" customHeight="1">
      <c r="A3444" s="62" t="n"/>
      <c r="B3444" s="63" t="n"/>
      <c r="C3444" s="64" t="n"/>
      <c r="D3444" s="64" t="n"/>
      <c r="E3444" s="63" t="n"/>
    </row>
    <row r="3445" ht="18" customHeight="1">
      <c r="A3445" s="62" t="n"/>
      <c r="B3445" s="63" t="n"/>
      <c r="C3445" s="64" t="n"/>
      <c r="D3445" s="64" t="n"/>
      <c r="E3445" s="63" t="n"/>
    </row>
    <row r="3446" ht="18" customHeight="1">
      <c r="A3446" s="62" t="n"/>
      <c r="B3446" s="63" t="n"/>
      <c r="C3446" s="64" t="n"/>
      <c r="D3446" s="64" t="n"/>
      <c r="E3446" s="63" t="n"/>
    </row>
    <row r="3447" ht="18" customHeight="1">
      <c r="A3447" s="62" t="n"/>
      <c r="B3447" s="63" t="n"/>
      <c r="C3447" s="64" t="n"/>
      <c r="D3447" s="64" t="n"/>
      <c r="E3447" s="63" t="n"/>
    </row>
    <row r="3448" ht="18" customHeight="1">
      <c r="A3448" s="62" t="n"/>
      <c r="B3448" s="63" t="n"/>
      <c r="C3448" s="64" t="n"/>
      <c r="D3448" s="64" t="n"/>
      <c r="E3448" s="63" t="n"/>
    </row>
    <row r="3449" ht="18" customHeight="1">
      <c r="A3449" s="62" t="n"/>
      <c r="B3449" s="63" t="n"/>
      <c r="C3449" s="64" t="n"/>
      <c r="D3449" s="64" t="n"/>
      <c r="E3449" s="63" t="n"/>
    </row>
    <row r="3450" ht="18" customHeight="1">
      <c r="A3450" s="62" t="n"/>
      <c r="B3450" s="63" t="n"/>
      <c r="C3450" s="64" t="n"/>
      <c r="D3450" s="64" t="n"/>
      <c r="E3450" s="63" t="n"/>
    </row>
    <row r="3451" ht="18" customHeight="1">
      <c r="A3451" s="62" t="n"/>
      <c r="B3451" s="63" t="n"/>
      <c r="C3451" s="64" t="n"/>
      <c r="D3451" s="64" t="n"/>
      <c r="E3451" s="63" t="n"/>
    </row>
    <row r="3452" ht="18" customHeight="1">
      <c r="A3452" s="62" t="n"/>
      <c r="B3452" s="63" t="n"/>
      <c r="C3452" s="64" t="n"/>
      <c r="D3452" s="64" t="n"/>
      <c r="E3452" s="63" t="n"/>
    </row>
    <row r="3453" ht="18" customHeight="1">
      <c r="A3453" s="62" t="n"/>
      <c r="B3453" s="63" t="n"/>
      <c r="C3453" s="64" t="n"/>
      <c r="D3453" s="64" t="n"/>
      <c r="E3453" s="63" t="n"/>
    </row>
    <row r="3454" ht="18" customHeight="1">
      <c r="A3454" s="62" t="n"/>
      <c r="B3454" s="63" t="n"/>
      <c r="C3454" s="64" t="n"/>
      <c r="D3454" s="64" t="n"/>
      <c r="E3454" s="63" t="n"/>
    </row>
    <row r="3455" ht="18" customHeight="1">
      <c r="A3455" s="62" t="n"/>
      <c r="B3455" s="63" t="n"/>
      <c r="C3455" s="64" t="n"/>
      <c r="D3455" s="64" t="n"/>
      <c r="E3455" s="63" t="n"/>
    </row>
    <row r="3456" ht="18" customHeight="1">
      <c r="A3456" s="62" t="n"/>
      <c r="B3456" s="63" t="n"/>
      <c r="C3456" s="64" t="n"/>
      <c r="D3456" s="64" t="n"/>
      <c r="E3456" s="63" t="n"/>
    </row>
    <row r="3457" ht="18" customHeight="1">
      <c r="A3457" s="62" t="n"/>
      <c r="B3457" s="63" t="n"/>
      <c r="C3457" s="64" t="n"/>
      <c r="D3457" s="64" t="n"/>
      <c r="E3457" s="63" t="n"/>
    </row>
    <row r="3458" ht="18" customHeight="1">
      <c r="A3458" s="62" t="n"/>
      <c r="B3458" s="63" t="n"/>
      <c r="C3458" s="64" t="n"/>
      <c r="D3458" s="64" t="n"/>
      <c r="E3458" s="63" t="n"/>
    </row>
    <row r="3459" ht="18" customHeight="1">
      <c r="A3459" s="62" t="n"/>
      <c r="B3459" s="63" t="n"/>
      <c r="C3459" s="64" t="n"/>
      <c r="D3459" s="64" t="n"/>
      <c r="E3459" s="63" t="n"/>
    </row>
    <row r="3460" ht="18" customHeight="1">
      <c r="A3460" s="62" t="n"/>
      <c r="B3460" s="63" t="n"/>
      <c r="C3460" s="64" t="n"/>
      <c r="D3460" s="64" t="n"/>
      <c r="E3460" s="63" t="n"/>
    </row>
    <row r="3461" ht="18" customHeight="1">
      <c r="A3461" s="62" t="n"/>
      <c r="B3461" s="63" t="n"/>
      <c r="C3461" s="64" t="n"/>
      <c r="D3461" s="64" t="n"/>
      <c r="E3461" s="63" t="n"/>
    </row>
    <row r="3462" ht="18" customHeight="1">
      <c r="A3462" s="62" t="n"/>
      <c r="B3462" s="63" t="n"/>
      <c r="C3462" s="64" t="n"/>
      <c r="D3462" s="64" t="n"/>
      <c r="E3462" s="63" t="n"/>
    </row>
    <row r="3463" ht="18" customHeight="1">
      <c r="A3463" s="62" t="n"/>
      <c r="B3463" s="63" t="n"/>
      <c r="C3463" s="64" t="n"/>
      <c r="D3463" s="64" t="n"/>
      <c r="E3463" s="63" t="n"/>
    </row>
    <row r="3464" ht="18" customHeight="1">
      <c r="A3464" s="62" t="n"/>
      <c r="B3464" s="63" t="n"/>
      <c r="C3464" s="64" t="n"/>
      <c r="D3464" s="64" t="n"/>
      <c r="E3464" s="63" t="n"/>
    </row>
    <row r="3465" ht="18" customHeight="1">
      <c r="A3465" s="62" t="n"/>
      <c r="B3465" s="63" t="n"/>
      <c r="C3465" s="64" t="n"/>
      <c r="D3465" s="64" t="n"/>
      <c r="E3465" s="63" t="n"/>
    </row>
    <row r="3466" ht="18" customHeight="1">
      <c r="A3466" s="62" t="n"/>
      <c r="B3466" s="63" t="n"/>
      <c r="C3466" s="64" t="n"/>
      <c r="D3466" s="64" t="n"/>
      <c r="E3466" s="63" t="n"/>
    </row>
    <row r="3467" ht="18" customHeight="1">
      <c r="A3467" s="62" t="n"/>
      <c r="B3467" s="63" t="n"/>
      <c r="C3467" s="64" t="n"/>
      <c r="D3467" s="64" t="n"/>
      <c r="E3467" s="63" t="n"/>
    </row>
    <row r="3468" ht="18" customHeight="1">
      <c r="A3468" s="62" t="n"/>
      <c r="B3468" s="63" t="n"/>
      <c r="C3468" s="64" t="n"/>
      <c r="D3468" s="64" t="n"/>
      <c r="E3468" s="63" t="n"/>
    </row>
    <row r="3469" ht="18" customHeight="1">
      <c r="A3469" s="62" t="n"/>
      <c r="B3469" s="63" t="n"/>
      <c r="C3469" s="64" t="n"/>
      <c r="D3469" s="64" t="n"/>
      <c r="E3469" s="63" t="n"/>
    </row>
    <row r="3470" ht="18" customHeight="1">
      <c r="A3470" s="62" t="n"/>
      <c r="B3470" s="63" t="n"/>
      <c r="C3470" s="64" t="n"/>
      <c r="D3470" s="64" t="n"/>
      <c r="E3470" s="63" t="n"/>
    </row>
    <row r="3471" ht="18" customHeight="1">
      <c r="A3471" s="62" t="n"/>
      <c r="B3471" s="63" t="n"/>
      <c r="C3471" s="64" t="n"/>
      <c r="D3471" s="64" t="n"/>
      <c r="E3471" s="63" t="n"/>
    </row>
    <row r="3472" ht="18" customHeight="1">
      <c r="A3472" s="62" t="n"/>
      <c r="B3472" s="63" t="n"/>
      <c r="C3472" s="64" t="n"/>
      <c r="D3472" s="64" t="n"/>
      <c r="E3472" s="63" t="n"/>
    </row>
    <row r="3473" ht="18" customHeight="1">
      <c r="A3473" s="62" t="n"/>
      <c r="B3473" s="63" t="n"/>
      <c r="C3473" s="64" t="n"/>
      <c r="D3473" s="64" t="n"/>
      <c r="E3473" s="63" t="n"/>
    </row>
    <row r="3474" ht="18" customHeight="1">
      <c r="A3474" s="62" t="n"/>
      <c r="B3474" s="63" t="n"/>
      <c r="C3474" s="64" t="n"/>
      <c r="D3474" s="64" t="n"/>
      <c r="E3474" s="63" t="n"/>
    </row>
    <row r="3475" ht="18" customHeight="1">
      <c r="A3475" s="62" t="n"/>
      <c r="B3475" s="63" t="n"/>
      <c r="C3475" s="64" t="n"/>
      <c r="D3475" s="64" t="n"/>
      <c r="E3475" s="63" t="n"/>
    </row>
    <row r="3476" ht="18" customHeight="1">
      <c r="A3476" s="62" t="n"/>
      <c r="B3476" s="63" t="n"/>
      <c r="C3476" s="64" t="n"/>
      <c r="D3476" s="64" t="n"/>
      <c r="E3476" s="63" t="n"/>
    </row>
    <row r="3477" ht="18" customHeight="1">
      <c r="A3477" s="62" t="n"/>
      <c r="B3477" s="63" t="n"/>
      <c r="C3477" s="64" t="n"/>
      <c r="D3477" s="64" t="n"/>
      <c r="E3477" s="63" t="n"/>
    </row>
    <row r="3478" ht="18" customHeight="1">
      <c r="A3478" s="62" t="n"/>
      <c r="B3478" s="63" t="n"/>
      <c r="C3478" s="64" t="n"/>
      <c r="D3478" s="64" t="n"/>
      <c r="E3478" s="63" t="n"/>
    </row>
    <row r="3479" ht="18" customHeight="1">
      <c r="A3479" s="62" t="n"/>
      <c r="B3479" s="63" t="n"/>
      <c r="C3479" s="64" t="n"/>
      <c r="D3479" s="64" t="n"/>
      <c r="E3479" s="63" t="n"/>
    </row>
    <row r="3480" ht="18" customHeight="1">
      <c r="A3480" s="62" t="n"/>
      <c r="B3480" s="63" t="n"/>
      <c r="C3480" s="64" t="n"/>
      <c r="D3480" s="64" t="n"/>
      <c r="E3480" s="63" t="n"/>
    </row>
    <row r="3481" ht="18" customHeight="1">
      <c r="A3481" s="62" t="n"/>
      <c r="B3481" s="63" t="n"/>
      <c r="C3481" s="64" t="n"/>
      <c r="D3481" s="64" t="n"/>
      <c r="E3481" s="63" t="n"/>
    </row>
    <row r="3482" ht="18" customHeight="1">
      <c r="A3482" s="62" t="n"/>
      <c r="B3482" s="63" t="n"/>
      <c r="C3482" s="64" t="n"/>
      <c r="D3482" s="64" t="n"/>
      <c r="E3482" s="63" t="n"/>
    </row>
    <row r="3483" ht="18" customHeight="1">
      <c r="A3483" s="62" t="n"/>
      <c r="B3483" s="63" t="n"/>
      <c r="C3483" s="64" t="n"/>
      <c r="D3483" s="64" t="n"/>
      <c r="E3483" s="63" t="n"/>
    </row>
    <row r="3484" ht="18" customHeight="1">
      <c r="A3484" s="62" t="n"/>
      <c r="B3484" s="63" t="n"/>
      <c r="C3484" s="64" t="n"/>
      <c r="D3484" s="64" t="n"/>
      <c r="E3484" s="63" t="n"/>
    </row>
    <row r="3485" ht="18" customHeight="1">
      <c r="A3485" s="62" t="n"/>
      <c r="B3485" s="63" t="n"/>
      <c r="C3485" s="64" t="n"/>
      <c r="D3485" s="64" t="n"/>
      <c r="E3485" s="63" t="n"/>
    </row>
    <row r="3486" ht="18" customHeight="1">
      <c r="A3486" s="62" t="n"/>
      <c r="B3486" s="63" t="n"/>
      <c r="C3486" s="64" t="n"/>
      <c r="D3486" s="64" t="n"/>
      <c r="E3486" s="63" t="n"/>
    </row>
    <row r="3487" ht="18" customHeight="1">
      <c r="A3487" s="62" t="n"/>
      <c r="B3487" s="63" t="n"/>
      <c r="C3487" s="64" t="n"/>
      <c r="D3487" s="64" t="n"/>
      <c r="E3487" s="63" t="n"/>
    </row>
    <row r="3488" ht="18" customHeight="1">
      <c r="A3488" s="62" t="n"/>
      <c r="B3488" s="63" t="n"/>
      <c r="C3488" s="64" t="n"/>
      <c r="D3488" s="64" t="n"/>
      <c r="E3488" s="63" t="n"/>
    </row>
    <row r="3489" ht="18" customHeight="1">
      <c r="A3489" s="62" t="n"/>
      <c r="B3489" s="63" t="n"/>
      <c r="C3489" s="64" t="n"/>
      <c r="D3489" s="64" t="n"/>
      <c r="E3489" s="63" t="n"/>
    </row>
    <row r="3490" ht="18" customHeight="1">
      <c r="A3490" s="62" t="n"/>
      <c r="B3490" s="63" t="n"/>
      <c r="C3490" s="64" t="n"/>
      <c r="D3490" s="64" t="n"/>
      <c r="E3490" s="63" t="n"/>
    </row>
    <row r="3491" ht="18" customHeight="1">
      <c r="A3491" s="62" t="n"/>
      <c r="B3491" s="63" t="n"/>
      <c r="C3491" s="64" t="n"/>
      <c r="D3491" s="64" t="n"/>
      <c r="E3491" s="63" t="n"/>
    </row>
    <row r="3492" ht="18" customHeight="1">
      <c r="A3492" s="62" t="n"/>
      <c r="B3492" s="63" t="n"/>
      <c r="C3492" s="64" t="n"/>
      <c r="D3492" s="64" t="n"/>
      <c r="E3492" s="63" t="n"/>
    </row>
    <row r="3493" ht="18" customHeight="1">
      <c r="A3493" s="62" t="n"/>
      <c r="B3493" s="63" t="n"/>
      <c r="C3493" s="64" t="n"/>
      <c r="D3493" s="64" t="n"/>
      <c r="E3493" s="63" t="n"/>
    </row>
    <row r="3494" ht="18" customHeight="1">
      <c r="A3494" s="62" t="n"/>
      <c r="B3494" s="63" t="n"/>
      <c r="C3494" s="64" t="n"/>
      <c r="D3494" s="64" t="n"/>
      <c r="E3494" s="63" t="n"/>
    </row>
    <row r="3495" ht="18" customHeight="1">
      <c r="A3495" s="62" t="n"/>
      <c r="B3495" s="63" t="n"/>
      <c r="C3495" s="64" t="n"/>
      <c r="D3495" s="64" t="n"/>
      <c r="E3495" s="63" t="n"/>
    </row>
    <row r="3496" ht="18" customHeight="1">
      <c r="A3496" s="62" t="n"/>
      <c r="B3496" s="63" t="n"/>
      <c r="C3496" s="64" t="n"/>
      <c r="D3496" s="64" t="n"/>
      <c r="E3496" s="63" t="n"/>
    </row>
    <row r="3497" ht="18" customHeight="1">
      <c r="A3497" s="62" t="n"/>
      <c r="B3497" s="63" t="n"/>
      <c r="C3497" s="64" t="n"/>
      <c r="D3497" s="64" t="n"/>
      <c r="E3497" s="63" t="n"/>
    </row>
    <row r="3498" ht="18" customHeight="1">
      <c r="A3498" s="62" t="n"/>
      <c r="B3498" s="63" t="n"/>
      <c r="C3498" s="64" t="n"/>
      <c r="D3498" s="64" t="n"/>
      <c r="E3498" s="63" t="n"/>
    </row>
    <row r="3499" ht="18" customHeight="1">
      <c r="A3499" s="62" t="n"/>
      <c r="B3499" s="63" t="n"/>
      <c r="C3499" s="64" t="n"/>
      <c r="D3499" s="64" t="n"/>
      <c r="E3499" s="63" t="n"/>
    </row>
    <row r="3500" ht="18" customHeight="1">
      <c r="A3500" s="62" t="n"/>
      <c r="B3500" s="63" t="n"/>
      <c r="C3500" s="64" t="n"/>
      <c r="D3500" s="64" t="n"/>
      <c r="E3500" s="63" t="n"/>
    </row>
    <row r="3501" ht="18" customHeight="1">
      <c r="A3501" s="62" t="n"/>
      <c r="B3501" s="63" t="n"/>
      <c r="C3501" s="64" t="n"/>
      <c r="D3501" s="64" t="n"/>
      <c r="E3501" s="63" t="n"/>
    </row>
    <row r="3502" ht="18" customHeight="1">
      <c r="A3502" s="62" t="n"/>
      <c r="B3502" s="63" t="n"/>
      <c r="C3502" s="64" t="n"/>
      <c r="D3502" s="64" t="n"/>
      <c r="E3502" s="63" t="n"/>
    </row>
    <row r="3503" ht="18" customHeight="1">
      <c r="A3503" s="62" t="n"/>
      <c r="B3503" s="63" t="n"/>
      <c r="C3503" s="64" t="n"/>
      <c r="D3503" s="64" t="n"/>
      <c r="E3503" s="63" t="n"/>
    </row>
    <row r="3504" ht="18" customHeight="1">
      <c r="A3504" s="62" t="n"/>
      <c r="B3504" s="63" t="n"/>
      <c r="C3504" s="64" t="n"/>
      <c r="D3504" s="64" t="n"/>
      <c r="E3504" s="63" t="n"/>
    </row>
    <row r="3505" ht="18" customHeight="1">
      <c r="A3505" s="62" t="n"/>
      <c r="B3505" s="63" t="n"/>
      <c r="C3505" s="64" t="n"/>
      <c r="D3505" s="64" t="n"/>
      <c r="E3505" s="63" t="n"/>
    </row>
    <row r="3506" ht="18" customHeight="1">
      <c r="A3506" s="62" t="n"/>
      <c r="B3506" s="63" t="n"/>
      <c r="C3506" s="64" t="n"/>
      <c r="D3506" s="64" t="n"/>
      <c r="E3506" s="63" t="n"/>
    </row>
    <row r="3507" ht="18" customHeight="1">
      <c r="A3507" s="62" t="n"/>
      <c r="B3507" s="63" t="n"/>
      <c r="C3507" s="64" t="n"/>
      <c r="D3507" s="64" t="n"/>
      <c r="E3507" s="63" t="n"/>
    </row>
    <row r="3508" ht="18" customHeight="1">
      <c r="A3508" s="62" t="n"/>
      <c r="B3508" s="63" t="n"/>
      <c r="C3508" s="64" t="n"/>
      <c r="D3508" s="64" t="n"/>
      <c r="E3508" s="63" t="n"/>
    </row>
    <row r="3509" ht="18" customHeight="1">
      <c r="A3509" s="62" t="n"/>
      <c r="B3509" s="63" t="n"/>
      <c r="C3509" s="64" t="n"/>
      <c r="D3509" s="64" t="n"/>
      <c r="E3509" s="63" t="n"/>
    </row>
    <row r="3510" ht="18" customHeight="1">
      <c r="A3510" s="62" t="n"/>
      <c r="B3510" s="63" t="n"/>
      <c r="C3510" s="64" t="n"/>
      <c r="D3510" s="64" t="n"/>
      <c r="E3510" s="63" t="n"/>
    </row>
    <row r="3511" ht="18" customHeight="1">
      <c r="A3511" s="62" t="n"/>
      <c r="B3511" s="63" t="n"/>
      <c r="C3511" s="64" t="n"/>
      <c r="D3511" s="64" t="n"/>
      <c r="E3511" s="63" t="n"/>
    </row>
    <row r="3512" ht="18" customHeight="1">
      <c r="A3512" s="62" t="n"/>
      <c r="B3512" s="63" t="n"/>
      <c r="C3512" s="64" t="n"/>
      <c r="D3512" s="64" t="n"/>
      <c r="E3512" s="63" t="n"/>
    </row>
    <row r="3513" ht="18" customHeight="1">
      <c r="A3513" s="62" t="n"/>
      <c r="B3513" s="63" t="n"/>
      <c r="C3513" s="64" t="n"/>
      <c r="D3513" s="64" t="n"/>
      <c r="E3513" s="63" t="n"/>
    </row>
    <row r="3514" ht="18" customHeight="1">
      <c r="A3514" s="62" t="n"/>
      <c r="B3514" s="63" t="n"/>
      <c r="C3514" s="64" t="n"/>
      <c r="D3514" s="64" t="n"/>
      <c r="E3514" s="63" t="n"/>
    </row>
    <row r="3515" ht="18" customHeight="1">
      <c r="A3515" s="62" t="n"/>
      <c r="B3515" s="63" t="n"/>
      <c r="C3515" s="64" t="n"/>
      <c r="D3515" s="64" t="n"/>
      <c r="E3515" s="63" t="n"/>
    </row>
    <row r="3516" ht="18" customHeight="1">
      <c r="A3516" s="62" t="n"/>
      <c r="B3516" s="63" t="n"/>
      <c r="C3516" s="64" t="n"/>
      <c r="D3516" s="64" t="n"/>
      <c r="E3516" s="63" t="n"/>
    </row>
    <row r="3517" ht="18" customHeight="1">
      <c r="A3517" s="62" t="n"/>
      <c r="B3517" s="63" t="n"/>
      <c r="C3517" s="64" t="n"/>
      <c r="D3517" s="64" t="n"/>
      <c r="E3517" s="63" t="n"/>
    </row>
    <row r="3518" ht="18" customHeight="1">
      <c r="A3518" s="62" t="n"/>
      <c r="B3518" s="63" t="n"/>
      <c r="C3518" s="64" t="n"/>
      <c r="D3518" s="64" t="n"/>
      <c r="E3518" s="63" t="n"/>
    </row>
    <row r="3519" ht="18" customHeight="1">
      <c r="A3519" s="62" t="n"/>
      <c r="B3519" s="63" t="n"/>
      <c r="C3519" s="64" t="n"/>
      <c r="D3519" s="64" t="n"/>
      <c r="E3519" s="63" t="n"/>
    </row>
    <row r="3520" ht="18" customHeight="1">
      <c r="A3520" s="62" t="n"/>
      <c r="B3520" s="63" t="n"/>
      <c r="C3520" s="64" t="n"/>
      <c r="D3520" s="64" t="n"/>
      <c r="E3520" s="63" t="n"/>
    </row>
    <row r="3521" ht="18" customHeight="1">
      <c r="A3521" s="62" t="n"/>
      <c r="B3521" s="63" t="n"/>
      <c r="C3521" s="64" t="n"/>
      <c r="D3521" s="64" t="n"/>
      <c r="E3521" s="63" t="n"/>
    </row>
    <row r="3522" ht="18" customHeight="1">
      <c r="A3522" s="62" t="n"/>
      <c r="B3522" s="63" t="n"/>
      <c r="C3522" s="64" t="n"/>
      <c r="D3522" s="64" t="n"/>
      <c r="E3522" s="63" t="n"/>
    </row>
    <row r="3523" ht="18" customHeight="1">
      <c r="A3523" s="62" t="n"/>
      <c r="B3523" s="63" t="n"/>
      <c r="C3523" s="64" t="n"/>
      <c r="D3523" s="64" t="n"/>
      <c r="E3523" s="63" t="n"/>
    </row>
    <row r="3524" ht="18" customHeight="1">
      <c r="A3524" s="62" t="n"/>
      <c r="B3524" s="63" t="n"/>
      <c r="C3524" s="64" t="n"/>
      <c r="D3524" s="64" t="n"/>
      <c r="E3524" s="63" t="n"/>
    </row>
    <row r="3525" ht="18" customHeight="1">
      <c r="A3525" s="62" t="n"/>
      <c r="B3525" s="63" t="n"/>
      <c r="C3525" s="64" t="n"/>
      <c r="D3525" s="64" t="n"/>
      <c r="E3525" s="63" t="n"/>
    </row>
    <row r="3526" ht="18" customHeight="1">
      <c r="A3526" s="62" t="n"/>
      <c r="B3526" s="63" t="n"/>
      <c r="C3526" s="64" t="n"/>
      <c r="D3526" s="64" t="n"/>
      <c r="E3526" s="63" t="n"/>
    </row>
    <row r="3527" ht="18" customHeight="1">
      <c r="A3527" s="62" t="n"/>
      <c r="B3527" s="63" t="n"/>
      <c r="C3527" s="64" t="n"/>
      <c r="D3527" s="64" t="n"/>
      <c r="E3527" s="63" t="n"/>
    </row>
    <row r="3528" ht="18" customHeight="1">
      <c r="A3528" s="62" t="n"/>
      <c r="B3528" s="63" t="n"/>
      <c r="C3528" s="64" t="n"/>
      <c r="D3528" s="64" t="n"/>
      <c r="E3528" s="63" t="n"/>
    </row>
    <row r="3529" ht="18" customHeight="1">
      <c r="A3529" s="62" t="n"/>
      <c r="B3529" s="63" t="n"/>
      <c r="C3529" s="64" t="n"/>
      <c r="D3529" s="64" t="n"/>
      <c r="E3529" s="63" t="n"/>
    </row>
    <row r="3530" ht="18" customHeight="1">
      <c r="A3530" s="62" t="n"/>
      <c r="B3530" s="63" t="n"/>
      <c r="C3530" s="64" t="n"/>
      <c r="D3530" s="64" t="n"/>
      <c r="E3530" s="63" t="n"/>
    </row>
    <row r="3531" ht="18" customHeight="1">
      <c r="A3531" s="62" t="n"/>
      <c r="B3531" s="63" t="n"/>
      <c r="C3531" s="64" t="n"/>
      <c r="D3531" s="64" t="n"/>
      <c r="E3531" s="63" t="n"/>
    </row>
    <row r="3532" ht="18" customHeight="1">
      <c r="A3532" s="62" t="n"/>
      <c r="B3532" s="63" t="n"/>
      <c r="C3532" s="64" t="n"/>
      <c r="D3532" s="64" t="n"/>
      <c r="E3532" s="63" t="n"/>
    </row>
    <row r="3533" ht="18" customHeight="1">
      <c r="A3533" s="62" t="n"/>
      <c r="B3533" s="63" t="n"/>
      <c r="C3533" s="64" t="n"/>
      <c r="D3533" s="64" t="n"/>
      <c r="E3533" s="63" t="n"/>
    </row>
    <row r="3534" ht="18" customHeight="1">
      <c r="A3534" s="62" t="n"/>
      <c r="B3534" s="63" t="n"/>
      <c r="C3534" s="64" t="n"/>
      <c r="D3534" s="64" t="n"/>
      <c r="E3534" s="63" t="n"/>
    </row>
    <row r="3535" ht="18" customHeight="1">
      <c r="A3535" s="62" t="n"/>
      <c r="B3535" s="63" t="n"/>
      <c r="C3535" s="64" t="n"/>
      <c r="D3535" s="64" t="n"/>
      <c r="E3535" s="63" t="n"/>
    </row>
    <row r="3536" ht="18" customHeight="1">
      <c r="A3536" s="62" t="n"/>
      <c r="B3536" s="63" t="n"/>
      <c r="C3536" s="64" t="n"/>
      <c r="D3536" s="64" t="n"/>
      <c r="E3536" s="63" t="n"/>
    </row>
    <row r="3537" ht="18" customHeight="1">
      <c r="A3537" s="62" t="n"/>
      <c r="B3537" s="63" t="n"/>
      <c r="C3537" s="64" t="n"/>
      <c r="D3537" s="64" t="n"/>
      <c r="E3537" s="63" t="n"/>
    </row>
    <row r="3538" ht="18" customHeight="1">
      <c r="A3538" s="62" t="n"/>
      <c r="B3538" s="63" t="n"/>
      <c r="C3538" s="64" t="n"/>
      <c r="D3538" s="64" t="n"/>
      <c r="E3538" s="63" t="n"/>
    </row>
    <row r="3539" ht="18" customHeight="1">
      <c r="A3539" s="62" t="n"/>
      <c r="B3539" s="63" t="n"/>
      <c r="C3539" s="64" t="n"/>
      <c r="D3539" s="64" t="n"/>
      <c r="E3539" s="63" t="n"/>
    </row>
    <row r="3540" ht="18" customHeight="1">
      <c r="A3540" s="62" t="n"/>
      <c r="B3540" s="63" t="n"/>
      <c r="C3540" s="64" t="n"/>
      <c r="D3540" s="64" t="n"/>
      <c r="E3540" s="63" t="n"/>
    </row>
    <row r="3541" ht="18" customHeight="1">
      <c r="A3541" s="62" t="n"/>
      <c r="B3541" s="63" t="n"/>
      <c r="C3541" s="64" t="n"/>
      <c r="D3541" s="64" t="n"/>
      <c r="E3541" s="63" t="n"/>
    </row>
    <row r="3542" ht="18" customHeight="1">
      <c r="A3542" s="62" t="n"/>
      <c r="B3542" s="63" t="n"/>
      <c r="C3542" s="64" t="n"/>
      <c r="D3542" s="64" t="n"/>
      <c r="E3542" s="63" t="n"/>
    </row>
    <row r="3543" ht="18" customHeight="1">
      <c r="A3543" s="62" t="n"/>
      <c r="B3543" s="63" t="n"/>
      <c r="C3543" s="64" t="n"/>
      <c r="D3543" s="64" t="n"/>
      <c r="E3543" s="63" t="n"/>
    </row>
    <row r="3544" ht="18" customHeight="1">
      <c r="A3544" s="62" t="n"/>
      <c r="B3544" s="63" t="n"/>
      <c r="C3544" s="64" t="n"/>
      <c r="D3544" s="64" t="n"/>
      <c r="E3544" s="63" t="n"/>
    </row>
    <row r="3545" ht="18" customHeight="1">
      <c r="A3545" s="62" t="n"/>
      <c r="B3545" s="63" t="n"/>
      <c r="C3545" s="64" t="n"/>
      <c r="D3545" s="64" t="n"/>
      <c r="E3545" s="63" t="n"/>
    </row>
    <row r="3546" ht="18" customHeight="1">
      <c r="A3546" s="62" t="n"/>
      <c r="B3546" s="63" t="n"/>
      <c r="C3546" s="64" t="n"/>
      <c r="D3546" s="64" t="n"/>
      <c r="E3546" s="63" t="n"/>
    </row>
    <row r="3547" ht="18" customHeight="1">
      <c r="A3547" s="62" t="n"/>
      <c r="B3547" s="63" t="n"/>
      <c r="C3547" s="64" t="n"/>
      <c r="D3547" s="64" t="n"/>
      <c r="E3547" s="63" t="n"/>
    </row>
    <row r="3548" ht="18" customHeight="1">
      <c r="A3548" s="62" t="n"/>
      <c r="B3548" s="63" t="n"/>
      <c r="C3548" s="64" t="n"/>
      <c r="D3548" s="64" t="n"/>
      <c r="E3548" s="63" t="n"/>
    </row>
    <row r="3549" ht="18" customHeight="1">
      <c r="A3549" s="62" t="n"/>
      <c r="B3549" s="63" t="n"/>
      <c r="C3549" s="64" t="n"/>
      <c r="D3549" s="64" t="n"/>
      <c r="E3549" s="63" t="n"/>
    </row>
    <row r="3550" ht="18" customHeight="1">
      <c r="A3550" s="62" t="n"/>
      <c r="B3550" s="63" t="n"/>
      <c r="C3550" s="64" t="n"/>
      <c r="D3550" s="64" t="n"/>
      <c r="E3550" s="63" t="n"/>
    </row>
    <row r="3551" ht="18" customHeight="1">
      <c r="A3551" s="62" t="n"/>
      <c r="B3551" s="63" t="n"/>
      <c r="C3551" s="64" t="n"/>
      <c r="D3551" s="64" t="n"/>
      <c r="E3551" s="63" t="n"/>
    </row>
    <row r="3552" ht="18" customHeight="1">
      <c r="A3552" s="62" t="n"/>
      <c r="B3552" s="63" t="n"/>
      <c r="C3552" s="64" t="n"/>
      <c r="D3552" s="64" t="n"/>
      <c r="E3552" s="63" t="n"/>
    </row>
    <row r="3553" ht="18" customHeight="1">
      <c r="A3553" s="62" t="n"/>
      <c r="B3553" s="63" t="n"/>
      <c r="C3553" s="64" t="n"/>
      <c r="D3553" s="64" t="n"/>
      <c r="E3553" s="63" t="n"/>
    </row>
    <row r="3554" ht="18" customHeight="1">
      <c r="A3554" s="62" t="n"/>
      <c r="B3554" s="63" t="n"/>
      <c r="C3554" s="64" t="n"/>
      <c r="D3554" s="64" t="n"/>
      <c r="E3554" s="63" t="n"/>
    </row>
    <row r="3555" ht="18" customHeight="1">
      <c r="A3555" s="62" t="n"/>
      <c r="B3555" s="63" t="n"/>
      <c r="C3555" s="64" t="n"/>
      <c r="D3555" s="64" t="n"/>
      <c r="E3555" s="63" t="n"/>
    </row>
    <row r="3556" ht="18" customHeight="1">
      <c r="A3556" s="62" t="n"/>
      <c r="B3556" s="63" t="n"/>
      <c r="C3556" s="64" t="n"/>
      <c r="D3556" s="64" t="n"/>
      <c r="E3556" s="63" t="n"/>
    </row>
    <row r="3557" ht="18" customHeight="1">
      <c r="A3557" s="62" t="n"/>
      <c r="B3557" s="63" t="n"/>
      <c r="C3557" s="64" t="n"/>
      <c r="D3557" s="64" t="n"/>
      <c r="E3557" s="63" t="n"/>
    </row>
    <row r="3558" ht="18" customHeight="1">
      <c r="A3558" s="62" t="n"/>
      <c r="B3558" s="63" t="n"/>
      <c r="C3558" s="64" t="n"/>
      <c r="D3558" s="64" t="n"/>
      <c r="E3558" s="63" t="n"/>
    </row>
    <row r="3559" ht="18" customHeight="1">
      <c r="A3559" s="62" t="n"/>
      <c r="B3559" s="63" t="n"/>
      <c r="C3559" s="64" t="n"/>
      <c r="D3559" s="64" t="n"/>
      <c r="E3559" s="63" t="n"/>
    </row>
    <row r="3560" ht="18" customHeight="1">
      <c r="A3560" s="62" t="n"/>
      <c r="B3560" s="63" t="n"/>
      <c r="C3560" s="64" t="n"/>
      <c r="D3560" s="64" t="n"/>
      <c r="E3560" s="63" t="n"/>
    </row>
    <row r="3561" ht="18" customHeight="1">
      <c r="A3561" s="62" t="n"/>
      <c r="B3561" s="63" t="n"/>
      <c r="C3561" s="64" t="n"/>
      <c r="D3561" s="64" t="n"/>
      <c r="E3561" s="63" t="n"/>
    </row>
    <row r="3562" ht="18" customHeight="1">
      <c r="A3562" s="62" t="n"/>
      <c r="B3562" s="63" t="n"/>
      <c r="C3562" s="64" t="n"/>
      <c r="D3562" s="64" t="n"/>
      <c r="E3562" s="63" t="n"/>
    </row>
    <row r="3563" ht="18" customHeight="1">
      <c r="A3563" s="62" t="n"/>
      <c r="B3563" s="63" t="n"/>
      <c r="C3563" s="64" t="n"/>
      <c r="D3563" s="64" t="n"/>
      <c r="E3563" s="63" t="n"/>
    </row>
    <row r="3564" ht="18" customHeight="1">
      <c r="A3564" s="62" t="n"/>
      <c r="B3564" s="63" t="n"/>
      <c r="C3564" s="64" t="n"/>
      <c r="D3564" s="64" t="n"/>
      <c r="E3564" s="63" t="n"/>
    </row>
    <row r="3565" ht="18" customHeight="1">
      <c r="A3565" s="62" t="n"/>
      <c r="B3565" s="63" t="n"/>
      <c r="C3565" s="64" t="n"/>
      <c r="D3565" s="64" t="n"/>
      <c r="E3565" s="63" t="n"/>
    </row>
    <row r="3566" ht="18" customHeight="1">
      <c r="A3566" s="62" t="n"/>
      <c r="B3566" s="63" t="n"/>
      <c r="C3566" s="64" t="n"/>
      <c r="D3566" s="64" t="n"/>
      <c r="E3566" s="63" t="n"/>
    </row>
    <row r="3567" ht="18" customHeight="1">
      <c r="A3567" s="62" t="n"/>
      <c r="B3567" s="63" t="n"/>
      <c r="C3567" s="64" t="n"/>
      <c r="D3567" s="64" t="n"/>
      <c r="E3567" s="63" t="n"/>
    </row>
    <row r="3568" ht="18" customHeight="1">
      <c r="A3568" s="62" t="n"/>
      <c r="B3568" s="63" t="n"/>
      <c r="C3568" s="64" t="n"/>
      <c r="D3568" s="64" t="n"/>
      <c r="E3568" s="63" t="n"/>
    </row>
    <row r="3569" ht="18" customHeight="1">
      <c r="A3569" s="62" t="n"/>
      <c r="B3569" s="63" t="n"/>
      <c r="C3569" s="64" t="n"/>
      <c r="D3569" s="64" t="n"/>
      <c r="E3569" s="63" t="n"/>
    </row>
    <row r="3570" ht="18" customHeight="1">
      <c r="A3570" s="62" t="n"/>
      <c r="B3570" s="63" t="n"/>
      <c r="C3570" s="64" t="n"/>
      <c r="D3570" s="64" t="n"/>
      <c r="E3570" s="63" t="n"/>
    </row>
    <row r="3571" ht="18" customHeight="1">
      <c r="A3571" s="62" t="n"/>
      <c r="B3571" s="63" t="n"/>
      <c r="C3571" s="64" t="n"/>
      <c r="D3571" s="64" t="n"/>
      <c r="E3571" s="63" t="n"/>
    </row>
    <row r="3572" ht="18" customHeight="1">
      <c r="A3572" s="62" t="n"/>
      <c r="B3572" s="63" t="n"/>
      <c r="C3572" s="64" t="n"/>
      <c r="D3572" s="64" t="n"/>
      <c r="E3572" s="63" t="n"/>
    </row>
    <row r="3573" ht="18" customHeight="1">
      <c r="A3573" s="62" t="n"/>
      <c r="B3573" s="63" t="n"/>
      <c r="C3573" s="64" t="n"/>
      <c r="D3573" s="64" t="n"/>
      <c r="E3573" s="63" t="n"/>
    </row>
    <row r="3574" ht="18" customHeight="1">
      <c r="A3574" s="62" t="n"/>
      <c r="B3574" s="63" t="n"/>
      <c r="C3574" s="64" t="n"/>
      <c r="D3574" s="64" t="n"/>
      <c r="E3574" s="63" t="n"/>
    </row>
    <row r="3575" ht="18" customHeight="1">
      <c r="A3575" s="62" t="n"/>
      <c r="B3575" s="63" t="n"/>
      <c r="C3575" s="64" t="n"/>
      <c r="D3575" s="64" t="n"/>
      <c r="E3575" s="63" t="n"/>
    </row>
    <row r="3576" ht="18" customHeight="1">
      <c r="A3576" s="62" t="n"/>
      <c r="B3576" s="63" t="n"/>
      <c r="C3576" s="64" t="n"/>
      <c r="D3576" s="64" t="n"/>
      <c r="E3576" s="63" t="n"/>
    </row>
    <row r="3577" ht="18" customHeight="1">
      <c r="A3577" s="62" t="n"/>
      <c r="B3577" s="63" t="n"/>
      <c r="C3577" s="64" t="n"/>
      <c r="D3577" s="64" t="n"/>
      <c r="E3577" s="63" t="n"/>
    </row>
    <row r="3578" ht="18" customHeight="1">
      <c r="A3578" s="62" t="n"/>
      <c r="B3578" s="63" t="n"/>
      <c r="C3578" s="64" t="n"/>
      <c r="D3578" s="64" t="n"/>
      <c r="E3578" s="63" t="n"/>
    </row>
    <row r="3579" ht="18" customHeight="1">
      <c r="A3579" s="62" t="n"/>
      <c r="B3579" s="63" t="n"/>
      <c r="C3579" s="64" t="n"/>
      <c r="D3579" s="64" t="n"/>
      <c r="E3579" s="63" t="n"/>
    </row>
    <row r="3580" ht="18" customHeight="1">
      <c r="A3580" s="62" t="n"/>
      <c r="B3580" s="63" t="n"/>
      <c r="C3580" s="64" t="n"/>
      <c r="D3580" s="64" t="n"/>
      <c r="E3580" s="63" t="n"/>
    </row>
    <row r="3581" ht="18" customHeight="1">
      <c r="A3581" s="62" t="n"/>
      <c r="B3581" s="63" t="n"/>
      <c r="C3581" s="64" t="n"/>
      <c r="D3581" s="64" t="n"/>
      <c r="E3581" s="63" t="n"/>
    </row>
    <row r="3582" ht="18" customHeight="1">
      <c r="A3582" s="62" t="n"/>
      <c r="B3582" s="63" t="n"/>
      <c r="C3582" s="64" t="n"/>
      <c r="D3582" s="64" t="n"/>
      <c r="E3582" s="63" t="n"/>
    </row>
    <row r="3583" ht="18" customHeight="1">
      <c r="A3583" s="62" t="n"/>
      <c r="B3583" s="63" t="n"/>
      <c r="C3583" s="64" t="n"/>
      <c r="D3583" s="64" t="n"/>
      <c r="E3583" s="63" t="n"/>
    </row>
    <row r="3584" ht="18" customHeight="1">
      <c r="A3584" s="62" t="n"/>
      <c r="B3584" s="63" t="n"/>
      <c r="C3584" s="64" t="n"/>
      <c r="D3584" s="64" t="n"/>
      <c r="E3584" s="63" t="n"/>
    </row>
    <row r="3585" ht="18" customHeight="1">
      <c r="A3585" s="62" t="n"/>
      <c r="B3585" s="63" t="n"/>
      <c r="C3585" s="64" t="n"/>
      <c r="D3585" s="64" t="n"/>
      <c r="E3585" s="63" t="n"/>
    </row>
    <row r="3586" ht="18" customHeight="1">
      <c r="A3586" s="62" t="n"/>
      <c r="B3586" s="63" t="n"/>
      <c r="C3586" s="64" t="n"/>
      <c r="D3586" s="64" t="n"/>
      <c r="E3586" s="63" t="n"/>
    </row>
    <row r="3587" ht="18" customHeight="1">
      <c r="A3587" s="62" t="n"/>
      <c r="B3587" s="63" t="n"/>
      <c r="C3587" s="64" t="n"/>
      <c r="D3587" s="64" t="n"/>
      <c r="E3587" s="63" t="n"/>
    </row>
    <row r="3588" ht="18" customHeight="1">
      <c r="A3588" s="62" t="n"/>
      <c r="B3588" s="63" t="n"/>
      <c r="C3588" s="64" t="n"/>
      <c r="D3588" s="64" t="n"/>
      <c r="E3588" s="63" t="n"/>
    </row>
    <row r="3589" ht="18" customHeight="1">
      <c r="A3589" s="62" t="n"/>
      <c r="B3589" s="63" t="n"/>
      <c r="C3589" s="64" t="n"/>
      <c r="D3589" s="64" t="n"/>
      <c r="E3589" s="63" t="n"/>
    </row>
    <row r="3590" ht="18" customHeight="1">
      <c r="A3590" s="62" t="n"/>
      <c r="B3590" s="63" t="n"/>
      <c r="C3590" s="64" t="n"/>
      <c r="D3590" s="64" t="n"/>
      <c r="E3590" s="63" t="n"/>
    </row>
    <row r="3591" ht="18" customHeight="1">
      <c r="A3591" s="62" t="n"/>
      <c r="B3591" s="63" t="n"/>
      <c r="C3591" s="64" t="n"/>
      <c r="D3591" s="64" t="n"/>
      <c r="E3591" s="63" t="n"/>
    </row>
    <row r="3592" ht="18" customHeight="1">
      <c r="A3592" s="62" t="n"/>
      <c r="B3592" s="63" t="n"/>
      <c r="C3592" s="64" t="n"/>
      <c r="D3592" s="64" t="n"/>
      <c r="E3592" s="63" t="n"/>
    </row>
    <row r="3593" ht="18" customHeight="1">
      <c r="A3593" s="62" t="n"/>
      <c r="B3593" s="63" t="n"/>
      <c r="C3593" s="64" t="n"/>
      <c r="D3593" s="64" t="n"/>
      <c r="E3593" s="63" t="n"/>
    </row>
    <row r="3594" ht="18" customHeight="1">
      <c r="A3594" s="62" t="n"/>
      <c r="B3594" s="63" t="n"/>
      <c r="C3594" s="64" t="n"/>
      <c r="D3594" s="64" t="n"/>
      <c r="E3594" s="63" t="n"/>
    </row>
    <row r="3595" ht="18" customHeight="1">
      <c r="A3595" s="62" t="n"/>
      <c r="B3595" s="63" t="n"/>
      <c r="C3595" s="64" t="n"/>
      <c r="D3595" s="64" t="n"/>
      <c r="E3595" s="63" t="n"/>
    </row>
    <row r="3596" ht="18" customHeight="1">
      <c r="A3596" s="62" t="n"/>
      <c r="B3596" s="63" t="n"/>
      <c r="C3596" s="64" t="n"/>
      <c r="D3596" s="64" t="n"/>
      <c r="E3596" s="63" t="n"/>
    </row>
    <row r="3597" ht="18" customHeight="1">
      <c r="A3597" s="62" t="n"/>
      <c r="B3597" s="63" t="n"/>
      <c r="C3597" s="64" t="n"/>
      <c r="D3597" s="64" t="n"/>
      <c r="E3597" s="63" t="n"/>
    </row>
    <row r="3598" ht="18" customHeight="1">
      <c r="A3598" s="62" t="n"/>
      <c r="B3598" s="63" t="n"/>
      <c r="C3598" s="64" t="n"/>
      <c r="D3598" s="64" t="n"/>
      <c r="E3598" s="63" t="n"/>
    </row>
    <row r="3599" ht="18" customHeight="1">
      <c r="A3599" s="62" t="n"/>
      <c r="B3599" s="63" t="n"/>
      <c r="C3599" s="64" t="n"/>
      <c r="D3599" s="64" t="n"/>
      <c r="E3599" s="63" t="n"/>
    </row>
    <row r="3600" ht="18" customHeight="1">
      <c r="A3600" s="62" t="n"/>
      <c r="B3600" s="63" t="n"/>
      <c r="C3600" s="64" t="n"/>
      <c r="D3600" s="64" t="n"/>
      <c r="E3600" s="63" t="n"/>
    </row>
    <row r="3601" ht="18" customHeight="1">
      <c r="A3601" s="62" t="n"/>
      <c r="B3601" s="63" t="n"/>
      <c r="C3601" s="64" t="n"/>
      <c r="D3601" s="64" t="n"/>
      <c r="E3601" s="63" t="n"/>
    </row>
    <row r="3602" ht="18" customHeight="1">
      <c r="A3602" s="62" t="n"/>
      <c r="B3602" s="63" t="n"/>
      <c r="C3602" s="64" t="n"/>
      <c r="D3602" s="64" t="n"/>
      <c r="E3602" s="63" t="n"/>
    </row>
    <row r="3603" ht="18" customHeight="1">
      <c r="A3603" s="62" t="n"/>
      <c r="B3603" s="63" t="n"/>
      <c r="C3603" s="64" t="n"/>
      <c r="D3603" s="64" t="n"/>
      <c r="E3603" s="63" t="n"/>
    </row>
    <row r="3604" ht="18" customHeight="1">
      <c r="A3604" s="62" t="n"/>
      <c r="B3604" s="63" t="n"/>
      <c r="C3604" s="64" t="n"/>
      <c r="D3604" s="64" t="n"/>
      <c r="E3604" s="63" t="n"/>
    </row>
    <row r="3605" ht="18" customHeight="1">
      <c r="A3605" s="62" t="n"/>
      <c r="B3605" s="63" t="n"/>
      <c r="C3605" s="64" t="n"/>
      <c r="D3605" s="64" t="n"/>
      <c r="E3605" s="63" t="n"/>
    </row>
    <row r="3606" ht="18" customHeight="1">
      <c r="A3606" s="62" t="n"/>
      <c r="B3606" s="63" t="n"/>
      <c r="C3606" s="64" t="n"/>
      <c r="D3606" s="64" t="n"/>
      <c r="E3606" s="63" t="n"/>
    </row>
    <row r="3607" ht="18" customHeight="1">
      <c r="A3607" s="62" t="n"/>
      <c r="B3607" s="63" t="n"/>
      <c r="C3607" s="64" t="n"/>
      <c r="D3607" s="64" t="n"/>
      <c r="E3607" s="63" t="n"/>
    </row>
    <row r="3608" ht="18" customHeight="1">
      <c r="A3608" s="62" t="n"/>
      <c r="B3608" s="63" t="n"/>
      <c r="C3608" s="64" t="n"/>
      <c r="D3608" s="64" t="n"/>
      <c r="E3608" s="63" t="n"/>
    </row>
    <row r="3609" ht="18" customHeight="1">
      <c r="A3609" s="62" t="n"/>
      <c r="B3609" s="63" t="n"/>
      <c r="C3609" s="64" t="n"/>
      <c r="D3609" s="64" t="n"/>
      <c r="E3609" s="63" t="n"/>
    </row>
    <row r="3610" ht="18" customHeight="1">
      <c r="A3610" s="62" t="n"/>
      <c r="B3610" s="63" t="n"/>
      <c r="C3610" s="64" t="n"/>
      <c r="D3610" s="64" t="n"/>
      <c r="E3610" s="63" t="n"/>
    </row>
    <row r="3611" ht="18" customHeight="1">
      <c r="A3611" s="62" t="n"/>
      <c r="B3611" s="63" t="n"/>
      <c r="C3611" s="64" t="n"/>
      <c r="D3611" s="64" t="n"/>
      <c r="E3611" s="63" t="n"/>
    </row>
    <row r="3612" ht="18" customHeight="1">
      <c r="A3612" s="62" t="n"/>
      <c r="B3612" s="63" t="n"/>
      <c r="C3612" s="64" t="n"/>
      <c r="D3612" s="64" t="n"/>
      <c r="E3612" s="63" t="n"/>
    </row>
    <row r="3613" ht="18" customHeight="1">
      <c r="A3613" s="62" t="n"/>
      <c r="B3613" s="63" t="n"/>
      <c r="C3613" s="64" t="n"/>
      <c r="D3613" s="64" t="n"/>
      <c r="E3613" s="63" t="n"/>
    </row>
    <row r="3614" ht="18" customHeight="1">
      <c r="A3614" s="62" t="n"/>
      <c r="B3614" s="63" t="n"/>
      <c r="C3614" s="64" t="n"/>
      <c r="D3614" s="64" t="n"/>
      <c r="E3614" s="63" t="n"/>
    </row>
    <row r="3615" ht="18" customHeight="1">
      <c r="A3615" s="62" t="n"/>
      <c r="B3615" s="63" t="n"/>
      <c r="C3615" s="64" t="n"/>
      <c r="D3615" s="64" t="n"/>
      <c r="E3615" s="63" t="n"/>
    </row>
    <row r="3616" ht="18" customHeight="1">
      <c r="A3616" s="62" t="n"/>
      <c r="B3616" s="63" t="n"/>
      <c r="C3616" s="64" t="n"/>
      <c r="D3616" s="64" t="n"/>
      <c r="E3616" s="63" t="n"/>
    </row>
    <row r="3617" ht="18" customHeight="1">
      <c r="A3617" s="62" t="n"/>
      <c r="B3617" s="63" t="n"/>
      <c r="C3617" s="64" t="n"/>
      <c r="D3617" s="64" t="n"/>
      <c r="E3617" s="63" t="n"/>
    </row>
    <row r="3618" ht="18" customHeight="1">
      <c r="A3618" s="62" t="n"/>
      <c r="B3618" s="63" t="n"/>
      <c r="C3618" s="64" t="n"/>
      <c r="D3618" s="64" t="n"/>
      <c r="E3618" s="63" t="n"/>
    </row>
    <row r="3619" ht="18" customHeight="1">
      <c r="A3619" s="62" t="n"/>
      <c r="B3619" s="63" t="n"/>
      <c r="C3619" s="64" t="n"/>
      <c r="D3619" s="64" t="n"/>
      <c r="E3619" s="63" t="n"/>
    </row>
    <row r="3620" ht="18" customHeight="1">
      <c r="A3620" s="62" t="n"/>
      <c r="B3620" s="63" t="n"/>
      <c r="C3620" s="64" t="n"/>
      <c r="D3620" s="64" t="n"/>
      <c r="E3620" s="63" t="n"/>
    </row>
    <row r="3621" ht="18" customHeight="1">
      <c r="A3621" s="62" t="n"/>
      <c r="B3621" s="63" t="n"/>
      <c r="C3621" s="64" t="n"/>
      <c r="D3621" s="64" t="n"/>
      <c r="E3621" s="63" t="n"/>
    </row>
    <row r="3622" ht="18" customHeight="1">
      <c r="A3622" s="62" t="n"/>
      <c r="B3622" s="63" t="n"/>
      <c r="C3622" s="64" t="n"/>
      <c r="D3622" s="64" t="n"/>
      <c r="E3622" s="63" t="n"/>
    </row>
    <row r="3623" ht="18" customHeight="1">
      <c r="A3623" s="62" t="n"/>
      <c r="B3623" s="63" t="n"/>
      <c r="C3623" s="64" t="n"/>
      <c r="D3623" s="64" t="n"/>
      <c r="E3623" s="63" t="n"/>
    </row>
    <row r="3624" ht="18" customHeight="1">
      <c r="A3624" s="62" t="n"/>
      <c r="B3624" s="63" t="n"/>
      <c r="C3624" s="64" t="n"/>
      <c r="D3624" s="64" t="n"/>
      <c r="E3624" s="63" t="n"/>
    </row>
    <row r="3625" ht="18" customHeight="1">
      <c r="A3625" s="62" t="n"/>
      <c r="B3625" s="63" t="n"/>
      <c r="C3625" s="64" t="n"/>
      <c r="D3625" s="64" t="n"/>
      <c r="E3625" s="63" t="n"/>
    </row>
    <row r="3626" ht="18" customHeight="1">
      <c r="A3626" s="62" t="n"/>
      <c r="B3626" s="63" t="n"/>
      <c r="C3626" s="64" t="n"/>
      <c r="D3626" s="64" t="n"/>
      <c r="E3626" s="63" t="n"/>
    </row>
    <row r="3627" ht="18" customHeight="1">
      <c r="A3627" s="62" t="n"/>
      <c r="B3627" s="63" t="n"/>
      <c r="C3627" s="64" t="n"/>
      <c r="D3627" s="64" t="n"/>
      <c r="E3627" s="63" t="n"/>
    </row>
    <row r="3628" ht="18" customHeight="1">
      <c r="A3628" s="62" t="n"/>
      <c r="B3628" s="63" t="n"/>
      <c r="C3628" s="64" t="n"/>
      <c r="D3628" s="64" t="n"/>
      <c r="E3628" s="63" t="n"/>
    </row>
    <row r="3629" ht="18" customHeight="1">
      <c r="A3629" s="62" t="n"/>
      <c r="B3629" s="63" t="n"/>
      <c r="C3629" s="64" t="n"/>
      <c r="D3629" s="64" t="n"/>
      <c r="E3629" s="63" t="n"/>
    </row>
    <row r="3630" ht="18" customHeight="1">
      <c r="A3630" s="62" t="n"/>
      <c r="B3630" s="63" t="n"/>
      <c r="C3630" s="64" t="n"/>
      <c r="D3630" s="64" t="n"/>
      <c r="E3630" s="63" t="n"/>
    </row>
    <row r="3631" ht="18" customHeight="1">
      <c r="A3631" s="62" t="n"/>
      <c r="B3631" s="63" t="n"/>
      <c r="C3631" s="64" t="n"/>
      <c r="D3631" s="64" t="n"/>
      <c r="E3631" s="63" t="n"/>
    </row>
    <row r="3632" ht="18" customHeight="1">
      <c r="A3632" s="62" t="n"/>
      <c r="B3632" s="63" t="n"/>
      <c r="C3632" s="64" t="n"/>
      <c r="D3632" s="64" t="n"/>
      <c r="E3632" s="63" t="n"/>
    </row>
    <row r="3633" ht="18" customHeight="1">
      <c r="A3633" s="62" t="n"/>
      <c r="B3633" s="63" t="n"/>
      <c r="C3633" s="64" t="n"/>
      <c r="D3633" s="64" t="n"/>
      <c r="E3633" s="63" t="n"/>
    </row>
    <row r="3634" ht="18" customHeight="1">
      <c r="A3634" s="62" t="n"/>
      <c r="B3634" s="63" t="n"/>
      <c r="C3634" s="64" t="n"/>
      <c r="D3634" s="64" t="n"/>
      <c r="E3634" s="63" t="n"/>
    </row>
    <row r="3635" ht="18" customHeight="1">
      <c r="A3635" s="62" t="n"/>
      <c r="B3635" s="63" t="n"/>
      <c r="C3635" s="64" t="n"/>
      <c r="D3635" s="64" t="n"/>
      <c r="E3635" s="63" t="n"/>
    </row>
    <row r="3636" ht="18" customHeight="1">
      <c r="A3636" s="62" t="n"/>
      <c r="B3636" s="63" t="n"/>
      <c r="C3636" s="64" t="n"/>
      <c r="D3636" s="64" t="n"/>
      <c r="E3636" s="63" t="n"/>
    </row>
    <row r="3637" ht="18" customHeight="1">
      <c r="A3637" s="62" t="n"/>
      <c r="B3637" s="63" t="n"/>
      <c r="C3637" s="64" t="n"/>
      <c r="D3637" s="64" t="n"/>
      <c r="E3637" s="63" t="n"/>
    </row>
    <row r="3638" ht="18" customHeight="1">
      <c r="A3638" s="62" t="n"/>
      <c r="B3638" s="63" t="n"/>
      <c r="C3638" s="64" t="n"/>
      <c r="D3638" s="64" t="n"/>
      <c r="E3638" s="63" t="n"/>
    </row>
    <row r="3639" ht="18" customHeight="1">
      <c r="A3639" s="62" t="n"/>
      <c r="B3639" s="63" t="n"/>
      <c r="C3639" s="64" t="n"/>
      <c r="D3639" s="64" t="n"/>
      <c r="E3639" s="63" t="n"/>
    </row>
    <row r="3640" ht="18" customHeight="1">
      <c r="A3640" s="62" t="n"/>
      <c r="B3640" s="63" t="n"/>
      <c r="C3640" s="64" t="n"/>
      <c r="D3640" s="64" t="n"/>
      <c r="E3640" s="63" t="n"/>
    </row>
    <row r="3641" ht="18" customHeight="1">
      <c r="A3641" s="62" t="n"/>
      <c r="B3641" s="63" t="n"/>
      <c r="C3641" s="64" t="n"/>
      <c r="D3641" s="64" t="n"/>
      <c r="E3641" s="63" t="n"/>
    </row>
    <row r="3642" ht="18" customHeight="1">
      <c r="A3642" s="62" t="n"/>
      <c r="B3642" s="63" t="n"/>
      <c r="C3642" s="64" t="n"/>
      <c r="D3642" s="64" t="n"/>
      <c r="E3642" s="63" t="n"/>
    </row>
    <row r="3643" ht="18" customHeight="1">
      <c r="A3643" s="62" t="n"/>
      <c r="B3643" s="63" t="n"/>
      <c r="C3643" s="64" t="n"/>
      <c r="D3643" s="64" t="n"/>
      <c r="E3643" s="63" t="n"/>
    </row>
    <row r="3644" ht="18" customHeight="1">
      <c r="A3644" s="62" t="n"/>
      <c r="B3644" s="63" t="n"/>
      <c r="C3644" s="64" t="n"/>
      <c r="D3644" s="64" t="n"/>
      <c r="E3644" s="63" t="n"/>
    </row>
    <row r="3645" ht="18" customHeight="1">
      <c r="A3645" s="62" t="n"/>
      <c r="B3645" s="63" t="n"/>
      <c r="C3645" s="64" t="n"/>
      <c r="D3645" s="64" t="n"/>
      <c r="E3645" s="63" t="n"/>
    </row>
    <row r="3646" ht="18" customHeight="1">
      <c r="A3646" s="62" t="n"/>
      <c r="B3646" s="63" t="n"/>
      <c r="C3646" s="64" t="n"/>
      <c r="D3646" s="64" t="n"/>
      <c r="E3646" s="63" t="n"/>
    </row>
    <row r="3647" ht="18" customHeight="1">
      <c r="A3647" s="62" t="n"/>
      <c r="B3647" s="63" t="n"/>
      <c r="C3647" s="64" t="n"/>
      <c r="D3647" s="64" t="n"/>
      <c r="E3647" s="63" t="n"/>
    </row>
    <row r="3648" ht="18" customHeight="1">
      <c r="A3648" s="62" t="n"/>
      <c r="B3648" s="63" t="n"/>
      <c r="C3648" s="64" t="n"/>
      <c r="D3648" s="64" t="n"/>
      <c r="E3648" s="63" t="n"/>
    </row>
    <row r="3649" ht="18" customHeight="1">
      <c r="A3649" s="62" t="n"/>
      <c r="B3649" s="63" t="n"/>
      <c r="C3649" s="64" t="n"/>
      <c r="D3649" s="64" t="n"/>
      <c r="E3649" s="63" t="n"/>
    </row>
    <row r="3650" ht="18" customHeight="1">
      <c r="A3650" s="62" t="n"/>
      <c r="B3650" s="63" t="n"/>
      <c r="C3650" s="64" t="n"/>
      <c r="D3650" s="64" t="n"/>
      <c r="E3650" s="63" t="n"/>
    </row>
    <row r="3651" ht="18" customHeight="1">
      <c r="A3651" s="62" t="n"/>
      <c r="B3651" s="63" t="n"/>
      <c r="C3651" s="64" t="n"/>
      <c r="D3651" s="64" t="n"/>
      <c r="E3651" s="63" t="n"/>
    </row>
    <row r="3652" ht="18" customHeight="1">
      <c r="A3652" s="62" t="n"/>
      <c r="B3652" s="63" t="n"/>
      <c r="C3652" s="64" t="n"/>
      <c r="D3652" s="64" t="n"/>
      <c r="E3652" s="63" t="n"/>
    </row>
    <row r="3653" ht="18" customHeight="1">
      <c r="A3653" s="62" t="n"/>
      <c r="B3653" s="63" t="n"/>
      <c r="C3653" s="64" t="n"/>
      <c r="D3653" s="64" t="n"/>
      <c r="E3653" s="63" t="n"/>
    </row>
    <row r="3654" ht="18" customHeight="1">
      <c r="A3654" s="62" t="n"/>
      <c r="B3654" s="63" t="n"/>
      <c r="C3654" s="64" t="n"/>
      <c r="D3654" s="64" t="n"/>
      <c r="E3654" s="63" t="n"/>
    </row>
    <row r="3655" ht="18" customHeight="1">
      <c r="A3655" s="62" t="n"/>
      <c r="B3655" s="63" t="n"/>
      <c r="C3655" s="64" t="n"/>
      <c r="D3655" s="64" t="n"/>
      <c r="E3655" s="63" t="n"/>
    </row>
    <row r="3656" ht="18" customHeight="1">
      <c r="A3656" s="62" t="n"/>
      <c r="B3656" s="63" t="n"/>
      <c r="C3656" s="64" t="n"/>
      <c r="D3656" s="64" t="n"/>
      <c r="E3656" s="63" t="n"/>
    </row>
    <row r="3657" ht="18" customHeight="1">
      <c r="A3657" s="62" t="n"/>
      <c r="B3657" s="63" t="n"/>
      <c r="C3657" s="64" t="n"/>
      <c r="D3657" s="64" t="n"/>
      <c r="E3657" s="63" t="n"/>
    </row>
    <row r="3658" ht="18" customHeight="1">
      <c r="A3658" s="62" t="n"/>
      <c r="B3658" s="63" t="n"/>
      <c r="C3658" s="64" t="n"/>
      <c r="D3658" s="64" t="n"/>
      <c r="E3658" s="63" t="n"/>
    </row>
    <row r="3659" ht="18" customHeight="1">
      <c r="A3659" s="62" t="n"/>
      <c r="B3659" s="63" t="n"/>
      <c r="C3659" s="64" t="n"/>
      <c r="D3659" s="64" t="n"/>
      <c r="E3659" s="63" t="n"/>
    </row>
    <row r="3660" ht="18" customHeight="1">
      <c r="A3660" s="62" t="n"/>
      <c r="B3660" s="63" t="n"/>
      <c r="C3660" s="64" t="n"/>
      <c r="D3660" s="64" t="n"/>
      <c r="E3660" s="63" t="n"/>
    </row>
    <row r="3661" ht="18" customHeight="1">
      <c r="A3661" s="62" t="n"/>
      <c r="B3661" s="63" t="n"/>
      <c r="C3661" s="64" t="n"/>
      <c r="D3661" s="64" t="n"/>
      <c r="E3661" s="63" t="n"/>
    </row>
    <row r="3662" ht="18" customHeight="1">
      <c r="A3662" s="62" t="n"/>
      <c r="B3662" s="63" t="n"/>
      <c r="C3662" s="64" t="n"/>
      <c r="D3662" s="64" t="n"/>
      <c r="E3662" s="63" t="n"/>
    </row>
    <row r="3663" ht="18" customHeight="1">
      <c r="A3663" s="62" t="n"/>
      <c r="B3663" s="63" t="n"/>
      <c r="C3663" s="64" t="n"/>
      <c r="D3663" s="64" t="n"/>
      <c r="E3663" s="63" t="n"/>
    </row>
    <row r="3664" ht="18" customHeight="1">
      <c r="A3664" s="62" t="n"/>
      <c r="B3664" s="63" t="n"/>
      <c r="C3664" s="64" t="n"/>
      <c r="D3664" s="64" t="n"/>
      <c r="E3664" s="63" t="n"/>
    </row>
    <row r="3665" ht="18" customHeight="1">
      <c r="A3665" s="62" t="n"/>
      <c r="B3665" s="63" t="n"/>
      <c r="C3665" s="64" t="n"/>
      <c r="D3665" s="64" t="n"/>
      <c r="E3665" s="63" t="n"/>
    </row>
    <row r="3666" ht="18" customHeight="1">
      <c r="A3666" s="62" t="n"/>
      <c r="B3666" s="63" t="n"/>
      <c r="C3666" s="64" t="n"/>
      <c r="D3666" s="64" t="n"/>
      <c r="E3666" s="63" t="n"/>
    </row>
    <row r="3667" ht="18" customHeight="1">
      <c r="A3667" s="62" t="n"/>
      <c r="B3667" s="63" t="n"/>
      <c r="C3667" s="64" t="n"/>
      <c r="D3667" s="64" t="n"/>
      <c r="E3667" s="63" t="n"/>
    </row>
    <row r="3668" ht="18" customHeight="1">
      <c r="A3668" s="62" t="n"/>
      <c r="B3668" s="63" t="n"/>
      <c r="C3668" s="64" t="n"/>
      <c r="D3668" s="64" t="n"/>
      <c r="E3668" s="63" t="n"/>
    </row>
    <row r="3669" ht="18" customHeight="1">
      <c r="A3669" s="62" t="n"/>
      <c r="B3669" s="63" t="n"/>
      <c r="C3669" s="64" t="n"/>
      <c r="D3669" s="64" t="n"/>
      <c r="E3669" s="63" t="n"/>
    </row>
    <row r="3670" ht="18" customHeight="1">
      <c r="A3670" s="62" t="n"/>
      <c r="B3670" s="63" t="n"/>
      <c r="C3670" s="64" t="n"/>
      <c r="D3670" s="64" t="n"/>
      <c r="E3670" s="63" t="n"/>
    </row>
    <row r="3671" ht="18" customHeight="1">
      <c r="A3671" s="62" t="n"/>
      <c r="B3671" s="63" t="n"/>
      <c r="C3671" s="64" t="n"/>
      <c r="D3671" s="64" t="n"/>
      <c r="E3671" s="63" t="n"/>
    </row>
    <row r="3672" ht="18" customHeight="1">
      <c r="A3672" s="62" t="n"/>
      <c r="B3672" s="63" t="n"/>
      <c r="C3672" s="64" t="n"/>
      <c r="D3672" s="64" t="n"/>
      <c r="E3672" s="63" t="n"/>
    </row>
    <row r="3673" ht="18" customHeight="1">
      <c r="A3673" s="62" t="n"/>
      <c r="B3673" s="63" t="n"/>
      <c r="C3673" s="64" t="n"/>
      <c r="D3673" s="64" t="n"/>
      <c r="E3673" s="63" t="n"/>
    </row>
    <row r="3674" ht="18" customHeight="1">
      <c r="A3674" s="62" t="n"/>
      <c r="B3674" s="63" t="n"/>
      <c r="C3674" s="64" t="n"/>
      <c r="D3674" s="64" t="n"/>
      <c r="E3674" s="63" t="n"/>
    </row>
    <row r="3675" ht="18" customHeight="1">
      <c r="A3675" s="62" t="n"/>
      <c r="B3675" s="63" t="n"/>
      <c r="C3675" s="64" t="n"/>
      <c r="D3675" s="64" t="n"/>
      <c r="E3675" s="63" t="n"/>
    </row>
    <row r="3676" ht="18" customHeight="1">
      <c r="A3676" s="62" t="n"/>
      <c r="B3676" s="63" t="n"/>
      <c r="C3676" s="64" t="n"/>
      <c r="D3676" s="64" t="n"/>
      <c r="E3676" s="63" t="n"/>
    </row>
    <row r="3677" ht="18" customHeight="1">
      <c r="A3677" s="62" t="n"/>
      <c r="B3677" s="63" t="n"/>
      <c r="C3677" s="64" t="n"/>
      <c r="D3677" s="64" t="n"/>
      <c r="E3677" s="63" t="n"/>
    </row>
    <row r="3678" ht="18" customHeight="1">
      <c r="A3678" s="62" t="n"/>
      <c r="B3678" s="63" t="n"/>
      <c r="C3678" s="64" t="n"/>
      <c r="D3678" s="64" t="n"/>
      <c r="E3678" s="63" t="n"/>
    </row>
    <row r="3679" ht="18" customHeight="1">
      <c r="A3679" s="62" t="n"/>
      <c r="B3679" s="63" t="n"/>
      <c r="C3679" s="64" t="n"/>
      <c r="D3679" s="64" t="n"/>
      <c r="E3679" s="63" t="n"/>
    </row>
    <row r="3680" ht="18" customHeight="1">
      <c r="A3680" s="62" t="n"/>
      <c r="B3680" s="63" t="n"/>
      <c r="C3680" s="64" t="n"/>
      <c r="D3680" s="64" t="n"/>
      <c r="E3680" s="63" t="n"/>
    </row>
    <row r="3681" ht="18" customHeight="1">
      <c r="A3681" s="62" t="n"/>
      <c r="B3681" s="63" t="n"/>
      <c r="C3681" s="64" t="n"/>
      <c r="D3681" s="64" t="n"/>
      <c r="E3681" s="63" t="n"/>
    </row>
    <row r="3682" ht="18" customHeight="1">
      <c r="A3682" s="62" t="n"/>
      <c r="B3682" s="63" t="n"/>
      <c r="C3682" s="64" t="n"/>
      <c r="D3682" s="64" t="n"/>
      <c r="E3682" s="63" t="n"/>
    </row>
    <row r="3683" ht="18" customHeight="1">
      <c r="A3683" s="62" t="n"/>
      <c r="B3683" s="63" t="n"/>
      <c r="C3683" s="64" t="n"/>
      <c r="D3683" s="64" t="n"/>
      <c r="E3683" s="63" t="n"/>
    </row>
    <row r="3684" ht="18" customHeight="1">
      <c r="A3684" s="62" t="n"/>
      <c r="B3684" s="63" t="n"/>
      <c r="C3684" s="64" t="n"/>
      <c r="D3684" s="64" t="n"/>
      <c r="E3684" s="63" t="n"/>
    </row>
    <row r="3685" ht="18" customHeight="1">
      <c r="A3685" s="62" t="n"/>
      <c r="B3685" s="63" t="n"/>
      <c r="C3685" s="64" t="n"/>
      <c r="D3685" s="64" t="n"/>
      <c r="E3685" s="63" t="n"/>
    </row>
    <row r="3686" ht="18" customHeight="1">
      <c r="A3686" s="62" t="n"/>
      <c r="B3686" s="63" t="n"/>
      <c r="C3686" s="64" t="n"/>
      <c r="D3686" s="64" t="n"/>
      <c r="E3686" s="63" t="n"/>
    </row>
    <row r="3687" ht="18" customHeight="1">
      <c r="A3687" s="62" t="n"/>
      <c r="B3687" s="63" t="n"/>
      <c r="C3687" s="64" t="n"/>
      <c r="D3687" s="64" t="n"/>
      <c r="E3687" s="63" t="n"/>
    </row>
    <row r="3688" ht="18" customHeight="1">
      <c r="A3688" s="62" t="n"/>
      <c r="B3688" s="63" t="n"/>
      <c r="C3688" s="64" t="n"/>
      <c r="D3688" s="64" t="n"/>
      <c r="E3688" s="63" t="n"/>
    </row>
    <row r="3689" ht="18" customHeight="1">
      <c r="A3689" s="62" t="n"/>
      <c r="B3689" s="63" t="n"/>
      <c r="C3689" s="64" t="n"/>
      <c r="D3689" s="64" t="n"/>
      <c r="E3689" s="63" t="n"/>
    </row>
    <row r="3690" ht="18" customHeight="1">
      <c r="A3690" s="62" t="n"/>
      <c r="B3690" s="63" t="n"/>
      <c r="C3690" s="64" t="n"/>
      <c r="D3690" s="64" t="n"/>
      <c r="E3690" s="63" t="n"/>
    </row>
    <row r="3691" ht="18" customHeight="1">
      <c r="A3691" s="62" t="n"/>
      <c r="B3691" s="63" t="n"/>
      <c r="C3691" s="64" t="n"/>
      <c r="D3691" s="64" t="n"/>
      <c r="E3691" s="63" t="n"/>
    </row>
    <row r="3692" ht="18" customHeight="1">
      <c r="A3692" s="62" t="n"/>
      <c r="B3692" s="63" t="n"/>
      <c r="C3692" s="64" t="n"/>
      <c r="D3692" s="64" t="n"/>
      <c r="E3692" s="63" t="n"/>
    </row>
    <row r="3693" ht="18" customHeight="1">
      <c r="A3693" s="62" t="n"/>
      <c r="B3693" s="63" t="n"/>
      <c r="C3693" s="64" t="n"/>
      <c r="D3693" s="64" t="n"/>
      <c r="E3693" s="63" t="n"/>
    </row>
    <row r="3694" ht="18" customHeight="1">
      <c r="A3694" s="62" t="n"/>
      <c r="B3694" s="63" t="n"/>
      <c r="C3694" s="64" t="n"/>
      <c r="D3694" s="64" t="n"/>
      <c r="E3694" s="63" t="n"/>
    </row>
    <row r="3695" ht="18" customHeight="1">
      <c r="A3695" s="62" t="n"/>
      <c r="B3695" s="63" t="n"/>
      <c r="C3695" s="64" t="n"/>
      <c r="D3695" s="64" t="n"/>
      <c r="E3695" s="63" t="n"/>
    </row>
    <row r="3696" ht="18" customHeight="1">
      <c r="A3696" s="62" t="n"/>
      <c r="B3696" s="63" t="n"/>
      <c r="C3696" s="64" t="n"/>
      <c r="D3696" s="64" t="n"/>
      <c r="E3696" s="63" t="n"/>
    </row>
    <row r="3697" ht="18" customHeight="1">
      <c r="A3697" s="62" t="n"/>
      <c r="B3697" s="63" t="n"/>
      <c r="C3697" s="64" t="n"/>
      <c r="D3697" s="64" t="n"/>
      <c r="E3697" s="63" t="n"/>
    </row>
    <row r="3698" ht="18" customHeight="1">
      <c r="A3698" s="62" t="n"/>
      <c r="B3698" s="63" t="n"/>
      <c r="C3698" s="64" t="n"/>
      <c r="D3698" s="64" t="n"/>
      <c r="E3698" s="63" t="n"/>
    </row>
    <row r="3699" ht="18" customHeight="1">
      <c r="A3699" s="62" t="n"/>
      <c r="B3699" s="63" t="n"/>
      <c r="C3699" s="64" t="n"/>
      <c r="D3699" s="64" t="n"/>
      <c r="E3699" s="63" t="n"/>
    </row>
    <row r="3700" ht="18" customHeight="1">
      <c r="A3700" s="62" t="n"/>
      <c r="B3700" s="63" t="n"/>
      <c r="C3700" s="64" t="n"/>
      <c r="D3700" s="64" t="n"/>
      <c r="E3700" s="63" t="n"/>
    </row>
    <row r="3701" ht="18" customHeight="1">
      <c r="A3701" s="62" t="n"/>
      <c r="B3701" s="63" t="n"/>
      <c r="C3701" s="64" t="n"/>
      <c r="D3701" s="64" t="n"/>
      <c r="E3701" s="63" t="n"/>
    </row>
    <row r="3702" ht="18" customHeight="1">
      <c r="A3702" s="62" t="n"/>
      <c r="B3702" s="63" t="n"/>
      <c r="C3702" s="64" t="n"/>
      <c r="D3702" s="64" t="n"/>
      <c r="E3702" s="63" t="n"/>
    </row>
    <row r="3703" ht="18" customHeight="1">
      <c r="A3703" s="62" t="n"/>
      <c r="B3703" s="63" t="n"/>
      <c r="C3703" s="64" t="n"/>
      <c r="D3703" s="64" t="n"/>
      <c r="E3703" s="63" t="n"/>
    </row>
    <row r="3704" ht="18" customHeight="1">
      <c r="A3704" s="62" t="n"/>
      <c r="B3704" s="63" t="n"/>
      <c r="C3704" s="64" t="n"/>
      <c r="D3704" s="64" t="n"/>
      <c r="E3704" s="63" t="n"/>
    </row>
    <row r="3705" ht="18" customHeight="1">
      <c r="A3705" s="62" t="n"/>
      <c r="B3705" s="63" t="n"/>
      <c r="C3705" s="64" t="n"/>
      <c r="D3705" s="64" t="n"/>
      <c r="E3705" s="63" t="n"/>
    </row>
    <row r="3706" ht="18" customHeight="1">
      <c r="A3706" s="62" t="n"/>
      <c r="B3706" s="63" t="n"/>
      <c r="C3706" s="64" t="n"/>
      <c r="D3706" s="64" t="n"/>
      <c r="E3706" s="63" t="n"/>
    </row>
    <row r="3707" ht="18" customHeight="1">
      <c r="A3707" s="62" t="n"/>
      <c r="B3707" s="63" t="n"/>
      <c r="C3707" s="64" t="n"/>
      <c r="D3707" s="64" t="n"/>
      <c r="E3707" s="63" t="n"/>
    </row>
    <row r="3708" ht="18" customHeight="1">
      <c r="A3708" s="62" t="n"/>
      <c r="B3708" s="63" t="n"/>
      <c r="C3708" s="64" t="n"/>
      <c r="D3708" s="64" t="n"/>
      <c r="E3708" s="63" t="n"/>
    </row>
    <row r="3709" ht="18" customHeight="1">
      <c r="A3709" s="62" t="n"/>
      <c r="B3709" s="63" t="n"/>
      <c r="C3709" s="64" t="n"/>
      <c r="D3709" s="64" t="n"/>
      <c r="E3709" s="63" t="n"/>
    </row>
    <row r="3710" ht="18" customHeight="1">
      <c r="A3710" s="62" t="n"/>
      <c r="B3710" s="63" t="n"/>
      <c r="C3710" s="64" t="n"/>
      <c r="D3710" s="64" t="n"/>
      <c r="E3710" s="63" t="n"/>
    </row>
    <row r="3711" ht="18" customHeight="1">
      <c r="A3711" s="62" t="n"/>
      <c r="B3711" s="63" t="n"/>
      <c r="C3711" s="64" t="n"/>
      <c r="D3711" s="64" t="n"/>
      <c r="E3711" s="63" t="n"/>
    </row>
    <row r="3712" ht="18" customHeight="1">
      <c r="A3712" s="62" t="n"/>
      <c r="B3712" s="63" t="n"/>
      <c r="C3712" s="64" t="n"/>
      <c r="D3712" s="64" t="n"/>
      <c r="E3712" s="63" t="n"/>
    </row>
    <row r="3713" ht="18" customHeight="1">
      <c r="A3713" s="62" t="n"/>
      <c r="B3713" s="63" t="n"/>
      <c r="C3713" s="64" t="n"/>
      <c r="D3713" s="64" t="n"/>
      <c r="E3713" s="63" t="n"/>
    </row>
    <row r="3714" ht="18" customHeight="1">
      <c r="A3714" s="62" t="n"/>
      <c r="B3714" s="63" t="n"/>
      <c r="C3714" s="64" t="n"/>
      <c r="D3714" s="64" t="n"/>
      <c r="E3714" s="63" t="n"/>
    </row>
    <row r="3715" ht="18" customHeight="1">
      <c r="A3715" s="62" t="n"/>
      <c r="B3715" s="63" t="n"/>
      <c r="C3715" s="64" t="n"/>
      <c r="D3715" s="64" t="n"/>
      <c r="E3715" s="63" t="n"/>
    </row>
    <row r="3716" ht="18" customHeight="1">
      <c r="A3716" s="62" t="n"/>
      <c r="B3716" s="63" t="n"/>
      <c r="C3716" s="64" t="n"/>
      <c r="D3716" s="64" t="n"/>
      <c r="E3716" s="63" t="n"/>
    </row>
    <row r="3717" ht="18" customHeight="1">
      <c r="A3717" s="62" t="n"/>
      <c r="B3717" s="63" t="n"/>
      <c r="C3717" s="64" t="n"/>
      <c r="D3717" s="64" t="n"/>
      <c r="E3717" s="63" t="n"/>
    </row>
    <row r="3718" ht="18" customHeight="1">
      <c r="A3718" s="62" t="n"/>
      <c r="B3718" s="63" t="n"/>
      <c r="C3718" s="64" t="n"/>
      <c r="D3718" s="64" t="n"/>
      <c r="E3718" s="63" t="n"/>
    </row>
    <row r="3719" ht="18" customHeight="1">
      <c r="A3719" s="62" t="n"/>
      <c r="B3719" s="63" t="n"/>
      <c r="C3719" s="64" t="n"/>
      <c r="D3719" s="64" t="n"/>
      <c r="E3719" s="63" t="n"/>
    </row>
    <row r="3720" ht="18" customHeight="1">
      <c r="A3720" s="62" t="n"/>
      <c r="B3720" s="63" t="n"/>
      <c r="C3720" s="64" t="n"/>
      <c r="D3720" s="64" t="n"/>
      <c r="E3720" s="63" t="n"/>
    </row>
    <row r="3721" ht="18" customHeight="1">
      <c r="A3721" s="62" t="n"/>
      <c r="B3721" s="63" t="n"/>
      <c r="C3721" s="64" t="n"/>
      <c r="D3721" s="64" t="n"/>
      <c r="E3721" s="63" t="n"/>
    </row>
    <row r="3722" ht="18" customHeight="1">
      <c r="A3722" s="62" t="n"/>
      <c r="B3722" s="63" t="n"/>
      <c r="C3722" s="64" t="n"/>
      <c r="D3722" s="64" t="n"/>
      <c r="E3722" s="63" t="n"/>
    </row>
    <row r="3723" ht="18" customHeight="1">
      <c r="A3723" s="62" t="n"/>
      <c r="B3723" s="63" t="n"/>
      <c r="C3723" s="64" t="n"/>
      <c r="D3723" s="64" t="n"/>
      <c r="E3723" s="63" t="n"/>
    </row>
    <row r="3724" ht="18" customHeight="1">
      <c r="A3724" s="62" t="n"/>
      <c r="B3724" s="63" t="n"/>
      <c r="C3724" s="64" t="n"/>
      <c r="D3724" s="64" t="n"/>
      <c r="E3724" s="63" t="n"/>
    </row>
    <row r="3725" ht="18" customHeight="1">
      <c r="A3725" s="62" t="n"/>
      <c r="B3725" s="63" t="n"/>
      <c r="C3725" s="64" t="n"/>
      <c r="D3725" s="64" t="n"/>
      <c r="E3725" s="63" t="n"/>
    </row>
    <row r="3726" ht="18" customHeight="1">
      <c r="A3726" s="62" t="n"/>
      <c r="B3726" s="63" t="n"/>
      <c r="C3726" s="64" t="n"/>
      <c r="D3726" s="64" t="n"/>
      <c r="E3726" s="63" t="n"/>
    </row>
    <row r="3727" ht="18" customHeight="1">
      <c r="A3727" s="62" t="n"/>
      <c r="B3727" s="63" t="n"/>
      <c r="C3727" s="64" t="n"/>
      <c r="D3727" s="64" t="n"/>
      <c r="E3727" s="63" t="n"/>
    </row>
    <row r="3728" ht="18" customHeight="1">
      <c r="A3728" s="62" t="n"/>
      <c r="B3728" s="63" t="n"/>
      <c r="C3728" s="64" t="n"/>
      <c r="D3728" s="64" t="n"/>
      <c r="E3728" s="63" t="n"/>
    </row>
    <row r="3729" ht="18" customHeight="1">
      <c r="A3729" s="62" t="n"/>
      <c r="B3729" s="63" t="n"/>
      <c r="C3729" s="64" t="n"/>
      <c r="D3729" s="64" t="n"/>
      <c r="E3729" s="63" t="n"/>
    </row>
    <row r="3730" ht="18" customHeight="1">
      <c r="A3730" s="62" t="n"/>
      <c r="B3730" s="63" t="n"/>
      <c r="C3730" s="64" t="n"/>
      <c r="D3730" s="64" t="n"/>
      <c r="E3730" s="63" t="n"/>
    </row>
    <row r="3731" ht="18" customHeight="1">
      <c r="A3731" s="62" t="n"/>
      <c r="B3731" s="63" t="n"/>
      <c r="C3731" s="64" t="n"/>
      <c r="D3731" s="64" t="n"/>
      <c r="E3731" s="63" t="n"/>
    </row>
    <row r="3732" ht="18" customHeight="1">
      <c r="A3732" s="62" t="n"/>
      <c r="B3732" s="63" t="n"/>
      <c r="C3732" s="64" t="n"/>
      <c r="D3732" s="64" t="n"/>
      <c r="E3732" s="63" t="n"/>
    </row>
    <row r="3733" ht="18" customHeight="1">
      <c r="A3733" s="62" t="n"/>
      <c r="B3733" s="63" t="n"/>
      <c r="C3733" s="64" t="n"/>
      <c r="D3733" s="64" t="n"/>
      <c r="E3733" s="63" t="n"/>
    </row>
    <row r="3734" ht="18" customHeight="1">
      <c r="A3734" s="62" t="n"/>
      <c r="B3734" s="63" t="n"/>
      <c r="C3734" s="64" t="n"/>
      <c r="D3734" s="64" t="n"/>
      <c r="E3734" s="63" t="n"/>
    </row>
    <row r="3735" ht="18" customHeight="1">
      <c r="A3735" s="62" t="n"/>
      <c r="B3735" s="63" t="n"/>
      <c r="C3735" s="64" t="n"/>
      <c r="D3735" s="64" t="n"/>
      <c r="E3735" s="63" t="n"/>
    </row>
    <row r="3736" ht="18" customHeight="1">
      <c r="A3736" s="62" t="n"/>
      <c r="B3736" s="63" t="n"/>
      <c r="C3736" s="64" t="n"/>
      <c r="D3736" s="64" t="n"/>
      <c r="E3736" s="63" t="n"/>
    </row>
    <row r="3737" ht="18" customHeight="1">
      <c r="A3737" s="62" t="n"/>
      <c r="B3737" s="63" t="n"/>
      <c r="C3737" s="64" t="n"/>
      <c r="D3737" s="64" t="n"/>
      <c r="E3737" s="63" t="n"/>
    </row>
    <row r="3738" ht="18" customHeight="1">
      <c r="A3738" s="62" t="n"/>
      <c r="B3738" s="63" t="n"/>
      <c r="C3738" s="64" t="n"/>
      <c r="D3738" s="64" t="n"/>
      <c r="E3738" s="63" t="n"/>
    </row>
    <row r="3739" ht="18" customHeight="1">
      <c r="A3739" s="62" t="n"/>
      <c r="B3739" s="63" t="n"/>
      <c r="C3739" s="64" t="n"/>
      <c r="D3739" s="64" t="n"/>
      <c r="E3739" s="63" t="n"/>
    </row>
    <row r="3740" ht="18" customHeight="1">
      <c r="A3740" s="62" t="n"/>
      <c r="B3740" s="63" t="n"/>
      <c r="C3740" s="64" t="n"/>
      <c r="D3740" s="64" t="n"/>
      <c r="E3740" s="63" t="n"/>
    </row>
    <row r="3741" ht="18" customHeight="1">
      <c r="A3741" s="62" t="n"/>
      <c r="B3741" s="63" t="n"/>
      <c r="C3741" s="64" t="n"/>
      <c r="D3741" s="64" t="n"/>
      <c r="E3741" s="63" t="n"/>
    </row>
    <row r="3742" ht="18" customHeight="1">
      <c r="A3742" s="62" t="n"/>
      <c r="B3742" s="63" t="n"/>
      <c r="C3742" s="64" t="n"/>
      <c r="D3742" s="64" t="n"/>
      <c r="E3742" s="63" t="n"/>
    </row>
    <row r="3743" ht="18" customHeight="1">
      <c r="A3743" s="62" t="n"/>
      <c r="B3743" s="63" t="n"/>
      <c r="C3743" s="64" t="n"/>
      <c r="D3743" s="64" t="n"/>
      <c r="E3743" s="63" t="n"/>
    </row>
    <row r="3744" ht="18" customHeight="1">
      <c r="A3744" s="62" t="n"/>
      <c r="B3744" s="63" t="n"/>
      <c r="C3744" s="64" t="n"/>
      <c r="D3744" s="64" t="n"/>
      <c r="E3744" s="63" t="n"/>
    </row>
    <row r="3745" ht="18" customHeight="1">
      <c r="A3745" s="62" t="n"/>
      <c r="B3745" s="63" t="n"/>
      <c r="C3745" s="64" t="n"/>
      <c r="D3745" s="64" t="n"/>
      <c r="E3745" s="63" t="n"/>
    </row>
    <row r="3746" ht="18" customHeight="1">
      <c r="A3746" s="62" t="n"/>
      <c r="B3746" s="63" t="n"/>
      <c r="C3746" s="64" t="n"/>
      <c r="D3746" s="64" t="n"/>
      <c r="E3746" s="63" t="n"/>
    </row>
    <row r="3747" ht="18" customHeight="1">
      <c r="A3747" s="62" t="n"/>
      <c r="B3747" s="63" t="n"/>
      <c r="C3747" s="64" t="n"/>
      <c r="D3747" s="64" t="n"/>
      <c r="E3747" s="63" t="n"/>
    </row>
    <row r="3748" ht="18" customHeight="1">
      <c r="A3748" s="62" t="n"/>
      <c r="B3748" s="63" t="n"/>
      <c r="C3748" s="64" t="n"/>
      <c r="D3748" s="64" t="n"/>
      <c r="E3748" s="63" t="n"/>
    </row>
    <row r="3749" ht="18" customHeight="1">
      <c r="A3749" s="62" t="n"/>
      <c r="B3749" s="63" t="n"/>
      <c r="C3749" s="64" t="n"/>
      <c r="D3749" s="64" t="n"/>
      <c r="E3749" s="63" t="n"/>
    </row>
    <row r="3750" ht="18" customHeight="1">
      <c r="A3750" s="62" t="n"/>
      <c r="B3750" s="63" t="n"/>
      <c r="C3750" s="64" t="n"/>
      <c r="D3750" s="64" t="n"/>
      <c r="E3750" s="63" t="n"/>
    </row>
    <row r="3751" ht="18" customHeight="1">
      <c r="A3751" s="62" t="n"/>
      <c r="B3751" s="63" t="n"/>
      <c r="C3751" s="64" t="n"/>
      <c r="D3751" s="64" t="n"/>
      <c r="E3751" s="63" t="n"/>
    </row>
    <row r="3752" ht="18" customHeight="1">
      <c r="A3752" s="62" t="n"/>
      <c r="B3752" s="63" t="n"/>
      <c r="C3752" s="64" t="n"/>
      <c r="D3752" s="64" t="n"/>
      <c r="E3752" s="63" t="n"/>
    </row>
    <row r="3753" ht="18" customHeight="1">
      <c r="A3753" s="62" t="n"/>
      <c r="B3753" s="63" t="n"/>
      <c r="C3753" s="64" t="n"/>
      <c r="D3753" s="64" t="n"/>
      <c r="E3753" s="63" t="n"/>
    </row>
    <row r="3754" ht="18" customHeight="1">
      <c r="A3754" s="62" t="n"/>
      <c r="B3754" s="63" t="n"/>
      <c r="C3754" s="64" t="n"/>
      <c r="D3754" s="64" t="n"/>
      <c r="E3754" s="63" t="n"/>
    </row>
    <row r="3755" ht="18" customHeight="1">
      <c r="A3755" s="62" t="n"/>
      <c r="B3755" s="63" t="n"/>
      <c r="C3755" s="64" t="n"/>
      <c r="D3755" s="64" t="n"/>
      <c r="E3755" s="63" t="n"/>
    </row>
    <row r="3756" ht="18" customHeight="1">
      <c r="A3756" s="62" t="n"/>
      <c r="B3756" s="63" t="n"/>
      <c r="C3756" s="64" t="n"/>
      <c r="D3756" s="64" t="n"/>
      <c r="E3756" s="63" t="n"/>
    </row>
    <row r="3757" ht="18" customHeight="1">
      <c r="A3757" s="62" t="n"/>
      <c r="B3757" s="63" t="n"/>
      <c r="C3757" s="64" t="n"/>
      <c r="D3757" s="64" t="n"/>
      <c r="E3757" s="63" t="n"/>
    </row>
    <row r="3758" ht="18" customHeight="1">
      <c r="A3758" s="62" t="n"/>
      <c r="B3758" s="63" t="n"/>
      <c r="C3758" s="64" t="n"/>
      <c r="D3758" s="64" t="n"/>
      <c r="E3758" s="63" t="n"/>
    </row>
    <row r="3759" ht="18" customHeight="1">
      <c r="A3759" s="62" t="n"/>
      <c r="B3759" s="63" t="n"/>
      <c r="C3759" s="64" t="n"/>
      <c r="D3759" s="64" t="n"/>
      <c r="E3759" s="63" t="n"/>
    </row>
    <row r="3760" ht="18" customHeight="1">
      <c r="A3760" s="62" t="n"/>
      <c r="B3760" s="63" t="n"/>
      <c r="C3760" s="64" t="n"/>
      <c r="D3760" s="64" t="n"/>
      <c r="E3760" s="63" t="n"/>
    </row>
    <row r="3761" ht="18" customHeight="1">
      <c r="A3761" s="62" t="n"/>
      <c r="B3761" s="63" t="n"/>
      <c r="C3761" s="64" t="n"/>
      <c r="D3761" s="64" t="n"/>
      <c r="E3761" s="63" t="n"/>
    </row>
    <row r="3762" ht="18" customHeight="1">
      <c r="A3762" s="62" t="n"/>
      <c r="B3762" s="63" t="n"/>
      <c r="C3762" s="64" t="n"/>
      <c r="D3762" s="64" t="n"/>
      <c r="E3762" s="63" t="n"/>
    </row>
    <row r="3763" ht="18" customHeight="1">
      <c r="A3763" s="62" t="n"/>
      <c r="B3763" s="63" t="n"/>
      <c r="C3763" s="64" t="n"/>
      <c r="D3763" s="64" t="n"/>
      <c r="E3763" s="63" t="n"/>
    </row>
    <row r="3764" ht="18" customHeight="1">
      <c r="A3764" s="62" t="n"/>
      <c r="B3764" s="63" t="n"/>
      <c r="C3764" s="64" t="n"/>
      <c r="D3764" s="64" t="n"/>
      <c r="E3764" s="63" t="n"/>
    </row>
    <row r="3765" ht="18" customHeight="1">
      <c r="A3765" s="62" t="n"/>
      <c r="B3765" s="63" t="n"/>
      <c r="C3765" s="64" t="n"/>
      <c r="D3765" s="64" t="n"/>
      <c r="E3765" s="63" t="n"/>
    </row>
    <row r="3766" ht="18" customHeight="1">
      <c r="A3766" s="62" t="n"/>
      <c r="B3766" s="63" t="n"/>
      <c r="C3766" s="64" t="n"/>
      <c r="D3766" s="64" t="n"/>
      <c r="E3766" s="63" t="n"/>
    </row>
    <row r="3767" ht="18" customHeight="1">
      <c r="A3767" s="62" t="n"/>
      <c r="B3767" s="63" t="n"/>
      <c r="C3767" s="64" t="n"/>
      <c r="D3767" s="64" t="n"/>
      <c r="E3767" s="63" t="n"/>
    </row>
    <row r="3768" ht="18" customHeight="1">
      <c r="A3768" s="62" t="n"/>
      <c r="B3768" s="63" t="n"/>
      <c r="C3768" s="64" t="n"/>
      <c r="D3768" s="64" t="n"/>
      <c r="E3768" s="63" t="n"/>
    </row>
    <row r="3769" ht="18" customHeight="1">
      <c r="A3769" s="62" t="n"/>
      <c r="B3769" s="63" t="n"/>
      <c r="C3769" s="64" t="n"/>
      <c r="D3769" s="64" t="n"/>
      <c r="E3769" s="63" t="n"/>
    </row>
    <row r="3770" ht="18" customHeight="1">
      <c r="A3770" s="62" t="n"/>
      <c r="B3770" s="63" t="n"/>
      <c r="C3770" s="64" t="n"/>
      <c r="D3770" s="64" t="n"/>
      <c r="E3770" s="63" t="n"/>
    </row>
    <row r="3771" ht="18" customHeight="1">
      <c r="A3771" s="62" t="n"/>
      <c r="B3771" s="63" t="n"/>
      <c r="C3771" s="64" t="n"/>
      <c r="D3771" s="64" t="n"/>
      <c r="E3771" s="63" t="n"/>
    </row>
    <row r="3772" ht="18" customHeight="1">
      <c r="A3772" s="62" t="n"/>
      <c r="B3772" s="63" t="n"/>
      <c r="C3772" s="64" t="n"/>
      <c r="D3772" s="64" t="n"/>
      <c r="E3772" s="63" t="n"/>
    </row>
    <row r="3773" ht="18" customHeight="1">
      <c r="A3773" s="62" t="n"/>
      <c r="B3773" s="63" t="n"/>
      <c r="C3773" s="64" t="n"/>
      <c r="D3773" s="64" t="n"/>
      <c r="E3773" s="63" t="n"/>
    </row>
    <row r="3774" ht="18" customHeight="1">
      <c r="A3774" s="62" t="n"/>
      <c r="B3774" s="63" t="n"/>
      <c r="C3774" s="64" t="n"/>
      <c r="D3774" s="64" t="n"/>
      <c r="E3774" s="63" t="n"/>
    </row>
    <row r="3775" ht="18" customHeight="1">
      <c r="A3775" s="62" t="n"/>
      <c r="B3775" s="63" t="n"/>
      <c r="C3775" s="64" t="n"/>
      <c r="D3775" s="64" t="n"/>
      <c r="E3775" s="63" t="n"/>
    </row>
    <row r="3776" ht="18" customHeight="1">
      <c r="A3776" s="62" t="n"/>
      <c r="B3776" s="63" t="n"/>
      <c r="C3776" s="64" t="n"/>
      <c r="D3776" s="64" t="n"/>
      <c r="E3776" s="63" t="n"/>
    </row>
    <row r="3777" ht="18" customHeight="1">
      <c r="A3777" s="62" t="n"/>
      <c r="B3777" s="63" t="n"/>
      <c r="C3777" s="64" t="n"/>
      <c r="D3777" s="64" t="n"/>
      <c r="E3777" s="63" t="n"/>
    </row>
    <row r="3778" ht="18" customHeight="1">
      <c r="A3778" s="62" t="n"/>
      <c r="B3778" s="63" t="n"/>
      <c r="C3778" s="64" t="n"/>
      <c r="D3778" s="64" t="n"/>
      <c r="E3778" s="63" t="n"/>
    </row>
    <row r="3779" ht="18" customHeight="1">
      <c r="A3779" s="62" t="n"/>
      <c r="B3779" s="63" t="n"/>
      <c r="C3779" s="64" t="n"/>
      <c r="D3779" s="64" t="n"/>
      <c r="E3779" s="63" t="n"/>
    </row>
    <row r="3780" ht="18" customHeight="1">
      <c r="A3780" s="62" t="n"/>
      <c r="B3780" s="63" t="n"/>
      <c r="C3780" s="64" t="n"/>
      <c r="D3780" s="64" t="n"/>
      <c r="E3780" s="63" t="n"/>
    </row>
    <row r="3781" ht="18" customHeight="1">
      <c r="A3781" s="62" t="n"/>
      <c r="B3781" s="63" t="n"/>
      <c r="C3781" s="64" t="n"/>
      <c r="D3781" s="64" t="n"/>
      <c r="E3781" s="63" t="n"/>
    </row>
    <row r="3782" ht="18" customHeight="1">
      <c r="A3782" s="62" t="n"/>
      <c r="B3782" s="63" t="n"/>
      <c r="C3782" s="64" t="n"/>
      <c r="D3782" s="64" t="n"/>
      <c r="E3782" s="63" t="n"/>
    </row>
    <row r="3783" ht="18" customHeight="1">
      <c r="A3783" s="62" t="n"/>
      <c r="B3783" s="63" t="n"/>
      <c r="C3783" s="64" t="n"/>
      <c r="D3783" s="64" t="n"/>
      <c r="E3783" s="63" t="n"/>
    </row>
    <row r="3784" ht="18" customHeight="1">
      <c r="A3784" s="62" t="n"/>
      <c r="B3784" s="63" t="n"/>
      <c r="C3784" s="64" t="n"/>
      <c r="D3784" s="64" t="n"/>
      <c r="E3784" s="63" t="n"/>
    </row>
    <row r="3785" ht="18" customHeight="1">
      <c r="A3785" s="62" t="n"/>
      <c r="B3785" s="63" t="n"/>
      <c r="C3785" s="64" t="n"/>
      <c r="D3785" s="64" t="n"/>
      <c r="E3785" s="63" t="n"/>
    </row>
    <row r="3786" ht="18" customHeight="1">
      <c r="A3786" s="62" t="n"/>
      <c r="B3786" s="63" t="n"/>
      <c r="C3786" s="64" t="n"/>
      <c r="D3786" s="64" t="n"/>
      <c r="E3786" s="63" t="n"/>
    </row>
    <row r="3787" ht="18" customHeight="1">
      <c r="A3787" s="62" t="n"/>
      <c r="B3787" s="63" t="n"/>
      <c r="C3787" s="64" t="n"/>
      <c r="D3787" s="64" t="n"/>
      <c r="E3787" s="63" t="n"/>
    </row>
    <row r="3788" ht="18" customHeight="1">
      <c r="A3788" s="62" t="n"/>
      <c r="B3788" s="63" t="n"/>
      <c r="C3788" s="64" t="n"/>
      <c r="D3788" s="64" t="n"/>
      <c r="E3788" s="63" t="n"/>
    </row>
    <row r="3789" ht="18" customHeight="1">
      <c r="A3789" s="62" t="n"/>
      <c r="B3789" s="63" t="n"/>
      <c r="C3789" s="64" t="n"/>
      <c r="D3789" s="64" t="n"/>
      <c r="E3789" s="63" t="n"/>
    </row>
    <row r="3790" ht="18" customHeight="1">
      <c r="A3790" s="62" t="n"/>
      <c r="B3790" s="63" t="n"/>
      <c r="C3790" s="64" t="n"/>
      <c r="D3790" s="64" t="n"/>
      <c r="E3790" s="63" t="n"/>
    </row>
    <row r="3791" ht="18" customHeight="1">
      <c r="A3791" s="62" t="n"/>
      <c r="B3791" s="63" t="n"/>
      <c r="C3791" s="64" t="n"/>
      <c r="D3791" s="64" t="n"/>
      <c r="E3791" s="63" t="n"/>
    </row>
    <row r="3792" ht="18" customHeight="1">
      <c r="A3792" s="62" t="n"/>
      <c r="B3792" s="63" t="n"/>
      <c r="C3792" s="64" t="n"/>
      <c r="D3792" s="64" t="n"/>
      <c r="E3792" s="63" t="n"/>
    </row>
    <row r="3793" ht="18" customHeight="1">
      <c r="A3793" s="62" t="n"/>
      <c r="B3793" s="63" t="n"/>
      <c r="C3793" s="64" t="n"/>
      <c r="D3793" s="64" t="n"/>
      <c r="E3793" s="63" t="n"/>
    </row>
    <row r="3794" ht="18" customHeight="1">
      <c r="A3794" s="62" t="n"/>
      <c r="B3794" s="63" t="n"/>
      <c r="C3794" s="64" t="n"/>
      <c r="D3794" s="64" t="n"/>
      <c r="E3794" s="63" t="n"/>
    </row>
    <row r="3795" ht="18" customHeight="1">
      <c r="A3795" s="62" t="n"/>
      <c r="B3795" s="63" t="n"/>
      <c r="C3795" s="64" t="n"/>
      <c r="D3795" s="64" t="n"/>
      <c r="E3795" s="63" t="n"/>
    </row>
    <row r="3796" ht="18" customHeight="1">
      <c r="A3796" s="62" t="n"/>
      <c r="B3796" s="63" t="n"/>
      <c r="C3796" s="64" t="n"/>
      <c r="D3796" s="64" t="n"/>
      <c r="E3796" s="63" t="n"/>
    </row>
    <row r="3797" ht="18" customHeight="1">
      <c r="A3797" s="62" t="n"/>
      <c r="B3797" s="63" t="n"/>
      <c r="C3797" s="64" t="n"/>
      <c r="D3797" s="64" t="n"/>
      <c r="E3797" s="63" t="n"/>
    </row>
    <row r="3798" ht="18" customHeight="1">
      <c r="A3798" s="62" t="n"/>
      <c r="B3798" s="63" t="n"/>
      <c r="C3798" s="64" t="n"/>
      <c r="D3798" s="64" t="n"/>
      <c r="E3798" s="63" t="n"/>
    </row>
    <row r="3799" ht="18" customHeight="1">
      <c r="A3799" s="62" t="n"/>
      <c r="B3799" s="63" t="n"/>
      <c r="C3799" s="64" t="n"/>
      <c r="D3799" s="64" t="n"/>
      <c r="E3799" s="63" t="n"/>
    </row>
    <row r="3800" ht="18" customHeight="1">
      <c r="A3800" s="62" t="n"/>
      <c r="B3800" s="63" t="n"/>
      <c r="C3800" s="64" t="n"/>
      <c r="D3800" s="64" t="n"/>
      <c r="E3800" s="63" t="n"/>
    </row>
    <row r="3801" ht="18" customHeight="1">
      <c r="A3801" s="62" t="n"/>
      <c r="B3801" s="63" t="n"/>
      <c r="C3801" s="64" t="n"/>
      <c r="D3801" s="64" t="n"/>
      <c r="E3801" s="63" t="n"/>
    </row>
    <row r="3802" ht="18" customHeight="1">
      <c r="A3802" s="62" t="n"/>
      <c r="B3802" s="63" t="n"/>
      <c r="C3802" s="64" t="n"/>
      <c r="D3802" s="64" t="n"/>
      <c r="E3802" s="63" t="n"/>
    </row>
    <row r="3803" ht="18" customHeight="1">
      <c r="A3803" s="62" t="n"/>
      <c r="B3803" s="63" t="n"/>
      <c r="C3803" s="64" t="n"/>
      <c r="D3803" s="64" t="n"/>
      <c r="E3803" s="63" t="n"/>
    </row>
    <row r="3804" ht="18" customHeight="1">
      <c r="A3804" s="62" t="n"/>
      <c r="B3804" s="63" t="n"/>
      <c r="C3804" s="64" t="n"/>
      <c r="D3804" s="64" t="n"/>
      <c r="E3804" s="63" t="n"/>
    </row>
    <row r="3805" ht="18" customHeight="1">
      <c r="A3805" s="62" t="n"/>
      <c r="B3805" s="63" t="n"/>
      <c r="C3805" s="64" t="n"/>
      <c r="D3805" s="64" t="n"/>
      <c r="E3805" s="63" t="n"/>
    </row>
    <row r="3806" ht="18" customHeight="1">
      <c r="A3806" s="62" t="n"/>
      <c r="B3806" s="63" t="n"/>
      <c r="C3806" s="64" t="n"/>
      <c r="D3806" s="64" t="n"/>
      <c r="E3806" s="63" t="n"/>
    </row>
    <row r="3807" ht="18" customHeight="1">
      <c r="A3807" s="62" t="n"/>
      <c r="B3807" s="63" t="n"/>
      <c r="C3807" s="64" t="n"/>
      <c r="D3807" s="64" t="n"/>
      <c r="E3807" s="63" t="n"/>
    </row>
    <row r="3808" ht="18" customHeight="1">
      <c r="A3808" s="62" t="n"/>
      <c r="B3808" s="63" t="n"/>
      <c r="C3808" s="64" t="n"/>
      <c r="D3808" s="64" t="n"/>
      <c r="E3808" s="63" t="n"/>
    </row>
    <row r="3809" ht="18" customHeight="1">
      <c r="A3809" s="62" t="n"/>
      <c r="B3809" s="63" t="n"/>
      <c r="C3809" s="64" t="n"/>
      <c r="D3809" s="64" t="n"/>
      <c r="E3809" s="63" t="n"/>
    </row>
    <row r="3810" ht="18" customHeight="1">
      <c r="A3810" s="62" t="n"/>
      <c r="B3810" s="63" t="n"/>
      <c r="C3810" s="64" t="n"/>
      <c r="D3810" s="64" t="n"/>
      <c r="E3810" s="63" t="n"/>
    </row>
    <row r="3811" ht="18" customHeight="1">
      <c r="A3811" s="62" t="n"/>
      <c r="B3811" s="63" t="n"/>
      <c r="C3811" s="64" t="n"/>
      <c r="D3811" s="64" t="n"/>
      <c r="E3811" s="63" t="n"/>
    </row>
    <row r="3812" ht="18" customHeight="1">
      <c r="A3812" s="62" t="n"/>
      <c r="B3812" s="63" t="n"/>
      <c r="C3812" s="64" t="n"/>
      <c r="D3812" s="64" t="n"/>
      <c r="E3812" s="63" t="n"/>
    </row>
    <row r="3813" ht="18" customHeight="1">
      <c r="A3813" s="62" t="n"/>
      <c r="B3813" s="63" t="n"/>
      <c r="C3813" s="64" t="n"/>
      <c r="D3813" s="64" t="n"/>
      <c r="E3813" s="63" t="n"/>
    </row>
    <row r="3814" ht="18" customHeight="1">
      <c r="A3814" s="62" t="n"/>
      <c r="B3814" s="63" t="n"/>
      <c r="C3814" s="64" t="n"/>
      <c r="D3814" s="64" t="n"/>
      <c r="E3814" s="63" t="n"/>
    </row>
    <row r="3815" ht="18" customHeight="1">
      <c r="A3815" s="62" t="n"/>
      <c r="B3815" s="63" t="n"/>
      <c r="C3815" s="64" t="n"/>
      <c r="D3815" s="64" t="n"/>
      <c r="E3815" s="63" t="n"/>
    </row>
    <row r="3816" ht="18" customHeight="1">
      <c r="A3816" s="62" t="n"/>
      <c r="B3816" s="63" t="n"/>
      <c r="C3816" s="64" t="n"/>
      <c r="D3816" s="64" t="n"/>
      <c r="E3816" s="63" t="n"/>
    </row>
    <row r="3817" ht="18" customHeight="1">
      <c r="A3817" s="62" t="n"/>
      <c r="B3817" s="63" t="n"/>
      <c r="C3817" s="64" t="n"/>
      <c r="D3817" s="64" t="n"/>
      <c r="E3817" s="63" t="n"/>
    </row>
    <row r="3818" ht="18" customHeight="1">
      <c r="A3818" s="62" t="n"/>
      <c r="B3818" s="63" t="n"/>
      <c r="C3818" s="64" t="n"/>
      <c r="D3818" s="64" t="n"/>
      <c r="E3818" s="63" t="n"/>
    </row>
    <row r="3819" ht="18" customHeight="1">
      <c r="A3819" s="62" t="n"/>
      <c r="B3819" s="63" t="n"/>
      <c r="C3819" s="64" t="n"/>
      <c r="D3819" s="64" t="n"/>
      <c r="E3819" s="63" t="n"/>
    </row>
    <row r="3820" ht="18" customHeight="1">
      <c r="A3820" s="62" t="n"/>
      <c r="B3820" s="63" t="n"/>
      <c r="C3820" s="64" t="n"/>
      <c r="D3820" s="64" t="n"/>
      <c r="E3820" s="63" t="n"/>
    </row>
    <row r="3821" ht="18" customHeight="1">
      <c r="A3821" s="62" t="n"/>
      <c r="B3821" s="63" t="n"/>
      <c r="C3821" s="64" t="n"/>
      <c r="D3821" s="64" t="n"/>
      <c r="E3821" s="63" t="n"/>
    </row>
    <row r="3822" ht="18" customHeight="1">
      <c r="A3822" s="62" t="n"/>
      <c r="B3822" s="63" t="n"/>
      <c r="C3822" s="64" t="n"/>
      <c r="D3822" s="64" t="n"/>
      <c r="E3822" s="63" t="n"/>
    </row>
    <row r="3823" ht="18" customHeight="1">
      <c r="A3823" s="62" t="n"/>
      <c r="B3823" s="63" t="n"/>
      <c r="C3823" s="64" t="n"/>
      <c r="D3823" s="64" t="n"/>
      <c r="E3823" s="63" t="n"/>
    </row>
    <row r="3824" ht="18" customHeight="1">
      <c r="A3824" s="62" t="n"/>
      <c r="B3824" s="63" t="n"/>
      <c r="C3824" s="64" t="n"/>
      <c r="D3824" s="64" t="n"/>
      <c r="E3824" s="63" t="n"/>
    </row>
    <row r="3825" ht="18" customHeight="1">
      <c r="A3825" s="62" t="n"/>
      <c r="B3825" s="63" t="n"/>
      <c r="C3825" s="64" t="n"/>
      <c r="D3825" s="64" t="n"/>
      <c r="E3825" s="63" t="n"/>
    </row>
    <row r="3826" ht="18" customHeight="1">
      <c r="A3826" s="62" t="n"/>
      <c r="B3826" s="63" t="n"/>
      <c r="C3826" s="64" t="n"/>
      <c r="D3826" s="64" t="n"/>
      <c r="E3826" s="63" t="n"/>
    </row>
    <row r="3827" ht="18" customHeight="1">
      <c r="A3827" s="62" t="n"/>
      <c r="B3827" s="63" t="n"/>
      <c r="C3827" s="64" t="n"/>
      <c r="D3827" s="64" t="n"/>
      <c r="E3827" s="63" t="n"/>
    </row>
    <row r="3828" ht="18" customHeight="1">
      <c r="A3828" s="62" t="n"/>
      <c r="B3828" s="63" t="n"/>
      <c r="C3828" s="64" t="n"/>
      <c r="D3828" s="64" t="n"/>
      <c r="E3828" s="63" t="n"/>
    </row>
    <row r="3829" ht="18" customHeight="1">
      <c r="A3829" s="62" t="n"/>
      <c r="B3829" s="63" t="n"/>
      <c r="C3829" s="64" t="n"/>
      <c r="D3829" s="64" t="n"/>
      <c r="E3829" s="63" t="n"/>
    </row>
    <row r="3830" ht="18" customHeight="1">
      <c r="A3830" s="62" t="n"/>
      <c r="B3830" s="63" t="n"/>
      <c r="C3830" s="64" t="n"/>
      <c r="D3830" s="64" t="n"/>
      <c r="E3830" s="63" t="n"/>
    </row>
    <row r="3831" ht="18" customHeight="1">
      <c r="A3831" s="62" t="n"/>
      <c r="B3831" s="63" t="n"/>
      <c r="C3831" s="64" t="n"/>
      <c r="D3831" s="64" t="n"/>
      <c r="E3831" s="63" t="n"/>
    </row>
    <row r="3832" ht="18" customHeight="1">
      <c r="A3832" s="62" t="n"/>
      <c r="B3832" s="63" t="n"/>
      <c r="C3832" s="64" t="n"/>
      <c r="D3832" s="64" t="n"/>
      <c r="E3832" s="63" t="n"/>
    </row>
    <row r="3833" ht="18" customHeight="1">
      <c r="A3833" s="62" t="n"/>
      <c r="B3833" s="63" t="n"/>
      <c r="C3833" s="64" t="n"/>
      <c r="D3833" s="64" t="n"/>
      <c r="E3833" s="63" t="n"/>
    </row>
    <row r="3834" ht="18" customHeight="1">
      <c r="A3834" s="62" t="n"/>
      <c r="B3834" s="63" t="n"/>
      <c r="C3834" s="64" t="n"/>
      <c r="D3834" s="64" t="n"/>
      <c r="E3834" s="63" t="n"/>
    </row>
    <row r="3835" ht="18" customHeight="1">
      <c r="A3835" s="62" t="n"/>
      <c r="B3835" s="63" t="n"/>
      <c r="C3835" s="64" t="n"/>
      <c r="D3835" s="64" t="n"/>
      <c r="E3835" s="63" t="n"/>
    </row>
    <row r="3836" ht="18" customHeight="1">
      <c r="A3836" s="62" t="n"/>
      <c r="B3836" s="63" t="n"/>
      <c r="C3836" s="64" t="n"/>
      <c r="D3836" s="64" t="n"/>
      <c r="E3836" s="63" t="n"/>
    </row>
    <row r="3837" ht="18" customHeight="1">
      <c r="A3837" s="62" t="n"/>
      <c r="B3837" s="63" t="n"/>
      <c r="C3837" s="64" t="n"/>
      <c r="D3837" s="64" t="n"/>
      <c r="E3837" s="63" t="n"/>
    </row>
    <row r="3838" ht="18" customHeight="1">
      <c r="A3838" s="62" t="n"/>
      <c r="B3838" s="63" t="n"/>
      <c r="C3838" s="64" t="n"/>
      <c r="D3838" s="64" t="n"/>
      <c r="E3838" s="63" t="n"/>
    </row>
    <row r="3839" ht="18" customHeight="1">
      <c r="A3839" s="62" t="n"/>
      <c r="B3839" s="63" t="n"/>
      <c r="C3839" s="64" t="n"/>
      <c r="D3839" s="64" t="n"/>
      <c r="E3839" s="63" t="n"/>
    </row>
    <row r="3840" ht="18" customHeight="1">
      <c r="A3840" s="62" t="n"/>
      <c r="B3840" s="63" t="n"/>
      <c r="C3840" s="64" t="n"/>
      <c r="D3840" s="64" t="n"/>
      <c r="E3840" s="63" t="n"/>
    </row>
    <row r="3841" ht="18" customHeight="1">
      <c r="A3841" s="62" t="n"/>
      <c r="B3841" s="63" t="n"/>
      <c r="C3841" s="64" t="n"/>
      <c r="D3841" s="64" t="n"/>
      <c r="E3841" s="63" t="n"/>
    </row>
    <row r="3842" ht="18" customHeight="1">
      <c r="A3842" s="62" t="n"/>
      <c r="B3842" s="63" t="n"/>
      <c r="C3842" s="64" t="n"/>
      <c r="D3842" s="64" t="n"/>
      <c r="E3842" s="63" t="n"/>
    </row>
    <row r="3843" ht="18" customHeight="1">
      <c r="A3843" s="62" t="n"/>
      <c r="B3843" s="63" t="n"/>
      <c r="C3843" s="64" t="n"/>
      <c r="D3843" s="64" t="n"/>
      <c r="E3843" s="63" t="n"/>
    </row>
    <row r="3844" ht="18" customHeight="1">
      <c r="A3844" s="62" t="n"/>
      <c r="B3844" s="63" t="n"/>
      <c r="C3844" s="64" t="n"/>
      <c r="D3844" s="64" t="n"/>
      <c r="E3844" s="63" t="n"/>
    </row>
    <row r="3845" ht="18" customHeight="1">
      <c r="A3845" s="62" t="n"/>
      <c r="B3845" s="63" t="n"/>
      <c r="C3845" s="64" t="n"/>
      <c r="D3845" s="64" t="n"/>
      <c r="E3845" s="63" t="n"/>
    </row>
    <row r="3846" ht="18" customHeight="1">
      <c r="A3846" s="62" t="n"/>
      <c r="B3846" s="63" t="n"/>
      <c r="C3846" s="64" t="n"/>
      <c r="D3846" s="64" t="n"/>
      <c r="E3846" s="63" t="n"/>
    </row>
    <row r="3847" ht="18" customHeight="1">
      <c r="A3847" s="62" t="n"/>
      <c r="B3847" s="63" t="n"/>
      <c r="C3847" s="64" t="n"/>
      <c r="D3847" s="64" t="n"/>
      <c r="E3847" s="63" t="n"/>
    </row>
    <row r="3848" ht="18" customHeight="1">
      <c r="A3848" s="62" t="n"/>
      <c r="B3848" s="63" t="n"/>
      <c r="C3848" s="64" t="n"/>
      <c r="D3848" s="64" t="n"/>
      <c r="E3848" s="63" t="n"/>
    </row>
    <row r="3849" ht="18" customHeight="1">
      <c r="A3849" s="62" t="n"/>
      <c r="B3849" s="63" t="n"/>
      <c r="C3849" s="64" t="n"/>
      <c r="D3849" s="64" t="n"/>
      <c r="E3849" s="63" t="n"/>
    </row>
    <row r="3850" ht="18" customHeight="1">
      <c r="A3850" s="62" t="n"/>
      <c r="B3850" s="63" t="n"/>
      <c r="C3850" s="64" t="n"/>
      <c r="D3850" s="64" t="n"/>
      <c r="E3850" s="63" t="n"/>
    </row>
    <row r="3851" ht="18" customHeight="1">
      <c r="A3851" s="62" t="n"/>
      <c r="B3851" s="63" t="n"/>
      <c r="C3851" s="64" t="n"/>
      <c r="D3851" s="64" t="n"/>
      <c r="E3851" s="63" t="n"/>
    </row>
    <row r="3852" ht="18" customHeight="1">
      <c r="A3852" s="62" t="n"/>
      <c r="B3852" s="63" t="n"/>
      <c r="C3852" s="64" t="n"/>
      <c r="D3852" s="64" t="n"/>
      <c r="E3852" s="63" t="n"/>
    </row>
    <row r="3853" ht="18" customHeight="1">
      <c r="A3853" s="62" t="n"/>
      <c r="B3853" s="63" t="n"/>
      <c r="C3853" s="64" t="n"/>
      <c r="D3853" s="64" t="n"/>
      <c r="E3853" s="63" t="n"/>
    </row>
    <row r="3854" ht="18" customHeight="1">
      <c r="A3854" s="62" t="n"/>
      <c r="B3854" s="63" t="n"/>
      <c r="C3854" s="64" t="n"/>
      <c r="D3854" s="64" t="n"/>
      <c r="E3854" s="63" t="n"/>
    </row>
    <row r="3855" ht="18" customHeight="1">
      <c r="A3855" s="62" t="n"/>
      <c r="B3855" s="63" t="n"/>
      <c r="C3855" s="64" t="n"/>
      <c r="D3855" s="64" t="n"/>
      <c r="E3855" s="63" t="n"/>
    </row>
    <row r="3856" ht="18" customHeight="1">
      <c r="A3856" s="62" t="n"/>
      <c r="B3856" s="63" t="n"/>
      <c r="C3856" s="64" t="n"/>
      <c r="D3856" s="64" t="n"/>
      <c r="E3856" s="63" t="n"/>
    </row>
    <row r="3857" ht="18" customHeight="1">
      <c r="A3857" s="62" t="n"/>
      <c r="B3857" s="63" t="n"/>
      <c r="C3857" s="64" t="n"/>
      <c r="D3857" s="64" t="n"/>
      <c r="E3857" s="63" t="n"/>
    </row>
    <row r="3858" ht="18" customHeight="1">
      <c r="A3858" s="62" t="n"/>
      <c r="B3858" s="63" t="n"/>
      <c r="C3858" s="64" t="n"/>
      <c r="D3858" s="64" t="n"/>
      <c r="E3858" s="63" t="n"/>
    </row>
    <row r="3859" ht="18" customHeight="1">
      <c r="A3859" s="62" t="n"/>
      <c r="B3859" s="63" t="n"/>
      <c r="C3859" s="64" t="n"/>
      <c r="D3859" s="64" t="n"/>
      <c r="E3859" s="63" t="n"/>
    </row>
    <row r="3860" ht="18" customHeight="1">
      <c r="A3860" s="62" t="n"/>
      <c r="B3860" s="63" t="n"/>
      <c r="C3860" s="64" t="n"/>
      <c r="D3860" s="64" t="n"/>
      <c r="E3860" s="63" t="n"/>
    </row>
    <row r="3861" ht="18" customHeight="1">
      <c r="A3861" s="62" t="n"/>
      <c r="B3861" s="63" t="n"/>
      <c r="C3861" s="64" t="n"/>
      <c r="D3861" s="64" t="n"/>
      <c r="E3861" s="63" t="n"/>
    </row>
    <row r="3862" ht="18" customHeight="1">
      <c r="A3862" s="62" t="n"/>
      <c r="B3862" s="63" t="n"/>
      <c r="C3862" s="64" t="n"/>
      <c r="D3862" s="64" t="n"/>
      <c r="E3862" s="63" t="n"/>
    </row>
    <row r="3863" ht="18" customHeight="1">
      <c r="A3863" s="62" t="n"/>
      <c r="B3863" s="63" t="n"/>
      <c r="C3863" s="64" t="n"/>
      <c r="D3863" s="64" t="n"/>
      <c r="E3863" s="63" t="n"/>
    </row>
    <row r="3864" ht="18" customHeight="1">
      <c r="A3864" s="62" t="n"/>
      <c r="B3864" s="63" t="n"/>
      <c r="C3864" s="64" t="n"/>
      <c r="D3864" s="64" t="n"/>
      <c r="E3864" s="63" t="n"/>
    </row>
    <row r="3865" ht="18" customHeight="1">
      <c r="A3865" s="62" t="n"/>
      <c r="B3865" s="63" t="n"/>
      <c r="C3865" s="64" t="n"/>
      <c r="D3865" s="64" t="n"/>
      <c r="E3865" s="63" t="n"/>
    </row>
    <row r="3866" ht="18" customHeight="1">
      <c r="A3866" s="62" t="n"/>
      <c r="B3866" s="63" t="n"/>
      <c r="C3866" s="64" t="n"/>
      <c r="D3866" s="64" t="n"/>
      <c r="E3866" s="63" t="n"/>
    </row>
    <row r="3867" ht="18" customHeight="1">
      <c r="A3867" s="62" t="n"/>
      <c r="B3867" s="63" t="n"/>
      <c r="C3867" s="64" t="n"/>
      <c r="D3867" s="64" t="n"/>
      <c r="E3867" s="63" t="n"/>
    </row>
    <row r="3868" ht="18" customHeight="1">
      <c r="A3868" s="62" t="n"/>
      <c r="B3868" s="63" t="n"/>
      <c r="C3868" s="64" t="n"/>
      <c r="D3868" s="64" t="n"/>
      <c r="E3868" s="63" t="n"/>
    </row>
    <row r="3869" ht="18" customHeight="1">
      <c r="A3869" s="62" t="n"/>
      <c r="B3869" s="63" t="n"/>
      <c r="C3869" s="64" t="n"/>
      <c r="D3869" s="64" t="n"/>
      <c r="E3869" s="63" t="n"/>
    </row>
    <row r="3870" ht="18" customHeight="1">
      <c r="A3870" s="62" t="n"/>
      <c r="B3870" s="63" t="n"/>
      <c r="C3870" s="64" t="n"/>
      <c r="D3870" s="64" t="n"/>
      <c r="E3870" s="63" t="n"/>
    </row>
    <row r="3871" ht="18" customHeight="1">
      <c r="A3871" s="62" t="n"/>
      <c r="B3871" s="63" t="n"/>
      <c r="C3871" s="64" t="n"/>
      <c r="D3871" s="64" t="n"/>
      <c r="E3871" s="63" t="n"/>
    </row>
    <row r="3872" ht="18" customHeight="1">
      <c r="A3872" s="62" t="n"/>
      <c r="B3872" s="63" t="n"/>
      <c r="C3872" s="64" t="n"/>
      <c r="D3872" s="64" t="n"/>
      <c r="E3872" s="63" t="n"/>
    </row>
    <row r="3873" ht="18" customHeight="1">
      <c r="A3873" s="62" t="n"/>
      <c r="B3873" s="63" t="n"/>
      <c r="C3873" s="64" t="n"/>
      <c r="D3873" s="64" t="n"/>
      <c r="E3873" s="63" t="n"/>
    </row>
    <row r="3874" ht="18" customHeight="1">
      <c r="A3874" s="62" t="n"/>
      <c r="B3874" s="63" t="n"/>
      <c r="C3874" s="64" t="n"/>
      <c r="D3874" s="64" t="n"/>
      <c r="E3874" s="63" t="n"/>
    </row>
    <row r="3875" ht="18" customHeight="1">
      <c r="A3875" s="62" t="n"/>
      <c r="B3875" s="63" t="n"/>
      <c r="C3875" s="64" t="n"/>
      <c r="D3875" s="64" t="n"/>
      <c r="E3875" s="63" t="n"/>
    </row>
    <row r="3876" ht="18" customHeight="1">
      <c r="A3876" s="62" t="n"/>
      <c r="B3876" s="63" t="n"/>
      <c r="C3876" s="64" t="n"/>
      <c r="D3876" s="64" t="n"/>
      <c r="E3876" s="63" t="n"/>
    </row>
    <row r="3877" ht="18" customHeight="1">
      <c r="A3877" s="62" t="n"/>
      <c r="B3877" s="63" t="n"/>
      <c r="C3877" s="64" t="n"/>
      <c r="D3877" s="64" t="n"/>
      <c r="E3877" s="63" t="n"/>
    </row>
    <row r="3878" ht="18" customHeight="1">
      <c r="A3878" s="62" t="n"/>
      <c r="B3878" s="63" t="n"/>
      <c r="C3878" s="64" t="n"/>
      <c r="D3878" s="64" t="n"/>
      <c r="E3878" s="63" t="n"/>
    </row>
    <row r="3879" ht="18" customHeight="1">
      <c r="A3879" s="62" t="n"/>
      <c r="B3879" s="63" t="n"/>
      <c r="C3879" s="64" t="n"/>
      <c r="D3879" s="64" t="n"/>
      <c r="E3879" s="63" t="n"/>
    </row>
    <row r="3880" ht="18" customHeight="1">
      <c r="A3880" s="62" t="n"/>
      <c r="B3880" s="63" t="n"/>
      <c r="C3880" s="64" t="n"/>
      <c r="D3880" s="64" t="n"/>
      <c r="E3880" s="63" t="n"/>
    </row>
    <row r="3881" ht="18" customHeight="1">
      <c r="A3881" s="62" t="n"/>
      <c r="B3881" s="63" t="n"/>
      <c r="C3881" s="64" t="n"/>
      <c r="D3881" s="64" t="n"/>
      <c r="E3881" s="63" t="n"/>
    </row>
    <row r="3882" ht="18" customHeight="1">
      <c r="A3882" s="62" t="n"/>
      <c r="B3882" s="63" t="n"/>
      <c r="C3882" s="64" t="n"/>
      <c r="D3882" s="64" t="n"/>
      <c r="E3882" s="63" t="n"/>
    </row>
    <row r="3883" ht="18" customHeight="1">
      <c r="A3883" s="62" t="n"/>
      <c r="B3883" s="63" t="n"/>
      <c r="C3883" s="64" t="n"/>
      <c r="D3883" s="64" t="n"/>
      <c r="E3883" s="63" t="n"/>
    </row>
    <row r="3884" ht="18" customHeight="1">
      <c r="A3884" s="62" t="n"/>
      <c r="B3884" s="63" t="n"/>
      <c r="C3884" s="64" t="n"/>
      <c r="D3884" s="64" t="n"/>
      <c r="E3884" s="63" t="n"/>
    </row>
    <row r="3885" ht="18" customHeight="1">
      <c r="A3885" s="62" t="n"/>
      <c r="B3885" s="63" t="n"/>
      <c r="C3885" s="64" t="n"/>
      <c r="D3885" s="64" t="n"/>
      <c r="E3885" s="63" t="n"/>
    </row>
    <row r="3886" ht="18" customHeight="1">
      <c r="A3886" s="62" t="n"/>
      <c r="B3886" s="63" t="n"/>
      <c r="C3886" s="64" t="n"/>
      <c r="D3886" s="64" t="n"/>
      <c r="E3886" s="63" t="n"/>
    </row>
    <row r="3887" ht="18" customHeight="1">
      <c r="A3887" s="62" t="n"/>
      <c r="B3887" s="63" t="n"/>
      <c r="C3887" s="64" t="n"/>
      <c r="D3887" s="64" t="n"/>
      <c r="E3887" s="63" t="n"/>
    </row>
    <row r="3888" ht="18" customHeight="1">
      <c r="A3888" s="62" t="n"/>
      <c r="B3888" s="63" t="n"/>
      <c r="C3888" s="64" t="n"/>
      <c r="D3888" s="64" t="n"/>
      <c r="E3888" s="63" t="n"/>
    </row>
    <row r="3889" ht="18" customHeight="1">
      <c r="A3889" s="62" t="n"/>
      <c r="B3889" s="63" t="n"/>
      <c r="C3889" s="64" t="n"/>
      <c r="D3889" s="64" t="n"/>
      <c r="E3889" s="63" t="n"/>
    </row>
    <row r="3890" ht="18" customHeight="1">
      <c r="A3890" s="62" t="n"/>
      <c r="B3890" s="63" t="n"/>
      <c r="C3890" s="64" t="n"/>
      <c r="D3890" s="64" t="n"/>
      <c r="E3890" s="63" t="n"/>
    </row>
    <row r="3891" ht="18" customHeight="1">
      <c r="A3891" s="62" t="n"/>
      <c r="B3891" s="63" t="n"/>
      <c r="C3891" s="64" t="n"/>
      <c r="D3891" s="64" t="n"/>
      <c r="E3891" s="63" t="n"/>
    </row>
    <row r="3892" ht="18" customHeight="1">
      <c r="A3892" s="62" t="n"/>
      <c r="B3892" s="63" t="n"/>
      <c r="C3892" s="64" t="n"/>
      <c r="D3892" s="64" t="n"/>
      <c r="E3892" s="63" t="n"/>
    </row>
    <row r="3893" ht="18" customHeight="1">
      <c r="A3893" s="62" t="n"/>
      <c r="B3893" s="63" t="n"/>
      <c r="C3893" s="64" t="n"/>
      <c r="D3893" s="64" t="n"/>
      <c r="E3893" s="63" t="n"/>
    </row>
    <row r="3894" ht="18" customHeight="1">
      <c r="A3894" s="62" t="n"/>
      <c r="B3894" s="63" t="n"/>
      <c r="C3894" s="64" t="n"/>
      <c r="D3894" s="64" t="n"/>
      <c r="E3894" s="63" t="n"/>
    </row>
    <row r="3895" ht="18" customHeight="1">
      <c r="A3895" s="62" t="n"/>
      <c r="B3895" s="63" t="n"/>
      <c r="C3895" s="64" t="n"/>
      <c r="D3895" s="64" t="n"/>
      <c r="E3895" s="63" t="n"/>
    </row>
    <row r="3896" ht="18" customHeight="1">
      <c r="A3896" s="62" t="n"/>
      <c r="B3896" s="63" t="n"/>
      <c r="C3896" s="64" t="n"/>
      <c r="D3896" s="64" t="n"/>
      <c r="E3896" s="63" t="n"/>
    </row>
    <row r="3897" ht="18" customHeight="1">
      <c r="A3897" s="62" t="n"/>
      <c r="B3897" s="63" t="n"/>
      <c r="C3897" s="64" t="n"/>
      <c r="D3897" s="64" t="n"/>
      <c r="E3897" s="63" t="n"/>
    </row>
    <row r="3898" ht="18" customHeight="1">
      <c r="A3898" s="62" t="n"/>
      <c r="B3898" s="63" t="n"/>
      <c r="C3898" s="64" t="n"/>
      <c r="D3898" s="64" t="n"/>
      <c r="E3898" s="63" t="n"/>
    </row>
    <row r="3899" ht="18" customHeight="1">
      <c r="A3899" s="62" t="n"/>
      <c r="B3899" s="63" t="n"/>
      <c r="C3899" s="64" t="n"/>
      <c r="D3899" s="64" t="n"/>
      <c r="E3899" s="63" t="n"/>
    </row>
    <row r="3900" ht="18" customHeight="1">
      <c r="A3900" s="62" t="n"/>
      <c r="B3900" s="63" t="n"/>
      <c r="C3900" s="64" t="n"/>
      <c r="D3900" s="64" t="n"/>
      <c r="E3900" s="63" t="n"/>
    </row>
    <row r="3901" ht="18" customHeight="1">
      <c r="A3901" s="62" t="n"/>
      <c r="B3901" s="63" t="n"/>
      <c r="C3901" s="64" t="n"/>
      <c r="D3901" s="64" t="n"/>
      <c r="E3901" s="63" t="n"/>
    </row>
    <row r="3902" ht="18" customHeight="1">
      <c r="A3902" s="62" t="n"/>
      <c r="B3902" s="63" t="n"/>
      <c r="C3902" s="64" t="n"/>
      <c r="D3902" s="64" t="n"/>
      <c r="E3902" s="63" t="n"/>
    </row>
    <row r="3903" ht="18" customHeight="1">
      <c r="A3903" s="62" t="n"/>
      <c r="B3903" s="63" t="n"/>
      <c r="C3903" s="64" t="n"/>
      <c r="D3903" s="64" t="n"/>
      <c r="E3903" s="63" t="n"/>
    </row>
    <row r="3904" ht="18" customHeight="1">
      <c r="A3904" s="62" t="n"/>
      <c r="B3904" s="63" t="n"/>
      <c r="C3904" s="64" t="n"/>
      <c r="D3904" s="64" t="n"/>
      <c r="E3904" s="63" t="n"/>
    </row>
    <row r="3905" ht="18" customHeight="1">
      <c r="A3905" s="62" t="n"/>
      <c r="B3905" s="63" t="n"/>
      <c r="C3905" s="64" t="n"/>
      <c r="D3905" s="64" t="n"/>
      <c r="E3905" s="63" t="n"/>
    </row>
    <row r="3906" ht="18" customHeight="1">
      <c r="A3906" s="62" t="n"/>
      <c r="B3906" s="63" t="n"/>
      <c r="C3906" s="64" t="n"/>
      <c r="D3906" s="64" t="n"/>
      <c r="E3906" s="63" t="n"/>
    </row>
    <row r="3907" ht="18" customHeight="1">
      <c r="A3907" s="62" t="n"/>
      <c r="B3907" s="63" t="n"/>
      <c r="C3907" s="64" t="n"/>
      <c r="D3907" s="64" t="n"/>
      <c r="E3907" s="63" t="n"/>
    </row>
    <row r="3908" ht="18" customHeight="1">
      <c r="A3908" s="62" t="n"/>
      <c r="B3908" s="63" t="n"/>
      <c r="C3908" s="64" t="n"/>
      <c r="D3908" s="64" t="n"/>
      <c r="E3908" s="63" t="n"/>
    </row>
    <row r="3909" ht="18" customHeight="1">
      <c r="A3909" s="62" t="n"/>
      <c r="B3909" s="63" t="n"/>
      <c r="C3909" s="64" t="n"/>
      <c r="D3909" s="64" t="n"/>
      <c r="E3909" s="63" t="n"/>
    </row>
    <row r="3910" ht="18" customHeight="1">
      <c r="A3910" s="62" t="n"/>
      <c r="B3910" s="63" t="n"/>
      <c r="C3910" s="64" t="n"/>
      <c r="D3910" s="64" t="n"/>
      <c r="E3910" s="63" t="n"/>
    </row>
    <row r="3911" ht="18" customHeight="1">
      <c r="A3911" s="62" t="n"/>
      <c r="B3911" s="63" t="n"/>
      <c r="C3911" s="64" t="n"/>
      <c r="D3911" s="64" t="n"/>
      <c r="E3911" s="63" t="n"/>
    </row>
    <row r="3912" ht="18" customHeight="1">
      <c r="A3912" s="62" t="n"/>
      <c r="B3912" s="63" t="n"/>
      <c r="C3912" s="64" t="n"/>
      <c r="D3912" s="64" t="n"/>
      <c r="E3912" s="63" t="n"/>
    </row>
    <row r="3913" ht="18" customHeight="1">
      <c r="A3913" s="62" t="n"/>
      <c r="B3913" s="63" t="n"/>
      <c r="C3913" s="64" t="n"/>
      <c r="D3913" s="64" t="n"/>
      <c r="E3913" s="63" t="n"/>
    </row>
    <row r="3914" ht="18" customHeight="1">
      <c r="A3914" s="62" t="n"/>
      <c r="B3914" s="63" t="n"/>
      <c r="C3914" s="64" t="n"/>
      <c r="D3914" s="64" t="n"/>
      <c r="E3914" s="63" t="n"/>
    </row>
    <row r="3915" ht="18" customHeight="1">
      <c r="A3915" s="62" t="n"/>
      <c r="B3915" s="63" t="n"/>
      <c r="C3915" s="64" t="n"/>
      <c r="D3915" s="64" t="n"/>
      <c r="E3915" s="63" t="n"/>
    </row>
    <row r="3916" ht="18" customHeight="1">
      <c r="A3916" s="62" t="n"/>
      <c r="B3916" s="63" t="n"/>
      <c r="C3916" s="64" t="n"/>
      <c r="D3916" s="64" t="n"/>
      <c r="E3916" s="63" t="n"/>
    </row>
    <row r="3917" ht="18" customHeight="1">
      <c r="A3917" s="62" t="n"/>
      <c r="B3917" s="63" t="n"/>
      <c r="C3917" s="64" t="n"/>
      <c r="D3917" s="64" t="n"/>
      <c r="E3917" s="63" t="n"/>
    </row>
    <row r="3918" ht="18" customHeight="1">
      <c r="A3918" s="62" t="n"/>
      <c r="B3918" s="63" t="n"/>
      <c r="C3918" s="64" t="n"/>
      <c r="D3918" s="64" t="n"/>
      <c r="E3918" s="63" t="n"/>
    </row>
    <row r="3919" ht="18" customHeight="1">
      <c r="A3919" s="62" t="n"/>
      <c r="B3919" s="63" t="n"/>
      <c r="C3919" s="64" t="n"/>
      <c r="D3919" s="64" t="n"/>
      <c r="E3919" s="63" t="n"/>
    </row>
    <row r="3920" ht="18" customHeight="1">
      <c r="A3920" s="62" t="n"/>
      <c r="B3920" s="63" t="n"/>
      <c r="C3920" s="64" t="n"/>
      <c r="D3920" s="64" t="n"/>
      <c r="E3920" s="63" t="n"/>
    </row>
    <row r="3921" ht="18" customHeight="1">
      <c r="A3921" s="62" t="n"/>
      <c r="B3921" s="63" t="n"/>
      <c r="C3921" s="64" t="n"/>
      <c r="D3921" s="64" t="n"/>
      <c r="E3921" s="63" t="n"/>
    </row>
    <row r="3922" ht="18" customHeight="1">
      <c r="A3922" s="62" t="n"/>
      <c r="B3922" s="63" t="n"/>
      <c r="C3922" s="64" t="n"/>
      <c r="D3922" s="64" t="n"/>
      <c r="E3922" s="63" t="n"/>
    </row>
    <row r="3923" ht="18" customHeight="1">
      <c r="A3923" s="62" t="n"/>
      <c r="B3923" s="63" t="n"/>
      <c r="C3923" s="64" t="n"/>
      <c r="D3923" s="64" t="n"/>
      <c r="E3923" s="63" t="n"/>
    </row>
    <row r="3924" ht="18" customHeight="1">
      <c r="A3924" s="62" t="n"/>
      <c r="B3924" s="63" t="n"/>
      <c r="C3924" s="64" t="n"/>
      <c r="D3924" s="64" t="n"/>
      <c r="E3924" s="63" t="n"/>
    </row>
    <row r="3925" ht="18" customHeight="1">
      <c r="A3925" s="62" t="n"/>
      <c r="B3925" s="63" t="n"/>
      <c r="C3925" s="64" t="n"/>
      <c r="D3925" s="64" t="n"/>
      <c r="E3925" s="63" t="n"/>
    </row>
    <row r="3926" ht="18" customHeight="1">
      <c r="A3926" s="62" t="n"/>
      <c r="B3926" s="63" t="n"/>
      <c r="C3926" s="64" t="n"/>
      <c r="D3926" s="64" t="n"/>
      <c r="E3926" s="63" t="n"/>
    </row>
    <row r="3927" ht="18" customHeight="1">
      <c r="A3927" s="62" t="n"/>
      <c r="B3927" s="63" t="n"/>
      <c r="C3927" s="64" t="n"/>
      <c r="D3927" s="64" t="n"/>
      <c r="E3927" s="63" t="n"/>
    </row>
    <row r="3928" ht="18" customHeight="1">
      <c r="A3928" s="62" t="n"/>
      <c r="B3928" s="63" t="n"/>
      <c r="C3928" s="64" t="n"/>
      <c r="D3928" s="64" t="n"/>
      <c r="E3928" s="63" t="n"/>
    </row>
    <row r="3929" ht="18" customHeight="1">
      <c r="A3929" s="62" t="n"/>
      <c r="B3929" s="63" t="n"/>
      <c r="C3929" s="64" t="n"/>
      <c r="D3929" s="64" t="n"/>
      <c r="E3929" s="63" t="n"/>
    </row>
    <row r="3930" ht="18" customHeight="1">
      <c r="A3930" s="62" t="n"/>
      <c r="B3930" s="63" t="n"/>
      <c r="C3930" s="64" t="n"/>
      <c r="D3930" s="64" t="n"/>
      <c r="E3930" s="63" t="n"/>
    </row>
    <row r="3931" ht="18" customHeight="1">
      <c r="A3931" s="62" t="n"/>
      <c r="B3931" s="63" t="n"/>
      <c r="C3931" s="64" t="n"/>
      <c r="D3931" s="64" t="n"/>
      <c r="E3931" s="63" t="n"/>
    </row>
    <row r="3932" ht="18" customHeight="1">
      <c r="A3932" s="62" t="n"/>
      <c r="B3932" s="63" t="n"/>
      <c r="C3932" s="64" t="n"/>
      <c r="D3932" s="64" t="n"/>
      <c r="E3932" s="63" t="n"/>
    </row>
    <row r="3933" ht="18" customHeight="1">
      <c r="A3933" s="62" t="n"/>
      <c r="B3933" s="63" t="n"/>
      <c r="C3933" s="64" t="n"/>
      <c r="D3933" s="64" t="n"/>
      <c r="E3933" s="63" t="n"/>
    </row>
    <row r="3934" ht="18" customHeight="1">
      <c r="A3934" s="62" t="n"/>
      <c r="B3934" s="63" t="n"/>
      <c r="C3934" s="64" t="n"/>
      <c r="D3934" s="64" t="n"/>
      <c r="E3934" s="63" t="n"/>
    </row>
    <row r="3935" ht="18" customHeight="1">
      <c r="A3935" s="62" t="n"/>
      <c r="B3935" s="63" t="n"/>
      <c r="C3935" s="64" t="n"/>
      <c r="D3935" s="64" t="n"/>
      <c r="E3935" s="63" t="n"/>
    </row>
    <row r="3936" ht="18" customHeight="1">
      <c r="A3936" s="62" t="n"/>
      <c r="B3936" s="63" t="n"/>
      <c r="C3936" s="64" t="n"/>
      <c r="D3936" s="64" t="n"/>
      <c r="E3936" s="63" t="n"/>
    </row>
    <row r="3937" ht="18" customHeight="1">
      <c r="A3937" s="62" t="n"/>
      <c r="B3937" s="63" t="n"/>
      <c r="C3937" s="64" t="n"/>
      <c r="D3937" s="64" t="n"/>
      <c r="E3937" s="63" t="n"/>
    </row>
    <row r="3938" ht="18" customHeight="1">
      <c r="A3938" s="62" t="n"/>
      <c r="B3938" s="63" t="n"/>
      <c r="C3938" s="64" t="n"/>
      <c r="D3938" s="64" t="n"/>
      <c r="E3938" s="63" t="n"/>
    </row>
    <row r="3939" ht="18" customHeight="1">
      <c r="A3939" s="62" t="n"/>
      <c r="B3939" s="63" t="n"/>
      <c r="C3939" s="64" t="n"/>
      <c r="D3939" s="64" t="n"/>
      <c r="E3939" s="63" t="n"/>
    </row>
    <row r="3940" ht="18" customHeight="1">
      <c r="A3940" s="62" t="n"/>
      <c r="B3940" s="63" t="n"/>
      <c r="C3940" s="64" t="n"/>
      <c r="D3940" s="64" t="n"/>
      <c r="E3940" s="63" t="n"/>
    </row>
    <row r="3941" ht="18" customHeight="1">
      <c r="A3941" s="62" t="n"/>
      <c r="B3941" s="63" t="n"/>
      <c r="C3941" s="64" t="n"/>
      <c r="D3941" s="64" t="n"/>
      <c r="E3941" s="63" t="n"/>
    </row>
    <row r="3942" ht="18" customHeight="1">
      <c r="A3942" s="62" t="n"/>
      <c r="B3942" s="63" t="n"/>
      <c r="C3942" s="64" t="n"/>
      <c r="D3942" s="64" t="n"/>
      <c r="E3942" s="63" t="n"/>
    </row>
    <row r="3943" ht="18" customHeight="1">
      <c r="A3943" s="62" t="n"/>
      <c r="B3943" s="63" t="n"/>
      <c r="C3943" s="64" t="n"/>
      <c r="D3943" s="64" t="n"/>
      <c r="E3943" s="63" t="n"/>
    </row>
    <row r="3944" ht="18" customHeight="1">
      <c r="A3944" s="62" t="n"/>
      <c r="B3944" s="63" t="n"/>
      <c r="C3944" s="64" t="n"/>
      <c r="D3944" s="64" t="n"/>
      <c r="E3944" s="63" t="n"/>
    </row>
    <row r="3945" ht="18" customHeight="1">
      <c r="A3945" s="62" t="n"/>
      <c r="B3945" s="63" t="n"/>
      <c r="C3945" s="64" t="n"/>
      <c r="D3945" s="64" t="n"/>
      <c r="E3945" s="63" t="n"/>
    </row>
    <row r="3946" ht="18" customHeight="1">
      <c r="A3946" s="62" t="n"/>
      <c r="B3946" s="63" t="n"/>
      <c r="C3946" s="64" t="n"/>
      <c r="D3946" s="64" t="n"/>
      <c r="E3946" s="63" t="n"/>
    </row>
    <row r="3947" ht="18" customHeight="1">
      <c r="A3947" s="62" t="n"/>
      <c r="B3947" s="63" t="n"/>
      <c r="C3947" s="64" t="n"/>
      <c r="D3947" s="64" t="n"/>
      <c r="E3947" s="63" t="n"/>
    </row>
    <row r="3948" ht="18" customHeight="1">
      <c r="A3948" s="62" t="n"/>
      <c r="B3948" s="63" t="n"/>
      <c r="C3948" s="64" t="n"/>
      <c r="D3948" s="64" t="n"/>
      <c r="E3948" s="63" t="n"/>
    </row>
    <row r="3949" ht="18" customHeight="1">
      <c r="A3949" s="62" t="n"/>
      <c r="B3949" s="63" t="n"/>
      <c r="C3949" s="64" t="n"/>
      <c r="D3949" s="64" t="n"/>
      <c r="E3949" s="63" t="n"/>
    </row>
    <row r="3950" ht="18" customHeight="1">
      <c r="A3950" s="62" t="n"/>
      <c r="B3950" s="63" t="n"/>
      <c r="C3950" s="64" t="n"/>
      <c r="D3950" s="64" t="n"/>
      <c r="E3950" s="63" t="n"/>
    </row>
    <row r="3951" ht="18" customHeight="1">
      <c r="A3951" s="62" t="n"/>
      <c r="B3951" s="63" t="n"/>
      <c r="C3951" s="64" t="n"/>
      <c r="D3951" s="64" t="n"/>
      <c r="E3951" s="63" t="n"/>
    </row>
    <row r="3952" ht="18" customHeight="1">
      <c r="A3952" s="62" t="n"/>
      <c r="B3952" s="63" t="n"/>
      <c r="C3952" s="64" t="n"/>
      <c r="D3952" s="64" t="n"/>
      <c r="E3952" s="63" t="n"/>
    </row>
    <row r="3953" ht="18" customHeight="1">
      <c r="A3953" s="62" t="n"/>
      <c r="B3953" s="63" t="n"/>
      <c r="C3953" s="64" t="n"/>
      <c r="D3953" s="64" t="n"/>
      <c r="E3953" s="63" t="n"/>
    </row>
    <row r="3954" ht="18" customHeight="1">
      <c r="A3954" s="62" t="n"/>
      <c r="B3954" s="63" t="n"/>
      <c r="C3954" s="64" t="n"/>
      <c r="D3954" s="64" t="n"/>
      <c r="E3954" s="63" t="n"/>
    </row>
    <row r="3955" ht="18" customHeight="1">
      <c r="A3955" s="62" t="n"/>
      <c r="B3955" s="63" t="n"/>
      <c r="C3955" s="64" t="n"/>
      <c r="D3955" s="64" t="n"/>
      <c r="E3955" s="63" t="n"/>
    </row>
    <row r="3956" ht="18" customHeight="1">
      <c r="A3956" s="62" t="n"/>
      <c r="B3956" s="63" t="n"/>
      <c r="C3956" s="64" t="n"/>
      <c r="D3956" s="64" t="n"/>
      <c r="E3956" s="63" t="n"/>
    </row>
    <row r="3957" ht="18" customHeight="1">
      <c r="A3957" s="62" t="n"/>
      <c r="B3957" s="63" t="n"/>
      <c r="C3957" s="64" t="n"/>
      <c r="D3957" s="64" t="n"/>
      <c r="E3957" s="63" t="n"/>
    </row>
    <row r="3958" ht="18" customHeight="1">
      <c r="A3958" s="62" t="n"/>
      <c r="B3958" s="63" t="n"/>
      <c r="C3958" s="64" t="n"/>
      <c r="D3958" s="64" t="n"/>
      <c r="E3958" s="63" t="n"/>
    </row>
    <row r="3959" ht="18" customHeight="1">
      <c r="A3959" s="62" t="n"/>
      <c r="B3959" s="63" t="n"/>
      <c r="C3959" s="64" t="n"/>
      <c r="D3959" s="64" t="n"/>
      <c r="E3959" s="63" t="n"/>
    </row>
    <row r="3960" ht="18" customHeight="1">
      <c r="A3960" s="62" t="n"/>
      <c r="B3960" s="63" t="n"/>
      <c r="C3960" s="64" t="n"/>
      <c r="D3960" s="64" t="n"/>
      <c r="E3960" s="63" t="n"/>
    </row>
    <row r="3961" ht="18" customHeight="1">
      <c r="A3961" s="62" t="n"/>
      <c r="B3961" s="63" t="n"/>
      <c r="C3961" s="64" t="n"/>
      <c r="D3961" s="64" t="n"/>
      <c r="E3961" s="63" t="n"/>
    </row>
    <row r="3962" ht="18" customHeight="1">
      <c r="A3962" s="62" t="n"/>
      <c r="B3962" s="63" t="n"/>
      <c r="C3962" s="64" t="n"/>
      <c r="D3962" s="64" t="n"/>
      <c r="E3962" s="63" t="n"/>
    </row>
    <row r="3963" ht="18" customHeight="1">
      <c r="A3963" s="62" t="n"/>
      <c r="B3963" s="63" t="n"/>
      <c r="C3963" s="64" t="n"/>
      <c r="D3963" s="64" t="n"/>
      <c r="E3963" s="63" t="n"/>
    </row>
    <row r="3964" ht="18" customHeight="1">
      <c r="A3964" s="62" t="n"/>
      <c r="B3964" s="63" t="n"/>
      <c r="C3964" s="64" t="n"/>
      <c r="D3964" s="64" t="n"/>
      <c r="E3964" s="63" t="n"/>
    </row>
    <row r="3965" ht="18" customHeight="1">
      <c r="A3965" s="62" t="n"/>
      <c r="B3965" s="63" t="n"/>
      <c r="C3965" s="64" t="n"/>
      <c r="D3965" s="64" t="n"/>
      <c r="E3965" s="63" t="n"/>
    </row>
    <row r="3966" ht="18" customHeight="1">
      <c r="A3966" s="62" t="n"/>
      <c r="B3966" s="63" t="n"/>
      <c r="C3966" s="64" t="n"/>
      <c r="D3966" s="64" t="n"/>
      <c r="E3966" s="63" t="n"/>
    </row>
    <row r="3967" ht="18" customHeight="1">
      <c r="A3967" s="62" t="n"/>
      <c r="B3967" s="63" t="n"/>
      <c r="C3967" s="64" t="n"/>
      <c r="D3967" s="64" t="n"/>
      <c r="E3967" s="63" t="n"/>
    </row>
    <row r="3968" ht="18" customHeight="1">
      <c r="A3968" s="62" t="n"/>
      <c r="B3968" s="63" t="n"/>
      <c r="C3968" s="64" t="n"/>
      <c r="D3968" s="64" t="n"/>
      <c r="E3968" s="63" t="n"/>
    </row>
    <row r="3969" ht="18" customHeight="1">
      <c r="A3969" s="62" t="n"/>
      <c r="B3969" s="63" t="n"/>
      <c r="C3969" s="64" t="n"/>
      <c r="D3969" s="64" t="n"/>
      <c r="E3969" s="63" t="n"/>
    </row>
    <row r="3970" ht="18" customHeight="1">
      <c r="A3970" s="62" t="n"/>
      <c r="B3970" s="63" t="n"/>
      <c r="C3970" s="64" t="n"/>
      <c r="D3970" s="64" t="n"/>
      <c r="E3970" s="63" t="n"/>
    </row>
    <row r="3971" ht="18" customHeight="1">
      <c r="A3971" s="62" t="n"/>
      <c r="B3971" s="63" t="n"/>
      <c r="C3971" s="64" t="n"/>
      <c r="D3971" s="64" t="n"/>
      <c r="E3971" s="63" t="n"/>
    </row>
    <row r="3972" ht="18" customHeight="1">
      <c r="A3972" s="62" t="n"/>
      <c r="B3972" s="63" t="n"/>
      <c r="C3972" s="64" t="n"/>
      <c r="D3972" s="64" t="n"/>
      <c r="E3972" s="63" t="n"/>
    </row>
    <row r="3973" ht="18" customHeight="1">
      <c r="A3973" s="62" t="n"/>
      <c r="B3973" s="63" t="n"/>
      <c r="C3973" s="64" t="n"/>
      <c r="D3973" s="64" t="n"/>
      <c r="E3973" s="63" t="n"/>
    </row>
    <row r="3974" ht="18" customHeight="1">
      <c r="A3974" s="62" t="n"/>
      <c r="B3974" s="63" t="n"/>
      <c r="C3974" s="64" t="n"/>
      <c r="D3974" s="64" t="n"/>
      <c r="E3974" s="63" t="n"/>
    </row>
    <row r="3975" ht="18" customHeight="1">
      <c r="A3975" s="62" t="n"/>
      <c r="B3975" s="63" t="n"/>
      <c r="C3975" s="64" t="n"/>
      <c r="D3975" s="64" t="n"/>
      <c r="E3975" s="63" t="n"/>
    </row>
    <row r="3976" ht="18" customHeight="1">
      <c r="A3976" s="62" t="n"/>
      <c r="B3976" s="63" t="n"/>
      <c r="C3976" s="64" t="n"/>
      <c r="D3976" s="64" t="n"/>
      <c r="E3976" s="63" t="n"/>
    </row>
    <row r="3977" ht="18" customHeight="1">
      <c r="A3977" s="62" t="n"/>
      <c r="B3977" s="63" t="n"/>
      <c r="C3977" s="64" t="n"/>
      <c r="D3977" s="64" t="n"/>
      <c r="E3977" s="63" t="n"/>
    </row>
    <row r="3978" ht="18" customHeight="1">
      <c r="A3978" s="62" t="n"/>
      <c r="B3978" s="63" t="n"/>
      <c r="C3978" s="64" t="n"/>
      <c r="D3978" s="64" t="n"/>
      <c r="E3978" s="63" t="n"/>
    </row>
    <row r="3979" ht="18" customHeight="1">
      <c r="A3979" s="62" t="n"/>
      <c r="B3979" s="63" t="n"/>
      <c r="C3979" s="64" t="n"/>
      <c r="D3979" s="64" t="n"/>
      <c r="E3979" s="63" t="n"/>
    </row>
    <row r="3980" ht="18" customHeight="1">
      <c r="A3980" s="62" t="n"/>
      <c r="B3980" s="63" t="n"/>
      <c r="C3980" s="64" t="n"/>
      <c r="D3980" s="64" t="n"/>
      <c r="E3980" s="63" t="n"/>
    </row>
    <row r="3981" ht="18" customHeight="1">
      <c r="A3981" s="62" t="n"/>
      <c r="B3981" s="63" t="n"/>
      <c r="C3981" s="64" t="n"/>
      <c r="D3981" s="64" t="n"/>
      <c r="E3981" s="63" t="n"/>
    </row>
    <row r="3982" ht="18" customHeight="1">
      <c r="A3982" s="62" t="n"/>
      <c r="B3982" s="63" t="n"/>
      <c r="C3982" s="64" t="n"/>
      <c r="D3982" s="64" t="n"/>
      <c r="E3982" s="63" t="n"/>
    </row>
    <row r="3983" ht="18" customHeight="1">
      <c r="A3983" s="62" t="n"/>
      <c r="B3983" s="63" t="n"/>
      <c r="C3983" s="64" t="n"/>
      <c r="D3983" s="64" t="n"/>
      <c r="E3983" s="63" t="n"/>
    </row>
    <row r="3984" ht="18" customHeight="1">
      <c r="A3984" s="62" t="n"/>
      <c r="B3984" s="63" t="n"/>
      <c r="C3984" s="64" t="n"/>
      <c r="D3984" s="64" t="n"/>
      <c r="E3984" s="63" t="n"/>
    </row>
    <row r="3985" ht="18" customHeight="1">
      <c r="A3985" s="62" t="n"/>
      <c r="B3985" s="63" t="n"/>
      <c r="C3985" s="64" t="n"/>
      <c r="D3985" s="64" t="n"/>
      <c r="E3985" s="63" t="n"/>
    </row>
    <row r="3986" ht="18" customHeight="1">
      <c r="A3986" s="62" t="n"/>
      <c r="B3986" s="63" t="n"/>
      <c r="C3986" s="64" t="n"/>
      <c r="D3986" s="64" t="n"/>
      <c r="E3986" s="63" t="n"/>
    </row>
    <row r="3987" ht="18" customHeight="1">
      <c r="A3987" s="62" t="n"/>
      <c r="B3987" s="63" t="n"/>
      <c r="C3987" s="64" t="n"/>
      <c r="D3987" s="64" t="n"/>
      <c r="E3987" s="63" t="n"/>
    </row>
    <row r="3988" ht="18" customHeight="1">
      <c r="A3988" s="62" t="n"/>
      <c r="B3988" s="63" t="n"/>
      <c r="C3988" s="64" t="n"/>
      <c r="D3988" s="64" t="n"/>
      <c r="E3988" s="63" t="n"/>
    </row>
    <row r="3989" ht="18" customHeight="1">
      <c r="A3989" s="62" t="n"/>
      <c r="B3989" s="63" t="n"/>
      <c r="C3989" s="64" t="n"/>
      <c r="D3989" s="64" t="n"/>
      <c r="E3989" s="63" t="n"/>
    </row>
    <row r="3990" ht="18" customHeight="1">
      <c r="A3990" s="62" t="n"/>
      <c r="B3990" s="63" t="n"/>
      <c r="C3990" s="64" t="n"/>
      <c r="D3990" s="64" t="n"/>
      <c r="E3990" s="63" t="n"/>
    </row>
    <row r="3991" ht="18" customHeight="1">
      <c r="A3991" s="62" t="n"/>
      <c r="B3991" s="63" t="n"/>
      <c r="C3991" s="64" t="n"/>
      <c r="D3991" s="64" t="n"/>
      <c r="E3991" s="63" t="n"/>
    </row>
    <row r="3992" ht="18" customHeight="1">
      <c r="A3992" s="62" t="n"/>
      <c r="B3992" s="63" t="n"/>
      <c r="C3992" s="64" t="n"/>
      <c r="D3992" s="64" t="n"/>
      <c r="E3992" s="63" t="n"/>
    </row>
    <row r="3993" ht="18" customHeight="1">
      <c r="A3993" s="62" t="n"/>
      <c r="B3993" s="63" t="n"/>
      <c r="C3993" s="64" t="n"/>
      <c r="D3993" s="64" t="n"/>
      <c r="E3993" s="63" t="n"/>
    </row>
    <row r="3994" ht="18" customHeight="1">
      <c r="A3994" s="62" t="n"/>
      <c r="B3994" s="63" t="n"/>
      <c r="C3994" s="64" t="n"/>
      <c r="D3994" s="64" t="n"/>
      <c r="E3994" s="63" t="n"/>
    </row>
    <row r="3995" ht="18" customHeight="1">
      <c r="A3995" s="62" t="n"/>
      <c r="B3995" s="63" t="n"/>
      <c r="C3995" s="64" t="n"/>
      <c r="D3995" s="64" t="n"/>
      <c r="E3995" s="63" t="n"/>
    </row>
    <row r="3996" ht="18" customHeight="1">
      <c r="A3996" s="62" t="n"/>
      <c r="B3996" s="63" t="n"/>
      <c r="C3996" s="64" t="n"/>
      <c r="D3996" s="64" t="n"/>
      <c r="E3996" s="63" t="n"/>
    </row>
    <row r="3997" ht="18" customHeight="1">
      <c r="A3997" s="62" t="n"/>
      <c r="B3997" s="63" t="n"/>
      <c r="C3997" s="64" t="n"/>
      <c r="D3997" s="64" t="n"/>
      <c r="E3997" s="63" t="n"/>
    </row>
    <row r="3998" ht="18" customHeight="1">
      <c r="A3998" s="62" t="n"/>
      <c r="B3998" s="63" t="n"/>
      <c r="C3998" s="64" t="n"/>
      <c r="D3998" s="64" t="n"/>
      <c r="E3998" s="63" t="n"/>
    </row>
    <row r="3999" ht="18" customHeight="1">
      <c r="A3999" s="62" t="n"/>
      <c r="B3999" s="63" t="n"/>
      <c r="C3999" s="64" t="n"/>
      <c r="D3999" s="64" t="n"/>
      <c r="E3999" s="63" t="n"/>
    </row>
    <row r="4000" ht="18" customHeight="1">
      <c r="A4000" s="62" t="n"/>
      <c r="B4000" s="63" t="n"/>
      <c r="C4000" s="64" t="n"/>
      <c r="D4000" s="64" t="n"/>
      <c r="E4000" s="63" t="n"/>
    </row>
    <row r="4001" ht="18" customHeight="1">
      <c r="A4001" s="62" t="n"/>
      <c r="B4001" s="63" t="n"/>
      <c r="C4001" s="64" t="n"/>
      <c r="D4001" s="64" t="n"/>
      <c r="E4001" s="63" t="n"/>
    </row>
    <row r="4002" ht="18" customHeight="1">
      <c r="A4002" s="62" t="n"/>
      <c r="B4002" s="63" t="n"/>
      <c r="C4002" s="64" t="n"/>
      <c r="D4002" s="64" t="n"/>
      <c r="E4002" s="63" t="n"/>
    </row>
    <row r="4003" ht="18" customHeight="1">
      <c r="A4003" s="62" t="n"/>
      <c r="B4003" s="63" t="n"/>
      <c r="C4003" s="64" t="n"/>
      <c r="D4003" s="64" t="n"/>
      <c r="E4003" s="63" t="n"/>
    </row>
    <row r="4004" ht="18" customHeight="1">
      <c r="A4004" s="62" t="n"/>
      <c r="B4004" s="63" t="n"/>
      <c r="C4004" s="64" t="n"/>
      <c r="D4004" s="64" t="n"/>
      <c r="E4004" s="63" t="n"/>
    </row>
    <row r="4005" ht="18" customHeight="1">
      <c r="A4005" s="62" t="n"/>
      <c r="B4005" s="63" t="n"/>
      <c r="C4005" s="64" t="n"/>
      <c r="D4005" s="64" t="n"/>
      <c r="E4005" s="63" t="n"/>
    </row>
    <row r="4006" ht="18" customHeight="1">
      <c r="A4006" s="62" t="n"/>
      <c r="B4006" s="63" t="n"/>
      <c r="C4006" s="64" t="n"/>
      <c r="D4006" s="64" t="n"/>
      <c r="E4006" s="63" t="n"/>
    </row>
    <row r="4007" ht="18" customHeight="1">
      <c r="A4007" s="62" t="n"/>
      <c r="B4007" s="63" t="n"/>
      <c r="C4007" s="64" t="n"/>
      <c r="D4007" s="64" t="n"/>
      <c r="E4007" s="63" t="n"/>
    </row>
    <row r="4008" ht="18" customHeight="1">
      <c r="A4008" s="62" t="n"/>
      <c r="B4008" s="63" t="n"/>
      <c r="C4008" s="64" t="n"/>
      <c r="D4008" s="64" t="n"/>
      <c r="E4008" s="63" t="n"/>
    </row>
    <row r="4009" ht="18" customHeight="1">
      <c r="A4009" s="62" t="n"/>
      <c r="B4009" s="63" t="n"/>
      <c r="C4009" s="64" t="n"/>
      <c r="D4009" s="64" t="n"/>
      <c r="E4009" s="63" t="n"/>
    </row>
    <row r="4010" ht="18" customHeight="1">
      <c r="A4010" s="62" t="n"/>
      <c r="B4010" s="63" t="n"/>
      <c r="C4010" s="64" t="n"/>
      <c r="D4010" s="64" t="n"/>
      <c r="E4010" s="63" t="n"/>
    </row>
    <row r="4011" ht="18" customHeight="1">
      <c r="A4011" s="62" t="n"/>
      <c r="B4011" s="63" t="n"/>
      <c r="C4011" s="64" t="n"/>
      <c r="D4011" s="64" t="n"/>
      <c r="E4011" s="63" t="n"/>
    </row>
    <row r="4012" ht="18" customHeight="1">
      <c r="A4012" s="62" t="n"/>
      <c r="B4012" s="63" t="n"/>
      <c r="C4012" s="64" t="n"/>
      <c r="D4012" s="64" t="n"/>
      <c r="E4012" s="63" t="n"/>
    </row>
    <row r="4013" ht="18" customHeight="1">
      <c r="A4013" s="62" t="n"/>
      <c r="B4013" s="63" t="n"/>
      <c r="C4013" s="64" t="n"/>
      <c r="D4013" s="64" t="n"/>
      <c r="E4013" s="63" t="n"/>
    </row>
    <row r="4014" ht="18" customHeight="1">
      <c r="A4014" s="62" t="n"/>
      <c r="B4014" s="63" t="n"/>
      <c r="C4014" s="64" t="n"/>
      <c r="D4014" s="64" t="n"/>
      <c r="E4014" s="63" t="n"/>
    </row>
    <row r="4015" ht="18" customHeight="1">
      <c r="A4015" s="62" t="n"/>
      <c r="B4015" s="63" t="n"/>
      <c r="C4015" s="64" t="n"/>
      <c r="D4015" s="64" t="n"/>
      <c r="E4015" s="63" t="n"/>
    </row>
    <row r="4016" ht="18" customHeight="1">
      <c r="A4016" s="62" t="n"/>
      <c r="B4016" s="63" t="n"/>
      <c r="C4016" s="64" t="n"/>
      <c r="D4016" s="64" t="n"/>
      <c r="E4016" s="63" t="n"/>
    </row>
    <row r="4017" ht="18" customHeight="1">
      <c r="A4017" s="62" t="n"/>
      <c r="B4017" s="63" t="n"/>
      <c r="C4017" s="64" t="n"/>
      <c r="D4017" s="64" t="n"/>
      <c r="E4017" s="63" t="n"/>
    </row>
    <row r="4018" ht="18" customHeight="1">
      <c r="A4018" s="62" t="n"/>
      <c r="B4018" s="63" t="n"/>
      <c r="C4018" s="64" t="n"/>
      <c r="D4018" s="64" t="n"/>
      <c r="E4018" s="63" t="n"/>
    </row>
    <row r="4019" ht="18" customHeight="1">
      <c r="A4019" s="62" t="n"/>
      <c r="B4019" s="63" t="n"/>
      <c r="C4019" s="64" t="n"/>
      <c r="D4019" s="64" t="n"/>
      <c r="E4019" s="63" t="n"/>
    </row>
    <row r="4020" ht="18" customHeight="1">
      <c r="A4020" s="62" t="n"/>
      <c r="B4020" s="63" t="n"/>
      <c r="C4020" s="64" t="n"/>
      <c r="D4020" s="64" t="n"/>
      <c r="E4020" s="63" t="n"/>
    </row>
    <row r="4021" ht="18" customHeight="1">
      <c r="A4021" s="62" t="n"/>
      <c r="B4021" s="63" t="n"/>
      <c r="C4021" s="64" t="n"/>
      <c r="D4021" s="64" t="n"/>
      <c r="E4021" s="63" t="n"/>
    </row>
    <row r="4022" ht="18" customHeight="1">
      <c r="A4022" s="62" t="n"/>
      <c r="B4022" s="63" t="n"/>
      <c r="C4022" s="64" t="n"/>
      <c r="D4022" s="64" t="n"/>
      <c r="E4022" s="63" t="n"/>
    </row>
    <row r="4023" ht="18" customHeight="1">
      <c r="A4023" s="62" t="n"/>
      <c r="B4023" s="63" t="n"/>
      <c r="C4023" s="64" t="n"/>
      <c r="D4023" s="64" t="n"/>
      <c r="E4023" s="63" t="n"/>
    </row>
    <row r="4024" ht="18" customHeight="1">
      <c r="A4024" s="62" t="n"/>
      <c r="B4024" s="63" t="n"/>
      <c r="C4024" s="64" t="n"/>
      <c r="D4024" s="64" t="n"/>
      <c r="E4024" s="63" t="n"/>
    </row>
    <row r="4025" ht="18" customHeight="1">
      <c r="A4025" s="62" t="n"/>
      <c r="B4025" s="63" t="n"/>
      <c r="C4025" s="64" t="n"/>
      <c r="D4025" s="64" t="n"/>
      <c r="E4025" s="63" t="n"/>
    </row>
    <row r="4026" ht="18" customHeight="1">
      <c r="A4026" s="62" t="n"/>
      <c r="B4026" s="63" t="n"/>
      <c r="C4026" s="64" t="n"/>
      <c r="D4026" s="64" t="n"/>
      <c r="E4026" s="63" t="n"/>
    </row>
    <row r="4027" ht="18" customHeight="1">
      <c r="A4027" s="62" t="n"/>
      <c r="B4027" s="63" t="n"/>
      <c r="C4027" s="64" t="n"/>
      <c r="D4027" s="64" t="n"/>
      <c r="E4027" s="63" t="n"/>
    </row>
    <row r="4028" ht="18" customHeight="1">
      <c r="A4028" s="62" t="n"/>
      <c r="B4028" s="63" t="n"/>
      <c r="C4028" s="64" t="n"/>
      <c r="D4028" s="64" t="n"/>
      <c r="E4028" s="63" t="n"/>
    </row>
    <row r="4029" ht="18" customHeight="1">
      <c r="A4029" s="62" t="n"/>
      <c r="B4029" s="63" t="n"/>
      <c r="C4029" s="64" t="n"/>
      <c r="D4029" s="64" t="n"/>
      <c r="E4029" s="63" t="n"/>
    </row>
    <row r="4030" ht="18" customHeight="1">
      <c r="A4030" s="62" t="n"/>
      <c r="B4030" s="63" t="n"/>
      <c r="C4030" s="64" t="n"/>
      <c r="D4030" s="64" t="n"/>
      <c r="E4030" s="63" t="n"/>
    </row>
    <row r="4031" ht="18" customHeight="1">
      <c r="A4031" s="62" t="n"/>
      <c r="B4031" s="63" t="n"/>
      <c r="C4031" s="64" t="n"/>
      <c r="D4031" s="64" t="n"/>
      <c r="E4031" s="63" t="n"/>
    </row>
    <row r="4032" ht="18" customHeight="1">
      <c r="A4032" s="62" t="n"/>
      <c r="B4032" s="63" t="n"/>
      <c r="C4032" s="64" t="n"/>
      <c r="D4032" s="64" t="n"/>
      <c r="E4032" s="63" t="n"/>
    </row>
    <row r="4033" ht="18" customHeight="1">
      <c r="A4033" s="62" t="n"/>
      <c r="B4033" s="63" t="n"/>
      <c r="C4033" s="64" t="n"/>
      <c r="D4033" s="64" t="n"/>
      <c r="E4033" s="63" t="n"/>
    </row>
    <row r="4034" ht="18" customHeight="1">
      <c r="A4034" s="62" t="n"/>
      <c r="B4034" s="63" t="n"/>
      <c r="C4034" s="64" t="n"/>
      <c r="D4034" s="64" t="n"/>
      <c r="E4034" s="63" t="n"/>
    </row>
    <row r="4035" ht="18" customHeight="1">
      <c r="A4035" s="62" t="n"/>
      <c r="B4035" s="63" t="n"/>
      <c r="C4035" s="64" t="n"/>
      <c r="D4035" s="64" t="n"/>
      <c r="E4035" s="63" t="n"/>
    </row>
    <row r="4036" ht="18" customHeight="1">
      <c r="A4036" s="62" t="n"/>
      <c r="B4036" s="63" t="n"/>
      <c r="C4036" s="64" t="n"/>
      <c r="D4036" s="64" t="n"/>
      <c r="E4036" s="63" t="n"/>
    </row>
    <row r="4037" ht="18" customHeight="1">
      <c r="A4037" s="62" t="n"/>
      <c r="B4037" s="63" t="n"/>
      <c r="C4037" s="64" t="n"/>
      <c r="D4037" s="64" t="n"/>
      <c r="E4037" s="63" t="n"/>
    </row>
    <row r="4038" ht="18" customHeight="1">
      <c r="A4038" s="62" t="n"/>
      <c r="B4038" s="63" t="n"/>
      <c r="C4038" s="64" t="n"/>
      <c r="D4038" s="64" t="n"/>
      <c r="E4038" s="63" t="n"/>
    </row>
    <row r="4039" ht="18" customHeight="1">
      <c r="A4039" s="62" t="n"/>
      <c r="B4039" s="63" t="n"/>
      <c r="C4039" s="64" t="n"/>
      <c r="D4039" s="64" t="n"/>
      <c r="E4039" s="63" t="n"/>
    </row>
    <row r="4040" ht="18" customHeight="1">
      <c r="A4040" s="62" t="n"/>
      <c r="B4040" s="63" t="n"/>
      <c r="C4040" s="64" t="n"/>
      <c r="D4040" s="64" t="n"/>
      <c r="E4040" s="63" t="n"/>
    </row>
    <row r="4041" ht="18" customHeight="1">
      <c r="A4041" s="62" t="n"/>
      <c r="B4041" s="63" t="n"/>
      <c r="C4041" s="64" t="n"/>
      <c r="D4041" s="64" t="n"/>
      <c r="E4041" s="63" t="n"/>
    </row>
    <row r="4042" ht="18" customHeight="1">
      <c r="A4042" s="62" t="n"/>
      <c r="B4042" s="63" t="n"/>
      <c r="C4042" s="64" t="n"/>
      <c r="D4042" s="64" t="n"/>
      <c r="E4042" s="63" t="n"/>
    </row>
    <row r="4043" ht="18" customHeight="1">
      <c r="A4043" s="62" t="n"/>
      <c r="B4043" s="63" t="n"/>
      <c r="C4043" s="64" t="n"/>
      <c r="D4043" s="64" t="n"/>
      <c r="E4043" s="63" t="n"/>
    </row>
    <row r="4044" ht="18" customHeight="1">
      <c r="A4044" s="62" t="n"/>
      <c r="B4044" s="63" t="n"/>
      <c r="C4044" s="64" t="n"/>
      <c r="D4044" s="64" t="n"/>
      <c r="E4044" s="63" t="n"/>
    </row>
    <row r="4045" ht="18" customHeight="1">
      <c r="A4045" s="62" t="n"/>
      <c r="B4045" s="63" t="n"/>
      <c r="C4045" s="64" t="n"/>
      <c r="D4045" s="64" t="n"/>
      <c r="E4045" s="63" t="n"/>
    </row>
    <row r="4046" ht="18" customHeight="1">
      <c r="A4046" s="62" t="n"/>
      <c r="B4046" s="63" t="n"/>
      <c r="C4046" s="64" t="n"/>
      <c r="D4046" s="64" t="n"/>
      <c r="E4046" s="63" t="n"/>
    </row>
    <row r="4047" ht="18" customHeight="1">
      <c r="A4047" s="62" t="n"/>
      <c r="B4047" s="63" t="n"/>
      <c r="C4047" s="64" t="n"/>
      <c r="D4047" s="64" t="n"/>
      <c r="E4047" s="63" t="n"/>
    </row>
    <row r="4048" ht="18" customHeight="1">
      <c r="A4048" s="62" t="n"/>
      <c r="B4048" s="63" t="n"/>
      <c r="C4048" s="64" t="n"/>
      <c r="D4048" s="64" t="n"/>
      <c r="E4048" s="63" t="n"/>
    </row>
    <row r="4049" ht="18" customHeight="1">
      <c r="A4049" s="62" t="n"/>
      <c r="B4049" s="63" t="n"/>
      <c r="C4049" s="64" t="n"/>
      <c r="D4049" s="64" t="n"/>
      <c r="E4049" s="63" t="n"/>
    </row>
    <row r="4050" ht="18" customHeight="1">
      <c r="A4050" s="62" t="n"/>
      <c r="B4050" s="63" t="n"/>
      <c r="C4050" s="64" t="n"/>
      <c r="D4050" s="64" t="n"/>
      <c r="E4050" s="63" t="n"/>
    </row>
    <row r="4051" ht="18" customHeight="1">
      <c r="A4051" s="62" t="n"/>
      <c r="B4051" s="63" t="n"/>
      <c r="C4051" s="64" t="n"/>
      <c r="D4051" s="64" t="n"/>
      <c r="E4051" s="63" t="n"/>
    </row>
    <row r="4052" ht="18" customHeight="1">
      <c r="A4052" s="62" t="n"/>
      <c r="B4052" s="63" t="n"/>
      <c r="C4052" s="64" t="n"/>
      <c r="D4052" s="64" t="n"/>
      <c r="E4052" s="63" t="n"/>
    </row>
    <row r="4053" ht="18" customHeight="1">
      <c r="A4053" s="62" t="n"/>
      <c r="B4053" s="63" t="n"/>
      <c r="C4053" s="64" t="n"/>
      <c r="D4053" s="64" t="n"/>
      <c r="E4053" s="63" t="n"/>
    </row>
    <row r="4054" ht="18" customHeight="1">
      <c r="A4054" s="62" t="n"/>
      <c r="B4054" s="63" t="n"/>
      <c r="C4054" s="64" t="n"/>
      <c r="D4054" s="64" t="n"/>
      <c r="E4054" s="63" t="n"/>
    </row>
    <row r="4055" ht="18" customHeight="1">
      <c r="A4055" s="62" t="n"/>
      <c r="B4055" s="63" t="n"/>
      <c r="C4055" s="64" t="n"/>
      <c r="D4055" s="64" t="n"/>
      <c r="E4055" s="63" t="n"/>
    </row>
    <row r="4056" ht="18" customHeight="1">
      <c r="A4056" s="62" t="n"/>
      <c r="B4056" s="63" t="n"/>
      <c r="C4056" s="64" t="n"/>
      <c r="D4056" s="64" t="n"/>
      <c r="E4056" s="63" t="n"/>
    </row>
    <row r="4057" ht="18" customHeight="1">
      <c r="A4057" s="62" t="n"/>
      <c r="B4057" s="63" t="n"/>
      <c r="C4057" s="64" t="n"/>
      <c r="D4057" s="64" t="n"/>
      <c r="E4057" s="63" t="n"/>
    </row>
    <row r="4058" ht="18" customHeight="1">
      <c r="A4058" s="62" t="n"/>
      <c r="B4058" s="63" t="n"/>
      <c r="C4058" s="64" t="n"/>
      <c r="D4058" s="64" t="n"/>
      <c r="E4058" s="63" t="n"/>
    </row>
    <row r="4059" ht="18" customHeight="1">
      <c r="A4059" s="62" t="n"/>
      <c r="B4059" s="63" t="n"/>
      <c r="C4059" s="64" t="n"/>
      <c r="D4059" s="64" t="n"/>
      <c r="E4059" s="63" t="n"/>
    </row>
    <row r="4060" ht="18" customHeight="1">
      <c r="A4060" s="62" t="n"/>
      <c r="B4060" s="63" t="n"/>
      <c r="C4060" s="64" t="n"/>
      <c r="D4060" s="64" t="n"/>
      <c r="E4060" s="63" t="n"/>
    </row>
    <row r="4061" ht="18" customHeight="1">
      <c r="A4061" s="62" t="n"/>
      <c r="B4061" s="63" t="n"/>
      <c r="C4061" s="64" t="n"/>
      <c r="D4061" s="64" t="n"/>
      <c r="E4061" s="63" t="n"/>
    </row>
    <row r="4062" ht="18" customHeight="1">
      <c r="A4062" s="62" t="n"/>
      <c r="B4062" s="63" t="n"/>
      <c r="C4062" s="64" t="n"/>
      <c r="D4062" s="64" t="n"/>
      <c r="E4062" s="63" t="n"/>
    </row>
    <row r="4063" ht="18" customHeight="1">
      <c r="A4063" s="62" t="n"/>
      <c r="B4063" s="63" t="n"/>
      <c r="C4063" s="64" t="n"/>
      <c r="D4063" s="64" t="n"/>
      <c r="E4063" s="63" t="n"/>
    </row>
    <row r="4064" ht="18" customHeight="1">
      <c r="A4064" s="62" t="n"/>
      <c r="B4064" s="63" t="n"/>
      <c r="C4064" s="64" t="n"/>
      <c r="D4064" s="64" t="n"/>
      <c r="E4064" s="63" t="n"/>
    </row>
    <row r="4065" ht="18" customHeight="1">
      <c r="A4065" s="62" t="n"/>
      <c r="B4065" s="63" t="n"/>
      <c r="C4065" s="64" t="n"/>
      <c r="D4065" s="64" t="n"/>
      <c r="E4065" s="63" t="n"/>
    </row>
    <row r="4066" ht="18" customHeight="1">
      <c r="A4066" s="62" t="n"/>
      <c r="B4066" s="63" t="n"/>
      <c r="C4066" s="64" t="n"/>
      <c r="D4066" s="64" t="n"/>
      <c r="E4066" s="63" t="n"/>
    </row>
    <row r="4067" ht="18" customHeight="1">
      <c r="A4067" s="62" t="n"/>
      <c r="B4067" s="63" t="n"/>
      <c r="C4067" s="64" t="n"/>
      <c r="D4067" s="64" t="n"/>
      <c r="E4067" s="63" t="n"/>
    </row>
    <row r="4068" ht="18" customHeight="1">
      <c r="A4068" s="62" t="n"/>
      <c r="B4068" s="63" t="n"/>
      <c r="C4068" s="64" t="n"/>
      <c r="D4068" s="64" t="n"/>
      <c r="E4068" s="63" t="n"/>
    </row>
    <row r="4069" ht="18" customHeight="1">
      <c r="A4069" s="62" t="n"/>
      <c r="B4069" s="63" t="n"/>
      <c r="C4069" s="64" t="n"/>
      <c r="D4069" s="64" t="n"/>
      <c r="E4069" s="63" t="n"/>
    </row>
    <row r="4070" ht="18" customHeight="1">
      <c r="A4070" s="62" t="n"/>
      <c r="B4070" s="63" t="n"/>
      <c r="C4070" s="64" t="n"/>
      <c r="D4070" s="64" t="n"/>
      <c r="E4070" s="63" t="n"/>
    </row>
    <row r="4071" ht="18" customHeight="1">
      <c r="A4071" s="62" t="n"/>
      <c r="B4071" s="63" t="n"/>
      <c r="C4071" s="64" t="n"/>
      <c r="D4071" s="64" t="n"/>
      <c r="E4071" s="63" t="n"/>
    </row>
    <row r="4072" ht="18" customHeight="1">
      <c r="A4072" s="62" t="n"/>
      <c r="B4072" s="63" t="n"/>
      <c r="C4072" s="64" t="n"/>
      <c r="D4072" s="64" t="n"/>
      <c r="E4072" s="63" t="n"/>
    </row>
    <row r="4073" ht="18" customHeight="1">
      <c r="A4073" s="62" t="n"/>
      <c r="B4073" s="63" t="n"/>
      <c r="C4073" s="64" t="n"/>
      <c r="D4073" s="64" t="n"/>
      <c r="E4073" s="63" t="n"/>
    </row>
    <row r="4074" ht="18" customHeight="1">
      <c r="A4074" s="62" t="n"/>
      <c r="B4074" s="63" t="n"/>
      <c r="C4074" s="64" t="n"/>
      <c r="D4074" s="64" t="n"/>
      <c r="E4074" s="63" t="n"/>
    </row>
    <row r="4075" ht="18" customHeight="1">
      <c r="A4075" s="62" t="n"/>
      <c r="B4075" s="63" t="n"/>
      <c r="C4075" s="64" t="n"/>
      <c r="D4075" s="64" t="n"/>
      <c r="E4075" s="63" t="n"/>
    </row>
    <row r="4076" ht="18" customHeight="1">
      <c r="A4076" s="62" t="n"/>
      <c r="B4076" s="63" t="n"/>
      <c r="C4076" s="64" t="n"/>
      <c r="D4076" s="64" t="n"/>
      <c r="E4076" s="63" t="n"/>
    </row>
    <row r="4077" ht="18" customHeight="1">
      <c r="A4077" s="62" t="n"/>
      <c r="B4077" s="63" t="n"/>
      <c r="C4077" s="64" t="n"/>
      <c r="D4077" s="64" t="n"/>
      <c r="E4077" s="63" t="n"/>
    </row>
    <row r="4078" ht="18" customHeight="1">
      <c r="A4078" s="62" t="n"/>
      <c r="B4078" s="63" t="n"/>
      <c r="C4078" s="64" t="n"/>
      <c r="D4078" s="64" t="n"/>
      <c r="E4078" s="63" t="n"/>
    </row>
    <row r="4079" ht="18" customHeight="1">
      <c r="A4079" s="62" t="n"/>
      <c r="B4079" s="63" t="n"/>
      <c r="C4079" s="64" t="n"/>
      <c r="D4079" s="64" t="n"/>
      <c r="E4079" s="63" t="n"/>
    </row>
    <row r="4080" ht="18" customHeight="1">
      <c r="A4080" s="62" t="n"/>
      <c r="B4080" s="63" t="n"/>
      <c r="C4080" s="64" t="n"/>
      <c r="D4080" s="64" t="n"/>
      <c r="E4080" s="63" t="n"/>
    </row>
    <row r="4081" ht="18" customHeight="1">
      <c r="A4081" s="62" t="n"/>
      <c r="B4081" s="63" t="n"/>
      <c r="C4081" s="64" t="n"/>
      <c r="D4081" s="64" t="n"/>
      <c r="E4081" s="63" t="n"/>
    </row>
    <row r="4082" ht="18" customHeight="1">
      <c r="A4082" s="62" t="n"/>
      <c r="B4082" s="63" t="n"/>
      <c r="C4082" s="64" t="n"/>
      <c r="D4082" s="64" t="n"/>
      <c r="E4082" s="63" t="n"/>
    </row>
    <row r="4083" ht="18" customHeight="1">
      <c r="A4083" s="62" t="n"/>
      <c r="B4083" s="63" t="n"/>
      <c r="C4083" s="64" t="n"/>
      <c r="D4083" s="64" t="n"/>
      <c r="E4083" s="63" t="n"/>
    </row>
    <row r="4084" ht="18" customHeight="1">
      <c r="A4084" s="62" t="n"/>
      <c r="B4084" s="63" t="n"/>
      <c r="C4084" s="64" t="n"/>
      <c r="D4084" s="64" t="n"/>
      <c r="E4084" s="63" t="n"/>
    </row>
    <row r="4085" ht="18" customHeight="1">
      <c r="A4085" s="62" t="n"/>
      <c r="B4085" s="63" t="n"/>
      <c r="C4085" s="64" t="n"/>
      <c r="D4085" s="64" t="n"/>
      <c r="E4085" s="63" t="n"/>
    </row>
    <row r="4086" ht="18" customHeight="1">
      <c r="A4086" s="62" t="n"/>
      <c r="B4086" s="63" t="n"/>
      <c r="C4086" s="64" t="n"/>
      <c r="D4086" s="64" t="n"/>
      <c r="E4086" s="63" t="n"/>
    </row>
    <row r="4087" ht="18" customHeight="1">
      <c r="A4087" s="62" t="n"/>
      <c r="B4087" s="63" t="n"/>
      <c r="C4087" s="64" t="n"/>
      <c r="D4087" s="64" t="n"/>
      <c r="E4087" s="63" t="n"/>
    </row>
    <row r="4088" ht="18" customHeight="1">
      <c r="A4088" s="62" t="n"/>
      <c r="B4088" s="63" t="n"/>
      <c r="C4088" s="64" t="n"/>
      <c r="D4088" s="64" t="n"/>
      <c r="E4088" s="63" t="n"/>
    </row>
    <row r="4089" ht="18" customHeight="1">
      <c r="A4089" s="62" t="n"/>
      <c r="B4089" s="63" t="n"/>
      <c r="C4089" s="64" t="n"/>
      <c r="D4089" s="64" t="n"/>
      <c r="E4089" s="63" t="n"/>
    </row>
    <row r="4090" ht="18" customHeight="1">
      <c r="A4090" s="62" t="n"/>
      <c r="B4090" s="63" t="n"/>
      <c r="C4090" s="64" t="n"/>
      <c r="D4090" s="64" t="n"/>
      <c r="E4090" s="63" t="n"/>
    </row>
    <row r="4091" ht="18" customHeight="1">
      <c r="A4091" s="62" t="n"/>
      <c r="B4091" s="63" t="n"/>
      <c r="C4091" s="64" t="n"/>
      <c r="D4091" s="64" t="n"/>
      <c r="E4091" s="63" t="n"/>
    </row>
    <row r="4092" ht="18" customHeight="1">
      <c r="A4092" s="62" t="n"/>
      <c r="B4092" s="63" t="n"/>
      <c r="C4092" s="64" t="n"/>
      <c r="D4092" s="64" t="n"/>
      <c r="E4092" s="63" t="n"/>
    </row>
    <row r="4093" ht="18" customHeight="1">
      <c r="A4093" s="62" t="n"/>
      <c r="B4093" s="63" t="n"/>
      <c r="C4093" s="64" t="n"/>
      <c r="D4093" s="64" t="n"/>
      <c r="E4093" s="63" t="n"/>
    </row>
    <row r="4094" ht="18" customHeight="1">
      <c r="A4094" s="62" t="n"/>
      <c r="B4094" s="63" t="n"/>
      <c r="C4094" s="64" t="n"/>
      <c r="D4094" s="64" t="n"/>
      <c r="E4094" s="63" t="n"/>
    </row>
    <row r="4095" ht="18" customHeight="1">
      <c r="A4095" s="62" t="n"/>
      <c r="B4095" s="63" t="n"/>
      <c r="C4095" s="64" t="n"/>
      <c r="D4095" s="64" t="n"/>
      <c r="E4095" s="63" t="n"/>
    </row>
    <row r="4096" ht="18" customHeight="1">
      <c r="A4096" s="62" t="n"/>
      <c r="B4096" s="63" t="n"/>
      <c r="C4096" s="64" t="n"/>
      <c r="D4096" s="64" t="n"/>
      <c r="E4096" s="63" t="n"/>
    </row>
    <row r="4097" ht="18" customHeight="1">
      <c r="A4097" s="62" t="n"/>
      <c r="B4097" s="63" t="n"/>
      <c r="C4097" s="64" t="n"/>
      <c r="D4097" s="64" t="n"/>
      <c r="E4097" s="63" t="n"/>
    </row>
    <row r="4098" ht="18" customHeight="1">
      <c r="A4098" s="62" t="n"/>
      <c r="B4098" s="63" t="n"/>
      <c r="C4098" s="64" t="n"/>
      <c r="D4098" s="64" t="n"/>
      <c r="E4098" s="63" t="n"/>
    </row>
    <row r="4099" ht="18" customHeight="1">
      <c r="A4099" s="62" t="n"/>
      <c r="B4099" s="63" t="n"/>
      <c r="C4099" s="64" t="n"/>
      <c r="D4099" s="64" t="n"/>
      <c r="E4099" s="63" t="n"/>
    </row>
    <row r="4100" ht="18" customHeight="1">
      <c r="A4100" s="62" t="n"/>
      <c r="B4100" s="63" t="n"/>
      <c r="C4100" s="64" t="n"/>
      <c r="D4100" s="64" t="n"/>
      <c r="E4100" s="63" t="n"/>
    </row>
    <row r="4101" ht="18" customHeight="1">
      <c r="A4101" s="62" t="n"/>
      <c r="B4101" s="63" t="n"/>
      <c r="C4101" s="64" t="n"/>
      <c r="D4101" s="64" t="n"/>
      <c r="E4101" s="63" t="n"/>
    </row>
    <row r="4102" ht="18" customHeight="1">
      <c r="A4102" s="62" t="n"/>
      <c r="B4102" s="63" t="n"/>
      <c r="C4102" s="64" t="n"/>
      <c r="D4102" s="64" t="n"/>
      <c r="E4102" s="63" t="n"/>
    </row>
    <row r="4103" ht="18" customHeight="1">
      <c r="A4103" s="62" t="n"/>
      <c r="B4103" s="63" t="n"/>
      <c r="C4103" s="64" t="n"/>
      <c r="D4103" s="64" t="n"/>
      <c r="E4103" s="63" t="n"/>
    </row>
    <row r="4104" ht="18" customHeight="1">
      <c r="A4104" s="62" t="n"/>
      <c r="B4104" s="63" t="n"/>
      <c r="C4104" s="64" t="n"/>
      <c r="D4104" s="64" t="n"/>
      <c r="E4104" s="63" t="n"/>
    </row>
    <row r="4105" ht="18" customHeight="1">
      <c r="A4105" s="62" t="n"/>
      <c r="B4105" s="63" t="n"/>
      <c r="C4105" s="64" t="n"/>
      <c r="D4105" s="64" t="n"/>
      <c r="E4105" s="63" t="n"/>
    </row>
    <row r="4106" ht="18" customHeight="1">
      <c r="A4106" s="62" t="n"/>
      <c r="B4106" s="63" t="n"/>
      <c r="C4106" s="64" t="n"/>
      <c r="D4106" s="64" t="n"/>
      <c r="E4106" s="63" t="n"/>
    </row>
    <row r="4107" ht="18" customHeight="1">
      <c r="A4107" s="62" t="n"/>
      <c r="B4107" s="63" t="n"/>
      <c r="C4107" s="64" t="n"/>
      <c r="D4107" s="64" t="n"/>
      <c r="E4107" s="63" t="n"/>
    </row>
    <row r="4108" ht="18" customHeight="1">
      <c r="A4108" s="62" t="n"/>
      <c r="B4108" s="63" t="n"/>
      <c r="C4108" s="64" t="n"/>
      <c r="D4108" s="64" t="n"/>
      <c r="E4108" s="63" t="n"/>
    </row>
    <row r="4109" ht="18" customHeight="1">
      <c r="A4109" s="62" t="n"/>
      <c r="B4109" s="63" t="n"/>
      <c r="C4109" s="64" t="n"/>
      <c r="D4109" s="64" t="n"/>
      <c r="E4109" s="63" t="n"/>
    </row>
    <row r="4110" ht="18" customHeight="1">
      <c r="A4110" s="62" t="n"/>
      <c r="B4110" s="63" t="n"/>
      <c r="C4110" s="64" t="n"/>
      <c r="D4110" s="64" t="n"/>
      <c r="E4110" s="63" t="n"/>
    </row>
    <row r="4111" ht="18" customHeight="1">
      <c r="A4111" s="62" t="n"/>
      <c r="B4111" s="63" t="n"/>
      <c r="C4111" s="64" t="n"/>
      <c r="D4111" s="64" t="n"/>
      <c r="E4111" s="63" t="n"/>
    </row>
    <row r="4112" ht="18" customHeight="1">
      <c r="A4112" s="62" t="n"/>
      <c r="B4112" s="63" t="n"/>
      <c r="C4112" s="64" t="n"/>
      <c r="D4112" s="64" t="n"/>
      <c r="E4112" s="63" t="n"/>
    </row>
    <row r="4113" ht="18" customHeight="1">
      <c r="A4113" s="62" t="n"/>
      <c r="B4113" s="63" t="n"/>
      <c r="C4113" s="64" t="n"/>
      <c r="D4113" s="64" t="n"/>
      <c r="E4113" s="63" t="n"/>
    </row>
    <row r="4114" ht="18" customHeight="1">
      <c r="A4114" s="62" t="n"/>
      <c r="B4114" s="63" t="n"/>
      <c r="C4114" s="64" t="n"/>
      <c r="D4114" s="64" t="n"/>
      <c r="E4114" s="63" t="n"/>
    </row>
    <row r="4115" ht="18" customHeight="1">
      <c r="A4115" s="62" t="n"/>
      <c r="B4115" s="63" t="n"/>
      <c r="C4115" s="64" t="n"/>
      <c r="D4115" s="64" t="n"/>
      <c r="E4115" s="63" t="n"/>
    </row>
    <row r="4116" ht="18" customHeight="1">
      <c r="A4116" s="62" t="n"/>
      <c r="B4116" s="63" t="n"/>
      <c r="C4116" s="64" t="n"/>
      <c r="D4116" s="64" t="n"/>
      <c r="E4116" s="63" t="n"/>
    </row>
    <row r="4117" ht="18" customHeight="1">
      <c r="A4117" s="62" t="n"/>
      <c r="B4117" s="63" t="n"/>
      <c r="C4117" s="64" t="n"/>
      <c r="D4117" s="64" t="n"/>
      <c r="E4117" s="63" t="n"/>
    </row>
    <row r="4118" ht="18" customHeight="1">
      <c r="A4118" s="62" t="n"/>
      <c r="B4118" s="63" t="n"/>
      <c r="C4118" s="64" t="n"/>
      <c r="D4118" s="64" t="n"/>
      <c r="E4118" s="63" t="n"/>
    </row>
    <row r="4119" ht="18" customHeight="1">
      <c r="A4119" s="62" t="n"/>
      <c r="B4119" s="63" t="n"/>
      <c r="C4119" s="64" t="n"/>
      <c r="D4119" s="64" t="n"/>
      <c r="E4119" s="63" t="n"/>
    </row>
    <row r="4120" ht="18" customHeight="1">
      <c r="A4120" s="62" t="n"/>
      <c r="B4120" s="63" t="n"/>
      <c r="C4120" s="64" t="n"/>
      <c r="D4120" s="64" t="n"/>
      <c r="E4120" s="63" t="n"/>
    </row>
    <row r="4121" ht="18" customHeight="1">
      <c r="A4121" s="62" t="n"/>
      <c r="B4121" s="63" t="n"/>
      <c r="C4121" s="64" t="n"/>
      <c r="D4121" s="64" t="n"/>
      <c r="E4121" s="63" t="n"/>
    </row>
    <row r="4122" ht="18" customHeight="1">
      <c r="A4122" s="62" t="n"/>
      <c r="B4122" s="63" t="n"/>
      <c r="C4122" s="64" t="n"/>
      <c r="D4122" s="64" t="n"/>
      <c r="E4122" s="63" t="n"/>
    </row>
    <row r="4123" ht="18" customHeight="1">
      <c r="A4123" s="62" t="n"/>
      <c r="B4123" s="63" t="n"/>
      <c r="C4123" s="64" t="n"/>
      <c r="D4123" s="64" t="n"/>
      <c r="E4123" s="63" t="n"/>
    </row>
    <row r="4124" ht="18" customHeight="1">
      <c r="A4124" s="62" t="n"/>
      <c r="B4124" s="63" t="n"/>
      <c r="C4124" s="64" t="n"/>
      <c r="D4124" s="64" t="n"/>
      <c r="E4124" s="63" t="n"/>
    </row>
    <row r="4125" ht="18" customHeight="1">
      <c r="A4125" s="62" t="n"/>
      <c r="B4125" s="63" t="n"/>
      <c r="C4125" s="64" t="n"/>
      <c r="D4125" s="64" t="n"/>
      <c r="E4125" s="63" t="n"/>
    </row>
    <row r="4126" ht="18" customHeight="1">
      <c r="A4126" s="62" t="n"/>
      <c r="B4126" s="63" t="n"/>
      <c r="C4126" s="64" t="n"/>
      <c r="D4126" s="64" t="n"/>
      <c r="E4126" s="63" t="n"/>
    </row>
    <row r="4127" ht="18" customHeight="1">
      <c r="A4127" s="62" t="n"/>
      <c r="B4127" s="63" t="n"/>
      <c r="C4127" s="64" t="n"/>
      <c r="D4127" s="64" t="n"/>
      <c r="E4127" s="63" t="n"/>
    </row>
    <row r="4128" ht="18" customHeight="1">
      <c r="A4128" s="62" t="n"/>
      <c r="B4128" s="63" t="n"/>
      <c r="C4128" s="64" t="n"/>
      <c r="D4128" s="64" t="n"/>
      <c r="E4128" s="63" t="n"/>
    </row>
    <row r="4129" ht="18" customHeight="1">
      <c r="A4129" s="62" t="n"/>
      <c r="B4129" s="63" t="n"/>
      <c r="C4129" s="64" t="n"/>
      <c r="D4129" s="64" t="n"/>
      <c r="E4129" s="63" t="n"/>
    </row>
    <row r="4130" ht="18" customHeight="1">
      <c r="A4130" s="62" t="n"/>
      <c r="B4130" s="63" t="n"/>
      <c r="C4130" s="64" t="n"/>
      <c r="D4130" s="64" t="n"/>
      <c r="E4130" s="63" t="n"/>
    </row>
    <row r="4131" ht="18" customHeight="1">
      <c r="A4131" s="62" t="n"/>
      <c r="B4131" s="63" t="n"/>
      <c r="C4131" s="64" t="n"/>
      <c r="D4131" s="64" t="n"/>
      <c r="E4131" s="63" t="n"/>
    </row>
    <row r="4132" ht="18" customHeight="1">
      <c r="A4132" s="62" t="n"/>
      <c r="B4132" s="63" t="n"/>
      <c r="C4132" s="64" t="n"/>
      <c r="D4132" s="64" t="n"/>
      <c r="E4132" s="63" t="n"/>
    </row>
    <row r="4133" ht="18" customHeight="1">
      <c r="A4133" s="62" t="n"/>
      <c r="B4133" s="63" t="n"/>
      <c r="C4133" s="64" t="n"/>
      <c r="D4133" s="64" t="n"/>
      <c r="E4133" s="63" t="n"/>
    </row>
    <row r="4134" ht="18" customHeight="1">
      <c r="A4134" s="62" t="n"/>
      <c r="B4134" s="63" t="n"/>
      <c r="C4134" s="64" t="n"/>
      <c r="D4134" s="64" t="n"/>
      <c r="E4134" s="63" t="n"/>
    </row>
    <row r="4135" ht="18" customHeight="1">
      <c r="A4135" s="62" t="n"/>
      <c r="B4135" s="63" t="n"/>
      <c r="C4135" s="64" t="n"/>
      <c r="D4135" s="64" t="n"/>
      <c r="E4135" s="63" t="n"/>
    </row>
    <row r="4136" ht="18" customHeight="1">
      <c r="A4136" s="62" t="n"/>
      <c r="B4136" s="63" t="n"/>
      <c r="C4136" s="64" t="n"/>
      <c r="D4136" s="64" t="n"/>
      <c r="E4136" s="63" t="n"/>
    </row>
    <row r="4137" ht="18" customHeight="1">
      <c r="A4137" s="62" t="n"/>
      <c r="B4137" s="63" t="n"/>
      <c r="C4137" s="64" t="n"/>
      <c r="D4137" s="64" t="n"/>
      <c r="E4137" s="63" t="n"/>
    </row>
    <row r="4138" ht="18" customHeight="1">
      <c r="A4138" s="62" t="n"/>
      <c r="B4138" s="63" t="n"/>
      <c r="C4138" s="64" t="n"/>
      <c r="D4138" s="64" t="n"/>
      <c r="E4138" s="63" t="n"/>
    </row>
    <row r="4139" ht="18" customHeight="1">
      <c r="A4139" s="62" t="n"/>
      <c r="B4139" s="63" t="n"/>
      <c r="C4139" s="64" t="n"/>
      <c r="D4139" s="64" t="n"/>
      <c r="E4139" s="63" t="n"/>
    </row>
    <row r="4140" ht="18" customHeight="1">
      <c r="A4140" s="62" t="n"/>
      <c r="B4140" s="63" t="n"/>
      <c r="C4140" s="64" t="n"/>
      <c r="D4140" s="64" t="n"/>
      <c r="E4140" s="63" t="n"/>
    </row>
    <row r="4141" ht="18" customHeight="1">
      <c r="A4141" s="62" t="n"/>
      <c r="B4141" s="63" t="n"/>
      <c r="C4141" s="64" t="n"/>
      <c r="D4141" s="64" t="n"/>
      <c r="E4141" s="63" t="n"/>
    </row>
    <row r="4142" ht="18" customHeight="1">
      <c r="A4142" s="62" t="n"/>
      <c r="B4142" s="63" t="n"/>
      <c r="C4142" s="64" t="n"/>
      <c r="D4142" s="64" t="n"/>
      <c r="E4142" s="63" t="n"/>
    </row>
    <row r="4143" ht="18" customHeight="1">
      <c r="A4143" s="62" t="n"/>
      <c r="B4143" s="63" t="n"/>
      <c r="C4143" s="64" t="n"/>
      <c r="D4143" s="64" t="n"/>
      <c r="E4143" s="63" t="n"/>
    </row>
    <row r="4144" ht="18" customHeight="1">
      <c r="A4144" s="62" t="n"/>
      <c r="B4144" s="63" t="n"/>
      <c r="C4144" s="64" t="n"/>
      <c r="D4144" s="64" t="n"/>
      <c r="E4144" s="63" t="n"/>
    </row>
    <row r="4145" ht="18" customHeight="1">
      <c r="A4145" s="62" t="n"/>
      <c r="B4145" s="63" t="n"/>
      <c r="C4145" s="64" t="n"/>
      <c r="D4145" s="64" t="n"/>
      <c r="E4145" s="63" t="n"/>
    </row>
    <row r="4146" ht="18" customHeight="1">
      <c r="A4146" s="62" t="n"/>
      <c r="B4146" s="63" t="n"/>
      <c r="C4146" s="64" t="n"/>
      <c r="D4146" s="64" t="n"/>
      <c r="E4146" s="63" t="n"/>
    </row>
    <row r="4147" ht="18" customHeight="1">
      <c r="A4147" s="62" t="n"/>
      <c r="B4147" s="63" t="n"/>
      <c r="C4147" s="64" t="n"/>
      <c r="D4147" s="64" t="n"/>
      <c r="E4147" s="63" t="n"/>
    </row>
    <row r="4148" ht="18" customHeight="1">
      <c r="A4148" s="62" t="n"/>
      <c r="B4148" s="63" t="n"/>
      <c r="C4148" s="64" t="n"/>
      <c r="D4148" s="64" t="n"/>
      <c r="E4148" s="63" t="n"/>
    </row>
    <row r="4149" ht="18" customHeight="1">
      <c r="A4149" s="62" t="n"/>
      <c r="B4149" s="63" t="n"/>
      <c r="C4149" s="64" t="n"/>
      <c r="D4149" s="64" t="n"/>
      <c r="E4149" s="63" t="n"/>
    </row>
    <row r="4150" ht="18" customHeight="1">
      <c r="A4150" s="62" t="n"/>
      <c r="B4150" s="63" t="n"/>
      <c r="C4150" s="64" t="n"/>
      <c r="D4150" s="64" t="n"/>
      <c r="E4150" s="63" t="n"/>
    </row>
    <row r="4151" ht="18" customHeight="1">
      <c r="A4151" s="62" t="n"/>
      <c r="B4151" s="63" t="n"/>
      <c r="C4151" s="64" t="n"/>
      <c r="D4151" s="64" t="n"/>
      <c r="E4151" s="63" t="n"/>
    </row>
    <row r="4152" ht="18" customHeight="1">
      <c r="A4152" s="62" t="n"/>
      <c r="B4152" s="63" t="n"/>
      <c r="C4152" s="64" t="n"/>
      <c r="D4152" s="64" t="n"/>
      <c r="E4152" s="63" t="n"/>
    </row>
    <row r="4153" ht="18" customHeight="1">
      <c r="A4153" s="62" t="n"/>
      <c r="B4153" s="63" t="n"/>
      <c r="C4153" s="64" t="n"/>
      <c r="D4153" s="64" t="n"/>
      <c r="E4153" s="63" t="n"/>
    </row>
    <row r="4154" ht="18" customHeight="1">
      <c r="A4154" s="62" t="n"/>
      <c r="B4154" s="63" t="n"/>
      <c r="C4154" s="64" t="n"/>
      <c r="D4154" s="64" t="n"/>
      <c r="E4154" s="63" t="n"/>
    </row>
    <row r="4155" ht="18" customHeight="1">
      <c r="A4155" s="62" t="n"/>
      <c r="B4155" s="63" t="n"/>
      <c r="C4155" s="64" t="n"/>
      <c r="D4155" s="64" t="n"/>
      <c r="E4155" s="63" t="n"/>
    </row>
    <row r="4156" ht="18" customHeight="1">
      <c r="A4156" s="62" t="n"/>
      <c r="B4156" s="63" t="n"/>
      <c r="C4156" s="64" t="n"/>
      <c r="D4156" s="64" t="n"/>
      <c r="E4156" s="63" t="n"/>
    </row>
    <row r="4157" ht="18" customHeight="1">
      <c r="A4157" s="62" t="n"/>
      <c r="B4157" s="63" t="n"/>
      <c r="C4157" s="64" t="n"/>
      <c r="D4157" s="64" t="n"/>
      <c r="E4157" s="63" t="n"/>
    </row>
    <row r="4158" ht="18" customHeight="1">
      <c r="A4158" s="62" t="n"/>
      <c r="B4158" s="63" t="n"/>
      <c r="C4158" s="64" t="n"/>
      <c r="D4158" s="64" t="n"/>
      <c r="E4158" s="63" t="n"/>
    </row>
    <row r="4159" ht="18" customHeight="1">
      <c r="A4159" s="62" t="n"/>
      <c r="B4159" s="63" t="n"/>
      <c r="C4159" s="64" t="n"/>
      <c r="D4159" s="64" t="n"/>
      <c r="E4159" s="63" t="n"/>
    </row>
    <row r="4160" ht="18" customHeight="1">
      <c r="A4160" s="62" t="n"/>
      <c r="B4160" s="63" t="n"/>
      <c r="C4160" s="64" t="n"/>
      <c r="D4160" s="64" t="n"/>
      <c r="E4160" s="63" t="n"/>
    </row>
    <row r="4161" ht="18" customHeight="1">
      <c r="A4161" s="62" t="n"/>
      <c r="B4161" s="63" t="n"/>
      <c r="C4161" s="64" t="n"/>
      <c r="D4161" s="64" t="n"/>
      <c r="E4161" s="63" t="n"/>
    </row>
    <row r="4162" ht="18" customHeight="1">
      <c r="A4162" s="62" t="n"/>
      <c r="B4162" s="63" t="n"/>
      <c r="C4162" s="64" t="n"/>
      <c r="D4162" s="64" t="n"/>
      <c r="E4162" s="63" t="n"/>
    </row>
    <row r="4163" ht="18" customHeight="1">
      <c r="A4163" s="62" t="n"/>
      <c r="B4163" s="63" t="n"/>
      <c r="C4163" s="64" t="n"/>
      <c r="D4163" s="64" t="n"/>
      <c r="E4163" s="63" t="n"/>
    </row>
    <row r="4164" ht="18" customHeight="1">
      <c r="A4164" s="62" t="n"/>
      <c r="B4164" s="63" t="n"/>
      <c r="C4164" s="64" t="n"/>
      <c r="D4164" s="64" t="n"/>
      <c r="E4164" s="63" t="n"/>
    </row>
    <row r="4165" ht="18" customHeight="1">
      <c r="A4165" s="62" t="n"/>
      <c r="B4165" s="63" t="n"/>
      <c r="C4165" s="64" t="n"/>
      <c r="D4165" s="64" t="n"/>
      <c r="E4165" s="63" t="n"/>
    </row>
    <row r="4166" ht="18" customHeight="1">
      <c r="A4166" s="62" t="n"/>
      <c r="B4166" s="63" t="n"/>
      <c r="C4166" s="64" t="n"/>
      <c r="D4166" s="64" t="n"/>
      <c r="E4166" s="63" t="n"/>
    </row>
    <row r="4167" ht="18" customHeight="1">
      <c r="A4167" s="62" t="n"/>
      <c r="B4167" s="63" t="n"/>
      <c r="C4167" s="64" t="n"/>
      <c r="D4167" s="64" t="n"/>
      <c r="E4167" s="63" t="n"/>
    </row>
    <row r="4168" ht="18" customHeight="1">
      <c r="A4168" s="62" t="n"/>
      <c r="B4168" s="63" t="n"/>
      <c r="C4168" s="64" t="n"/>
      <c r="D4168" s="64" t="n"/>
      <c r="E4168" s="63" t="n"/>
    </row>
    <row r="4169" ht="18" customHeight="1">
      <c r="A4169" s="62" t="n"/>
      <c r="B4169" s="63" t="n"/>
      <c r="C4169" s="64" t="n"/>
      <c r="D4169" s="64" t="n"/>
      <c r="E4169" s="63" t="n"/>
    </row>
    <row r="4170" ht="18" customHeight="1">
      <c r="A4170" s="62" t="n"/>
      <c r="B4170" s="63" t="n"/>
      <c r="C4170" s="64" t="n"/>
      <c r="D4170" s="64" t="n"/>
      <c r="E4170" s="63" t="n"/>
    </row>
    <row r="4171" ht="18" customHeight="1">
      <c r="A4171" s="62" t="n"/>
      <c r="B4171" s="63" t="n"/>
      <c r="C4171" s="64" t="n"/>
      <c r="D4171" s="64" t="n"/>
      <c r="E4171" s="63" t="n"/>
    </row>
    <row r="4172" ht="18" customHeight="1">
      <c r="A4172" s="62" t="n"/>
      <c r="B4172" s="63" t="n"/>
      <c r="C4172" s="64" t="n"/>
      <c r="D4172" s="64" t="n"/>
      <c r="E4172" s="63" t="n"/>
    </row>
    <row r="4173" ht="18" customHeight="1">
      <c r="A4173" s="62" t="n"/>
      <c r="B4173" s="63" t="n"/>
      <c r="C4173" s="64" t="n"/>
      <c r="D4173" s="64" t="n"/>
      <c r="E4173" s="63" t="n"/>
    </row>
    <row r="4174" ht="18" customHeight="1">
      <c r="A4174" s="62" t="n"/>
      <c r="B4174" s="63" t="n"/>
      <c r="C4174" s="64" t="n"/>
      <c r="D4174" s="64" t="n"/>
      <c r="E4174" s="63" t="n"/>
    </row>
    <row r="4175" ht="18" customHeight="1">
      <c r="A4175" s="62" t="n"/>
      <c r="B4175" s="63" t="n"/>
      <c r="C4175" s="64" t="n"/>
      <c r="D4175" s="64" t="n"/>
      <c r="E4175" s="63" t="n"/>
    </row>
    <row r="4176" ht="18" customHeight="1">
      <c r="A4176" s="62" t="n"/>
      <c r="B4176" s="63" t="n"/>
      <c r="C4176" s="64" t="n"/>
      <c r="D4176" s="64" t="n"/>
      <c r="E4176" s="63" t="n"/>
    </row>
    <row r="4177" ht="18" customHeight="1">
      <c r="A4177" s="62" t="n"/>
      <c r="B4177" s="63" t="n"/>
      <c r="C4177" s="64" t="n"/>
      <c r="D4177" s="64" t="n"/>
      <c r="E4177" s="63" t="n"/>
    </row>
    <row r="4178" ht="18" customHeight="1">
      <c r="A4178" s="62" t="n"/>
      <c r="B4178" s="63" t="n"/>
      <c r="C4178" s="64" t="n"/>
      <c r="D4178" s="64" t="n"/>
      <c r="E4178" s="63" t="n"/>
    </row>
    <row r="4179" ht="18" customHeight="1">
      <c r="A4179" s="62" t="n"/>
      <c r="B4179" s="63" t="n"/>
      <c r="C4179" s="64" t="n"/>
      <c r="D4179" s="64" t="n"/>
      <c r="E4179" s="63" t="n"/>
    </row>
    <row r="4180" ht="18" customHeight="1">
      <c r="A4180" s="62" t="n"/>
      <c r="B4180" s="63" t="n"/>
      <c r="C4180" s="64" t="n"/>
      <c r="D4180" s="64" t="n"/>
      <c r="E4180" s="63" t="n"/>
    </row>
    <row r="4181" ht="18" customHeight="1">
      <c r="A4181" s="62" t="n"/>
      <c r="B4181" s="63" t="n"/>
      <c r="C4181" s="64" t="n"/>
      <c r="D4181" s="64" t="n"/>
      <c r="E4181" s="63" t="n"/>
    </row>
    <row r="4182" ht="18" customHeight="1">
      <c r="A4182" s="62" t="n"/>
      <c r="B4182" s="63" t="n"/>
      <c r="C4182" s="64" t="n"/>
      <c r="D4182" s="64" t="n"/>
      <c r="E4182" s="63" t="n"/>
    </row>
    <row r="4183" ht="18" customHeight="1">
      <c r="A4183" s="62" t="n"/>
      <c r="B4183" s="63" t="n"/>
      <c r="C4183" s="64" t="n"/>
      <c r="D4183" s="64" t="n"/>
      <c r="E4183" s="63" t="n"/>
    </row>
    <row r="4184" ht="18" customHeight="1">
      <c r="A4184" s="62" t="n"/>
      <c r="B4184" s="63" t="n"/>
      <c r="C4184" s="64" t="n"/>
      <c r="D4184" s="64" t="n"/>
      <c r="E4184" s="63" t="n"/>
    </row>
    <row r="4185" ht="18" customHeight="1">
      <c r="A4185" s="62" t="n"/>
      <c r="B4185" s="63" t="n"/>
      <c r="C4185" s="64" t="n"/>
      <c r="D4185" s="64" t="n"/>
      <c r="E4185" s="63" t="n"/>
    </row>
    <row r="4186" ht="18" customHeight="1">
      <c r="A4186" s="62" t="n"/>
      <c r="B4186" s="63" t="n"/>
      <c r="C4186" s="64" t="n"/>
      <c r="D4186" s="64" t="n"/>
      <c r="E4186" s="63" t="n"/>
    </row>
    <row r="4187" ht="18" customHeight="1">
      <c r="A4187" s="62" t="n"/>
      <c r="B4187" s="63" t="n"/>
      <c r="C4187" s="64" t="n"/>
      <c r="D4187" s="64" t="n"/>
      <c r="E4187" s="63" t="n"/>
    </row>
    <row r="4188" ht="18" customHeight="1">
      <c r="A4188" s="62" t="n"/>
      <c r="B4188" s="63" t="n"/>
      <c r="C4188" s="64" t="n"/>
      <c r="D4188" s="64" t="n"/>
      <c r="E4188" s="63" t="n"/>
    </row>
    <row r="4189" ht="18" customHeight="1">
      <c r="A4189" s="62" t="n"/>
      <c r="B4189" s="63" t="n"/>
      <c r="C4189" s="64" t="n"/>
      <c r="D4189" s="64" t="n"/>
      <c r="E4189" s="63" t="n"/>
    </row>
    <row r="4190" ht="18" customHeight="1">
      <c r="A4190" s="62" t="n"/>
      <c r="B4190" s="63" t="n"/>
      <c r="C4190" s="64" t="n"/>
      <c r="D4190" s="64" t="n"/>
      <c r="E4190" s="63" t="n"/>
    </row>
    <row r="4191" ht="18" customHeight="1">
      <c r="A4191" s="62" t="n"/>
      <c r="B4191" s="63" t="n"/>
      <c r="C4191" s="64" t="n"/>
      <c r="D4191" s="64" t="n"/>
      <c r="E4191" s="63" t="n"/>
    </row>
    <row r="4192" ht="18" customHeight="1">
      <c r="A4192" s="62" t="n"/>
      <c r="B4192" s="63" t="n"/>
      <c r="C4192" s="64" t="n"/>
      <c r="D4192" s="64" t="n"/>
      <c r="E4192" s="63" t="n"/>
    </row>
    <row r="4193" ht="18" customHeight="1">
      <c r="A4193" s="62" t="n"/>
      <c r="B4193" s="63" t="n"/>
      <c r="C4193" s="64" t="n"/>
      <c r="D4193" s="64" t="n"/>
      <c r="E4193" s="63" t="n"/>
    </row>
    <row r="4194" ht="18" customHeight="1">
      <c r="A4194" s="62" t="n"/>
      <c r="B4194" s="63" t="n"/>
      <c r="C4194" s="64" t="n"/>
      <c r="D4194" s="64" t="n"/>
      <c r="E4194" s="63" t="n"/>
    </row>
    <row r="4195" ht="18" customHeight="1">
      <c r="A4195" s="62" t="n"/>
      <c r="B4195" s="63" t="n"/>
      <c r="C4195" s="64" t="n"/>
      <c r="D4195" s="64" t="n"/>
      <c r="E4195" s="63" t="n"/>
    </row>
    <row r="4196" ht="18" customHeight="1">
      <c r="A4196" s="62" t="n"/>
      <c r="B4196" s="63" t="n"/>
      <c r="C4196" s="64" t="n"/>
      <c r="D4196" s="64" t="n"/>
      <c r="E4196" s="63" t="n"/>
    </row>
    <row r="4197" ht="18" customHeight="1">
      <c r="A4197" s="62" t="n"/>
      <c r="B4197" s="63" t="n"/>
      <c r="C4197" s="64" t="n"/>
      <c r="D4197" s="64" t="n"/>
      <c r="E4197" s="63" t="n"/>
    </row>
    <row r="4198" ht="18" customHeight="1">
      <c r="A4198" s="62" t="n"/>
      <c r="B4198" s="63" t="n"/>
      <c r="C4198" s="64" t="n"/>
      <c r="D4198" s="64" t="n"/>
      <c r="E4198" s="63" t="n"/>
    </row>
    <row r="4199" ht="18" customHeight="1">
      <c r="A4199" s="62" t="n"/>
      <c r="B4199" s="63" t="n"/>
      <c r="C4199" s="64" t="n"/>
      <c r="D4199" s="64" t="n"/>
      <c r="E4199" s="63" t="n"/>
    </row>
    <row r="4200" ht="18" customHeight="1">
      <c r="A4200" s="62" t="n"/>
      <c r="B4200" s="63" t="n"/>
      <c r="C4200" s="64" t="n"/>
      <c r="D4200" s="64" t="n"/>
      <c r="E4200" s="63" t="n"/>
    </row>
    <row r="4201" ht="18" customHeight="1">
      <c r="A4201" s="62" t="n"/>
      <c r="B4201" s="63" t="n"/>
      <c r="C4201" s="64" t="n"/>
      <c r="D4201" s="64" t="n"/>
      <c r="E4201" s="63" t="n"/>
    </row>
    <row r="4202" ht="18" customHeight="1">
      <c r="A4202" s="62" t="n"/>
      <c r="B4202" s="63" t="n"/>
      <c r="C4202" s="64" t="n"/>
      <c r="D4202" s="64" t="n"/>
      <c r="E4202" s="63" t="n"/>
    </row>
    <row r="4203" ht="18" customHeight="1">
      <c r="A4203" s="62" t="n"/>
      <c r="B4203" s="63" t="n"/>
      <c r="C4203" s="64" t="n"/>
      <c r="D4203" s="64" t="n"/>
      <c r="E4203" s="63" t="n"/>
    </row>
    <row r="4204" ht="18" customHeight="1">
      <c r="A4204" s="62" t="n"/>
      <c r="B4204" s="63" t="n"/>
      <c r="C4204" s="64" t="n"/>
      <c r="D4204" s="64" t="n"/>
      <c r="E4204" s="63" t="n"/>
    </row>
    <row r="4205" ht="18" customHeight="1">
      <c r="A4205" s="62" t="n"/>
      <c r="B4205" s="63" t="n"/>
      <c r="C4205" s="64" t="n"/>
      <c r="D4205" s="64" t="n"/>
      <c r="E4205" s="63" t="n"/>
    </row>
    <row r="4206" ht="18" customHeight="1">
      <c r="A4206" s="62" t="n"/>
      <c r="B4206" s="63" t="n"/>
      <c r="C4206" s="64" t="n"/>
      <c r="D4206" s="64" t="n"/>
      <c r="E4206" s="63" t="n"/>
    </row>
    <row r="4207" ht="18" customHeight="1">
      <c r="A4207" s="62" t="n"/>
      <c r="B4207" s="63" t="n"/>
      <c r="C4207" s="64" t="n"/>
      <c r="D4207" s="64" t="n"/>
      <c r="E4207" s="63" t="n"/>
    </row>
    <row r="4208" ht="18" customHeight="1">
      <c r="A4208" s="62" t="n"/>
      <c r="B4208" s="63" t="n"/>
      <c r="C4208" s="64" t="n"/>
      <c r="D4208" s="64" t="n"/>
      <c r="E4208" s="63" t="n"/>
    </row>
    <row r="4209" ht="18" customHeight="1">
      <c r="A4209" s="62" t="n"/>
      <c r="B4209" s="63" t="n"/>
      <c r="C4209" s="64" t="n"/>
      <c r="D4209" s="64" t="n"/>
      <c r="E4209" s="63" t="n"/>
    </row>
    <row r="4210" ht="18" customHeight="1">
      <c r="A4210" s="62" t="n"/>
      <c r="B4210" s="63" t="n"/>
      <c r="C4210" s="64" t="n"/>
      <c r="D4210" s="64" t="n"/>
      <c r="E4210" s="63" t="n"/>
    </row>
    <row r="4211" ht="18" customHeight="1">
      <c r="A4211" s="62" t="n"/>
      <c r="B4211" s="63" t="n"/>
      <c r="C4211" s="64" t="n"/>
      <c r="D4211" s="64" t="n"/>
      <c r="E4211" s="63" t="n"/>
    </row>
    <row r="4212" ht="18" customHeight="1">
      <c r="A4212" s="62" t="n"/>
      <c r="B4212" s="63" t="n"/>
      <c r="C4212" s="64" t="n"/>
      <c r="D4212" s="64" t="n"/>
      <c r="E4212" s="63" t="n"/>
    </row>
    <row r="4213" ht="18" customHeight="1">
      <c r="A4213" s="62" t="n"/>
      <c r="B4213" s="63" t="n"/>
      <c r="C4213" s="64" t="n"/>
      <c r="D4213" s="64" t="n"/>
      <c r="E4213" s="63" t="n"/>
    </row>
    <row r="4214" ht="18" customHeight="1">
      <c r="A4214" s="62" t="n"/>
      <c r="B4214" s="63" t="n"/>
      <c r="C4214" s="64" t="n"/>
      <c r="D4214" s="64" t="n"/>
      <c r="E4214" s="63" t="n"/>
    </row>
    <row r="4215" ht="18" customHeight="1">
      <c r="A4215" s="62" t="n"/>
      <c r="B4215" s="63" t="n"/>
      <c r="C4215" s="64" t="n"/>
      <c r="D4215" s="64" t="n"/>
      <c r="E4215" s="63" t="n"/>
    </row>
    <row r="4216" ht="18" customHeight="1">
      <c r="A4216" s="62" t="n"/>
      <c r="B4216" s="63" t="n"/>
      <c r="C4216" s="64" t="n"/>
      <c r="D4216" s="64" t="n"/>
      <c r="E4216" s="63" t="n"/>
    </row>
    <row r="4217" ht="18" customHeight="1">
      <c r="A4217" s="62" t="n"/>
      <c r="B4217" s="63" t="n"/>
      <c r="C4217" s="64" t="n"/>
      <c r="D4217" s="64" t="n"/>
      <c r="E4217" s="63" t="n"/>
    </row>
    <row r="4218" ht="18" customHeight="1">
      <c r="A4218" s="62" t="n"/>
      <c r="B4218" s="63" t="n"/>
      <c r="C4218" s="64" t="n"/>
      <c r="D4218" s="64" t="n"/>
      <c r="E4218" s="63" t="n"/>
    </row>
    <row r="4219" ht="18" customHeight="1">
      <c r="A4219" s="62" t="n"/>
      <c r="B4219" s="63" t="n"/>
      <c r="C4219" s="64" t="n"/>
      <c r="D4219" s="64" t="n"/>
      <c r="E4219" s="63" t="n"/>
    </row>
    <row r="4220" ht="18" customHeight="1">
      <c r="A4220" s="62" t="n"/>
      <c r="B4220" s="63" t="n"/>
      <c r="C4220" s="64" t="n"/>
      <c r="D4220" s="64" t="n"/>
      <c r="E4220" s="63" t="n"/>
    </row>
    <row r="4221" ht="18" customHeight="1">
      <c r="A4221" s="62" t="n"/>
      <c r="B4221" s="63" t="n"/>
      <c r="C4221" s="64" t="n"/>
      <c r="D4221" s="64" t="n"/>
      <c r="E4221" s="63" t="n"/>
    </row>
    <row r="4222" ht="18" customHeight="1">
      <c r="A4222" s="62" t="n"/>
      <c r="B4222" s="63" t="n"/>
      <c r="C4222" s="64" t="n"/>
      <c r="D4222" s="64" t="n"/>
      <c r="E4222" s="63" t="n"/>
    </row>
    <row r="4223" ht="18" customHeight="1">
      <c r="A4223" s="62" t="n"/>
      <c r="B4223" s="63" t="n"/>
      <c r="C4223" s="64" t="n"/>
      <c r="D4223" s="64" t="n"/>
      <c r="E4223" s="63" t="n"/>
    </row>
    <row r="4224" ht="18" customHeight="1">
      <c r="A4224" s="62" t="n"/>
      <c r="B4224" s="63" t="n"/>
      <c r="C4224" s="64" t="n"/>
      <c r="D4224" s="64" t="n"/>
      <c r="E4224" s="63" t="n"/>
    </row>
    <row r="4225" ht="18" customHeight="1">
      <c r="A4225" s="62" t="n"/>
      <c r="B4225" s="63" t="n"/>
      <c r="C4225" s="64" t="n"/>
      <c r="D4225" s="64" t="n"/>
      <c r="E4225" s="63" t="n"/>
    </row>
    <row r="4226" ht="18" customHeight="1">
      <c r="A4226" s="62" t="n"/>
      <c r="B4226" s="63" t="n"/>
      <c r="C4226" s="64" t="n"/>
      <c r="D4226" s="64" t="n"/>
      <c r="E4226" s="63" t="n"/>
    </row>
    <row r="4227" ht="18" customHeight="1">
      <c r="A4227" s="62" t="n"/>
      <c r="B4227" s="63" t="n"/>
      <c r="C4227" s="64" t="n"/>
      <c r="D4227" s="64" t="n"/>
      <c r="E4227" s="63" t="n"/>
    </row>
    <row r="4228" ht="18" customHeight="1">
      <c r="A4228" s="62" t="n"/>
      <c r="B4228" s="63" t="n"/>
      <c r="C4228" s="64" t="n"/>
      <c r="D4228" s="64" t="n"/>
      <c r="E4228" s="63" t="n"/>
    </row>
    <row r="4229" ht="18" customHeight="1">
      <c r="A4229" s="62" t="n"/>
      <c r="B4229" s="63" t="n"/>
      <c r="C4229" s="64" t="n"/>
      <c r="D4229" s="64" t="n"/>
      <c r="E4229" s="63" t="n"/>
    </row>
    <row r="4230" ht="18" customHeight="1">
      <c r="A4230" s="62" t="n"/>
      <c r="B4230" s="63" t="n"/>
      <c r="C4230" s="64" t="n"/>
      <c r="D4230" s="64" t="n"/>
      <c r="E4230" s="63" t="n"/>
    </row>
    <row r="4231" ht="18" customHeight="1">
      <c r="A4231" s="62" t="n"/>
      <c r="B4231" s="63" t="n"/>
      <c r="C4231" s="64" t="n"/>
      <c r="D4231" s="64" t="n"/>
      <c r="E4231" s="63" t="n"/>
    </row>
    <row r="4232" ht="18" customHeight="1">
      <c r="A4232" s="62" t="n"/>
      <c r="B4232" s="63" t="n"/>
      <c r="C4232" s="64" t="n"/>
      <c r="D4232" s="64" t="n"/>
      <c r="E4232" s="63" t="n"/>
    </row>
    <row r="4233" ht="18" customHeight="1">
      <c r="A4233" s="62" t="n"/>
      <c r="B4233" s="63" t="n"/>
      <c r="C4233" s="64" t="n"/>
      <c r="D4233" s="64" t="n"/>
      <c r="E4233" s="63" t="n"/>
    </row>
    <row r="4234" ht="18" customHeight="1">
      <c r="A4234" s="62" t="n"/>
      <c r="B4234" s="63" t="n"/>
      <c r="C4234" s="64" t="n"/>
      <c r="D4234" s="64" t="n"/>
      <c r="E4234" s="63" t="n"/>
    </row>
    <row r="4235" ht="18" customHeight="1">
      <c r="A4235" s="62" t="n"/>
      <c r="B4235" s="63" t="n"/>
      <c r="C4235" s="64" t="n"/>
      <c r="D4235" s="64" t="n"/>
      <c r="E4235" s="63" t="n"/>
    </row>
    <row r="4236" ht="18" customHeight="1">
      <c r="A4236" s="62" t="n"/>
      <c r="B4236" s="63" t="n"/>
      <c r="C4236" s="64" t="n"/>
      <c r="D4236" s="64" t="n"/>
      <c r="E4236" s="63" t="n"/>
    </row>
    <row r="4237" ht="18" customHeight="1">
      <c r="A4237" s="62" t="n"/>
      <c r="B4237" s="63" t="n"/>
      <c r="C4237" s="64" t="n"/>
      <c r="D4237" s="64" t="n"/>
      <c r="E4237" s="63" t="n"/>
    </row>
    <row r="4238" ht="18" customHeight="1">
      <c r="A4238" s="62" t="n"/>
      <c r="B4238" s="63" t="n"/>
      <c r="C4238" s="64" t="n"/>
      <c r="D4238" s="64" t="n"/>
      <c r="E4238" s="63" t="n"/>
    </row>
    <row r="4239" ht="18" customHeight="1">
      <c r="A4239" s="62" t="n"/>
      <c r="B4239" s="63" t="n"/>
      <c r="C4239" s="64" t="n"/>
      <c r="D4239" s="64" t="n"/>
      <c r="E4239" s="63" t="n"/>
    </row>
    <row r="4240" ht="18" customHeight="1">
      <c r="A4240" s="62" t="n"/>
      <c r="B4240" s="63" t="n"/>
      <c r="C4240" s="64" t="n"/>
      <c r="D4240" s="64" t="n"/>
      <c r="E4240" s="63" t="n"/>
    </row>
    <row r="4241" ht="18" customHeight="1">
      <c r="A4241" s="62" t="n"/>
      <c r="B4241" s="63" t="n"/>
      <c r="C4241" s="64" t="n"/>
      <c r="D4241" s="64" t="n"/>
      <c r="E4241" s="63" t="n"/>
    </row>
    <row r="4242" ht="18" customHeight="1">
      <c r="A4242" s="62" t="n"/>
      <c r="B4242" s="63" t="n"/>
      <c r="C4242" s="64" t="n"/>
      <c r="D4242" s="64" t="n"/>
      <c r="E4242" s="63" t="n"/>
    </row>
    <row r="4243" ht="18" customHeight="1">
      <c r="A4243" s="62" t="n"/>
      <c r="B4243" s="63" t="n"/>
      <c r="C4243" s="64" t="n"/>
      <c r="D4243" s="64" t="n"/>
      <c r="E4243" s="63" t="n"/>
    </row>
    <row r="4244" ht="18" customHeight="1">
      <c r="A4244" s="62" t="n"/>
      <c r="B4244" s="63" t="n"/>
      <c r="C4244" s="64" t="n"/>
      <c r="D4244" s="64" t="n"/>
      <c r="E4244" s="63" t="n"/>
    </row>
    <row r="4245" ht="18" customHeight="1">
      <c r="A4245" s="62" t="n"/>
      <c r="B4245" s="63" t="n"/>
      <c r="C4245" s="64" t="n"/>
      <c r="D4245" s="64" t="n"/>
      <c r="E4245" s="63" t="n"/>
    </row>
    <row r="4246" ht="18" customHeight="1">
      <c r="A4246" s="62" t="n"/>
      <c r="B4246" s="63" t="n"/>
      <c r="C4246" s="64" t="n"/>
      <c r="D4246" s="64" t="n"/>
      <c r="E4246" s="63" t="n"/>
    </row>
    <row r="4247" ht="18" customHeight="1">
      <c r="A4247" s="62" t="n"/>
      <c r="B4247" s="63" t="n"/>
      <c r="C4247" s="64" t="n"/>
      <c r="D4247" s="64" t="n"/>
      <c r="E4247" s="63" t="n"/>
    </row>
    <row r="4248" ht="18" customHeight="1">
      <c r="A4248" s="62" t="n"/>
      <c r="B4248" s="63" t="n"/>
      <c r="C4248" s="64" t="n"/>
      <c r="D4248" s="64" t="n"/>
      <c r="E4248" s="63" t="n"/>
    </row>
    <row r="4249" ht="18" customHeight="1">
      <c r="A4249" s="62" t="n"/>
      <c r="B4249" s="63" t="n"/>
      <c r="C4249" s="64" t="n"/>
      <c r="D4249" s="64" t="n"/>
      <c r="E4249" s="63" t="n"/>
    </row>
    <row r="4250" ht="18" customHeight="1">
      <c r="A4250" s="62" t="n"/>
      <c r="B4250" s="63" t="n"/>
      <c r="C4250" s="64" t="n"/>
      <c r="D4250" s="64" t="n"/>
      <c r="E4250" s="63" t="n"/>
    </row>
    <row r="4251" ht="18" customHeight="1">
      <c r="A4251" s="62" t="n"/>
      <c r="B4251" s="63" t="n"/>
      <c r="C4251" s="64" t="n"/>
      <c r="D4251" s="64" t="n"/>
      <c r="E4251" s="63" t="n"/>
    </row>
    <row r="4252" ht="18" customHeight="1">
      <c r="A4252" s="62" t="n"/>
      <c r="B4252" s="63" t="n"/>
      <c r="C4252" s="64" t="n"/>
      <c r="D4252" s="64" t="n"/>
      <c r="E4252" s="63" t="n"/>
    </row>
    <row r="4253" ht="18" customHeight="1">
      <c r="A4253" s="62" t="n"/>
      <c r="B4253" s="63" t="n"/>
      <c r="C4253" s="64" t="n"/>
      <c r="D4253" s="64" t="n"/>
      <c r="E4253" s="63" t="n"/>
    </row>
    <row r="4254" ht="18" customHeight="1">
      <c r="A4254" s="62" t="n"/>
      <c r="B4254" s="63" t="n"/>
      <c r="C4254" s="64" t="n"/>
      <c r="D4254" s="64" t="n"/>
      <c r="E4254" s="63" t="n"/>
    </row>
    <row r="4255" ht="18" customHeight="1">
      <c r="A4255" s="62" t="n"/>
      <c r="B4255" s="63" t="n"/>
      <c r="C4255" s="64" t="n"/>
      <c r="D4255" s="64" t="n"/>
      <c r="E4255" s="63" t="n"/>
    </row>
    <row r="4256" ht="18" customHeight="1">
      <c r="A4256" s="62" t="n"/>
      <c r="B4256" s="63" t="n"/>
      <c r="C4256" s="64" t="n"/>
      <c r="D4256" s="64" t="n"/>
      <c r="E4256" s="63" t="n"/>
    </row>
    <row r="4257" ht="18" customHeight="1">
      <c r="A4257" s="62" t="n"/>
      <c r="B4257" s="63" t="n"/>
      <c r="C4257" s="64" t="n"/>
      <c r="D4257" s="64" t="n"/>
      <c r="E4257" s="63" t="n"/>
    </row>
    <row r="4258" ht="18" customHeight="1">
      <c r="A4258" s="62" t="n"/>
      <c r="B4258" s="63" t="n"/>
      <c r="C4258" s="64" t="n"/>
      <c r="D4258" s="64" t="n"/>
      <c r="E4258" s="63" t="n"/>
    </row>
    <row r="4259" ht="18" customHeight="1">
      <c r="A4259" s="62" t="n"/>
      <c r="B4259" s="63" t="n"/>
      <c r="C4259" s="64" t="n"/>
      <c r="D4259" s="64" t="n"/>
      <c r="E4259" s="63" t="n"/>
    </row>
    <row r="4260" ht="18" customHeight="1">
      <c r="A4260" s="62" t="n"/>
      <c r="B4260" s="63" t="n"/>
      <c r="C4260" s="64" t="n"/>
      <c r="D4260" s="64" t="n"/>
      <c r="E4260" s="63" t="n"/>
    </row>
    <row r="4261" ht="18" customHeight="1">
      <c r="A4261" s="62" t="n"/>
      <c r="B4261" s="63" t="n"/>
      <c r="C4261" s="64" t="n"/>
      <c r="D4261" s="64" t="n"/>
      <c r="E4261" s="63" t="n"/>
    </row>
    <row r="4262" ht="18" customHeight="1">
      <c r="A4262" s="62" t="n"/>
      <c r="B4262" s="63" t="n"/>
      <c r="C4262" s="64" t="n"/>
      <c r="D4262" s="64" t="n"/>
      <c r="E4262" s="63" t="n"/>
    </row>
    <row r="4263" ht="18" customHeight="1">
      <c r="A4263" s="62" t="n"/>
      <c r="B4263" s="63" t="n"/>
      <c r="C4263" s="64" t="n"/>
      <c r="D4263" s="64" t="n"/>
      <c r="E4263" s="63" t="n"/>
    </row>
    <row r="4264" ht="18" customHeight="1">
      <c r="A4264" s="62" t="n"/>
      <c r="B4264" s="63" t="n"/>
      <c r="C4264" s="64" t="n"/>
      <c r="D4264" s="64" t="n"/>
      <c r="E4264" s="63" t="n"/>
    </row>
    <row r="4265" ht="18" customHeight="1">
      <c r="A4265" s="62" t="n"/>
      <c r="B4265" s="63" t="n"/>
      <c r="C4265" s="64" t="n"/>
      <c r="D4265" s="64" t="n"/>
      <c r="E4265" s="63" t="n"/>
    </row>
    <row r="4266" ht="18" customHeight="1">
      <c r="A4266" s="62" t="n"/>
      <c r="B4266" s="63" t="n"/>
      <c r="C4266" s="64" t="n"/>
      <c r="D4266" s="64" t="n"/>
      <c r="E4266" s="63" t="n"/>
    </row>
    <row r="4267" ht="18" customHeight="1">
      <c r="A4267" s="62" t="n"/>
      <c r="B4267" s="63" t="n"/>
      <c r="C4267" s="64" t="n"/>
      <c r="D4267" s="64" t="n"/>
      <c r="E4267" s="63" t="n"/>
    </row>
    <row r="4268" ht="18" customHeight="1">
      <c r="A4268" s="62" t="n"/>
      <c r="B4268" s="63" t="n"/>
      <c r="C4268" s="64" t="n"/>
      <c r="D4268" s="64" t="n"/>
      <c r="E4268" s="63" t="n"/>
    </row>
    <row r="4269" ht="18" customHeight="1">
      <c r="A4269" s="62" t="n"/>
      <c r="B4269" s="63" t="n"/>
      <c r="C4269" s="64" t="n"/>
      <c r="D4269" s="64" t="n"/>
      <c r="E4269" s="63" t="n"/>
    </row>
    <row r="4270" ht="18" customHeight="1">
      <c r="A4270" s="62" t="n"/>
      <c r="B4270" s="63" t="n"/>
      <c r="C4270" s="64" t="n"/>
      <c r="D4270" s="64" t="n"/>
      <c r="E4270" s="63" t="n"/>
    </row>
    <row r="4271" ht="18" customHeight="1">
      <c r="A4271" s="62" t="n"/>
      <c r="B4271" s="63" t="n"/>
      <c r="C4271" s="64" t="n"/>
      <c r="D4271" s="64" t="n"/>
      <c r="E4271" s="63" t="n"/>
    </row>
    <row r="4272" ht="18" customHeight="1">
      <c r="A4272" s="62" t="n"/>
      <c r="B4272" s="63" t="n"/>
      <c r="C4272" s="64" t="n"/>
      <c r="D4272" s="64" t="n"/>
      <c r="E4272" s="63" t="n"/>
    </row>
    <row r="4273" ht="18" customHeight="1">
      <c r="A4273" s="62" t="n"/>
      <c r="B4273" s="63" t="n"/>
      <c r="C4273" s="64" t="n"/>
      <c r="D4273" s="64" t="n"/>
      <c r="E4273" s="63" t="n"/>
    </row>
    <row r="4274" ht="18" customHeight="1">
      <c r="A4274" s="62" t="n"/>
      <c r="B4274" s="63" t="n"/>
      <c r="C4274" s="64" t="n"/>
      <c r="D4274" s="64" t="n"/>
      <c r="E4274" s="63" t="n"/>
    </row>
    <row r="4275" ht="18" customHeight="1">
      <c r="A4275" s="62" t="n"/>
      <c r="B4275" s="63" t="n"/>
      <c r="C4275" s="64" t="n"/>
      <c r="D4275" s="64" t="n"/>
      <c r="E4275" s="63" t="n"/>
    </row>
    <row r="4276" ht="18" customHeight="1">
      <c r="A4276" s="62" t="n"/>
      <c r="B4276" s="63" t="n"/>
      <c r="C4276" s="64" t="n"/>
      <c r="D4276" s="64" t="n"/>
      <c r="E4276" s="63" t="n"/>
    </row>
    <row r="4277" ht="18" customHeight="1">
      <c r="A4277" s="62" t="n"/>
      <c r="B4277" s="63" t="n"/>
      <c r="C4277" s="64" t="n"/>
      <c r="D4277" s="64" t="n"/>
      <c r="E4277" s="63" t="n"/>
    </row>
    <row r="4278" ht="18" customHeight="1">
      <c r="A4278" s="62" t="n"/>
      <c r="B4278" s="63" t="n"/>
      <c r="C4278" s="64" t="n"/>
      <c r="D4278" s="64" t="n"/>
      <c r="E4278" s="63" t="n"/>
    </row>
    <row r="4279" ht="18" customHeight="1">
      <c r="A4279" s="62" t="n"/>
      <c r="B4279" s="63" t="n"/>
      <c r="C4279" s="64" t="n"/>
      <c r="D4279" s="64" t="n"/>
      <c r="E4279" s="63" t="n"/>
    </row>
    <row r="4280" ht="18" customHeight="1">
      <c r="A4280" s="62" t="n"/>
      <c r="B4280" s="63" t="n"/>
      <c r="C4280" s="64" t="n"/>
      <c r="D4280" s="64" t="n"/>
      <c r="E4280" s="63" t="n"/>
    </row>
    <row r="4281" ht="18" customHeight="1">
      <c r="A4281" s="62" t="n"/>
      <c r="B4281" s="63" t="n"/>
      <c r="C4281" s="64" t="n"/>
      <c r="D4281" s="64" t="n"/>
      <c r="E4281" s="63" t="n"/>
    </row>
    <row r="4282" ht="18" customHeight="1">
      <c r="A4282" s="62" t="n"/>
      <c r="B4282" s="63" t="n"/>
      <c r="C4282" s="64" t="n"/>
      <c r="D4282" s="64" t="n"/>
      <c r="E4282" s="63" t="n"/>
    </row>
    <row r="4283" ht="18" customHeight="1">
      <c r="A4283" s="62" t="n"/>
      <c r="B4283" s="63" t="n"/>
      <c r="C4283" s="64" t="n"/>
      <c r="D4283" s="64" t="n"/>
      <c r="E4283" s="63" t="n"/>
    </row>
    <row r="4284" ht="18" customHeight="1">
      <c r="A4284" s="62" t="n"/>
      <c r="B4284" s="63" t="n"/>
      <c r="C4284" s="64" t="n"/>
      <c r="D4284" s="64" t="n"/>
      <c r="E4284" s="63" t="n"/>
    </row>
    <row r="4285" ht="18" customHeight="1">
      <c r="A4285" s="62" t="n"/>
      <c r="B4285" s="63" t="n"/>
      <c r="C4285" s="64" t="n"/>
      <c r="D4285" s="64" t="n"/>
      <c r="E4285" s="63" t="n"/>
    </row>
    <row r="4286" ht="18" customHeight="1">
      <c r="A4286" s="62" t="n"/>
      <c r="B4286" s="63" t="n"/>
      <c r="C4286" s="64" t="n"/>
      <c r="D4286" s="64" t="n"/>
      <c r="E4286" s="63" t="n"/>
    </row>
    <row r="4287" ht="18" customHeight="1">
      <c r="A4287" s="62" t="n"/>
      <c r="B4287" s="63" t="n"/>
      <c r="C4287" s="64" t="n"/>
      <c r="D4287" s="64" t="n"/>
      <c r="E4287" s="63" t="n"/>
    </row>
    <row r="4288" ht="18" customHeight="1">
      <c r="A4288" s="62" t="n"/>
      <c r="B4288" s="63" t="n"/>
      <c r="C4288" s="64" t="n"/>
      <c r="D4288" s="64" t="n"/>
      <c r="E4288" s="63" t="n"/>
    </row>
    <row r="4289" ht="18" customHeight="1">
      <c r="A4289" s="62" t="n"/>
      <c r="B4289" s="63" t="n"/>
      <c r="C4289" s="64" t="n"/>
      <c r="D4289" s="64" t="n"/>
      <c r="E4289" s="63" t="n"/>
    </row>
    <row r="4290" ht="18" customHeight="1">
      <c r="A4290" s="62" t="n"/>
      <c r="B4290" s="63" t="n"/>
      <c r="C4290" s="64" t="n"/>
      <c r="D4290" s="64" t="n"/>
      <c r="E4290" s="63" t="n"/>
    </row>
    <row r="4291" ht="18" customHeight="1">
      <c r="A4291" s="62" t="n"/>
      <c r="B4291" s="63" t="n"/>
      <c r="C4291" s="64" t="n"/>
      <c r="D4291" s="64" t="n"/>
      <c r="E4291" s="63" t="n"/>
    </row>
    <row r="4292" ht="18" customHeight="1">
      <c r="A4292" s="62" t="n"/>
      <c r="B4292" s="63" t="n"/>
      <c r="C4292" s="64" t="n"/>
      <c r="D4292" s="64" t="n"/>
      <c r="E4292" s="63" t="n"/>
    </row>
    <row r="4293" ht="18" customHeight="1">
      <c r="A4293" s="62" t="n"/>
      <c r="B4293" s="63" t="n"/>
      <c r="C4293" s="64" t="n"/>
      <c r="D4293" s="64" t="n"/>
      <c r="E4293" s="63" t="n"/>
    </row>
    <row r="4294" ht="18" customHeight="1">
      <c r="A4294" s="62" t="n"/>
      <c r="B4294" s="63" t="n"/>
      <c r="C4294" s="64" t="n"/>
      <c r="D4294" s="64" t="n"/>
      <c r="E4294" s="63" t="n"/>
    </row>
    <row r="4295" ht="18" customHeight="1">
      <c r="A4295" s="62" t="n"/>
      <c r="B4295" s="63" t="n"/>
      <c r="C4295" s="64" t="n"/>
      <c r="D4295" s="64" t="n"/>
      <c r="E4295" s="63" t="n"/>
    </row>
    <row r="4296" ht="18" customHeight="1">
      <c r="A4296" s="62" t="n"/>
      <c r="B4296" s="63" t="n"/>
      <c r="C4296" s="64" t="n"/>
      <c r="D4296" s="64" t="n"/>
      <c r="E4296" s="63" t="n"/>
    </row>
    <row r="4297" ht="18" customHeight="1">
      <c r="A4297" s="62" t="n"/>
      <c r="B4297" s="63" t="n"/>
      <c r="C4297" s="64" t="n"/>
      <c r="D4297" s="64" t="n"/>
      <c r="E4297" s="63" t="n"/>
    </row>
    <row r="4298" ht="18" customHeight="1">
      <c r="A4298" s="62" t="n"/>
      <c r="B4298" s="63" t="n"/>
      <c r="C4298" s="64" t="n"/>
      <c r="D4298" s="64" t="n"/>
      <c r="E4298" s="63" t="n"/>
    </row>
    <row r="4299" ht="18" customHeight="1">
      <c r="A4299" s="62" t="n"/>
      <c r="B4299" s="63" t="n"/>
      <c r="C4299" s="64" t="n"/>
      <c r="D4299" s="64" t="n"/>
      <c r="E4299" s="63" t="n"/>
    </row>
    <row r="4300" ht="18" customHeight="1">
      <c r="A4300" s="62" t="n"/>
      <c r="B4300" s="63" t="n"/>
      <c r="C4300" s="64" t="n"/>
      <c r="D4300" s="64" t="n"/>
      <c r="E4300" s="63" t="n"/>
    </row>
    <row r="4301" ht="18" customHeight="1">
      <c r="A4301" s="62" t="n"/>
      <c r="B4301" s="63" t="n"/>
      <c r="C4301" s="64" t="n"/>
      <c r="D4301" s="64" t="n"/>
      <c r="E4301" s="63" t="n"/>
    </row>
    <row r="4302" ht="18" customHeight="1">
      <c r="A4302" s="62" t="n"/>
      <c r="B4302" s="63" t="n"/>
      <c r="C4302" s="64" t="n"/>
      <c r="D4302" s="64" t="n"/>
      <c r="E4302" s="63" t="n"/>
    </row>
    <row r="4303" ht="18" customHeight="1">
      <c r="A4303" s="62" t="n"/>
      <c r="B4303" s="63" t="n"/>
      <c r="C4303" s="64" t="n"/>
      <c r="D4303" s="64" t="n"/>
      <c r="E4303" s="63" t="n"/>
    </row>
    <row r="4304" ht="18" customHeight="1">
      <c r="A4304" s="62" t="n"/>
      <c r="B4304" s="63" t="n"/>
      <c r="C4304" s="64" t="n"/>
      <c r="D4304" s="64" t="n"/>
      <c r="E4304" s="63" t="n"/>
    </row>
    <row r="4305" ht="18" customHeight="1">
      <c r="A4305" s="62" t="n"/>
      <c r="B4305" s="63" t="n"/>
      <c r="C4305" s="64" t="n"/>
      <c r="D4305" s="64" t="n"/>
      <c r="E4305" s="63" t="n"/>
    </row>
    <row r="4306" ht="18" customHeight="1">
      <c r="A4306" s="62" t="n"/>
      <c r="B4306" s="63" t="n"/>
      <c r="C4306" s="64" t="n"/>
      <c r="D4306" s="64" t="n"/>
      <c r="E4306" s="63" t="n"/>
    </row>
    <row r="4307" ht="18" customHeight="1">
      <c r="A4307" s="62" t="n"/>
      <c r="B4307" s="63" t="n"/>
      <c r="C4307" s="64" t="n"/>
      <c r="D4307" s="64" t="n"/>
      <c r="E4307" s="63" t="n"/>
    </row>
    <row r="4308" ht="18" customHeight="1">
      <c r="A4308" s="62" t="n"/>
      <c r="B4308" s="63" t="n"/>
      <c r="C4308" s="64" t="n"/>
      <c r="D4308" s="64" t="n"/>
      <c r="E4308" s="63" t="n"/>
    </row>
    <row r="4309" ht="18" customHeight="1">
      <c r="A4309" s="62" t="n"/>
      <c r="B4309" s="63" t="n"/>
      <c r="C4309" s="64" t="n"/>
      <c r="D4309" s="64" t="n"/>
      <c r="E4309" s="63" t="n"/>
    </row>
    <row r="4310" ht="18" customHeight="1">
      <c r="A4310" s="62" t="n"/>
      <c r="B4310" s="63" t="n"/>
      <c r="C4310" s="64" t="n"/>
      <c r="D4310" s="64" t="n"/>
      <c r="E4310" s="63" t="n"/>
    </row>
    <row r="4311" ht="18" customHeight="1">
      <c r="A4311" s="62" t="n"/>
      <c r="B4311" s="63" t="n"/>
      <c r="C4311" s="64" t="n"/>
      <c r="D4311" s="64" t="n"/>
      <c r="E4311" s="63" t="n"/>
    </row>
    <row r="4312" ht="18" customHeight="1">
      <c r="A4312" s="62" t="n"/>
      <c r="B4312" s="63" t="n"/>
      <c r="C4312" s="64" t="n"/>
      <c r="D4312" s="64" t="n"/>
      <c r="E4312" s="63" t="n"/>
    </row>
    <row r="4313" ht="18" customHeight="1">
      <c r="A4313" s="62" t="n"/>
      <c r="B4313" s="63" t="n"/>
      <c r="C4313" s="64" t="n"/>
      <c r="D4313" s="64" t="n"/>
      <c r="E4313" s="63" t="n"/>
    </row>
    <row r="4314" ht="18" customHeight="1">
      <c r="A4314" s="62" t="n"/>
      <c r="B4314" s="63" t="n"/>
      <c r="C4314" s="64" t="n"/>
      <c r="D4314" s="64" t="n"/>
      <c r="E4314" s="63" t="n"/>
    </row>
    <row r="4315" ht="18" customHeight="1">
      <c r="A4315" s="62" t="n"/>
      <c r="B4315" s="63" t="n"/>
      <c r="C4315" s="64" t="n"/>
      <c r="D4315" s="64" t="n"/>
      <c r="E4315" s="63" t="n"/>
    </row>
    <row r="4316" ht="18" customHeight="1">
      <c r="A4316" s="62" t="n"/>
      <c r="B4316" s="63" t="n"/>
      <c r="C4316" s="64" t="n"/>
      <c r="D4316" s="64" t="n"/>
      <c r="E4316" s="63" t="n"/>
    </row>
    <row r="4317" ht="18" customHeight="1">
      <c r="A4317" s="62" t="n"/>
      <c r="B4317" s="63" t="n"/>
      <c r="C4317" s="64" t="n"/>
      <c r="D4317" s="64" t="n"/>
      <c r="E4317" s="63" t="n"/>
    </row>
    <row r="4318" ht="18" customHeight="1">
      <c r="A4318" s="62" t="n"/>
      <c r="B4318" s="63" t="n"/>
      <c r="C4318" s="64" t="n"/>
      <c r="D4318" s="64" t="n"/>
      <c r="E4318" s="63" t="n"/>
    </row>
    <row r="4319" ht="18" customHeight="1">
      <c r="A4319" s="62" t="n"/>
      <c r="B4319" s="63" t="n"/>
      <c r="C4319" s="64" t="n"/>
      <c r="D4319" s="64" t="n"/>
      <c r="E4319" s="63" t="n"/>
    </row>
    <row r="4320" ht="18" customHeight="1">
      <c r="A4320" s="62" t="n"/>
      <c r="B4320" s="63" t="n"/>
      <c r="C4320" s="64" t="n"/>
      <c r="D4320" s="64" t="n"/>
      <c r="E4320" s="63" t="n"/>
    </row>
    <row r="4321" ht="18" customHeight="1">
      <c r="A4321" s="62" t="n"/>
      <c r="B4321" s="63" t="n"/>
      <c r="C4321" s="64" t="n"/>
      <c r="D4321" s="64" t="n"/>
      <c r="E4321" s="63" t="n"/>
    </row>
    <row r="4322" ht="18" customHeight="1">
      <c r="A4322" s="62" t="n"/>
      <c r="B4322" s="63" t="n"/>
      <c r="C4322" s="64" t="n"/>
      <c r="D4322" s="64" t="n"/>
      <c r="E4322" s="63" t="n"/>
    </row>
    <row r="4323" ht="18" customHeight="1">
      <c r="A4323" s="62" t="n"/>
      <c r="B4323" s="63" t="n"/>
      <c r="C4323" s="64" t="n"/>
      <c r="D4323" s="64" t="n"/>
      <c r="E4323" s="63" t="n"/>
    </row>
    <row r="4324" ht="18" customHeight="1">
      <c r="A4324" s="62" t="n"/>
      <c r="B4324" s="63" t="n"/>
      <c r="C4324" s="64" t="n"/>
      <c r="D4324" s="64" t="n"/>
      <c r="E4324" s="63" t="n"/>
    </row>
    <row r="4325" ht="18" customHeight="1">
      <c r="A4325" s="62" t="n"/>
      <c r="B4325" s="63" t="n"/>
      <c r="C4325" s="64" t="n"/>
      <c r="D4325" s="64" t="n"/>
      <c r="E4325" s="63" t="n"/>
    </row>
    <row r="4326" ht="18" customHeight="1">
      <c r="A4326" s="62" t="n"/>
      <c r="B4326" s="63" t="n"/>
      <c r="C4326" s="64" t="n"/>
      <c r="D4326" s="64" t="n"/>
      <c r="E4326" s="63" t="n"/>
    </row>
    <row r="4327" ht="18" customHeight="1">
      <c r="A4327" s="62" t="n"/>
      <c r="B4327" s="63" t="n"/>
      <c r="C4327" s="64" t="n"/>
      <c r="D4327" s="64" t="n"/>
      <c r="E4327" s="63" t="n"/>
    </row>
    <row r="4328" ht="18" customHeight="1">
      <c r="A4328" s="62" t="n"/>
      <c r="B4328" s="63" t="n"/>
      <c r="C4328" s="64" t="n"/>
      <c r="D4328" s="64" t="n"/>
      <c r="E4328" s="63" t="n"/>
    </row>
    <row r="4329" ht="18" customHeight="1">
      <c r="A4329" s="62" t="n"/>
      <c r="B4329" s="63" t="n"/>
      <c r="C4329" s="64" t="n"/>
      <c r="D4329" s="64" t="n"/>
      <c r="E4329" s="63" t="n"/>
    </row>
    <row r="4330" ht="18" customHeight="1">
      <c r="A4330" s="62" t="n"/>
      <c r="B4330" s="63" t="n"/>
      <c r="C4330" s="64" t="n"/>
      <c r="D4330" s="64" t="n"/>
      <c r="E4330" s="63" t="n"/>
    </row>
    <row r="4331" ht="18" customHeight="1">
      <c r="A4331" s="62" t="n"/>
      <c r="B4331" s="63" t="n"/>
      <c r="C4331" s="64" t="n"/>
      <c r="D4331" s="64" t="n"/>
      <c r="E4331" s="63" t="n"/>
    </row>
    <row r="4332" ht="18" customHeight="1">
      <c r="A4332" s="62" t="n"/>
      <c r="B4332" s="63" t="n"/>
      <c r="C4332" s="64" t="n"/>
      <c r="D4332" s="64" t="n"/>
      <c r="E4332" s="63" t="n"/>
    </row>
    <row r="4333" ht="18" customHeight="1">
      <c r="A4333" s="62" t="n"/>
      <c r="B4333" s="63" t="n"/>
      <c r="C4333" s="64" t="n"/>
      <c r="D4333" s="64" t="n"/>
      <c r="E4333" s="63" t="n"/>
    </row>
    <row r="4334" ht="18" customHeight="1">
      <c r="A4334" s="62" t="n"/>
      <c r="B4334" s="63" t="n"/>
      <c r="C4334" s="64" t="n"/>
      <c r="D4334" s="64" t="n"/>
      <c r="E4334" s="63" t="n"/>
    </row>
    <row r="4335" ht="18" customHeight="1">
      <c r="A4335" s="62" t="n"/>
      <c r="B4335" s="63" t="n"/>
      <c r="C4335" s="64" t="n"/>
      <c r="D4335" s="64" t="n"/>
      <c r="E4335" s="63" t="n"/>
    </row>
    <row r="4336" ht="18" customHeight="1">
      <c r="A4336" s="62" t="n"/>
      <c r="B4336" s="63" t="n"/>
      <c r="C4336" s="64" t="n"/>
      <c r="D4336" s="64" t="n"/>
      <c r="E4336" s="63" t="n"/>
    </row>
    <row r="4337" ht="18" customHeight="1">
      <c r="A4337" s="62" t="n"/>
      <c r="B4337" s="63" t="n"/>
      <c r="C4337" s="64" t="n"/>
      <c r="D4337" s="64" t="n"/>
      <c r="E4337" s="63" t="n"/>
    </row>
    <row r="4338" ht="18" customHeight="1">
      <c r="A4338" s="62" t="n"/>
      <c r="B4338" s="63" t="n"/>
      <c r="C4338" s="64" t="n"/>
      <c r="D4338" s="64" t="n"/>
      <c r="E4338" s="63" t="n"/>
    </row>
    <row r="4339" ht="18" customHeight="1">
      <c r="A4339" s="62" t="n"/>
      <c r="B4339" s="63" t="n"/>
      <c r="C4339" s="64" t="n"/>
      <c r="D4339" s="64" t="n"/>
      <c r="E4339" s="63" t="n"/>
    </row>
    <row r="4340" ht="18" customHeight="1">
      <c r="A4340" s="62" t="n"/>
      <c r="B4340" s="63" t="n"/>
      <c r="C4340" s="64" t="n"/>
      <c r="D4340" s="64" t="n"/>
      <c r="E4340" s="63" t="n"/>
    </row>
    <row r="4341" ht="18" customHeight="1">
      <c r="A4341" s="62" t="n"/>
      <c r="B4341" s="63" t="n"/>
      <c r="C4341" s="64" t="n"/>
      <c r="D4341" s="64" t="n"/>
      <c r="E4341" s="63" t="n"/>
    </row>
    <row r="4342" ht="18" customHeight="1">
      <c r="A4342" s="62" t="n"/>
      <c r="B4342" s="63" t="n"/>
      <c r="C4342" s="64" t="n"/>
      <c r="D4342" s="64" t="n"/>
      <c r="E4342" s="63" t="n"/>
    </row>
    <row r="4343" ht="18" customHeight="1">
      <c r="A4343" s="62" t="n"/>
      <c r="B4343" s="63" t="n"/>
      <c r="C4343" s="64" t="n"/>
      <c r="D4343" s="64" t="n"/>
      <c r="E4343" s="63" t="n"/>
    </row>
    <row r="4344" ht="18" customHeight="1">
      <c r="A4344" s="62" t="n"/>
      <c r="B4344" s="63" t="n"/>
      <c r="C4344" s="64" t="n"/>
      <c r="D4344" s="64" t="n"/>
      <c r="E4344" s="63" t="n"/>
    </row>
    <row r="4345" ht="18" customHeight="1">
      <c r="A4345" s="62" t="n"/>
      <c r="B4345" s="63" t="n"/>
      <c r="C4345" s="64" t="n"/>
      <c r="D4345" s="64" t="n"/>
      <c r="E4345" s="63" t="n"/>
    </row>
    <row r="4346" ht="18" customHeight="1">
      <c r="A4346" s="62" t="n"/>
      <c r="B4346" s="63" t="n"/>
      <c r="C4346" s="64" t="n"/>
      <c r="D4346" s="64" t="n"/>
      <c r="E4346" s="63" t="n"/>
    </row>
    <row r="4347" ht="18" customHeight="1">
      <c r="A4347" s="62" t="n"/>
      <c r="B4347" s="63" t="n"/>
      <c r="C4347" s="64" t="n"/>
      <c r="D4347" s="64" t="n"/>
      <c r="E4347" s="63" t="n"/>
    </row>
    <row r="4348" ht="18" customHeight="1">
      <c r="A4348" s="62" t="n"/>
      <c r="B4348" s="63" t="n"/>
      <c r="C4348" s="64" t="n"/>
      <c r="D4348" s="64" t="n"/>
      <c r="E4348" s="63" t="n"/>
    </row>
    <row r="4349" ht="18" customHeight="1">
      <c r="A4349" s="62" t="n"/>
      <c r="B4349" s="63" t="n"/>
      <c r="C4349" s="64" t="n"/>
      <c r="D4349" s="64" t="n"/>
      <c r="E4349" s="63" t="n"/>
    </row>
    <row r="4350" ht="18" customHeight="1">
      <c r="A4350" s="62" t="n"/>
      <c r="B4350" s="63" t="n"/>
      <c r="C4350" s="64" t="n"/>
      <c r="D4350" s="64" t="n"/>
      <c r="E4350" s="63" t="n"/>
    </row>
    <row r="4351" ht="18" customHeight="1">
      <c r="A4351" s="62" t="n"/>
      <c r="B4351" s="63" t="n"/>
      <c r="C4351" s="64" t="n"/>
      <c r="D4351" s="64" t="n"/>
      <c r="E4351" s="63" t="n"/>
    </row>
    <row r="4352" ht="18" customHeight="1">
      <c r="A4352" s="62" t="n"/>
      <c r="B4352" s="63" t="n"/>
      <c r="C4352" s="64" t="n"/>
      <c r="D4352" s="64" t="n"/>
      <c r="E4352" s="63" t="n"/>
    </row>
    <row r="4353" ht="18" customHeight="1">
      <c r="A4353" s="62" t="n"/>
      <c r="B4353" s="63" t="n"/>
      <c r="C4353" s="64" t="n"/>
      <c r="D4353" s="64" t="n"/>
      <c r="E4353" s="63" t="n"/>
    </row>
    <row r="4354" ht="18" customHeight="1">
      <c r="A4354" s="62" t="n"/>
      <c r="B4354" s="63" t="n"/>
      <c r="C4354" s="64" t="n"/>
      <c r="D4354" s="64" t="n"/>
      <c r="E4354" s="63" t="n"/>
    </row>
    <row r="4355" ht="18" customHeight="1">
      <c r="A4355" s="62" t="n"/>
      <c r="B4355" s="63" t="n"/>
      <c r="C4355" s="64" t="n"/>
      <c r="D4355" s="64" t="n"/>
      <c r="E4355" s="63" t="n"/>
    </row>
    <row r="4356" ht="18" customHeight="1">
      <c r="A4356" s="62" t="n"/>
      <c r="B4356" s="63" t="n"/>
      <c r="C4356" s="64" t="n"/>
      <c r="D4356" s="64" t="n"/>
      <c r="E4356" s="63" t="n"/>
    </row>
    <row r="4357" ht="18" customHeight="1">
      <c r="A4357" s="62" t="n"/>
      <c r="B4357" s="63" t="n"/>
      <c r="C4357" s="64" t="n"/>
      <c r="D4357" s="64" t="n"/>
      <c r="E4357" s="63" t="n"/>
    </row>
    <row r="4358" ht="18" customHeight="1">
      <c r="A4358" s="62" t="n"/>
      <c r="B4358" s="63" t="n"/>
      <c r="C4358" s="64" t="n"/>
      <c r="D4358" s="64" t="n"/>
      <c r="E4358" s="63" t="n"/>
    </row>
    <row r="4359" ht="18" customHeight="1">
      <c r="A4359" s="62" t="n"/>
      <c r="B4359" s="63" t="n"/>
      <c r="C4359" s="64" t="n"/>
      <c r="D4359" s="64" t="n"/>
      <c r="E4359" s="63" t="n"/>
    </row>
    <row r="4360" ht="18" customHeight="1">
      <c r="A4360" s="62" t="n"/>
      <c r="B4360" s="63" t="n"/>
      <c r="C4360" s="64" t="n"/>
      <c r="D4360" s="64" t="n"/>
      <c r="E4360" s="63" t="n"/>
    </row>
    <row r="4361" ht="18" customHeight="1">
      <c r="A4361" s="62" t="n"/>
      <c r="B4361" s="63" t="n"/>
      <c r="C4361" s="64" t="n"/>
      <c r="D4361" s="64" t="n"/>
      <c r="E4361" s="63" t="n"/>
    </row>
    <row r="4362" ht="18" customHeight="1">
      <c r="A4362" s="62" t="n"/>
      <c r="B4362" s="63" t="n"/>
      <c r="C4362" s="64" t="n"/>
      <c r="D4362" s="64" t="n"/>
      <c r="E4362" s="63" t="n"/>
    </row>
    <row r="4363" ht="18" customHeight="1">
      <c r="A4363" s="62" t="n"/>
      <c r="B4363" s="63" t="n"/>
      <c r="C4363" s="64" t="n"/>
      <c r="D4363" s="64" t="n"/>
      <c r="E4363" s="63" t="n"/>
    </row>
    <row r="4364" ht="18" customHeight="1">
      <c r="A4364" s="62" t="n"/>
      <c r="B4364" s="63" t="n"/>
      <c r="C4364" s="64" t="n"/>
      <c r="D4364" s="64" t="n"/>
      <c r="E4364" s="63" t="n"/>
    </row>
    <row r="4365" ht="18" customHeight="1">
      <c r="A4365" s="62" t="n"/>
      <c r="B4365" s="63" t="n"/>
      <c r="C4365" s="64" t="n"/>
      <c r="D4365" s="64" t="n"/>
      <c r="E4365" s="63" t="n"/>
    </row>
    <row r="4366" ht="18" customHeight="1">
      <c r="A4366" s="62" t="n"/>
      <c r="B4366" s="63" t="n"/>
      <c r="C4366" s="64" t="n"/>
      <c r="D4366" s="64" t="n"/>
      <c r="E4366" s="63" t="n"/>
    </row>
    <row r="4367" ht="18" customHeight="1">
      <c r="A4367" s="62" t="n"/>
      <c r="B4367" s="63" t="n"/>
      <c r="C4367" s="64" t="n"/>
      <c r="D4367" s="64" t="n"/>
      <c r="E4367" s="63" t="n"/>
    </row>
    <row r="4368" ht="18" customHeight="1">
      <c r="A4368" s="62" t="n"/>
      <c r="B4368" s="63" t="n"/>
      <c r="C4368" s="64" t="n"/>
      <c r="D4368" s="64" t="n"/>
      <c r="E4368" s="63" t="n"/>
    </row>
    <row r="4369" ht="18" customHeight="1">
      <c r="A4369" s="62" t="n"/>
      <c r="B4369" s="63" t="n"/>
      <c r="C4369" s="64" t="n"/>
      <c r="D4369" s="64" t="n"/>
      <c r="E4369" s="63" t="n"/>
    </row>
    <row r="4370" ht="18" customHeight="1">
      <c r="A4370" s="62" t="n"/>
      <c r="B4370" s="63" t="n"/>
      <c r="C4370" s="64" t="n"/>
      <c r="D4370" s="64" t="n"/>
      <c r="E4370" s="63" t="n"/>
    </row>
    <row r="4371" ht="18" customHeight="1">
      <c r="A4371" s="62" t="n"/>
      <c r="B4371" s="63" t="n"/>
      <c r="C4371" s="64" t="n"/>
      <c r="D4371" s="64" t="n"/>
      <c r="E4371" s="63" t="n"/>
    </row>
    <row r="4372" ht="18" customHeight="1">
      <c r="A4372" s="62" t="n"/>
      <c r="B4372" s="63" t="n"/>
      <c r="C4372" s="64" t="n"/>
      <c r="D4372" s="64" t="n"/>
      <c r="E4372" s="63" t="n"/>
    </row>
    <row r="4373" ht="18" customHeight="1">
      <c r="A4373" s="62" t="n"/>
      <c r="B4373" s="63" t="n"/>
      <c r="C4373" s="64" t="n"/>
      <c r="D4373" s="64" t="n"/>
      <c r="E4373" s="63" t="n"/>
    </row>
    <row r="4374" ht="18" customHeight="1">
      <c r="A4374" s="62" t="n"/>
      <c r="B4374" s="63" t="n"/>
      <c r="C4374" s="64" t="n"/>
      <c r="D4374" s="64" t="n"/>
      <c r="E4374" s="63" t="n"/>
    </row>
    <row r="4375" ht="18" customHeight="1">
      <c r="A4375" s="62" t="n"/>
      <c r="B4375" s="63" t="n"/>
      <c r="C4375" s="64" t="n"/>
      <c r="D4375" s="64" t="n"/>
      <c r="E4375" s="63" t="n"/>
    </row>
    <row r="4376" ht="18" customHeight="1">
      <c r="A4376" s="62" t="n"/>
      <c r="B4376" s="63" t="n"/>
      <c r="C4376" s="64" t="n"/>
      <c r="D4376" s="64" t="n"/>
      <c r="E4376" s="63" t="n"/>
    </row>
    <row r="4377" ht="18" customHeight="1">
      <c r="A4377" s="62" t="n"/>
      <c r="B4377" s="63" t="n"/>
      <c r="C4377" s="64" t="n"/>
      <c r="D4377" s="64" t="n"/>
      <c r="E4377" s="63" t="n"/>
    </row>
    <row r="4378" ht="18" customHeight="1">
      <c r="A4378" s="62" t="n"/>
      <c r="B4378" s="63" t="n"/>
      <c r="C4378" s="64" t="n"/>
      <c r="D4378" s="64" t="n"/>
      <c r="E4378" s="63" t="n"/>
    </row>
    <row r="4379" ht="18" customHeight="1">
      <c r="A4379" s="62" t="n"/>
      <c r="B4379" s="63" t="n"/>
      <c r="C4379" s="64" t="n"/>
      <c r="D4379" s="64" t="n"/>
      <c r="E4379" s="63" t="n"/>
    </row>
    <row r="4380" ht="18" customHeight="1">
      <c r="A4380" s="62" t="n"/>
      <c r="B4380" s="63" t="n"/>
      <c r="C4380" s="64" t="n"/>
      <c r="D4380" s="64" t="n"/>
      <c r="E4380" s="63" t="n"/>
    </row>
    <row r="4381" ht="18" customHeight="1">
      <c r="A4381" s="62" t="n"/>
      <c r="B4381" s="63" t="n"/>
      <c r="C4381" s="64" t="n"/>
      <c r="D4381" s="64" t="n"/>
      <c r="E4381" s="63" t="n"/>
    </row>
    <row r="4382" ht="18" customHeight="1">
      <c r="A4382" s="62" t="n"/>
      <c r="B4382" s="63" t="n"/>
      <c r="C4382" s="64" t="n"/>
      <c r="D4382" s="64" t="n"/>
      <c r="E4382" s="63" t="n"/>
    </row>
    <row r="4383" ht="18" customHeight="1">
      <c r="A4383" s="62" t="n"/>
      <c r="B4383" s="63" t="n"/>
      <c r="C4383" s="64" t="n"/>
      <c r="D4383" s="64" t="n"/>
      <c r="E4383" s="63" t="n"/>
    </row>
    <row r="4384" ht="18" customHeight="1">
      <c r="A4384" s="62" t="n"/>
      <c r="B4384" s="63" t="n"/>
      <c r="C4384" s="64" t="n"/>
      <c r="D4384" s="64" t="n"/>
      <c r="E4384" s="63" t="n"/>
    </row>
    <row r="4385" ht="18" customHeight="1">
      <c r="A4385" s="62" t="n"/>
      <c r="B4385" s="63" t="n"/>
      <c r="C4385" s="64" t="n"/>
      <c r="D4385" s="64" t="n"/>
      <c r="E4385" s="63" t="n"/>
    </row>
    <row r="4386" ht="18" customHeight="1">
      <c r="A4386" s="62" t="n"/>
      <c r="B4386" s="63" t="n"/>
      <c r="C4386" s="64" t="n"/>
      <c r="D4386" s="64" t="n"/>
      <c r="E4386" s="63" t="n"/>
    </row>
    <row r="4387" ht="18" customHeight="1">
      <c r="A4387" s="62" t="n"/>
      <c r="B4387" s="63" t="n"/>
      <c r="C4387" s="64" t="n"/>
      <c r="D4387" s="64" t="n"/>
      <c r="E4387" s="63" t="n"/>
    </row>
    <row r="4388" ht="18" customHeight="1">
      <c r="A4388" s="62" t="n"/>
      <c r="B4388" s="63" t="n"/>
      <c r="C4388" s="64" t="n"/>
      <c r="D4388" s="64" t="n"/>
      <c r="E4388" s="63" t="n"/>
    </row>
    <row r="4389" ht="18" customHeight="1">
      <c r="A4389" s="62" t="n"/>
      <c r="B4389" s="63" t="n"/>
      <c r="C4389" s="64" t="n"/>
      <c r="D4389" s="64" t="n"/>
      <c r="E4389" s="63" t="n"/>
    </row>
    <row r="4390" ht="18" customHeight="1">
      <c r="A4390" s="62" t="n"/>
      <c r="B4390" s="63" t="n"/>
      <c r="C4390" s="64" t="n"/>
      <c r="D4390" s="64" t="n"/>
      <c r="E4390" s="63" t="n"/>
    </row>
    <row r="4391" ht="18" customHeight="1">
      <c r="A4391" s="62" t="n"/>
      <c r="B4391" s="63" t="n"/>
      <c r="C4391" s="64" t="n"/>
      <c r="D4391" s="64" t="n"/>
      <c r="E4391" s="63" t="n"/>
    </row>
    <row r="4392" ht="18" customHeight="1">
      <c r="A4392" s="62" t="n"/>
      <c r="B4392" s="63" t="n"/>
      <c r="C4392" s="64" t="n"/>
      <c r="D4392" s="64" t="n"/>
      <c r="E4392" s="63" t="n"/>
    </row>
    <row r="4393" ht="18" customHeight="1">
      <c r="A4393" s="62" t="n"/>
      <c r="B4393" s="63" t="n"/>
      <c r="C4393" s="64" t="n"/>
      <c r="D4393" s="64" t="n"/>
      <c r="E4393" s="63" t="n"/>
    </row>
    <row r="4394" ht="18" customHeight="1">
      <c r="A4394" s="62" t="n"/>
      <c r="B4394" s="63" t="n"/>
      <c r="C4394" s="64" t="n"/>
      <c r="D4394" s="64" t="n"/>
      <c r="E4394" s="63" t="n"/>
    </row>
    <row r="4395" ht="18" customHeight="1">
      <c r="A4395" s="62" t="n"/>
      <c r="B4395" s="63" t="n"/>
      <c r="C4395" s="64" t="n"/>
      <c r="D4395" s="64" t="n"/>
      <c r="E4395" s="63" t="n"/>
    </row>
    <row r="4396" ht="18" customHeight="1">
      <c r="A4396" s="62" t="n"/>
      <c r="B4396" s="63" t="n"/>
      <c r="C4396" s="64" t="n"/>
      <c r="D4396" s="64" t="n"/>
      <c r="E4396" s="63" t="n"/>
    </row>
    <row r="4397" ht="18" customHeight="1">
      <c r="A4397" s="62" t="n"/>
      <c r="B4397" s="63" t="n"/>
      <c r="C4397" s="64" t="n"/>
      <c r="D4397" s="64" t="n"/>
      <c r="E4397" s="63" t="n"/>
    </row>
    <row r="4398" ht="18" customHeight="1">
      <c r="A4398" s="62" t="n"/>
      <c r="B4398" s="63" t="n"/>
      <c r="C4398" s="64" t="n"/>
      <c r="D4398" s="64" t="n"/>
      <c r="E4398" s="63" t="n"/>
    </row>
    <row r="4399" ht="18" customHeight="1">
      <c r="A4399" s="62" t="n"/>
      <c r="B4399" s="63" t="n"/>
      <c r="C4399" s="64" t="n"/>
      <c r="D4399" s="64" t="n"/>
      <c r="E4399" s="63" t="n"/>
    </row>
    <row r="4400" ht="18" customHeight="1">
      <c r="A4400" s="62" t="n"/>
      <c r="B4400" s="63" t="n"/>
      <c r="C4400" s="64" t="n"/>
      <c r="D4400" s="64" t="n"/>
      <c r="E4400" s="63" t="n"/>
    </row>
    <row r="4401" ht="18" customHeight="1">
      <c r="A4401" s="62" t="n"/>
      <c r="B4401" s="63" t="n"/>
      <c r="C4401" s="64" t="n"/>
      <c r="D4401" s="64" t="n"/>
      <c r="E4401" s="63" t="n"/>
    </row>
    <row r="4402" ht="18" customHeight="1">
      <c r="A4402" s="62" t="n"/>
      <c r="B4402" s="63" t="n"/>
      <c r="C4402" s="64" t="n"/>
      <c r="D4402" s="64" t="n"/>
      <c r="E4402" s="63" t="n"/>
    </row>
    <row r="4403" ht="18" customHeight="1">
      <c r="A4403" s="62" t="n"/>
      <c r="B4403" s="63" t="n"/>
      <c r="C4403" s="64" t="n"/>
      <c r="D4403" s="64" t="n"/>
      <c r="E4403" s="63" t="n"/>
    </row>
    <row r="4404" ht="18" customHeight="1">
      <c r="A4404" s="62" t="n"/>
      <c r="B4404" s="63" t="n"/>
      <c r="C4404" s="64" t="n"/>
      <c r="D4404" s="64" t="n"/>
      <c r="E4404" s="63" t="n"/>
    </row>
    <row r="4405" ht="18" customHeight="1">
      <c r="A4405" s="62" t="n"/>
      <c r="B4405" s="63" t="n"/>
      <c r="C4405" s="64" t="n"/>
      <c r="D4405" s="64" t="n"/>
      <c r="E4405" s="63" t="n"/>
    </row>
    <row r="4406" ht="18" customHeight="1">
      <c r="A4406" s="62" t="n"/>
      <c r="B4406" s="63" t="n"/>
      <c r="C4406" s="64" t="n"/>
      <c r="D4406" s="64" t="n"/>
      <c r="E4406" s="63" t="n"/>
    </row>
    <row r="4407" ht="18" customHeight="1">
      <c r="A4407" s="62" t="n"/>
      <c r="B4407" s="63" t="n"/>
      <c r="C4407" s="64" t="n"/>
      <c r="D4407" s="64" t="n"/>
      <c r="E4407" s="63" t="n"/>
    </row>
    <row r="4408" ht="18" customHeight="1">
      <c r="A4408" s="62" t="n"/>
      <c r="B4408" s="63" t="n"/>
      <c r="C4408" s="64" t="n"/>
      <c r="D4408" s="64" t="n"/>
      <c r="E4408" s="63" t="n"/>
    </row>
    <row r="4409" ht="18" customHeight="1">
      <c r="A4409" s="62" t="n"/>
      <c r="B4409" s="63" t="n"/>
      <c r="C4409" s="64" t="n"/>
      <c r="D4409" s="64" t="n"/>
      <c r="E4409" s="63" t="n"/>
    </row>
    <row r="4410" ht="18" customHeight="1">
      <c r="A4410" s="62" t="n"/>
      <c r="B4410" s="63" t="n"/>
      <c r="C4410" s="64" t="n"/>
      <c r="D4410" s="64" t="n"/>
      <c r="E4410" s="63" t="n"/>
    </row>
    <row r="4411" ht="18" customHeight="1">
      <c r="A4411" s="62" t="n"/>
      <c r="B4411" s="63" t="n"/>
      <c r="C4411" s="64" t="n"/>
      <c r="D4411" s="64" t="n"/>
      <c r="E4411" s="63" t="n"/>
    </row>
    <row r="4412" ht="18" customHeight="1">
      <c r="A4412" s="62" t="n"/>
      <c r="B4412" s="63" t="n"/>
      <c r="C4412" s="64" t="n"/>
      <c r="D4412" s="64" t="n"/>
      <c r="E4412" s="63" t="n"/>
    </row>
    <row r="4413" ht="18" customHeight="1">
      <c r="A4413" s="62" t="n"/>
      <c r="B4413" s="63" t="n"/>
      <c r="C4413" s="64" t="n"/>
      <c r="D4413" s="64" t="n"/>
      <c r="E4413" s="63" t="n"/>
    </row>
    <row r="4414" ht="18" customHeight="1">
      <c r="A4414" s="62" t="n"/>
      <c r="B4414" s="63" t="n"/>
      <c r="C4414" s="64" t="n"/>
      <c r="D4414" s="64" t="n"/>
      <c r="E4414" s="63" t="n"/>
    </row>
    <row r="4415" ht="18" customHeight="1">
      <c r="A4415" s="62" t="n"/>
      <c r="B4415" s="63" t="n"/>
      <c r="C4415" s="64" t="n"/>
      <c r="D4415" s="64" t="n"/>
      <c r="E4415" s="63" t="n"/>
    </row>
    <row r="4416" ht="18" customHeight="1">
      <c r="A4416" s="62" t="n"/>
      <c r="B4416" s="63" t="n"/>
      <c r="C4416" s="64" t="n"/>
      <c r="D4416" s="64" t="n"/>
      <c r="E4416" s="63" t="n"/>
    </row>
    <row r="4417" ht="18" customHeight="1">
      <c r="A4417" s="62" t="n"/>
      <c r="B4417" s="63" t="n"/>
      <c r="C4417" s="64" t="n"/>
      <c r="D4417" s="64" t="n"/>
      <c r="E4417" s="63" t="n"/>
    </row>
    <row r="4418" ht="18" customHeight="1">
      <c r="A4418" s="62" t="n"/>
      <c r="B4418" s="63" t="n"/>
      <c r="C4418" s="64" t="n"/>
      <c r="D4418" s="64" t="n"/>
      <c r="E4418" s="63" t="n"/>
    </row>
    <row r="4419" ht="18" customHeight="1">
      <c r="A4419" s="62" t="n"/>
      <c r="B4419" s="63" t="n"/>
      <c r="C4419" s="64" t="n"/>
      <c r="D4419" s="64" t="n"/>
      <c r="E4419" s="63" t="n"/>
    </row>
    <row r="4420" ht="18" customHeight="1">
      <c r="A4420" s="62" t="n"/>
      <c r="B4420" s="63" t="n"/>
      <c r="C4420" s="64" t="n"/>
      <c r="D4420" s="64" t="n"/>
      <c r="E4420" s="63" t="n"/>
    </row>
    <row r="4421" ht="18" customHeight="1">
      <c r="A4421" s="62" t="n"/>
      <c r="B4421" s="63" t="n"/>
      <c r="C4421" s="64" t="n"/>
      <c r="D4421" s="64" t="n"/>
      <c r="E4421" s="63" t="n"/>
    </row>
    <row r="4422" ht="18" customHeight="1">
      <c r="A4422" s="62" t="n"/>
      <c r="B4422" s="63" t="n"/>
      <c r="C4422" s="64" t="n"/>
      <c r="D4422" s="64" t="n"/>
      <c r="E4422" s="63" t="n"/>
    </row>
    <row r="4423" ht="18" customHeight="1">
      <c r="A4423" s="62" t="n"/>
      <c r="B4423" s="63" t="n"/>
      <c r="C4423" s="64" t="n"/>
      <c r="D4423" s="64" t="n"/>
      <c r="E4423" s="63" t="n"/>
    </row>
    <row r="4424" ht="18" customHeight="1">
      <c r="A4424" s="62" t="n"/>
      <c r="B4424" s="63" t="n"/>
      <c r="C4424" s="64" t="n"/>
      <c r="D4424" s="64" t="n"/>
      <c r="E4424" s="63" t="n"/>
    </row>
    <row r="4425" ht="18" customHeight="1">
      <c r="A4425" s="62" t="n"/>
      <c r="B4425" s="63" t="n"/>
      <c r="C4425" s="64" t="n"/>
      <c r="D4425" s="64" t="n"/>
      <c r="E4425" s="63" t="n"/>
    </row>
    <row r="4426" ht="18" customHeight="1">
      <c r="A4426" s="62" t="n"/>
      <c r="B4426" s="63" t="n"/>
      <c r="C4426" s="64" t="n"/>
      <c r="D4426" s="64" t="n"/>
      <c r="E4426" s="63" t="n"/>
    </row>
    <row r="4427" ht="18" customHeight="1">
      <c r="A4427" s="62" t="n"/>
      <c r="B4427" s="63" t="n"/>
      <c r="C4427" s="64" t="n"/>
      <c r="D4427" s="64" t="n"/>
      <c r="E4427" s="63" t="n"/>
    </row>
    <row r="4428" ht="18" customHeight="1">
      <c r="A4428" s="62" t="n"/>
      <c r="B4428" s="63" t="n"/>
      <c r="C4428" s="64" t="n"/>
      <c r="D4428" s="64" t="n"/>
      <c r="E4428" s="63" t="n"/>
    </row>
    <row r="4429" ht="18" customHeight="1">
      <c r="A4429" s="62" t="n"/>
      <c r="B4429" s="63" t="n"/>
      <c r="C4429" s="64" t="n"/>
      <c r="D4429" s="64" t="n"/>
      <c r="E4429" s="63" t="n"/>
    </row>
    <row r="4430" ht="18" customHeight="1">
      <c r="A4430" s="62" t="n"/>
      <c r="B4430" s="63" t="n"/>
      <c r="C4430" s="64" t="n"/>
      <c r="D4430" s="64" t="n"/>
      <c r="E4430" s="63" t="n"/>
    </row>
    <row r="4431" ht="18" customHeight="1">
      <c r="A4431" s="62" t="n"/>
      <c r="B4431" s="63" t="n"/>
      <c r="C4431" s="64" t="n"/>
      <c r="D4431" s="64" t="n"/>
      <c r="E4431" s="63" t="n"/>
    </row>
    <row r="4432" ht="18" customHeight="1">
      <c r="A4432" s="62" t="n"/>
      <c r="B4432" s="63" t="n"/>
      <c r="C4432" s="64" t="n"/>
      <c r="D4432" s="64" t="n"/>
      <c r="E4432" s="63" t="n"/>
    </row>
    <row r="4433" ht="18" customHeight="1">
      <c r="A4433" s="62" t="n"/>
      <c r="B4433" s="63" t="n"/>
      <c r="C4433" s="64" t="n"/>
      <c r="D4433" s="64" t="n"/>
      <c r="E4433" s="63" t="n"/>
    </row>
    <row r="4434" ht="18" customHeight="1">
      <c r="A4434" s="62" t="n"/>
      <c r="B4434" s="63" t="n"/>
      <c r="C4434" s="64" t="n"/>
      <c r="D4434" s="64" t="n"/>
      <c r="E4434" s="63" t="n"/>
    </row>
    <row r="4435" ht="18" customHeight="1">
      <c r="A4435" s="62" t="n"/>
      <c r="B4435" s="63" t="n"/>
      <c r="C4435" s="64" t="n"/>
      <c r="D4435" s="64" t="n"/>
      <c r="E4435" s="63" t="n"/>
    </row>
    <row r="4436" ht="18" customHeight="1">
      <c r="A4436" s="62" t="n"/>
      <c r="B4436" s="63" t="n"/>
      <c r="C4436" s="64" t="n"/>
      <c r="D4436" s="64" t="n"/>
      <c r="E4436" s="63" t="n"/>
    </row>
    <row r="4437" ht="18" customHeight="1">
      <c r="A4437" s="62" t="n"/>
      <c r="B4437" s="63" t="n"/>
      <c r="C4437" s="64" t="n"/>
      <c r="D4437" s="64" t="n"/>
      <c r="E4437" s="63" t="n"/>
    </row>
    <row r="4438" ht="18" customHeight="1">
      <c r="A4438" s="62" t="n"/>
      <c r="B4438" s="63" t="n"/>
      <c r="C4438" s="64" t="n"/>
      <c r="D4438" s="64" t="n"/>
      <c r="E4438" s="63" t="n"/>
    </row>
    <row r="4439" ht="18" customHeight="1">
      <c r="A4439" s="62" t="n"/>
      <c r="B4439" s="63" t="n"/>
      <c r="C4439" s="64" t="n"/>
      <c r="D4439" s="64" t="n"/>
      <c r="E4439" s="63" t="n"/>
    </row>
    <row r="4440" ht="18" customHeight="1">
      <c r="A4440" s="62" t="n"/>
      <c r="B4440" s="63" t="n"/>
      <c r="C4440" s="64" t="n"/>
      <c r="D4440" s="64" t="n"/>
      <c r="E4440" s="63" t="n"/>
    </row>
    <row r="4441" ht="18" customHeight="1">
      <c r="A4441" s="62" t="n"/>
      <c r="B4441" s="63" t="n"/>
      <c r="C4441" s="64" t="n"/>
      <c r="D4441" s="64" t="n"/>
      <c r="E4441" s="63" t="n"/>
    </row>
    <row r="4442" ht="18" customHeight="1">
      <c r="A4442" s="62" t="n"/>
      <c r="B4442" s="63" t="n"/>
      <c r="C4442" s="64" t="n"/>
      <c r="D4442" s="64" t="n"/>
      <c r="E4442" s="63" t="n"/>
    </row>
    <row r="4443" ht="18" customHeight="1">
      <c r="A4443" s="62" t="n"/>
      <c r="B4443" s="63" t="n"/>
      <c r="C4443" s="64" t="n"/>
      <c r="D4443" s="64" t="n"/>
      <c r="E4443" s="63" t="n"/>
    </row>
    <row r="4444" ht="18" customHeight="1">
      <c r="A4444" s="62" t="n"/>
      <c r="B4444" s="63" t="n"/>
      <c r="C4444" s="64" t="n"/>
      <c r="D4444" s="64" t="n"/>
      <c r="E4444" s="63" t="n"/>
    </row>
    <row r="4445" ht="18" customHeight="1">
      <c r="A4445" s="62" t="n"/>
      <c r="B4445" s="63" t="n"/>
      <c r="C4445" s="64" t="n"/>
      <c r="D4445" s="64" t="n"/>
      <c r="E4445" s="63" t="n"/>
    </row>
    <row r="4446" ht="18" customHeight="1">
      <c r="A4446" s="62" t="n"/>
      <c r="B4446" s="63" t="n"/>
      <c r="C4446" s="64" t="n"/>
      <c r="D4446" s="64" t="n"/>
      <c r="E4446" s="63" t="n"/>
    </row>
    <row r="4447" ht="18" customHeight="1">
      <c r="A4447" s="62" t="n"/>
      <c r="B4447" s="63" t="n"/>
      <c r="C4447" s="64" t="n"/>
      <c r="D4447" s="64" t="n"/>
      <c r="E4447" s="63" t="n"/>
    </row>
    <row r="4448" ht="18" customHeight="1">
      <c r="A4448" s="62" t="n"/>
      <c r="B4448" s="63" t="n"/>
      <c r="C4448" s="64" t="n"/>
      <c r="D4448" s="64" t="n"/>
      <c r="E4448" s="63" t="n"/>
    </row>
    <row r="4449" ht="18" customHeight="1">
      <c r="A4449" s="62" t="n"/>
      <c r="B4449" s="63" t="n"/>
      <c r="C4449" s="64" t="n"/>
      <c r="D4449" s="64" t="n"/>
      <c r="E4449" s="63" t="n"/>
    </row>
    <row r="4450" ht="18" customHeight="1">
      <c r="A4450" s="62" t="n"/>
      <c r="B4450" s="63" t="n"/>
      <c r="C4450" s="64" t="n"/>
      <c r="D4450" s="64" t="n"/>
      <c r="E4450" s="63" t="n"/>
    </row>
    <row r="4451" ht="18" customHeight="1">
      <c r="A4451" s="62" t="n"/>
      <c r="B4451" s="63" t="n"/>
      <c r="C4451" s="64" t="n"/>
      <c r="D4451" s="64" t="n"/>
      <c r="E4451" s="63" t="n"/>
    </row>
    <row r="4452" ht="18" customHeight="1">
      <c r="A4452" s="62" t="n"/>
      <c r="B4452" s="63" t="n"/>
      <c r="C4452" s="64" t="n"/>
      <c r="D4452" s="64" t="n"/>
      <c r="E4452" s="63" t="n"/>
    </row>
    <row r="4453" ht="18" customHeight="1">
      <c r="A4453" s="62" t="n"/>
      <c r="B4453" s="63" t="n"/>
      <c r="C4453" s="64" t="n"/>
      <c r="D4453" s="64" t="n"/>
      <c r="E4453" s="63" t="n"/>
    </row>
    <row r="4454" ht="18" customHeight="1">
      <c r="A4454" s="62" t="n"/>
      <c r="B4454" s="63" t="n"/>
      <c r="C4454" s="64" t="n"/>
      <c r="D4454" s="64" t="n"/>
      <c r="E4454" s="63" t="n"/>
    </row>
    <row r="4455" ht="18" customHeight="1">
      <c r="A4455" s="62" t="n"/>
      <c r="B4455" s="63" t="n"/>
      <c r="C4455" s="64" t="n"/>
      <c r="D4455" s="64" t="n"/>
      <c r="E4455" s="63" t="n"/>
    </row>
    <row r="4456" ht="18" customHeight="1">
      <c r="A4456" s="62" t="n"/>
      <c r="B4456" s="63" t="n"/>
      <c r="C4456" s="64" t="n"/>
      <c r="D4456" s="64" t="n"/>
      <c r="E4456" s="63" t="n"/>
    </row>
    <row r="4457" ht="18" customHeight="1">
      <c r="A4457" s="62" t="n"/>
      <c r="B4457" s="63" t="n"/>
      <c r="C4457" s="64" t="n"/>
      <c r="D4457" s="64" t="n"/>
      <c r="E4457" s="63" t="n"/>
    </row>
    <row r="4458" ht="18" customHeight="1">
      <c r="A4458" s="62" t="n"/>
      <c r="B4458" s="63" t="n"/>
      <c r="C4458" s="64" t="n"/>
      <c r="D4458" s="64" t="n"/>
      <c r="E4458" s="63" t="n"/>
    </row>
    <row r="4459" ht="18" customHeight="1">
      <c r="A4459" s="62" t="n"/>
      <c r="B4459" s="63" t="n"/>
      <c r="C4459" s="64" t="n"/>
      <c r="D4459" s="64" t="n"/>
      <c r="E4459" s="63" t="n"/>
    </row>
    <row r="4460" ht="18" customHeight="1">
      <c r="A4460" s="62" t="n"/>
      <c r="B4460" s="63" t="n"/>
      <c r="C4460" s="64" t="n"/>
      <c r="D4460" s="64" t="n"/>
      <c r="E4460" s="63" t="n"/>
    </row>
    <row r="4461" ht="18" customHeight="1">
      <c r="A4461" s="62" t="n"/>
      <c r="B4461" s="63" t="n"/>
      <c r="C4461" s="64" t="n"/>
      <c r="D4461" s="64" t="n"/>
      <c r="E4461" s="63" t="n"/>
    </row>
    <row r="4462" ht="18" customHeight="1">
      <c r="A4462" s="62" t="n"/>
      <c r="B4462" s="63" t="n"/>
      <c r="C4462" s="64" t="n"/>
      <c r="D4462" s="64" t="n"/>
      <c r="E4462" s="63" t="n"/>
    </row>
    <row r="4463" ht="18" customHeight="1">
      <c r="A4463" s="62" t="n"/>
      <c r="B4463" s="63" t="n"/>
      <c r="C4463" s="64" t="n"/>
      <c r="D4463" s="64" t="n"/>
      <c r="E4463" s="63" t="n"/>
    </row>
    <row r="4464" ht="18" customHeight="1">
      <c r="A4464" s="62" t="n"/>
      <c r="B4464" s="63" t="n"/>
      <c r="C4464" s="64" t="n"/>
      <c r="D4464" s="64" t="n"/>
      <c r="E4464" s="63" t="n"/>
    </row>
    <row r="4465" ht="18" customHeight="1">
      <c r="A4465" s="62" t="n"/>
      <c r="B4465" s="63" t="n"/>
      <c r="C4465" s="64" t="n"/>
      <c r="D4465" s="64" t="n"/>
      <c r="E4465" s="63" t="n"/>
    </row>
    <row r="4466" ht="18" customHeight="1">
      <c r="A4466" s="62" t="n"/>
      <c r="B4466" s="63" t="n"/>
      <c r="C4466" s="64" t="n"/>
      <c r="D4466" s="64" t="n"/>
      <c r="E4466" s="63" t="n"/>
    </row>
    <row r="4467" ht="18" customHeight="1">
      <c r="A4467" s="62" t="n"/>
      <c r="B4467" s="63" t="n"/>
      <c r="C4467" s="64" t="n"/>
      <c r="D4467" s="64" t="n"/>
      <c r="E4467" s="63" t="n"/>
    </row>
    <row r="4468" ht="18" customHeight="1">
      <c r="A4468" s="62" t="n"/>
      <c r="B4468" s="63" t="n"/>
      <c r="C4468" s="64" t="n"/>
      <c r="D4468" s="64" t="n"/>
      <c r="E4468" s="63" t="n"/>
    </row>
    <row r="4469" ht="18" customHeight="1">
      <c r="A4469" s="62" t="n"/>
      <c r="B4469" s="63" t="n"/>
      <c r="C4469" s="64" t="n"/>
      <c r="D4469" s="64" t="n"/>
      <c r="E4469" s="63" t="n"/>
    </row>
    <row r="4470" ht="18" customHeight="1">
      <c r="A4470" s="62" t="n"/>
      <c r="B4470" s="63" t="n"/>
      <c r="C4470" s="64" t="n"/>
      <c r="D4470" s="64" t="n"/>
      <c r="E4470" s="63" t="n"/>
    </row>
    <row r="4471" ht="18" customHeight="1">
      <c r="A4471" s="62" t="n"/>
      <c r="B4471" s="63" t="n"/>
      <c r="C4471" s="64" t="n"/>
      <c r="D4471" s="64" t="n"/>
      <c r="E4471" s="63" t="n"/>
    </row>
    <row r="4472" ht="18" customHeight="1">
      <c r="A4472" s="62" t="n"/>
      <c r="B4472" s="63" t="n"/>
      <c r="C4472" s="64" t="n"/>
      <c r="D4472" s="64" t="n"/>
      <c r="E4472" s="63" t="n"/>
    </row>
    <row r="4473" ht="18" customHeight="1">
      <c r="A4473" s="62" t="n"/>
      <c r="B4473" s="63" t="n"/>
      <c r="C4473" s="64" t="n"/>
      <c r="D4473" s="64" t="n"/>
      <c r="E4473" s="63" t="n"/>
    </row>
    <row r="4474" ht="18" customHeight="1">
      <c r="A4474" s="62" t="n"/>
      <c r="B4474" s="63" t="n"/>
      <c r="C4474" s="64" t="n"/>
      <c r="D4474" s="64" t="n"/>
      <c r="E4474" s="63" t="n"/>
    </row>
    <row r="4475" ht="18" customHeight="1">
      <c r="A4475" s="62" t="n"/>
      <c r="B4475" s="63" t="n"/>
      <c r="C4475" s="64" t="n"/>
      <c r="D4475" s="64" t="n"/>
      <c r="E4475" s="63" t="n"/>
    </row>
    <row r="4476" ht="18" customHeight="1">
      <c r="A4476" s="62" t="n"/>
      <c r="B4476" s="63" t="n"/>
      <c r="C4476" s="64" t="n"/>
      <c r="D4476" s="64" t="n"/>
      <c r="E4476" s="63" t="n"/>
    </row>
    <row r="4477" ht="18" customHeight="1">
      <c r="A4477" s="62" t="n"/>
      <c r="B4477" s="63" t="n"/>
      <c r="C4477" s="64" t="n"/>
      <c r="D4477" s="64" t="n"/>
      <c r="E4477" s="63" t="n"/>
    </row>
    <row r="4478" ht="18" customHeight="1">
      <c r="A4478" s="62" t="n"/>
      <c r="B4478" s="63" t="n"/>
      <c r="C4478" s="64" t="n"/>
      <c r="D4478" s="64" t="n"/>
      <c r="E4478" s="63" t="n"/>
    </row>
    <row r="4479" ht="18" customHeight="1">
      <c r="A4479" s="62" t="n"/>
      <c r="B4479" s="63" t="n"/>
      <c r="C4479" s="64" t="n"/>
      <c r="D4479" s="64" t="n"/>
      <c r="E4479" s="63" t="n"/>
    </row>
    <row r="4480" ht="18" customHeight="1">
      <c r="A4480" s="62" t="n"/>
      <c r="B4480" s="63" t="n"/>
      <c r="C4480" s="64" t="n"/>
      <c r="D4480" s="64" t="n"/>
      <c r="E4480" s="63" t="n"/>
    </row>
    <row r="4481" ht="18" customHeight="1">
      <c r="A4481" s="62" t="n"/>
      <c r="B4481" s="63" t="n"/>
      <c r="C4481" s="64" t="n"/>
      <c r="D4481" s="64" t="n"/>
      <c r="E4481" s="63" t="n"/>
    </row>
    <row r="4482" ht="18" customHeight="1">
      <c r="A4482" s="62" t="n"/>
      <c r="B4482" s="63" t="n"/>
      <c r="C4482" s="64" t="n"/>
      <c r="D4482" s="64" t="n"/>
      <c r="E4482" s="63" t="n"/>
    </row>
    <row r="4483" ht="18" customHeight="1">
      <c r="A4483" s="62" t="n"/>
      <c r="B4483" s="63" t="n"/>
      <c r="C4483" s="64" t="n"/>
      <c r="D4483" s="64" t="n"/>
      <c r="E4483" s="63" t="n"/>
    </row>
    <row r="4484" ht="18" customHeight="1">
      <c r="A4484" s="62" t="n"/>
      <c r="B4484" s="63" t="n"/>
      <c r="C4484" s="64" t="n"/>
      <c r="D4484" s="64" t="n"/>
      <c r="E4484" s="63" t="n"/>
    </row>
    <row r="4485" ht="18" customHeight="1">
      <c r="A4485" s="62" t="n"/>
      <c r="B4485" s="63" t="n"/>
      <c r="C4485" s="64" t="n"/>
      <c r="D4485" s="64" t="n"/>
      <c r="E4485" s="63" t="n"/>
    </row>
    <row r="4486" ht="18" customHeight="1">
      <c r="A4486" s="62" t="n"/>
      <c r="B4486" s="63" t="n"/>
      <c r="C4486" s="64" t="n"/>
      <c r="D4486" s="64" t="n"/>
      <c r="E4486" s="63" t="n"/>
    </row>
    <row r="4487" ht="18" customHeight="1">
      <c r="A4487" s="62" t="n"/>
      <c r="B4487" s="63" t="n"/>
      <c r="C4487" s="64" t="n"/>
      <c r="D4487" s="64" t="n"/>
      <c r="E4487" s="63" t="n"/>
    </row>
    <row r="4488" ht="18" customHeight="1">
      <c r="A4488" s="62" t="n"/>
      <c r="B4488" s="63" t="n"/>
      <c r="C4488" s="64" t="n"/>
      <c r="D4488" s="64" t="n"/>
      <c r="E4488" s="63" t="n"/>
    </row>
    <row r="4489" ht="18" customHeight="1">
      <c r="A4489" s="62" t="n"/>
      <c r="B4489" s="63" t="n"/>
      <c r="C4489" s="64" t="n"/>
      <c r="D4489" s="64" t="n"/>
      <c r="E4489" s="63" t="n"/>
    </row>
    <row r="4490" ht="18" customHeight="1">
      <c r="A4490" s="62" t="n"/>
      <c r="B4490" s="63" t="n"/>
      <c r="C4490" s="64" t="n"/>
      <c r="D4490" s="64" t="n"/>
      <c r="E4490" s="63" t="n"/>
    </row>
    <row r="4491" ht="18" customHeight="1">
      <c r="A4491" s="62" t="n"/>
      <c r="B4491" s="63" t="n"/>
      <c r="C4491" s="64" t="n"/>
      <c r="D4491" s="64" t="n"/>
      <c r="E4491" s="63" t="n"/>
    </row>
    <row r="4492" ht="18" customHeight="1">
      <c r="A4492" s="62" t="n"/>
      <c r="B4492" s="63" t="n"/>
      <c r="C4492" s="64" t="n"/>
      <c r="D4492" s="64" t="n"/>
      <c r="E4492" s="63" t="n"/>
    </row>
    <row r="4493" ht="18" customHeight="1">
      <c r="A4493" s="62" t="n"/>
      <c r="B4493" s="63" t="n"/>
      <c r="C4493" s="64" t="n"/>
      <c r="D4493" s="64" t="n"/>
      <c r="E4493" s="63" t="n"/>
    </row>
    <row r="4494" ht="18" customHeight="1">
      <c r="A4494" s="62" t="n"/>
      <c r="B4494" s="63" t="n"/>
      <c r="C4494" s="64" t="n"/>
      <c r="D4494" s="64" t="n"/>
      <c r="E4494" s="63" t="n"/>
    </row>
    <row r="4495" ht="18" customHeight="1">
      <c r="A4495" s="62" t="n"/>
      <c r="B4495" s="63" t="n"/>
      <c r="C4495" s="64" t="n"/>
      <c r="D4495" s="64" t="n"/>
      <c r="E4495" s="63" t="n"/>
    </row>
    <row r="4496" ht="18" customHeight="1">
      <c r="A4496" s="62" t="n"/>
      <c r="B4496" s="63" t="n"/>
      <c r="C4496" s="64" t="n"/>
      <c r="D4496" s="64" t="n"/>
      <c r="E4496" s="63" t="n"/>
    </row>
    <row r="4497" ht="18" customHeight="1">
      <c r="A4497" s="62" t="n"/>
      <c r="B4497" s="63" t="n"/>
      <c r="C4497" s="64" t="n"/>
      <c r="D4497" s="64" t="n"/>
      <c r="E4497" s="63" t="n"/>
    </row>
    <row r="4498" ht="18" customHeight="1">
      <c r="A4498" s="62" t="n"/>
      <c r="B4498" s="63" t="n"/>
      <c r="C4498" s="64" t="n"/>
      <c r="D4498" s="64" t="n"/>
      <c r="E4498" s="63" t="n"/>
    </row>
    <row r="4499" ht="18" customHeight="1">
      <c r="A4499" s="62" t="n"/>
      <c r="B4499" s="63" t="n"/>
      <c r="C4499" s="64" t="n"/>
      <c r="D4499" s="64" t="n"/>
      <c r="E4499" s="63" t="n"/>
    </row>
    <row r="4500" ht="18" customHeight="1">
      <c r="A4500" s="62" t="n"/>
      <c r="B4500" s="63" t="n"/>
      <c r="C4500" s="64" t="n"/>
      <c r="D4500" s="64" t="n"/>
      <c r="E4500" s="63" t="n"/>
    </row>
    <row r="4501" ht="18" customHeight="1">
      <c r="A4501" s="62" t="n"/>
      <c r="B4501" s="63" t="n"/>
      <c r="C4501" s="64" t="n"/>
      <c r="D4501" s="64" t="n"/>
      <c r="E4501" s="63" t="n"/>
    </row>
    <row r="4502" ht="18" customHeight="1">
      <c r="A4502" s="62" t="n"/>
      <c r="B4502" s="63" t="n"/>
      <c r="C4502" s="64" t="n"/>
      <c r="D4502" s="64" t="n"/>
      <c r="E4502" s="63" t="n"/>
    </row>
    <row r="4503" ht="18" customHeight="1">
      <c r="A4503" s="62" t="n"/>
      <c r="B4503" s="63" t="n"/>
      <c r="C4503" s="64" t="n"/>
      <c r="D4503" s="64" t="n"/>
      <c r="E4503" s="63" t="n"/>
    </row>
    <row r="4504" ht="18" customHeight="1">
      <c r="A4504" s="62" t="n"/>
      <c r="B4504" s="63" t="n"/>
      <c r="C4504" s="64" t="n"/>
      <c r="D4504" s="64" t="n"/>
      <c r="E4504" s="63" t="n"/>
    </row>
    <row r="4505" ht="18" customHeight="1">
      <c r="A4505" s="62" t="n"/>
      <c r="B4505" s="63" t="n"/>
      <c r="C4505" s="64" t="n"/>
      <c r="D4505" s="64" t="n"/>
      <c r="E4505" s="63" t="n"/>
    </row>
    <row r="4506" ht="18" customHeight="1">
      <c r="A4506" s="62" t="n"/>
      <c r="B4506" s="63" t="n"/>
      <c r="C4506" s="64" t="n"/>
      <c r="D4506" s="64" t="n"/>
      <c r="E4506" s="63" t="n"/>
    </row>
    <row r="4507" ht="18" customHeight="1">
      <c r="A4507" s="62" t="n"/>
      <c r="B4507" s="63" t="n"/>
      <c r="C4507" s="64" t="n"/>
      <c r="D4507" s="64" t="n"/>
      <c r="E4507" s="63" t="n"/>
    </row>
    <row r="4508" ht="18" customHeight="1">
      <c r="A4508" s="62" t="n"/>
      <c r="B4508" s="63" t="n"/>
      <c r="C4508" s="64" t="n"/>
      <c r="D4508" s="64" t="n"/>
      <c r="E4508" s="63" t="n"/>
    </row>
    <row r="4509" ht="18" customHeight="1">
      <c r="A4509" s="62" t="n"/>
      <c r="B4509" s="63" t="n"/>
      <c r="C4509" s="64" t="n"/>
      <c r="D4509" s="64" t="n"/>
      <c r="E4509" s="63" t="n"/>
    </row>
    <row r="4510" ht="18" customHeight="1">
      <c r="A4510" s="62" t="n"/>
      <c r="B4510" s="63" t="n"/>
      <c r="C4510" s="64" t="n"/>
      <c r="D4510" s="64" t="n"/>
      <c r="E4510" s="63" t="n"/>
    </row>
    <row r="4511" ht="18" customHeight="1">
      <c r="A4511" s="62" t="n"/>
      <c r="B4511" s="63" t="n"/>
      <c r="C4511" s="64" t="n"/>
      <c r="D4511" s="64" t="n"/>
      <c r="E4511" s="63" t="n"/>
    </row>
    <row r="4512" ht="18" customHeight="1">
      <c r="A4512" s="62" t="n"/>
      <c r="B4512" s="63" t="n"/>
      <c r="C4512" s="64" t="n"/>
      <c r="D4512" s="64" t="n"/>
      <c r="E4512" s="63" t="n"/>
    </row>
    <row r="4513" ht="18" customHeight="1">
      <c r="A4513" s="62" t="n"/>
      <c r="B4513" s="63" t="n"/>
      <c r="C4513" s="64" t="n"/>
      <c r="D4513" s="64" t="n"/>
      <c r="E4513" s="63" t="n"/>
    </row>
    <row r="4514" ht="18" customHeight="1">
      <c r="A4514" s="62" t="n"/>
      <c r="B4514" s="63" t="n"/>
      <c r="C4514" s="64" t="n"/>
      <c r="D4514" s="64" t="n"/>
      <c r="E4514" s="63" t="n"/>
    </row>
    <row r="4515" ht="18" customHeight="1">
      <c r="A4515" s="62" t="n"/>
      <c r="B4515" s="63" t="n"/>
      <c r="C4515" s="64" t="n"/>
      <c r="D4515" s="64" t="n"/>
      <c r="E4515" s="63" t="n"/>
    </row>
    <row r="4516" ht="18" customHeight="1">
      <c r="A4516" s="62" t="n"/>
      <c r="B4516" s="63" t="n"/>
      <c r="C4516" s="64" t="n"/>
      <c r="D4516" s="64" t="n"/>
      <c r="E4516" s="63" t="n"/>
    </row>
    <row r="4517" ht="18" customHeight="1">
      <c r="A4517" s="62" t="n"/>
      <c r="B4517" s="63" t="n"/>
      <c r="C4517" s="64" t="n"/>
      <c r="D4517" s="64" t="n"/>
      <c r="E4517" s="63" t="n"/>
    </row>
    <row r="4518" ht="18" customHeight="1">
      <c r="A4518" s="62" t="n"/>
      <c r="B4518" s="63" t="n"/>
      <c r="C4518" s="64" t="n"/>
      <c r="D4518" s="64" t="n"/>
      <c r="E4518" s="63" t="n"/>
    </row>
    <row r="4519" ht="18" customHeight="1">
      <c r="A4519" s="62" t="n"/>
      <c r="B4519" s="63" t="n"/>
      <c r="C4519" s="64" t="n"/>
      <c r="D4519" s="64" t="n"/>
      <c r="E4519" s="63" t="n"/>
    </row>
    <row r="4520" ht="18" customHeight="1">
      <c r="A4520" s="62" t="n"/>
      <c r="B4520" s="63" t="n"/>
      <c r="C4520" s="64" t="n"/>
      <c r="D4520" s="64" t="n"/>
      <c r="E4520" s="63" t="n"/>
    </row>
    <row r="4521" ht="18" customHeight="1">
      <c r="A4521" s="62" t="n"/>
      <c r="B4521" s="63" t="n"/>
      <c r="C4521" s="64" t="n"/>
      <c r="D4521" s="64" t="n"/>
      <c r="E4521" s="63" t="n"/>
    </row>
    <row r="4522" ht="18" customHeight="1">
      <c r="A4522" s="62" t="n"/>
      <c r="B4522" s="63" t="n"/>
      <c r="C4522" s="64" t="n"/>
      <c r="D4522" s="64" t="n"/>
      <c r="E4522" s="63" t="n"/>
    </row>
    <row r="4523" ht="18" customHeight="1">
      <c r="A4523" s="62" t="n"/>
      <c r="B4523" s="63" t="n"/>
      <c r="C4523" s="64" t="n"/>
      <c r="D4523" s="64" t="n"/>
      <c r="E4523" s="63" t="n"/>
    </row>
    <row r="4524" ht="18" customHeight="1">
      <c r="A4524" s="62" t="n"/>
      <c r="B4524" s="63" t="n"/>
      <c r="C4524" s="64" t="n"/>
      <c r="D4524" s="64" t="n"/>
      <c r="E4524" s="63" t="n"/>
    </row>
    <row r="4525" ht="18" customHeight="1">
      <c r="A4525" s="62" t="n"/>
      <c r="B4525" s="63" t="n"/>
      <c r="C4525" s="64" t="n"/>
      <c r="D4525" s="64" t="n"/>
      <c r="E4525" s="63" t="n"/>
    </row>
    <row r="4526" ht="18" customHeight="1">
      <c r="A4526" s="62" t="n"/>
      <c r="B4526" s="63" t="n"/>
      <c r="C4526" s="64" t="n"/>
      <c r="D4526" s="64" t="n"/>
      <c r="E4526" s="63" t="n"/>
    </row>
    <row r="4527" ht="18" customHeight="1">
      <c r="A4527" s="62" t="n"/>
      <c r="B4527" s="63" t="n"/>
      <c r="C4527" s="64" t="n"/>
      <c r="D4527" s="64" t="n"/>
      <c r="E4527" s="63" t="n"/>
    </row>
    <row r="4528" ht="18" customHeight="1">
      <c r="A4528" s="62" t="n"/>
      <c r="B4528" s="63" t="n"/>
      <c r="C4528" s="64" t="n"/>
      <c r="D4528" s="64" t="n"/>
      <c r="E4528" s="63" t="n"/>
    </row>
    <row r="4529" ht="18" customHeight="1">
      <c r="A4529" s="62" t="n"/>
      <c r="B4529" s="63" t="n"/>
      <c r="C4529" s="64" t="n"/>
      <c r="D4529" s="64" t="n"/>
      <c r="E4529" s="63" t="n"/>
    </row>
    <row r="4530" ht="18" customHeight="1">
      <c r="A4530" s="62" t="n"/>
      <c r="B4530" s="63" t="n"/>
      <c r="C4530" s="64" t="n"/>
      <c r="D4530" s="64" t="n"/>
      <c r="E4530" s="63" t="n"/>
    </row>
    <row r="4531" ht="18" customHeight="1">
      <c r="A4531" s="62" t="n"/>
      <c r="B4531" s="63" t="n"/>
      <c r="C4531" s="64" t="n"/>
      <c r="D4531" s="64" t="n"/>
      <c r="E4531" s="63" t="n"/>
    </row>
    <row r="4532" ht="18" customHeight="1">
      <c r="A4532" s="62" t="n"/>
      <c r="B4532" s="63" t="n"/>
      <c r="C4532" s="64" t="n"/>
      <c r="D4532" s="64" t="n"/>
      <c r="E4532" s="63" t="n"/>
    </row>
    <row r="4533" ht="18" customHeight="1">
      <c r="A4533" s="62" t="n"/>
      <c r="B4533" s="63" t="n"/>
      <c r="C4533" s="64" t="n"/>
      <c r="D4533" s="64" t="n"/>
      <c r="E4533" s="63" t="n"/>
    </row>
    <row r="4534" ht="18" customHeight="1">
      <c r="A4534" s="62" t="n"/>
      <c r="B4534" s="63" t="n"/>
      <c r="C4534" s="64" t="n"/>
      <c r="D4534" s="64" t="n"/>
      <c r="E4534" s="63" t="n"/>
    </row>
    <row r="4535" ht="18" customHeight="1">
      <c r="A4535" s="62" t="n"/>
      <c r="B4535" s="63" t="n"/>
      <c r="C4535" s="64" t="n"/>
      <c r="D4535" s="64" t="n"/>
      <c r="E4535" s="63" t="n"/>
    </row>
    <row r="4536" ht="18" customHeight="1">
      <c r="A4536" s="62" t="n"/>
      <c r="B4536" s="63" t="n"/>
      <c r="C4536" s="64" t="n"/>
      <c r="D4536" s="64" t="n"/>
      <c r="E4536" s="63" t="n"/>
    </row>
    <row r="4537" ht="18" customHeight="1">
      <c r="A4537" s="62" t="n"/>
      <c r="B4537" s="63" t="n"/>
      <c r="C4537" s="64" t="n"/>
      <c r="D4537" s="64" t="n"/>
      <c r="E4537" s="63" t="n"/>
    </row>
    <row r="4538" ht="18" customHeight="1">
      <c r="A4538" s="62" t="n"/>
      <c r="B4538" s="63" t="n"/>
      <c r="C4538" s="64" t="n"/>
      <c r="D4538" s="64" t="n"/>
      <c r="E4538" s="63" t="n"/>
    </row>
    <row r="4539" ht="18" customHeight="1">
      <c r="A4539" s="62" t="n"/>
      <c r="B4539" s="63" t="n"/>
      <c r="C4539" s="64" t="n"/>
      <c r="D4539" s="64" t="n"/>
      <c r="E4539" s="63" t="n"/>
    </row>
    <row r="4540" ht="18" customHeight="1">
      <c r="A4540" s="62" t="n"/>
      <c r="B4540" s="63" t="n"/>
      <c r="C4540" s="64" t="n"/>
      <c r="D4540" s="64" t="n"/>
      <c r="E4540" s="63" t="n"/>
    </row>
    <row r="4541" ht="18" customHeight="1">
      <c r="A4541" s="62" t="n"/>
      <c r="B4541" s="63" t="n"/>
      <c r="C4541" s="64" t="n"/>
      <c r="D4541" s="64" t="n"/>
      <c r="E4541" s="63" t="n"/>
    </row>
    <row r="4542" ht="18" customHeight="1">
      <c r="A4542" s="62" t="n"/>
      <c r="B4542" s="63" t="n"/>
      <c r="C4542" s="64" t="n"/>
      <c r="D4542" s="64" t="n"/>
      <c r="E4542" s="63" t="n"/>
    </row>
    <row r="4543" ht="18" customHeight="1">
      <c r="A4543" s="62" t="n"/>
      <c r="B4543" s="63" t="n"/>
      <c r="C4543" s="64" t="n"/>
      <c r="D4543" s="64" t="n"/>
      <c r="E4543" s="63" t="n"/>
    </row>
    <row r="4544" ht="18" customHeight="1">
      <c r="A4544" s="62" t="n"/>
      <c r="B4544" s="63" t="n"/>
      <c r="C4544" s="64" t="n"/>
      <c r="D4544" s="64" t="n"/>
      <c r="E4544" s="63" t="n"/>
    </row>
    <row r="4545" ht="18" customHeight="1">
      <c r="A4545" s="62" t="n"/>
      <c r="B4545" s="63" t="n"/>
      <c r="C4545" s="64" t="n"/>
      <c r="D4545" s="64" t="n"/>
      <c r="E4545" s="63" t="n"/>
    </row>
    <row r="4546" ht="18" customHeight="1">
      <c r="A4546" s="62" t="n"/>
      <c r="B4546" s="63" t="n"/>
      <c r="C4546" s="64" t="n"/>
      <c r="D4546" s="64" t="n"/>
      <c r="E4546" s="63" t="n"/>
    </row>
    <row r="4547" ht="18" customHeight="1">
      <c r="A4547" s="62" t="n"/>
      <c r="B4547" s="63" t="n"/>
      <c r="C4547" s="64" t="n"/>
      <c r="D4547" s="64" t="n"/>
      <c r="E4547" s="63" t="n"/>
    </row>
    <row r="4548" ht="18" customHeight="1">
      <c r="A4548" s="62" t="n"/>
      <c r="B4548" s="63" t="n"/>
      <c r="C4548" s="64" t="n"/>
      <c r="D4548" s="64" t="n"/>
      <c r="E4548" s="63" t="n"/>
    </row>
    <row r="4549" ht="18" customHeight="1">
      <c r="A4549" s="62" t="n"/>
      <c r="B4549" s="63" t="n"/>
      <c r="C4549" s="64" t="n"/>
      <c r="D4549" s="64" t="n"/>
      <c r="E4549" s="63" t="n"/>
    </row>
    <row r="4550" ht="18" customHeight="1">
      <c r="A4550" s="62" t="n"/>
      <c r="B4550" s="63" t="n"/>
      <c r="C4550" s="64" t="n"/>
      <c r="D4550" s="64" t="n"/>
      <c r="E4550" s="63" t="n"/>
    </row>
    <row r="4551" ht="18" customHeight="1">
      <c r="A4551" s="62" t="n"/>
      <c r="B4551" s="63" t="n"/>
      <c r="C4551" s="64" t="n"/>
      <c r="D4551" s="64" t="n"/>
      <c r="E4551" s="63" t="n"/>
    </row>
    <row r="4552" ht="18" customHeight="1">
      <c r="A4552" s="62" t="n"/>
      <c r="B4552" s="63" t="n"/>
      <c r="C4552" s="64" t="n"/>
      <c r="D4552" s="64" t="n"/>
      <c r="E4552" s="63" t="n"/>
    </row>
    <row r="4553" ht="18" customHeight="1">
      <c r="A4553" s="62" t="n"/>
      <c r="B4553" s="63" t="n"/>
      <c r="C4553" s="64" t="n"/>
      <c r="D4553" s="64" t="n"/>
      <c r="E4553" s="63" t="n"/>
    </row>
    <row r="4554" ht="18" customHeight="1">
      <c r="A4554" s="62" t="n"/>
      <c r="B4554" s="63" t="n"/>
      <c r="C4554" s="64" t="n"/>
      <c r="D4554" s="64" t="n"/>
      <c r="E4554" s="63" t="n"/>
    </row>
    <row r="4555" ht="18" customHeight="1">
      <c r="A4555" s="62" t="n"/>
      <c r="B4555" s="63" t="n"/>
      <c r="C4555" s="64" t="n"/>
      <c r="D4555" s="64" t="n"/>
      <c r="E4555" s="63" t="n"/>
    </row>
    <row r="4556" ht="18" customHeight="1">
      <c r="A4556" s="62" t="n"/>
      <c r="B4556" s="63" t="n"/>
      <c r="C4556" s="64" t="n"/>
      <c r="D4556" s="64" t="n"/>
      <c r="E4556" s="63" t="n"/>
    </row>
    <row r="4557" ht="18" customHeight="1">
      <c r="A4557" s="62" t="n"/>
      <c r="B4557" s="63" t="n"/>
      <c r="C4557" s="64" t="n"/>
      <c r="D4557" s="64" t="n"/>
      <c r="E4557" s="63" t="n"/>
    </row>
    <row r="4558" ht="18" customHeight="1">
      <c r="A4558" s="62" t="n"/>
      <c r="B4558" s="63" t="n"/>
      <c r="C4558" s="64" t="n"/>
      <c r="D4558" s="64" t="n"/>
      <c r="E4558" s="63" t="n"/>
    </row>
    <row r="4559" ht="18" customHeight="1">
      <c r="A4559" s="62" t="n"/>
      <c r="B4559" s="63" t="n"/>
      <c r="C4559" s="64" t="n"/>
      <c r="D4559" s="64" t="n"/>
      <c r="E4559" s="63" t="n"/>
    </row>
    <row r="4560" ht="18" customHeight="1">
      <c r="A4560" s="62" t="n"/>
      <c r="B4560" s="63" t="n"/>
      <c r="C4560" s="64" t="n"/>
      <c r="D4560" s="64" t="n"/>
      <c r="E4560" s="63" t="n"/>
    </row>
    <row r="4561" ht="18" customHeight="1">
      <c r="A4561" s="62" t="n"/>
      <c r="B4561" s="63" t="n"/>
      <c r="C4561" s="64" t="n"/>
      <c r="D4561" s="64" t="n"/>
      <c r="E4561" s="63" t="n"/>
    </row>
    <row r="4562" ht="18" customHeight="1">
      <c r="A4562" s="62" t="n"/>
      <c r="B4562" s="63" t="n"/>
      <c r="C4562" s="64" t="n"/>
      <c r="D4562" s="64" t="n"/>
      <c r="E4562" s="63" t="n"/>
    </row>
    <row r="4563" ht="18" customHeight="1">
      <c r="A4563" s="62" t="n"/>
      <c r="B4563" s="63" t="n"/>
      <c r="C4563" s="64" t="n"/>
      <c r="D4563" s="64" t="n"/>
      <c r="E4563" s="63" t="n"/>
    </row>
    <row r="4564" ht="18" customHeight="1">
      <c r="A4564" s="62" t="n"/>
      <c r="B4564" s="63" t="n"/>
      <c r="C4564" s="64" t="n"/>
      <c r="D4564" s="64" t="n"/>
      <c r="E4564" s="63" t="n"/>
    </row>
    <row r="4565" ht="18" customHeight="1">
      <c r="A4565" s="62" t="n"/>
      <c r="B4565" s="63" t="n"/>
      <c r="C4565" s="64" t="n"/>
      <c r="D4565" s="64" t="n"/>
      <c r="E4565" s="63" t="n"/>
    </row>
    <row r="4566" ht="18" customHeight="1">
      <c r="A4566" s="62" t="n"/>
      <c r="B4566" s="63" t="n"/>
      <c r="C4566" s="64" t="n"/>
      <c r="D4566" s="64" t="n"/>
      <c r="E4566" s="63" t="n"/>
    </row>
    <row r="4567" ht="18" customHeight="1">
      <c r="A4567" s="62" t="n"/>
      <c r="B4567" s="63" t="n"/>
      <c r="C4567" s="64" t="n"/>
      <c r="D4567" s="64" t="n"/>
      <c r="E4567" s="63" t="n"/>
    </row>
    <row r="4568" ht="18" customHeight="1">
      <c r="A4568" s="62" t="n"/>
      <c r="B4568" s="63" t="n"/>
      <c r="C4568" s="64" t="n"/>
      <c r="D4568" s="64" t="n"/>
      <c r="E4568" s="63" t="n"/>
    </row>
    <row r="4569" ht="18" customHeight="1">
      <c r="A4569" s="62" t="n"/>
      <c r="B4569" s="63" t="n"/>
      <c r="C4569" s="64" t="n"/>
      <c r="D4569" s="64" t="n"/>
      <c r="E4569" s="63" t="n"/>
    </row>
    <row r="4570" ht="18" customHeight="1">
      <c r="A4570" s="62" t="n"/>
      <c r="B4570" s="63" t="n"/>
      <c r="C4570" s="64" t="n"/>
      <c r="D4570" s="64" t="n"/>
      <c r="E4570" s="63" t="n"/>
    </row>
    <row r="4571" ht="18" customHeight="1">
      <c r="A4571" s="62" t="n"/>
      <c r="B4571" s="63" t="n"/>
      <c r="C4571" s="64" t="n"/>
      <c r="D4571" s="64" t="n"/>
      <c r="E4571" s="63" t="n"/>
    </row>
    <row r="4572" ht="18" customHeight="1">
      <c r="A4572" s="62" t="n"/>
      <c r="B4572" s="63" t="n"/>
      <c r="C4572" s="64" t="n"/>
      <c r="D4572" s="64" t="n"/>
      <c r="E4572" s="63" t="n"/>
    </row>
    <row r="4573" ht="18" customHeight="1">
      <c r="A4573" s="62" t="n"/>
      <c r="B4573" s="63" t="n"/>
      <c r="C4573" s="64" t="n"/>
      <c r="D4573" s="64" t="n"/>
      <c r="E4573" s="63" t="n"/>
    </row>
    <row r="4574" ht="18" customHeight="1">
      <c r="A4574" s="62" t="n"/>
      <c r="B4574" s="63" t="n"/>
      <c r="C4574" s="64" t="n"/>
      <c r="D4574" s="64" t="n"/>
      <c r="E4574" s="63" t="n"/>
    </row>
    <row r="4575" ht="18" customHeight="1">
      <c r="A4575" s="62" t="n"/>
      <c r="B4575" s="63" t="n"/>
      <c r="C4575" s="64" t="n"/>
      <c r="D4575" s="64" t="n"/>
      <c r="E4575" s="63" t="n"/>
    </row>
    <row r="4576" ht="18" customHeight="1">
      <c r="A4576" s="62" t="n"/>
      <c r="B4576" s="63" t="n"/>
      <c r="C4576" s="64" t="n"/>
      <c r="D4576" s="64" t="n"/>
      <c r="E4576" s="63" t="n"/>
    </row>
    <row r="4577" ht="18" customHeight="1">
      <c r="A4577" s="62" t="n"/>
      <c r="B4577" s="63" t="n"/>
      <c r="C4577" s="64" t="n"/>
      <c r="D4577" s="64" t="n"/>
      <c r="E4577" s="63" t="n"/>
    </row>
    <row r="4578" ht="18" customHeight="1">
      <c r="A4578" s="62" t="n"/>
      <c r="B4578" s="63" t="n"/>
      <c r="C4578" s="64" t="n"/>
      <c r="D4578" s="64" t="n"/>
      <c r="E4578" s="63" t="n"/>
    </row>
    <row r="4579" ht="18" customHeight="1">
      <c r="A4579" s="62" t="n"/>
      <c r="B4579" s="63" t="n"/>
      <c r="C4579" s="64" t="n"/>
      <c r="D4579" s="64" t="n"/>
      <c r="E4579" s="63" t="n"/>
    </row>
    <row r="4580" ht="18" customHeight="1">
      <c r="A4580" s="62" t="n"/>
      <c r="B4580" s="63" t="n"/>
      <c r="C4580" s="64" t="n"/>
      <c r="D4580" s="64" t="n"/>
      <c r="E4580" s="63" t="n"/>
    </row>
    <row r="4581" ht="18" customHeight="1">
      <c r="A4581" s="62" t="n"/>
      <c r="B4581" s="63" t="n"/>
      <c r="C4581" s="64" t="n"/>
      <c r="D4581" s="64" t="n"/>
      <c r="E4581" s="63" t="n"/>
    </row>
    <row r="4582" ht="18" customHeight="1">
      <c r="A4582" s="62" t="n"/>
      <c r="B4582" s="63" t="n"/>
      <c r="C4582" s="64" t="n"/>
      <c r="D4582" s="64" t="n"/>
      <c r="E4582" s="63" t="n"/>
    </row>
    <row r="4583" ht="18" customHeight="1">
      <c r="A4583" s="62" t="n"/>
      <c r="B4583" s="63" t="n"/>
      <c r="C4583" s="64" t="n"/>
      <c r="D4583" s="64" t="n"/>
      <c r="E4583" s="63" t="n"/>
    </row>
    <row r="4584" ht="18" customHeight="1">
      <c r="A4584" s="62" t="n"/>
      <c r="B4584" s="63" t="n"/>
      <c r="C4584" s="64" t="n"/>
      <c r="D4584" s="64" t="n"/>
      <c r="E4584" s="63" t="n"/>
    </row>
    <row r="4585" ht="18" customHeight="1">
      <c r="A4585" s="62" t="n"/>
      <c r="B4585" s="63" t="n"/>
      <c r="C4585" s="64" t="n"/>
      <c r="D4585" s="64" t="n"/>
      <c r="E4585" s="63" t="n"/>
    </row>
    <row r="4586" ht="18" customHeight="1">
      <c r="A4586" s="62" t="n"/>
      <c r="B4586" s="63" t="n"/>
      <c r="C4586" s="64" t="n"/>
      <c r="D4586" s="64" t="n"/>
      <c r="E4586" s="63" t="n"/>
    </row>
    <row r="4587" ht="18" customHeight="1">
      <c r="A4587" s="62" t="n"/>
      <c r="B4587" s="63" t="n"/>
      <c r="C4587" s="64" t="n"/>
      <c r="D4587" s="64" t="n"/>
      <c r="E4587" s="63" t="n"/>
    </row>
    <row r="4588" ht="18" customHeight="1">
      <c r="A4588" s="62" t="n"/>
      <c r="B4588" s="63" t="n"/>
      <c r="C4588" s="64" t="n"/>
      <c r="D4588" s="64" t="n"/>
      <c r="E4588" s="63" t="n"/>
    </row>
    <row r="4589" ht="18" customHeight="1">
      <c r="A4589" s="62" t="n"/>
      <c r="B4589" s="63" t="n"/>
      <c r="C4589" s="64" t="n"/>
      <c r="D4589" s="64" t="n"/>
      <c r="E4589" s="63" t="n"/>
    </row>
    <row r="4590" ht="18" customHeight="1">
      <c r="A4590" s="62" t="n"/>
      <c r="B4590" s="63" t="n"/>
      <c r="C4590" s="64" t="n"/>
      <c r="D4590" s="64" t="n"/>
      <c r="E4590" s="63" t="n"/>
    </row>
    <row r="4591" ht="18" customHeight="1">
      <c r="A4591" s="62" t="n"/>
      <c r="B4591" s="63" t="n"/>
      <c r="C4591" s="64" t="n"/>
      <c r="D4591" s="64" t="n"/>
      <c r="E4591" s="63" t="n"/>
    </row>
    <row r="4592" ht="18" customHeight="1">
      <c r="A4592" s="62" t="n"/>
      <c r="B4592" s="63" t="n"/>
      <c r="C4592" s="64" t="n"/>
      <c r="D4592" s="64" t="n"/>
      <c r="E4592" s="63" t="n"/>
    </row>
    <row r="4593" ht="18" customHeight="1">
      <c r="A4593" s="62" t="n"/>
      <c r="B4593" s="63" t="n"/>
      <c r="C4593" s="64" t="n"/>
      <c r="D4593" s="64" t="n"/>
      <c r="E4593" s="63" t="n"/>
    </row>
    <row r="4594" ht="18" customHeight="1">
      <c r="A4594" s="62" t="n"/>
      <c r="B4594" s="63" t="n"/>
      <c r="C4594" s="64" t="n"/>
      <c r="D4594" s="64" t="n"/>
      <c r="E4594" s="63" t="n"/>
    </row>
    <row r="4595" ht="18" customHeight="1">
      <c r="A4595" s="62" t="n"/>
      <c r="B4595" s="63" t="n"/>
      <c r="C4595" s="64" t="n"/>
      <c r="D4595" s="64" t="n"/>
      <c r="E4595" s="63" t="n"/>
    </row>
    <row r="4596" ht="18" customHeight="1">
      <c r="A4596" s="62" t="n"/>
      <c r="B4596" s="63" t="n"/>
      <c r="C4596" s="64" t="n"/>
      <c r="D4596" s="64" t="n"/>
      <c r="E4596" s="63" t="n"/>
    </row>
    <row r="4597" ht="18" customHeight="1">
      <c r="A4597" s="62" t="n"/>
      <c r="B4597" s="63" t="n"/>
      <c r="C4597" s="64" t="n"/>
      <c r="D4597" s="64" t="n"/>
      <c r="E4597" s="63" t="n"/>
    </row>
    <row r="4598" ht="18" customHeight="1">
      <c r="A4598" s="62" t="n"/>
      <c r="B4598" s="63" t="n"/>
      <c r="C4598" s="64" t="n"/>
      <c r="D4598" s="64" t="n"/>
      <c r="E4598" s="63" t="n"/>
    </row>
    <row r="4599" ht="18" customHeight="1">
      <c r="A4599" s="62" t="n"/>
      <c r="B4599" s="63" t="n"/>
      <c r="C4599" s="64" t="n"/>
      <c r="D4599" s="64" t="n"/>
      <c r="E4599" s="63" t="n"/>
    </row>
    <row r="4600" ht="18" customHeight="1">
      <c r="A4600" s="62" t="n"/>
      <c r="B4600" s="63" t="n"/>
      <c r="C4600" s="64" t="n"/>
      <c r="D4600" s="64" t="n"/>
      <c r="E4600" s="63" t="n"/>
    </row>
    <row r="4601" ht="18" customHeight="1">
      <c r="A4601" s="62" t="n"/>
      <c r="B4601" s="63" t="n"/>
      <c r="C4601" s="64" t="n"/>
      <c r="D4601" s="64" t="n"/>
      <c r="E4601" s="63" t="n"/>
    </row>
    <row r="4602" ht="18" customHeight="1">
      <c r="A4602" s="62" t="n"/>
      <c r="B4602" s="63" t="n"/>
      <c r="C4602" s="64" t="n"/>
      <c r="D4602" s="64" t="n"/>
      <c r="E4602" s="63" t="n"/>
    </row>
    <row r="4603" ht="18" customHeight="1">
      <c r="A4603" s="62" t="n"/>
      <c r="B4603" s="63" t="n"/>
      <c r="C4603" s="64" t="n"/>
      <c r="D4603" s="64" t="n"/>
      <c r="E4603" s="63" t="n"/>
    </row>
    <row r="4604" ht="18" customHeight="1">
      <c r="A4604" s="62" t="n"/>
      <c r="B4604" s="63" t="n"/>
      <c r="C4604" s="64" t="n"/>
      <c r="D4604" s="64" t="n"/>
      <c r="E4604" s="63" t="n"/>
    </row>
    <row r="4605" ht="18" customHeight="1">
      <c r="A4605" s="62" t="n"/>
      <c r="B4605" s="63" t="n"/>
      <c r="C4605" s="64" t="n"/>
      <c r="D4605" s="64" t="n"/>
      <c r="E4605" s="63" t="n"/>
    </row>
    <row r="4606" ht="18" customHeight="1">
      <c r="A4606" s="62" t="n"/>
      <c r="B4606" s="63" t="n"/>
      <c r="C4606" s="64" t="n"/>
      <c r="D4606" s="64" t="n"/>
      <c r="E4606" s="63" t="n"/>
    </row>
    <row r="4607" ht="18" customHeight="1">
      <c r="A4607" s="62" t="n"/>
      <c r="B4607" s="63" t="n"/>
      <c r="C4607" s="64" t="n"/>
      <c r="D4607" s="64" t="n"/>
      <c r="E4607" s="63" t="n"/>
    </row>
    <row r="4608" ht="18" customHeight="1">
      <c r="A4608" s="62" t="n"/>
      <c r="B4608" s="63" t="n"/>
      <c r="C4608" s="64" t="n"/>
      <c r="D4608" s="64" t="n"/>
      <c r="E4608" s="63" t="n"/>
    </row>
    <row r="4609" ht="18" customHeight="1">
      <c r="A4609" s="62" t="n"/>
      <c r="B4609" s="63" t="n"/>
      <c r="C4609" s="64" t="n"/>
      <c r="D4609" s="64" t="n"/>
      <c r="E4609" s="63" t="n"/>
    </row>
    <row r="4610" ht="18" customHeight="1">
      <c r="A4610" s="62" t="n"/>
      <c r="B4610" s="63" t="n"/>
      <c r="C4610" s="64" t="n"/>
      <c r="D4610" s="64" t="n"/>
      <c r="E4610" s="63" t="n"/>
    </row>
    <row r="4611" ht="18" customHeight="1">
      <c r="A4611" s="62" t="n"/>
      <c r="B4611" s="63" t="n"/>
      <c r="C4611" s="64" t="n"/>
      <c r="D4611" s="64" t="n"/>
      <c r="E4611" s="63" t="n"/>
    </row>
    <row r="4612" ht="18" customHeight="1">
      <c r="A4612" s="62" t="n"/>
      <c r="B4612" s="63" t="n"/>
      <c r="C4612" s="64" t="n"/>
      <c r="D4612" s="64" t="n"/>
      <c r="E4612" s="63" t="n"/>
    </row>
    <row r="4613" ht="18" customHeight="1">
      <c r="A4613" s="62" t="n"/>
      <c r="B4613" s="63" t="n"/>
      <c r="C4613" s="64" t="n"/>
      <c r="D4613" s="64" t="n"/>
      <c r="E4613" s="63" t="n"/>
    </row>
    <row r="4614" ht="18" customHeight="1">
      <c r="A4614" s="62" t="n"/>
      <c r="B4614" s="63" t="n"/>
      <c r="C4614" s="64" t="n"/>
      <c r="D4614" s="64" t="n"/>
      <c r="E4614" s="63" t="n"/>
    </row>
    <row r="4615" ht="18" customHeight="1">
      <c r="A4615" s="62" t="n"/>
      <c r="B4615" s="63" t="n"/>
      <c r="C4615" s="64" t="n"/>
      <c r="D4615" s="64" t="n"/>
      <c r="E4615" s="63" t="n"/>
    </row>
    <row r="4616" ht="18" customHeight="1">
      <c r="A4616" s="62" t="n"/>
      <c r="B4616" s="63" t="n"/>
      <c r="C4616" s="64" t="n"/>
      <c r="D4616" s="64" t="n"/>
      <c r="E4616" s="63" t="n"/>
    </row>
    <row r="4617" ht="18" customHeight="1">
      <c r="A4617" s="62" t="n"/>
      <c r="B4617" s="63" t="n"/>
      <c r="C4617" s="64" t="n"/>
      <c r="D4617" s="64" t="n"/>
      <c r="E4617" s="63" t="n"/>
    </row>
    <row r="4618" ht="18" customHeight="1">
      <c r="A4618" s="62" t="n"/>
      <c r="B4618" s="63" t="n"/>
      <c r="C4618" s="64" t="n"/>
      <c r="D4618" s="64" t="n"/>
      <c r="E4618" s="63" t="n"/>
    </row>
    <row r="4619" ht="18" customHeight="1">
      <c r="A4619" s="62" t="n"/>
      <c r="B4619" s="63" t="n"/>
      <c r="C4619" s="64" t="n"/>
      <c r="D4619" s="64" t="n"/>
      <c r="E4619" s="63" t="n"/>
    </row>
    <row r="4620" ht="18" customHeight="1">
      <c r="A4620" s="62" t="n"/>
      <c r="B4620" s="63" t="n"/>
      <c r="C4620" s="64" t="n"/>
      <c r="D4620" s="64" t="n"/>
      <c r="E4620" s="63" t="n"/>
    </row>
    <row r="4621" ht="18" customHeight="1">
      <c r="A4621" s="62" t="n"/>
      <c r="B4621" s="63" t="n"/>
      <c r="C4621" s="64" t="n"/>
      <c r="D4621" s="64" t="n"/>
      <c r="E4621" s="63" t="n"/>
    </row>
    <row r="4622" ht="18" customHeight="1">
      <c r="A4622" s="62" t="n"/>
      <c r="B4622" s="63" t="n"/>
      <c r="C4622" s="64" t="n"/>
      <c r="D4622" s="64" t="n"/>
      <c r="E4622" s="63" t="n"/>
    </row>
    <row r="4623" ht="18" customHeight="1">
      <c r="A4623" s="62" t="n"/>
      <c r="B4623" s="63" t="n"/>
      <c r="C4623" s="64" t="n"/>
      <c r="D4623" s="64" t="n"/>
      <c r="E4623" s="63" t="n"/>
    </row>
    <row r="4624" ht="18" customHeight="1">
      <c r="A4624" s="62" t="n"/>
      <c r="B4624" s="63" t="n"/>
      <c r="C4624" s="64" t="n"/>
      <c r="D4624" s="64" t="n"/>
      <c r="E4624" s="63" t="n"/>
    </row>
    <row r="4625" ht="18" customHeight="1">
      <c r="A4625" s="62" t="n"/>
      <c r="B4625" s="63" t="n"/>
      <c r="C4625" s="64" t="n"/>
      <c r="D4625" s="64" t="n"/>
      <c r="E4625" s="63" t="n"/>
    </row>
    <row r="4626" ht="18" customHeight="1">
      <c r="A4626" s="62" t="n"/>
      <c r="B4626" s="63" t="n"/>
      <c r="C4626" s="64" t="n"/>
      <c r="D4626" s="64" t="n"/>
      <c r="E4626" s="63" t="n"/>
    </row>
    <row r="4627" ht="18" customHeight="1">
      <c r="A4627" s="62" t="n"/>
      <c r="B4627" s="63" t="n"/>
      <c r="C4627" s="64" t="n"/>
      <c r="D4627" s="64" t="n"/>
      <c r="E4627" s="63" t="n"/>
    </row>
    <row r="4628" ht="18" customHeight="1">
      <c r="A4628" s="62" t="n"/>
      <c r="B4628" s="63" t="n"/>
      <c r="C4628" s="64" t="n"/>
      <c r="D4628" s="64" t="n"/>
      <c r="E4628" s="63" t="n"/>
    </row>
    <row r="4629" ht="18" customHeight="1">
      <c r="A4629" s="62" t="n"/>
      <c r="B4629" s="63" t="n"/>
      <c r="C4629" s="64" t="n"/>
      <c r="D4629" s="64" t="n"/>
      <c r="E4629" s="63" t="n"/>
    </row>
    <row r="4630" ht="18" customHeight="1">
      <c r="A4630" s="62" t="n"/>
      <c r="B4630" s="63" t="n"/>
      <c r="C4630" s="64" t="n"/>
      <c r="D4630" s="64" t="n"/>
      <c r="E4630" s="63" t="n"/>
    </row>
    <row r="4631" ht="18" customHeight="1">
      <c r="A4631" s="62" t="n"/>
      <c r="B4631" s="63" t="n"/>
      <c r="C4631" s="64" t="n"/>
      <c r="D4631" s="64" t="n"/>
      <c r="E4631" s="63" t="n"/>
    </row>
    <row r="4632" ht="18" customHeight="1">
      <c r="A4632" s="62" t="n"/>
      <c r="B4632" s="63" t="n"/>
      <c r="C4632" s="64" t="n"/>
      <c r="D4632" s="64" t="n"/>
      <c r="E4632" s="63" t="n"/>
    </row>
    <row r="4633" ht="18" customHeight="1">
      <c r="A4633" s="62" t="n"/>
      <c r="B4633" s="63" t="n"/>
      <c r="C4633" s="64" t="n"/>
      <c r="D4633" s="64" t="n"/>
      <c r="E4633" s="63" t="n"/>
    </row>
    <row r="4634" ht="18" customHeight="1">
      <c r="A4634" s="62" t="n"/>
      <c r="B4634" s="63" t="n"/>
      <c r="C4634" s="64" t="n"/>
      <c r="D4634" s="64" t="n"/>
      <c r="E4634" s="63" t="n"/>
    </row>
    <row r="4635" ht="18" customHeight="1">
      <c r="A4635" s="62" t="n"/>
      <c r="B4635" s="63" t="n"/>
      <c r="C4635" s="64" t="n"/>
      <c r="D4635" s="64" t="n"/>
      <c r="E4635" s="63" t="n"/>
    </row>
    <row r="4636" ht="18" customHeight="1">
      <c r="A4636" s="62" t="n"/>
      <c r="B4636" s="63" t="n"/>
      <c r="C4636" s="64" t="n"/>
      <c r="D4636" s="64" t="n"/>
      <c r="E4636" s="63" t="n"/>
    </row>
    <row r="4637" ht="18" customHeight="1">
      <c r="A4637" s="62" t="n"/>
      <c r="B4637" s="63" t="n"/>
      <c r="C4637" s="64" t="n"/>
      <c r="D4637" s="64" t="n"/>
      <c r="E4637" s="63" t="n"/>
    </row>
    <row r="4638" ht="18" customHeight="1">
      <c r="A4638" s="62" t="n"/>
      <c r="B4638" s="63" t="n"/>
      <c r="C4638" s="64" t="n"/>
      <c r="D4638" s="64" t="n"/>
      <c r="E4638" s="63" t="n"/>
    </row>
    <row r="4639" ht="18" customHeight="1">
      <c r="A4639" s="62" t="n"/>
      <c r="B4639" s="63" t="n"/>
      <c r="C4639" s="64" t="n"/>
      <c r="D4639" s="64" t="n"/>
      <c r="E4639" s="63" t="n"/>
    </row>
    <row r="4640" ht="18" customHeight="1">
      <c r="A4640" s="62" t="n"/>
      <c r="B4640" s="63" t="n"/>
      <c r="C4640" s="64" t="n"/>
      <c r="D4640" s="64" t="n"/>
      <c r="E4640" s="63" t="n"/>
    </row>
    <row r="4641" ht="18" customHeight="1">
      <c r="A4641" s="62" t="n"/>
      <c r="B4641" s="63" t="n"/>
      <c r="C4641" s="64" t="n"/>
      <c r="D4641" s="64" t="n"/>
      <c r="E4641" s="63" t="n"/>
    </row>
    <row r="4642" ht="18" customHeight="1">
      <c r="A4642" s="62" t="n"/>
      <c r="B4642" s="63" t="n"/>
      <c r="C4642" s="64" t="n"/>
      <c r="D4642" s="64" t="n"/>
      <c r="E4642" s="63" t="n"/>
    </row>
    <row r="4643" ht="18" customHeight="1">
      <c r="A4643" s="62" t="n"/>
      <c r="B4643" s="63" t="n"/>
      <c r="C4643" s="64" t="n"/>
      <c r="D4643" s="64" t="n"/>
      <c r="E4643" s="63" t="n"/>
    </row>
    <row r="4644" ht="18" customHeight="1">
      <c r="A4644" s="62" t="n"/>
      <c r="B4644" s="63" t="n"/>
      <c r="C4644" s="64" t="n"/>
      <c r="D4644" s="64" t="n"/>
      <c r="E4644" s="63" t="n"/>
    </row>
    <row r="4645" ht="18" customHeight="1">
      <c r="A4645" s="62" t="n"/>
      <c r="B4645" s="63" t="n"/>
      <c r="C4645" s="64" t="n"/>
      <c r="D4645" s="64" t="n"/>
      <c r="E4645" s="63" t="n"/>
    </row>
    <row r="4646" ht="18" customHeight="1">
      <c r="A4646" s="62" t="n"/>
      <c r="B4646" s="63" t="n"/>
      <c r="C4646" s="64" t="n"/>
      <c r="D4646" s="64" t="n"/>
      <c r="E4646" s="63" t="n"/>
    </row>
    <row r="4647" ht="18" customHeight="1">
      <c r="A4647" s="62" t="n"/>
      <c r="B4647" s="63" t="n"/>
      <c r="C4647" s="64" t="n"/>
      <c r="D4647" s="64" t="n"/>
      <c r="E4647" s="63" t="n"/>
    </row>
    <row r="4648" ht="18" customHeight="1">
      <c r="A4648" s="62" t="n"/>
      <c r="B4648" s="63" t="n"/>
      <c r="C4648" s="64" t="n"/>
      <c r="D4648" s="64" t="n"/>
      <c r="E4648" s="63" t="n"/>
    </row>
    <row r="4649" ht="18" customHeight="1">
      <c r="A4649" s="62" t="n"/>
      <c r="B4649" s="63" t="n"/>
      <c r="C4649" s="64" t="n"/>
      <c r="D4649" s="64" t="n"/>
      <c r="E4649" s="63" t="n"/>
    </row>
    <row r="4650" ht="18" customHeight="1">
      <c r="A4650" s="62" t="n"/>
      <c r="B4650" s="63" t="n"/>
      <c r="C4650" s="64" t="n"/>
      <c r="D4650" s="64" t="n"/>
      <c r="E4650" s="63" t="n"/>
    </row>
    <row r="4651" ht="18" customHeight="1">
      <c r="A4651" s="62" t="n"/>
      <c r="B4651" s="63" t="n"/>
      <c r="C4651" s="64" t="n"/>
      <c r="D4651" s="64" t="n"/>
      <c r="E4651" s="63" t="n"/>
    </row>
    <row r="4652" ht="18" customHeight="1">
      <c r="A4652" s="62" t="n"/>
      <c r="B4652" s="63" t="n"/>
      <c r="C4652" s="64" t="n"/>
      <c r="D4652" s="64" t="n"/>
      <c r="E4652" s="63" t="n"/>
    </row>
    <row r="4653" ht="18" customHeight="1">
      <c r="A4653" s="62" t="n"/>
      <c r="B4653" s="63" t="n"/>
      <c r="C4653" s="64" t="n"/>
      <c r="D4653" s="64" t="n"/>
      <c r="E4653" s="63" t="n"/>
    </row>
    <row r="4654" ht="18" customHeight="1">
      <c r="A4654" s="62" t="n"/>
      <c r="B4654" s="63" t="n"/>
      <c r="C4654" s="64" t="n"/>
      <c r="D4654" s="64" t="n"/>
      <c r="E4654" s="63" t="n"/>
    </row>
    <row r="4655" ht="18" customHeight="1">
      <c r="A4655" s="62" t="n"/>
      <c r="B4655" s="63" t="n"/>
      <c r="C4655" s="64" t="n"/>
      <c r="D4655" s="64" t="n"/>
      <c r="E4655" s="63" t="n"/>
    </row>
    <row r="4656" ht="18" customHeight="1">
      <c r="A4656" s="62" t="n"/>
      <c r="B4656" s="63" t="n"/>
      <c r="C4656" s="64" t="n"/>
      <c r="D4656" s="64" t="n"/>
      <c r="E4656" s="63" t="n"/>
    </row>
    <row r="4657" ht="18" customHeight="1">
      <c r="A4657" s="62" t="n"/>
      <c r="B4657" s="63" t="n"/>
      <c r="C4657" s="64" t="n"/>
      <c r="D4657" s="64" t="n"/>
      <c r="E4657" s="63" t="n"/>
    </row>
    <row r="4658" ht="18" customHeight="1">
      <c r="A4658" s="62" t="n"/>
      <c r="B4658" s="63" t="n"/>
      <c r="C4658" s="64" t="n"/>
      <c r="D4658" s="64" t="n"/>
      <c r="E4658" s="63" t="n"/>
    </row>
    <row r="4659" ht="18" customHeight="1">
      <c r="A4659" s="62" t="n"/>
      <c r="B4659" s="63" t="n"/>
      <c r="C4659" s="64" t="n"/>
      <c r="D4659" s="64" t="n"/>
      <c r="E4659" s="63" t="n"/>
    </row>
    <row r="4660" ht="18" customHeight="1">
      <c r="A4660" s="62" t="n"/>
      <c r="B4660" s="63" t="n"/>
      <c r="C4660" s="64" t="n"/>
      <c r="D4660" s="64" t="n"/>
      <c r="E4660" s="63" t="n"/>
    </row>
    <row r="4661" ht="18" customHeight="1">
      <c r="A4661" s="62" t="n"/>
      <c r="B4661" s="63" t="n"/>
      <c r="C4661" s="64" t="n"/>
      <c r="D4661" s="64" t="n"/>
      <c r="E4661" s="63" t="n"/>
    </row>
    <row r="4662" ht="18" customHeight="1">
      <c r="A4662" s="62" t="n"/>
      <c r="B4662" s="63" t="n"/>
      <c r="C4662" s="64" t="n"/>
      <c r="D4662" s="64" t="n"/>
      <c r="E4662" s="63" t="n"/>
    </row>
    <row r="4663" ht="18" customHeight="1">
      <c r="A4663" s="62" t="n"/>
      <c r="B4663" s="63" t="n"/>
      <c r="C4663" s="64" t="n"/>
      <c r="D4663" s="64" t="n"/>
      <c r="E4663" s="63" t="n"/>
    </row>
    <row r="4664" ht="18" customHeight="1">
      <c r="A4664" s="62" t="n"/>
      <c r="B4664" s="63" t="n"/>
      <c r="C4664" s="64" t="n"/>
      <c r="D4664" s="64" t="n"/>
      <c r="E4664" s="63" t="n"/>
    </row>
    <row r="4665" ht="18" customHeight="1">
      <c r="A4665" s="62" t="n"/>
      <c r="B4665" s="63" t="n"/>
      <c r="C4665" s="64" t="n"/>
      <c r="D4665" s="64" t="n"/>
      <c r="E4665" s="63" t="n"/>
    </row>
    <row r="4666" ht="18" customHeight="1">
      <c r="A4666" s="62" t="n"/>
      <c r="B4666" s="63" t="n"/>
      <c r="C4666" s="64" t="n"/>
      <c r="D4666" s="64" t="n"/>
      <c r="E4666" s="63" t="n"/>
    </row>
    <row r="4667" ht="18" customHeight="1">
      <c r="A4667" s="62" t="n"/>
      <c r="B4667" s="63" t="n"/>
      <c r="C4667" s="64" t="n"/>
      <c r="D4667" s="64" t="n"/>
      <c r="E4667" s="63" t="n"/>
    </row>
    <row r="4668" ht="18" customHeight="1">
      <c r="A4668" s="62" t="n"/>
      <c r="B4668" s="63" t="n"/>
      <c r="C4668" s="64" t="n"/>
      <c r="D4668" s="64" t="n"/>
      <c r="E4668" s="63" t="n"/>
    </row>
    <row r="4669" ht="18" customHeight="1">
      <c r="A4669" s="62" t="n"/>
      <c r="B4669" s="63" t="n"/>
      <c r="C4669" s="64" t="n"/>
      <c r="D4669" s="64" t="n"/>
      <c r="E4669" s="63" t="n"/>
    </row>
    <row r="4670" ht="18" customHeight="1">
      <c r="A4670" s="62" t="n"/>
      <c r="B4670" s="63" t="n"/>
      <c r="C4670" s="64" t="n"/>
      <c r="D4670" s="64" t="n"/>
      <c r="E4670" s="63" t="n"/>
    </row>
    <row r="4671" ht="18" customHeight="1">
      <c r="A4671" s="62" t="n"/>
      <c r="B4671" s="63" t="n"/>
      <c r="C4671" s="64" t="n"/>
      <c r="D4671" s="64" t="n"/>
      <c r="E4671" s="63" t="n"/>
    </row>
    <row r="4672" ht="18" customHeight="1">
      <c r="A4672" s="62" t="n"/>
      <c r="B4672" s="63" t="n"/>
      <c r="C4672" s="64" t="n"/>
      <c r="D4672" s="64" t="n"/>
      <c r="E4672" s="63" t="n"/>
    </row>
    <row r="4673" ht="18" customHeight="1">
      <c r="A4673" s="62" t="n"/>
      <c r="B4673" s="63" t="n"/>
      <c r="C4673" s="64" t="n"/>
      <c r="D4673" s="64" t="n"/>
      <c r="E4673" s="63" t="n"/>
    </row>
    <row r="4674" ht="18" customHeight="1">
      <c r="A4674" s="62" t="n"/>
      <c r="B4674" s="63" t="n"/>
      <c r="C4674" s="64" t="n"/>
      <c r="D4674" s="64" t="n"/>
      <c r="E4674" s="63" t="n"/>
    </row>
    <row r="4675" ht="18" customHeight="1">
      <c r="A4675" s="62" t="n"/>
      <c r="B4675" s="63" t="n"/>
      <c r="C4675" s="64" t="n"/>
      <c r="D4675" s="64" t="n"/>
      <c r="E4675" s="63" t="n"/>
    </row>
    <row r="4676" ht="18" customHeight="1">
      <c r="A4676" s="62" t="n"/>
      <c r="B4676" s="63" t="n"/>
      <c r="C4676" s="64" t="n"/>
      <c r="D4676" s="64" t="n"/>
      <c r="E4676" s="63" t="n"/>
    </row>
    <row r="4677" ht="18" customHeight="1">
      <c r="A4677" s="62" t="n"/>
      <c r="B4677" s="63" t="n"/>
      <c r="C4677" s="64" t="n"/>
      <c r="D4677" s="64" t="n"/>
      <c r="E4677" s="63" t="n"/>
    </row>
    <row r="4678" ht="18" customHeight="1">
      <c r="A4678" s="62" t="n"/>
      <c r="B4678" s="63" t="n"/>
      <c r="C4678" s="64" t="n"/>
      <c r="D4678" s="64" t="n"/>
      <c r="E4678" s="63" t="n"/>
    </row>
    <row r="4679" ht="18" customHeight="1">
      <c r="A4679" s="62" t="n"/>
      <c r="B4679" s="63" t="n"/>
      <c r="C4679" s="64" t="n"/>
      <c r="D4679" s="64" t="n"/>
      <c r="E4679" s="63" t="n"/>
    </row>
    <row r="4680" ht="18" customHeight="1">
      <c r="A4680" s="62" t="n"/>
      <c r="B4680" s="63" t="n"/>
      <c r="C4680" s="64" t="n"/>
      <c r="D4680" s="64" t="n"/>
      <c r="E4680" s="63" t="n"/>
    </row>
    <row r="4681" ht="18" customHeight="1">
      <c r="A4681" s="62" t="n"/>
      <c r="B4681" s="63" t="n"/>
      <c r="C4681" s="64" t="n"/>
      <c r="D4681" s="64" t="n"/>
      <c r="E4681" s="63" t="n"/>
    </row>
    <row r="4682" ht="18" customHeight="1">
      <c r="A4682" s="62" t="n"/>
      <c r="B4682" s="63" t="n"/>
      <c r="C4682" s="64" t="n"/>
      <c r="D4682" s="64" t="n"/>
      <c r="E4682" s="63" t="n"/>
    </row>
    <row r="4683" ht="18" customHeight="1">
      <c r="A4683" s="62" t="n"/>
      <c r="B4683" s="63" t="n"/>
      <c r="C4683" s="64" t="n"/>
      <c r="D4683" s="64" t="n"/>
      <c r="E4683" s="63" t="n"/>
    </row>
    <row r="4684" ht="18" customHeight="1">
      <c r="A4684" s="62" t="n"/>
      <c r="B4684" s="63" t="n"/>
      <c r="C4684" s="64" t="n"/>
      <c r="D4684" s="64" t="n"/>
      <c r="E4684" s="63" t="n"/>
    </row>
    <row r="4685" ht="18" customHeight="1">
      <c r="A4685" s="62" t="n"/>
      <c r="B4685" s="63" t="n"/>
      <c r="C4685" s="64" t="n"/>
      <c r="D4685" s="64" t="n"/>
      <c r="E4685" s="63" t="n"/>
    </row>
    <row r="4686" ht="18" customHeight="1">
      <c r="A4686" s="62" t="n"/>
      <c r="B4686" s="63" t="n"/>
      <c r="C4686" s="64" t="n"/>
      <c r="D4686" s="64" t="n"/>
      <c r="E4686" s="63" t="n"/>
    </row>
    <row r="4687" ht="18" customHeight="1">
      <c r="A4687" s="62" t="n"/>
      <c r="B4687" s="63" t="n"/>
      <c r="C4687" s="64" t="n"/>
      <c r="D4687" s="64" t="n"/>
      <c r="E4687" s="63" t="n"/>
    </row>
    <row r="4688" ht="18" customHeight="1">
      <c r="A4688" s="62" t="n"/>
      <c r="B4688" s="63" t="n"/>
      <c r="C4688" s="64" t="n"/>
      <c r="D4688" s="64" t="n"/>
      <c r="E4688" s="63" t="n"/>
    </row>
    <row r="4689" ht="18" customHeight="1">
      <c r="A4689" s="62" t="n"/>
      <c r="B4689" s="63" t="n"/>
      <c r="C4689" s="64" t="n"/>
      <c r="D4689" s="64" t="n"/>
      <c r="E4689" s="63" t="n"/>
    </row>
    <row r="4690" ht="18" customHeight="1">
      <c r="A4690" s="62" t="n"/>
      <c r="B4690" s="63" t="n"/>
      <c r="C4690" s="64" t="n"/>
      <c r="D4690" s="64" t="n"/>
      <c r="E4690" s="63" t="n"/>
    </row>
    <row r="4691" ht="18" customHeight="1">
      <c r="A4691" s="62" t="n"/>
      <c r="B4691" s="63" t="n"/>
      <c r="C4691" s="64" t="n"/>
      <c r="D4691" s="64" t="n"/>
      <c r="E4691" s="63" t="n"/>
    </row>
    <row r="4692" ht="18" customHeight="1">
      <c r="A4692" s="62" t="n"/>
      <c r="B4692" s="63" t="n"/>
      <c r="C4692" s="64" t="n"/>
      <c r="D4692" s="64" t="n"/>
      <c r="E4692" s="63" t="n"/>
    </row>
    <row r="4693" ht="18" customHeight="1">
      <c r="A4693" s="62" t="n"/>
      <c r="B4693" s="63" t="n"/>
      <c r="C4693" s="64" t="n"/>
      <c r="D4693" s="64" t="n"/>
      <c r="E4693" s="63" t="n"/>
    </row>
    <row r="4694" ht="18" customHeight="1">
      <c r="A4694" s="62" t="n"/>
      <c r="B4694" s="63" t="n"/>
      <c r="C4694" s="64" t="n"/>
      <c r="D4694" s="64" t="n"/>
      <c r="E4694" s="63" t="n"/>
    </row>
    <row r="4695" ht="18" customHeight="1">
      <c r="A4695" s="62" t="n"/>
      <c r="B4695" s="63" t="n"/>
      <c r="C4695" s="64" t="n"/>
      <c r="D4695" s="64" t="n"/>
      <c r="E4695" s="63" t="n"/>
    </row>
    <row r="4696" ht="18" customHeight="1">
      <c r="A4696" s="62" t="n"/>
      <c r="B4696" s="63" t="n"/>
      <c r="C4696" s="64" t="n"/>
      <c r="D4696" s="64" t="n"/>
      <c r="E4696" s="63" t="n"/>
    </row>
    <row r="4697" ht="18" customHeight="1">
      <c r="A4697" s="62" t="n"/>
      <c r="B4697" s="63" t="n"/>
      <c r="C4697" s="64" t="n"/>
      <c r="D4697" s="64" t="n"/>
      <c r="E4697" s="63" t="n"/>
    </row>
    <row r="4698" ht="18" customHeight="1">
      <c r="A4698" s="62" t="n"/>
      <c r="B4698" s="63" t="n"/>
      <c r="C4698" s="64" t="n"/>
      <c r="D4698" s="64" t="n"/>
      <c r="E4698" s="63" t="n"/>
    </row>
    <row r="4699" ht="18" customHeight="1">
      <c r="A4699" s="62" t="n"/>
      <c r="B4699" s="63" t="n"/>
      <c r="C4699" s="64" t="n"/>
      <c r="D4699" s="64" t="n"/>
      <c r="E4699" s="63" t="n"/>
    </row>
    <row r="4700" ht="18" customHeight="1">
      <c r="A4700" s="62" t="n"/>
      <c r="B4700" s="63" t="n"/>
      <c r="C4700" s="64" t="n"/>
      <c r="D4700" s="64" t="n"/>
      <c r="E4700" s="63" t="n"/>
    </row>
    <row r="4701" ht="18" customHeight="1">
      <c r="A4701" s="62" t="n"/>
      <c r="B4701" s="63" t="n"/>
      <c r="C4701" s="64" t="n"/>
      <c r="D4701" s="64" t="n"/>
      <c r="E4701" s="63" t="n"/>
    </row>
    <row r="4702" ht="18" customHeight="1">
      <c r="A4702" s="62" t="n"/>
      <c r="B4702" s="63" t="n"/>
      <c r="C4702" s="64" t="n"/>
      <c r="D4702" s="64" t="n"/>
      <c r="E4702" s="63" t="n"/>
    </row>
    <row r="4703" ht="18" customHeight="1">
      <c r="A4703" s="62" t="n"/>
      <c r="B4703" s="63" t="n"/>
      <c r="C4703" s="64" t="n"/>
      <c r="D4703" s="64" t="n"/>
      <c r="E4703" s="63" t="n"/>
    </row>
    <row r="4704" ht="18" customHeight="1">
      <c r="A4704" s="62" t="n"/>
      <c r="B4704" s="63" t="n"/>
      <c r="C4704" s="64" t="n"/>
      <c r="D4704" s="64" t="n"/>
      <c r="E4704" s="63" t="n"/>
    </row>
    <row r="4705" ht="18" customHeight="1">
      <c r="A4705" s="62" t="n"/>
      <c r="B4705" s="63" t="n"/>
      <c r="C4705" s="64" t="n"/>
      <c r="D4705" s="64" t="n"/>
      <c r="E4705" s="63" t="n"/>
    </row>
    <row r="4706" ht="18" customHeight="1">
      <c r="A4706" s="62" t="n"/>
      <c r="B4706" s="63" t="n"/>
      <c r="C4706" s="64" t="n"/>
      <c r="D4706" s="64" t="n"/>
      <c r="E4706" s="63" t="n"/>
    </row>
    <row r="4707" ht="18" customHeight="1">
      <c r="A4707" s="62" t="n"/>
      <c r="B4707" s="63" t="n"/>
      <c r="C4707" s="64" t="n"/>
      <c r="D4707" s="64" t="n"/>
      <c r="E4707" s="63" t="n"/>
    </row>
    <row r="4708" ht="18" customHeight="1">
      <c r="A4708" s="62" t="n"/>
      <c r="B4708" s="63" t="n"/>
      <c r="C4708" s="64" t="n"/>
      <c r="D4708" s="64" t="n"/>
      <c r="E4708" s="63" t="n"/>
    </row>
    <row r="4709" ht="18" customHeight="1">
      <c r="A4709" s="62" t="n"/>
      <c r="B4709" s="63" t="n"/>
      <c r="C4709" s="64" t="n"/>
      <c r="D4709" s="64" t="n"/>
      <c r="E4709" s="63" t="n"/>
    </row>
    <row r="4710" ht="18" customHeight="1">
      <c r="A4710" s="62" t="n"/>
      <c r="B4710" s="63" t="n"/>
      <c r="C4710" s="64" t="n"/>
      <c r="D4710" s="64" t="n"/>
      <c r="E4710" s="63" t="n"/>
    </row>
    <row r="4711" ht="18" customHeight="1">
      <c r="A4711" s="62" t="n"/>
      <c r="B4711" s="63" t="n"/>
      <c r="C4711" s="64" t="n"/>
      <c r="D4711" s="64" t="n"/>
      <c r="E4711" s="63" t="n"/>
    </row>
    <row r="4712" ht="18" customHeight="1">
      <c r="A4712" s="62" t="n"/>
      <c r="B4712" s="63" t="n"/>
      <c r="C4712" s="64" t="n"/>
      <c r="D4712" s="64" t="n"/>
      <c r="E4712" s="63" t="n"/>
    </row>
    <row r="4713" ht="18" customHeight="1">
      <c r="A4713" s="62" t="n"/>
      <c r="B4713" s="63" t="n"/>
      <c r="C4713" s="64" t="n"/>
      <c r="D4713" s="64" t="n"/>
      <c r="E4713" s="63" t="n"/>
    </row>
    <row r="4714" ht="18" customHeight="1">
      <c r="A4714" s="62" t="n"/>
      <c r="B4714" s="63" t="n"/>
      <c r="C4714" s="64" t="n"/>
      <c r="D4714" s="64" t="n"/>
      <c r="E4714" s="63" t="n"/>
    </row>
    <row r="4715" ht="18" customHeight="1">
      <c r="A4715" s="62" t="n"/>
      <c r="B4715" s="63" t="n"/>
      <c r="C4715" s="64" t="n"/>
      <c r="D4715" s="64" t="n"/>
      <c r="E4715" s="63" t="n"/>
    </row>
    <row r="4716" ht="18" customHeight="1">
      <c r="A4716" s="62" t="n"/>
      <c r="B4716" s="63" t="n"/>
      <c r="C4716" s="64" t="n"/>
      <c r="D4716" s="64" t="n"/>
      <c r="E4716" s="63" t="n"/>
    </row>
    <row r="4717" ht="18" customHeight="1">
      <c r="A4717" s="62" t="n"/>
      <c r="B4717" s="63" t="n"/>
      <c r="C4717" s="64" t="n"/>
      <c r="D4717" s="64" t="n"/>
      <c r="E4717" s="63" t="n"/>
    </row>
    <row r="4718" ht="18" customHeight="1">
      <c r="A4718" s="62" t="n"/>
      <c r="B4718" s="63" t="n"/>
      <c r="C4718" s="64" t="n"/>
      <c r="D4718" s="64" t="n"/>
      <c r="E4718" s="63" t="n"/>
    </row>
    <row r="4719" ht="18" customHeight="1">
      <c r="A4719" s="62" t="n"/>
      <c r="B4719" s="63" t="n"/>
      <c r="C4719" s="64" t="n"/>
      <c r="D4719" s="64" t="n"/>
      <c r="E4719" s="63" t="n"/>
    </row>
    <row r="4720" ht="18" customHeight="1">
      <c r="A4720" s="62" t="n"/>
      <c r="B4720" s="63" t="n"/>
      <c r="C4720" s="64" t="n"/>
      <c r="D4720" s="64" t="n"/>
      <c r="E4720" s="63" t="n"/>
    </row>
    <row r="4721" ht="18" customHeight="1">
      <c r="A4721" s="62" t="n"/>
      <c r="B4721" s="63" t="n"/>
      <c r="C4721" s="64" t="n"/>
      <c r="D4721" s="64" t="n"/>
      <c r="E4721" s="63" t="n"/>
    </row>
    <row r="4722" ht="18" customHeight="1">
      <c r="A4722" s="62" t="n"/>
      <c r="B4722" s="63" t="n"/>
      <c r="C4722" s="64" t="n"/>
      <c r="D4722" s="64" t="n"/>
      <c r="E4722" s="63" t="n"/>
    </row>
    <row r="4723" ht="18" customHeight="1">
      <c r="A4723" s="62" t="n"/>
      <c r="B4723" s="63" t="n"/>
      <c r="C4723" s="64" t="n"/>
      <c r="D4723" s="64" t="n"/>
      <c r="E4723" s="63" t="n"/>
    </row>
    <row r="4724" ht="18" customHeight="1">
      <c r="A4724" s="62" t="n"/>
      <c r="B4724" s="63" t="n"/>
      <c r="C4724" s="64" t="n"/>
      <c r="D4724" s="64" t="n"/>
      <c r="E4724" s="63" t="n"/>
    </row>
    <row r="4725" ht="18" customHeight="1">
      <c r="A4725" s="62" t="n"/>
      <c r="B4725" s="63" t="n"/>
      <c r="C4725" s="64" t="n"/>
      <c r="D4725" s="64" t="n"/>
      <c r="E4725" s="63" t="n"/>
    </row>
    <row r="4726" ht="18" customHeight="1">
      <c r="A4726" s="62" t="n"/>
      <c r="B4726" s="63" t="n"/>
      <c r="C4726" s="64" t="n"/>
      <c r="D4726" s="64" t="n"/>
      <c r="E4726" s="63" t="n"/>
    </row>
    <row r="4727" ht="18" customHeight="1">
      <c r="A4727" s="62" t="n"/>
      <c r="B4727" s="63" t="n"/>
      <c r="C4727" s="64" t="n"/>
      <c r="D4727" s="64" t="n"/>
      <c r="E4727" s="63" t="n"/>
    </row>
    <row r="4728" ht="18" customHeight="1">
      <c r="A4728" s="62" t="n"/>
      <c r="B4728" s="63" t="n"/>
      <c r="C4728" s="64" t="n"/>
      <c r="D4728" s="64" t="n"/>
      <c r="E4728" s="63" t="n"/>
    </row>
    <row r="4729" ht="18" customHeight="1">
      <c r="A4729" s="62" t="n"/>
      <c r="B4729" s="63" t="n"/>
      <c r="C4729" s="64" t="n"/>
      <c r="D4729" s="64" t="n"/>
      <c r="E4729" s="63" t="n"/>
    </row>
    <row r="4730" ht="18" customHeight="1">
      <c r="A4730" s="62" t="n"/>
      <c r="B4730" s="63" t="n"/>
      <c r="C4730" s="64" t="n"/>
      <c r="D4730" s="64" t="n"/>
      <c r="E4730" s="63" t="n"/>
    </row>
    <row r="4731" ht="18" customHeight="1">
      <c r="A4731" s="62" t="n"/>
      <c r="B4731" s="63" t="n"/>
      <c r="C4731" s="64" t="n"/>
      <c r="D4731" s="64" t="n"/>
      <c r="E4731" s="63" t="n"/>
    </row>
    <row r="4732" ht="18" customHeight="1">
      <c r="A4732" s="62" t="n"/>
      <c r="B4732" s="63" t="n"/>
      <c r="C4732" s="64" t="n"/>
      <c r="D4732" s="64" t="n"/>
      <c r="E4732" s="63" t="n"/>
    </row>
    <row r="4733" ht="18" customHeight="1">
      <c r="A4733" s="62" t="n"/>
      <c r="B4733" s="63" t="n"/>
      <c r="C4733" s="64" t="n"/>
      <c r="D4733" s="64" t="n"/>
      <c r="E4733" s="63" t="n"/>
    </row>
    <row r="4734" ht="18" customHeight="1">
      <c r="A4734" s="62" t="n"/>
      <c r="B4734" s="63" t="n"/>
      <c r="C4734" s="64" t="n"/>
      <c r="D4734" s="64" t="n"/>
      <c r="E4734" s="63" t="n"/>
    </row>
    <row r="4735" ht="18" customHeight="1">
      <c r="A4735" s="62" t="n"/>
      <c r="B4735" s="63" t="n"/>
      <c r="C4735" s="64" t="n"/>
      <c r="D4735" s="64" t="n"/>
      <c r="E4735" s="63" t="n"/>
    </row>
    <row r="4736" ht="18" customHeight="1">
      <c r="A4736" s="62" t="n"/>
      <c r="B4736" s="63" t="n"/>
      <c r="C4736" s="64" t="n"/>
      <c r="D4736" s="64" t="n"/>
      <c r="E4736" s="63" t="n"/>
    </row>
    <row r="4737" ht="18" customHeight="1">
      <c r="A4737" s="62" t="n"/>
      <c r="B4737" s="63" t="n"/>
      <c r="C4737" s="64" t="n"/>
      <c r="D4737" s="64" t="n"/>
      <c r="E4737" s="63" t="n"/>
    </row>
    <row r="4738" ht="18" customHeight="1">
      <c r="A4738" s="62" t="n"/>
      <c r="B4738" s="63" t="n"/>
      <c r="C4738" s="64" t="n"/>
      <c r="D4738" s="64" t="n"/>
      <c r="E4738" s="63" t="n"/>
    </row>
    <row r="4739" ht="18" customHeight="1">
      <c r="A4739" s="62" t="n"/>
      <c r="B4739" s="63" t="n"/>
      <c r="C4739" s="64" t="n"/>
      <c r="D4739" s="64" t="n"/>
      <c r="E4739" s="63" t="n"/>
    </row>
    <row r="4740" ht="18" customHeight="1">
      <c r="A4740" s="62" t="n"/>
      <c r="B4740" s="63" t="n"/>
      <c r="C4740" s="64" t="n"/>
      <c r="D4740" s="64" t="n"/>
      <c r="E4740" s="63" t="n"/>
    </row>
    <row r="4741" ht="18" customHeight="1">
      <c r="A4741" s="62" t="n"/>
      <c r="B4741" s="63" t="n"/>
      <c r="C4741" s="64" t="n"/>
      <c r="D4741" s="64" t="n"/>
      <c r="E4741" s="63" t="n"/>
    </row>
    <row r="4742" ht="18" customHeight="1">
      <c r="A4742" s="62" t="n"/>
      <c r="B4742" s="63" t="n"/>
      <c r="C4742" s="64" t="n"/>
      <c r="D4742" s="64" t="n"/>
      <c r="E4742" s="63" t="n"/>
    </row>
    <row r="4743" ht="18" customHeight="1">
      <c r="A4743" s="62" t="n"/>
      <c r="B4743" s="63" t="n"/>
      <c r="C4743" s="64" t="n"/>
      <c r="D4743" s="64" t="n"/>
      <c r="E4743" s="63" t="n"/>
    </row>
    <row r="4744" ht="18" customHeight="1">
      <c r="A4744" s="62" t="n"/>
      <c r="B4744" s="63" t="n"/>
      <c r="C4744" s="64" t="n"/>
      <c r="D4744" s="64" t="n"/>
      <c r="E4744" s="63" t="n"/>
    </row>
    <row r="4745" ht="18" customHeight="1">
      <c r="A4745" s="62" t="n"/>
      <c r="B4745" s="63" t="n"/>
      <c r="C4745" s="64" t="n"/>
      <c r="D4745" s="64" t="n"/>
      <c r="E4745" s="63" t="n"/>
    </row>
    <row r="4746" ht="18" customHeight="1">
      <c r="A4746" s="62" t="n"/>
      <c r="B4746" s="63" t="n"/>
      <c r="C4746" s="64" t="n"/>
      <c r="D4746" s="64" t="n"/>
      <c r="E4746" s="63" t="n"/>
    </row>
    <row r="4747" ht="18" customHeight="1">
      <c r="A4747" s="62" t="n"/>
      <c r="B4747" s="63" t="n"/>
      <c r="C4747" s="64" t="n"/>
      <c r="D4747" s="64" t="n"/>
      <c r="E4747" s="63" t="n"/>
    </row>
    <row r="4748" ht="18" customHeight="1">
      <c r="A4748" s="62" t="n"/>
      <c r="B4748" s="63" t="n"/>
      <c r="C4748" s="64" t="n"/>
      <c r="D4748" s="64" t="n"/>
      <c r="E4748" s="63" t="n"/>
    </row>
    <row r="4749" ht="18" customHeight="1">
      <c r="A4749" s="62" t="n"/>
      <c r="B4749" s="63" t="n"/>
      <c r="C4749" s="64" t="n"/>
      <c r="D4749" s="64" t="n"/>
      <c r="E4749" s="63" t="n"/>
    </row>
    <row r="4750" ht="18" customHeight="1">
      <c r="A4750" s="62" t="n"/>
      <c r="B4750" s="63" t="n"/>
      <c r="C4750" s="64" t="n"/>
      <c r="D4750" s="64" t="n"/>
      <c r="E4750" s="63" t="n"/>
    </row>
    <row r="4751" ht="18" customHeight="1">
      <c r="A4751" s="62" t="n"/>
      <c r="B4751" s="63" t="n"/>
      <c r="C4751" s="64" t="n"/>
      <c r="D4751" s="64" t="n"/>
      <c r="E4751" s="63" t="n"/>
    </row>
    <row r="4752" ht="18" customHeight="1">
      <c r="A4752" s="62" t="n"/>
      <c r="B4752" s="63" t="n"/>
      <c r="C4752" s="64" t="n"/>
      <c r="D4752" s="64" t="n"/>
      <c r="E4752" s="63" t="n"/>
    </row>
    <row r="4753" ht="18" customHeight="1">
      <c r="A4753" s="62" t="n"/>
      <c r="B4753" s="63" t="n"/>
      <c r="C4753" s="64" t="n"/>
      <c r="D4753" s="64" t="n"/>
      <c r="E4753" s="63" t="n"/>
    </row>
    <row r="4754" ht="18" customHeight="1">
      <c r="A4754" s="62" t="n"/>
      <c r="B4754" s="63" t="n"/>
      <c r="C4754" s="64" t="n"/>
      <c r="D4754" s="64" t="n"/>
      <c r="E4754" s="63" t="n"/>
    </row>
    <row r="4755" ht="18" customHeight="1">
      <c r="A4755" s="62" t="n"/>
      <c r="B4755" s="63" t="n"/>
      <c r="C4755" s="64" t="n"/>
      <c r="D4755" s="64" t="n"/>
      <c r="E4755" s="63" t="n"/>
    </row>
    <row r="4756" ht="18" customHeight="1">
      <c r="A4756" s="62" t="n"/>
      <c r="B4756" s="63" t="n"/>
      <c r="C4756" s="64" t="n"/>
      <c r="D4756" s="64" t="n"/>
      <c r="E4756" s="63" t="n"/>
    </row>
    <row r="4757" ht="18" customHeight="1">
      <c r="A4757" s="62" t="n"/>
      <c r="B4757" s="63" t="n"/>
      <c r="C4757" s="64" t="n"/>
      <c r="D4757" s="64" t="n"/>
      <c r="E4757" s="63" t="n"/>
    </row>
    <row r="4758" ht="18" customHeight="1">
      <c r="A4758" s="62" t="n"/>
      <c r="B4758" s="63" t="n"/>
      <c r="C4758" s="64" t="n"/>
      <c r="D4758" s="64" t="n"/>
      <c r="E4758" s="63" t="n"/>
    </row>
    <row r="4759" ht="18" customHeight="1">
      <c r="A4759" s="62" t="n"/>
      <c r="B4759" s="63" t="n"/>
      <c r="C4759" s="64" t="n"/>
      <c r="D4759" s="64" t="n"/>
      <c r="E4759" s="63" t="n"/>
    </row>
    <row r="4760" ht="18" customHeight="1">
      <c r="A4760" s="62" t="n"/>
      <c r="B4760" s="63" t="n"/>
      <c r="C4760" s="64" t="n"/>
      <c r="D4760" s="64" t="n"/>
      <c r="E4760" s="63" t="n"/>
    </row>
    <row r="4761" ht="18" customHeight="1">
      <c r="A4761" s="62" t="n"/>
      <c r="B4761" s="63" t="n"/>
      <c r="C4761" s="64" t="n"/>
      <c r="D4761" s="64" t="n"/>
      <c r="E4761" s="63" t="n"/>
    </row>
    <row r="4762" ht="18" customHeight="1">
      <c r="A4762" s="62" t="n"/>
      <c r="B4762" s="63" t="n"/>
      <c r="C4762" s="64" t="n"/>
      <c r="D4762" s="64" t="n"/>
      <c r="E4762" s="63" t="n"/>
    </row>
    <row r="4763" ht="18" customHeight="1">
      <c r="A4763" s="62" t="n"/>
      <c r="B4763" s="63" t="n"/>
      <c r="C4763" s="64" t="n"/>
      <c r="D4763" s="64" t="n"/>
      <c r="E4763" s="63" t="n"/>
    </row>
    <row r="4764" ht="18" customHeight="1">
      <c r="A4764" s="62" t="n"/>
      <c r="B4764" s="63" t="n"/>
      <c r="C4764" s="64" t="n"/>
      <c r="D4764" s="64" t="n"/>
      <c r="E4764" s="63" t="n"/>
    </row>
    <row r="4765" ht="18" customHeight="1">
      <c r="A4765" s="62" t="n"/>
      <c r="B4765" s="63" t="n"/>
      <c r="C4765" s="64" t="n"/>
      <c r="D4765" s="64" t="n"/>
      <c r="E4765" s="63" t="n"/>
    </row>
    <row r="4766" ht="18" customHeight="1">
      <c r="A4766" s="62" t="n"/>
      <c r="B4766" s="63" t="n"/>
      <c r="C4766" s="64" t="n"/>
      <c r="D4766" s="64" t="n"/>
      <c r="E4766" s="63" t="n"/>
    </row>
    <row r="4767" ht="18" customHeight="1">
      <c r="A4767" s="62" t="n"/>
      <c r="B4767" s="63" t="n"/>
      <c r="C4767" s="64" t="n"/>
      <c r="D4767" s="64" t="n"/>
      <c r="E4767" s="63" t="n"/>
    </row>
    <row r="4768" ht="18" customHeight="1">
      <c r="A4768" s="62" t="n"/>
      <c r="B4768" s="63" t="n"/>
      <c r="C4768" s="64" t="n"/>
      <c r="D4768" s="64" t="n"/>
      <c r="E4768" s="63" t="n"/>
    </row>
    <row r="4769" ht="18" customHeight="1">
      <c r="A4769" s="62" t="n"/>
      <c r="B4769" s="63" t="n"/>
      <c r="C4769" s="64" t="n"/>
      <c r="D4769" s="64" t="n"/>
      <c r="E4769" s="63" t="n"/>
    </row>
    <row r="4770" ht="18" customHeight="1">
      <c r="A4770" s="62" t="n"/>
      <c r="B4770" s="63" t="n"/>
      <c r="C4770" s="64" t="n"/>
      <c r="D4770" s="64" t="n"/>
      <c r="E4770" s="63" t="n"/>
    </row>
    <row r="4771" ht="18" customHeight="1">
      <c r="A4771" s="62" t="n"/>
      <c r="B4771" s="63" t="n"/>
      <c r="C4771" s="64" t="n"/>
      <c r="D4771" s="64" t="n"/>
      <c r="E4771" s="63" t="n"/>
    </row>
    <row r="4772" ht="18" customHeight="1">
      <c r="A4772" s="62" t="n"/>
      <c r="B4772" s="63" t="n"/>
      <c r="C4772" s="64" t="n"/>
      <c r="D4772" s="64" t="n"/>
      <c r="E4772" s="63" t="n"/>
    </row>
    <row r="4773" ht="18" customHeight="1">
      <c r="A4773" s="62" t="n"/>
      <c r="B4773" s="63" t="n"/>
      <c r="C4773" s="64" t="n"/>
      <c r="D4773" s="64" t="n"/>
      <c r="E4773" s="63" t="n"/>
    </row>
    <row r="4774" ht="18" customHeight="1">
      <c r="A4774" s="62" t="n"/>
      <c r="B4774" s="63" t="n"/>
      <c r="C4774" s="64" t="n"/>
      <c r="D4774" s="64" t="n"/>
      <c r="E4774" s="63" t="n"/>
    </row>
    <row r="4775" ht="18" customHeight="1">
      <c r="A4775" s="62" t="n"/>
      <c r="B4775" s="63" t="n"/>
      <c r="C4775" s="64" t="n"/>
      <c r="D4775" s="64" t="n"/>
      <c r="E4775" s="63" t="n"/>
    </row>
    <row r="4776" ht="18" customHeight="1">
      <c r="A4776" s="62" t="n"/>
      <c r="B4776" s="63" t="n"/>
      <c r="C4776" s="64" t="n"/>
      <c r="D4776" s="64" t="n"/>
      <c r="E4776" s="63" t="n"/>
    </row>
    <row r="4777" ht="18" customHeight="1">
      <c r="A4777" s="62" t="n"/>
      <c r="B4777" s="63" t="n"/>
      <c r="C4777" s="64" t="n"/>
      <c r="D4777" s="64" t="n"/>
      <c r="E4777" s="63" t="n"/>
    </row>
    <row r="4778" ht="18" customHeight="1">
      <c r="A4778" s="62" t="n"/>
      <c r="B4778" s="63" t="n"/>
      <c r="C4778" s="64" t="n"/>
      <c r="D4778" s="64" t="n"/>
      <c r="E4778" s="63" t="n"/>
    </row>
    <row r="4779" ht="18" customHeight="1">
      <c r="A4779" s="62" t="n"/>
      <c r="B4779" s="63" t="n"/>
      <c r="C4779" s="64" t="n"/>
      <c r="D4779" s="64" t="n"/>
      <c r="E4779" s="63" t="n"/>
    </row>
    <row r="4780" ht="18" customHeight="1">
      <c r="A4780" s="62" t="n"/>
      <c r="B4780" s="63" t="n"/>
      <c r="C4780" s="64" t="n"/>
      <c r="D4780" s="64" t="n"/>
      <c r="E4780" s="63" t="n"/>
    </row>
    <row r="4781" ht="18" customHeight="1">
      <c r="A4781" s="62" t="n"/>
      <c r="B4781" s="63" t="n"/>
      <c r="C4781" s="64" t="n"/>
      <c r="D4781" s="64" t="n"/>
      <c r="E4781" s="63" t="n"/>
    </row>
    <row r="4782" ht="18" customHeight="1">
      <c r="A4782" s="62" t="n"/>
      <c r="B4782" s="63" t="n"/>
      <c r="C4782" s="64" t="n"/>
      <c r="D4782" s="64" t="n"/>
      <c r="E4782" s="63" t="n"/>
    </row>
    <row r="4783" ht="18" customHeight="1">
      <c r="A4783" s="62" t="n"/>
      <c r="B4783" s="63" t="n"/>
      <c r="C4783" s="64" t="n"/>
      <c r="D4783" s="64" t="n"/>
      <c r="E4783" s="63" t="n"/>
    </row>
    <row r="4784" ht="18" customHeight="1">
      <c r="A4784" s="62" t="n"/>
      <c r="B4784" s="63" t="n"/>
      <c r="C4784" s="64" t="n"/>
      <c r="D4784" s="64" t="n"/>
      <c r="E4784" s="63" t="n"/>
    </row>
    <row r="4785" ht="18" customHeight="1">
      <c r="A4785" s="62" t="n"/>
      <c r="B4785" s="63" t="n"/>
      <c r="C4785" s="64" t="n"/>
      <c r="D4785" s="64" t="n"/>
      <c r="E4785" s="63" t="n"/>
    </row>
    <row r="4786" ht="18" customHeight="1">
      <c r="A4786" s="62" t="n"/>
      <c r="B4786" s="63" t="n"/>
      <c r="C4786" s="64" t="n"/>
      <c r="D4786" s="64" t="n"/>
      <c r="E4786" s="63" t="n"/>
    </row>
    <row r="4787" ht="18" customHeight="1">
      <c r="A4787" s="62" t="n"/>
      <c r="B4787" s="63" t="n"/>
      <c r="C4787" s="64" t="n"/>
      <c r="D4787" s="64" t="n"/>
      <c r="E4787" s="63" t="n"/>
    </row>
    <row r="4788" ht="18" customHeight="1">
      <c r="A4788" s="62" t="n"/>
      <c r="B4788" s="63" t="n"/>
      <c r="C4788" s="64" t="n"/>
      <c r="D4788" s="64" t="n"/>
      <c r="E4788" s="63" t="n"/>
    </row>
    <row r="4789" ht="18" customHeight="1">
      <c r="A4789" s="62" t="n"/>
      <c r="B4789" s="63" t="n"/>
      <c r="C4789" s="64" t="n"/>
      <c r="D4789" s="64" t="n"/>
      <c r="E4789" s="63" t="n"/>
    </row>
    <row r="4790" ht="18" customHeight="1">
      <c r="A4790" s="62" t="n"/>
      <c r="B4790" s="63" t="n"/>
      <c r="C4790" s="64" t="n"/>
      <c r="D4790" s="64" t="n"/>
      <c r="E4790" s="63" t="n"/>
    </row>
    <row r="4791" ht="18" customHeight="1">
      <c r="A4791" s="62" t="n"/>
      <c r="B4791" s="63" t="n"/>
      <c r="C4791" s="64" t="n"/>
      <c r="D4791" s="64" t="n"/>
      <c r="E4791" s="63" t="n"/>
    </row>
    <row r="4792" ht="18" customHeight="1">
      <c r="A4792" s="62" t="n"/>
      <c r="B4792" s="63" t="n"/>
      <c r="C4792" s="64" t="n"/>
      <c r="D4792" s="64" t="n"/>
      <c r="E4792" s="63" t="n"/>
    </row>
    <row r="4793" ht="18" customHeight="1">
      <c r="A4793" s="62" t="n"/>
      <c r="B4793" s="63" t="n"/>
      <c r="C4793" s="64" t="n"/>
      <c r="D4793" s="64" t="n"/>
      <c r="E4793" s="63" t="n"/>
    </row>
    <row r="4794" ht="18" customHeight="1">
      <c r="A4794" s="62" t="n"/>
      <c r="B4794" s="63" t="n"/>
      <c r="C4794" s="64" t="n"/>
      <c r="D4794" s="64" t="n"/>
      <c r="E4794" s="63" t="n"/>
    </row>
    <row r="4795" ht="18" customHeight="1">
      <c r="A4795" s="62" t="n"/>
      <c r="B4795" s="63" t="n"/>
      <c r="C4795" s="64" t="n"/>
      <c r="D4795" s="64" t="n"/>
      <c r="E4795" s="63" t="n"/>
    </row>
    <row r="4796" ht="18" customHeight="1">
      <c r="A4796" s="62" t="n"/>
      <c r="B4796" s="63" t="n"/>
      <c r="C4796" s="64" t="n"/>
      <c r="D4796" s="64" t="n"/>
      <c r="E4796" s="63" t="n"/>
    </row>
    <row r="4797" ht="18" customHeight="1">
      <c r="A4797" s="62" t="n"/>
      <c r="B4797" s="63" t="n"/>
      <c r="C4797" s="64" t="n"/>
      <c r="D4797" s="64" t="n"/>
      <c r="E4797" s="63" t="n"/>
    </row>
    <row r="4798" ht="18" customHeight="1">
      <c r="A4798" s="62" t="n"/>
      <c r="B4798" s="63" t="n"/>
      <c r="C4798" s="64" t="n"/>
      <c r="D4798" s="64" t="n"/>
      <c r="E4798" s="63" t="n"/>
    </row>
    <row r="4799" ht="18" customHeight="1">
      <c r="A4799" s="62" t="n"/>
      <c r="B4799" s="63" t="n"/>
      <c r="C4799" s="64" t="n"/>
      <c r="D4799" s="64" t="n"/>
      <c r="E4799" s="63" t="n"/>
    </row>
    <row r="4800" ht="18" customHeight="1">
      <c r="A4800" s="62" t="n"/>
      <c r="B4800" s="63" t="n"/>
      <c r="C4800" s="64" t="n"/>
      <c r="D4800" s="64" t="n"/>
      <c r="E4800" s="63" t="n"/>
    </row>
    <row r="4801" ht="18" customHeight="1">
      <c r="A4801" s="62" t="n"/>
      <c r="B4801" s="63" t="n"/>
      <c r="C4801" s="64" t="n"/>
      <c r="D4801" s="64" t="n"/>
      <c r="E4801" s="63" t="n"/>
    </row>
    <row r="4802" ht="18" customHeight="1">
      <c r="A4802" s="62" t="n"/>
      <c r="B4802" s="63" t="n"/>
      <c r="C4802" s="64" t="n"/>
      <c r="D4802" s="64" t="n"/>
      <c r="E4802" s="63" t="n"/>
    </row>
    <row r="4803" ht="18" customHeight="1">
      <c r="A4803" s="62" t="n"/>
      <c r="B4803" s="63" t="n"/>
      <c r="C4803" s="64" t="n"/>
      <c r="D4803" s="64" t="n"/>
      <c r="E4803" s="63" t="n"/>
    </row>
    <row r="4804" ht="18" customHeight="1">
      <c r="A4804" s="62" t="n"/>
      <c r="B4804" s="63" t="n"/>
      <c r="C4804" s="64" t="n"/>
      <c r="D4804" s="64" t="n"/>
      <c r="E4804" s="63" t="n"/>
    </row>
    <row r="4805" ht="18" customHeight="1">
      <c r="A4805" s="62" t="n"/>
      <c r="B4805" s="63" t="n"/>
      <c r="C4805" s="64" t="n"/>
      <c r="D4805" s="64" t="n"/>
      <c r="E4805" s="63" t="n"/>
    </row>
    <row r="4806" ht="18" customHeight="1">
      <c r="A4806" s="62" t="n"/>
      <c r="B4806" s="63" t="n"/>
      <c r="C4806" s="64" t="n"/>
      <c r="D4806" s="64" t="n"/>
      <c r="E4806" s="63" t="n"/>
    </row>
    <row r="4807" ht="18" customHeight="1">
      <c r="A4807" s="62" t="n"/>
      <c r="B4807" s="63" t="n"/>
      <c r="C4807" s="64" t="n"/>
      <c r="D4807" s="64" t="n"/>
      <c r="E4807" s="63" t="n"/>
    </row>
    <row r="4808" ht="18" customHeight="1">
      <c r="A4808" s="62" t="n"/>
      <c r="B4808" s="63" t="n"/>
      <c r="C4808" s="64" t="n"/>
      <c r="D4808" s="64" t="n"/>
      <c r="E4808" s="63" t="n"/>
    </row>
    <row r="4809" ht="18" customHeight="1">
      <c r="A4809" s="62" t="n"/>
      <c r="B4809" s="63" t="n"/>
      <c r="C4809" s="64" t="n"/>
      <c r="D4809" s="64" t="n"/>
      <c r="E4809" s="63" t="n"/>
    </row>
    <row r="4810" ht="18" customHeight="1">
      <c r="A4810" s="62" t="n"/>
      <c r="B4810" s="63" t="n"/>
      <c r="C4810" s="64" t="n"/>
      <c r="D4810" s="64" t="n"/>
      <c r="E4810" s="63" t="n"/>
    </row>
    <row r="4811" ht="18" customHeight="1">
      <c r="A4811" s="62" t="n"/>
      <c r="B4811" s="63" t="n"/>
      <c r="C4811" s="64" t="n"/>
      <c r="D4811" s="64" t="n"/>
      <c r="E4811" s="63" t="n"/>
    </row>
    <row r="4812" ht="18" customHeight="1">
      <c r="A4812" s="62" t="n"/>
      <c r="B4812" s="63" t="n"/>
      <c r="C4812" s="64" t="n"/>
      <c r="D4812" s="64" t="n"/>
      <c r="E4812" s="63" t="n"/>
    </row>
    <row r="4813" ht="18" customHeight="1">
      <c r="A4813" s="62" t="n"/>
      <c r="B4813" s="63" t="n"/>
      <c r="C4813" s="64" t="n"/>
      <c r="D4813" s="64" t="n"/>
      <c r="E4813" s="63" t="n"/>
    </row>
    <row r="4814" ht="18" customHeight="1">
      <c r="A4814" s="62" t="n"/>
      <c r="B4814" s="63" t="n"/>
      <c r="C4814" s="64" t="n"/>
      <c r="D4814" s="64" t="n"/>
      <c r="E4814" s="63" t="n"/>
    </row>
    <row r="4815" ht="18" customHeight="1">
      <c r="A4815" s="62" t="n"/>
      <c r="B4815" s="63" t="n"/>
      <c r="C4815" s="64" t="n"/>
      <c r="D4815" s="64" t="n"/>
      <c r="E4815" s="63" t="n"/>
    </row>
    <row r="4816" ht="18" customHeight="1">
      <c r="A4816" s="62" t="n"/>
      <c r="B4816" s="63" t="n"/>
      <c r="C4816" s="64" t="n"/>
      <c r="D4816" s="64" t="n"/>
      <c r="E4816" s="63" t="n"/>
    </row>
    <row r="4817" ht="18" customHeight="1">
      <c r="A4817" s="62" t="n"/>
      <c r="B4817" s="63" t="n"/>
      <c r="C4817" s="64" t="n"/>
      <c r="D4817" s="64" t="n"/>
      <c r="E4817" s="63" t="n"/>
    </row>
    <row r="4818" ht="18" customHeight="1">
      <c r="A4818" s="62" t="n"/>
      <c r="B4818" s="63" t="n"/>
      <c r="C4818" s="64" t="n"/>
      <c r="D4818" s="64" t="n"/>
      <c r="E4818" s="63" t="n"/>
    </row>
    <row r="4819" ht="18" customHeight="1">
      <c r="A4819" s="62" t="n"/>
      <c r="B4819" s="63" t="n"/>
      <c r="C4819" s="64" t="n"/>
      <c r="D4819" s="64" t="n"/>
      <c r="E4819" s="63" t="n"/>
    </row>
    <row r="4820" ht="18" customHeight="1">
      <c r="A4820" s="62" t="n"/>
      <c r="B4820" s="63" t="n"/>
      <c r="C4820" s="64" t="n"/>
      <c r="D4820" s="64" t="n"/>
      <c r="E4820" s="63" t="n"/>
    </row>
    <row r="4821" ht="18" customHeight="1">
      <c r="A4821" s="62" t="n"/>
      <c r="B4821" s="63" t="n"/>
      <c r="C4821" s="64" t="n"/>
      <c r="D4821" s="64" t="n"/>
      <c r="E4821" s="63" t="n"/>
    </row>
    <row r="4822" ht="18" customHeight="1">
      <c r="A4822" s="62" t="n"/>
      <c r="B4822" s="63" t="n"/>
      <c r="C4822" s="64" t="n"/>
      <c r="D4822" s="64" t="n"/>
      <c r="E4822" s="63" t="n"/>
    </row>
    <row r="4823" ht="18" customHeight="1">
      <c r="A4823" s="62" t="n"/>
      <c r="B4823" s="63" t="n"/>
      <c r="C4823" s="64" t="n"/>
      <c r="D4823" s="64" t="n"/>
      <c r="E4823" s="63" t="n"/>
    </row>
    <row r="4824" ht="18" customHeight="1">
      <c r="A4824" s="62" t="n"/>
      <c r="B4824" s="63" t="n"/>
      <c r="C4824" s="64" t="n"/>
      <c r="D4824" s="64" t="n"/>
      <c r="E4824" s="63" t="n"/>
    </row>
    <row r="4825" ht="18" customHeight="1">
      <c r="A4825" s="62" t="n"/>
      <c r="B4825" s="63" t="n"/>
      <c r="C4825" s="64" t="n"/>
      <c r="D4825" s="64" t="n"/>
      <c r="E4825" s="63" t="n"/>
    </row>
    <row r="4826" ht="18" customHeight="1">
      <c r="A4826" s="62" t="n"/>
      <c r="B4826" s="63" t="n"/>
      <c r="C4826" s="64" t="n"/>
      <c r="D4826" s="64" t="n"/>
      <c r="E4826" s="63" t="n"/>
    </row>
    <row r="4827" ht="18" customHeight="1">
      <c r="A4827" s="62" t="n"/>
      <c r="B4827" s="63" t="n"/>
      <c r="C4827" s="64" t="n"/>
      <c r="D4827" s="64" t="n"/>
      <c r="E4827" s="63" t="n"/>
    </row>
    <row r="4828" ht="18" customHeight="1">
      <c r="A4828" s="62" t="n"/>
      <c r="B4828" s="63" t="n"/>
      <c r="C4828" s="64" t="n"/>
      <c r="D4828" s="64" t="n"/>
      <c r="E4828" s="63" t="n"/>
    </row>
    <row r="4829" ht="18" customHeight="1">
      <c r="A4829" s="62" t="n"/>
      <c r="B4829" s="63" t="n"/>
      <c r="C4829" s="64" t="n"/>
      <c r="D4829" s="64" t="n"/>
      <c r="E4829" s="63" t="n"/>
    </row>
    <row r="4830" ht="18" customHeight="1">
      <c r="A4830" s="62" t="n"/>
      <c r="B4830" s="63" t="n"/>
      <c r="C4830" s="64" t="n"/>
      <c r="D4830" s="64" t="n"/>
      <c r="E4830" s="63" t="n"/>
    </row>
    <row r="4831" ht="18" customHeight="1">
      <c r="A4831" s="62" t="n"/>
      <c r="B4831" s="63" t="n"/>
      <c r="C4831" s="64" t="n"/>
      <c r="D4831" s="64" t="n"/>
      <c r="E4831" s="63" t="n"/>
    </row>
    <row r="4832" ht="18" customHeight="1">
      <c r="A4832" s="62" t="n"/>
      <c r="B4832" s="63" t="n"/>
      <c r="C4832" s="64" t="n"/>
      <c r="D4832" s="64" t="n"/>
      <c r="E4832" s="63" t="n"/>
    </row>
    <row r="4833" ht="18" customHeight="1">
      <c r="A4833" s="62" t="n"/>
      <c r="B4833" s="63" t="n"/>
      <c r="C4833" s="64" t="n"/>
      <c r="D4833" s="64" t="n"/>
      <c r="E4833" s="63" t="n"/>
    </row>
    <row r="4834" ht="18" customHeight="1">
      <c r="A4834" s="62" t="n"/>
      <c r="B4834" s="63" t="n"/>
      <c r="C4834" s="64" t="n"/>
      <c r="D4834" s="64" t="n"/>
      <c r="E4834" s="63" t="n"/>
    </row>
    <row r="4835" ht="18" customHeight="1">
      <c r="A4835" s="62" t="n"/>
      <c r="B4835" s="63" t="n"/>
      <c r="C4835" s="64" t="n"/>
      <c r="D4835" s="64" t="n"/>
      <c r="E4835" s="63" t="n"/>
    </row>
    <row r="4836" ht="18" customHeight="1">
      <c r="A4836" s="62" t="n"/>
      <c r="B4836" s="63" t="n"/>
      <c r="C4836" s="64" t="n"/>
      <c r="D4836" s="64" t="n"/>
      <c r="E4836" s="63" t="n"/>
    </row>
    <row r="4837" ht="18" customHeight="1">
      <c r="A4837" s="62" t="n"/>
      <c r="B4837" s="63" t="n"/>
      <c r="C4837" s="64" t="n"/>
      <c r="D4837" s="64" t="n"/>
      <c r="E4837" s="63" t="n"/>
    </row>
    <row r="4838" ht="18" customHeight="1">
      <c r="A4838" s="62" t="n"/>
      <c r="B4838" s="63" t="n"/>
      <c r="C4838" s="64" t="n"/>
      <c r="D4838" s="64" t="n"/>
      <c r="E4838" s="63" t="n"/>
    </row>
    <row r="4839" ht="18" customHeight="1">
      <c r="A4839" s="62" t="n"/>
      <c r="B4839" s="63" t="n"/>
      <c r="C4839" s="64" t="n"/>
      <c r="D4839" s="64" t="n"/>
      <c r="E4839" s="63" t="n"/>
    </row>
    <row r="4840" ht="18" customHeight="1">
      <c r="A4840" s="62" t="n"/>
      <c r="B4840" s="63" t="n"/>
      <c r="C4840" s="64" t="n"/>
      <c r="D4840" s="64" t="n"/>
      <c r="E4840" s="63" t="n"/>
    </row>
    <row r="4841" ht="18" customHeight="1">
      <c r="A4841" s="62" t="n"/>
      <c r="B4841" s="63" t="n"/>
      <c r="C4841" s="64" t="n"/>
      <c r="D4841" s="64" t="n"/>
      <c r="E4841" s="63" t="n"/>
    </row>
    <row r="4842" ht="18" customHeight="1">
      <c r="A4842" s="62" t="n"/>
      <c r="B4842" s="63" t="n"/>
      <c r="C4842" s="64" t="n"/>
      <c r="D4842" s="64" t="n"/>
      <c r="E4842" s="63" t="n"/>
    </row>
    <row r="4843" ht="18" customHeight="1">
      <c r="A4843" s="62" t="n"/>
      <c r="B4843" s="63" t="n"/>
      <c r="C4843" s="64" t="n"/>
      <c r="D4843" s="64" t="n"/>
      <c r="E4843" s="63" t="n"/>
    </row>
    <row r="4844" ht="18" customHeight="1">
      <c r="A4844" s="62" t="n"/>
      <c r="B4844" s="63" t="n"/>
      <c r="C4844" s="64" t="n"/>
      <c r="D4844" s="64" t="n"/>
      <c r="E4844" s="63" t="n"/>
    </row>
    <row r="4845" ht="18" customHeight="1">
      <c r="A4845" s="62" t="n"/>
      <c r="B4845" s="63" t="n"/>
      <c r="C4845" s="64" t="n"/>
      <c r="D4845" s="64" t="n"/>
      <c r="E4845" s="63" t="n"/>
    </row>
    <row r="4846" ht="18" customHeight="1">
      <c r="A4846" s="62" t="n"/>
      <c r="B4846" s="63" t="n"/>
      <c r="C4846" s="64" t="n"/>
      <c r="D4846" s="64" t="n"/>
      <c r="E4846" s="63" t="n"/>
    </row>
    <row r="4847" ht="18" customHeight="1">
      <c r="A4847" s="62" t="n"/>
      <c r="B4847" s="63" t="n"/>
      <c r="C4847" s="64" t="n"/>
      <c r="D4847" s="64" t="n"/>
      <c r="E4847" s="63" t="n"/>
    </row>
    <row r="4848" ht="18" customHeight="1">
      <c r="A4848" s="62" t="n"/>
      <c r="B4848" s="63" t="n"/>
      <c r="C4848" s="64" t="n"/>
      <c r="D4848" s="64" t="n"/>
      <c r="E4848" s="63" t="n"/>
    </row>
    <row r="4849" ht="18" customHeight="1">
      <c r="A4849" s="62" t="n"/>
      <c r="B4849" s="63" t="n"/>
      <c r="C4849" s="64" t="n"/>
      <c r="D4849" s="64" t="n"/>
      <c r="E4849" s="63" t="n"/>
    </row>
    <row r="4850" ht="18" customHeight="1">
      <c r="A4850" s="62" t="n"/>
      <c r="B4850" s="63" t="n"/>
      <c r="C4850" s="64" t="n"/>
      <c r="D4850" s="64" t="n"/>
      <c r="E4850" s="63" t="n"/>
    </row>
    <row r="4851" ht="18" customHeight="1">
      <c r="A4851" s="62" t="n"/>
      <c r="B4851" s="63" t="n"/>
      <c r="C4851" s="64" t="n"/>
      <c r="D4851" s="64" t="n"/>
      <c r="E4851" s="63" t="n"/>
    </row>
    <row r="4852" ht="18" customHeight="1">
      <c r="A4852" s="62" t="n"/>
      <c r="B4852" s="63" t="n"/>
      <c r="C4852" s="64" t="n"/>
      <c r="D4852" s="64" t="n"/>
      <c r="E4852" s="63" t="n"/>
    </row>
    <row r="4853" ht="18" customHeight="1">
      <c r="A4853" s="62" t="n"/>
      <c r="B4853" s="63" t="n"/>
      <c r="C4853" s="64" t="n"/>
      <c r="D4853" s="64" t="n"/>
      <c r="E4853" s="63" t="n"/>
    </row>
    <row r="4854" ht="18" customHeight="1">
      <c r="A4854" s="62" t="n"/>
      <c r="B4854" s="63" t="n"/>
      <c r="C4854" s="64" t="n"/>
      <c r="D4854" s="64" t="n"/>
      <c r="E4854" s="63" t="n"/>
    </row>
    <row r="4855" ht="18" customHeight="1">
      <c r="A4855" s="62" t="n"/>
      <c r="B4855" s="63" t="n"/>
      <c r="C4855" s="64" t="n"/>
      <c r="D4855" s="64" t="n"/>
      <c r="E4855" s="63" t="n"/>
    </row>
    <row r="4856" ht="18" customHeight="1">
      <c r="A4856" s="62" t="n"/>
      <c r="B4856" s="63" t="n"/>
      <c r="C4856" s="64" t="n"/>
      <c r="D4856" s="64" t="n"/>
      <c r="E4856" s="63" t="n"/>
    </row>
    <row r="4857" ht="18" customHeight="1">
      <c r="A4857" s="62" t="n"/>
      <c r="B4857" s="63" t="n"/>
      <c r="C4857" s="64" t="n"/>
      <c r="D4857" s="64" t="n"/>
      <c r="E4857" s="63" t="n"/>
    </row>
    <row r="4858" ht="18" customHeight="1">
      <c r="A4858" s="62" t="n"/>
      <c r="B4858" s="63" t="n"/>
      <c r="C4858" s="64" t="n"/>
      <c r="D4858" s="64" t="n"/>
      <c r="E4858" s="63" t="n"/>
    </row>
    <row r="4859" ht="18" customHeight="1">
      <c r="A4859" s="62" t="n"/>
      <c r="B4859" s="63" t="n"/>
      <c r="C4859" s="64" t="n"/>
      <c r="D4859" s="64" t="n"/>
      <c r="E4859" s="63" t="n"/>
    </row>
    <row r="4860" ht="18" customHeight="1">
      <c r="A4860" s="62" t="n"/>
      <c r="B4860" s="63" t="n"/>
      <c r="C4860" s="64" t="n"/>
      <c r="D4860" s="64" t="n"/>
      <c r="E4860" s="63" t="n"/>
    </row>
    <row r="4861" ht="18" customHeight="1">
      <c r="A4861" s="62" t="n"/>
      <c r="B4861" s="63" t="n"/>
      <c r="C4861" s="64" t="n"/>
      <c r="D4861" s="64" t="n"/>
      <c r="E4861" s="63" t="n"/>
    </row>
    <row r="4862" ht="18" customHeight="1">
      <c r="A4862" s="62" t="n"/>
      <c r="B4862" s="63" t="n"/>
      <c r="C4862" s="64" t="n"/>
      <c r="D4862" s="64" t="n"/>
      <c r="E4862" s="63" t="n"/>
    </row>
    <row r="4863" ht="18" customHeight="1">
      <c r="A4863" s="62" t="n"/>
      <c r="B4863" s="63" t="n"/>
      <c r="C4863" s="64" t="n"/>
      <c r="D4863" s="64" t="n"/>
      <c r="E4863" s="63" t="n"/>
    </row>
    <row r="4864" ht="18" customHeight="1">
      <c r="A4864" s="62" t="n"/>
      <c r="B4864" s="63" t="n"/>
      <c r="C4864" s="64" t="n"/>
      <c r="D4864" s="64" t="n"/>
      <c r="E4864" s="63" t="n"/>
    </row>
    <row r="4865" ht="18" customHeight="1">
      <c r="A4865" s="62" t="n"/>
      <c r="B4865" s="63" t="n"/>
      <c r="C4865" s="64" t="n"/>
      <c r="D4865" s="64" t="n"/>
      <c r="E4865" s="63" t="n"/>
    </row>
    <row r="4866" ht="18" customHeight="1">
      <c r="A4866" s="62" t="n"/>
      <c r="B4866" s="63" t="n"/>
      <c r="C4866" s="64" t="n"/>
      <c r="D4866" s="64" t="n"/>
      <c r="E4866" s="63" t="n"/>
    </row>
    <row r="4867" ht="18" customHeight="1">
      <c r="A4867" s="62" t="n"/>
      <c r="B4867" s="63" t="n"/>
      <c r="C4867" s="64" t="n"/>
      <c r="D4867" s="64" t="n"/>
      <c r="E4867" s="63" t="n"/>
    </row>
    <row r="4868" ht="18" customHeight="1">
      <c r="A4868" s="62" t="n"/>
      <c r="B4868" s="63" t="n"/>
      <c r="C4868" s="64" t="n"/>
      <c r="D4868" s="64" t="n"/>
      <c r="E4868" s="63" t="n"/>
    </row>
    <row r="4869" ht="18" customHeight="1">
      <c r="A4869" s="62" t="n"/>
      <c r="B4869" s="63" t="n"/>
      <c r="C4869" s="64" t="n"/>
      <c r="D4869" s="64" t="n"/>
      <c r="E4869" s="63" t="n"/>
    </row>
    <row r="4870" ht="18" customHeight="1">
      <c r="A4870" s="62" t="n"/>
      <c r="B4870" s="63" t="n"/>
      <c r="C4870" s="64" t="n"/>
      <c r="D4870" s="64" t="n"/>
      <c r="E4870" s="63" t="n"/>
    </row>
    <row r="4871" ht="18" customHeight="1">
      <c r="A4871" s="62" t="n"/>
      <c r="B4871" s="63" t="n"/>
      <c r="C4871" s="64" t="n"/>
      <c r="D4871" s="64" t="n"/>
      <c r="E4871" s="63" t="n"/>
    </row>
    <row r="4872" ht="18" customHeight="1">
      <c r="A4872" s="62" t="n"/>
      <c r="B4872" s="63" t="n"/>
      <c r="C4872" s="64" t="n"/>
      <c r="D4872" s="64" t="n"/>
      <c r="E4872" s="63" t="n"/>
    </row>
    <row r="4873" ht="18" customHeight="1">
      <c r="A4873" s="62" t="n"/>
      <c r="B4873" s="63" t="n"/>
      <c r="C4873" s="64" t="n"/>
      <c r="D4873" s="64" t="n"/>
      <c r="E4873" s="63" t="n"/>
    </row>
    <row r="4874" ht="18" customHeight="1">
      <c r="A4874" s="62" t="n"/>
      <c r="B4874" s="63" t="n"/>
      <c r="C4874" s="64" t="n"/>
      <c r="D4874" s="64" t="n"/>
      <c r="E4874" s="63" t="n"/>
    </row>
    <row r="4875" ht="18" customHeight="1">
      <c r="A4875" s="62" t="n"/>
      <c r="B4875" s="63" t="n"/>
      <c r="C4875" s="64" t="n"/>
      <c r="D4875" s="64" t="n"/>
      <c r="E4875" s="63" t="n"/>
    </row>
    <row r="4876" ht="18" customHeight="1">
      <c r="A4876" s="62" t="n"/>
      <c r="B4876" s="63" t="n"/>
      <c r="C4876" s="64" t="n"/>
      <c r="D4876" s="64" t="n"/>
      <c r="E4876" s="63" t="n"/>
    </row>
    <row r="4877" ht="18" customHeight="1">
      <c r="A4877" s="62" t="n"/>
      <c r="B4877" s="63" t="n"/>
      <c r="C4877" s="64" t="n"/>
      <c r="D4877" s="64" t="n"/>
      <c r="E4877" s="63" t="n"/>
    </row>
    <row r="4878" ht="18" customHeight="1">
      <c r="A4878" s="62" t="n"/>
      <c r="B4878" s="63" t="n"/>
      <c r="C4878" s="64" t="n"/>
      <c r="D4878" s="64" t="n"/>
      <c r="E4878" s="63" t="n"/>
    </row>
    <row r="4879" ht="18" customHeight="1">
      <c r="A4879" s="62" t="n"/>
      <c r="B4879" s="63" t="n"/>
      <c r="C4879" s="64" t="n"/>
      <c r="D4879" s="64" t="n"/>
      <c r="E4879" s="63" t="n"/>
    </row>
    <row r="4880" ht="18" customHeight="1">
      <c r="A4880" s="62" t="n"/>
      <c r="B4880" s="63" t="n"/>
      <c r="C4880" s="64" t="n"/>
      <c r="D4880" s="64" t="n"/>
      <c r="E4880" s="63" t="n"/>
    </row>
    <row r="4881" ht="18" customHeight="1">
      <c r="A4881" s="62" t="n"/>
      <c r="B4881" s="63" t="n"/>
      <c r="C4881" s="64" t="n"/>
      <c r="D4881" s="64" t="n"/>
      <c r="E4881" s="63" t="n"/>
    </row>
    <row r="4882" ht="18" customHeight="1">
      <c r="A4882" s="62" t="n"/>
      <c r="B4882" s="63" t="n"/>
      <c r="C4882" s="64" t="n"/>
      <c r="D4882" s="64" t="n"/>
      <c r="E4882" s="63" t="n"/>
    </row>
    <row r="4883" ht="18" customHeight="1">
      <c r="A4883" s="62" t="n"/>
      <c r="B4883" s="63" t="n"/>
      <c r="C4883" s="64" t="n"/>
      <c r="D4883" s="64" t="n"/>
      <c r="E4883" s="63" t="n"/>
    </row>
    <row r="4884" ht="18" customHeight="1">
      <c r="A4884" s="62" t="n"/>
      <c r="B4884" s="63" t="n"/>
      <c r="C4884" s="64" t="n"/>
      <c r="D4884" s="64" t="n"/>
      <c r="E4884" s="63" t="n"/>
    </row>
    <row r="4885" ht="18" customHeight="1">
      <c r="A4885" s="62" t="n"/>
      <c r="B4885" s="63" t="n"/>
      <c r="C4885" s="64" t="n"/>
      <c r="D4885" s="64" t="n"/>
      <c r="E4885" s="63" t="n"/>
    </row>
    <row r="4886" ht="18" customHeight="1">
      <c r="A4886" s="62" t="n"/>
      <c r="B4886" s="63" t="n"/>
      <c r="C4886" s="64" t="n"/>
      <c r="D4886" s="64" t="n"/>
      <c r="E4886" s="63" t="n"/>
    </row>
    <row r="4887" ht="18" customHeight="1">
      <c r="A4887" s="62" t="n"/>
      <c r="B4887" s="63" t="n"/>
      <c r="C4887" s="64" t="n"/>
      <c r="D4887" s="64" t="n"/>
      <c r="E4887" s="63" t="n"/>
    </row>
    <row r="4888" ht="18" customHeight="1">
      <c r="A4888" s="62" t="n"/>
      <c r="B4888" s="63" t="n"/>
      <c r="C4888" s="64" t="n"/>
      <c r="D4888" s="64" t="n"/>
      <c r="E4888" s="63" t="n"/>
    </row>
    <row r="4889" ht="18" customHeight="1">
      <c r="A4889" s="62" t="n"/>
      <c r="B4889" s="63" t="n"/>
      <c r="C4889" s="64" t="n"/>
      <c r="D4889" s="64" t="n"/>
      <c r="E4889" s="63" t="n"/>
    </row>
    <row r="4890" ht="18" customHeight="1">
      <c r="A4890" s="62" t="n"/>
      <c r="B4890" s="63" t="n"/>
      <c r="C4890" s="64" t="n"/>
      <c r="D4890" s="64" t="n"/>
      <c r="E4890" s="63" t="n"/>
    </row>
    <row r="4891" ht="18" customHeight="1">
      <c r="A4891" s="62" t="n"/>
      <c r="B4891" s="63" t="n"/>
      <c r="C4891" s="64" t="n"/>
      <c r="D4891" s="64" t="n"/>
      <c r="E4891" s="63" t="n"/>
    </row>
    <row r="4892" ht="18" customHeight="1">
      <c r="A4892" s="62" t="n"/>
      <c r="B4892" s="63" t="n"/>
      <c r="C4892" s="64" t="n"/>
      <c r="D4892" s="64" t="n"/>
      <c r="E4892" s="63" t="n"/>
    </row>
    <row r="4893" ht="18" customHeight="1">
      <c r="A4893" s="62" t="n"/>
      <c r="B4893" s="63" t="n"/>
      <c r="C4893" s="64" t="n"/>
      <c r="D4893" s="64" t="n"/>
      <c r="E4893" s="63" t="n"/>
    </row>
    <row r="4894" ht="18" customHeight="1">
      <c r="A4894" s="62" t="n"/>
      <c r="B4894" s="63" t="n"/>
      <c r="C4894" s="64" t="n"/>
      <c r="D4894" s="64" t="n"/>
      <c r="E4894" s="63" t="n"/>
    </row>
    <row r="4895" ht="18" customHeight="1">
      <c r="A4895" s="62" t="n"/>
      <c r="B4895" s="63" t="n"/>
      <c r="C4895" s="64" t="n"/>
      <c r="D4895" s="64" t="n"/>
      <c r="E4895" s="63" t="n"/>
    </row>
    <row r="4896" ht="18" customHeight="1">
      <c r="A4896" s="62" t="n"/>
      <c r="B4896" s="63" t="n"/>
      <c r="C4896" s="64" t="n"/>
      <c r="D4896" s="64" t="n"/>
      <c r="E4896" s="63" t="n"/>
    </row>
    <row r="4897" ht="18" customHeight="1">
      <c r="A4897" s="62" t="n"/>
      <c r="B4897" s="63" t="n"/>
      <c r="C4897" s="64" t="n"/>
      <c r="D4897" s="64" t="n"/>
      <c r="E4897" s="63" t="n"/>
    </row>
    <row r="4898" ht="18" customHeight="1">
      <c r="A4898" s="62" t="n"/>
      <c r="B4898" s="63" t="n"/>
      <c r="C4898" s="64" t="n"/>
      <c r="D4898" s="64" t="n"/>
      <c r="E4898" s="63" t="n"/>
    </row>
    <row r="4899" ht="18" customHeight="1">
      <c r="A4899" s="62" t="n"/>
      <c r="B4899" s="63" t="n"/>
      <c r="C4899" s="64" t="n"/>
      <c r="D4899" s="64" t="n"/>
      <c r="E4899" s="63" t="n"/>
    </row>
    <row r="4900" ht="18" customHeight="1">
      <c r="A4900" s="62" t="n"/>
      <c r="B4900" s="63" t="n"/>
      <c r="C4900" s="64" t="n"/>
      <c r="D4900" s="64" t="n"/>
      <c r="E4900" s="63" t="n"/>
    </row>
    <row r="4901" ht="18" customHeight="1">
      <c r="A4901" s="62" t="n"/>
      <c r="B4901" s="63" t="n"/>
      <c r="C4901" s="64" t="n"/>
      <c r="D4901" s="64" t="n"/>
      <c r="E4901" s="63" t="n"/>
    </row>
    <row r="4902" ht="18" customHeight="1">
      <c r="A4902" s="62" t="n"/>
      <c r="B4902" s="63" t="n"/>
      <c r="C4902" s="64" t="n"/>
      <c r="D4902" s="64" t="n"/>
      <c r="E4902" s="63" t="n"/>
    </row>
    <row r="4903" ht="18" customHeight="1">
      <c r="A4903" s="62" t="n"/>
      <c r="B4903" s="63" t="n"/>
      <c r="C4903" s="64" t="n"/>
      <c r="D4903" s="64" t="n"/>
      <c r="E4903" s="63" t="n"/>
    </row>
    <row r="4904" ht="18" customHeight="1">
      <c r="A4904" s="62" t="n"/>
      <c r="B4904" s="63" t="n"/>
      <c r="C4904" s="64" t="n"/>
      <c r="D4904" s="64" t="n"/>
      <c r="E4904" s="63" t="n"/>
    </row>
    <row r="4905" ht="18" customHeight="1">
      <c r="A4905" s="62" t="n"/>
      <c r="B4905" s="63" t="n"/>
      <c r="C4905" s="64" t="n"/>
      <c r="D4905" s="64" t="n"/>
      <c r="E4905" s="63" t="n"/>
    </row>
    <row r="4906" ht="18" customHeight="1">
      <c r="A4906" s="62" t="n"/>
      <c r="B4906" s="63" t="n"/>
      <c r="C4906" s="64" t="n"/>
      <c r="D4906" s="64" t="n"/>
      <c r="E4906" s="63" t="n"/>
    </row>
    <row r="4907" ht="18" customHeight="1">
      <c r="A4907" s="62" t="n"/>
      <c r="B4907" s="63" t="n"/>
      <c r="C4907" s="64" t="n"/>
      <c r="D4907" s="64" t="n"/>
      <c r="E4907" s="63" t="n"/>
    </row>
    <row r="4908" ht="18" customHeight="1">
      <c r="A4908" s="62" t="n"/>
      <c r="B4908" s="63" t="n"/>
      <c r="C4908" s="64" t="n"/>
      <c r="D4908" s="64" t="n"/>
      <c r="E4908" s="63" t="n"/>
    </row>
    <row r="4909" ht="18" customHeight="1">
      <c r="A4909" s="62" t="n"/>
      <c r="B4909" s="63" t="n"/>
      <c r="C4909" s="64" t="n"/>
      <c r="D4909" s="64" t="n"/>
      <c r="E4909" s="63" t="n"/>
    </row>
    <row r="4910" ht="18" customHeight="1">
      <c r="A4910" s="62" t="n"/>
      <c r="B4910" s="63" t="n"/>
      <c r="C4910" s="64" t="n"/>
      <c r="D4910" s="64" t="n"/>
      <c r="E4910" s="63" t="n"/>
    </row>
    <row r="4911" ht="18" customHeight="1">
      <c r="A4911" s="62" t="n"/>
      <c r="B4911" s="63" t="n"/>
      <c r="C4911" s="64" t="n"/>
      <c r="D4911" s="64" t="n"/>
      <c r="E4911" s="63" t="n"/>
    </row>
    <row r="4912" ht="18" customHeight="1">
      <c r="A4912" s="62" t="n"/>
      <c r="B4912" s="63" t="n"/>
      <c r="C4912" s="64" t="n"/>
      <c r="D4912" s="64" t="n"/>
      <c r="E4912" s="63" t="n"/>
    </row>
    <row r="4913" ht="18" customHeight="1">
      <c r="A4913" s="62" t="n"/>
      <c r="B4913" s="63" t="n"/>
      <c r="C4913" s="64" t="n"/>
      <c r="D4913" s="64" t="n"/>
      <c r="E4913" s="63" t="n"/>
    </row>
    <row r="4914" ht="18" customHeight="1">
      <c r="A4914" s="62" t="n"/>
      <c r="B4914" s="63" t="n"/>
      <c r="C4914" s="64" t="n"/>
      <c r="D4914" s="64" t="n"/>
      <c r="E4914" s="63" t="n"/>
    </row>
    <row r="4915" ht="18" customHeight="1">
      <c r="A4915" s="62" t="n"/>
      <c r="B4915" s="63" t="n"/>
      <c r="C4915" s="64" t="n"/>
      <c r="D4915" s="64" t="n"/>
      <c r="E4915" s="63" t="n"/>
    </row>
    <row r="4916" ht="18" customHeight="1">
      <c r="A4916" s="62" t="n"/>
      <c r="B4916" s="63" t="n"/>
      <c r="C4916" s="64" t="n"/>
      <c r="D4916" s="64" t="n"/>
      <c r="E4916" s="63" t="n"/>
    </row>
    <row r="4917" ht="18" customHeight="1">
      <c r="A4917" s="62" t="n"/>
      <c r="B4917" s="63" t="n"/>
      <c r="C4917" s="64" t="n"/>
      <c r="D4917" s="64" t="n"/>
      <c r="E4917" s="63" t="n"/>
    </row>
    <row r="4918" ht="18" customHeight="1">
      <c r="A4918" s="62" t="n"/>
      <c r="B4918" s="63" t="n"/>
      <c r="C4918" s="64" t="n"/>
      <c r="D4918" s="64" t="n"/>
      <c r="E4918" s="63" t="n"/>
    </row>
    <row r="4919" ht="18" customHeight="1">
      <c r="A4919" s="62" t="n"/>
      <c r="B4919" s="63" t="n"/>
      <c r="C4919" s="64" t="n"/>
      <c r="D4919" s="64" t="n"/>
      <c r="E4919" s="63" t="n"/>
    </row>
    <row r="4920" ht="18" customHeight="1">
      <c r="A4920" s="62" t="n"/>
      <c r="B4920" s="63" t="n"/>
      <c r="C4920" s="64" t="n"/>
      <c r="D4920" s="64" t="n"/>
      <c r="E4920" s="63" t="n"/>
    </row>
    <row r="4921" ht="18" customHeight="1">
      <c r="A4921" s="62" t="n"/>
      <c r="B4921" s="63" t="n"/>
      <c r="C4921" s="64" t="n"/>
      <c r="D4921" s="64" t="n"/>
      <c r="E4921" s="63" t="n"/>
    </row>
    <row r="4922" ht="18" customHeight="1">
      <c r="A4922" s="62" t="n"/>
      <c r="B4922" s="63" t="n"/>
      <c r="C4922" s="64" t="n"/>
      <c r="D4922" s="64" t="n"/>
      <c r="E4922" s="63" t="n"/>
    </row>
    <row r="4923" ht="18" customHeight="1">
      <c r="A4923" s="62" t="n"/>
      <c r="B4923" s="63" t="n"/>
      <c r="C4923" s="64" t="n"/>
      <c r="D4923" s="64" t="n"/>
      <c r="E4923" s="63" t="n"/>
    </row>
    <row r="4924" ht="18" customHeight="1">
      <c r="A4924" s="62" t="n"/>
      <c r="B4924" s="63" t="n"/>
      <c r="C4924" s="64" t="n"/>
      <c r="D4924" s="64" t="n"/>
      <c r="E4924" s="63" t="n"/>
    </row>
    <row r="4925" ht="18" customHeight="1">
      <c r="A4925" s="62" t="n"/>
      <c r="B4925" s="63" t="n"/>
      <c r="C4925" s="64" t="n"/>
      <c r="D4925" s="64" t="n"/>
      <c r="E4925" s="63" t="n"/>
    </row>
    <row r="4926" ht="18" customHeight="1">
      <c r="A4926" s="62" t="n"/>
      <c r="B4926" s="63" t="n"/>
      <c r="C4926" s="64" t="n"/>
      <c r="D4926" s="64" t="n"/>
      <c r="E4926" s="63" t="n"/>
    </row>
    <row r="4927" ht="18" customHeight="1">
      <c r="A4927" s="62" t="n"/>
      <c r="B4927" s="63" t="n"/>
      <c r="C4927" s="64" t="n"/>
      <c r="D4927" s="64" t="n"/>
      <c r="E4927" s="63" t="n"/>
    </row>
    <row r="4928" ht="18" customHeight="1">
      <c r="A4928" s="62" t="n"/>
      <c r="B4928" s="63" t="n"/>
      <c r="C4928" s="64" t="n"/>
      <c r="D4928" s="64" t="n"/>
      <c r="E4928" s="63" t="n"/>
    </row>
    <row r="4929" ht="18" customHeight="1">
      <c r="A4929" s="62" t="n"/>
      <c r="B4929" s="63" t="n"/>
      <c r="C4929" s="64" t="n"/>
      <c r="D4929" s="64" t="n"/>
      <c r="E4929" s="63" t="n"/>
    </row>
    <row r="4930" ht="18" customHeight="1">
      <c r="A4930" s="62" t="n"/>
      <c r="B4930" s="63" t="n"/>
      <c r="C4930" s="64" t="n"/>
      <c r="D4930" s="64" t="n"/>
      <c r="E4930" s="63" t="n"/>
    </row>
    <row r="4931" ht="18" customHeight="1">
      <c r="A4931" s="62" t="n"/>
      <c r="B4931" s="63" t="n"/>
      <c r="C4931" s="64" t="n"/>
      <c r="D4931" s="64" t="n"/>
      <c r="E4931" s="63" t="n"/>
    </row>
    <row r="4932" ht="18" customHeight="1">
      <c r="A4932" s="62" t="n"/>
      <c r="B4932" s="63" t="n"/>
      <c r="C4932" s="64" t="n"/>
      <c r="D4932" s="64" t="n"/>
      <c r="E4932" s="63" t="n"/>
    </row>
    <row r="4933" ht="18" customHeight="1">
      <c r="A4933" s="62" t="n"/>
      <c r="B4933" s="63" t="n"/>
      <c r="C4933" s="64" t="n"/>
      <c r="D4933" s="64" t="n"/>
      <c r="E4933" s="63" t="n"/>
    </row>
    <row r="4934" ht="18" customHeight="1">
      <c r="A4934" s="62" t="n"/>
      <c r="B4934" s="63" t="n"/>
      <c r="C4934" s="64" t="n"/>
      <c r="D4934" s="64" t="n"/>
      <c r="E4934" s="63" t="n"/>
    </row>
    <row r="4935" ht="18" customHeight="1">
      <c r="A4935" s="62" t="n"/>
      <c r="B4935" s="63" t="n"/>
      <c r="C4935" s="64" t="n"/>
      <c r="D4935" s="64" t="n"/>
      <c r="E4935" s="63" t="n"/>
    </row>
    <row r="4936" ht="18" customHeight="1">
      <c r="A4936" s="62" t="n"/>
      <c r="B4936" s="63" t="n"/>
      <c r="C4936" s="64" t="n"/>
      <c r="D4936" s="64" t="n"/>
      <c r="E4936" s="63" t="n"/>
    </row>
    <row r="4937" ht="18" customHeight="1">
      <c r="A4937" s="62" t="n"/>
      <c r="B4937" s="63" t="n"/>
      <c r="C4937" s="64" t="n"/>
      <c r="D4937" s="64" t="n"/>
      <c r="E4937" s="63" t="n"/>
    </row>
    <row r="4938" ht="18" customHeight="1">
      <c r="A4938" s="62" t="n"/>
      <c r="B4938" s="63" t="n"/>
      <c r="C4938" s="64" t="n"/>
      <c r="D4938" s="64" t="n"/>
      <c r="E4938" s="63" t="n"/>
    </row>
    <row r="4939" ht="18" customHeight="1">
      <c r="A4939" s="62" t="n"/>
      <c r="B4939" s="63" t="n"/>
      <c r="C4939" s="64" t="n"/>
      <c r="D4939" s="64" t="n"/>
      <c r="E4939" s="63" t="n"/>
    </row>
    <row r="4940" ht="18" customHeight="1">
      <c r="A4940" s="62" t="n"/>
      <c r="B4940" s="63" t="n"/>
      <c r="C4940" s="64" t="n"/>
      <c r="D4940" s="64" t="n"/>
      <c r="E4940" s="63" t="n"/>
    </row>
    <row r="4941" ht="18" customHeight="1">
      <c r="A4941" s="62" t="n"/>
      <c r="B4941" s="63" t="n"/>
      <c r="C4941" s="64" t="n"/>
      <c r="D4941" s="64" t="n"/>
      <c r="E4941" s="63" t="n"/>
    </row>
    <row r="4942" ht="18" customHeight="1">
      <c r="A4942" s="62" t="n"/>
      <c r="B4942" s="63" t="n"/>
      <c r="C4942" s="64" t="n"/>
      <c r="D4942" s="64" t="n"/>
      <c r="E4942" s="63" t="n"/>
    </row>
    <row r="4943" ht="18" customHeight="1">
      <c r="A4943" s="62" t="n"/>
      <c r="B4943" s="63" t="n"/>
      <c r="C4943" s="64" t="n"/>
      <c r="D4943" s="64" t="n"/>
      <c r="E4943" s="63" t="n"/>
    </row>
    <row r="4944" ht="18" customHeight="1">
      <c r="A4944" s="62" t="n"/>
      <c r="B4944" s="63" t="n"/>
      <c r="C4944" s="64" t="n"/>
      <c r="D4944" s="64" t="n"/>
      <c r="E4944" s="63" t="n"/>
    </row>
    <row r="4945" ht="18" customHeight="1">
      <c r="A4945" s="62" t="n"/>
      <c r="B4945" s="63" t="n"/>
      <c r="C4945" s="64" t="n"/>
      <c r="D4945" s="64" t="n"/>
      <c r="E4945" s="63" t="n"/>
    </row>
    <row r="4946" ht="18" customHeight="1">
      <c r="A4946" s="62" t="n"/>
      <c r="B4946" s="63" t="n"/>
      <c r="C4946" s="64" t="n"/>
      <c r="D4946" s="64" t="n"/>
      <c r="E4946" s="63" t="n"/>
    </row>
    <row r="4947" ht="18" customHeight="1">
      <c r="A4947" s="62" t="n"/>
      <c r="B4947" s="63" t="n"/>
      <c r="C4947" s="64" t="n"/>
      <c r="D4947" s="64" t="n"/>
      <c r="E4947" s="63" t="n"/>
    </row>
    <row r="4948" ht="18" customHeight="1">
      <c r="A4948" s="62" t="n"/>
      <c r="B4948" s="63" t="n"/>
      <c r="C4948" s="64" t="n"/>
      <c r="D4948" s="64" t="n"/>
      <c r="E4948" s="63" t="n"/>
    </row>
    <row r="4949" ht="18" customHeight="1">
      <c r="A4949" s="62" t="n"/>
      <c r="B4949" s="63" t="n"/>
      <c r="C4949" s="64" t="n"/>
      <c r="D4949" s="64" t="n"/>
      <c r="E4949" s="63" t="n"/>
    </row>
    <row r="4950" ht="18" customHeight="1">
      <c r="A4950" s="62" t="n"/>
      <c r="B4950" s="63" t="n"/>
      <c r="C4950" s="64" t="n"/>
      <c r="D4950" s="64" t="n"/>
      <c r="E4950" s="63" t="n"/>
    </row>
    <row r="4951" ht="18" customHeight="1">
      <c r="A4951" s="62" t="n"/>
      <c r="B4951" s="63" t="n"/>
      <c r="C4951" s="64" t="n"/>
      <c r="D4951" s="64" t="n"/>
      <c r="E4951" s="63" t="n"/>
    </row>
    <row r="4952" ht="18" customHeight="1">
      <c r="A4952" s="62" t="n"/>
      <c r="B4952" s="63" t="n"/>
      <c r="C4952" s="64" t="n"/>
      <c r="D4952" s="64" t="n"/>
      <c r="E4952" s="63" t="n"/>
    </row>
    <row r="4953" ht="18" customHeight="1">
      <c r="A4953" s="62" t="n"/>
      <c r="B4953" s="63" t="n"/>
      <c r="C4953" s="64" t="n"/>
      <c r="D4953" s="64" t="n"/>
      <c r="E4953" s="63" t="n"/>
    </row>
    <row r="4954" ht="18" customHeight="1">
      <c r="A4954" s="62" t="n"/>
      <c r="B4954" s="63" t="n"/>
      <c r="C4954" s="64" t="n"/>
      <c r="D4954" s="64" t="n"/>
      <c r="E4954" s="63" t="n"/>
    </row>
    <row r="4955" ht="18" customHeight="1">
      <c r="A4955" s="62" t="n"/>
      <c r="B4955" s="63" t="n"/>
      <c r="C4955" s="64" t="n"/>
      <c r="D4955" s="64" t="n"/>
      <c r="E4955" s="63" t="n"/>
    </row>
    <row r="4956" ht="18" customHeight="1">
      <c r="A4956" s="62" t="n"/>
      <c r="B4956" s="63" t="n"/>
      <c r="C4956" s="64" t="n"/>
      <c r="D4956" s="64" t="n"/>
      <c r="E4956" s="63" t="n"/>
    </row>
    <row r="4957" ht="18" customHeight="1">
      <c r="A4957" s="62" t="n"/>
      <c r="B4957" s="63" t="n"/>
      <c r="C4957" s="64" t="n"/>
      <c r="D4957" s="64" t="n"/>
      <c r="E4957" s="63" t="n"/>
    </row>
    <row r="4958" ht="18" customHeight="1">
      <c r="A4958" s="62" t="n"/>
      <c r="B4958" s="63" t="n"/>
      <c r="C4958" s="64" t="n"/>
      <c r="D4958" s="64" t="n"/>
      <c r="E4958" s="63" t="n"/>
    </row>
    <row r="4959" ht="18" customHeight="1">
      <c r="A4959" s="62" t="n"/>
      <c r="B4959" s="63" t="n"/>
      <c r="C4959" s="64" t="n"/>
      <c r="D4959" s="64" t="n"/>
      <c r="E4959" s="63" t="n"/>
    </row>
    <row r="4960" ht="18" customHeight="1">
      <c r="A4960" s="62" t="n"/>
      <c r="B4960" s="63" t="n"/>
      <c r="C4960" s="64" t="n"/>
      <c r="D4960" s="64" t="n"/>
      <c r="E4960" s="63" t="n"/>
    </row>
    <row r="4961" ht="18" customHeight="1">
      <c r="A4961" s="62" t="n"/>
      <c r="B4961" s="63" t="n"/>
      <c r="C4961" s="64" t="n"/>
      <c r="D4961" s="64" t="n"/>
      <c r="E4961" s="63" t="n"/>
    </row>
    <row r="4962" ht="18" customHeight="1">
      <c r="A4962" s="62" t="n"/>
      <c r="B4962" s="63" t="n"/>
      <c r="C4962" s="64" t="n"/>
      <c r="D4962" s="64" t="n"/>
      <c r="E4962" s="63" t="n"/>
    </row>
    <row r="4963" ht="18" customHeight="1">
      <c r="A4963" s="62" t="n"/>
      <c r="B4963" s="63" t="n"/>
      <c r="C4963" s="64" t="n"/>
      <c r="D4963" s="64" t="n"/>
      <c r="E4963" s="63" t="n"/>
    </row>
    <row r="4964" ht="18" customHeight="1">
      <c r="A4964" s="62" t="n"/>
      <c r="B4964" s="63" t="n"/>
      <c r="C4964" s="64" t="n"/>
      <c r="D4964" s="64" t="n"/>
      <c r="E4964" s="63" t="n"/>
    </row>
    <row r="4965" ht="18" customHeight="1">
      <c r="A4965" s="62" t="n"/>
      <c r="B4965" s="63" t="n"/>
      <c r="C4965" s="64" t="n"/>
      <c r="D4965" s="64" t="n"/>
      <c r="E4965" s="63" t="n"/>
    </row>
    <row r="4966" ht="18" customHeight="1">
      <c r="A4966" s="62" t="n"/>
      <c r="B4966" s="63" t="n"/>
      <c r="C4966" s="64" t="n"/>
      <c r="D4966" s="64" t="n"/>
      <c r="E4966" s="63" t="n"/>
    </row>
    <row r="4967" ht="18" customHeight="1">
      <c r="A4967" s="62" t="n"/>
      <c r="B4967" s="63" t="n"/>
      <c r="C4967" s="64" t="n"/>
      <c r="D4967" s="64" t="n"/>
      <c r="E4967" s="63" t="n"/>
    </row>
    <row r="4968" ht="18" customHeight="1">
      <c r="A4968" s="62" t="n"/>
      <c r="B4968" s="63" t="n"/>
      <c r="C4968" s="64" t="n"/>
      <c r="D4968" s="64" t="n"/>
      <c r="E4968" s="63" t="n"/>
    </row>
    <row r="4969" ht="18" customHeight="1">
      <c r="A4969" s="62" t="n"/>
      <c r="B4969" s="63" t="n"/>
      <c r="C4969" s="64" t="n"/>
      <c r="D4969" s="64" t="n"/>
      <c r="E4969" s="63" t="n"/>
    </row>
    <row r="4970" ht="18" customHeight="1">
      <c r="A4970" s="62" t="n"/>
      <c r="B4970" s="63" t="n"/>
      <c r="C4970" s="64" t="n"/>
      <c r="D4970" s="64" t="n"/>
      <c r="E4970" s="63" t="n"/>
    </row>
    <row r="4971" ht="18" customHeight="1">
      <c r="A4971" s="62" t="n"/>
      <c r="B4971" s="63" t="n"/>
      <c r="C4971" s="64" t="n"/>
      <c r="D4971" s="64" t="n"/>
      <c r="E4971" s="63" t="n"/>
    </row>
    <row r="4972" ht="18" customHeight="1">
      <c r="A4972" s="62" t="n"/>
      <c r="B4972" s="63" t="n"/>
      <c r="C4972" s="64" t="n"/>
      <c r="D4972" s="64" t="n"/>
      <c r="E4972" s="63" t="n"/>
    </row>
    <row r="4973" ht="18" customHeight="1">
      <c r="A4973" s="62" t="n"/>
      <c r="B4973" s="63" t="n"/>
      <c r="C4973" s="64" t="n"/>
      <c r="D4973" s="64" t="n"/>
      <c r="E4973" s="63" t="n"/>
    </row>
    <row r="4974" ht="18" customHeight="1">
      <c r="A4974" s="62" t="n"/>
      <c r="B4974" s="63" t="n"/>
      <c r="C4974" s="64" t="n"/>
      <c r="D4974" s="64" t="n"/>
      <c r="E4974" s="63" t="n"/>
    </row>
    <row r="4975" ht="18" customHeight="1">
      <c r="A4975" s="62" t="n"/>
      <c r="B4975" s="63" t="n"/>
      <c r="C4975" s="64" t="n"/>
      <c r="D4975" s="64" t="n"/>
      <c r="E4975" s="63" t="n"/>
    </row>
    <row r="4976" ht="18" customHeight="1">
      <c r="A4976" s="62" t="n"/>
      <c r="B4976" s="63" t="n"/>
      <c r="C4976" s="64" t="n"/>
      <c r="D4976" s="64" t="n"/>
      <c r="E4976" s="63" t="n"/>
    </row>
    <row r="4977" ht="18" customHeight="1">
      <c r="A4977" s="62" t="n"/>
      <c r="B4977" s="63" t="n"/>
      <c r="C4977" s="64" t="n"/>
      <c r="D4977" s="64" t="n"/>
      <c r="E4977" s="63" t="n"/>
    </row>
    <row r="4978" ht="18" customHeight="1">
      <c r="A4978" s="62" t="n"/>
      <c r="B4978" s="63" t="n"/>
      <c r="C4978" s="64" t="n"/>
      <c r="D4978" s="64" t="n"/>
      <c r="E4978" s="63" t="n"/>
    </row>
    <row r="4979" ht="18" customHeight="1">
      <c r="A4979" s="62" t="n"/>
      <c r="B4979" s="63" t="n"/>
      <c r="C4979" s="64" t="n"/>
      <c r="D4979" s="64" t="n"/>
      <c r="E4979" s="63" t="n"/>
    </row>
    <row r="4980" ht="18" customHeight="1">
      <c r="A4980" s="62" t="n"/>
      <c r="B4980" s="63" t="n"/>
      <c r="C4980" s="64" t="n"/>
      <c r="D4980" s="64" t="n"/>
      <c r="E4980" s="63" t="n"/>
    </row>
    <row r="4981" ht="18" customHeight="1">
      <c r="A4981" s="62" t="n"/>
      <c r="B4981" s="63" t="n"/>
      <c r="C4981" s="64" t="n"/>
      <c r="D4981" s="64" t="n"/>
      <c r="E4981" s="63" t="n"/>
    </row>
    <row r="4982" ht="18" customHeight="1">
      <c r="A4982" s="62" t="n"/>
      <c r="B4982" s="63" t="n"/>
      <c r="C4982" s="64" t="n"/>
      <c r="D4982" s="64" t="n"/>
      <c r="E4982" s="63" t="n"/>
    </row>
    <row r="4983" ht="18" customHeight="1">
      <c r="A4983" s="62" t="n"/>
      <c r="B4983" s="63" t="n"/>
      <c r="C4983" s="64" t="n"/>
      <c r="D4983" s="64" t="n"/>
      <c r="E4983" s="63" t="n"/>
    </row>
    <row r="4984" ht="18" customHeight="1">
      <c r="A4984" s="62" t="n"/>
      <c r="B4984" s="63" t="n"/>
      <c r="C4984" s="64" t="n"/>
      <c r="D4984" s="64" t="n"/>
      <c r="E4984" s="63" t="n"/>
    </row>
    <row r="4985" ht="18" customHeight="1">
      <c r="A4985" s="62" t="n"/>
      <c r="B4985" s="63" t="n"/>
      <c r="C4985" s="64" t="n"/>
      <c r="D4985" s="64" t="n"/>
      <c r="E4985" s="63" t="n"/>
    </row>
    <row r="4986" ht="18" customHeight="1">
      <c r="A4986" s="62" t="n"/>
      <c r="B4986" s="63" t="n"/>
      <c r="C4986" s="64" t="n"/>
      <c r="D4986" s="64" t="n"/>
      <c r="E4986" s="63" t="n"/>
    </row>
    <row r="4987" ht="18" customHeight="1">
      <c r="A4987" s="62" t="n"/>
      <c r="B4987" s="63" t="n"/>
      <c r="C4987" s="64" t="n"/>
      <c r="D4987" s="64" t="n"/>
      <c r="E4987" s="63" t="n"/>
    </row>
    <row r="4988" ht="18" customHeight="1">
      <c r="A4988" s="62" t="n"/>
      <c r="B4988" s="63" t="n"/>
      <c r="C4988" s="64" t="n"/>
      <c r="D4988" s="64" t="n"/>
      <c r="E4988" s="63" t="n"/>
    </row>
    <row r="4989" ht="18" customHeight="1">
      <c r="A4989" s="62" t="n"/>
      <c r="B4989" s="63" t="n"/>
      <c r="C4989" s="64" t="n"/>
      <c r="D4989" s="64" t="n"/>
      <c r="E4989" s="63" t="n"/>
    </row>
    <row r="4990" ht="18" customHeight="1">
      <c r="A4990" s="62" t="n"/>
      <c r="B4990" s="63" t="n"/>
      <c r="C4990" s="64" t="n"/>
      <c r="D4990" s="64" t="n"/>
      <c r="E4990" s="63" t="n"/>
    </row>
    <row r="4991" ht="18" customHeight="1">
      <c r="A4991" s="62" t="n"/>
      <c r="B4991" s="63" t="n"/>
      <c r="C4991" s="64" t="n"/>
      <c r="D4991" s="64" t="n"/>
      <c r="E4991" s="63" t="n"/>
    </row>
    <row r="4992" ht="18" customHeight="1">
      <c r="A4992" s="62" t="n"/>
      <c r="B4992" s="63" t="n"/>
      <c r="C4992" s="64" t="n"/>
      <c r="D4992" s="64" t="n"/>
      <c r="E4992" s="63" t="n"/>
    </row>
    <row r="4993" ht="18" customHeight="1">
      <c r="A4993" s="62" t="n"/>
      <c r="B4993" s="63" t="n"/>
      <c r="C4993" s="64" t="n"/>
      <c r="D4993" s="64" t="n"/>
      <c r="E4993" s="63" t="n"/>
    </row>
    <row r="4994" ht="18" customHeight="1">
      <c r="A4994" s="62" t="n"/>
      <c r="B4994" s="63" t="n"/>
      <c r="C4994" s="64" t="n"/>
      <c r="D4994" s="64" t="n"/>
      <c r="E4994" s="63" t="n"/>
    </row>
    <row r="4995" ht="18" customHeight="1">
      <c r="A4995" s="62" t="n"/>
      <c r="B4995" s="63" t="n"/>
      <c r="C4995" s="64" t="n"/>
      <c r="D4995" s="64" t="n"/>
      <c r="E4995" s="63" t="n"/>
    </row>
    <row r="4996" ht="18" customHeight="1">
      <c r="A4996" s="62" t="n"/>
      <c r="B4996" s="63" t="n"/>
      <c r="C4996" s="64" t="n"/>
      <c r="D4996" s="64" t="n"/>
      <c r="E4996" s="63" t="n"/>
    </row>
    <row r="4997" ht="18" customHeight="1">
      <c r="A4997" s="62" t="n"/>
      <c r="B4997" s="63" t="n"/>
      <c r="C4997" s="64" t="n"/>
      <c r="D4997" s="64" t="n"/>
      <c r="E4997" s="63" t="n"/>
    </row>
    <row r="4998" ht="18" customHeight="1">
      <c r="A4998" s="62" t="n"/>
      <c r="B4998" s="63" t="n"/>
      <c r="C4998" s="64" t="n"/>
      <c r="D4998" s="64" t="n"/>
      <c r="E4998" s="63" t="n"/>
    </row>
    <row r="4999" ht="18" customHeight="1">
      <c r="A4999" s="62" t="n"/>
      <c r="B4999" s="63" t="n"/>
      <c r="C4999" s="64" t="n"/>
      <c r="D4999" s="64" t="n"/>
      <c r="E4999" s="63" t="n"/>
    </row>
    <row r="5000" ht="18" customHeight="1">
      <c r="A5000" s="62" t="n"/>
      <c r="B5000" s="63" t="n"/>
      <c r="C5000" s="64" t="n"/>
      <c r="D5000" s="64" t="n"/>
      <c r="E5000" s="63" t="n"/>
    </row>
    <row r="5001" ht="18" customHeight="1">
      <c r="A5001" s="62" t="n"/>
      <c r="B5001" s="63" t="n"/>
      <c r="C5001" s="64" t="n"/>
      <c r="D5001" s="64" t="n"/>
      <c r="E5001" s="63" t="n"/>
    </row>
    <row r="5002" ht="18" customHeight="1">
      <c r="A5002" s="62" t="n"/>
      <c r="B5002" s="63" t="n"/>
      <c r="C5002" s="64" t="n"/>
      <c r="D5002" s="64" t="n"/>
      <c r="E5002" s="63" t="n"/>
    </row>
    <row r="5003" ht="18" customHeight="1">
      <c r="A5003" s="62" t="n"/>
      <c r="B5003" s="63" t="n"/>
      <c r="C5003" s="64" t="n"/>
      <c r="D5003" s="64" t="n"/>
      <c r="E5003" s="63" t="n"/>
    </row>
    <row r="5004" ht="18" customHeight="1">
      <c r="A5004" s="62" t="n"/>
      <c r="B5004" s="63" t="n"/>
      <c r="C5004" s="64" t="n"/>
      <c r="D5004" s="64" t="n"/>
      <c r="E5004" s="63" t="n"/>
    </row>
    <row r="5005" ht="18" customHeight="1">
      <c r="A5005" s="62" t="n"/>
      <c r="B5005" s="63" t="n"/>
      <c r="C5005" s="64" t="n"/>
      <c r="D5005" s="64" t="n"/>
      <c r="E5005" s="63" t="n"/>
    </row>
    <row r="5006" ht="18" customHeight="1">
      <c r="A5006" s="62" t="n"/>
      <c r="B5006" s="63" t="n"/>
      <c r="C5006" s="64" t="n"/>
      <c r="D5006" s="64" t="n"/>
      <c r="E5006" s="63" t="n"/>
    </row>
    <row r="5007" ht="18" customHeight="1">
      <c r="A5007" s="62" t="n"/>
      <c r="B5007" s="63" t="n"/>
      <c r="C5007" s="64" t="n"/>
      <c r="D5007" s="64" t="n"/>
      <c r="E5007" s="63" t="n"/>
    </row>
    <row r="5008" ht="18" customHeight="1">
      <c r="A5008" s="62" t="n"/>
      <c r="B5008" s="63" t="n"/>
      <c r="C5008" s="64" t="n"/>
      <c r="D5008" s="64" t="n"/>
      <c r="E5008" s="63" t="n"/>
    </row>
    <row r="5009" ht="18" customHeight="1">
      <c r="A5009" s="62" t="n"/>
      <c r="B5009" s="63" t="n"/>
      <c r="C5009" s="64" t="n"/>
      <c r="D5009" s="64" t="n"/>
      <c r="E5009" s="63" t="n"/>
    </row>
    <row r="5010" ht="18" customHeight="1">
      <c r="A5010" s="62" t="n"/>
      <c r="B5010" s="63" t="n"/>
      <c r="C5010" s="64" t="n"/>
      <c r="D5010" s="64" t="n"/>
      <c r="E5010" s="63" t="n"/>
    </row>
    <row r="5011" ht="18" customHeight="1">
      <c r="A5011" s="62" t="n"/>
      <c r="B5011" s="63" t="n"/>
      <c r="C5011" s="64" t="n"/>
      <c r="D5011" s="64" t="n"/>
      <c r="E5011" s="63" t="n"/>
    </row>
    <row r="5012" ht="18" customHeight="1">
      <c r="A5012" s="62" t="n"/>
      <c r="B5012" s="63" t="n"/>
      <c r="C5012" s="64" t="n"/>
      <c r="D5012" s="64" t="n"/>
      <c r="E5012" s="63" t="n"/>
    </row>
    <row r="5013" ht="18" customHeight="1">
      <c r="A5013" s="62" t="n"/>
      <c r="B5013" s="63" t="n"/>
      <c r="C5013" s="64" t="n"/>
      <c r="D5013" s="64" t="n"/>
      <c r="E5013" s="63" t="n"/>
    </row>
    <row r="5014" ht="18" customHeight="1">
      <c r="A5014" s="62" t="n"/>
      <c r="B5014" s="63" t="n"/>
      <c r="C5014" s="64" t="n"/>
      <c r="D5014" s="64" t="n"/>
      <c r="E5014" s="63" t="n"/>
    </row>
    <row r="5015" ht="18" customHeight="1">
      <c r="A5015" s="62" t="n"/>
      <c r="B5015" s="63" t="n"/>
      <c r="C5015" s="64" t="n"/>
      <c r="D5015" s="64" t="n"/>
      <c r="E5015" s="63" t="n"/>
    </row>
    <row r="5016" ht="18" customHeight="1">
      <c r="A5016" s="62" t="n"/>
      <c r="B5016" s="63" t="n"/>
      <c r="C5016" s="64" t="n"/>
      <c r="D5016" s="64" t="n"/>
      <c r="E5016" s="63" t="n"/>
    </row>
    <row r="5017" ht="18" customHeight="1">
      <c r="A5017" s="62" t="n"/>
      <c r="B5017" s="63" t="n"/>
      <c r="C5017" s="64" t="n"/>
      <c r="D5017" s="64" t="n"/>
      <c r="E5017" s="63" t="n"/>
    </row>
    <row r="5018" ht="18" customHeight="1">
      <c r="A5018" s="62" t="n"/>
      <c r="B5018" s="63" t="n"/>
      <c r="C5018" s="64" t="n"/>
      <c r="D5018" s="64" t="n"/>
      <c r="E5018" s="63" t="n"/>
    </row>
    <row r="5019" ht="18" customHeight="1">
      <c r="A5019" s="62" t="n"/>
      <c r="B5019" s="63" t="n"/>
      <c r="C5019" s="64" t="n"/>
      <c r="D5019" s="64" t="n"/>
      <c r="E5019" s="63" t="n"/>
    </row>
    <row r="5020" ht="18" customHeight="1">
      <c r="A5020" s="62" t="n"/>
      <c r="B5020" s="63" t="n"/>
      <c r="C5020" s="64" t="n"/>
      <c r="D5020" s="64" t="n"/>
      <c r="E5020" s="63" t="n"/>
    </row>
    <row r="5021" ht="18" customHeight="1">
      <c r="A5021" s="62" t="n"/>
      <c r="B5021" s="63" t="n"/>
      <c r="C5021" s="64" t="n"/>
      <c r="D5021" s="64" t="n"/>
      <c r="E5021" s="63" t="n"/>
    </row>
    <row r="5022" ht="18" customHeight="1">
      <c r="A5022" s="62" t="n"/>
      <c r="B5022" s="63" t="n"/>
      <c r="C5022" s="64" t="n"/>
      <c r="D5022" s="64" t="n"/>
      <c r="E5022" s="63" t="n"/>
    </row>
    <row r="5023" ht="18" customHeight="1">
      <c r="A5023" s="62" t="n"/>
      <c r="B5023" s="63" t="n"/>
      <c r="C5023" s="64" t="n"/>
      <c r="D5023" s="64" t="n"/>
      <c r="E5023" s="63" t="n"/>
    </row>
    <row r="5024" ht="18" customHeight="1">
      <c r="A5024" s="62" t="n"/>
      <c r="B5024" s="63" t="n"/>
      <c r="C5024" s="64" t="n"/>
      <c r="D5024" s="64" t="n"/>
      <c r="E5024" s="63" t="n"/>
    </row>
    <row r="5025" ht="18" customHeight="1">
      <c r="A5025" s="62" t="n"/>
      <c r="B5025" s="63" t="n"/>
      <c r="C5025" s="64" t="n"/>
      <c r="D5025" s="64" t="n"/>
      <c r="E5025" s="63" t="n"/>
    </row>
    <row r="5026" ht="18" customHeight="1">
      <c r="A5026" s="62" t="n"/>
      <c r="B5026" s="63" t="n"/>
      <c r="C5026" s="64" t="n"/>
      <c r="D5026" s="64" t="n"/>
      <c r="E5026" s="63" t="n"/>
    </row>
    <row r="5027" ht="18" customHeight="1">
      <c r="A5027" s="62" t="n"/>
      <c r="B5027" s="63" t="n"/>
      <c r="C5027" s="64" t="n"/>
      <c r="D5027" s="64" t="n"/>
      <c r="E5027" s="63" t="n"/>
    </row>
    <row r="5028" ht="18" customHeight="1">
      <c r="A5028" s="62" t="n"/>
      <c r="B5028" s="63" t="n"/>
      <c r="C5028" s="64" t="n"/>
      <c r="D5028" s="64" t="n"/>
      <c r="E5028" s="63" t="n"/>
    </row>
    <row r="5029" ht="18" customHeight="1">
      <c r="A5029" s="62" t="n"/>
      <c r="B5029" s="63" t="n"/>
      <c r="C5029" s="64" t="n"/>
      <c r="D5029" s="64" t="n"/>
      <c r="E5029" s="63" t="n"/>
    </row>
    <row r="5030" ht="18" customHeight="1">
      <c r="A5030" s="62" t="n"/>
      <c r="B5030" s="63" t="n"/>
      <c r="C5030" s="64" t="n"/>
      <c r="D5030" s="64" t="n"/>
      <c r="E5030" s="63" t="n"/>
    </row>
    <row r="5031" ht="18" customHeight="1">
      <c r="A5031" s="62" t="n"/>
      <c r="B5031" s="63" t="n"/>
      <c r="C5031" s="64" t="n"/>
      <c r="D5031" s="64" t="n"/>
      <c r="E5031" s="63" t="n"/>
    </row>
    <row r="5032" ht="18" customHeight="1">
      <c r="A5032" s="62" t="n"/>
      <c r="B5032" s="63" t="n"/>
      <c r="C5032" s="64" t="n"/>
      <c r="D5032" s="64" t="n"/>
      <c r="E5032" s="63" t="n"/>
    </row>
    <row r="5033" ht="18" customHeight="1">
      <c r="A5033" s="62" t="n"/>
      <c r="B5033" s="63" t="n"/>
      <c r="C5033" s="64" t="n"/>
      <c r="D5033" s="64" t="n"/>
      <c r="E5033" s="63" t="n"/>
    </row>
    <row r="5034" ht="18" customHeight="1">
      <c r="A5034" s="62" t="n"/>
      <c r="B5034" s="63" t="n"/>
      <c r="C5034" s="64" t="n"/>
      <c r="D5034" s="64" t="n"/>
      <c r="E5034" s="63" t="n"/>
    </row>
    <row r="5035" ht="18" customHeight="1">
      <c r="A5035" s="62" t="n"/>
      <c r="B5035" s="63" t="n"/>
      <c r="C5035" s="64" t="n"/>
      <c r="D5035" s="64" t="n"/>
      <c r="E5035" s="63" t="n"/>
    </row>
    <row r="5036" ht="18" customHeight="1">
      <c r="A5036" s="62" t="n"/>
      <c r="B5036" s="63" t="n"/>
      <c r="C5036" s="64" t="n"/>
      <c r="D5036" s="64" t="n"/>
      <c r="E5036" s="63" t="n"/>
    </row>
    <row r="5037" ht="18" customHeight="1">
      <c r="A5037" s="62" t="n"/>
      <c r="B5037" s="63" t="n"/>
      <c r="C5037" s="64" t="n"/>
      <c r="D5037" s="64" t="n"/>
      <c r="E5037" s="63" t="n"/>
    </row>
    <row r="5038" ht="18" customHeight="1">
      <c r="A5038" s="62" t="n"/>
      <c r="B5038" s="63" t="n"/>
      <c r="C5038" s="64" t="n"/>
      <c r="D5038" s="64" t="n"/>
      <c r="E5038" s="63" t="n"/>
    </row>
    <row r="5039" ht="18" customHeight="1">
      <c r="A5039" s="62" t="n"/>
      <c r="B5039" s="63" t="n"/>
      <c r="C5039" s="64" t="n"/>
      <c r="D5039" s="64" t="n"/>
      <c r="E5039" s="63" t="n"/>
    </row>
    <row r="5040" ht="18" customHeight="1">
      <c r="A5040" s="62" t="n"/>
      <c r="B5040" s="63" t="n"/>
      <c r="C5040" s="64" t="n"/>
      <c r="D5040" s="64" t="n"/>
      <c r="E5040" s="63" t="n"/>
    </row>
    <row r="5041" ht="18" customHeight="1">
      <c r="A5041" s="62" t="n"/>
      <c r="B5041" s="63" t="n"/>
      <c r="C5041" s="64" t="n"/>
      <c r="D5041" s="64" t="n"/>
      <c r="E5041" s="63" t="n"/>
    </row>
    <row r="5042" ht="18" customHeight="1">
      <c r="A5042" s="62" t="n"/>
      <c r="B5042" s="63" t="n"/>
      <c r="C5042" s="64" t="n"/>
      <c r="D5042" s="64" t="n"/>
      <c r="E5042" s="63" t="n"/>
    </row>
    <row r="5043" ht="18" customHeight="1">
      <c r="A5043" s="62" t="n"/>
      <c r="B5043" s="63" t="n"/>
      <c r="C5043" s="64" t="n"/>
      <c r="D5043" s="64" t="n"/>
      <c r="E5043" s="63" t="n"/>
    </row>
    <row r="5044" ht="18" customHeight="1">
      <c r="A5044" s="62" t="n"/>
      <c r="B5044" s="63" t="n"/>
      <c r="C5044" s="64" t="n"/>
      <c r="D5044" s="64" t="n"/>
      <c r="E5044" s="63" t="n"/>
    </row>
    <row r="5045" ht="18" customHeight="1">
      <c r="A5045" s="62" t="n"/>
      <c r="B5045" s="63" t="n"/>
      <c r="C5045" s="64" t="n"/>
      <c r="D5045" s="64" t="n"/>
      <c r="E5045" s="63" t="n"/>
    </row>
    <row r="5046" ht="18" customHeight="1">
      <c r="A5046" s="62" t="n"/>
      <c r="B5046" s="63" t="n"/>
      <c r="C5046" s="64" t="n"/>
      <c r="D5046" s="64" t="n"/>
      <c r="E5046" s="63" t="n"/>
    </row>
    <row r="5047" ht="18" customHeight="1">
      <c r="A5047" s="62" t="n"/>
      <c r="B5047" s="63" t="n"/>
      <c r="C5047" s="64" t="n"/>
      <c r="D5047" s="64" t="n"/>
      <c r="E5047" s="63" t="n"/>
    </row>
    <row r="5048" ht="18" customHeight="1">
      <c r="A5048" s="62" t="n"/>
      <c r="B5048" s="63" t="n"/>
      <c r="C5048" s="64" t="n"/>
      <c r="D5048" s="64" t="n"/>
      <c r="E5048" s="63" t="n"/>
    </row>
    <row r="5049" ht="18" customHeight="1">
      <c r="A5049" s="62" t="n"/>
      <c r="B5049" s="63" t="n"/>
      <c r="C5049" s="64" t="n"/>
      <c r="D5049" s="64" t="n"/>
      <c r="E5049" s="63" t="n"/>
    </row>
    <row r="5050" ht="18" customHeight="1">
      <c r="A5050" s="62" t="n"/>
      <c r="B5050" s="63" t="n"/>
      <c r="C5050" s="64" t="n"/>
      <c r="D5050" s="64" t="n"/>
      <c r="E5050" s="63" t="n"/>
    </row>
    <row r="5051" ht="18" customHeight="1">
      <c r="A5051" s="62" t="n"/>
      <c r="B5051" s="63" t="n"/>
      <c r="C5051" s="64" t="n"/>
      <c r="D5051" s="64" t="n"/>
      <c r="E5051" s="63" t="n"/>
    </row>
    <row r="5052" ht="18" customHeight="1">
      <c r="A5052" s="62" t="n"/>
      <c r="B5052" s="63" t="n"/>
      <c r="C5052" s="64" t="n"/>
      <c r="D5052" s="64" t="n"/>
      <c r="E5052" s="63" t="n"/>
    </row>
    <row r="5053" ht="18" customHeight="1">
      <c r="A5053" s="62" t="n"/>
      <c r="B5053" s="63" t="n"/>
      <c r="C5053" s="64" t="n"/>
      <c r="D5053" s="64" t="n"/>
      <c r="E5053" s="63" t="n"/>
    </row>
    <row r="5054" ht="18" customHeight="1">
      <c r="A5054" s="62" t="n"/>
      <c r="B5054" s="63" t="n"/>
      <c r="C5054" s="64" t="n"/>
      <c r="D5054" s="64" t="n"/>
      <c r="E5054" s="63" t="n"/>
    </row>
    <row r="5055" ht="18" customHeight="1">
      <c r="A5055" s="62" t="n"/>
      <c r="B5055" s="63" t="n"/>
      <c r="C5055" s="64" t="n"/>
      <c r="D5055" s="64" t="n"/>
      <c r="E5055" s="63" t="n"/>
    </row>
    <row r="5056" ht="18" customHeight="1">
      <c r="A5056" s="62" t="n"/>
      <c r="B5056" s="63" t="n"/>
      <c r="C5056" s="64" t="n"/>
      <c r="D5056" s="64" t="n"/>
      <c r="E5056" s="63" t="n"/>
    </row>
    <row r="5057" ht="18" customHeight="1">
      <c r="A5057" s="62" t="n"/>
      <c r="B5057" s="63" t="n"/>
      <c r="C5057" s="64" t="n"/>
      <c r="D5057" s="64" t="n"/>
      <c r="E5057" s="63" t="n"/>
    </row>
    <row r="5058" ht="18" customHeight="1">
      <c r="A5058" s="62" t="n"/>
      <c r="B5058" s="63" t="n"/>
      <c r="C5058" s="64" t="n"/>
      <c r="D5058" s="64" t="n"/>
      <c r="E5058" s="63" t="n"/>
    </row>
    <row r="5059" ht="18" customHeight="1">
      <c r="A5059" s="62" t="n"/>
      <c r="B5059" s="63" t="n"/>
      <c r="C5059" s="64" t="n"/>
      <c r="D5059" s="64" t="n"/>
      <c r="E5059" s="63" t="n"/>
    </row>
    <row r="5060" ht="18" customHeight="1">
      <c r="A5060" s="62" t="n"/>
      <c r="B5060" s="63" t="n"/>
      <c r="C5060" s="64" t="n"/>
      <c r="D5060" s="64" t="n"/>
      <c r="E5060" s="63" t="n"/>
    </row>
    <row r="5061" ht="18" customHeight="1">
      <c r="A5061" s="62" t="n"/>
      <c r="B5061" s="63" t="n"/>
      <c r="C5061" s="64" t="n"/>
      <c r="D5061" s="64" t="n"/>
      <c r="E5061" s="63" t="n"/>
    </row>
    <row r="5062" ht="18" customHeight="1">
      <c r="A5062" s="62" t="n"/>
      <c r="B5062" s="63" t="n"/>
      <c r="C5062" s="64" t="n"/>
      <c r="D5062" s="64" t="n"/>
      <c r="E5062" s="63" t="n"/>
    </row>
    <row r="5063" ht="18" customHeight="1">
      <c r="A5063" s="62" t="n"/>
      <c r="B5063" s="63" t="n"/>
      <c r="C5063" s="64" t="n"/>
      <c r="D5063" s="64" t="n"/>
      <c r="E5063" s="63" t="n"/>
    </row>
    <row r="5064" ht="18" customHeight="1">
      <c r="A5064" s="62" t="n"/>
      <c r="B5064" s="63" t="n"/>
      <c r="C5064" s="64" t="n"/>
      <c r="D5064" s="64" t="n"/>
      <c r="E5064" s="63" t="n"/>
    </row>
    <row r="5065" ht="18" customHeight="1">
      <c r="A5065" s="62" t="n"/>
      <c r="B5065" s="63" t="n"/>
      <c r="C5065" s="64" t="n"/>
      <c r="D5065" s="64" t="n"/>
      <c r="E5065" s="63" t="n"/>
    </row>
    <row r="5066" ht="18" customHeight="1">
      <c r="A5066" s="62" t="n"/>
      <c r="B5066" s="63" t="n"/>
      <c r="C5066" s="64" t="n"/>
      <c r="D5066" s="64" t="n"/>
      <c r="E5066" s="63" t="n"/>
    </row>
    <row r="5067" ht="18" customHeight="1">
      <c r="A5067" s="62" t="n"/>
      <c r="B5067" s="63" t="n"/>
      <c r="C5067" s="64" t="n"/>
      <c r="D5067" s="64" t="n"/>
      <c r="E5067" s="63" t="n"/>
    </row>
    <row r="5068" ht="18" customHeight="1">
      <c r="A5068" s="62" t="n"/>
      <c r="B5068" s="63" t="n"/>
      <c r="C5068" s="64" t="n"/>
      <c r="D5068" s="64" t="n"/>
      <c r="E5068" s="63" t="n"/>
    </row>
    <row r="5069" ht="18" customHeight="1">
      <c r="A5069" s="62" t="n"/>
      <c r="B5069" s="63" t="n"/>
      <c r="C5069" s="64" t="n"/>
      <c r="D5069" s="64" t="n"/>
      <c r="E5069" s="63" t="n"/>
    </row>
    <row r="5070" ht="18" customHeight="1">
      <c r="A5070" s="62" t="n"/>
      <c r="B5070" s="63" t="n"/>
      <c r="C5070" s="64" t="n"/>
      <c r="D5070" s="64" t="n"/>
      <c r="E5070" s="63" t="n"/>
    </row>
    <row r="5071" ht="18" customHeight="1">
      <c r="A5071" s="62" t="n"/>
      <c r="B5071" s="63" t="n"/>
      <c r="C5071" s="64" t="n"/>
      <c r="D5071" s="64" t="n"/>
      <c r="E5071" s="63" t="n"/>
    </row>
    <row r="5072" ht="18" customHeight="1">
      <c r="A5072" s="62" t="n"/>
      <c r="B5072" s="63" t="n"/>
      <c r="C5072" s="64" t="n"/>
      <c r="D5072" s="64" t="n"/>
      <c r="E5072" s="63" t="n"/>
    </row>
    <row r="5073" ht="18" customHeight="1">
      <c r="A5073" s="62" t="n"/>
      <c r="B5073" s="63" t="n"/>
      <c r="C5073" s="64" t="n"/>
      <c r="D5073" s="64" t="n"/>
      <c r="E5073" s="63" t="n"/>
    </row>
    <row r="5074" ht="18" customHeight="1">
      <c r="A5074" s="62" t="n"/>
      <c r="B5074" s="63" t="n"/>
      <c r="C5074" s="64" t="n"/>
      <c r="D5074" s="64" t="n"/>
      <c r="E5074" s="63" t="n"/>
    </row>
    <row r="5075" ht="18" customHeight="1">
      <c r="A5075" s="62" t="n"/>
      <c r="B5075" s="63" t="n"/>
      <c r="C5075" s="64" t="n"/>
      <c r="D5075" s="64" t="n"/>
      <c r="E5075" s="63" t="n"/>
    </row>
    <row r="5076" ht="18" customHeight="1">
      <c r="A5076" s="62" t="n"/>
      <c r="B5076" s="63" t="n"/>
      <c r="C5076" s="64" t="n"/>
      <c r="D5076" s="64" t="n"/>
      <c r="E5076" s="63" t="n"/>
    </row>
    <row r="5077" ht="18" customHeight="1">
      <c r="A5077" s="62" t="n"/>
      <c r="B5077" s="63" t="n"/>
      <c r="C5077" s="64" t="n"/>
      <c r="D5077" s="64" t="n"/>
      <c r="E5077" s="63" t="n"/>
    </row>
    <row r="5078" ht="18" customHeight="1">
      <c r="A5078" s="62" t="n"/>
      <c r="B5078" s="63" t="n"/>
      <c r="C5078" s="64" t="n"/>
      <c r="D5078" s="64" t="n"/>
      <c r="E5078" s="63" t="n"/>
    </row>
    <row r="5079" ht="18" customHeight="1">
      <c r="A5079" s="62" t="n"/>
      <c r="B5079" s="63" t="n"/>
      <c r="C5079" s="64" t="n"/>
      <c r="D5079" s="64" t="n"/>
      <c r="E5079" s="63" t="n"/>
    </row>
    <row r="5080" ht="18" customHeight="1">
      <c r="A5080" s="62" t="n"/>
      <c r="B5080" s="63" t="n"/>
      <c r="C5080" s="64" t="n"/>
      <c r="D5080" s="64" t="n"/>
      <c r="E5080" s="63" t="n"/>
    </row>
    <row r="5081" ht="18" customHeight="1">
      <c r="A5081" s="62" t="n"/>
      <c r="B5081" s="63" t="n"/>
      <c r="C5081" s="64" t="n"/>
      <c r="D5081" s="64" t="n"/>
      <c r="E5081" s="63" t="n"/>
    </row>
    <row r="5082" ht="18" customHeight="1">
      <c r="A5082" s="62" t="n"/>
      <c r="B5082" s="63" t="n"/>
      <c r="C5082" s="64" t="n"/>
      <c r="D5082" s="64" t="n"/>
      <c r="E5082" s="63" t="n"/>
    </row>
    <row r="5083" ht="18" customHeight="1">
      <c r="A5083" s="62" t="n"/>
      <c r="B5083" s="63" t="n"/>
      <c r="C5083" s="64" t="n"/>
      <c r="D5083" s="64" t="n"/>
      <c r="E5083" s="63" t="n"/>
    </row>
    <row r="5084" ht="18" customHeight="1">
      <c r="A5084" s="62" t="n"/>
      <c r="B5084" s="63" t="n"/>
      <c r="C5084" s="64" t="n"/>
      <c r="D5084" s="64" t="n"/>
      <c r="E5084" s="63" t="n"/>
    </row>
    <row r="5085" ht="18" customHeight="1">
      <c r="A5085" s="62" t="n"/>
      <c r="B5085" s="63" t="n"/>
      <c r="C5085" s="64" t="n"/>
      <c r="D5085" s="64" t="n"/>
      <c r="E5085" s="63" t="n"/>
    </row>
    <row r="5086" ht="18" customHeight="1">
      <c r="A5086" s="62" t="n"/>
      <c r="B5086" s="63" t="n"/>
      <c r="C5086" s="64" t="n"/>
      <c r="D5086" s="64" t="n"/>
      <c r="E5086" s="63" t="n"/>
    </row>
    <row r="5087" ht="18" customHeight="1">
      <c r="A5087" s="62" t="n"/>
      <c r="B5087" s="63" t="n"/>
      <c r="C5087" s="64" t="n"/>
      <c r="D5087" s="64" t="n"/>
      <c r="E5087" s="63" t="n"/>
    </row>
    <row r="5088" ht="18" customHeight="1">
      <c r="A5088" s="62" t="n"/>
      <c r="B5088" s="63" t="n"/>
      <c r="C5088" s="64" t="n"/>
      <c r="D5088" s="64" t="n"/>
      <c r="E5088" s="63" t="n"/>
    </row>
    <row r="5089" ht="18" customHeight="1">
      <c r="A5089" s="62" t="n"/>
      <c r="B5089" s="63" t="n"/>
      <c r="C5089" s="64" t="n"/>
      <c r="D5089" s="64" t="n"/>
      <c r="E5089" s="63" t="n"/>
    </row>
    <row r="5090" ht="18" customHeight="1">
      <c r="A5090" s="62" t="n"/>
      <c r="B5090" s="63" t="n"/>
      <c r="C5090" s="64" t="n"/>
      <c r="D5090" s="64" t="n"/>
      <c r="E5090" s="63" t="n"/>
    </row>
    <row r="5091" ht="18" customHeight="1">
      <c r="A5091" s="62" t="n"/>
      <c r="B5091" s="63" t="n"/>
      <c r="C5091" s="64" t="n"/>
      <c r="D5091" s="64" t="n"/>
      <c r="E5091" s="63" t="n"/>
    </row>
    <row r="5092" ht="18" customHeight="1">
      <c r="A5092" s="62" t="n"/>
      <c r="B5092" s="63" t="n"/>
      <c r="C5092" s="64" t="n"/>
      <c r="D5092" s="64" t="n"/>
      <c r="E5092" s="63" t="n"/>
    </row>
    <row r="5093" ht="18" customHeight="1">
      <c r="A5093" s="62" t="n"/>
      <c r="B5093" s="63" t="n"/>
      <c r="C5093" s="64" t="n"/>
      <c r="D5093" s="64" t="n"/>
      <c r="E5093" s="63" t="n"/>
    </row>
    <row r="5094" ht="18" customHeight="1">
      <c r="A5094" s="62" t="n"/>
      <c r="B5094" s="63" t="n"/>
      <c r="C5094" s="64" t="n"/>
      <c r="D5094" s="64" t="n"/>
      <c r="E5094" s="63" t="n"/>
    </row>
    <row r="5095" ht="18" customHeight="1">
      <c r="A5095" s="62" t="n"/>
      <c r="B5095" s="63" t="n"/>
      <c r="C5095" s="64" t="n"/>
      <c r="D5095" s="64" t="n"/>
      <c r="E5095" s="63" t="n"/>
    </row>
    <row r="5096" ht="18" customHeight="1">
      <c r="A5096" s="62" t="n"/>
      <c r="B5096" s="63" t="n"/>
      <c r="C5096" s="64" t="n"/>
      <c r="D5096" s="64" t="n"/>
      <c r="E5096" s="63" t="n"/>
    </row>
    <row r="5097" ht="18" customHeight="1">
      <c r="A5097" s="62" t="n"/>
      <c r="B5097" s="63" t="n"/>
      <c r="C5097" s="64" t="n"/>
      <c r="D5097" s="64" t="n"/>
      <c r="E5097" s="63" t="n"/>
    </row>
    <row r="5098" ht="18" customHeight="1">
      <c r="A5098" s="62" t="n"/>
      <c r="B5098" s="63" t="n"/>
      <c r="C5098" s="64" t="n"/>
      <c r="D5098" s="64" t="n"/>
      <c r="E5098" s="63" t="n"/>
    </row>
    <row r="5099" ht="18" customHeight="1">
      <c r="A5099" s="62" t="n"/>
      <c r="B5099" s="63" t="n"/>
      <c r="C5099" s="64" t="n"/>
      <c r="D5099" s="64" t="n"/>
      <c r="E5099" s="63" t="n"/>
    </row>
    <row r="5100" ht="18" customHeight="1">
      <c r="A5100" s="62" t="n"/>
      <c r="B5100" s="63" t="n"/>
      <c r="C5100" s="64" t="n"/>
      <c r="D5100" s="64" t="n"/>
      <c r="E5100" s="63" t="n"/>
    </row>
    <row r="5101" ht="18" customHeight="1">
      <c r="A5101" s="62" t="n"/>
      <c r="B5101" s="63" t="n"/>
      <c r="C5101" s="64" t="n"/>
      <c r="D5101" s="64" t="n"/>
      <c r="E5101" s="63" t="n"/>
    </row>
    <row r="5102" ht="18" customHeight="1">
      <c r="A5102" s="62" t="n"/>
      <c r="B5102" s="63" t="n"/>
      <c r="C5102" s="64" t="n"/>
      <c r="D5102" s="64" t="n"/>
      <c r="E5102" s="63" t="n"/>
    </row>
    <row r="5103" ht="18" customHeight="1">
      <c r="A5103" s="62" t="n"/>
      <c r="B5103" s="63" t="n"/>
      <c r="C5103" s="64" t="n"/>
      <c r="D5103" s="64" t="n"/>
      <c r="E5103" s="63" t="n"/>
    </row>
    <row r="5104" ht="18" customHeight="1">
      <c r="A5104" s="62" t="n"/>
      <c r="B5104" s="63" t="n"/>
      <c r="C5104" s="64" t="n"/>
      <c r="D5104" s="64" t="n"/>
      <c r="E5104" s="63" t="n"/>
    </row>
    <row r="5105" ht="18" customHeight="1">
      <c r="A5105" s="62" t="n"/>
      <c r="B5105" s="63" t="n"/>
      <c r="C5105" s="64" t="n"/>
      <c r="D5105" s="64" t="n"/>
      <c r="E5105" s="63" t="n"/>
    </row>
    <row r="5106" ht="18" customHeight="1">
      <c r="A5106" s="62" t="n"/>
      <c r="B5106" s="63" t="n"/>
      <c r="C5106" s="64" t="n"/>
      <c r="D5106" s="64" t="n"/>
      <c r="E5106" s="63" t="n"/>
    </row>
    <row r="5107" ht="18" customHeight="1">
      <c r="A5107" s="62" t="n"/>
      <c r="B5107" s="63" t="n"/>
      <c r="C5107" s="64" t="n"/>
      <c r="D5107" s="64" t="n"/>
      <c r="E5107" s="63" t="n"/>
    </row>
    <row r="5108" ht="18" customHeight="1">
      <c r="A5108" s="62" t="n"/>
      <c r="B5108" s="63" t="n"/>
      <c r="C5108" s="64" t="n"/>
      <c r="D5108" s="64" t="n"/>
      <c r="E5108" s="63" t="n"/>
    </row>
    <row r="5109" ht="18" customHeight="1">
      <c r="A5109" s="62" t="n"/>
      <c r="B5109" s="63" t="n"/>
      <c r="C5109" s="64" t="n"/>
      <c r="D5109" s="64" t="n"/>
      <c r="E5109" s="63" t="n"/>
    </row>
    <row r="5110" ht="18" customHeight="1">
      <c r="A5110" s="62" t="n"/>
      <c r="B5110" s="63" t="n"/>
      <c r="C5110" s="64" t="n"/>
      <c r="D5110" s="64" t="n"/>
      <c r="E5110" s="63" t="n"/>
    </row>
    <row r="5111" ht="18" customHeight="1">
      <c r="A5111" s="62" t="n"/>
      <c r="B5111" s="63" t="n"/>
      <c r="C5111" s="64" t="n"/>
      <c r="D5111" s="64" t="n"/>
      <c r="E5111" s="63" t="n"/>
    </row>
    <row r="5112" ht="18" customHeight="1">
      <c r="A5112" s="62" t="n"/>
      <c r="B5112" s="63" t="n"/>
      <c r="C5112" s="64" t="n"/>
      <c r="D5112" s="64" t="n"/>
      <c r="E5112" s="63" t="n"/>
    </row>
    <row r="5113" ht="18" customHeight="1">
      <c r="A5113" s="62" t="n"/>
      <c r="B5113" s="63" t="n"/>
      <c r="C5113" s="64" t="n"/>
      <c r="D5113" s="64" t="n"/>
      <c r="E5113" s="63" t="n"/>
    </row>
    <row r="5114" ht="18" customHeight="1">
      <c r="A5114" s="62" t="n"/>
      <c r="B5114" s="63" t="n"/>
      <c r="C5114" s="64" t="n"/>
      <c r="D5114" s="64" t="n"/>
      <c r="E5114" s="63" t="n"/>
    </row>
    <row r="5115" ht="18" customHeight="1">
      <c r="A5115" s="62" t="n"/>
      <c r="B5115" s="63" t="n"/>
      <c r="C5115" s="64" t="n"/>
      <c r="D5115" s="64" t="n"/>
      <c r="E5115" s="63" t="n"/>
    </row>
    <row r="5116" ht="18" customHeight="1">
      <c r="A5116" s="62" t="n"/>
      <c r="B5116" s="63" t="n"/>
      <c r="C5116" s="64" t="n"/>
      <c r="D5116" s="64" t="n"/>
      <c r="E5116" s="63" t="n"/>
    </row>
    <row r="5117" ht="18" customHeight="1">
      <c r="A5117" s="62" t="n"/>
      <c r="B5117" s="63" t="n"/>
      <c r="C5117" s="64" t="n"/>
      <c r="D5117" s="64" t="n"/>
      <c r="E5117" s="63" t="n"/>
    </row>
    <row r="5118" ht="18" customHeight="1">
      <c r="A5118" s="62" t="n"/>
      <c r="B5118" s="63" t="n"/>
      <c r="C5118" s="64" t="n"/>
      <c r="D5118" s="64" t="n"/>
      <c r="E5118" s="63" t="n"/>
    </row>
    <row r="5119" ht="18" customHeight="1">
      <c r="A5119" s="62" t="n"/>
      <c r="B5119" s="63" t="n"/>
      <c r="C5119" s="64" t="n"/>
      <c r="D5119" s="64" t="n"/>
      <c r="E5119" s="63" t="n"/>
    </row>
    <row r="5120" ht="18" customHeight="1">
      <c r="A5120" s="62" t="n"/>
      <c r="B5120" s="63" t="n"/>
      <c r="C5120" s="64" t="n"/>
      <c r="D5120" s="64" t="n"/>
      <c r="E5120" s="63" t="n"/>
    </row>
    <row r="5121" ht="18" customHeight="1">
      <c r="A5121" s="62" t="n"/>
      <c r="B5121" s="63" t="n"/>
      <c r="C5121" s="64" t="n"/>
      <c r="D5121" s="64" t="n"/>
      <c r="E5121" s="63" t="n"/>
    </row>
    <row r="5122" ht="18" customHeight="1">
      <c r="A5122" s="62" t="n"/>
      <c r="B5122" s="63" t="n"/>
      <c r="C5122" s="64" t="n"/>
      <c r="D5122" s="64" t="n"/>
      <c r="E5122" s="63" t="n"/>
    </row>
    <row r="5123" ht="18" customHeight="1">
      <c r="A5123" s="62" t="n"/>
      <c r="B5123" s="63" t="n"/>
      <c r="C5123" s="64" t="n"/>
      <c r="D5123" s="64" t="n"/>
      <c r="E5123" s="63" t="n"/>
    </row>
    <row r="5124" ht="18" customHeight="1">
      <c r="A5124" s="62" t="n"/>
      <c r="B5124" s="63" t="n"/>
      <c r="C5124" s="64" t="n"/>
      <c r="D5124" s="64" t="n"/>
      <c r="E5124" s="63" t="n"/>
    </row>
    <row r="5125" ht="18" customHeight="1">
      <c r="A5125" s="62" t="n"/>
      <c r="B5125" s="63" t="n"/>
      <c r="C5125" s="64" t="n"/>
      <c r="D5125" s="64" t="n"/>
      <c r="E5125" s="63" t="n"/>
    </row>
    <row r="5126" ht="18" customHeight="1">
      <c r="A5126" s="62" t="n"/>
      <c r="B5126" s="63" t="n"/>
      <c r="C5126" s="64" t="n"/>
      <c r="D5126" s="64" t="n"/>
      <c r="E5126" s="63" t="n"/>
    </row>
    <row r="5127" ht="18" customHeight="1">
      <c r="A5127" s="62" t="n"/>
      <c r="B5127" s="63" t="n"/>
      <c r="C5127" s="64" t="n"/>
      <c r="D5127" s="64" t="n"/>
      <c r="E5127" s="63" t="n"/>
    </row>
    <row r="5128" ht="18" customHeight="1">
      <c r="A5128" s="62" t="n"/>
      <c r="B5128" s="63" t="n"/>
      <c r="C5128" s="64" t="n"/>
      <c r="D5128" s="64" t="n"/>
      <c r="E5128" s="63" t="n"/>
    </row>
    <row r="5129" ht="18" customHeight="1">
      <c r="A5129" s="62" t="n"/>
      <c r="B5129" s="63" t="n"/>
      <c r="C5129" s="64" t="n"/>
      <c r="D5129" s="64" t="n"/>
      <c r="E5129" s="63" t="n"/>
    </row>
    <row r="5130" ht="18" customHeight="1">
      <c r="A5130" s="62" t="n"/>
      <c r="B5130" s="63" t="n"/>
      <c r="C5130" s="64" t="n"/>
      <c r="D5130" s="64" t="n"/>
      <c r="E5130" s="63" t="n"/>
    </row>
    <row r="5131" ht="18" customHeight="1">
      <c r="A5131" s="62" t="n"/>
      <c r="B5131" s="63" t="n"/>
      <c r="C5131" s="64" t="n"/>
      <c r="D5131" s="64" t="n"/>
      <c r="E5131" s="63" t="n"/>
    </row>
    <row r="5132" ht="18" customHeight="1">
      <c r="A5132" s="62" t="n"/>
      <c r="B5132" s="63" t="n"/>
      <c r="C5132" s="64" t="n"/>
      <c r="D5132" s="64" t="n"/>
      <c r="E5132" s="63" t="n"/>
    </row>
    <row r="5133" ht="18" customHeight="1">
      <c r="A5133" s="62" t="n"/>
      <c r="B5133" s="63" t="n"/>
      <c r="C5133" s="64" t="n"/>
      <c r="D5133" s="64" t="n"/>
      <c r="E5133" s="63" t="n"/>
    </row>
    <row r="5134" ht="18" customHeight="1">
      <c r="A5134" s="62" t="n"/>
      <c r="B5134" s="63" t="n"/>
      <c r="C5134" s="64" t="n"/>
      <c r="D5134" s="64" t="n"/>
      <c r="E5134" s="63" t="n"/>
    </row>
    <row r="5135" ht="18" customHeight="1">
      <c r="A5135" s="62" t="n"/>
      <c r="B5135" s="63" t="n"/>
      <c r="C5135" s="64" t="n"/>
      <c r="D5135" s="64" t="n"/>
      <c r="E5135" s="63" t="n"/>
    </row>
    <row r="5136" ht="18" customHeight="1">
      <c r="A5136" s="62" t="n"/>
      <c r="B5136" s="63" t="n"/>
      <c r="C5136" s="64" t="n"/>
      <c r="D5136" s="64" t="n"/>
      <c r="E5136" s="63" t="n"/>
    </row>
    <row r="5137" ht="18" customHeight="1">
      <c r="A5137" s="62" t="n"/>
      <c r="B5137" s="63" t="n"/>
      <c r="C5137" s="64" t="n"/>
      <c r="D5137" s="64" t="n"/>
      <c r="E5137" s="63" t="n"/>
    </row>
    <row r="5138" ht="18" customHeight="1">
      <c r="A5138" s="62" t="n"/>
      <c r="B5138" s="63" t="n"/>
      <c r="C5138" s="64" t="n"/>
      <c r="D5138" s="64" t="n"/>
      <c r="E5138" s="63" t="n"/>
    </row>
    <row r="5139" ht="18" customHeight="1">
      <c r="A5139" s="62" t="n"/>
      <c r="B5139" s="63" t="n"/>
      <c r="C5139" s="64" t="n"/>
      <c r="D5139" s="64" t="n"/>
      <c r="E5139" s="63" t="n"/>
    </row>
    <row r="5140" ht="18" customHeight="1">
      <c r="A5140" s="62" t="n"/>
      <c r="B5140" s="63" t="n"/>
      <c r="C5140" s="64" t="n"/>
      <c r="D5140" s="64" t="n"/>
      <c r="E5140" s="63" t="n"/>
    </row>
    <row r="5141" ht="18" customHeight="1">
      <c r="A5141" s="62" t="n"/>
      <c r="B5141" s="63" t="n"/>
      <c r="C5141" s="64" t="n"/>
      <c r="D5141" s="64" t="n"/>
      <c r="E5141" s="63" t="n"/>
    </row>
    <row r="5142" ht="18" customHeight="1">
      <c r="A5142" s="62" t="n"/>
      <c r="B5142" s="63" t="n"/>
      <c r="C5142" s="64" t="n"/>
      <c r="D5142" s="64" t="n"/>
      <c r="E5142" s="63" t="n"/>
    </row>
    <row r="5143" ht="18" customHeight="1">
      <c r="A5143" s="62" t="n"/>
      <c r="B5143" s="63" t="n"/>
      <c r="C5143" s="64" t="n"/>
      <c r="D5143" s="64" t="n"/>
      <c r="E5143" s="63" t="n"/>
    </row>
    <row r="5144" ht="18" customHeight="1">
      <c r="A5144" s="62" t="n"/>
      <c r="B5144" s="63" t="n"/>
      <c r="C5144" s="64" t="n"/>
      <c r="D5144" s="64" t="n"/>
      <c r="E5144" s="63" t="n"/>
    </row>
    <row r="5145" ht="18" customHeight="1">
      <c r="A5145" s="62" t="n"/>
      <c r="B5145" s="63" t="n"/>
      <c r="C5145" s="64" t="n"/>
      <c r="D5145" s="64" t="n"/>
      <c r="E5145" s="63" t="n"/>
    </row>
    <row r="5146" ht="18" customHeight="1">
      <c r="A5146" s="62" t="n"/>
      <c r="B5146" s="63" t="n"/>
      <c r="C5146" s="64" t="n"/>
      <c r="D5146" s="64" t="n"/>
      <c r="E5146" s="63" t="n"/>
    </row>
    <row r="5147" ht="18" customHeight="1">
      <c r="A5147" s="62" t="n"/>
      <c r="B5147" s="63" t="n"/>
      <c r="C5147" s="64" t="n"/>
      <c r="D5147" s="64" t="n"/>
      <c r="E5147" s="63" t="n"/>
    </row>
    <row r="5148" ht="18" customHeight="1">
      <c r="A5148" s="62" t="n"/>
      <c r="B5148" s="63" t="n"/>
      <c r="C5148" s="64" t="n"/>
      <c r="D5148" s="64" t="n"/>
      <c r="E5148" s="63" t="n"/>
    </row>
    <row r="5149" ht="18" customHeight="1">
      <c r="A5149" s="62" t="n"/>
      <c r="B5149" s="63" t="n"/>
      <c r="C5149" s="64" t="n"/>
      <c r="D5149" s="64" t="n"/>
      <c r="E5149" s="63" t="n"/>
    </row>
    <row r="5150" ht="18" customHeight="1">
      <c r="A5150" s="62" t="n"/>
      <c r="B5150" s="63" t="n"/>
      <c r="C5150" s="64" t="n"/>
      <c r="D5150" s="64" t="n"/>
      <c r="E5150" s="63" t="n"/>
    </row>
    <row r="5151" ht="18" customHeight="1">
      <c r="A5151" s="62" t="n"/>
      <c r="B5151" s="63" t="n"/>
      <c r="C5151" s="64" t="n"/>
      <c r="D5151" s="64" t="n"/>
      <c r="E5151" s="63" t="n"/>
    </row>
    <row r="5152" ht="18" customHeight="1">
      <c r="A5152" s="62" t="n"/>
      <c r="B5152" s="63" t="n"/>
      <c r="C5152" s="64" t="n"/>
      <c r="D5152" s="64" t="n"/>
      <c r="E5152" s="63" t="n"/>
    </row>
    <row r="5153" ht="18" customHeight="1">
      <c r="A5153" s="62" t="n"/>
      <c r="B5153" s="63" t="n"/>
      <c r="C5153" s="64" t="n"/>
      <c r="D5153" s="64" t="n"/>
      <c r="E5153" s="63" t="n"/>
    </row>
    <row r="5154" ht="18" customHeight="1">
      <c r="A5154" s="62" t="n"/>
      <c r="B5154" s="63" t="n"/>
      <c r="C5154" s="64" t="n"/>
      <c r="D5154" s="64" t="n"/>
      <c r="E5154" s="63" t="n"/>
    </row>
    <row r="5155" ht="18" customHeight="1">
      <c r="A5155" s="62" t="n"/>
      <c r="B5155" s="63" t="n"/>
      <c r="C5155" s="64" t="n"/>
      <c r="D5155" s="64" t="n"/>
      <c r="E5155" s="63" t="n"/>
    </row>
    <row r="5156" ht="18" customHeight="1">
      <c r="A5156" s="62" t="n"/>
      <c r="B5156" s="63" t="n"/>
      <c r="C5156" s="64" t="n"/>
      <c r="D5156" s="64" t="n"/>
      <c r="E5156" s="63" t="n"/>
    </row>
    <row r="5157" ht="18" customHeight="1">
      <c r="A5157" s="62" t="n"/>
      <c r="B5157" s="63" t="n"/>
      <c r="C5157" s="64" t="n"/>
      <c r="D5157" s="64" t="n"/>
      <c r="E5157" s="63" t="n"/>
    </row>
    <row r="5158" ht="18" customHeight="1">
      <c r="A5158" s="62" t="n"/>
      <c r="B5158" s="63" t="n"/>
      <c r="C5158" s="64" t="n"/>
      <c r="D5158" s="64" t="n"/>
      <c r="E5158" s="63" t="n"/>
    </row>
    <row r="5159" ht="18" customHeight="1">
      <c r="A5159" s="62" t="n"/>
      <c r="B5159" s="63" t="n"/>
      <c r="C5159" s="64" t="n"/>
      <c r="D5159" s="64" t="n"/>
      <c r="E5159" s="63" t="n"/>
    </row>
    <row r="5160" ht="18" customHeight="1">
      <c r="A5160" s="62" t="n"/>
      <c r="B5160" s="63" t="n"/>
      <c r="C5160" s="64" t="n"/>
      <c r="D5160" s="64" t="n"/>
      <c r="E5160" s="63" t="n"/>
    </row>
    <row r="5161" ht="18" customHeight="1">
      <c r="A5161" s="62" t="n"/>
      <c r="B5161" s="63" t="n"/>
      <c r="C5161" s="64" t="n"/>
      <c r="D5161" s="64" t="n"/>
      <c r="E5161" s="63" t="n"/>
    </row>
    <row r="5162" ht="18" customHeight="1">
      <c r="A5162" s="62" t="n"/>
      <c r="B5162" s="63" t="n"/>
      <c r="C5162" s="64" t="n"/>
      <c r="D5162" s="64" t="n"/>
      <c r="E5162" s="63" t="n"/>
    </row>
    <row r="5163" ht="18" customHeight="1">
      <c r="A5163" s="62" t="n"/>
      <c r="B5163" s="63" t="n"/>
      <c r="C5163" s="64" t="n"/>
      <c r="D5163" s="64" t="n"/>
      <c r="E5163" s="63" t="n"/>
    </row>
    <row r="5164" ht="18" customHeight="1">
      <c r="A5164" s="62" t="n"/>
      <c r="B5164" s="63" t="n"/>
      <c r="C5164" s="64" t="n"/>
      <c r="D5164" s="64" t="n"/>
      <c r="E5164" s="63" t="n"/>
    </row>
    <row r="5165" ht="18" customHeight="1">
      <c r="A5165" s="62" t="n"/>
      <c r="B5165" s="63" t="n"/>
      <c r="C5165" s="64" t="n"/>
      <c r="D5165" s="64" t="n"/>
      <c r="E5165" s="63" t="n"/>
    </row>
    <row r="5166" ht="18" customHeight="1">
      <c r="A5166" s="62" t="n"/>
      <c r="B5166" s="63" t="n"/>
      <c r="C5166" s="64" t="n"/>
      <c r="D5166" s="64" t="n"/>
      <c r="E5166" s="63" t="n"/>
    </row>
    <row r="5167" ht="18" customHeight="1">
      <c r="A5167" s="62" t="n"/>
      <c r="B5167" s="63" t="n"/>
      <c r="C5167" s="64" t="n"/>
      <c r="D5167" s="64" t="n"/>
      <c r="E5167" s="63" t="n"/>
    </row>
    <row r="5168" ht="18" customHeight="1">
      <c r="A5168" s="62" t="n"/>
      <c r="B5168" s="63" t="n"/>
      <c r="C5168" s="64" t="n"/>
      <c r="D5168" s="64" t="n"/>
      <c r="E5168" s="63" t="n"/>
    </row>
    <row r="5169" ht="18" customHeight="1">
      <c r="A5169" s="62" t="n"/>
      <c r="B5169" s="63" t="n"/>
      <c r="C5169" s="64" t="n"/>
      <c r="D5169" s="64" t="n"/>
      <c r="E5169" s="63" t="n"/>
    </row>
    <row r="5170" ht="18" customHeight="1">
      <c r="A5170" s="62" t="n"/>
      <c r="B5170" s="63" t="n"/>
      <c r="C5170" s="64" t="n"/>
      <c r="D5170" s="64" t="n"/>
      <c r="E5170" s="63" t="n"/>
    </row>
    <row r="5171" ht="18" customHeight="1">
      <c r="A5171" s="62" t="n"/>
      <c r="B5171" s="63" t="n"/>
      <c r="C5171" s="64" t="n"/>
      <c r="D5171" s="64" t="n"/>
      <c r="E5171" s="63" t="n"/>
    </row>
    <row r="5172" ht="18" customHeight="1">
      <c r="A5172" s="62" t="n"/>
      <c r="B5172" s="63" t="n"/>
      <c r="C5172" s="64" t="n"/>
      <c r="D5172" s="64" t="n"/>
      <c r="E5172" s="63" t="n"/>
    </row>
    <row r="5173" ht="18" customHeight="1">
      <c r="A5173" s="62" t="n"/>
      <c r="B5173" s="63" t="n"/>
      <c r="C5173" s="64" t="n"/>
      <c r="D5173" s="64" t="n"/>
      <c r="E5173" s="63" t="n"/>
    </row>
    <row r="5174" ht="18" customHeight="1">
      <c r="A5174" s="62" t="n"/>
      <c r="B5174" s="63" t="n"/>
      <c r="C5174" s="64" t="n"/>
      <c r="D5174" s="64" t="n"/>
      <c r="E5174" s="63" t="n"/>
    </row>
    <row r="5175" ht="18" customHeight="1">
      <c r="A5175" s="62" t="n"/>
      <c r="B5175" s="63" t="n"/>
      <c r="C5175" s="64" t="n"/>
      <c r="D5175" s="64" t="n"/>
      <c r="E5175" s="63" t="n"/>
    </row>
    <row r="5176" ht="18" customHeight="1">
      <c r="A5176" s="62" t="n"/>
      <c r="B5176" s="63" t="n"/>
      <c r="C5176" s="64" t="n"/>
      <c r="D5176" s="64" t="n"/>
      <c r="E5176" s="63" t="n"/>
    </row>
    <row r="5177" ht="18" customHeight="1">
      <c r="A5177" s="62" t="n"/>
      <c r="B5177" s="63" t="n"/>
      <c r="C5177" s="64" t="n"/>
      <c r="D5177" s="64" t="n"/>
      <c r="E5177" s="63" t="n"/>
    </row>
    <row r="5178" ht="18" customHeight="1">
      <c r="A5178" s="62" t="n"/>
      <c r="B5178" s="63" t="n"/>
      <c r="C5178" s="64" t="n"/>
      <c r="D5178" s="64" t="n"/>
      <c r="E5178" s="63" t="n"/>
    </row>
    <row r="5179" ht="18" customHeight="1">
      <c r="A5179" s="62" t="n"/>
      <c r="B5179" s="63" t="n"/>
      <c r="C5179" s="64" t="n"/>
      <c r="D5179" s="64" t="n"/>
      <c r="E5179" s="63" t="n"/>
    </row>
    <row r="5180" ht="18" customHeight="1">
      <c r="A5180" s="62" t="n"/>
      <c r="B5180" s="63" t="n"/>
      <c r="C5180" s="64" t="n"/>
      <c r="D5180" s="64" t="n"/>
      <c r="E5180" s="63" t="n"/>
    </row>
    <row r="5181" ht="18" customHeight="1">
      <c r="A5181" s="62" t="n"/>
      <c r="B5181" s="63" t="n"/>
      <c r="C5181" s="64" t="n"/>
      <c r="D5181" s="64" t="n"/>
      <c r="E5181" s="63" t="n"/>
    </row>
    <row r="5182" ht="18" customHeight="1">
      <c r="A5182" s="62" t="n"/>
      <c r="B5182" s="63" t="n"/>
      <c r="C5182" s="64" t="n"/>
      <c r="D5182" s="64" t="n"/>
      <c r="E5182" s="63" t="n"/>
    </row>
    <row r="5183" ht="18" customHeight="1">
      <c r="A5183" s="62" t="n"/>
      <c r="B5183" s="63" t="n"/>
      <c r="C5183" s="64" t="n"/>
      <c r="D5183" s="64" t="n"/>
      <c r="E5183" s="63" t="n"/>
    </row>
    <row r="5184" ht="18" customHeight="1">
      <c r="A5184" s="62" t="n"/>
      <c r="B5184" s="63" t="n"/>
      <c r="C5184" s="64" t="n"/>
      <c r="D5184" s="64" t="n"/>
      <c r="E5184" s="63" t="n"/>
    </row>
    <row r="5185" ht="18" customHeight="1">
      <c r="A5185" s="62" t="n"/>
      <c r="B5185" s="63" t="n"/>
      <c r="C5185" s="64" t="n"/>
      <c r="D5185" s="64" t="n"/>
      <c r="E5185" s="63" t="n"/>
    </row>
    <row r="5186" ht="18" customHeight="1">
      <c r="A5186" s="62" t="n"/>
      <c r="B5186" s="63" t="n"/>
      <c r="C5186" s="64" t="n"/>
      <c r="D5186" s="64" t="n"/>
      <c r="E5186" s="63" t="n"/>
    </row>
    <row r="5187" ht="18" customHeight="1">
      <c r="A5187" s="62" t="n"/>
      <c r="B5187" s="63" t="n"/>
      <c r="C5187" s="64" t="n"/>
      <c r="D5187" s="64" t="n"/>
      <c r="E5187" s="63" t="n"/>
    </row>
    <row r="5188" ht="18" customHeight="1">
      <c r="A5188" s="62" t="n"/>
      <c r="B5188" s="63" t="n"/>
      <c r="C5188" s="64" t="n"/>
      <c r="D5188" s="64" t="n"/>
      <c r="E5188" s="63" t="n"/>
    </row>
    <row r="5189" ht="18" customHeight="1">
      <c r="A5189" s="62" t="n"/>
      <c r="B5189" s="63" t="n"/>
      <c r="C5189" s="64" t="n"/>
      <c r="D5189" s="64" t="n"/>
      <c r="E5189" s="63" t="n"/>
    </row>
    <row r="5190" ht="18" customHeight="1">
      <c r="A5190" s="62" t="n"/>
      <c r="B5190" s="63" t="n"/>
      <c r="C5190" s="64" t="n"/>
      <c r="D5190" s="64" t="n"/>
      <c r="E5190" s="63" t="n"/>
    </row>
    <row r="5191" ht="18" customHeight="1">
      <c r="A5191" s="62" t="n"/>
      <c r="B5191" s="63" t="n"/>
      <c r="C5191" s="64" t="n"/>
      <c r="D5191" s="64" t="n"/>
      <c r="E5191" s="63" t="n"/>
    </row>
    <row r="5192" ht="18" customHeight="1">
      <c r="A5192" s="62" t="n"/>
      <c r="B5192" s="63" t="n"/>
      <c r="C5192" s="64" t="n"/>
      <c r="D5192" s="64" t="n"/>
      <c r="E5192" s="63" t="n"/>
    </row>
    <row r="5193" ht="18" customHeight="1">
      <c r="A5193" s="62" t="n"/>
      <c r="B5193" s="63" t="n"/>
      <c r="C5193" s="64" t="n"/>
      <c r="D5193" s="64" t="n"/>
      <c r="E5193" s="63" t="n"/>
    </row>
    <row r="5194" ht="18" customHeight="1">
      <c r="A5194" s="62" t="n"/>
      <c r="B5194" s="63" t="n"/>
      <c r="C5194" s="64" t="n"/>
      <c r="D5194" s="64" t="n"/>
      <c r="E5194" s="63" t="n"/>
    </row>
    <row r="5195" ht="18" customHeight="1">
      <c r="A5195" s="62" t="n"/>
      <c r="B5195" s="63" t="n"/>
      <c r="C5195" s="64" t="n"/>
      <c r="D5195" s="64" t="n"/>
      <c r="E5195" s="63" t="n"/>
    </row>
    <row r="5196" ht="18" customHeight="1">
      <c r="A5196" s="62" t="n"/>
      <c r="B5196" s="63" t="n"/>
      <c r="C5196" s="64" t="n"/>
      <c r="D5196" s="64" t="n"/>
      <c r="E5196" s="63" t="n"/>
    </row>
    <row r="5197" ht="18" customHeight="1">
      <c r="A5197" s="62" t="n"/>
      <c r="B5197" s="63" t="n"/>
      <c r="C5197" s="64" t="n"/>
      <c r="D5197" s="64" t="n"/>
      <c r="E5197" s="63" t="n"/>
    </row>
    <row r="5198" ht="18" customHeight="1">
      <c r="A5198" s="62" t="n"/>
      <c r="B5198" s="63" t="n"/>
      <c r="C5198" s="64" t="n"/>
      <c r="D5198" s="64" t="n"/>
      <c r="E5198" s="63" t="n"/>
    </row>
    <row r="5199" ht="18" customHeight="1">
      <c r="A5199" s="62" t="n"/>
      <c r="B5199" s="63" t="n"/>
      <c r="C5199" s="64" t="n"/>
      <c r="D5199" s="64" t="n"/>
      <c r="E5199" s="63" t="n"/>
    </row>
    <row r="5200" ht="18" customHeight="1">
      <c r="A5200" s="62" t="n"/>
      <c r="B5200" s="63" t="n"/>
      <c r="C5200" s="64" t="n"/>
      <c r="D5200" s="64" t="n"/>
      <c r="E5200" s="63" t="n"/>
    </row>
    <row r="5201" ht="18" customHeight="1">
      <c r="A5201" s="62" t="n"/>
      <c r="B5201" s="63" t="n"/>
      <c r="C5201" s="64" t="n"/>
      <c r="D5201" s="64" t="n"/>
      <c r="E5201" s="63" t="n"/>
    </row>
    <row r="5202" ht="18" customHeight="1">
      <c r="A5202" s="62" t="n"/>
      <c r="B5202" s="63" t="n"/>
      <c r="C5202" s="64" t="n"/>
      <c r="D5202" s="64" t="n"/>
      <c r="E5202" s="63" t="n"/>
    </row>
    <row r="5203" ht="18" customHeight="1">
      <c r="A5203" s="62" t="n"/>
      <c r="B5203" s="63" t="n"/>
      <c r="C5203" s="64" t="n"/>
      <c r="D5203" s="64" t="n"/>
      <c r="E5203" s="63" t="n"/>
    </row>
    <row r="5204" ht="18" customHeight="1">
      <c r="A5204" s="62" t="n"/>
      <c r="B5204" s="63" t="n"/>
      <c r="C5204" s="64" t="n"/>
      <c r="D5204" s="64" t="n"/>
      <c r="E5204" s="63" t="n"/>
    </row>
    <row r="5205" ht="18" customHeight="1">
      <c r="A5205" s="62" t="n"/>
      <c r="B5205" s="63" t="n"/>
      <c r="C5205" s="64" t="n"/>
      <c r="D5205" s="64" t="n"/>
      <c r="E5205" s="63" t="n"/>
    </row>
    <row r="5206" ht="18" customHeight="1">
      <c r="A5206" s="62" t="n"/>
      <c r="B5206" s="63" t="n"/>
      <c r="C5206" s="64" t="n"/>
      <c r="D5206" s="64" t="n"/>
      <c r="E5206" s="63" t="n"/>
    </row>
    <row r="5207" ht="18" customHeight="1">
      <c r="A5207" s="62" t="n"/>
      <c r="B5207" s="63" t="n"/>
      <c r="C5207" s="64" t="n"/>
      <c r="D5207" s="64" t="n"/>
      <c r="E5207" s="63" t="n"/>
    </row>
    <row r="5208" ht="18" customHeight="1">
      <c r="A5208" s="62" t="n"/>
      <c r="B5208" s="63" t="n"/>
      <c r="C5208" s="64" t="n"/>
      <c r="D5208" s="64" t="n"/>
      <c r="E5208" s="63" t="n"/>
    </row>
    <row r="5209" ht="18" customHeight="1">
      <c r="A5209" s="62" t="n"/>
      <c r="B5209" s="63" t="n"/>
      <c r="C5209" s="64" t="n"/>
      <c r="D5209" s="64" t="n"/>
      <c r="E5209" s="63" t="n"/>
    </row>
    <row r="5210" ht="18" customHeight="1">
      <c r="A5210" s="62" t="n"/>
      <c r="B5210" s="63" t="n"/>
      <c r="C5210" s="64" t="n"/>
      <c r="D5210" s="64" t="n"/>
      <c r="E5210" s="63" t="n"/>
    </row>
    <row r="5211" ht="18" customHeight="1">
      <c r="A5211" s="62" t="n"/>
      <c r="B5211" s="63" t="n"/>
      <c r="C5211" s="64" t="n"/>
      <c r="D5211" s="64" t="n"/>
      <c r="E5211" s="63" t="n"/>
    </row>
    <row r="5212" ht="18" customHeight="1">
      <c r="A5212" s="62" t="n"/>
      <c r="B5212" s="63" t="n"/>
      <c r="C5212" s="64" t="n"/>
      <c r="D5212" s="64" t="n"/>
      <c r="E5212" s="63" t="n"/>
    </row>
    <row r="5213" ht="18" customHeight="1">
      <c r="A5213" s="62" t="n"/>
      <c r="B5213" s="63" t="n"/>
      <c r="C5213" s="64" t="n"/>
      <c r="D5213" s="64" t="n"/>
      <c r="E5213" s="63" t="n"/>
    </row>
    <row r="5214" ht="18" customHeight="1">
      <c r="A5214" s="62" t="n"/>
      <c r="B5214" s="63" t="n"/>
      <c r="C5214" s="64" t="n"/>
      <c r="D5214" s="64" t="n"/>
      <c r="E5214" s="63" t="n"/>
    </row>
    <row r="5215" ht="18" customHeight="1">
      <c r="A5215" s="62" t="n"/>
      <c r="B5215" s="63" t="n"/>
      <c r="C5215" s="64" t="n"/>
      <c r="D5215" s="64" t="n"/>
      <c r="E5215" s="63" t="n"/>
    </row>
    <row r="5216" ht="18" customHeight="1">
      <c r="A5216" s="62" t="n"/>
      <c r="B5216" s="63" t="n"/>
      <c r="C5216" s="64" t="n"/>
      <c r="D5216" s="64" t="n"/>
      <c r="E5216" s="63" t="n"/>
    </row>
    <row r="5217" ht="18" customHeight="1">
      <c r="A5217" s="62" t="n"/>
      <c r="B5217" s="63" t="n"/>
      <c r="C5217" s="64" t="n"/>
      <c r="D5217" s="64" t="n"/>
      <c r="E5217" s="63" t="n"/>
    </row>
    <row r="5218" ht="18" customHeight="1">
      <c r="A5218" s="62" t="n"/>
      <c r="B5218" s="63" t="n"/>
      <c r="C5218" s="64" t="n"/>
      <c r="D5218" s="64" t="n"/>
      <c r="E5218" s="63" t="n"/>
    </row>
    <row r="5219" ht="18" customHeight="1">
      <c r="A5219" s="62" t="n"/>
      <c r="B5219" s="63" t="n"/>
      <c r="C5219" s="64" t="n"/>
      <c r="D5219" s="64" t="n"/>
      <c r="E5219" s="63" t="n"/>
    </row>
    <row r="5220" ht="18" customHeight="1">
      <c r="A5220" s="62" t="n"/>
      <c r="B5220" s="63" t="n"/>
      <c r="C5220" s="64" t="n"/>
      <c r="D5220" s="64" t="n"/>
      <c r="E5220" s="63" t="n"/>
    </row>
    <row r="5221" ht="18" customHeight="1">
      <c r="A5221" s="62" t="n"/>
      <c r="B5221" s="63" t="n"/>
      <c r="C5221" s="64" t="n"/>
      <c r="D5221" s="64" t="n"/>
      <c r="E5221" s="63" t="n"/>
    </row>
    <row r="5222" ht="18" customHeight="1">
      <c r="A5222" s="62" t="n"/>
      <c r="B5222" s="63" t="n"/>
      <c r="C5222" s="64" t="n"/>
      <c r="D5222" s="64" t="n"/>
      <c r="E5222" s="63" t="n"/>
    </row>
    <row r="5223" ht="18" customHeight="1">
      <c r="A5223" s="62" t="n"/>
      <c r="B5223" s="63" t="n"/>
      <c r="C5223" s="64" t="n"/>
      <c r="D5223" s="64" t="n"/>
      <c r="E5223" s="63" t="n"/>
    </row>
    <row r="5224" ht="18" customHeight="1">
      <c r="A5224" s="62" t="n"/>
      <c r="B5224" s="63" t="n"/>
      <c r="C5224" s="64" t="n"/>
      <c r="D5224" s="64" t="n"/>
      <c r="E5224" s="63" t="n"/>
    </row>
    <row r="5225" ht="18" customHeight="1">
      <c r="A5225" s="62" t="n"/>
      <c r="B5225" s="63" t="n"/>
      <c r="C5225" s="64" t="n"/>
      <c r="D5225" s="64" t="n"/>
      <c r="E5225" s="63" t="n"/>
    </row>
    <row r="5226" ht="18" customHeight="1">
      <c r="A5226" s="62" t="n"/>
      <c r="B5226" s="63" t="n"/>
      <c r="C5226" s="64" t="n"/>
      <c r="D5226" s="64" t="n"/>
      <c r="E5226" s="63" t="n"/>
    </row>
    <row r="5227" ht="18" customHeight="1">
      <c r="A5227" s="62" t="n"/>
      <c r="B5227" s="63" t="n"/>
      <c r="C5227" s="64" t="n"/>
      <c r="D5227" s="64" t="n"/>
      <c r="E5227" s="63" t="n"/>
    </row>
    <row r="5228" ht="18" customHeight="1">
      <c r="A5228" s="62" t="n"/>
      <c r="B5228" s="63" t="n"/>
      <c r="C5228" s="64" t="n"/>
      <c r="D5228" s="64" t="n"/>
      <c r="E5228" s="63" t="n"/>
    </row>
    <row r="5229" ht="18" customHeight="1">
      <c r="A5229" s="62" t="n"/>
      <c r="B5229" s="63" t="n"/>
      <c r="C5229" s="64" t="n"/>
      <c r="D5229" s="64" t="n"/>
      <c r="E5229" s="63" t="n"/>
    </row>
    <row r="5230" ht="18" customHeight="1">
      <c r="A5230" s="62" t="n"/>
      <c r="B5230" s="63" t="n"/>
      <c r="C5230" s="64" t="n"/>
      <c r="D5230" s="64" t="n"/>
      <c r="E5230" s="63" t="n"/>
    </row>
    <row r="5231" ht="18" customHeight="1">
      <c r="A5231" s="62" t="n"/>
      <c r="B5231" s="63" t="n"/>
      <c r="C5231" s="64" t="n"/>
      <c r="D5231" s="64" t="n"/>
      <c r="E5231" s="63" t="n"/>
    </row>
    <row r="5232" ht="18" customHeight="1">
      <c r="A5232" s="62" t="n"/>
      <c r="B5232" s="63" t="n"/>
      <c r="C5232" s="64" t="n"/>
      <c r="D5232" s="64" t="n"/>
      <c r="E5232" s="63" t="n"/>
    </row>
    <row r="5233" ht="18" customHeight="1">
      <c r="A5233" s="62" t="n"/>
      <c r="B5233" s="63" t="n"/>
      <c r="C5233" s="64" t="n"/>
      <c r="D5233" s="64" t="n"/>
      <c r="E5233" s="63" t="n"/>
    </row>
    <row r="5234" ht="18" customHeight="1">
      <c r="A5234" s="62" t="n"/>
      <c r="B5234" s="63" t="n"/>
      <c r="C5234" s="64" t="n"/>
      <c r="D5234" s="64" t="n"/>
      <c r="E5234" s="63" t="n"/>
    </row>
    <row r="5235" ht="18" customHeight="1">
      <c r="A5235" s="62" t="n"/>
      <c r="B5235" s="63" t="n"/>
      <c r="C5235" s="64" t="n"/>
      <c r="D5235" s="64" t="n"/>
      <c r="E5235" s="63" t="n"/>
    </row>
    <row r="5236" ht="18" customHeight="1">
      <c r="A5236" s="62" t="n"/>
      <c r="B5236" s="63" t="n"/>
      <c r="C5236" s="64" t="n"/>
      <c r="D5236" s="64" t="n"/>
      <c r="E5236" s="63" t="n"/>
    </row>
    <row r="5237" ht="18" customHeight="1">
      <c r="A5237" s="62" t="n"/>
      <c r="B5237" s="63" t="n"/>
      <c r="C5237" s="64" t="n"/>
      <c r="D5237" s="64" t="n"/>
      <c r="E5237" s="63" t="n"/>
    </row>
    <row r="5238" ht="18" customHeight="1">
      <c r="A5238" s="62" t="n"/>
      <c r="B5238" s="63" t="n"/>
      <c r="C5238" s="64" t="n"/>
      <c r="D5238" s="64" t="n"/>
      <c r="E5238" s="63" t="n"/>
    </row>
    <row r="5239" ht="18" customHeight="1">
      <c r="A5239" s="62" t="n"/>
      <c r="B5239" s="63" t="n"/>
      <c r="C5239" s="64" t="n"/>
      <c r="D5239" s="64" t="n"/>
      <c r="E5239" s="63" t="n"/>
    </row>
    <row r="5240" ht="18" customHeight="1">
      <c r="A5240" s="62" t="n"/>
      <c r="B5240" s="63" t="n"/>
      <c r="C5240" s="64" t="n"/>
      <c r="D5240" s="64" t="n"/>
      <c r="E5240" s="63" t="n"/>
    </row>
    <row r="5241" ht="18" customHeight="1">
      <c r="A5241" s="62" t="n"/>
      <c r="B5241" s="63" t="n"/>
      <c r="C5241" s="64" t="n"/>
      <c r="D5241" s="64" t="n"/>
      <c r="E5241" s="63" t="n"/>
    </row>
    <row r="5242" ht="18" customHeight="1">
      <c r="A5242" s="62" t="n"/>
      <c r="B5242" s="63" t="n"/>
      <c r="C5242" s="64" t="n"/>
      <c r="D5242" s="64" t="n"/>
      <c r="E5242" s="63" t="n"/>
    </row>
    <row r="5243" ht="18" customHeight="1">
      <c r="A5243" s="62" t="n"/>
      <c r="B5243" s="63" t="n"/>
      <c r="C5243" s="64" t="n"/>
      <c r="D5243" s="64" t="n"/>
      <c r="E5243" s="63" t="n"/>
    </row>
    <row r="5244" ht="18" customHeight="1">
      <c r="A5244" s="62" t="n"/>
      <c r="B5244" s="63" t="n"/>
      <c r="C5244" s="64" t="n"/>
      <c r="D5244" s="64" t="n"/>
      <c r="E5244" s="63" t="n"/>
    </row>
    <row r="5245" ht="18" customHeight="1">
      <c r="A5245" s="62" t="n"/>
      <c r="B5245" s="63" t="n"/>
      <c r="C5245" s="64" t="n"/>
      <c r="D5245" s="64" t="n"/>
      <c r="E5245" s="63" t="n"/>
    </row>
    <row r="5246" ht="18" customHeight="1">
      <c r="A5246" s="62" t="n"/>
      <c r="B5246" s="63" t="n"/>
      <c r="C5246" s="64" t="n"/>
      <c r="D5246" s="64" t="n"/>
      <c r="E5246" s="63" t="n"/>
    </row>
    <row r="5247" ht="18" customHeight="1">
      <c r="A5247" s="62" t="n"/>
      <c r="B5247" s="63" t="n"/>
      <c r="C5247" s="64" t="n"/>
      <c r="D5247" s="64" t="n"/>
      <c r="E5247" s="63" t="n"/>
    </row>
    <row r="5248" ht="18" customHeight="1">
      <c r="A5248" s="62" t="n"/>
      <c r="B5248" s="63" t="n"/>
      <c r="C5248" s="64" t="n"/>
      <c r="D5248" s="64" t="n"/>
      <c r="E5248" s="63" t="n"/>
    </row>
    <row r="5249" ht="18" customHeight="1">
      <c r="A5249" s="62" t="n"/>
      <c r="B5249" s="63" t="n"/>
      <c r="C5249" s="64" t="n"/>
      <c r="D5249" s="64" t="n"/>
      <c r="E5249" s="63" t="n"/>
    </row>
    <row r="5250" ht="18" customHeight="1">
      <c r="A5250" s="62" t="n"/>
      <c r="B5250" s="63" t="n"/>
      <c r="C5250" s="64" t="n"/>
      <c r="D5250" s="64" t="n"/>
      <c r="E5250" s="63" t="n"/>
    </row>
    <row r="5251" ht="18" customHeight="1">
      <c r="A5251" s="62" t="n"/>
      <c r="B5251" s="63" t="n"/>
      <c r="C5251" s="64" t="n"/>
      <c r="D5251" s="64" t="n"/>
      <c r="E5251" s="63" t="n"/>
    </row>
    <row r="5252" ht="18" customHeight="1">
      <c r="A5252" s="62" t="n"/>
      <c r="B5252" s="63" t="n"/>
      <c r="C5252" s="64" t="n"/>
      <c r="D5252" s="64" t="n"/>
      <c r="E5252" s="63" t="n"/>
    </row>
    <row r="5253" ht="18" customHeight="1">
      <c r="A5253" s="62" t="n"/>
      <c r="B5253" s="63" t="n"/>
      <c r="C5253" s="64" t="n"/>
      <c r="D5253" s="64" t="n"/>
      <c r="E5253" s="63" t="n"/>
    </row>
    <row r="5254" ht="18" customHeight="1">
      <c r="A5254" s="62" t="n"/>
      <c r="B5254" s="63" t="n"/>
      <c r="C5254" s="64" t="n"/>
      <c r="D5254" s="64" t="n"/>
      <c r="E5254" s="63" t="n"/>
    </row>
    <row r="5255" ht="18" customHeight="1">
      <c r="A5255" s="62" t="n"/>
      <c r="B5255" s="63" t="n"/>
      <c r="C5255" s="64" t="n"/>
      <c r="D5255" s="64" t="n"/>
      <c r="E5255" s="63" t="n"/>
    </row>
    <row r="5256" ht="18" customHeight="1">
      <c r="A5256" s="62" t="n"/>
      <c r="B5256" s="63" t="n"/>
      <c r="C5256" s="64" t="n"/>
      <c r="D5256" s="64" t="n"/>
      <c r="E5256" s="63" t="n"/>
    </row>
    <row r="5257" ht="18" customHeight="1">
      <c r="A5257" s="62" t="n"/>
      <c r="B5257" s="63" t="n"/>
      <c r="C5257" s="64" t="n"/>
      <c r="D5257" s="64" t="n"/>
      <c r="E5257" s="63" t="n"/>
    </row>
    <row r="5258" ht="18" customHeight="1">
      <c r="A5258" s="62" t="n"/>
      <c r="B5258" s="63" t="n"/>
      <c r="C5258" s="64" t="n"/>
      <c r="D5258" s="64" t="n"/>
      <c r="E5258" s="63" t="n"/>
    </row>
    <row r="5259" ht="18" customHeight="1">
      <c r="A5259" s="62" t="n"/>
      <c r="B5259" s="63" t="n"/>
      <c r="C5259" s="64" t="n"/>
      <c r="D5259" s="64" t="n"/>
      <c r="E5259" s="63" t="n"/>
    </row>
    <row r="5260" ht="18" customHeight="1">
      <c r="A5260" s="62" t="n"/>
      <c r="B5260" s="63" t="n"/>
      <c r="C5260" s="64" t="n"/>
      <c r="D5260" s="64" t="n"/>
      <c r="E5260" s="63" t="n"/>
    </row>
    <row r="5261" ht="18" customHeight="1">
      <c r="A5261" s="62" t="n"/>
      <c r="B5261" s="63" t="n"/>
      <c r="C5261" s="64" t="n"/>
      <c r="D5261" s="64" t="n"/>
      <c r="E5261" s="63" t="n"/>
    </row>
    <row r="5262" ht="18" customHeight="1">
      <c r="A5262" s="62" t="n"/>
      <c r="B5262" s="63" t="n"/>
      <c r="C5262" s="64" t="n"/>
      <c r="D5262" s="64" t="n"/>
      <c r="E5262" s="63" t="n"/>
    </row>
    <row r="5263" ht="18" customHeight="1">
      <c r="A5263" s="62" t="n"/>
      <c r="B5263" s="63" t="n"/>
      <c r="C5263" s="64" t="n"/>
      <c r="D5263" s="64" t="n"/>
      <c r="E5263" s="63" t="n"/>
    </row>
    <row r="5264" ht="18" customHeight="1">
      <c r="A5264" s="62" t="n"/>
      <c r="B5264" s="63" t="n"/>
      <c r="C5264" s="64" t="n"/>
      <c r="D5264" s="64" t="n"/>
      <c r="E5264" s="63" t="n"/>
    </row>
    <row r="5265" ht="18" customHeight="1">
      <c r="A5265" s="62" t="n"/>
      <c r="B5265" s="63" t="n"/>
      <c r="C5265" s="64" t="n"/>
      <c r="D5265" s="64" t="n"/>
      <c r="E5265" s="63" t="n"/>
    </row>
    <row r="5266" ht="18" customHeight="1">
      <c r="A5266" s="62" t="n"/>
      <c r="B5266" s="63" t="n"/>
      <c r="C5266" s="64" t="n"/>
      <c r="D5266" s="64" t="n"/>
      <c r="E5266" s="63" t="n"/>
    </row>
    <row r="5267" ht="18" customHeight="1">
      <c r="A5267" s="62" t="n"/>
      <c r="B5267" s="63" t="n"/>
      <c r="C5267" s="64" t="n"/>
      <c r="D5267" s="64" t="n"/>
      <c r="E5267" s="63" t="n"/>
    </row>
    <row r="5268" ht="18" customHeight="1">
      <c r="A5268" s="62" t="n"/>
      <c r="B5268" s="63" t="n"/>
      <c r="C5268" s="64" t="n"/>
      <c r="D5268" s="64" t="n"/>
      <c r="E5268" s="63" t="n"/>
    </row>
    <row r="5269" ht="18" customHeight="1">
      <c r="A5269" s="62" t="n"/>
      <c r="B5269" s="63" t="n"/>
      <c r="C5269" s="64" t="n"/>
      <c r="D5269" s="64" t="n"/>
      <c r="E5269" s="63" t="n"/>
    </row>
    <row r="5270" ht="18" customHeight="1">
      <c r="A5270" s="62" t="n"/>
      <c r="B5270" s="63" t="n"/>
      <c r="C5270" s="64" t="n"/>
      <c r="D5270" s="64" t="n"/>
      <c r="E5270" s="63" t="n"/>
    </row>
    <row r="5271" ht="18" customHeight="1">
      <c r="A5271" s="62" t="n"/>
      <c r="B5271" s="63" t="n"/>
      <c r="C5271" s="64" t="n"/>
      <c r="D5271" s="64" t="n"/>
      <c r="E5271" s="63" t="n"/>
    </row>
    <row r="5272" ht="18" customHeight="1">
      <c r="A5272" s="62" t="n"/>
      <c r="B5272" s="63" t="n"/>
      <c r="C5272" s="64" t="n"/>
      <c r="D5272" s="64" t="n"/>
      <c r="E5272" s="63" t="n"/>
    </row>
    <row r="5273" ht="18" customHeight="1">
      <c r="A5273" s="62" t="n"/>
      <c r="B5273" s="63" t="n"/>
      <c r="C5273" s="64" t="n"/>
      <c r="D5273" s="64" t="n"/>
      <c r="E5273" s="63" t="n"/>
    </row>
    <row r="5274" ht="18" customHeight="1">
      <c r="A5274" s="62" t="n"/>
      <c r="B5274" s="63" t="n"/>
      <c r="C5274" s="64" t="n"/>
      <c r="D5274" s="64" t="n"/>
      <c r="E5274" s="63" t="n"/>
    </row>
    <row r="5275" ht="18" customHeight="1">
      <c r="A5275" s="62" t="n"/>
      <c r="B5275" s="63" t="n"/>
      <c r="C5275" s="64" t="n"/>
      <c r="D5275" s="64" t="n"/>
      <c r="E5275" s="63" t="n"/>
    </row>
    <row r="5276" ht="18" customHeight="1">
      <c r="A5276" s="62" t="n"/>
      <c r="B5276" s="63" t="n"/>
      <c r="C5276" s="64" t="n"/>
      <c r="D5276" s="64" t="n"/>
      <c r="E5276" s="63" t="n"/>
    </row>
    <row r="5277" ht="18" customHeight="1">
      <c r="A5277" s="62" t="n"/>
      <c r="B5277" s="63" t="n"/>
      <c r="C5277" s="64" t="n"/>
      <c r="D5277" s="64" t="n"/>
      <c r="E5277" s="63" t="n"/>
    </row>
    <row r="5278" ht="18" customHeight="1">
      <c r="A5278" s="62" t="n"/>
      <c r="B5278" s="63" t="n"/>
      <c r="C5278" s="64" t="n"/>
      <c r="D5278" s="64" t="n"/>
      <c r="E5278" s="63" t="n"/>
    </row>
    <row r="5279" ht="18" customHeight="1">
      <c r="A5279" s="62" t="n"/>
      <c r="B5279" s="63" t="n"/>
      <c r="C5279" s="64" t="n"/>
      <c r="D5279" s="64" t="n"/>
      <c r="E5279" s="63" t="n"/>
    </row>
    <row r="5280" ht="18" customHeight="1">
      <c r="A5280" s="62" t="n"/>
      <c r="B5280" s="63" t="n"/>
      <c r="C5280" s="64" t="n"/>
      <c r="D5280" s="64" t="n"/>
      <c r="E5280" s="63" t="n"/>
    </row>
    <row r="5281" ht="18" customHeight="1">
      <c r="A5281" s="62" t="n"/>
      <c r="B5281" s="63" t="n"/>
      <c r="C5281" s="64" t="n"/>
      <c r="D5281" s="64" t="n"/>
      <c r="E5281" s="63" t="n"/>
    </row>
    <row r="5282" ht="18" customHeight="1">
      <c r="A5282" s="62" t="n"/>
      <c r="B5282" s="63" t="n"/>
      <c r="C5282" s="64" t="n"/>
      <c r="D5282" s="64" t="n"/>
      <c r="E5282" s="63" t="n"/>
    </row>
    <row r="5283" ht="18" customHeight="1">
      <c r="A5283" s="62" t="n"/>
      <c r="B5283" s="63" t="n"/>
      <c r="C5283" s="64" t="n"/>
      <c r="D5283" s="64" t="n"/>
      <c r="E5283" s="63" t="n"/>
    </row>
    <row r="5284" ht="18" customHeight="1">
      <c r="A5284" s="62" t="n"/>
      <c r="B5284" s="63" t="n"/>
      <c r="C5284" s="64" t="n"/>
      <c r="D5284" s="64" t="n"/>
      <c r="E5284" s="63" t="n"/>
    </row>
    <row r="5285" ht="18" customHeight="1">
      <c r="A5285" s="62" t="n"/>
      <c r="B5285" s="63" t="n"/>
      <c r="C5285" s="64" t="n"/>
      <c r="D5285" s="64" t="n"/>
      <c r="E5285" s="63" t="n"/>
    </row>
    <row r="5286" ht="18" customHeight="1">
      <c r="A5286" s="62" t="n"/>
      <c r="B5286" s="63" t="n"/>
      <c r="C5286" s="64" t="n"/>
      <c r="D5286" s="64" t="n"/>
      <c r="E5286" s="63" t="n"/>
    </row>
    <row r="5287" ht="18" customHeight="1">
      <c r="A5287" s="62" t="n"/>
      <c r="B5287" s="63" t="n"/>
      <c r="C5287" s="64" t="n"/>
      <c r="D5287" s="64" t="n"/>
      <c r="E5287" s="63" t="n"/>
    </row>
    <row r="5288" ht="18" customHeight="1">
      <c r="A5288" s="62" t="n"/>
      <c r="B5288" s="63" t="n"/>
      <c r="C5288" s="64" t="n"/>
      <c r="D5288" s="64" t="n"/>
      <c r="E5288" s="63" t="n"/>
    </row>
    <row r="5289" ht="18" customHeight="1">
      <c r="A5289" s="62" t="n"/>
      <c r="B5289" s="63" t="n"/>
      <c r="C5289" s="64" t="n"/>
      <c r="D5289" s="64" t="n"/>
      <c r="E5289" s="63" t="n"/>
    </row>
    <row r="5290" ht="18" customHeight="1">
      <c r="A5290" s="62" t="n"/>
      <c r="B5290" s="63" t="n"/>
      <c r="C5290" s="64" t="n"/>
      <c r="D5290" s="64" t="n"/>
      <c r="E5290" s="63" t="n"/>
    </row>
    <row r="5291" ht="18" customHeight="1">
      <c r="A5291" s="62" t="n"/>
      <c r="B5291" s="63" t="n"/>
      <c r="C5291" s="64" t="n"/>
      <c r="D5291" s="64" t="n"/>
      <c r="E5291" s="63" t="n"/>
    </row>
    <row r="5292" ht="18" customHeight="1">
      <c r="A5292" s="62" t="n"/>
      <c r="B5292" s="63" t="n"/>
      <c r="C5292" s="64" t="n"/>
      <c r="D5292" s="64" t="n"/>
      <c r="E5292" s="63" t="n"/>
    </row>
    <row r="5293" ht="18" customHeight="1">
      <c r="A5293" s="62" t="n"/>
      <c r="B5293" s="63" t="n"/>
      <c r="C5293" s="64" t="n"/>
      <c r="D5293" s="64" t="n"/>
      <c r="E5293" s="63" t="n"/>
    </row>
    <row r="5294" ht="18" customHeight="1">
      <c r="A5294" s="62" t="n"/>
      <c r="B5294" s="63" t="n"/>
      <c r="C5294" s="64" t="n"/>
      <c r="D5294" s="64" t="n"/>
      <c r="E5294" s="63" t="n"/>
    </row>
    <row r="5295" ht="18" customHeight="1">
      <c r="A5295" s="62" t="n"/>
      <c r="B5295" s="63" t="n"/>
      <c r="C5295" s="64" t="n"/>
      <c r="D5295" s="64" t="n"/>
      <c r="E5295" s="63" t="n"/>
    </row>
    <row r="5296" ht="18" customHeight="1">
      <c r="A5296" s="62" t="n"/>
      <c r="B5296" s="63" t="n"/>
      <c r="C5296" s="64" t="n"/>
      <c r="D5296" s="64" t="n"/>
      <c r="E5296" s="63" t="n"/>
    </row>
    <row r="5297" ht="18" customHeight="1">
      <c r="A5297" s="62" t="n"/>
      <c r="B5297" s="63" t="n"/>
      <c r="C5297" s="64" t="n"/>
      <c r="D5297" s="64" t="n"/>
      <c r="E5297" s="63" t="n"/>
    </row>
    <row r="5298" ht="18" customHeight="1">
      <c r="A5298" s="62" t="n"/>
      <c r="B5298" s="63" t="n"/>
      <c r="C5298" s="64" t="n"/>
      <c r="D5298" s="64" t="n"/>
      <c r="E5298" s="63" t="n"/>
    </row>
    <row r="5299" ht="18" customHeight="1">
      <c r="A5299" s="62" t="n"/>
      <c r="B5299" s="63" t="n"/>
      <c r="C5299" s="64" t="n"/>
      <c r="D5299" s="64" t="n"/>
      <c r="E5299" s="63" t="n"/>
    </row>
    <row r="5300" ht="18" customHeight="1">
      <c r="A5300" s="62" t="n"/>
      <c r="B5300" s="63" t="n"/>
      <c r="C5300" s="64" t="n"/>
      <c r="D5300" s="64" t="n"/>
      <c r="E5300" s="63" t="n"/>
    </row>
    <row r="5301" ht="18" customHeight="1">
      <c r="A5301" s="62" t="n"/>
      <c r="B5301" s="63" t="n"/>
      <c r="C5301" s="64" t="n"/>
      <c r="D5301" s="64" t="n"/>
      <c r="E5301" s="63" t="n"/>
    </row>
    <row r="5302" ht="18" customHeight="1">
      <c r="A5302" s="62" t="n"/>
      <c r="B5302" s="63" t="n"/>
      <c r="C5302" s="64" t="n"/>
      <c r="D5302" s="64" t="n"/>
      <c r="E5302" s="63" t="n"/>
    </row>
    <row r="5303" ht="18" customHeight="1">
      <c r="A5303" s="62" t="n"/>
      <c r="B5303" s="63" t="n"/>
      <c r="C5303" s="64" t="n"/>
      <c r="D5303" s="64" t="n"/>
      <c r="E5303" s="63" t="n"/>
    </row>
    <row r="5304" ht="18" customHeight="1">
      <c r="A5304" s="62" t="n"/>
      <c r="B5304" s="63" t="n"/>
      <c r="C5304" s="64" t="n"/>
      <c r="D5304" s="64" t="n"/>
      <c r="E5304" s="63" t="n"/>
    </row>
    <row r="5305" ht="18" customHeight="1">
      <c r="A5305" s="62" t="n"/>
      <c r="B5305" s="63" t="n"/>
      <c r="C5305" s="64" t="n"/>
      <c r="D5305" s="64" t="n"/>
      <c r="E5305" s="63" t="n"/>
    </row>
    <row r="5306" ht="18" customHeight="1">
      <c r="A5306" s="62" t="n"/>
      <c r="B5306" s="63" t="n"/>
      <c r="C5306" s="64" t="n"/>
      <c r="D5306" s="64" t="n"/>
      <c r="E5306" s="63" t="n"/>
    </row>
    <row r="5307" ht="18" customHeight="1">
      <c r="A5307" s="62" t="n"/>
      <c r="B5307" s="63" t="n"/>
      <c r="C5307" s="64" t="n"/>
      <c r="D5307" s="64" t="n"/>
      <c r="E5307" s="63" t="n"/>
    </row>
    <row r="5308" ht="18" customHeight="1">
      <c r="A5308" s="62" t="n"/>
      <c r="B5308" s="63" t="n"/>
      <c r="C5308" s="64" t="n"/>
      <c r="D5308" s="64" t="n"/>
      <c r="E5308" s="63" t="n"/>
    </row>
    <row r="5309" ht="18" customHeight="1">
      <c r="A5309" s="62" t="n"/>
      <c r="B5309" s="63" t="n"/>
      <c r="C5309" s="64" t="n"/>
      <c r="D5309" s="64" t="n"/>
      <c r="E5309" s="63" t="n"/>
    </row>
    <row r="5310" ht="18" customHeight="1">
      <c r="A5310" s="62" t="n"/>
      <c r="B5310" s="63" t="n"/>
      <c r="C5310" s="64" t="n"/>
      <c r="D5310" s="64" t="n"/>
      <c r="E5310" s="63" t="n"/>
    </row>
    <row r="5311" ht="18" customHeight="1">
      <c r="A5311" s="62" t="n"/>
      <c r="B5311" s="63" t="n"/>
      <c r="C5311" s="64" t="n"/>
      <c r="D5311" s="64" t="n"/>
      <c r="E5311" s="63" t="n"/>
    </row>
    <row r="5312" ht="18" customHeight="1">
      <c r="A5312" s="62" t="n"/>
      <c r="B5312" s="63" t="n"/>
      <c r="C5312" s="64" t="n"/>
      <c r="D5312" s="64" t="n"/>
      <c r="E5312" s="63" t="n"/>
    </row>
    <row r="5313" ht="18" customHeight="1">
      <c r="A5313" s="62" t="n"/>
      <c r="B5313" s="63" t="n"/>
      <c r="C5313" s="64" t="n"/>
      <c r="D5313" s="64" t="n"/>
      <c r="E5313" s="63" t="n"/>
    </row>
    <row r="5314" ht="18" customHeight="1">
      <c r="A5314" s="62" t="n"/>
      <c r="B5314" s="63" t="n"/>
      <c r="C5314" s="64" t="n"/>
      <c r="D5314" s="64" t="n"/>
      <c r="E5314" s="63" t="n"/>
    </row>
    <row r="5315" ht="18" customHeight="1">
      <c r="A5315" s="62" t="n"/>
      <c r="B5315" s="63" t="n"/>
      <c r="C5315" s="64" t="n"/>
      <c r="D5315" s="64" t="n"/>
      <c r="E5315" s="63" t="n"/>
    </row>
    <row r="5316" ht="18" customHeight="1">
      <c r="A5316" s="62" t="n"/>
      <c r="B5316" s="63" t="n"/>
      <c r="C5316" s="64" t="n"/>
      <c r="D5316" s="64" t="n"/>
      <c r="E5316" s="63" t="n"/>
    </row>
    <row r="5317" ht="18" customHeight="1">
      <c r="A5317" s="62" t="n"/>
      <c r="B5317" s="63" t="n"/>
      <c r="C5317" s="64" t="n"/>
      <c r="D5317" s="64" t="n"/>
      <c r="E5317" s="63" t="n"/>
    </row>
    <row r="5318" ht="18" customHeight="1">
      <c r="A5318" s="62" t="n"/>
      <c r="B5318" s="63" t="n"/>
      <c r="C5318" s="64" t="n"/>
      <c r="D5318" s="64" t="n"/>
      <c r="E5318" s="63" t="n"/>
    </row>
    <row r="5319" ht="18" customHeight="1">
      <c r="A5319" s="62" t="n"/>
      <c r="B5319" s="63" t="n"/>
      <c r="C5319" s="64" t="n"/>
      <c r="D5319" s="64" t="n"/>
      <c r="E5319" s="63" t="n"/>
    </row>
    <row r="5320" ht="18" customHeight="1">
      <c r="A5320" s="62" t="n"/>
      <c r="B5320" s="63" t="n"/>
      <c r="C5320" s="64" t="n"/>
      <c r="D5320" s="64" t="n"/>
      <c r="E5320" s="63" t="n"/>
    </row>
    <row r="5321" ht="18" customHeight="1">
      <c r="A5321" s="62" t="n"/>
      <c r="B5321" s="63" t="n"/>
      <c r="C5321" s="64" t="n"/>
      <c r="D5321" s="64" t="n"/>
      <c r="E5321" s="63" t="n"/>
    </row>
    <row r="5322" ht="18" customHeight="1">
      <c r="A5322" s="62" t="n"/>
      <c r="B5322" s="63" t="n"/>
      <c r="C5322" s="64" t="n"/>
      <c r="D5322" s="64" t="n"/>
      <c r="E5322" s="63" t="n"/>
    </row>
    <row r="5323" ht="18" customHeight="1">
      <c r="A5323" s="62" t="n"/>
      <c r="B5323" s="63" t="n"/>
      <c r="C5323" s="64" t="n"/>
      <c r="D5323" s="64" t="n"/>
      <c r="E5323" s="63" t="n"/>
    </row>
    <row r="5324" ht="18" customHeight="1">
      <c r="A5324" s="62" t="n"/>
      <c r="B5324" s="63" t="n"/>
      <c r="C5324" s="64" t="n"/>
      <c r="D5324" s="64" t="n"/>
      <c r="E5324" s="63" t="n"/>
    </row>
    <row r="5325" ht="18" customHeight="1">
      <c r="A5325" s="62" t="n"/>
      <c r="B5325" s="63" t="n"/>
      <c r="C5325" s="64" t="n"/>
      <c r="D5325" s="64" t="n"/>
      <c r="E5325" s="63" t="n"/>
    </row>
    <row r="5326" ht="18" customHeight="1">
      <c r="A5326" s="62" t="n"/>
      <c r="B5326" s="63" t="n"/>
      <c r="C5326" s="64" t="n"/>
      <c r="D5326" s="64" t="n"/>
      <c r="E5326" s="63" t="n"/>
    </row>
    <row r="5327" ht="18" customHeight="1">
      <c r="A5327" s="62" t="n"/>
      <c r="B5327" s="63" t="n"/>
      <c r="C5327" s="64" t="n"/>
      <c r="D5327" s="64" t="n"/>
      <c r="E5327" s="63" t="n"/>
    </row>
    <row r="5328" ht="18" customHeight="1">
      <c r="A5328" s="62" t="n"/>
      <c r="B5328" s="63" t="n"/>
      <c r="C5328" s="64" t="n"/>
      <c r="D5328" s="64" t="n"/>
      <c r="E5328" s="63" t="n"/>
    </row>
    <row r="5329" ht="18" customHeight="1">
      <c r="A5329" s="62" t="n"/>
      <c r="B5329" s="63" t="n"/>
      <c r="C5329" s="64" t="n"/>
      <c r="D5329" s="64" t="n"/>
      <c r="E5329" s="63" t="n"/>
    </row>
    <row r="5330" ht="18" customHeight="1">
      <c r="A5330" s="62" t="n"/>
      <c r="B5330" s="63" t="n"/>
      <c r="C5330" s="64" t="n"/>
      <c r="D5330" s="64" t="n"/>
      <c r="E5330" s="63" t="n"/>
    </row>
    <row r="5331" ht="18" customHeight="1">
      <c r="A5331" s="62" t="n"/>
      <c r="B5331" s="63" t="n"/>
      <c r="C5331" s="64" t="n"/>
      <c r="D5331" s="64" t="n"/>
      <c r="E5331" s="63" t="n"/>
    </row>
    <row r="5332" ht="18" customHeight="1">
      <c r="A5332" s="62" t="n"/>
      <c r="B5332" s="63" t="n"/>
      <c r="C5332" s="64" t="n"/>
      <c r="D5332" s="64" t="n"/>
      <c r="E5332" s="63" t="n"/>
    </row>
    <row r="5333" ht="18" customHeight="1">
      <c r="A5333" s="62" t="n"/>
      <c r="B5333" s="63" t="n"/>
      <c r="C5333" s="64" t="n"/>
      <c r="D5333" s="64" t="n"/>
      <c r="E5333" s="63" t="n"/>
    </row>
    <row r="5334" ht="18" customHeight="1">
      <c r="A5334" s="62" t="n"/>
      <c r="B5334" s="63" t="n"/>
      <c r="C5334" s="64" t="n"/>
      <c r="D5334" s="64" t="n"/>
      <c r="E5334" s="63" t="n"/>
    </row>
    <row r="5335" ht="18" customHeight="1">
      <c r="A5335" s="62" t="n"/>
      <c r="B5335" s="63" t="n"/>
      <c r="C5335" s="64" t="n"/>
      <c r="D5335" s="64" t="n"/>
      <c r="E5335" s="63" t="n"/>
    </row>
    <row r="5336" ht="18" customHeight="1">
      <c r="A5336" s="62" t="n"/>
      <c r="B5336" s="63" t="n"/>
      <c r="C5336" s="64" t="n"/>
      <c r="D5336" s="64" t="n"/>
      <c r="E5336" s="63" t="n"/>
    </row>
    <row r="5337" ht="18" customHeight="1">
      <c r="A5337" s="62" t="n"/>
      <c r="B5337" s="63" t="n"/>
      <c r="C5337" s="64" t="n"/>
      <c r="D5337" s="64" t="n"/>
      <c r="E5337" s="63" t="n"/>
    </row>
    <row r="5338" ht="18" customHeight="1">
      <c r="A5338" s="62" t="n"/>
      <c r="B5338" s="63" t="n"/>
      <c r="C5338" s="64" t="n"/>
      <c r="D5338" s="64" t="n"/>
      <c r="E5338" s="63" t="n"/>
    </row>
    <row r="5339" ht="18" customHeight="1">
      <c r="A5339" s="62" t="n"/>
      <c r="B5339" s="63" t="n"/>
      <c r="C5339" s="64" t="n"/>
      <c r="D5339" s="64" t="n"/>
      <c r="E5339" s="63" t="n"/>
    </row>
    <row r="5340" ht="18" customHeight="1">
      <c r="A5340" s="62" t="n"/>
      <c r="B5340" s="63" t="n"/>
      <c r="C5340" s="64" t="n"/>
      <c r="D5340" s="64" t="n"/>
      <c r="E5340" s="63" t="n"/>
    </row>
    <row r="5341" ht="18" customHeight="1">
      <c r="A5341" s="62" t="n"/>
      <c r="B5341" s="63" t="n"/>
      <c r="C5341" s="64" t="n"/>
      <c r="D5341" s="64" t="n"/>
      <c r="E5341" s="63" t="n"/>
    </row>
    <row r="5342" ht="18" customHeight="1">
      <c r="A5342" s="62" t="n"/>
      <c r="B5342" s="63" t="n"/>
      <c r="C5342" s="64" t="n"/>
      <c r="D5342" s="64" t="n"/>
      <c r="E5342" s="63" t="n"/>
    </row>
    <row r="5343" ht="18" customHeight="1">
      <c r="A5343" s="62" t="n"/>
      <c r="B5343" s="63" t="n"/>
      <c r="C5343" s="64" t="n"/>
      <c r="D5343" s="64" t="n"/>
      <c r="E5343" s="63" t="n"/>
    </row>
    <row r="5344" ht="18" customHeight="1">
      <c r="A5344" s="62" t="n"/>
      <c r="B5344" s="63" t="n"/>
      <c r="C5344" s="64" t="n"/>
      <c r="D5344" s="64" t="n"/>
      <c r="E5344" s="63" t="n"/>
    </row>
    <row r="5345" ht="18" customHeight="1">
      <c r="A5345" s="62" t="n"/>
      <c r="B5345" s="63" t="n"/>
      <c r="C5345" s="64" t="n"/>
      <c r="D5345" s="64" t="n"/>
      <c r="E5345" s="63" t="n"/>
    </row>
    <row r="5346" ht="18" customHeight="1">
      <c r="A5346" s="62" t="n"/>
      <c r="B5346" s="63" t="n"/>
      <c r="C5346" s="64" t="n"/>
      <c r="D5346" s="64" t="n"/>
      <c r="E5346" s="63" t="n"/>
    </row>
    <row r="5347" ht="18" customHeight="1">
      <c r="A5347" s="62" t="n"/>
      <c r="B5347" s="63" t="n"/>
      <c r="C5347" s="64" t="n"/>
      <c r="D5347" s="64" t="n"/>
      <c r="E5347" s="63" t="n"/>
    </row>
    <row r="5348" ht="18" customHeight="1">
      <c r="A5348" s="62" t="n"/>
      <c r="B5348" s="63" t="n"/>
      <c r="C5348" s="64" t="n"/>
      <c r="D5348" s="64" t="n"/>
      <c r="E5348" s="63" t="n"/>
    </row>
    <row r="5349" ht="18" customHeight="1">
      <c r="A5349" s="62" t="n"/>
      <c r="B5349" s="63" t="n"/>
      <c r="C5349" s="64" t="n"/>
      <c r="D5349" s="64" t="n"/>
      <c r="E5349" s="63" t="n"/>
    </row>
    <row r="5350" ht="18" customHeight="1">
      <c r="A5350" s="62" t="n"/>
      <c r="B5350" s="63" t="n"/>
      <c r="C5350" s="64" t="n"/>
      <c r="D5350" s="64" t="n"/>
      <c r="E5350" s="63" t="n"/>
    </row>
    <row r="5351" ht="18" customHeight="1">
      <c r="A5351" s="62" t="n"/>
      <c r="B5351" s="63" t="n"/>
      <c r="C5351" s="64" t="n"/>
      <c r="D5351" s="64" t="n"/>
      <c r="E5351" s="63" t="n"/>
    </row>
    <row r="5352" ht="18" customHeight="1">
      <c r="A5352" s="62" t="n"/>
      <c r="B5352" s="63" t="n"/>
      <c r="C5352" s="64" t="n"/>
      <c r="D5352" s="64" t="n"/>
      <c r="E5352" s="63" t="n"/>
    </row>
    <row r="5353" ht="18" customHeight="1">
      <c r="A5353" s="62" t="n"/>
      <c r="B5353" s="63" t="n"/>
      <c r="C5353" s="64" t="n"/>
      <c r="D5353" s="64" t="n"/>
      <c r="E5353" s="63" t="n"/>
    </row>
    <row r="5354" ht="18" customHeight="1">
      <c r="A5354" s="62" t="n"/>
      <c r="B5354" s="63" t="n"/>
      <c r="C5354" s="64" t="n"/>
      <c r="D5354" s="64" t="n"/>
      <c r="E5354" s="63" t="n"/>
    </row>
    <row r="5355" ht="18" customHeight="1">
      <c r="A5355" s="62" t="n"/>
      <c r="B5355" s="63" t="n"/>
      <c r="C5355" s="64" t="n"/>
      <c r="D5355" s="64" t="n"/>
      <c r="E5355" s="63" t="n"/>
    </row>
    <row r="5356" ht="18" customHeight="1">
      <c r="A5356" s="62" t="n"/>
      <c r="B5356" s="63" t="n"/>
      <c r="C5356" s="64" t="n"/>
      <c r="D5356" s="64" t="n"/>
      <c r="E5356" s="63" t="n"/>
    </row>
    <row r="5357" ht="18" customHeight="1">
      <c r="A5357" s="62" t="n"/>
      <c r="B5357" s="63" t="n"/>
      <c r="C5357" s="64" t="n"/>
      <c r="D5357" s="64" t="n"/>
      <c r="E5357" s="63" t="n"/>
    </row>
    <row r="5358" ht="18" customHeight="1">
      <c r="A5358" s="62" t="n"/>
      <c r="B5358" s="63" t="n"/>
      <c r="C5358" s="64" t="n"/>
      <c r="D5358" s="64" t="n"/>
      <c r="E5358" s="63" t="n"/>
    </row>
    <row r="5359" ht="18" customHeight="1">
      <c r="A5359" s="62" t="n"/>
      <c r="B5359" s="63" t="n"/>
      <c r="C5359" s="64" t="n"/>
      <c r="D5359" s="64" t="n"/>
      <c r="E5359" s="63" t="n"/>
    </row>
    <row r="5360" ht="18" customHeight="1">
      <c r="A5360" s="62" t="n"/>
      <c r="B5360" s="63" t="n"/>
      <c r="C5360" s="64" t="n"/>
      <c r="D5360" s="64" t="n"/>
      <c r="E5360" s="63" t="n"/>
    </row>
    <row r="5361" ht="18" customHeight="1">
      <c r="A5361" s="62" t="n"/>
      <c r="B5361" s="63" t="n"/>
      <c r="C5361" s="64" t="n"/>
      <c r="D5361" s="64" t="n"/>
      <c r="E5361" s="63" t="n"/>
    </row>
    <row r="5362" ht="18" customHeight="1">
      <c r="A5362" s="62" t="n"/>
      <c r="B5362" s="63" t="n"/>
      <c r="C5362" s="64" t="n"/>
      <c r="D5362" s="64" t="n"/>
      <c r="E5362" s="63" t="n"/>
    </row>
    <row r="5363" ht="18" customHeight="1">
      <c r="A5363" s="62" t="n"/>
      <c r="B5363" s="63" t="n"/>
      <c r="C5363" s="64" t="n"/>
      <c r="D5363" s="64" t="n"/>
      <c r="E5363" s="63" t="n"/>
    </row>
    <row r="5364" ht="18" customHeight="1">
      <c r="A5364" s="62" t="n"/>
      <c r="B5364" s="63" t="n"/>
      <c r="C5364" s="64" t="n"/>
      <c r="D5364" s="64" t="n"/>
      <c r="E5364" s="63" t="n"/>
    </row>
    <row r="5365" ht="18" customHeight="1">
      <c r="A5365" s="62" t="n"/>
      <c r="B5365" s="63" t="n"/>
      <c r="C5365" s="64" t="n"/>
      <c r="D5365" s="64" t="n"/>
      <c r="E5365" s="63" t="n"/>
    </row>
    <row r="5366" ht="18" customHeight="1">
      <c r="A5366" s="62" t="n"/>
      <c r="B5366" s="63" t="n"/>
      <c r="C5366" s="64" t="n"/>
      <c r="D5366" s="64" t="n"/>
      <c r="E5366" s="63" t="n"/>
    </row>
    <row r="5367" ht="18" customHeight="1">
      <c r="A5367" s="62" t="n"/>
      <c r="B5367" s="63" t="n"/>
      <c r="C5367" s="64" t="n"/>
      <c r="D5367" s="64" t="n"/>
      <c r="E5367" s="63" t="n"/>
    </row>
    <row r="5368" ht="18" customHeight="1">
      <c r="A5368" s="62" t="n"/>
      <c r="B5368" s="63" t="n"/>
      <c r="C5368" s="64" t="n"/>
      <c r="D5368" s="64" t="n"/>
      <c r="E5368" s="63" t="n"/>
    </row>
    <row r="5369" ht="18" customHeight="1">
      <c r="A5369" s="62" t="n"/>
      <c r="B5369" s="63" t="n"/>
      <c r="C5369" s="64" t="n"/>
      <c r="D5369" s="64" t="n"/>
      <c r="E5369" s="63" t="n"/>
    </row>
    <row r="5370" ht="18" customHeight="1">
      <c r="A5370" s="62" t="n"/>
      <c r="B5370" s="63" t="n"/>
      <c r="C5370" s="64" t="n"/>
      <c r="D5370" s="64" t="n"/>
      <c r="E5370" s="63" t="n"/>
    </row>
    <row r="5371" ht="18" customHeight="1">
      <c r="A5371" s="62" t="n"/>
      <c r="B5371" s="63" t="n"/>
      <c r="C5371" s="64" t="n"/>
      <c r="D5371" s="64" t="n"/>
      <c r="E5371" s="63" t="n"/>
    </row>
    <row r="5372" ht="18" customHeight="1">
      <c r="A5372" s="62" t="n"/>
      <c r="B5372" s="63" t="n"/>
      <c r="C5372" s="64" t="n"/>
      <c r="D5372" s="64" t="n"/>
      <c r="E5372" s="63" t="n"/>
    </row>
    <row r="5373" ht="18" customHeight="1">
      <c r="A5373" s="62" t="n"/>
      <c r="B5373" s="63" t="n"/>
      <c r="C5373" s="64" t="n"/>
      <c r="D5373" s="64" t="n"/>
      <c r="E5373" s="63" t="n"/>
    </row>
    <row r="5374" ht="18" customHeight="1">
      <c r="A5374" s="62" t="n"/>
      <c r="B5374" s="63" t="n"/>
      <c r="C5374" s="64" t="n"/>
      <c r="D5374" s="64" t="n"/>
      <c r="E5374" s="63" t="n"/>
    </row>
    <row r="5375" ht="18" customHeight="1">
      <c r="A5375" s="62" t="n"/>
      <c r="B5375" s="63" t="n"/>
      <c r="C5375" s="64" t="n"/>
      <c r="D5375" s="64" t="n"/>
      <c r="E5375" s="63" t="n"/>
    </row>
    <row r="5376" ht="18" customHeight="1">
      <c r="A5376" s="62" t="n"/>
      <c r="B5376" s="63" t="n"/>
      <c r="C5376" s="64" t="n"/>
      <c r="D5376" s="64" t="n"/>
      <c r="E5376" s="63" t="n"/>
    </row>
    <row r="5377" ht="18" customHeight="1">
      <c r="A5377" s="62" t="n"/>
      <c r="B5377" s="63" t="n"/>
      <c r="C5377" s="64" t="n"/>
      <c r="D5377" s="64" t="n"/>
      <c r="E5377" s="63" t="n"/>
    </row>
    <row r="5378" ht="18" customHeight="1">
      <c r="A5378" s="62" t="n"/>
      <c r="B5378" s="63" t="n"/>
      <c r="C5378" s="64" t="n"/>
      <c r="D5378" s="64" t="n"/>
      <c r="E5378" s="63" t="n"/>
    </row>
    <row r="5379" ht="18" customHeight="1">
      <c r="A5379" s="62" t="n"/>
      <c r="B5379" s="63" t="n"/>
      <c r="C5379" s="64" t="n"/>
      <c r="D5379" s="64" t="n"/>
      <c r="E5379" s="63" t="n"/>
    </row>
    <row r="5380" ht="18" customHeight="1">
      <c r="A5380" s="62" t="n"/>
      <c r="B5380" s="63" t="n"/>
      <c r="C5380" s="64" t="n"/>
      <c r="D5380" s="64" t="n"/>
      <c r="E5380" s="63" t="n"/>
    </row>
    <row r="5381" ht="18" customHeight="1">
      <c r="A5381" s="62" t="n"/>
      <c r="B5381" s="63" t="n"/>
      <c r="C5381" s="64" t="n"/>
      <c r="D5381" s="64" t="n"/>
      <c r="E5381" s="63" t="n"/>
    </row>
    <row r="5382" ht="18" customHeight="1">
      <c r="A5382" s="62" t="n"/>
      <c r="B5382" s="63" t="n"/>
      <c r="C5382" s="64" t="n"/>
      <c r="D5382" s="64" t="n"/>
      <c r="E5382" s="63" t="n"/>
    </row>
    <row r="5383" ht="18" customHeight="1">
      <c r="A5383" s="62" t="n"/>
      <c r="B5383" s="63" t="n"/>
      <c r="C5383" s="64" t="n"/>
      <c r="D5383" s="64" t="n"/>
      <c r="E5383" s="63" t="n"/>
    </row>
    <row r="5384" ht="18" customHeight="1">
      <c r="A5384" s="62" t="n"/>
      <c r="B5384" s="63" t="n"/>
      <c r="C5384" s="64" t="n"/>
      <c r="D5384" s="64" t="n"/>
      <c r="E5384" s="63" t="n"/>
    </row>
    <row r="5385" ht="18" customHeight="1">
      <c r="A5385" s="62" t="n"/>
      <c r="B5385" s="63" t="n"/>
      <c r="C5385" s="64" t="n"/>
      <c r="D5385" s="64" t="n"/>
      <c r="E5385" s="63" t="n"/>
    </row>
    <row r="5386" ht="18" customHeight="1">
      <c r="A5386" s="62" t="n"/>
      <c r="B5386" s="63" t="n"/>
      <c r="C5386" s="64" t="n"/>
      <c r="D5386" s="64" t="n"/>
      <c r="E5386" s="63" t="n"/>
    </row>
    <row r="5387" ht="18" customHeight="1">
      <c r="A5387" s="62" t="n"/>
      <c r="B5387" s="63" t="n"/>
      <c r="C5387" s="64" t="n"/>
      <c r="D5387" s="64" t="n"/>
      <c r="E5387" s="63" t="n"/>
    </row>
    <row r="5388" ht="18" customHeight="1">
      <c r="A5388" s="62" t="n"/>
      <c r="B5388" s="63" t="n"/>
      <c r="C5388" s="64" t="n"/>
      <c r="D5388" s="64" t="n"/>
      <c r="E5388" s="63" t="n"/>
    </row>
    <row r="5389" ht="18" customHeight="1">
      <c r="A5389" s="62" t="n"/>
      <c r="B5389" s="63" t="n"/>
      <c r="C5389" s="64" t="n"/>
      <c r="D5389" s="64" t="n"/>
      <c r="E5389" s="63" t="n"/>
    </row>
    <row r="5390" ht="18" customHeight="1">
      <c r="A5390" s="62" t="n"/>
      <c r="B5390" s="63" t="n"/>
      <c r="C5390" s="64" t="n"/>
      <c r="D5390" s="64" t="n"/>
      <c r="E5390" s="63" t="n"/>
    </row>
    <row r="5391" ht="18" customHeight="1">
      <c r="A5391" s="62" t="n"/>
      <c r="B5391" s="63" t="n"/>
      <c r="C5391" s="64" t="n"/>
      <c r="D5391" s="64" t="n"/>
      <c r="E5391" s="63" t="n"/>
    </row>
    <row r="5392" ht="18" customHeight="1">
      <c r="A5392" s="62" t="n"/>
      <c r="B5392" s="63" t="n"/>
      <c r="C5392" s="64" t="n"/>
      <c r="D5392" s="64" t="n"/>
      <c r="E5392" s="63" t="n"/>
    </row>
    <row r="5393" ht="18" customHeight="1">
      <c r="A5393" s="62" t="n"/>
      <c r="B5393" s="63" t="n"/>
      <c r="C5393" s="64" t="n"/>
      <c r="D5393" s="64" t="n"/>
      <c r="E5393" s="63" t="n"/>
    </row>
    <row r="5394" ht="18" customHeight="1">
      <c r="A5394" s="62" t="n"/>
      <c r="B5394" s="63" t="n"/>
      <c r="C5394" s="64" t="n"/>
      <c r="D5394" s="64" t="n"/>
      <c r="E5394" s="63" t="n"/>
    </row>
    <row r="5395" ht="18" customHeight="1">
      <c r="A5395" s="62" t="n"/>
      <c r="B5395" s="63" t="n"/>
      <c r="C5395" s="64" t="n"/>
      <c r="D5395" s="64" t="n"/>
      <c r="E5395" s="63" t="n"/>
    </row>
    <row r="5396" ht="18" customHeight="1">
      <c r="A5396" s="62" t="n"/>
      <c r="B5396" s="63" t="n"/>
      <c r="C5396" s="64" t="n"/>
      <c r="D5396" s="64" t="n"/>
      <c r="E5396" s="63" t="n"/>
    </row>
    <row r="5397" ht="18" customHeight="1">
      <c r="A5397" s="62" t="n"/>
      <c r="B5397" s="63" t="n"/>
      <c r="C5397" s="64" t="n"/>
      <c r="D5397" s="64" t="n"/>
      <c r="E5397" s="63" t="n"/>
    </row>
    <row r="5398" ht="18" customHeight="1">
      <c r="A5398" s="62" t="n"/>
      <c r="B5398" s="63" t="n"/>
      <c r="C5398" s="64" t="n"/>
      <c r="D5398" s="64" t="n"/>
      <c r="E5398" s="63" t="n"/>
    </row>
    <row r="5399" ht="18" customHeight="1">
      <c r="A5399" s="62" t="n"/>
      <c r="B5399" s="63" t="n"/>
      <c r="C5399" s="64" t="n"/>
      <c r="D5399" s="64" t="n"/>
      <c r="E5399" s="63" t="n"/>
    </row>
    <row r="5400" ht="18" customHeight="1">
      <c r="A5400" s="62" t="n"/>
      <c r="B5400" s="63" t="n"/>
      <c r="C5400" s="64" t="n"/>
      <c r="D5400" s="64" t="n"/>
      <c r="E5400" s="63" t="n"/>
    </row>
    <row r="5401" ht="18" customHeight="1">
      <c r="A5401" s="62" t="n"/>
      <c r="B5401" s="63" t="n"/>
      <c r="C5401" s="64" t="n"/>
      <c r="D5401" s="64" t="n"/>
      <c r="E5401" s="63" t="n"/>
    </row>
    <row r="5402" ht="18" customHeight="1">
      <c r="A5402" s="62" t="n"/>
      <c r="B5402" s="63" t="n"/>
      <c r="C5402" s="64" t="n"/>
      <c r="D5402" s="64" t="n"/>
      <c r="E5402" s="63" t="n"/>
    </row>
    <row r="5403" ht="18" customHeight="1">
      <c r="A5403" s="62" t="n"/>
      <c r="B5403" s="63" t="n"/>
      <c r="C5403" s="64" t="n"/>
      <c r="D5403" s="64" t="n"/>
      <c r="E5403" s="63" t="n"/>
    </row>
    <row r="5404" ht="18" customHeight="1">
      <c r="A5404" s="62" t="n"/>
      <c r="B5404" s="63" t="n"/>
      <c r="C5404" s="64" t="n"/>
      <c r="D5404" s="64" t="n"/>
      <c r="E5404" s="63" t="n"/>
    </row>
    <row r="5405" ht="18" customHeight="1">
      <c r="A5405" s="62" t="n"/>
      <c r="B5405" s="63" t="n"/>
      <c r="C5405" s="64" t="n"/>
      <c r="D5405" s="64" t="n"/>
      <c r="E5405" s="63" t="n"/>
    </row>
    <row r="5406" ht="18" customHeight="1">
      <c r="A5406" s="62" t="n"/>
      <c r="B5406" s="63" t="n"/>
      <c r="C5406" s="64" t="n"/>
      <c r="D5406" s="64" t="n"/>
      <c r="E5406" s="63" t="n"/>
    </row>
    <row r="5407" ht="18" customHeight="1">
      <c r="A5407" s="62" t="n"/>
      <c r="B5407" s="63" t="n"/>
      <c r="C5407" s="64" t="n"/>
      <c r="D5407" s="64" t="n"/>
      <c r="E5407" s="63" t="n"/>
    </row>
    <row r="5408" ht="18" customHeight="1">
      <c r="A5408" s="62" t="n"/>
      <c r="B5408" s="63" t="n"/>
      <c r="C5408" s="64" t="n"/>
      <c r="D5408" s="64" t="n"/>
      <c r="E5408" s="63" t="n"/>
    </row>
    <row r="5409" ht="18" customHeight="1">
      <c r="A5409" s="62" t="n"/>
      <c r="B5409" s="63" t="n"/>
      <c r="C5409" s="64" t="n"/>
      <c r="D5409" s="64" t="n"/>
      <c r="E5409" s="63" t="n"/>
    </row>
    <row r="5410" ht="18" customHeight="1">
      <c r="A5410" s="62" t="n"/>
      <c r="B5410" s="63" t="n"/>
      <c r="C5410" s="64" t="n"/>
      <c r="D5410" s="64" t="n"/>
      <c r="E5410" s="63" t="n"/>
    </row>
    <row r="5411" ht="18" customHeight="1">
      <c r="A5411" s="62" t="n"/>
      <c r="B5411" s="63" t="n"/>
      <c r="C5411" s="64" t="n"/>
      <c r="D5411" s="64" t="n"/>
      <c r="E5411" s="63" t="n"/>
    </row>
    <row r="5412" ht="18" customHeight="1">
      <c r="A5412" s="62" t="n"/>
      <c r="B5412" s="63" t="n"/>
      <c r="C5412" s="64" t="n"/>
      <c r="D5412" s="64" t="n"/>
      <c r="E5412" s="63" t="n"/>
    </row>
    <row r="5413" ht="18" customHeight="1">
      <c r="A5413" s="62" t="n"/>
      <c r="B5413" s="63" t="n"/>
      <c r="C5413" s="64" t="n"/>
      <c r="D5413" s="64" t="n"/>
      <c r="E5413" s="63" t="n"/>
    </row>
    <row r="5414" ht="18" customHeight="1">
      <c r="A5414" s="62" t="n"/>
      <c r="B5414" s="63" t="n"/>
      <c r="C5414" s="64" t="n"/>
      <c r="D5414" s="64" t="n"/>
      <c r="E5414" s="63" t="n"/>
    </row>
    <row r="5415" ht="18" customHeight="1">
      <c r="A5415" s="62" t="n"/>
      <c r="B5415" s="63" t="n"/>
      <c r="C5415" s="64" t="n"/>
      <c r="D5415" s="64" t="n"/>
      <c r="E5415" s="63" t="n"/>
    </row>
    <row r="5416" ht="18" customHeight="1">
      <c r="A5416" s="62" t="n"/>
      <c r="B5416" s="63" t="n"/>
      <c r="C5416" s="64" t="n"/>
      <c r="D5416" s="64" t="n"/>
      <c r="E5416" s="63" t="n"/>
    </row>
    <row r="5417" ht="18" customHeight="1">
      <c r="A5417" s="62" t="n"/>
      <c r="B5417" s="63" t="n"/>
      <c r="C5417" s="64" t="n"/>
      <c r="D5417" s="64" t="n"/>
      <c r="E5417" s="63" t="n"/>
    </row>
    <row r="5418" ht="18" customHeight="1">
      <c r="A5418" s="62" t="n"/>
      <c r="B5418" s="63" t="n"/>
      <c r="C5418" s="64" t="n"/>
      <c r="D5418" s="64" t="n"/>
      <c r="E5418" s="63" t="n"/>
    </row>
    <row r="5419" ht="18" customHeight="1">
      <c r="A5419" s="62" t="n"/>
      <c r="B5419" s="63" t="n"/>
      <c r="C5419" s="64" t="n"/>
      <c r="D5419" s="64" t="n"/>
      <c r="E5419" s="63" t="n"/>
    </row>
    <row r="5420" ht="18" customHeight="1">
      <c r="A5420" s="62" t="n"/>
      <c r="B5420" s="63" t="n"/>
      <c r="C5420" s="64" t="n"/>
      <c r="D5420" s="64" t="n"/>
      <c r="E5420" s="63" t="n"/>
    </row>
    <row r="5421" ht="18" customHeight="1">
      <c r="A5421" s="62" t="n"/>
      <c r="B5421" s="63" t="n"/>
      <c r="C5421" s="64" t="n"/>
      <c r="D5421" s="64" t="n"/>
      <c r="E5421" s="63" t="n"/>
    </row>
    <row r="5422" ht="18" customHeight="1">
      <c r="A5422" s="62" t="n"/>
      <c r="B5422" s="63" t="n"/>
      <c r="C5422" s="64" t="n"/>
      <c r="D5422" s="64" t="n"/>
      <c r="E5422" s="63" t="n"/>
    </row>
    <row r="5423" ht="18" customHeight="1">
      <c r="A5423" s="62" t="n"/>
      <c r="B5423" s="63" t="n"/>
      <c r="C5423" s="64" t="n"/>
      <c r="D5423" s="64" t="n"/>
      <c r="E5423" s="63" t="n"/>
    </row>
    <row r="5424" ht="18" customHeight="1">
      <c r="A5424" s="62" t="n"/>
      <c r="B5424" s="63" t="n"/>
      <c r="C5424" s="64" t="n"/>
      <c r="D5424" s="64" t="n"/>
      <c r="E5424" s="63" t="n"/>
    </row>
    <row r="5425" ht="18" customHeight="1">
      <c r="A5425" s="62" t="n"/>
      <c r="B5425" s="63" t="n"/>
      <c r="C5425" s="64" t="n"/>
      <c r="D5425" s="64" t="n"/>
      <c r="E5425" s="63" t="n"/>
    </row>
    <row r="5426" ht="18" customHeight="1">
      <c r="A5426" s="62" t="n"/>
      <c r="B5426" s="63" t="n"/>
      <c r="C5426" s="64" t="n"/>
      <c r="D5426" s="64" t="n"/>
      <c r="E5426" s="63" t="n"/>
    </row>
    <row r="5427" ht="18" customHeight="1">
      <c r="A5427" s="62" t="n"/>
      <c r="B5427" s="63" t="n"/>
      <c r="C5427" s="64" t="n"/>
      <c r="D5427" s="64" t="n"/>
      <c r="E5427" s="63" t="n"/>
    </row>
    <row r="5428" ht="18" customHeight="1">
      <c r="A5428" s="62" t="n"/>
      <c r="B5428" s="63" t="n"/>
      <c r="C5428" s="64" t="n"/>
      <c r="D5428" s="64" t="n"/>
      <c r="E5428" s="63" t="n"/>
    </row>
    <row r="5429" ht="18" customHeight="1">
      <c r="A5429" s="62" t="n"/>
      <c r="B5429" s="63" t="n"/>
      <c r="C5429" s="64" t="n"/>
      <c r="D5429" s="64" t="n"/>
      <c r="E5429" s="63" t="n"/>
    </row>
    <row r="5430" ht="18" customHeight="1">
      <c r="A5430" s="62" t="n"/>
      <c r="B5430" s="63" t="n"/>
      <c r="C5430" s="64" t="n"/>
      <c r="D5430" s="64" t="n"/>
      <c r="E5430" s="63" t="n"/>
    </row>
    <row r="5431" ht="18" customHeight="1">
      <c r="A5431" s="62" t="n"/>
      <c r="B5431" s="63" t="n"/>
      <c r="C5431" s="64" t="n"/>
      <c r="D5431" s="64" t="n"/>
      <c r="E5431" s="63" t="n"/>
    </row>
    <row r="5432" ht="18" customHeight="1">
      <c r="A5432" s="62" t="n"/>
      <c r="B5432" s="63" t="n"/>
      <c r="C5432" s="64" t="n"/>
      <c r="D5432" s="64" t="n"/>
      <c r="E5432" s="63" t="n"/>
    </row>
    <row r="5433" ht="18" customHeight="1">
      <c r="A5433" s="62" t="n"/>
      <c r="B5433" s="63" t="n"/>
      <c r="C5433" s="64" t="n"/>
      <c r="D5433" s="64" t="n"/>
      <c r="E5433" s="63" t="n"/>
    </row>
    <row r="5434" ht="18" customHeight="1">
      <c r="A5434" s="62" t="n"/>
      <c r="B5434" s="63" t="n"/>
      <c r="C5434" s="64" t="n"/>
      <c r="D5434" s="64" t="n"/>
      <c r="E5434" s="63" t="n"/>
    </row>
    <row r="5435" ht="18" customHeight="1">
      <c r="A5435" s="62" t="n"/>
      <c r="B5435" s="63" t="n"/>
      <c r="C5435" s="64" t="n"/>
      <c r="D5435" s="64" t="n"/>
      <c r="E5435" s="63" t="n"/>
    </row>
    <row r="5436" ht="18" customHeight="1">
      <c r="A5436" s="62" t="n"/>
      <c r="B5436" s="63" t="n"/>
      <c r="C5436" s="64" t="n"/>
      <c r="D5436" s="64" t="n"/>
      <c r="E5436" s="63" t="n"/>
    </row>
    <row r="5437" ht="18" customHeight="1">
      <c r="A5437" s="62" t="n"/>
      <c r="B5437" s="63" t="n"/>
      <c r="C5437" s="64" t="n"/>
      <c r="D5437" s="64" t="n"/>
      <c r="E5437" s="63" t="n"/>
    </row>
    <row r="5438" ht="18" customHeight="1">
      <c r="A5438" s="62" t="n"/>
      <c r="B5438" s="63" t="n"/>
      <c r="C5438" s="64" t="n"/>
      <c r="D5438" s="64" t="n"/>
      <c r="E5438" s="63" t="n"/>
    </row>
    <row r="5439" ht="18" customHeight="1">
      <c r="A5439" s="62" t="n"/>
      <c r="B5439" s="63" t="n"/>
      <c r="C5439" s="64" t="n"/>
      <c r="D5439" s="64" t="n"/>
      <c r="E5439" s="63" t="n"/>
    </row>
    <row r="5440" ht="18" customHeight="1">
      <c r="A5440" s="62" t="n"/>
      <c r="B5440" s="63" t="n"/>
      <c r="C5440" s="64" t="n"/>
      <c r="D5440" s="64" t="n"/>
      <c r="E5440" s="63" t="n"/>
    </row>
    <row r="5441" ht="18" customHeight="1">
      <c r="A5441" s="62" t="n"/>
      <c r="B5441" s="63" t="n"/>
      <c r="C5441" s="64" t="n"/>
      <c r="D5441" s="64" t="n"/>
      <c r="E5441" s="63" t="n"/>
    </row>
    <row r="5442" ht="18" customHeight="1">
      <c r="A5442" s="62" t="n"/>
      <c r="B5442" s="63" t="n"/>
      <c r="C5442" s="64" t="n"/>
      <c r="D5442" s="64" t="n"/>
      <c r="E5442" s="63" t="n"/>
    </row>
    <row r="5443" ht="18" customHeight="1">
      <c r="A5443" s="62" t="n"/>
      <c r="B5443" s="63" t="n"/>
      <c r="C5443" s="64" t="n"/>
      <c r="D5443" s="64" t="n"/>
      <c r="E5443" s="63" t="n"/>
    </row>
    <row r="5444" ht="18" customHeight="1">
      <c r="A5444" s="62" t="n"/>
      <c r="B5444" s="63" t="n"/>
      <c r="C5444" s="64" t="n"/>
      <c r="D5444" s="64" t="n"/>
      <c r="E5444" s="63" t="n"/>
    </row>
    <row r="5445" ht="18" customHeight="1">
      <c r="A5445" s="62" t="n"/>
      <c r="B5445" s="63" t="n"/>
      <c r="C5445" s="64" t="n"/>
      <c r="D5445" s="64" t="n"/>
      <c r="E5445" s="63" t="n"/>
    </row>
    <row r="5446" ht="18" customHeight="1">
      <c r="A5446" s="62" t="n"/>
      <c r="B5446" s="63" t="n"/>
      <c r="C5446" s="64" t="n"/>
      <c r="D5446" s="64" t="n"/>
      <c r="E5446" s="63" t="n"/>
    </row>
    <row r="5447" ht="18" customHeight="1">
      <c r="A5447" s="62" t="n"/>
      <c r="B5447" s="63" t="n"/>
      <c r="C5447" s="64" t="n"/>
      <c r="D5447" s="64" t="n"/>
      <c r="E5447" s="63" t="n"/>
    </row>
    <row r="5448" ht="18" customHeight="1">
      <c r="A5448" s="62" t="n"/>
      <c r="B5448" s="63" t="n"/>
      <c r="C5448" s="64" t="n"/>
      <c r="D5448" s="64" t="n"/>
      <c r="E5448" s="63" t="n"/>
    </row>
    <row r="5449" ht="18" customHeight="1">
      <c r="A5449" s="62" t="n"/>
      <c r="B5449" s="63" t="n"/>
      <c r="C5449" s="64" t="n"/>
      <c r="D5449" s="64" t="n"/>
      <c r="E5449" s="63" t="n"/>
    </row>
    <row r="5450" ht="18" customHeight="1">
      <c r="A5450" s="62" t="n"/>
      <c r="B5450" s="63" t="n"/>
      <c r="C5450" s="64" t="n"/>
      <c r="D5450" s="64" t="n"/>
      <c r="E5450" s="63" t="n"/>
    </row>
    <row r="5451" ht="18" customHeight="1">
      <c r="A5451" s="62" t="n"/>
      <c r="B5451" s="63" t="n"/>
      <c r="C5451" s="64" t="n"/>
      <c r="D5451" s="64" t="n"/>
      <c r="E5451" s="63" t="n"/>
    </row>
    <row r="5452" ht="18" customHeight="1">
      <c r="A5452" s="62" t="n"/>
      <c r="B5452" s="63" t="n"/>
      <c r="C5452" s="64" t="n"/>
      <c r="D5452" s="64" t="n"/>
      <c r="E5452" s="63" t="n"/>
    </row>
    <row r="5453" ht="18" customHeight="1">
      <c r="A5453" s="62" t="n"/>
      <c r="B5453" s="63" t="n"/>
      <c r="C5453" s="64" t="n"/>
      <c r="D5453" s="64" t="n"/>
      <c r="E5453" s="63" t="n"/>
    </row>
    <row r="5454" ht="18" customHeight="1">
      <c r="A5454" s="62" t="n"/>
      <c r="B5454" s="63" t="n"/>
      <c r="C5454" s="64" t="n"/>
      <c r="D5454" s="64" t="n"/>
      <c r="E5454" s="63" t="n"/>
    </row>
    <row r="5455" ht="18" customHeight="1">
      <c r="A5455" s="62" t="n"/>
      <c r="B5455" s="63" t="n"/>
      <c r="C5455" s="64" t="n"/>
      <c r="D5455" s="64" t="n"/>
      <c r="E5455" s="63" t="n"/>
    </row>
    <row r="5456" ht="18" customHeight="1">
      <c r="A5456" s="62" t="n"/>
      <c r="B5456" s="63" t="n"/>
      <c r="C5456" s="64" t="n"/>
      <c r="D5456" s="64" t="n"/>
      <c r="E5456" s="63" t="n"/>
    </row>
    <row r="5457" ht="18" customHeight="1">
      <c r="A5457" s="62" t="n"/>
      <c r="B5457" s="63" t="n"/>
      <c r="C5457" s="64" t="n"/>
      <c r="D5457" s="64" t="n"/>
      <c r="E5457" s="63" t="n"/>
    </row>
    <row r="5458" ht="18" customHeight="1">
      <c r="A5458" s="62" t="n"/>
      <c r="B5458" s="63" t="n"/>
      <c r="C5458" s="64" t="n"/>
      <c r="D5458" s="64" t="n"/>
      <c r="E5458" s="63" t="n"/>
    </row>
    <row r="5459" ht="18" customHeight="1">
      <c r="A5459" s="62" t="n"/>
      <c r="B5459" s="63" t="n"/>
      <c r="C5459" s="64" t="n"/>
      <c r="D5459" s="64" t="n"/>
      <c r="E5459" s="63" t="n"/>
    </row>
    <row r="5460" ht="18" customHeight="1">
      <c r="A5460" s="62" t="n"/>
      <c r="B5460" s="63" t="n"/>
      <c r="C5460" s="64" t="n"/>
      <c r="D5460" s="64" t="n"/>
      <c r="E5460" s="63" t="n"/>
    </row>
    <row r="5461" ht="18" customHeight="1">
      <c r="A5461" s="62" t="n"/>
      <c r="B5461" s="63" t="n"/>
      <c r="C5461" s="64" t="n"/>
      <c r="D5461" s="64" t="n"/>
      <c r="E5461" s="63" t="n"/>
    </row>
    <row r="5462" ht="18" customHeight="1">
      <c r="A5462" s="62" t="n"/>
      <c r="B5462" s="63" t="n"/>
      <c r="C5462" s="64" t="n"/>
      <c r="D5462" s="64" t="n"/>
      <c r="E5462" s="63" t="n"/>
    </row>
    <row r="5463" ht="18" customHeight="1">
      <c r="A5463" s="62" t="n"/>
      <c r="B5463" s="63" t="n"/>
      <c r="C5463" s="64" t="n"/>
      <c r="D5463" s="64" t="n"/>
      <c r="E5463" s="63" t="n"/>
    </row>
    <row r="5464" ht="18" customHeight="1">
      <c r="A5464" s="62" t="n"/>
      <c r="B5464" s="63" t="n"/>
      <c r="C5464" s="64" t="n"/>
      <c r="D5464" s="64" t="n"/>
      <c r="E5464" s="63" t="n"/>
    </row>
    <row r="5465" ht="18" customHeight="1">
      <c r="A5465" s="62" t="n"/>
      <c r="B5465" s="63" t="n"/>
      <c r="C5465" s="64" t="n"/>
      <c r="D5465" s="64" t="n"/>
      <c r="E5465" s="63" t="n"/>
    </row>
    <row r="5466" ht="18" customHeight="1">
      <c r="A5466" s="62" t="n"/>
      <c r="B5466" s="63" t="n"/>
      <c r="C5466" s="64" t="n"/>
      <c r="D5466" s="64" t="n"/>
      <c r="E5466" s="63" t="n"/>
    </row>
    <row r="5467" ht="18" customHeight="1">
      <c r="A5467" s="62" t="n"/>
      <c r="B5467" s="63" t="n"/>
      <c r="C5467" s="64" t="n"/>
      <c r="D5467" s="64" t="n"/>
      <c r="E5467" s="63" t="n"/>
    </row>
    <row r="5468" ht="18" customHeight="1">
      <c r="A5468" s="62" t="n"/>
      <c r="B5468" s="63" t="n"/>
      <c r="C5468" s="64" t="n"/>
      <c r="D5468" s="64" t="n"/>
      <c r="E5468" s="63" t="n"/>
    </row>
    <row r="5469" ht="18" customHeight="1">
      <c r="A5469" s="62" t="n"/>
      <c r="B5469" s="63" t="n"/>
      <c r="C5469" s="64" t="n"/>
      <c r="D5469" s="64" t="n"/>
      <c r="E5469" s="63" t="n"/>
    </row>
    <row r="5470" ht="18" customHeight="1">
      <c r="A5470" s="62" t="n"/>
      <c r="B5470" s="63" t="n"/>
      <c r="C5470" s="64" t="n"/>
      <c r="D5470" s="64" t="n"/>
      <c r="E5470" s="63" t="n"/>
    </row>
    <row r="5471" ht="18" customHeight="1">
      <c r="A5471" s="62" t="n"/>
      <c r="B5471" s="63" t="n"/>
      <c r="C5471" s="64" t="n"/>
      <c r="D5471" s="64" t="n"/>
      <c r="E5471" s="63" t="n"/>
    </row>
    <row r="5472" ht="18" customHeight="1">
      <c r="A5472" s="62" t="n"/>
      <c r="B5472" s="63" t="n"/>
      <c r="C5472" s="64" t="n"/>
      <c r="D5472" s="64" t="n"/>
      <c r="E5472" s="63" t="n"/>
    </row>
    <row r="5473" ht="18" customHeight="1">
      <c r="A5473" s="62" t="n"/>
      <c r="B5473" s="63" t="n"/>
      <c r="C5473" s="64" t="n"/>
      <c r="D5473" s="64" t="n"/>
      <c r="E5473" s="63" t="n"/>
    </row>
    <row r="5474" ht="18" customHeight="1">
      <c r="A5474" s="62" t="n"/>
      <c r="B5474" s="63" t="n"/>
      <c r="C5474" s="64" t="n"/>
      <c r="D5474" s="64" t="n"/>
      <c r="E5474" s="63" t="n"/>
    </row>
    <row r="5475" ht="18" customHeight="1">
      <c r="A5475" s="62" t="n"/>
      <c r="B5475" s="63" t="n"/>
      <c r="C5475" s="64" t="n"/>
      <c r="D5475" s="64" t="n"/>
      <c r="E5475" s="63" t="n"/>
    </row>
    <row r="5476" ht="18" customHeight="1">
      <c r="A5476" s="62" t="n"/>
      <c r="B5476" s="63" t="n"/>
      <c r="C5476" s="64" t="n"/>
      <c r="D5476" s="64" t="n"/>
      <c r="E5476" s="63" t="n"/>
    </row>
    <row r="5477" ht="18" customHeight="1">
      <c r="A5477" s="62" t="n"/>
      <c r="B5477" s="63" t="n"/>
      <c r="C5477" s="64" t="n"/>
      <c r="D5477" s="64" t="n"/>
      <c r="E5477" s="63" t="n"/>
    </row>
    <row r="5478" ht="18" customHeight="1">
      <c r="A5478" s="62" t="n"/>
      <c r="B5478" s="63" t="n"/>
      <c r="C5478" s="64" t="n"/>
      <c r="D5478" s="64" t="n"/>
      <c r="E5478" s="63" t="n"/>
    </row>
    <row r="5479" ht="18" customHeight="1">
      <c r="A5479" s="62" t="n"/>
      <c r="B5479" s="63" t="n"/>
      <c r="C5479" s="64" t="n"/>
      <c r="D5479" s="64" t="n"/>
      <c r="E5479" s="63" t="n"/>
    </row>
    <row r="5480" ht="18" customHeight="1">
      <c r="A5480" s="62" t="n"/>
      <c r="B5480" s="63" t="n"/>
      <c r="C5480" s="64" t="n"/>
      <c r="D5480" s="64" t="n"/>
      <c r="E5480" s="63" t="n"/>
    </row>
    <row r="5481" ht="18" customHeight="1">
      <c r="A5481" s="62" t="n"/>
      <c r="B5481" s="63" t="n"/>
      <c r="C5481" s="64" t="n"/>
      <c r="D5481" s="64" t="n"/>
      <c r="E5481" s="63" t="n"/>
    </row>
    <row r="5482" ht="18" customHeight="1">
      <c r="A5482" s="62" t="n"/>
      <c r="B5482" s="63" t="n"/>
      <c r="C5482" s="64" t="n"/>
      <c r="D5482" s="64" t="n"/>
      <c r="E5482" s="63" t="n"/>
    </row>
    <row r="5483" ht="18" customHeight="1">
      <c r="A5483" s="62" t="n"/>
      <c r="B5483" s="63" t="n"/>
      <c r="C5483" s="64" t="n"/>
      <c r="D5483" s="64" t="n"/>
      <c r="E5483" s="63" t="n"/>
    </row>
    <row r="5484" ht="18" customHeight="1">
      <c r="A5484" s="62" t="n"/>
      <c r="B5484" s="63" t="n"/>
      <c r="C5484" s="64" t="n"/>
      <c r="D5484" s="64" t="n"/>
      <c r="E5484" s="63" t="n"/>
    </row>
    <row r="5485" ht="18" customHeight="1">
      <c r="A5485" s="62" t="n"/>
      <c r="B5485" s="63" t="n"/>
      <c r="C5485" s="64" t="n"/>
      <c r="D5485" s="64" t="n"/>
      <c r="E5485" s="63" t="n"/>
    </row>
    <row r="5486" ht="18" customHeight="1">
      <c r="A5486" s="62" t="n"/>
      <c r="B5486" s="63" t="n"/>
      <c r="C5486" s="64" t="n"/>
      <c r="D5486" s="64" t="n"/>
      <c r="E5486" s="63" t="n"/>
    </row>
    <row r="5487" ht="18" customHeight="1">
      <c r="A5487" s="62" t="n"/>
      <c r="B5487" s="63" t="n"/>
      <c r="C5487" s="64" t="n"/>
      <c r="D5487" s="64" t="n"/>
      <c r="E5487" s="63" t="n"/>
    </row>
    <row r="5488" ht="18" customHeight="1">
      <c r="A5488" s="62" t="n"/>
      <c r="B5488" s="63" t="n"/>
      <c r="C5488" s="64" t="n"/>
      <c r="D5488" s="64" t="n"/>
      <c r="E5488" s="63" t="n"/>
    </row>
    <row r="5489" ht="18" customHeight="1">
      <c r="A5489" s="62" t="n"/>
      <c r="B5489" s="63" t="n"/>
      <c r="C5489" s="64" t="n"/>
      <c r="D5489" s="64" t="n"/>
      <c r="E5489" s="63" t="n"/>
    </row>
    <row r="5490" ht="18" customHeight="1">
      <c r="A5490" s="62" t="n"/>
      <c r="B5490" s="63" t="n"/>
      <c r="C5490" s="64" t="n"/>
      <c r="D5490" s="64" t="n"/>
      <c r="E5490" s="63" t="n"/>
    </row>
    <row r="5491" ht="18" customHeight="1">
      <c r="A5491" s="62" t="n"/>
      <c r="B5491" s="63" t="n"/>
      <c r="C5491" s="64" t="n"/>
      <c r="D5491" s="64" t="n"/>
      <c r="E5491" s="63" t="n"/>
    </row>
    <row r="5492" ht="18" customHeight="1">
      <c r="A5492" s="62" t="n"/>
      <c r="B5492" s="63" t="n"/>
      <c r="C5492" s="64" t="n"/>
      <c r="D5492" s="64" t="n"/>
      <c r="E5492" s="63" t="n"/>
    </row>
    <row r="5493" ht="18" customHeight="1">
      <c r="A5493" s="62" t="n"/>
      <c r="B5493" s="63" t="n"/>
      <c r="C5493" s="64" t="n"/>
      <c r="D5493" s="64" t="n"/>
      <c r="E5493" s="63" t="n"/>
    </row>
    <row r="5494" ht="18" customHeight="1">
      <c r="A5494" s="62" t="n"/>
      <c r="B5494" s="63" t="n"/>
      <c r="C5494" s="64" t="n"/>
      <c r="D5494" s="64" t="n"/>
      <c r="E5494" s="63" t="n"/>
    </row>
    <row r="5495" ht="18" customHeight="1">
      <c r="A5495" s="62" t="n"/>
      <c r="B5495" s="63" t="n"/>
      <c r="C5495" s="64" t="n"/>
      <c r="D5495" s="64" t="n"/>
      <c r="E5495" s="63" t="n"/>
    </row>
    <row r="5496" ht="18" customHeight="1">
      <c r="A5496" s="62" t="n"/>
      <c r="B5496" s="63" t="n"/>
      <c r="C5496" s="64" t="n"/>
      <c r="D5496" s="64" t="n"/>
      <c r="E5496" s="63" t="n"/>
    </row>
    <row r="5497" ht="18" customHeight="1">
      <c r="A5497" s="62" t="n"/>
      <c r="B5497" s="63" t="n"/>
      <c r="C5497" s="64" t="n"/>
      <c r="D5497" s="64" t="n"/>
      <c r="E5497" s="63" t="n"/>
    </row>
    <row r="5498" ht="18" customHeight="1">
      <c r="A5498" s="62" t="n"/>
      <c r="B5498" s="63" t="n"/>
      <c r="C5498" s="64" t="n"/>
      <c r="D5498" s="64" t="n"/>
      <c r="E5498" s="63" t="n"/>
    </row>
    <row r="5499" ht="18" customHeight="1">
      <c r="A5499" s="62" t="n"/>
      <c r="B5499" s="63" t="n"/>
      <c r="C5499" s="64" t="n"/>
      <c r="D5499" s="64" t="n"/>
      <c r="E5499" s="63" t="n"/>
    </row>
    <row r="5500" ht="18" customHeight="1">
      <c r="A5500" s="62" t="n"/>
      <c r="B5500" s="63" t="n"/>
      <c r="C5500" s="64" t="n"/>
      <c r="D5500" s="64" t="n"/>
      <c r="E5500" s="63" t="n"/>
    </row>
    <row r="5501" ht="18" customHeight="1">
      <c r="A5501" s="62" t="n"/>
      <c r="B5501" s="63" t="n"/>
      <c r="C5501" s="64" t="n"/>
      <c r="D5501" s="64" t="n"/>
      <c r="E5501" s="63" t="n"/>
    </row>
    <row r="5502" ht="18" customHeight="1">
      <c r="A5502" s="62" t="n"/>
      <c r="B5502" s="63" t="n"/>
      <c r="C5502" s="64" t="n"/>
      <c r="D5502" s="64" t="n"/>
      <c r="E5502" s="63" t="n"/>
    </row>
    <row r="5503" ht="18" customHeight="1">
      <c r="A5503" s="62" t="n"/>
      <c r="B5503" s="63" t="n"/>
      <c r="C5503" s="64" t="n"/>
      <c r="D5503" s="64" t="n"/>
      <c r="E5503" s="63" t="n"/>
    </row>
    <row r="5504" ht="18" customHeight="1">
      <c r="A5504" s="62" t="n"/>
      <c r="B5504" s="63" t="n"/>
      <c r="C5504" s="64" t="n"/>
      <c r="D5504" s="64" t="n"/>
      <c r="E5504" s="63" t="n"/>
    </row>
    <row r="5505" ht="18" customHeight="1">
      <c r="A5505" s="62" t="n"/>
      <c r="B5505" s="63" t="n"/>
      <c r="C5505" s="64" t="n"/>
      <c r="D5505" s="64" t="n"/>
      <c r="E5505" s="63" t="n"/>
    </row>
    <row r="5506" ht="18" customHeight="1">
      <c r="A5506" s="62" t="n"/>
      <c r="B5506" s="63" t="n"/>
      <c r="C5506" s="64" t="n"/>
      <c r="D5506" s="64" t="n"/>
      <c r="E5506" s="63" t="n"/>
    </row>
    <row r="5507" ht="18" customHeight="1">
      <c r="A5507" s="62" t="n"/>
      <c r="B5507" s="63" t="n"/>
      <c r="C5507" s="64" t="n"/>
      <c r="D5507" s="64" t="n"/>
      <c r="E5507" s="63" t="n"/>
    </row>
    <row r="5508" ht="18" customHeight="1">
      <c r="A5508" s="62" t="n"/>
      <c r="B5508" s="63" t="n"/>
      <c r="C5508" s="64" t="n"/>
      <c r="D5508" s="64" t="n"/>
      <c r="E5508" s="63" t="n"/>
    </row>
    <row r="5509" ht="18" customHeight="1">
      <c r="A5509" s="62" t="n"/>
      <c r="B5509" s="63" t="n"/>
      <c r="C5509" s="64" t="n"/>
      <c r="D5509" s="64" t="n"/>
      <c r="E5509" s="63" t="n"/>
    </row>
    <row r="5510" ht="18" customHeight="1">
      <c r="A5510" s="62" t="n"/>
      <c r="B5510" s="63" t="n"/>
      <c r="C5510" s="64" t="n"/>
      <c r="D5510" s="64" t="n"/>
      <c r="E5510" s="63" t="n"/>
    </row>
    <row r="5511" ht="18" customHeight="1">
      <c r="A5511" s="62" t="n"/>
      <c r="B5511" s="63" t="n"/>
      <c r="C5511" s="64" t="n"/>
      <c r="D5511" s="64" t="n"/>
      <c r="E5511" s="63" t="n"/>
    </row>
    <row r="5512" ht="18" customHeight="1">
      <c r="A5512" s="62" t="n"/>
      <c r="B5512" s="63" t="n"/>
      <c r="C5512" s="64" t="n"/>
      <c r="D5512" s="64" t="n"/>
      <c r="E5512" s="63" t="n"/>
    </row>
    <row r="5513" ht="18" customHeight="1">
      <c r="A5513" s="62" t="n"/>
      <c r="B5513" s="63" t="n"/>
      <c r="C5513" s="64" t="n"/>
      <c r="D5513" s="64" t="n"/>
      <c r="E5513" s="63" t="n"/>
    </row>
    <row r="5514" ht="18" customHeight="1">
      <c r="A5514" s="62" t="n"/>
      <c r="B5514" s="63" t="n"/>
      <c r="C5514" s="64" t="n"/>
      <c r="D5514" s="64" t="n"/>
      <c r="E5514" s="63" t="n"/>
    </row>
    <row r="5515" ht="18" customHeight="1">
      <c r="A5515" s="62" t="n"/>
      <c r="B5515" s="63" t="n"/>
      <c r="C5515" s="64" t="n"/>
      <c r="D5515" s="64" t="n"/>
      <c r="E5515" s="63" t="n"/>
    </row>
    <row r="5516" ht="18" customHeight="1">
      <c r="A5516" s="62" t="n"/>
      <c r="B5516" s="63" t="n"/>
      <c r="C5516" s="64" t="n"/>
      <c r="D5516" s="64" t="n"/>
      <c r="E5516" s="63" t="n"/>
    </row>
    <row r="5517" ht="18" customHeight="1">
      <c r="A5517" s="62" t="n"/>
      <c r="B5517" s="63" t="n"/>
      <c r="C5517" s="64" t="n"/>
      <c r="D5517" s="64" t="n"/>
      <c r="E5517" s="63" t="n"/>
    </row>
    <row r="5518" ht="18" customHeight="1">
      <c r="A5518" s="62" t="n"/>
      <c r="B5518" s="63" t="n"/>
      <c r="C5518" s="64" t="n"/>
      <c r="D5518" s="64" t="n"/>
      <c r="E5518" s="63" t="n"/>
    </row>
    <row r="5519" ht="18" customHeight="1">
      <c r="A5519" s="62" t="n"/>
      <c r="B5519" s="63" t="n"/>
      <c r="C5519" s="64" t="n"/>
      <c r="D5519" s="64" t="n"/>
      <c r="E5519" s="63" t="n"/>
    </row>
    <row r="5520" ht="18" customHeight="1">
      <c r="A5520" s="62" t="n"/>
      <c r="B5520" s="63" t="n"/>
      <c r="C5520" s="64" t="n"/>
      <c r="D5520" s="64" t="n"/>
      <c r="E5520" s="63" t="n"/>
    </row>
    <row r="5521" ht="18" customHeight="1">
      <c r="A5521" s="62" t="n"/>
      <c r="B5521" s="63" t="n"/>
      <c r="C5521" s="64" t="n"/>
      <c r="D5521" s="64" t="n"/>
      <c r="E5521" s="63" t="n"/>
    </row>
    <row r="5522" ht="18" customHeight="1">
      <c r="A5522" s="62" t="n"/>
      <c r="B5522" s="63" t="n"/>
      <c r="C5522" s="64" t="n"/>
      <c r="D5522" s="64" t="n"/>
      <c r="E5522" s="63" t="n"/>
    </row>
    <row r="5523" ht="18" customHeight="1">
      <c r="A5523" s="62" t="n"/>
      <c r="B5523" s="63" t="n"/>
      <c r="C5523" s="64" t="n"/>
      <c r="D5523" s="64" t="n"/>
      <c r="E5523" s="63" t="n"/>
    </row>
    <row r="5524" ht="18" customHeight="1">
      <c r="A5524" s="62" t="n"/>
      <c r="B5524" s="63" t="n"/>
      <c r="C5524" s="64" t="n"/>
      <c r="D5524" s="64" t="n"/>
      <c r="E5524" s="63" t="n"/>
    </row>
    <row r="5525" ht="18" customHeight="1">
      <c r="A5525" s="62" t="n"/>
      <c r="B5525" s="63" t="n"/>
      <c r="C5525" s="64" t="n"/>
      <c r="D5525" s="64" t="n"/>
      <c r="E5525" s="63" t="n"/>
    </row>
    <row r="5526" ht="18" customHeight="1">
      <c r="A5526" s="62" t="n"/>
      <c r="B5526" s="63" t="n"/>
      <c r="C5526" s="64" t="n"/>
      <c r="D5526" s="64" t="n"/>
      <c r="E5526" s="63" t="n"/>
    </row>
    <row r="5527" ht="18" customHeight="1">
      <c r="A5527" s="62" t="n"/>
      <c r="B5527" s="63" t="n"/>
      <c r="C5527" s="64" t="n"/>
      <c r="D5527" s="64" t="n"/>
      <c r="E5527" s="63" t="n"/>
    </row>
    <row r="5528" ht="18" customHeight="1">
      <c r="A5528" s="62" t="n"/>
      <c r="B5528" s="63" t="n"/>
      <c r="C5528" s="64" t="n"/>
      <c r="D5528" s="64" t="n"/>
      <c r="E5528" s="63" t="n"/>
    </row>
    <row r="5529" ht="18" customHeight="1">
      <c r="A5529" s="62" t="n"/>
      <c r="B5529" s="63" t="n"/>
      <c r="C5529" s="64" t="n"/>
      <c r="D5529" s="64" t="n"/>
      <c r="E5529" s="63" t="n"/>
    </row>
    <row r="5530" ht="18" customHeight="1">
      <c r="A5530" s="62" t="n"/>
      <c r="B5530" s="63" t="n"/>
      <c r="C5530" s="64" t="n"/>
      <c r="D5530" s="64" t="n"/>
      <c r="E5530" s="63" t="n"/>
    </row>
    <row r="5531" ht="18" customHeight="1">
      <c r="A5531" s="62" t="n"/>
      <c r="B5531" s="63" t="n"/>
      <c r="C5531" s="64" t="n"/>
      <c r="D5531" s="64" t="n"/>
      <c r="E5531" s="63" t="n"/>
    </row>
    <row r="5532" ht="18" customHeight="1">
      <c r="A5532" s="62" t="n"/>
      <c r="B5532" s="63" t="n"/>
      <c r="C5532" s="64" t="n"/>
      <c r="D5532" s="64" t="n"/>
      <c r="E5532" s="63" t="n"/>
    </row>
    <row r="5533" ht="18" customHeight="1">
      <c r="A5533" s="62" t="n"/>
      <c r="B5533" s="63" t="n"/>
      <c r="C5533" s="64" t="n"/>
      <c r="D5533" s="64" t="n"/>
      <c r="E5533" s="63" t="n"/>
    </row>
    <row r="5534" ht="18" customHeight="1">
      <c r="A5534" s="62" t="n"/>
      <c r="B5534" s="63" t="n"/>
      <c r="C5534" s="64" t="n"/>
      <c r="D5534" s="64" t="n"/>
      <c r="E5534" s="63" t="n"/>
    </row>
    <row r="5535" ht="18" customHeight="1">
      <c r="A5535" s="62" t="n"/>
      <c r="B5535" s="63" t="n"/>
      <c r="C5535" s="64" t="n"/>
      <c r="D5535" s="64" t="n"/>
      <c r="E5535" s="63" t="n"/>
    </row>
    <row r="5536" ht="18" customHeight="1">
      <c r="A5536" s="62" t="n"/>
      <c r="B5536" s="63" t="n"/>
      <c r="C5536" s="64" t="n"/>
      <c r="D5536" s="64" t="n"/>
      <c r="E5536" s="63" t="n"/>
    </row>
    <row r="5537" ht="18" customHeight="1">
      <c r="A5537" s="62" t="n"/>
      <c r="B5537" s="63" t="n"/>
      <c r="C5537" s="64" t="n"/>
      <c r="D5537" s="64" t="n"/>
      <c r="E5537" s="63" t="n"/>
    </row>
    <row r="5538" ht="18" customHeight="1">
      <c r="A5538" s="62" t="n"/>
      <c r="B5538" s="63" t="n"/>
      <c r="C5538" s="64" t="n"/>
      <c r="D5538" s="64" t="n"/>
      <c r="E5538" s="63" t="n"/>
    </row>
    <row r="5539" ht="18" customHeight="1">
      <c r="A5539" s="62" t="n"/>
      <c r="B5539" s="63" t="n"/>
      <c r="C5539" s="64" t="n"/>
      <c r="D5539" s="64" t="n"/>
      <c r="E5539" s="63" t="n"/>
    </row>
    <row r="5540" ht="18" customHeight="1">
      <c r="A5540" s="62" t="n"/>
      <c r="B5540" s="63" t="n"/>
      <c r="C5540" s="64" t="n"/>
      <c r="D5540" s="64" t="n"/>
      <c r="E5540" s="63" t="n"/>
    </row>
    <row r="5541" ht="18" customHeight="1">
      <c r="A5541" s="62" t="n"/>
      <c r="B5541" s="63" t="n"/>
      <c r="C5541" s="64" t="n"/>
      <c r="D5541" s="64" t="n"/>
      <c r="E5541" s="63" t="n"/>
    </row>
    <row r="5542" ht="18" customHeight="1">
      <c r="A5542" s="62" t="n"/>
      <c r="B5542" s="63" t="n"/>
      <c r="C5542" s="64" t="n"/>
      <c r="D5542" s="64" t="n"/>
      <c r="E5542" s="63" t="n"/>
    </row>
    <row r="5543" ht="18" customHeight="1">
      <c r="A5543" s="62" t="n"/>
      <c r="B5543" s="63" t="n"/>
      <c r="C5543" s="64" t="n"/>
      <c r="D5543" s="64" t="n"/>
      <c r="E5543" s="63" t="n"/>
    </row>
    <row r="5544" ht="18" customHeight="1">
      <c r="A5544" s="62" t="n"/>
      <c r="B5544" s="63" t="n"/>
      <c r="C5544" s="64" t="n"/>
      <c r="D5544" s="64" t="n"/>
      <c r="E5544" s="63" t="n"/>
    </row>
    <row r="5545" ht="18" customHeight="1">
      <c r="A5545" s="62" t="n"/>
      <c r="B5545" s="63" t="n"/>
      <c r="C5545" s="64" t="n"/>
      <c r="D5545" s="64" t="n"/>
      <c r="E5545" s="63" t="n"/>
    </row>
    <row r="5546" ht="18" customHeight="1">
      <c r="A5546" s="62" t="n"/>
      <c r="B5546" s="63" t="n"/>
      <c r="C5546" s="64" t="n"/>
      <c r="D5546" s="64" t="n"/>
      <c r="E5546" s="63" t="n"/>
    </row>
    <row r="5547" ht="18" customHeight="1">
      <c r="A5547" s="62" t="n"/>
      <c r="B5547" s="63" t="n"/>
      <c r="C5547" s="64" t="n"/>
      <c r="D5547" s="64" t="n"/>
      <c r="E5547" s="63" t="n"/>
    </row>
    <row r="5548" ht="18" customHeight="1">
      <c r="A5548" s="62" t="n"/>
      <c r="B5548" s="63" t="n"/>
      <c r="C5548" s="64" t="n"/>
      <c r="D5548" s="64" t="n"/>
      <c r="E5548" s="63" t="n"/>
    </row>
    <row r="5549" ht="18" customHeight="1">
      <c r="A5549" s="62" t="n"/>
      <c r="B5549" s="63" t="n"/>
      <c r="C5549" s="64" t="n"/>
      <c r="D5549" s="64" t="n"/>
      <c r="E5549" s="63" t="n"/>
    </row>
    <row r="5550" ht="18" customHeight="1">
      <c r="A5550" s="62" t="n"/>
      <c r="B5550" s="63" t="n"/>
      <c r="C5550" s="64" t="n"/>
      <c r="D5550" s="64" t="n"/>
      <c r="E5550" s="63" t="n"/>
    </row>
    <row r="5551" ht="18" customHeight="1">
      <c r="A5551" s="62" t="n"/>
      <c r="B5551" s="63" t="n"/>
      <c r="C5551" s="64" t="n"/>
      <c r="D5551" s="64" t="n"/>
      <c r="E5551" s="63" t="n"/>
    </row>
    <row r="5552" ht="18" customHeight="1">
      <c r="A5552" s="62" t="n"/>
      <c r="B5552" s="63" t="n"/>
      <c r="C5552" s="64" t="n"/>
      <c r="D5552" s="64" t="n"/>
      <c r="E5552" s="63" t="n"/>
    </row>
    <row r="5553" ht="18" customHeight="1">
      <c r="A5553" s="62" t="n"/>
      <c r="B5553" s="63" t="n"/>
      <c r="C5553" s="64" t="n"/>
      <c r="D5553" s="64" t="n"/>
      <c r="E5553" s="63" t="n"/>
    </row>
    <row r="5554" ht="18" customHeight="1">
      <c r="A5554" s="62" t="n"/>
      <c r="B5554" s="63" t="n"/>
      <c r="C5554" s="64" t="n"/>
      <c r="D5554" s="64" t="n"/>
      <c r="E5554" s="63" t="n"/>
    </row>
    <row r="5555" ht="18" customHeight="1">
      <c r="A5555" s="62" t="n"/>
      <c r="B5555" s="63" t="n"/>
      <c r="C5555" s="64" t="n"/>
      <c r="D5555" s="64" t="n"/>
      <c r="E5555" s="63" t="n"/>
    </row>
    <row r="5556" ht="18" customHeight="1">
      <c r="A5556" s="62" t="n"/>
      <c r="B5556" s="63" t="n"/>
      <c r="C5556" s="64" t="n"/>
      <c r="D5556" s="64" t="n"/>
      <c r="E5556" s="63" t="n"/>
    </row>
    <row r="5557" ht="18" customHeight="1">
      <c r="A5557" s="62" t="n"/>
      <c r="B5557" s="63" t="n"/>
      <c r="C5557" s="64" t="n"/>
      <c r="D5557" s="64" t="n"/>
      <c r="E5557" s="63" t="n"/>
    </row>
    <row r="5558" ht="18" customHeight="1">
      <c r="A5558" s="62" t="n"/>
      <c r="B5558" s="63" t="n"/>
      <c r="C5558" s="64" t="n"/>
      <c r="D5558" s="64" t="n"/>
      <c r="E5558" s="63" t="n"/>
    </row>
    <row r="5559" ht="18" customHeight="1">
      <c r="A5559" s="62" t="n"/>
      <c r="B5559" s="63" t="n"/>
      <c r="C5559" s="64" t="n"/>
      <c r="D5559" s="64" t="n"/>
      <c r="E5559" s="63" t="n"/>
    </row>
    <row r="5560" ht="18" customHeight="1">
      <c r="A5560" s="62" t="n"/>
      <c r="B5560" s="63" t="n"/>
      <c r="C5560" s="64" t="n"/>
      <c r="D5560" s="64" t="n"/>
      <c r="E5560" s="63" t="n"/>
    </row>
    <row r="5561" ht="18" customHeight="1">
      <c r="A5561" s="62" t="n"/>
      <c r="B5561" s="63" t="n"/>
      <c r="C5561" s="64" t="n"/>
      <c r="D5561" s="64" t="n"/>
      <c r="E5561" s="63" t="n"/>
    </row>
    <row r="5562" ht="18" customHeight="1">
      <c r="A5562" s="62" t="n"/>
      <c r="B5562" s="63" t="n"/>
      <c r="C5562" s="64" t="n"/>
      <c r="D5562" s="64" t="n"/>
      <c r="E5562" s="63" t="n"/>
    </row>
    <row r="5563" ht="18" customHeight="1">
      <c r="A5563" s="62" t="n"/>
      <c r="B5563" s="63" t="n"/>
      <c r="C5563" s="64" t="n"/>
      <c r="D5563" s="64" t="n"/>
      <c r="E5563" s="63" t="n"/>
    </row>
    <row r="5564" ht="18" customHeight="1">
      <c r="A5564" s="62" t="n"/>
      <c r="B5564" s="63" t="n"/>
      <c r="C5564" s="64" t="n"/>
      <c r="D5564" s="64" t="n"/>
      <c r="E5564" s="63" t="n"/>
    </row>
    <row r="5565" ht="18" customHeight="1">
      <c r="A5565" s="62" t="n"/>
      <c r="B5565" s="63" t="n"/>
      <c r="C5565" s="64" t="n"/>
      <c r="D5565" s="64" t="n"/>
      <c r="E5565" s="63" t="n"/>
    </row>
    <row r="5566" ht="18" customHeight="1">
      <c r="A5566" s="62" t="n"/>
      <c r="B5566" s="63" t="n"/>
      <c r="C5566" s="64" t="n"/>
      <c r="D5566" s="64" t="n"/>
      <c r="E5566" s="63" t="n"/>
    </row>
    <row r="5567" ht="18" customHeight="1">
      <c r="A5567" s="62" t="n"/>
      <c r="B5567" s="63" t="n"/>
      <c r="C5567" s="64" t="n"/>
      <c r="D5567" s="64" t="n"/>
      <c r="E5567" s="63" t="n"/>
    </row>
    <row r="5568" ht="18" customHeight="1">
      <c r="A5568" s="62" t="n"/>
      <c r="B5568" s="63" t="n"/>
      <c r="C5568" s="64" t="n"/>
      <c r="D5568" s="64" t="n"/>
      <c r="E5568" s="63" t="n"/>
    </row>
    <row r="5569" ht="18" customHeight="1">
      <c r="A5569" s="62" t="n"/>
      <c r="B5569" s="63" t="n"/>
      <c r="C5569" s="64" t="n"/>
      <c r="D5569" s="64" t="n"/>
      <c r="E5569" s="63" t="n"/>
    </row>
    <row r="5570" ht="18" customHeight="1">
      <c r="A5570" s="62" t="n"/>
      <c r="B5570" s="63" t="n"/>
      <c r="C5570" s="64" t="n"/>
      <c r="D5570" s="64" t="n"/>
      <c r="E5570" s="63" t="n"/>
    </row>
    <row r="5571" ht="18" customHeight="1">
      <c r="A5571" s="62" t="n"/>
      <c r="B5571" s="63" t="n"/>
      <c r="C5571" s="64" t="n"/>
      <c r="D5571" s="64" t="n"/>
      <c r="E5571" s="63" t="n"/>
    </row>
    <row r="5572" ht="18" customHeight="1">
      <c r="A5572" s="62" t="n"/>
      <c r="B5572" s="63" t="n"/>
      <c r="C5572" s="64" t="n"/>
      <c r="D5572" s="64" t="n"/>
      <c r="E5572" s="63" t="n"/>
    </row>
    <row r="5573" ht="18" customHeight="1">
      <c r="A5573" s="62" t="n"/>
      <c r="B5573" s="63" t="n"/>
      <c r="C5573" s="64" t="n"/>
      <c r="D5573" s="64" t="n"/>
      <c r="E5573" s="63" t="n"/>
    </row>
    <row r="5574" ht="18" customHeight="1">
      <c r="A5574" s="62" t="n"/>
      <c r="B5574" s="63" t="n"/>
      <c r="C5574" s="64" t="n"/>
      <c r="D5574" s="64" t="n"/>
      <c r="E5574" s="63" t="n"/>
    </row>
    <row r="5575" ht="18" customHeight="1">
      <c r="A5575" s="62" t="n"/>
      <c r="B5575" s="63" t="n"/>
      <c r="C5575" s="64" t="n"/>
      <c r="D5575" s="64" t="n"/>
      <c r="E5575" s="63" t="n"/>
    </row>
    <row r="5576" ht="18" customHeight="1">
      <c r="A5576" s="62" t="n"/>
      <c r="B5576" s="63" t="n"/>
      <c r="C5576" s="64" t="n"/>
      <c r="D5576" s="64" t="n"/>
      <c r="E5576" s="63" t="n"/>
    </row>
    <row r="5577" ht="18" customHeight="1">
      <c r="A5577" s="62" t="n"/>
      <c r="B5577" s="63" t="n"/>
      <c r="C5577" s="64" t="n"/>
      <c r="D5577" s="64" t="n"/>
      <c r="E5577" s="63" t="n"/>
    </row>
    <row r="5578" ht="18" customHeight="1">
      <c r="A5578" s="62" t="n"/>
      <c r="B5578" s="63" t="n"/>
      <c r="C5578" s="64" t="n"/>
      <c r="D5578" s="64" t="n"/>
      <c r="E5578" s="63" t="n"/>
    </row>
    <row r="5579" ht="18" customHeight="1">
      <c r="A5579" s="62" t="n"/>
      <c r="B5579" s="63" t="n"/>
      <c r="C5579" s="64" t="n"/>
      <c r="D5579" s="64" t="n"/>
      <c r="E5579" s="63" t="n"/>
    </row>
    <row r="5580" ht="18" customHeight="1">
      <c r="A5580" s="62" t="n"/>
      <c r="B5580" s="63" t="n"/>
      <c r="C5580" s="64" t="n"/>
      <c r="D5580" s="64" t="n"/>
      <c r="E5580" s="63" t="n"/>
    </row>
    <row r="5581" ht="18" customHeight="1">
      <c r="A5581" s="62" t="n"/>
      <c r="B5581" s="63" t="n"/>
      <c r="C5581" s="64" t="n"/>
      <c r="D5581" s="64" t="n"/>
      <c r="E5581" s="63" t="n"/>
    </row>
    <row r="5582" ht="18" customHeight="1">
      <c r="A5582" s="62" t="n"/>
      <c r="B5582" s="63" t="n"/>
      <c r="C5582" s="64" t="n"/>
      <c r="D5582" s="64" t="n"/>
      <c r="E5582" s="63" t="n"/>
    </row>
    <row r="5583" ht="18" customHeight="1">
      <c r="A5583" s="62" t="n"/>
      <c r="B5583" s="63" t="n"/>
      <c r="C5583" s="64" t="n"/>
      <c r="D5583" s="64" t="n"/>
      <c r="E5583" s="63" t="n"/>
    </row>
    <row r="5584" ht="18" customHeight="1">
      <c r="A5584" s="62" t="n"/>
      <c r="B5584" s="63" t="n"/>
      <c r="C5584" s="64" t="n"/>
      <c r="D5584" s="64" t="n"/>
      <c r="E5584" s="63" t="n"/>
    </row>
    <row r="5585" ht="18" customHeight="1">
      <c r="A5585" s="62" t="n"/>
      <c r="B5585" s="63" t="n"/>
      <c r="C5585" s="64" t="n"/>
      <c r="D5585" s="64" t="n"/>
      <c r="E5585" s="63" t="n"/>
    </row>
    <row r="5586" ht="18" customHeight="1">
      <c r="A5586" s="62" t="n"/>
      <c r="B5586" s="63" t="n"/>
      <c r="C5586" s="64" t="n"/>
      <c r="D5586" s="64" t="n"/>
      <c r="E5586" s="63" t="n"/>
    </row>
    <row r="5587" ht="18" customHeight="1">
      <c r="A5587" s="62" t="n"/>
      <c r="B5587" s="63" t="n"/>
      <c r="C5587" s="64" t="n"/>
      <c r="D5587" s="64" t="n"/>
      <c r="E5587" s="63" t="n"/>
    </row>
    <row r="5588" ht="18" customHeight="1">
      <c r="A5588" s="62" t="n"/>
      <c r="B5588" s="63" t="n"/>
      <c r="C5588" s="64" t="n"/>
      <c r="D5588" s="64" t="n"/>
      <c r="E5588" s="63" t="n"/>
    </row>
    <row r="5589" ht="18" customHeight="1">
      <c r="A5589" s="62" t="n"/>
      <c r="B5589" s="63" t="n"/>
      <c r="C5589" s="64" t="n"/>
      <c r="D5589" s="64" t="n"/>
      <c r="E5589" s="63" t="n"/>
    </row>
    <row r="5590" ht="18" customHeight="1">
      <c r="A5590" s="62" t="n"/>
      <c r="B5590" s="63" t="n"/>
      <c r="C5590" s="64" t="n"/>
      <c r="D5590" s="64" t="n"/>
      <c r="E5590" s="63" t="n"/>
    </row>
    <row r="5591" ht="18" customHeight="1">
      <c r="A5591" s="62" t="n"/>
      <c r="B5591" s="63" t="n"/>
      <c r="C5591" s="64" t="n"/>
      <c r="D5591" s="64" t="n"/>
      <c r="E5591" s="63" t="n"/>
    </row>
    <row r="5592" ht="18" customHeight="1">
      <c r="A5592" s="62" t="n"/>
      <c r="B5592" s="63" t="n"/>
      <c r="C5592" s="64" t="n"/>
      <c r="D5592" s="64" t="n"/>
      <c r="E5592" s="63" t="n"/>
    </row>
    <row r="5593" ht="18" customHeight="1">
      <c r="A5593" s="62" t="n"/>
      <c r="B5593" s="63" t="n"/>
      <c r="C5593" s="64" t="n"/>
      <c r="D5593" s="64" t="n"/>
      <c r="E5593" s="63" t="n"/>
    </row>
    <row r="5594" ht="18" customHeight="1">
      <c r="A5594" s="62" t="n"/>
      <c r="B5594" s="63" t="n"/>
      <c r="C5594" s="64" t="n"/>
      <c r="D5594" s="64" t="n"/>
      <c r="E5594" s="63" t="n"/>
    </row>
    <row r="5595" ht="18" customHeight="1">
      <c r="A5595" s="62" t="n"/>
      <c r="B5595" s="63" t="n"/>
      <c r="C5595" s="64" t="n"/>
      <c r="D5595" s="64" t="n"/>
      <c r="E5595" s="63" t="n"/>
    </row>
    <row r="5596" ht="18" customHeight="1">
      <c r="A5596" s="62" t="n"/>
      <c r="B5596" s="63" t="n"/>
      <c r="C5596" s="64" t="n"/>
      <c r="D5596" s="64" t="n"/>
      <c r="E5596" s="63" t="n"/>
    </row>
    <row r="5597" ht="18" customHeight="1">
      <c r="A5597" s="62" t="n"/>
      <c r="B5597" s="63" t="n"/>
      <c r="C5597" s="64" t="n"/>
      <c r="D5597" s="64" t="n"/>
      <c r="E5597" s="63" t="n"/>
    </row>
    <row r="5598" ht="18" customHeight="1">
      <c r="A5598" s="62" t="n"/>
      <c r="B5598" s="63" t="n"/>
      <c r="C5598" s="64" t="n"/>
      <c r="D5598" s="64" t="n"/>
      <c r="E5598" s="63" t="n"/>
    </row>
    <row r="5599" ht="18" customHeight="1">
      <c r="A5599" s="62" t="n"/>
      <c r="B5599" s="63" t="n"/>
      <c r="C5599" s="64" t="n"/>
      <c r="D5599" s="64" t="n"/>
      <c r="E5599" s="63" t="n"/>
    </row>
    <row r="5600" ht="18" customHeight="1">
      <c r="A5600" s="62" t="n"/>
      <c r="B5600" s="63" t="n"/>
      <c r="C5600" s="64" t="n"/>
      <c r="D5600" s="64" t="n"/>
      <c r="E5600" s="63" t="n"/>
    </row>
    <row r="5601" ht="18" customHeight="1">
      <c r="A5601" s="62" t="n"/>
      <c r="B5601" s="63" t="n"/>
      <c r="C5601" s="64" t="n"/>
      <c r="D5601" s="64" t="n"/>
      <c r="E5601" s="63" t="n"/>
    </row>
    <row r="5602" ht="18" customHeight="1">
      <c r="A5602" s="62" t="n"/>
      <c r="B5602" s="63" t="n"/>
      <c r="C5602" s="64" t="n"/>
      <c r="D5602" s="64" t="n"/>
      <c r="E5602" s="63" t="n"/>
    </row>
    <row r="5603" ht="18" customHeight="1">
      <c r="A5603" s="62" t="n"/>
      <c r="B5603" s="63" t="n"/>
      <c r="C5603" s="64" t="n"/>
      <c r="D5603" s="64" t="n"/>
      <c r="E5603" s="63" t="n"/>
    </row>
    <row r="5604" ht="18" customHeight="1">
      <c r="A5604" s="62" t="n"/>
      <c r="B5604" s="63" t="n"/>
      <c r="C5604" s="64" t="n"/>
      <c r="D5604" s="64" t="n"/>
      <c r="E5604" s="63" t="n"/>
    </row>
    <row r="5605" ht="18" customHeight="1">
      <c r="A5605" s="62" t="n"/>
      <c r="B5605" s="63" t="n"/>
      <c r="C5605" s="64" t="n"/>
      <c r="D5605" s="64" t="n"/>
      <c r="E5605" s="63" t="n"/>
    </row>
    <row r="5606" ht="18" customHeight="1">
      <c r="A5606" s="62" t="n"/>
      <c r="B5606" s="63" t="n"/>
      <c r="C5606" s="64" t="n"/>
      <c r="D5606" s="64" t="n"/>
      <c r="E5606" s="63" t="n"/>
    </row>
    <row r="5607" ht="18" customHeight="1">
      <c r="A5607" s="62" t="n"/>
      <c r="B5607" s="63" t="n"/>
      <c r="C5607" s="64" t="n"/>
      <c r="D5607" s="64" t="n"/>
      <c r="E5607" s="63" t="n"/>
    </row>
    <row r="5608" ht="18" customHeight="1">
      <c r="A5608" s="62" t="n"/>
      <c r="B5608" s="63" t="n"/>
      <c r="C5608" s="64" t="n"/>
      <c r="D5608" s="64" t="n"/>
      <c r="E5608" s="63" t="n"/>
    </row>
    <row r="5609" ht="18" customHeight="1">
      <c r="A5609" s="62" t="n"/>
      <c r="B5609" s="63" t="n"/>
      <c r="C5609" s="64" t="n"/>
      <c r="D5609" s="64" t="n"/>
      <c r="E5609" s="63" t="n"/>
    </row>
    <row r="5610" ht="18" customHeight="1">
      <c r="A5610" s="62" t="n"/>
      <c r="B5610" s="63" t="n"/>
      <c r="C5610" s="64" t="n"/>
      <c r="D5610" s="64" t="n"/>
      <c r="E5610" s="63" t="n"/>
    </row>
    <row r="5611" ht="18" customHeight="1">
      <c r="A5611" s="62" t="n"/>
      <c r="B5611" s="63" t="n"/>
      <c r="C5611" s="64" t="n"/>
      <c r="D5611" s="64" t="n"/>
      <c r="E5611" s="63" t="n"/>
    </row>
    <row r="5612" ht="18" customHeight="1">
      <c r="A5612" s="62" t="n"/>
      <c r="B5612" s="63" t="n"/>
      <c r="C5612" s="64" t="n"/>
      <c r="D5612" s="64" t="n"/>
      <c r="E5612" s="63" t="n"/>
    </row>
    <row r="5613" ht="18" customHeight="1">
      <c r="A5613" s="62" t="n"/>
      <c r="B5613" s="63" t="n"/>
      <c r="C5613" s="64" t="n"/>
      <c r="D5613" s="64" t="n"/>
      <c r="E5613" s="63" t="n"/>
    </row>
    <row r="5614" ht="18" customHeight="1">
      <c r="A5614" s="62" t="n"/>
      <c r="B5614" s="63" t="n"/>
      <c r="C5614" s="64" t="n"/>
      <c r="D5614" s="64" t="n"/>
      <c r="E5614" s="63" t="n"/>
    </row>
    <row r="5615" ht="18" customHeight="1">
      <c r="A5615" s="62" t="n"/>
      <c r="B5615" s="63" t="n"/>
      <c r="C5615" s="64" t="n"/>
      <c r="D5615" s="64" t="n"/>
      <c r="E5615" s="63" t="n"/>
    </row>
    <row r="5616" ht="18" customHeight="1">
      <c r="A5616" s="62" t="n"/>
      <c r="B5616" s="63" t="n"/>
      <c r="C5616" s="64" t="n"/>
      <c r="D5616" s="64" t="n"/>
      <c r="E5616" s="63" t="n"/>
    </row>
    <row r="5617" ht="18" customHeight="1">
      <c r="A5617" s="62" t="n"/>
      <c r="B5617" s="63" t="n"/>
      <c r="C5617" s="64" t="n"/>
      <c r="D5617" s="64" t="n"/>
      <c r="E5617" s="63" t="n"/>
    </row>
    <row r="5618" ht="18" customHeight="1">
      <c r="A5618" s="62" t="n"/>
      <c r="B5618" s="63" t="n"/>
      <c r="C5618" s="64" t="n"/>
      <c r="D5618" s="64" t="n"/>
      <c r="E5618" s="63" t="n"/>
    </row>
    <row r="5619" ht="18" customHeight="1">
      <c r="A5619" s="62" t="n"/>
      <c r="B5619" s="63" t="n"/>
      <c r="C5619" s="64" t="n"/>
      <c r="D5619" s="64" t="n"/>
      <c r="E5619" s="63" t="n"/>
    </row>
    <row r="5620" ht="18" customHeight="1">
      <c r="A5620" s="62" t="n"/>
      <c r="B5620" s="63" t="n"/>
      <c r="C5620" s="64" t="n"/>
      <c r="D5620" s="64" t="n"/>
      <c r="E5620" s="63" t="n"/>
    </row>
    <row r="5621" ht="18" customHeight="1">
      <c r="A5621" s="62" t="n"/>
      <c r="B5621" s="63" t="n"/>
      <c r="C5621" s="64" t="n"/>
      <c r="D5621" s="64" t="n"/>
      <c r="E5621" s="63" t="n"/>
    </row>
    <row r="5622" ht="18" customHeight="1">
      <c r="A5622" s="62" t="n"/>
      <c r="B5622" s="63" t="n"/>
      <c r="C5622" s="64" t="n"/>
      <c r="D5622" s="64" t="n"/>
      <c r="E5622" s="63" t="n"/>
    </row>
    <row r="5623" ht="18" customHeight="1">
      <c r="A5623" s="62" t="n"/>
      <c r="B5623" s="63" t="n"/>
      <c r="C5623" s="64" t="n"/>
      <c r="D5623" s="64" t="n"/>
      <c r="E5623" s="63" t="n"/>
    </row>
    <row r="5624" ht="18" customHeight="1">
      <c r="A5624" s="62" t="n"/>
      <c r="B5624" s="63" t="n"/>
      <c r="C5624" s="64" t="n"/>
      <c r="D5624" s="64" t="n"/>
      <c r="E5624" s="63" t="n"/>
    </row>
    <row r="5625" ht="18" customHeight="1">
      <c r="A5625" s="62" t="n"/>
      <c r="B5625" s="63" t="n"/>
      <c r="C5625" s="64" t="n"/>
      <c r="D5625" s="64" t="n"/>
      <c r="E5625" s="63" t="n"/>
    </row>
    <row r="5626" ht="18" customHeight="1">
      <c r="A5626" s="62" t="n"/>
      <c r="B5626" s="63" t="n"/>
      <c r="C5626" s="64" t="n"/>
      <c r="D5626" s="64" t="n"/>
      <c r="E5626" s="63" t="n"/>
    </row>
    <row r="5627" ht="18" customHeight="1">
      <c r="A5627" s="62" t="n"/>
      <c r="B5627" s="63" t="n"/>
      <c r="C5627" s="64" t="n"/>
      <c r="D5627" s="64" t="n"/>
      <c r="E5627" s="63" t="n"/>
    </row>
    <row r="5628" ht="18" customHeight="1">
      <c r="A5628" s="62" t="n"/>
      <c r="B5628" s="63" t="n"/>
      <c r="C5628" s="64" t="n"/>
      <c r="D5628" s="64" t="n"/>
      <c r="E5628" s="63" t="n"/>
    </row>
    <row r="5629" ht="18" customHeight="1">
      <c r="A5629" s="62" t="n"/>
      <c r="B5629" s="63" t="n"/>
      <c r="C5629" s="64" t="n"/>
      <c r="D5629" s="64" t="n"/>
      <c r="E5629" s="63" t="n"/>
    </row>
    <row r="5630" ht="18" customHeight="1">
      <c r="A5630" s="62" t="n"/>
      <c r="B5630" s="63" t="n"/>
      <c r="C5630" s="64" t="n"/>
      <c r="D5630" s="64" t="n"/>
      <c r="E5630" s="63" t="n"/>
    </row>
    <row r="5631" ht="18" customHeight="1">
      <c r="A5631" s="62" t="n"/>
      <c r="B5631" s="63" t="n"/>
      <c r="C5631" s="64" t="n"/>
      <c r="D5631" s="64" t="n"/>
      <c r="E5631" s="63" t="n"/>
    </row>
    <row r="5632" ht="18" customHeight="1">
      <c r="A5632" s="62" t="n"/>
      <c r="B5632" s="63" t="n"/>
      <c r="C5632" s="64" t="n"/>
      <c r="D5632" s="64" t="n"/>
      <c r="E5632" s="63" t="n"/>
    </row>
    <row r="5633" ht="18" customHeight="1">
      <c r="A5633" s="62" t="n"/>
      <c r="B5633" s="63" t="n"/>
      <c r="C5633" s="64" t="n"/>
      <c r="D5633" s="64" t="n"/>
      <c r="E5633" s="63" t="n"/>
    </row>
    <row r="5634" ht="18" customHeight="1">
      <c r="A5634" s="62" t="n"/>
      <c r="B5634" s="63" t="n"/>
      <c r="C5634" s="64" t="n"/>
      <c r="D5634" s="64" t="n"/>
      <c r="E5634" s="63" t="n"/>
    </row>
    <row r="5635" ht="18" customHeight="1">
      <c r="A5635" s="62" t="n"/>
      <c r="B5635" s="63" t="n"/>
      <c r="C5635" s="64" t="n"/>
      <c r="D5635" s="64" t="n"/>
      <c r="E5635" s="63" t="n"/>
    </row>
    <row r="5636" ht="18" customHeight="1">
      <c r="A5636" s="62" t="n"/>
      <c r="B5636" s="63" t="n"/>
      <c r="C5636" s="64" t="n"/>
      <c r="D5636" s="64" t="n"/>
      <c r="E5636" s="63" t="n"/>
    </row>
    <row r="5637" ht="18" customHeight="1">
      <c r="A5637" s="62" t="n"/>
      <c r="B5637" s="63" t="n"/>
      <c r="C5637" s="64" t="n"/>
      <c r="D5637" s="64" t="n"/>
      <c r="E5637" s="63" t="n"/>
    </row>
    <row r="5638" ht="18" customHeight="1">
      <c r="A5638" s="62" t="n"/>
      <c r="B5638" s="63" t="n"/>
      <c r="C5638" s="64" t="n"/>
      <c r="D5638" s="64" t="n"/>
      <c r="E5638" s="63" t="n"/>
    </row>
    <row r="5639" ht="18" customHeight="1">
      <c r="A5639" s="62" t="n"/>
      <c r="B5639" s="63" t="n"/>
      <c r="C5639" s="64" t="n"/>
      <c r="D5639" s="64" t="n"/>
      <c r="E5639" s="63" t="n"/>
    </row>
    <row r="5640" ht="18" customHeight="1">
      <c r="A5640" s="62" t="n"/>
      <c r="B5640" s="63" t="n"/>
      <c r="C5640" s="64" t="n"/>
      <c r="D5640" s="64" t="n"/>
      <c r="E5640" s="63" t="n"/>
    </row>
    <row r="5641" ht="18" customHeight="1">
      <c r="A5641" s="62" t="n"/>
      <c r="B5641" s="63" t="n"/>
      <c r="C5641" s="64" t="n"/>
      <c r="D5641" s="64" t="n"/>
      <c r="E5641" s="63" t="n"/>
    </row>
    <row r="5642" ht="18" customHeight="1">
      <c r="A5642" s="62" t="n"/>
      <c r="B5642" s="63" t="n"/>
      <c r="C5642" s="64" t="n"/>
      <c r="D5642" s="64" t="n"/>
      <c r="E5642" s="63" t="n"/>
    </row>
    <row r="5643" ht="18" customHeight="1">
      <c r="A5643" s="62" t="n"/>
      <c r="B5643" s="63" t="n"/>
      <c r="C5643" s="64" t="n"/>
      <c r="D5643" s="64" t="n"/>
      <c r="E5643" s="63" t="n"/>
    </row>
    <row r="5644" ht="18" customHeight="1">
      <c r="A5644" s="62" t="n"/>
      <c r="B5644" s="63" t="n"/>
      <c r="C5644" s="64" t="n"/>
      <c r="D5644" s="64" t="n"/>
      <c r="E5644" s="63" t="n"/>
    </row>
    <row r="5645" ht="18" customHeight="1">
      <c r="A5645" s="62" t="n"/>
      <c r="B5645" s="63" t="n"/>
      <c r="C5645" s="64" t="n"/>
      <c r="D5645" s="64" t="n"/>
      <c r="E5645" s="63" t="n"/>
    </row>
    <row r="5646" ht="18" customHeight="1">
      <c r="A5646" s="62" t="n"/>
      <c r="B5646" s="63" t="n"/>
      <c r="C5646" s="64" t="n"/>
      <c r="D5646" s="64" t="n"/>
      <c r="E5646" s="63" t="n"/>
    </row>
    <row r="5647" ht="18" customHeight="1">
      <c r="A5647" s="62" t="n"/>
      <c r="B5647" s="63" t="n"/>
      <c r="C5647" s="64" t="n"/>
      <c r="D5647" s="64" t="n"/>
      <c r="E5647" s="63" t="n"/>
    </row>
    <row r="5648" ht="18" customHeight="1">
      <c r="A5648" s="62" t="n"/>
      <c r="B5648" s="63" t="n"/>
      <c r="C5648" s="64" t="n"/>
      <c r="D5648" s="64" t="n"/>
      <c r="E5648" s="63" t="n"/>
    </row>
    <row r="5649" ht="18" customHeight="1">
      <c r="A5649" s="62" t="n"/>
      <c r="B5649" s="63" t="n"/>
      <c r="C5649" s="64" t="n"/>
      <c r="D5649" s="64" t="n"/>
      <c r="E5649" s="63" t="n"/>
    </row>
    <row r="5650" ht="18" customHeight="1">
      <c r="A5650" s="62" t="n"/>
      <c r="B5650" s="63" t="n"/>
      <c r="C5650" s="64" t="n"/>
      <c r="D5650" s="64" t="n"/>
      <c r="E5650" s="63" t="n"/>
    </row>
    <row r="5651" ht="18" customHeight="1">
      <c r="A5651" s="62" t="n"/>
      <c r="B5651" s="63" t="n"/>
      <c r="C5651" s="64" t="n"/>
      <c r="D5651" s="64" t="n"/>
      <c r="E5651" s="63" t="n"/>
    </row>
    <row r="5652" ht="18" customHeight="1">
      <c r="A5652" s="62" t="n"/>
      <c r="B5652" s="63" t="n"/>
      <c r="C5652" s="64" t="n"/>
      <c r="D5652" s="64" t="n"/>
      <c r="E5652" s="63" t="n"/>
    </row>
    <row r="5653" ht="18" customHeight="1">
      <c r="A5653" s="62" t="n"/>
      <c r="B5653" s="63" t="n"/>
      <c r="C5653" s="64" t="n"/>
      <c r="D5653" s="64" t="n"/>
      <c r="E5653" s="63" t="n"/>
    </row>
    <row r="5654" ht="18" customHeight="1">
      <c r="A5654" s="62" t="n"/>
      <c r="B5654" s="63" t="n"/>
      <c r="C5654" s="64" t="n"/>
      <c r="D5654" s="64" t="n"/>
      <c r="E5654" s="63" t="n"/>
    </row>
    <row r="5655" ht="18" customHeight="1">
      <c r="A5655" s="62" t="n"/>
      <c r="B5655" s="63" t="n"/>
      <c r="C5655" s="64" t="n"/>
      <c r="D5655" s="64" t="n"/>
      <c r="E5655" s="63" t="n"/>
    </row>
    <row r="5656" ht="18" customHeight="1">
      <c r="A5656" s="62" t="n"/>
      <c r="B5656" s="63" t="n"/>
      <c r="C5656" s="64" t="n"/>
      <c r="D5656" s="64" t="n"/>
      <c r="E5656" s="63" t="n"/>
    </row>
    <row r="5657" ht="18" customHeight="1">
      <c r="A5657" s="62" t="n"/>
      <c r="B5657" s="63" t="n"/>
      <c r="C5657" s="64" t="n"/>
      <c r="D5657" s="64" t="n"/>
      <c r="E5657" s="63" t="n"/>
    </row>
    <row r="5658" ht="18" customHeight="1">
      <c r="A5658" s="62" t="n"/>
      <c r="B5658" s="63" t="n"/>
      <c r="C5658" s="64" t="n"/>
      <c r="D5658" s="64" t="n"/>
      <c r="E5658" s="63" t="n"/>
    </row>
    <row r="5659" ht="18" customHeight="1">
      <c r="A5659" s="62" t="n"/>
      <c r="B5659" s="63" t="n"/>
      <c r="C5659" s="64" t="n"/>
      <c r="D5659" s="64" t="n"/>
      <c r="E5659" s="63" t="n"/>
    </row>
    <row r="5660" ht="18" customHeight="1">
      <c r="A5660" s="62" t="n"/>
      <c r="B5660" s="63" t="n"/>
      <c r="C5660" s="64" t="n"/>
      <c r="D5660" s="64" t="n"/>
      <c r="E5660" s="63" t="n"/>
    </row>
    <row r="5661" ht="18" customHeight="1">
      <c r="A5661" s="62" t="n"/>
      <c r="B5661" s="63" t="n"/>
      <c r="C5661" s="64" t="n"/>
      <c r="D5661" s="64" t="n"/>
      <c r="E5661" s="63" t="n"/>
    </row>
    <row r="5662" ht="18" customHeight="1">
      <c r="A5662" s="62" t="n"/>
      <c r="B5662" s="63" t="n"/>
      <c r="C5662" s="64" t="n"/>
      <c r="D5662" s="64" t="n"/>
      <c r="E5662" s="63" t="n"/>
    </row>
    <row r="5663" ht="18" customHeight="1">
      <c r="A5663" s="62" t="n"/>
      <c r="B5663" s="63" t="n"/>
      <c r="C5663" s="64" t="n"/>
      <c r="D5663" s="64" t="n"/>
      <c r="E5663" s="63" t="n"/>
    </row>
    <row r="5664" ht="18" customHeight="1">
      <c r="A5664" s="62" t="n"/>
      <c r="B5664" s="63" t="n"/>
      <c r="C5664" s="64" t="n"/>
      <c r="D5664" s="64" t="n"/>
      <c r="E5664" s="63" t="n"/>
    </row>
    <row r="5665" ht="18" customHeight="1">
      <c r="A5665" s="62" t="n"/>
      <c r="B5665" s="63" t="n"/>
      <c r="C5665" s="64" t="n"/>
      <c r="D5665" s="64" t="n"/>
      <c r="E5665" s="63" t="n"/>
    </row>
    <row r="5666" ht="18" customHeight="1">
      <c r="A5666" s="62" t="n"/>
      <c r="B5666" s="63" t="n"/>
      <c r="C5666" s="64" t="n"/>
      <c r="D5666" s="64" t="n"/>
      <c r="E5666" s="63" t="n"/>
    </row>
    <row r="5667" ht="18" customHeight="1">
      <c r="A5667" s="62" t="n"/>
      <c r="B5667" s="63" t="n"/>
      <c r="C5667" s="64" t="n"/>
      <c r="D5667" s="64" t="n"/>
      <c r="E5667" s="63" t="n"/>
    </row>
    <row r="5668" ht="18" customHeight="1">
      <c r="A5668" s="62" t="n"/>
      <c r="B5668" s="63" t="n"/>
      <c r="C5668" s="64" t="n"/>
      <c r="D5668" s="64" t="n"/>
      <c r="E5668" s="63" t="n"/>
    </row>
    <row r="5669" ht="18" customHeight="1">
      <c r="A5669" s="62" t="n"/>
      <c r="B5669" s="63" t="n"/>
      <c r="C5669" s="64" t="n"/>
      <c r="D5669" s="64" t="n"/>
      <c r="E5669" s="63" t="n"/>
    </row>
    <row r="5670" ht="18" customHeight="1">
      <c r="A5670" s="62" t="n"/>
      <c r="B5670" s="63" t="n"/>
      <c r="C5670" s="64" t="n"/>
      <c r="D5670" s="64" t="n"/>
      <c r="E5670" s="63" t="n"/>
    </row>
    <row r="5671" ht="18" customHeight="1">
      <c r="A5671" s="62" t="n"/>
      <c r="B5671" s="63" t="n"/>
      <c r="C5671" s="64" t="n"/>
      <c r="D5671" s="64" t="n"/>
      <c r="E5671" s="63" t="n"/>
    </row>
    <row r="5672" ht="18" customHeight="1">
      <c r="A5672" s="62" t="n"/>
      <c r="B5672" s="63" t="n"/>
      <c r="C5672" s="64" t="n"/>
      <c r="D5672" s="64" t="n"/>
      <c r="E5672" s="63" t="n"/>
    </row>
    <row r="5673" ht="18" customHeight="1">
      <c r="A5673" s="62" t="n"/>
      <c r="B5673" s="63" t="n"/>
      <c r="C5673" s="64" t="n"/>
      <c r="D5673" s="64" t="n"/>
      <c r="E5673" s="63" t="n"/>
    </row>
    <row r="5674" ht="18" customHeight="1">
      <c r="A5674" s="62" t="n"/>
      <c r="B5674" s="63" t="n"/>
      <c r="C5674" s="64" t="n"/>
      <c r="D5674" s="64" t="n"/>
      <c r="E5674" s="63" t="n"/>
    </row>
    <row r="5675" ht="18" customHeight="1">
      <c r="A5675" s="62" t="n"/>
      <c r="B5675" s="63" t="n"/>
      <c r="C5675" s="64" t="n"/>
      <c r="D5675" s="64" t="n"/>
      <c r="E5675" s="63" t="n"/>
    </row>
    <row r="5676" ht="18" customHeight="1">
      <c r="A5676" s="62" t="n"/>
      <c r="B5676" s="63" t="n"/>
      <c r="C5676" s="64" t="n"/>
      <c r="D5676" s="64" t="n"/>
      <c r="E5676" s="63" t="n"/>
    </row>
    <row r="5677" ht="18" customHeight="1">
      <c r="A5677" s="62" t="n"/>
      <c r="B5677" s="63" t="n"/>
      <c r="C5677" s="64" t="n"/>
      <c r="D5677" s="64" t="n"/>
      <c r="E5677" s="63" t="n"/>
    </row>
    <row r="5678" ht="18" customHeight="1">
      <c r="A5678" s="62" t="n"/>
      <c r="B5678" s="63" t="n"/>
      <c r="C5678" s="64" t="n"/>
      <c r="D5678" s="64" t="n"/>
      <c r="E5678" s="63" t="n"/>
    </row>
    <row r="5679" ht="18" customHeight="1">
      <c r="A5679" s="62" t="n"/>
      <c r="B5679" s="63" t="n"/>
      <c r="C5679" s="64" t="n"/>
      <c r="D5679" s="64" t="n"/>
      <c r="E5679" s="63" t="n"/>
    </row>
    <row r="5680" ht="18" customHeight="1">
      <c r="A5680" s="62" t="n"/>
      <c r="B5680" s="63" t="n"/>
      <c r="C5680" s="64" t="n"/>
      <c r="D5680" s="64" t="n"/>
      <c r="E5680" s="63" t="n"/>
    </row>
    <row r="5681" ht="18" customHeight="1">
      <c r="A5681" s="62" t="n"/>
      <c r="B5681" s="63" t="n"/>
      <c r="C5681" s="64" t="n"/>
      <c r="D5681" s="64" t="n"/>
      <c r="E5681" s="63" t="n"/>
    </row>
    <row r="5682" ht="18" customHeight="1">
      <c r="A5682" s="62" t="n"/>
      <c r="B5682" s="63" t="n"/>
      <c r="C5682" s="64" t="n"/>
      <c r="D5682" s="64" t="n"/>
      <c r="E5682" s="63" t="n"/>
    </row>
    <row r="5683" ht="18" customHeight="1">
      <c r="A5683" s="62" t="n"/>
      <c r="B5683" s="63" t="n"/>
      <c r="C5683" s="64" t="n"/>
      <c r="D5683" s="64" t="n"/>
      <c r="E5683" s="63" t="n"/>
    </row>
    <row r="5684" ht="18" customHeight="1">
      <c r="A5684" s="62" t="n"/>
      <c r="B5684" s="63" t="n"/>
      <c r="C5684" s="64" t="n"/>
      <c r="D5684" s="64" t="n"/>
      <c r="E5684" s="63" t="n"/>
    </row>
    <row r="5685" ht="18" customHeight="1">
      <c r="A5685" s="62" t="n"/>
      <c r="B5685" s="63" t="n"/>
      <c r="C5685" s="64" t="n"/>
      <c r="D5685" s="64" t="n"/>
      <c r="E5685" s="63" t="n"/>
    </row>
    <row r="5686" ht="18" customHeight="1">
      <c r="A5686" s="62" t="n"/>
      <c r="B5686" s="63" t="n"/>
      <c r="C5686" s="64" t="n"/>
      <c r="D5686" s="64" t="n"/>
      <c r="E5686" s="63" t="n"/>
    </row>
    <row r="5687" ht="18" customHeight="1">
      <c r="A5687" s="62" t="n"/>
      <c r="B5687" s="63" t="n"/>
      <c r="C5687" s="64" t="n"/>
      <c r="D5687" s="64" t="n"/>
      <c r="E5687" s="63" t="n"/>
    </row>
    <row r="5688" ht="18" customHeight="1">
      <c r="A5688" s="62" t="n"/>
      <c r="B5688" s="63" t="n"/>
      <c r="C5688" s="64" t="n"/>
      <c r="D5688" s="64" t="n"/>
      <c r="E5688" s="63" t="n"/>
    </row>
    <row r="5689" ht="18" customHeight="1">
      <c r="A5689" s="62" t="n"/>
      <c r="B5689" s="63" t="n"/>
      <c r="C5689" s="64" t="n"/>
      <c r="D5689" s="64" t="n"/>
      <c r="E5689" s="63" t="n"/>
    </row>
    <row r="5690" ht="18" customHeight="1">
      <c r="A5690" s="62" t="n"/>
      <c r="B5690" s="63" t="n"/>
      <c r="C5690" s="64" t="n"/>
      <c r="D5690" s="64" t="n"/>
      <c r="E5690" s="63" t="n"/>
    </row>
    <row r="5691" ht="18" customHeight="1">
      <c r="A5691" s="62" t="n"/>
      <c r="B5691" s="63" t="n"/>
      <c r="C5691" s="64" t="n"/>
      <c r="D5691" s="64" t="n"/>
      <c r="E5691" s="63" t="n"/>
    </row>
    <row r="5692" ht="18" customHeight="1">
      <c r="A5692" s="62" t="n"/>
      <c r="B5692" s="63" t="n"/>
      <c r="C5692" s="64" t="n"/>
      <c r="D5692" s="64" t="n"/>
      <c r="E5692" s="63" t="n"/>
    </row>
    <row r="5693" ht="18" customHeight="1">
      <c r="A5693" s="62" t="n"/>
      <c r="B5693" s="63" t="n"/>
      <c r="C5693" s="64" t="n"/>
      <c r="D5693" s="64" t="n"/>
      <c r="E5693" s="63" t="n"/>
    </row>
    <row r="5694" ht="18" customHeight="1">
      <c r="A5694" s="62" t="n"/>
      <c r="B5694" s="63" t="n"/>
      <c r="C5694" s="64" t="n"/>
      <c r="D5694" s="64" t="n"/>
      <c r="E5694" s="63" t="n"/>
    </row>
    <row r="5695" ht="18" customHeight="1">
      <c r="A5695" s="62" t="n"/>
      <c r="B5695" s="63" t="n"/>
      <c r="C5695" s="64" t="n"/>
      <c r="D5695" s="64" t="n"/>
      <c r="E5695" s="63" t="n"/>
    </row>
    <row r="5696" ht="18" customHeight="1">
      <c r="A5696" s="62" t="n"/>
      <c r="B5696" s="63" t="n"/>
      <c r="C5696" s="64" t="n"/>
      <c r="D5696" s="64" t="n"/>
      <c r="E5696" s="63" t="n"/>
    </row>
    <row r="5697" ht="18" customHeight="1">
      <c r="A5697" s="62" t="n"/>
      <c r="B5697" s="63" t="n"/>
      <c r="C5697" s="64" t="n"/>
      <c r="D5697" s="64" t="n"/>
      <c r="E5697" s="63" t="n"/>
    </row>
    <row r="5698" ht="18" customHeight="1">
      <c r="A5698" s="62" t="n"/>
      <c r="B5698" s="63" t="n"/>
      <c r="C5698" s="64" t="n"/>
      <c r="D5698" s="64" t="n"/>
      <c r="E5698" s="63" t="n"/>
    </row>
    <row r="5699" ht="18" customHeight="1">
      <c r="A5699" s="62" t="n"/>
      <c r="B5699" s="63" t="n"/>
      <c r="C5699" s="64" t="n"/>
      <c r="D5699" s="64" t="n"/>
      <c r="E5699" s="63" t="n"/>
    </row>
    <row r="5700" ht="18" customHeight="1">
      <c r="A5700" s="62" t="n"/>
      <c r="B5700" s="63" t="n"/>
      <c r="C5700" s="64" t="n"/>
      <c r="D5700" s="64" t="n"/>
      <c r="E5700" s="63" t="n"/>
    </row>
    <row r="5701" ht="18" customHeight="1">
      <c r="A5701" s="62" t="n"/>
      <c r="B5701" s="63" t="n"/>
      <c r="C5701" s="64" t="n"/>
      <c r="D5701" s="64" t="n"/>
      <c r="E5701" s="63" t="n"/>
    </row>
    <row r="5702" ht="18" customHeight="1">
      <c r="A5702" s="62" t="n"/>
      <c r="B5702" s="63" t="n"/>
      <c r="C5702" s="64" t="n"/>
      <c r="D5702" s="64" t="n"/>
      <c r="E5702" s="63" t="n"/>
    </row>
    <row r="5703" ht="18" customHeight="1">
      <c r="A5703" s="62" t="n"/>
      <c r="B5703" s="63" t="n"/>
      <c r="C5703" s="64" t="n"/>
      <c r="D5703" s="64" t="n"/>
      <c r="E5703" s="63" t="n"/>
    </row>
    <row r="5704" ht="18" customHeight="1">
      <c r="A5704" s="62" t="n"/>
      <c r="B5704" s="63" t="n"/>
      <c r="C5704" s="64" t="n"/>
      <c r="D5704" s="64" t="n"/>
      <c r="E5704" s="63" t="n"/>
    </row>
    <row r="5705" ht="18" customHeight="1">
      <c r="A5705" s="62" t="n"/>
      <c r="B5705" s="63" t="n"/>
      <c r="C5705" s="64" t="n"/>
      <c r="D5705" s="64" t="n"/>
      <c r="E5705" s="63" t="n"/>
    </row>
    <row r="5706" ht="18" customHeight="1">
      <c r="A5706" s="62" t="n"/>
      <c r="B5706" s="63" t="n"/>
      <c r="C5706" s="64" t="n"/>
      <c r="D5706" s="64" t="n"/>
      <c r="E5706" s="63" t="n"/>
    </row>
    <row r="5707" ht="18" customHeight="1">
      <c r="A5707" s="62" t="n"/>
      <c r="B5707" s="63" t="n"/>
      <c r="C5707" s="64" t="n"/>
      <c r="D5707" s="64" t="n"/>
      <c r="E5707" s="63" t="n"/>
    </row>
    <row r="5708" ht="18" customHeight="1">
      <c r="A5708" s="62" t="n"/>
      <c r="B5708" s="63" t="n"/>
      <c r="C5708" s="64" t="n"/>
      <c r="D5708" s="64" t="n"/>
      <c r="E5708" s="63" t="n"/>
    </row>
    <row r="5709" ht="18" customHeight="1">
      <c r="A5709" s="62" t="n"/>
      <c r="B5709" s="63" t="n"/>
      <c r="C5709" s="64" t="n"/>
      <c r="D5709" s="64" t="n"/>
      <c r="E5709" s="63" t="n"/>
    </row>
    <row r="5710" ht="18" customHeight="1">
      <c r="A5710" s="62" t="n"/>
      <c r="B5710" s="63" t="n"/>
      <c r="C5710" s="64" t="n"/>
      <c r="D5710" s="64" t="n"/>
      <c r="E5710" s="63" t="n"/>
    </row>
    <row r="5711" ht="18" customHeight="1">
      <c r="A5711" s="62" t="n"/>
      <c r="B5711" s="63" t="n"/>
      <c r="C5711" s="64" t="n"/>
      <c r="D5711" s="64" t="n"/>
      <c r="E5711" s="63" t="n"/>
    </row>
    <row r="5712" ht="18" customHeight="1">
      <c r="A5712" s="62" t="n"/>
      <c r="B5712" s="63" t="n"/>
      <c r="C5712" s="64" t="n"/>
      <c r="D5712" s="64" t="n"/>
      <c r="E5712" s="63" t="n"/>
    </row>
    <row r="5713" ht="18" customHeight="1">
      <c r="A5713" s="62" t="n"/>
      <c r="B5713" s="63" t="n"/>
      <c r="C5713" s="64" t="n"/>
      <c r="D5713" s="64" t="n"/>
      <c r="E5713" s="63" t="n"/>
    </row>
    <row r="5714" ht="18" customHeight="1">
      <c r="A5714" s="62" t="n"/>
      <c r="B5714" s="63" t="n"/>
      <c r="C5714" s="64" t="n"/>
      <c r="D5714" s="64" t="n"/>
      <c r="E5714" s="63" t="n"/>
    </row>
    <row r="5715" ht="18" customHeight="1">
      <c r="A5715" s="62" t="n"/>
      <c r="B5715" s="63" t="n"/>
      <c r="C5715" s="64" t="n"/>
      <c r="D5715" s="64" t="n"/>
      <c r="E5715" s="63" t="n"/>
    </row>
    <row r="5716" ht="18" customHeight="1">
      <c r="A5716" s="62" t="n"/>
      <c r="B5716" s="63" t="n"/>
      <c r="C5716" s="64" t="n"/>
      <c r="D5716" s="64" t="n"/>
      <c r="E5716" s="63" t="n"/>
    </row>
    <row r="5717" ht="18" customHeight="1">
      <c r="A5717" s="62" t="n"/>
      <c r="B5717" s="63" t="n"/>
      <c r="C5717" s="64" t="n"/>
      <c r="D5717" s="64" t="n"/>
      <c r="E5717" s="63" t="n"/>
    </row>
    <row r="5718" ht="18" customHeight="1">
      <c r="A5718" s="62" t="n"/>
      <c r="B5718" s="63" t="n"/>
      <c r="C5718" s="64" t="n"/>
      <c r="D5718" s="64" t="n"/>
      <c r="E5718" s="63" t="n"/>
    </row>
    <row r="5719" ht="18" customHeight="1">
      <c r="A5719" s="62" t="n"/>
      <c r="B5719" s="63" t="n"/>
      <c r="C5719" s="64" t="n"/>
      <c r="D5719" s="64" t="n"/>
      <c r="E5719" s="63" t="n"/>
    </row>
    <row r="5720" ht="18" customHeight="1">
      <c r="A5720" s="62" t="n"/>
      <c r="B5720" s="63" t="n"/>
      <c r="C5720" s="64" t="n"/>
      <c r="D5720" s="64" t="n"/>
      <c r="E5720" s="63" t="n"/>
    </row>
    <row r="5721" ht="18" customHeight="1">
      <c r="A5721" s="62" t="n"/>
      <c r="B5721" s="63" t="n"/>
      <c r="C5721" s="64" t="n"/>
      <c r="D5721" s="64" t="n"/>
      <c r="E5721" s="63" t="n"/>
    </row>
    <row r="5722" ht="18" customHeight="1">
      <c r="A5722" s="62" t="n"/>
      <c r="B5722" s="63" t="n"/>
      <c r="C5722" s="64" t="n"/>
      <c r="D5722" s="64" t="n"/>
      <c r="E5722" s="63" t="n"/>
    </row>
    <row r="5723" ht="18" customHeight="1">
      <c r="A5723" s="62" t="n"/>
      <c r="B5723" s="63" t="n"/>
      <c r="C5723" s="64" t="n"/>
      <c r="D5723" s="64" t="n"/>
      <c r="E5723" s="63" t="n"/>
    </row>
    <row r="5724" ht="18" customHeight="1">
      <c r="A5724" s="62" t="n"/>
      <c r="B5724" s="63" t="n"/>
      <c r="C5724" s="64" t="n"/>
      <c r="D5724" s="64" t="n"/>
      <c r="E5724" s="63" t="n"/>
    </row>
    <row r="5725" ht="18" customHeight="1">
      <c r="A5725" s="62" t="n"/>
      <c r="B5725" s="63" t="n"/>
      <c r="C5725" s="64" t="n"/>
      <c r="D5725" s="64" t="n"/>
      <c r="E5725" s="63" t="n"/>
    </row>
    <row r="5726" ht="18" customHeight="1">
      <c r="A5726" s="62" t="n"/>
      <c r="B5726" s="63" t="n"/>
      <c r="C5726" s="64" t="n"/>
      <c r="D5726" s="64" t="n"/>
      <c r="E5726" s="63" t="n"/>
    </row>
    <row r="5727" ht="18" customHeight="1">
      <c r="A5727" s="62" t="n"/>
      <c r="B5727" s="63" t="n"/>
      <c r="C5727" s="64" t="n"/>
      <c r="D5727" s="64" t="n"/>
      <c r="E5727" s="63" t="n"/>
    </row>
    <row r="5728" ht="18" customHeight="1">
      <c r="A5728" s="62" t="n"/>
      <c r="B5728" s="63" t="n"/>
      <c r="C5728" s="64" t="n"/>
      <c r="D5728" s="64" t="n"/>
      <c r="E5728" s="63" t="n"/>
    </row>
    <row r="5729" ht="18" customHeight="1">
      <c r="A5729" s="62" t="n"/>
      <c r="B5729" s="63" t="n"/>
      <c r="C5729" s="64" t="n"/>
      <c r="D5729" s="64" t="n"/>
      <c r="E5729" s="63" t="n"/>
    </row>
    <row r="5730" ht="18" customHeight="1">
      <c r="A5730" s="62" t="n"/>
      <c r="B5730" s="63" t="n"/>
      <c r="C5730" s="64" t="n"/>
      <c r="D5730" s="64" t="n"/>
      <c r="E5730" s="63" t="n"/>
    </row>
    <row r="5731" ht="18" customHeight="1">
      <c r="A5731" s="62" t="n"/>
      <c r="B5731" s="63" t="n"/>
      <c r="C5731" s="64" t="n"/>
      <c r="D5731" s="64" t="n"/>
      <c r="E5731" s="63" t="n"/>
    </row>
    <row r="5732" ht="18" customHeight="1">
      <c r="A5732" s="62" t="n"/>
      <c r="B5732" s="63" t="n"/>
      <c r="C5732" s="64" t="n"/>
      <c r="D5732" s="64" t="n"/>
      <c r="E5732" s="63" t="n"/>
    </row>
    <row r="5733" ht="18" customHeight="1">
      <c r="A5733" s="62" t="n"/>
      <c r="B5733" s="63" t="n"/>
      <c r="C5733" s="64" t="n"/>
      <c r="D5733" s="64" t="n"/>
      <c r="E5733" s="63" t="n"/>
    </row>
    <row r="5734" ht="18" customHeight="1">
      <c r="A5734" s="62" t="n"/>
      <c r="B5734" s="63" t="n"/>
      <c r="C5734" s="64" t="n"/>
      <c r="D5734" s="64" t="n"/>
      <c r="E5734" s="63" t="n"/>
    </row>
    <row r="5735" ht="18" customHeight="1">
      <c r="A5735" s="62" t="n"/>
      <c r="B5735" s="63" t="n"/>
      <c r="C5735" s="64" t="n"/>
      <c r="D5735" s="64" t="n"/>
      <c r="E5735" s="63" t="n"/>
    </row>
    <row r="5736" ht="18" customHeight="1">
      <c r="A5736" s="62" t="n"/>
      <c r="B5736" s="63" t="n"/>
      <c r="C5736" s="64" t="n"/>
      <c r="D5736" s="64" t="n"/>
      <c r="E5736" s="63" t="n"/>
    </row>
    <row r="5737" ht="18" customHeight="1">
      <c r="A5737" s="62" t="n"/>
      <c r="B5737" s="63" t="n"/>
      <c r="C5737" s="64" t="n"/>
      <c r="D5737" s="64" t="n"/>
      <c r="E5737" s="63" t="n"/>
    </row>
    <row r="5738" ht="18" customHeight="1">
      <c r="A5738" s="62" t="n"/>
      <c r="B5738" s="63" t="n"/>
      <c r="C5738" s="64" t="n"/>
      <c r="D5738" s="64" t="n"/>
      <c r="E5738" s="63" t="n"/>
    </row>
    <row r="5739" ht="18" customHeight="1">
      <c r="A5739" s="62" t="n"/>
      <c r="B5739" s="63" t="n"/>
      <c r="C5739" s="64" t="n"/>
      <c r="D5739" s="64" t="n"/>
      <c r="E5739" s="63" t="n"/>
    </row>
    <row r="5740" ht="18" customHeight="1">
      <c r="A5740" s="62" t="n"/>
      <c r="B5740" s="63" t="n"/>
      <c r="C5740" s="64" t="n"/>
      <c r="D5740" s="64" t="n"/>
      <c r="E5740" s="63" t="n"/>
    </row>
    <row r="5741" ht="18" customHeight="1">
      <c r="A5741" s="62" t="n"/>
      <c r="B5741" s="63" t="n"/>
      <c r="C5741" s="64" t="n"/>
      <c r="D5741" s="64" t="n"/>
      <c r="E5741" s="63" t="n"/>
    </row>
    <row r="5742" ht="18" customHeight="1">
      <c r="A5742" s="62" t="n"/>
      <c r="B5742" s="63" t="n"/>
      <c r="C5742" s="64" t="n"/>
      <c r="D5742" s="64" t="n"/>
      <c r="E5742" s="63" t="n"/>
    </row>
    <row r="5743" ht="18" customHeight="1">
      <c r="A5743" s="62" t="n"/>
      <c r="B5743" s="63" t="n"/>
      <c r="C5743" s="64" t="n"/>
      <c r="D5743" s="64" t="n"/>
      <c r="E5743" s="63" t="n"/>
    </row>
    <row r="5744" ht="18" customHeight="1">
      <c r="A5744" s="62" t="n"/>
      <c r="B5744" s="63" t="n"/>
      <c r="C5744" s="64" t="n"/>
      <c r="D5744" s="64" t="n"/>
      <c r="E5744" s="63" t="n"/>
    </row>
    <row r="5745" ht="18" customHeight="1">
      <c r="A5745" s="62" t="n"/>
      <c r="B5745" s="63" t="n"/>
      <c r="C5745" s="64" t="n"/>
      <c r="D5745" s="64" t="n"/>
      <c r="E5745" s="63" t="n"/>
    </row>
    <row r="5746" ht="18" customHeight="1">
      <c r="A5746" s="62" t="n"/>
      <c r="B5746" s="63" t="n"/>
      <c r="C5746" s="64" t="n"/>
      <c r="D5746" s="64" t="n"/>
      <c r="E5746" s="63" t="n"/>
    </row>
    <row r="5747" ht="18" customHeight="1">
      <c r="A5747" s="62" t="n"/>
      <c r="B5747" s="63" t="n"/>
      <c r="C5747" s="64" t="n"/>
      <c r="D5747" s="64" t="n"/>
      <c r="E5747" s="63" t="n"/>
    </row>
    <row r="5748" ht="18" customHeight="1">
      <c r="A5748" s="62" t="n"/>
      <c r="B5748" s="63" t="n"/>
      <c r="C5748" s="64" t="n"/>
      <c r="D5748" s="64" t="n"/>
      <c r="E5748" s="63" t="n"/>
    </row>
    <row r="5749" ht="18" customHeight="1">
      <c r="A5749" s="62" t="n"/>
      <c r="B5749" s="63" t="n"/>
      <c r="C5749" s="64" t="n"/>
      <c r="D5749" s="64" t="n"/>
      <c r="E5749" s="63" t="n"/>
    </row>
    <row r="5750" ht="18" customHeight="1">
      <c r="A5750" s="62" t="n"/>
      <c r="B5750" s="63" t="n"/>
      <c r="C5750" s="64" t="n"/>
      <c r="D5750" s="64" t="n"/>
      <c r="E5750" s="63" t="n"/>
    </row>
    <row r="5751" ht="18" customHeight="1">
      <c r="A5751" s="62" t="n"/>
      <c r="B5751" s="63" t="n"/>
      <c r="C5751" s="64" t="n"/>
      <c r="D5751" s="64" t="n"/>
      <c r="E5751" s="63" t="n"/>
    </row>
    <row r="5752" ht="18" customHeight="1">
      <c r="A5752" s="62" t="n"/>
      <c r="B5752" s="63" t="n"/>
      <c r="C5752" s="64" t="n"/>
      <c r="D5752" s="64" t="n"/>
      <c r="E5752" s="63" t="n"/>
    </row>
    <row r="5753" ht="18" customHeight="1">
      <c r="A5753" s="62" t="n"/>
      <c r="B5753" s="63" t="n"/>
      <c r="C5753" s="64" t="n"/>
      <c r="D5753" s="64" t="n"/>
      <c r="E5753" s="63" t="n"/>
    </row>
    <row r="5754" ht="18" customHeight="1">
      <c r="A5754" s="62" t="n"/>
      <c r="B5754" s="63" t="n"/>
      <c r="C5754" s="64" t="n"/>
      <c r="D5754" s="64" t="n"/>
      <c r="E5754" s="63" t="n"/>
    </row>
    <row r="5755" ht="18" customHeight="1">
      <c r="A5755" s="62" t="n"/>
      <c r="B5755" s="63" t="n"/>
      <c r="C5755" s="64" t="n"/>
      <c r="D5755" s="64" t="n"/>
      <c r="E5755" s="63" t="n"/>
    </row>
    <row r="5756" ht="18" customHeight="1">
      <c r="A5756" s="62" t="n"/>
      <c r="B5756" s="63" t="n"/>
      <c r="C5756" s="64" t="n"/>
      <c r="D5756" s="64" t="n"/>
      <c r="E5756" s="63" t="n"/>
    </row>
    <row r="5757" ht="18" customHeight="1">
      <c r="A5757" s="62" t="n"/>
      <c r="B5757" s="63" t="n"/>
      <c r="C5757" s="64" t="n"/>
      <c r="D5757" s="64" t="n"/>
      <c r="E5757" s="63" t="n"/>
    </row>
    <row r="5758" ht="18" customHeight="1">
      <c r="A5758" s="62" t="n"/>
      <c r="B5758" s="63" t="n"/>
      <c r="C5758" s="64" t="n"/>
      <c r="D5758" s="64" t="n"/>
      <c r="E5758" s="63" t="n"/>
    </row>
    <row r="5759" ht="18" customHeight="1">
      <c r="A5759" s="62" t="n"/>
      <c r="B5759" s="63" t="n"/>
      <c r="C5759" s="64" t="n"/>
      <c r="D5759" s="64" t="n"/>
      <c r="E5759" s="63" t="n"/>
    </row>
    <row r="5760" ht="18" customHeight="1">
      <c r="A5760" s="62" t="n"/>
      <c r="B5760" s="63" t="n"/>
      <c r="C5760" s="64" t="n"/>
      <c r="D5760" s="64" t="n"/>
      <c r="E5760" s="63" t="n"/>
    </row>
    <row r="5761" ht="18" customHeight="1">
      <c r="A5761" s="62" t="n"/>
      <c r="B5761" s="63" t="n"/>
      <c r="C5761" s="64" t="n"/>
      <c r="D5761" s="64" t="n"/>
      <c r="E5761" s="63" t="n"/>
    </row>
    <row r="5762" ht="18" customHeight="1">
      <c r="A5762" s="62" t="n"/>
      <c r="B5762" s="63" t="n"/>
      <c r="C5762" s="64" t="n"/>
      <c r="D5762" s="64" t="n"/>
      <c r="E5762" s="63" t="n"/>
    </row>
    <row r="5763" ht="18" customHeight="1">
      <c r="A5763" s="62" t="n"/>
      <c r="B5763" s="63" t="n"/>
      <c r="C5763" s="64" t="n"/>
      <c r="D5763" s="64" t="n"/>
      <c r="E5763" s="63" t="n"/>
    </row>
    <row r="5764" ht="18" customHeight="1">
      <c r="A5764" s="62" t="n"/>
      <c r="B5764" s="63" t="n"/>
      <c r="C5764" s="64" t="n"/>
      <c r="D5764" s="64" t="n"/>
      <c r="E5764" s="63" t="n"/>
    </row>
    <row r="5765" ht="18" customHeight="1">
      <c r="A5765" s="62" t="n"/>
      <c r="B5765" s="63" t="n"/>
      <c r="C5765" s="64" t="n"/>
      <c r="D5765" s="64" t="n"/>
      <c r="E5765" s="63" t="n"/>
    </row>
    <row r="5766" ht="18" customHeight="1">
      <c r="A5766" s="62" t="n"/>
      <c r="B5766" s="63" t="n"/>
      <c r="C5766" s="64" t="n"/>
      <c r="D5766" s="64" t="n"/>
      <c r="E5766" s="63" t="n"/>
    </row>
    <row r="5767" ht="18" customHeight="1">
      <c r="A5767" s="62" t="n"/>
      <c r="B5767" s="63" t="n"/>
      <c r="C5767" s="64" t="n"/>
      <c r="D5767" s="64" t="n"/>
      <c r="E5767" s="63" t="n"/>
    </row>
    <row r="5768" ht="18" customHeight="1">
      <c r="A5768" s="62" t="n"/>
      <c r="B5768" s="63" t="n"/>
      <c r="C5768" s="64" t="n"/>
      <c r="D5768" s="64" t="n"/>
      <c r="E5768" s="63" t="n"/>
    </row>
    <row r="5769" ht="18" customHeight="1">
      <c r="A5769" s="62" t="n"/>
      <c r="B5769" s="63" t="n"/>
      <c r="C5769" s="64" t="n"/>
      <c r="D5769" s="64" t="n"/>
      <c r="E5769" s="63" t="n"/>
    </row>
    <row r="5770" ht="18" customHeight="1">
      <c r="A5770" s="62" t="n"/>
      <c r="B5770" s="63" t="n"/>
      <c r="C5770" s="64" t="n"/>
      <c r="D5770" s="64" t="n"/>
      <c r="E5770" s="63" t="n"/>
    </row>
    <row r="5771" ht="18" customHeight="1">
      <c r="A5771" s="62" t="n"/>
      <c r="B5771" s="63" t="n"/>
      <c r="C5771" s="64" t="n"/>
      <c r="D5771" s="64" t="n"/>
      <c r="E5771" s="63" t="n"/>
    </row>
    <row r="5772" ht="18" customHeight="1">
      <c r="A5772" s="62" t="n"/>
      <c r="B5772" s="63" t="n"/>
      <c r="C5772" s="64" t="n"/>
      <c r="D5772" s="64" t="n"/>
      <c r="E5772" s="63" t="n"/>
    </row>
    <row r="5773" ht="18" customHeight="1">
      <c r="A5773" s="62" t="n"/>
      <c r="B5773" s="63" t="n"/>
      <c r="C5773" s="64" t="n"/>
      <c r="D5773" s="64" t="n"/>
      <c r="E5773" s="63" t="n"/>
    </row>
    <row r="5774" ht="18" customHeight="1">
      <c r="A5774" s="62" t="n"/>
      <c r="B5774" s="63" t="n"/>
      <c r="C5774" s="64" t="n"/>
      <c r="D5774" s="64" t="n"/>
      <c r="E5774" s="63" t="n"/>
    </row>
    <row r="5775" ht="18" customHeight="1">
      <c r="A5775" s="62" t="n"/>
      <c r="B5775" s="63" t="n"/>
      <c r="C5775" s="64" t="n"/>
      <c r="D5775" s="64" t="n"/>
      <c r="E5775" s="63" t="n"/>
    </row>
    <row r="5776" ht="18" customHeight="1">
      <c r="A5776" s="62" t="n"/>
      <c r="B5776" s="63" t="n"/>
      <c r="C5776" s="64" t="n"/>
      <c r="D5776" s="64" t="n"/>
      <c r="E5776" s="63" t="n"/>
    </row>
    <row r="5777" ht="18" customHeight="1">
      <c r="A5777" s="62" t="n"/>
      <c r="B5777" s="63" t="n"/>
      <c r="C5777" s="64" t="n"/>
      <c r="D5777" s="64" t="n"/>
      <c r="E5777" s="63" t="n"/>
    </row>
    <row r="5778" ht="18" customHeight="1">
      <c r="A5778" s="62" t="n"/>
      <c r="B5778" s="63" t="n"/>
      <c r="C5778" s="64" t="n"/>
      <c r="D5778" s="64" t="n"/>
      <c r="E5778" s="63" t="n"/>
    </row>
    <row r="5779" ht="18" customHeight="1">
      <c r="A5779" s="62" t="n"/>
      <c r="B5779" s="63" t="n"/>
      <c r="C5779" s="64" t="n"/>
      <c r="D5779" s="64" t="n"/>
      <c r="E5779" s="63" t="n"/>
    </row>
    <row r="5780" ht="18" customHeight="1">
      <c r="A5780" s="62" t="n"/>
      <c r="B5780" s="63" t="n"/>
      <c r="C5780" s="64" t="n"/>
      <c r="D5780" s="64" t="n"/>
      <c r="E5780" s="63" t="n"/>
    </row>
    <row r="5781" ht="18" customHeight="1">
      <c r="A5781" s="62" t="n"/>
      <c r="B5781" s="63" t="n"/>
      <c r="C5781" s="64" t="n"/>
      <c r="D5781" s="64" t="n"/>
      <c r="E5781" s="63" t="n"/>
    </row>
    <row r="5782" ht="18" customHeight="1">
      <c r="A5782" s="62" t="n"/>
      <c r="B5782" s="63" t="n"/>
      <c r="C5782" s="64" t="n"/>
      <c r="D5782" s="64" t="n"/>
      <c r="E5782" s="63" t="n"/>
    </row>
    <row r="5783" ht="18" customHeight="1">
      <c r="A5783" s="62" t="n"/>
      <c r="B5783" s="63" t="n"/>
      <c r="C5783" s="64" t="n"/>
      <c r="D5783" s="64" t="n"/>
      <c r="E5783" s="63" t="n"/>
    </row>
    <row r="5784" ht="18" customHeight="1">
      <c r="A5784" s="62" t="n"/>
      <c r="B5784" s="63" t="n"/>
      <c r="C5784" s="64" t="n"/>
      <c r="D5784" s="64" t="n"/>
      <c r="E5784" s="63" t="n"/>
    </row>
    <row r="5785" ht="18" customHeight="1">
      <c r="A5785" s="62" t="n"/>
      <c r="B5785" s="63" t="n"/>
      <c r="C5785" s="64" t="n"/>
      <c r="D5785" s="64" t="n"/>
      <c r="E5785" s="63" t="n"/>
    </row>
    <row r="5786" ht="18" customHeight="1">
      <c r="A5786" s="62" t="n"/>
      <c r="B5786" s="63" t="n"/>
      <c r="C5786" s="64" t="n"/>
      <c r="D5786" s="64" t="n"/>
      <c r="E5786" s="63" t="n"/>
    </row>
    <row r="5787" ht="18" customHeight="1">
      <c r="A5787" s="62" t="n"/>
      <c r="B5787" s="63" t="n"/>
      <c r="C5787" s="64" t="n"/>
      <c r="D5787" s="64" t="n"/>
      <c r="E5787" s="63" t="n"/>
    </row>
    <row r="5788" ht="18" customHeight="1">
      <c r="A5788" s="62" t="n"/>
      <c r="B5788" s="63" t="n"/>
      <c r="C5788" s="64" t="n"/>
      <c r="D5788" s="64" t="n"/>
      <c r="E5788" s="63" t="n"/>
    </row>
    <row r="5789" ht="18" customHeight="1">
      <c r="A5789" s="62" t="n"/>
      <c r="B5789" s="63" t="n"/>
      <c r="C5789" s="64" t="n"/>
      <c r="D5789" s="64" t="n"/>
      <c r="E5789" s="63" t="n"/>
    </row>
    <row r="5790" ht="18" customHeight="1">
      <c r="A5790" s="62" t="n"/>
      <c r="B5790" s="63" t="n"/>
      <c r="C5790" s="64" t="n"/>
      <c r="D5790" s="64" t="n"/>
      <c r="E5790" s="63" t="n"/>
    </row>
    <row r="5791" ht="18" customHeight="1">
      <c r="A5791" s="62" t="n"/>
      <c r="B5791" s="63" t="n"/>
      <c r="C5791" s="64" t="n"/>
      <c r="D5791" s="64" t="n"/>
      <c r="E5791" s="63" t="n"/>
    </row>
    <row r="5792" ht="18" customHeight="1">
      <c r="A5792" s="62" t="n"/>
      <c r="B5792" s="63" t="n"/>
      <c r="C5792" s="64" t="n"/>
      <c r="D5792" s="64" t="n"/>
      <c r="E5792" s="63" t="n"/>
    </row>
    <row r="5793" ht="18" customHeight="1">
      <c r="A5793" s="62" t="n"/>
      <c r="B5793" s="63" t="n"/>
      <c r="C5793" s="64" t="n"/>
      <c r="D5793" s="64" t="n"/>
      <c r="E5793" s="63" t="n"/>
    </row>
    <row r="5794" ht="18" customHeight="1">
      <c r="A5794" s="62" t="n"/>
      <c r="B5794" s="63" t="n"/>
      <c r="C5794" s="64" t="n"/>
      <c r="D5794" s="64" t="n"/>
      <c r="E5794" s="63" t="n"/>
    </row>
    <row r="5795" ht="18" customHeight="1">
      <c r="A5795" s="62" t="n"/>
      <c r="B5795" s="63" t="n"/>
      <c r="C5795" s="64" t="n"/>
      <c r="D5795" s="64" t="n"/>
      <c r="E5795" s="63" t="n"/>
    </row>
    <row r="5796" ht="18" customHeight="1">
      <c r="A5796" s="62" t="n"/>
      <c r="B5796" s="63" t="n"/>
      <c r="C5796" s="64" t="n"/>
      <c r="D5796" s="64" t="n"/>
      <c r="E5796" s="63" t="n"/>
    </row>
    <row r="5797" ht="18" customHeight="1">
      <c r="A5797" s="62" t="n"/>
      <c r="B5797" s="63" t="n"/>
      <c r="C5797" s="64" t="n"/>
      <c r="D5797" s="64" t="n"/>
      <c r="E5797" s="63" t="n"/>
    </row>
    <row r="5798" ht="18" customHeight="1">
      <c r="A5798" s="62" t="n"/>
      <c r="B5798" s="63" t="n"/>
      <c r="C5798" s="64" t="n"/>
      <c r="D5798" s="64" t="n"/>
      <c r="E5798" s="63" t="n"/>
    </row>
    <row r="5799" ht="18" customHeight="1">
      <c r="A5799" s="62" t="n"/>
      <c r="B5799" s="63" t="n"/>
      <c r="C5799" s="64" t="n"/>
      <c r="D5799" s="64" t="n"/>
      <c r="E5799" s="63" t="n"/>
    </row>
    <row r="5800" ht="18" customHeight="1">
      <c r="A5800" s="62" t="n"/>
      <c r="B5800" s="63" t="n"/>
      <c r="C5800" s="64" t="n"/>
      <c r="D5800" s="64" t="n"/>
      <c r="E5800" s="63" t="n"/>
    </row>
    <row r="5801" ht="18" customHeight="1">
      <c r="A5801" s="62" t="n"/>
      <c r="B5801" s="63" t="n"/>
      <c r="C5801" s="64" t="n"/>
      <c r="D5801" s="64" t="n"/>
      <c r="E5801" s="63" t="n"/>
    </row>
    <row r="5802" ht="18" customHeight="1">
      <c r="A5802" s="62" t="n"/>
      <c r="B5802" s="63" t="n"/>
      <c r="C5802" s="64" t="n"/>
      <c r="D5802" s="64" t="n"/>
      <c r="E5802" s="63" t="n"/>
    </row>
    <row r="5803" ht="18" customHeight="1">
      <c r="A5803" s="62" t="n"/>
      <c r="B5803" s="63" t="n"/>
      <c r="C5803" s="64" t="n"/>
      <c r="D5803" s="64" t="n"/>
      <c r="E5803" s="63" t="n"/>
    </row>
    <row r="5804" ht="18" customHeight="1">
      <c r="A5804" s="62" t="n"/>
      <c r="B5804" s="63" t="n"/>
      <c r="C5804" s="64" t="n"/>
      <c r="D5804" s="64" t="n"/>
      <c r="E5804" s="63" t="n"/>
    </row>
    <row r="5805" ht="18" customHeight="1">
      <c r="A5805" s="62" t="n"/>
      <c r="B5805" s="63" t="n"/>
      <c r="C5805" s="64" t="n"/>
      <c r="D5805" s="64" t="n"/>
      <c r="E5805" s="63" t="n"/>
    </row>
    <row r="5806" ht="18" customHeight="1">
      <c r="A5806" s="62" t="n"/>
      <c r="B5806" s="63" t="n"/>
      <c r="C5806" s="64" t="n"/>
      <c r="D5806" s="64" t="n"/>
      <c r="E5806" s="63" t="n"/>
    </row>
    <row r="5807" ht="18" customHeight="1">
      <c r="A5807" s="62" t="n"/>
      <c r="B5807" s="63" t="n"/>
      <c r="C5807" s="64" t="n"/>
      <c r="D5807" s="64" t="n"/>
      <c r="E5807" s="63" t="n"/>
    </row>
    <row r="5808" ht="18" customHeight="1">
      <c r="A5808" s="62" t="n"/>
      <c r="B5808" s="63" t="n"/>
      <c r="C5808" s="64" t="n"/>
      <c r="D5808" s="64" t="n"/>
      <c r="E5808" s="63" t="n"/>
    </row>
    <row r="5809" ht="18" customHeight="1">
      <c r="A5809" s="62" t="n"/>
      <c r="B5809" s="63" t="n"/>
      <c r="C5809" s="64" t="n"/>
      <c r="D5809" s="64" t="n"/>
      <c r="E5809" s="63" t="n"/>
    </row>
    <row r="5810" ht="18" customHeight="1">
      <c r="A5810" s="62" t="n"/>
      <c r="B5810" s="63" t="n"/>
      <c r="C5810" s="64" t="n"/>
      <c r="D5810" s="64" t="n"/>
      <c r="E5810" s="63" t="n"/>
    </row>
    <row r="5811" ht="18" customHeight="1">
      <c r="A5811" s="62" t="n"/>
      <c r="B5811" s="63" t="n"/>
      <c r="C5811" s="64" t="n"/>
      <c r="D5811" s="64" t="n"/>
      <c r="E5811" s="63" t="n"/>
    </row>
    <row r="5812" ht="18" customHeight="1">
      <c r="A5812" s="62" t="n"/>
      <c r="B5812" s="63" t="n"/>
      <c r="C5812" s="64" t="n"/>
      <c r="D5812" s="64" t="n"/>
      <c r="E5812" s="63" t="n"/>
    </row>
    <row r="5813" ht="18" customHeight="1">
      <c r="A5813" s="62" t="n"/>
      <c r="B5813" s="63" t="n"/>
      <c r="C5813" s="64" t="n"/>
      <c r="D5813" s="64" t="n"/>
      <c r="E5813" s="63" t="n"/>
    </row>
    <row r="5814" ht="18" customHeight="1">
      <c r="A5814" s="62" t="n"/>
      <c r="B5814" s="63" t="n"/>
      <c r="C5814" s="64" t="n"/>
      <c r="D5814" s="64" t="n"/>
      <c r="E5814" s="63" t="n"/>
    </row>
    <row r="5815" ht="18" customHeight="1">
      <c r="A5815" s="62" t="n"/>
      <c r="B5815" s="63" t="n"/>
      <c r="C5815" s="64" t="n"/>
      <c r="D5815" s="64" t="n"/>
      <c r="E5815" s="63" t="n"/>
    </row>
    <row r="5816" ht="18" customHeight="1">
      <c r="A5816" s="62" t="n"/>
      <c r="B5816" s="63" t="n"/>
      <c r="C5816" s="64" t="n"/>
      <c r="D5816" s="64" t="n"/>
      <c r="E5816" s="63" t="n"/>
    </row>
    <row r="5817" ht="18" customHeight="1">
      <c r="A5817" s="62" t="n"/>
      <c r="B5817" s="63" t="n"/>
      <c r="C5817" s="64" t="n"/>
      <c r="D5817" s="64" t="n"/>
      <c r="E5817" s="63" t="n"/>
    </row>
    <row r="5818" ht="18" customHeight="1">
      <c r="A5818" s="62" t="n"/>
      <c r="B5818" s="63" t="n"/>
      <c r="C5818" s="64" t="n"/>
      <c r="D5818" s="64" t="n"/>
      <c r="E5818" s="63" t="n"/>
    </row>
    <row r="5819" ht="18" customHeight="1">
      <c r="A5819" s="62" t="n"/>
      <c r="B5819" s="63" t="n"/>
      <c r="C5819" s="64" t="n"/>
      <c r="D5819" s="64" t="n"/>
      <c r="E5819" s="63" t="n"/>
    </row>
    <row r="5820" ht="18" customHeight="1">
      <c r="A5820" s="62" t="n"/>
      <c r="B5820" s="63" t="n"/>
      <c r="C5820" s="64" t="n"/>
      <c r="D5820" s="64" t="n"/>
      <c r="E5820" s="63" t="n"/>
    </row>
    <row r="5821" ht="18" customHeight="1">
      <c r="A5821" s="62" t="n"/>
      <c r="B5821" s="63" t="n"/>
      <c r="C5821" s="64" t="n"/>
      <c r="D5821" s="64" t="n"/>
      <c r="E5821" s="63" t="n"/>
    </row>
    <row r="5822" ht="18" customHeight="1">
      <c r="A5822" s="62" t="n"/>
      <c r="B5822" s="63" t="n"/>
      <c r="C5822" s="64" t="n"/>
      <c r="D5822" s="64" t="n"/>
      <c r="E5822" s="63" t="n"/>
    </row>
    <row r="5823" ht="18" customHeight="1">
      <c r="A5823" s="62" t="n"/>
      <c r="B5823" s="63" t="n"/>
      <c r="C5823" s="64" t="n"/>
      <c r="D5823" s="64" t="n"/>
      <c r="E5823" s="63" t="n"/>
    </row>
    <row r="5824" ht="18" customHeight="1">
      <c r="A5824" s="62" t="n"/>
      <c r="B5824" s="63" t="n"/>
      <c r="C5824" s="64" t="n"/>
      <c r="D5824" s="64" t="n"/>
      <c r="E5824" s="63" t="n"/>
    </row>
    <row r="5825" ht="18" customHeight="1">
      <c r="A5825" s="62" t="n"/>
      <c r="B5825" s="63" t="n"/>
      <c r="C5825" s="64" t="n"/>
      <c r="D5825" s="64" t="n"/>
      <c r="E5825" s="63" t="n"/>
    </row>
    <row r="5826" ht="18" customHeight="1">
      <c r="A5826" s="62" t="n"/>
      <c r="B5826" s="63" t="n"/>
      <c r="C5826" s="64" t="n"/>
      <c r="D5826" s="64" t="n"/>
      <c r="E5826" s="63" t="n"/>
    </row>
    <row r="5827" ht="18" customHeight="1">
      <c r="A5827" s="62" t="n"/>
      <c r="B5827" s="63" t="n"/>
      <c r="C5827" s="64" t="n"/>
      <c r="D5827" s="64" t="n"/>
      <c r="E5827" s="63" t="n"/>
    </row>
    <row r="5828" ht="18" customHeight="1">
      <c r="A5828" s="62" t="n"/>
      <c r="B5828" s="63" t="n"/>
      <c r="C5828" s="64" t="n"/>
      <c r="D5828" s="64" t="n"/>
      <c r="E5828" s="63" t="n"/>
    </row>
    <row r="5829" ht="18" customHeight="1">
      <c r="A5829" s="62" t="n"/>
      <c r="B5829" s="63" t="n"/>
      <c r="C5829" s="64" t="n"/>
      <c r="D5829" s="64" t="n"/>
      <c r="E5829" s="63" t="n"/>
    </row>
    <row r="5830" ht="18" customHeight="1">
      <c r="A5830" s="62" t="n"/>
      <c r="B5830" s="63" t="n"/>
      <c r="C5830" s="64" t="n"/>
      <c r="D5830" s="64" t="n"/>
      <c r="E5830" s="63" t="n"/>
    </row>
    <row r="5831" ht="18" customHeight="1">
      <c r="A5831" s="62" t="n"/>
      <c r="B5831" s="63" t="n"/>
      <c r="C5831" s="64" t="n"/>
      <c r="D5831" s="64" t="n"/>
      <c r="E5831" s="63" t="n"/>
    </row>
    <row r="5832" ht="18" customHeight="1">
      <c r="A5832" s="62" t="n"/>
      <c r="B5832" s="63" t="n"/>
      <c r="C5832" s="64" t="n"/>
      <c r="D5832" s="64" t="n"/>
      <c r="E5832" s="63" t="n"/>
    </row>
    <row r="5833" ht="18" customHeight="1">
      <c r="A5833" s="62" t="n"/>
      <c r="B5833" s="63" t="n"/>
      <c r="C5833" s="64" t="n"/>
      <c r="D5833" s="64" t="n"/>
      <c r="E5833" s="63" t="n"/>
    </row>
    <row r="5834" ht="18" customHeight="1">
      <c r="A5834" s="62" t="n"/>
      <c r="B5834" s="63" t="n"/>
      <c r="C5834" s="64" t="n"/>
      <c r="D5834" s="64" t="n"/>
      <c r="E5834" s="63" t="n"/>
    </row>
    <row r="5835" ht="18" customHeight="1">
      <c r="A5835" s="62" t="n"/>
      <c r="B5835" s="63" t="n"/>
      <c r="C5835" s="64" t="n"/>
      <c r="D5835" s="64" t="n"/>
      <c r="E5835" s="63" t="n"/>
    </row>
    <row r="5836" ht="18" customHeight="1">
      <c r="A5836" s="62" t="n"/>
      <c r="B5836" s="63" t="n"/>
      <c r="C5836" s="64" t="n"/>
      <c r="D5836" s="64" t="n"/>
      <c r="E5836" s="63" t="n"/>
    </row>
    <row r="5837" ht="18" customHeight="1">
      <c r="A5837" s="62" t="n"/>
      <c r="B5837" s="63" t="n"/>
      <c r="C5837" s="64" t="n"/>
      <c r="D5837" s="64" t="n"/>
      <c r="E5837" s="63" t="n"/>
    </row>
    <row r="5838" ht="18" customHeight="1">
      <c r="A5838" s="62" t="n"/>
      <c r="B5838" s="63" t="n"/>
      <c r="C5838" s="64" t="n"/>
      <c r="D5838" s="64" t="n"/>
      <c r="E5838" s="63" t="n"/>
    </row>
    <row r="5839" ht="18" customHeight="1">
      <c r="A5839" s="62" t="n"/>
      <c r="B5839" s="63" t="n"/>
      <c r="C5839" s="64" t="n"/>
      <c r="D5839" s="64" t="n"/>
      <c r="E5839" s="63" t="n"/>
    </row>
    <row r="5840" ht="18" customHeight="1">
      <c r="A5840" s="62" t="n"/>
      <c r="B5840" s="63" t="n"/>
      <c r="C5840" s="64" t="n"/>
      <c r="D5840" s="64" t="n"/>
      <c r="E5840" s="63" t="n"/>
    </row>
    <row r="5841" ht="18" customHeight="1">
      <c r="A5841" s="62" t="n"/>
      <c r="B5841" s="63" t="n"/>
      <c r="C5841" s="64" t="n"/>
      <c r="D5841" s="64" t="n"/>
      <c r="E5841" s="63" t="n"/>
    </row>
    <row r="5842" ht="18" customHeight="1">
      <c r="A5842" s="62" t="n"/>
      <c r="B5842" s="63" t="n"/>
      <c r="C5842" s="64" t="n"/>
      <c r="D5842" s="64" t="n"/>
      <c r="E5842" s="63" t="n"/>
    </row>
    <row r="5843" ht="18" customHeight="1">
      <c r="A5843" s="62" t="n"/>
      <c r="B5843" s="63" t="n"/>
      <c r="C5843" s="64" t="n"/>
      <c r="D5843" s="64" t="n"/>
      <c r="E5843" s="63" t="n"/>
    </row>
    <row r="5844" ht="18" customHeight="1">
      <c r="A5844" s="62" t="n"/>
      <c r="B5844" s="63" t="n"/>
      <c r="C5844" s="64" t="n"/>
      <c r="D5844" s="64" t="n"/>
      <c r="E5844" s="63" t="n"/>
    </row>
    <row r="5845" ht="18" customHeight="1">
      <c r="A5845" s="62" t="n"/>
      <c r="B5845" s="63" t="n"/>
      <c r="C5845" s="64" t="n"/>
      <c r="D5845" s="64" t="n"/>
      <c r="E5845" s="63" t="n"/>
    </row>
    <row r="5846" ht="18" customHeight="1">
      <c r="A5846" s="62" t="n"/>
      <c r="B5846" s="63" t="n"/>
      <c r="C5846" s="64" t="n"/>
      <c r="D5846" s="64" t="n"/>
      <c r="E5846" s="63" t="n"/>
    </row>
    <row r="5847" ht="18" customHeight="1">
      <c r="A5847" s="62" t="n"/>
      <c r="B5847" s="63" t="n"/>
      <c r="C5847" s="64" t="n"/>
      <c r="D5847" s="64" t="n"/>
      <c r="E5847" s="63" t="n"/>
    </row>
    <row r="5848" ht="18" customHeight="1">
      <c r="A5848" s="62" t="n"/>
      <c r="B5848" s="63" t="n"/>
      <c r="C5848" s="64" t="n"/>
      <c r="D5848" s="64" t="n"/>
      <c r="E5848" s="63" t="n"/>
    </row>
    <row r="5849" ht="18" customHeight="1">
      <c r="A5849" s="62" t="n"/>
      <c r="B5849" s="63" t="n"/>
      <c r="C5849" s="64" t="n"/>
      <c r="D5849" s="64" t="n"/>
      <c r="E5849" s="63" t="n"/>
    </row>
    <row r="5850" ht="18" customHeight="1">
      <c r="A5850" s="62" t="n"/>
      <c r="B5850" s="63" t="n"/>
      <c r="C5850" s="64" t="n"/>
      <c r="D5850" s="64" t="n"/>
      <c r="E5850" s="63" t="n"/>
    </row>
    <row r="5851" ht="18" customHeight="1">
      <c r="A5851" s="62" t="n"/>
      <c r="B5851" s="63" t="n"/>
      <c r="C5851" s="64" t="n"/>
      <c r="D5851" s="64" t="n"/>
      <c r="E5851" s="63" t="n"/>
    </row>
    <row r="5852" ht="18" customHeight="1">
      <c r="A5852" s="62" t="n"/>
      <c r="B5852" s="63" t="n"/>
      <c r="C5852" s="64" t="n"/>
      <c r="D5852" s="64" t="n"/>
      <c r="E5852" s="63" t="n"/>
    </row>
    <row r="5853" ht="18" customHeight="1">
      <c r="A5853" s="62" t="n"/>
      <c r="B5853" s="63" t="n"/>
      <c r="C5853" s="64" t="n"/>
      <c r="D5853" s="64" t="n"/>
      <c r="E5853" s="63" t="n"/>
    </row>
    <row r="5854" ht="18" customHeight="1">
      <c r="A5854" s="62" t="n"/>
      <c r="B5854" s="63" t="n"/>
      <c r="C5854" s="64" t="n"/>
      <c r="D5854" s="64" t="n"/>
      <c r="E5854" s="63" t="n"/>
    </row>
    <row r="5855" ht="18" customHeight="1">
      <c r="A5855" s="62" t="n"/>
      <c r="B5855" s="63" t="n"/>
      <c r="C5855" s="64" t="n"/>
      <c r="D5855" s="64" t="n"/>
      <c r="E5855" s="63" t="n"/>
    </row>
    <row r="5856" ht="18" customHeight="1">
      <c r="A5856" s="62" t="n"/>
      <c r="B5856" s="63" t="n"/>
      <c r="C5856" s="64" t="n"/>
      <c r="D5856" s="64" t="n"/>
      <c r="E5856" s="63" t="n"/>
    </row>
    <row r="5857" ht="18" customHeight="1">
      <c r="A5857" s="62" t="n"/>
      <c r="B5857" s="63" t="n"/>
      <c r="C5857" s="64" t="n"/>
      <c r="D5857" s="64" t="n"/>
      <c r="E5857" s="63" t="n"/>
    </row>
    <row r="5858" ht="18" customHeight="1">
      <c r="A5858" s="62" t="n"/>
      <c r="B5858" s="63" t="n"/>
      <c r="C5858" s="64" t="n"/>
      <c r="D5858" s="64" t="n"/>
      <c r="E5858" s="63" t="n"/>
    </row>
    <row r="5859" ht="18" customHeight="1">
      <c r="A5859" s="62" t="n"/>
      <c r="B5859" s="63" t="n"/>
      <c r="C5859" s="64" t="n"/>
      <c r="D5859" s="64" t="n"/>
      <c r="E5859" s="63" t="n"/>
    </row>
    <row r="5860" ht="18" customHeight="1">
      <c r="A5860" s="62" t="n"/>
      <c r="B5860" s="63" t="n"/>
      <c r="C5860" s="64" t="n"/>
      <c r="D5860" s="64" t="n"/>
      <c r="E5860" s="63" t="n"/>
    </row>
    <row r="5861" ht="18" customHeight="1">
      <c r="A5861" s="62" t="n"/>
      <c r="B5861" s="63" t="n"/>
      <c r="C5861" s="64" t="n"/>
      <c r="D5861" s="64" t="n"/>
      <c r="E5861" s="63" t="n"/>
    </row>
    <row r="5862" ht="18" customHeight="1">
      <c r="A5862" s="62" t="n"/>
      <c r="B5862" s="63" t="n"/>
      <c r="C5862" s="64" t="n"/>
      <c r="D5862" s="64" t="n"/>
      <c r="E5862" s="63" t="n"/>
    </row>
    <row r="5863" ht="18" customHeight="1">
      <c r="A5863" s="62" t="n"/>
      <c r="B5863" s="63" t="n"/>
      <c r="C5863" s="64" t="n"/>
      <c r="D5863" s="64" t="n"/>
      <c r="E5863" s="63" t="n"/>
    </row>
    <row r="5864" ht="18" customHeight="1">
      <c r="A5864" s="62" t="n"/>
      <c r="B5864" s="63" t="n"/>
      <c r="C5864" s="64" t="n"/>
      <c r="D5864" s="64" t="n"/>
      <c r="E5864" s="63" t="n"/>
    </row>
    <row r="5865" ht="18" customHeight="1">
      <c r="A5865" s="62" t="n"/>
      <c r="B5865" s="63" t="n"/>
      <c r="C5865" s="64" t="n"/>
      <c r="D5865" s="64" t="n"/>
      <c r="E5865" s="63" t="n"/>
    </row>
    <row r="5866" ht="18" customHeight="1">
      <c r="A5866" s="62" t="n"/>
      <c r="B5866" s="63" t="n"/>
      <c r="C5866" s="64" t="n"/>
      <c r="D5866" s="64" t="n"/>
      <c r="E5866" s="63" t="n"/>
    </row>
    <row r="5867" ht="18" customHeight="1">
      <c r="A5867" s="62" t="n"/>
      <c r="B5867" s="63" t="n"/>
      <c r="C5867" s="64" t="n"/>
      <c r="D5867" s="64" t="n"/>
      <c r="E5867" s="63" t="n"/>
    </row>
    <row r="5868" ht="18" customHeight="1">
      <c r="A5868" s="62" t="n"/>
      <c r="B5868" s="63" t="n"/>
      <c r="C5868" s="64" t="n"/>
      <c r="D5868" s="64" t="n"/>
      <c r="E5868" s="63" t="n"/>
    </row>
    <row r="5869" ht="18" customHeight="1">
      <c r="A5869" s="62" t="n"/>
      <c r="B5869" s="63" t="n"/>
      <c r="C5869" s="64" t="n"/>
      <c r="D5869" s="64" t="n"/>
      <c r="E5869" s="63" t="n"/>
    </row>
    <row r="5870" ht="18" customHeight="1">
      <c r="A5870" s="62" t="n"/>
      <c r="B5870" s="63" t="n"/>
      <c r="C5870" s="64" t="n"/>
      <c r="D5870" s="64" t="n"/>
      <c r="E5870" s="63" t="n"/>
    </row>
    <row r="5871" ht="18" customHeight="1">
      <c r="A5871" s="62" t="n"/>
      <c r="B5871" s="63" t="n"/>
      <c r="C5871" s="64" t="n"/>
      <c r="D5871" s="64" t="n"/>
      <c r="E5871" s="63" t="n"/>
    </row>
    <row r="5872" ht="18" customHeight="1">
      <c r="A5872" s="62" t="n"/>
      <c r="B5872" s="63" t="n"/>
      <c r="C5872" s="64" t="n"/>
      <c r="D5872" s="64" t="n"/>
      <c r="E5872" s="63" t="n"/>
    </row>
    <row r="5873" ht="18" customHeight="1">
      <c r="A5873" s="62" t="n"/>
      <c r="B5873" s="63" t="n"/>
      <c r="C5873" s="64" t="n"/>
      <c r="D5873" s="64" t="n"/>
      <c r="E5873" s="63" t="n"/>
    </row>
    <row r="5874" ht="18" customHeight="1">
      <c r="A5874" s="62" t="n"/>
      <c r="B5874" s="63" t="n"/>
      <c r="C5874" s="64" t="n"/>
      <c r="D5874" s="64" t="n"/>
      <c r="E5874" s="63" t="n"/>
    </row>
    <row r="5875" ht="18" customHeight="1">
      <c r="A5875" s="62" t="n"/>
      <c r="B5875" s="63" t="n"/>
      <c r="C5875" s="64" t="n"/>
      <c r="D5875" s="64" t="n"/>
      <c r="E5875" s="63" t="n"/>
    </row>
    <row r="5876" ht="18" customHeight="1">
      <c r="A5876" s="62" t="n"/>
      <c r="B5876" s="63" t="n"/>
      <c r="C5876" s="64" t="n"/>
      <c r="D5876" s="64" t="n"/>
      <c r="E5876" s="63" t="n"/>
    </row>
    <row r="5877" ht="18" customHeight="1">
      <c r="A5877" s="62" t="n"/>
      <c r="B5877" s="63" t="n"/>
      <c r="C5877" s="64" t="n"/>
      <c r="D5877" s="64" t="n"/>
      <c r="E5877" s="63" t="n"/>
    </row>
    <row r="5878" ht="18" customHeight="1">
      <c r="A5878" s="62" t="n"/>
      <c r="B5878" s="63" t="n"/>
      <c r="C5878" s="64" t="n"/>
      <c r="D5878" s="64" t="n"/>
      <c r="E5878" s="63" t="n"/>
    </row>
    <row r="5879" ht="18" customHeight="1">
      <c r="A5879" s="62" t="n"/>
      <c r="B5879" s="63" t="n"/>
      <c r="C5879" s="64" t="n"/>
      <c r="D5879" s="64" t="n"/>
      <c r="E5879" s="63" t="n"/>
    </row>
    <row r="5880" ht="18" customHeight="1">
      <c r="A5880" s="62" t="n"/>
      <c r="B5880" s="63" t="n"/>
      <c r="C5880" s="64" t="n"/>
      <c r="D5880" s="64" t="n"/>
      <c r="E5880" s="63" t="n"/>
    </row>
    <row r="5881" ht="18" customHeight="1">
      <c r="A5881" s="62" t="n"/>
      <c r="B5881" s="63" t="n"/>
      <c r="C5881" s="64" t="n"/>
      <c r="D5881" s="64" t="n"/>
      <c r="E5881" s="63" t="n"/>
    </row>
    <row r="5882" ht="18" customHeight="1">
      <c r="A5882" s="62" t="n"/>
      <c r="B5882" s="63" t="n"/>
      <c r="C5882" s="64" t="n"/>
      <c r="D5882" s="64" t="n"/>
      <c r="E5882" s="63" t="n"/>
    </row>
    <row r="5883" ht="18" customHeight="1">
      <c r="A5883" s="62" t="n"/>
      <c r="B5883" s="63" t="n"/>
      <c r="C5883" s="64" t="n"/>
      <c r="D5883" s="64" t="n"/>
      <c r="E5883" s="63" t="n"/>
    </row>
    <row r="5884" ht="18" customHeight="1">
      <c r="A5884" s="62" t="n"/>
      <c r="B5884" s="63" t="n"/>
      <c r="C5884" s="64" t="n"/>
      <c r="D5884" s="64" t="n"/>
      <c r="E5884" s="63" t="n"/>
    </row>
    <row r="5885" ht="18" customHeight="1">
      <c r="A5885" s="62" t="n"/>
      <c r="B5885" s="63" t="n"/>
      <c r="C5885" s="64" t="n"/>
      <c r="D5885" s="64" t="n"/>
      <c r="E5885" s="63" t="n"/>
    </row>
    <row r="5886" ht="18" customHeight="1">
      <c r="A5886" s="62" t="n"/>
      <c r="B5886" s="63" t="n"/>
      <c r="C5886" s="64" t="n"/>
      <c r="D5886" s="64" t="n"/>
      <c r="E5886" s="63" t="n"/>
    </row>
    <row r="5887" ht="18" customHeight="1">
      <c r="A5887" s="62" t="n"/>
      <c r="B5887" s="63" t="n"/>
      <c r="C5887" s="64" t="n"/>
      <c r="D5887" s="64" t="n"/>
      <c r="E5887" s="63" t="n"/>
    </row>
    <row r="5888" ht="18" customHeight="1">
      <c r="A5888" s="62" t="n"/>
      <c r="B5888" s="63" t="n"/>
      <c r="C5888" s="64" t="n"/>
      <c r="D5888" s="64" t="n"/>
      <c r="E5888" s="63" t="n"/>
    </row>
    <row r="5889" ht="18" customHeight="1">
      <c r="A5889" s="62" t="n"/>
      <c r="B5889" s="63" t="n"/>
      <c r="C5889" s="64" t="n"/>
      <c r="D5889" s="64" t="n"/>
      <c r="E5889" s="63" t="n"/>
    </row>
    <row r="5890" ht="18" customHeight="1">
      <c r="A5890" s="62" t="n"/>
      <c r="B5890" s="63" t="n"/>
      <c r="C5890" s="64" t="n"/>
      <c r="D5890" s="64" t="n"/>
      <c r="E5890" s="63" t="n"/>
    </row>
    <row r="5891" ht="18" customHeight="1">
      <c r="A5891" s="62" t="n"/>
      <c r="B5891" s="63" t="n"/>
      <c r="C5891" s="64" t="n"/>
      <c r="D5891" s="64" t="n"/>
      <c r="E5891" s="63" t="n"/>
    </row>
    <row r="5892" ht="18" customHeight="1">
      <c r="A5892" s="62" t="n"/>
      <c r="B5892" s="63" t="n"/>
      <c r="C5892" s="64" t="n"/>
      <c r="D5892" s="64" t="n"/>
      <c r="E5892" s="63" t="n"/>
    </row>
    <row r="5893" ht="18" customHeight="1">
      <c r="A5893" s="62" t="n"/>
      <c r="B5893" s="63" t="n"/>
      <c r="C5893" s="64" t="n"/>
      <c r="D5893" s="64" t="n"/>
      <c r="E5893" s="63" t="n"/>
    </row>
    <row r="5894" ht="18" customHeight="1">
      <c r="A5894" s="62" t="n"/>
      <c r="B5894" s="63" t="n"/>
      <c r="C5894" s="64" t="n"/>
      <c r="D5894" s="64" t="n"/>
      <c r="E5894" s="63" t="n"/>
    </row>
    <row r="5895" ht="18" customHeight="1">
      <c r="A5895" s="62" t="n"/>
      <c r="B5895" s="63" t="n"/>
      <c r="C5895" s="64" t="n"/>
      <c r="D5895" s="64" t="n"/>
      <c r="E5895" s="63" t="n"/>
    </row>
    <row r="5896" ht="18" customHeight="1">
      <c r="A5896" s="62" t="n"/>
      <c r="B5896" s="63" t="n"/>
      <c r="C5896" s="64" t="n"/>
      <c r="D5896" s="64" t="n"/>
      <c r="E5896" s="63" t="n"/>
    </row>
    <row r="5897" ht="18" customHeight="1">
      <c r="A5897" s="62" t="n"/>
      <c r="B5897" s="63" t="n"/>
      <c r="C5897" s="64" t="n"/>
      <c r="D5897" s="64" t="n"/>
      <c r="E5897" s="63" t="n"/>
    </row>
    <row r="5898" ht="18" customHeight="1">
      <c r="A5898" s="62" t="n"/>
      <c r="B5898" s="63" t="n"/>
      <c r="C5898" s="64" t="n"/>
      <c r="D5898" s="64" t="n"/>
      <c r="E5898" s="63" t="n"/>
    </row>
    <row r="5899" ht="18" customHeight="1">
      <c r="A5899" s="62" t="n"/>
      <c r="B5899" s="63" t="n"/>
      <c r="C5899" s="64" t="n"/>
      <c r="D5899" s="64" t="n"/>
      <c r="E5899" s="63" t="n"/>
    </row>
    <row r="5900" ht="18" customHeight="1">
      <c r="A5900" s="62" t="n"/>
      <c r="B5900" s="63" t="n"/>
      <c r="C5900" s="64" t="n"/>
      <c r="D5900" s="64" t="n"/>
      <c r="E5900" s="63" t="n"/>
    </row>
    <row r="5901" ht="18" customHeight="1">
      <c r="A5901" s="62" t="n"/>
      <c r="B5901" s="63" t="n"/>
      <c r="C5901" s="64" t="n"/>
      <c r="D5901" s="64" t="n"/>
      <c r="E5901" s="63" t="n"/>
    </row>
    <row r="5902" ht="18" customHeight="1">
      <c r="A5902" s="62" t="n"/>
      <c r="B5902" s="63" t="n"/>
      <c r="C5902" s="64" t="n"/>
      <c r="D5902" s="64" t="n"/>
      <c r="E5902" s="63" t="n"/>
    </row>
    <row r="5903" ht="18" customHeight="1">
      <c r="A5903" s="62" t="n"/>
      <c r="B5903" s="63" t="n"/>
      <c r="C5903" s="64" t="n"/>
      <c r="D5903" s="64" t="n"/>
      <c r="E5903" s="63" t="n"/>
    </row>
    <row r="5904" ht="18" customHeight="1">
      <c r="A5904" s="62" t="n"/>
      <c r="B5904" s="63" t="n"/>
      <c r="C5904" s="64" t="n"/>
      <c r="D5904" s="64" t="n"/>
      <c r="E5904" s="63" t="n"/>
    </row>
    <row r="5905" ht="18" customHeight="1">
      <c r="A5905" s="62" t="n"/>
      <c r="B5905" s="63" t="n"/>
      <c r="C5905" s="64" t="n"/>
      <c r="D5905" s="64" t="n"/>
      <c r="E5905" s="63" t="n"/>
    </row>
    <row r="5906" ht="18" customHeight="1">
      <c r="A5906" s="62" t="n"/>
      <c r="B5906" s="63" t="n"/>
      <c r="C5906" s="64" t="n"/>
      <c r="D5906" s="64" t="n"/>
      <c r="E5906" s="63" t="n"/>
    </row>
    <row r="5907" ht="18" customHeight="1">
      <c r="A5907" s="62" t="n"/>
      <c r="B5907" s="63" t="n"/>
      <c r="C5907" s="64" t="n"/>
      <c r="D5907" s="64" t="n"/>
      <c r="E5907" s="63" t="n"/>
    </row>
    <row r="5908" ht="18" customHeight="1">
      <c r="A5908" s="62" t="n"/>
      <c r="B5908" s="63" t="n"/>
      <c r="C5908" s="64" t="n"/>
      <c r="D5908" s="64" t="n"/>
      <c r="E5908" s="63" t="n"/>
    </row>
    <row r="5909" ht="18" customHeight="1">
      <c r="A5909" s="62" t="n"/>
      <c r="B5909" s="63" t="n"/>
      <c r="C5909" s="64" t="n"/>
      <c r="D5909" s="64" t="n"/>
      <c r="E5909" s="63" t="n"/>
    </row>
    <row r="5910" ht="18" customHeight="1">
      <c r="A5910" s="62" t="n"/>
      <c r="B5910" s="63" t="n"/>
      <c r="C5910" s="64" t="n"/>
      <c r="D5910" s="64" t="n"/>
      <c r="E5910" s="63" t="n"/>
    </row>
    <row r="5911" ht="18" customHeight="1">
      <c r="A5911" s="62" t="n"/>
      <c r="B5911" s="63" t="n"/>
      <c r="C5911" s="64" t="n"/>
      <c r="D5911" s="64" t="n"/>
      <c r="E5911" s="63" t="n"/>
    </row>
    <row r="5912" ht="18" customHeight="1">
      <c r="A5912" s="62" t="n"/>
      <c r="B5912" s="63" t="n"/>
      <c r="C5912" s="64" t="n"/>
      <c r="D5912" s="64" t="n"/>
      <c r="E5912" s="63" t="n"/>
    </row>
    <row r="5913" ht="18" customHeight="1">
      <c r="A5913" s="62" t="n"/>
      <c r="B5913" s="63" t="n"/>
      <c r="C5913" s="64" t="n"/>
      <c r="D5913" s="64" t="n"/>
      <c r="E5913" s="63" t="n"/>
    </row>
    <row r="5914" ht="18" customHeight="1">
      <c r="A5914" s="62" t="n"/>
      <c r="B5914" s="63" t="n"/>
      <c r="C5914" s="64" t="n"/>
      <c r="D5914" s="64" t="n"/>
      <c r="E5914" s="63" t="n"/>
    </row>
    <row r="5915" ht="18" customHeight="1">
      <c r="A5915" s="62" t="n"/>
      <c r="B5915" s="63" t="n"/>
      <c r="C5915" s="64" t="n"/>
      <c r="D5915" s="64" t="n"/>
      <c r="E5915" s="63" t="n"/>
    </row>
    <row r="5916" ht="18" customHeight="1">
      <c r="A5916" s="62" t="n"/>
      <c r="B5916" s="63" t="n"/>
      <c r="C5916" s="64" t="n"/>
      <c r="D5916" s="64" t="n"/>
      <c r="E5916" s="63" t="n"/>
    </row>
    <row r="5917" ht="18" customHeight="1">
      <c r="A5917" s="62" t="n"/>
      <c r="B5917" s="63" t="n"/>
      <c r="C5917" s="64" t="n"/>
      <c r="D5917" s="64" t="n"/>
      <c r="E5917" s="63" t="n"/>
    </row>
    <row r="5918" ht="18" customHeight="1">
      <c r="A5918" s="62" t="n"/>
      <c r="B5918" s="63" t="n"/>
      <c r="C5918" s="64" t="n"/>
      <c r="D5918" s="64" t="n"/>
      <c r="E5918" s="63" t="n"/>
    </row>
    <row r="5919" ht="18" customHeight="1">
      <c r="A5919" s="62" t="n"/>
      <c r="B5919" s="63" t="n"/>
      <c r="C5919" s="64" t="n"/>
      <c r="D5919" s="64" t="n"/>
      <c r="E5919" s="63" t="n"/>
    </row>
    <row r="5920" ht="18" customHeight="1">
      <c r="A5920" s="62" t="n"/>
      <c r="B5920" s="63" t="n"/>
      <c r="C5920" s="64" t="n"/>
      <c r="D5920" s="64" t="n"/>
      <c r="E5920" s="63" t="n"/>
    </row>
    <row r="5921" ht="18" customHeight="1">
      <c r="A5921" s="62" t="n"/>
      <c r="B5921" s="63" t="n"/>
      <c r="C5921" s="64" t="n"/>
      <c r="D5921" s="64" t="n"/>
      <c r="E5921" s="63" t="n"/>
    </row>
    <row r="5922" ht="18" customHeight="1">
      <c r="A5922" s="62" t="n"/>
      <c r="B5922" s="63" t="n"/>
      <c r="C5922" s="64" t="n"/>
      <c r="D5922" s="64" t="n"/>
      <c r="E5922" s="63" t="n"/>
    </row>
    <row r="5923" ht="18" customHeight="1">
      <c r="A5923" s="62" t="n"/>
      <c r="B5923" s="63" t="n"/>
      <c r="C5923" s="64" t="n"/>
      <c r="D5923" s="64" t="n"/>
      <c r="E5923" s="63" t="n"/>
    </row>
    <row r="5924" ht="18" customHeight="1">
      <c r="A5924" s="62" t="n"/>
      <c r="B5924" s="63" t="n"/>
      <c r="C5924" s="64" t="n"/>
      <c r="D5924" s="64" t="n"/>
      <c r="E5924" s="63" t="n"/>
    </row>
    <row r="5925" ht="18" customHeight="1">
      <c r="A5925" s="62" t="n"/>
      <c r="B5925" s="63" t="n"/>
      <c r="C5925" s="64" t="n"/>
      <c r="D5925" s="64" t="n"/>
      <c r="E5925" s="63" t="n"/>
    </row>
    <row r="5926" ht="18" customHeight="1">
      <c r="A5926" s="62" t="n"/>
      <c r="B5926" s="63" t="n"/>
      <c r="C5926" s="64" t="n"/>
      <c r="D5926" s="64" t="n"/>
      <c r="E5926" s="63" t="n"/>
    </row>
    <row r="5927" ht="18" customHeight="1">
      <c r="A5927" s="62" t="n"/>
      <c r="B5927" s="63" t="n"/>
      <c r="C5927" s="64" t="n"/>
      <c r="D5927" s="64" t="n"/>
      <c r="E5927" s="63" t="n"/>
    </row>
    <row r="5928" ht="18" customHeight="1">
      <c r="A5928" s="62" t="n"/>
      <c r="B5928" s="63" t="n"/>
      <c r="C5928" s="64" t="n"/>
      <c r="D5928" s="64" t="n"/>
      <c r="E5928" s="63" t="n"/>
    </row>
    <row r="5929" ht="18" customHeight="1">
      <c r="A5929" s="62" t="n"/>
      <c r="B5929" s="63" t="n"/>
      <c r="C5929" s="64" t="n"/>
      <c r="D5929" s="64" t="n"/>
      <c r="E5929" s="63" t="n"/>
    </row>
    <row r="5930" ht="18" customHeight="1">
      <c r="A5930" s="62" t="n"/>
      <c r="B5930" s="63" t="n"/>
      <c r="C5930" s="64" t="n"/>
      <c r="D5930" s="64" t="n"/>
      <c r="E5930" s="63" t="n"/>
    </row>
    <row r="5931" ht="18" customHeight="1">
      <c r="A5931" s="62" t="n"/>
      <c r="B5931" s="63" t="n"/>
      <c r="C5931" s="64" t="n"/>
      <c r="D5931" s="64" t="n"/>
      <c r="E5931" s="63" t="n"/>
    </row>
    <row r="5932" ht="18" customHeight="1">
      <c r="A5932" s="62" t="n"/>
      <c r="B5932" s="63" t="n"/>
      <c r="C5932" s="64" t="n"/>
      <c r="D5932" s="64" t="n"/>
      <c r="E5932" s="63" t="n"/>
    </row>
    <row r="5933" ht="18" customHeight="1">
      <c r="A5933" s="62" t="n"/>
      <c r="B5933" s="63" t="n"/>
      <c r="C5933" s="64" t="n"/>
      <c r="D5933" s="64" t="n"/>
      <c r="E5933" s="63" t="n"/>
    </row>
    <row r="5934" ht="18" customHeight="1">
      <c r="A5934" s="62" t="n"/>
      <c r="B5934" s="63" t="n"/>
      <c r="C5934" s="64" t="n"/>
      <c r="D5934" s="64" t="n"/>
      <c r="E5934" s="63" t="n"/>
    </row>
    <row r="5935" ht="18" customHeight="1">
      <c r="A5935" s="62" t="n"/>
      <c r="B5935" s="63" t="n"/>
      <c r="C5935" s="64" t="n"/>
      <c r="D5935" s="64" t="n"/>
      <c r="E5935" s="63" t="n"/>
    </row>
    <row r="5936" ht="18" customHeight="1">
      <c r="A5936" s="62" t="n"/>
      <c r="B5936" s="63" t="n"/>
      <c r="C5936" s="64" t="n"/>
      <c r="D5936" s="64" t="n"/>
      <c r="E5936" s="63" t="n"/>
    </row>
    <row r="5937" ht="18" customHeight="1">
      <c r="A5937" s="62" t="n"/>
      <c r="B5937" s="63" t="n"/>
      <c r="C5937" s="64" t="n"/>
      <c r="D5937" s="64" t="n"/>
      <c r="E5937" s="63" t="n"/>
    </row>
    <row r="5938" ht="18" customHeight="1">
      <c r="A5938" s="62" t="n"/>
      <c r="B5938" s="63" t="n"/>
      <c r="C5938" s="64" t="n"/>
      <c r="D5938" s="64" t="n"/>
      <c r="E5938" s="63" t="n"/>
    </row>
    <row r="5939" ht="18" customHeight="1">
      <c r="A5939" s="62" t="n"/>
      <c r="B5939" s="63" t="n"/>
      <c r="C5939" s="64" t="n"/>
      <c r="D5939" s="64" t="n"/>
      <c r="E5939" s="63" t="n"/>
    </row>
    <row r="5940" ht="18" customHeight="1">
      <c r="A5940" s="62" t="n"/>
      <c r="B5940" s="63" t="n"/>
      <c r="C5940" s="64" t="n"/>
      <c r="D5940" s="64" t="n"/>
      <c r="E5940" s="63" t="n"/>
    </row>
    <row r="5941" ht="18" customHeight="1">
      <c r="A5941" s="62" t="n"/>
      <c r="B5941" s="63" t="n"/>
      <c r="C5941" s="64" t="n"/>
      <c r="D5941" s="64" t="n"/>
      <c r="E5941" s="63" t="n"/>
    </row>
    <row r="5942" ht="18" customHeight="1">
      <c r="A5942" s="62" t="n"/>
      <c r="B5942" s="63" t="n"/>
      <c r="C5942" s="64" t="n"/>
      <c r="D5942" s="64" t="n"/>
      <c r="E5942" s="63" t="n"/>
    </row>
    <row r="5943" ht="18" customHeight="1">
      <c r="A5943" s="62" t="n"/>
      <c r="B5943" s="63" t="n"/>
      <c r="C5943" s="64" t="n"/>
      <c r="D5943" s="64" t="n"/>
      <c r="E5943" s="63" t="n"/>
    </row>
    <row r="5944" ht="18" customHeight="1">
      <c r="A5944" s="62" t="n"/>
      <c r="B5944" s="63" t="n"/>
      <c r="C5944" s="64" t="n"/>
      <c r="D5944" s="64" t="n"/>
      <c r="E5944" s="63" t="n"/>
    </row>
    <row r="5945" ht="18" customHeight="1">
      <c r="A5945" s="62" t="n"/>
      <c r="B5945" s="63" t="n"/>
      <c r="C5945" s="64" t="n"/>
      <c r="D5945" s="64" t="n"/>
      <c r="E5945" s="63" t="n"/>
    </row>
    <row r="5946" ht="18" customHeight="1">
      <c r="A5946" s="62" t="n"/>
      <c r="B5946" s="63" t="n"/>
      <c r="C5946" s="64" t="n"/>
      <c r="D5946" s="64" t="n"/>
      <c r="E5946" s="63" t="n"/>
    </row>
    <row r="5947" ht="18" customHeight="1">
      <c r="A5947" s="62" t="n"/>
      <c r="B5947" s="63" t="n"/>
      <c r="C5947" s="64" t="n"/>
      <c r="D5947" s="64" t="n"/>
      <c r="E5947" s="63" t="n"/>
    </row>
    <row r="5948" ht="18" customHeight="1">
      <c r="A5948" s="62" t="n"/>
      <c r="B5948" s="63" t="n"/>
      <c r="C5948" s="64" t="n"/>
      <c r="D5948" s="64" t="n"/>
      <c r="E5948" s="63" t="n"/>
    </row>
    <row r="5949" ht="18" customHeight="1">
      <c r="A5949" s="62" t="n"/>
      <c r="B5949" s="63" t="n"/>
      <c r="C5949" s="64" t="n"/>
      <c r="D5949" s="64" t="n"/>
      <c r="E5949" s="63" t="n"/>
    </row>
    <row r="5950" ht="18" customHeight="1">
      <c r="A5950" s="62" t="n"/>
      <c r="B5950" s="63" t="n"/>
      <c r="C5950" s="64" t="n"/>
      <c r="D5950" s="64" t="n"/>
      <c r="E5950" s="63" t="n"/>
    </row>
    <row r="5951" ht="18" customHeight="1">
      <c r="A5951" s="62" t="n"/>
      <c r="B5951" s="63" t="n"/>
      <c r="C5951" s="64" t="n"/>
      <c r="D5951" s="64" t="n"/>
      <c r="E5951" s="63" t="n"/>
    </row>
    <row r="5952" ht="18" customHeight="1">
      <c r="A5952" s="62" t="n"/>
      <c r="B5952" s="63" t="n"/>
      <c r="C5952" s="64" t="n"/>
      <c r="D5952" s="64" t="n"/>
      <c r="E5952" s="63" t="n"/>
    </row>
    <row r="5953" ht="18" customHeight="1">
      <c r="A5953" s="62" t="n"/>
      <c r="B5953" s="63" t="n"/>
      <c r="C5953" s="64" t="n"/>
      <c r="D5953" s="64" t="n"/>
      <c r="E5953" s="63" t="n"/>
    </row>
    <row r="5954" ht="18" customHeight="1">
      <c r="A5954" s="62" t="n"/>
      <c r="B5954" s="63" t="n"/>
      <c r="C5954" s="64" t="n"/>
      <c r="D5954" s="64" t="n"/>
      <c r="E5954" s="63" t="n"/>
    </row>
    <row r="5955" ht="18" customHeight="1">
      <c r="A5955" s="62" t="n"/>
      <c r="B5955" s="63" t="n"/>
      <c r="C5955" s="64" t="n"/>
      <c r="D5955" s="64" t="n"/>
      <c r="E5955" s="63" t="n"/>
    </row>
    <row r="5956" ht="18" customHeight="1">
      <c r="A5956" s="62" t="n"/>
      <c r="B5956" s="63" t="n"/>
      <c r="C5956" s="64" t="n"/>
      <c r="D5956" s="64" t="n"/>
      <c r="E5956" s="63" t="n"/>
    </row>
    <row r="5957" ht="18" customHeight="1">
      <c r="A5957" s="62" t="n"/>
      <c r="B5957" s="63" t="n"/>
      <c r="C5957" s="64" t="n"/>
      <c r="D5957" s="64" t="n"/>
      <c r="E5957" s="63" t="n"/>
    </row>
    <row r="5958" ht="18" customHeight="1">
      <c r="A5958" s="62" t="n"/>
      <c r="B5958" s="63" t="n"/>
      <c r="C5958" s="64" t="n"/>
      <c r="D5958" s="64" t="n"/>
      <c r="E5958" s="63" t="n"/>
    </row>
    <row r="5959" ht="18" customHeight="1">
      <c r="A5959" s="62" t="n"/>
      <c r="B5959" s="63" t="n"/>
      <c r="C5959" s="64" t="n"/>
      <c r="D5959" s="64" t="n"/>
      <c r="E5959" s="63" t="n"/>
    </row>
    <row r="5960" ht="18" customHeight="1">
      <c r="A5960" s="62" t="n"/>
      <c r="B5960" s="63" t="n"/>
      <c r="C5960" s="64" t="n"/>
      <c r="D5960" s="64" t="n"/>
      <c r="E5960" s="63" t="n"/>
    </row>
    <row r="5961" ht="18" customHeight="1">
      <c r="A5961" s="62" t="n"/>
      <c r="B5961" s="63" t="n"/>
      <c r="C5961" s="64" t="n"/>
      <c r="D5961" s="64" t="n"/>
      <c r="E5961" s="63" t="n"/>
    </row>
    <row r="5962" ht="18" customHeight="1">
      <c r="A5962" s="62" t="n"/>
      <c r="B5962" s="63" t="n"/>
      <c r="C5962" s="64" t="n"/>
      <c r="D5962" s="64" t="n"/>
      <c r="E5962" s="63" t="n"/>
    </row>
    <row r="5963" ht="18" customHeight="1">
      <c r="A5963" s="62" t="n"/>
      <c r="B5963" s="63" t="n"/>
      <c r="C5963" s="64" t="n"/>
      <c r="D5963" s="64" t="n"/>
      <c r="E5963" s="63" t="n"/>
    </row>
    <row r="5964" ht="18" customHeight="1">
      <c r="A5964" s="62" t="n"/>
      <c r="B5964" s="63" t="n"/>
      <c r="C5964" s="64" t="n"/>
      <c r="D5964" s="64" t="n"/>
      <c r="E5964" s="63" t="n"/>
    </row>
    <row r="5965" ht="18" customHeight="1">
      <c r="A5965" s="62" t="n"/>
      <c r="B5965" s="63" t="n"/>
      <c r="C5965" s="64" t="n"/>
      <c r="D5965" s="64" t="n"/>
      <c r="E5965" s="63" t="n"/>
    </row>
    <row r="5966" ht="18" customHeight="1">
      <c r="A5966" s="62" t="n"/>
      <c r="B5966" s="63" t="n"/>
      <c r="C5966" s="64" t="n"/>
      <c r="D5966" s="64" t="n"/>
      <c r="E5966" s="63" t="n"/>
    </row>
    <row r="5967" ht="18" customHeight="1">
      <c r="A5967" s="62" t="n"/>
      <c r="B5967" s="63" t="n"/>
      <c r="C5967" s="64" t="n"/>
      <c r="D5967" s="64" t="n"/>
      <c r="E5967" s="63" t="n"/>
    </row>
    <row r="5968" ht="18" customHeight="1">
      <c r="A5968" s="62" t="n"/>
      <c r="B5968" s="63" t="n"/>
      <c r="C5968" s="64" t="n"/>
      <c r="D5968" s="64" t="n"/>
      <c r="E5968" s="63" t="n"/>
    </row>
    <row r="5969" ht="18" customHeight="1">
      <c r="A5969" s="62" t="n"/>
      <c r="B5969" s="63" t="n"/>
      <c r="C5969" s="64" t="n"/>
      <c r="D5969" s="64" t="n"/>
      <c r="E5969" s="63" t="n"/>
    </row>
    <row r="5970" ht="18" customHeight="1">
      <c r="A5970" s="62" t="n"/>
      <c r="B5970" s="63" t="n"/>
      <c r="C5970" s="64" t="n"/>
      <c r="D5970" s="64" t="n"/>
      <c r="E5970" s="63" t="n"/>
    </row>
    <row r="5971" ht="18" customHeight="1">
      <c r="A5971" s="62" t="n"/>
      <c r="B5971" s="63" t="n"/>
      <c r="C5971" s="64" t="n"/>
      <c r="D5971" s="64" t="n"/>
      <c r="E5971" s="63" t="n"/>
    </row>
    <row r="5972" ht="18" customHeight="1">
      <c r="A5972" s="62" t="n"/>
      <c r="B5972" s="63" t="n"/>
      <c r="C5972" s="64" t="n"/>
      <c r="D5972" s="64" t="n"/>
      <c r="E5972" s="63" t="n"/>
    </row>
    <row r="5973" ht="18" customHeight="1">
      <c r="A5973" s="62" t="n"/>
      <c r="B5973" s="63" t="n"/>
      <c r="C5973" s="64" t="n"/>
      <c r="D5973" s="64" t="n"/>
      <c r="E5973" s="63" t="n"/>
    </row>
    <row r="5974" ht="18" customHeight="1">
      <c r="A5974" s="62" t="n"/>
      <c r="B5974" s="63" t="n"/>
      <c r="C5974" s="64" t="n"/>
      <c r="D5974" s="64" t="n"/>
      <c r="E5974" s="63" t="n"/>
    </row>
    <row r="5975" ht="18" customHeight="1">
      <c r="A5975" s="62" t="n"/>
      <c r="B5975" s="63" t="n"/>
      <c r="C5975" s="64" t="n"/>
      <c r="D5975" s="64" t="n"/>
      <c r="E5975" s="63" t="n"/>
    </row>
    <row r="5976" ht="18" customHeight="1">
      <c r="A5976" s="62" t="n"/>
      <c r="B5976" s="63" t="n"/>
      <c r="C5976" s="64" t="n"/>
      <c r="D5976" s="64" t="n"/>
      <c r="E5976" s="63" t="n"/>
    </row>
    <row r="5977" ht="18" customHeight="1">
      <c r="A5977" s="62" t="n"/>
      <c r="B5977" s="63" t="n"/>
      <c r="C5977" s="64" t="n"/>
      <c r="D5977" s="64" t="n"/>
      <c r="E5977" s="63" t="n"/>
    </row>
    <row r="5978" ht="18" customHeight="1">
      <c r="A5978" s="62" t="n"/>
      <c r="B5978" s="63" t="n"/>
      <c r="C5978" s="64" t="n"/>
      <c r="D5978" s="64" t="n"/>
      <c r="E5978" s="63" t="n"/>
    </row>
    <row r="5979" ht="18" customHeight="1">
      <c r="A5979" s="62" t="n"/>
      <c r="B5979" s="63" t="n"/>
      <c r="C5979" s="64" t="n"/>
      <c r="D5979" s="64" t="n"/>
      <c r="E5979" s="63" t="n"/>
    </row>
    <row r="5980" ht="18" customHeight="1">
      <c r="A5980" s="62" t="n"/>
      <c r="B5980" s="63" t="n"/>
      <c r="C5980" s="64" t="n"/>
      <c r="D5980" s="64" t="n"/>
      <c r="E5980" s="63" t="n"/>
    </row>
    <row r="5981" ht="18" customHeight="1">
      <c r="A5981" s="62" t="n"/>
      <c r="B5981" s="63" t="n"/>
      <c r="C5981" s="64" t="n"/>
      <c r="D5981" s="64" t="n"/>
      <c r="E5981" s="63" t="n"/>
    </row>
    <row r="5982" ht="18" customHeight="1">
      <c r="A5982" s="62" t="n"/>
      <c r="B5982" s="63" t="n"/>
      <c r="C5982" s="64" t="n"/>
      <c r="D5982" s="64" t="n"/>
      <c r="E5982" s="63" t="n"/>
    </row>
    <row r="5983" ht="18" customHeight="1">
      <c r="A5983" s="62" t="n"/>
      <c r="B5983" s="63" t="n"/>
      <c r="C5983" s="64" t="n"/>
      <c r="D5983" s="64" t="n"/>
      <c r="E5983" s="63" t="n"/>
    </row>
    <row r="5984" ht="18" customHeight="1">
      <c r="A5984" s="62" t="n"/>
      <c r="B5984" s="63" t="n"/>
      <c r="C5984" s="64" t="n"/>
      <c r="D5984" s="64" t="n"/>
      <c r="E5984" s="63" t="n"/>
    </row>
    <row r="5985" ht="18" customHeight="1">
      <c r="A5985" s="62" t="n"/>
      <c r="B5985" s="63" t="n"/>
      <c r="C5985" s="64" t="n"/>
      <c r="D5985" s="64" t="n"/>
      <c r="E5985" s="63" t="n"/>
    </row>
    <row r="5986" ht="18" customHeight="1">
      <c r="A5986" s="62" t="n"/>
      <c r="B5986" s="63" t="n"/>
      <c r="C5986" s="64" t="n"/>
      <c r="D5986" s="64" t="n"/>
      <c r="E5986" s="63" t="n"/>
    </row>
    <row r="5987" ht="18" customHeight="1">
      <c r="A5987" s="62" t="n"/>
      <c r="B5987" s="63" t="n"/>
      <c r="C5987" s="64" t="n"/>
      <c r="D5987" s="64" t="n"/>
      <c r="E5987" s="63" t="n"/>
    </row>
    <row r="5988" ht="18" customHeight="1">
      <c r="A5988" s="62" t="n"/>
      <c r="B5988" s="63" t="n"/>
      <c r="C5988" s="64" t="n"/>
      <c r="D5988" s="64" t="n"/>
      <c r="E5988" s="63" t="n"/>
    </row>
    <row r="5989" ht="18" customHeight="1">
      <c r="A5989" s="62" t="n"/>
      <c r="B5989" s="63" t="n"/>
      <c r="C5989" s="64" t="n"/>
      <c r="D5989" s="64" t="n"/>
      <c r="E5989" s="63" t="n"/>
    </row>
    <row r="5990" ht="18" customHeight="1">
      <c r="A5990" s="62" t="n"/>
      <c r="B5990" s="63" t="n"/>
      <c r="C5990" s="64" t="n"/>
      <c r="D5990" s="64" t="n"/>
      <c r="E5990" s="63" t="n"/>
    </row>
    <row r="5991" ht="18" customHeight="1">
      <c r="A5991" s="62" t="n"/>
      <c r="B5991" s="63" t="n"/>
      <c r="C5991" s="64" t="n"/>
      <c r="D5991" s="64" t="n"/>
      <c r="E5991" s="63" t="n"/>
    </row>
    <row r="5992" ht="18" customHeight="1">
      <c r="A5992" s="62" t="n"/>
      <c r="B5992" s="63" t="n"/>
      <c r="C5992" s="64" t="n"/>
      <c r="D5992" s="64" t="n"/>
      <c r="E5992" s="63" t="n"/>
    </row>
    <row r="5993" ht="18" customHeight="1">
      <c r="A5993" s="62" t="n"/>
      <c r="B5993" s="63" t="n"/>
      <c r="C5993" s="64" t="n"/>
      <c r="D5993" s="64" t="n"/>
      <c r="E5993" s="63" t="n"/>
    </row>
    <row r="5994" ht="18" customHeight="1">
      <c r="A5994" s="62" t="n"/>
      <c r="B5994" s="63" t="n"/>
      <c r="C5994" s="64" t="n"/>
      <c r="D5994" s="64" t="n"/>
      <c r="E5994" s="63" t="n"/>
    </row>
    <row r="5995" ht="18" customHeight="1">
      <c r="A5995" s="62" t="n"/>
      <c r="B5995" s="63" t="n"/>
      <c r="C5995" s="64" t="n"/>
      <c r="D5995" s="64" t="n"/>
      <c r="E5995" s="63" t="n"/>
    </row>
    <row r="5996" ht="18" customHeight="1">
      <c r="A5996" s="62" t="n"/>
      <c r="B5996" s="63" t="n"/>
      <c r="C5996" s="64" t="n"/>
      <c r="D5996" s="64" t="n"/>
      <c r="E5996" s="63" t="n"/>
    </row>
    <row r="5997" ht="18" customHeight="1">
      <c r="A5997" s="62" t="n"/>
      <c r="B5997" s="63" t="n"/>
      <c r="C5997" s="64" t="n"/>
      <c r="D5997" s="64" t="n"/>
      <c r="E5997" s="63" t="n"/>
    </row>
    <row r="5998" ht="18" customHeight="1">
      <c r="A5998" s="62" t="n"/>
      <c r="B5998" s="63" t="n"/>
      <c r="C5998" s="64" t="n"/>
      <c r="D5998" s="64" t="n"/>
      <c r="E5998" s="63" t="n"/>
    </row>
    <row r="5999" ht="18" customHeight="1">
      <c r="A5999" s="62" t="n"/>
      <c r="B5999" s="63" t="n"/>
      <c r="C5999" s="64" t="n"/>
      <c r="D5999" s="64" t="n"/>
      <c r="E5999" s="63" t="n"/>
    </row>
    <row r="6000" ht="18" customHeight="1">
      <c r="A6000" s="62" t="n"/>
      <c r="B6000" s="63" t="n"/>
      <c r="C6000" s="64" t="n"/>
      <c r="D6000" s="64" t="n"/>
      <c r="E6000" s="63" t="n"/>
    </row>
    <row r="6001" ht="18" customHeight="1">
      <c r="A6001" s="62" t="n"/>
      <c r="B6001" s="63" t="n"/>
      <c r="C6001" s="64" t="n"/>
      <c r="D6001" s="64" t="n"/>
      <c r="E6001" s="63" t="n"/>
    </row>
    <row r="6002" ht="18" customHeight="1">
      <c r="A6002" s="62" t="n"/>
      <c r="B6002" s="63" t="n"/>
      <c r="C6002" s="64" t="n"/>
      <c r="D6002" s="64" t="n"/>
      <c r="E6002" s="63" t="n"/>
    </row>
    <row r="6003" ht="18" customHeight="1">
      <c r="A6003" s="62" t="n"/>
      <c r="B6003" s="63" t="n"/>
      <c r="C6003" s="64" t="n"/>
      <c r="D6003" s="64" t="n"/>
      <c r="E6003" s="63" t="n"/>
    </row>
    <row r="6004" ht="18" customHeight="1">
      <c r="A6004" s="62" t="n"/>
      <c r="B6004" s="63" t="n"/>
      <c r="C6004" s="64" t="n"/>
      <c r="D6004" s="64" t="n"/>
      <c r="E6004" s="63" t="n"/>
    </row>
    <row r="6005" ht="18" customHeight="1">
      <c r="A6005" s="62" t="n"/>
      <c r="B6005" s="63" t="n"/>
      <c r="C6005" s="64" t="n"/>
      <c r="D6005" s="64" t="n"/>
      <c r="E6005" s="63" t="n"/>
    </row>
    <row r="6006" ht="18" customHeight="1">
      <c r="A6006" s="62" t="n"/>
      <c r="B6006" s="63" t="n"/>
      <c r="C6006" s="64" t="n"/>
      <c r="D6006" s="64" t="n"/>
      <c r="E6006" s="63" t="n"/>
    </row>
    <row r="6007" ht="18" customHeight="1">
      <c r="A6007" s="62" t="n"/>
      <c r="B6007" s="63" t="n"/>
      <c r="C6007" s="64" t="n"/>
      <c r="D6007" s="64" t="n"/>
      <c r="E6007" s="63" t="n"/>
    </row>
    <row r="6008" ht="18" customHeight="1">
      <c r="A6008" s="62" t="n"/>
      <c r="B6008" s="63" t="n"/>
      <c r="C6008" s="64" t="n"/>
      <c r="D6008" s="64" t="n"/>
      <c r="E6008" s="63" t="n"/>
    </row>
    <row r="6009" ht="18" customHeight="1">
      <c r="A6009" s="62" t="n"/>
      <c r="B6009" s="63" t="n"/>
      <c r="C6009" s="64" t="n"/>
      <c r="D6009" s="64" t="n"/>
      <c r="E6009" s="63" t="n"/>
    </row>
    <row r="6010" ht="18" customHeight="1">
      <c r="A6010" s="62" t="n"/>
      <c r="B6010" s="63" t="n"/>
      <c r="C6010" s="64" t="n"/>
      <c r="D6010" s="64" t="n"/>
      <c r="E6010" s="63" t="n"/>
    </row>
    <row r="6011" ht="18" customHeight="1">
      <c r="A6011" s="62" t="n"/>
      <c r="B6011" s="63" t="n"/>
      <c r="C6011" s="64" t="n"/>
      <c r="D6011" s="64" t="n"/>
      <c r="E6011" s="63" t="n"/>
    </row>
    <row r="6012" ht="18" customHeight="1">
      <c r="A6012" s="62" t="n"/>
      <c r="B6012" s="63" t="n"/>
      <c r="C6012" s="64" t="n"/>
      <c r="D6012" s="64" t="n"/>
      <c r="E6012" s="63" t="n"/>
    </row>
    <row r="6013" ht="18" customHeight="1">
      <c r="A6013" s="62" t="n"/>
      <c r="B6013" s="63" t="n"/>
      <c r="C6013" s="64" t="n"/>
      <c r="D6013" s="64" t="n"/>
      <c r="E6013" s="63" t="n"/>
    </row>
    <row r="6014" ht="18" customHeight="1">
      <c r="A6014" s="62" t="n"/>
      <c r="B6014" s="63" t="n"/>
      <c r="C6014" s="64" t="n"/>
      <c r="D6014" s="64" t="n"/>
      <c r="E6014" s="63" t="n"/>
    </row>
    <row r="6015" ht="18" customHeight="1">
      <c r="A6015" s="62" t="n"/>
      <c r="B6015" s="63" t="n"/>
      <c r="C6015" s="64" t="n"/>
      <c r="D6015" s="64" t="n"/>
      <c r="E6015" s="63" t="n"/>
    </row>
    <row r="6016" ht="18" customHeight="1">
      <c r="A6016" s="62" t="n"/>
      <c r="B6016" s="63" t="n"/>
      <c r="C6016" s="64" t="n"/>
      <c r="D6016" s="64" t="n"/>
      <c r="E6016" s="63" t="n"/>
    </row>
    <row r="6017" ht="18" customHeight="1">
      <c r="A6017" s="62" t="n"/>
      <c r="B6017" s="63" t="n"/>
      <c r="C6017" s="64" t="n"/>
      <c r="D6017" s="64" t="n"/>
      <c r="E6017" s="63" t="n"/>
    </row>
    <row r="6018" ht="18" customHeight="1">
      <c r="A6018" s="62" t="n"/>
      <c r="B6018" s="63" t="n"/>
      <c r="C6018" s="64" t="n"/>
      <c r="D6018" s="64" t="n"/>
      <c r="E6018" s="63" t="n"/>
    </row>
    <row r="6019" ht="18" customHeight="1">
      <c r="A6019" s="62" t="n"/>
      <c r="B6019" s="63" t="n"/>
      <c r="C6019" s="64" t="n"/>
      <c r="D6019" s="64" t="n"/>
      <c r="E6019" s="63" t="n"/>
    </row>
    <row r="6020" ht="18" customHeight="1">
      <c r="A6020" s="62" t="n"/>
      <c r="B6020" s="63" t="n"/>
      <c r="C6020" s="64" t="n"/>
      <c r="D6020" s="64" t="n"/>
      <c r="E6020" s="63" t="n"/>
    </row>
    <row r="6021" ht="18" customHeight="1">
      <c r="A6021" s="62" t="n"/>
      <c r="B6021" s="63" t="n"/>
      <c r="C6021" s="64" t="n"/>
      <c r="D6021" s="64" t="n"/>
      <c r="E6021" s="63" t="n"/>
    </row>
    <row r="6022" ht="18" customHeight="1">
      <c r="A6022" s="62" t="n"/>
      <c r="B6022" s="63" t="n"/>
      <c r="C6022" s="64" t="n"/>
      <c r="D6022" s="64" t="n"/>
      <c r="E6022" s="63" t="n"/>
    </row>
    <row r="6023" ht="18" customHeight="1">
      <c r="A6023" s="62" t="n"/>
      <c r="B6023" s="63" t="n"/>
      <c r="C6023" s="64" t="n"/>
      <c r="D6023" s="64" t="n"/>
      <c r="E6023" s="63" t="n"/>
    </row>
    <row r="6024" ht="18" customHeight="1">
      <c r="A6024" s="62" t="n"/>
      <c r="B6024" s="63" t="n"/>
      <c r="C6024" s="64" t="n"/>
      <c r="D6024" s="64" t="n"/>
      <c r="E6024" s="63" t="n"/>
    </row>
    <row r="6025" ht="18" customHeight="1">
      <c r="A6025" s="62" t="n"/>
      <c r="B6025" s="63" t="n"/>
      <c r="C6025" s="64" t="n"/>
      <c r="D6025" s="64" t="n"/>
      <c r="E6025" s="63" t="n"/>
    </row>
    <row r="6026" ht="18" customHeight="1">
      <c r="A6026" s="62" t="n"/>
      <c r="B6026" s="63" t="n"/>
      <c r="C6026" s="64" t="n"/>
      <c r="D6026" s="64" t="n"/>
      <c r="E6026" s="63" t="n"/>
    </row>
    <row r="6027" ht="18" customHeight="1">
      <c r="A6027" s="62" t="n"/>
      <c r="B6027" s="63" t="n"/>
      <c r="C6027" s="64" t="n"/>
      <c r="D6027" s="64" t="n"/>
      <c r="E6027" s="63" t="n"/>
    </row>
    <row r="6028" ht="18" customHeight="1">
      <c r="A6028" s="62" t="n"/>
      <c r="B6028" s="63" t="n"/>
      <c r="C6028" s="64" t="n"/>
      <c r="D6028" s="64" t="n"/>
      <c r="E6028" s="63" t="n"/>
    </row>
    <row r="6029" ht="18" customHeight="1">
      <c r="A6029" s="62" t="n"/>
      <c r="B6029" s="63" t="n"/>
      <c r="C6029" s="64" t="n"/>
      <c r="D6029" s="64" t="n"/>
      <c r="E6029" s="63" t="n"/>
    </row>
    <row r="6030" ht="18" customHeight="1">
      <c r="A6030" s="62" t="n"/>
      <c r="B6030" s="63" t="n"/>
      <c r="C6030" s="64" t="n"/>
      <c r="D6030" s="64" t="n"/>
      <c r="E6030" s="63" t="n"/>
    </row>
    <row r="6031" ht="18" customHeight="1">
      <c r="A6031" s="62" t="n"/>
      <c r="B6031" s="63" t="n"/>
      <c r="C6031" s="64" t="n"/>
      <c r="D6031" s="64" t="n"/>
      <c r="E6031" s="63" t="n"/>
    </row>
    <row r="6032" ht="18" customHeight="1">
      <c r="A6032" s="62" t="n"/>
      <c r="B6032" s="63" t="n"/>
      <c r="C6032" s="64" t="n"/>
      <c r="D6032" s="64" t="n"/>
      <c r="E6032" s="63" t="n"/>
    </row>
    <row r="6033" ht="18" customHeight="1">
      <c r="A6033" s="62" t="n"/>
      <c r="B6033" s="63" t="n"/>
      <c r="C6033" s="64" t="n"/>
      <c r="D6033" s="64" t="n"/>
      <c r="E6033" s="63" t="n"/>
    </row>
    <row r="6034" ht="18" customHeight="1">
      <c r="A6034" s="62" t="n"/>
      <c r="B6034" s="63" t="n"/>
      <c r="C6034" s="64" t="n"/>
      <c r="D6034" s="64" t="n"/>
      <c r="E6034" s="63" t="n"/>
    </row>
    <row r="6035" ht="18" customHeight="1">
      <c r="A6035" s="62" t="n"/>
      <c r="B6035" s="63" t="n"/>
      <c r="C6035" s="64" t="n"/>
      <c r="D6035" s="64" t="n"/>
      <c r="E6035" s="63" t="n"/>
    </row>
    <row r="6036" ht="18" customHeight="1">
      <c r="A6036" s="62" t="n"/>
      <c r="B6036" s="63" t="n"/>
      <c r="C6036" s="64" t="n"/>
      <c r="D6036" s="64" t="n"/>
      <c r="E6036" s="63" t="n"/>
    </row>
    <row r="6037" ht="18" customHeight="1">
      <c r="A6037" s="62" t="n"/>
      <c r="B6037" s="63" t="n"/>
      <c r="C6037" s="64" t="n"/>
      <c r="D6037" s="64" t="n"/>
      <c r="E6037" s="63" t="n"/>
    </row>
    <row r="6038" ht="18" customHeight="1">
      <c r="A6038" s="62" t="n"/>
      <c r="B6038" s="63" t="n"/>
      <c r="C6038" s="64" t="n"/>
      <c r="D6038" s="64" t="n"/>
      <c r="E6038" s="63" t="n"/>
    </row>
    <row r="6039" ht="18" customHeight="1">
      <c r="A6039" s="62" t="n"/>
      <c r="B6039" s="63" t="n"/>
      <c r="C6039" s="64" t="n"/>
      <c r="D6039" s="64" t="n"/>
      <c r="E6039" s="63" t="n"/>
    </row>
    <row r="6040" ht="18" customHeight="1">
      <c r="A6040" s="62" t="n"/>
      <c r="B6040" s="63" t="n"/>
      <c r="C6040" s="64" t="n"/>
      <c r="D6040" s="64" t="n"/>
      <c r="E6040" s="63" t="n"/>
    </row>
    <row r="6041" ht="18" customHeight="1">
      <c r="A6041" s="62" t="n"/>
      <c r="B6041" s="63" t="n"/>
      <c r="C6041" s="64" t="n"/>
      <c r="D6041" s="64" t="n"/>
      <c r="E6041" s="63" t="n"/>
    </row>
    <row r="6042" ht="18" customHeight="1">
      <c r="A6042" s="62" t="n"/>
      <c r="B6042" s="63" t="n"/>
      <c r="C6042" s="64" t="n"/>
      <c r="D6042" s="64" t="n"/>
      <c r="E6042" s="63" t="n"/>
    </row>
    <row r="6043" ht="18" customHeight="1">
      <c r="A6043" s="62" t="n"/>
      <c r="B6043" s="63" t="n"/>
      <c r="C6043" s="64" t="n"/>
      <c r="D6043" s="64" t="n"/>
      <c r="E6043" s="63" t="n"/>
    </row>
    <row r="6044" ht="18" customHeight="1">
      <c r="A6044" s="62" t="n"/>
      <c r="B6044" s="63" t="n"/>
      <c r="C6044" s="64" t="n"/>
      <c r="D6044" s="64" t="n"/>
      <c r="E6044" s="63" t="n"/>
    </row>
    <row r="6045" ht="18" customHeight="1">
      <c r="A6045" s="62" t="n"/>
      <c r="B6045" s="63" t="n"/>
      <c r="C6045" s="64" t="n"/>
      <c r="D6045" s="64" t="n"/>
      <c r="E6045" s="63" t="n"/>
    </row>
    <row r="6046" ht="18" customHeight="1">
      <c r="A6046" s="62" t="n"/>
      <c r="B6046" s="63" t="n"/>
      <c r="C6046" s="64" t="n"/>
      <c r="D6046" s="64" t="n"/>
      <c r="E6046" s="63" t="n"/>
    </row>
    <row r="6047" ht="18" customHeight="1">
      <c r="A6047" s="62" t="n"/>
      <c r="B6047" s="63" t="n"/>
      <c r="C6047" s="64" t="n"/>
      <c r="D6047" s="64" t="n"/>
      <c r="E6047" s="63" t="n"/>
    </row>
    <row r="6048" ht="18" customHeight="1">
      <c r="A6048" s="62" t="n"/>
      <c r="B6048" s="63" t="n"/>
      <c r="C6048" s="64" t="n"/>
      <c r="D6048" s="64" t="n"/>
      <c r="E6048" s="63" t="n"/>
    </row>
    <row r="6049" ht="18" customHeight="1">
      <c r="A6049" s="62" t="n"/>
      <c r="B6049" s="63" t="n"/>
      <c r="C6049" s="64" t="n"/>
      <c r="D6049" s="64" t="n"/>
      <c r="E6049" s="63" t="n"/>
    </row>
    <row r="6050" ht="18" customHeight="1">
      <c r="A6050" s="62" t="n"/>
      <c r="B6050" s="63" t="n"/>
      <c r="C6050" s="64" t="n"/>
      <c r="D6050" s="64" t="n"/>
      <c r="E6050" s="63" t="n"/>
    </row>
    <row r="6051" ht="18" customHeight="1">
      <c r="A6051" s="62" t="n"/>
      <c r="B6051" s="63" t="n"/>
      <c r="C6051" s="64" t="n"/>
      <c r="D6051" s="64" t="n"/>
      <c r="E6051" s="63" t="n"/>
    </row>
    <row r="6052" ht="18" customHeight="1">
      <c r="A6052" s="62" t="n"/>
      <c r="B6052" s="63" t="n"/>
      <c r="C6052" s="64" t="n"/>
      <c r="D6052" s="64" t="n"/>
      <c r="E6052" s="63" t="n"/>
    </row>
    <row r="6053" ht="18" customHeight="1">
      <c r="A6053" s="62" t="n"/>
      <c r="B6053" s="63" t="n"/>
      <c r="C6053" s="64" t="n"/>
      <c r="D6053" s="64" t="n"/>
      <c r="E6053" s="63" t="n"/>
    </row>
    <row r="6054" ht="18" customHeight="1">
      <c r="A6054" s="62" t="n"/>
      <c r="B6054" s="63" t="n"/>
      <c r="C6054" s="64" t="n"/>
      <c r="D6054" s="64" t="n"/>
      <c r="E6054" s="63" t="n"/>
    </row>
    <row r="6055" ht="18" customHeight="1">
      <c r="A6055" s="62" t="n"/>
      <c r="B6055" s="63" t="n"/>
      <c r="C6055" s="64" t="n"/>
      <c r="D6055" s="64" t="n"/>
      <c r="E6055" s="63" t="n"/>
    </row>
    <row r="6056" ht="18" customHeight="1">
      <c r="A6056" s="62" t="n"/>
      <c r="B6056" s="63" t="n"/>
      <c r="C6056" s="64" t="n"/>
      <c r="D6056" s="64" t="n"/>
      <c r="E6056" s="63" t="n"/>
    </row>
    <row r="6057" ht="18" customHeight="1">
      <c r="A6057" s="62" t="n"/>
      <c r="B6057" s="63" t="n"/>
      <c r="C6057" s="64" t="n"/>
      <c r="D6057" s="64" t="n"/>
      <c r="E6057" s="63" t="n"/>
    </row>
    <row r="6058" ht="18" customHeight="1">
      <c r="A6058" s="62" t="n"/>
      <c r="B6058" s="63" t="n"/>
      <c r="C6058" s="64" t="n"/>
      <c r="D6058" s="64" t="n"/>
      <c r="E6058" s="63" t="n"/>
    </row>
    <row r="6059" ht="18" customHeight="1">
      <c r="A6059" s="62" t="n"/>
      <c r="B6059" s="63" t="n"/>
      <c r="C6059" s="64" t="n"/>
      <c r="D6059" s="64" t="n"/>
      <c r="E6059" s="63" t="n"/>
    </row>
    <row r="6060" ht="18" customHeight="1">
      <c r="A6060" s="62" t="n"/>
      <c r="B6060" s="63" t="n"/>
      <c r="C6060" s="64" t="n"/>
      <c r="D6060" s="64" t="n"/>
      <c r="E6060" s="63" t="n"/>
    </row>
    <row r="6061" ht="18" customHeight="1">
      <c r="A6061" s="62" t="n"/>
      <c r="B6061" s="63" t="n"/>
      <c r="C6061" s="64" t="n"/>
      <c r="D6061" s="64" t="n"/>
      <c r="E6061" s="63" t="n"/>
    </row>
    <row r="6062" ht="18" customHeight="1">
      <c r="A6062" s="62" t="n"/>
      <c r="B6062" s="63" t="n"/>
      <c r="C6062" s="64" t="n"/>
      <c r="D6062" s="64" t="n"/>
      <c r="E6062" s="63" t="n"/>
    </row>
    <row r="6063" ht="18" customHeight="1">
      <c r="A6063" s="62" t="n"/>
      <c r="B6063" s="63" t="n"/>
      <c r="C6063" s="64" t="n"/>
      <c r="D6063" s="64" t="n"/>
      <c r="E6063" s="63" t="n"/>
    </row>
    <row r="6064" ht="18" customHeight="1">
      <c r="A6064" s="62" t="n"/>
      <c r="B6064" s="63" t="n"/>
      <c r="C6064" s="64" t="n"/>
      <c r="D6064" s="64" t="n"/>
      <c r="E6064" s="63" t="n"/>
    </row>
    <row r="6065" ht="18" customHeight="1">
      <c r="A6065" s="62" t="n"/>
      <c r="B6065" s="63" t="n"/>
      <c r="C6065" s="64" t="n"/>
      <c r="D6065" s="64" t="n"/>
      <c r="E6065" s="63" t="n"/>
    </row>
    <row r="6066" ht="18" customHeight="1">
      <c r="A6066" s="62" t="n"/>
      <c r="B6066" s="63" t="n"/>
      <c r="C6066" s="64" t="n"/>
      <c r="D6066" s="64" t="n"/>
      <c r="E6066" s="63" t="n"/>
    </row>
    <row r="6067" ht="18" customHeight="1">
      <c r="A6067" s="62" t="n"/>
      <c r="B6067" s="63" t="n"/>
      <c r="C6067" s="64" t="n"/>
      <c r="D6067" s="64" t="n"/>
      <c r="E6067" s="63" t="n"/>
    </row>
    <row r="6068" ht="18" customHeight="1">
      <c r="A6068" s="62" t="n"/>
      <c r="B6068" s="63" t="n"/>
      <c r="C6068" s="64" t="n"/>
      <c r="D6068" s="64" t="n"/>
      <c r="E6068" s="63" t="n"/>
    </row>
    <row r="6069" ht="18" customHeight="1">
      <c r="A6069" s="62" t="n"/>
      <c r="B6069" s="63" t="n"/>
      <c r="C6069" s="64" t="n"/>
      <c r="D6069" s="64" t="n"/>
      <c r="E6069" s="63" t="n"/>
    </row>
    <row r="6070" ht="18" customHeight="1">
      <c r="A6070" s="62" t="n"/>
      <c r="B6070" s="63" t="n"/>
      <c r="C6070" s="64" t="n"/>
      <c r="D6070" s="64" t="n"/>
      <c r="E6070" s="63" t="n"/>
    </row>
    <row r="6071" ht="18" customHeight="1">
      <c r="A6071" s="62" t="n"/>
      <c r="B6071" s="63" t="n"/>
      <c r="C6071" s="64" t="n"/>
      <c r="D6071" s="64" t="n"/>
      <c r="E6071" s="63" t="n"/>
    </row>
    <row r="6072" ht="18" customHeight="1">
      <c r="A6072" s="62" t="n"/>
      <c r="B6072" s="63" t="n"/>
      <c r="C6072" s="64" t="n"/>
      <c r="D6072" s="64" t="n"/>
      <c r="E6072" s="63" t="n"/>
    </row>
    <row r="6073" ht="18" customHeight="1">
      <c r="A6073" s="62" t="n"/>
      <c r="B6073" s="63" t="n"/>
      <c r="C6073" s="64" t="n"/>
      <c r="D6073" s="64" t="n"/>
      <c r="E6073" s="63" t="n"/>
    </row>
    <row r="6074" ht="18" customHeight="1">
      <c r="A6074" s="62" t="n"/>
      <c r="B6074" s="63" t="n"/>
      <c r="C6074" s="64" t="n"/>
      <c r="D6074" s="64" t="n"/>
      <c r="E6074" s="63" t="n"/>
    </row>
    <row r="6075" ht="18" customHeight="1">
      <c r="A6075" s="62" t="n"/>
      <c r="B6075" s="63" t="n"/>
      <c r="C6075" s="64" t="n"/>
      <c r="D6075" s="64" t="n"/>
      <c r="E6075" s="63" t="n"/>
    </row>
    <row r="6076" ht="18" customHeight="1">
      <c r="A6076" s="62" t="n"/>
      <c r="B6076" s="63" t="n"/>
      <c r="C6076" s="64" t="n"/>
      <c r="D6076" s="64" t="n"/>
      <c r="E6076" s="63" t="n"/>
    </row>
    <row r="6077" ht="18" customHeight="1">
      <c r="A6077" s="62" t="n"/>
      <c r="B6077" s="63" t="n"/>
      <c r="C6077" s="64" t="n"/>
      <c r="D6077" s="64" t="n"/>
      <c r="E6077" s="63" t="n"/>
    </row>
    <row r="6078" ht="18" customHeight="1">
      <c r="A6078" s="62" t="n"/>
      <c r="B6078" s="63" t="n"/>
      <c r="C6078" s="64" t="n"/>
      <c r="D6078" s="64" t="n"/>
      <c r="E6078" s="63" t="n"/>
    </row>
    <row r="6079" ht="18" customHeight="1">
      <c r="A6079" s="62" t="n"/>
      <c r="B6079" s="63" t="n"/>
      <c r="C6079" s="64" t="n"/>
      <c r="D6079" s="64" t="n"/>
      <c r="E6079" s="63" t="n"/>
    </row>
    <row r="6080" ht="18" customHeight="1">
      <c r="A6080" s="62" t="n"/>
      <c r="B6080" s="63" t="n"/>
      <c r="C6080" s="64" t="n"/>
      <c r="D6080" s="64" t="n"/>
      <c r="E6080" s="63" t="n"/>
    </row>
    <row r="6081" ht="18" customHeight="1">
      <c r="A6081" s="62" t="n"/>
      <c r="B6081" s="63" t="n"/>
      <c r="C6081" s="64" t="n"/>
      <c r="D6081" s="64" t="n"/>
      <c r="E6081" s="63" t="n"/>
    </row>
    <row r="6082" ht="18" customHeight="1">
      <c r="A6082" s="62" t="n"/>
      <c r="B6082" s="63" t="n"/>
      <c r="C6082" s="64" t="n"/>
      <c r="D6082" s="64" t="n"/>
      <c r="E6082" s="63" t="n"/>
    </row>
    <row r="6083" ht="18" customHeight="1">
      <c r="A6083" s="62" t="n"/>
      <c r="B6083" s="63" t="n"/>
      <c r="C6083" s="64" t="n"/>
      <c r="D6083" s="64" t="n"/>
      <c r="E6083" s="63" t="n"/>
    </row>
    <row r="6084" ht="18" customHeight="1">
      <c r="A6084" s="62" t="n"/>
      <c r="B6084" s="63" t="n"/>
      <c r="C6084" s="64" t="n"/>
      <c r="D6084" s="64" t="n"/>
      <c r="E6084" s="63" t="n"/>
    </row>
    <row r="6085" ht="18" customHeight="1">
      <c r="A6085" s="62" t="n"/>
      <c r="B6085" s="63" t="n"/>
      <c r="C6085" s="64" t="n"/>
      <c r="D6085" s="64" t="n"/>
      <c r="E6085" s="63" t="n"/>
    </row>
    <row r="6086" ht="18" customHeight="1">
      <c r="A6086" s="62" t="n"/>
      <c r="B6086" s="63" t="n"/>
      <c r="C6086" s="64" t="n"/>
      <c r="D6086" s="64" t="n"/>
      <c r="E6086" s="63" t="n"/>
    </row>
    <row r="6087" ht="18" customHeight="1">
      <c r="A6087" s="62" t="n"/>
      <c r="B6087" s="63" t="n"/>
      <c r="C6087" s="64" t="n"/>
      <c r="D6087" s="64" t="n"/>
      <c r="E6087" s="63" t="n"/>
    </row>
    <row r="6088" ht="18" customHeight="1">
      <c r="A6088" s="62" t="n"/>
      <c r="B6088" s="63" t="n"/>
      <c r="C6088" s="64" t="n"/>
      <c r="D6088" s="64" t="n"/>
      <c r="E6088" s="63" t="n"/>
    </row>
    <row r="6089" ht="18" customHeight="1">
      <c r="A6089" s="62" t="n"/>
      <c r="B6089" s="63" t="n"/>
      <c r="C6089" s="64" t="n"/>
      <c r="D6089" s="64" t="n"/>
      <c r="E6089" s="63" t="n"/>
    </row>
    <row r="6090" ht="18" customHeight="1">
      <c r="A6090" s="62" t="n"/>
      <c r="B6090" s="63" t="n"/>
      <c r="C6090" s="64" t="n"/>
      <c r="D6090" s="64" t="n"/>
      <c r="E6090" s="63" t="n"/>
    </row>
    <row r="6091" ht="18" customHeight="1">
      <c r="A6091" s="62" t="n"/>
      <c r="B6091" s="63" t="n"/>
      <c r="C6091" s="64" t="n"/>
      <c r="D6091" s="64" t="n"/>
      <c r="E6091" s="63" t="n"/>
    </row>
    <row r="6092" ht="18" customHeight="1">
      <c r="A6092" s="62" t="n"/>
      <c r="B6092" s="63" t="n"/>
      <c r="C6092" s="64" t="n"/>
      <c r="D6092" s="64" t="n"/>
      <c r="E6092" s="63" t="n"/>
    </row>
    <row r="6093" ht="18" customHeight="1">
      <c r="A6093" s="62" t="n"/>
      <c r="B6093" s="63" t="n"/>
      <c r="C6093" s="64" t="n"/>
      <c r="D6093" s="64" t="n"/>
      <c r="E6093" s="63" t="n"/>
    </row>
    <row r="6094" ht="18" customHeight="1">
      <c r="A6094" s="62" t="n"/>
      <c r="B6094" s="63" t="n"/>
      <c r="C6094" s="64" t="n"/>
      <c r="D6094" s="64" t="n"/>
      <c r="E6094" s="63" t="n"/>
    </row>
    <row r="6095" ht="18" customHeight="1">
      <c r="A6095" s="62" t="n"/>
      <c r="B6095" s="63" t="n"/>
      <c r="C6095" s="64" t="n"/>
      <c r="D6095" s="64" t="n"/>
      <c r="E6095" s="63" t="n"/>
    </row>
    <row r="6096" ht="18" customHeight="1">
      <c r="A6096" s="62" t="n"/>
      <c r="B6096" s="63" t="n"/>
      <c r="C6096" s="64" t="n"/>
      <c r="D6096" s="64" t="n"/>
      <c r="E6096" s="63" t="n"/>
    </row>
    <row r="6097" ht="18" customHeight="1">
      <c r="A6097" s="62" t="n"/>
      <c r="B6097" s="63" t="n"/>
      <c r="C6097" s="64" t="n"/>
      <c r="D6097" s="64" t="n"/>
      <c r="E6097" s="63" t="n"/>
    </row>
    <row r="6098" ht="18" customHeight="1">
      <c r="A6098" s="62" t="n"/>
      <c r="B6098" s="63" t="n"/>
      <c r="C6098" s="64" t="n"/>
      <c r="D6098" s="64" t="n"/>
      <c r="E6098" s="63" t="n"/>
    </row>
    <row r="6099" ht="18" customHeight="1">
      <c r="A6099" s="62" t="n"/>
      <c r="B6099" s="63" t="n"/>
      <c r="C6099" s="64" t="n"/>
      <c r="D6099" s="64" t="n"/>
      <c r="E6099" s="63" t="n"/>
    </row>
    <row r="6100" ht="18" customHeight="1">
      <c r="A6100" s="62" t="n"/>
      <c r="B6100" s="63" t="n"/>
      <c r="C6100" s="64" t="n"/>
      <c r="D6100" s="64" t="n"/>
      <c r="E6100" s="63" t="n"/>
    </row>
    <row r="6101" ht="18" customHeight="1">
      <c r="A6101" s="62" t="n"/>
      <c r="B6101" s="63" t="n"/>
      <c r="C6101" s="64" t="n"/>
      <c r="D6101" s="64" t="n"/>
      <c r="E6101" s="63" t="n"/>
    </row>
    <row r="6102" ht="18" customHeight="1">
      <c r="A6102" s="62" t="n"/>
      <c r="B6102" s="63" t="n"/>
      <c r="C6102" s="64" t="n"/>
      <c r="D6102" s="64" t="n"/>
      <c r="E6102" s="63" t="n"/>
    </row>
    <row r="6103" ht="18" customHeight="1">
      <c r="A6103" s="62" t="n"/>
      <c r="B6103" s="63" t="n"/>
      <c r="C6103" s="64" t="n"/>
      <c r="D6103" s="64" t="n"/>
      <c r="E6103" s="63" t="n"/>
    </row>
    <row r="6104" ht="18" customHeight="1">
      <c r="A6104" s="62" t="n"/>
      <c r="B6104" s="63" t="n"/>
      <c r="C6104" s="64" t="n"/>
      <c r="D6104" s="64" t="n"/>
      <c r="E6104" s="63" t="n"/>
    </row>
    <row r="6105" ht="18" customHeight="1">
      <c r="A6105" s="62" t="n"/>
      <c r="B6105" s="63" t="n"/>
      <c r="C6105" s="64" t="n"/>
      <c r="D6105" s="64" t="n"/>
      <c r="E6105" s="63" t="n"/>
    </row>
    <row r="6106" ht="18" customHeight="1">
      <c r="A6106" s="62" t="n"/>
      <c r="B6106" s="63" t="n"/>
      <c r="C6106" s="64" t="n"/>
      <c r="D6106" s="64" t="n"/>
      <c r="E6106" s="63" t="n"/>
    </row>
    <row r="6107" ht="18" customHeight="1">
      <c r="A6107" s="62" t="n"/>
      <c r="B6107" s="63" t="n"/>
      <c r="C6107" s="64" t="n"/>
      <c r="D6107" s="64" t="n"/>
      <c r="E6107" s="63" t="n"/>
    </row>
    <row r="6108" ht="18" customHeight="1">
      <c r="A6108" s="62" t="n"/>
      <c r="B6108" s="63" t="n"/>
      <c r="C6108" s="64" t="n"/>
      <c r="D6108" s="64" t="n"/>
      <c r="E6108" s="63" t="n"/>
    </row>
    <row r="6109" ht="18" customHeight="1">
      <c r="A6109" s="62" t="n"/>
      <c r="B6109" s="63" t="n"/>
      <c r="C6109" s="64" t="n"/>
      <c r="D6109" s="64" t="n"/>
      <c r="E6109" s="63" t="n"/>
    </row>
    <row r="6110" ht="18" customHeight="1">
      <c r="A6110" s="62" t="n"/>
      <c r="B6110" s="63" t="n"/>
      <c r="C6110" s="64" t="n"/>
      <c r="D6110" s="64" t="n"/>
      <c r="E6110" s="63" t="n"/>
    </row>
    <row r="6111" ht="18" customHeight="1">
      <c r="A6111" s="62" t="n"/>
      <c r="B6111" s="63" t="n"/>
      <c r="C6111" s="64" t="n"/>
      <c r="D6111" s="64" t="n"/>
      <c r="E6111" s="63" t="n"/>
    </row>
    <row r="6112" ht="18" customHeight="1">
      <c r="A6112" s="62" t="n"/>
      <c r="B6112" s="63" t="n"/>
      <c r="C6112" s="64" t="n"/>
      <c r="D6112" s="64" t="n"/>
      <c r="E6112" s="63" t="n"/>
    </row>
    <row r="6113" ht="18" customHeight="1">
      <c r="A6113" s="62" t="n"/>
      <c r="B6113" s="63" t="n"/>
      <c r="C6113" s="64" t="n"/>
      <c r="D6113" s="64" t="n"/>
      <c r="E6113" s="63" t="n"/>
    </row>
    <row r="6114" ht="18" customHeight="1">
      <c r="A6114" s="62" t="n"/>
      <c r="B6114" s="63" t="n"/>
      <c r="C6114" s="64" t="n"/>
      <c r="D6114" s="64" t="n"/>
      <c r="E6114" s="63" t="n"/>
    </row>
    <row r="6115" ht="18" customHeight="1">
      <c r="A6115" s="62" t="n"/>
      <c r="B6115" s="63" t="n"/>
      <c r="C6115" s="64" t="n"/>
      <c r="D6115" s="64" t="n"/>
      <c r="E6115" s="63" t="n"/>
    </row>
    <row r="6116" ht="18" customHeight="1">
      <c r="A6116" s="62" t="n"/>
      <c r="B6116" s="63" t="n"/>
      <c r="C6116" s="64" t="n"/>
      <c r="D6116" s="64" t="n"/>
      <c r="E6116" s="63" t="n"/>
    </row>
    <row r="6117" ht="18" customHeight="1">
      <c r="A6117" s="62" t="n"/>
      <c r="B6117" s="63" t="n"/>
      <c r="C6117" s="64" t="n"/>
      <c r="D6117" s="64" t="n"/>
      <c r="E6117" s="63" t="n"/>
    </row>
    <row r="6118" ht="18" customHeight="1">
      <c r="A6118" s="62" t="n"/>
      <c r="B6118" s="63" t="n"/>
      <c r="C6118" s="64" t="n"/>
      <c r="D6118" s="64" t="n"/>
      <c r="E6118" s="63" t="n"/>
    </row>
    <row r="6119" ht="18" customHeight="1">
      <c r="A6119" s="62" t="n"/>
      <c r="B6119" s="63" t="n"/>
      <c r="C6119" s="64" t="n"/>
      <c r="D6119" s="64" t="n"/>
      <c r="E6119" s="63" t="n"/>
    </row>
    <row r="6120" ht="18" customHeight="1">
      <c r="A6120" s="62" t="n"/>
      <c r="B6120" s="63" t="n"/>
      <c r="C6120" s="64" t="n"/>
      <c r="D6120" s="64" t="n"/>
      <c r="E6120" s="63" t="n"/>
    </row>
    <row r="6121" ht="18" customHeight="1">
      <c r="A6121" s="62" t="n"/>
      <c r="B6121" s="63" t="n"/>
      <c r="C6121" s="64" t="n"/>
      <c r="D6121" s="64" t="n"/>
      <c r="E6121" s="63" t="n"/>
    </row>
    <row r="6122" ht="18" customHeight="1">
      <c r="A6122" s="62" t="n"/>
      <c r="B6122" s="63" t="n"/>
      <c r="C6122" s="64" t="n"/>
      <c r="D6122" s="64" t="n"/>
      <c r="E6122" s="63" t="n"/>
    </row>
    <row r="6123" ht="18" customHeight="1">
      <c r="A6123" s="62" t="n"/>
      <c r="B6123" s="63" t="n"/>
      <c r="C6123" s="64" t="n"/>
      <c r="D6123" s="64" t="n"/>
      <c r="E6123" s="63" t="n"/>
    </row>
    <row r="6124" ht="18" customHeight="1">
      <c r="A6124" s="62" t="n"/>
      <c r="B6124" s="63" t="n"/>
      <c r="C6124" s="64" t="n"/>
      <c r="D6124" s="64" t="n"/>
      <c r="E6124" s="63" t="n"/>
    </row>
    <row r="6125" ht="18" customHeight="1">
      <c r="A6125" s="62" t="n"/>
      <c r="B6125" s="63" t="n"/>
      <c r="C6125" s="64" t="n"/>
      <c r="D6125" s="64" t="n"/>
      <c r="E6125" s="63" t="n"/>
    </row>
    <row r="6126" ht="18" customHeight="1">
      <c r="A6126" s="62" t="n"/>
      <c r="B6126" s="63" t="n"/>
      <c r="C6126" s="64" t="n"/>
      <c r="D6126" s="64" t="n"/>
      <c r="E6126" s="63" t="n"/>
    </row>
    <row r="6127" ht="18" customHeight="1">
      <c r="A6127" s="62" t="n"/>
      <c r="B6127" s="63" t="n"/>
      <c r="C6127" s="64" t="n"/>
      <c r="D6127" s="64" t="n"/>
      <c r="E6127" s="63" t="n"/>
    </row>
    <row r="6128" ht="18" customHeight="1">
      <c r="A6128" s="62" t="n"/>
      <c r="B6128" s="63" t="n"/>
      <c r="C6128" s="64" t="n"/>
      <c r="D6128" s="64" t="n"/>
      <c r="E6128" s="63" t="n"/>
    </row>
    <row r="6129" ht="18" customHeight="1">
      <c r="A6129" s="62" t="n"/>
      <c r="B6129" s="63" t="n"/>
      <c r="C6129" s="64" t="n"/>
      <c r="D6129" s="64" t="n"/>
      <c r="E6129" s="63" t="n"/>
    </row>
    <row r="6130" ht="18" customHeight="1">
      <c r="A6130" s="62" t="n"/>
      <c r="B6130" s="63" t="n"/>
      <c r="C6130" s="64" t="n"/>
      <c r="D6130" s="64" t="n"/>
      <c r="E6130" s="63" t="n"/>
    </row>
    <row r="6131" ht="18" customHeight="1">
      <c r="A6131" s="62" t="n"/>
      <c r="B6131" s="63" t="n"/>
      <c r="C6131" s="64" t="n"/>
      <c r="D6131" s="64" t="n"/>
      <c r="E6131" s="63" t="n"/>
    </row>
    <row r="6132" ht="18" customHeight="1">
      <c r="A6132" s="62" t="n"/>
      <c r="B6132" s="63" t="n"/>
      <c r="C6132" s="64" t="n"/>
      <c r="D6132" s="64" t="n"/>
      <c r="E6132" s="63" t="n"/>
    </row>
    <row r="6133" ht="18" customHeight="1">
      <c r="A6133" s="62" t="n"/>
      <c r="B6133" s="63" t="n"/>
      <c r="C6133" s="64" t="n"/>
      <c r="D6133" s="64" t="n"/>
      <c r="E6133" s="63" t="n"/>
    </row>
    <row r="6134" ht="18" customHeight="1">
      <c r="A6134" s="62" t="n"/>
      <c r="B6134" s="63" t="n"/>
      <c r="C6134" s="64" t="n"/>
      <c r="D6134" s="64" t="n"/>
      <c r="E6134" s="63" t="n"/>
    </row>
    <row r="6135" ht="18" customHeight="1">
      <c r="A6135" s="62" t="n"/>
      <c r="B6135" s="63" t="n"/>
      <c r="C6135" s="64" t="n"/>
      <c r="D6135" s="64" t="n"/>
      <c r="E6135" s="63" t="n"/>
    </row>
    <row r="6136" ht="18" customHeight="1">
      <c r="A6136" s="62" t="n"/>
      <c r="B6136" s="63" t="n"/>
      <c r="C6136" s="64" t="n"/>
      <c r="D6136" s="64" t="n"/>
      <c r="E6136" s="63" t="n"/>
    </row>
    <row r="6137" ht="18" customHeight="1">
      <c r="A6137" s="62" t="n"/>
      <c r="B6137" s="63" t="n"/>
      <c r="C6137" s="64" t="n"/>
      <c r="D6137" s="64" t="n"/>
      <c r="E6137" s="63" t="n"/>
    </row>
    <row r="6138" ht="18" customHeight="1">
      <c r="A6138" s="62" t="n"/>
      <c r="B6138" s="63" t="n"/>
      <c r="C6138" s="64" t="n"/>
      <c r="D6138" s="64" t="n"/>
      <c r="E6138" s="63" t="n"/>
    </row>
    <row r="6139" ht="18" customHeight="1">
      <c r="A6139" s="62" t="n"/>
      <c r="B6139" s="63" t="n"/>
      <c r="C6139" s="64" t="n"/>
      <c r="D6139" s="64" t="n"/>
      <c r="E6139" s="63" t="n"/>
    </row>
    <row r="6140" ht="18" customHeight="1">
      <c r="A6140" s="62" t="n"/>
      <c r="B6140" s="63" t="n"/>
      <c r="C6140" s="64" t="n"/>
      <c r="D6140" s="64" t="n"/>
      <c r="E6140" s="63" t="n"/>
    </row>
    <row r="6141" ht="18" customHeight="1">
      <c r="A6141" s="62" t="n"/>
      <c r="B6141" s="63" t="n"/>
      <c r="C6141" s="64" t="n"/>
      <c r="D6141" s="64" t="n"/>
      <c r="E6141" s="63" t="n"/>
    </row>
    <row r="6142" ht="18" customHeight="1">
      <c r="A6142" s="62" t="n"/>
      <c r="B6142" s="63" t="n"/>
      <c r="C6142" s="64" t="n"/>
      <c r="D6142" s="64" t="n"/>
      <c r="E6142" s="63" t="n"/>
    </row>
    <row r="6143" ht="18" customHeight="1">
      <c r="A6143" s="62" t="n"/>
      <c r="B6143" s="63" t="n"/>
      <c r="C6143" s="64" t="n"/>
      <c r="D6143" s="64" t="n"/>
      <c r="E6143" s="63" t="n"/>
    </row>
    <row r="6144" ht="18" customHeight="1">
      <c r="A6144" s="62" t="n"/>
      <c r="B6144" s="63" t="n"/>
      <c r="C6144" s="64" t="n"/>
      <c r="D6144" s="64" t="n"/>
      <c r="E6144" s="63" t="n"/>
    </row>
    <row r="6145" ht="18" customHeight="1">
      <c r="A6145" s="62" t="n"/>
      <c r="B6145" s="63" t="n"/>
      <c r="C6145" s="64" t="n"/>
      <c r="D6145" s="64" t="n"/>
      <c r="E6145" s="63" t="n"/>
    </row>
    <row r="6146" ht="18" customHeight="1">
      <c r="A6146" s="62" t="n"/>
      <c r="B6146" s="63" t="n"/>
      <c r="C6146" s="64" t="n"/>
      <c r="D6146" s="64" t="n"/>
      <c r="E6146" s="63" t="n"/>
    </row>
    <row r="6147" ht="18" customHeight="1">
      <c r="A6147" s="62" t="n"/>
      <c r="B6147" s="63" t="n"/>
      <c r="C6147" s="64" t="n"/>
      <c r="D6147" s="64" t="n"/>
      <c r="E6147" s="63" t="n"/>
    </row>
    <row r="6148" ht="18" customHeight="1">
      <c r="A6148" s="62" t="n"/>
      <c r="B6148" s="63" t="n"/>
      <c r="C6148" s="64" t="n"/>
      <c r="D6148" s="64" t="n"/>
      <c r="E6148" s="63" t="n"/>
    </row>
    <row r="6149" ht="18" customHeight="1">
      <c r="A6149" s="62" t="n"/>
      <c r="B6149" s="63" t="n"/>
      <c r="C6149" s="64" t="n"/>
      <c r="D6149" s="64" t="n"/>
      <c r="E6149" s="63" t="n"/>
    </row>
    <row r="6150" ht="18" customHeight="1">
      <c r="A6150" s="62" t="n"/>
      <c r="B6150" s="63" t="n"/>
      <c r="C6150" s="64" t="n"/>
      <c r="D6150" s="64" t="n"/>
      <c r="E6150" s="63" t="n"/>
    </row>
    <row r="6151" ht="18" customHeight="1">
      <c r="A6151" s="62" t="n"/>
      <c r="B6151" s="63" t="n"/>
      <c r="C6151" s="64" t="n"/>
      <c r="D6151" s="64" t="n"/>
      <c r="E6151" s="63" t="n"/>
    </row>
    <row r="6152" ht="18" customHeight="1">
      <c r="A6152" s="62" t="n"/>
      <c r="B6152" s="63" t="n"/>
      <c r="C6152" s="64" t="n"/>
      <c r="D6152" s="64" t="n"/>
      <c r="E6152" s="63" t="n"/>
    </row>
    <row r="6153" ht="18" customHeight="1">
      <c r="A6153" s="62" t="n"/>
      <c r="B6153" s="63" t="n"/>
      <c r="C6153" s="64" t="n"/>
      <c r="D6153" s="64" t="n"/>
      <c r="E6153" s="63" t="n"/>
    </row>
    <row r="6154" ht="18" customHeight="1">
      <c r="A6154" s="62" t="n"/>
      <c r="B6154" s="63" t="n"/>
      <c r="C6154" s="64" t="n"/>
      <c r="D6154" s="64" t="n"/>
      <c r="E6154" s="63" t="n"/>
    </row>
    <row r="6155" ht="18" customHeight="1">
      <c r="A6155" s="62" t="n"/>
      <c r="B6155" s="63" t="n"/>
      <c r="C6155" s="64" t="n"/>
      <c r="D6155" s="64" t="n"/>
      <c r="E6155" s="63" t="n"/>
    </row>
    <row r="6156" ht="18" customHeight="1">
      <c r="A6156" s="62" t="n"/>
      <c r="B6156" s="63" t="n"/>
      <c r="C6156" s="64" t="n"/>
      <c r="D6156" s="64" t="n"/>
      <c r="E6156" s="63" t="n"/>
    </row>
    <row r="6157" ht="18" customHeight="1">
      <c r="A6157" s="62" t="n"/>
      <c r="B6157" s="63" t="n"/>
      <c r="C6157" s="64" t="n"/>
      <c r="D6157" s="64" t="n"/>
      <c r="E6157" s="63" t="n"/>
    </row>
    <row r="6158" ht="18" customHeight="1">
      <c r="A6158" s="62" t="n"/>
      <c r="B6158" s="63" t="n"/>
      <c r="C6158" s="64" t="n"/>
      <c r="D6158" s="64" t="n"/>
      <c r="E6158" s="63" t="n"/>
    </row>
    <row r="6159" ht="18" customHeight="1">
      <c r="A6159" s="62" t="n"/>
      <c r="B6159" s="63" t="n"/>
      <c r="C6159" s="64" t="n"/>
      <c r="D6159" s="64" t="n"/>
      <c r="E6159" s="63" t="n"/>
    </row>
    <row r="6160" ht="18" customHeight="1">
      <c r="A6160" s="62" t="n"/>
      <c r="B6160" s="63" t="n"/>
      <c r="C6160" s="64" t="n"/>
      <c r="D6160" s="64" t="n"/>
      <c r="E6160" s="63" t="n"/>
    </row>
    <row r="6161" ht="18" customHeight="1">
      <c r="A6161" s="62" t="n"/>
      <c r="B6161" s="63" t="n"/>
      <c r="C6161" s="64" t="n"/>
      <c r="D6161" s="64" t="n"/>
      <c r="E6161" s="63" t="n"/>
    </row>
    <row r="6162" ht="18" customHeight="1">
      <c r="A6162" s="62" t="n"/>
      <c r="B6162" s="63" t="n"/>
      <c r="C6162" s="64" t="n"/>
      <c r="D6162" s="64" t="n"/>
      <c r="E6162" s="63" t="n"/>
    </row>
    <row r="6163" ht="18" customHeight="1">
      <c r="A6163" s="62" t="n"/>
      <c r="B6163" s="63" t="n"/>
      <c r="C6163" s="64" t="n"/>
      <c r="D6163" s="64" t="n"/>
      <c r="E6163" s="63" t="n"/>
    </row>
    <row r="6164" ht="18" customHeight="1">
      <c r="A6164" s="62" t="n"/>
      <c r="B6164" s="63" t="n"/>
      <c r="C6164" s="64" t="n"/>
      <c r="D6164" s="64" t="n"/>
      <c r="E6164" s="63" t="n"/>
    </row>
    <row r="6165" ht="18" customHeight="1">
      <c r="A6165" s="62" t="n"/>
      <c r="B6165" s="63" t="n"/>
      <c r="C6165" s="64" t="n"/>
      <c r="D6165" s="64" t="n"/>
      <c r="E6165" s="63" t="n"/>
    </row>
    <row r="6166" ht="18" customHeight="1">
      <c r="A6166" s="62" t="n"/>
      <c r="B6166" s="63" t="n"/>
      <c r="C6166" s="64" t="n"/>
      <c r="D6166" s="64" t="n"/>
      <c r="E6166" s="63" t="n"/>
    </row>
    <row r="6167" ht="18" customHeight="1">
      <c r="A6167" s="62" t="n"/>
      <c r="B6167" s="63" t="n"/>
      <c r="C6167" s="64" t="n"/>
      <c r="D6167" s="64" t="n"/>
      <c r="E6167" s="63" t="n"/>
    </row>
    <row r="6168" ht="18" customHeight="1">
      <c r="A6168" s="62" t="n"/>
      <c r="B6168" s="63" t="n"/>
      <c r="C6168" s="64" t="n"/>
      <c r="D6168" s="64" t="n"/>
      <c r="E6168" s="63" t="n"/>
    </row>
    <row r="6169" ht="18" customHeight="1">
      <c r="A6169" s="62" t="n"/>
      <c r="B6169" s="63" t="n"/>
      <c r="C6169" s="64" t="n"/>
      <c r="D6169" s="64" t="n"/>
      <c r="E6169" s="63" t="n"/>
    </row>
    <row r="6170" ht="18" customHeight="1">
      <c r="A6170" s="62" t="n"/>
      <c r="B6170" s="63" t="n"/>
      <c r="C6170" s="64" t="n"/>
      <c r="D6170" s="64" t="n"/>
      <c r="E6170" s="63" t="n"/>
    </row>
    <row r="6171" ht="18" customHeight="1">
      <c r="A6171" s="62" t="n"/>
      <c r="B6171" s="63" t="n"/>
      <c r="C6171" s="64" t="n"/>
      <c r="D6171" s="64" t="n"/>
      <c r="E6171" s="63" t="n"/>
    </row>
    <row r="6172" ht="18" customHeight="1">
      <c r="A6172" s="62" t="n"/>
      <c r="B6172" s="63" t="n"/>
      <c r="C6172" s="64" t="n"/>
      <c r="D6172" s="64" t="n"/>
      <c r="E6172" s="63" t="n"/>
    </row>
    <row r="6173" ht="18" customHeight="1">
      <c r="A6173" s="62" t="n"/>
      <c r="B6173" s="63" t="n"/>
      <c r="C6173" s="64" t="n"/>
      <c r="D6173" s="64" t="n"/>
      <c r="E6173" s="63" t="n"/>
    </row>
    <row r="6174" ht="18" customHeight="1">
      <c r="A6174" s="62" t="n"/>
      <c r="B6174" s="63" t="n"/>
      <c r="C6174" s="64" t="n"/>
      <c r="D6174" s="64" t="n"/>
      <c r="E6174" s="63" t="n"/>
    </row>
    <row r="6175" ht="18" customHeight="1">
      <c r="A6175" s="62" t="n"/>
      <c r="B6175" s="63" t="n"/>
      <c r="C6175" s="64" t="n"/>
      <c r="D6175" s="64" t="n"/>
      <c r="E6175" s="63" t="n"/>
    </row>
    <row r="6176" ht="18" customHeight="1">
      <c r="A6176" s="62" t="n"/>
      <c r="B6176" s="63" t="n"/>
      <c r="C6176" s="64" t="n"/>
      <c r="D6176" s="64" t="n"/>
      <c r="E6176" s="63" t="n"/>
    </row>
    <row r="6177" ht="18" customHeight="1">
      <c r="A6177" s="62" t="n"/>
      <c r="B6177" s="63" t="n"/>
      <c r="C6177" s="64" t="n"/>
      <c r="D6177" s="64" t="n"/>
      <c r="E6177" s="63" t="n"/>
    </row>
    <row r="6178" ht="18" customHeight="1">
      <c r="A6178" s="62" t="n"/>
      <c r="B6178" s="63" t="n"/>
      <c r="C6178" s="64" t="n"/>
      <c r="D6178" s="64" t="n"/>
      <c r="E6178" s="63" t="n"/>
    </row>
    <row r="6179" ht="18" customHeight="1">
      <c r="A6179" s="62" t="n"/>
      <c r="B6179" s="63" t="n"/>
      <c r="C6179" s="64" t="n"/>
      <c r="D6179" s="64" t="n"/>
      <c r="E6179" s="63" t="n"/>
    </row>
    <row r="6180" ht="18" customHeight="1">
      <c r="A6180" s="62" t="n"/>
      <c r="B6180" s="63" t="n"/>
      <c r="C6180" s="64" t="n"/>
      <c r="D6180" s="64" t="n"/>
      <c r="E6180" s="63" t="n"/>
    </row>
    <row r="6181" ht="18" customHeight="1">
      <c r="A6181" s="62" t="n"/>
      <c r="B6181" s="63" t="n"/>
      <c r="C6181" s="64" t="n"/>
      <c r="D6181" s="64" t="n"/>
      <c r="E6181" s="63" t="n"/>
    </row>
    <row r="6182" ht="18" customHeight="1">
      <c r="A6182" s="62" t="n"/>
      <c r="B6182" s="63" t="n"/>
      <c r="C6182" s="64" t="n"/>
      <c r="D6182" s="64" t="n"/>
      <c r="E6182" s="63" t="n"/>
    </row>
    <row r="6183" ht="18" customHeight="1">
      <c r="A6183" s="62" t="n"/>
      <c r="B6183" s="63" t="n"/>
      <c r="C6183" s="64" t="n"/>
      <c r="D6183" s="64" t="n"/>
      <c r="E6183" s="63" t="n"/>
    </row>
    <row r="6184" ht="18" customHeight="1">
      <c r="A6184" s="62" t="n"/>
      <c r="B6184" s="63" t="n"/>
      <c r="C6184" s="64" t="n"/>
      <c r="D6184" s="64" t="n"/>
      <c r="E6184" s="63" t="n"/>
    </row>
    <row r="6185" ht="18" customHeight="1">
      <c r="A6185" s="62" t="n"/>
      <c r="B6185" s="63" t="n"/>
      <c r="C6185" s="64" t="n"/>
      <c r="D6185" s="64" t="n"/>
      <c r="E6185" s="63" t="n"/>
    </row>
    <row r="6186" ht="18" customHeight="1">
      <c r="A6186" s="62" t="n"/>
      <c r="B6186" s="63" t="n"/>
      <c r="C6186" s="64" t="n"/>
      <c r="D6186" s="64" t="n"/>
      <c r="E6186" s="63" t="n"/>
    </row>
    <row r="6187" ht="18" customHeight="1">
      <c r="A6187" s="62" t="n"/>
      <c r="B6187" s="63" t="n"/>
      <c r="C6187" s="64" t="n"/>
      <c r="D6187" s="64" t="n"/>
      <c r="E6187" s="63" t="n"/>
    </row>
    <row r="6188" ht="18" customHeight="1">
      <c r="A6188" s="62" t="n"/>
      <c r="B6188" s="63" t="n"/>
      <c r="C6188" s="64" t="n"/>
      <c r="D6188" s="64" t="n"/>
      <c r="E6188" s="63" t="n"/>
    </row>
    <row r="6189" ht="18" customHeight="1">
      <c r="A6189" s="62" t="n"/>
      <c r="B6189" s="63" t="n"/>
      <c r="C6189" s="64" t="n"/>
      <c r="D6189" s="64" t="n"/>
      <c r="E6189" s="63" t="n"/>
    </row>
    <row r="6190" ht="18" customHeight="1">
      <c r="A6190" s="62" t="n"/>
      <c r="B6190" s="63" t="n"/>
      <c r="C6190" s="64" t="n"/>
      <c r="D6190" s="64" t="n"/>
      <c r="E6190" s="63" t="n"/>
    </row>
    <row r="6191" ht="18" customHeight="1">
      <c r="A6191" s="62" t="n"/>
      <c r="B6191" s="63" t="n"/>
      <c r="C6191" s="64" t="n"/>
      <c r="D6191" s="64" t="n"/>
      <c r="E6191" s="63" t="n"/>
    </row>
    <row r="6192" ht="18" customHeight="1">
      <c r="A6192" s="62" t="n"/>
      <c r="B6192" s="63" t="n"/>
      <c r="C6192" s="64" t="n"/>
      <c r="D6192" s="64" t="n"/>
      <c r="E6192" s="63" t="n"/>
    </row>
    <row r="6193" ht="18" customHeight="1">
      <c r="A6193" s="62" t="n"/>
      <c r="B6193" s="63" t="n"/>
      <c r="C6193" s="64" t="n"/>
      <c r="D6193" s="64" t="n"/>
      <c r="E6193" s="63" t="n"/>
    </row>
    <row r="6194" ht="18" customHeight="1">
      <c r="A6194" s="62" t="n"/>
      <c r="B6194" s="63" t="n"/>
      <c r="C6194" s="64" t="n"/>
      <c r="D6194" s="64" t="n"/>
      <c r="E6194" s="63" t="n"/>
    </row>
    <row r="6195" ht="18" customHeight="1">
      <c r="A6195" s="62" t="n"/>
      <c r="B6195" s="63" t="n"/>
      <c r="C6195" s="64" t="n"/>
      <c r="D6195" s="64" t="n"/>
      <c r="E6195" s="63" t="n"/>
    </row>
    <row r="6196" ht="18" customHeight="1">
      <c r="A6196" s="62" t="n"/>
      <c r="B6196" s="63" t="n"/>
      <c r="C6196" s="64" t="n"/>
      <c r="D6196" s="64" t="n"/>
      <c r="E6196" s="63" t="n"/>
    </row>
    <row r="6197" ht="18" customHeight="1">
      <c r="A6197" s="62" t="n"/>
      <c r="B6197" s="63" t="n"/>
      <c r="C6197" s="64" t="n"/>
      <c r="D6197" s="64" t="n"/>
      <c r="E6197" s="63" t="n"/>
    </row>
    <row r="6198" ht="18" customHeight="1">
      <c r="A6198" s="62" t="n"/>
      <c r="B6198" s="63" t="n"/>
      <c r="C6198" s="64" t="n"/>
      <c r="D6198" s="64" t="n"/>
      <c r="E6198" s="63" t="n"/>
    </row>
    <row r="6199" ht="18" customHeight="1">
      <c r="A6199" s="62" t="n"/>
      <c r="B6199" s="63" t="n"/>
      <c r="C6199" s="64" t="n"/>
      <c r="D6199" s="64" t="n"/>
      <c r="E6199" s="63" t="n"/>
    </row>
    <row r="6200" ht="18" customHeight="1">
      <c r="A6200" s="62" t="n"/>
      <c r="B6200" s="63" t="n"/>
      <c r="C6200" s="64" t="n"/>
      <c r="D6200" s="64" t="n"/>
      <c r="E6200" s="63" t="n"/>
    </row>
    <row r="6201" ht="18" customHeight="1">
      <c r="A6201" s="62" t="n"/>
      <c r="B6201" s="63" t="n"/>
      <c r="C6201" s="64" t="n"/>
      <c r="D6201" s="64" t="n"/>
      <c r="E6201" s="63" t="n"/>
    </row>
    <row r="6202" ht="18" customHeight="1">
      <c r="A6202" s="62" t="n"/>
      <c r="B6202" s="63" t="n"/>
      <c r="C6202" s="64" t="n"/>
      <c r="D6202" s="64" t="n"/>
      <c r="E6202" s="63" t="n"/>
    </row>
    <row r="6203" ht="18" customHeight="1">
      <c r="A6203" s="62" t="n"/>
      <c r="B6203" s="63" t="n"/>
      <c r="C6203" s="64" t="n"/>
      <c r="D6203" s="64" t="n"/>
      <c r="E6203" s="63" t="n"/>
    </row>
    <row r="6204" ht="18" customHeight="1">
      <c r="A6204" s="62" t="n"/>
      <c r="B6204" s="63" t="n"/>
      <c r="C6204" s="64" t="n"/>
      <c r="D6204" s="64" t="n"/>
      <c r="E6204" s="63" t="n"/>
    </row>
    <row r="6205" ht="18" customHeight="1">
      <c r="A6205" s="62" t="n"/>
      <c r="B6205" s="63" t="n"/>
      <c r="C6205" s="64" t="n"/>
      <c r="D6205" s="64" t="n"/>
      <c r="E6205" s="63" t="n"/>
    </row>
    <row r="6206" ht="18" customHeight="1">
      <c r="A6206" s="62" t="n"/>
      <c r="B6206" s="63" t="n"/>
      <c r="C6206" s="64" t="n"/>
      <c r="D6206" s="64" t="n"/>
      <c r="E6206" s="63" t="n"/>
    </row>
    <row r="6207" ht="18" customHeight="1">
      <c r="A6207" s="62" t="n"/>
      <c r="B6207" s="63" t="n"/>
      <c r="C6207" s="64" t="n"/>
      <c r="D6207" s="64" t="n"/>
      <c r="E6207" s="63" t="n"/>
    </row>
    <row r="6208" ht="18" customHeight="1">
      <c r="A6208" s="62" t="n"/>
      <c r="B6208" s="63" t="n"/>
      <c r="C6208" s="64" t="n"/>
      <c r="D6208" s="64" t="n"/>
      <c r="E6208" s="63" t="n"/>
    </row>
    <row r="6209" ht="18" customHeight="1">
      <c r="A6209" s="62" t="n"/>
      <c r="B6209" s="63" t="n"/>
      <c r="C6209" s="64" t="n"/>
      <c r="D6209" s="64" t="n"/>
      <c r="E6209" s="63" t="n"/>
    </row>
    <row r="6210" ht="18" customHeight="1">
      <c r="A6210" s="62" t="n"/>
      <c r="B6210" s="63" t="n"/>
      <c r="C6210" s="64" t="n"/>
      <c r="D6210" s="64" t="n"/>
      <c r="E6210" s="63" t="n"/>
    </row>
    <row r="6211" ht="18" customHeight="1">
      <c r="A6211" s="62" t="n"/>
      <c r="B6211" s="63" t="n"/>
      <c r="C6211" s="64" t="n"/>
      <c r="D6211" s="64" t="n"/>
      <c r="E6211" s="63" t="n"/>
    </row>
    <row r="6212" ht="18" customHeight="1">
      <c r="A6212" s="62" t="n"/>
      <c r="B6212" s="63" t="n"/>
      <c r="C6212" s="64" t="n"/>
      <c r="D6212" s="64" t="n"/>
      <c r="E6212" s="63" t="n"/>
    </row>
    <row r="6213" ht="18" customHeight="1">
      <c r="A6213" s="62" t="n"/>
      <c r="B6213" s="63" t="n"/>
      <c r="C6213" s="64" t="n"/>
      <c r="D6213" s="64" t="n"/>
      <c r="E6213" s="63" t="n"/>
    </row>
    <row r="6214" ht="18" customHeight="1">
      <c r="A6214" s="62" t="n"/>
      <c r="B6214" s="63" t="n"/>
      <c r="C6214" s="64" t="n"/>
      <c r="D6214" s="64" t="n"/>
      <c r="E6214" s="63" t="n"/>
    </row>
    <row r="6215" ht="18" customHeight="1">
      <c r="A6215" s="62" t="n"/>
      <c r="B6215" s="63" t="n"/>
      <c r="C6215" s="64" t="n"/>
      <c r="D6215" s="64" t="n"/>
      <c r="E6215" s="63" t="n"/>
    </row>
    <row r="6216" ht="18" customHeight="1">
      <c r="A6216" s="62" t="n"/>
      <c r="B6216" s="63" t="n"/>
      <c r="C6216" s="64" t="n"/>
      <c r="D6216" s="64" t="n"/>
      <c r="E6216" s="63" t="n"/>
    </row>
    <row r="6217" ht="18" customHeight="1">
      <c r="A6217" s="62" t="n"/>
      <c r="B6217" s="63" t="n"/>
      <c r="C6217" s="64" t="n"/>
      <c r="D6217" s="64" t="n"/>
      <c r="E6217" s="63" t="n"/>
    </row>
    <row r="6218" ht="18" customHeight="1">
      <c r="A6218" s="62" t="n"/>
      <c r="B6218" s="63" t="n"/>
      <c r="C6218" s="64" t="n"/>
      <c r="D6218" s="64" t="n"/>
      <c r="E6218" s="63" t="n"/>
    </row>
    <row r="6219" ht="18" customHeight="1">
      <c r="A6219" s="62" t="n"/>
      <c r="B6219" s="63" t="n"/>
      <c r="C6219" s="64" t="n"/>
      <c r="D6219" s="64" t="n"/>
      <c r="E6219" s="63" t="n"/>
    </row>
    <row r="6220" ht="18" customHeight="1">
      <c r="A6220" s="62" t="n"/>
      <c r="B6220" s="63" t="n"/>
      <c r="C6220" s="64" t="n"/>
      <c r="D6220" s="64" t="n"/>
      <c r="E6220" s="63" t="n"/>
    </row>
    <row r="6221" ht="18" customHeight="1">
      <c r="A6221" s="62" t="n"/>
      <c r="B6221" s="63" t="n"/>
      <c r="C6221" s="64" t="n"/>
      <c r="D6221" s="64" t="n"/>
      <c r="E6221" s="63" t="n"/>
    </row>
    <row r="6222" ht="18" customHeight="1">
      <c r="A6222" s="62" t="n"/>
      <c r="B6222" s="63" t="n"/>
      <c r="C6222" s="64" t="n"/>
      <c r="D6222" s="64" t="n"/>
      <c r="E6222" s="63" t="n"/>
    </row>
    <row r="6223" ht="18" customHeight="1">
      <c r="A6223" s="62" t="n"/>
      <c r="B6223" s="63" t="n"/>
      <c r="C6223" s="64" t="n"/>
      <c r="D6223" s="64" t="n"/>
      <c r="E6223" s="63" t="n"/>
    </row>
    <row r="6224" ht="18" customHeight="1">
      <c r="A6224" s="62" t="n"/>
      <c r="B6224" s="63" t="n"/>
      <c r="C6224" s="64" t="n"/>
      <c r="D6224" s="64" t="n"/>
      <c r="E6224" s="63" t="n"/>
    </row>
    <row r="6225" ht="18" customHeight="1">
      <c r="A6225" s="62" t="n"/>
      <c r="B6225" s="63" t="n"/>
      <c r="C6225" s="64" t="n"/>
      <c r="D6225" s="64" t="n"/>
      <c r="E6225" s="63" t="n"/>
    </row>
    <row r="6226" ht="18" customHeight="1">
      <c r="A6226" s="62" t="n"/>
      <c r="B6226" s="63" t="n"/>
      <c r="C6226" s="64" t="n"/>
      <c r="D6226" s="64" t="n"/>
      <c r="E6226" s="63" t="n"/>
    </row>
    <row r="6227" ht="18" customHeight="1">
      <c r="A6227" s="62" t="n"/>
      <c r="B6227" s="63" t="n"/>
      <c r="C6227" s="64" t="n"/>
      <c r="D6227" s="64" t="n"/>
      <c r="E6227" s="63" t="n"/>
    </row>
    <row r="6228" ht="18" customHeight="1">
      <c r="A6228" s="62" t="n"/>
      <c r="B6228" s="63" t="n"/>
      <c r="C6228" s="64" t="n"/>
      <c r="D6228" s="64" t="n"/>
      <c r="E6228" s="63" t="n"/>
    </row>
    <row r="6229" ht="18" customHeight="1">
      <c r="A6229" s="62" t="n"/>
      <c r="B6229" s="63" t="n"/>
      <c r="C6229" s="64" t="n"/>
      <c r="D6229" s="64" t="n"/>
      <c r="E6229" s="63" t="n"/>
    </row>
    <row r="6230" ht="18" customHeight="1">
      <c r="A6230" s="62" t="n"/>
      <c r="B6230" s="63" t="n"/>
      <c r="C6230" s="64" t="n"/>
      <c r="D6230" s="64" t="n"/>
      <c r="E6230" s="63" t="n"/>
    </row>
    <row r="6231" ht="18" customHeight="1">
      <c r="A6231" s="62" t="n"/>
      <c r="B6231" s="63" t="n"/>
      <c r="C6231" s="64" t="n"/>
      <c r="D6231" s="64" t="n"/>
      <c r="E6231" s="63" t="n"/>
    </row>
    <row r="6232" ht="18" customHeight="1">
      <c r="A6232" s="62" t="n"/>
      <c r="B6232" s="63" t="n"/>
      <c r="C6232" s="64" t="n"/>
      <c r="D6232" s="64" t="n"/>
      <c r="E6232" s="63" t="n"/>
    </row>
    <row r="6233" ht="18" customHeight="1">
      <c r="A6233" s="62" t="n"/>
      <c r="B6233" s="63" t="n"/>
      <c r="C6233" s="64" t="n"/>
      <c r="D6233" s="64" t="n"/>
      <c r="E6233" s="63" t="n"/>
    </row>
    <row r="6234" ht="18" customHeight="1">
      <c r="A6234" s="62" t="n"/>
      <c r="B6234" s="63" t="n"/>
      <c r="C6234" s="64" t="n"/>
      <c r="D6234" s="64" t="n"/>
      <c r="E6234" s="63" t="n"/>
    </row>
    <row r="6235" ht="18" customHeight="1">
      <c r="A6235" s="62" t="n"/>
      <c r="B6235" s="63" t="n"/>
      <c r="C6235" s="64" t="n"/>
      <c r="D6235" s="64" t="n"/>
      <c r="E6235" s="63" t="n"/>
    </row>
    <row r="6236" ht="18" customHeight="1">
      <c r="A6236" s="62" t="n"/>
      <c r="B6236" s="63" t="n"/>
      <c r="C6236" s="64" t="n"/>
      <c r="D6236" s="64" t="n"/>
      <c r="E6236" s="63" t="n"/>
    </row>
    <row r="6237" ht="18" customHeight="1">
      <c r="A6237" s="62" t="n"/>
      <c r="B6237" s="63" t="n"/>
      <c r="C6237" s="64" t="n"/>
      <c r="D6237" s="64" t="n"/>
      <c r="E6237" s="63" t="n"/>
    </row>
    <row r="6238" ht="18" customHeight="1">
      <c r="A6238" s="62" t="n"/>
      <c r="B6238" s="63" t="n"/>
      <c r="C6238" s="64" t="n"/>
      <c r="D6238" s="64" t="n"/>
      <c r="E6238" s="63" t="n"/>
    </row>
    <row r="6239" ht="18" customHeight="1">
      <c r="A6239" s="62" t="n"/>
      <c r="B6239" s="63" t="n"/>
      <c r="C6239" s="64" t="n"/>
      <c r="D6239" s="64" t="n"/>
      <c r="E6239" s="63" t="n"/>
    </row>
    <row r="6240" ht="18" customHeight="1">
      <c r="A6240" s="62" t="n"/>
      <c r="B6240" s="63" t="n"/>
      <c r="C6240" s="64" t="n"/>
      <c r="D6240" s="64" t="n"/>
      <c r="E6240" s="63" t="n"/>
    </row>
    <row r="6241" ht="18" customHeight="1">
      <c r="A6241" s="62" t="n"/>
      <c r="B6241" s="63" t="n"/>
      <c r="C6241" s="64" t="n"/>
      <c r="D6241" s="64" t="n"/>
      <c r="E6241" s="63" t="n"/>
    </row>
    <row r="6242" ht="18" customHeight="1">
      <c r="A6242" s="62" t="n"/>
      <c r="B6242" s="63" t="n"/>
      <c r="C6242" s="64" t="n"/>
      <c r="D6242" s="64" t="n"/>
      <c r="E6242" s="63" t="n"/>
    </row>
    <row r="6243" ht="18" customHeight="1">
      <c r="A6243" s="62" t="n"/>
      <c r="B6243" s="63" t="n"/>
      <c r="C6243" s="64" t="n"/>
      <c r="D6243" s="64" t="n"/>
      <c r="E6243" s="63" t="n"/>
    </row>
    <row r="6244" ht="18" customHeight="1">
      <c r="A6244" s="62" t="n"/>
      <c r="B6244" s="63" t="n"/>
      <c r="C6244" s="64" t="n"/>
      <c r="D6244" s="64" t="n"/>
      <c r="E6244" s="63" t="n"/>
    </row>
    <row r="6245" ht="18" customHeight="1">
      <c r="A6245" s="62" t="n"/>
      <c r="B6245" s="63" t="n"/>
      <c r="C6245" s="64" t="n"/>
      <c r="D6245" s="64" t="n"/>
      <c r="E6245" s="63" t="n"/>
    </row>
    <row r="6246" ht="18" customHeight="1">
      <c r="A6246" s="62" t="n"/>
      <c r="B6246" s="63" t="n"/>
      <c r="C6246" s="64" t="n"/>
      <c r="D6246" s="64" t="n"/>
      <c r="E6246" s="63" t="n"/>
    </row>
    <row r="6247" ht="18" customHeight="1">
      <c r="A6247" s="62" t="n"/>
      <c r="B6247" s="63" t="n"/>
      <c r="C6247" s="64" t="n"/>
      <c r="D6247" s="64" t="n"/>
      <c r="E6247" s="63" t="n"/>
    </row>
    <row r="6248" ht="18" customHeight="1">
      <c r="A6248" s="62" t="n"/>
      <c r="B6248" s="63" t="n"/>
      <c r="C6248" s="64" t="n"/>
      <c r="D6248" s="64" t="n"/>
      <c r="E6248" s="63" t="n"/>
    </row>
    <row r="6249" ht="18" customHeight="1">
      <c r="A6249" s="62" t="n"/>
      <c r="B6249" s="63" t="n"/>
      <c r="C6249" s="64" t="n"/>
      <c r="D6249" s="64" t="n"/>
      <c r="E6249" s="63" t="n"/>
    </row>
    <row r="6250" ht="18" customHeight="1">
      <c r="A6250" s="62" t="n"/>
      <c r="B6250" s="63" t="n"/>
      <c r="C6250" s="64" t="n"/>
      <c r="D6250" s="64" t="n"/>
      <c r="E6250" s="63" t="n"/>
    </row>
    <row r="6251" ht="18" customHeight="1">
      <c r="A6251" s="62" t="n"/>
      <c r="B6251" s="63" t="n"/>
      <c r="C6251" s="64" t="n"/>
      <c r="D6251" s="64" t="n"/>
      <c r="E6251" s="63" t="n"/>
    </row>
    <row r="6252" ht="18" customHeight="1">
      <c r="A6252" s="62" t="n"/>
      <c r="B6252" s="63" t="n"/>
      <c r="C6252" s="64" t="n"/>
      <c r="D6252" s="64" t="n"/>
      <c r="E6252" s="63" t="n"/>
    </row>
    <row r="6253" ht="18" customHeight="1">
      <c r="A6253" s="62" t="n"/>
      <c r="B6253" s="63" t="n"/>
      <c r="C6253" s="64" t="n"/>
      <c r="D6253" s="64" t="n"/>
      <c r="E6253" s="63" t="n"/>
    </row>
    <row r="6254" ht="18" customHeight="1">
      <c r="A6254" s="62" t="n"/>
      <c r="B6254" s="63" t="n"/>
      <c r="C6254" s="64" t="n"/>
      <c r="D6254" s="64" t="n"/>
      <c r="E6254" s="63" t="n"/>
    </row>
    <row r="6255" ht="18" customHeight="1">
      <c r="A6255" s="62" t="n"/>
      <c r="B6255" s="63" t="n"/>
      <c r="C6255" s="64" t="n"/>
      <c r="D6255" s="64" t="n"/>
      <c r="E6255" s="63" t="n"/>
    </row>
    <row r="6256" ht="18" customHeight="1">
      <c r="A6256" s="62" t="n"/>
      <c r="B6256" s="63" t="n"/>
      <c r="C6256" s="64" t="n"/>
      <c r="D6256" s="64" t="n"/>
      <c r="E6256" s="63" t="n"/>
    </row>
    <row r="6257" ht="18" customHeight="1">
      <c r="A6257" s="62" t="n"/>
      <c r="B6257" s="63" t="n"/>
      <c r="C6257" s="64" t="n"/>
      <c r="D6257" s="64" t="n"/>
      <c r="E6257" s="63" t="n"/>
    </row>
    <row r="6258" ht="18" customHeight="1">
      <c r="A6258" s="62" t="n"/>
      <c r="B6258" s="63" t="n"/>
      <c r="C6258" s="64" t="n"/>
      <c r="D6258" s="64" t="n"/>
      <c r="E6258" s="63" t="n"/>
    </row>
    <row r="6259" ht="18" customHeight="1">
      <c r="A6259" s="62" t="n"/>
      <c r="B6259" s="63" t="n"/>
      <c r="C6259" s="64" t="n"/>
      <c r="D6259" s="64" t="n"/>
      <c r="E6259" s="63" t="n"/>
    </row>
    <row r="6260" ht="18" customHeight="1">
      <c r="A6260" s="62" t="n"/>
      <c r="B6260" s="63" t="n"/>
      <c r="C6260" s="64" t="n"/>
      <c r="D6260" s="64" t="n"/>
      <c r="E6260" s="63" t="n"/>
    </row>
    <row r="6261" ht="18" customHeight="1">
      <c r="A6261" s="62" t="n"/>
      <c r="B6261" s="63" t="n"/>
      <c r="C6261" s="64" t="n"/>
      <c r="D6261" s="64" t="n"/>
      <c r="E6261" s="63" t="n"/>
    </row>
    <row r="6262" ht="18" customHeight="1">
      <c r="A6262" s="62" t="n"/>
      <c r="B6262" s="63" t="n"/>
      <c r="C6262" s="64" t="n"/>
      <c r="D6262" s="64" t="n"/>
      <c r="E6262" s="63" t="n"/>
    </row>
    <row r="6263" ht="18" customHeight="1">
      <c r="A6263" s="62" t="n"/>
      <c r="B6263" s="63" t="n"/>
      <c r="C6263" s="64" t="n"/>
      <c r="D6263" s="64" t="n"/>
      <c r="E6263" s="63" t="n"/>
    </row>
    <row r="6264" ht="18" customHeight="1">
      <c r="A6264" s="62" t="n"/>
      <c r="B6264" s="63" t="n"/>
      <c r="C6264" s="64" t="n"/>
      <c r="D6264" s="64" t="n"/>
      <c r="E6264" s="63" t="n"/>
    </row>
    <row r="6265" ht="18" customHeight="1">
      <c r="A6265" s="62" t="n"/>
      <c r="B6265" s="63" t="n"/>
      <c r="C6265" s="64" t="n"/>
      <c r="D6265" s="64" t="n"/>
      <c r="E6265" s="63" t="n"/>
    </row>
    <row r="6266" ht="18" customHeight="1">
      <c r="A6266" s="62" t="n"/>
      <c r="B6266" s="63" t="n"/>
      <c r="C6266" s="64" t="n"/>
      <c r="D6266" s="64" t="n"/>
      <c r="E6266" s="63" t="n"/>
    </row>
    <row r="6267" ht="18" customHeight="1">
      <c r="A6267" s="62" t="n"/>
      <c r="B6267" s="63" t="n"/>
      <c r="C6267" s="64" t="n"/>
      <c r="D6267" s="64" t="n"/>
      <c r="E6267" s="63" t="n"/>
    </row>
    <row r="6268" ht="18" customHeight="1">
      <c r="A6268" s="62" t="n"/>
      <c r="B6268" s="63" t="n"/>
      <c r="C6268" s="64" t="n"/>
      <c r="D6268" s="64" t="n"/>
      <c r="E6268" s="63" t="n"/>
    </row>
    <row r="6269" ht="18" customHeight="1">
      <c r="A6269" s="62" t="n"/>
      <c r="B6269" s="63" t="n"/>
      <c r="C6269" s="64" t="n"/>
      <c r="D6269" s="64" t="n"/>
      <c r="E6269" s="63" t="n"/>
    </row>
    <row r="6270" ht="18" customHeight="1">
      <c r="A6270" s="62" t="n"/>
      <c r="B6270" s="63" t="n"/>
      <c r="C6270" s="64" t="n"/>
      <c r="D6270" s="64" t="n"/>
      <c r="E6270" s="63" t="n"/>
    </row>
    <row r="6271" ht="18" customHeight="1">
      <c r="A6271" s="62" t="n"/>
      <c r="B6271" s="63" t="n"/>
      <c r="C6271" s="64" t="n"/>
      <c r="D6271" s="64" t="n"/>
      <c r="E6271" s="63" t="n"/>
    </row>
    <row r="6272" ht="18" customHeight="1">
      <c r="A6272" s="62" t="n"/>
      <c r="B6272" s="63" t="n"/>
      <c r="C6272" s="64" t="n"/>
      <c r="D6272" s="64" t="n"/>
      <c r="E6272" s="63" t="n"/>
    </row>
    <row r="6273" ht="18" customHeight="1">
      <c r="A6273" s="62" t="n"/>
      <c r="B6273" s="63" t="n"/>
      <c r="C6273" s="64" t="n"/>
      <c r="D6273" s="64" t="n"/>
      <c r="E6273" s="63" t="n"/>
    </row>
    <row r="6274" ht="18" customHeight="1">
      <c r="A6274" s="62" t="n"/>
      <c r="B6274" s="63" t="n"/>
      <c r="C6274" s="64" t="n"/>
      <c r="D6274" s="64" t="n"/>
      <c r="E6274" s="63" t="n"/>
    </row>
    <row r="6275" ht="18" customHeight="1">
      <c r="A6275" s="62" t="n"/>
      <c r="B6275" s="63" t="n"/>
      <c r="C6275" s="64" t="n"/>
      <c r="D6275" s="64" t="n"/>
      <c r="E6275" s="63" t="n"/>
    </row>
    <row r="6276" ht="18" customHeight="1">
      <c r="A6276" s="62" t="n"/>
      <c r="B6276" s="63" t="n"/>
      <c r="C6276" s="64" t="n"/>
      <c r="D6276" s="64" t="n"/>
      <c r="E6276" s="63" t="n"/>
    </row>
    <row r="6277" ht="18" customHeight="1">
      <c r="A6277" s="62" t="n"/>
      <c r="B6277" s="63" t="n"/>
      <c r="C6277" s="64" t="n"/>
      <c r="D6277" s="64" t="n"/>
      <c r="E6277" s="63" t="n"/>
    </row>
    <row r="6278" ht="18" customHeight="1">
      <c r="A6278" s="62" t="n"/>
      <c r="B6278" s="63" t="n"/>
      <c r="C6278" s="64" t="n"/>
      <c r="D6278" s="64" t="n"/>
      <c r="E6278" s="63" t="n"/>
    </row>
    <row r="6279" ht="18" customHeight="1">
      <c r="A6279" s="62" t="n"/>
      <c r="B6279" s="63" t="n"/>
      <c r="C6279" s="64" t="n"/>
      <c r="D6279" s="64" t="n"/>
      <c r="E6279" s="63" t="n"/>
    </row>
    <row r="6280" ht="18" customHeight="1">
      <c r="A6280" s="62" t="n"/>
      <c r="B6280" s="63" t="n"/>
      <c r="C6280" s="64" t="n"/>
      <c r="D6280" s="64" t="n"/>
      <c r="E6280" s="63" t="n"/>
    </row>
    <row r="6281" ht="18" customHeight="1">
      <c r="A6281" s="62" t="n"/>
      <c r="B6281" s="63" t="n"/>
      <c r="C6281" s="64" t="n"/>
      <c r="D6281" s="64" t="n"/>
      <c r="E6281" s="63" t="n"/>
    </row>
    <row r="6282" ht="18" customHeight="1">
      <c r="A6282" s="62" t="n"/>
      <c r="B6282" s="63" t="n"/>
      <c r="C6282" s="64" t="n"/>
      <c r="D6282" s="64" t="n"/>
      <c r="E6282" s="63" t="n"/>
    </row>
    <row r="6283" ht="18" customHeight="1">
      <c r="A6283" s="62" t="n"/>
      <c r="B6283" s="63" t="n"/>
      <c r="C6283" s="64" t="n"/>
      <c r="D6283" s="64" t="n"/>
      <c r="E6283" s="63" t="n"/>
    </row>
    <row r="6284" ht="18" customHeight="1">
      <c r="A6284" s="62" t="n"/>
      <c r="B6284" s="63" t="n"/>
      <c r="C6284" s="64" t="n"/>
      <c r="D6284" s="64" t="n"/>
      <c r="E6284" s="63" t="n"/>
    </row>
    <row r="6285" ht="18" customHeight="1">
      <c r="A6285" s="62" t="n"/>
      <c r="B6285" s="63" t="n"/>
      <c r="C6285" s="64" t="n"/>
      <c r="D6285" s="64" t="n"/>
      <c r="E6285" s="63" t="n"/>
    </row>
    <row r="6286" ht="18" customHeight="1">
      <c r="A6286" s="62" t="n"/>
      <c r="B6286" s="63" t="n"/>
      <c r="C6286" s="64" t="n"/>
      <c r="D6286" s="64" t="n"/>
      <c r="E6286" s="63" t="n"/>
    </row>
    <row r="6287" ht="18" customHeight="1">
      <c r="A6287" s="62" t="n"/>
      <c r="B6287" s="63" t="n"/>
      <c r="C6287" s="64" t="n"/>
      <c r="D6287" s="64" t="n"/>
      <c r="E6287" s="63" t="n"/>
    </row>
    <row r="6288" ht="18" customHeight="1">
      <c r="A6288" s="62" t="n"/>
      <c r="B6288" s="63" t="n"/>
      <c r="C6288" s="64" t="n"/>
      <c r="D6288" s="64" t="n"/>
      <c r="E6288" s="63" t="n"/>
    </row>
    <row r="6289" ht="18" customHeight="1">
      <c r="A6289" s="62" t="n"/>
      <c r="B6289" s="63" t="n"/>
      <c r="C6289" s="64" t="n"/>
      <c r="D6289" s="64" t="n"/>
      <c r="E6289" s="63" t="n"/>
    </row>
    <row r="6290" ht="18" customHeight="1">
      <c r="A6290" s="62" t="n"/>
      <c r="B6290" s="63" t="n"/>
      <c r="C6290" s="64" t="n"/>
      <c r="D6290" s="64" t="n"/>
      <c r="E6290" s="63" t="n"/>
    </row>
    <row r="6291" ht="18" customHeight="1">
      <c r="A6291" s="62" t="n"/>
      <c r="B6291" s="63" t="n"/>
      <c r="C6291" s="64" t="n"/>
      <c r="D6291" s="64" t="n"/>
      <c r="E6291" s="63" t="n"/>
    </row>
    <row r="6292" ht="18" customHeight="1">
      <c r="A6292" s="62" t="n"/>
      <c r="B6292" s="63" t="n"/>
      <c r="C6292" s="64" t="n"/>
      <c r="D6292" s="64" t="n"/>
      <c r="E6292" s="63" t="n"/>
    </row>
    <row r="6293" ht="18" customHeight="1">
      <c r="A6293" s="62" t="n"/>
      <c r="B6293" s="63" t="n"/>
      <c r="C6293" s="64" t="n"/>
      <c r="D6293" s="64" t="n"/>
      <c r="E6293" s="63" t="n"/>
    </row>
    <row r="6294" ht="18" customHeight="1">
      <c r="A6294" s="62" t="n"/>
      <c r="B6294" s="63" t="n"/>
      <c r="C6294" s="64" t="n"/>
      <c r="D6294" s="64" t="n"/>
      <c r="E6294" s="63" t="n"/>
    </row>
    <row r="6295" ht="18" customHeight="1">
      <c r="A6295" s="62" t="n"/>
      <c r="B6295" s="63" t="n"/>
      <c r="C6295" s="64" t="n"/>
      <c r="D6295" s="64" t="n"/>
      <c r="E6295" s="63" t="n"/>
    </row>
    <row r="6296" ht="18" customHeight="1">
      <c r="A6296" s="62" t="n"/>
      <c r="B6296" s="63" t="n"/>
      <c r="C6296" s="64" t="n"/>
      <c r="D6296" s="64" t="n"/>
      <c r="E6296" s="63" t="n"/>
    </row>
    <row r="6297" ht="18" customHeight="1">
      <c r="A6297" s="62" t="n"/>
      <c r="B6297" s="63" t="n"/>
      <c r="C6297" s="64" t="n"/>
      <c r="D6297" s="64" t="n"/>
      <c r="E6297" s="63" t="n"/>
    </row>
    <row r="6298" ht="18" customHeight="1">
      <c r="A6298" s="62" t="n"/>
      <c r="B6298" s="63" t="n"/>
      <c r="C6298" s="64" t="n"/>
      <c r="D6298" s="64" t="n"/>
      <c r="E6298" s="63" t="n"/>
    </row>
    <row r="6299" ht="18" customHeight="1">
      <c r="A6299" s="62" t="n"/>
      <c r="B6299" s="63" t="n"/>
      <c r="C6299" s="64" t="n"/>
      <c r="D6299" s="64" t="n"/>
      <c r="E6299" s="63" t="n"/>
    </row>
    <row r="6300" ht="18" customHeight="1">
      <c r="A6300" s="62" t="n"/>
      <c r="B6300" s="63" t="n"/>
      <c r="C6300" s="64" t="n"/>
      <c r="D6300" s="64" t="n"/>
      <c r="E6300" s="63" t="n"/>
    </row>
    <row r="6301" ht="18" customHeight="1">
      <c r="A6301" s="62" t="n"/>
      <c r="B6301" s="63" t="n"/>
      <c r="C6301" s="64" t="n"/>
      <c r="D6301" s="64" t="n"/>
      <c r="E6301" s="63" t="n"/>
    </row>
    <row r="6302" ht="18" customHeight="1">
      <c r="A6302" s="62" t="n"/>
      <c r="B6302" s="63" t="n"/>
      <c r="C6302" s="64" t="n"/>
      <c r="D6302" s="64" t="n"/>
      <c r="E6302" s="63" t="n"/>
    </row>
    <row r="6303" ht="18" customHeight="1">
      <c r="A6303" s="62" t="n"/>
      <c r="B6303" s="63" t="n"/>
      <c r="C6303" s="64" t="n"/>
      <c r="D6303" s="64" t="n"/>
      <c r="E6303" s="63" t="n"/>
    </row>
    <row r="6304" ht="18" customHeight="1">
      <c r="A6304" s="62" t="n"/>
      <c r="B6304" s="63" t="n"/>
      <c r="C6304" s="64" t="n"/>
      <c r="D6304" s="64" t="n"/>
      <c r="E6304" s="63" t="n"/>
    </row>
    <row r="6305" ht="18" customHeight="1">
      <c r="A6305" s="62" t="n"/>
      <c r="B6305" s="63" t="n"/>
      <c r="C6305" s="64" t="n"/>
      <c r="D6305" s="64" t="n"/>
      <c r="E6305" s="63" t="n"/>
    </row>
    <row r="6306" ht="18" customHeight="1">
      <c r="A6306" s="62" t="n"/>
      <c r="B6306" s="63" t="n"/>
      <c r="C6306" s="64" t="n"/>
      <c r="D6306" s="64" t="n"/>
      <c r="E6306" s="63" t="n"/>
    </row>
    <row r="6307" ht="18" customHeight="1">
      <c r="A6307" s="62" t="n"/>
      <c r="B6307" s="63" t="n"/>
      <c r="C6307" s="64" t="n"/>
      <c r="D6307" s="64" t="n"/>
      <c r="E6307" s="63" t="n"/>
    </row>
    <row r="6308" ht="18" customHeight="1">
      <c r="A6308" s="62" t="n"/>
      <c r="B6308" s="63" t="n"/>
      <c r="C6308" s="64" t="n"/>
      <c r="D6308" s="64" t="n"/>
      <c r="E6308" s="63" t="n"/>
    </row>
    <row r="6309" ht="18" customHeight="1">
      <c r="A6309" s="62" t="n"/>
      <c r="B6309" s="63" t="n"/>
      <c r="C6309" s="64" t="n"/>
      <c r="D6309" s="64" t="n"/>
      <c r="E6309" s="63" t="n"/>
    </row>
    <row r="6310" ht="18" customHeight="1">
      <c r="A6310" s="62" t="n"/>
      <c r="B6310" s="63" t="n"/>
      <c r="C6310" s="64" t="n"/>
      <c r="D6310" s="64" t="n"/>
      <c r="E6310" s="63" t="n"/>
    </row>
    <row r="6311" ht="18" customHeight="1">
      <c r="A6311" s="62" t="n"/>
      <c r="B6311" s="63" t="n"/>
      <c r="C6311" s="64" t="n"/>
      <c r="D6311" s="64" t="n"/>
      <c r="E6311" s="63" t="n"/>
    </row>
    <row r="6312" ht="18" customHeight="1">
      <c r="A6312" s="62" t="n"/>
      <c r="B6312" s="63" t="n"/>
      <c r="C6312" s="64" t="n"/>
      <c r="D6312" s="64" t="n"/>
      <c r="E6312" s="63" t="n"/>
    </row>
    <row r="6313" ht="18" customHeight="1">
      <c r="A6313" s="62" t="n"/>
      <c r="B6313" s="63" t="n"/>
      <c r="C6313" s="64" t="n"/>
      <c r="D6313" s="64" t="n"/>
      <c r="E6313" s="63" t="n"/>
    </row>
    <row r="6314" ht="18" customHeight="1">
      <c r="A6314" s="62" t="n"/>
      <c r="B6314" s="63" t="n"/>
      <c r="C6314" s="64" t="n"/>
      <c r="D6314" s="64" t="n"/>
      <c r="E6314" s="63" t="n"/>
    </row>
    <row r="6315" ht="18" customHeight="1">
      <c r="A6315" s="62" t="n"/>
      <c r="B6315" s="63" t="n"/>
      <c r="C6315" s="64" t="n"/>
      <c r="D6315" s="64" t="n"/>
      <c r="E6315" s="63" t="n"/>
    </row>
    <row r="6316" ht="18" customHeight="1">
      <c r="A6316" s="62" t="n"/>
      <c r="B6316" s="63" t="n"/>
      <c r="C6316" s="64" t="n"/>
      <c r="D6316" s="64" t="n"/>
      <c r="E6316" s="63" t="n"/>
    </row>
    <row r="6317" ht="18" customHeight="1">
      <c r="A6317" s="62" t="n"/>
      <c r="B6317" s="63" t="n"/>
      <c r="C6317" s="64" t="n"/>
      <c r="D6317" s="64" t="n"/>
      <c r="E6317" s="63" t="n"/>
    </row>
    <row r="6318" ht="18" customHeight="1">
      <c r="A6318" s="62" t="n"/>
      <c r="B6318" s="63" t="n"/>
      <c r="C6318" s="64" t="n"/>
      <c r="D6318" s="64" t="n"/>
      <c r="E6318" s="63" t="n"/>
    </row>
    <row r="6319" ht="18" customHeight="1">
      <c r="A6319" s="62" t="n"/>
      <c r="B6319" s="63" t="n"/>
      <c r="C6319" s="64" t="n"/>
      <c r="D6319" s="64" t="n"/>
      <c r="E6319" s="63" t="n"/>
    </row>
    <row r="6320" ht="18" customHeight="1">
      <c r="A6320" s="62" t="n"/>
      <c r="B6320" s="63" t="n"/>
      <c r="C6320" s="64" t="n"/>
      <c r="D6320" s="64" t="n"/>
      <c r="E6320" s="63" t="n"/>
    </row>
    <row r="6321" ht="18" customHeight="1">
      <c r="A6321" s="62" t="n"/>
      <c r="B6321" s="63" t="n"/>
      <c r="C6321" s="64" t="n"/>
      <c r="D6321" s="64" t="n"/>
      <c r="E6321" s="63" t="n"/>
    </row>
    <row r="6322" ht="18" customHeight="1">
      <c r="A6322" s="62" t="n"/>
      <c r="B6322" s="63" t="n"/>
      <c r="C6322" s="64" t="n"/>
      <c r="D6322" s="64" t="n"/>
      <c r="E6322" s="63" t="n"/>
    </row>
    <row r="6323" ht="18" customHeight="1">
      <c r="A6323" s="62" t="n"/>
      <c r="B6323" s="63" t="n"/>
      <c r="C6323" s="64" t="n"/>
      <c r="D6323" s="64" t="n"/>
      <c r="E6323" s="63" t="n"/>
    </row>
    <row r="6324" ht="18" customHeight="1">
      <c r="A6324" s="62" t="n"/>
      <c r="B6324" s="63" t="n"/>
      <c r="C6324" s="64" t="n"/>
      <c r="D6324" s="64" t="n"/>
      <c r="E6324" s="63" t="n"/>
    </row>
    <row r="6325" ht="18" customHeight="1">
      <c r="A6325" s="62" t="n"/>
      <c r="B6325" s="63" t="n"/>
      <c r="C6325" s="64" t="n"/>
      <c r="D6325" s="64" t="n"/>
      <c r="E6325" s="63" t="n"/>
    </row>
    <row r="6326" ht="18" customHeight="1">
      <c r="A6326" s="62" t="n"/>
      <c r="B6326" s="63" t="n"/>
      <c r="C6326" s="64" t="n"/>
      <c r="D6326" s="64" t="n"/>
      <c r="E6326" s="63" t="n"/>
    </row>
    <row r="6327" ht="18" customHeight="1">
      <c r="A6327" s="62" t="n"/>
      <c r="B6327" s="63" t="n"/>
      <c r="C6327" s="64" t="n"/>
      <c r="D6327" s="64" t="n"/>
      <c r="E6327" s="63" t="n"/>
    </row>
    <row r="6328" ht="18" customHeight="1">
      <c r="A6328" s="62" t="n"/>
      <c r="B6328" s="63" t="n"/>
      <c r="C6328" s="64" t="n"/>
      <c r="D6328" s="64" t="n"/>
      <c r="E6328" s="63" t="n"/>
    </row>
    <row r="6329" ht="18" customHeight="1">
      <c r="A6329" s="62" t="n"/>
      <c r="B6329" s="63" t="n"/>
      <c r="C6329" s="64" t="n"/>
      <c r="D6329" s="64" t="n"/>
      <c r="E6329" s="63" t="n"/>
    </row>
    <row r="6330" ht="18" customHeight="1">
      <c r="A6330" s="62" t="n"/>
      <c r="B6330" s="63" t="n"/>
      <c r="C6330" s="64" t="n"/>
      <c r="D6330" s="64" t="n"/>
      <c r="E6330" s="63" t="n"/>
    </row>
    <row r="6331" ht="18" customHeight="1">
      <c r="A6331" s="62" t="n"/>
      <c r="B6331" s="63" t="n"/>
      <c r="C6331" s="64" t="n"/>
      <c r="D6331" s="64" t="n"/>
      <c r="E6331" s="63" t="n"/>
    </row>
    <row r="6332" ht="18" customHeight="1">
      <c r="A6332" s="62" t="n"/>
      <c r="B6332" s="63" t="n"/>
      <c r="C6332" s="64" t="n"/>
      <c r="D6332" s="64" t="n"/>
      <c r="E6332" s="63" t="n"/>
    </row>
    <row r="6333" ht="18" customHeight="1">
      <c r="A6333" s="62" t="n"/>
      <c r="B6333" s="63" t="n"/>
      <c r="C6333" s="64" t="n"/>
      <c r="D6333" s="64" t="n"/>
      <c r="E6333" s="63" t="n"/>
    </row>
    <row r="6334" ht="18" customHeight="1">
      <c r="A6334" s="62" t="n"/>
      <c r="B6334" s="63" t="n"/>
      <c r="C6334" s="64" t="n"/>
      <c r="D6334" s="64" t="n"/>
      <c r="E6334" s="63" t="n"/>
    </row>
    <row r="6335" ht="18" customHeight="1">
      <c r="A6335" s="62" t="n"/>
      <c r="B6335" s="63" t="n"/>
      <c r="C6335" s="64" t="n"/>
      <c r="D6335" s="64" t="n"/>
      <c r="E6335" s="63" t="n"/>
    </row>
    <row r="6336" ht="18" customHeight="1">
      <c r="A6336" s="62" t="n"/>
      <c r="B6336" s="63" t="n"/>
      <c r="C6336" s="64" t="n"/>
      <c r="D6336" s="64" t="n"/>
      <c r="E6336" s="63" t="n"/>
    </row>
    <row r="6337" ht="18" customHeight="1">
      <c r="A6337" s="62" t="n"/>
      <c r="B6337" s="63" t="n"/>
      <c r="C6337" s="64" t="n"/>
      <c r="D6337" s="64" t="n"/>
      <c r="E6337" s="63" t="n"/>
    </row>
    <row r="6338" ht="18" customHeight="1">
      <c r="A6338" s="62" t="n"/>
      <c r="B6338" s="63" t="n"/>
      <c r="C6338" s="64" t="n"/>
      <c r="D6338" s="64" t="n"/>
      <c r="E6338" s="63" t="n"/>
    </row>
    <row r="6339" ht="18" customHeight="1">
      <c r="A6339" s="62" t="n"/>
      <c r="B6339" s="63" t="n"/>
      <c r="C6339" s="64" t="n"/>
      <c r="D6339" s="64" t="n"/>
      <c r="E6339" s="63" t="n"/>
    </row>
    <row r="6340" ht="18" customHeight="1">
      <c r="A6340" s="62" t="n"/>
      <c r="B6340" s="63" t="n"/>
      <c r="C6340" s="64" t="n"/>
      <c r="D6340" s="64" t="n"/>
      <c r="E6340" s="63" t="n"/>
    </row>
    <row r="6341" ht="18" customHeight="1">
      <c r="A6341" s="62" t="n"/>
      <c r="B6341" s="63" t="n"/>
      <c r="C6341" s="64" t="n"/>
      <c r="D6341" s="64" t="n"/>
      <c r="E6341" s="63" t="n"/>
    </row>
    <row r="6342" ht="18" customHeight="1">
      <c r="A6342" s="62" t="n"/>
      <c r="B6342" s="63" t="n"/>
      <c r="C6342" s="64" t="n"/>
      <c r="D6342" s="64" t="n"/>
      <c r="E6342" s="63" t="n"/>
    </row>
    <row r="6343" ht="18" customHeight="1">
      <c r="A6343" s="62" t="n"/>
      <c r="B6343" s="63" t="n"/>
      <c r="C6343" s="64" t="n"/>
      <c r="D6343" s="64" t="n"/>
      <c r="E6343" s="63" t="n"/>
    </row>
    <row r="6344" ht="18" customHeight="1">
      <c r="A6344" s="62" t="n"/>
      <c r="B6344" s="63" t="n"/>
      <c r="C6344" s="64" t="n"/>
      <c r="D6344" s="64" t="n"/>
      <c r="E6344" s="63" t="n"/>
    </row>
    <row r="6345" ht="18" customHeight="1">
      <c r="A6345" s="62" t="n"/>
      <c r="B6345" s="63" t="n"/>
      <c r="C6345" s="64" t="n"/>
      <c r="D6345" s="64" t="n"/>
      <c r="E6345" s="63" t="n"/>
    </row>
    <row r="6346" ht="18" customHeight="1">
      <c r="A6346" s="62" t="n"/>
      <c r="B6346" s="63" t="n"/>
      <c r="C6346" s="64" t="n"/>
      <c r="D6346" s="64" t="n"/>
      <c r="E6346" s="63" t="n"/>
    </row>
    <row r="6347" ht="18" customHeight="1">
      <c r="A6347" s="62" t="n"/>
      <c r="B6347" s="63" t="n"/>
      <c r="C6347" s="64" t="n"/>
      <c r="D6347" s="64" t="n"/>
      <c r="E6347" s="63" t="n"/>
    </row>
    <row r="6348" ht="18" customHeight="1">
      <c r="A6348" s="62" t="n"/>
      <c r="B6348" s="63" t="n"/>
      <c r="C6348" s="64" t="n"/>
      <c r="D6348" s="64" t="n"/>
      <c r="E6348" s="63" t="n"/>
    </row>
    <row r="6349" ht="18" customHeight="1">
      <c r="A6349" s="62" t="n"/>
      <c r="B6349" s="63" t="n"/>
      <c r="C6349" s="64" t="n"/>
      <c r="D6349" s="64" t="n"/>
      <c r="E6349" s="63" t="n"/>
    </row>
    <row r="6350" ht="18" customHeight="1">
      <c r="A6350" s="62" t="n"/>
      <c r="B6350" s="63" t="n"/>
      <c r="C6350" s="64" t="n"/>
      <c r="D6350" s="64" t="n"/>
      <c r="E6350" s="63" t="n"/>
    </row>
    <row r="6351" ht="18" customHeight="1">
      <c r="A6351" s="62" t="n"/>
      <c r="B6351" s="63" t="n"/>
      <c r="C6351" s="64" t="n"/>
      <c r="D6351" s="64" t="n"/>
      <c r="E6351" s="63" t="n"/>
    </row>
    <row r="6352" ht="18" customHeight="1">
      <c r="A6352" s="62" t="n"/>
      <c r="B6352" s="63" t="n"/>
      <c r="C6352" s="64" t="n"/>
      <c r="D6352" s="64" t="n"/>
      <c r="E6352" s="63" t="n"/>
    </row>
    <row r="6353" ht="18" customHeight="1">
      <c r="A6353" s="62" t="n"/>
      <c r="B6353" s="63" t="n"/>
      <c r="C6353" s="64" t="n"/>
      <c r="D6353" s="64" t="n"/>
      <c r="E6353" s="63" t="n"/>
    </row>
    <row r="6354" ht="18" customHeight="1">
      <c r="A6354" s="62" t="n"/>
      <c r="B6354" s="63" t="n"/>
      <c r="C6354" s="64" t="n"/>
      <c r="D6354" s="64" t="n"/>
      <c r="E6354" s="63" t="n"/>
    </row>
    <row r="6355" ht="18" customHeight="1">
      <c r="A6355" s="62" t="n"/>
      <c r="B6355" s="63" t="n"/>
      <c r="C6355" s="64" t="n"/>
      <c r="D6355" s="64" t="n"/>
      <c r="E6355" s="63" t="n"/>
    </row>
    <row r="6356" ht="18" customHeight="1">
      <c r="A6356" s="62" t="n"/>
      <c r="B6356" s="63" t="n"/>
      <c r="C6356" s="64" t="n"/>
      <c r="D6356" s="64" t="n"/>
      <c r="E6356" s="63" t="n"/>
    </row>
    <row r="6357" ht="18" customHeight="1">
      <c r="A6357" s="62" t="n"/>
      <c r="B6357" s="63" t="n"/>
      <c r="C6357" s="64" t="n"/>
      <c r="D6357" s="64" t="n"/>
      <c r="E6357" s="63" t="n"/>
    </row>
    <row r="6358" ht="18" customHeight="1">
      <c r="A6358" s="62" t="n"/>
      <c r="B6358" s="63" t="n"/>
      <c r="C6358" s="64" t="n"/>
      <c r="D6358" s="64" t="n"/>
      <c r="E6358" s="63" t="n"/>
    </row>
    <row r="6359" ht="18" customHeight="1">
      <c r="A6359" s="62" t="n"/>
      <c r="B6359" s="63" t="n"/>
      <c r="C6359" s="64" t="n"/>
      <c r="D6359" s="64" t="n"/>
      <c r="E6359" s="63" t="n"/>
    </row>
    <row r="6360" ht="18" customHeight="1">
      <c r="A6360" s="62" t="n"/>
      <c r="B6360" s="63" t="n"/>
      <c r="C6360" s="64" t="n"/>
      <c r="D6360" s="64" t="n"/>
      <c r="E6360" s="63" t="n"/>
    </row>
    <row r="6361" ht="18" customHeight="1">
      <c r="A6361" s="62" t="n"/>
      <c r="B6361" s="63" t="n"/>
      <c r="C6361" s="64" t="n"/>
      <c r="D6361" s="64" t="n"/>
      <c r="E6361" s="63" t="n"/>
    </row>
    <row r="6362" ht="18" customHeight="1">
      <c r="A6362" s="62" t="n"/>
      <c r="B6362" s="63" t="n"/>
      <c r="C6362" s="64" t="n"/>
      <c r="D6362" s="64" t="n"/>
      <c r="E6362" s="63" t="n"/>
    </row>
    <row r="6363" ht="18" customHeight="1">
      <c r="A6363" s="62" t="n"/>
      <c r="B6363" s="63" t="n"/>
      <c r="C6363" s="64" t="n"/>
      <c r="D6363" s="64" t="n"/>
      <c r="E6363" s="63" t="n"/>
    </row>
    <row r="6364" ht="18" customHeight="1">
      <c r="A6364" s="62" t="n"/>
      <c r="B6364" s="63" t="n"/>
      <c r="C6364" s="64" t="n"/>
      <c r="D6364" s="64" t="n"/>
      <c r="E6364" s="63" t="n"/>
    </row>
    <row r="6365" ht="18" customHeight="1">
      <c r="A6365" s="62" t="n"/>
      <c r="B6365" s="63" t="n"/>
      <c r="C6365" s="64" t="n"/>
      <c r="D6365" s="64" t="n"/>
      <c r="E6365" s="63" t="n"/>
    </row>
    <row r="6366" ht="18" customHeight="1">
      <c r="A6366" s="62" t="n"/>
      <c r="B6366" s="63" t="n"/>
      <c r="C6366" s="64" t="n"/>
      <c r="D6366" s="64" t="n"/>
      <c r="E6366" s="63" t="n"/>
    </row>
    <row r="6367" ht="18" customHeight="1">
      <c r="A6367" s="62" t="n"/>
      <c r="B6367" s="63" t="n"/>
      <c r="C6367" s="64" t="n"/>
      <c r="D6367" s="64" t="n"/>
      <c r="E6367" s="63" t="n"/>
    </row>
    <row r="6368" ht="18" customHeight="1">
      <c r="A6368" s="62" t="n"/>
      <c r="B6368" s="63" t="n"/>
      <c r="C6368" s="64" t="n"/>
      <c r="D6368" s="64" t="n"/>
      <c r="E6368" s="63" t="n"/>
    </row>
    <row r="6369" ht="18" customHeight="1">
      <c r="A6369" s="62" t="n"/>
      <c r="B6369" s="63" t="n"/>
      <c r="C6369" s="64" t="n"/>
      <c r="D6369" s="64" t="n"/>
      <c r="E6369" s="63" t="n"/>
    </row>
    <row r="6370" ht="18" customHeight="1">
      <c r="A6370" s="62" t="n"/>
      <c r="B6370" s="63" t="n"/>
      <c r="C6370" s="64" t="n"/>
      <c r="D6370" s="64" t="n"/>
      <c r="E6370" s="63" t="n"/>
    </row>
    <row r="6371" ht="18" customHeight="1">
      <c r="A6371" s="62" t="n"/>
      <c r="B6371" s="63" t="n"/>
      <c r="C6371" s="64" t="n"/>
      <c r="D6371" s="64" t="n"/>
      <c r="E6371" s="63" t="n"/>
    </row>
    <row r="6372" ht="18" customHeight="1">
      <c r="A6372" s="62" t="n"/>
      <c r="B6372" s="63" t="n"/>
      <c r="C6372" s="64" t="n"/>
      <c r="D6372" s="64" t="n"/>
      <c r="E6372" s="63" t="n"/>
    </row>
    <row r="6373" ht="18" customHeight="1">
      <c r="A6373" s="62" t="n"/>
      <c r="B6373" s="63" t="n"/>
      <c r="C6373" s="64" t="n"/>
      <c r="D6373" s="64" t="n"/>
      <c r="E6373" s="63" t="n"/>
    </row>
    <row r="6374" ht="18" customHeight="1">
      <c r="A6374" s="62" t="n"/>
      <c r="B6374" s="63" t="n"/>
      <c r="C6374" s="64" t="n"/>
      <c r="D6374" s="64" t="n"/>
      <c r="E6374" s="63" t="n"/>
    </row>
    <row r="6375" ht="18" customHeight="1">
      <c r="A6375" s="62" t="n"/>
      <c r="B6375" s="63" t="n"/>
      <c r="C6375" s="64" t="n"/>
      <c r="D6375" s="64" t="n"/>
      <c r="E6375" s="63" t="n"/>
    </row>
    <row r="6376" ht="18" customHeight="1">
      <c r="A6376" s="62" t="n"/>
      <c r="B6376" s="63" t="n"/>
      <c r="C6376" s="64" t="n"/>
      <c r="D6376" s="64" t="n"/>
      <c r="E6376" s="63" t="n"/>
    </row>
    <row r="6377" ht="18" customHeight="1">
      <c r="A6377" s="62" t="n"/>
      <c r="B6377" s="63" t="n"/>
      <c r="C6377" s="64" t="n"/>
      <c r="D6377" s="64" t="n"/>
      <c r="E6377" s="63" t="n"/>
    </row>
    <row r="6378" ht="18" customHeight="1">
      <c r="A6378" s="62" t="n"/>
      <c r="B6378" s="63" t="n"/>
      <c r="C6378" s="64" t="n"/>
      <c r="D6378" s="64" t="n"/>
      <c r="E6378" s="63" t="n"/>
    </row>
    <row r="6379" ht="18" customHeight="1">
      <c r="A6379" s="62" t="n"/>
      <c r="B6379" s="63" t="n"/>
      <c r="C6379" s="64" t="n"/>
      <c r="D6379" s="64" t="n"/>
      <c r="E6379" s="63" t="n"/>
    </row>
    <row r="6380" ht="18" customHeight="1">
      <c r="A6380" s="62" t="n"/>
      <c r="B6380" s="63" t="n"/>
      <c r="C6380" s="64" t="n"/>
      <c r="D6380" s="64" t="n"/>
      <c r="E6380" s="63" t="n"/>
    </row>
    <row r="6381" ht="18" customHeight="1">
      <c r="A6381" s="62" t="n"/>
      <c r="B6381" s="63" t="n"/>
      <c r="C6381" s="64" t="n"/>
      <c r="D6381" s="64" t="n"/>
      <c r="E6381" s="63" t="n"/>
    </row>
    <row r="6382" ht="18" customHeight="1">
      <c r="A6382" s="62" t="n"/>
      <c r="B6382" s="63" t="n"/>
      <c r="C6382" s="64" t="n"/>
      <c r="D6382" s="64" t="n"/>
      <c r="E6382" s="63" t="n"/>
    </row>
    <row r="6383" ht="18" customHeight="1">
      <c r="A6383" s="62" t="n"/>
      <c r="B6383" s="63" t="n"/>
      <c r="C6383" s="64" t="n"/>
      <c r="D6383" s="64" t="n"/>
      <c r="E6383" s="63" t="n"/>
    </row>
    <row r="6384" ht="18" customHeight="1">
      <c r="A6384" s="62" t="n"/>
      <c r="B6384" s="63" t="n"/>
      <c r="C6384" s="64" t="n"/>
      <c r="D6384" s="64" t="n"/>
      <c r="E6384" s="63" t="n"/>
    </row>
    <row r="6385" ht="18" customHeight="1">
      <c r="A6385" s="62" t="n"/>
      <c r="B6385" s="63" t="n"/>
      <c r="C6385" s="64" t="n"/>
      <c r="D6385" s="64" t="n"/>
      <c r="E6385" s="63" t="n"/>
    </row>
    <row r="6386" ht="18" customHeight="1">
      <c r="A6386" s="62" t="n"/>
      <c r="B6386" s="63" t="n"/>
      <c r="C6386" s="64" t="n"/>
      <c r="D6386" s="64" t="n"/>
      <c r="E6386" s="63" t="n"/>
    </row>
    <row r="6387" ht="18" customHeight="1">
      <c r="A6387" s="62" t="n"/>
      <c r="B6387" s="63" t="n"/>
      <c r="C6387" s="64" t="n"/>
      <c r="D6387" s="64" t="n"/>
      <c r="E6387" s="63" t="n"/>
    </row>
    <row r="6388" ht="18" customHeight="1">
      <c r="A6388" s="62" t="n"/>
      <c r="B6388" s="63" t="n"/>
      <c r="C6388" s="64" t="n"/>
      <c r="D6388" s="64" t="n"/>
      <c r="E6388" s="63" t="n"/>
    </row>
    <row r="6389" ht="18" customHeight="1">
      <c r="A6389" s="62" t="n"/>
      <c r="B6389" s="63" t="n"/>
      <c r="C6389" s="64" t="n"/>
      <c r="D6389" s="64" t="n"/>
      <c r="E6389" s="63" t="n"/>
    </row>
    <row r="6390" ht="18" customHeight="1">
      <c r="A6390" s="62" t="n"/>
      <c r="B6390" s="63" t="n"/>
      <c r="C6390" s="64" t="n"/>
      <c r="D6390" s="64" t="n"/>
      <c r="E6390" s="63" t="n"/>
    </row>
    <row r="6391" ht="18" customHeight="1">
      <c r="A6391" s="62" t="n"/>
      <c r="B6391" s="63" t="n"/>
      <c r="C6391" s="64" t="n"/>
      <c r="D6391" s="64" t="n"/>
      <c r="E6391" s="63" t="n"/>
    </row>
    <row r="6392" ht="18" customHeight="1">
      <c r="A6392" s="62" t="n"/>
      <c r="B6392" s="63" t="n"/>
      <c r="C6392" s="64" t="n"/>
      <c r="D6392" s="64" t="n"/>
      <c r="E6392" s="63" t="n"/>
    </row>
    <row r="6393" ht="18" customHeight="1">
      <c r="A6393" s="62" t="n"/>
      <c r="B6393" s="63" t="n"/>
      <c r="C6393" s="64" t="n"/>
      <c r="D6393" s="64" t="n"/>
      <c r="E6393" s="63" t="n"/>
    </row>
    <row r="6394" ht="18" customHeight="1">
      <c r="A6394" s="62" t="n"/>
      <c r="B6394" s="63" t="n"/>
      <c r="C6394" s="64" t="n"/>
      <c r="D6394" s="64" t="n"/>
      <c r="E6394" s="63" t="n"/>
    </row>
    <row r="6395" ht="18" customHeight="1">
      <c r="A6395" s="62" t="n"/>
      <c r="B6395" s="63" t="n"/>
      <c r="C6395" s="64" t="n"/>
      <c r="D6395" s="64" t="n"/>
      <c r="E6395" s="63" t="n"/>
    </row>
    <row r="6396" ht="18" customHeight="1">
      <c r="A6396" s="62" t="n"/>
      <c r="B6396" s="63" t="n"/>
      <c r="C6396" s="64" t="n"/>
      <c r="D6396" s="64" t="n"/>
      <c r="E6396" s="63" t="n"/>
    </row>
    <row r="6397" ht="18" customHeight="1">
      <c r="A6397" s="62" t="n"/>
      <c r="B6397" s="63" t="n"/>
      <c r="C6397" s="64" t="n"/>
      <c r="D6397" s="64" t="n"/>
      <c r="E6397" s="63" t="n"/>
    </row>
    <row r="6398" ht="18" customHeight="1">
      <c r="A6398" s="62" t="n"/>
      <c r="B6398" s="63" t="n"/>
      <c r="C6398" s="64" t="n"/>
      <c r="D6398" s="64" t="n"/>
      <c r="E6398" s="63" t="n"/>
    </row>
    <row r="6399" ht="18" customHeight="1">
      <c r="A6399" s="62" t="n"/>
      <c r="B6399" s="63" t="n"/>
      <c r="C6399" s="64" t="n"/>
      <c r="D6399" s="64" t="n"/>
      <c r="E6399" s="63" t="n"/>
    </row>
    <row r="6400" ht="18" customHeight="1">
      <c r="A6400" s="62" t="n"/>
      <c r="B6400" s="63" t="n"/>
      <c r="C6400" s="64" t="n"/>
      <c r="D6400" s="64" t="n"/>
      <c r="E6400" s="63" t="n"/>
    </row>
    <row r="6401" ht="18" customHeight="1">
      <c r="A6401" s="62" t="n"/>
      <c r="B6401" s="63" t="n"/>
      <c r="C6401" s="64" t="n"/>
      <c r="D6401" s="64" t="n"/>
      <c r="E6401" s="63" t="n"/>
    </row>
    <row r="6402" ht="18" customHeight="1">
      <c r="A6402" s="62" t="n"/>
      <c r="B6402" s="63" t="n"/>
      <c r="C6402" s="64" t="n"/>
      <c r="D6402" s="64" t="n"/>
      <c r="E6402" s="63" t="n"/>
    </row>
    <row r="6403" ht="18" customHeight="1">
      <c r="A6403" s="62" t="n"/>
      <c r="B6403" s="63" t="n"/>
      <c r="C6403" s="64" t="n"/>
      <c r="D6403" s="64" t="n"/>
      <c r="E6403" s="63" t="n"/>
    </row>
    <row r="6404" ht="18" customHeight="1">
      <c r="A6404" s="62" t="n"/>
      <c r="B6404" s="63" t="n"/>
      <c r="C6404" s="64" t="n"/>
      <c r="D6404" s="64" t="n"/>
      <c r="E6404" s="63" t="n"/>
    </row>
    <row r="6405" ht="18" customHeight="1">
      <c r="A6405" s="62" t="n"/>
      <c r="B6405" s="63" t="n"/>
      <c r="C6405" s="64" t="n"/>
      <c r="D6405" s="64" t="n"/>
      <c r="E6405" s="63" t="n"/>
    </row>
    <row r="6406" ht="18" customHeight="1">
      <c r="A6406" s="62" t="n"/>
      <c r="B6406" s="63" t="n"/>
      <c r="C6406" s="64" t="n"/>
      <c r="D6406" s="64" t="n"/>
      <c r="E6406" s="63" t="n"/>
    </row>
    <row r="6407" ht="18" customHeight="1">
      <c r="A6407" s="62" t="n"/>
      <c r="B6407" s="63" t="n"/>
      <c r="C6407" s="64" t="n"/>
      <c r="D6407" s="64" t="n"/>
      <c r="E6407" s="63" t="n"/>
    </row>
    <row r="6408" ht="18" customHeight="1">
      <c r="A6408" s="62" t="n"/>
      <c r="B6408" s="63" t="n"/>
      <c r="C6408" s="64" t="n"/>
      <c r="D6408" s="64" t="n"/>
      <c r="E6408" s="63" t="n"/>
    </row>
    <row r="6409" ht="18" customHeight="1">
      <c r="A6409" s="62" t="n"/>
      <c r="B6409" s="63" t="n"/>
      <c r="C6409" s="64" t="n"/>
      <c r="D6409" s="64" t="n"/>
      <c r="E6409" s="63" t="n"/>
    </row>
    <row r="6410" ht="18" customHeight="1">
      <c r="A6410" s="62" t="n"/>
      <c r="B6410" s="63" t="n"/>
      <c r="C6410" s="64" t="n"/>
      <c r="D6410" s="64" t="n"/>
      <c r="E6410" s="63" t="n"/>
    </row>
    <row r="6411" ht="18" customHeight="1">
      <c r="A6411" s="62" t="n"/>
      <c r="B6411" s="63" t="n"/>
      <c r="C6411" s="64" t="n"/>
      <c r="D6411" s="64" t="n"/>
      <c r="E6411" s="63" t="n"/>
    </row>
    <row r="6412" ht="18" customHeight="1">
      <c r="A6412" s="62" t="n"/>
      <c r="B6412" s="63" t="n"/>
      <c r="C6412" s="64" t="n"/>
      <c r="D6412" s="64" t="n"/>
      <c r="E6412" s="63" t="n"/>
    </row>
    <row r="6413" ht="18" customHeight="1">
      <c r="A6413" s="62" t="n"/>
      <c r="B6413" s="63" t="n"/>
      <c r="C6413" s="64" t="n"/>
      <c r="D6413" s="64" t="n"/>
      <c r="E6413" s="63" t="n"/>
    </row>
    <row r="6414" ht="18" customHeight="1">
      <c r="A6414" s="62" t="n"/>
      <c r="B6414" s="63" t="n"/>
      <c r="C6414" s="64" t="n"/>
      <c r="D6414" s="64" t="n"/>
      <c r="E6414" s="63" t="n"/>
    </row>
    <row r="6415" ht="18" customHeight="1">
      <c r="A6415" s="62" t="n"/>
      <c r="B6415" s="63" t="n"/>
      <c r="C6415" s="64" t="n"/>
      <c r="D6415" s="64" t="n"/>
      <c r="E6415" s="63" t="n"/>
    </row>
    <row r="6416" ht="18" customHeight="1">
      <c r="A6416" s="62" t="n"/>
      <c r="B6416" s="63" t="n"/>
      <c r="C6416" s="64" t="n"/>
      <c r="D6416" s="64" t="n"/>
      <c r="E6416" s="63" t="n"/>
    </row>
    <row r="6417" ht="18" customHeight="1">
      <c r="A6417" s="62" t="n"/>
      <c r="B6417" s="63" t="n"/>
      <c r="C6417" s="64" t="n"/>
      <c r="D6417" s="64" t="n"/>
      <c r="E6417" s="63" t="n"/>
    </row>
    <row r="6418" ht="18" customHeight="1">
      <c r="A6418" s="62" t="n"/>
      <c r="B6418" s="63" t="n"/>
      <c r="C6418" s="64" t="n"/>
      <c r="D6418" s="64" t="n"/>
      <c r="E6418" s="63" t="n"/>
    </row>
    <row r="6419" ht="18" customHeight="1">
      <c r="A6419" s="62" t="n"/>
      <c r="B6419" s="63" t="n"/>
      <c r="C6419" s="64" t="n"/>
      <c r="D6419" s="64" t="n"/>
      <c r="E6419" s="63" t="n"/>
    </row>
    <row r="6420" ht="18" customHeight="1">
      <c r="A6420" s="62" t="n"/>
      <c r="B6420" s="63" t="n"/>
      <c r="C6420" s="64" t="n"/>
      <c r="D6420" s="64" t="n"/>
      <c r="E6420" s="63" t="n"/>
    </row>
    <row r="6421" ht="18" customHeight="1">
      <c r="A6421" s="62" t="n"/>
      <c r="B6421" s="63" t="n"/>
      <c r="C6421" s="64" t="n"/>
      <c r="D6421" s="64" t="n"/>
      <c r="E6421" s="63" t="n"/>
    </row>
    <row r="6422" ht="18" customHeight="1">
      <c r="A6422" s="62" t="n"/>
      <c r="B6422" s="63" t="n"/>
      <c r="C6422" s="64" t="n"/>
      <c r="D6422" s="64" t="n"/>
      <c r="E6422" s="63" t="n"/>
    </row>
    <row r="6423" ht="18" customHeight="1">
      <c r="A6423" s="62" t="n"/>
      <c r="B6423" s="63" t="n"/>
      <c r="C6423" s="64" t="n"/>
      <c r="D6423" s="64" t="n"/>
      <c r="E6423" s="63" t="n"/>
    </row>
    <row r="6424" ht="18" customHeight="1">
      <c r="A6424" s="62" t="n"/>
      <c r="B6424" s="63" t="n"/>
      <c r="C6424" s="64" t="n"/>
      <c r="D6424" s="64" t="n"/>
      <c r="E6424" s="63" t="n"/>
    </row>
    <row r="6425" ht="18" customHeight="1">
      <c r="A6425" s="62" t="n"/>
      <c r="B6425" s="63" t="n"/>
      <c r="C6425" s="64" t="n"/>
      <c r="D6425" s="64" t="n"/>
      <c r="E6425" s="63" t="n"/>
    </row>
    <row r="6426" ht="18" customHeight="1">
      <c r="A6426" s="62" t="n"/>
      <c r="B6426" s="63" t="n"/>
      <c r="C6426" s="64" t="n"/>
      <c r="D6426" s="64" t="n"/>
      <c r="E6426" s="63" t="n"/>
    </row>
    <row r="6427" ht="18" customHeight="1">
      <c r="A6427" s="62" t="n"/>
      <c r="B6427" s="63" t="n"/>
      <c r="C6427" s="64" t="n"/>
      <c r="D6427" s="64" t="n"/>
      <c r="E6427" s="63" t="n"/>
    </row>
    <row r="6428" ht="18" customHeight="1">
      <c r="A6428" s="62" t="n"/>
      <c r="B6428" s="63" t="n"/>
      <c r="C6428" s="64" t="n"/>
      <c r="D6428" s="64" t="n"/>
      <c r="E6428" s="63" t="n"/>
    </row>
    <row r="6429" ht="18" customHeight="1">
      <c r="A6429" s="62" t="n"/>
      <c r="B6429" s="63" t="n"/>
      <c r="C6429" s="64" t="n"/>
      <c r="D6429" s="64" t="n"/>
      <c r="E6429" s="63" t="n"/>
    </row>
    <row r="6430" ht="18" customHeight="1">
      <c r="A6430" s="62" t="n"/>
      <c r="B6430" s="63" t="n"/>
      <c r="C6430" s="64" t="n"/>
      <c r="D6430" s="64" t="n"/>
      <c r="E6430" s="63" t="n"/>
    </row>
    <row r="6431" ht="18" customHeight="1">
      <c r="A6431" s="62" t="n"/>
      <c r="B6431" s="63" t="n"/>
      <c r="C6431" s="64" t="n"/>
      <c r="D6431" s="64" t="n"/>
      <c r="E6431" s="63" t="n"/>
    </row>
    <row r="6432" ht="18" customHeight="1">
      <c r="A6432" s="62" t="n"/>
      <c r="B6432" s="63" t="n"/>
      <c r="C6432" s="64" t="n"/>
      <c r="D6432" s="64" t="n"/>
      <c r="E6432" s="63" t="n"/>
    </row>
    <row r="6433" ht="18" customHeight="1">
      <c r="A6433" s="62" t="n"/>
      <c r="B6433" s="63" t="n"/>
      <c r="C6433" s="64" t="n"/>
      <c r="D6433" s="64" t="n"/>
      <c r="E6433" s="63" t="n"/>
    </row>
    <row r="6434" ht="18" customHeight="1">
      <c r="A6434" s="62" t="n"/>
      <c r="B6434" s="63" t="n"/>
      <c r="C6434" s="64" t="n"/>
      <c r="D6434" s="64" t="n"/>
      <c r="E6434" s="63" t="n"/>
    </row>
    <row r="6435" ht="18" customHeight="1">
      <c r="A6435" s="62" t="n"/>
      <c r="B6435" s="63" t="n"/>
      <c r="C6435" s="64" t="n"/>
      <c r="D6435" s="64" t="n"/>
      <c r="E6435" s="63" t="n"/>
    </row>
    <row r="6436" ht="18" customHeight="1">
      <c r="A6436" s="62" t="n"/>
      <c r="B6436" s="63" t="n"/>
      <c r="C6436" s="64" t="n"/>
      <c r="D6436" s="64" t="n"/>
      <c r="E6436" s="63" t="n"/>
    </row>
    <row r="6437" ht="18" customHeight="1">
      <c r="A6437" s="62" t="n"/>
      <c r="B6437" s="63" t="n"/>
      <c r="C6437" s="64" t="n"/>
      <c r="D6437" s="64" t="n"/>
      <c r="E6437" s="63" t="n"/>
    </row>
    <row r="6438" ht="18" customHeight="1">
      <c r="A6438" s="62" t="n"/>
      <c r="B6438" s="63" t="n"/>
      <c r="C6438" s="64" t="n"/>
      <c r="D6438" s="64" t="n"/>
      <c r="E6438" s="63" t="n"/>
    </row>
    <row r="6439" ht="18" customHeight="1">
      <c r="A6439" s="62" t="n"/>
      <c r="B6439" s="63" t="n"/>
      <c r="C6439" s="64" t="n"/>
      <c r="D6439" s="64" t="n"/>
      <c r="E6439" s="63" t="n"/>
    </row>
    <row r="6440" ht="18" customHeight="1">
      <c r="A6440" s="62" t="n"/>
      <c r="B6440" s="63" t="n"/>
      <c r="C6440" s="64" t="n"/>
      <c r="D6440" s="64" t="n"/>
      <c r="E6440" s="63" t="n"/>
    </row>
    <row r="6441" ht="18" customHeight="1">
      <c r="A6441" s="62" t="n"/>
      <c r="B6441" s="63" t="n"/>
      <c r="C6441" s="64" t="n"/>
      <c r="D6441" s="64" t="n"/>
      <c r="E6441" s="63" t="n"/>
    </row>
    <row r="6442" ht="18" customHeight="1">
      <c r="A6442" s="62" t="n"/>
      <c r="B6442" s="63" t="n"/>
      <c r="C6442" s="64" t="n"/>
      <c r="D6442" s="64" t="n"/>
      <c r="E6442" s="63" t="n"/>
    </row>
    <row r="6443" ht="18" customHeight="1">
      <c r="A6443" s="62" t="n"/>
      <c r="B6443" s="63" t="n"/>
      <c r="C6443" s="64" t="n"/>
      <c r="D6443" s="64" t="n"/>
      <c r="E6443" s="63" t="n"/>
    </row>
    <row r="6444" ht="18" customHeight="1">
      <c r="A6444" s="62" t="n"/>
      <c r="B6444" s="63" t="n"/>
      <c r="C6444" s="64" t="n"/>
      <c r="D6444" s="64" t="n"/>
      <c r="E6444" s="63" t="n"/>
    </row>
    <row r="6445" ht="18" customHeight="1">
      <c r="A6445" s="62" t="n"/>
      <c r="B6445" s="63" t="n"/>
      <c r="C6445" s="64" t="n"/>
      <c r="D6445" s="64" t="n"/>
      <c r="E6445" s="63" t="n"/>
    </row>
    <row r="6446" ht="18" customHeight="1">
      <c r="A6446" s="62" t="n"/>
      <c r="B6446" s="63" t="n"/>
      <c r="C6446" s="64" t="n"/>
      <c r="D6446" s="64" t="n"/>
      <c r="E6446" s="63" t="n"/>
    </row>
    <row r="6447" ht="18" customHeight="1">
      <c r="A6447" s="62" t="n"/>
      <c r="B6447" s="63" t="n"/>
      <c r="C6447" s="64" t="n"/>
      <c r="D6447" s="64" t="n"/>
      <c r="E6447" s="63" t="n"/>
    </row>
    <row r="6448" ht="18" customHeight="1">
      <c r="A6448" s="62" t="n"/>
      <c r="B6448" s="63" t="n"/>
      <c r="C6448" s="64" t="n"/>
      <c r="D6448" s="64" t="n"/>
      <c r="E6448" s="63" t="n"/>
    </row>
    <row r="6449" ht="18" customHeight="1">
      <c r="A6449" s="62" t="n"/>
      <c r="B6449" s="63" t="n"/>
      <c r="C6449" s="64" t="n"/>
      <c r="D6449" s="64" t="n"/>
      <c r="E6449" s="63" t="n"/>
    </row>
    <row r="6450" ht="18" customHeight="1">
      <c r="A6450" s="62" t="n"/>
      <c r="B6450" s="63" t="n"/>
      <c r="C6450" s="64" t="n"/>
      <c r="D6450" s="64" t="n"/>
      <c r="E6450" s="63" t="n"/>
    </row>
    <row r="6451" ht="18" customHeight="1">
      <c r="A6451" s="62" t="n"/>
      <c r="B6451" s="63" t="n"/>
      <c r="C6451" s="64" t="n"/>
      <c r="D6451" s="64" t="n"/>
      <c r="E6451" s="63" t="n"/>
    </row>
    <row r="6452" ht="18" customHeight="1">
      <c r="A6452" s="62" t="n"/>
      <c r="B6452" s="63" t="n"/>
      <c r="C6452" s="64" t="n"/>
      <c r="D6452" s="64" t="n"/>
      <c r="E6452" s="63" t="n"/>
    </row>
    <row r="6453" ht="18" customHeight="1">
      <c r="A6453" s="62" t="n"/>
      <c r="B6453" s="63" t="n"/>
      <c r="C6453" s="64" t="n"/>
      <c r="D6453" s="64" t="n"/>
      <c r="E6453" s="63" t="n"/>
    </row>
    <row r="6454" ht="18" customHeight="1">
      <c r="A6454" s="62" t="n"/>
      <c r="B6454" s="63" t="n"/>
      <c r="C6454" s="64" t="n"/>
      <c r="D6454" s="64" t="n"/>
      <c r="E6454" s="63" t="n"/>
    </row>
    <row r="6455" ht="18" customHeight="1">
      <c r="A6455" s="62" t="n"/>
      <c r="B6455" s="63" t="n"/>
      <c r="C6455" s="64" t="n"/>
      <c r="D6455" s="64" t="n"/>
      <c r="E6455" s="63" t="n"/>
    </row>
    <row r="6456" ht="18" customHeight="1">
      <c r="A6456" s="62" t="n"/>
      <c r="B6456" s="63" t="n"/>
      <c r="C6456" s="64" t="n"/>
      <c r="D6456" s="64" t="n"/>
      <c r="E6456" s="63" t="n"/>
    </row>
    <row r="6457" ht="18" customHeight="1">
      <c r="A6457" s="62" t="n"/>
      <c r="B6457" s="63" t="n"/>
      <c r="C6457" s="64" t="n"/>
      <c r="D6457" s="64" t="n"/>
      <c r="E6457" s="63" t="n"/>
    </row>
    <row r="6458" ht="18" customHeight="1">
      <c r="A6458" s="62" t="n"/>
      <c r="B6458" s="63" t="n"/>
      <c r="C6458" s="64" t="n"/>
      <c r="D6458" s="64" t="n"/>
      <c r="E6458" s="63" t="n"/>
    </row>
    <row r="6459" ht="18" customHeight="1">
      <c r="A6459" s="62" t="n"/>
      <c r="B6459" s="63" t="n"/>
      <c r="C6459" s="64" t="n"/>
      <c r="D6459" s="64" t="n"/>
      <c r="E6459" s="63" t="n"/>
    </row>
    <row r="6460" ht="18" customHeight="1">
      <c r="A6460" s="62" t="n"/>
      <c r="B6460" s="63" t="n"/>
      <c r="C6460" s="64" t="n"/>
      <c r="D6460" s="64" t="n"/>
      <c r="E6460" s="63" t="n"/>
    </row>
    <row r="6461" ht="18" customHeight="1">
      <c r="A6461" s="62" t="n"/>
      <c r="B6461" s="63" t="n"/>
      <c r="C6461" s="64" t="n"/>
      <c r="D6461" s="64" t="n"/>
      <c r="E6461" s="63" t="n"/>
    </row>
    <row r="6462" ht="18" customHeight="1">
      <c r="A6462" s="62" t="n"/>
      <c r="B6462" s="63" t="n"/>
      <c r="C6462" s="64" t="n"/>
      <c r="D6462" s="64" t="n"/>
      <c r="E6462" s="63" t="n"/>
    </row>
    <row r="6463" ht="18" customHeight="1">
      <c r="A6463" s="62" t="n"/>
      <c r="B6463" s="63" t="n"/>
      <c r="C6463" s="64" t="n"/>
      <c r="D6463" s="64" t="n"/>
      <c r="E6463" s="63" t="n"/>
    </row>
    <row r="6464" ht="18" customHeight="1">
      <c r="A6464" s="62" t="n"/>
      <c r="B6464" s="63" t="n"/>
      <c r="C6464" s="64" t="n"/>
      <c r="D6464" s="64" t="n"/>
      <c r="E6464" s="63" t="n"/>
    </row>
    <row r="6465" ht="18" customHeight="1">
      <c r="A6465" s="62" t="n"/>
      <c r="B6465" s="63" t="n"/>
      <c r="C6465" s="64" t="n"/>
      <c r="D6465" s="64" t="n"/>
      <c r="E6465" s="63" t="n"/>
    </row>
    <row r="6466" ht="18" customHeight="1">
      <c r="A6466" s="62" t="n"/>
      <c r="B6466" s="63" t="n"/>
      <c r="C6466" s="64" t="n"/>
      <c r="D6466" s="64" t="n"/>
      <c r="E6466" s="63" t="n"/>
    </row>
    <row r="6467" ht="18" customHeight="1">
      <c r="A6467" s="62" t="n"/>
      <c r="B6467" s="63" t="n"/>
      <c r="C6467" s="64" t="n"/>
      <c r="D6467" s="64" t="n"/>
      <c r="E6467" s="63" t="n"/>
    </row>
    <row r="6468" ht="18" customHeight="1">
      <c r="A6468" s="62" t="n"/>
      <c r="B6468" s="63" t="n"/>
      <c r="C6468" s="64" t="n"/>
      <c r="D6468" s="64" t="n"/>
      <c r="E6468" s="63" t="n"/>
    </row>
    <row r="6469" ht="18" customHeight="1">
      <c r="A6469" s="62" t="n"/>
      <c r="B6469" s="63" t="n"/>
      <c r="C6469" s="64" t="n"/>
      <c r="D6469" s="64" t="n"/>
      <c r="E6469" s="63" t="n"/>
    </row>
    <row r="6470" ht="18" customHeight="1">
      <c r="A6470" s="62" t="n"/>
      <c r="B6470" s="63" t="n"/>
      <c r="C6470" s="64" t="n"/>
      <c r="D6470" s="64" t="n"/>
      <c r="E6470" s="63" t="n"/>
    </row>
    <row r="6471" ht="18" customHeight="1">
      <c r="A6471" s="62" t="n"/>
      <c r="B6471" s="63" t="n"/>
      <c r="C6471" s="64" t="n"/>
      <c r="D6471" s="64" t="n"/>
      <c r="E6471" s="63" t="n"/>
    </row>
    <row r="6472" ht="18" customHeight="1">
      <c r="A6472" s="62" t="n"/>
      <c r="B6472" s="63" t="n"/>
      <c r="C6472" s="64" t="n"/>
      <c r="D6472" s="64" t="n"/>
      <c r="E6472" s="63" t="n"/>
    </row>
    <row r="6473" ht="18" customHeight="1">
      <c r="A6473" s="62" t="n"/>
      <c r="B6473" s="63" t="n"/>
      <c r="C6473" s="64" t="n"/>
      <c r="D6473" s="64" t="n"/>
      <c r="E6473" s="63" t="n"/>
    </row>
    <row r="6474" ht="18" customHeight="1">
      <c r="A6474" s="62" t="n"/>
      <c r="B6474" s="63" t="n"/>
      <c r="C6474" s="64" t="n"/>
      <c r="D6474" s="64" t="n"/>
      <c r="E6474" s="63" t="n"/>
    </row>
    <row r="6475" ht="18" customHeight="1">
      <c r="A6475" s="62" t="n"/>
      <c r="B6475" s="63" t="n"/>
      <c r="C6475" s="64" t="n"/>
      <c r="D6475" s="64" t="n"/>
      <c r="E6475" s="63" t="n"/>
    </row>
    <row r="6476" ht="18" customHeight="1">
      <c r="A6476" s="62" t="n"/>
      <c r="B6476" s="63" t="n"/>
      <c r="C6476" s="64" t="n"/>
      <c r="D6476" s="64" t="n"/>
      <c r="E6476" s="63" t="n"/>
    </row>
    <row r="6477" ht="18" customHeight="1">
      <c r="A6477" s="62" t="n"/>
      <c r="B6477" s="63" t="n"/>
      <c r="C6477" s="64" t="n"/>
      <c r="D6477" s="64" t="n"/>
      <c r="E6477" s="63" t="n"/>
    </row>
    <row r="6478" ht="18" customHeight="1">
      <c r="A6478" s="62" t="n"/>
      <c r="B6478" s="63" t="n"/>
      <c r="C6478" s="64" t="n"/>
      <c r="D6478" s="64" t="n"/>
      <c r="E6478" s="63" t="n"/>
    </row>
    <row r="6479" ht="18" customHeight="1">
      <c r="A6479" s="62" t="n"/>
      <c r="B6479" s="63" t="n"/>
      <c r="C6479" s="64" t="n"/>
      <c r="D6479" s="64" t="n"/>
      <c r="E6479" s="63" t="n"/>
    </row>
    <row r="6480" ht="18" customHeight="1">
      <c r="A6480" s="62" t="n"/>
      <c r="B6480" s="63" t="n"/>
      <c r="C6480" s="64" t="n"/>
      <c r="D6480" s="64" t="n"/>
      <c r="E6480" s="63" t="n"/>
    </row>
    <row r="6481" ht="18" customHeight="1">
      <c r="A6481" s="62" t="n"/>
      <c r="B6481" s="63" t="n"/>
      <c r="C6481" s="64" t="n"/>
      <c r="D6481" s="64" t="n"/>
      <c r="E6481" s="63" t="n"/>
    </row>
    <row r="6482" ht="18" customHeight="1">
      <c r="A6482" s="62" t="n"/>
      <c r="B6482" s="63" t="n"/>
      <c r="C6482" s="64" t="n"/>
      <c r="D6482" s="64" t="n"/>
      <c r="E6482" s="63" t="n"/>
    </row>
    <row r="6483" ht="18" customHeight="1">
      <c r="A6483" s="62" t="n"/>
      <c r="B6483" s="63" t="n"/>
      <c r="C6483" s="64" t="n"/>
      <c r="D6483" s="64" t="n"/>
      <c r="E6483" s="63" t="n"/>
    </row>
    <row r="6484" ht="18" customHeight="1">
      <c r="A6484" s="62" t="n"/>
      <c r="B6484" s="63" t="n"/>
      <c r="C6484" s="64" t="n"/>
      <c r="D6484" s="64" t="n"/>
      <c r="E6484" s="63" t="n"/>
    </row>
    <row r="6485" ht="18" customHeight="1">
      <c r="A6485" s="62" t="n"/>
      <c r="B6485" s="63" t="n"/>
      <c r="C6485" s="64" t="n"/>
      <c r="D6485" s="64" t="n"/>
      <c r="E6485" s="63" t="n"/>
    </row>
    <row r="6486" ht="18" customHeight="1">
      <c r="A6486" s="62" t="n"/>
      <c r="B6486" s="63" t="n"/>
      <c r="C6486" s="64" t="n"/>
      <c r="D6486" s="64" t="n"/>
      <c r="E6486" s="63" t="n"/>
    </row>
    <row r="6487" ht="18" customHeight="1">
      <c r="A6487" s="62" t="n"/>
      <c r="B6487" s="63" t="n"/>
      <c r="C6487" s="64" t="n"/>
      <c r="D6487" s="64" t="n"/>
      <c r="E6487" s="63" t="n"/>
    </row>
    <row r="6488" ht="18" customHeight="1">
      <c r="A6488" s="62" t="n"/>
      <c r="B6488" s="63" t="n"/>
      <c r="C6488" s="64" t="n"/>
      <c r="D6488" s="64" t="n"/>
      <c r="E6488" s="63" t="n"/>
    </row>
    <row r="6489" ht="18" customHeight="1">
      <c r="A6489" s="62" t="n"/>
      <c r="B6489" s="63" t="n"/>
      <c r="C6489" s="64" t="n"/>
      <c r="D6489" s="64" t="n"/>
      <c r="E6489" s="63" t="n"/>
    </row>
    <row r="6490" ht="18" customHeight="1">
      <c r="A6490" s="62" t="n"/>
      <c r="B6490" s="63" t="n"/>
      <c r="C6490" s="64" t="n"/>
      <c r="D6490" s="64" t="n"/>
      <c r="E6490" s="63" t="n"/>
    </row>
    <row r="6491" ht="18" customHeight="1">
      <c r="A6491" s="62" t="n"/>
      <c r="B6491" s="63" t="n"/>
      <c r="C6491" s="64" t="n"/>
      <c r="D6491" s="64" t="n"/>
      <c r="E6491" s="63" t="n"/>
    </row>
    <row r="6492" ht="18" customHeight="1">
      <c r="A6492" s="62" t="n"/>
      <c r="B6492" s="63" t="n"/>
      <c r="C6492" s="64" t="n"/>
      <c r="D6492" s="64" t="n"/>
      <c r="E6492" s="63" t="n"/>
    </row>
    <row r="6493" ht="18" customHeight="1">
      <c r="A6493" s="62" t="n"/>
      <c r="B6493" s="63" t="n"/>
      <c r="C6493" s="64" t="n"/>
      <c r="D6493" s="64" t="n"/>
      <c r="E6493" s="63" t="n"/>
    </row>
    <row r="6494" ht="18" customHeight="1">
      <c r="A6494" s="62" t="n"/>
      <c r="B6494" s="63" t="n"/>
      <c r="C6494" s="64" t="n"/>
      <c r="D6494" s="64" t="n"/>
      <c r="E6494" s="63" t="n"/>
    </row>
    <row r="6495" ht="18" customHeight="1">
      <c r="A6495" s="62" t="n"/>
      <c r="B6495" s="63" t="n"/>
      <c r="C6495" s="64" t="n"/>
      <c r="D6495" s="64" t="n"/>
      <c r="E6495" s="63" t="n"/>
    </row>
    <row r="6496" ht="18" customHeight="1">
      <c r="A6496" s="62" t="n"/>
      <c r="B6496" s="63" t="n"/>
      <c r="C6496" s="64" t="n"/>
      <c r="D6496" s="64" t="n"/>
      <c r="E6496" s="63" t="n"/>
    </row>
    <row r="6497" ht="18" customHeight="1">
      <c r="A6497" s="62" t="n"/>
      <c r="B6497" s="63" t="n"/>
      <c r="C6497" s="64" t="n"/>
      <c r="D6497" s="64" t="n"/>
      <c r="E6497" s="63" t="n"/>
    </row>
    <row r="6498" ht="18" customHeight="1">
      <c r="A6498" s="62" t="n"/>
      <c r="B6498" s="63" t="n"/>
      <c r="C6498" s="64" t="n"/>
      <c r="D6498" s="64" t="n"/>
      <c r="E6498" s="63" t="n"/>
    </row>
    <row r="6499" ht="18" customHeight="1">
      <c r="A6499" s="62" t="n"/>
      <c r="B6499" s="63" t="n"/>
      <c r="C6499" s="64" t="n"/>
      <c r="D6499" s="64" t="n"/>
      <c r="E6499" s="63" t="n"/>
    </row>
    <row r="6500" ht="18" customHeight="1">
      <c r="A6500" s="62" t="n"/>
      <c r="B6500" s="63" t="n"/>
      <c r="C6500" s="64" t="n"/>
      <c r="D6500" s="64" t="n"/>
      <c r="E6500" s="63" t="n"/>
    </row>
    <row r="6501" ht="18" customHeight="1">
      <c r="A6501" s="62" t="n"/>
      <c r="B6501" s="63" t="n"/>
      <c r="C6501" s="64" t="n"/>
      <c r="D6501" s="64" t="n"/>
      <c r="E6501" s="63" t="n"/>
    </row>
    <row r="6502" ht="18" customHeight="1">
      <c r="A6502" s="62" t="n"/>
      <c r="B6502" s="63" t="n"/>
      <c r="C6502" s="64" t="n"/>
      <c r="D6502" s="64" t="n"/>
      <c r="E6502" s="63" t="n"/>
    </row>
    <row r="6503" ht="18" customHeight="1">
      <c r="A6503" s="62" t="n"/>
      <c r="B6503" s="63" t="n"/>
      <c r="C6503" s="64" t="n"/>
      <c r="D6503" s="64" t="n"/>
      <c r="E6503" s="63" t="n"/>
    </row>
    <row r="6504" ht="18" customHeight="1">
      <c r="A6504" s="62" t="n"/>
      <c r="B6504" s="63" t="n"/>
      <c r="C6504" s="64" t="n"/>
      <c r="D6504" s="64" t="n"/>
      <c r="E6504" s="63" t="n"/>
    </row>
    <row r="6505" ht="18" customHeight="1">
      <c r="A6505" s="62" t="n"/>
      <c r="B6505" s="63" t="n"/>
      <c r="C6505" s="64" t="n"/>
      <c r="D6505" s="64" t="n"/>
      <c r="E6505" s="63" t="n"/>
    </row>
    <row r="6506" ht="18" customHeight="1">
      <c r="A6506" s="62" t="n"/>
      <c r="B6506" s="63" t="n"/>
      <c r="C6506" s="64" t="n"/>
      <c r="D6506" s="64" t="n"/>
      <c r="E6506" s="63" t="n"/>
    </row>
    <row r="6507" ht="18" customHeight="1">
      <c r="A6507" s="62" t="n"/>
      <c r="B6507" s="63" t="n"/>
      <c r="C6507" s="64" t="n"/>
      <c r="D6507" s="64" t="n"/>
      <c r="E6507" s="63" t="n"/>
    </row>
    <row r="6508" ht="18" customHeight="1">
      <c r="A6508" s="62" t="n"/>
      <c r="B6508" s="63" t="n"/>
      <c r="C6508" s="64" t="n"/>
      <c r="D6508" s="64" t="n"/>
      <c r="E6508" s="63" t="n"/>
    </row>
    <row r="6509" ht="18" customHeight="1">
      <c r="A6509" s="62" t="n"/>
      <c r="B6509" s="63" t="n"/>
      <c r="C6509" s="64" t="n"/>
      <c r="D6509" s="64" t="n"/>
      <c r="E6509" s="63" t="n"/>
    </row>
    <row r="6510" ht="18" customHeight="1">
      <c r="A6510" s="62" t="n"/>
      <c r="B6510" s="63" t="n"/>
      <c r="C6510" s="64" t="n"/>
      <c r="D6510" s="64" t="n"/>
      <c r="E6510" s="63" t="n"/>
    </row>
    <row r="6511" ht="18" customHeight="1">
      <c r="A6511" s="62" t="n"/>
      <c r="B6511" s="63" t="n"/>
      <c r="C6511" s="64" t="n"/>
      <c r="D6511" s="64" t="n"/>
      <c r="E6511" s="63" t="n"/>
    </row>
    <row r="6512" ht="18" customHeight="1">
      <c r="A6512" s="62" t="n"/>
      <c r="B6512" s="63" t="n"/>
      <c r="C6512" s="64" t="n"/>
      <c r="D6512" s="64" t="n"/>
      <c r="E6512" s="63" t="n"/>
    </row>
    <row r="6513" ht="18" customHeight="1">
      <c r="A6513" s="62" t="n"/>
      <c r="B6513" s="63" t="n"/>
      <c r="C6513" s="64" t="n"/>
      <c r="D6513" s="64" t="n"/>
      <c r="E6513" s="63" t="n"/>
    </row>
    <row r="6514" ht="18" customHeight="1">
      <c r="A6514" s="62" t="n"/>
      <c r="B6514" s="63" t="n"/>
      <c r="C6514" s="64" t="n"/>
      <c r="D6514" s="64" t="n"/>
      <c r="E6514" s="63" t="n"/>
    </row>
    <row r="6515" ht="18" customHeight="1">
      <c r="A6515" s="62" t="n"/>
      <c r="B6515" s="63" t="n"/>
      <c r="C6515" s="64" t="n"/>
      <c r="D6515" s="64" t="n"/>
      <c r="E6515" s="63" t="n"/>
    </row>
    <row r="6516" ht="18" customHeight="1">
      <c r="A6516" s="62" t="n"/>
      <c r="B6516" s="63" t="n"/>
      <c r="C6516" s="64" t="n"/>
      <c r="D6516" s="64" t="n"/>
      <c r="E6516" s="63" t="n"/>
    </row>
    <row r="6517" ht="18" customHeight="1">
      <c r="A6517" s="62" t="n"/>
      <c r="B6517" s="63" t="n"/>
      <c r="C6517" s="64" t="n"/>
      <c r="D6517" s="64" t="n"/>
      <c r="E6517" s="63" t="n"/>
    </row>
    <row r="6518" ht="18" customHeight="1">
      <c r="A6518" s="62" t="n"/>
      <c r="B6518" s="63" t="n"/>
      <c r="C6518" s="64" t="n"/>
      <c r="D6518" s="64" t="n"/>
      <c r="E6518" s="63" t="n"/>
    </row>
    <row r="6519" ht="18" customHeight="1">
      <c r="A6519" s="62" t="n"/>
      <c r="B6519" s="63" t="n"/>
      <c r="C6519" s="64" t="n"/>
      <c r="D6519" s="64" t="n"/>
      <c r="E6519" s="63" t="n"/>
    </row>
    <row r="6520" ht="18" customHeight="1">
      <c r="A6520" s="62" t="n"/>
      <c r="B6520" s="63" t="n"/>
      <c r="C6520" s="64" t="n"/>
      <c r="D6520" s="64" t="n"/>
      <c r="E6520" s="63" t="n"/>
    </row>
    <row r="6521" ht="18" customHeight="1">
      <c r="A6521" s="62" t="n"/>
      <c r="B6521" s="63" t="n"/>
      <c r="C6521" s="64" t="n"/>
      <c r="D6521" s="64" t="n"/>
      <c r="E6521" s="63" t="n"/>
    </row>
    <row r="6522" ht="18" customHeight="1">
      <c r="A6522" s="62" t="n"/>
      <c r="B6522" s="63" t="n"/>
      <c r="C6522" s="64" t="n"/>
      <c r="D6522" s="64" t="n"/>
      <c r="E6522" s="63" t="n"/>
    </row>
    <row r="6523" ht="18" customHeight="1">
      <c r="A6523" s="62" t="n"/>
      <c r="B6523" s="63" t="n"/>
      <c r="C6523" s="64" t="n"/>
      <c r="D6523" s="64" t="n"/>
      <c r="E6523" s="63" t="n"/>
    </row>
    <row r="6524" ht="18" customHeight="1">
      <c r="A6524" s="62" t="n"/>
      <c r="B6524" s="63" t="n"/>
      <c r="C6524" s="64" t="n"/>
      <c r="D6524" s="64" t="n"/>
      <c r="E6524" s="63" t="n"/>
    </row>
    <row r="6525" ht="18" customHeight="1">
      <c r="A6525" s="62" t="n"/>
      <c r="B6525" s="63" t="n"/>
      <c r="C6525" s="64" t="n"/>
      <c r="D6525" s="64" t="n"/>
      <c r="E6525" s="63" t="n"/>
    </row>
    <row r="6526" ht="18" customHeight="1">
      <c r="A6526" s="62" t="n"/>
      <c r="B6526" s="63" t="n"/>
      <c r="C6526" s="64" t="n"/>
      <c r="D6526" s="64" t="n"/>
      <c r="E6526" s="63" t="n"/>
    </row>
    <row r="6527" ht="18" customHeight="1">
      <c r="A6527" s="62" t="n"/>
      <c r="B6527" s="63" t="n"/>
      <c r="C6527" s="64" t="n"/>
      <c r="D6527" s="64" t="n"/>
      <c r="E6527" s="63" t="n"/>
    </row>
    <row r="6528" ht="18" customHeight="1">
      <c r="A6528" s="62" t="n"/>
      <c r="B6528" s="63" t="n"/>
      <c r="C6528" s="64" t="n"/>
      <c r="D6528" s="64" t="n"/>
      <c r="E6528" s="63" t="n"/>
    </row>
    <row r="6529" ht="18" customHeight="1">
      <c r="A6529" s="62" t="n"/>
      <c r="B6529" s="63" t="n"/>
      <c r="C6529" s="64" t="n"/>
      <c r="D6529" s="64" t="n"/>
      <c r="E6529" s="63" t="n"/>
    </row>
    <row r="6530" ht="18" customHeight="1">
      <c r="A6530" s="62" t="n"/>
      <c r="B6530" s="63" t="n"/>
      <c r="C6530" s="64" t="n"/>
      <c r="D6530" s="64" t="n"/>
      <c r="E6530" s="63" t="n"/>
    </row>
    <row r="6531" ht="18" customHeight="1">
      <c r="A6531" s="62" t="n"/>
      <c r="B6531" s="63" t="n"/>
      <c r="C6531" s="64" t="n"/>
      <c r="D6531" s="64" t="n"/>
      <c r="E6531" s="63" t="n"/>
    </row>
    <row r="6532" ht="18" customHeight="1">
      <c r="A6532" s="62" t="n"/>
      <c r="B6532" s="63" t="n"/>
      <c r="C6532" s="64" t="n"/>
      <c r="D6532" s="64" t="n"/>
      <c r="E6532" s="63" t="n"/>
    </row>
    <row r="6533" ht="18" customHeight="1">
      <c r="A6533" s="62" t="n"/>
      <c r="B6533" s="63" t="n"/>
      <c r="C6533" s="64" t="n"/>
      <c r="D6533" s="64" t="n"/>
      <c r="E6533" s="63" t="n"/>
    </row>
    <row r="6534" ht="18" customHeight="1">
      <c r="A6534" s="62" t="n"/>
      <c r="B6534" s="63" t="n"/>
      <c r="C6534" s="64" t="n"/>
      <c r="D6534" s="64" t="n"/>
      <c r="E6534" s="63" t="n"/>
    </row>
    <row r="6535" ht="18" customHeight="1">
      <c r="A6535" s="62" t="n"/>
      <c r="B6535" s="63" t="n"/>
      <c r="C6535" s="64" t="n"/>
      <c r="D6535" s="64" t="n"/>
      <c r="E6535" s="63" t="n"/>
    </row>
    <row r="6536" ht="18" customHeight="1">
      <c r="A6536" s="62" t="n"/>
      <c r="B6536" s="63" t="n"/>
      <c r="C6536" s="64" t="n"/>
      <c r="D6536" s="64" t="n"/>
      <c r="E6536" s="63" t="n"/>
    </row>
    <row r="6537" ht="18" customHeight="1">
      <c r="A6537" s="62" t="n"/>
      <c r="B6537" s="63" t="n"/>
      <c r="C6537" s="64" t="n"/>
      <c r="D6537" s="64" t="n"/>
      <c r="E6537" s="63" t="n"/>
    </row>
    <row r="6538" ht="18" customHeight="1">
      <c r="A6538" s="62" t="n"/>
      <c r="B6538" s="63" t="n"/>
      <c r="C6538" s="64" t="n"/>
      <c r="D6538" s="64" t="n"/>
      <c r="E6538" s="63" t="n"/>
    </row>
    <row r="6539" ht="18" customHeight="1">
      <c r="A6539" s="62" t="n"/>
      <c r="B6539" s="63" t="n"/>
      <c r="C6539" s="64" t="n"/>
      <c r="D6539" s="64" t="n"/>
      <c r="E6539" s="63" t="n"/>
    </row>
    <row r="6540" ht="18" customHeight="1">
      <c r="A6540" s="62" t="n"/>
      <c r="B6540" s="63" t="n"/>
      <c r="C6540" s="64" t="n"/>
      <c r="D6540" s="64" t="n"/>
      <c r="E6540" s="63" t="n"/>
    </row>
    <row r="6541" ht="18" customHeight="1">
      <c r="A6541" s="62" t="n"/>
      <c r="B6541" s="63" t="n"/>
      <c r="C6541" s="64" t="n"/>
      <c r="D6541" s="64" t="n"/>
      <c r="E6541" s="63" t="n"/>
    </row>
    <row r="6542" ht="18" customHeight="1">
      <c r="A6542" s="62" t="n"/>
      <c r="B6542" s="63" t="n"/>
      <c r="C6542" s="64" t="n"/>
      <c r="D6542" s="64" t="n"/>
      <c r="E6542" s="63" t="n"/>
    </row>
    <row r="6543" ht="18" customHeight="1">
      <c r="A6543" s="62" t="n"/>
      <c r="B6543" s="63" t="n"/>
      <c r="C6543" s="64" t="n"/>
      <c r="D6543" s="64" t="n"/>
      <c r="E6543" s="63" t="n"/>
    </row>
    <row r="6544" ht="18" customHeight="1">
      <c r="A6544" s="62" t="n"/>
      <c r="B6544" s="63" t="n"/>
      <c r="C6544" s="64" t="n"/>
      <c r="D6544" s="64" t="n"/>
      <c r="E6544" s="63" t="n"/>
    </row>
    <row r="6545" ht="18" customHeight="1">
      <c r="A6545" s="62" t="n"/>
      <c r="B6545" s="63" t="n"/>
      <c r="C6545" s="64" t="n"/>
      <c r="D6545" s="64" t="n"/>
      <c r="E6545" s="63" t="n"/>
    </row>
    <row r="6546" ht="18" customHeight="1">
      <c r="A6546" s="62" t="n"/>
      <c r="B6546" s="63" t="n"/>
      <c r="C6546" s="64" t="n"/>
      <c r="D6546" s="64" t="n"/>
      <c r="E6546" s="63" t="n"/>
    </row>
    <row r="6547" ht="18" customHeight="1">
      <c r="A6547" s="62" t="n"/>
      <c r="B6547" s="63" t="n"/>
      <c r="C6547" s="64" t="n"/>
      <c r="D6547" s="64" t="n"/>
      <c r="E6547" s="63" t="n"/>
    </row>
    <row r="6548" ht="18" customHeight="1">
      <c r="A6548" s="62" t="n"/>
      <c r="B6548" s="63" t="n"/>
      <c r="C6548" s="64" t="n"/>
      <c r="D6548" s="64" t="n"/>
      <c r="E6548" s="63" t="n"/>
    </row>
    <row r="6549" ht="18" customHeight="1">
      <c r="A6549" s="62" t="n"/>
      <c r="B6549" s="63" t="n"/>
      <c r="C6549" s="64" t="n"/>
      <c r="D6549" s="64" t="n"/>
      <c r="E6549" s="63" t="n"/>
    </row>
    <row r="6550" ht="18" customHeight="1">
      <c r="A6550" s="62" t="n"/>
      <c r="B6550" s="63" t="n"/>
      <c r="C6550" s="64" t="n"/>
      <c r="D6550" s="64" t="n"/>
      <c r="E6550" s="63" t="n"/>
    </row>
    <row r="6551" ht="18" customHeight="1">
      <c r="A6551" s="62" t="n"/>
      <c r="B6551" s="63" t="n"/>
      <c r="C6551" s="64" t="n"/>
      <c r="D6551" s="64" t="n"/>
      <c r="E6551" s="63" t="n"/>
    </row>
    <row r="6552" ht="18" customHeight="1">
      <c r="A6552" s="62" t="n"/>
      <c r="B6552" s="63" t="n"/>
      <c r="C6552" s="64" t="n"/>
      <c r="D6552" s="64" t="n"/>
      <c r="E6552" s="63" t="n"/>
    </row>
    <row r="6553" ht="18" customHeight="1">
      <c r="A6553" s="62" t="n"/>
      <c r="B6553" s="63" t="n"/>
      <c r="C6553" s="64" t="n"/>
      <c r="D6553" s="64" t="n"/>
      <c r="E6553" s="63" t="n"/>
    </row>
    <row r="6554" ht="18" customHeight="1">
      <c r="A6554" s="62" t="n"/>
      <c r="B6554" s="63" t="n"/>
      <c r="C6554" s="64" t="n"/>
      <c r="D6554" s="64" t="n"/>
      <c r="E6554" s="63" t="n"/>
    </row>
    <row r="6555" ht="18" customHeight="1">
      <c r="A6555" s="62" t="n"/>
      <c r="B6555" s="63" t="n"/>
      <c r="C6555" s="64" t="n"/>
      <c r="D6555" s="64" t="n"/>
      <c r="E6555" s="63" t="n"/>
    </row>
    <row r="6556" ht="18" customHeight="1">
      <c r="A6556" s="62" t="n"/>
      <c r="B6556" s="63" t="n"/>
      <c r="C6556" s="64" t="n"/>
      <c r="D6556" s="64" t="n"/>
      <c r="E6556" s="63" t="n"/>
    </row>
    <row r="6557" ht="18" customHeight="1">
      <c r="A6557" s="62" t="n"/>
      <c r="B6557" s="63" t="n"/>
      <c r="C6557" s="64" t="n"/>
      <c r="D6557" s="64" t="n"/>
      <c r="E6557" s="63" t="n"/>
    </row>
    <row r="6558" ht="18" customHeight="1">
      <c r="A6558" s="62" t="n"/>
      <c r="B6558" s="63" t="n"/>
      <c r="C6558" s="64" t="n"/>
      <c r="D6558" s="64" t="n"/>
      <c r="E6558" s="63" t="n"/>
    </row>
    <row r="6559" ht="18" customHeight="1">
      <c r="A6559" s="62" t="n"/>
      <c r="B6559" s="63" t="n"/>
      <c r="C6559" s="64" t="n"/>
      <c r="D6559" s="64" t="n"/>
      <c r="E6559" s="63" t="n"/>
    </row>
    <row r="6560" ht="18" customHeight="1">
      <c r="A6560" s="62" t="n"/>
      <c r="B6560" s="63" t="n"/>
      <c r="C6560" s="64" t="n"/>
      <c r="D6560" s="64" t="n"/>
      <c r="E6560" s="63" t="n"/>
    </row>
    <row r="6561" ht="18" customHeight="1">
      <c r="A6561" s="62" t="n"/>
      <c r="B6561" s="63" t="n"/>
      <c r="C6561" s="64" t="n"/>
      <c r="D6561" s="64" t="n"/>
      <c r="E6561" s="63" t="n"/>
    </row>
    <row r="6562" ht="18" customHeight="1">
      <c r="A6562" s="62" t="n"/>
      <c r="B6562" s="63" t="n"/>
      <c r="C6562" s="64" t="n"/>
      <c r="D6562" s="64" t="n"/>
      <c r="E6562" s="63" t="n"/>
    </row>
    <row r="6563" ht="18" customHeight="1">
      <c r="A6563" s="62" t="n"/>
      <c r="B6563" s="63" t="n"/>
      <c r="C6563" s="64" t="n"/>
      <c r="D6563" s="64" t="n"/>
      <c r="E6563" s="63" t="n"/>
    </row>
    <row r="6564" ht="18" customHeight="1">
      <c r="A6564" s="62" t="n"/>
      <c r="B6564" s="63" t="n"/>
      <c r="C6564" s="64" t="n"/>
      <c r="D6564" s="64" t="n"/>
      <c r="E6564" s="63" t="n"/>
    </row>
    <row r="6565" ht="18" customHeight="1">
      <c r="A6565" s="62" t="n"/>
      <c r="B6565" s="63" t="n"/>
      <c r="C6565" s="64" t="n"/>
      <c r="D6565" s="64" t="n"/>
      <c r="E6565" s="63" t="n"/>
    </row>
    <row r="6566" ht="18" customHeight="1">
      <c r="A6566" s="62" t="n"/>
      <c r="B6566" s="63" t="n"/>
      <c r="C6566" s="64" t="n"/>
      <c r="D6566" s="64" t="n"/>
      <c r="E6566" s="63" t="n"/>
    </row>
    <row r="6567" ht="18" customHeight="1">
      <c r="A6567" s="62" t="n"/>
      <c r="B6567" s="63" t="n"/>
      <c r="C6567" s="64" t="n"/>
      <c r="D6567" s="64" t="n"/>
      <c r="E6567" s="63" t="n"/>
    </row>
    <row r="6568" ht="18" customHeight="1">
      <c r="A6568" s="62" t="n"/>
      <c r="B6568" s="63" t="n"/>
      <c r="C6568" s="64" t="n"/>
      <c r="D6568" s="64" t="n"/>
      <c r="E6568" s="63" t="n"/>
    </row>
    <row r="6569" ht="18" customHeight="1">
      <c r="A6569" s="62" t="n"/>
      <c r="B6569" s="63" t="n"/>
      <c r="C6569" s="64" t="n"/>
      <c r="D6569" s="64" t="n"/>
      <c r="E6569" s="63" t="n"/>
    </row>
    <row r="6570" ht="18" customHeight="1">
      <c r="A6570" s="62" t="n"/>
      <c r="B6570" s="63" t="n"/>
      <c r="C6570" s="64" t="n"/>
      <c r="D6570" s="64" t="n"/>
      <c r="E6570" s="63" t="n"/>
    </row>
    <row r="6571" ht="18" customHeight="1">
      <c r="A6571" s="62" t="n"/>
      <c r="B6571" s="63" t="n"/>
      <c r="C6571" s="64" t="n"/>
      <c r="D6571" s="64" t="n"/>
      <c r="E6571" s="63" t="n"/>
    </row>
    <row r="6572" ht="18" customHeight="1">
      <c r="A6572" s="62" t="n"/>
      <c r="B6572" s="63" t="n"/>
      <c r="C6572" s="64" t="n"/>
      <c r="D6572" s="64" t="n"/>
      <c r="E6572" s="63" t="n"/>
    </row>
    <row r="6573" ht="18" customHeight="1">
      <c r="A6573" s="62" t="n"/>
      <c r="B6573" s="63" t="n"/>
      <c r="C6573" s="64" t="n"/>
      <c r="D6573" s="64" t="n"/>
      <c r="E6573" s="63" t="n"/>
    </row>
    <row r="6574" ht="18" customHeight="1">
      <c r="A6574" s="62" t="n"/>
      <c r="B6574" s="63" t="n"/>
      <c r="C6574" s="64" t="n"/>
      <c r="D6574" s="64" t="n"/>
      <c r="E6574" s="63" t="n"/>
    </row>
    <row r="6575" ht="18" customHeight="1">
      <c r="A6575" s="62" t="n"/>
      <c r="B6575" s="63" t="n"/>
      <c r="C6575" s="64" t="n"/>
      <c r="D6575" s="64" t="n"/>
      <c r="E6575" s="63" t="n"/>
    </row>
    <row r="6576" ht="18" customHeight="1">
      <c r="A6576" s="62" t="n"/>
      <c r="B6576" s="63" t="n"/>
      <c r="C6576" s="64" t="n"/>
      <c r="D6576" s="64" t="n"/>
      <c r="E6576" s="63" t="n"/>
    </row>
    <row r="6577" ht="18" customHeight="1">
      <c r="A6577" s="62" t="n"/>
      <c r="B6577" s="63" t="n"/>
      <c r="C6577" s="64" t="n"/>
      <c r="D6577" s="64" t="n"/>
      <c r="E6577" s="63" t="n"/>
    </row>
    <row r="6578" ht="18" customHeight="1">
      <c r="A6578" s="62" t="n"/>
      <c r="B6578" s="63" t="n"/>
      <c r="C6578" s="64" t="n"/>
      <c r="D6578" s="64" t="n"/>
      <c r="E6578" s="63" t="n"/>
    </row>
    <row r="6579" ht="18" customHeight="1">
      <c r="A6579" s="62" t="n"/>
      <c r="B6579" s="63" t="n"/>
      <c r="C6579" s="64" t="n"/>
      <c r="D6579" s="64" t="n"/>
      <c r="E6579" s="63" t="n"/>
    </row>
    <row r="6580" ht="18" customHeight="1">
      <c r="A6580" s="62" t="n"/>
      <c r="B6580" s="63" t="n"/>
      <c r="C6580" s="64" t="n"/>
      <c r="D6580" s="64" t="n"/>
      <c r="E6580" s="63" t="n"/>
    </row>
    <row r="6581" ht="18" customHeight="1">
      <c r="A6581" s="62" t="n"/>
      <c r="B6581" s="63" t="n"/>
      <c r="C6581" s="64" t="n"/>
      <c r="D6581" s="64" t="n"/>
      <c r="E6581" s="63" t="n"/>
    </row>
    <row r="6582" ht="18" customHeight="1">
      <c r="A6582" s="62" t="n"/>
      <c r="B6582" s="63" t="n"/>
      <c r="C6582" s="64" t="n"/>
      <c r="D6582" s="64" t="n"/>
      <c r="E6582" s="63" t="n"/>
    </row>
    <row r="6583" ht="18" customHeight="1">
      <c r="A6583" s="62" t="n"/>
      <c r="B6583" s="63" t="n"/>
      <c r="C6583" s="64" t="n"/>
      <c r="D6583" s="64" t="n"/>
      <c r="E6583" s="63" t="n"/>
    </row>
    <row r="6584" ht="18" customHeight="1">
      <c r="A6584" s="62" t="n"/>
      <c r="B6584" s="63" t="n"/>
      <c r="C6584" s="64" t="n"/>
      <c r="D6584" s="64" t="n"/>
      <c r="E6584" s="63" t="n"/>
    </row>
    <row r="6585" ht="18" customHeight="1">
      <c r="A6585" s="62" t="n"/>
      <c r="B6585" s="63" t="n"/>
      <c r="C6585" s="64" t="n"/>
      <c r="D6585" s="64" t="n"/>
      <c r="E6585" s="63" t="n"/>
    </row>
    <row r="6586" ht="18" customHeight="1">
      <c r="A6586" s="62" t="n"/>
      <c r="B6586" s="63" t="n"/>
      <c r="C6586" s="64" t="n"/>
      <c r="D6586" s="64" t="n"/>
      <c r="E6586" s="63" t="n"/>
    </row>
    <row r="6587" ht="18" customHeight="1">
      <c r="A6587" s="62" t="n"/>
      <c r="B6587" s="63" t="n"/>
      <c r="C6587" s="64" t="n"/>
      <c r="D6587" s="64" t="n"/>
      <c r="E6587" s="63" t="n"/>
    </row>
    <row r="6588" ht="18" customHeight="1">
      <c r="A6588" s="62" t="n"/>
      <c r="B6588" s="63" t="n"/>
      <c r="C6588" s="64" t="n"/>
      <c r="D6588" s="64" t="n"/>
      <c r="E6588" s="63" t="n"/>
    </row>
    <row r="6589" ht="18" customHeight="1">
      <c r="A6589" s="62" t="n"/>
      <c r="B6589" s="63" t="n"/>
      <c r="C6589" s="64" t="n"/>
      <c r="D6589" s="64" t="n"/>
      <c r="E6589" s="63" t="n"/>
    </row>
    <row r="6590" ht="18" customHeight="1">
      <c r="A6590" s="62" t="n"/>
      <c r="B6590" s="63" t="n"/>
      <c r="C6590" s="64" t="n"/>
      <c r="D6590" s="64" t="n"/>
      <c r="E6590" s="63" t="n"/>
    </row>
    <row r="6591" ht="18" customHeight="1">
      <c r="A6591" s="62" t="n"/>
      <c r="B6591" s="63" t="n"/>
      <c r="C6591" s="64" t="n"/>
      <c r="D6591" s="64" t="n"/>
      <c r="E6591" s="63" t="n"/>
    </row>
    <row r="6592" ht="18" customHeight="1">
      <c r="A6592" s="62" t="n"/>
      <c r="B6592" s="63" t="n"/>
      <c r="C6592" s="64" t="n"/>
      <c r="D6592" s="64" t="n"/>
      <c r="E6592" s="63" t="n"/>
    </row>
    <row r="6593" ht="18" customHeight="1">
      <c r="A6593" s="62" t="n"/>
      <c r="B6593" s="63" t="n"/>
      <c r="C6593" s="64" t="n"/>
      <c r="D6593" s="64" t="n"/>
      <c r="E6593" s="63" t="n"/>
    </row>
    <row r="6594" ht="18" customHeight="1">
      <c r="A6594" s="62" t="n"/>
      <c r="B6594" s="63" t="n"/>
      <c r="C6594" s="64" t="n"/>
      <c r="D6594" s="64" t="n"/>
      <c r="E6594" s="63" t="n"/>
    </row>
    <row r="6595" ht="18" customHeight="1">
      <c r="A6595" s="62" t="n"/>
      <c r="B6595" s="63" t="n"/>
      <c r="C6595" s="64" t="n"/>
      <c r="D6595" s="64" t="n"/>
      <c r="E6595" s="63" t="n"/>
    </row>
    <row r="6596" ht="18" customHeight="1">
      <c r="A6596" s="62" t="n"/>
      <c r="B6596" s="63" t="n"/>
      <c r="C6596" s="64" t="n"/>
      <c r="D6596" s="64" t="n"/>
      <c r="E6596" s="63" t="n"/>
    </row>
    <row r="6597" ht="18" customHeight="1">
      <c r="A6597" s="62" t="n"/>
      <c r="B6597" s="63" t="n"/>
      <c r="C6597" s="64" t="n"/>
      <c r="D6597" s="64" t="n"/>
      <c r="E6597" s="63" t="n"/>
    </row>
    <row r="6598" ht="18" customHeight="1">
      <c r="A6598" s="62" t="n"/>
      <c r="B6598" s="63" t="n"/>
      <c r="C6598" s="64" t="n"/>
      <c r="D6598" s="64" t="n"/>
      <c r="E6598" s="63" t="n"/>
    </row>
    <row r="6599" ht="18" customHeight="1">
      <c r="A6599" s="62" t="n"/>
      <c r="B6599" s="63" t="n"/>
      <c r="C6599" s="64" t="n"/>
      <c r="D6599" s="64" t="n"/>
      <c r="E6599" s="63" t="n"/>
    </row>
    <row r="6600" ht="18" customHeight="1">
      <c r="A6600" s="62" t="n"/>
      <c r="B6600" s="63" t="n"/>
      <c r="C6600" s="64" t="n"/>
      <c r="D6600" s="64" t="n"/>
      <c r="E6600" s="63" t="n"/>
    </row>
    <row r="6601" ht="18" customHeight="1">
      <c r="A6601" s="62" t="n"/>
      <c r="B6601" s="63" t="n"/>
      <c r="C6601" s="64" t="n"/>
      <c r="D6601" s="64" t="n"/>
      <c r="E6601" s="63" t="n"/>
    </row>
    <row r="6602" ht="18" customHeight="1">
      <c r="A6602" s="62" t="n"/>
      <c r="B6602" s="63" t="n"/>
      <c r="C6602" s="64" t="n"/>
      <c r="D6602" s="64" t="n"/>
      <c r="E6602" s="63" t="n"/>
    </row>
    <row r="6603" ht="18" customHeight="1">
      <c r="A6603" s="62" t="n"/>
      <c r="B6603" s="63" t="n"/>
      <c r="C6603" s="64" t="n"/>
      <c r="D6603" s="64" t="n"/>
      <c r="E6603" s="63" t="n"/>
    </row>
    <row r="6604" ht="18" customHeight="1">
      <c r="A6604" s="62" t="n"/>
      <c r="B6604" s="63" t="n"/>
      <c r="C6604" s="64" t="n"/>
      <c r="D6604" s="64" t="n"/>
      <c r="E6604" s="63" t="n"/>
    </row>
    <row r="6605" ht="18" customHeight="1">
      <c r="A6605" s="62" t="n"/>
      <c r="B6605" s="63" t="n"/>
      <c r="C6605" s="64" t="n"/>
      <c r="D6605" s="64" t="n"/>
      <c r="E6605" s="63" t="n"/>
    </row>
    <row r="6606" ht="18" customHeight="1">
      <c r="A6606" s="62" t="n"/>
      <c r="B6606" s="63" t="n"/>
      <c r="C6606" s="64" t="n"/>
      <c r="D6606" s="64" t="n"/>
      <c r="E6606" s="63" t="n"/>
    </row>
    <row r="6607" ht="18" customHeight="1">
      <c r="A6607" s="62" t="n"/>
      <c r="B6607" s="63" t="n"/>
      <c r="C6607" s="64" t="n"/>
      <c r="D6607" s="64" t="n"/>
      <c r="E6607" s="63" t="n"/>
    </row>
    <row r="6608" ht="18" customHeight="1">
      <c r="A6608" s="62" t="n"/>
      <c r="B6608" s="63" t="n"/>
      <c r="C6608" s="64" t="n"/>
      <c r="D6608" s="64" t="n"/>
      <c r="E6608" s="63" t="n"/>
    </row>
    <row r="6609" ht="18" customHeight="1">
      <c r="A6609" s="62" t="n"/>
      <c r="B6609" s="63" t="n"/>
      <c r="C6609" s="64" t="n"/>
      <c r="D6609" s="64" t="n"/>
      <c r="E6609" s="63" t="n"/>
    </row>
    <row r="6610" ht="18" customHeight="1">
      <c r="A6610" s="62" t="n"/>
      <c r="B6610" s="63" t="n"/>
      <c r="C6610" s="64" t="n"/>
      <c r="D6610" s="64" t="n"/>
      <c r="E6610" s="63" t="n"/>
    </row>
    <row r="6611" ht="18" customHeight="1">
      <c r="A6611" s="62" t="n"/>
      <c r="B6611" s="63" t="n"/>
      <c r="C6611" s="64" t="n"/>
      <c r="D6611" s="64" t="n"/>
      <c r="E6611" s="63" t="n"/>
    </row>
    <row r="6612" ht="18" customHeight="1">
      <c r="A6612" s="62" t="n"/>
      <c r="B6612" s="63" t="n"/>
      <c r="C6612" s="64" t="n"/>
      <c r="D6612" s="64" t="n"/>
      <c r="E6612" s="63" t="n"/>
    </row>
    <row r="6613" ht="18" customHeight="1">
      <c r="A6613" s="62" t="n"/>
      <c r="B6613" s="63" t="n"/>
      <c r="C6613" s="64" t="n"/>
      <c r="D6613" s="64" t="n"/>
      <c r="E6613" s="63" t="n"/>
    </row>
    <row r="6614" ht="18" customHeight="1">
      <c r="A6614" s="62" t="n"/>
      <c r="B6614" s="63" t="n"/>
      <c r="C6614" s="64" t="n"/>
      <c r="D6614" s="64" t="n"/>
      <c r="E6614" s="63" t="n"/>
    </row>
    <row r="6615" ht="18" customHeight="1">
      <c r="A6615" s="62" t="n"/>
      <c r="B6615" s="63" t="n"/>
      <c r="C6615" s="64" t="n"/>
      <c r="D6615" s="64" t="n"/>
      <c r="E6615" s="63" t="n"/>
    </row>
    <row r="6616" ht="18" customHeight="1">
      <c r="A6616" s="62" t="n"/>
      <c r="B6616" s="63" t="n"/>
      <c r="C6616" s="64" t="n"/>
      <c r="D6616" s="64" t="n"/>
      <c r="E6616" s="63" t="n"/>
    </row>
    <row r="6617" ht="18" customHeight="1">
      <c r="A6617" s="62" t="n"/>
      <c r="B6617" s="63" t="n"/>
      <c r="C6617" s="64" t="n"/>
      <c r="D6617" s="64" t="n"/>
      <c r="E6617" s="63" t="n"/>
    </row>
    <row r="6618" ht="18" customHeight="1">
      <c r="A6618" s="62" t="n"/>
      <c r="B6618" s="63" t="n"/>
      <c r="C6618" s="64" t="n"/>
      <c r="D6618" s="64" t="n"/>
      <c r="E6618" s="63" t="n"/>
    </row>
    <row r="6619" ht="18" customHeight="1">
      <c r="A6619" s="62" t="n"/>
      <c r="B6619" s="63" t="n"/>
      <c r="C6619" s="64" t="n"/>
      <c r="D6619" s="64" t="n"/>
      <c r="E6619" s="63" t="n"/>
    </row>
    <row r="6620" ht="18" customHeight="1">
      <c r="A6620" s="62" t="n"/>
      <c r="B6620" s="63" t="n"/>
      <c r="C6620" s="64" t="n"/>
      <c r="D6620" s="64" t="n"/>
      <c r="E6620" s="63" t="n"/>
    </row>
    <row r="6621" ht="18" customHeight="1">
      <c r="A6621" s="62" t="n"/>
      <c r="B6621" s="63" t="n"/>
      <c r="C6621" s="64" t="n"/>
      <c r="D6621" s="64" t="n"/>
      <c r="E6621" s="63" t="n"/>
    </row>
    <row r="6622" ht="18" customHeight="1">
      <c r="A6622" s="62" t="n"/>
      <c r="B6622" s="63" t="n"/>
      <c r="C6622" s="64" t="n"/>
      <c r="D6622" s="64" t="n"/>
      <c r="E6622" s="63" t="n"/>
    </row>
    <row r="6623" ht="18" customHeight="1">
      <c r="A6623" s="62" t="n"/>
      <c r="B6623" s="63" t="n"/>
      <c r="C6623" s="64" t="n"/>
      <c r="D6623" s="64" t="n"/>
      <c r="E6623" s="63" t="n"/>
    </row>
    <row r="6624" ht="18" customHeight="1">
      <c r="A6624" s="62" t="n"/>
      <c r="B6624" s="63" t="n"/>
      <c r="C6624" s="64" t="n"/>
      <c r="D6624" s="64" t="n"/>
      <c r="E6624" s="63" t="n"/>
    </row>
    <row r="6625" ht="18" customHeight="1">
      <c r="A6625" s="62" t="n"/>
      <c r="B6625" s="63" t="n"/>
      <c r="C6625" s="64" t="n"/>
      <c r="D6625" s="64" t="n"/>
      <c r="E6625" s="63" t="n"/>
    </row>
    <row r="6626" ht="18" customHeight="1">
      <c r="A6626" s="62" t="n"/>
      <c r="B6626" s="63" t="n"/>
      <c r="C6626" s="64" t="n"/>
      <c r="D6626" s="64" t="n"/>
      <c r="E6626" s="63" t="n"/>
    </row>
    <row r="6627" ht="18" customHeight="1">
      <c r="A6627" s="62" t="n"/>
      <c r="B6627" s="63" t="n"/>
      <c r="C6627" s="64" t="n"/>
      <c r="D6627" s="64" t="n"/>
      <c r="E6627" s="63" t="n"/>
    </row>
    <row r="6628" ht="18" customHeight="1">
      <c r="A6628" s="62" t="n"/>
      <c r="B6628" s="63" t="n"/>
      <c r="C6628" s="64" t="n"/>
      <c r="D6628" s="64" t="n"/>
      <c r="E6628" s="63" t="n"/>
    </row>
    <row r="6629" ht="18" customHeight="1">
      <c r="A6629" s="62" t="n"/>
      <c r="B6629" s="63" t="n"/>
      <c r="C6629" s="64" t="n"/>
      <c r="D6629" s="64" t="n"/>
      <c r="E6629" s="63" t="n"/>
    </row>
    <row r="6630" ht="18" customHeight="1">
      <c r="A6630" s="62" t="n"/>
      <c r="B6630" s="63" t="n"/>
      <c r="C6630" s="64" t="n"/>
      <c r="D6630" s="64" t="n"/>
      <c r="E6630" s="63" t="n"/>
    </row>
    <row r="6631" ht="18" customHeight="1">
      <c r="A6631" s="62" t="n"/>
      <c r="B6631" s="63" t="n"/>
      <c r="C6631" s="64" t="n"/>
      <c r="D6631" s="64" t="n"/>
      <c r="E6631" s="63" t="n"/>
    </row>
    <row r="6632" ht="18" customHeight="1">
      <c r="A6632" s="62" t="n"/>
      <c r="B6632" s="63" t="n"/>
      <c r="C6632" s="64" t="n"/>
      <c r="D6632" s="64" t="n"/>
      <c r="E6632" s="63" t="n"/>
    </row>
    <row r="6633" ht="18" customHeight="1">
      <c r="A6633" s="62" t="n"/>
      <c r="B6633" s="63" t="n"/>
      <c r="C6633" s="64" t="n"/>
      <c r="D6633" s="64" t="n"/>
      <c r="E6633" s="63" t="n"/>
    </row>
    <row r="6634" ht="18" customHeight="1">
      <c r="A6634" s="62" t="n"/>
      <c r="B6634" s="63" t="n"/>
      <c r="C6634" s="64" t="n"/>
      <c r="D6634" s="64" t="n"/>
      <c r="E6634" s="63" t="n"/>
    </row>
    <row r="6635" ht="18" customHeight="1">
      <c r="A6635" s="62" t="n"/>
      <c r="B6635" s="63" t="n"/>
      <c r="C6635" s="64" t="n"/>
      <c r="D6635" s="64" t="n"/>
      <c r="E6635" s="63" t="n"/>
    </row>
    <row r="6636" ht="18" customHeight="1">
      <c r="A6636" s="62" t="n"/>
      <c r="B6636" s="63" t="n"/>
      <c r="C6636" s="64" t="n"/>
      <c r="D6636" s="64" t="n"/>
      <c r="E6636" s="63" t="n"/>
    </row>
    <row r="6637" ht="18" customHeight="1">
      <c r="A6637" s="62" t="n"/>
      <c r="B6637" s="63" t="n"/>
      <c r="C6637" s="64" t="n"/>
      <c r="D6637" s="64" t="n"/>
      <c r="E6637" s="63" t="n"/>
    </row>
    <row r="6638" ht="18" customHeight="1">
      <c r="A6638" s="62" t="n"/>
      <c r="B6638" s="63" t="n"/>
      <c r="C6638" s="64" t="n"/>
      <c r="D6638" s="64" t="n"/>
      <c r="E6638" s="63" t="n"/>
    </row>
    <row r="6639" ht="18" customHeight="1">
      <c r="A6639" s="62" t="n"/>
      <c r="B6639" s="63" t="n"/>
      <c r="C6639" s="64" t="n"/>
      <c r="D6639" s="64" t="n"/>
      <c r="E6639" s="63" t="n"/>
    </row>
    <row r="6640" ht="18" customHeight="1">
      <c r="A6640" s="62" t="n"/>
      <c r="B6640" s="63" t="n"/>
      <c r="C6640" s="64" t="n"/>
      <c r="D6640" s="64" t="n"/>
      <c r="E6640" s="63" t="n"/>
    </row>
    <row r="6641" ht="18" customHeight="1">
      <c r="A6641" s="62" t="n"/>
      <c r="B6641" s="63" t="n"/>
      <c r="C6641" s="64" t="n"/>
      <c r="D6641" s="64" t="n"/>
      <c r="E6641" s="63" t="n"/>
    </row>
    <row r="6642" ht="18" customHeight="1">
      <c r="A6642" s="62" t="n"/>
      <c r="B6642" s="63" t="n"/>
      <c r="C6642" s="64" t="n"/>
      <c r="D6642" s="64" t="n"/>
      <c r="E6642" s="63" t="n"/>
    </row>
    <row r="6643" ht="18" customHeight="1">
      <c r="A6643" s="62" t="n"/>
      <c r="B6643" s="63" t="n"/>
      <c r="C6643" s="64" t="n"/>
      <c r="D6643" s="64" t="n"/>
      <c r="E6643" s="63" t="n"/>
    </row>
    <row r="6644" ht="18" customHeight="1">
      <c r="A6644" s="62" t="n"/>
      <c r="B6644" s="63" t="n"/>
      <c r="C6644" s="64" t="n"/>
      <c r="D6644" s="64" t="n"/>
      <c r="E6644" s="63" t="n"/>
    </row>
    <row r="6645" ht="18" customHeight="1">
      <c r="A6645" s="62" t="n"/>
      <c r="B6645" s="63" t="n"/>
      <c r="C6645" s="64" t="n"/>
      <c r="D6645" s="64" t="n"/>
      <c r="E6645" s="63" t="n"/>
    </row>
    <row r="6646" ht="18" customHeight="1">
      <c r="A6646" s="62" t="n"/>
      <c r="B6646" s="63" t="n"/>
      <c r="C6646" s="64" t="n"/>
      <c r="D6646" s="64" t="n"/>
      <c r="E6646" s="63" t="n"/>
    </row>
    <row r="6647" ht="18" customHeight="1">
      <c r="A6647" s="62" t="n"/>
      <c r="B6647" s="63" t="n"/>
      <c r="C6647" s="64" t="n"/>
      <c r="D6647" s="64" t="n"/>
      <c r="E6647" s="63" t="n"/>
    </row>
    <row r="6648" ht="18" customHeight="1">
      <c r="A6648" s="62" t="n"/>
      <c r="B6648" s="63" t="n"/>
      <c r="C6648" s="64" t="n"/>
      <c r="D6648" s="64" t="n"/>
      <c r="E6648" s="63" t="n"/>
    </row>
    <row r="6649" ht="18" customHeight="1">
      <c r="A6649" s="62" t="n"/>
      <c r="B6649" s="63" t="n"/>
      <c r="C6649" s="64" t="n"/>
      <c r="D6649" s="64" t="n"/>
      <c r="E6649" s="63" t="n"/>
    </row>
    <row r="6650" ht="18" customHeight="1">
      <c r="A6650" s="62" t="n"/>
      <c r="B6650" s="63" t="n"/>
      <c r="C6650" s="64" t="n"/>
      <c r="D6650" s="64" t="n"/>
      <c r="E6650" s="63" t="n"/>
    </row>
    <row r="6651" ht="18" customHeight="1">
      <c r="A6651" s="62" t="n"/>
      <c r="B6651" s="63" t="n"/>
      <c r="C6651" s="64" t="n"/>
      <c r="D6651" s="64" t="n"/>
      <c r="E6651" s="63" t="n"/>
    </row>
    <row r="6652" ht="18" customHeight="1">
      <c r="A6652" s="62" t="n"/>
      <c r="B6652" s="63" t="n"/>
      <c r="C6652" s="64" t="n"/>
      <c r="D6652" s="64" t="n"/>
      <c r="E6652" s="63" t="n"/>
    </row>
    <row r="6653" ht="18" customHeight="1">
      <c r="A6653" s="62" t="n"/>
      <c r="B6653" s="63" t="n"/>
      <c r="C6653" s="64" t="n"/>
      <c r="D6653" s="64" t="n"/>
      <c r="E6653" s="63" t="n"/>
    </row>
    <row r="6654" ht="18" customHeight="1">
      <c r="A6654" s="62" t="n"/>
      <c r="B6654" s="63" t="n"/>
      <c r="C6654" s="64" t="n"/>
      <c r="D6654" s="64" t="n"/>
      <c r="E6654" s="63" t="n"/>
    </row>
    <row r="6655" ht="18" customHeight="1">
      <c r="A6655" s="62" t="n"/>
      <c r="B6655" s="63" t="n"/>
      <c r="C6655" s="64" t="n"/>
      <c r="D6655" s="64" t="n"/>
      <c r="E6655" s="63" t="n"/>
    </row>
    <row r="6656" ht="18" customHeight="1">
      <c r="A6656" s="62" t="n"/>
      <c r="B6656" s="63" t="n"/>
      <c r="C6656" s="64" t="n"/>
      <c r="D6656" s="64" t="n"/>
      <c r="E6656" s="63" t="n"/>
    </row>
    <row r="6657" ht="18" customHeight="1">
      <c r="A6657" s="62" t="n"/>
      <c r="B6657" s="63" t="n"/>
      <c r="C6657" s="64" t="n"/>
      <c r="D6657" s="64" t="n"/>
      <c r="E6657" s="63" t="n"/>
    </row>
    <row r="6658" ht="18" customHeight="1">
      <c r="A6658" s="62" t="n"/>
      <c r="B6658" s="63" t="n"/>
      <c r="C6658" s="64" t="n"/>
      <c r="D6658" s="64" t="n"/>
      <c r="E6658" s="63" t="n"/>
    </row>
    <row r="6659" ht="18" customHeight="1">
      <c r="A6659" s="62" t="n"/>
      <c r="B6659" s="63" t="n"/>
      <c r="C6659" s="64" t="n"/>
      <c r="D6659" s="64" t="n"/>
      <c r="E6659" s="63" t="n"/>
    </row>
    <row r="6660" ht="18" customHeight="1">
      <c r="A6660" s="62" t="n"/>
      <c r="B6660" s="63" t="n"/>
      <c r="C6660" s="64" t="n"/>
      <c r="D6660" s="64" t="n"/>
      <c r="E6660" s="63" t="n"/>
    </row>
    <row r="6661" ht="18" customHeight="1">
      <c r="A6661" s="62" t="n"/>
      <c r="B6661" s="63" t="n"/>
      <c r="C6661" s="64" t="n"/>
      <c r="D6661" s="64" t="n"/>
      <c r="E6661" s="63" t="n"/>
    </row>
    <row r="6662" ht="18" customHeight="1">
      <c r="A6662" s="62" t="n"/>
      <c r="B6662" s="63" t="n"/>
      <c r="C6662" s="64" t="n"/>
      <c r="D6662" s="64" t="n"/>
      <c r="E6662" s="63" t="n"/>
    </row>
    <row r="6663" ht="18" customHeight="1">
      <c r="A6663" s="62" t="n"/>
      <c r="B6663" s="63" t="n"/>
      <c r="C6663" s="64" t="n"/>
      <c r="D6663" s="64" t="n"/>
      <c r="E6663" s="63" t="n"/>
    </row>
    <row r="6664" ht="18" customHeight="1">
      <c r="A6664" s="62" t="n"/>
      <c r="B6664" s="63" t="n"/>
      <c r="C6664" s="64" t="n"/>
      <c r="D6664" s="64" t="n"/>
      <c r="E6664" s="63" t="n"/>
    </row>
    <row r="6665" ht="18" customHeight="1">
      <c r="A6665" s="62" t="n"/>
      <c r="B6665" s="63" t="n"/>
      <c r="C6665" s="64" t="n"/>
      <c r="D6665" s="64" t="n"/>
      <c r="E6665" s="63" t="n"/>
    </row>
    <row r="6666" ht="18" customHeight="1">
      <c r="A6666" s="62" t="n"/>
      <c r="B6666" s="63" t="n"/>
      <c r="C6666" s="64" t="n"/>
      <c r="D6666" s="64" t="n"/>
      <c r="E6666" s="63" t="n"/>
    </row>
    <row r="6667" ht="18" customHeight="1">
      <c r="A6667" s="62" t="n"/>
      <c r="B6667" s="63" t="n"/>
      <c r="C6667" s="64" t="n"/>
      <c r="D6667" s="64" t="n"/>
      <c r="E6667" s="63" t="n"/>
    </row>
    <row r="6668" ht="18" customHeight="1">
      <c r="A6668" s="62" t="n"/>
      <c r="B6668" s="63" t="n"/>
      <c r="C6668" s="64" t="n"/>
      <c r="D6668" s="64" t="n"/>
      <c r="E6668" s="63" t="n"/>
    </row>
    <row r="6669" ht="18" customHeight="1">
      <c r="A6669" s="62" t="n"/>
      <c r="B6669" s="63" t="n"/>
      <c r="C6669" s="64" t="n"/>
      <c r="D6669" s="64" t="n"/>
      <c r="E6669" s="63" t="n"/>
    </row>
    <row r="6670" ht="18" customHeight="1">
      <c r="A6670" s="62" t="n"/>
      <c r="B6670" s="63" t="n"/>
      <c r="C6670" s="64" t="n"/>
      <c r="D6670" s="64" t="n"/>
      <c r="E6670" s="63" t="n"/>
    </row>
    <row r="6671" ht="18" customHeight="1">
      <c r="A6671" s="62" t="n"/>
      <c r="B6671" s="63" t="n"/>
      <c r="C6671" s="64" t="n"/>
      <c r="D6671" s="64" t="n"/>
      <c r="E6671" s="63" t="n"/>
    </row>
    <row r="6672" ht="18" customHeight="1">
      <c r="A6672" s="62" t="n"/>
      <c r="B6672" s="63" t="n"/>
      <c r="C6672" s="64" t="n"/>
      <c r="D6672" s="64" t="n"/>
      <c r="E6672" s="63" t="n"/>
    </row>
    <row r="6673" ht="18" customHeight="1">
      <c r="A6673" s="62" t="n"/>
      <c r="B6673" s="63" t="n"/>
      <c r="C6673" s="64" t="n"/>
      <c r="D6673" s="64" t="n"/>
      <c r="E6673" s="63" t="n"/>
    </row>
    <row r="6674" ht="18" customHeight="1">
      <c r="A6674" s="62" t="n"/>
      <c r="B6674" s="63" t="n"/>
      <c r="C6674" s="64" t="n"/>
      <c r="D6674" s="64" t="n"/>
      <c r="E6674" s="63" t="n"/>
    </row>
    <row r="6675" ht="18" customHeight="1">
      <c r="A6675" s="62" t="n"/>
      <c r="B6675" s="63" t="n"/>
      <c r="C6675" s="64" t="n"/>
      <c r="D6675" s="64" t="n"/>
      <c r="E6675" s="63" t="n"/>
    </row>
    <row r="6676" ht="18" customHeight="1">
      <c r="A6676" s="62" t="n"/>
      <c r="B6676" s="63" t="n"/>
      <c r="C6676" s="64" t="n"/>
      <c r="D6676" s="64" t="n"/>
      <c r="E6676" s="63" t="n"/>
    </row>
    <row r="6677" ht="18" customHeight="1">
      <c r="A6677" s="62" t="n"/>
      <c r="B6677" s="63" t="n"/>
      <c r="C6677" s="64" t="n"/>
      <c r="D6677" s="64" t="n"/>
      <c r="E6677" s="63" t="n"/>
    </row>
    <row r="6678" ht="18" customHeight="1">
      <c r="A6678" s="62" t="n"/>
      <c r="B6678" s="63" t="n"/>
      <c r="C6678" s="64" t="n"/>
      <c r="D6678" s="64" t="n"/>
      <c r="E6678" s="63" t="n"/>
    </row>
    <row r="6679" ht="18" customHeight="1">
      <c r="A6679" s="62" t="n"/>
      <c r="B6679" s="63" t="n"/>
      <c r="C6679" s="64" t="n"/>
      <c r="D6679" s="64" t="n"/>
      <c r="E6679" s="63" t="n"/>
    </row>
    <row r="6680" ht="18" customHeight="1">
      <c r="A6680" s="62" t="n"/>
      <c r="B6680" s="63" t="n"/>
      <c r="C6680" s="64" t="n"/>
      <c r="D6680" s="64" t="n"/>
      <c r="E6680" s="63" t="n"/>
    </row>
    <row r="6681" ht="18" customHeight="1">
      <c r="A6681" s="62" t="n"/>
      <c r="B6681" s="63" t="n"/>
      <c r="C6681" s="64" t="n"/>
      <c r="D6681" s="64" t="n"/>
      <c r="E6681" s="63" t="n"/>
    </row>
    <row r="6682" ht="18" customHeight="1">
      <c r="A6682" s="62" t="n"/>
      <c r="B6682" s="63" t="n"/>
      <c r="C6682" s="64" t="n"/>
      <c r="D6682" s="64" t="n"/>
      <c r="E6682" s="63" t="n"/>
    </row>
    <row r="6683" ht="18" customHeight="1">
      <c r="A6683" s="62" t="n"/>
      <c r="B6683" s="63" t="n"/>
      <c r="C6683" s="64" t="n"/>
      <c r="D6683" s="64" t="n"/>
      <c r="E6683" s="63" t="n"/>
    </row>
    <row r="6684" ht="18" customHeight="1">
      <c r="A6684" s="62" t="n"/>
      <c r="B6684" s="63" t="n"/>
      <c r="C6684" s="64" t="n"/>
      <c r="D6684" s="64" t="n"/>
      <c r="E6684" s="63" t="n"/>
    </row>
    <row r="6685" ht="18" customHeight="1">
      <c r="A6685" s="62" t="n"/>
      <c r="B6685" s="63" t="n"/>
      <c r="C6685" s="64" t="n"/>
      <c r="D6685" s="64" t="n"/>
      <c r="E6685" s="63" t="n"/>
    </row>
    <row r="6686" ht="18" customHeight="1">
      <c r="A6686" s="62" t="n"/>
      <c r="B6686" s="63" t="n"/>
      <c r="C6686" s="64" t="n"/>
      <c r="D6686" s="64" t="n"/>
      <c r="E6686" s="63" t="n"/>
    </row>
    <row r="6687" ht="18" customHeight="1">
      <c r="A6687" s="62" t="n"/>
      <c r="B6687" s="63" t="n"/>
      <c r="C6687" s="64" t="n"/>
      <c r="D6687" s="64" t="n"/>
      <c r="E6687" s="63" t="n"/>
    </row>
    <row r="6688" ht="18" customHeight="1">
      <c r="A6688" s="62" t="n"/>
      <c r="B6688" s="63" t="n"/>
      <c r="C6688" s="64" t="n"/>
      <c r="D6688" s="64" t="n"/>
      <c r="E6688" s="63" t="n"/>
    </row>
    <row r="6689" ht="18" customHeight="1">
      <c r="A6689" s="62" t="n"/>
      <c r="B6689" s="63" t="n"/>
      <c r="C6689" s="64" t="n"/>
      <c r="D6689" s="64" t="n"/>
      <c r="E6689" s="63" t="n"/>
    </row>
    <row r="6690" ht="18" customHeight="1">
      <c r="A6690" s="62" t="n"/>
      <c r="B6690" s="63" t="n"/>
      <c r="C6690" s="64" t="n"/>
      <c r="D6690" s="64" t="n"/>
      <c r="E6690" s="63" t="n"/>
    </row>
    <row r="6691" ht="18" customHeight="1">
      <c r="A6691" s="62" t="n"/>
      <c r="B6691" s="63" t="n"/>
      <c r="C6691" s="64" t="n"/>
      <c r="D6691" s="64" t="n"/>
      <c r="E6691" s="63" t="n"/>
    </row>
    <row r="6692" ht="18" customHeight="1">
      <c r="A6692" s="62" t="n"/>
      <c r="B6692" s="63" t="n"/>
      <c r="C6692" s="64" t="n"/>
      <c r="D6692" s="64" t="n"/>
      <c r="E6692" s="63" t="n"/>
    </row>
    <row r="6693" ht="18" customHeight="1">
      <c r="A6693" s="62" t="n"/>
      <c r="B6693" s="63" t="n"/>
      <c r="C6693" s="64" t="n"/>
      <c r="D6693" s="64" t="n"/>
      <c r="E6693" s="63" t="n"/>
    </row>
    <row r="6694" ht="18" customHeight="1">
      <c r="A6694" s="62" t="n"/>
      <c r="B6694" s="63" t="n"/>
      <c r="C6694" s="64" t="n"/>
      <c r="D6694" s="64" t="n"/>
      <c r="E6694" s="63" t="n"/>
    </row>
    <row r="6695" ht="18" customHeight="1">
      <c r="A6695" s="62" t="n"/>
      <c r="B6695" s="63" t="n"/>
      <c r="C6695" s="64" t="n"/>
      <c r="D6695" s="64" t="n"/>
      <c r="E6695" s="63" t="n"/>
    </row>
    <row r="6696" ht="18" customHeight="1">
      <c r="A6696" s="62" t="n"/>
      <c r="B6696" s="63" t="n"/>
      <c r="C6696" s="64" t="n"/>
      <c r="D6696" s="64" t="n"/>
      <c r="E6696" s="63" t="n"/>
    </row>
    <row r="6697" ht="18" customHeight="1">
      <c r="A6697" s="62" t="n"/>
      <c r="B6697" s="63" t="n"/>
      <c r="C6697" s="64" t="n"/>
      <c r="D6697" s="64" t="n"/>
      <c r="E6697" s="63" t="n"/>
    </row>
    <row r="6698" ht="18" customHeight="1">
      <c r="A6698" s="62" t="n"/>
      <c r="B6698" s="63" t="n"/>
      <c r="C6698" s="64" t="n"/>
      <c r="D6698" s="64" t="n"/>
      <c r="E6698" s="63" t="n"/>
    </row>
    <row r="6699" ht="18" customHeight="1">
      <c r="A6699" s="62" t="n"/>
      <c r="B6699" s="63" t="n"/>
      <c r="C6699" s="64" t="n"/>
      <c r="D6699" s="64" t="n"/>
      <c r="E6699" s="63" t="n"/>
    </row>
    <row r="6700" ht="18" customHeight="1">
      <c r="A6700" s="62" t="n"/>
      <c r="B6700" s="63" t="n"/>
      <c r="C6700" s="64" t="n"/>
      <c r="D6700" s="64" t="n"/>
      <c r="E6700" s="63" t="n"/>
    </row>
    <row r="6701" ht="18" customHeight="1">
      <c r="A6701" s="62" t="n"/>
      <c r="B6701" s="63" t="n"/>
      <c r="C6701" s="64" t="n"/>
      <c r="D6701" s="64" t="n"/>
      <c r="E6701" s="63" t="n"/>
    </row>
    <row r="6702" ht="18" customHeight="1">
      <c r="A6702" s="62" t="n"/>
      <c r="B6702" s="63" t="n"/>
      <c r="C6702" s="64" t="n"/>
      <c r="D6702" s="64" t="n"/>
      <c r="E6702" s="63" t="n"/>
    </row>
    <row r="6703" ht="18" customHeight="1">
      <c r="A6703" s="62" t="n"/>
      <c r="B6703" s="63" t="n"/>
      <c r="C6703" s="64" t="n"/>
      <c r="D6703" s="64" t="n"/>
      <c r="E6703" s="63" t="n"/>
    </row>
    <row r="6704" ht="18" customHeight="1">
      <c r="A6704" s="62" t="n"/>
      <c r="B6704" s="63" t="n"/>
      <c r="C6704" s="64" t="n"/>
      <c r="D6704" s="64" t="n"/>
      <c r="E6704" s="63" t="n"/>
    </row>
    <row r="6705" ht="18" customHeight="1">
      <c r="A6705" s="62" t="n"/>
      <c r="B6705" s="63" t="n"/>
      <c r="C6705" s="64" t="n"/>
      <c r="D6705" s="64" t="n"/>
      <c r="E6705" s="63" t="n"/>
    </row>
    <row r="6706" ht="18" customHeight="1">
      <c r="A6706" s="62" t="n"/>
      <c r="B6706" s="63" t="n"/>
      <c r="C6706" s="64" t="n"/>
      <c r="D6706" s="64" t="n"/>
      <c r="E6706" s="63" t="n"/>
    </row>
    <row r="6707" ht="18" customHeight="1">
      <c r="A6707" s="62" t="n"/>
      <c r="B6707" s="63" t="n"/>
      <c r="C6707" s="64" t="n"/>
      <c r="D6707" s="64" t="n"/>
      <c r="E6707" s="63" t="n"/>
    </row>
    <row r="6708" ht="18" customHeight="1">
      <c r="A6708" s="62" t="n"/>
      <c r="B6708" s="63" t="n"/>
      <c r="C6708" s="64" t="n"/>
      <c r="D6708" s="64" t="n"/>
      <c r="E6708" s="63" t="n"/>
    </row>
    <row r="6709" ht="18" customHeight="1">
      <c r="A6709" s="62" t="n"/>
      <c r="B6709" s="63" t="n"/>
      <c r="C6709" s="64" t="n"/>
      <c r="D6709" s="64" t="n"/>
      <c r="E6709" s="63" t="n"/>
    </row>
    <row r="6710" ht="18" customHeight="1">
      <c r="A6710" s="62" t="n"/>
      <c r="B6710" s="63" t="n"/>
      <c r="C6710" s="64" t="n"/>
      <c r="D6710" s="64" t="n"/>
      <c r="E6710" s="63" t="n"/>
    </row>
    <row r="6711" ht="18" customHeight="1">
      <c r="A6711" s="62" t="n"/>
      <c r="B6711" s="63" t="n"/>
      <c r="C6711" s="64" t="n"/>
      <c r="D6711" s="64" t="n"/>
      <c r="E6711" s="63" t="n"/>
    </row>
    <row r="6712" ht="18" customHeight="1">
      <c r="A6712" s="62" t="n"/>
      <c r="B6712" s="63" t="n"/>
      <c r="C6712" s="64" t="n"/>
      <c r="D6712" s="64" t="n"/>
      <c r="E6712" s="63" t="n"/>
    </row>
    <row r="6713" ht="18" customHeight="1">
      <c r="A6713" s="62" t="n"/>
      <c r="B6713" s="63" t="n"/>
      <c r="C6713" s="64" t="n"/>
      <c r="D6713" s="64" t="n"/>
      <c r="E6713" s="63" t="n"/>
    </row>
    <row r="6714" ht="18" customHeight="1">
      <c r="A6714" s="62" t="n"/>
      <c r="B6714" s="63" t="n"/>
      <c r="C6714" s="64" t="n"/>
      <c r="D6714" s="64" t="n"/>
      <c r="E6714" s="63" t="n"/>
    </row>
    <row r="6715" ht="18" customHeight="1">
      <c r="A6715" s="62" t="n"/>
      <c r="B6715" s="63" t="n"/>
      <c r="C6715" s="64" t="n"/>
      <c r="D6715" s="64" t="n"/>
      <c r="E6715" s="63" t="n"/>
    </row>
    <row r="6716" ht="18" customHeight="1">
      <c r="A6716" s="62" t="n"/>
      <c r="B6716" s="63" t="n"/>
      <c r="C6716" s="64" t="n"/>
      <c r="D6716" s="64" t="n"/>
      <c r="E6716" s="63" t="n"/>
    </row>
    <row r="6717" ht="18" customHeight="1">
      <c r="A6717" s="62" t="n"/>
      <c r="B6717" s="63" t="n"/>
      <c r="C6717" s="64" t="n"/>
      <c r="D6717" s="64" t="n"/>
      <c r="E6717" s="63" t="n"/>
    </row>
    <row r="6718" ht="18" customHeight="1">
      <c r="A6718" s="62" t="n"/>
      <c r="B6718" s="63" t="n"/>
      <c r="C6718" s="64" t="n"/>
      <c r="D6718" s="64" t="n"/>
      <c r="E6718" s="63" t="n"/>
    </row>
    <row r="6719" ht="18" customHeight="1">
      <c r="A6719" s="62" t="n"/>
      <c r="B6719" s="63" t="n"/>
      <c r="C6719" s="64" t="n"/>
      <c r="D6719" s="64" t="n"/>
      <c r="E6719" s="63" t="n"/>
    </row>
    <row r="6720" ht="18" customHeight="1">
      <c r="A6720" s="62" t="n"/>
      <c r="B6720" s="63" t="n"/>
      <c r="C6720" s="64" t="n"/>
      <c r="D6720" s="64" t="n"/>
      <c r="E6720" s="63" t="n"/>
    </row>
    <row r="6721" ht="18" customHeight="1">
      <c r="A6721" s="62" t="n"/>
      <c r="B6721" s="63" t="n"/>
      <c r="C6721" s="64" t="n"/>
      <c r="D6721" s="64" t="n"/>
      <c r="E6721" s="63" t="n"/>
    </row>
    <row r="6722" ht="18" customHeight="1">
      <c r="A6722" s="62" t="n"/>
      <c r="B6722" s="63" t="n"/>
      <c r="C6722" s="64" t="n"/>
      <c r="D6722" s="64" t="n"/>
      <c r="E6722" s="63" t="n"/>
    </row>
    <row r="6723" ht="18" customHeight="1">
      <c r="A6723" s="62" t="n"/>
      <c r="B6723" s="63" t="n"/>
      <c r="C6723" s="64" t="n"/>
      <c r="D6723" s="64" t="n"/>
      <c r="E6723" s="63" t="n"/>
    </row>
    <row r="6724" ht="18" customHeight="1">
      <c r="A6724" s="62" t="n"/>
      <c r="B6724" s="63" t="n"/>
      <c r="C6724" s="64" t="n"/>
      <c r="D6724" s="64" t="n"/>
      <c r="E6724" s="63" t="n"/>
    </row>
    <row r="6725" ht="18" customHeight="1">
      <c r="A6725" s="62" t="n"/>
      <c r="B6725" s="63" t="n"/>
      <c r="C6725" s="64" t="n"/>
      <c r="D6725" s="64" t="n"/>
      <c r="E6725" s="63" t="n"/>
    </row>
    <row r="6726" ht="18" customHeight="1">
      <c r="A6726" s="62" t="n"/>
      <c r="B6726" s="63" t="n"/>
      <c r="C6726" s="64" t="n"/>
      <c r="D6726" s="64" t="n"/>
      <c r="E6726" s="63" t="n"/>
    </row>
    <row r="6727" ht="18" customHeight="1">
      <c r="A6727" s="62" t="n"/>
      <c r="B6727" s="63" t="n"/>
      <c r="C6727" s="64" t="n"/>
      <c r="D6727" s="64" t="n"/>
      <c r="E6727" s="63" t="n"/>
    </row>
    <row r="6728" ht="18" customHeight="1">
      <c r="A6728" s="62" t="n"/>
      <c r="B6728" s="63" t="n"/>
      <c r="C6728" s="64" t="n"/>
      <c r="D6728" s="64" t="n"/>
      <c r="E6728" s="63" t="n"/>
    </row>
    <row r="6729" ht="18" customHeight="1">
      <c r="A6729" s="62" t="n"/>
      <c r="B6729" s="63" t="n"/>
      <c r="C6729" s="64" t="n"/>
      <c r="D6729" s="64" t="n"/>
      <c r="E6729" s="63" t="n"/>
    </row>
    <row r="6730" ht="18" customHeight="1">
      <c r="A6730" s="62" t="n"/>
      <c r="B6730" s="63" t="n"/>
      <c r="C6730" s="64" t="n"/>
      <c r="D6730" s="64" t="n"/>
      <c r="E6730" s="63" t="n"/>
    </row>
    <row r="6731" ht="18" customHeight="1">
      <c r="A6731" s="62" t="n"/>
      <c r="B6731" s="63" t="n"/>
      <c r="C6731" s="64" t="n"/>
      <c r="D6731" s="64" t="n"/>
      <c r="E6731" s="63" t="n"/>
    </row>
    <row r="6732" ht="18" customHeight="1">
      <c r="A6732" s="62" t="n"/>
      <c r="B6732" s="63" t="n"/>
      <c r="C6732" s="64" t="n"/>
      <c r="D6732" s="64" t="n"/>
      <c r="E6732" s="63" t="n"/>
    </row>
    <row r="6733" ht="18" customHeight="1">
      <c r="A6733" s="62" t="n"/>
      <c r="B6733" s="63" t="n"/>
      <c r="C6733" s="64" t="n"/>
      <c r="D6733" s="64" t="n"/>
      <c r="E6733" s="63" t="n"/>
    </row>
    <row r="6734" ht="18" customHeight="1">
      <c r="A6734" s="62" t="n"/>
      <c r="B6734" s="63" t="n"/>
      <c r="C6734" s="64" t="n"/>
      <c r="D6734" s="64" t="n"/>
      <c r="E6734" s="63" t="n"/>
    </row>
    <row r="6735" ht="18" customHeight="1">
      <c r="A6735" s="62" t="n"/>
      <c r="B6735" s="63" t="n"/>
      <c r="C6735" s="64" t="n"/>
      <c r="D6735" s="64" t="n"/>
      <c r="E6735" s="63" t="n"/>
    </row>
    <row r="6736" ht="18" customHeight="1">
      <c r="A6736" s="62" t="n"/>
      <c r="B6736" s="63" t="n"/>
      <c r="C6736" s="64" t="n"/>
      <c r="D6736" s="64" t="n"/>
      <c r="E6736" s="63" t="n"/>
    </row>
    <row r="6737" ht="18" customHeight="1">
      <c r="A6737" s="62" t="n"/>
      <c r="B6737" s="63" t="n"/>
      <c r="C6737" s="64" t="n"/>
      <c r="D6737" s="64" t="n"/>
      <c r="E6737" s="63" t="n"/>
    </row>
    <row r="6738" ht="18" customHeight="1">
      <c r="A6738" s="62" t="n"/>
      <c r="B6738" s="63" t="n"/>
      <c r="C6738" s="64" t="n"/>
      <c r="D6738" s="64" t="n"/>
      <c r="E6738" s="63" t="n"/>
    </row>
    <row r="6739" ht="18" customHeight="1">
      <c r="A6739" s="62" t="n"/>
      <c r="B6739" s="63" t="n"/>
      <c r="C6739" s="64" t="n"/>
      <c r="D6739" s="64" t="n"/>
      <c r="E6739" s="63" t="n"/>
    </row>
    <row r="6740" ht="18" customHeight="1">
      <c r="A6740" s="62" t="n"/>
      <c r="B6740" s="63" t="n"/>
      <c r="C6740" s="64" t="n"/>
      <c r="D6740" s="64" t="n"/>
      <c r="E6740" s="63" t="n"/>
    </row>
    <row r="6741" ht="18" customHeight="1">
      <c r="A6741" s="62" t="n"/>
      <c r="B6741" s="63" t="n"/>
      <c r="C6741" s="64" t="n"/>
      <c r="D6741" s="64" t="n"/>
      <c r="E6741" s="63" t="n"/>
    </row>
    <row r="6742" ht="18" customHeight="1">
      <c r="A6742" s="62" t="n"/>
      <c r="B6742" s="63" t="n"/>
      <c r="C6742" s="64" t="n"/>
      <c r="D6742" s="64" t="n"/>
      <c r="E6742" s="63" t="n"/>
    </row>
    <row r="6743" ht="18" customHeight="1">
      <c r="A6743" s="62" t="n"/>
      <c r="B6743" s="63" t="n"/>
      <c r="C6743" s="64" t="n"/>
      <c r="D6743" s="64" t="n"/>
      <c r="E6743" s="63" t="n"/>
    </row>
    <row r="6744" ht="18" customHeight="1">
      <c r="A6744" s="62" t="n"/>
      <c r="B6744" s="63" t="n"/>
      <c r="C6744" s="64" t="n"/>
      <c r="D6744" s="64" t="n"/>
      <c r="E6744" s="63" t="n"/>
    </row>
    <row r="6745" ht="18" customHeight="1">
      <c r="A6745" s="62" t="n"/>
      <c r="B6745" s="63" t="n"/>
      <c r="C6745" s="64" t="n"/>
      <c r="D6745" s="64" t="n"/>
      <c r="E6745" s="63" t="n"/>
    </row>
    <row r="6746" ht="18" customHeight="1">
      <c r="A6746" s="62" t="n"/>
      <c r="B6746" s="63" t="n"/>
      <c r="C6746" s="64" t="n"/>
      <c r="D6746" s="64" t="n"/>
      <c r="E6746" s="63" t="n"/>
    </row>
    <row r="6747" ht="18" customHeight="1">
      <c r="A6747" s="62" t="n"/>
      <c r="B6747" s="63" t="n"/>
      <c r="C6747" s="64" t="n"/>
      <c r="D6747" s="64" t="n"/>
      <c r="E6747" s="63" t="n"/>
    </row>
    <row r="6748" ht="18" customHeight="1">
      <c r="A6748" s="62" t="n"/>
      <c r="B6748" s="63" t="n"/>
      <c r="C6748" s="64" t="n"/>
      <c r="D6748" s="64" t="n"/>
      <c r="E6748" s="63" t="n"/>
    </row>
    <row r="6749" ht="18" customHeight="1">
      <c r="A6749" s="62" t="n"/>
      <c r="B6749" s="63" t="n"/>
      <c r="C6749" s="64" t="n"/>
      <c r="D6749" s="64" t="n"/>
      <c r="E6749" s="63" t="n"/>
    </row>
    <row r="6750" ht="18" customHeight="1">
      <c r="A6750" s="62" t="n"/>
      <c r="B6750" s="63" t="n"/>
      <c r="C6750" s="64" t="n"/>
      <c r="D6750" s="64" t="n"/>
      <c r="E6750" s="63" t="n"/>
    </row>
    <row r="6751" ht="18" customHeight="1">
      <c r="A6751" s="62" t="n"/>
      <c r="B6751" s="63" t="n"/>
      <c r="C6751" s="64" t="n"/>
      <c r="D6751" s="64" t="n"/>
      <c r="E6751" s="63" t="n"/>
    </row>
    <row r="6752" ht="18" customHeight="1">
      <c r="A6752" s="62" t="n"/>
      <c r="B6752" s="63" t="n"/>
      <c r="C6752" s="64" t="n"/>
      <c r="D6752" s="64" t="n"/>
      <c r="E6752" s="63" t="n"/>
    </row>
    <row r="6753" ht="18" customHeight="1">
      <c r="A6753" s="62" t="n"/>
      <c r="B6753" s="63" t="n"/>
      <c r="C6753" s="64" t="n"/>
      <c r="D6753" s="64" t="n"/>
      <c r="E6753" s="63" t="n"/>
    </row>
    <row r="6754" ht="18" customHeight="1">
      <c r="A6754" s="62" t="n"/>
      <c r="B6754" s="63" t="n"/>
      <c r="C6754" s="64" t="n"/>
      <c r="D6754" s="64" t="n"/>
      <c r="E6754" s="63" t="n"/>
    </row>
    <row r="6755" ht="18" customHeight="1">
      <c r="A6755" s="62" t="n"/>
      <c r="B6755" s="63" t="n"/>
      <c r="C6755" s="64" t="n"/>
      <c r="D6755" s="64" t="n"/>
      <c r="E6755" s="63" t="n"/>
    </row>
    <row r="6756" ht="18" customHeight="1">
      <c r="A6756" s="62" t="n"/>
      <c r="B6756" s="63" t="n"/>
      <c r="C6756" s="64" t="n"/>
      <c r="D6756" s="64" t="n"/>
      <c r="E6756" s="63" t="n"/>
    </row>
    <row r="6757" ht="18" customHeight="1">
      <c r="A6757" s="62" t="n"/>
      <c r="B6757" s="63" t="n"/>
      <c r="C6757" s="64" t="n"/>
      <c r="D6757" s="64" t="n"/>
      <c r="E6757" s="63" t="n"/>
    </row>
    <row r="6758" ht="18" customHeight="1">
      <c r="A6758" s="62" t="n"/>
      <c r="B6758" s="63" t="n"/>
      <c r="C6758" s="64" t="n"/>
      <c r="D6758" s="64" t="n"/>
      <c r="E6758" s="63" t="n"/>
    </row>
    <row r="6759" ht="18" customHeight="1">
      <c r="A6759" s="62" t="n"/>
      <c r="B6759" s="63" t="n"/>
      <c r="C6759" s="64" t="n"/>
      <c r="D6759" s="64" t="n"/>
      <c r="E6759" s="63" t="n"/>
    </row>
    <row r="6760" ht="18" customHeight="1">
      <c r="A6760" s="62" t="n"/>
      <c r="B6760" s="63" t="n"/>
      <c r="C6760" s="64" t="n"/>
      <c r="D6760" s="64" t="n"/>
      <c r="E6760" s="63" t="n"/>
    </row>
    <row r="6761" ht="18" customHeight="1">
      <c r="A6761" s="62" t="n"/>
      <c r="B6761" s="63" t="n"/>
      <c r="C6761" s="64" t="n"/>
      <c r="D6761" s="64" t="n"/>
      <c r="E6761" s="63" t="n"/>
    </row>
    <row r="6762" ht="18" customHeight="1">
      <c r="A6762" s="62" t="n"/>
      <c r="B6762" s="63" t="n"/>
      <c r="C6762" s="64" t="n"/>
      <c r="D6762" s="64" t="n"/>
      <c r="E6762" s="63" t="n"/>
    </row>
    <row r="6763" ht="18" customHeight="1">
      <c r="A6763" s="62" t="n"/>
      <c r="B6763" s="63" t="n"/>
      <c r="C6763" s="64" t="n"/>
      <c r="D6763" s="64" t="n"/>
      <c r="E6763" s="63" t="n"/>
    </row>
    <row r="6764" ht="18" customHeight="1">
      <c r="A6764" s="62" t="n"/>
      <c r="B6764" s="63" t="n"/>
      <c r="C6764" s="64" t="n"/>
      <c r="D6764" s="64" t="n"/>
      <c r="E6764" s="63" t="n"/>
    </row>
    <row r="6765" ht="18" customHeight="1">
      <c r="A6765" s="62" t="n"/>
      <c r="B6765" s="63" t="n"/>
      <c r="C6765" s="64" t="n"/>
      <c r="D6765" s="64" t="n"/>
      <c r="E6765" s="63" t="n"/>
    </row>
    <row r="6766" ht="18" customHeight="1">
      <c r="A6766" s="62" t="n"/>
      <c r="B6766" s="63" t="n"/>
      <c r="C6766" s="64" t="n"/>
      <c r="D6766" s="64" t="n"/>
      <c r="E6766" s="63" t="n"/>
    </row>
    <row r="6767" ht="18" customHeight="1">
      <c r="A6767" s="62" t="n"/>
      <c r="B6767" s="63" t="n"/>
      <c r="C6767" s="64" t="n"/>
      <c r="D6767" s="64" t="n"/>
      <c r="E6767" s="63" t="n"/>
    </row>
    <row r="6768" ht="18" customHeight="1">
      <c r="A6768" s="62" t="n"/>
      <c r="B6768" s="63" t="n"/>
      <c r="C6768" s="64" t="n"/>
      <c r="D6768" s="64" t="n"/>
      <c r="E6768" s="63" t="n"/>
    </row>
    <row r="6769" ht="18" customHeight="1">
      <c r="A6769" s="62" t="n"/>
      <c r="B6769" s="63" t="n"/>
      <c r="C6769" s="64" t="n"/>
      <c r="D6769" s="64" t="n"/>
      <c r="E6769" s="63" t="n"/>
    </row>
    <row r="6770" ht="18" customHeight="1">
      <c r="A6770" s="62" t="n"/>
      <c r="B6770" s="63" t="n"/>
      <c r="C6770" s="64" t="n"/>
      <c r="D6770" s="64" t="n"/>
      <c r="E6770" s="63" t="n"/>
    </row>
    <row r="6771" ht="18" customHeight="1">
      <c r="A6771" s="62" t="n"/>
      <c r="B6771" s="63" t="n"/>
      <c r="C6771" s="64" t="n"/>
      <c r="D6771" s="64" t="n"/>
      <c r="E6771" s="63" t="n"/>
    </row>
    <row r="6772" ht="18" customHeight="1">
      <c r="A6772" s="62" t="n"/>
      <c r="B6772" s="63" t="n"/>
      <c r="C6772" s="64" t="n"/>
      <c r="D6772" s="64" t="n"/>
      <c r="E6772" s="63" t="n"/>
    </row>
    <row r="6773" ht="18" customHeight="1">
      <c r="A6773" s="62" t="n"/>
      <c r="B6773" s="63" t="n"/>
      <c r="C6773" s="64" t="n"/>
      <c r="D6773" s="64" t="n"/>
      <c r="E6773" s="63" t="n"/>
    </row>
    <row r="6774" ht="18" customHeight="1">
      <c r="A6774" s="62" t="n"/>
      <c r="B6774" s="63" t="n"/>
      <c r="C6774" s="64" t="n"/>
      <c r="D6774" s="64" t="n"/>
      <c r="E6774" s="63" t="n"/>
    </row>
    <row r="6775" ht="18" customHeight="1">
      <c r="A6775" s="62" t="n"/>
      <c r="B6775" s="63" t="n"/>
      <c r="C6775" s="64" t="n"/>
      <c r="D6775" s="64" t="n"/>
      <c r="E6775" s="63" t="n"/>
    </row>
    <row r="6776" ht="18" customHeight="1">
      <c r="A6776" s="62" t="n"/>
      <c r="B6776" s="63" t="n"/>
      <c r="C6776" s="64" t="n"/>
      <c r="D6776" s="64" t="n"/>
      <c r="E6776" s="63" t="n"/>
    </row>
    <row r="6777" ht="18" customHeight="1">
      <c r="A6777" s="62" t="n"/>
      <c r="B6777" s="63" t="n"/>
      <c r="C6777" s="64" t="n"/>
      <c r="D6777" s="64" t="n"/>
      <c r="E6777" s="63" t="n"/>
    </row>
    <row r="6778" ht="18" customHeight="1">
      <c r="A6778" s="62" t="n"/>
      <c r="B6778" s="63" t="n"/>
      <c r="C6778" s="64" t="n"/>
      <c r="D6778" s="64" t="n"/>
      <c r="E6778" s="63" t="n"/>
    </row>
    <row r="6779" ht="18" customHeight="1">
      <c r="A6779" s="62" t="n"/>
      <c r="B6779" s="63" t="n"/>
      <c r="C6779" s="64" t="n"/>
      <c r="D6779" s="64" t="n"/>
      <c r="E6779" s="63" t="n"/>
    </row>
    <row r="6780" ht="18" customHeight="1">
      <c r="A6780" s="62" t="n"/>
      <c r="B6780" s="63" t="n"/>
      <c r="C6780" s="64" t="n"/>
      <c r="D6780" s="64" t="n"/>
      <c r="E6780" s="63" t="n"/>
    </row>
    <row r="6781" ht="18" customHeight="1">
      <c r="A6781" s="62" t="n"/>
      <c r="B6781" s="63" t="n"/>
      <c r="C6781" s="64" t="n"/>
      <c r="D6781" s="64" t="n"/>
      <c r="E6781" s="63" t="n"/>
    </row>
    <row r="6782" ht="18" customHeight="1">
      <c r="A6782" s="62" t="n"/>
      <c r="B6782" s="63" t="n"/>
      <c r="C6782" s="64" t="n"/>
      <c r="D6782" s="64" t="n"/>
      <c r="E6782" s="63" t="n"/>
    </row>
    <row r="6783" ht="18" customHeight="1">
      <c r="A6783" s="62" t="n"/>
      <c r="B6783" s="63" t="n"/>
      <c r="C6783" s="64" t="n"/>
      <c r="D6783" s="64" t="n"/>
      <c r="E6783" s="63" t="n"/>
    </row>
    <row r="6784" ht="18" customHeight="1">
      <c r="A6784" s="62" t="n"/>
      <c r="B6784" s="63" t="n"/>
      <c r="C6784" s="64" t="n"/>
      <c r="D6784" s="64" t="n"/>
      <c r="E6784" s="63" t="n"/>
    </row>
    <row r="6785" ht="18" customHeight="1">
      <c r="A6785" s="62" t="n"/>
      <c r="B6785" s="63" t="n"/>
      <c r="C6785" s="64" t="n"/>
      <c r="D6785" s="64" t="n"/>
      <c r="E6785" s="63" t="n"/>
    </row>
    <row r="6786" ht="18" customHeight="1">
      <c r="A6786" s="62" t="n"/>
      <c r="B6786" s="63" t="n"/>
      <c r="C6786" s="64" t="n"/>
      <c r="D6786" s="64" t="n"/>
      <c r="E6786" s="63" t="n"/>
    </row>
    <row r="6787" ht="18" customHeight="1">
      <c r="A6787" s="62" t="n"/>
      <c r="B6787" s="63" t="n"/>
      <c r="C6787" s="64" t="n"/>
      <c r="D6787" s="64" t="n"/>
      <c r="E6787" s="63" t="n"/>
    </row>
    <row r="6788" ht="18" customHeight="1">
      <c r="A6788" s="62" t="n"/>
      <c r="B6788" s="63" t="n"/>
      <c r="C6788" s="64" t="n"/>
      <c r="D6788" s="64" t="n"/>
      <c r="E6788" s="63" t="n"/>
    </row>
    <row r="6789" ht="18" customHeight="1">
      <c r="A6789" s="62" t="n"/>
      <c r="B6789" s="63" t="n"/>
      <c r="C6789" s="64" t="n"/>
      <c r="D6789" s="64" t="n"/>
      <c r="E6789" s="63" t="n"/>
    </row>
    <row r="6790" ht="18" customHeight="1">
      <c r="A6790" s="62" t="n"/>
      <c r="B6790" s="63" t="n"/>
      <c r="C6790" s="64" t="n"/>
      <c r="D6790" s="64" t="n"/>
      <c r="E6790" s="63" t="n"/>
    </row>
    <row r="6791" ht="18" customHeight="1">
      <c r="A6791" s="62" t="n"/>
      <c r="B6791" s="63" t="n"/>
      <c r="C6791" s="64" t="n"/>
      <c r="D6791" s="64" t="n"/>
      <c r="E6791" s="63" t="n"/>
    </row>
    <row r="6792" ht="18" customHeight="1">
      <c r="A6792" s="62" t="n"/>
      <c r="B6792" s="63" t="n"/>
      <c r="C6792" s="64" t="n"/>
      <c r="D6792" s="64" t="n"/>
      <c r="E6792" s="63" t="n"/>
    </row>
    <row r="6793" ht="18" customHeight="1">
      <c r="A6793" s="62" t="n"/>
      <c r="B6793" s="63" t="n"/>
      <c r="C6793" s="64" t="n"/>
      <c r="D6793" s="64" t="n"/>
      <c r="E6793" s="63" t="n"/>
    </row>
    <row r="6794" ht="18" customHeight="1">
      <c r="A6794" s="62" t="n"/>
      <c r="B6794" s="63" t="n"/>
      <c r="C6794" s="64" t="n"/>
      <c r="D6794" s="64" t="n"/>
      <c r="E6794" s="63" t="n"/>
    </row>
    <row r="6795" ht="18" customHeight="1">
      <c r="A6795" s="62" t="n"/>
      <c r="B6795" s="63" t="n"/>
      <c r="C6795" s="64" t="n"/>
      <c r="D6795" s="64" t="n"/>
      <c r="E6795" s="63" t="n"/>
    </row>
    <row r="6796" ht="18" customHeight="1">
      <c r="A6796" s="62" t="n"/>
      <c r="B6796" s="63" t="n"/>
      <c r="C6796" s="64" t="n"/>
      <c r="D6796" s="64" t="n"/>
      <c r="E6796" s="63" t="n"/>
    </row>
    <row r="6797" ht="18" customHeight="1">
      <c r="A6797" s="62" t="n"/>
      <c r="B6797" s="63" t="n"/>
      <c r="C6797" s="64" t="n"/>
      <c r="D6797" s="64" t="n"/>
      <c r="E6797" s="63" t="n"/>
    </row>
    <row r="6798" ht="18" customHeight="1">
      <c r="A6798" s="62" t="n"/>
      <c r="B6798" s="63" t="n"/>
      <c r="C6798" s="64" t="n"/>
      <c r="D6798" s="64" t="n"/>
      <c r="E6798" s="63" t="n"/>
    </row>
    <row r="6799" ht="18" customHeight="1">
      <c r="A6799" s="62" t="n"/>
      <c r="B6799" s="63" t="n"/>
      <c r="C6799" s="64" t="n"/>
      <c r="D6799" s="64" t="n"/>
      <c r="E6799" s="63" t="n"/>
    </row>
    <row r="6800" ht="18" customHeight="1">
      <c r="A6800" s="62" t="n"/>
      <c r="B6800" s="63" t="n"/>
      <c r="C6800" s="64" t="n"/>
      <c r="D6800" s="64" t="n"/>
      <c r="E6800" s="63" t="n"/>
    </row>
    <row r="6801" ht="18" customHeight="1">
      <c r="A6801" s="62" t="n"/>
      <c r="B6801" s="63" t="n"/>
      <c r="C6801" s="64" t="n"/>
      <c r="D6801" s="64" t="n"/>
      <c r="E6801" s="63" t="n"/>
    </row>
    <row r="6802" ht="18" customHeight="1">
      <c r="A6802" s="62" t="n"/>
      <c r="B6802" s="63" t="n"/>
      <c r="C6802" s="64" t="n"/>
      <c r="D6802" s="64" t="n"/>
      <c r="E6802" s="63" t="n"/>
    </row>
    <row r="6803" ht="18" customHeight="1">
      <c r="A6803" s="62" t="n"/>
      <c r="B6803" s="63" t="n"/>
      <c r="C6803" s="64" t="n"/>
      <c r="D6803" s="64" t="n"/>
      <c r="E6803" s="63" t="n"/>
    </row>
    <row r="6804" ht="18" customHeight="1">
      <c r="A6804" s="62" t="n"/>
      <c r="B6804" s="63" t="n"/>
      <c r="C6804" s="64" t="n"/>
      <c r="D6804" s="64" t="n"/>
      <c r="E6804" s="63" t="n"/>
    </row>
    <row r="6805" ht="18" customHeight="1">
      <c r="A6805" s="62" t="n"/>
      <c r="B6805" s="63" t="n"/>
      <c r="C6805" s="64" t="n"/>
      <c r="D6805" s="64" t="n"/>
      <c r="E6805" s="63" t="n"/>
    </row>
    <row r="6806" ht="18" customHeight="1">
      <c r="A6806" s="62" t="n"/>
      <c r="B6806" s="63" t="n"/>
      <c r="C6806" s="64" t="n"/>
      <c r="D6806" s="64" t="n"/>
      <c r="E6806" s="63" t="n"/>
    </row>
    <row r="6807" ht="18" customHeight="1">
      <c r="A6807" s="62" t="n"/>
      <c r="B6807" s="63" t="n"/>
      <c r="C6807" s="64" t="n"/>
      <c r="D6807" s="64" t="n"/>
      <c r="E6807" s="63" t="n"/>
    </row>
    <row r="6808" ht="18" customHeight="1">
      <c r="A6808" s="62" t="n"/>
      <c r="B6808" s="63" t="n"/>
      <c r="C6808" s="64" t="n"/>
      <c r="D6808" s="64" t="n"/>
      <c r="E6808" s="63" t="n"/>
    </row>
    <row r="6809" ht="18" customHeight="1">
      <c r="A6809" s="62" t="n"/>
      <c r="B6809" s="63" t="n"/>
      <c r="C6809" s="64" t="n"/>
      <c r="D6809" s="64" t="n"/>
      <c r="E6809" s="63" t="n"/>
    </row>
    <row r="6810" ht="18" customHeight="1">
      <c r="A6810" s="62" t="n"/>
      <c r="B6810" s="63" t="n"/>
      <c r="C6810" s="64" t="n"/>
      <c r="D6810" s="64" t="n"/>
      <c r="E6810" s="63" t="n"/>
    </row>
    <row r="6811" ht="18" customHeight="1">
      <c r="A6811" s="62" t="n"/>
      <c r="B6811" s="63" t="n"/>
      <c r="C6811" s="64" t="n"/>
      <c r="D6811" s="64" t="n"/>
      <c r="E6811" s="63" t="n"/>
    </row>
    <row r="6812" ht="18" customHeight="1">
      <c r="A6812" s="62" t="n"/>
      <c r="B6812" s="63" t="n"/>
      <c r="C6812" s="64" t="n"/>
      <c r="D6812" s="64" t="n"/>
      <c r="E6812" s="63" t="n"/>
    </row>
    <row r="6813" ht="18" customHeight="1">
      <c r="A6813" s="62" t="n"/>
      <c r="B6813" s="63" t="n"/>
      <c r="C6813" s="64" t="n"/>
      <c r="D6813" s="64" t="n"/>
      <c r="E6813" s="63" t="n"/>
    </row>
    <row r="6814" ht="18" customHeight="1">
      <c r="A6814" s="62" t="n"/>
      <c r="B6814" s="63" t="n"/>
      <c r="C6814" s="64" t="n"/>
      <c r="D6814" s="64" t="n"/>
      <c r="E6814" s="63" t="n"/>
    </row>
    <row r="6815" ht="18" customHeight="1">
      <c r="A6815" s="62" t="n"/>
      <c r="B6815" s="63" t="n"/>
      <c r="C6815" s="64" t="n"/>
      <c r="D6815" s="64" t="n"/>
      <c r="E6815" s="63" t="n"/>
    </row>
    <row r="6816" ht="18" customHeight="1">
      <c r="A6816" s="62" t="n"/>
      <c r="B6816" s="63" t="n"/>
      <c r="C6816" s="64" t="n"/>
      <c r="D6816" s="64" t="n"/>
      <c r="E6816" s="63" t="n"/>
    </row>
    <row r="6817" ht="18" customHeight="1">
      <c r="A6817" s="62" t="n"/>
      <c r="B6817" s="63" t="n"/>
      <c r="C6817" s="64" t="n"/>
      <c r="D6817" s="64" t="n"/>
      <c r="E6817" s="63" t="n"/>
    </row>
    <row r="6818" ht="18" customHeight="1">
      <c r="A6818" s="62" t="n"/>
      <c r="B6818" s="63" t="n"/>
      <c r="C6818" s="64" t="n"/>
      <c r="D6818" s="64" t="n"/>
      <c r="E6818" s="63" t="n"/>
    </row>
    <row r="6819" ht="18" customHeight="1">
      <c r="A6819" s="62" t="n"/>
      <c r="B6819" s="63" t="n"/>
      <c r="C6819" s="64" t="n"/>
      <c r="D6819" s="64" t="n"/>
      <c r="E6819" s="63" t="n"/>
    </row>
    <row r="6820" ht="18" customHeight="1">
      <c r="A6820" s="62" t="n"/>
      <c r="B6820" s="63" t="n"/>
      <c r="C6820" s="64" t="n"/>
      <c r="D6820" s="64" t="n"/>
      <c r="E6820" s="63" t="n"/>
    </row>
    <row r="6821" ht="18" customHeight="1">
      <c r="A6821" s="62" t="n"/>
      <c r="B6821" s="63" t="n"/>
      <c r="C6821" s="64" t="n"/>
      <c r="D6821" s="64" t="n"/>
      <c r="E6821" s="63" t="n"/>
    </row>
    <row r="6822" ht="18" customHeight="1">
      <c r="A6822" s="62" t="n"/>
      <c r="B6822" s="63" t="n"/>
      <c r="C6822" s="64" t="n"/>
      <c r="D6822" s="64" t="n"/>
      <c r="E6822" s="63" t="n"/>
    </row>
    <row r="6823" ht="18" customHeight="1">
      <c r="A6823" s="62" t="n"/>
      <c r="B6823" s="63" t="n"/>
      <c r="C6823" s="64" t="n"/>
      <c r="D6823" s="64" t="n"/>
      <c r="E6823" s="63" t="n"/>
    </row>
    <row r="6824" ht="18" customHeight="1">
      <c r="A6824" s="62" t="n"/>
      <c r="B6824" s="63" t="n"/>
      <c r="C6824" s="64" t="n"/>
      <c r="D6824" s="64" t="n"/>
      <c r="E6824" s="63" t="n"/>
    </row>
    <row r="6825" ht="18" customHeight="1">
      <c r="A6825" s="62" t="n"/>
      <c r="B6825" s="63" t="n"/>
      <c r="C6825" s="64" t="n"/>
      <c r="D6825" s="64" t="n"/>
      <c r="E6825" s="63" t="n"/>
    </row>
    <row r="6826" ht="18" customHeight="1">
      <c r="A6826" s="62" t="n"/>
      <c r="B6826" s="63" t="n"/>
      <c r="C6826" s="64" t="n"/>
      <c r="D6826" s="64" t="n"/>
      <c r="E6826" s="63" t="n"/>
    </row>
    <row r="6827" ht="18" customHeight="1">
      <c r="A6827" s="62" t="n"/>
      <c r="B6827" s="63" t="n"/>
      <c r="C6827" s="64" t="n"/>
      <c r="D6827" s="64" t="n"/>
      <c r="E6827" s="63" t="n"/>
    </row>
    <row r="6828" ht="18" customHeight="1">
      <c r="A6828" s="62" t="n"/>
      <c r="B6828" s="63" t="n"/>
      <c r="C6828" s="64" t="n"/>
      <c r="D6828" s="64" t="n"/>
      <c r="E6828" s="63" t="n"/>
    </row>
    <row r="6829" ht="18" customHeight="1">
      <c r="A6829" s="62" t="n"/>
      <c r="B6829" s="63" t="n"/>
      <c r="C6829" s="64" t="n"/>
      <c r="D6829" s="64" t="n"/>
      <c r="E6829" s="63" t="n"/>
    </row>
    <row r="6830" ht="18" customHeight="1">
      <c r="A6830" s="62" t="n"/>
      <c r="B6830" s="63" t="n"/>
      <c r="C6830" s="64" t="n"/>
      <c r="D6830" s="64" t="n"/>
      <c r="E6830" s="63" t="n"/>
    </row>
    <row r="6831" ht="18" customHeight="1">
      <c r="A6831" s="62" t="n"/>
      <c r="B6831" s="63" t="n"/>
      <c r="C6831" s="64" t="n"/>
      <c r="D6831" s="64" t="n"/>
      <c r="E6831" s="63" t="n"/>
    </row>
    <row r="6832" ht="18" customHeight="1">
      <c r="A6832" s="62" t="n"/>
      <c r="B6832" s="63" t="n"/>
      <c r="C6832" s="64" t="n"/>
      <c r="D6832" s="64" t="n"/>
      <c r="E6832" s="63" t="n"/>
    </row>
    <row r="6833" ht="18" customHeight="1">
      <c r="A6833" s="62" t="n"/>
      <c r="B6833" s="63" t="n"/>
      <c r="C6833" s="64" t="n"/>
      <c r="D6833" s="64" t="n"/>
      <c r="E6833" s="63" t="n"/>
    </row>
    <row r="6834" ht="18" customHeight="1">
      <c r="A6834" s="62" t="n"/>
      <c r="B6834" s="63" t="n"/>
      <c r="C6834" s="64" t="n"/>
      <c r="D6834" s="64" t="n"/>
      <c r="E6834" s="63" t="n"/>
    </row>
    <row r="6835" ht="18" customHeight="1">
      <c r="A6835" s="62" t="n"/>
      <c r="B6835" s="63" t="n"/>
      <c r="C6835" s="64" t="n"/>
      <c r="D6835" s="64" t="n"/>
      <c r="E6835" s="63" t="n"/>
    </row>
    <row r="6836" ht="18" customHeight="1">
      <c r="A6836" s="62" t="n"/>
      <c r="B6836" s="63" t="n"/>
      <c r="C6836" s="64" t="n"/>
      <c r="D6836" s="64" t="n"/>
      <c r="E6836" s="63" t="n"/>
    </row>
    <row r="6837" ht="18" customHeight="1">
      <c r="A6837" s="62" t="n"/>
      <c r="B6837" s="63" t="n"/>
      <c r="C6837" s="64" t="n"/>
      <c r="D6837" s="64" t="n"/>
      <c r="E6837" s="63" t="n"/>
    </row>
    <row r="6838" ht="18" customHeight="1">
      <c r="A6838" s="62" t="n"/>
      <c r="B6838" s="63" t="n"/>
      <c r="C6838" s="64" t="n"/>
      <c r="D6838" s="64" t="n"/>
      <c r="E6838" s="63" t="n"/>
    </row>
    <row r="6839" ht="18" customHeight="1">
      <c r="A6839" s="62" t="n"/>
      <c r="B6839" s="63" t="n"/>
      <c r="C6839" s="64" t="n"/>
      <c r="D6839" s="64" t="n"/>
      <c r="E6839" s="63" t="n"/>
    </row>
    <row r="6840" ht="18" customHeight="1">
      <c r="A6840" s="62" t="n"/>
      <c r="B6840" s="63" t="n"/>
      <c r="C6840" s="64" t="n"/>
      <c r="D6840" s="64" t="n"/>
      <c r="E6840" s="63" t="n"/>
    </row>
    <row r="6841" ht="18" customHeight="1">
      <c r="A6841" s="62" t="n"/>
      <c r="B6841" s="63" t="n"/>
      <c r="C6841" s="64" t="n"/>
      <c r="D6841" s="64" t="n"/>
      <c r="E6841" s="63" t="n"/>
    </row>
    <row r="6842" ht="18" customHeight="1">
      <c r="A6842" s="62" t="n"/>
      <c r="B6842" s="63" t="n"/>
      <c r="C6842" s="64" t="n"/>
      <c r="D6842" s="64" t="n"/>
      <c r="E6842" s="63" t="n"/>
    </row>
    <row r="6843" ht="18" customHeight="1">
      <c r="A6843" s="62" t="n"/>
      <c r="B6843" s="63" t="n"/>
      <c r="C6843" s="64" t="n"/>
      <c r="D6843" s="64" t="n"/>
      <c r="E6843" s="63" t="n"/>
    </row>
    <row r="6844" ht="18" customHeight="1">
      <c r="A6844" s="62" t="n"/>
      <c r="B6844" s="63" t="n"/>
      <c r="C6844" s="64" t="n"/>
      <c r="D6844" s="64" t="n"/>
      <c r="E6844" s="63" t="n"/>
    </row>
    <row r="6845" ht="18" customHeight="1">
      <c r="A6845" s="62" t="n"/>
      <c r="B6845" s="63" t="n"/>
      <c r="C6845" s="64" t="n"/>
      <c r="D6845" s="64" t="n"/>
      <c r="E6845" s="63" t="n"/>
    </row>
    <row r="6846" ht="18" customHeight="1">
      <c r="A6846" s="62" t="n"/>
      <c r="B6846" s="63" t="n"/>
      <c r="C6846" s="64" t="n"/>
      <c r="D6846" s="64" t="n"/>
      <c r="E6846" s="63" t="n"/>
    </row>
    <row r="6847" ht="18" customHeight="1">
      <c r="A6847" s="62" t="n"/>
      <c r="B6847" s="63" t="n"/>
      <c r="C6847" s="64" t="n"/>
      <c r="D6847" s="64" t="n"/>
      <c r="E6847" s="63" t="n"/>
    </row>
    <row r="6848" ht="18" customHeight="1">
      <c r="A6848" s="62" t="n"/>
      <c r="B6848" s="63" t="n"/>
      <c r="C6848" s="64" t="n"/>
      <c r="D6848" s="64" t="n"/>
      <c r="E6848" s="63" t="n"/>
    </row>
    <row r="6849" ht="18" customHeight="1">
      <c r="A6849" s="62" t="n"/>
      <c r="B6849" s="63" t="n"/>
      <c r="C6849" s="64" t="n"/>
      <c r="D6849" s="64" t="n"/>
      <c r="E6849" s="63" t="n"/>
    </row>
    <row r="6850" ht="18" customHeight="1">
      <c r="A6850" s="62" t="n"/>
      <c r="B6850" s="63" t="n"/>
      <c r="C6850" s="64" t="n"/>
      <c r="D6850" s="64" t="n"/>
      <c r="E6850" s="63" t="n"/>
    </row>
    <row r="6851" ht="18" customHeight="1">
      <c r="A6851" s="62" t="n"/>
      <c r="B6851" s="63" t="n"/>
      <c r="C6851" s="64" t="n"/>
      <c r="D6851" s="64" t="n"/>
      <c r="E6851" s="63" t="n"/>
    </row>
    <row r="6852" ht="18" customHeight="1">
      <c r="A6852" s="62" t="n"/>
      <c r="B6852" s="63" t="n"/>
      <c r="C6852" s="64" t="n"/>
      <c r="D6852" s="64" t="n"/>
      <c r="E6852" s="63" t="n"/>
    </row>
    <row r="6853" ht="18" customHeight="1">
      <c r="A6853" s="62" t="n"/>
      <c r="B6853" s="63" t="n"/>
      <c r="C6853" s="64" t="n"/>
      <c r="D6853" s="64" t="n"/>
      <c r="E6853" s="63" t="n"/>
    </row>
    <row r="6854" ht="18" customHeight="1">
      <c r="A6854" s="62" t="n"/>
      <c r="B6854" s="63" t="n"/>
      <c r="C6854" s="64" t="n"/>
      <c r="D6854" s="64" t="n"/>
      <c r="E6854" s="63" t="n"/>
    </row>
    <row r="6855" ht="18" customHeight="1">
      <c r="A6855" s="62" t="n"/>
      <c r="B6855" s="63" t="n"/>
      <c r="C6855" s="64" t="n"/>
      <c r="D6855" s="64" t="n"/>
      <c r="E6855" s="63" t="n"/>
    </row>
    <row r="6856" ht="18" customHeight="1">
      <c r="A6856" s="62" t="n"/>
      <c r="B6856" s="63" t="n"/>
      <c r="C6856" s="64" t="n"/>
      <c r="D6856" s="64" t="n"/>
      <c r="E6856" s="63" t="n"/>
    </row>
    <row r="6857" ht="18" customHeight="1">
      <c r="A6857" s="62" t="n"/>
      <c r="B6857" s="63" t="n"/>
      <c r="C6857" s="64" t="n"/>
      <c r="D6857" s="64" t="n"/>
      <c r="E6857" s="63" t="n"/>
    </row>
    <row r="6858" ht="18" customHeight="1">
      <c r="A6858" s="62" t="n"/>
      <c r="B6858" s="63" t="n"/>
      <c r="C6858" s="64" t="n"/>
      <c r="D6858" s="64" t="n"/>
      <c r="E6858" s="63" t="n"/>
    </row>
    <row r="6859" ht="18" customHeight="1">
      <c r="A6859" s="62" t="n"/>
      <c r="B6859" s="63" t="n"/>
      <c r="C6859" s="64" t="n"/>
      <c r="D6859" s="64" t="n"/>
      <c r="E6859" s="63" t="n"/>
    </row>
    <row r="6860" ht="18" customHeight="1">
      <c r="A6860" s="62" t="n"/>
      <c r="B6860" s="63" t="n"/>
      <c r="C6860" s="64" t="n"/>
      <c r="D6860" s="64" t="n"/>
      <c r="E6860" s="63" t="n"/>
    </row>
    <row r="6861" ht="18" customHeight="1">
      <c r="A6861" s="62" t="n"/>
      <c r="B6861" s="63" t="n"/>
      <c r="C6861" s="64" t="n"/>
      <c r="D6861" s="64" t="n"/>
      <c r="E6861" s="63" t="n"/>
    </row>
    <row r="6862" ht="18" customHeight="1">
      <c r="A6862" s="62" t="n"/>
      <c r="B6862" s="63" t="n"/>
      <c r="C6862" s="64" t="n"/>
      <c r="D6862" s="64" t="n"/>
      <c r="E6862" s="63" t="n"/>
    </row>
    <row r="6863" ht="18" customHeight="1">
      <c r="A6863" s="62" t="n"/>
      <c r="B6863" s="63" t="n"/>
      <c r="C6863" s="64" t="n"/>
      <c r="D6863" s="64" t="n"/>
      <c r="E6863" s="63" t="n"/>
    </row>
    <row r="6864" ht="18" customHeight="1">
      <c r="A6864" s="62" t="n"/>
      <c r="B6864" s="63" t="n"/>
      <c r="C6864" s="64" t="n"/>
      <c r="D6864" s="64" t="n"/>
      <c r="E6864" s="63" t="n"/>
    </row>
    <row r="6865" ht="18" customHeight="1">
      <c r="A6865" s="62" t="n"/>
      <c r="B6865" s="63" t="n"/>
      <c r="C6865" s="64" t="n"/>
      <c r="D6865" s="64" t="n"/>
      <c r="E6865" s="63" t="n"/>
    </row>
    <row r="6866" ht="18" customHeight="1">
      <c r="A6866" s="62" t="n"/>
      <c r="B6866" s="63" t="n"/>
      <c r="C6866" s="64" t="n"/>
      <c r="D6866" s="64" t="n"/>
      <c r="E6866" s="63" t="n"/>
    </row>
    <row r="6867" ht="18" customHeight="1">
      <c r="A6867" s="62" t="n"/>
      <c r="B6867" s="63" t="n"/>
      <c r="C6867" s="64" t="n"/>
      <c r="D6867" s="64" t="n"/>
      <c r="E6867" s="63" t="n"/>
    </row>
    <row r="6868" ht="18" customHeight="1">
      <c r="A6868" s="62" t="n"/>
      <c r="B6868" s="63" t="n"/>
      <c r="C6868" s="64" t="n"/>
      <c r="D6868" s="64" t="n"/>
      <c r="E6868" s="63" t="n"/>
    </row>
    <row r="6869" ht="18" customHeight="1">
      <c r="A6869" s="62" t="n"/>
      <c r="B6869" s="63" t="n"/>
      <c r="C6869" s="64" t="n"/>
      <c r="D6869" s="64" t="n"/>
      <c r="E6869" s="63" t="n"/>
    </row>
    <row r="6870" ht="18" customHeight="1">
      <c r="A6870" s="62" t="n"/>
      <c r="B6870" s="63" t="n"/>
      <c r="C6870" s="64" t="n"/>
      <c r="D6870" s="64" t="n"/>
      <c r="E6870" s="63" t="n"/>
    </row>
    <row r="6871" ht="18" customHeight="1">
      <c r="A6871" s="62" t="n"/>
      <c r="B6871" s="63" t="n"/>
      <c r="C6871" s="64" t="n"/>
      <c r="D6871" s="64" t="n"/>
      <c r="E6871" s="63" t="n"/>
    </row>
    <row r="6872" ht="18" customHeight="1">
      <c r="A6872" s="62" t="n"/>
      <c r="B6872" s="63" t="n"/>
      <c r="C6872" s="64" t="n"/>
      <c r="D6872" s="64" t="n"/>
      <c r="E6872" s="63" t="n"/>
    </row>
    <row r="6873" ht="18" customHeight="1">
      <c r="A6873" s="62" t="n"/>
      <c r="B6873" s="63" t="n"/>
      <c r="C6873" s="64" t="n"/>
      <c r="D6873" s="64" t="n"/>
      <c r="E6873" s="63" t="n"/>
    </row>
    <row r="6874" ht="18" customHeight="1">
      <c r="A6874" s="62" t="n"/>
      <c r="B6874" s="63" t="n"/>
      <c r="C6874" s="64" t="n"/>
      <c r="D6874" s="64" t="n"/>
      <c r="E6874" s="63" t="n"/>
    </row>
    <row r="6875" ht="18" customHeight="1">
      <c r="A6875" s="62" t="n"/>
      <c r="B6875" s="63" t="n"/>
      <c r="C6875" s="64" t="n"/>
      <c r="D6875" s="64" t="n"/>
      <c r="E6875" s="63" t="n"/>
    </row>
    <row r="6876" ht="18" customHeight="1">
      <c r="A6876" s="62" t="n"/>
      <c r="B6876" s="63" t="n"/>
      <c r="C6876" s="64" t="n"/>
      <c r="D6876" s="64" t="n"/>
      <c r="E6876" s="63" t="n"/>
    </row>
    <row r="6877" ht="18" customHeight="1">
      <c r="A6877" s="62" t="n"/>
      <c r="B6877" s="63" t="n"/>
      <c r="C6877" s="64" t="n"/>
      <c r="D6877" s="64" t="n"/>
      <c r="E6877" s="63" t="n"/>
    </row>
    <row r="6878" ht="18" customHeight="1">
      <c r="A6878" s="62" t="n"/>
      <c r="B6878" s="63" t="n"/>
      <c r="C6878" s="64" t="n"/>
      <c r="D6878" s="64" t="n"/>
      <c r="E6878" s="63" t="n"/>
    </row>
    <row r="6879" ht="18" customHeight="1">
      <c r="A6879" s="62" t="n"/>
      <c r="B6879" s="63" t="n"/>
      <c r="C6879" s="64" t="n"/>
      <c r="D6879" s="64" t="n"/>
      <c r="E6879" s="63" t="n"/>
    </row>
    <row r="6880" ht="18" customHeight="1">
      <c r="A6880" s="62" t="n"/>
      <c r="B6880" s="63" t="n"/>
      <c r="C6880" s="64" t="n"/>
      <c r="D6880" s="64" t="n"/>
      <c r="E6880" s="63" t="n"/>
    </row>
    <row r="6881" ht="18" customHeight="1">
      <c r="A6881" s="62" t="n"/>
      <c r="B6881" s="63" t="n"/>
      <c r="C6881" s="64" t="n"/>
      <c r="D6881" s="64" t="n"/>
      <c r="E6881" s="63" t="n"/>
    </row>
    <row r="6882" ht="18" customHeight="1">
      <c r="A6882" s="62" t="n"/>
      <c r="B6882" s="63" t="n"/>
      <c r="C6882" s="64" t="n"/>
      <c r="D6882" s="64" t="n"/>
      <c r="E6882" s="63" t="n"/>
    </row>
    <row r="6883" ht="18" customHeight="1">
      <c r="A6883" s="62" t="n"/>
      <c r="B6883" s="63" t="n"/>
      <c r="C6883" s="64" t="n"/>
      <c r="D6883" s="64" t="n"/>
      <c r="E6883" s="63" t="n"/>
    </row>
    <row r="6884" ht="18" customHeight="1">
      <c r="A6884" s="62" t="n"/>
      <c r="B6884" s="63" t="n"/>
      <c r="C6884" s="64" t="n"/>
      <c r="D6884" s="64" t="n"/>
      <c r="E6884" s="63" t="n"/>
    </row>
    <row r="6885" ht="18" customHeight="1">
      <c r="A6885" s="62" t="n"/>
      <c r="B6885" s="63" t="n"/>
      <c r="C6885" s="64" t="n"/>
      <c r="D6885" s="64" t="n"/>
      <c r="E6885" s="63" t="n"/>
    </row>
    <row r="6886" ht="18" customHeight="1">
      <c r="A6886" s="62" t="n"/>
      <c r="B6886" s="63" t="n"/>
      <c r="C6886" s="64" t="n"/>
      <c r="D6886" s="64" t="n"/>
      <c r="E6886" s="63" t="n"/>
    </row>
    <row r="6887" ht="18" customHeight="1">
      <c r="A6887" s="62" t="n"/>
      <c r="B6887" s="63" t="n"/>
      <c r="C6887" s="64" t="n"/>
      <c r="D6887" s="64" t="n"/>
      <c r="E6887" s="63" t="n"/>
    </row>
    <row r="6888" ht="18" customHeight="1">
      <c r="A6888" s="62" t="n"/>
      <c r="B6888" s="63" t="n"/>
      <c r="C6888" s="64" t="n"/>
      <c r="D6888" s="64" t="n"/>
      <c r="E6888" s="63" t="n"/>
    </row>
    <row r="6889" ht="18" customHeight="1">
      <c r="A6889" s="62" t="n"/>
      <c r="B6889" s="63" t="n"/>
      <c r="C6889" s="64" t="n"/>
      <c r="D6889" s="64" t="n"/>
      <c r="E6889" s="63" t="n"/>
    </row>
    <row r="6890" ht="18" customHeight="1">
      <c r="A6890" s="62" t="n"/>
      <c r="B6890" s="63" t="n"/>
      <c r="C6890" s="64" t="n"/>
      <c r="D6890" s="64" t="n"/>
      <c r="E6890" s="63" t="n"/>
    </row>
    <row r="6891" ht="18" customHeight="1">
      <c r="A6891" s="62" t="n"/>
      <c r="B6891" s="63" t="n"/>
      <c r="C6891" s="64" t="n"/>
      <c r="D6891" s="64" t="n"/>
      <c r="E6891" s="63" t="n"/>
    </row>
    <row r="6892" ht="18" customHeight="1">
      <c r="A6892" s="62" t="n"/>
      <c r="B6892" s="63" t="n"/>
      <c r="C6892" s="64" t="n"/>
      <c r="D6892" s="64" t="n"/>
      <c r="E6892" s="63" t="n"/>
    </row>
    <row r="6893" ht="18" customHeight="1">
      <c r="A6893" s="62" t="n"/>
      <c r="B6893" s="63" t="n"/>
      <c r="C6893" s="64" t="n"/>
      <c r="D6893" s="64" t="n"/>
      <c r="E6893" s="63" t="n"/>
    </row>
    <row r="6894" ht="18" customHeight="1">
      <c r="A6894" s="62" t="n"/>
      <c r="B6894" s="63" t="n"/>
      <c r="C6894" s="64" t="n"/>
      <c r="D6894" s="64" t="n"/>
      <c r="E6894" s="63" t="n"/>
    </row>
    <row r="6895" ht="18" customHeight="1">
      <c r="A6895" s="62" t="n"/>
      <c r="B6895" s="63" t="n"/>
      <c r="C6895" s="64" t="n"/>
      <c r="D6895" s="64" t="n"/>
      <c r="E6895" s="63" t="n"/>
    </row>
    <row r="6896" ht="18" customHeight="1">
      <c r="A6896" s="62" t="n"/>
      <c r="B6896" s="63" t="n"/>
      <c r="C6896" s="64" t="n"/>
      <c r="D6896" s="64" t="n"/>
      <c r="E6896" s="63" t="n"/>
    </row>
    <row r="6897" ht="18" customHeight="1">
      <c r="A6897" s="62" t="n"/>
      <c r="B6897" s="63" t="n"/>
      <c r="C6897" s="64" t="n"/>
      <c r="D6897" s="64" t="n"/>
      <c r="E6897" s="63" t="n"/>
    </row>
    <row r="6898" ht="18" customHeight="1">
      <c r="A6898" s="62" t="n"/>
      <c r="B6898" s="63" t="n"/>
      <c r="C6898" s="64" t="n"/>
      <c r="D6898" s="64" t="n"/>
      <c r="E6898" s="63" t="n"/>
    </row>
    <row r="6899" ht="18" customHeight="1">
      <c r="A6899" s="62" t="n"/>
      <c r="B6899" s="63" t="n"/>
      <c r="C6899" s="64" t="n"/>
      <c r="D6899" s="64" t="n"/>
      <c r="E6899" s="63" t="n"/>
    </row>
    <row r="6900" ht="18" customHeight="1">
      <c r="A6900" s="62" t="n"/>
      <c r="B6900" s="63" t="n"/>
      <c r="C6900" s="64" t="n"/>
      <c r="D6900" s="64" t="n"/>
      <c r="E6900" s="63" t="n"/>
    </row>
    <row r="6901" ht="18" customHeight="1">
      <c r="A6901" s="62" t="n"/>
      <c r="B6901" s="63" t="n"/>
      <c r="C6901" s="64" t="n"/>
      <c r="D6901" s="64" t="n"/>
      <c r="E6901" s="63" t="n"/>
    </row>
    <row r="6902" ht="18" customHeight="1">
      <c r="A6902" s="62" t="n"/>
      <c r="B6902" s="63" t="n"/>
      <c r="C6902" s="64" t="n"/>
      <c r="D6902" s="64" t="n"/>
      <c r="E6902" s="63" t="n"/>
    </row>
    <row r="6903" ht="18" customHeight="1">
      <c r="A6903" s="62" t="n"/>
      <c r="B6903" s="63" t="n"/>
      <c r="C6903" s="64" t="n"/>
      <c r="D6903" s="64" t="n"/>
      <c r="E6903" s="63" t="n"/>
    </row>
    <row r="6904" ht="18" customHeight="1">
      <c r="A6904" s="62" t="n"/>
      <c r="B6904" s="63" t="n"/>
      <c r="C6904" s="64" t="n"/>
      <c r="D6904" s="64" t="n"/>
      <c r="E6904" s="63" t="n"/>
    </row>
    <row r="6905" ht="18" customHeight="1">
      <c r="A6905" s="62" t="n"/>
      <c r="B6905" s="63" t="n"/>
      <c r="C6905" s="64" t="n"/>
      <c r="D6905" s="64" t="n"/>
      <c r="E6905" s="63" t="n"/>
    </row>
    <row r="6906" ht="18" customHeight="1">
      <c r="A6906" s="62" t="n"/>
      <c r="B6906" s="63" t="n"/>
      <c r="C6906" s="64" t="n"/>
      <c r="D6906" s="64" t="n"/>
      <c r="E6906" s="63" t="n"/>
    </row>
    <row r="6907" ht="18" customHeight="1">
      <c r="A6907" s="62" t="n"/>
      <c r="B6907" s="63" t="n"/>
      <c r="C6907" s="64" t="n"/>
      <c r="D6907" s="64" t="n"/>
      <c r="E6907" s="63" t="n"/>
    </row>
    <row r="6908" ht="18" customHeight="1">
      <c r="A6908" s="62" t="n"/>
      <c r="B6908" s="63" t="n"/>
      <c r="C6908" s="64" t="n"/>
      <c r="D6908" s="64" t="n"/>
      <c r="E6908" s="63" t="n"/>
    </row>
    <row r="6909" ht="18" customHeight="1">
      <c r="A6909" s="62" t="n"/>
      <c r="B6909" s="63" t="n"/>
      <c r="C6909" s="64" t="n"/>
      <c r="D6909" s="64" t="n"/>
      <c r="E6909" s="63" t="n"/>
    </row>
    <row r="6910" ht="18" customHeight="1">
      <c r="A6910" s="62" t="n"/>
      <c r="B6910" s="63" t="n"/>
      <c r="C6910" s="64" t="n"/>
      <c r="D6910" s="64" t="n"/>
      <c r="E6910" s="63" t="n"/>
    </row>
    <row r="6911" ht="18" customHeight="1">
      <c r="A6911" s="62" t="n"/>
      <c r="B6911" s="63" t="n"/>
      <c r="C6911" s="64" t="n"/>
      <c r="D6911" s="64" t="n"/>
      <c r="E6911" s="63" t="n"/>
    </row>
    <row r="6912" ht="18" customHeight="1">
      <c r="A6912" s="62" t="n"/>
      <c r="B6912" s="63" t="n"/>
      <c r="C6912" s="64" t="n"/>
      <c r="D6912" s="64" t="n"/>
      <c r="E6912" s="63" t="n"/>
    </row>
    <row r="6913" ht="18" customHeight="1">
      <c r="A6913" s="62" t="n"/>
      <c r="B6913" s="63" t="n"/>
      <c r="C6913" s="64" t="n"/>
      <c r="D6913" s="64" t="n"/>
      <c r="E6913" s="63" t="n"/>
    </row>
    <row r="6914" ht="18" customHeight="1">
      <c r="A6914" s="62" t="n"/>
      <c r="B6914" s="63" t="n"/>
      <c r="C6914" s="64" t="n"/>
      <c r="D6914" s="64" t="n"/>
      <c r="E6914" s="63" t="n"/>
    </row>
    <row r="6915" ht="18" customHeight="1">
      <c r="A6915" s="62" t="n"/>
      <c r="B6915" s="63" t="n"/>
      <c r="C6915" s="64" t="n"/>
      <c r="D6915" s="64" t="n"/>
      <c r="E6915" s="63" t="n"/>
    </row>
    <row r="6916" ht="18" customHeight="1">
      <c r="A6916" s="62" t="n"/>
      <c r="B6916" s="63" t="n"/>
      <c r="C6916" s="64" t="n"/>
      <c r="D6916" s="64" t="n"/>
      <c r="E6916" s="63" t="n"/>
    </row>
    <row r="6917" ht="18" customHeight="1">
      <c r="A6917" s="62" t="n"/>
      <c r="B6917" s="63" t="n"/>
      <c r="C6917" s="64" t="n"/>
      <c r="D6917" s="64" t="n"/>
      <c r="E6917" s="63" t="n"/>
    </row>
    <row r="6918" ht="18" customHeight="1">
      <c r="A6918" s="62" t="n"/>
      <c r="B6918" s="63" t="n"/>
      <c r="C6918" s="64" t="n"/>
      <c r="D6918" s="64" t="n"/>
      <c r="E6918" s="63" t="n"/>
    </row>
    <row r="6919" ht="18" customHeight="1">
      <c r="A6919" s="62" t="n"/>
      <c r="B6919" s="63" t="n"/>
      <c r="C6919" s="64" t="n"/>
      <c r="D6919" s="64" t="n"/>
      <c r="E6919" s="63" t="n"/>
    </row>
    <row r="6920" ht="18" customHeight="1">
      <c r="A6920" s="62" t="n"/>
      <c r="B6920" s="63" t="n"/>
      <c r="C6920" s="64" t="n"/>
      <c r="D6920" s="64" t="n"/>
      <c r="E6920" s="63" t="n"/>
    </row>
    <row r="6921" ht="18" customHeight="1">
      <c r="A6921" s="62" t="n"/>
      <c r="B6921" s="63" t="n"/>
      <c r="C6921" s="64" t="n"/>
      <c r="D6921" s="64" t="n"/>
      <c r="E6921" s="63" t="n"/>
    </row>
    <row r="6922" ht="18" customHeight="1">
      <c r="A6922" s="62" t="n"/>
      <c r="B6922" s="63" t="n"/>
      <c r="C6922" s="64" t="n"/>
      <c r="D6922" s="64" t="n"/>
      <c r="E6922" s="63" t="n"/>
    </row>
    <row r="6923" ht="18" customHeight="1">
      <c r="A6923" s="62" t="n"/>
      <c r="B6923" s="63" t="n"/>
      <c r="C6923" s="64" t="n"/>
      <c r="D6923" s="64" t="n"/>
      <c r="E6923" s="63" t="n"/>
    </row>
    <row r="6924" ht="18" customHeight="1">
      <c r="A6924" s="62" t="n"/>
      <c r="B6924" s="63" t="n"/>
      <c r="C6924" s="64" t="n"/>
      <c r="D6924" s="64" t="n"/>
      <c r="E6924" s="63" t="n"/>
    </row>
    <row r="6925" ht="18" customHeight="1">
      <c r="A6925" s="62" t="n"/>
      <c r="B6925" s="63" t="n"/>
      <c r="C6925" s="64" t="n"/>
      <c r="D6925" s="64" t="n"/>
      <c r="E6925" s="63" t="n"/>
    </row>
    <row r="6926" ht="18" customHeight="1">
      <c r="A6926" s="62" t="n"/>
      <c r="B6926" s="63" t="n"/>
      <c r="C6926" s="64" t="n"/>
      <c r="D6926" s="64" t="n"/>
      <c r="E6926" s="63" t="n"/>
    </row>
    <row r="6927" ht="18" customHeight="1">
      <c r="A6927" s="62" t="n"/>
      <c r="B6927" s="63" t="n"/>
      <c r="C6927" s="64" t="n"/>
      <c r="D6927" s="64" t="n"/>
      <c r="E6927" s="63" t="n"/>
    </row>
    <row r="6928" ht="18" customHeight="1">
      <c r="A6928" s="62" t="n"/>
      <c r="B6928" s="63" t="n"/>
      <c r="C6928" s="64" t="n"/>
      <c r="D6928" s="64" t="n"/>
      <c r="E6928" s="63" t="n"/>
    </row>
    <row r="6929" ht="18" customHeight="1">
      <c r="A6929" s="62" t="n"/>
      <c r="B6929" s="63" t="n"/>
      <c r="C6929" s="64" t="n"/>
      <c r="D6929" s="64" t="n"/>
      <c r="E6929" s="63" t="n"/>
    </row>
    <row r="6930" ht="18" customHeight="1">
      <c r="A6930" s="62" t="n"/>
      <c r="B6930" s="63" t="n"/>
      <c r="C6930" s="64" t="n"/>
      <c r="D6930" s="64" t="n"/>
      <c r="E6930" s="63" t="n"/>
    </row>
    <row r="6931" ht="18" customHeight="1">
      <c r="A6931" s="62" t="n"/>
      <c r="B6931" s="63" t="n"/>
      <c r="C6931" s="64" t="n"/>
      <c r="D6931" s="64" t="n"/>
      <c r="E6931" s="63" t="n"/>
    </row>
    <row r="6932" ht="18" customHeight="1">
      <c r="A6932" s="62" t="n"/>
      <c r="B6932" s="63" t="n"/>
      <c r="C6932" s="64" t="n"/>
      <c r="D6932" s="64" t="n"/>
      <c r="E6932" s="63" t="n"/>
    </row>
    <row r="6933" ht="18" customHeight="1">
      <c r="A6933" s="62" t="n"/>
      <c r="B6933" s="63" t="n"/>
      <c r="C6933" s="64" t="n"/>
      <c r="D6933" s="64" t="n"/>
      <c r="E6933" s="63" t="n"/>
    </row>
    <row r="6934" ht="18" customHeight="1">
      <c r="A6934" s="62" t="n"/>
      <c r="B6934" s="63" t="n"/>
      <c r="C6934" s="64" t="n"/>
      <c r="D6934" s="64" t="n"/>
      <c r="E6934" s="63" t="n"/>
    </row>
    <row r="6935" ht="18" customHeight="1">
      <c r="A6935" s="62" t="n"/>
      <c r="B6935" s="63" t="n"/>
      <c r="C6935" s="64" t="n"/>
      <c r="D6935" s="64" t="n"/>
      <c r="E6935" s="63" t="n"/>
    </row>
    <row r="6936" ht="18" customHeight="1">
      <c r="A6936" s="62" t="n"/>
      <c r="B6936" s="63" t="n"/>
      <c r="C6936" s="64" t="n"/>
      <c r="D6936" s="64" t="n"/>
      <c r="E6936" s="63" t="n"/>
    </row>
    <row r="6937" ht="18" customHeight="1">
      <c r="A6937" s="62" t="n"/>
      <c r="B6937" s="63" t="n"/>
      <c r="C6937" s="64" t="n"/>
      <c r="D6937" s="64" t="n"/>
      <c r="E6937" s="63" t="n"/>
    </row>
    <row r="6938" ht="18" customHeight="1">
      <c r="A6938" s="62" t="n"/>
      <c r="B6938" s="63" t="n"/>
      <c r="C6938" s="64" t="n"/>
      <c r="D6938" s="64" t="n"/>
      <c r="E6938" s="63" t="n"/>
    </row>
    <row r="6939" ht="18" customHeight="1">
      <c r="A6939" s="62" t="n"/>
      <c r="B6939" s="63" t="n"/>
      <c r="C6939" s="64" t="n"/>
      <c r="D6939" s="64" t="n"/>
      <c r="E6939" s="63" t="n"/>
    </row>
    <row r="6940" ht="18" customHeight="1">
      <c r="A6940" s="62" t="n"/>
      <c r="B6940" s="63" t="n"/>
      <c r="C6940" s="64" t="n"/>
      <c r="D6940" s="64" t="n"/>
      <c r="E6940" s="63" t="n"/>
    </row>
    <row r="6941" ht="18" customHeight="1">
      <c r="A6941" s="62" t="n"/>
      <c r="B6941" s="63" t="n"/>
      <c r="C6941" s="64" t="n"/>
      <c r="D6941" s="64" t="n"/>
      <c r="E6941" s="63" t="n"/>
    </row>
    <row r="6942" ht="18" customHeight="1">
      <c r="A6942" s="62" t="n"/>
      <c r="B6942" s="63" t="n"/>
      <c r="C6942" s="64" t="n"/>
      <c r="D6942" s="64" t="n"/>
      <c r="E6942" s="63" t="n"/>
    </row>
    <row r="6943" ht="18" customHeight="1">
      <c r="A6943" s="62" t="n"/>
      <c r="B6943" s="63" t="n"/>
      <c r="C6943" s="64" t="n"/>
      <c r="D6943" s="64" t="n"/>
      <c r="E6943" s="63" t="n"/>
    </row>
    <row r="6944" ht="18" customHeight="1">
      <c r="A6944" s="62" t="n"/>
      <c r="B6944" s="63" t="n"/>
      <c r="C6944" s="64" t="n"/>
      <c r="D6944" s="64" t="n"/>
      <c r="E6944" s="63" t="n"/>
    </row>
    <row r="6945" ht="18" customHeight="1">
      <c r="A6945" s="62" t="n"/>
      <c r="B6945" s="63" t="n"/>
      <c r="C6945" s="64" t="n"/>
      <c r="D6945" s="64" t="n"/>
      <c r="E6945" s="63" t="n"/>
    </row>
    <row r="6946" ht="18" customHeight="1">
      <c r="A6946" s="62" t="n"/>
      <c r="B6946" s="63" t="n"/>
      <c r="C6946" s="64" t="n"/>
      <c r="D6946" s="64" t="n"/>
      <c r="E6946" s="63" t="n"/>
    </row>
    <row r="6947" ht="18" customHeight="1">
      <c r="A6947" s="62" t="n"/>
      <c r="B6947" s="63" t="n"/>
      <c r="C6947" s="64" t="n"/>
      <c r="D6947" s="64" t="n"/>
      <c r="E6947" s="63" t="n"/>
    </row>
    <row r="6948" ht="18" customHeight="1">
      <c r="A6948" s="62" t="n"/>
      <c r="B6948" s="63" t="n"/>
      <c r="C6948" s="64" t="n"/>
      <c r="D6948" s="64" t="n"/>
      <c r="E6948" s="63" t="n"/>
    </row>
    <row r="6949" ht="18" customHeight="1">
      <c r="A6949" s="62" t="n"/>
      <c r="B6949" s="63" t="n"/>
      <c r="C6949" s="64" t="n"/>
      <c r="D6949" s="64" t="n"/>
      <c r="E6949" s="63" t="n"/>
    </row>
    <row r="6950" ht="18" customHeight="1">
      <c r="A6950" s="62" t="n"/>
      <c r="B6950" s="63" t="n"/>
      <c r="C6950" s="64" t="n"/>
      <c r="D6950" s="64" t="n"/>
      <c r="E6950" s="63" t="n"/>
    </row>
    <row r="6951" ht="18" customHeight="1">
      <c r="A6951" s="62" t="n"/>
      <c r="B6951" s="63" t="n"/>
      <c r="C6951" s="64" t="n"/>
      <c r="D6951" s="64" t="n"/>
      <c r="E6951" s="63" t="n"/>
    </row>
    <row r="6952" ht="18" customHeight="1">
      <c r="A6952" s="62" t="n"/>
      <c r="B6952" s="63" t="n"/>
      <c r="C6952" s="64" t="n"/>
      <c r="D6952" s="64" t="n"/>
      <c r="E6952" s="63" t="n"/>
    </row>
    <row r="6953" ht="18" customHeight="1">
      <c r="A6953" s="62" t="n"/>
      <c r="B6953" s="63" t="n"/>
      <c r="C6953" s="64" t="n"/>
      <c r="D6953" s="64" t="n"/>
      <c r="E6953" s="63" t="n"/>
    </row>
    <row r="6954" ht="18" customHeight="1">
      <c r="A6954" s="62" t="n"/>
      <c r="B6954" s="63" t="n"/>
      <c r="C6954" s="64" t="n"/>
      <c r="D6954" s="64" t="n"/>
      <c r="E6954" s="63" t="n"/>
    </row>
    <row r="6955" ht="18" customHeight="1">
      <c r="A6955" s="62" t="n"/>
      <c r="B6955" s="63" t="n"/>
      <c r="C6955" s="64" t="n"/>
      <c r="D6955" s="64" t="n"/>
      <c r="E6955" s="63" t="n"/>
    </row>
    <row r="6956" ht="18" customHeight="1">
      <c r="A6956" s="62" t="n"/>
      <c r="B6956" s="63" t="n"/>
      <c r="C6956" s="64" t="n"/>
      <c r="D6956" s="64" t="n"/>
      <c r="E6956" s="63" t="n"/>
    </row>
    <row r="6957" ht="18" customHeight="1">
      <c r="A6957" s="62" t="n"/>
      <c r="B6957" s="63" t="n"/>
      <c r="C6957" s="64" t="n"/>
      <c r="D6957" s="64" t="n"/>
      <c r="E6957" s="63" t="n"/>
    </row>
    <row r="6958" ht="18" customHeight="1">
      <c r="A6958" s="62" t="n"/>
      <c r="B6958" s="63" t="n"/>
      <c r="C6958" s="64" t="n"/>
      <c r="D6958" s="64" t="n"/>
      <c r="E6958" s="63" t="n"/>
    </row>
    <row r="6959" ht="18" customHeight="1">
      <c r="A6959" s="62" t="n"/>
      <c r="B6959" s="63" t="n"/>
      <c r="C6959" s="64" t="n"/>
      <c r="D6959" s="64" t="n"/>
      <c r="E6959" s="63" t="n"/>
    </row>
    <row r="6960" ht="18" customHeight="1">
      <c r="A6960" s="62" t="n"/>
      <c r="B6960" s="63" t="n"/>
      <c r="C6960" s="64" t="n"/>
      <c r="D6960" s="64" t="n"/>
      <c r="E6960" s="63" t="n"/>
    </row>
    <row r="6961" ht="18" customHeight="1">
      <c r="A6961" s="62" t="n"/>
      <c r="B6961" s="63" t="n"/>
      <c r="C6961" s="64" t="n"/>
      <c r="D6961" s="64" t="n"/>
      <c r="E6961" s="63" t="n"/>
    </row>
    <row r="6962" ht="18" customHeight="1">
      <c r="A6962" s="62" t="n"/>
      <c r="B6962" s="63" t="n"/>
      <c r="C6962" s="64" t="n"/>
      <c r="D6962" s="64" t="n"/>
      <c r="E6962" s="63" t="n"/>
    </row>
    <row r="6963" ht="18" customHeight="1">
      <c r="A6963" s="62" t="n"/>
      <c r="B6963" s="63" t="n"/>
      <c r="C6963" s="64" t="n"/>
      <c r="D6963" s="64" t="n"/>
      <c r="E6963" s="63" t="n"/>
    </row>
    <row r="6964" ht="18" customHeight="1">
      <c r="A6964" s="62" t="n"/>
      <c r="B6964" s="63" t="n"/>
      <c r="C6964" s="64" t="n"/>
      <c r="D6964" s="64" t="n"/>
      <c r="E6964" s="63" t="n"/>
    </row>
    <row r="6965" ht="18" customHeight="1">
      <c r="A6965" s="62" t="n"/>
      <c r="B6965" s="63" t="n"/>
      <c r="C6965" s="64" t="n"/>
      <c r="D6965" s="64" t="n"/>
      <c r="E6965" s="63" t="n"/>
    </row>
    <row r="6966" ht="18" customHeight="1">
      <c r="A6966" s="62" t="n"/>
      <c r="B6966" s="63" t="n"/>
      <c r="C6966" s="64" t="n"/>
      <c r="D6966" s="64" t="n"/>
      <c r="E6966" s="63" t="n"/>
    </row>
    <row r="6967" ht="18" customHeight="1">
      <c r="A6967" s="62" t="n"/>
      <c r="B6967" s="63" t="n"/>
      <c r="C6967" s="64" t="n"/>
      <c r="D6967" s="64" t="n"/>
      <c r="E6967" s="63" t="n"/>
    </row>
    <row r="6968" ht="18" customHeight="1">
      <c r="A6968" s="62" t="n"/>
      <c r="B6968" s="63" t="n"/>
      <c r="C6968" s="64" t="n"/>
      <c r="D6968" s="64" t="n"/>
      <c r="E6968" s="63" t="n"/>
    </row>
    <row r="6969" ht="18" customHeight="1">
      <c r="A6969" s="62" t="n"/>
      <c r="B6969" s="63" t="n"/>
      <c r="C6969" s="64" t="n"/>
      <c r="D6969" s="64" t="n"/>
      <c r="E6969" s="63" t="n"/>
    </row>
    <row r="6970" ht="18" customHeight="1">
      <c r="A6970" s="62" t="n"/>
      <c r="B6970" s="63" t="n"/>
      <c r="C6970" s="64" t="n"/>
      <c r="D6970" s="64" t="n"/>
      <c r="E6970" s="63" t="n"/>
    </row>
    <row r="6971" ht="18" customHeight="1">
      <c r="A6971" s="62" t="n"/>
      <c r="B6971" s="63" t="n"/>
      <c r="C6971" s="64" t="n"/>
      <c r="D6971" s="64" t="n"/>
      <c r="E6971" s="63" t="n"/>
    </row>
    <row r="6972" ht="18" customHeight="1">
      <c r="A6972" s="62" t="n"/>
      <c r="B6972" s="63" t="n"/>
      <c r="C6972" s="64" t="n"/>
      <c r="D6972" s="64" t="n"/>
      <c r="E6972" s="63" t="n"/>
    </row>
    <row r="6973" ht="18" customHeight="1">
      <c r="A6973" s="62" t="n"/>
      <c r="B6973" s="63" t="n"/>
      <c r="C6973" s="64" t="n"/>
      <c r="D6973" s="64" t="n"/>
      <c r="E6973" s="63" t="n"/>
    </row>
    <row r="6974" ht="18" customHeight="1">
      <c r="A6974" s="62" t="n"/>
      <c r="B6974" s="63" t="n"/>
      <c r="C6974" s="64" t="n"/>
      <c r="D6974" s="64" t="n"/>
      <c r="E6974" s="63" t="n"/>
    </row>
    <row r="6975" ht="18" customHeight="1">
      <c r="A6975" s="62" t="n"/>
      <c r="B6975" s="63" t="n"/>
      <c r="C6975" s="64" t="n"/>
      <c r="D6975" s="64" t="n"/>
      <c r="E6975" s="63" t="n"/>
    </row>
    <row r="6976" ht="18" customHeight="1">
      <c r="A6976" s="62" t="n"/>
      <c r="B6976" s="63" t="n"/>
      <c r="C6976" s="64" t="n"/>
      <c r="D6976" s="64" t="n"/>
      <c r="E6976" s="63" t="n"/>
    </row>
    <row r="6977" ht="18" customHeight="1">
      <c r="A6977" s="62" t="n"/>
      <c r="B6977" s="63" t="n"/>
      <c r="C6977" s="64" t="n"/>
      <c r="D6977" s="64" t="n"/>
      <c r="E6977" s="63" t="n"/>
    </row>
    <row r="6978" ht="18" customHeight="1">
      <c r="A6978" s="62" t="n"/>
      <c r="B6978" s="63" t="n"/>
      <c r="C6978" s="64" t="n"/>
      <c r="D6978" s="64" t="n"/>
      <c r="E6978" s="63" t="n"/>
    </row>
    <row r="6979" ht="18" customHeight="1">
      <c r="A6979" s="62" t="n"/>
      <c r="B6979" s="63" t="n"/>
      <c r="C6979" s="64" t="n"/>
      <c r="D6979" s="64" t="n"/>
      <c r="E6979" s="63" t="n"/>
    </row>
    <row r="6980" ht="18" customHeight="1">
      <c r="A6980" s="62" t="n"/>
      <c r="B6980" s="63" t="n"/>
      <c r="C6980" s="64" t="n"/>
      <c r="D6980" s="64" t="n"/>
      <c r="E6980" s="63" t="n"/>
    </row>
    <row r="6981" ht="18" customHeight="1">
      <c r="A6981" s="62" t="n"/>
      <c r="B6981" s="63" t="n"/>
      <c r="C6981" s="64" t="n"/>
      <c r="D6981" s="64" t="n"/>
      <c r="E6981" s="63" t="n"/>
    </row>
    <row r="6982" ht="18" customHeight="1">
      <c r="A6982" s="62" t="n"/>
      <c r="B6982" s="63" t="n"/>
      <c r="C6982" s="64" t="n"/>
      <c r="D6982" s="64" t="n"/>
      <c r="E6982" s="63" t="n"/>
    </row>
    <row r="6983" ht="18" customHeight="1">
      <c r="A6983" s="62" t="n"/>
      <c r="B6983" s="63" t="n"/>
      <c r="C6983" s="64" t="n"/>
      <c r="D6983" s="64" t="n"/>
      <c r="E6983" s="63" t="n"/>
    </row>
    <row r="6984" ht="18" customHeight="1">
      <c r="A6984" s="62" t="n"/>
      <c r="B6984" s="63" t="n"/>
      <c r="C6984" s="64" t="n"/>
      <c r="D6984" s="64" t="n"/>
      <c r="E6984" s="63" t="n"/>
    </row>
    <row r="6985" ht="18" customHeight="1">
      <c r="A6985" s="62" t="n"/>
      <c r="B6985" s="63" t="n"/>
      <c r="C6985" s="64" t="n"/>
      <c r="D6985" s="64" t="n"/>
      <c r="E6985" s="63" t="n"/>
    </row>
    <row r="6986" ht="18" customHeight="1">
      <c r="A6986" s="62" t="n"/>
      <c r="B6986" s="63" t="n"/>
      <c r="C6986" s="64" t="n"/>
      <c r="D6986" s="64" t="n"/>
      <c r="E6986" s="63" t="n"/>
    </row>
    <row r="6987" ht="18" customHeight="1">
      <c r="A6987" s="62" t="n"/>
      <c r="B6987" s="63" t="n"/>
      <c r="C6987" s="64" t="n"/>
      <c r="D6987" s="64" t="n"/>
      <c r="E6987" s="63" t="n"/>
    </row>
    <row r="6988" ht="18" customHeight="1">
      <c r="A6988" s="62" t="n"/>
      <c r="B6988" s="63" t="n"/>
      <c r="C6988" s="64" t="n"/>
      <c r="D6988" s="64" t="n"/>
      <c r="E6988" s="63" t="n"/>
    </row>
    <row r="6989" ht="18" customHeight="1">
      <c r="A6989" s="62" t="n"/>
      <c r="B6989" s="63" t="n"/>
      <c r="C6989" s="64" t="n"/>
      <c r="D6989" s="64" t="n"/>
      <c r="E6989" s="63" t="n"/>
    </row>
    <row r="6990" ht="18" customHeight="1">
      <c r="A6990" s="62" t="n"/>
      <c r="B6990" s="63" t="n"/>
      <c r="C6990" s="64" t="n"/>
      <c r="D6990" s="64" t="n"/>
      <c r="E6990" s="63" t="n"/>
    </row>
    <row r="6991" ht="18" customHeight="1">
      <c r="A6991" s="62" t="n"/>
      <c r="B6991" s="63" t="n"/>
      <c r="C6991" s="64" t="n"/>
      <c r="D6991" s="64" t="n"/>
      <c r="E6991" s="63" t="n"/>
    </row>
    <row r="6992" ht="18" customHeight="1">
      <c r="A6992" s="62" t="n"/>
      <c r="B6992" s="63" t="n"/>
      <c r="C6992" s="64" t="n"/>
      <c r="D6992" s="64" t="n"/>
      <c r="E6992" s="63" t="n"/>
    </row>
    <row r="6993" ht="18" customHeight="1">
      <c r="A6993" s="62" t="n"/>
      <c r="B6993" s="63" t="n"/>
      <c r="C6993" s="64" t="n"/>
      <c r="D6993" s="64" t="n"/>
      <c r="E6993" s="63" t="n"/>
    </row>
    <row r="6994" ht="18" customHeight="1">
      <c r="A6994" s="62" t="n"/>
      <c r="B6994" s="63" t="n"/>
      <c r="C6994" s="64" t="n"/>
      <c r="D6994" s="64" t="n"/>
      <c r="E6994" s="63" t="n"/>
    </row>
    <row r="6995" ht="18" customHeight="1">
      <c r="A6995" s="62" t="n"/>
      <c r="B6995" s="63" t="n"/>
      <c r="C6995" s="64" t="n"/>
      <c r="D6995" s="64" t="n"/>
      <c r="E6995" s="63" t="n"/>
    </row>
    <row r="6996" ht="18" customHeight="1">
      <c r="A6996" s="62" t="n"/>
      <c r="B6996" s="63" t="n"/>
      <c r="C6996" s="64" t="n"/>
      <c r="D6996" s="64" t="n"/>
      <c r="E6996" s="63" t="n"/>
    </row>
    <row r="6997" ht="18" customHeight="1">
      <c r="A6997" s="62" t="n"/>
      <c r="B6997" s="63" t="n"/>
      <c r="C6997" s="64" t="n"/>
      <c r="D6997" s="64" t="n"/>
      <c r="E6997" s="63" t="n"/>
    </row>
    <row r="6998" ht="18" customHeight="1">
      <c r="A6998" s="62" t="n"/>
      <c r="B6998" s="63" t="n"/>
      <c r="C6998" s="64" t="n"/>
      <c r="D6998" s="64" t="n"/>
      <c r="E6998" s="63" t="n"/>
    </row>
    <row r="6999" ht="18" customHeight="1">
      <c r="A6999" s="62" t="n"/>
      <c r="B6999" s="63" t="n"/>
      <c r="C6999" s="64" t="n"/>
      <c r="D6999" s="64" t="n"/>
      <c r="E6999" s="63" t="n"/>
    </row>
    <row r="7000" ht="18" customHeight="1">
      <c r="A7000" s="62" t="n"/>
      <c r="B7000" s="63" t="n"/>
      <c r="C7000" s="64" t="n"/>
      <c r="D7000" s="64" t="n"/>
      <c r="E7000" s="63" t="n"/>
    </row>
    <row r="7001" ht="18" customHeight="1">
      <c r="A7001" s="62" t="n"/>
      <c r="B7001" s="63" t="n"/>
      <c r="C7001" s="64" t="n"/>
      <c r="D7001" s="64" t="n"/>
      <c r="E7001" s="63" t="n"/>
    </row>
    <row r="7002" ht="18" customHeight="1">
      <c r="A7002" s="62" t="n"/>
      <c r="B7002" s="63" t="n"/>
      <c r="C7002" s="64" t="n"/>
      <c r="D7002" s="64" t="n"/>
      <c r="E7002" s="63" t="n"/>
    </row>
    <row r="7003" ht="18" customHeight="1">
      <c r="A7003" s="62" t="n"/>
      <c r="B7003" s="63" t="n"/>
      <c r="C7003" s="64" t="n"/>
      <c r="D7003" s="64" t="n"/>
      <c r="E7003" s="63" t="n"/>
    </row>
    <row r="7004" ht="18" customHeight="1">
      <c r="A7004" s="62" t="n"/>
      <c r="B7004" s="63" t="n"/>
      <c r="C7004" s="64" t="n"/>
      <c r="D7004" s="64" t="n"/>
      <c r="E7004" s="63" t="n"/>
    </row>
    <row r="7005" ht="18" customHeight="1">
      <c r="A7005" s="62" t="n"/>
      <c r="B7005" s="63" t="n"/>
      <c r="C7005" s="64" t="n"/>
      <c r="D7005" s="64" t="n"/>
      <c r="E7005" s="63" t="n"/>
    </row>
    <row r="7006" ht="18" customHeight="1">
      <c r="A7006" s="62" t="n"/>
      <c r="B7006" s="63" t="n"/>
      <c r="C7006" s="64" t="n"/>
      <c r="D7006" s="64" t="n"/>
      <c r="E7006" s="63" t="n"/>
    </row>
    <row r="7007" ht="18" customHeight="1">
      <c r="A7007" s="62" t="n"/>
      <c r="B7007" s="63" t="n"/>
      <c r="C7007" s="64" t="n"/>
      <c r="D7007" s="64" t="n"/>
      <c r="E7007" s="63" t="n"/>
    </row>
    <row r="7008" ht="18" customHeight="1">
      <c r="A7008" s="62" t="n"/>
      <c r="B7008" s="63" t="n"/>
      <c r="C7008" s="64" t="n"/>
      <c r="D7008" s="64" t="n"/>
      <c r="E7008" s="63" t="n"/>
    </row>
    <row r="7009" ht="18" customHeight="1">
      <c r="A7009" s="62" t="n"/>
      <c r="B7009" s="63" t="n"/>
      <c r="C7009" s="64" t="n"/>
      <c r="D7009" s="64" t="n"/>
      <c r="E7009" s="63" t="n"/>
    </row>
    <row r="7010" ht="18" customHeight="1">
      <c r="A7010" s="62" t="n"/>
      <c r="B7010" s="63" t="n"/>
      <c r="C7010" s="64" t="n"/>
      <c r="D7010" s="64" t="n"/>
      <c r="E7010" s="63" t="n"/>
    </row>
    <row r="7011" ht="18" customHeight="1">
      <c r="A7011" s="62" t="n"/>
      <c r="B7011" s="63" t="n"/>
      <c r="C7011" s="64" t="n"/>
      <c r="D7011" s="64" t="n"/>
      <c r="E7011" s="63" t="n"/>
    </row>
    <row r="7012" ht="18" customHeight="1">
      <c r="A7012" s="62" t="n"/>
      <c r="B7012" s="63" t="n"/>
      <c r="C7012" s="64" t="n"/>
      <c r="D7012" s="64" t="n"/>
      <c r="E7012" s="63" t="n"/>
    </row>
    <row r="7013" ht="18" customHeight="1">
      <c r="A7013" s="62" t="n"/>
      <c r="B7013" s="63" t="n"/>
      <c r="C7013" s="64" t="n"/>
      <c r="D7013" s="64" t="n"/>
      <c r="E7013" s="63" t="n"/>
    </row>
    <row r="7014" ht="18" customHeight="1">
      <c r="A7014" s="62" t="n"/>
      <c r="B7014" s="63" t="n"/>
      <c r="C7014" s="64" t="n"/>
      <c r="D7014" s="64" t="n"/>
      <c r="E7014" s="63" t="n"/>
    </row>
    <row r="7015" ht="18" customHeight="1">
      <c r="A7015" s="62" t="n"/>
      <c r="B7015" s="63" t="n"/>
      <c r="C7015" s="64" t="n"/>
      <c r="D7015" s="64" t="n"/>
      <c r="E7015" s="63" t="n"/>
    </row>
    <row r="7016" ht="18" customHeight="1">
      <c r="A7016" s="62" t="n"/>
      <c r="B7016" s="63" t="n"/>
      <c r="C7016" s="64" t="n"/>
      <c r="D7016" s="64" t="n"/>
      <c r="E7016" s="63" t="n"/>
    </row>
    <row r="7017" ht="18" customHeight="1">
      <c r="A7017" s="62" t="n"/>
      <c r="B7017" s="63" t="n"/>
      <c r="C7017" s="64" t="n"/>
      <c r="D7017" s="64" t="n"/>
      <c r="E7017" s="63" t="n"/>
    </row>
    <row r="7018" ht="18" customHeight="1">
      <c r="A7018" s="62" t="n"/>
      <c r="B7018" s="63" t="n"/>
      <c r="C7018" s="64" t="n"/>
      <c r="D7018" s="64" t="n"/>
      <c r="E7018" s="63" t="n"/>
    </row>
    <row r="7019" ht="18" customHeight="1">
      <c r="A7019" s="62" t="n"/>
      <c r="B7019" s="63" t="n"/>
      <c r="C7019" s="64" t="n"/>
      <c r="D7019" s="64" t="n"/>
      <c r="E7019" s="63" t="n"/>
    </row>
    <row r="7020" ht="18" customHeight="1">
      <c r="A7020" s="62" t="n"/>
      <c r="B7020" s="63" t="n"/>
      <c r="C7020" s="64" t="n"/>
      <c r="D7020" s="64" t="n"/>
      <c r="E7020" s="63" t="n"/>
    </row>
    <row r="7021" ht="18" customHeight="1">
      <c r="A7021" s="62" t="n"/>
      <c r="B7021" s="63" t="n"/>
      <c r="C7021" s="64" t="n"/>
      <c r="D7021" s="64" t="n"/>
      <c r="E7021" s="63" t="n"/>
    </row>
    <row r="7022" ht="18" customHeight="1">
      <c r="A7022" s="62" t="n"/>
      <c r="B7022" s="63" t="n"/>
      <c r="C7022" s="64" t="n"/>
      <c r="D7022" s="64" t="n"/>
      <c r="E7022" s="63" t="n"/>
    </row>
    <row r="7023" ht="18" customHeight="1">
      <c r="A7023" s="62" t="n"/>
      <c r="B7023" s="63" t="n"/>
      <c r="C7023" s="64" t="n"/>
      <c r="D7023" s="64" t="n"/>
      <c r="E7023" s="63" t="n"/>
    </row>
    <row r="7024" ht="18" customHeight="1">
      <c r="A7024" s="62" t="n"/>
      <c r="B7024" s="63" t="n"/>
      <c r="C7024" s="64" t="n"/>
      <c r="D7024" s="64" t="n"/>
      <c r="E7024" s="63" t="n"/>
    </row>
    <row r="7025" ht="18" customHeight="1">
      <c r="A7025" s="62" t="n"/>
      <c r="B7025" s="63" t="n"/>
      <c r="C7025" s="64" t="n"/>
      <c r="D7025" s="64" t="n"/>
      <c r="E7025" s="63" t="n"/>
    </row>
    <row r="7026" ht="18" customHeight="1">
      <c r="A7026" s="62" t="n"/>
      <c r="B7026" s="63" t="n"/>
      <c r="C7026" s="64" t="n"/>
      <c r="D7026" s="64" t="n"/>
      <c r="E7026" s="63" t="n"/>
    </row>
    <row r="7027" ht="18" customHeight="1">
      <c r="A7027" s="62" t="n"/>
      <c r="B7027" s="63" t="n"/>
      <c r="C7027" s="64" t="n"/>
      <c r="D7027" s="64" t="n"/>
      <c r="E7027" s="63" t="n"/>
    </row>
    <row r="7028" ht="18" customHeight="1">
      <c r="A7028" s="62" t="n"/>
      <c r="B7028" s="63" t="n"/>
      <c r="C7028" s="64" t="n"/>
      <c r="D7028" s="64" t="n"/>
      <c r="E7028" s="63" t="n"/>
    </row>
    <row r="7029" ht="18" customHeight="1">
      <c r="A7029" s="62" t="n"/>
      <c r="B7029" s="63" t="n"/>
      <c r="C7029" s="64" t="n"/>
      <c r="D7029" s="64" t="n"/>
      <c r="E7029" s="63" t="n"/>
    </row>
    <row r="7030" ht="18" customHeight="1">
      <c r="A7030" s="62" t="n"/>
      <c r="B7030" s="63" t="n"/>
      <c r="C7030" s="64" t="n"/>
      <c r="D7030" s="64" t="n"/>
      <c r="E7030" s="63" t="n"/>
    </row>
    <row r="7031" ht="18" customHeight="1">
      <c r="A7031" s="62" t="n"/>
      <c r="B7031" s="63" t="n"/>
      <c r="C7031" s="64" t="n"/>
      <c r="D7031" s="64" t="n"/>
      <c r="E7031" s="63" t="n"/>
    </row>
    <row r="7032" ht="18" customHeight="1">
      <c r="A7032" s="62" t="n"/>
      <c r="B7032" s="63" t="n"/>
      <c r="C7032" s="64" t="n"/>
      <c r="D7032" s="64" t="n"/>
      <c r="E7032" s="63" t="n"/>
    </row>
    <row r="7033" ht="18" customHeight="1">
      <c r="A7033" s="62" t="n"/>
      <c r="B7033" s="63" t="n"/>
      <c r="C7033" s="64" t="n"/>
      <c r="D7033" s="64" t="n"/>
      <c r="E7033" s="63" t="n"/>
    </row>
    <row r="7034" ht="18" customHeight="1">
      <c r="A7034" s="62" t="n"/>
      <c r="B7034" s="63" t="n"/>
      <c r="C7034" s="64" t="n"/>
      <c r="D7034" s="64" t="n"/>
      <c r="E7034" s="63" t="n"/>
    </row>
    <row r="7035" ht="18" customHeight="1">
      <c r="A7035" s="62" t="n"/>
      <c r="B7035" s="63" t="n"/>
      <c r="C7035" s="64" t="n"/>
      <c r="D7035" s="64" t="n"/>
      <c r="E7035" s="63" t="n"/>
    </row>
    <row r="7036" ht="18" customHeight="1">
      <c r="A7036" s="62" t="n"/>
      <c r="B7036" s="63" t="n"/>
      <c r="C7036" s="64" t="n"/>
      <c r="D7036" s="64" t="n"/>
      <c r="E7036" s="63" t="n"/>
    </row>
    <row r="7037" ht="18" customHeight="1">
      <c r="A7037" s="62" t="n"/>
      <c r="B7037" s="63" t="n"/>
      <c r="C7037" s="64" t="n"/>
      <c r="D7037" s="64" t="n"/>
      <c r="E7037" s="63" t="n"/>
    </row>
    <row r="7038" ht="18" customHeight="1">
      <c r="A7038" s="62" t="n"/>
      <c r="B7038" s="63" t="n"/>
      <c r="C7038" s="64" t="n"/>
      <c r="D7038" s="64" t="n"/>
      <c r="E7038" s="63" t="n"/>
    </row>
    <row r="7039" ht="18" customHeight="1">
      <c r="A7039" s="62" t="n"/>
      <c r="B7039" s="63" t="n"/>
      <c r="C7039" s="64" t="n"/>
      <c r="D7039" s="64" t="n"/>
      <c r="E7039" s="63" t="n"/>
    </row>
    <row r="7040" ht="18" customHeight="1">
      <c r="A7040" s="62" t="n"/>
      <c r="B7040" s="63" t="n"/>
      <c r="C7040" s="64" t="n"/>
      <c r="D7040" s="64" t="n"/>
      <c r="E7040" s="63" t="n"/>
    </row>
    <row r="7041" ht="18" customHeight="1">
      <c r="A7041" s="62" t="n"/>
      <c r="B7041" s="63" t="n"/>
      <c r="C7041" s="64" t="n"/>
      <c r="D7041" s="64" t="n"/>
      <c r="E7041" s="63" t="n"/>
    </row>
    <row r="7042" ht="18" customHeight="1">
      <c r="A7042" s="62" t="n"/>
      <c r="B7042" s="63" t="n"/>
      <c r="C7042" s="64" t="n"/>
      <c r="D7042" s="64" t="n"/>
      <c r="E7042" s="63" t="n"/>
    </row>
    <row r="7043" ht="18" customHeight="1">
      <c r="A7043" s="62" t="n"/>
      <c r="B7043" s="63" t="n"/>
      <c r="C7043" s="64" t="n"/>
      <c r="D7043" s="64" t="n"/>
      <c r="E7043" s="63" t="n"/>
    </row>
    <row r="7044" ht="18" customHeight="1">
      <c r="A7044" s="62" t="n"/>
      <c r="B7044" s="63" t="n"/>
      <c r="C7044" s="64" t="n"/>
      <c r="D7044" s="64" t="n"/>
      <c r="E7044" s="63" t="n"/>
    </row>
    <row r="7045" ht="18" customHeight="1">
      <c r="A7045" s="62" t="n"/>
      <c r="B7045" s="63" t="n"/>
      <c r="C7045" s="64" t="n"/>
      <c r="D7045" s="64" t="n"/>
      <c r="E7045" s="63" t="n"/>
    </row>
    <row r="7046" ht="18" customHeight="1">
      <c r="A7046" s="62" t="n"/>
      <c r="B7046" s="63" t="n"/>
      <c r="C7046" s="64" t="n"/>
      <c r="D7046" s="64" t="n"/>
      <c r="E7046" s="63" t="n"/>
    </row>
    <row r="7047" ht="18" customHeight="1">
      <c r="A7047" s="62" t="n"/>
      <c r="B7047" s="63" t="n"/>
      <c r="C7047" s="64" t="n"/>
      <c r="D7047" s="64" t="n"/>
      <c r="E7047" s="63" t="n"/>
    </row>
    <row r="7048" ht="18" customHeight="1">
      <c r="A7048" s="62" t="n"/>
      <c r="B7048" s="63" t="n"/>
      <c r="C7048" s="64" t="n"/>
      <c r="D7048" s="64" t="n"/>
      <c r="E7048" s="63" t="n"/>
    </row>
    <row r="7049" ht="18" customHeight="1">
      <c r="A7049" s="62" t="n"/>
      <c r="B7049" s="63" t="n"/>
      <c r="C7049" s="64" t="n"/>
      <c r="D7049" s="64" t="n"/>
      <c r="E7049" s="63" t="n"/>
    </row>
    <row r="7050" ht="18" customHeight="1">
      <c r="A7050" s="62" t="n"/>
      <c r="B7050" s="63" t="n"/>
      <c r="C7050" s="64" t="n"/>
      <c r="D7050" s="64" t="n"/>
      <c r="E7050" s="63" t="n"/>
    </row>
    <row r="7051" ht="18" customHeight="1">
      <c r="A7051" s="62" t="n"/>
      <c r="B7051" s="63" t="n"/>
      <c r="C7051" s="64" t="n"/>
      <c r="D7051" s="64" t="n"/>
      <c r="E7051" s="63" t="n"/>
    </row>
    <row r="7052" ht="18" customHeight="1">
      <c r="A7052" s="62" t="n"/>
      <c r="B7052" s="63" t="n"/>
      <c r="C7052" s="64" t="n"/>
      <c r="D7052" s="64" t="n"/>
      <c r="E7052" s="63" t="n"/>
    </row>
    <row r="7053" ht="18" customHeight="1">
      <c r="A7053" s="62" t="n"/>
      <c r="B7053" s="63" t="n"/>
      <c r="C7053" s="64" t="n"/>
      <c r="D7053" s="64" t="n"/>
      <c r="E7053" s="63" t="n"/>
    </row>
    <row r="7054" ht="18" customHeight="1">
      <c r="A7054" s="62" t="n"/>
      <c r="B7054" s="63" t="n"/>
      <c r="C7054" s="64" t="n"/>
      <c r="D7054" s="64" t="n"/>
      <c r="E7054" s="63" t="n"/>
    </row>
    <row r="7055" ht="18" customHeight="1">
      <c r="A7055" s="62" t="n"/>
      <c r="B7055" s="63" t="n"/>
      <c r="C7055" s="64" t="n"/>
      <c r="D7055" s="64" t="n"/>
      <c r="E7055" s="63" t="n"/>
    </row>
    <row r="7056" ht="18" customHeight="1">
      <c r="A7056" s="62" t="n"/>
      <c r="B7056" s="63" t="n"/>
      <c r="C7056" s="64" t="n"/>
      <c r="D7056" s="64" t="n"/>
      <c r="E7056" s="63" t="n"/>
    </row>
    <row r="7057" ht="18" customHeight="1">
      <c r="A7057" s="62" t="n"/>
      <c r="B7057" s="63" t="n"/>
      <c r="C7057" s="64" t="n"/>
      <c r="D7057" s="64" t="n"/>
      <c r="E7057" s="63" t="n"/>
    </row>
    <row r="7058" ht="18" customHeight="1">
      <c r="A7058" s="62" t="n"/>
      <c r="B7058" s="63" t="n"/>
      <c r="C7058" s="64" t="n"/>
      <c r="D7058" s="64" t="n"/>
      <c r="E7058" s="63" t="n"/>
    </row>
    <row r="7059" ht="18" customHeight="1">
      <c r="A7059" s="62" t="n"/>
      <c r="B7059" s="63" t="n"/>
      <c r="C7059" s="64" t="n"/>
      <c r="D7059" s="64" t="n"/>
      <c r="E7059" s="63" t="n"/>
    </row>
    <row r="7060" ht="18" customHeight="1">
      <c r="A7060" s="62" t="n"/>
      <c r="B7060" s="63" t="n"/>
      <c r="C7060" s="64" t="n"/>
      <c r="D7060" s="64" t="n"/>
      <c r="E7060" s="63" t="n"/>
    </row>
    <row r="7061" ht="18" customHeight="1">
      <c r="A7061" s="62" t="n"/>
      <c r="B7061" s="63" t="n"/>
      <c r="C7061" s="64" t="n"/>
      <c r="D7061" s="64" t="n"/>
      <c r="E7061" s="63" t="n"/>
    </row>
    <row r="7062" ht="18" customHeight="1">
      <c r="A7062" s="62" t="n"/>
      <c r="B7062" s="63" t="n"/>
      <c r="C7062" s="64" t="n"/>
      <c r="D7062" s="64" t="n"/>
      <c r="E7062" s="63" t="n"/>
    </row>
    <row r="7063" ht="18" customHeight="1">
      <c r="A7063" s="62" t="n"/>
      <c r="B7063" s="63" t="n"/>
      <c r="C7063" s="64" t="n"/>
      <c r="D7063" s="64" t="n"/>
      <c r="E7063" s="63" t="n"/>
    </row>
    <row r="7064" ht="18" customHeight="1">
      <c r="A7064" s="62" t="n"/>
      <c r="B7064" s="63" t="n"/>
      <c r="C7064" s="64" t="n"/>
      <c r="D7064" s="64" t="n"/>
      <c r="E7064" s="63" t="n"/>
    </row>
    <row r="7065" ht="18" customHeight="1">
      <c r="A7065" s="62" t="n"/>
      <c r="B7065" s="63" t="n"/>
      <c r="C7065" s="64" t="n"/>
      <c r="D7065" s="64" t="n"/>
      <c r="E7065" s="63" t="n"/>
    </row>
    <row r="7066" ht="18" customHeight="1">
      <c r="A7066" s="62" t="n"/>
      <c r="B7066" s="63" t="n"/>
      <c r="C7066" s="64" t="n"/>
      <c r="D7066" s="64" t="n"/>
      <c r="E7066" s="63" t="n"/>
    </row>
    <row r="7067" ht="18" customHeight="1">
      <c r="A7067" s="62" t="n"/>
      <c r="B7067" s="63" t="n"/>
      <c r="C7067" s="64" t="n"/>
      <c r="D7067" s="64" t="n"/>
      <c r="E7067" s="63" t="n"/>
    </row>
    <row r="7068" ht="18" customHeight="1">
      <c r="A7068" s="62" t="n"/>
      <c r="B7068" s="63" t="n"/>
      <c r="C7068" s="64" t="n"/>
      <c r="D7068" s="64" t="n"/>
      <c r="E7068" s="63" t="n"/>
    </row>
    <row r="7069" ht="18" customHeight="1">
      <c r="A7069" s="62" t="n"/>
      <c r="B7069" s="63" t="n"/>
      <c r="C7069" s="64" t="n"/>
      <c r="D7069" s="64" t="n"/>
      <c r="E7069" s="63" t="n"/>
    </row>
    <row r="7070" ht="18" customHeight="1">
      <c r="A7070" s="62" t="n"/>
      <c r="B7070" s="63" t="n"/>
      <c r="C7070" s="64" t="n"/>
      <c r="D7070" s="64" t="n"/>
      <c r="E7070" s="63" t="n"/>
    </row>
    <row r="7071" ht="18" customHeight="1">
      <c r="A7071" s="62" t="n"/>
      <c r="B7071" s="63" t="n"/>
      <c r="C7071" s="64" t="n"/>
      <c r="D7071" s="64" t="n"/>
      <c r="E7071" s="63" t="n"/>
    </row>
    <row r="7072" ht="18" customHeight="1">
      <c r="A7072" s="62" t="n"/>
      <c r="B7072" s="63" t="n"/>
      <c r="C7072" s="64" t="n"/>
      <c r="D7072" s="64" t="n"/>
      <c r="E7072" s="63" t="n"/>
    </row>
    <row r="7073" ht="18" customHeight="1">
      <c r="A7073" s="62" t="n"/>
      <c r="B7073" s="63" t="n"/>
      <c r="C7073" s="64" t="n"/>
      <c r="D7073" s="64" t="n"/>
      <c r="E7073" s="63" t="n"/>
    </row>
    <row r="7074" ht="18" customHeight="1">
      <c r="A7074" s="62" t="n"/>
      <c r="B7074" s="63" t="n"/>
      <c r="C7074" s="64" t="n"/>
      <c r="D7074" s="64" t="n"/>
      <c r="E7074" s="63" t="n"/>
    </row>
    <row r="7075" ht="18" customHeight="1">
      <c r="A7075" s="62" t="n"/>
      <c r="B7075" s="63" t="n"/>
      <c r="C7075" s="64" t="n"/>
      <c r="D7075" s="64" t="n"/>
      <c r="E7075" s="63" t="n"/>
    </row>
    <row r="7076" ht="18" customHeight="1">
      <c r="A7076" s="62" t="n"/>
      <c r="B7076" s="63" t="n"/>
      <c r="C7076" s="64" t="n"/>
      <c r="D7076" s="64" t="n"/>
      <c r="E7076" s="63" t="n"/>
    </row>
    <row r="7077" ht="18" customHeight="1">
      <c r="A7077" s="62" t="n"/>
      <c r="B7077" s="63" t="n"/>
      <c r="C7077" s="64" t="n"/>
      <c r="D7077" s="64" t="n"/>
      <c r="E7077" s="63" t="n"/>
    </row>
    <row r="7078" ht="18" customHeight="1">
      <c r="A7078" s="62" t="n"/>
      <c r="B7078" s="63" t="n"/>
      <c r="C7078" s="64" t="n"/>
      <c r="D7078" s="64" t="n"/>
      <c r="E7078" s="63" t="n"/>
    </row>
    <row r="7079" ht="18" customHeight="1">
      <c r="A7079" s="62" t="n"/>
      <c r="B7079" s="63" t="n"/>
      <c r="C7079" s="64" t="n"/>
      <c r="D7079" s="64" t="n"/>
      <c r="E7079" s="63" t="n"/>
    </row>
    <row r="7080" ht="18" customHeight="1">
      <c r="A7080" s="62" t="n"/>
      <c r="B7080" s="63" t="n"/>
      <c r="C7080" s="64" t="n"/>
      <c r="D7080" s="64" t="n"/>
      <c r="E7080" s="63" t="n"/>
    </row>
    <row r="7081" ht="18" customHeight="1">
      <c r="A7081" s="62" t="n"/>
      <c r="B7081" s="63" t="n"/>
      <c r="C7081" s="64" t="n"/>
      <c r="D7081" s="64" t="n"/>
      <c r="E7081" s="63" t="n"/>
    </row>
    <row r="7082" ht="18" customHeight="1">
      <c r="A7082" s="62" t="n"/>
      <c r="B7082" s="63" t="n"/>
      <c r="C7082" s="64" t="n"/>
      <c r="D7082" s="64" t="n"/>
      <c r="E7082" s="63" t="n"/>
    </row>
    <row r="7083" ht="18" customHeight="1">
      <c r="A7083" s="62" t="n"/>
      <c r="B7083" s="63" t="n"/>
      <c r="C7083" s="64" t="n"/>
      <c r="D7083" s="64" t="n"/>
      <c r="E7083" s="63" t="n"/>
    </row>
    <row r="7084" ht="18" customHeight="1">
      <c r="A7084" s="62" t="n"/>
      <c r="B7084" s="63" t="n"/>
      <c r="C7084" s="64" t="n"/>
      <c r="D7084" s="64" t="n"/>
      <c r="E7084" s="63" t="n"/>
    </row>
    <row r="7085" ht="18" customHeight="1">
      <c r="A7085" s="62" t="n"/>
      <c r="B7085" s="63" t="n"/>
      <c r="C7085" s="64" t="n"/>
      <c r="D7085" s="64" t="n"/>
      <c r="E7085" s="63" t="n"/>
    </row>
    <row r="7086" ht="18" customHeight="1">
      <c r="A7086" s="62" t="n"/>
      <c r="B7086" s="63" t="n"/>
      <c r="C7086" s="64" t="n"/>
      <c r="D7086" s="64" t="n"/>
      <c r="E7086" s="63" t="n"/>
    </row>
    <row r="7087" ht="18" customHeight="1">
      <c r="A7087" s="62" t="n"/>
      <c r="B7087" s="63" t="n"/>
      <c r="C7087" s="64" t="n"/>
      <c r="D7087" s="64" t="n"/>
      <c r="E7087" s="63" t="n"/>
    </row>
    <row r="7088" ht="18" customHeight="1">
      <c r="A7088" s="62" t="n"/>
      <c r="B7088" s="63" t="n"/>
      <c r="C7088" s="64" t="n"/>
      <c r="D7088" s="64" t="n"/>
      <c r="E7088" s="63" t="n"/>
    </row>
    <row r="7089" ht="18" customHeight="1">
      <c r="A7089" s="62" t="n"/>
      <c r="B7089" s="63" t="n"/>
      <c r="C7089" s="64" t="n"/>
      <c r="D7089" s="64" t="n"/>
      <c r="E7089" s="63" t="n"/>
    </row>
    <row r="7090" ht="18" customHeight="1">
      <c r="A7090" s="62" t="n"/>
      <c r="B7090" s="63" t="n"/>
      <c r="C7090" s="64" t="n"/>
      <c r="D7090" s="64" t="n"/>
      <c r="E7090" s="63" t="n"/>
    </row>
    <row r="7091" ht="18" customHeight="1">
      <c r="A7091" s="62" t="n"/>
      <c r="B7091" s="63" t="n"/>
      <c r="C7091" s="64" t="n"/>
      <c r="D7091" s="64" t="n"/>
      <c r="E7091" s="63" t="n"/>
    </row>
    <row r="7092" ht="18" customHeight="1">
      <c r="A7092" s="62" t="n"/>
      <c r="B7092" s="63" t="n"/>
      <c r="C7092" s="64" t="n"/>
      <c r="D7092" s="64" t="n"/>
      <c r="E7092" s="63" t="n"/>
    </row>
    <row r="7093" ht="18" customHeight="1">
      <c r="A7093" s="62" t="n"/>
      <c r="B7093" s="63" t="n"/>
      <c r="C7093" s="64" t="n"/>
      <c r="D7093" s="64" t="n"/>
      <c r="E7093" s="63" t="n"/>
    </row>
    <row r="7094" ht="18" customHeight="1">
      <c r="A7094" s="62" t="n"/>
      <c r="B7094" s="63" t="n"/>
      <c r="C7094" s="64" t="n"/>
      <c r="D7094" s="64" t="n"/>
      <c r="E7094" s="63" t="n"/>
    </row>
    <row r="7095" ht="18" customHeight="1">
      <c r="A7095" s="62" t="n"/>
      <c r="B7095" s="63" t="n"/>
      <c r="C7095" s="64" t="n"/>
      <c r="D7095" s="64" t="n"/>
      <c r="E7095" s="63" t="n"/>
    </row>
    <row r="7096" ht="18" customHeight="1">
      <c r="A7096" s="62" t="n"/>
      <c r="B7096" s="63" t="n"/>
      <c r="C7096" s="64" t="n"/>
      <c r="D7096" s="64" t="n"/>
      <c r="E7096" s="63" t="n"/>
    </row>
    <row r="7097" ht="18" customHeight="1">
      <c r="A7097" s="62" t="n"/>
      <c r="B7097" s="63" t="n"/>
      <c r="C7097" s="64" t="n"/>
      <c r="D7097" s="64" t="n"/>
      <c r="E7097" s="63" t="n"/>
    </row>
    <row r="7098" ht="18" customHeight="1">
      <c r="A7098" s="62" t="n"/>
      <c r="B7098" s="63" t="n"/>
      <c r="C7098" s="64" t="n"/>
      <c r="D7098" s="64" t="n"/>
      <c r="E7098" s="63" t="n"/>
    </row>
    <row r="7099" ht="18" customHeight="1">
      <c r="A7099" s="62" t="n"/>
      <c r="B7099" s="63" t="n"/>
      <c r="C7099" s="64" t="n"/>
      <c r="D7099" s="64" t="n"/>
      <c r="E7099" s="63" t="n"/>
    </row>
    <row r="7100" ht="18" customHeight="1">
      <c r="A7100" s="62" t="n"/>
      <c r="B7100" s="63" t="n"/>
      <c r="C7100" s="64" t="n"/>
      <c r="D7100" s="64" t="n"/>
      <c r="E7100" s="63" t="n"/>
    </row>
    <row r="7101" ht="18" customHeight="1">
      <c r="A7101" s="62" t="n"/>
      <c r="B7101" s="63" t="n"/>
      <c r="C7101" s="64" t="n"/>
      <c r="D7101" s="64" t="n"/>
      <c r="E7101" s="63" t="n"/>
    </row>
    <row r="7102" ht="18" customHeight="1">
      <c r="A7102" s="62" t="n"/>
      <c r="B7102" s="63" t="n"/>
      <c r="C7102" s="64" t="n"/>
      <c r="D7102" s="64" t="n"/>
      <c r="E7102" s="63" t="n"/>
    </row>
    <row r="7103" ht="18" customHeight="1">
      <c r="A7103" s="62" t="n"/>
      <c r="B7103" s="63" t="n"/>
      <c r="C7103" s="64" t="n"/>
      <c r="D7103" s="64" t="n"/>
      <c r="E7103" s="63" t="n"/>
    </row>
    <row r="7104" ht="18" customHeight="1">
      <c r="A7104" s="62" t="n"/>
      <c r="B7104" s="63" t="n"/>
      <c r="C7104" s="64" t="n"/>
      <c r="D7104" s="64" t="n"/>
      <c r="E7104" s="63" t="n"/>
    </row>
    <row r="7105" ht="18" customHeight="1">
      <c r="A7105" s="62" t="n"/>
      <c r="B7105" s="63" t="n"/>
      <c r="C7105" s="64" t="n"/>
      <c r="D7105" s="64" t="n"/>
      <c r="E7105" s="63" t="n"/>
    </row>
    <row r="7106" ht="18" customHeight="1">
      <c r="A7106" s="62" t="n"/>
      <c r="B7106" s="63" t="n"/>
      <c r="C7106" s="64" t="n"/>
      <c r="D7106" s="64" t="n"/>
      <c r="E7106" s="63" t="n"/>
    </row>
    <row r="7107" ht="18" customHeight="1">
      <c r="A7107" s="62" t="n"/>
      <c r="B7107" s="63" t="n"/>
      <c r="C7107" s="64" t="n"/>
      <c r="D7107" s="64" t="n"/>
      <c r="E7107" s="63" t="n"/>
    </row>
    <row r="7108" ht="18" customHeight="1">
      <c r="A7108" s="62" t="n"/>
      <c r="B7108" s="63" t="n"/>
      <c r="C7108" s="64" t="n"/>
      <c r="D7108" s="64" t="n"/>
      <c r="E7108" s="63" t="n"/>
    </row>
    <row r="7109" ht="18" customHeight="1">
      <c r="A7109" s="62" t="n"/>
      <c r="B7109" s="63" t="n"/>
      <c r="C7109" s="64" t="n"/>
      <c r="D7109" s="64" t="n"/>
      <c r="E7109" s="63" t="n"/>
    </row>
    <row r="7110" ht="18" customHeight="1">
      <c r="A7110" s="62" t="n"/>
      <c r="B7110" s="63" t="n"/>
      <c r="C7110" s="64" t="n"/>
      <c r="D7110" s="64" t="n"/>
      <c r="E7110" s="63" t="n"/>
    </row>
    <row r="7111" ht="18" customHeight="1">
      <c r="A7111" s="62" t="n"/>
      <c r="B7111" s="63" t="n"/>
      <c r="C7111" s="64" t="n"/>
      <c r="D7111" s="64" t="n"/>
      <c r="E7111" s="63" t="n"/>
    </row>
    <row r="7112" ht="18" customHeight="1">
      <c r="A7112" s="62" t="n"/>
      <c r="B7112" s="63" t="n"/>
      <c r="C7112" s="64" t="n"/>
      <c r="D7112" s="64" t="n"/>
      <c r="E7112" s="63" t="n"/>
    </row>
    <row r="7113" ht="18" customHeight="1">
      <c r="A7113" s="62" t="n"/>
      <c r="B7113" s="63" t="n"/>
      <c r="C7113" s="64" t="n"/>
      <c r="D7113" s="64" t="n"/>
      <c r="E7113" s="63" t="n"/>
    </row>
    <row r="7114" ht="18" customHeight="1">
      <c r="A7114" s="62" t="n"/>
      <c r="B7114" s="63" t="n"/>
      <c r="C7114" s="64" t="n"/>
      <c r="D7114" s="64" t="n"/>
      <c r="E7114" s="63" t="n"/>
    </row>
    <row r="7115" ht="18" customHeight="1">
      <c r="A7115" s="62" t="n"/>
      <c r="B7115" s="63" t="n"/>
      <c r="C7115" s="64" t="n"/>
      <c r="D7115" s="64" t="n"/>
      <c r="E7115" s="63" t="n"/>
    </row>
    <row r="7116" ht="18" customHeight="1">
      <c r="A7116" s="62" t="n"/>
      <c r="B7116" s="63" t="n"/>
      <c r="C7116" s="64" t="n"/>
      <c r="D7116" s="64" t="n"/>
      <c r="E7116" s="63" t="n"/>
    </row>
    <row r="7117" ht="18" customHeight="1">
      <c r="A7117" s="62" t="n"/>
      <c r="B7117" s="63" t="n"/>
      <c r="C7117" s="64" t="n"/>
      <c r="D7117" s="64" t="n"/>
      <c r="E7117" s="63" t="n"/>
    </row>
    <row r="7118" ht="18" customHeight="1">
      <c r="A7118" s="62" t="n"/>
      <c r="B7118" s="63" t="n"/>
      <c r="C7118" s="64" t="n"/>
      <c r="D7118" s="64" t="n"/>
      <c r="E7118" s="63" t="n"/>
    </row>
    <row r="7119" ht="18" customHeight="1">
      <c r="A7119" s="62" t="n"/>
      <c r="B7119" s="63" t="n"/>
      <c r="C7119" s="64" t="n"/>
      <c r="D7119" s="64" t="n"/>
      <c r="E7119" s="63" t="n"/>
    </row>
    <row r="7120" ht="18" customHeight="1">
      <c r="A7120" s="62" t="n"/>
      <c r="B7120" s="63" t="n"/>
      <c r="C7120" s="64" t="n"/>
      <c r="D7120" s="64" t="n"/>
      <c r="E7120" s="63" t="n"/>
    </row>
    <row r="7121" ht="18" customHeight="1">
      <c r="A7121" s="62" t="n"/>
      <c r="B7121" s="63" t="n"/>
      <c r="C7121" s="64" t="n"/>
      <c r="D7121" s="64" t="n"/>
      <c r="E7121" s="63" t="n"/>
    </row>
    <row r="7122" ht="18" customHeight="1">
      <c r="A7122" s="62" t="n"/>
      <c r="B7122" s="63" t="n"/>
      <c r="C7122" s="64" t="n"/>
      <c r="D7122" s="64" t="n"/>
      <c r="E7122" s="63" t="n"/>
    </row>
    <row r="7123" ht="18" customHeight="1">
      <c r="A7123" s="62" t="n"/>
      <c r="B7123" s="63" t="n"/>
      <c r="C7123" s="64" t="n"/>
      <c r="D7123" s="64" t="n"/>
      <c r="E7123" s="63" t="n"/>
    </row>
    <row r="7124" ht="18" customHeight="1">
      <c r="A7124" s="62" t="n"/>
      <c r="B7124" s="63" t="n"/>
      <c r="C7124" s="64" t="n"/>
      <c r="D7124" s="64" t="n"/>
      <c r="E7124" s="63" t="n"/>
    </row>
    <row r="7125" ht="18" customHeight="1">
      <c r="A7125" s="62" t="n"/>
      <c r="B7125" s="63" t="n"/>
      <c r="C7125" s="64" t="n"/>
      <c r="D7125" s="64" t="n"/>
      <c r="E7125" s="63" t="n"/>
    </row>
    <row r="7126" ht="18" customHeight="1">
      <c r="A7126" s="62" t="n"/>
      <c r="B7126" s="63" t="n"/>
      <c r="C7126" s="64" t="n"/>
      <c r="D7126" s="64" t="n"/>
      <c r="E7126" s="63" t="n"/>
    </row>
    <row r="7127" ht="18" customHeight="1">
      <c r="A7127" s="62" t="n"/>
      <c r="B7127" s="63" t="n"/>
      <c r="C7127" s="64" t="n"/>
      <c r="D7127" s="64" t="n"/>
      <c r="E7127" s="63" t="n"/>
    </row>
    <row r="7128" ht="18" customHeight="1">
      <c r="A7128" s="62" t="n"/>
      <c r="B7128" s="63" t="n"/>
      <c r="C7128" s="64" t="n"/>
      <c r="D7128" s="64" t="n"/>
      <c r="E7128" s="63" t="n"/>
    </row>
    <row r="7129" ht="18" customHeight="1">
      <c r="A7129" s="62" t="n"/>
      <c r="B7129" s="63" t="n"/>
      <c r="C7129" s="64" t="n"/>
      <c r="D7129" s="64" t="n"/>
      <c r="E7129" s="63" t="n"/>
    </row>
    <row r="7130" ht="18" customHeight="1">
      <c r="A7130" s="62" t="n"/>
      <c r="B7130" s="63" t="n"/>
      <c r="C7130" s="64" t="n"/>
      <c r="D7130" s="64" t="n"/>
      <c r="E7130" s="63" t="n"/>
    </row>
    <row r="7131" ht="18" customHeight="1">
      <c r="A7131" s="62" t="n"/>
      <c r="B7131" s="63" t="n"/>
      <c r="C7131" s="64" t="n"/>
      <c r="D7131" s="64" t="n"/>
      <c r="E7131" s="63" t="n"/>
    </row>
    <row r="7132" ht="18" customHeight="1">
      <c r="A7132" s="62" t="n"/>
      <c r="B7132" s="63" t="n"/>
      <c r="C7132" s="64" t="n"/>
      <c r="D7132" s="64" t="n"/>
      <c r="E7132" s="63" t="n"/>
    </row>
    <row r="7133" ht="18" customHeight="1">
      <c r="A7133" s="62" t="n"/>
      <c r="B7133" s="63" t="n"/>
      <c r="C7133" s="64" t="n"/>
      <c r="D7133" s="64" t="n"/>
      <c r="E7133" s="63" t="n"/>
    </row>
    <row r="7134" ht="18" customHeight="1">
      <c r="A7134" s="62" t="n"/>
      <c r="B7134" s="63" t="n"/>
      <c r="C7134" s="64" t="n"/>
      <c r="D7134" s="64" t="n"/>
      <c r="E7134" s="63" t="n"/>
    </row>
    <row r="7135" ht="18" customHeight="1">
      <c r="A7135" s="62" t="n"/>
      <c r="B7135" s="63" t="n"/>
      <c r="C7135" s="64" t="n"/>
      <c r="D7135" s="64" t="n"/>
      <c r="E7135" s="63" t="n"/>
    </row>
    <row r="7136" ht="18" customHeight="1">
      <c r="A7136" s="62" t="n"/>
      <c r="B7136" s="63" t="n"/>
      <c r="C7136" s="64" t="n"/>
      <c r="D7136" s="64" t="n"/>
      <c r="E7136" s="63" t="n"/>
    </row>
    <row r="7137" ht="18" customHeight="1">
      <c r="A7137" s="62" t="n"/>
      <c r="B7137" s="63" t="n"/>
      <c r="C7137" s="64" t="n"/>
      <c r="D7137" s="64" t="n"/>
      <c r="E7137" s="63" t="n"/>
    </row>
    <row r="7138" ht="18" customHeight="1">
      <c r="A7138" s="62" t="n"/>
      <c r="B7138" s="63" t="n"/>
      <c r="C7138" s="64" t="n"/>
      <c r="D7138" s="64" t="n"/>
      <c r="E7138" s="63" t="n"/>
    </row>
    <row r="7139" ht="18" customHeight="1">
      <c r="A7139" s="62" t="n"/>
      <c r="B7139" s="63" t="n"/>
      <c r="C7139" s="64" t="n"/>
      <c r="D7139" s="64" t="n"/>
      <c r="E7139" s="63" t="n"/>
    </row>
    <row r="7140" ht="18" customHeight="1">
      <c r="A7140" s="62" t="n"/>
      <c r="B7140" s="63" t="n"/>
      <c r="C7140" s="64" t="n"/>
      <c r="D7140" s="64" t="n"/>
      <c r="E7140" s="63" t="n"/>
    </row>
    <row r="7141" ht="18" customHeight="1">
      <c r="A7141" s="62" t="n"/>
      <c r="B7141" s="63" t="n"/>
      <c r="C7141" s="64" t="n"/>
      <c r="D7141" s="64" t="n"/>
      <c r="E7141" s="63" t="n"/>
    </row>
    <row r="7142" ht="18" customHeight="1">
      <c r="A7142" s="62" t="n"/>
      <c r="B7142" s="63" t="n"/>
      <c r="C7142" s="64" t="n"/>
      <c r="D7142" s="64" t="n"/>
      <c r="E7142" s="63" t="n"/>
    </row>
    <row r="7143" ht="18" customHeight="1">
      <c r="A7143" s="62" t="n"/>
      <c r="B7143" s="63" t="n"/>
      <c r="C7143" s="64" t="n"/>
      <c r="D7143" s="64" t="n"/>
      <c r="E7143" s="63" t="n"/>
    </row>
    <row r="7144" ht="18" customHeight="1">
      <c r="A7144" s="62" t="n"/>
      <c r="B7144" s="63" t="n"/>
      <c r="C7144" s="64" t="n"/>
      <c r="D7144" s="64" t="n"/>
      <c r="E7144" s="63" t="n"/>
    </row>
    <row r="7145" ht="18" customHeight="1">
      <c r="A7145" s="62" t="n"/>
      <c r="B7145" s="63" t="n"/>
      <c r="C7145" s="64" t="n"/>
      <c r="D7145" s="64" t="n"/>
      <c r="E7145" s="63" t="n"/>
    </row>
    <row r="7146" ht="18" customHeight="1">
      <c r="A7146" s="62" t="n"/>
      <c r="B7146" s="63" t="n"/>
      <c r="C7146" s="64" t="n"/>
      <c r="D7146" s="64" t="n"/>
      <c r="E7146" s="63" t="n"/>
    </row>
    <row r="7147" ht="18" customHeight="1">
      <c r="A7147" s="62" t="n"/>
      <c r="B7147" s="63" t="n"/>
      <c r="C7147" s="64" t="n"/>
      <c r="D7147" s="64" t="n"/>
      <c r="E7147" s="63" t="n"/>
    </row>
    <row r="7148" ht="18" customHeight="1">
      <c r="A7148" s="62" t="n"/>
      <c r="B7148" s="63" t="n"/>
      <c r="C7148" s="64" t="n"/>
      <c r="D7148" s="64" t="n"/>
      <c r="E7148" s="63" t="n"/>
    </row>
    <row r="7149" ht="18" customHeight="1">
      <c r="A7149" s="62" t="n"/>
      <c r="B7149" s="63" t="n"/>
      <c r="C7149" s="64" t="n"/>
      <c r="D7149" s="64" t="n"/>
      <c r="E7149" s="63" t="n"/>
    </row>
    <row r="7150" ht="18" customHeight="1">
      <c r="A7150" s="62" t="n"/>
      <c r="B7150" s="63" t="n"/>
      <c r="C7150" s="64" t="n"/>
      <c r="D7150" s="64" t="n"/>
      <c r="E7150" s="63" t="n"/>
    </row>
    <row r="7151" ht="18" customHeight="1">
      <c r="A7151" s="62" t="n"/>
      <c r="B7151" s="63" t="n"/>
      <c r="C7151" s="64" t="n"/>
      <c r="D7151" s="64" t="n"/>
      <c r="E7151" s="63" t="n"/>
    </row>
    <row r="7152" ht="18" customHeight="1">
      <c r="A7152" s="62" t="n"/>
      <c r="B7152" s="63" t="n"/>
      <c r="C7152" s="64" t="n"/>
      <c r="D7152" s="64" t="n"/>
      <c r="E7152" s="63" t="n"/>
    </row>
    <row r="7153" ht="18" customHeight="1">
      <c r="A7153" s="62" t="n"/>
      <c r="B7153" s="63" t="n"/>
      <c r="C7153" s="64" t="n"/>
      <c r="D7153" s="64" t="n"/>
      <c r="E7153" s="63" t="n"/>
    </row>
    <row r="7154" ht="18" customHeight="1">
      <c r="A7154" s="62" t="n"/>
      <c r="B7154" s="63" t="n"/>
      <c r="C7154" s="64" t="n"/>
      <c r="D7154" s="64" t="n"/>
      <c r="E7154" s="63" t="n"/>
    </row>
    <row r="7155" ht="18" customHeight="1">
      <c r="A7155" s="62" t="n"/>
      <c r="B7155" s="63" t="n"/>
      <c r="C7155" s="64" t="n"/>
      <c r="D7155" s="64" t="n"/>
      <c r="E7155" s="63" t="n"/>
    </row>
    <row r="7156" ht="18" customHeight="1">
      <c r="A7156" s="62" t="n"/>
      <c r="B7156" s="63" t="n"/>
      <c r="C7156" s="64" t="n"/>
      <c r="D7156" s="64" t="n"/>
      <c r="E7156" s="63" t="n"/>
    </row>
    <row r="7157" ht="18" customHeight="1">
      <c r="A7157" s="62" t="n"/>
      <c r="B7157" s="63" t="n"/>
      <c r="C7157" s="64" t="n"/>
      <c r="D7157" s="64" t="n"/>
      <c r="E7157" s="63" t="n"/>
    </row>
    <row r="7158" ht="18" customHeight="1">
      <c r="A7158" s="62" t="n"/>
      <c r="B7158" s="63" t="n"/>
      <c r="C7158" s="64" t="n"/>
      <c r="D7158" s="64" t="n"/>
      <c r="E7158" s="63" t="n"/>
    </row>
    <row r="7159" ht="18" customHeight="1">
      <c r="A7159" s="62" t="n"/>
      <c r="B7159" s="63" t="n"/>
      <c r="C7159" s="64" t="n"/>
      <c r="D7159" s="64" t="n"/>
      <c r="E7159" s="63" t="n"/>
    </row>
    <row r="7160" ht="18" customHeight="1">
      <c r="A7160" s="62" t="n"/>
      <c r="B7160" s="63" t="n"/>
      <c r="C7160" s="64" t="n"/>
      <c r="D7160" s="64" t="n"/>
      <c r="E7160" s="63" t="n"/>
    </row>
    <row r="7161" ht="18" customHeight="1">
      <c r="A7161" s="62" t="n"/>
      <c r="B7161" s="63" t="n"/>
      <c r="C7161" s="64" t="n"/>
      <c r="D7161" s="64" t="n"/>
      <c r="E7161" s="63" t="n"/>
    </row>
    <row r="7162" ht="18" customHeight="1">
      <c r="A7162" s="62" t="n"/>
      <c r="B7162" s="63" t="n"/>
      <c r="C7162" s="64" t="n"/>
      <c r="D7162" s="64" t="n"/>
      <c r="E7162" s="63" t="n"/>
    </row>
    <row r="7163" ht="18" customHeight="1">
      <c r="A7163" s="62" t="n"/>
      <c r="B7163" s="63" t="n"/>
      <c r="C7163" s="64" t="n"/>
      <c r="D7163" s="64" t="n"/>
      <c r="E7163" s="63" t="n"/>
    </row>
    <row r="7164" ht="18" customHeight="1">
      <c r="A7164" s="62" t="n"/>
      <c r="B7164" s="63" t="n"/>
      <c r="C7164" s="64" t="n"/>
      <c r="D7164" s="64" t="n"/>
      <c r="E7164" s="63" t="n"/>
    </row>
    <row r="7165" ht="18" customHeight="1">
      <c r="A7165" s="62" t="n"/>
      <c r="B7165" s="63" t="n"/>
      <c r="C7165" s="64" t="n"/>
      <c r="D7165" s="64" t="n"/>
      <c r="E7165" s="63" t="n"/>
    </row>
    <row r="7166" ht="18" customHeight="1">
      <c r="A7166" s="62" t="n"/>
      <c r="B7166" s="63" t="n"/>
      <c r="C7166" s="64" t="n"/>
      <c r="D7166" s="64" t="n"/>
      <c r="E7166" s="63" t="n"/>
    </row>
    <row r="7167" ht="18" customHeight="1">
      <c r="A7167" s="62" t="n"/>
      <c r="B7167" s="63" t="n"/>
      <c r="C7167" s="64" t="n"/>
      <c r="D7167" s="64" t="n"/>
      <c r="E7167" s="63" t="n"/>
    </row>
    <row r="7168" ht="18" customHeight="1">
      <c r="A7168" s="62" t="n"/>
      <c r="B7168" s="63" t="n"/>
      <c r="C7168" s="64" t="n"/>
      <c r="D7168" s="64" t="n"/>
      <c r="E7168" s="63" t="n"/>
    </row>
    <row r="7169" ht="18" customHeight="1">
      <c r="A7169" s="62" t="n"/>
      <c r="B7169" s="63" t="n"/>
      <c r="C7169" s="64" t="n"/>
      <c r="D7169" s="64" t="n"/>
      <c r="E7169" s="63" t="n"/>
    </row>
    <row r="7170" ht="18" customHeight="1">
      <c r="A7170" s="62" t="n"/>
      <c r="B7170" s="63" t="n"/>
      <c r="C7170" s="64" t="n"/>
      <c r="D7170" s="64" t="n"/>
      <c r="E7170" s="63" t="n"/>
    </row>
    <row r="7171" ht="18" customHeight="1">
      <c r="A7171" s="62" t="n"/>
      <c r="B7171" s="63" t="n"/>
      <c r="C7171" s="64" t="n"/>
      <c r="D7171" s="64" t="n"/>
      <c r="E7171" s="63" t="n"/>
    </row>
    <row r="7172" ht="18" customHeight="1">
      <c r="A7172" s="62" t="n"/>
      <c r="B7172" s="63" t="n"/>
      <c r="C7172" s="64" t="n"/>
      <c r="D7172" s="64" t="n"/>
      <c r="E7172" s="63" t="n"/>
    </row>
    <row r="7173" ht="18" customHeight="1">
      <c r="A7173" s="62" t="n"/>
      <c r="B7173" s="63" t="n"/>
      <c r="C7173" s="64" t="n"/>
      <c r="D7173" s="64" t="n"/>
      <c r="E7173" s="63" t="n"/>
    </row>
    <row r="7174" ht="18" customHeight="1">
      <c r="A7174" s="62" t="n"/>
      <c r="B7174" s="63" t="n"/>
      <c r="C7174" s="64" t="n"/>
      <c r="D7174" s="64" t="n"/>
      <c r="E7174" s="63" t="n"/>
    </row>
    <row r="7175" ht="18" customHeight="1">
      <c r="A7175" s="62" t="n"/>
      <c r="B7175" s="63" t="n"/>
      <c r="C7175" s="64" t="n"/>
      <c r="D7175" s="64" t="n"/>
      <c r="E7175" s="63" t="n"/>
    </row>
    <row r="7176" ht="18" customHeight="1">
      <c r="A7176" s="62" t="n"/>
      <c r="B7176" s="63" t="n"/>
      <c r="C7176" s="64" t="n"/>
      <c r="D7176" s="64" t="n"/>
      <c r="E7176" s="63" t="n"/>
    </row>
    <row r="7177" ht="18" customHeight="1">
      <c r="A7177" s="62" t="n"/>
      <c r="B7177" s="63" t="n"/>
      <c r="C7177" s="64" t="n"/>
      <c r="D7177" s="64" t="n"/>
      <c r="E7177" s="63" t="n"/>
    </row>
    <row r="7178" ht="18" customHeight="1">
      <c r="A7178" s="62" t="n"/>
      <c r="B7178" s="63" t="n"/>
      <c r="C7178" s="64" t="n"/>
      <c r="D7178" s="64" t="n"/>
      <c r="E7178" s="63" t="n"/>
    </row>
    <row r="7179" ht="18" customHeight="1">
      <c r="A7179" s="62" t="n"/>
      <c r="B7179" s="63" t="n"/>
      <c r="C7179" s="64" t="n"/>
      <c r="D7179" s="64" t="n"/>
      <c r="E7179" s="63" t="n"/>
    </row>
    <row r="7180" ht="18" customHeight="1">
      <c r="A7180" s="62" t="n"/>
      <c r="B7180" s="63" t="n"/>
      <c r="C7180" s="64" t="n"/>
      <c r="D7180" s="64" t="n"/>
      <c r="E7180" s="63" t="n"/>
    </row>
    <row r="7181" ht="18" customHeight="1">
      <c r="A7181" s="62" t="n"/>
      <c r="B7181" s="63" t="n"/>
      <c r="C7181" s="64" t="n"/>
      <c r="D7181" s="64" t="n"/>
      <c r="E7181" s="63" t="n"/>
    </row>
    <row r="7182" ht="18" customHeight="1">
      <c r="A7182" s="62" t="n"/>
      <c r="B7182" s="63" t="n"/>
      <c r="C7182" s="64" t="n"/>
      <c r="D7182" s="64" t="n"/>
      <c r="E7182" s="63" t="n"/>
    </row>
    <row r="7183" ht="18" customHeight="1">
      <c r="A7183" s="62" t="n"/>
      <c r="B7183" s="63" t="n"/>
      <c r="C7183" s="64" t="n"/>
      <c r="D7183" s="64" t="n"/>
      <c r="E7183" s="63" t="n"/>
    </row>
    <row r="7184" ht="18" customHeight="1">
      <c r="A7184" s="62" t="n"/>
      <c r="B7184" s="63" t="n"/>
      <c r="C7184" s="64" t="n"/>
      <c r="D7184" s="64" t="n"/>
      <c r="E7184" s="63" t="n"/>
    </row>
    <row r="7185" ht="18" customHeight="1">
      <c r="A7185" s="62" t="n"/>
      <c r="B7185" s="63" t="n"/>
      <c r="C7185" s="64" t="n"/>
      <c r="D7185" s="64" t="n"/>
      <c r="E7185" s="63" t="n"/>
    </row>
    <row r="7186" ht="18" customHeight="1">
      <c r="A7186" s="62" t="n"/>
      <c r="B7186" s="63" t="n"/>
      <c r="C7186" s="64" t="n"/>
      <c r="D7186" s="64" t="n"/>
      <c r="E7186" s="63" t="n"/>
    </row>
    <row r="7187" ht="18" customHeight="1">
      <c r="A7187" s="62" t="n"/>
      <c r="B7187" s="63" t="n"/>
      <c r="C7187" s="64" t="n"/>
      <c r="D7187" s="64" t="n"/>
      <c r="E7187" s="63" t="n"/>
    </row>
    <row r="7188" ht="18" customHeight="1">
      <c r="A7188" s="62" t="n"/>
      <c r="B7188" s="63" t="n"/>
      <c r="C7188" s="64" t="n"/>
      <c r="D7188" s="64" t="n"/>
      <c r="E7188" s="63" t="n"/>
    </row>
    <row r="7189" ht="18" customHeight="1">
      <c r="A7189" s="62" t="n"/>
      <c r="B7189" s="63" t="n"/>
      <c r="C7189" s="64" t="n"/>
      <c r="D7189" s="64" t="n"/>
      <c r="E7189" s="63" t="n"/>
    </row>
    <row r="7190" ht="18" customHeight="1">
      <c r="A7190" s="62" t="n"/>
      <c r="B7190" s="63" t="n"/>
      <c r="C7190" s="64" t="n"/>
      <c r="D7190" s="64" t="n"/>
      <c r="E7190" s="63" t="n"/>
    </row>
    <row r="7191" ht="18" customHeight="1">
      <c r="A7191" s="62" t="n"/>
      <c r="B7191" s="63" t="n"/>
      <c r="C7191" s="64" t="n"/>
      <c r="D7191" s="64" t="n"/>
      <c r="E7191" s="63" t="n"/>
    </row>
    <row r="7192" ht="18" customHeight="1">
      <c r="A7192" s="62" t="n"/>
      <c r="B7192" s="63" t="n"/>
      <c r="C7192" s="64" t="n"/>
      <c r="D7192" s="64" t="n"/>
      <c r="E7192" s="63" t="n"/>
    </row>
    <row r="7193" ht="18" customHeight="1">
      <c r="A7193" s="62" t="n"/>
      <c r="B7193" s="63" t="n"/>
      <c r="C7193" s="64" t="n"/>
      <c r="D7193" s="64" t="n"/>
      <c r="E7193" s="63" t="n"/>
    </row>
    <row r="7194" ht="18" customHeight="1">
      <c r="A7194" s="62" t="n"/>
      <c r="B7194" s="63" t="n"/>
      <c r="C7194" s="64" t="n"/>
      <c r="D7194" s="64" t="n"/>
      <c r="E7194" s="63" t="n"/>
    </row>
    <row r="7195" ht="18" customHeight="1">
      <c r="A7195" s="62" t="n"/>
      <c r="B7195" s="63" t="n"/>
      <c r="C7195" s="64" t="n"/>
      <c r="D7195" s="64" t="n"/>
      <c r="E7195" s="63" t="n"/>
    </row>
    <row r="7196" ht="18" customHeight="1">
      <c r="A7196" s="62" t="n"/>
      <c r="B7196" s="63" t="n"/>
      <c r="C7196" s="64" t="n"/>
      <c r="D7196" s="64" t="n"/>
      <c r="E7196" s="63" t="n"/>
    </row>
    <row r="7197" ht="18" customHeight="1">
      <c r="A7197" s="62" t="n"/>
      <c r="B7197" s="63" t="n"/>
      <c r="C7197" s="64" t="n"/>
      <c r="D7197" s="64" t="n"/>
      <c r="E7197" s="63" t="n"/>
    </row>
    <row r="7198" ht="18" customHeight="1">
      <c r="A7198" s="62" t="n"/>
      <c r="B7198" s="63" t="n"/>
      <c r="C7198" s="64" t="n"/>
      <c r="D7198" s="64" t="n"/>
      <c r="E7198" s="63" t="n"/>
    </row>
    <row r="7199" ht="18" customHeight="1">
      <c r="A7199" s="62" t="n"/>
      <c r="B7199" s="63" t="n"/>
      <c r="C7199" s="64" t="n"/>
      <c r="D7199" s="64" t="n"/>
      <c r="E7199" s="63" t="n"/>
    </row>
    <row r="7200" ht="18" customHeight="1">
      <c r="A7200" s="62" t="n"/>
      <c r="B7200" s="63" t="n"/>
      <c r="C7200" s="64" t="n"/>
      <c r="D7200" s="64" t="n"/>
      <c r="E7200" s="63" t="n"/>
    </row>
    <row r="7201" ht="18" customHeight="1">
      <c r="A7201" s="62" t="n"/>
      <c r="B7201" s="63" t="n"/>
      <c r="C7201" s="64" t="n"/>
      <c r="D7201" s="64" t="n"/>
      <c r="E7201" s="63" t="n"/>
    </row>
    <row r="7202" ht="18" customHeight="1">
      <c r="A7202" s="62" t="n"/>
      <c r="B7202" s="63" t="n"/>
      <c r="C7202" s="64" t="n"/>
      <c r="D7202" s="64" t="n"/>
      <c r="E7202" s="63" t="n"/>
    </row>
    <row r="7203" ht="18" customHeight="1">
      <c r="A7203" s="62" t="n"/>
      <c r="B7203" s="63" t="n"/>
      <c r="C7203" s="64" t="n"/>
      <c r="D7203" s="64" t="n"/>
      <c r="E7203" s="63" t="n"/>
    </row>
    <row r="7204" ht="18" customHeight="1">
      <c r="A7204" s="62" t="n"/>
      <c r="B7204" s="63" t="n"/>
      <c r="C7204" s="64" t="n"/>
      <c r="D7204" s="64" t="n"/>
      <c r="E7204" s="63" t="n"/>
    </row>
    <row r="7205" ht="18" customHeight="1">
      <c r="A7205" s="62" t="n"/>
      <c r="B7205" s="63" t="n"/>
      <c r="C7205" s="64" t="n"/>
      <c r="D7205" s="64" t="n"/>
      <c r="E7205" s="63" t="n"/>
    </row>
    <row r="7206" ht="18" customHeight="1">
      <c r="A7206" s="62" t="n"/>
      <c r="B7206" s="63" t="n"/>
      <c r="C7206" s="64" t="n"/>
      <c r="D7206" s="64" t="n"/>
      <c r="E7206" s="63" t="n"/>
    </row>
    <row r="7207" ht="18" customHeight="1">
      <c r="A7207" s="62" t="n"/>
      <c r="B7207" s="63" t="n"/>
      <c r="C7207" s="64" t="n"/>
      <c r="D7207" s="64" t="n"/>
      <c r="E7207" s="63" t="n"/>
    </row>
    <row r="7208" ht="18" customHeight="1">
      <c r="A7208" s="62" t="n"/>
      <c r="B7208" s="63" t="n"/>
      <c r="C7208" s="64" t="n"/>
      <c r="D7208" s="64" t="n"/>
      <c r="E7208" s="63" t="n"/>
    </row>
    <row r="7209" ht="18" customHeight="1">
      <c r="A7209" s="62" t="n"/>
      <c r="B7209" s="63" t="n"/>
      <c r="C7209" s="64" t="n"/>
      <c r="D7209" s="64" t="n"/>
      <c r="E7209" s="63" t="n"/>
    </row>
    <row r="7210" ht="18" customHeight="1">
      <c r="A7210" s="62" t="n"/>
      <c r="B7210" s="63" t="n"/>
      <c r="C7210" s="64" t="n"/>
      <c r="D7210" s="64" t="n"/>
      <c r="E7210" s="63" t="n"/>
    </row>
    <row r="7211" ht="18" customHeight="1">
      <c r="A7211" s="62" t="n"/>
      <c r="B7211" s="63" t="n"/>
      <c r="C7211" s="64" t="n"/>
      <c r="D7211" s="64" t="n"/>
      <c r="E7211" s="63" t="n"/>
    </row>
    <row r="7212" ht="18" customHeight="1">
      <c r="A7212" s="62" t="n"/>
      <c r="B7212" s="63" t="n"/>
      <c r="C7212" s="64" t="n"/>
      <c r="D7212" s="64" t="n"/>
      <c r="E7212" s="63" t="n"/>
    </row>
    <row r="7213" ht="18" customHeight="1">
      <c r="A7213" s="62" t="n"/>
      <c r="B7213" s="63" t="n"/>
      <c r="C7213" s="64" t="n"/>
      <c r="D7213" s="64" t="n"/>
      <c r="E7213" s="63" t="n"/>
    </row>
    <row r="7214" ht="18" customHeight="1">
      <c r="A7214" s="62" t="n"/>
      <c r="B7214" s="63" t="n"/>
      <c r="C7214" s="64" t="n"/>
      <c r="D7214" s="64" t="n"/>
      <c r="E7214" s="63" t="n"/>
    </row>
    <row r="7215" ht="18" customHeight="1">
      <c r="A7215" s="62" t="n"/>
      <c r="B7215" s="63" t="n"/>
      <c r="C7215" s="64" t="n"/>
      <c r="D7215" s="64" t="n"/>
      <c r="E7215" s="63" t="n"/>
    </row>
    <row r="7216" ht="18" customHeight="1">
      <c r="A7216" s="62" t="n"/>
      <c r="B7216" s="63" t="n"/>
      <c r="C7216" s="64" t="n"/>
      <c r="D7216" s="64" t="n"/>
      <c r="E7216" s="63" t="n"/>
    </row>
    <row r="7217" ht="18" customHeight="1">
      <c r="A7217" s="62" t="n"/>
      <c r="B7217" s="63" t="n"/>
      <c r="C7217" s="64" t="n"/>
      <c r="D7217" s="64" t="n"/>
      <c r="E7217" s="63" t="n"/>
    </row>
    <row r="7218" ht="18" customHeight="1">
      <c r="A7218" s="62" t="n"/>
      <c r="B7218" s="63" t="n"/>
      <c r="C7218" s="64" t="n"/>
      <c r="D7218" s="64" t="n"/>
      <c r="E7218" s="63" t="n"/>
    </row>
    <row r="7219" ht="18" customHeight="1">
      <c r="A7219" s="62" t="n"/>
      <c r="B7219" s="63" t="n"/>
      <c r="C7219" s="64" t="n"/>
      <c r="D7219" s="64" t="n"/>
      <c r="E7219" s="63" t="n"/>
    </row>
    <row r="7220" ht="18" customHeight="1">
      <c r="A7220" s="62" t="n"/>
      <c r="B7220" s="63" t="n"/>
      <c r="C7220" s="64" t="n"/>
      <c r="D7220" s="64" t="n"/>
      <c r="E7220" s="63" t="n"/>
    </row>
    <row r="7221" ht="18" customHeight="1">
      <c r="A7221" s="62" t="n"/>
      <c r="B7221" s="63" t="n"/>
      <c r="C7221" s="64" t="n"/>
      <c r="D7221" s="64" t="n"/>
      <c r="E7221" s="63" t="n"/>
    </row>
    <row r="7222" ht="18" customHeight="1">
      <c r="A7222" s="62" t="n"/>
      <c r="B7222" s="63" t="n"/>
      <c r="C7222" s="64" t="n"/>
      <c r="D7222" s="64" t="n"/>
      <c r="E7222" s="63" t="n"/>
    </row>
    <row r="7223" ht="18" customHeight="1">
      <c r="A7223" s="62" t="n"/>
      <c r="B7223" s="63" t="n"/>
      <c r="C7223" s="64" t="n"/>
      <c r="D7223" s="64" t="n"/>
      <c r="E7223" s="63" t="n"/>
    </row>
    <row r="7224" ht="18" customHeight="1">
      <c r="A7224" s="62" t="n"/>
      <c r="B7224" s="63" t="n"/>
      <c r="C7224" s="64" t="n"/>
      <c r="D7224" s="64" t="n"/>
      <c r="E7224" s="63" t="n"/>
    </row>
    <row r="7225" ht="18" customHeight="1">
      <c r="A7225" s="62" t="n"/>
      <c r="B7225" s="63" t="n"/>
      <c r="C7225" s="64" t="n"/>
      <c r="D7225" s="64" t="n"/>
      <c r="E7225" s="63" t="n"/>
    </row>
    <row r="7226" ht="18" customHeight="1">
      <c r="A7226" s="62" t="n"/>
      <c r="B7226" s="63" t="n"/>
      <c r="C7226" s="64" t="n"/>
      <c r="D7226" s="64" t="n"/>
      <c r="E7226" s="63" t="n"/>
    </row>
    <row r="7227" ht="18" customHeight="1">
      <c r="A7227" s="62" t="n"/>
      <c r="B7227" s="63" t="n"/>
      <c r="C7227" s="64" t="n"/>
      <c r="D7227" s="64" t="n"/>
      <c r="E7227" s="63" t="n"/>
    </row>
    <row r="7228" ht="18" customHeight="1">
      <c r="A7228" s="62" t="n"/>
      <c r="B7228" s="63" t="n"/>
      <c r="C7228" s="64" t="n"/>
      <c r="D7228" s="64" t="n"/>
      <c r="E7228" s="63" t="n"/>
    </row>
    <row r="7229" ht="18" customHeight="1">
      <c r="A7229" s="62" t="n"/>
      <c r="B7229" s="63" t="n"/>
      <c r="C7229" s="64" t="n"/>
      <c r="D7229" s="64" t="n"/>
      <c r="E7229" s="63" t="n"/>
    </row>
    <row r="7230" ht="18" customHeight="1">
      <c r="A7230" s="62" t="n"/>
      <c r="B7230" s="63" t="n"/>
      <c r="C7230" s="64" t="n"/>
      <c r="D7230" s="64" t="n"/>
      <c r="E7230" s="63" t="n"/>
    </row>
    <row r="7231" ht="18" customHeight="1">
      <c r="A7231" s="62" t="n"/>
      <c r="B7231" s="63" t="n"/>
      <c r="C7231" s="64" t="n"/>
      <c r="D7231" s="64" t="n"/>
      <c r="E7231" s="63" t="n"/>
    </row>
    <row r="7232" ht="18" customHeight="1">
      <c r="A7232" s="62" t="n"/>
      <c r="B7232" s="63" t="n"/>
      <c r="C7232" s="64" t="n"/>
      <c r="D7232" s="64" t="n"/>
      <c r="E7232" s="63" t="n"/>
    </row>
    <row r="7233" ht="18" customHeight="1">
      <c r="A7233" s="62" t="n"/>
      <c r="B7233" s="63" t="n"/>
      <c r="C7233" s="64" t="n"/>
      <c r="D7233" s="64" t="n"/>
      <c r="E7233" s="63" t="n"/>
    </row>
    <row r="7234" ht="18" customHeight="1">
      <c r="A7234" s="62" t="n"/>
      <c r="B7234" s="63" t="n"/>
      <c r="C7234" s="64" t="n"/>
      <c r="D7234" s="64" t="n"/>
      <c r="E7234" s="63" t="n"/>
    </row>
    <row r="7235" ht="18" customHeight="1">
      <c r="A7235" s="62" t="n"/>
      <c r="B7235" s="63" t="n"/>
      <c r="C7235" s="64" t="n"/>
      <c r="D7235" s="64" t="n"/>
      <c r="E7235" s="63" t="n"/>
    </row>
    <row r="7236" ht="18" customHeight="1">
      <c r="A7236" s="62" t="n"/>
      <c r="B7236" s="63" t="n"/>
      <c r="C7236" s="64" t="n"/>
      <c r="D7236" s="64" t="n"/>
      <c r="E7236" s="63" t="n"/>
    </row>
    <row r="7237" ht="18" customHeight="1">
      <c r="A7237" s="62" t="n"/>
      <c r="B7237" s="63" t="n"/>
      <c r="C7237" s="64" t="n"/>
      <c r="D7237" s="64" t="n"/>
      <c r="E7237" s="63" t="n"/>
    </row>
    <row r="7238" ht="18" customHeight="1">
      <c r="A7238" s="62" t="n"/>
      <c r="B7238" s="63" t="n"/>
      <c r="C7238" s="64" t="n"/>
      <c r="D7238" s="64" t="n"/>
      <c r="E7238" s="63" t="n"/>
    </row>
    <row r="7239" ht="18" customHeight="1">
      <c r="A7239" s="62" t="n"/>
      <c r="B7239" s="63" t="n"/>
      <c r="C7239" s="64" t="n"/>
      <c r="D7239" s="64" t="n"/>
      <c r="E7239" s="63" t="n"/>
    </row>
    <row r="7240" ht="18" customHeight="1">
      <c r="A7240" s="62" t="n"/>
      <c r="B7240" s="63" t="n"/>
      <c r="C7240" s="64" t="n"/>
      <c r="D7240" s="64" t="n"/>
      <c r="E7240" s="63" t="n"/>
    </row>
    <row r="7241" ht="18" customHeight="1">
      <c r="A7241" s="62" t="n"/>
      <c r="B7241" s="63" t="n"/>
      <c r="C7241" s="64" t="n"/>
      <c r="D7241" s="64" t="n"/>
      <c r="E7241" s="63" t="n"/>
    </row>
    <row r="7242" ht="18" customHeight="1">
      <c r="A7242" s="62" t="n"/>
      <c r="B7242" s="63" t="n"/>
      <c r="C7242" s="64" t="n"/>
      <c r="D7242" s="64" t="n"/>
      <c r="E7242" s="63" t="n"/>
    </row>
    <row r="7243" ht="18" customHeight="1">
      <c r="A7243" s="62" t="n"/>
      <c r="B7243" s="63" t="n"/>
      <c r="C7243" s="64" t="n"/>
      <c r="D7243" s="64" t="n"/>
      <c r="E7243" s="63" t="n"/>
    </row>
    <row r="7244" ht="18" customHeight="1">
      <c r="A7244" s="62" t="n"/>
      <c r="B7244" s="63" t="n"/>
      <c r="C7244" s="64" t="n"/>
      <c r="D7244" s="64" t="n"/>
      <c r="E7244" s="63" t="n"/>
    </row>
    <row r="7245" ht="18" customHeight="1">
      <c r="A7245" s="62" t="n"/>
      <c r="B7245" s="63" t="n"/>
      <c r="C7245" s="64" t="n"/>
      <c r="D7245" s="64" t="n"/>
      <c r="E7245" s="63" t="n"/>
    </row>
    <row r="7246" ht="18" customHeight="1">
      <c r="A7246" s="62" t="n"/>
      <c r="B7246" s="63" t="n"/>
      <c r="C7246" s="64" t="n"/>
      <c r="D7246" s="64" t="n"/>
      <c r="E7246" s="63" t="n"/>
    </row>
    <row r="7247" ht="18" customHeight="1">
      <c r="A7247" s="62" t="n"/>
      <c r="B7247" s="63" t="n"/>
      <c r="C7247" s="64" t="n"/>
      <c r="D7247" s="64" t="n"/>
      <c r="E7247" s="63" t="n"/>
    </row>
    <row r="7248" ht="18" customHeight="1">
      <c r="A7248" s="62" t="n"/>
      <c r="B7248" s="63" t="n"/>
      <c r="C7248" s="64" t="n"/>
      <c r="D7248" s="64" t="n"/>
      <c r="E7248" s="63" t="n"/>
    </row>
    <row r="7249" ht="18" customHeight="1">
      <c r="A7249" s="62" t="n"/>
      <c r="B7249" s="63" t="n"/>
      <c r="C7249" s="64" t="n"/>
      <c r="D7249" s="64" t="n"/>
      <c r="E7249" s="63" t="n"/>
    </row>
    <row r="7250" ht="18" customHeight="1">
      <c r="A7250" s="62" t="n"/>
      <c r="B7250" s="63" t="n"/>
      <c r="C7250" s="64" t="n"/>
      <c r="D7250" s="64" t="n"/>
      <c r="E7250" s="63" t="n"/>
    </row>
    <row r="7251" ht="18" customHeight="1">
      <c r="A7251" s="62" t="n"/>
      <c r="B7251" s="63" t="n"/>
      <c r="C7251" s="64" t="n"/>
      <c r="D7251" s="64" t="n"/>
      <c r="E7251" s="63" t="n"/>
    </row>
    <row r="7252" ht="18" customHeight="1">
      <c r="A7252" s="62" t="n"/>
      <c r="B7252" s="63" t="n"/>
      <c r="C7252" s="64" t="n"/>
      <c r="D7252" s="64" t="n"/>
      <c r="E7252" s="63" t="n"/>
    </row>
    <row r="7253" ht="18" customHeight="1">
      <c r="A7253" s="62" t="n"/>
      <c r="B7253" s="63" t="n"/>
      <c r="C7253" s="64" t="n"/>
      <c r="D7253" s="64" t="n"/>
      <c r="E7253" s="63" t="n"/>
    </row>
    <row r="7254" ht="18" customHeight="1">
      <c r="A7254" s="62" t="n"/>
      <c r="B7254" s="63" t="n"/>
      <c r="C7254" s="64" t="n"/>
      <c r="D7254" s="64" t="n"/>
      <c r="E7254" s="63" t="n"/>
    </row>
    <row r="7255" ht="18" customHeight="1">
      <c r="A7255" s="62" t="n"/>
      <c r="B7255" s="63" t="n"/>
      <c r="C7255" s="64" t="n"/>
      <c r="D7255" s="64" t="n"/>
      <c r="E7255" s="63" t="n"/>
    </row>
    <row r="7256" ht="18" customHeight="1">
      <c r="A7256" s="62" t="n"/>
      <c r="B7256" s="63" t="n"/>
      <c r="C7256" s="64" t="n"/>
      <c r="D7256" s="64" t="n"/>
      <c r="E7256" s="63" t="n"/>
    </row>
    <row r="7257" ht="18" customHeight="1">
      <c r="A7257" s="62" t="n"/>
      <c r="B7257" s="63" t="n"/>
      <c r="C7257" s="64" t="n"/>
      <c r="D7257" s="64" t="n"/>
      <c r="E7257" s="63" t="n"/>
    </row>
    <row r="7258" ht="18" customHeight="1">
      <c r="A7258" s="62" t="n"/>
      <c r="B7258" s="63" t="n"/>
      <c r="C7258" s="64" t="n"/>
      <c r="D7258" s="64" t="n"/>
      <c r="E7258" s="63" t="n"/>
    </row>
    <row r="7259" ht="18" customHeight="1">
      <c r="A7259" s="62" t="n"/>
      <c r="B7259" s="63" t="n"/>
      <c r="C7259" s="64" t="n"/>
      <c r="D7259" s="64" t="n"/>
      <c r="E7259" s="63" t="n"/>
    </row>
    <row r="7260" ht="18" customHeight="1">
      <c r="A7260" s="62" t="n"/>
      <c r="B7260" s="63" t="n"/>
      <c r="C7260" s="64" t="n"/>
      <c r="D7260" s="64" t="n"/>
      <c r="E7260" s="63" t="n"/>
    </row>
    <row r="7261" ht="18" customHeight="1">
      <c r="A7261" s="62" t="n"/>
      <c r="B7261" s="63" t="n"/>
      <c r="C7261" s="64" t="n"/>
      <c r="D7261" s="64" t="n"/>
      <c r="E7261" s="63" t="n"/>
    </row>
    <row r="7262" ht="18" customHeight="1">
      <c r="A7262" s="62" t="n"/>
      <c r="B7262" s="63" t="n"/>
      <c r="C7262" s="64" t="n"/>
      <c r="D7262" s="64" t="n"/>
      <c r="E7262" s="63" t="n"/>
    </row>
    <row r="7263" ht="18" customHeight="1">
      <c r="A7263" s="62" t="n"/>
      <c r="B7263" s="63" t="n"/>
      <c r="C7263" s="64" t="n"/>
      <c r="D7263" s="64" t="n"/>
      <c r="E7263" s="63" t="n"/>
    </row>
    <row r="7264" ht="18" customHeight="1">
      <c r="A7264" s="62" t="n"/>
      <c r="B7264" s="63" t="n"/>
      <c r="C7264" s="64" t="n"/>
      <c r="D7264" s="64" t="n"/>
      <c r="E7264" s="63" t="n"/>
    </row>
    <row r="7265" ht="18" customHeight="1">
      <c r="A7265" s="62" t="n"/>
      <c r="B7265" s="63" t="n"/>
      <c r="C7265" s="64" t="n"/>
      <c r="D7265" s="64" t="n"/>
      <c r="E7265" s="63" t="n"/>
    </row>
    <row r="7266" ht="18" customHeight="1">
      <c r="A7266" s="62" t="n"/>
      <c r="B7266" s="63" t="n"/>
      <c r="C7266" s="64" t="n"/>
      <c r="D7266" s="64" t="n"/>
      <c r="E7266" s="63" t="n"/>
    </row>
    <row r="7267" ht="18" customHeight="1">
      <c r="A7267" s="62" t="n"/>
      <c r="B7267" s="63" t="n"/>
      <c r="C7267" s="64" t="n"/>
      <c r="D7267" s="64" t="n"/>
      <c r="E7267" s="63" t="n"/>
    </row>
    <row r="7268" ht="18" customHeight="1">
      <c r="A7268" s="62" t="n"/>
      <c r="B7268" s="63" t="n"/>
      <c r="C7268" s="64" t="n"/>
      <c r="D7268" s="64" t="n"/>
      <c r="E7268" s="63" t="n"/>
    </row>
    <row r="7269" ht="18" customHeight="1">
      <c r="A7269" s="62" t="n"/>
      <c r="B7269" s="63" t="n"/>
      <c r="C7269" s="64" t="n"/>
      <c r="D7269" s="64" t="n"/>
      <c r="E7269" s="63" t="n"/>
    </row>
    <row r="7270" ht="18" customHeight="1">
      <c r="A7270" s="62" t="n"/>
      <c r="B7270" s="63" t="n"/>
      <c r="C7270" s="64" t="n"/>
      <c r="D7270" s="64" t="n"/>
      <c r="E7270" s="63" t="n"/>
    </row>
    <row r="7271" ht="18" customHeight="1">
      <c r="A7271" s="62" t="n"/>
      <c r="B7271" s="63" t="n"/>
      <c r="C7271" s="64" t="n"/>
      <c r="D7271" s="64" t="n"/>
      <c r="E7271" s="63" t="n"/>
    </row>
    <row r="7272" ht="18" customHeight="1">
      <c r="A7272" s="62" t="n"/>
      <c r="B7272" s="63" t="n"/>
      <c r="C7272" s="64" t="n"/>
      <c r="D7272" s="64" t="n"/>
      <c r="E7272" s="63" t="n"/>
    </row>
    <row r="7273" ht="18" customHeight="1">
      <c r="A7273" s="62" t="n"/>
      <c r="B7273" s="63" t="n"/>
      <c r="C7273" s="64" t="n"/>
      <c r="D7273" s="64" t="n"/>
      <c r="E7273" s="63" t="n"/>
    </row>
    <row r="7274" ht="18" customHeight="1">
      <c r="A7274" s="62" t="n"/>
      <c r="B7274" s="63" t="n"/>
      <c r="C7274" s="64" t="n"/>
      <c r="D7274" s="64" t="n"/>
      <c r="E7274" s="63" t="n"/>
    </row>
    <row r="7275" ht="18" customHeight="1">
      <c r="A7275" s="62" t="n"/>
      <c r="B7275" s="63" t="n"/>
      <c r="C7275" s="64" t="n"/>
      <c r="D7275" s="64" t="n"/>
      <c r="E7275" s="63" t="n"/>
    </row>
    <row r="7276" ht="18" customHeight="1">
      <c r="A7276" s="62" t="n"/>
      <c r="B7276" s="63" t="n"/>
      <c r="C7276" s="64" t="n"/>
      <c r="D7276" s="64" t="n"/>
      <c r="E7276" s="63" t="n"/>
    </row>
    <row r="7277" ht="18" customHeight="1">
      <c r="A7277" s="62" t="n"/>
      <c r="B7277" s="63" t="n"/>
      <c r="C7277" s="64" t="n"/>
      <c r="D7277" s="64" t="n"/>
      <c r="E7277" s="63" t="n"/>
    </row>
    <row r="7278" ht="18" customHeight="1">
      <c r="A7278" s="62" t="n"/>
      <c r="B7278" s="63" t="n"/>
      <c r="C7278" s="64" t="n"/>
      <c r="D7278" s="64" t="n"/>
      <c r="E7278" s="63" t="n"/>
    </row>
    <row r="7279" ht="18" customHeight="1">
      <c r="A7279" s="62" t="n"/>
      <c r="B7279" s="63" t="n"/>
      <c r="C7279" s="64" t="n"/>
      <c r="D7279" s="64" t="n"/>
      <c r="E7279" s="63" t="n"/>
    </row>
    <row r="7280" ht="18" customHeight="1">
      <c r="A7280" s="62" t="n"/>
      <c r="B7280" s="63" t="n"/>
      <c r="C7280" s="64" t="n"/>
      <c r="D7280" s="64" t="n"/>
      <c r="E7280" s="63" t="n"/>
    </row>
    <row r="7281" ht="18" customHeight="1">
      <c r="A7281" s="62" t="n"/>
      <c r="B7281" s="63" t="n"/>
      <c r="C7281" s="64" t="n"/>
      <c r="D7281" s="64" t="n"/>
      <c r="E7281" s="63" t="n"/>
    </row>
    <row r="7282" ht="18" customHeight="1">
      <c r="A7282" s="62" t="n"/>
      <c r="B7282" s="63" t="n"/>
      <c r="C7282" s="64" t="n"/>
      <c r="D7282" s="64" t="n"/>
      <c r="E7282" s="63" t="n"/>
    </row>
    <row r="7283" ht="18" customHeight="1">
      <c r="A7283" s="62" t="n"/>
      <c r="B7283" s="63" t="n"/>
      <c r="C7283" s="64" t="n"/>
      <c r="D7283" s="64" t="n"/>
      <c r="E7283" s="63" t="n"/>
    </row>
    <row r="7284" ht="18" customHeight="1">
      <c r="A7284" s="62" t="n"/>
      <c r="B7284" s="63" t="n"/>
      <c r="C7284" s="64" t="n"/>
      <c r="D7284" s="64" t="n"/>
      <c r="E7284" s="63" t="n"/>
    </row>
    <row r="7285" ht="18" customHeight="1">
      <c r="A7285" s="62" t="n"/>
      <c r="B7285" s="63" t="n"/>
      <c r="C7285" s="64" t="n"/>
      <c r="D7285" s="64" t="n"/>
      <c r="E7285" s="63" t="n"/>
    </row>
    <row r="7286" ht="18" customHeight="1">
      <c r="A7286" s="62" t="n"/>
      <c r="B7286" s="63" t="n"/>
      <c r="C7286" s="64" t="n"/>
      <c r="D7286" s="64" t="n"/>
      <c r="E7286" s="63" t="n"/>
    </row>
    <row r="7287" ht="18" customHeight="1">
      <c r="A7287" s="62" t="n"/>
      <c r="B7287" s="63" t="n"/>
      <c r="C7287" s="64" t="n"/>
      <c r="D7287" s="64" t="n"/>
      <c r="E7287" s="63" t="n"/>
    </row>
    <row r="7288" ht="18" customHeight="1">
      <c r="A7288" s="62" t="n"/>
      <c r="B7288" s="63" t="n"/>
      <c r="C7288" s="64" t="n"/>
      <c r="D7288" s="64" t="n"/>
      <c r="E7288" s="63" t="n"/>
    </row>
    <row r="7289" ht="18" customHeight="1">
      <c r="A7289" s="62" t="n"/>
      <c r="B7289" s="63" t="n"/>
      <c r="C7289" s="64" t="n"/>
      <c r="D7289" s="64" t="n"/>
      <c r="E7289" s="63" t="n"/>
    </row>
    <row r="7290" ht="18" customHeight="1">
      <c r="A7290" s="62" t="n"/>
      <c r="B7290" s="63" t="n"/>
      <c r="C7290" s="64" t="n"/>
      <c r="D7290" s="64" t="n"/>
      <c r="E7290" s="63" t="n"/>
    </row>
    <row r="7291" ht="18" customHeight="1">
      <c r="A7291" s="62" t="n"/>
      <c r="B7291" s="63" t="n"/>
      <c r="C7291" s="64" t="n"/>
      <c r="D7291" s="64" t="n"/>
      <c r="E7291" s="63" t="n"/>
    </row>
    <row r="7292" ht="18" customHeight="1">
      <c r="A7292" s="62" t="n"/>
      <c r="B7292" s="63" t="n"/>
      <c r="C7292" s="64" t="n"/>
      <c r="D7292" s="64" t="n"/>
      <c r="E7292" s="63" t="n"/>
    </row>
    <row r="7293" ht="18" customHeight="1">
      <c r="A7293" s="62" t="n"/>
      <c r="B7293" s="63" t="n"/>
      <c r="C7293" s="64" t="n"/>
      <c r="D7293" s="64" t="n"/>
      <c r="E7293" s="63" t="n"/>
    </row>
    <row r="7294" ht="18" customHeight="1">
      <c r="A7294" s="62" t="n"/>
      <c r="B7294" s="63" t="n"/>
      <c r="C7294" s="64" t="n"/>
      <c r="D7294" s="64" t="n"/>
      <c r="E7294" s="63" t="n"/>
    </row>
    <row r="7295" ht="18" customHeight="1">
      <c r="A7295" s="62" t="n"/>
      <c r="B7295" s="63" t="n"/>
      <c r="C7295" s="64" t="n"/>
      <c r="D7295" s="64" t="n"/>
      <c r="E7295" s="63" t="n"/>
    </row>
    <row r="7296" ht="18" customHeight="1">
      <c r="A7296" s="62" t="n"/>
      <c r="B7296" s="63" t="n"/>
      <c r="C7296" s="64" t="n"/>
      <c r="D7296" s="64" t="n"/>
      <c r="E7296" s="63" t="n"/>
    </row>
    <row r="7297" ht="18" customHeight="1">
      <c r="A7297" s="62" t="n"/>
      <c r="B7297" s="63" t="n"/>
      <c r="C7297" s="64" t="n"/>
      <c r="D7297" s="64" t="n"/>
      <c r="E7297" s="63" t="n"/>
    </row>
    <row r="7298" ht="18" customHeight="1">
      <c r="A7298" s="62" t="n"/>
      <c r="B7298" s="63" t="n"/>
      <c r="C7298" s="64" t="n"/>
      <c r="D7298" s="64" t="n"/>
      <c r="E7298" s="63" t="n"/>
    </row>
    <row r="7299" ht="18" customHeight="1">
      <c r="A7299" s="62" t="n"/>
      <c r="B7299" s="63" t="n"/>
      <c r="C7299" s="64" t="n"/>
      <c r="D7299" s="64" t="n"/>
      <c r="E7299" s="63" t="n"/>
    </row>
    <row r="7300" ht="18" customHeight="1">
      <c r="A7300" s="62" t="n"/>
      <c r="B7300" s="63" t="n"/>
      <c r="C7300" s="64" t="n"/>
      <c r="D7300" s="64" t="n"/>
      <c r="E7300" s="63" t="n"/>
    </row>
    <row r="7301" ht="18" customHeight="1">
      <c r="A7301" s="62" t="n"/>
      <c r="B7301" s="63" t="n"/>
      <c r="C7301" s="64" t="n"/>
      <c r="D7301" s="64" t="n"/>
      <c r="E7301" s="63" t="n"/>
    </row>
    <row r="7302" ht="18" customHeight="1">
      <c r="A7302" s="62" t="n"/>
      <c r="B7302" s="63" t="n"/>
      <c r="C7302" s="64" t="n"/>
      <c r="D7302" s="64" t="n"/>
      <c r="E7302" s="63" t="n"/>
    </row>
    <row r="7303" ht="18" customHeight="1">
      <c r="A7303" s="62" t="n"/>
      <c r="B7303" s="63" t="n"/>
      <c r="C7303" s="64" t="n"/>
      <c r="D7303" s="64" t="n"/>
      <c r="E7303" s="63" t="n"/>
    </row>
    <row r="7304" ht="18" customHeight="1">
      <c r="A7304" s="62" t="n"/>
      <c r="B7304" s="63" t="n"/>
      <c r="C7304" s="64" t="n"/>
      <c r="D7304" s="64" t="n"/>
      <c r="E7304" s="63" t="n"/>
    </row>
    <row r="7305" ht="18" customHeight="1">
      <c r="A7305" s="62" t="n"/>
      <c r="B7305" s="63" t="n"/>
      <c r="C7305" s="64" t="n"/>
      <c r="D7305" s="64" t="n"/>
      <c r="E7305" s="63" t="n"/>
    </row>
    <row r="7306" ht="18" customHeight="1">
      <c r="A7306" s="62" t="n"/>
      <c r="B7306" s="63" t="n"/>
      <c r="C7306" s="64" t="n"/>
      <c r="D7306" s="64" t="n"/>
      <c r="E7306" s="63" t="n"/>
    </row>
    <row r="7307" ht="18" customHeight="1">
      <c r="A7307" s="62" t="n"/>
      <c r="B7307" s="63" t="n"/>
      <c r="C7307" s="64" t="n"/>
      <c r="D7307" s="64" t="n"/>
      <c r="E7307" s="63" t="n"/>
    </row>
    <row r="7308" ht="18" customHeight="1">
      <c r="A7308" s="62" t="n"/>
      <c r="B7308" s="63" t="n"/>
      <c r="C7308" s="64" t="n"/>
      <c r="D7308" s="64" t="n"/>
      <c r="E7308" s="63" t="n"/>
    </row>
    <row r="7309" ht="18" customHeight="1">
      <c r="A7309" s="62" t="n"/>
      <c r="B7309" s="63" t="n"/>
      <c r="C7309" s="64" t="n"/>
      <c r="D7309" s="64" t="n"/>
      <c r="E7309" s="63" t="n"/>
    </row>
    <row r="7310" ht="18" customHeight="1">
      <c r="A7310" s="62" t="n"/>
      <c r="B7310" s="63" t="n"/>
      <c r="C7310" s="64" t="n"/>
      <c r="D7310" s="64" t="n"/>
      <c r="E7310" s="63" t="n"/>
    </row>
    <row r="7311" ht="18" customHeight="1">
      <c r="A7311" s="62" t="n"/>
      <c r="B7311" s="63" t="n"/>
      <c r="C7311" s="64" t="n"/>
      <c r="D7311" s="64" t="n"/>
      <c r="E7311" s="63" t="n"/>
    </row>
    <row r="7312" ht="18" customHeight="1">
      <c r="A7312" s="62" t="n"/>
      <c r="B7312" s="63" t="n"/>
      <c r="C7312" s="64" t="n"/>
      <c r="D7312" s="64" t="n"/>
      <c r="E7312" s="63" t="n"/>
    </row>
    <row r="7313" ht="18" customHeight="1">
      <c r="A7313" s="62" t="n"/>
      <c r="B7313" s="63" t="n"/>
      <c r="C7313" s="64" t="n"/>
      <c r="D7313" s="64" t="n"/>
      <c r="E7313" s="63" t="n"/>
    </row>
    <row r="7314" ht="18" customHeight="1">
      <c r="A7314" s="62" t="n"/>
      <c r="B7314" s="63" t="n"/>
      <c r="C7314" s="64" t="n"/>
      <c r="D7314" s="64" t="n"/>
      <c r="E7314" s="63" t="n"/>
    </row>
    <row r="7315" ht="18" customHeight="1">
      <c r="A7315" s="62" t="n"/>
      <c r="B7315" s="63" t="n"/>
      <c r="C7315" s="64" t="n"/>
      <c r="D7315" s="64" t="n"/>
      <c r="E7315" s="63" t="n"/>
    </row>
    <row r="7316" ht="18" customHeight="1">
      <c r="A7316" s="62" t="n"/>
      <c r="B7316" s="63" t="n"/>
      <c r="C7316" s="64" t="n"/>
      <c r="D7316" s="64" t="n"/>
      <c r="E7316" s="63" t="n"/>
    </row>
    <row r="7317" ht="18" customHeight="1">
      <c r="A7317" s="62" t="n"/>
      <c r="B7317" s="63" t="n"/>
      <c r="C7317" s="64" t="n"/>
      <c r="D7317" s="64" t="n"/>
      <c r="E7317" s="63" t="n"/>
    </row>
    <row r="7318" ht="18" customHeight="1">
      <c r="A7318" s="62" t="n"/>
      <c r="B7318" s="63" t="n"/>
      <c r="C7318" s="64" t="n"/>
      <c r="D7318" s="64" t="n"/>
      <c r="E7318" s="63" t="n"/>
    </row>
    <row r="7319" ht="18" customHeight="1">
      <c r="A7319" s="62" t="n"/>
      <c r="B7319" s="63" t="n"/>
      <c r="C7319" s="64" t="n"/>
      <c r="D7319" s="64" t="n"/>
      <c r="E7319" s="63" t="n"/>
    </row>
    <row r="7320" ht="18" customHeight="1">
      <c r="A7320" s="62" t="n"/>
      <c r="B7320" s="63" t="n"/>
      <c r="C7320" s="64" t="n"/>
      <c r="D7320" s="64" t="n"/>
      <c r="E7320" s="63" t="n"/>
    </row>
    <row r="7321" ht="18" customHeight="1">
      <c r="A7321" s="62" t="n"/>
      <c r="B7321" s="63" t="n"/>
      <c r="C7321" s="64" t="n"/>
      <c r="D7321" s="64" t="n"/>
      <c r="E7321" s="63" t="n"/>
    </row>
    <row r="7322" ht="18" customHeight="1">
      <c r="A7322" s="62" t="n"/>
      <c r="B7322" s="63" t="n"/>
      <c r="C7322" s="64" t="n"/>
      <c r="D7322" s="64" t="n"/>
      <c r="E7322" s="63" t="n"/>
    </row>
    <row r="7323" ht="18" customHeight="1">
      <c r="A7323" s="62" t="n"/>
      <c r="B7323" s="63" t="n"/>
      <c r="C7323" s="64" t="n"/>
      <c r="D7323" s="64" t="n"/>
      <c r="E7323" s="63" t="n"/>
    </row>
    <row r="7324" ht="18" customHeight="1">
      <c r="A7324" s="62" t="n"/>
      <c r="B7324" s="63" t="n"/>
      <c r="C7324" s="64" t="n"/>
      <c r="D7324" s="64" t="n"/>
      <c r="E7324" s="63" t="n"/>
    </row>
    <row r="7325" ht="18" customHeight="1">
      <c r="A7325" s="62" t="n"/>
      <c r="B7325" s="63" t="n"/>
      <c r="C7325" s="64" t="n"/>
      <c r="D7325" s="64" t="n"/>
      <c r="E7325" s="63" t="n"/>
    </row>
    <row r="7326" ht="18" customHeight="1">
      <c r="A7326" s="62" t="n"/>
      <c r="B7326" s="63" t="n"/>
      <c r="C7326" s="64" t="n"/>
      <c r="D7326" s="64" t="n"/>
      <c r="E7326" s="63" t="n"/>
    </row>
    <row r="7327" ht="18" customHeight="1">
      <c r="A7327" s="62" t="n"/>
      <c r="B7327" s="63" t="n"/>
      <c r="C7327" s="64" t="n"/>
      <c r="D7327" s="64" t="n"/>
      <c r="E7327" s="63" t="n"/>
    </row>
    <row r="7328" ht="18" customHeight="1">
      <c r="A7328" s="62" t="n"/>
      <c r="B7328" s="63" t="n"/>
      <c r="C7328" s="64" t="n"/>
      <c r="D7328" s="64" t="n"/>
      <c r="E7328" s="63" t="n"/>
    </row>
    <row r="7329" ht="18" customHeight="1">
      <c r="A7329" s="62" t="n"/>
      <c r="B7329" s="63" t="n"/>
      <c r="C7329" s="64" t="n"/>
      <c r="D7329" s="64" t="n"/>
      <c r="E7329" s="63" t="n"/>
    </row>
    <row r="7330" ht="18" customHeight="1">
      <c r="A7330" s="62" t="n"/>
      <c r="B7330" s="63" t="n"/>
      <c r="C7330" s="64" t="n"/>
      <c r="D7330" s="64" t="n"/>
      <c r="E7330" s="63" t="n"/>
    </row>
    <row r="7331" ht="18" customHeight="1">
      <c r="A7331" s="62" t="n"/>
      <c r="B7331" s="63" t="n"/>
      <c r="C7331" s="64" t="n"/>
      <c r="D7331" s="64" t="n"/>
      <c r="E7331" s="63" t="n"/>
    </row>
    <row r="7332" ht="18" customHeight="1">
      <c r="A7332" s="62" t="n"/>
      <c r="B7332" s="63" t="n"/>
      <c r="C7332" s="64" t="n"/>
      <c r="D7332" s="64" t="n"/>
      <c r="E7332" s="63" t="n"/>
    </row>
    <row r="7333" ht="18" customHeight="1">
      <c r="A7333" s="62" t="n"/>
      <c r="B7333" s="63" t="n"/>
      <c r="C7333" s="64" t="n"/>
      <c r="D7333" s="64" t="n"/>
      <c r="E7333" s="63" t="n"/>
    </row>
    <row r="7334" ht="18" customHeight="1">
      <c r="A7334" s="62" t="n"/>
      <c r="B7334" s="63" t="n"/>
      <c r="C7334" s="64" t="n"/>
      <c r="D7334" s="64" t="n"/>
      <c r="E7334" s="63" t="n"/>
    </row>
    <row r="7335" ht="18" customHeight="1">
      <c r="A7335" s="62" t="n"/>
      <c r="B7335" s="63" t="n"/>
      <c r="C7335" s="64" t="n"/>
      <c r="D7335" s="64" t="n"/>
      <c r="E7335" s="63" t="n"/>
    </row>
    <row r="7336" ht="18" customHeight="1">
      <c r="A7336" s="62" t="n"/>
      <c r="B7336" s="63" t="n"/>
      <c r="C7336" s="64" t="n"/>
      <c r="D7336" s="64" t="n"/>
      <c r="E7336" s="63" t="n"/>
    </row>
    <row r="7337" ht="18" customHeight="1">
      <c r="A7337" s="62" t="n"/>
      <c r="B7337" s="63" t="n"/>
      <c r="C7337" s="64" t="n"/>
      <c r="D7337" s="64" t="n"/>
      <c r="E7337" s="63" t="n"/>
    </row>
    <row r="7338" ht="18" customHeight="1">
      <c r="A7338" s="62" t="n"/>
      <c r="B7338" s="63" t="n"/>
      <c r="C7338" s="64" t="n"/>
      <c r="D7338" s="64" t="n"/>
      <c r="E7338" s="63" t="n"/>
    </row>
    <row r="7339" ht="18" customHeight="1">
      <c r="A7339" s="62" t="n"/>
      <c r="B7339" s="63" t="n"/>
      <c r="C7339" s="64" t="n"/>
      <c r="D7339" s="64" t="n"/>
      <c r="E7339" s="63" t="n"/>
    </row>
    <row r="7340" ht="18" customHeight="1">
      <c r="A7340" s="62" t="n"/>
      <c r="B7340" s="63" t="n"/>
      <c r="C7340" s="64" t="n"/>
      <c r="D7340" s="64" t="n"/>
      <c r="E7340" s="63" t="n"/>
    </row>
    <row r="7341" ht="18" customHeight="1">
      <c r="A7341" s="62" t="n"/>
      <c r="B7341" s="63" t="n"/>
      <c r="C7341" s="64" t="n"/>
      <c r="D7341" s="64" t="n"/>
      <c r="E7341" s="63" t="n"/>
    </row>
    <row r="7342" ht="18" customHeight="1">
      <c r="A7342" s="62" t="n"/>
      <c r="B7342" s="63" t="n"/>
      <c r="C7342" s="64" t="n"/>
      <c r="D7342" s="64" t="n"/>
      <c r="E7342" s="63" t="n"/>
    </row>
    <row r="7343" ht="18" customHeight="1">
      <c r="A7343" s="62" t="n"/>
      <c r="B7343" s="63" t="n"/>
      <c r="C7343" s="64" t="n"/>
      <c r="D7343" s="64" t="n"/>
      <c r="E7343" s="63" t="n"/>
    </row>
    <row r="7344" ht="18" customHeight="1">
      <c r="A7344" s="62" t="n"/>
      <c r="B7344" s="63" t="n"/>
      <c r="C7344" s="64" t="n"/>
      <c r="D7344" s="64" t="n"/>
      <c r="E7344" s="63" t="n"/>
    </row>
    <row r="7345" ht="18" customHeight="1">
      <c r="A7345" s="62" t="n"/>
      <c r="B7345" s="63" t="n"/>
      <c r="C7345" s="64" t="n"/>
      <c r="D7345" s="64" t="n"/>
      <c r="E7345" s="63" t="n"/>
    </row>
    <row r="7346" ht="18" customHeight="1">
      <c r="A7346" s="62" t="n"/>
      <c r="B7346" s="63" t="n"/>
      <c r="C7346" s="64" t="n"/>
      <c r="D7346" s="64" t="n"/>
      <c r="E7346" s="63" t="n"/>
    </row>
    <row r="7347" ht="18" customHeight="1">
      <c r="A7347" s="62" t="n"/>
      <c r="B7347" s="63" t="n"/>
      <c r="C7347" s="64" t="n"/>
      <c r="D7347" s="64" t="n"/>
      <c r="E7347" s="63" t="n"/>
    </row>
    <row r="7348" ht="18" customHeight="1">
      <c r="A7348" s="62" t="n"/>
      <c r="B7348" s="63" t="n"/>
      <c r="C7348" s="64" t="n"/>
      <c r="D7348" s="64" t="n"/>
      <c r="E7348" s="63" t="n"/>
    </row>
    <row r="7349" ht="18" customHeight="1">
      <c r="A7349" s="62" t="n"/>
      <c r="B7349" s="63" t="n"/>
      <c r="C7349" s="64" t="n"/>
      <c r="D7349" s="64" t="n"/>
      <c r="E7349" s="63" t="n"/>
    </row>
    <row r="7350" ht="18" customHeight="1">
      <c r="A7350" s="62" t="n"/>
      <c r="B7350" s="63" t="n"/>
      <c r="C7350" s="64" t="n"/>
      <c r="D7350" s="64" t="n"/>
      <c r="E7350" s="63" t="n"/>
    </row>
    <row r="7351" ht="18" customHeight="1">
      <c r="A7351" s="62" t="n"/>
      <c r="B7351" s="63" t="n"/>
      <c r="C7351" s="64" t="n"/>
      <c r="D7351" s="64" t="n"/>
      <c r="E7351" s="63" t="n"/>
    </row>
    <row r="7352" ht="18" customHeight="1">
      <c r="A7352" s="62" t="n"/>
      <c r="B7352" s="63" t="n"/>
      <c r="C7352" s="64" t="n"/>
      <c r="D7352" s="64" t="n"/>
      <c r="E7352" s="63" t="n"/>
    </row>
    <row r="7353" ht="18" customHeight="1">
      <c r="A7353" s="62" t="n"/>
      <c r="B7353" s="63" t="n"/>
      <c r="C7353" s="64" t="n"/>
      <c r="D7353" s="64" t="n"/>
      <c r="E7353" s="63" t="n"/>
    </row>
    <row r="7354" ht="18" customHeight="1">
      <c r="A7354" s="62" t="n"/>
      <c r="B7354" s="63" t="n"/>
      <c r="C7354" s="64" t="n"/>
      <c r="D7354" s="64" t="n"/>
      <c r="E7354" s="63" t="n"/>
    </row>
    <row r="7355" ht="18" customHeight="1">
      <c r="A7355" s="62" t="n"/>
      <c r="B7355" s="63" t="n"/>
      <c r="C7355" s="64" t="n"/>
      <c r="D7355" s="64" t="n"/>
      <c r="E7355" s="63" t="n"/>
    </row>
    <row r="7356" ht="18" customHeight="1">
      <c r="A7356" s="62" t="n"/>
      <c r="B7356" s="63" t="n"/>
      <c r="C7356" s="64" t="n"/>
      <c r="D7356" s="64" t="n"/>
      <c r="E7356" s="63" t="n"/>
    </row>
    <row r="7357" ht="18" customHeight="1">
      <c r="A7357" s="62" t="n"/>
      <c r="B7357" s="63" t="n"/>
      <c r="C7357" s="64" t="n"/>
      <c r="D7357" s="64" t="n"/>
      <c r="E7357" s="63" t="n"/>
    </row>
    <row r="7358" ht="18" customHeight="1">
      <c r="A7358" s="62" t="n"/>
      <c r="B7358" s="63" t="n"/>
      <c r="C7358" s="64" t="n"/>
      <c r="D7358" s="64" t="n"/>
      <c r="E7358" s="63" t="n"/>
    </row>
    <row r="7359" ht="18" customHeight="1">
      <c r="A7359" s="62" t="n"/>
      <c r="B7359" s="63" t="n"/>
      <c r="C7359" s="64" t="n"/>
      <c r="D7359" s="64" t="n"/>
      <c r="E7359" s="63" t="n"/>
    </row>
    <row r="7360" ht="18" customHeight="1">
      <c r="A7360" s="62" t="n"/>
      <c r="B7360" s="63" t="n"/>
      <c r="C7360" s="64" t="n"/>
      <c r="D7360" s="64" t="n"/>
      <c r="E7360" s="63" t="n"/>
    </row>
    <row r="7361" ht="18" customHeight="1">
      <c r="A7361" s="62" t="n"/>
      <c r="B7361" s="63" t="n"/>
      <c r="C7361" s="64" t="n"/>
      <c r="D7361" s="64" t="n"/>
      <c r="E7361" s="63" t="n"/>
    </row>
    <row r="7362" ht="18" customHeight="1">
      <c r="A7362" s="62" t="n"/>
      <c r="B7362" s="63" t="n"/>
      <c r="C7362" s="64" t="n"/>
      <c r="D7362" s="64" t="n"/>
      <c r="E7362" s="63" t="n"/>
    </row>
    <row r="7363" ht="18" customHeight="1">
      <c r="A7363" s="62" t="n"/>
      <c r="B7363" s="63" t="n"/>
      <c r="C7363" s="64" t="n"/>
      <c r="D7363" s="64" t="n"/>
      <c r="E7363" s="63" t="n"/>
    </row>
    <row r="7364" ht="18" customHeight="1">
      <c r="A7364" s="62" t="n"/>
      <c r="B7364" s="63" t="n"/>
      <c r="C7364" s="64" t="n"/>
      <c r="D7364" s="64" t="n"/>
      <c r="E7364" s="63" t="n"/>
    </row>
    <row r="7365" ht="18" customHeight="1">
      <c r="A7365" s="62" t="n"/>
      <c r="B7365" s="63" t="n"/>
      <c r="C7365" s="64" t="n"/>
      <c r="D7365" s="64" t="n"/>
      <c r="E7365" s="63" t="n"/>
    </row>
    <row r="7366" ht="18" customHeight="1">
      <c r="A7366" s="62" t="n"/>
      <c r="B7366" s="63" t="n"/>
      <c r="C7366" s="64" t="n"/>
      <c r="D7366" s="64" t="n"/>
      <c r="E7366" s="63" t="n"/>
    </row>
    <row r="7367" ht="18" customHeight="1">
      <c r="A7367" s="62" t="n"/>
      <c r="B7367" s="63" t="n"/>
      <c r="C7367" s="64" t="n"/>
      <c r="D7367" s="64" t="n"/>
      <c r="E7367" s="63" t="n"/>
    </row>
    <row r="7368" ht="18" customHeight="1">
      <c r="A7368" s="62" t="n"/>
      <c r="B7368" s="63" t="n"/>
      <c r="C7368" s="64" t="n"/>
      <c r="D7368" s="64" t="n"/>
      <c r="E7368" s="63" t="n"/>
    </row>
    <row r="7369" ht="18" customHeight="1">
      <c r="A7369" s="62" t="n"/>
      <c r="B7369" s="63" t="n"/>
      <c r="C7369" s="64" t="n"/>
      <c r="D7369" s="64" t="n"/>
      <c r="E7369" s="63" t="n"/>
    </row>
    <row r="7370" ht="18" customHeight="1">
      <c r="A7370" s="62" t="n"/>
      <c r="B7370" s="63" t="n"/>
      <c r="C7370" s="64" t="n"/>
      <c r="D7370" s="64" t="n"/>
      <c r="E7370" s="63" t="n"/>
    </row>
    <row r="7371" ht="18" customHeight="1">
      <c r="A7371" s="62" t="n"/>
      <c r="B7371" s="63" t="n"/>
      <c r="C7371" s="64" t="n"/>
      <c r="D7371" s="64" t="n"/>
      <c r="E7371" s="63" t="n"/>
    </row>
    <row r="7372" ht="18" customHeight="1">
      <c r="A7372" s="62" t="n"/>
      <c r="B7372" s="63" t="n"/>
      <c r="C7372" s="64" t="n"/>
      <c r="D7372" s="64" t="n"/>
      <c r="E7372" s="63" t="n"/>
    </row>
    <row r="7373" ht="18" customHeight="1">
      <c r="A7373" s="62" t="n"/>
      <c r="B7373" s="63" t="n"/>
      <c r="C7373" s="64" t="n"/>
      <c r="D7373" s="64" t="n"/>
      <c r="E7373" s="63" t="n"/>
    </row>
    <row r="7374" ht="18" customHeight="1">
      <c r="A7374" s="62" t="n"/>
      <c r="B7374" s="63" t="n"/>
      <c r="C7374" s="64" t="n"/>
      <c r="D7374" s="64" t="n"/>
      <c r="E7374" s="63" t="n"/>
    </row>
    <row r="7375" ht="18" customHeight="1">
      <c r="A7375" s="62" t="n"/>
      <c r="B7375" s="63" t="n"/>
      <c r="C7375" s="64" t="n"/>
      <c r="D7375" s="64" t="n"/>
      <c r="E7375" s="63" t="n"/>
    </row>
    <row r="7376" ht="18" customHeight="1">
      <c r="A7376" s="62" t="n"/>
      <c r="B7376" s="63" t="n"/>
      <c r="C7376" s="64" t="n"/>
      <c r="D7376" s="64" t="n"/>
      <c r="E7376" s="63" t="n"/>
    </row>
    <row r="7377" ht="18" customHeight="1">
      <c r="A7377" s="62" t="n"/>
      <c r="B7377" s="63" t="n"/>
      <c r="C7377" s="64" t="n"/>
      <c r="D7377" s="64" t="n"/>
      <c r="E7377" s="63" t="n"/>
    </row>
    <row r="7378" ht="18" customHeight="1">
      <c r="A7378" s="62" t="n"/>
      <c r="B7378" s="63" t="n"/>
      <c r="C7378" s="64" t="n"/>
      <c r="D7378" s="64" t="n"/>
      <c r="E7378" s="63" t="n"/>
    </row>
    <row r="7379" ht="18" customHeight="1">
      <c r="A7379" s="62" t="n"/>
      <c r="B7379" s="63" t="n"/>
      <c r="C7379" s="64" t="n"/>
      <c r="D7379" s="64" t="n"/>
      <c r="E7379" s="63" t="n"/>
    </row>
    <row r="7380" ht="18" customHeight="1">
      <c r="A7380" s="62" t="n"/>
      <c r="B7380" s="63" t="n"/>
      <c r="C7380" s="64" t="n"/>
      <c r="D7380" s="64" t="n"/>
      <c r="E7380" s="63" t="n"/>
    </row>
    <row r="7381" ht="18" customHeight="1">
      <c r="A7381" s="62" t="n"/>
      <c r="B7381" s="63" t="n"/>
      <c r="C7381" s="64" t="n"/>
      <c r="D7381" s="64" t="n"/>
      <c r="E7381" s="63" t="n"/>
    </row>
    <row r="7382" ht="18" customHeight="1">
      <c r="A7382" s="62" t="n"/>
      <c r="B7382" s="63" t="n"/>
      <c r="C7382" s="64" t="n"/>
      <c r="D7382" s="64" t="n"/>
      <c r="E7382" s="63" t="n"/>
    </row>
    <row r="7383" ht="18" customHeight="1">
      <c r="A7383" s="62" t="n"/>
      <c r="B7383" s="63" t="n"/>
      <c r="C7383" s="64" t="n"/>
      <c r="D7383" s="64" t="n"/>
      <c r="E7383" s="63" t="n"/>
    </row>
    <row r="7384" ht="18" customHeight="1">
      <c r="A7384" s="62" t="n"/>
      <c r="B7384" s="63" t="n"/>
      <c r="C7384" s="64" t="n"/>
      <c r="D7384" s="64" t="n"/>
      <c r="E7384" s="63" t="n"/>
    </row>
    <row r="7385" ht="18" customHeight="1">
      <c r="A7385" s="62" t="n"/>
      <c r="B7385" s="63" t="n"/>
      <c r="C7385" s="64" t="n"/>
      <c r="D7385" s="64" t="n"/>
      <c r="E7385" s="63" t="n"/>
    </row>
    <row r="7386" ht="18" customHeight="1">
      <c r="A7386" s="62" t="n"/>
      <c r="B7386" s="63" t="n"/>
      <c r="C7386" s="64" t="n"/>
      <c r="D7386" s="64" t="n"/>
      <c r="E7386" s="63" t="n"/>
    </row>
    <row r="7387" ht="18" customHeight="1">
      <c r="A7387" s="62" t="n"/>
      <c r="B7387" s="63" t="n"/>
      <c r="C7387" s="64" t="n"/>
      <c r="D7387" s="64" t="n"/>
      <c r="E7387" s="63" t="n"/>
    </row>
    <row r="7388" ht="18" customHeight="1">
      <c r="A7388" s="62" t="n"/>
      <c r="B7388" s="63" t="n"/>
      <c r="C7388" s="64" t="n"/>
      <c r="D7388" s="64" t="n"/>
      <c r="E7388" s="63" t="n"/>
    </row>
    <row r="7389" ht="18" customHeight="1">
      <c r="A7389" s="62" t="n"/>
      <c r="B7389" s="63" t="n"/>
      <c r="C7389" s="64" t="n"/>
      <c r="D7389" s="64" t="n"/>
      <c r="E7389" s="63" t="n"/>
    </row>
    <row r="7390" ht="18" customHeight="1">
      <c r="A7390" s="62" t="n"/>
      <c r="B7390" s="63" t="n"/>
      <c r="C7390" s="64" t="n"/>
      <c r="D7390" s="64" t="n"/>
      <c r="E7390" s="63" t="n"/>
    </row>
    <row r="7391" ht="18" customHeight="1">
      <c r="A7391" s="62" t="n"/>
      <c r="B7391" s="63" t="n"/>
      <c r="C7391" s="64" t="n"/>
      <c r="D7391" s="64" t="n"/>
      <c r="E7391" s="63" t="n"/>
    </row>
    <row r="7392" ht="18" customHeight="1">
      <c r="A7392" s="62" t="n"/>
      <c r="B7392" s="63" t="n"/>
      <c r="C7392" s="64" t="n"/>
      <c r="D7392" s="64" t="n"/>
      <c r="E7392" s="63" t="n"/>
    </row>
    <row r="7393" ht="18" customHeight="1">
      <c r="A7393" s="62" t="n"/>
      <c r="B7393" s="63" t="n"/>
      <c r="C7393" s="64" t="n"/>
      <c r="D7393" s="64" t="n"/>
      <c r="E7393" s="63" t="n"/>
    </row>
    <row r="7394" ht="18" customHeight="1">
      <c r="A7394" s="62" t="n"/>
      <c r="B7394" s="63" t="n"/>
      <c r="C7394" s="64" t="n"/>
      <c r="D7394" s="64" t="n"/>
      <c r="E7394" s="63" t="n"/>
    </row>
    <row r="7395" ht="18" customHeight="1">
      <c r="A7395" s="62" t="n"/>
      <c r="B7395" s="63" t="n"/>
      <c r="C7395" s="64" t="n"/>
      <c r="D7395" s="64" t="n"/>
      <c r="E7395" s="63" t="n"/>
    </row>
    <row r="7396" ht="18" customHeight="1">
      <c r="A7396" s="62" t="n"/>
      <c r="B7396" s="63" t="n"/>
      <c r="C7396" s="64" t="n"/>
      <c r="D7396" s="64" t="n"/>
      <c r="E7396" s="63" t="n"/>
    </row>
    <row r="7397" ht="18" customHeight="1">
      <c r="A7397" s="62" t="n"/>
      <c r="B7397" s="63" t="n"/>
      <c r="C7397" s="64" t="n"/>
      <c r="D7397" s="64" t="n"/>
      <c r="E7397" s="63" t="n"/>
    </row>
    <row r="7398" ht="18" customHeight="1">
      <c r="A7398" s="62" t="n"/>
      <c r="B7398" s="63" t="n"/>
      <c r="C7398" s="64" t="n"/>
      <c r="D7398" s="64" t="n"/>
      <c r="E7398" s="63" t="n"/>
    </row>
    <row r="7399" ht="18" customHeight="1">
      <c r="A7399" s="62" t="n"/>
      <c r="B7399" s="63" t="n"/>
      <c r="C7399" s="64" t="n"/>
      <c r="D7399" s="64" t="n"/>
      <c r="E7399" s="63" t="n"/>
    </row>
    <row r="7400" ht="18" customHeight="1">
      <c r="A7400" s="62" t="n"/>
      <c r="B7400" s="63" t="n"/>
      <c r="C7400" s="64" t="n"/>
      <c r="D7400" s="64" t="n"/>
      <c r="E7400" s="63" t="n"/>
    </row>
    <row r="7401" ht="18" customHeight="1">
      <c r="A7401" s="62" t="n"/>
      <c r="B7401" s="63" t="n"/>
      <c r="C7401" s="64" t="n"/>
      <c r="D7401" s="64" t="n"/>
      <c r="E7401" s="63" t="n"/>
    </row>
    <row r="7402" ht="18" customHeight="1">
      <c r="A7402" s="62" t="n"/>
      <c r="B7402" s="63" t="n"/>
      <c r="C7402" s="64" t="n"/>
      <c r="D7402" s="64" t="n"/>
      <c r="E7402" s="63" t="n"/>
    </row>
    <row r="7403" ht="18" customHeight="1">
      <c r="A7403" s="62" t="n"/>
      <c r="B7403" s="63" t="n"/>
      <c r="C7403" s="64" t="n"/>
      <c r="D7403" s="64" t="n"/>
      <c r="E7403" s="63" t="n"/>
    </row>
    <row r="7404" ht="18" customHeight="1">
      <c r="A7404" s="62" t="n"/>
      <c r="B7404" s="63" t="n"/>
      <c r="C7404" s="64" t="n"/>
      <c r="D7404" s="64" t="n"/>
      <c r="E7404" s="63" t="n"/>
    </row>
    <row r="7405" ht="18" customHeight="1">
      <c r="A7405" s="62" t="n"/>
      <c r="B7405" s="63" t="n"/>
      <c r="C7405" s="64" t="n"/>
      <c r="D7405" s="64" t="n"/>
      <c r="E7405" s="63" t="n"/>
    </row>
    <row r="7406" ht="18" customHeight="1">
      <c r="A7406" s="62" t="n"/>
      <c r="B7406" s="63" t="n"/>
      <c r="C7406" s="64" t="n"/>
      <c r="D7406" s="64" t="n"/>
      <c r="E7406" s="63" t="n"/>
    </row>
    <row r="7407" ht="18" customHeight="1">
      <c r="A7407" s="62" t="n"/>
      <c r="B7407" s="63" t="n"/>
      <c r="C7407" s="64" t="n"/>
      <c r="D7407" s="64" t="n"/>
      <c r="E7407" s="63" t="n"/>
    </row>
    <row r="7408" ht="18" customHeight="1">
      <c r="A7408" s="62" t="n"/>
      <c r="B7408" s="63" t="n"/>
      <c r="C7408" s="64" t="n"/>
      <c r="D7408" s="64" t="n"/>
      <c r="E7408" s="63" t="n"/>
    </row>
    <row r="7409" ht="18" customHeight="1">
      <c r="A7409" s="62" t="n"/>
      <c r="B7409" s="63" t="n"/>
      <c r="C7409" s="64" t="n"/>
      <c r="D7409" s="64" t="n"/>
      <c r="E7409" s="63" t="n"/>
    </row>
    <row r="7410" ht="18" customHeight="1">
      <c r="A7410" s="62" t="n"/>
      <c r="B7410" s="63" t="n"/>
      <c r="C7410" s="64" t="n"/>
      <c r="D7410" s="64" t="n"/>
      <c r="E7410" s="63" t="n"/>
    </row>
    <row r="7411" ht="18" customHeight="1">
      <c r="A7411" s="62" t="n"/>
      <c r="B7411" s="63" t="n"/>
      <c r="C7411" s="64" t="n"/>
      <c r="D7411" s="64" t="n"/>
      <c r="E7411" s="63" t="n"/>
    </row>
    <row r="7412" ht="18" customHeight="1">
      <c r="A7412" s="62" t="n"/>
      <c r="B7412" s="63" t="n"/>
      <c r="C7412" s="64" t="n"/>
      <c r="D7412" s="64" t="n"/>
      <c r="E7412" s="63" t="n"/>
    </row>
    <row r="7413" ht="18" customHeight="1">
      <c r="A7413" s="62" t="n"/>
      <c r="B7413" s="63" t="n"/>
      <c r="C7413" s="64" t="n"/>
      <c r="D7413" s="64" t="n"/>
      <c r="E7413" s="63" t="n"/>
    </row>
    <row r="7414" ht="18" customHeight="1">
      <c r="A7414" s="62" t="n"/>
      <c r="B7414" s="63" t="n"/>
      <c r="C7414" s="64" t="n"/>
      <c r="D7414" s="64" t="n"/>
      <c r="E7414" s="63" t="n"/>
    </row>
    <row r="7415" ht="18" customHeight="1">
      <c r="A7415" s="62" t="n"/>
      <c r="B7415" s="63" t="n"/>
      <c r="C7415" s="64" t="n"/>
      <c r="D7415" s="64" t="n"/>
      <c r="E7415" s="63" t="n"/>
    </row>
    <row r="7416" ht="18" customHeight="1">
      <c r="A7416" s="62" t="n"/>
      <c r="B7416" s="63" t="n"/>
      <c r="C7416" s="64" t="n"/>
      <c r="D7416" s="64" t="n"/>
      <c r="E7416" s="63" t="n"/>
    </row>
    <row r="7417" ht="18" customHeight="1">
      <c r="A7417" s="62" t="n"/>
      <c r="B7417" s="63" t="n"/>
      <c r="C7417" s="64" t="n"/>
      <c r="D7417" s="64" t="n"/>
      <c r="E7417" s="63" t="n"/>
    </row>
    <row r="7418" ht="18" customHeight="1">
      <c r="A7418" s="62" t="n"/>
      <c r="B7418" s="63" t="n"/>
      <c r="C7418" s="64" t="n"/>
      <c r="D7418" s="64" t="n"/>
      <c r="E7418" s="63" t="n"/>
    </row>
    <row r="7419" ht="18" customHeight="1">
      <c r="A7419" s="62" t="n"/>
      <c r="B7419" s="63" t="n"/>
      <c r="C7419" s="64" t="n"/>
      <c r="D7419" s="64" t="n"/>
      <c r="E7419" s="63" t="n"/>
    </row>
    <row r="7420" ht="18" customHeight="1">
      <c r="A7420" s="62" t="n"/>
      <c r="B7420" s="63" t="n"/>
      <c r="C7420" s="64" t="n"/>
      <c r="D7420" s="64" t="n"/>
      <c r="E7420" s="63" t="n"/>
    </row>
    <row r="7421" ht="18" customHeight="1">
      <c r="A7421" s="62" t="n"/>
      <c r="B7421" s="63" t="n"/>
      <c r="C7421" s="64" t="n"/>
      <c r="D7421" s="64" t="n"/>
      <c r="E7421" s="63" t="n"/>
    </row>
    <row r="7422" ht="18" customHeight="1">
      <c r="A7422" s="62" t="n"/>
      <c r="B7422" s="63" t="n"/>
      <c r="C7422" s="64" t="n"/>
      <c r="D7422" s="64" t="n"/>
      <c r="E7422" s="63" t="n"/>
    </row>
    <row r="7423" ht="18" customHeight="1">
      <c r="A7423" s="62" t="n"/>
      <c r="B7423" s="63" t="n"/>
      <c r="C7423" s="64" t="n"/>
      <c r="D7423" s="64" t="n"/>
      <c r="E7423" s="63" t="n"/>
    </row>
    <row r="7424" ht="18" customHeight="1">
      <c r="A7424" s="62" t="n"/>
      <c r="B7424" s="63" t="n"/>
      <c r="C7424" s="64" t="n"/>
      <c r="D7424" s="64" t="n"/>
      <c r="E7424" s="63" t="n"/>
    </row>
    <row r="7425" ht="18" customHeight="1">
      <c r="A7425" s="62" t="n"/>
      <c r="B7425" s="63" t="n"/>
      <c r="C7425" s="64" t="n"/>
      <c r="D7425" s="64" t="n"/>
      <c r="E7425" s="63" t="n"/>
    </row>
    <row r="7426" ht="18" customHeight="1">
      <c r="A7426" s="62" t="n"/>
      <c r="B7426" s="63" t="n"/>
      <c r="C7426" s="64" t="n"/>
      <c r="D7426" s="64" t="n"/>
      <c r="E7426" s="63" t="n"/>
    </row>
    <row r="7427" ht="18" customHeight="1">
      <c r="A7427" s="62" t="n"/>
      <c r="B7427" s="63" t="n"/>
      <c r="C7427" s="64" t="n"/>
      <c r="D7427" s="64" t="n"/>
      <c r="E7427" s="63" t="n"/>
    </row>
    <row r="7428" ht="18" customHeight="1">
      <c r="A7428" s="62" t="n"/>
      <c r="B7428" s="63" t="n"/>
      <c r="C7428" s="64" t="n"/>
      <c r="D7428" s="64" t="n"/>
      <c r="E7428" s="63" t="n"/>
    </row>
    <row r="7429" ht="18" customHeight="1">
      <c r="A7429" s="62" t="n"/>
      <c r="B7429" s="63" t="n"/>
      <c r="C7429" s="64" t="n"/>
      <c r="D7429" s="64" t="n"/>
      <c r="E7429" s="63" t="n"/>
    </row>
    <row r="7430" ht="18" customHeight="1">
      <c r="A7430" s="62" t="n"/>
      <c r="B7430" s="63" t="n"/>
      <c r="C7430" s="64" t="n"/>
      <c r="D7430" s="64" t="n"/>
      <c r="E7430" s="63" t="n"/>
    </row>
    <row r="7431" ht="18" customHeight="1">
      <c r="A7431" s="62" t="n"/>
      <c r="B7431" s="63" t="n"/>
      <c r="C7431" s="64" t="n"/>
      <c r="D7431" s="64" t="n"/>
      <c r="E7431" s="63" t="n"/>
    </row>
    <row r="7432" ht="18" customHeight="1">
      <c r="A7432" s="62" t="n"/>
      <c r="B7432" s="63" t="n"/>
      <c r="C7432" s="64" t="n"/>
      <c r="D7432" s="64" t="n"/>
      <c r="E7432" s="63" t="n"/>
    </row>
    <row r="7433" ht="18" customHeight="1">
      <c r="A7433" s="62" t="n"/>
      <c r="B7433" s="63" t="n"/>
      <c r="C7433" s="64" t="n"/>
      <c r="D7433" s="64" t="n"/>
      <c r="E7433" s="63" t="n"/>
    </row>
    <row r="7434" ht="18" customHeight="1">
      <c r="A7434" s="62" t="n"/>
      <c r="B7434" s="63" t="n"/>
      <c r="C7434" s="64" t="n"/>
      <c r="D7434" s="64" t="n"/>
      <c r="E7434" s="63" t="n"/>
    </row>
    <row r="7435" ht="18" customHeight="1">
      <c r="A7435" s="62" t="n"/>
      <c r="B7435" s="63" t="n"/>
      <c r="C7435" s="64" t="n"/>
      <c r="D7435" s="64" t="n"/>
      <c r="E7435" s="63" t="n"/>
    </row>
    <row r="7436" ht="18" customHeight="1">
      <c r="A7436" s="62" t="n"/>
      <c r="B7436" s="63" t="n"/>
      <c r="C7436" s="64" t="n"/>
      <c r="D7436" s="64" t="n"/>
      <c r="E7436" s="63" t="n"/>
    </row>
    <row r="7437" ht="18" customHeight="1">
      <c r="A7437" s="62" t="n"/>
      <c r="B7437" s="63" t="n"/>
      <c r="C7437" s="64" t="n"/>
      <c r="D7437" s="64" t="n"/>
      <c r="E7437" s="63" t="n"/>
    </row>
    <row r="7438" ht="18" customHeight="1">
      <c r="A7438" s="62" t="n"/>
      <c r="B7438" s="63" t="n"/>
      <c r="C7438" s="64" t="n"/>
      <c r="D7438" s="64" t="n"/>
      <c r="E7438" s="63" t="n"/>
    </row>
    <row r="7439" ht="18" customHeight="1">
      <c r="A7439" s="62" t="n"/>
      <c r="B7439" s="63" t="n"/>
      <c r="C7439" s="64" t="n"/>
      <c r="D7439" s="64" t="n"/>
      <c r="E7439" s="63" t="n"/>
    </row>
    <row r="7440" ht="18" customHeight="1">
      <c r="A7440" s="62" t="n"/>
      <c r="B7440" s="63" t="n"/>
      <c r="C7440" s="64" t="n"/>
      <c r="D7440" s="64" t="n"/>
      <c r="E7440" s="63" t="n"/>
    </row>
    <row r="7441" ht="18" customHeight="1">
      <c r="A7441" s="62" t="n"/>
      <c r="B7441" s="63" t="n"/>
      <c r="C7441" s="64" t="n"/>
      <c r="D7441" s="64" t="n"/>
      <c r="E7441" s="63" t="n"/>
    </row>
    <row r="7442" ht="18" customHeight="1">
      <c r="A7442" s="62" t="n"/>
      <c r="B7442" s="63" t="n"/>
      <c r="C7442" s="64" t="n"/>
      <c r="D7442" s="64" t="n"/>
      <c r="E7442" s="63" t="n"/>
    </row>
    <row r="7443" ht="18" customHeight="1">
      <c r="A7443" s="62" t="n"/>
      <c r="B7443" s="63" t="n"/>
      <c r="C7443" s="64" t="n"/>
      <c r="D7443" s="64" t="n"/>
      <c r="E7443" s="63" t="n"/>
    </row>
    <row r="7444" ht="18" customHeight="1">
      <c r="A7444" s="62" t="n"/>
      <c r="B7444" s="63" t="n"/>
      <c r="C7444" s="64" t="n"/>
      <c r="D7444" s="64" t="n"/>
      <c r="E7444" s="63" t="n"/>
    </row>
    <row r="7445" ht="18" customHeight="1">
      <c r="A7445" s="62" t="n"/>
      <c r="B7445" s="63" t="n"/>
      <c r="C7445" s="64" t="n"/>
      <c r="D7445" s="64" t="n"/>
      <c r="E7445" s="63" t="n"/>
    </row>
    <row r="7446" ht="18" customHeight="1">
      <c r="A7446" s="62" t="n"/>
      <c r="B7446" s="63" t="n"/>
      <c r="C7446" s="64" t="n"/>
      <c r="D7446" s="64" t="n"/>
      <c r="E7446" s="63" t="n"/>
    </row>
    <row r="7447" ht="18" customHeight="1">
      <c r="A7447" s="62" t="n"/>
      <c r="B7447" s="63" t="n"/>
      <c r="C7447" s="64" t="n"/>
      <c r="D7447" s="64" t="n"/>
      <c r="E7447" s="63" t="n"/>
    </row>
    <row r="7448" ht="18" customHeight="1">
      <c r="A7448" s="62" t="n"/>
      <c r="B7448" s="63" t="n"/>
      <c r="C7448" s="64" t="n"/>
      <c r="D7448" s="64" t="n"/>
      <c r="E7448" s="63" t="n"/>
    </row>
    <row r="7449" ht="18" customHeight="1">
      <c r="A7449" s="62" t="n"/>
      <c r="B7449" s="63" t="n"/>
      <c r="C7449" s="64" t="n"/>
      <c r="D7449" s="64" t="n"/>
      <c r="E7449" s="63" t="n"/>
    </row>
    <row r="7450" ht="18" customHeight="1">
      <c r="A7450" s="62" t="n"/>
      <c r="B7450" s="63" t="n"/>
      <c r="C7450" s="64" t="n"/>
      <c r="D7450" s="64" t="n"/>
      <c r="E7450" s="63" t="n"/>
    </row>
    <row r="7451" ht="18" customHeight="1">
      <c r="A7451" s="62" t="n"/>
      <c r="B7451" s="63" t="n"/>
      <c r="C7451" s="64" t="n"/>
      <c r="D7451" s="64" t="n"/>
      <c r="E7451" s="63" t="n"/>
    </row>
    <row r="7452" ht="18" customHeight="1">
      <c r="A7452" s="62" t="n"/>
      <c r="B7452" s="63" t="n"/>
      <c r="C7452" s="64" t="n"/>
      <c r="D7452" s="64" t="n"/>
      <c r="E7452" s="63" t="n"/>
    </row>
    <row r="7453" ht="18" customHeight="1">
      <c r="A7453" s="62" t="n"/>
      <c r="B7453" s="63" t="n"/>
      <c r="C7453" s="64" t="n"/>
      <c r="D7453" s="64" t="n"/>
      <c r="E7453" s="63" t="n"/>
    </row>
    <row r="7454" ht="18" customHeight="1">
      <c r="A7454" s="62" t="n"/>
      <c r="B7454" s="63" t="n"/>
      <c r="C7454" s="64" t="n"/>
      <c r="D7454" s="64" t="n"/>
      <c r="E7454" s="63" t="n"/>
    </row>
    <row r="7455" ht="18" customHeight="1">
      <c r="A7455" s="62" t="n"/>
      <c r="B7455" s="63" t="n"/>
      <c r="C7455" s="64" t="n"/>
      <c r="D7455" s="64" t="n"/>
      <c r="E7455" s="63" t="n"/>
    </row>
    <row r="7456" ht="18" customHeight="1">
      <c r="A7456" s="62" t="n"/>
      <c r="B7456" s="63" t="n"/>
      <c r="C7456" s="64" t="n"/>
      <c r="D7456" s="64" t="n"/>
      <c r="E7456" s="63" t="n"/>
    </row>
    <row r="7457" ht="18" customHeight="1">
      <c r="A7457" s="62" t="n"/>
      <c r="B7457" s="63" t="n"/>
      <c r="C7457" s="64" t="n"/>
      <c r="D7457" s="64" t="n"/>
      <c r="E7457" s="63" t="n"/>
    </row>
    <row r="7458" ht="18" customHeight="1">
      <c r="A7458" s="62" t="n"/>
      <c r="B7458" s="63" t="n"/>
      <c r="C7458" s="64" t="n"/>
      <c r="D7458" s="64" t="n"/>
      <c r="E7458" s="63" t="n"/>
    </row>
    <row r="7459" ht="18" customHeight="1">
      <c r="A7459" s="62" t="n"/>
      <c r="B7459" s="63" t="n"/>
      <c r="C7459" s="64" t="n"/>
      <c r="D7459" s="64" t="n"/>
      <c r="E7459" s="63" t="n"/>
    </row>
    <row r="7460" ht="18" customHeight="1">
      <c r="A7460" s="62" t="n"/>
      <c r="B7460" s="63" t="n"/>
      <c r="C7460" s="64" t="n"/>
      <c r="D7460" s="64" t="n"/>
      <c r="E7460" s="63" t="n"/>
    </row>
    <row r="7461" ht="18" customHeight="1">
      <c r="A7461" s="62" t="n"/>
      <c r="B7461" s="63" t="n"/>
      <c r="C7461" s="64" t="n"/>
      <c r="D7461" s="64" t="n"/>
      <c r="E7461" s="63" t="n"/>
    </row>
    <row r="7462" ht="18" customHeight="1">
      <c r="A7462" s="62" t="n"/>
      <c r="B7462" s="63" t="n"/>
      <c r="C7462" s="64" t="n"/>
      <c r="D7462" s="64" t="n"/>
      <c r="E7462" s="63" t="n"/>
    </row>
    <row r="7463" ht="18" customHeight="1">
      <c r="A7463" s="62" t="n"/>
      <c r="B7463" s="63" t="n"/>
      <c r="C7463" s="64" t="n"/>
      <c r="D7463" s="64" t="n"/>
      <c r="E7463" s="63" t="n"/>
    </row>
    <row r="7464" ht="18" customHeight="1">
      <c r="A7464" s="62" t="n"/>
      <c r="B7464" s="63" t="n"/>
      <c r="C7464" s="64" t="n"/>
      <c r="D7464" s="64" t="n"/>
      <c r="E7464" s="63" t="n"/>
    </row>
    <row r="7465" ht="18" customHeight="1">
      <c r="A7465" s="62" t="n"/>
      <c r="B7465" s="63" t="n"/>
      <c r="C7465" s="64" t="n"/>
      <c r="D7465" s="64" t="n"/>
      <c r="E7465" s="63" t="n"/>
    </row>
    <row r="7466" ht="18" customHeight="1">
      <c r="A7466" s="62" t="n"/>
      <c r="B7466" s="63" t="n"/>
      <c r="C7466" s="64" t="n"/>
      <c r="D7466" s="64" t="n"/>
      <c r="E7466" s="63" t="n"/>
    </row>
    <row r="7467" ht="18" customHeight="1">
      <c r="A7467" s="62" t="n"/>
      <c r="B7467" s="63" t="n"/>
      <c r="C7467" s="64" t="n"/>
      <c r="D7467" s="64" t="n"/>
      <c r="E7467" s="63" t="n"/>
    </row>
    <row r="7468" ht="18" customHeight="1">
      <c r="A7468" s="62" t="n"/>
      <c r="B7468" s="63" t="n"/>
      <c r="C7468" s="64" t="n"/>
      <c r="D7468" s="64" t="n"/>
      <c r="E7468" s="63" t="n"/>
    </row>
    <row r="7469" ht="18" customHeight="1">
      <c r="A7469" s="62" t="n"/>
      <c r="B7469" s="63" t="n"/>
      <c r="C7469" s="64" t="n"/>
      <c r="D7469" s="64" t="n"/>
      <c r="E7469" s="63" t="n"/>
    </row>
    <row r="7470" ht="18" customHeight="1">
      <c r="A7470" s="62" t="n"/>
      <c r="B7470" s="63" t="n"/>
      <c r="C7470" s="64" t="n"/>
      <c r="D7470" s="64" t="n"/>
      <c r="E7470" s="63" t="n"/>
    </row>
    <row r="7471" ht="18" customHeight="1">
      <c r="A7471" s="62" t="n"/>
      <c r="B7471" s="63" t="n"/>
      <c r="C7471" s="64" t="n"/>
      <c r="D7471" s="64" t="n"/>
      <c r="E7471" s="63" t="n"/>
    </row>
    <row r="7472" ht="18" customHeight="1">
      <c r="A7472" s="62" t="n"/>
      <c r="B7472" s="63" t="n"/>
      <c r="C7472" s="64" t="n"/>
      <c r="D7472" s="64" t="n"/>
      <c r="E7472" s="63" t="n"/>
    </row>
    <row r="7473" ht="18" customHeight="1">
      <c r="A7473" s="62" t="n"/>
      <c r="B7473" s="63" t="n"/>
      <c r="C7473" s="64" t="n"/>
      <c r="D7473" s="64" t="n"/>
      <c r="E7473" s="63" t="n"/>
    </row>
    <row r="7474" ht="18" customHeight="1">
      <c r="A7474" s="62" t="n"/>
      <c r="B7474" s="63" t="n"/>
      <c r="C7474" s="64" t="n"/>
      <c r="D7474" s="64" t="n"/>
      <c r="E7474" s="63" t="n"/>
    </row>
    <row r="7475" ht="18" customHeight="1">
      <c r="A7475" s="62" t="n"/>
      <c r="B7475" s="63" t="n"/>
      <c r="C7475" s="64" t="n"/>
      <c r="D7475" s="64" t="n"/>
      <c r="E7475" s="63" t="n"/>
    </row>
    <row r="7476" ht="18" customHeight="1">
      <c r="A7476" s="62" t="n"/>
      <c r="B7476" s="63" t="n"/>
      <c r="C7476" s="64" t="n"/>
      <c r="D7476" s="64" t="n"/>
      <c r="E7476" s="63" t="n"/>
    </row>
    <row r="7477" ht="18" customHeight="1">
      <c r="A7477" s="62" t="n"/>
      <c r="B7477" s="63" t="n"/>
      <c r="C7477" s="64" t="n"/>
      <c r="D7477" s="64" t="n"/>
      <c r="E7477" s="63" t="n"/>
    </row>
    <row r="7478" ht="18" customHeight="1">
      <c r="A7478" s="62" t="n"/>
      <c r="B7478" s="63" t="n"/>
      <c r="C7478" s="64" t="n"/>
      <c r="D7478" s="64" t="n"/>
      <c r="E7478" s="63" t="n"/>
    </row>
    <row r="7479" ht="18" customHeight="1">
      <c r="A7479" s="62" t="n"/>
      <c r="B7479" s="63" t="n"/>
      <c r="C7479" s="64" t="n"/>
      <c r="D7479" s="64" t="n"/>
      <c r="E7479" s="63" t="n"/>
    </row>
    <row r="7480" ht="18" customHeight="1">
      <c r="A7480" s="62" t="n"/>
      <c r="B7480" s="63" t="n"/>
      <c r="C7480" s="64" t="n"/>
      <c r="D7480" s="64" t="n"/>
      <c r="E7480" s="63" t="n"/>
    </row>
    <row r="7481" ht="18" customHeight="1">
      <c r="A7481" s="62" t="n"/>
      <c r="B7481" s="63" t="n"/>
      <c r="C7481" s="64" t="n"/>
      <c r="D7481" s="64" t="n"/>
      <c r="E7481" s="63" t="n"/>
    </row>
    <row r="7482" ht="18" customHeight="1">
      <c r="A7482" s="62" t="n"/>
      <c r="B7482" s="63" t="n"/>
      <c r="C7482" s="64" t="n"/>
      <c r="D7482" s="64" t="n"/>
      <c r="E7482" s="63" t="n"/>
    </row>
    <row r="7483" ht="18" customHeight="1">
      <c r="A7483" s="62" t="n"/>
      <c r="B7483" s="63" t="n"/>
      <c r="C7483" s="64" t="n"/>
      <c r="D7483" s="64" t="n"/>
      <c r="E7483" s="63" t="n"/>
    </row>
    <row r="7484" ht="18" customHeight="1">
      <c r="A7484" s="62" t="n"/>
      <c r="B7484" s="63" t="n"/>
      <c r="C7484" s="64" t="n"/>
      <c r="D7484" s="64" t="n"/>
      <c r="E7484" s="63" t="n"/>
    </row>
    <row r="7485" ht="18" customHeight="1">
      <c r="A7485" s="62" t="n"/>
      <c r="B7485" s="63" t="n"/>
      <c r="C7485" s="64" t="n"/>
      <c r="D7485" s="64" t="n"/>
      <c r="E7485" s="63" t="n"/>
    </row>
    <row r="7486" ht="18" customHeight="1">
      <c r="A7486" s="62" t="n"/>
      <c r="B7486" s="63" t="n"/>
      <c r="C7486" s="64" t="n"/>
      <c r="D7486" s="64" t="n"/>
      <c r="E7486" s="63" t="n"/>
    </row>
    <row r="7487" ht="18" customHeight="1">
      <c r="A7487" s="62" t="n"/>
      <c r="B7487" s="63" t="n"/>
      <c r="C7487" s="64" t="n"/>
      <c r="D7487" s="64" t="n"/>
      <c r="E7487" s="63" t="n"/>
    </row>
    <row r="7488" ht="18" customHeight="1">
      <c r="A7488" s="62" t="n"/>
      <c r="B7488" s="63" t="n"/>
      <c r="C7488" s="64" t="n"/>
      <c r="D7488" s="64" t="n"/>
      <c r="E7488" s="63" t="n"/>
    </row>
    <row r="7489" ht="18" customHeight="1">
      <c r="A7489" s="62" t="n"/>
      <c r="B7489" s="63" t="n"/>
      <c r="C7489" s="64" t="n"/>
      <c r="D7489" s="64" t="n"/>
      <c r="E7489" s="63" t="n"/>
    </row>
    <row r="7490" ht="18" customHeight="1">
      <c r="A7490" s="62" t="n"/>
      <c r="B7490" s="63" t="n"/>
      <c r="C7490" s="64" t="n"/>
      <c r="D7490" s="64" t="n"/>
      <c r="E7490" s="63" t="n"/>
    </row>
    <row r="7491" ht="18" customHeight="1">
      <c r="A7491" s="62" t="n"/>
      <c r="B7491" s="63" t="n"/>
      <c r="C7491" s="64" t="n"/>
      <c r="D7491" s="64" t="n"/>
      <c r="E7491" s="63" t="n"/>
    </row>
    <row r="7492" ht="18" customHeight="1">
      <c r="A7492" s="62" t="n"/>
      <c r="B7492" s="63" t="n"/>
      <c r="C7492" s="64" t="n"/>
      <c r="D7492" s="64" t="n"/>
      <c r="E7492" s="63" t="n"/>
    </row>
    <row r="7493" ht="18" customHeight="1">
      <c r="A7493" s="62" t="n"/>
      <c r="B7493" s="63" t="n"/>
      <c r="C7493" s="64" t="n"/>
      <c r="D7493" s="64" t="n"/>
      <c r="E7493" s="63" t="n"/>
    </row>
    <row r="7494" ht="18" customHeight="1">
      <c r="A7494" s="62" t="n"/>
      <c r="B7494" s="63" t="n"/>
      <c r="C7494" s="64" t="n"/>
      <c r="D7494" s="64" t="n"/>
      <c r="E7494" s="63" t="n"/>
    </row>
    <row r="7495" ht="18" customHeight="1">
      <c r="A7495" s="62" t="n"/>
      <c r="B7495" s="63" t="n"/>
      <c r="C7495" s="64" t="n"/>
      <c r="D7495" s="64" t="n"/>
      <c r="E7495" s="63" t="n"/>
    </row>
    <row r="7496" ht="18" customHeight="1">
      <c r="A7496" s="62" t="n"/>
      <c r="B7496" s="63" t="n"/>
      <c r="C7496" s="64" t="n"/>
      <c r="D7496" s="64" t="n"/>
      <c r="E7496" s="63" t="n"/>
    </row>
    <row r="7497" ht="18" customHeight="1">
      <c r="A7497" s="62" t="n"/>
      <c r="B7497" s="63" t="n"/>
      <c r="C7497" s="64" t="n"/>
      <c r="D7497" s="64" t="n"/>
      <c r="E7497" s="63" t="n"/>
    </row>
    <row r="7498" ht="18" customHeight="1">
      <c r="A7498" s="62" t="n"/>
      <c r="B7498" s="63" t="n"/>
      <c r="C7498" s="64" t="n"/>
      <c r="D7498" s="64" t="n"/>
      <c r="E7498" s="63" t="n"/>
    </row>
    <row r="7499" ht="18" customHeight="1">
      <c r="A7499" s="62" t="n"/>
      <c r="B7499" s="63" t="n"/>
      <c r="C7499" s="64" t="n"/>
      <c r="D7499" s="64" t="n"/>
      <c r="E7499" s="63" t="n"/>
    </row>
    <row r="7500" ht="18" customHeight="1">
      <c r="A7500" s="62" t="n"/>
      <c r="B7500" s="63" t="n"/>
      <c r="C7500" s="64" t="n"/>
      <c r="D7500" s="64" t="n"/>
      <c r="E7500" s="63" t="n"/>
    </row>
    <row r="7501" ht="18" customHeight="1">
      <c r="A7501" s="62" t="n"/>
      <c r="B7501" s="63" t="n"/>
      <c r="C7501" s="64" t="n"/>
      <c r="D7501" s="64" t="n"/>
      <c r="E7501" s="63" t="n"/>
    </row>
    <row r="7502" ht="18" customHeight="1">
      <c r="A7502" s="62" t="n"/>
      <c r="B7502" s="63" t="n"/>
      <c r="C7502" s="64" t="n"/>
      <c r="D7502" s="64" t="n"/>
      <c r="E7502" s="63" t="n"/>
    </row>
    <row r="7503" ht="18" customHeight="1">
      <c r="A7503" s="62" t="n"/>
      <c r="B7503" s="63" t="n"/>
      <c r="C7503" s="64" t="n"/>
      <c r="D7503" s="64" t="n"/>
      <c r="E7503" s="63" t="n"/>
    </row>
    <row r="7504" ht="18" customHeight="1">
      <c r="A7504" s="62" t="n"/>
      <c r="B7504" s="63" t="n"/>
      <c r="C7504" s="64" t="n"/>
      <c r="D7504" s="64" t="n"/>
      <c r="E7504" s="63" t="n"/>
    </row>
    <row r="7505" ht="18" customHeight="1">
      <c r="A7505" s="62" t="n"/>
      <c r="B7505" s="63" t="n"/>
      <c r="C7505" s="64" t="n"/>
      <c r="D7505" s="64" t="n"/>
      <c r="E7505" s="63" t="n"/>
    </row>
    <row r="7506" ht="18" customHeight="1">
      <c r="A7506" s="62" t="n"/>
      <c r="B7506" s="63" t="n"/>
      <c r="C7506" s="64" t="n"/>
      <c r="D7506" s="64" t="n"/>
      <c r="E7506" s="63" t="n"/>
    </row>
    <row r="7507" ht="18" customHeight="1">
      <c r="A7507" s="62" t="n"/>
      <c r="B7507" s="63" t="n"/>
      <c r="C7507" s="64" t="n"/>
      <c r="D7507" s="64" t="n"/>
      <c r="E7507" s="63" t="n"/>
    </row>
    <row r="7508" ht="18" customHeight="1">
      <c r="A7508" s="62" t="n"/>
      <c r="B7508" s="63" t="n"/>
      <c r="C7508" s="64" t="n"/>
      <c r="D7508" s="64" t="n"/>
      <c r="E7508" s="63" t="n"/>
    </row>
    <row r="7509" ht="18" customHeight="1">
      <c r="A7509" s="62" t="n"/>
      <c r="B7509" s="63" t="n"/>
      <c r="C7509" s="64" t="n"/>
      <c r="D7509" s="64" t="n"/>
      <c r="E7509" s="63" t="n"/>
    </row>
    <row r="7510" ht="18" customHeight="1">
      <c r="A7510" s="62" t="n"/>
      <c r="B7510" s="63" t="n"/>
      <c r="C7510" s="64" t="n"/>
      <c r="D7510" s="64" t="n"/>
      <c r="E7510" s="63" t="n"/>
    </row>
    <row r="7511" ht="18" customHeight="1">
      <c r="A7511" s="62" t="n"/>
      <c r="B7511" s="63" t="n"/>
      <c r="C7511" s="64" t="n"/>
      <c r="D7511" s="64" t="n"/>
      <c r="E7511" s="63" t="n"/>
    </row>
    <row r="7512" ht="18" customHeight="1">
      <c r="A7512" s="62" t="n"/>
      <c r="B7512" s="63" t="n"/>
      <c r="C7512" s="64" t="n"/>
      <c r="D7512" s="64" t="n"/>
      <c r="E7512" s="63" t="n"/>
    </row>
    <row r="7513" ht="18" customHeight="1">
      <c r="A7513" s="62" t="n"/>
      <c r="B7513" s="63" t="n"/>
      <c r="C7513" s="64" t="n"/>
      <c r="D7513" s="64" t="n"/>
      <c r="E7513" s="63" t="n"/>
    </row>
    <row r="7514" ht="18" customHeight="1">
      <c r="A7514" s="62" t="n"/>
      <c r="B7514" s="63" t="n"/>
      <c r="C7514" s="64" t="n"/>
      <c r="D7514" s="64" t="n"/>
      <c r="E7514" s="63" t="n"/>
    </row>
    <row r="7515" ht="18" customHeight="1">
      <c r="A7515" s="62" t="n"/>
      <c r="B7515" s="63" t="n"/>
      <c r="C7515" s="64" t="n"/>
      <c r="D7515" s="64" t="n"/>
      <c r="E7515" s="63" t="n"/>
    </row>
    <row r="7516" ht="18" customHeight="1">
      <c r="A7516" s="62" t="n"/>
      <c r="B7516" s="63" t="n"/>
      <c r="C7516" s="64" t="n"/>
      <c r="D7516" s="64" t="n"/>
      <c r="E7516" s="63" t="n"/>
    </row>
    <row r="7517" ht="18" customHeight="1">
      <c r="A7517" s="62" t="n"/>
      <c r="B7517" s="63" t="n"/>
      <c r="C7517" s="64" t="n"/>
      <c r="D7517" s="64" t="n"/>
      <c r="E7517" s="63" t="n"/>
    </row>
    <row r="7518" ht="18" customHeight="1">
      <c r="A7518" s="62" t="n"/>
      <c r="B7518" s="63" t="n"/>
      <c r="C7518" s="64" t="n"/>
      <c r="D7518" s="64" t="n"/>
      <c r="E7518" s="63" t="n"/>
    </row>
    <row r="7519" ht="18" customHeight="1">
      <c r="A7519" s="62" t="n"/>
      <c r="B7519" s="63" t="n"/>
      <c r="C7519" s="64" t="n"/>
      <c r="D7519" s="64" t="n"/>
      <c r="E7519" s="63" t="n"/>
    </row>
    <row r="7520" ht="18" customHeight="1">
      <c r="A7520" s="62" t="n"/>
      <c r="B7520" s="63" t="n"/>
      <c r="C7520" s="64" t="n"/>
      <c r="D7520" s="64" t="n"/>
      <c r="E7520" s="63" t="n"/>
    </row>
    <row r="7521" ht="18" customHeight="1">
      <c r="A7521" s="62" t="n"/>
      <c r="B7521" s="63" t="n"/>
      <c r="C7521" s="64" t="n"/>
      <c r="D7521" s="64" t="n"/>
      <c r="E7521" s="63" t="n"/>
    </row>
    <row r="7522" ht="18" customHeight="1">
      <c r="A7522" s="62" t="n"/>
      <c r="B7522" s="63" t="n"/>
      <c r="C7522" s="64" t="n"/>
      <c r="D7522" s="64" t="n"/>
      <c r="E7522" s="63" t="n"/>
    </row>
    <row r="7523" ht="18" customHeight="1">
      <c r="A7523" s="62" t="n"/>
      <c r="B7523" s="63" t="n"/>
      <c r="C7523" s="64" t="n"/>
      <c r="D7523" s="64" t="n"/>
      <c r="E7523" s="63" t="n"/>
    </row>
    <row r="7524" ht="18" customHeight="1">
      <c r="A7524" s="62" t="n"/>
      <c r="B7524" s="63" t="n"/>
      <c r="C7524" s="64" t="n"/>
      <c r="D7524" s="64" t="n"/>
      <c r="E7524" s="63" t="n"/>
    </row>
    <row r="7525" ht="18" customHeight="1">
      <c r="A7525" s="62" t="n"/>
      <c r="B7525" s="63" t="n"/>
      <c r="C7525" s="64" t="n"/>
      <c r="D7525" s="64" t="n"/>
      <c r="E7525" s="63" t="n"/>
    </row>
    <row r="7526" ht="18" customHeight="1">
      <c r="A7526" s="62" t="n"/>
      <c r="B7526" s="63" t="n"/>
      <c r="C7526" s="64" t="n"/>
      <c r="D7526" s="64" t="n"/>
      <c r="E7526" s="63" t="n"/>
    </row>
    <row r="7527" ht="18" customHeight="1">
      <c r="A7527" s="62" t="n"/>
      <c r="B7527" s="63" t="n"/>
      <c r="C7527" s="64" t="n"/>
      <c r="D7527" s="64" t="n"/>
      <c r="E7527" s="63" t="n"/>
    </row>
    <row r="7528" ht="18" customHeight="1">
      <c r="A7528" s="62" t="n"/>
      <c r="B7528" s="63" t="n"/>
      <c r="C7528" s="64" t="n"/>
      <c r="D7528" s="64" t="n"/>
      <c r="E7528" s="63" t="n"/>
    </row>
    <row r="7529" ht="18" customHeight="1">
      <c r="A7529" s="62" t="n"/>
      <c r="B7529" s="63" t="n"/>
      <c r="C7529" s="64" t="n"/>
      <c r="D7529" s="64" t="n"/>
      <c r="E7529" s="63" t="n"/>
    </row>
    <row r="7530" ht="18" customHeight="1">
      <c r="A7530" s="62" t="n"/>
      <c r="B7530" s="63" t="n"/>
      <c r="C7530" s="64" t="n"/>
      <c r="D7530" s="64" t="n"/>
      <c r="E7530" s="63" t="n"/>
    </row>
    <row r="7531" ht="18" customHeight="1">
      <c r="A7531" s="62" t="n"/>
      <c r="B7531" s="63" t="n"/>
      <c r="C7531" s="64" t="n"/>
      <c r="D7531" s="64" t="n"/>
      <c r="E7531" s="63" t="n"/>
    </row>
    <row r="7532" ht="18" customHeight="1">
      <c r="A7532" s="62" t="n"/>
      <c r="B7532" s="63" t="n"/>
      <c r="C7532" s="64" t="n"/>
      <c r="D7532" s="64" t="n"/>
      <c r="E7532" s="63" t="n"/>
    </row>
    <row r="7533" ht="18" customHeight="1">
      <c r="A7533" s="62" t="n"/>
      <c r="B7533" s="63" t="n"/>
      <c r="C7533" s="64" t="n"/>
      <c r="D7533" s="64" t="n"/>
      <c r="E7533" s="63" t="n"/>
    </row>
    <row r="7534" ht="18" customHeight="1">
      <c r="A7534" s="62" t="n"/>
      <c r="B7534" s="63" t="n"/>
      <c r="C7534" s="64" t="n"/>
      <c r="D7534" s="64" t="n"/>
      <c r="E7534" s="63" t="n"/>
    </row>
    <row r="7535" ht="18" customHeight="1">
      <c r="A7535" s="62" t="n"/>
      <c r="B7535" s="63" t="n"/>
      <c r="C7535" s="64" t="n"/>
      <c r="D7535" s="64" t="n"/>
      <c r="E7535" s="63" t="n"/>
    </row>
    <row r="7536" ht="18" customHeight="1">
      <c r="A7536" s="62" t="n"/>
      <c r="B7536" s="63" t="n"/>
      <c r="C7536" s="64" t="n"/>
      <c r="D7536" s="64" t="n"/>
      <c r="E7536" s="63" t="n"/>
    </row>
    <row r="7537" ht="18" customHeight="1">
      <c r="A7537" s="62" t="n"/>
      <c r="B7537" s="63" t="n"/>
      <c r="C7537" s="64" t="n"/>
      <c r="D7537" s="64" t="n"/>
      <c r="E7537" s="63" t="n"/>
    </row>
    <row r="7538" ht="18" customHeight="1">
      <c r="A7538" s="62" t="n"/>
      <c r="B7538" s="63" t="n"/>
      <c r="C7538" s="64" t="n"/>
      <c r="D7538" s="64" t="n"/>
      <c r="E7538" s="63" t="n"/>
    </row>
    <row r="7539" ht="18" customHeight="1">
      <c r="A7539" s="62" t="n"/>
      <c r="B7539" s="63" t="n"/>
      <c r="C7539" s="64" t="n"/>
      <c r="D7539" s="64" t="n"/>
      <c r="E7539" s="63" t="n"/>
    </row>
    <row r="7540" ht="18" customHeight="1">
      <c r="A7540" s="62" t="n"/>
      <c r="B7540" s="63" t="n"/>
      <c r="C7540" s="64" t="n"/>
      <c r="D7540" s="64" t="n"/>
      <c r="E7540" s="63" t="n"/>
    </row>
    <row r="7541" ht="18" customHeight="1">
      <c r="A7541" s="62" t="n"/>
      <c r="B7541" s="63" t="n"/>
      <c r="C7541" s="64" t="n"/>
      <c r="D7541" s="64" t="n"/>
      <c r="E7541" s="63" t="n"/>
    </row>
    <row r="7542" ht="18" customHeight="1">
      <c r="A7542" s="62" t="n"/>
      <c r="B7542" s="63" t="n"/>
      <c r="C7542" s="64" t="n"/>
      <c r="D7542" s="64" t="n"/>
      <c r="E7542" s="63" t="n"/>
    </row>
    <row r="7543" ht="18" customHeight="1">
      <c r="A7543" s="62" t="n"/>
      <c r="B7543" s="63" t="n"/>
      <c r="C7543" s="64" t="n"/>
      <c r="D7543" s="64" t="n"/>
      <c r="E7543" s="63" t="n"/>
    </row>
    <row r="7544" ht="18" customHeight="1">
      <c r="A7544" s="62" t="n"/>
      <c r="B7544" s="63" t="n"/>
      <c r="C7544" s="64" t="n"/>
      <c r="D7544" s="64" t="n"/>
      <c r="E7544" s="63" t="n"/>
    </row>
    <row r="7545" ht="18" customHeight="1">
      <c r="A7545" s="62" t="n"/>
      <c r="B7545" s="63" t="n"/>
      <c r="C7545" s="64" t="n"/>
      <c r="D7545" s="64" t="n"/>
      <c r="E7545" s="63" t="n"/>
    </row>
    <row r="7546" ht="18" customHeight="1">
      <c r="A7546" s="62" t="n"/>
      <c r="B7546" s="63" t="n"/>
      <c r="C7546" s="64" t="n"/>
      <c r="D7546" s="64" t="n"/>
      <c r="E7546" s="63" t="n"/>
    </row>
    <row r="7547" ht="18" customHeight="1">
      <c r="A7547" s="62" t="n"/>
      <c r="B7547" s="63" t="n"/>
      <c r="C7547" s="64" t="n"/>
      <c r="D7547" s="64" t="n"/>
      <c r="E7547" s="63" t="n"/>
    </row>
    <row r="7548" ht="18" customHeight="1">
      <c r="A7548" s="62" t="n"/>
      <c r="B7548" s="63" t="n"/>
      <c r="C7548" s="64" t="n"/>
      <c r="D7548" s="64" t="n"/>
      <c r="E7548" s="63" t="n"/>
    </row>
    <row r="7549" ht="18" customHeight="1">
      <c r="A7549" s="62" t="n"/>
      <c r="B7549" s="63" t="n"/>
      <c r="C7549" s="64" t="n"/>
      <c r="D7549" s="64" t="n"/>
      <c r="E7549" s="63" t="n"/>
    </row>
    <row r="7550" ht="18" customHeight="1">
      <c r="A7550" s="62" t="n"/>
      <c r="B7550" s="63" t="n"/>
      <c r="C7550" s="64" t="n"/>
      <c r="D7550" s="64" t="n"/>
      <c r="E7550" s="63" t="n"/>
    </row>
    <row r="7551" ht="18" customHeight="1">
      <c r="A7551" s="62" t="n"/>
      <c r="B7551" s="63" t="n"/>
      <c r="C7551" s="64" t="n"/>
      <c r="D7551" s="64" t="n"/>
      <c r="E7551" s="63" t="n"/>
    </row>
    <row r="7552" ht="18" customHeight="1">
      <c r="A7552" s="62" t="n"/>
      <c r="B7552" s="63" t="n"/>
      <c r="C7552" s="64" t="n"/>
      <c r="D7552" s="64" t="n"/>
      <c r="E7552" s="63" t="n"/>
    </row>
    <row r="7553" ht="18" customHeight="1">
      <c r="A7553" s="62" t="n"/>
      <c r="B7553" s="63" t="n"/>
      <c r="C7553" s="64" t="n"/>
      <c r="D7553" s="64" t="n"/>
      <c r="E7553" s="63" t="n"/>
    </row>
    <row r="7554" ht="18" customHeight="1">
      <c r="A7554" s="62" t="n"/>
      <c r="B7554" s="63" t="n"/>
      <c r="C7554" s="64" t="n"/>
      <c r="D7554" s="64" t="n"/>
      <c r="E7554" s="63" t="n"/>
    </row>
    <row r="7555" ht="18" customHeight="1">
      <c r="A7555" s="62" t="n"/>
      <c r="B7555" s="63" t="n"/>
      <c r="C7555" s="64" t="n"/>
      <c r="D7555" s="64" t="n"/>
      <c r="E7555" s="63" t="n"/>
    </row>
    <row r="7556" ht="18" customHeight="1">
      <c r="A7556" s="62" t="n"/>
      <c r="B7556" s="63" t="n"/>
      <c r="C7556" s="64" t="n"/>
      <c r="D7556" s="64" t="n"/>
      <c r="E7556" s="63" t="n"/>
    </row>
    <row r="7557" ht="18" customHeight="1">
      <c r="A7557" s="62" t="n"/>
      <c r="B7557" s="63" t="n"/>
      <c r="C7557" s="64" t="n"/>
      <c r="D7557" s="64" t="n"/>
      <c r="E7557" s="63" t="n"/>
    </row>
    <row r="7558" ht="18" customHeight="1">
      <c r="A7558" s="62" t="n"/>
      <c r="B7558" s="63" t="n"/>
      <c r="C7558" s="64" t="n"/>
      <c r="D7558" s="64" t="n"/>
      <c r="E7558" s="63" t="n"/>
    </row>
    <row r="7559" ht="18" customHeight="1">
      <c r="A7559" s="62" t="n"/>
      <c r="B7559" s="63" t="n"/>
      <c r="C7559" s="64" t="n"/>
      <c r="D7559" s="64" t="n"/>
      <c r="E7559" s="63" t="n"/>
    </row>
    <row r="7560" ht="18" customHeight="1">
      <c r="A7560" s="62" t="n"/>
      <c r="B7560" s="63" t="n"/>
      <c r="C7560" s="64" t="n"/>
      <c r="D7560" s="64" t="n"/>
      <c r="E7560" s="63" t="n"/>
    </row>
    <row r="7561" ht="18" customHeight="1">
      <c r="A7561" s="62" t="n"/>
      <c r="B7561" s="63" t="n"/>
      <c r="C7561" s="64" t="n"/>
      <c r="D7561" s="64" t="n"/>
      <c r="E7561" s="63" t="n"/>
    </row>
    <row r="7562" ht="18" customHeight="1">
      <c r="A7562" s="62" t="n"/>
      <c r="B7562" s="63" t="n"/>
      <c r="C7562" s="64" t="n"/>
      <c r="D7562" s="64" t="n"/>
      <c r="E7562" s="63" t="n"/>
    </row>
    <row r="7563" ht="18" customHeight="1">
      <c r="A7563" s="62" t="n"/>
      <c r="B7563" s="63" t="n"/>
      <c r="C7563" s="64" t="n"/>
      <c r="D7563" s="64" t="n"/>
      <c r="E7563" s="63" t="n"/>
    </row>
    <row r="7564" ht="18" customHeight="1">
      <c r="A7564" s="62" t="n"/>
      <c r="B7564" s="63" t="n"/>
      <c r="C7564" s="64" t="n"/>
      <c r="D7564" s="64" t="n"/>
      <c r="E7564" s="63" t="n"/>
    </row>
    <row r="7565" ht="18" customHeight="1">
      <c r="A7565" s="62" t="n"/>
      <c r="B7565" s="63" t="n"/>
      <c r="C7565" s="64" t="n"/>
      <c r="D7565" s="64" t="n"/>
      <c r="E7565" s="63" t="n"/>
    </row>
    <row r="7566" ht="18" customHeight="1">
      <c r="A7566" s="62" t="n"/>
      <c r="B7566" s="63" t="n"/>
      <c r="C7566" s="64" t="n"/>
      <c r="D7566" s="64" t="n"/>
      <c r="E7566" s="63" t="n"/>
    </row>
    <row r="7567" ht="18" customHeight="1">
      <c r="A7567" s="62" t="n"/>
      <c r="B7567" s="63" t="n"/>
      <c r="C7567" s="64" t="n"/>
      <c r="D7567" s="64" t="n"/>
      <c r="E7567" s="63" t="n"/>
    </row>
    <row r="7568" ht="18" customHeight="1">
      <c r="A7568" s="62" t="n"/>
      <c r="B7568" s="63" t="n"/>
      <c r="C7568" s="64" t="n"/>
      <c r="D7568" s="64" t="n"/>
      <c r="E7568" s="63" t="n"/>
    </row>
    <row r="7569" ht="18" customHeight="1">
      <c r="A7569" s="62" t="n"/>
      <c r="B7569" s="63" t="n"/>
      <c r="C7569" s="64" t="n"/>
      <c r="D7569" s="64" t="n"/>
      <c r="E7569" s="63" t="n"/>
    </row>
    <row r="7570" ht="18" customHeight="1">
      <c r="A7570" s="62" t="n"/>
      <c r="B7570" s="63" t="n"/>
      <c r="C7570" s="64" t="n"/>
      <c r="D7570" s="64" t="n"/>
      <c r="E7570" s="63" t="n"/>
    </row>
    <row r="7571" ht="18" customHeight="1">
      <c r="A7571" s="62" t="n"/>
      <c r="B7571" s="63" t="n"/>
      <c r="C7571" s="64" t="n"/>
      <c r="D7571" s="64" t="n"/>
      <c r="E7571" s="63" t="n"/>
    </row>
    <row r="7572" ht="18" customHeight="1">
      <c r="A7572" s="62" t="n"/>
      <c r="B7572" s="63" t="n"/>
      <c r="C7572" s="64" t="n"/>
      <c r="D7572" s="64" t="n"/>
      <c r="E7572" s="63" t="n"/>
    </row>
    <row r="7573" ht="18" customHeight="1">
      <c r="A7573" s="62" t="n"/>
      <c r="B7573" s="63" t="n"/>
      <c r="C7573" s="64" t="n"/>
      <c r="D7573" s="64" t="n"/>
      <c r="E7573" s="63" t="n"/>
    </row>
    <row r="7574" ht="18" customHeight="1">
      <c r="A7574" s="62" t="n"/>
      <c r="B7574" s="63" t="n"/>
      <c r="C7574" s="64" t="n"/>
      <c r="D7574" s="64" t="n"/>
      <c r="E7574" s="63" t="n"/>
    </row>
    <row r="7575" ht="18" customHeight="1">
      <c r="A7575" s="62" t="n"/>
      <c r="B7575" s="63" t="n"/>
      <c r="C7575" s="64" t="n"/>
      <c r="D7575" s="64" t="n"/>
      <c r="E7575" s="63" t="n"/>
    </row>
    <row r="7576" ht="18" customHeight="1">
      <c r="A7576" s="62" t="n"/>
      <c r="B7576" s="63" t="n"/>
      <c r="C7576" s="64" t="n"/>
      <c r="D7576" s="64" t="n"/>
      <c r="E7576" s="63" t="n"/>
    </row>
    <row r="7577" ht="18" customHeight="1">
      <c r="A7577" s="62" t="n"/>
      <c r="B7577" s="63" t="n"/>
      <c r="C7577" s="64" t="n"/>
      <c r="D7577" s="64" t="n"/>
      <c r="E7577" s="63" t="n"/>
    </row>
    <row r="7578" ht="18" customHeight="1">
      <c r="A7578" s="62" t="n"/>
      <c r="B7578" s="63" t="n"/>
      <c r="C7578" s="64" t="n"/>
      <c r="D7578" s="64" t="n"/>
      <c r="E7578" s="63" t="n"/>
    </row>
    <row r="7579" ht="18" customHeight="1">
      <c r="A7579" s="62" t="n"/>
      <c r="B7579" s="63" t="n"/>
      <c r="C7579" s="64" t="n"/>
      <c r="D7579" s="64" t="n"/>
      <c r="E7579" s="63" t="n"/>
    </row>
    <row r="7580" ht="18" customHeight="1">
      <c r="A7580" s="62" t="n"/>
      <c r="B7580" s="63" t="n"/>
      <c r="C7580" s="64" t="n"/>
      <c r="D7580" s="64" t="n"/>
      <c r="E7580" s="63" t="n"/>
    </row>
    <row r="7581" ht="18" customHeight="1">
      <c r="A7581" s="62" t="n"/>
      <c r="B7581" s="63" t="n"/>
      <c r="C7581" s="64" t="n"/>
      <c r="D7581" s="64" t="n"/>
      <c r="E7581" s="63" t="n"/>
    </row>
    <row r="7582" ht="18" customHeight="1">
      <c r="A7582" s="62" t="n"/>
      <c r="B7582" s="63" t="n"/>
      <c r="C7582" s="64" t="n"/>
      <c r="D7582" s="64" t="n"/>
      <c r="E7582" s="63" t="n"/>
    </row>
    <row r="7583" ht="18" customHeight="1">
      <c r="A7583" s="62" t="n"/>
      <c r="B7583" s="63" t="n"/>
      <c r="C7583" s="64" t="n"/>
      <c r="D7583" s="64" t="n"/>
      <c r="E7583" s="63" t="n"/>
    </row>
    <row r="7584" ht="18" customHeight="1">
      <c r="A7584" s="62" t="n"/>
      <c r="B7584" s="63" t="n"/>
      <c r="C7584" s="64" t="n"/>
      <c r="D7584" s="64" t="n"/>
      <c r="E7584" s="63" t="n"/>
    </row>
    <row r="7585" ht="18" customHeight="1">
      <c r="A7585" s="62" t="n"/>
      <c r="B7585" s="63" t="n"/>
      <c r="C7585" s="64" t="n"/>
      <c r="D7585" s="64" t="n"/>
      <c r="E7585" s="63" t="n"/>
    </row>
    <row r="7586" ht="18" customHeight="1">
      <c r="A7586" s="62" t="n"/>
      <c r="B7586" s="63" t="n"/>
      <c r="C7586" s="64" t="n"/>
      <c r="D7586" s="64" t="n"/>
      <c r="E7586" s="63" t="n"/>
    </row>
    <row r="7587" ht="18" customHeight="1">
      <c r="A7587" s="62" t="n"/>
      <c r="B7587" s="63" t="n"/>
      <c r="C7587" s="64" t="n"/>
      <c r="D7587" s="64" t="n"/>
      <c r="E7587" s="63" t="n"/>
    </row>
    <row r="7588" ht="18" customHeight="1">
      <c r="A7588" s="62" t="n"/>
      <c r="B7588" s="63" t="n"/>
      <c r="C7588" s="64" t="n"/>
      <c r="D7588" s="64" t="n"/>
      <c r="E7588" s="63" t="n"/>
    </row>
    <row r="7589" ht="18" customHeight="1">
      <c r="A7589" s="62" t="n"/>
      <c r="B7589" s="63" t="n"/>
      <c r="C7589" s="64" t="n"/>
      <c r="D7589" s="64" t="n"/>
      <c r="E7589" s="63" t="n"/>
    </row>
    <row r="7590" ht="18" customHeight="1">
      <c r="A7590" s="62" t="n"/>
      <c r="B7590" s="63" t="n"/>
      <c r="C7590" s="64" t="n"/>
      <c r="D7590" s="64" t="n"/>
      <c r="E7590" s="63" t="n"/>
    </row>
    <row r="7591" ht="18" customHeight="1">
      <c r="A7591" s="62" t="n"/>
      <c r="B7591" s="63" t="n"/>
      <c r="C7591" s="64" t="n"/>
      <c r="D7591" s="64" t="n"/>
      <c r="E7591" s="63" t="n"/>
    </row>
    <row r="7592" ht="18" customHeight="1">
      <c r="A7592" s="62" t="n"/>
      <c r="B7592" s="63" t="n"/>
      <c r="C7592" s="64" t="n"/>
      <c r="D7592" s="64" t="n"/>
      <c r="E7592" s="63" t="n"/>
    </row>
    <row r="7593" ht="18" customHeight="1">
      <c r="A7593" s="62" t="n"/>
      <c r="B7593" s="63" t="n"/>
      <c r="C7593" s="64" t="n"/>
      <c r="D7593" s="64" t="n"/>
      <c r="E7593" s="63" t="n"/>
    </row>
    <row r="7594" ht="18" customHeight="1">
      <c r="A7594" s="62" t="n"/>
      <c r="B7594" s="63" t="n"/>
      <c r="C7594" s="64" t="n"/>
      <c r="D7594" s="64" t="n"/>
      <c r="E7594" s="63" t="n"/>
    </row>
    <row r="7595" ht="18" customHeight="1">
      <c r="A7595" s="62" t="n"/>
      <c r="B7595" s="63" t="n"/>
      <c r="C7595" s="64" t="n"/>
      <c r="D7595" s="64" t="n"/>
      <c r="E7595" s="63" t="n"/>
    </row>
    <row r="7596" ht="18" customHeight="1">
      <c r="A7596" s="62" t="n"/>
      <c r="B7596" s="63" t="n"/>
      <c r="C7596" s="64" t="n"/>
      <c r="D7596" s="64" t="n"/>
      <c r="E7596" s="63" t="n"/>
    </row>
    <row r="7597" ht="18" customHeight="1">
      <c r="A7597" s="62" t="n"/>
      <c r="B7597" s="63" t="n"/>
      <c r="C7597" s="64" t="n"/>
      <c r="D7597" s="64" t="n"/>
      <c r="E7597" s="63" t="n"/>
    </row>
    <row r="7598" ht="18" customHeight="1">
      <c r="A7598" s="62" t="n"/>
      <c r="B7598" s="63" t="n"/>
      <c r="C7598" s="64" t="n"/>
      <c r="D7598" s="64" t="n"/>
      <c r="E7598" s="63" t="n"/>
    </row>
    <row r="7599" ht="18" customHeight="1">
      <c r="A7599" s="62" t="n"/>
      <c r="B7599" s="63" t="n"/>
      <c r="C7599" s="64" t="n"/>
      <c r="D7599" s="64" t="n"/>
      <c r="E7599" s="63" t="n"/>
    </row>
    <row r="7600" ht="18" customHeight="1">
      <c r="A7600" s="62" t="n"/>
      <c r="B7600" s="63" t="n"/>
      <c r="C7600" s="64" t="n"/>
      <c r="D7600" s="64" t="n"/>
      <c r="E7600" s="63" t="n"/>
    </row>
    <row r="7601" ht="18" customHeight="1">
      <c r="A7601" s="62" t="n"/>
      <c r="B7601" s="63" t="n"/>
      <c r="C7601" s="64" t="n"/>
      <c r="D7601" s="64" t="n"/>
      <c r="E7601" s="63" t="n"/>
    </row>
    <row r="7602" ht="18" customHeight="1">
      <c r="A7602" s="62" t="n"/>
      <c r="B7602" s="63" t="n"/>
      <c r="C7602" s="64" t="n"/>
      <c r="D7602" s="64" t="n"/>
      <c r="E7602" s="63" t="n"/>
    </row>
    <row r="7603" ht="18" customHeight="1">
      <c r="A7603" s="62" t="n"/>
      <c r="B7603" s="63" t="n"/>
      <c r="C7603" s="64" t="n"/>
      <c r="D7603" s="64" t="n"/>
      <c r="E7603" s="63" t="n"/>
    </row>
    <row r="7604" ht="18" customHeight="1">
      <c r="A7604" s="62" t="n"/>
      <c r="B7604" s="63" t="n"/>
      <c r="C7604" s="64" t="n"/>
      <c r="D7604" s="64" t="n"/>
      <c r="E7604" s="63" t="n"/>
    </row>
    <row r="7605" ht="18" customHeight="1">
      <c r="A7605" s="62" t="n"/>
      <c r="B7605" s="63" t="n"/>
      <c r="C7605" s="64" t="n"/>
      <c r="D7605" s="64" t="n"/>
      <c r="E7605" s="63" t="n"/>
    </row>
    <row r="7606" ht="18" customHeight="1">
      <c r="A7606" s="62" t="n"/>
      <c r="B7606" s="63" t="n"/>
      <c r="C7606" s="64" t="n"/>
      <c r="D7606" s="64" t="n"/>
      <c r="E7606" s="63" t="n"/>
    </row>
    <row r="7607" ht="18" customHeight="1">
      <c r="A7607" s="62" t="n"/>
      <c r="B7607" s="63" t="n"/>
      <c r="C7607" s="64" t="n"/>
      <c r="D7607" s="64" t="n"/>
      <c r="E7607" s="63" t="n"/>
    </row>
    <row r="7608" ht="18" customHeight="1">
      <c r="A7608" s="62" t="n"/>
      <c r="B7608" s="63" t="n"/>
      <c r="C7608" s="64" t="n"/>
      <c r="D7608" s="64" t="n"/>
      <c r="E7608" s="63" t="n"/>
    </row>
    <row r="7609" ht="18" customHeight="1">
      <c r="A7609" s="62" t="n"/>
      <c r="B7609" s="63" t="n"/>
      <c r="C7609" s="64" t="n"/>
      <c r="D7609" s="64" t="n"/>
      <c r="E7609" s="63" t="n"/>
    </row>
    <row r="7610" ht="18" customHeight="1">
      <c r="A7610" s="62" t="n"/>
      <c r="B7610" s="63" t="n"/>
      <c r="C7610" s="64" t="n"/>
      <c r="D7610" s="64" t="n"/>
      <c r="E7610" s="63" t="n"/>
    </row>
    <row r="7611" ht="18" customHeight="1">
      <c r="A7611" s="62" t="n"/>
      <c r="B7611" s="63" t="n"/>
      <c r="C7611" s="64" t="n"/>
      <c r="D7611" s="64" t="n"/>
      <c r="E7611" s="63" t="n"/>
    </row>
    <row r="7612" ht="18" customHeight="1">
      <c r="A7612" s="62" t="n"/>
      <c r="B7612" s="63" t="n"/>
      <c r="C7612" s="64" t="n"/>
      <c r="D7612" s="64" t="n"/>
      <c r="E7612" s="63" t="n"/>
    </row>
    <row r="7613" ht="18" customHeight="1">
      <c r="A7613" s="62" t="n"/>
      <c r="B7613" s="63" t="n"/>
      <c r="C7613" s="64" t="n"/>
      <c r="D7613" s="64" t="n"/>
      <c r="E7613" s="63" t="n"/>
    </row>
    <row r="7614" ht="18" customHeight="1">
      <c r="A7614" s="62" t="n"/>
      <c r="B7614" s="63" t="n"/>
      <c r="C7614" s="64" t="n"/>
      <c r="D7614" s="64" t="n"/>
      <c r="E7614" s="63" t="n"/>
    </row>
    <row r="7615" ht="18" customHeight="1">
      <c r="A7615" s="62" t="n"/>
      <c r="B7615" s="63" t="n"/>
      <c r="C7615" s="64" t="n"/>
      <c r="D7615" s="64" t="n"/>
      <c r="E7615" s="63" t="n"/>
    </row>
    <row r="7616" ht="18" customHeight="1">
      <c r="A7616" s="62" t="n"/>
      <c r="B7616" s="63" t="n"/>
      <c r="C7616" s="64" t="n"/>
      <c r="D7616" s="64" t="n"/>
      <c r="E7616" s="63" t="n"/>
    </row>
    <row r="7617" ht="18" customHeight="1">
      <c r="A7617" s="62" t="n"/>
      <c r="B7617" s="63" t="n"/>
      <c r="C7617" s="64" t="n"/>
      <c r="D7617" s="64" t="n"/>
      <c r="E7617" s="63" t="n"/>
    </row>
    <row r="7618" ht="18" customHeight="1">
      <c r="A7618" s="62" t="n"/>
      <c r="B7618" s="63" t="n"/>
      <c r="C7618" s="64" t="n"/>
      <c r="D7618" s="64" t="n"/>
      <c r="E7618" s="63" t="n"/>
    </row>
    <row r="7619" ht="18" customHeight="1">
      <c r="A7619" s="62" t="n"/>
      <c r="B7619" s="63" t="n"/>
      <c r="C7619" s="64" t="n"/>
      <c r="D7619" s="64" t="n"/>
      <c r="E7619" s="63" t="n"/>
    </row>
    <row r="7620" ht="18" customHeight="1">
      <c r="A7620" s="62" t="n"/>
      <c r="B7620" s="63" t="n"/>
      <c r="C7620" s="64" t="n"/>
      <c r="D7620" s="64" t="n"/>
      <c r="E7620" s="63" t="n"/>
    </row>
    <row r="7621" ht="18" customHeight="1">
      <c r="A7621" s="62" t="n"/>
      <c r="B7621" s="63" t="n"/>
      <c r="C7621" s="64" t="n"/>
      <c r="D7621" s="64" t="n"/>
      <c r="E7621" s="63" t="n"/>
    </row>
    <row r="7622" ht="18" customHeight="1">
      <c r="A7622" s="62" t="n"/>
      <c r="B7622" s="63" t="n"/>
      <c r="C7622" s="64" t="n"/>
      <c r="D7622" s="64" t="n"/>
      <c r="E7622" s="63" t="n"/>
    </row>
    <row r="7623" ht="18" customHeight="1">
      <c r="A7623" s="62" t="n"/>
      <c r="B7623" s="63" t="n"/>
      <c r="C7623" s="64" t="n"/>
      <c r="D7623" s="64" t="n"/>
      <c r="E7623" s="63" t="n"/>
    </row>
    <row r="7624" ht="18" customHeight="1">
      <c r="A7624" s="62" t="n"/>
      <c r="B7624" s="63" t="n"/>
      <c r="C7624" s="64" t="n"/>
      <c r="D7624" s="64" t="n"/>
      <c r="E7624" s="63" t="n"/>
    </row>
    <row r="7625" ht="18" customHeight="1">
      <c r="A7625" s="62" t="n"/>
      <c r="B7625" s="63" t="n"/>
      <c r="C7625" s="64" t="n"/>
      <c r="D7625" s="64" t="n"/>
      <c r="E7625" s="63" t="n"/>
    </row>
    <row r="7626" ht="18" customHeight="1">
      <c r="A7626" s="62" t="n"/>
      <c r="B7626" s="63" t="n"/>
      <c r="C7626" s="64" t="n"/>
      <c r="D7626" s="64" t="n"/>
      <c r="E7626" s="63" t="n"/>
    </row>
    <row r="7627" ht="18" customHeight="1">
      <c r="A7627" s="62" t="n"/>
      <c r="B7627" s="63" t="n"/>
      <c r="C7627" s="64" t="n"/>
      <c r="D7627" s="64" t="n"/>
      <c r="E7627" s="63" t="n"/>
    </row>
    <row r="7628" ht="18" customHeight="1">
      <c r="A7628" s="62" t="n"/>
      <c r="B7628" s="63" t="n"/>
      <c r="C7628" s="64" t="n"/>
      <c r="D7628" s="64" t="n"/>
      <c r="E7628" s="63" t="n"/>
    </row>
    <row r="7629" ht="18" customHeight="1">
      <c r="A7629" s="62" t="n"/>
      <c r="B7629" s="63" t="n"/>
      <c r="C7629" s="64" t="n"/>
      <c r="D7629" s="64" t="n"/>
      <c r="E7629" s="63" t="n"/>
    </row>
    <row r="7630" ht="18" customHeight="1">
      <c r="A7630" s="62" t="n"/>
      <c r="B7630" s="63" t="n"/>
      <c r="C7630" s="64" t="n"/>
      <c r="D7630" s="64" t="n"/>
      <c r="E7630" s="63" t="n"/>
    </row>
    <row r="7631" ht="18" customHeight="1">
      <c r="A7631" s="62" t="n"/>
      <c r="B7631" s="63" t="n"/>
      <c r="C7631" s="64" t="n"/>
      <c r="D7631" s="64" t="n"/>
      <c r="E7631" s="63" t="n"/>
    </row>
    <row r="7632" ht="18" customHeight="1">
      <c r="A7632" s="62" t="n"/>
      <c r="B7632" s="63" t="n"/>
      <c r="C7632" s="64" t="n"/>
      <c r="D7632" s="64" t="n"/>
      <c r="E7632" s="63" t="n"/>
    </row>
    <row r="7633" ht="18" customHeight="1">
      <c r="A7633" s="62" t="n"/>
      <c r="B7633" s="63" t="n"/>
      <c r="C7633" s="64" t="n"/>
      <c r="D7633" s="64" t="n"/>
      <c r="E7633" s="63" t="n"/>
    </row>
    <row r="7634" ht="18" customHeight="1">
      <c r="A7634" s="62" t="n"/>
      <c r="B7634" s="63" t="n"/>
      <c r="C7634" s="64" t="n"/>
      <c r="D7634" s="64" t="n"/>
      <c r="E7634" s="63" t="n"/>
    </row>
    <row r="7635" ht="18" customHeight="1">
      <c r="A7635" s="62" t="n"/>
      <c r="B7635" s="63" t="n"/>
      <c r="C7635" s="64" t="n"/>
      <c r="D7635" s="64" t="n"/>
      <c r="E7635" s="63" t="n"/>
    </row>
    <row r="7636" ht="18" customHeight="1">
      <c r="A7636" s="62" t="n"/>
      <c r="B7636" s="63" t="n"/>
      <c r="C7636" s="64" t="n"/>
      <c r="D7636" s="64" t="n"/>
      <c r="E7636" s="63" t="n"/>
    </row>
    <row r="7637" ht="18" customHeight="1">
      <c r="A7637" s="62" t="n"/>
      <c r="B7637" s="63" t="n"/>
      <c r="C7637" s="64" t="n"/>
      <c r="D7637" s="64" t="n"/>
      <c r="E7637" s="63" t="n"/>
    </row>
    <row r="7638" ht="18" customHeight="1">
      <c r="A7638" s="62" t="n"/>
      <c r="B7638" s="63" t="n"/>
      <c r="C7638" s="64" t="n"/>
      <c r="D7638" s="64" t="n"/>
      <c r="E7638" s="63" t="n"/>
    </row>
    <row r="7639" ht="18" customHeight="1">
      <c r="A7639" s="62" t="n"/>
      <c r="B7639" s="63" t="n"/>
      <c r="C7639" s="64" t="n"/>
      <c r="D7639" s="64" t="n"/>
      <c r="E7639" s="63" t="n"/>
    </row>
    <row r="7640" ht="18" customHeight="1">
      <c r="A7640" s="62" t="n"/>
      <c r="B7640" s="63" t="n"/>
      <c r="C7640" s="64" t="n"/>
      <c r="D7640" s="64" t="n"/>
      <c r="E7640" s="63" t="n"/>
    </row>
    <row r="7641" ht="18" customHeight="1">
      <c r="A7641" s="62" t="n"/>
      <c r="B7641" s="63" t="n"/>
      <c r="C7641" s="64" t="n"/>
      <c r="D7641" s="64" t="n"/>
      <c r="E7641" s="63" t="n"/>
    </row>
    <row r="7642" ht="18" customHeight="1">
      <c r="A7642" s="62" t="n"/>
      <c r="B7642" s="63" t="n"/>
      <c r="C7642" s="64" t="n"/>
      <c r="D7642" s="64" t="n"/>
      <c r="E7642" s="63" t="n"/>
    </row>
    <row r="7643" ht="18" customHeight="1">
      <c r="A7643" s="62" t="n"/>
      <c r="B7643" s="63" t="n"/>
      <c r="C7643" s="64" t="n"/>
      <c r="D7643" s="64" t="n"/>
      <c r="E7643" s="63" t="n"/>
    </row>
    <row r="7644" ht="18" customHeight="1">
      <c r="A7644" s="62" t="n"/>
      <c r="B7644" s="63" t="n"/>
      <c r="C7644" s="64" t="n"/>
      <c r="D7644" s="64" t="n"/>
      <c r="E7644" s="63" t="n"/>
    </row>
    <row r="7645" ht="18" customHeight="1">
      <c r="A7645" s="62" t="n"/>
      <c r="B7645" s="63" t="n"/>
      <c r="C7645" s="64" t="n"/>
      <c r="D7645" s="64" t="n"/>
      <c r="E7645" s="63" t="n"/>
    </row>
    <row r="7646" ht="18" customHeight="1">
      <c r="A7646" s="62" t="n"/>
      <c r="B7646" s="63" t="n"/>
      <c r="C7646" s="64" t="n"/>
      <c r="D7646" s="64" t="n"/>
      <c r="E7646" s="63" t="n"/>
    </row>
    <row r="7647" ht="18" customHeight="1">
      <c r="A7647" s="62" t="n"/>
      <c r="B7647" s="63" t="n"/>
      <c r="C7647" s="64" t="n"/>
      <c r="D7647" s="64" t="n"/>
      <c r="E7647" s="63" t="n"/>
    </row>
    <row r="7648" ht="18" customHeight="1">
      <c r="A7648" s="62" t="n"/>
      <c r="B7648" s="63" t="n"/>
      <c r="C7648" s="64" t="n"/>
      <c r="D7648" s="64" t="n"/>
      <c r="E7648" s="63" t="n"/>
    </row>
    <row r="7649" ht="18" customHeight="1">
      <c r="A7649" s="62" t="n"/>
      <c r="B7649" s="63" t="n"/>
      <c r="C7649" s="64" t="n"/>
      <c r="D7649" s="64" t="n"/>
      <c r="E7649" s="63" t="n"/>
    </row>
    <row r="7650" ht="18" customHeight="1">
      <c r="A7650" s="62" t="n"/>
      <c r="B7650" s="63" t="n"/>
      <c r="C7650" s="64" t="n"/>
      <c r="D7650" s="64" t="n"/>
      <c r="E7650" s="63" t="n"/>
    </row>
    <row r="7651" ht="18" customHeight="1">
      <c r="A7651" s="62" t="n"/>
      <c r="B7651" s="63" t="n"/>
      <c r="C7651" s="64" t="n"/>
      <c r="D7651" s="64" t="n"/>
      <c r="E7651" s="63" t="n"/>
    </row>
    <row r="7652" ht="18" customHeight="1">
      <c r="A7652" s="62" t="n"/>
      <c r="B7652" s="63" t="n"/>
      <c r="C7652" s="64" t="n"/>
      <c r="D7652" s="64" t="n"/>
      <c r="E7652" s="63" t="n"/>
    </row>
    <row r="7653" ht="18" customHeight="1">
      <c r="A7653" s="62" t="n"/>
      <c r="B7653" s="63" t="n"/>
      <c r="C7653" s="64" t="n"/>
      <c r="D7653" s="64" t="n"/>
      <c r="E7653" s="63" t="n"/>
    </row>
    <row r="7654" ht="18" customHeight="1">
      <c r="A7654" s="62" t="n"/>
      <c r="B7654" s="63" t="n"/>
      <c r="C7654" s="64" t="n"/>
      <c r="D7654" s="64" t="n"/>
      <c r="E7654" s="63" t="n"/>
    </row>
    <row r="7655" ht="18" customHeight="1">
      <c r="A7655" s="62" t="n"/>
      <c r="B7655" s="63" t="n"/>
      <c r="C7655" s="64" t="n"/>
      <c r="D7655" s="64" t="n"/>
      <c r="E7655" s="63" t="n"/>
    </row>
    <row r="7656" ht="18" customHeight="1">
      <c r="A7656" s="62" t="n"/>
      <c r="B7656" s="63" t="n"/>
      <c r="C7656" s="64" t="n"/>
      <c r="D7656" s="64" t="n"/>
      <c r="E7656" s="63" t="n"/>
    </row>
    <row r="7657" ht="18" customHeight="1">
      <c r="A7657" s="62" t="n"/>
      <c r="B7657" s="63" t="n"/>
      <c r="C7657" s="64" t="n"/>
      <c r="D7657" s="64" t="n"/>
      <c r="E7657" s="63" t="n"/>
    </row>
    <row r="7658" ht="18" customHeight="1">
      <c r="A7658" s="62" t="n"/>
      <c r="B7658" s="63" t="n"/>
      <c r="C7658" s="64" t="n"/>
      <c r="D7658" s="64" t="n"/>
      <c r="E7658" s="63" t="n"/>
    </row>
    <row r="7659" ht="18" customHeight="1">
      <c r="A7659" s="62" t="n"/>
      <c r="B7659" s="63" t="n"/>
      <c r="C7659" s="64" t="n"/>
      <c r="D7659" s="64" t="n"/>
      <c r="E7659" s="63" t="n"/>
    </row>
    <row r="7660" ht="18" customHeight="1">
      <c r="A7660" s="62" t="n"/>
      <c r="B7660" s="63" t="n"/>
      <c r="C7660" s="64" t="n"/>
      <c r="D7660" s="64" t="n"/>
      <c r="E7660" s="63" t="n"/>
    </row>
    <row r="7661" ht="18" customHeight="1">
      <c r="A7661" s="62" t="n"/>
      <c r="B7661" s="63" t="n"/>
      <c r="C7661" s="64" t="n"/>
      <c r="D7661" s="64" t="n"/>
      <c r="E7661" s="63" t="n"/>
    </row>
    <row r="7662" ht="18" customHeight="1">
      <c r="A7662" s="62" t="n"/>
      <c r="B7662" s="63" t="n"/>
      <c r="C7662" s="64" t="n"/>
      <c r="D7662" s="64" t="n"/>
      <c r="E7662" s="63" t="n"/>
    </row>
    <row r="7663" ht="18" customHeight="1">
      <c r="A7663" s="62" t="n"/>
      <c r="B7663" s="63" t="n"/>
      <c r="C7663" s="64" t="n"/>
      <c r="D7663" s="64" t="n"/>
      <c r="E7663" s="63" t="n"/>
    </row>
    <row r="7664" ht="18" customHeight="1">
      <c r="A7664" s="62" t="n"/>
      <c r="B7664" s="63" t="n"/>
      <c r="C7664" s="64" t="n"/>
      <c r="D7664" s="64" t="n"/>
      <c r="E7664" s="63" t="n"/>
    </row>
    <row r="7665" ht="18" customHeight="1">
      <c r="A7665" s="62" t="n"/>
      <c r="B7665" s="63" t="n"/>
      <c r="C7665" s="64" t="n"/>
      <c r="D7665" s="64" t="n"/>
      <c r="E7665" s="63" t="n"/>
    </row>
    <row r="7666" ht="18" customHeight="1">
      <c r="A7666" s="62" t="n"/>
      <c r="B7666" s="63" t="n"/>
      <c r="C7666" s="64" t="n"/>
      <c r="D7666" s="64" t="n"/>
      <c r="E7666" s="63" t="n"/>
    </row>
    <row r="7667" ht="18" customHeight="1">
      <c r="A7667" s="62" t="n"/>
      <c r="B7667" s="63" t="n"/>
      <c r="C7667" s="64" t="n"/>
      <c r="D7667" s="64" t="n"/>
      <c r="E7667" s="63" t="n"/>
    </row>
    <row r="7668" ht="18" customHeight="1">
      <c r="A7668" s="62" t="n"/>
      <c r="B7668" s="63" t="n"/>
      <c r="C7668" s="64" t="n"/>
      <c r="D7668" s="64" t="n"/>
      <c r="E7668" s="63" t="n"/>
    </row>
    <row r="7669" ht="18" customHeight="1">
      <c r="A7669" s="62" t="n"/>
      <c r="B7669" s="63" t="n"/>
      <c r="C7669" s="64" t="n"/>
      <c r="D7669" s="64" t="n"/>
      <c r="E7669" s="63" t="n"/>
    </row>
    <row r="7670" ht="18" customHeight="1">
      <c r="A7670" s="62" t="n"/>
      <c r="B7670" s="63" t="n"/>
      <c r="C7670" s="64" t="n"/>
      <c r="D7670" s="64" t="n"/>
      <c r="E7670" s="63" t="n"/>
    </row>
    <row r="7671" ht="18" customHeight="1">
      <c r="A7671" s="62" t="n"/>
      <c r="B7671" s="63" t="n"/>
      <c r="C7671" s="64" t="n"/>
      <c r="D7671" s="64" t="n"/>
      <c r="E7671" s="63" t="n"/>
    </row>
    <row r="7672" ht="18" customHeight="1">
      <c r="A7672" s="62" t="n"/>
      <c r="B7672" s="63" t="n"/>
      <c r="C7672" s="64" t="n"/>
      <c r="D7672" s="64" t="n"/>
      <c r="E7672" s="63" t="n"/>
    </row>
    <row r="7673" ht="18" customHeight="1">
      <c r="A7673" s="62" t="n"/>
      <c r="B7673" s="63" t="n"/>
      <c r="C7673" s="64" t="n"/>
      <c r="D7673" s="64" t="n"/>
      <c r="E7673" s="63" t="n"/>
    </row>
    <row r="7674" ht="18" customHeight="1">
      <c r="A7674" s="62" t="n"/>
      <c r="B7674" s="63" t="n"/>
      <c r="C7674" s="64" t="n"/>
      <c r="D7674" s="64" t="n"/>
      <c r="E7674" s="63" t="n"/>
    </row>
    <row r="7675" ht="18" customHeight="1">
      <c r="A7675" s="62" t="n"/>
      <c r="B7675" s="63" t="n"/>
      <c r="C7675" s="64" t="n"/>
      <c r="D7675" s="64" t="n"/>
      <c r="E7675" s="63" t="n"/>
    </row>
    <row r="7676" ht="18" customHeight="1">
      <c r="A7676" s="62" t="n"/>
      <c r="B7676" s="63" t="n"/>
      <c r="C7676" s="64" t="n"/>
      <c r="D7676" s="64" t="n"/>
      <c r="E7676" s="63" t="n"/>
    </row>
    <row r="7677" ht="18" customHeight="1">
      <c r="A7677" s="62" t="n"/>
      <c r="B7677" s="63" t="n"/>
      <c r="C7677" s="64" t="n"/>
      <c r="D7677" s="64" t="n"/>
      <c r="E7677" s="63" t="n"/>
    </row>
    <row r="7678" ht="18" customHeight="1">
      <c r="A7678" s="62" t="n"/>
      <c r="B7678" s="63" t="n"/>
      <c r="C7678" s="64" t="n"/>
      <c r="D7678" s="64" t="n"/>
      <c r="E7678" s="63" t="n"/>
    </row>
    <row r="7679" ht="18" customHeight="1">
      <c r="A7679" s="62" t="n"/>
      <c r="B7679" s="63" t="n"/>
      <c r="C7679" s="64" t="n"/>
      <c r="D7679" s="64" t="n"/>
      <c r="E7679" s="63" t="n"/>
    </row>
    <row r="7680" ht="18" customHeight="1">
      <c r="A7680" s="62" t="n"/>
      <c r="B7680" s="63" t="n"/>
      <c r="C7680" s="64" t="n"/>
      <c r="D7680" s="64" t="n"/>
      <c r="E7680" s="63" t="n"/>
    </row>
    <row r="7681" ht="18" customHeight="1">
      <c r="A7681" s="62" t="n"/>
      <c r="B7681" s="63" t="n"/>
      <c r="C7681" s="64" t="n"/>
      <c r="D7681" s="64" t="n"/>
      <c r="E7681" s="63" t="n"/>
    </row>
    <row r="7682" ht="18" customHeight="1">
      <c r="A7682" s="62" t="n"/>
      <c r="B7682" s="63" t="n"/>
      <c r="C7682" s="64" t="n"/>
      <c r="D7682" s="64" t="n"/>
      <c r="E7682" s="63" t="n"/>
    </row>
    <row r="7683" ht="18" customHeight="1">
      <c r="A7683" s="62" t="n"/>
      <c r="B7683" s="63" t="n"/>
      <c r="C7683" s="64" t="n"/>
      <c r="D7683" s="64" t="n"/>
      <c r="E7683" s="63" t="n"/>
    </row>
    <row r="7684" ht="18" customHeight="1">
      <c r="A7684" s="62" t="n"/>
      <c r="B7684" s="63" t="n"/>
      <c r="C7684" s="64" t="n"/>
      <c r="D7684" s="64" t="n"/>
      <c r="E7684" s="63" t="n"/>
    </row>
    <row r="7685" ht="18" customHeight="1">
      <c r="A7685" s="62" t="n"/>
      <c r="B7685" s="63" t="n"/>
      <c r="C7685" s="64" t="n"/>
      <c r="D7685" s="64" t="n"/>
      <c r="E7685" s="63" t="n"/>
    </row>
    <row r="7686" ht="18" customHeight="1">
      <c r="A7686" s="62" t="n"/>
      <c r="B7686" s="63" t="n"/>
      <c r="C7686" s="64" t="n"/>
      <c r="D7686" s="64" t="n"/>
      <c r="E7686" s="63" t="n"/>
    </row>
    <row r="7687" ht="18" customHeight="1">
      <c r="A7687" s="62" t="n"/>
      <c r="B7687" s="63" t="n"/>
      <c r="C7687" s="64" t="n"/>
      <c r="D7687" s="64" t="n"/>
      <c r="E7687" s="63" t="n"/>
    </row>
    <row r="7688" ht="18" customHeight="1">
      <c r="A7688" s="62" t="n"/>
      <c r="B7688" s="63" t="n"/>
      <c r="C7688" s="64" t="n"/>
      <c r="D7688" s="64" t="n"/>
      <c r="E7688" s="63" t="n"/>
    </row>
    <row r="7689" ht="18" customHeight="1">
      <c r="A7689" s="62" t="n"/>
      <c r="B7689" s="63" t="n"/>
      <c r="C7689" s="64" t="n"/>
      <c r="D7689" s="64" t="n"/>
      <c r="E7689" s="63" t="n"/>
    </row>
    <row r="7690" ht="18" customHeight="1">
      <c r="A7690" s="62" t="n"/>
      <c r="B7690" s="63" t="n"/>
      <c r="C7690" s="64" t="n"/>
      <c r="D7690" s="64" t="n"/>
      <c r="E7690" s="63" t="n"/>
    </row>
    <row r="7691" ht="18" customHeight="1">
      <c r="A7691" s="62" t="n"/>
      <c r="B7691" s="63" t="n"/>
      <c r="C7691" s="64" t="n"/>
      <c r="D7691" s="64" t="n"/>
      <c r="E7691" s="63" t="n"/>
    </row>
    <row r="7692" ht="18" customHeight="1">
      <c r="A7692" s="62" t="n"/>
      <c r="B7692" s="63" t="n"/>
      <c r="C7692" s="64" t="n"/>
      <c r="D7692" s="64" t="n"/>
      <c r="E7692" s="63" t="n"/>
    </row>
    <row r="7693" ht="18" customHeight="1">
      <c r="A7693" s="62" t="n"/>
      <c r="B7693" s="63" t="n"/>
      <c r="C7693" s="64" t="n"/>
      <c r="D7693" s="64" t="n"/>
      <c r="E7693" s="63" t="n"/>
    </row>
    <row r="7694" ht="18" customHeight="1">
      <c r="A7694" s="62" t="n"/>
      <c r="B7694" s="63" t="n"/>
      <c r="C7694" s="64" t="n"/>
      <c r="D7694" s="64" t="n"/>
      <c r="E7694" s="63" t="n"/>
    </row>
    <row r="7695" ht="18" customHeight="1">
      <c r="A7695" s="62" t="n"/>
      <c r="B7695" s="63" t="n"/>
      <c r="C7695" s="64" t="n"/>
      <c r="D7695" s="64" t="n"/>
      <c r="E7695" s="63" t="n"/>
    </row>
    <row r="7696" ht="18" customHeight="1">
      <c r="A7696" s="62" t="n"/>
      <c r="B7696" s="63" t="n"/>
      <c r="C7696" s="64" t="n"/>
      <c r="D7696" s="64" t="n"/>
      <c r="E7696" s="63" t="n"/>
    </row>
    <row r="7697" ht="18" customHeight="1">
      <c r="A7697" s="62" t="n"/>
      <c r="B7697" s="63" t="n"/>
      <c r="C7697" s="64" t="n"/>
      <c r="D7697" s="64" t="n"/>
      <c r="E7697" s="63" t="n"/>
    </row>
    <row r="7698" ht="18" customHeight="1">
      <c r="A7698" s="62" t="n"/>
      <c r="B7698" s="63" t="n"/>
      <c r="C7698" s="64" t="n"/>
      <c r="D7698" s="64" t="n"/>
      <c r="E7698" s="63" t="n"/>
    </row>
    <row r="7699" ht="18" customHeight="1">
      <c r="A7699" s="62" t="n"/>
      <c r="B7699" s="63" t="n"/>
      <c r="C7699" s="64" t="n"/>
      <c r="D7699" s="64" t="n"/>
      <c r="E7699" s="63" t="n"/>
    </row>
    <row r="7700" ht="18" customHeight="1">
      <c r="A7700" s="62" t="n"/>
      <c r="B7700" s="63" t="n"/>
      <c r="C7700" s="64" t="n"/>
      <c r="D7700" s="64" t="n"/>
      <c r="E7700" s="63" t="n"/>
    </row>
    <row r="7701" ht="18" customHeight="1">
      <c r="A7701" s="62" t="n"/>
      <c r="B7701" s="63" t="n"/>
      <c r="C7701" s="64" t="n"/>
      <c r="D7701" s="64" t="n"/>
      <c r="E7701" s="63" t="n"/>
    </row>
    <row r="7702" ht="18" customHeight="1">
      <c r="A7702" s="62" t="n"/>
      <c r="B7702" s="63" t="n"/>
      <c r="C7702" s="64" t="n"/>
      <c r="D7702" s="64" t="n"/>
      <c r="E7702" s="63" t="n"/>
    </row>
    <row r="7703" ht="18" customHeight="1">
      <c r="A7703" s="62" t="n"/>
      <c r="B7703" s="63" t="n"/>
      <c r="C7703" s="64" t="n"/>
      <c r="D7703" s="64" t="n"/>
      <c r="E7703" s="63" t="n"/>
    </row>
    <row r="7704" ht="18" customHeight="1">
      <c r="A7704" s="62" t="n"/>
      <c r="B7704" s="63" t="n"/>
      <c r="C7704" s="64" t="n"/>
      <c r="D7704" s="64" t="n"/>
      <c r="E7704" s="63" t="n"/>
    </row>
    <row r="7705" ht="18" customHeight="1">
      <c r="A7705" s="62" t="n"/>
      <c r="B7705" s="63" t="n"/>
      <c r="C7705" s="64" t="n"/>
      <c r="D7705" s="64" t="n"/>
      <c r="E7705" s="63" t="n"/>
    </row>
    <row r="7706" ht="18" customHeight="1">
      <c r="A7706" s="62" t="n"/>
      <c r="B7706" s="63" t="n"/>
      <c r="C7706" s="64" t="n"/>
      <c r="D7706" s="64" t="n"/>
      <c r="E7706" s="63" t="n"/>
    </row>
    <row r="7707" ht="18" customHeight="1">
      <c r="A7707" s="62" t="n"/>
      <c r="B7707" s="63" t="n"/>
      <c r="C7707" s="64" t="n"/>
      <c r="D7707" s="64" t="n"/>
      <c r="E7707" s="63" t="n"/>
    </row>
    <row r="7708" ht="18" customHeight="1">
      <c r="A7708" s="62" t="n"/>
      <c r="B7708" s="63" t="n"/>
      <c r="C7708" s="64" t="n"/>
      <c r="D7708" s="64" t="n"/>
      <c r="E7708" s="63" t="n"/>
    </row>
    <row r="7709" ht="18" customHeight="1">
      <c r="A7709" s="62" t="n"/>
      <c r="B7709" s="63" t="n"/>
      <c r="C7709" s="64" t="n"/>
      <c r="D7709" s="64" t="n"/>
      <c r="E7709" s="63" t="n"/>
    </row>
    <row r="7710" ht="18" customHeight="1">
      <c r="A7710" s="62" t="n"/>
      <c r="B7710" s="63" t="n"/>
      <c r="C7710" s="64" t="n"/>
      <c r="D7710" s="64" t="n"/>
      <c r="E7710" s="63" t="n"/>
    </row>
    <row r="7711" ht="18" customHeight="1">
      <c r="A7711" s="62" t="n"/>
      <c r="B7711" s="63" t="n"/>
      <c r="C7711" s="64" t="n"/>
      <c r="D7711" s="64" t="n"/>
      <c r="E7711" s="63" t="n"/>
    </row>
    <row r="7712" ht="18" customHeight="1">
      <c r="A7712" s="62" t="n"/>
      <c r="B7712" s="63" t="n"/>
      <c r="C7712" s="64" t="n"/>
      <c r="D7712" s="64" t="n"/>
      <c r="E7712" s="63" t="n"/>
    </row>
    <row r="7713" ht="18" customHeight="1">
      <c r="A7713" s="62" t="n"/>
      <c r="B7713" s="63" t="n"/>
      <c r="C7713" s="64" t="n"/>
      <c r="D7713" s="64" t="n"/>
      <c r="E7713" s="63" t="n"/>
    </row>
    <row r="7714" ht="18" customHeight="1">
      <c r="A7714" s="62" t="n"/>
      <c r="B7714" s="63" t="n"/>
      <c r="C7714" s="64" t="n"/>
      <c r="D7714" s="64" t="n"/>
      <c r="E7714" s="63" t="n"/>
    </row>
    <row r="7715" ht="18" customHeight="1">
      <c r="A7715" s="62" t="n"/>
      <c r="B7715" s="63" t="n"/>
      <c r="C7715" s="64" t="n"/>
      <c r="D7715" s="64" t="n"/>
      <c r="E7715" s="63" t="n"/>
    </row>
    <row r="7716" ht="18" customHeight="1">
      <c r="A7716" s="62" t="n"/>
      <c r="B7716" s="63" t="n"/>
      <c r="C7716" s="64" t="n"/>
      <c r="D7716" s="64" t="n"/>
      <c r="E7716" s="63" t="n"/>
    </row>
    <row r="7717" ht="18" customHeight="1">
      <c r="A7717" s="62" t="n"/>
      <c r="B7717" s="63" t="n"/>
      <c r="C7717" s="64" t="n"/>
      <c r="D7717" s="64" t="n"/>
      <c r="E7717" s="63" t="n"/>
    </row>
    <row r="7718" ht="18" customHeight="1">
      <c r="A7718" s="62" t="n"/>
      <c r="B7718" s="63" t="n"/>
      <c r="C7718" s="64" t="n"/>
      <c r="D7718" s="64" t="n"/>
      <c r="E7718" s="63" t="n"/>
    </row>
    <row r="7719" ht="18" customHeight="1">
      <c r="A7719" s="62" t="n"/>
      <c r="B7719" s="63" t="n"/>
      <c r="C7719" s="64" t="n"/>
      <c r="D7719" s="64" t="n"/>
      <c r="E7719" s="63" t="n"/>
    </row>
    <row r="7720" ht="18" customHeight="1">
      <c r="A7720" s="62" t="n"/>
      <c r="B7720" s="63" t="n"/>
      <c r="C7720" s="64" t="n"/>
      <c r="D7720" s="64" t="n"/>
      <c r="E7720" s="63" t="n"/>
    </row>
    <row r="7721" ht="18" customHeight="1">
      <c r="A7721" s="62" t="n"/>
      <c r="B7721" s="63" t="n"/>
      <c r="C7721" s="64" t="n"/>
      <c r="D7721" s="64" t="n"/>
      <c r="E7721" s="63" t="n"/>
    </row>
    <row r="7722" ht="18" customHeight="1">
      <c r="A7722" s="62" t="n"/>
      <c r="B7722" s="63" t="n"/>
      <c r="C7722" s="64" t="n"/>
      <c r="D7722" s="64" t="n"/>
      <c r="E7722" s="63" t="n"/>
    </row>
    <row r="7723" ht="18" customHeight="1">
      <c r="A7723" s="62" t="n"/>
      <c r="B7723" s="63" t="n"/>
      <c r="C7723" s="64" t="n"/>
      <c r="D7723" s="64" t="n"/>
      <c r="E7723" s="63" t="n"/>
    </row>
    <row r="7724" ht="18" customHeight="1">
      <c r="A7724" s="62" t="n"/>
      <c r="B7724" s="63" t="n"/>
      <c r="C7724" s="64" t="n"/>
      <c r="D7724" s="64" t="n"/>
      <c r="E7724" s="63" t="n"/>
    </row>
    <row r="7725" ht="18" customHeight="1">
      <c r="A7725" s="62" t="n"/>
      <c r="B7725" s="63" t="n"/>
      <c r="C7725" s="64" t="n"/>
      <c r="D7725" s="64" t="n"/>
      <c r="E7725" s="63" t="n"/>
    </row>
    <row r="7726" ht="18" customHeight="1">
      <c r="A7726" s="62" t="n"/>
      <c r="B7726" s="63" t="n"/>
      <c r="C7726" s="64" t="n"/>
      <c r="D7726" s="64" t="n"/>
      <c r="E7726" s="63" t="n"/>
    </row>
    <row r="7727" ht="18" customHeight="1">
      <c r="A7727" s="62" t="n"/>
      <c r="B7727" s="63" t="n"/>
      <c r="C7727" s="64" t="n"/>
      <c r="D7727" s="64" t="n"/>
      <c r="E7727" s="63" t="n"/>
    </row>
    <row r="7728" ht="18" customHeight="1">
      <c r="A7728" s="62" t="n"/>
      <c r="B7728" s="63" t="n"/>
      <c r="C7728" s="64" t="n"/>
      <c r="D7728" s="64" t="n"/>
      <c r="E7728" s="63" t="n"/>
    </row>
    <row r="7729" ht="18" customHeight="1">
      <c r="A7729" s="62" t="n"/>
      <c r="B7729" s="63" t="n"/>
      <c r="C7729" s="64" t="n"/>
      <c r="D7729" s="64" t="n"/>
      <c r="E7729" s="63" t="n"/>
    </row>
    <row r="7730" ht="18" customHeight="1">
      <c r="A7730" s="62" t="n"/>
      <c r="B7730" s="63" t="n"/>
      <c r="C7730" s="64" t="n"/>
      <c r="D7730" s="64" t="n"/>
      <c r="E7730" s="63" t="n"/>
    </row>
    <row r="7731" ht="18" customHeight="1">
      <c r="A7731" s="62" t="n"/>
      <c r="B7731" s="63" t="n"/>
      <c r="C7731" s="64" t="n"/>
      <c r="D7731" s="64" t="n"/>
      <c r="E7731" s="63" t="n"/>
    </row>
    <row r="7732" ht="18" customHeight="1">
      <c r="A7732" s="62" t="n"/>
      <c r="B7732" s="63" t="n"/>
      <c r="C7732" s="64" t="n"/>
      <c r="D7732" s="64" t="n"/>
      <c r="E7732" s="63" t="n"/>
    </row>
    <row r="7733" ht="18" customHeight="1">
      <c r="A7733" s="62" t="n"/>
      <c r="B7733" s="63" t="n"/>
      <c r="C7733" s="64" t="n"/>
      <c r="D7733" s="64" t="n"/>
      <c r="E7733" s="63" t="n"/>
    </row>
    <row r="7734" ht="18" customHeight="1">
      <c r="A7734" s="62" t="n"/>
      <c r="B7734" s="63" t="n"/>
      <c r="C7734" s="64" t="n"/>
      <c r="D7734" s="64" t="n"/>
      <c r="E7734" s="63" t="n"/>
    </row>
    <row r="7735" ht="18" customHeight="1">
      <c r="A7735" s="62" t="n"/>
      <c r="B7735" s="63" t="n"/>
      <c r="C7735" s="64" t="n"/>
      <c r="D7735" s="64" t="n"/>
      <c r="E7735" s="63" t="n"/>
    </row>
    <row r="7736" ht="18" customHeight="1">
      <c r="A7736" s="62" t="n"/>
      <c r="B7736" s="63" t="n"/>
      <c r="C7736" s="64" t="n"/>
      <c r="D7736" s="64" t="n"/>
      <c r="E7736" s="63" t="n"/>
    </row>
    <row r="7737" ht="18" customHeight="1">
      <c r="A7737" s="62" t="n"/>
      <c r="B7737" s="63" t="n"/>
      <c r="C7737" s="64" t="n"/>
      <c r="D7737" s="64" t="n"/>
      <c r="E7737" s="63" t="n"/>
    </row>
    <row r="7738" ht="18" customHeight="1">
      <c r="A7738" s="62" t="n"/>
      <c r="B7738" s="63" t="n"/>
      <c r="C7738" s="64" t="n"/>
      <c r="D7738" s="64" t="n"/>
      <c r="E7738" s="63" t="n"/>
    </row>
    <row r="7739" ht="18" customHeight="1">
      <c r="A7739" s="62" t="n"/>
      <c r="B7739" s="63" t="n"/>
      <c r="C7739" s="64" t="n"/>
      <c r="D7739" s="64" t="n"/>
      <c r="E7739" s="63" t="n"/>
    </row>
    <row r="7740" ht="18" customHeight="1">
      <c r="A7740" s="62" t="n"/>
      <c r="B7740" s="63" t="n"/>
      <c r="C7740" s="64" t="n"/>
      <c r="D7740" s="64" t="n"/>
      <c r="E7740" s="63" t="n"/>
    </row>
    <row r="7741" ht="18" customHeight="1">
      <c r="A7741" s="62" t="n"/>
      <c r="B7741" s="63" t="n"/>
      <c r="C7741" s="64" t="n"/>
      <c r="D7741" s="64" t="n"/>
      <c r="E7741" s="63" t="n"/>
    </row>
    <row r="7742" ht="18" customHeight="1">
      <c r="A7742" s="62" t="n"/>
      <c r="B7742" s="63" t="n"/>
      <c r="C7742" s="64" t="n"/>
      <c r="D7742" s="64" t="n"/>
      <c r="E7742" s="63" t="n"/>
    </row>
    <row r="7743" ht="18" customHeight="1">
      <c r="A7743" s="62" t="n"/>
      <c r="B7743" s="63" t="n"/>
      <c r="C7743" s="64" t="n"/>
      <c r="D7743" s="64" t="n"/>
      <c r="E7743" s="63" t="n"/>
    </row>
    <row r="7744" ht="18" customHeight="1">
      <c r="A7744" s="62" t="n"/>
      <c r="B7744" s="63" t="n"/>
      <c r="C7744" s="64" t="n"/>
      <c r="D7744" s="64" t="n"/>
      <c r="E7744" s="63" t="n"/>
    </row>
    <row r="7745" ht="18" customHeight="1">
      <c r="A7745" s="62" t="n"/>
      <c r="B7745" s="63" t="n"/>
      <c r="C7745" s="64" t="n"/>
      <c r="D7745" s="64" t="n"/>
      <c r="E7745" s="63" t="n"/>
    </row>
    <row r="7746" ht="18" customHeight="1">
      <c r="A7746" s="62" t="n"/>
      <c r="B7746" s="63" t="n"/>
      <c r="C7746" s="64" t="n"/>
      <c r="D7746" s="64" t="n"/>
      <c r="E7746" s="63" t="n"/>
    </row>
    <row r="7747" ht="18" customHeight="1">
      <c r="A7747" s="62" t="n"/>
      <c r="B7747" s="63" t="n"/>
      <c r="C7747" s="64" t="n"/>
      <c r="D7747" s="64" t="n"/>
      <c r="E7747" s="63" t="n"/>
    </row>
    <row r="7748" ht="18" customHeight="1">
      <c r="A7748" s="62" t="n"/>
      <c r="B7748" s="63" t="n"/>
      <c r="C7748" s="64" t="n"/>
      <c r="D7748" s="64" t="n"/>
      <c r="E7748" s="63" t="n"/>
    </row>
    <row r="7749" ht="18" customHeight="1">
      <c r="A7749" s="62" t="n"/>
      <c r="B7749" s="63" t="n"/>
      <c r="C7749" s="64" t="n"/>
      <c r="D7749" s="64" t="n"/>
      <c r="E7749" s="63" t="n"/>
    </row>
    <row r="7750" ht="18" customHeight="1">
      <c r="A7750" s="62" t="n"/>
      <c r="B7750" s="63" t="n"/>
      <c r="C7750" s="64" t="n"/>
      <c r="D7750" s="64" t="n"/>
      <c r="E7750" s="63" t="n"/>
    </row>
    <row r="7751" ht="18" customHeight="1">
      <c r="A7751" s="62" t="n"/>
      <c r="B7751" s="63" t="n"/>
      <c r="C7751" s="64" t="n"/>
      <c r="D7751" s="64" t="n"/>
      <c r="E7751" s="63" t="n"/>
    </row>
    <row r="7752" ht="18" customHeight="1">
      <c r="A7752" s="62" t="n"/>
      <c r="B7752" s="63" t="n"/>
      <c r="C7752" s="64" t="n"/>
      <c r="D7752" s="64" t="n"/>
      <c r="E7752" s="63" t="n"/>
    </row>
    <row r="7753" ht="18" customHeight="1">
      <c r="A7753" s="62" t="n"/>
      <c r="B7753" s="63" t="n"/>
      <c r="C7753" s="64" t="n"/>
      <c r="D7753" s="64" t="n"/>
      <c r="E7753" s="63" t="n"/>
    </row>
    <row r="7754" ht="18" customHeight="1">
      <c r="A7754" s="62" t="n"/>
      <c r="B7754" s="63" t="n"/>
      <c r="C7754" s="64" t="n"/>
      <c r="D7754" s="64" t="n"/>
      <c r="E7754" s="63" t="n"/>
    </row>
    <row r="7755" ht="18" customHeight="1">
      <c r="A7755" s="62" t="n"/>
      <c r="B7755" s="63" t="n"/>
      <c r="C7755" s="64" t="n"/>
      <c r="D7755" s="64" t="n"/>
      <c r="E7755" s="63" t="n"/>
    </row>
    <row r="7756" ht="18" customHeight="1">
      <c r="A7756" s="62" t="n"/>
      <c r="B7756" s="63" t="n"/>
      <c r="C7756" s="64" t="n"/>
      <c r="D7756" s="64" t="n"/>
      <c r="E7756" s="63" t="n"/>
    </row>
    <row r="7757" ht="18" customHeight="1">
      <c r="A7757" s="62" t="n"/>
      <c r="B7757" s="63" t="n"/>
      <c r="C7757" s="64" t="n"/>
      <c r="D7757" s="64" t="n"/>
      <c r="E7757" s="63" t="n"/>
    </row>
    <row r="7758" ht="18" customHeight="1">
      <c r="A7758" s="62" t="n"/>
      <c r="B7758" s="63" t="n"/>
      <c r="C7758" s="64" t="n"/>
      <c r="D7758" s="64" t="n"/>
      <c r="E7758" s="63" t="n"/>
    </row>
    <row r="7759" ht="18" customHeight="1">
      <c r="A7759" s="62" t="n"/>
      <c r="B7759" s="63" t="n"/>
      <c r="C7759" s="64" t="n"/>
      <c r="D7759" s="64" t="n"/>
      <c r="E7759" s="63" t="n"/>
    </row>
    <row r="7760" ht="18" customHeight="1">
      <c r="A7760" s="62" t="n"/>
      <c r="B7760" s="63" t="n"/>
      <c r="C7760" s="64" t="n"/>
      <c r="D7760" s="64" t="n"/>
      <c r="E7760" s="63" t="n"/>
    </row>
    <row r="7761" ht="18" customHeight="1">
      <c r="A7761" s="62" t="n"/>
      <c r="B7761" s="63" t="n"/>
      <c r="C7761" s="64" t="n"/>
      <c r="D7761" s="64" t="n"/>
      <c r="E7761" s="63" t="n"/>
    </row>
    <row r="7762" ht="18" customHeight="1">
      <c r="A7762" s="62" t="n"/>
      <c r="B7762" s="63" t="n"/>
      <c r="C7762" s="64" t="n"/>
      <c r="D7762" s="64" t="n"/>
      <c r="E7762" s="63" t="n"/>
    </row>
    <row r="7763" ht="18" customHeight="1">
      <c r="A7763" s="62" t="n"/>
      <c r="B7763" s="63" t="n"/>
      <c r="C7763" s="64" t="n"/>
      <c r="D7763" s="64" t="n"/>
      <c r="E7763" s="63" t="n"/>
    </row>
    <row r="7764" ht="18" customHeight="1">
      <c r="A7764" s="62" t="n"/>
      <c r="B7764" s="63" t="n"/>
      <c r="C7764" s="64" t="n"/>
      <c r="D7764" s="64" t="n"/>
      <c r="E7764" s="63" t="n"/>
    </row>
    <row r="7765" ht="18" customHeight="1">
      <c r="A7765" s="62" t="n"/>
      <c r="B7765" s="63" t="n"/>
      <c r="C7765" s="64" t="n"/>
      <c r="D7765" s="64" t="n"/>
      <c r="E7765" s="63" t="n"/>
    </row>
    <row r="7766" ht="18" customHeight="1">
      <c r="A7766" s="62" t="n"/>
      <c r="B7766" s="63" t="n"/>
      <c r="C7766" s="64" t="n"/>
      <c r="D7766" s="64" t="n"/>
      <c r="E7766" s="63" t="n"/>
    </row>
    <row r="7767" ht="18" customHeight="1">
      <c r="A7767" s="62" t="n"/>
      <c r="B7767" s="63" t="n"/>
      <c r="C7767" s="64" t="n"/>
      <c r="D7767" s="64" t="n"/>
      <c r="E7767" s="63" t="n"/>
    </row>
    <row r="7768" ht="18" customHeight="1">
      <c r="A7768" s="62" t="n"/>
      <c r="B7768" s="63" t="n"/>
      <c r="C7768" s="64" t="n"/>
      <c r="D7768" s="64" t="n"/>
      <c r="E7768" s="63" t="n"/>
    </row>
    <row r="7769" ht="18" customHeight="1">
      <c r="A7769" s="62" t="n"/>
      <c r="B7769" s="63" t="n"/>
      <c r="C7769" s="64" t="n"/>
      <c r="D7769" s="64" t="n"/>
      <c r="E7769" s="63" t="n"/>
    </row>
    <row r="7770" ht="18" customHeight="1">
      <c r="A7770" s="62" t="n"/>
      <c r="B7770" s="63" t="n"/>
      <c r="C7770" s="64" t="n"/>
      <c r="D7770" s="64" t="n"/>
      <c r="E7770" s="63" t="n"/>
    </row>
    <row r="7771" ht="18" customHeight="1">
      <c r="A7771" s="62" t="n"/>
      <c r="B7771" s="63" t="n"/>
      <c r="C7771" s="64" t="n"/>
      <c r="D7771" s="64" t="n"/>
      <c r="E7771" s="63" t="n"/>
    </row>
    <row r="7772" ht="18" customHeight="1">
      <c r="A7772" s="62" t="n"/>
      <c r="B7772" s="63" t="n"/>
      <c r="C7772" s="64" t="n"/>
      <c r="D7772" s="64" t="n"/>
      <c r="E7772" s="63" t="n"/>
    </row>
    <row r="7773" ht="18" customHeight="1">
      <c r="A7773" s="62" t="n"/>
      <c r="B7773" s="63" t="n"/>
      <c r="C7773" s="64" t="n"/>
      <c r="D7773" s="64" t="n"/>
      <c r="E7773" s="63" t="n"/>
    </row>
    <row r="7774" ht="18" customHeight="1">
      <c r="A7774" s="62" t="n"/>
      <c r="B7774" s="63" t="n"/>
      <c r="C7774" s="64" t="n"/>
      <c r="D7774" s="64" t="n"/>
      <c r="E7774" s="63" t="n"/>
    </row>
    <row r="7775" ht="18" customHeight="1">
      <c r="A7775" s="62" t="n"/>
      <c r="B7775" s="63" t="n"/>
      <c r="C7775" s="64" t="n"/>
      <c r="D7775" s="64" t="n"/>
      <c r="E7775" s="63" t="n"/>
    </row>
    <row r="7776" ht="18" customHeight="1">
      <c r="A7776" s="62" t="n"/>
      <c r="B7776" s="63" t="n"/>
      <c r="C7776" s="64" t="n"/>
      <c r="D7776" s="64" t="n"/>
      <c r="E7776" s="63" t="n"/>
    </row>
    <row r="7777" ht="18" customHeight="1">
      <c r="A7777" s="62" t="n"/>
      <c r="B7777" s="63" t="n"/>
      <c r="C7777" s="64" t="n"/>
      <c r="D7777" s="64" t="n"/>
      <c r="E7777" s="63" t="n"/>
    </row>
    <row r="7778" ht="18" customHeight="1">
      <c r="A7778" s="62" t="n"/>
      <c r="B7778" s="63" t="n"/>
      <c r="C7778" s="64" t="n"/>
      <c r="D7778" s="64" t="n"/>
      <c r="E7778" s="63" t="n"/>
    </row>
    <row r="7779" ht="18" customHeight="1">
      <c r="A7779" s="62" t="n"/>
      <c r="B7779" s="63" t="n"/>
      <c r="C7779" s="64" t="n"/>
      <c r="D7779" s="64" t="n"/>
      <c r="E7779" s="63" t="n"/>
    </row>
    <row r="7780" ht="18" customHeight="1">
      <c r="A7780" s="62" t="n"/>
      <c r="B7780" s="63" t="n"/>
      <c r="C7780" s="64" t="n"/>
      <c r="D7780" s="64" t="n"/>
      <c r="E7780" s="63" t="n"/>
    </row>
    <row r="7781" ht="18" customHeight="1">
      <c r="A7781" s="62" t="n"/>
      <c r="B7781" s="63" t="n"/>
      <c r="C7781" s="64" t="n"/>
      <c r="D7781" s="64" t="n"/>
      <c r="E7781" s="63" t="n"/>
    </row>
    <row r="7782" ht="18" customHeight="1">
      <c r="A7782" s="62" t="n"/>
      <c r="B7782" s="63" t="n"/>
      <c r="C7782" s="64" t="n"/>
      <c r="D7782" s="64" t="n"/>
      <c r="E7782" s="63" t="n"/>
    </row>
    <row r="7783" ht="18" customHeight="1">
      <c r="A7783" s="62" t="n"/>
      <c r="B7783" s="63" t="n"/>
      <c r="C7783" s="64" t="n"/>
      <c r="D7783" s="64" t="n"/>
      <c r="E7783" s="63" t="n"/>
    </row>
    <row r="7784" ht="18" customHeight="1">
      <c r="A7784" s="62" t="n"/>
      <c r="B7784" s="63" t="n"/>
      <c r="C7784" s="64" t="n"/>
      <c r="D7784" s="64" t="n"/>
      <c r="E7784" s="63" t="n"/>
    </row>
    <row r="7785" ht="18" customHeight="1">
      <c r="A7785" s="62" t="n"/>
      <c r="B7785" s="63" t="n"/>
      <c r="C7785" s="64" t="n"/>
      <c r="D7785" s="64" t="n"/>
      <c r="E7785" s="63" t="n"/>
    </row>
    <row r="7786" ht="18" customHeight="1">
      <c r="A7786" s="62" t="n"/>
      <c r="B7786" s="63" t="n"/>
      <c r="C7786" s="64" t="n"/>
      <c r="D7786" s="64" t="n"/>
      <c r="E7786" s="63" t="n"/>
    </row>
    <row r="7787" ht="18" customHeight="1">
      <c r="A7787" s="62" t="n"/>
      <c r="B7787" s="63" t="n"/>
      <c r="C7787" s="64" t="n"/>
      <c r="D7787" s="64" t="n"/>
      <c r="E7787" s="63" t="n"/>
    </row>
    <row r="7788" ht="18" customHeight="1">
      <c r="A7788" s="62" t="n"/>
      <c r="B7788" s="63" t="n"/>
      <c r="C7788" s="64" t="n"/>
      <c r="D7788" s="64" t="n"/>
      <c r="E7788" s="63" t="n"/>
    </row>
    <row r="7789" ht="18" customHeight="1">
      <c r="A7789" s="62" t="n"/>
      <c r="B7789" s="63" t="n"/>
      <c r="C7789" s="64" t="n"/>
      <c r="D7789" s="64" t="n"/>
      <c r="E7789" s="63" t="n"/>
    </row>
    <row r="7790" ht="18" customHeight="1">
      <c r="A7790" s="62" t="n"/>
      <c r="B7790" s="63" t="n"/>
      <c r="C7790" s="64" t="n"/>
      <c r="D7790" s="64" t="n"/>
      <c r="E7790" s="63" t="n"/>
    </row>
    <row r="7791" ht="18" customHeight="1">
      <c r="A7791" s="62" t="n"/>
      <c r="B7791" s="63" t="n"/>
      <c r="C7791" s="64" t="n"/>
      <c r="D7791" s="64" t="n"/>
      <c r="E7791" s="63" t="n"/>
    </row>
    <row r="7792" ht="18" customHeight="1">
      <c r="A7792" s="62" t="n"/>
      <c r="B7792" s="63" t="n"/>
      <c r="C7792" s="64" t="n"/>
      <c r="D7792" s="64" t="n"/>
      <c r="E7792" s="63" t="n"/>
    </row>
    <row r="7793" ht="18" customHeight="1">
      <c r="A7793" s="62" t="n"/>
      <c r="B7793" s="63" t="n"/>
      <c r="C7793" s="64" t="n"/>
      <c r="D7793" s="64" t="n"/>
      <c r="E7793" s="63" t="n"/>
    </row>
    <row r="7794" ht="18" customHeight="1">
      <c r="A7794" s="62" t="n"/>
      <c r="B7794" s="63" t="n"/>
      <c r="C7794" s="64" t="n"/>
      <c r="D7794" s="64" t="n"/>
      <c r="E7794" s="63" t="n"/>
    </row>
    <row r="7795" ht="18" customHeight="1">
      <c r="A7795" s="62" t="n"/>
      <c r="B7795" s="63" t="n"/>
      <c r="C7795" s="64" t="n"/>
      <c r="D7795" s="64" t="n"/>
      <c r="E7795" s="63" t="n"/>
    </row>
    <row r="7796" ht="18" customHeight="1">
      <c r="A7796" s="62" t="n"/>
      <c r="B7796" s="63" t="n"/>
      <c r="C7796" s="64" t="n"/>
      <c r="D7796" s="64" t="n"/>
      <c r="E7796" s="63" t="n"/>
    </row>
    <row r="7797" ht="18" customHeight="1">
      <c r="A7797" s="62" t="n"/>
      <c r="B7797" s="63" t="n"/>
      <c r="C7797" s="64" t="n"/>
      <c r="D7797" s="64" t="n"/>
      <c r="E7797" s="63" t="n"/>
    </row>
    <row r="7798" ht="18" customHeight="1">
      <c r="A7798" s="62" t="n"/>
      <c r="B7798" s="63" t="n"/>
      <c r="C7798" s="64" t="n"/>
      <c r="D7798" s="64" t="n"/>
      <c r="E7798" s="63" t="n"/>
    </row>
    <row r="7799" ht="18" customHeight="1">
      <c r="A7799" s="62" t="n"/>
      <c r="B7799" s="63" t="n"/>
      <c r="C7799" s="64" t="n"/>
      <c r="D7799" s="64" t="n"/>
      <c r="E7799" s="63" t="n"/>
    </row>
    <row r="7800" ht="18" customHeight="1">
      <c r="A7800" s="62" t="n"/>
      <c r="B7800" s="63" t="n"/>
      <c r="C7800" s="64" t="n"/>
      <c r="D7800" s="64" t="n"/>
      <c r="E7800" s="63" t="n"/>
    </row>
    <row r="7801" ht="18" customHeight="1">
      <c r="A7801" s="62" t="n"/>
      <c r="B7801" s="63" t="n"/>
      <c r="C7801" s="64" t="n"/>
      <c r="D7801" s="64" t="n"/>
      <c r="E7801" s="63" t="n"/>
    </row>
    <row r="7802" ht="18" customHeight="1">
      <c r="A7802" s="62" t="n"/>
      <c r="B7802" s="63" t="n"/>
      <c r="C7802" s="64" t="n"/>
      <c r="D7802" s="64" t="n"/>
      <c r="E7802" s="63" t="n"/>
    </row>
    <row r="7803" ht="18" customHeight="1">
      <c r="A7803" s="62" t="n"/>
      <c r="B7803" s="63" t="n"/>
      <c r="C7803" s="64" t="n"/>
      <c r="D7803" s="64" t="n"/>
      <c r="E7803" s="63" t="n"/>
    </row>
    <row r="7804" ht="18" customHeight="1">
      <c r="A7804" s="62" t="n"/>
      <c r="B7804" s="63" t="n"/>
      <c r="C7804" s="64" t="n"/>
      <c r="D7804" s="64" t="n"/>
      <c r="E7804" s="63" t="n"/>
    </row>
    <row r="7805" ht="18" customHeight="1">
      <c r="A7805" s="62" t="n"/>
      <c r="B7805" s="63" t="n"/>
      <c r="C7805" s="64" t="n"/>
      <c r="D7805" s="64" t="n"/>
      <c r="E7805" s="63" t="n"/>
    </row>
    <row r="7806" ht="18" customHeight="1">
      <c r="A7806" s="62" t="n"/>
      <c r="B7806" s="63" t="n"/>
      <c r="C7806" s="64" t="n"/>
      <c r="D7806" s="64" t="n"/>
      <c r="E7806" s="63" t="n"/>
    </row>
    <row r="7807" ht="18" customHeight="1">
      <c r="A7807" s="62" t="n"/>
      <c r="B7807" s="63" t="n"/>
      <c r="C7807" s="64" t="n"/>
      <c r="D7807" s="64" t="n"/>
      <c r="E7807" s="63" t="n"/>
    </row>
    <row r="7808" ht="18" customHeight="1">
      <c r="A7808" s="62" t="n"/>
      <c r="B7808" s="63" t="n"/>
      <c r="C7808" s="64" t="n"/>
      <c r="D7808" s="64" t="n"/>
      <c r="E7808" s="63" t="n"/>
    </row>
    <row r="7809" ht="18" customHeight="1">
      <c r="A7809" s="62" t="n"/>
      <c r="B7809" s="63" t="n"/>
      <c r="C7809" s="64" t="n"/>
      <c r="D7809" s="64" t="n"/>
      <c r="E7809" s="63" t="n"/>
    </row>
    <row r="7810" ht="18" customHeight="1">
      <c r="A7810" s="62" t="n"/>
      <c r="B7810" s="63" t="n"/>
      <c r="C7810" s="64" t="n"/>
      <c r="D7810" s="64" t="n"/>
      <c r="E7810" s="63" t="n"/>
    </row>
    <row r="7811" ht="18" customHeight="1">
      <c r="A7811" s="62" t="n"/>
      <c r="B7811" s="63" t="n"/>
      <c r="C7811" s="64" t="n"/>
      <c r="D7811" s="64" t="n"/>
      <c r="E7811" s="63" t="n"/>
    </row>
    <row r="7812" ht="18" customHeight="1">
      <c r="A7812" s="62" t="n"/>
      <c r="B7812" s="63" t="n"/>
      <c r="C7812" s="64" t="n"/>
      <c r="D7812" s="64" t="n"/>
      <c r="E7812" s="63" t="n"/>
    </row>
    <row r="7813" ht="18" customHeight="1">
      <c r="A7813" s="62" t="n"/>
      <c r="B7813" s="63" t="n"/>
      <c r="C7813" s="64" t="n"/>
      <c r="D7813" s="64" t="n"/>
      <c r="E7813" s="63" t="n"/>
    </row>
    <row r="7814" ht="18" customHeight="1">
      <c r="A7814" s="62" t="n"/>
      <c r="B7814" s="63" t="n"/>
      <c r="C7814" s="64" t="n"/>
      <c r="D7814" s="64" t="n"/>
      <c r="E7814" s="63" t="n"/>
    </row>
    <row r="7815" ht="18" customHeight="1">
      <c r="A7815" s="62" t="n"/>
      <c r="B7815" s="63" t="n"/>
      <c r="C7815" s="64" t="n"/>
      <c r="D7815" s="64" t="n"/>
      <c r="E7815" s="63" t="n"/>
    </row>
    <row r="7816" ht="18" customHeight="1">
      <c r="A7816" s="62" t="n"/>
      <c r="B7816" s="63" t="n"/>
      <c r="C7816" s="64" t="n"/>
      <c r="D7816" s="64" t="n"/>
      <c r="E7816" s="63" t="n"/>
    </row>
    <row r="7817" ht="18" customHeight="1">
      <c r="A7817" s="62" t="n"/>
      <c r="B7817" s="63" t="n"/>
      <c r="C7817" s="64" t="n"/>
      <c r="D7817" s="64" t="n"/>
      <c r="E7817" s="63" t="n"/>
    </row>
    <row r="7818" ht="18" customHeight="1">
      <c r="A7818" s="62" t="n"/>
      <c r="B7818" s="63" t="n"/>
      <c r="C7818" s="64" t="n"/>
      <c r="D7818" s="64" t="n"/>
      <c r="E7818" s="63" t="n"/>
    </row>
    <row r="7819" ht="18" customHeight="1">
      <c r="A7819" s="62" t="n"/>
      <c r="B7819" s="63" t="n"/>
      <c r="C7819" s="64" t="n"/>
      <c r="D7819" s="64" t="n"/>
      <c r="E7819" s="63" t="n"/>
    </row>
    <row r="7820" ht="18" customHeight="1">
      <c r="A7820" s="62" t="n"/>
      <c r="B7820" s="63" t="n"/>
      <c r="C7820" s="64" t="n"/>
      <c r="D7820" s="64" t="n"/>
      <c r="E7820" s="63" t="n"/>
    </row>
    <row r="7821" ht="18" customHeight="1">
      <c r="A7821" s="62" t="n"/>
      <c r="B7821" s="63" t="n"/>
      <c r="C7821" s="64" t="n"/>
      <c r="D7821" s="64" t="n"/>
      <c r="E7821" s="63" t="n"/>
    </row>
    <row r="7822" ht="18" customHeight="1">
      <c r="A7822" s="62" t="n"/>
      <c r="B7822" s="63" t="n"/>
      <c r="C7822" s="64" t="n"/>
      <c r="D7822" s="64" t="n"/>
      <c r="E7822" s="63" t="n"/>
    </row>
    <row r="7823" ht="18" customHeight="1">
      <c r="A7823" s="62" t="n"/>
      <c r="B7823" s="63" t="n"/>
      <c r="C7823" s="64" t="n"/>
      <c r="D7823" s="64" t="n"/>
      <c r="E7823" s="63" t="n"/>
    </row>
    <row r="7824" ht="18" customHeight="1">
      <c r="A7824" s="62" t="n"/>
      <c r="B7824" s="63" t="n"/>
      <c r="C7824" s="64" t="n"/>
      <c r="D7824" s="64" t="n"/>
      <c r="E7824" s="63" t="n"/>
    </row>
    <row r="7825" ht="18" customHeight="1">
      <c r="A7825" s="62" t="n"/>
      <c r="B7825" s="63" t="n"/>
      <c r="C7825" s="64" t="n"/>
      <c r="D7825" s="64" t="n"/>
      <c r="E7825" s="63" t="n"/>
    </row>
    <row r="7826" ht="18" customHeight="1">
      <c r="A7826" s="62" t="n"/>
      <c r="B7826" s="63" t="n"/>
      <c r="C7826" s="64" t="n"/>
      <c r="D7826" s="64" t="n"/>
      <c r="E7826" s="63" t="n"/>
    </row>
    <row r="7827" ht="18" customHeight="1">
      <c r="A7827" s="62" t="n"/>
      <c r="B7827" s="63" t="n"/>
      <c r="C7827" s="64" t="n"/>
      <c r="D7827" s="64" t="n"/>
      <c r="E7827" s="63" t="n"/>
    </row>
    <row r="7828" ht="18" customHeight="1">
      <c r="A7828" s="62" t="n"/>
      <c r="B7828" s="63" t="n"/>
      <c r="C7828" s="64" t="n"/>
      <c r="D7828" s="64" t="n"/>
      <c r="E7828" s="63" t="n"/>
    </row>
    <row r="7829" ht="18" customHeight="1">
      <c r="A7829" s="62" t="n"/>
      <c r="B7829" s="63" t="n"/>
      <c r="C7829" s="64" t="n"/>
      <c r="D7829" s="64" t="n"/>
      <c r="E7829" s="63" t="n"/>
    </row>
    <row r="7830" ht="18" customHeight="1">
      <c r="A7830" s="62" t="n"/>
      <c r="B7830" s="63" t="n"/>
      <c r="C7830" s="64" t="n"/>
      <c r="D7830" s="64" t="n"/>
      <c r="E7830" s="63" t="n"/>
    </row>
    <row r="7831" ht="18" customHeight="1">
      <c r="A7831" s="62" t="n"/>
      <c r="B7831" s="63" t="n"/>
      <c r="C7831" s="64" t="n"/>
      <c r="D7831" s="64" t="n"/>
      <c r="E7831" s="63" t="n"/>
    </row>
    <row r="7832" ht="18" customHeight="1">
      <c r="A7832" s="62" t="n"/>
      <c r="B7832" s="63" t="n"/>
      <c r="C7832" s="64" t="n"/>
      <c r="D7832" s="64" t="n"/>
      <c r="E7832" s="63" t="n"/>
    </row>
    <row r="7833" ht="18" customHeight="1">
      <c r="A7833" s="62" t="n"/>
      <c r="B7833" s="63" t="n"/>
      <c r="C7833" s="64" t="n"/>
      <c r="D7833" s="64" t="n"/>
      <c r="E7833" s="63" t="n"/>
    </row>
    <row r="7834" ht="18" customHeight="1">
      <c r="A7834" s="62" t="n"/>
      <c r="B7834" s="63" t="n"/>
      <c r="C7834" s="64" t="n"/>
      <c r="D7834" s="64" t="n"/>
      <c r="E7834" s="63" t="n"/>
    </row>
    <row r="7835" ht="18" customHeight="1">
      <c r="A7835" s="62" t="n"/>
      <c r="B7835" s="63" t="n"/>
      <c r="C7835" s="64" t="n"/>
      <c r="D7835" s="64" t="n"/>
      <c r="E7835" s="63" t="n"/>
    </row>
    <row r="7836" ht="18" customHeight="1">
      <c r="A7836" s="62" t="n"/>
      <c r="B7836" s="63" t="n"/>
      <c r="C7836" s="64" t="n"/>
      <c r="D7836" s="64" t="n"/>
      <c r="E7836" s="63" t="n"/>
    </row>
    <row r="7837" ht="18" customHeight="1">
      <c r="A7837" s="62" t="n"/>
      <c r="B7837" s="63" t="n"/>
      <c r="C7837" s="64" t="n"/>
      <c r="D7837" s="64" t="n"/>
      <c r="E7837" s="63" t="n"/>
    </row>
    <row r="7838" ht="18" customHeight="1">
      <c r="A7838" s="62" t="n"/>
      <c r="B7838" s="63" t="n"/>
      <c r="C7838" s="64" t="n"/>
      <c r="D7838" s="64" t="n"/>
      <c r="E7838" s="63" t="n"/>
    </row>
    <row r="7839" ht="18" customHeight="1">
      <c r="A7839" s="62" t="n"/>
      <c r="B7839" s="63" t="n"/>
      <c r="C7839" s="64" t="n"/>
      <c r="D7839" s="64" t="n"/>
      <c r="E7839" s="63" t="n"/>
    </row>
    <row r="7840" ht="18" customHeight="1">
      <c r="A7840" s="62" t="n"/>
      <c r="B7840" s="63" t="n"/>
      <c r="C7840" s="64" t="n"/>
      <c r="D7840" s="64" t="n"/>
      <c r="E7840" s="63" t="n"/>
    </row>
    <row r="7841" ht="18" customHeight="1">
      <c r="A7841" s="62" t="n"/>
      <c r="B7841" s="63" t="n"/>
      <c r="C7841" s="64" t="n"/>
      <c r="D7841" s="64" t="n"/>
      <c r="E7841" s="63" t="n"/>
    </row>
    <row r="7842" ht="18" customHeight="1">
      <c r="A7842" s="62" t="n"/>
      <c r="B7842" s="63" t="n"/>
      <c r="C7842" s="64" t="n"/>
      <c r="D7842" s="64" t="n"/>
      <c r="E7842" s="63" t="n"/>
    </row>
    <row r="7843" ht="18" customHeight="1">
      <c r="A7843" s="62" t="n"/>
      <c r="B7843" s="63" t="n"/>
      <c r="C7843" s="64" t="n"/>
      <c r="D7843" s="64" t="n"/>
      <c r="E7843" s="63" t="n"/>
    </row>
    <row r="7844" ht="18" customHeight="1">
      <c r="A7844" s="62" t="n"/>
      <c r="B7844" s="63" t="n"/>
      <c r="C7844" s="64" t="n"/>
      <c r="D7844" s="64" t="n"/>
      <c r="E7844" s="63" t="n"/>
    </row>
    <row r="7845" ht="18" customHeight="1">
      <c r="A7845" s="62" t="n"/>
      <c r="B7845" s="63" t="n"/>
      <c r="C7845" s="64" t="n"/>
      <c r="D7845" s="64" t="n"/>
      <c r="E7845" s="63" t="n"/>
    </row>
    <row r="7846" ht="18" customHeight="1">
      <c r="A7846" s="62" t="n"/>
      <c r="B7846" s="63" t="n"/>
      <c r="C7846" s="64" t="n"/>
      <c r="D7846" s="64" t="n"/>
      <c r="E7846" s="63" t="n"/>
    </row>
    <row r="7847" ht="18" customHeight="1">
      <c r="A7847" s="62" t="n"/>
      <c r="B7847" s="63" t="n"/>
      <c r="C7847" s="64" t="n"/>
      <c r="D7847" s="64" t="n"/>
      <c r="E7847" s="63" t="n"/>
    </row>
    <row r="7848" ht="18" customHeight="1">
      <c r="A7848" s="62" t="n"/>
      <c r="B7848" s="63" t="n"/>
      <c r="C7848" s="64" t="n"/>
      <c r="D7848" s="64" t="n"/>
      <c r="E7848" s="63" t="n"/>
    </row>
    <row r="7849" ht="18" customHeight="1">
      <c r="A7849" s="62" t="n"/>
      <c r="B7849" s="63" t="n"/>
      <c r="C7849" s="64" t="n"/>
      <c r="D7849" s="64" t="n"/>
      <c r="E7849" s="63" t="n"/>
    </row>
    <row r="7850" ht="18" customHeight="1">
      <c r="A7850" s="62" t="n"/>
      <c r="B7850" s="63" t="n"/>
      <c r="C7850" s="64" t="n"/>
      <c r="D7850" s="64" t="n"/>
      <c r="E7850" s="63" t="n"/>
    </row>
    <row r="7851" ht="18" customHeight="1">
      <c r="A7851" s="62" t="n"/>
      <c r="B7851" s="63" t="n"/>
      <c r="C7851" s="64" t="n"/>
      <c r="D7851" s="64" t="n"/>
      <c r="E7851" s="63" t="n"/>
    </row>
    <row r="7852" ht="18" customHeight="1">
      <c r="A7852" s="62" t="n"/>
      <c r="B7852" s="63" t="n"/>
      <c r="C7852" s="64" t="n"/>
      <c r="D7852" s="64" t="n"/>
      <c r="E7852" s="63" t="n"/>
    </row>
    <row r="7853" ht="18" customHeight="1">
      <c r="A7853" s="62" t="n"/>
      <c r="B7853" s="63" t="n"/>
      <c r="C7853" s="64" t="n"/>
      <c r="D7853" s="64" t="n"/>
      <c r="E7853" s="63" t="n"/>
    </row>
    <row r="7854" ht="18" customHeight="1">
      <c r="A7854" s="62" t="n"/>
      <c r="B7854" s="63" t="n"/>
      <c r="C7854" s="64" t="n"/>
      <c r="D7854" s="64" t="n"/>
      <c r="E7854" s="63" t="n"/>
    </row>
    <row r="7855" ht="18" customHeight="1">
      <c r="A7855" s="62" t="n"/>
      <c r="B7855" s="63" t="n"/>
      <c r="C7855" s="64" t="n"/>
      <c r="D7855" s="64" t="n"/>
      <c r="E7855" s="63" t="n"/>
    </row>
    <row r="7856" ht="18" customHeight="1">
      <c r="A7856" s="62" t="n"/>
      <c r="B7856" s="63" t="n"/>
      <c r="C7856" s="64" t="n"/>
      <c r="D7856" s="64" t="n"/>
      <c r="E7856" s="63" t="n"/>
    </row>
    <row r="7857" ht="18" customHeight="1">
      <c r="A7857" s="62" t="n"/>
      <c r="B7857" s="63" t="n"/>
      <c r="C7857" s="64" t="n"/>
      <c r="D7857" s="64" t="n"/>
      <c r="E7857" s="63" t="n"/>
    </row>
    <row r="7858" ht="18" customHeight="1">
      <c r="A7858" s="62" t="n"/>
      <c r="B7858" s="63" t="n"/>
      <c r="C7858" s="64" t="n"/>
      <c r="D7858" s="64" t="n"/>
      <c r="E7858" s="63" t="n"/>
    </row>
    <row r="7859" ht="18" customHeight="1">
      <c r="A7859" s="62" t="n"/>
      <c r="B7859" s="63" t="n"/>
      <c r="C7859" s="64" t="n"/>
      <c r="D7859" s="64" t="n"/>
      <c r="E7859" s="63" t="n"/>
    </row>
    <row r="7860" ht="18" customHeight="1">
      <c r="A7860" s="62" t="n"/>
      <c r="B7860" s="63" t="n"/>
      <c r="C7860" s="64" t="n"/>
      <c r="D7860" s="64" t="n"/>
      <c r="E7860" s="63" t="n"/>
    </row>
    <row r="7861" ht="18" customHeight="1">
      <c r="A7861" s="62" t="n"/>
      <c r="B7861" s="63" t="n"/>
      <c r="C7861" s="64" t="n"/>
      <c r="D7861" s="64" t="n"/>
      <c r="E7861" s="63" t="n"/>
    </row>
    <row r="7862" ht="18" customHeight="1">
      <c r="A7862" s="62" t="n"/>
      <c r="B7862" s="63" t="n"/>
      <c r="C7862" s="64" t="n"/>
      <c r="D7862" s="64" t="n"/>
      <c r="E7862" s="63" t="n"/>
    </row>
    <row r="7863" ht="18" customHeight="1">
      <c r="A7863" s="62" t="n"/>
      <c r="B7863" s="63" t="n"/>
      <c r="C7863" s="64" t="n"/>
      <c r="D7863" s="64" t="n"/>
      <c r="E7863" s="63" t="n"/>
    </row>
    <row r="7864" ht="18" customHeight="1">
      <c r="A7864" s="62" t="n"/>
      <c r="B7864" s="63" t="n"/>
      <c r="C7864" s="64" t="n"/>
      <c r="D7864" s="64" t="n"/>
      <c r="E7864" s="63" t="n"/>
    </row>
    <row r="7865" ht="18" customHeight="1">
      <c r="A7865" s="62" t="n"/>
      <c r="B7865" s="63" t="n"/>
      <c r="C7865" s="64" t="n"/>
      <c r="D7865" s="64" t="n"/>
      <c r="E7865" s="63" t="n"/>
    </row>
    <row r="7866" ht="18" customHeight="1">
      <c r="A7866" s="62" t="n"/>
      <c r="B7866" s="63" t="n"/>
      <c r="C7866" s="64" t="n"/>
      <c r="D7866" s="64" t="n"/>
      <c r="E7866" s="63" t="n"/>
    </row>
    <row r="7867" ht="18" customHeight="1">
      <c r="A7867" s="62" t="n"/>
      <c r="B7867" s="63" t="n"/>
      <c r="C7867" s="64" t="n"/>
      <c r="D7867" s="64" t="n"/>
      <c r="E7867" s="63" t="n"/>
    </row>
    <row r="7868" ht="18" customHeight="1">
      <c r="A7868" s="62" t="n"/>
      <c r="B7868" s="63" t="n"/>
      <c r="C7868" s="64" t="n"/>
      <c r="D7868" s="64" t="n"/>
      <c r="E7868" s="63" t="n"/>
    </row>
    <row r="7869" ht="18" customHeight="1">
      <c r="A7869" s="62" t="n"/>
      <c r="B7869" s="63" t="n"/>
      <c r="C7869" s="64" t="n"/>
      <c r="D7869" s="64" t="n"/>
      <c r="E7869" s="63" t="n"/>
    </row>
    <row r="7870" ht="18" customHeight="1">
      <c r="A7870" s="62" t="n"/>
      <c r="B7870" s="63" t="n"/>
      <c r="C7870" s="64" t="n"/>
      <c r="D7870" s="64" t="n"/>
      <c r="E7870" s="63" t="n"/>
    </row>
    <row r="7871" ht="18" customHeight="1">
      <c r="A7871" s="62" t="n"/>
      <c r="B7871" s="63" t="n"/>
      <c r="C7871" s="64" t="n"/>
      <c r="D7871" s="64" t="n"/>
      <c r="E7871" s="63" t="n"/>
    </row>
    <row r="7872" ht="18" customHeight="1">
      <c r="A7872" s="62" t="n"/>
      <c r="B7872" s="63" t="n"/>
      <c r="C7872" s="64" t="n"/>
      <c r="D7872" s="64" t="n"/>
      <c r="E7872" s="63" t="n"/>
    </row>
    <row r="7873" ht="18" customHeight="1">
      <c r="A7873" s="62" t="n"/>
      <c r="B7873" s="63" t="n"/>
      <c r="C7873" s="64" t="n"/>
      <c r="D7873" s="64" t="n"/>
      <c r="E7873" s="63" t="n"/>
    </row>
    <row r="7874" ht="18" customHeight="1">
      <c r="A7874" s="62" t="n"/>
      <c r="B7874" s="63" t="n"/>
      <c r="C7874" s="64" t="n"/>
      <c r="D7874" s="64" t="n"/>
      <c r="E7874" s="63" t="n"/>
    </row>
    <row r="7875" ht="18" customHeight="1">
      <c r="A7875" s="62" t="n"/>
      <c r="B7875" s="63" t="n"/>
      <c r="C7875" s="64" t="n"/>
      <c r="D7875" s="64" t="n"/>
      <c r="E7875" s="63" t="n"/>
    </row>
    <row r="7876" ht="18" customHeight="1">
      <c r="A7876" s="62" t="n"/>
      <c r="B7876" s="63" t="n"/>
      <c r="C7876" s="64" t="n"/>
      <c r="D7876" s="64" t="n"/>
      <c r="E7876" s="63" t="n"/>
    </row>
    <row r="7877" ht="18" customHeight="1">
      <c r="A7877" s="62" t="n"/>
      <c r="B7877" s="63" t="n"/>
      <c r="C7877" s="64" t="n"/>
      <c r="D7877" s="64" t="n"/>
      <c r="E7877" s="63" t="n"/>
    </row>
    <row r="7878" ht="18" customHeight="1">
      <c r="A7878" s="62" t="n"/>
      <c r="B7878" s="63" t="n"/>
      <c r="C7878" s="64" t="n"/>
      <c r="D7878" s="64" t="n"/>
      <c r="E7878" s="63" t="n"/>
    </row>
    <row r="7879" ht="18" customHeight="1">
      <c r="A7879" s="62" t="n"/>
      <c r="B7879" s="63" t="n"/>
      <c r="C7879" s="64" t="n"/>
      <c r="D7879" s="64" t="n"/>
      <c r="E7879" s="63" t="n"/>
    </row>
    <row r="7880" ht="18" customHeight="1">
      <c r="A7880" s="62" t="n"/>
      <c r="B7880" s="63" t="n"/>
      <c r="C7880" s="64" t="n"/>
      <c r="D7880" s="64" t="n"/>
      <c r="E7880" s="63" t="n"/>
    </row>
    <row r="7881" ht="18" customHeight="1">
      <c r="A7881" s="62" t="n"/>
      <c r="B7881" s="63" t="n"/>
      <c r="C7881" s="64" t="n"/>
      <c r="D7881" s="64" t="n"/>
      <c r="E7881" s="63" t="n"/>
    </row>
    <row r="7882" ht="18" customHeight="1">
      <c r="A7882" s="62" t="n"/>
      <c r="B7882" s="63" t="n"/>
      <c r="C7882" s="64" t="n"/>
      <c r="D7882" s="64" t="n"/>
      <c r="E7882" s="63" t="n"/>
    </row>
    <row r="7883" ht="18" customHeight="1">
      <c r="A7883" s="62" t="n"/>
      <c r="B7883" s="63" t="n"/>
      <c r="C7883" s="64" t="n"/>
      <c r="D7883" s="64" t="n"/>
      <c r="E7883" s="63" t="n"/>
    </row>
    <row r="7884" ht="18" customHeight="1">
      <c r="A7884" s="62" t="n"/>
      <c r="B7884" s="63" t="n"/>
      <c r="C7884" s="64" t="n"/>
      <c r="D7884" s="64" t="n"/>
      <c r="E7884" s="63" t="n"/>
    </row>
    <row r="7885" ht="18" customHeight="1">
      <c r="A7885" s="62" t="n"/>
      <c r="B7885" s="63" t="n"/>
      <c r="C7885" s="64" t="n"/>
      <c r="D7885" s="64" t="n"/>
      <c r="E7885" s="63" t="n"/>
    </row>
    <row r="7886" ht="18" customHeight="1">
      <c r="A7886" s="62" t="n"/>
      <c r="B7886" s="63" t="n"/>
      <c r="C7886" s="64" t="n"/>
      <c r="D7886" s="64" t="n"/>
      <c r="E7886" s="63" t="n"/>
    </row>
    <row r="7887" ht="18" customHeight="1">
      <c r="A7887" s="62" t="n"/>
      <c r="B7887" s="63" t="n"/>
      <c r="C7887" s="64" t="n"/>
      <c r="D7887" s="64" t="n"/>
      <c r="E7887" s="63" t="n"/>
    </row>
    <row r="7888" ht="18" customHeight="1">
      <c r="A7888" s="62" t="n"/>
      <c r="B7888" s="63" t="n"/>
      <c r="C7888" s="64" t="n"/>
      <c r="D7888" s="64" t="n"/>
      <c r="E7888" s="63" t="n"/>
    </row>
    <row r="7889" ht="18" customHeight="1">
      <c r="A7889" s="62" t="n"/>
      <c r="B7889" s="63" t="n"/>
      <c r="C7889" s="64" t="n"/>
      <c r="D7889" s="64" t="n"/>
      <c r="E7889" s="63" t="n"/>
    </row>
    <row r="7890" ht="18" customHeight="1">
      <c r="A7890" s="62" t="n"/>
      <c r="B7890" s="63" t="n"/>
      <c r="C7890" s="64" t="n"/>
      <c r="D7890" s="64" t="n"/>
      <c r="E7890" s="63" t="n"/>
    </row>
    <row r="7891" ht="18" customHeight="1">
      <c r="A7891" s="62" t="n"/>
      <c r="B7891" s="63" t="n"/>
      <c r="C7891" s="64" t="n"/>
      <c r="D7891" s="64" t="n"/>
      <c r="E7891" s="63" t="n"/>
    </row>
    <row r="7892" ht="18" customHeight="1">
      <c r="A7892" s="62" t="n"/>
      <c r="B7892" s="63" t="n"/>
      <c r="C7892" s="64" t="n"/>
      <c r="D7892" s="64" t="n"/>
      <c r="E7892" s="63" t="n"/>
    </row>
    <row r="7893" ht="18" customHeight="1">
      <c r="A7893" s="62" t="n"/>
      <c r="B7893" s="63" t="n"/>
      <c r="C7893" s="64" t="n"/>
      <c r="D7893" s="64" t="n"/>
      <c r="E7893" s="63" t="n"/>
    </row>
    <row r="7894" ht="18" customHeight="1">
      <c r="A7894" s="62" t="n"/>
      <c r="B7894" s="63" t="n"/>
      <c r="C7894" s="64" t="n"/>
      <c r="D7894" s="64" t="n"/>
      <c r="E7894" s="63" t="n"/>
    </row>
    <row r="7895" ht="18" customHeight="1">
      <c r="A7895" s="62" t="n"/>
      <c r="B7895" s="63" t="n"/>
      <c r="C7895" s="64" t="n"/>
      <c r="D7895" s="64" t="n"/>
      <c r="E7895" s="63" t="n"/>
    </row>
    <row r="7896" ht="18" customHeight="1">
      <c r="A7896" s="62" t="n"/>
      <c r="B7896" s="63" t="n"/>
      <c r="C7896" s="64" t="n"/>
      <c r="D7896" s="64" t="n"/>
      <c r="E7896" s="63" t="n"/>
    </row>
    <row r="7897" ht="18" customHeight="1">
      <c r="A7897" s="62" t="n"/>
      <c r="B7897" s="63" t="n"/>
      <c r="C7897" s="64" t="n"/>
      <c r="D7897" s="64" t="n"/>
      <c r="E7897" s="63" t="n"/>
    </row>
    <row r="7898" ht="18" customHeight="1">
      <c r="A7898" s="62" t="n"/>
      <c r="B7898" s="63" t="n"/>
      <c r="C7898" s="64" t="n"/>
      <c r="D7898" s="64" t="n"/>
      <c r="E7898" s="63" t="n"/>
    </row>
    <row r="7899" ht="18" customHeight="1">
      <c r="A7899" s="62" t="n"/>
      <c r="B7899" s="63" t="n"/>
      <c r="C7899" s="64" t="n"/>
      <c r="D7899" s="64" t="n"/>
      <c r="E7899" s="63" t="n"/>
    </row>
    <row r="7900" ht="18" customHeight="1">
      <c r="A7900" s="62" t="n"/>
      <c r="B7900" s="63" t="n"/>
      <c r="C7900" s="64" t="n"/>
      <c r="D7900" s="64" t="n"/>
      <c r="E7900" s="63" t="n"/>
    </row>
    <row r="7901" ht="18" customHeight="1">
      <c r="A7901" s="62" t="n"/>
      <c r="B7901" s="63" t="n"/>
      <c r="C7901" s="64" t="n"/>
      <c r="D7901" s="64" t="n"/>
      <c r="E7901" s="63" t="n"/>
    </row>
    <row r="7902" ht="18" customHeight="1">
      <c r="A7902" s="62" t="n"/>
      <c r="B7902" s="63" t="n"/>
      <c r="C7902" s="64" t="n"/>
      <c r="D7902" s="64" t="n"/>
      <c r="E7902" s="63" t="n"/>
    </row>
    <row r="7903" ht="18" customHeight="1">
      <c r="A7903" s="62" t="n"/>
      <c r="B7903" s="63" t="n"/>
      <c r="C7903" s="64" t="n"/>
      <c r="D7903" s="64" t="n"/>
      <c r="E7903" s="63" t="n"/>
    </row>
    <row r="7904" ht="18" customHeight="1">
      <c r="A7904" s="62" t="n"/>
      <c r="B7904" s="63" t="n"/>
      <c r="C7904" s="64" t="n"/>
      <c r="D7904" s="64" t="n"/>
      <c r="E7904" s="63" t="n"/>
    </row>
    <row r="7905" ht="18" customHeight="1">
      <c r="A7905" s="62" t="n"/>
      <c r="B7905" s="63" t="n"/>
      <c r="C7905" s="64" t="n"/>
      <c r="D7905" s="64" t="n"/>
      <c r="E7905" s="63" t="n"/>
    </row>
    <row r="7906" ht="18" customHeight="1">
      <c r="A7906" s="62" t="n"/>
      <c r="B7906" s="63" t="n"/>
      <c r="C7906" s="64" t="n"/>
      <c r="D7906" s="64" t="n"/>
      <c r="E7906" s="63" t="n"/>
    </row>
    <row r="7907" ht="18" customHeight="1">
      <c r="A7907" s="62" t="n"/>
      <c r="B7907" s="63" t="n"/>
      <c r="C7907" s="64" t="n"/>
      <c r="D7907" s="64" t="n"/>
      <c r="E7907" s="63" t="n"/>
    </row>
    <row r="7908" ht="18" customHeight="1">
      <c r="A7908" s="62" t="n"/>
      <c r="B7908" s="63" t="n"/>
      <c r="C7908" s="64" t="n"/>
      <c r="D7908" s="64" t="n"/>
      <c r="E7908" s="63" t="n"/>
    </row>
    <row r="7909" ht="18" customHeight="1">
      <c r="A7909" s="62" t="n"/>
      <c r="B7909" s="63" t="n"/>
      <c r="C7909" s="64" t="n"/>
      <c r="D7909" s="64" t="n"/>
      <c r="E7909" s="63" t="n"/>
    </row>
    <row r="7910" ht="18" customHeight="1">
      <c r="A7910" s="62" t="n"/>
      <c r="B7910" s="63" t="n"/>
      <c r="C7910" s="64" t="n"/>
      <c r="D7910" s="64" t="n"/>
      <c r="E7910" s="63" t="n"/>
    </row>
    <row r="7911" ht="18" customHeight="1">
      <c r="A7911" s="62" t="n"/>
      <c r="B7911" s="63" t="n"/>
      <c r="C7911" s="64" t="n"/>
      <c r="D7911" s="64" t="n"/>
      <c r="E7911" s="63" t="n"/>
    </row>
    <row r="7912" ht="18" customHeight="1">
      <c r="A7912" s="62" t="n"/>
      <c r="B7912" s="63" t="n"/>
      <c r="C7912" s="64" t="n"/>
      <c r="D7912" s="64" t="n"/>
      <c r="E7912" s="63" t="n"/>
    </row>
    <row r="7913" ht="18" customHeight="1">
      <c r="A7913" s="62" t="n"/>
      <c r="B7913" s="63" t="n"/>
      <c r="C7913" s="64" t="n"/>
      <c r="D7913" s="64" t="n"/>
      <c r="E7913" s="63" t="n"/>
    </row>
    <row r="7914" ht="18" customHeight="1">
      <c r="A7914" s="62" t="n"/>
      <c r="B7914" s="63" t="n"/>
      <c r="C7914" s="64" t="n"/>
      <c r="D7914" s="64" t="n"/>
      <c r="E7914" s="63" t="n"/>
    </row>
    <row r="7915" ht="18" customHeight="1">
      <c r="A7915" s="62" t="n"/>
      <c r="B7915" s="63" t="n"/>
      <c r="C7915" s="64" t="n"/>
      <c r="D7915" s="64" t="n"/>
      <c r="E7915" s="63" t="n"/>
    </row>
    <row r="7916" ht="18" customHeight="1">
      <c r="A7916" s="62" t="n"/>
      <c r="B7916" s="63" t="n"/>
      <c r="C7916" s="64" t="n"/>
      <c r="D7916" s="64" t="n"/>
      <c r="E7916" s="63" t="n"/>
    </row>
    <row r="7917" ht="18" customHeight="1">
      <c r="A7917" s="62" t="n"/>
      <c r="B7917" s="63" t="n"/>
      <c r="C7917" s="64" t="n"/>
      <c r="D7917" s="64" t="n"/>
      <c r="E7917" s="63" t="n"/>
    </row>
    <row r="7918" ht="18" customHeight="1">
      <c r="A7918" s="62" t="n"/>
      <c r="B7918" s="63" t="n"/>
      <c r="C7918" s="64" t="n"/>
      <c r="D7918" s="64" t="n"/>
      <c r="E7918" s="63" t="n"/>
    </row>
    <row r="7919" ht="18" customHeight="1">
      <c r="A7919" s="62" t="n"/>
      <c r="B7919" s="63" t="n"/>
      <c r="C7919" s="64" t="n"/>
      <c r="D7919" s="64" t="n"/>
      <c r="E7919" s="63" t="n"/>
    </row>
    <row r="7920" ht="18" customHeight="1">
      <c r="A7920" s="62" t="n"/>
      <c r="B7920" s="63" t="n"/>
      <c r="C7920" s="64" t="n"/>
      <c r="D7920" s="64" t="n"/>
      <c r="E7920" s="63" t="n"/>
    </row>
    <row r="7921" ht="18" customHeight="1">
      <c r="A7921" s="62" t="n"/>
      <c r="B7921" s="63" t="n"/>
      <c r="C7921" s="64" t="n"/>
      <c r="D7921" s="64" t="n"/>
      <c r="E7921" s="63" t="n"/>
    </row>
    <row r="7922" ht="18" customHeight="1">
      <c r="A7922" s="62" t="n"/>
      <c r="B7922" s="63" t="n"/>
      <c r="C7922" s="64" t="n"/>
      <c r="D7922" s="64" t="n"/>
      <c r="E7922" s="63" t="n"/>
    </row>
    <row r="7923" ht="18" customHeight="1">
      <c r="A7923" s="62" t="n"/>
      <c r="B7923" s="63" t="n"/>
      <c r="C7923" s="64" t="n"/>
      <c r="D7923" s="64" t="n"/>
      <c r="E7923" s="63" t="n"/>
    </row>
    <row r="7924" ht="18" customHeight="1">
      <c r="A7924" s="62" t="n"/>
      <c r="B7924" s="63" t="n"/>
      <c r="C7924" s="64" t="n"/>
      <c r="D7924" s="64" t="n"/>
      <c r="E7924" s="63" t="n"/>
    </row>
    <row r="7925" ht="18" customHeight="1">
      <c r="A7925" s="62" t="n"/>
      <c r="B7925" s="63" t="n"/>
      <c r="C7925" s="64" t="n"/>
      <c r="D7925" s="64" t="n"/>
      <c r="E7925" s="63" t="n"/>
    </row>
    <row r="7926" ht="18" customHeight="1">
      <c r="A7926" s="62" t="n"/>
      <c r="B7926" s="63" t="n"/>
      <c r="C7926" s="64" t="n"/>
      <c r="D7926" s="64" t="n"/>
      <c r="E7926" s="63" t="n"/>
    </row>
    <row r="7927" ht="18" customHeight="1">
      <c r="A7927" s="62" t="n"/>
      <c r="B7927" s="63" t="n"/>
      <c r="C7927" s="64" t="n"/>
      <c r="D7927" s="64" t="n"/>
      <c r="E7927" s="63" t="n"/>
    </row>
    <row r="7928" ht="18" customHeight="1">
      <c r="A7928" s="62" t="n"/>
      <c r="B7928" s="63" t="n"/>
      <c r="C7928" s="64" t="n"/>
      <c r="D7928" s="64" t="n"/>
      <c r="E7928" s="63" t="n"/>
    </row>
    <row r="7929" ht="18" customHeight="1">
      <c r="A7929" s="62" t="n"/>
      <c r="B7929" s="63" t="n"/>
      <c r="C7929" s="64" t="n"/>
      <c r="D7929" s="64" t="n"/>
      <c r="E7929" s="63" t="n"/>
    </row>
    <row r="7930" ht="18" customHeight="1">
      <c r="A7930" s="62" t="n"/>
      <c r="B7930" s="63" t="n"/>
      <c r="C7930" s="64" t="n"/>
      <c r="D7930" s="64" t="n"/>
      <c r="E7930" s="63" t="n"/>
    </row>
    <row r="7931" ht="18" customHeight="1">
      <c r="A7931" s="62" t="n"/>
      <c r="B7931" s="63" t="n"/>
      <c r="C7931" s="64" t="n"/>
      <c r="D7931" s="64" t="n"/>
      <c r="E7931" s="63" t="n"/>
    </row>
    <row r="7932" ht="18" customHeight="1">
      <c r="A7932" s="62" t="n"/>
      <c r="B7932" s="63" t="n"/>
      <c r="C7932" s="64" t="n"/>
      <c r="D7932" s="64" t="n"/>
      <c r="E7932" s="63" t="n"/>
    </row>
    <row r="7933" ht="18" customHeight="1">
      <c r="A7933" s="62" t="n"/>
      <c r="B7933" s="63" t="n"/>
      <c r="C7933" s="64" t="n"/>
      <c r="D7933" s="64" t="n"/>
      <c r="E7933" s="63" t="n"/>
    </row>
    <row r="7934" ht="18" customHeight="1">
      <c r="A7934" s="62" t="n"/>
      <c r="B7934" s="63" t="n"/>
      <c r="C7934" s="64" t="n"/>
      <c r="D7934" s="64" t="n"/>
      <c r="E7934" s="63" t="n"/>
    </row>
    <row r="7935" ht="18" customHeight="1">
      <c r="A7935" s="62" t="n"/>
      <c r="B7935" s="63" t="n"/>
      <c r="C7935" s="64" t="n"/>
      <c r="D7935" s="64" t="n"/>
      <c r="E7935" s="63" t="n"/>
    </row>
    <row r="7936" ht="18" customHeight="1">
      <c r="A7936" s="62" t="n"/>
      <c r="B7936" s="63" t="n"/>
      <c r="C7936" s="64" t="n"/>
      <c r="D7936" s="64" t="n"/>
      <c r="E7936" s="63" t="n"/>
    </row>
    <row r="7937" ht="18" customHeight="1">
      <c r="A7937" s="62" t="n"/>
      <c r="B7937" s="63" t="n"/>
      <c r="C7937" s="64" t="n"/>
      <c r="D7937" s="64" t="n"/>
      <c r="E7937" s="63" t="n"/>
    </row>
    <row r="7938" ht="18" customHeight="1">
      <c r="A7938" s="62" t="n"/>
      <c r="B7938" s="63" t="n"/>
      <c r="C7938" s="64" t="n"/>
      <c r="D7938" s="64" t="n"/>
      <c r="E7938" s="63" t="n"/>
    </row>
    <row r="7939" ht="18" customHeight="1">
      <c r="A7939" s="62" t="n"/>
      <c r="B7939" s="63" t="n"/>
      <c r="C7939" s="64" t="n"/>
      <c r="D7939" s="64" t="n"/>
      <c r="E7939" s="63" t="n"/>
    </row>
    <row r="7940" ht="18" customHeight="1">
      <c r="A7940" s="62" t="n"/>
      <c r="B7940" s="63" t="n"/>
      <c r="C7940" s="64" t="n"/>
      <c r="D7940" s="64" t="n"/>
      <c r="E7940" s="63" t="n"/>
    </row>
    <row r="7941" ht="18" customHeight="1">
      <c r="A7941" s="62" t="n"/>
      <c r="B7941" s="63" t="n"/>
      <c r="C7941" s="64" t="n"/>
      <c r="D7941" s="64" t="n"/>
      <c r="E7941" s="63" t="n"/>
    </row>
    <row r="7942" ht="18" customHeight="1">
      <c r="A7942" s="62" t="n"/>
      <c r="B7942" s="63" t="n"/>
      <c r="C7942" s="64" t="n"/>
      <c r="D7942" s="64" t="n"/>
      <c r="E7942" s="63" t="n"/>
    </row>
    <row r="7943" ht="18" customHeight="1">
      <c r="A7943" s="62" t="n"/>
      <c r="B7943" s="63" t="n"/>
      <c r="C7943" s="64" t="n"/>
      <c r="D7943" s="64" t="n"/>
      <c r="E7943" s="63" t="n"/>
    </row>
    <row r="7944" ht="18" customHeight="1">
      <c r="A7944" s="62" t="n"/>
      <c r="B7944" s="63" t="n"/>
      <c r="C7944" s="64" t="n"/>
      <c r="D7944" s="64" t="n"/>
      <c r="E7944" s="63" t="n"/>
    </row>
    <row r="7945" ht="18" customHeight="1">
      <c r="A7945" s="62" t="n"/>
      <c r="B7945" s="63" t="n"/>
      <c r="C7945" s="64" t="n"/>
      <c r="D7945" s="64" t="n"/>
      <c r="E7945" s="63" t="n"/>
    </row>
    <row r="7946" ht="18" customHeight="1">
      <c r="A7946" s="62" t="n"/>
      <c r="B7946" s="63" t="n"/>
      <c r="C7946" s="64" t="n"/>
      <c r="D7946" s="64" t="n"/>
      <c r="E7946" s="63" t="n"/>
    </row>
    <row r="7947" ht="18" customHeight="1">
      <c r="A7947" s="62" t="n"/>
      <c r="B7947" s="63" t="n"/>
      <c r="C7947" s="64" t="n"/>
      <c r="D7947" s="64" t="n"/>
      <c r="E7947" s="63" t="n"/>
    </row>
    <row r="7948" ht="18" customHeight="1">
      <c r="A7948" s="62" t="n"/>
      <c r="B7948" s="63" t="n"/>
      <c r="C7948" s="64" t="n"/>
      <c r="D7948" s="64" t="n"/>
      <c r="E7948" s="63" t="n"/>
    </row>
    <row r="7949" ht="18" customHeight="1">
      <c r="A7949" s="62" t="n"/>
      <c r="B7949" s="63" t="n"/>
      <c r="C7949" s="64" t="n"/>
      <c r="D7949" s="64" t="n"/>
      <c r="E7949" s="63" t="n"/>
    </row>
    <row r="7950" ht="18" customHeight="1">
      <c r="A7950" s="62" t="n"/>
      <c r="B7950" s="63" t="n"/>
      <c r="C7950" s="64" t="n"/>
      <c r="D7950" s="64" t="n"/>
      <c r="E7950" s="63" t="n"/>
    </row>
    <row r="7951" ht="18" customHeight="1">
      <c r="A7951" s="62" t="n"/>
      <c r="B7951" s="63" t="n"/>
      <c r="C7951" s="64" t="n"/>
      <c r="D7951" s="64" t="n"/>
      <c r="E7951" s="63" t="n"/>
    </row>
    <row r="7952" ht="18" customHeight="1">
      <c r="A7952" s="62" t="n"/>
      <c r="B7952" s="63" t="n"/>
      <c r="C7952" s="64" t="n"/>
      <c r="D7952" s="64" t="n"/>
      <c r="E7952" s="63" t="n"/>
    </row>
    <row r="7953" ht="18" customHeight="1">
      <c r="A7953" s="62" t="n"/>
      <c r="B7953" s="63" t="n"/>
      <c r="C7953" s="64" t="n"/>
      <c r="D7953" s="64" t="n"/>
      <c r="E7953" s="63" t="n"/>
    </row>
    <row r="7954" ht="18" customHeight="1">
      <c r="A7954" s="62" t="n"/>
      <c r="B7954" s="63" t="n"/>
      <c r="C7954" s="64" t="n"/>
      <c r="D7954" s="64" t="n"/>
      <c r="E7954" s="63" t="n"/>
    </row>
    <row r="7955" ht="18" customHeight="1">
      <c r="A7955" s="62" t="n"/>
      <c r="B7955" s="63" t="n"/>
      <c r="C7955" s="64" t="n"/>
      <c r="D7955" s="64" t="n"/>
      <c r="E7955" s="63" t="n"/>
    </row>
    <row r="7956" ht="18" customHeight="1">
      <c r="A7956" s="62" t="n"/>
      <c r="B7956" s="63" t="n"/>
      <c r="C7956" s="64" t="n"/>
      <c r="D7956" s="64" t="n"/>
      <c r="E7956" s="63" t="n"/>
    </row>
    <row r="7957" ht="18" customHeight="1">
      <c r="A7957" s="62" t="n"/>
      <c r="B7957" s="63" t="n"/>
      <c r="C7957" s="64" t="n"/>
      <c r="D7957" s="64" t="n"/>
      <c r="E7957" s="63" t="n"/>
    </row>
    <row r="7958" ht="18" customHeight="1">
      <c r="A7958" s="62" t="n"/>
      <c r="B7958" s="63" t="n"/>
      <c r="C7958" s="64" t="n"/>
      <c r="D7958" s="64" t="n"/>
      <c r="E7958" s="63" t="n"/>
    </row>
    <row r="7959" ht="18" customHeight="1">
      <c r="A7959" s="62" t="n"/>
      <c r="B7959" s="63" t="n"/>
      <c r="C7959" s="64" t="n"/>
      <c r="D7959" s="64" t="n"/>
      <c r="E7959" s="63" t="n"/>
    </row>
    <row r="7960" ht="18" customHeight="1">
      <c r="A7960" s="62" t="n"/>
      <c r="B7960" s="63" t="n"/>
      <c r="C7960" s="64" t="n"/>
      <c r="D7960" s="64" t="n"/>
      <c r="E7960" s="63" t="n"/>
    </row>
    <row r="7961" ht="18" customHeight="1">
      <c r="A7961" s="62" t="n"/>
      <c r="B7961" s="63" t="n"/>
      <c r="C7961" s="64" t="n"/>
      <c r="D7961" s="64" t="n"/>
      <c r="E7961" s="63" t="n"/>
    </row>
    <row r="7962" ht="18" customHeight="1">
      <c r="A7962" s="62" t="n"/>
      <c r="B7962" s="63" t="n"/>
      <c r="C7962" s="64" t="n"/>
      <c r="D7962" s="64" t="n"/>
      <c r="E7962" s="63" t="n"/>
    </row>
    <row r="7963" ht="18" customHeight="1">
      <c r="A7963" s="62" t="n"/>
      <c r="B7963" s="63" t="n"/>
      <c r="C7963" s="64" t="n"/>
      <c r="D7963" s="64" t="n"/>
      <c r="E7963" s="63" t="n"/>
    </row>
    <row r="7964" ht="18" customHeight="1">
      <c r="A7964" s="62" t="n"/>
      <c r="B7964" s="63" t="n"/>
      <c r="C7964" s="64" t="n"/>
      <c r="D7964" s="64" t="n"/>
      <c r="E7964" s="63" t="n"/>
    </row>
    <row r="7965" ht="18" customHeight="1">
      <c r="A7965" s="62" t="n"/>
      <c r="B7965" s="63" t="n"/>
      <c r="C7965" s="64" t="n"/>
      <c r="D7965" s="64" t="n"/>
      <c r="E7965" s="63" t="n"/>
    </row>
    <row r="7966" ht="18" customHeight="1">
      <c r="A7966" s="62" t="n"/>
      <c r="B7966" s="63" t="n"/>
      <c r="C7966" s="64" t="n"/>
      <c r="D7966" s="64" t="n"/>
      <c r="E7966" s="63" t="n"/>
    </row>
    <row r="7967" ht="18" customHeight="1">
      <c r="A7967" s="62" t="n"/>
      <c r="B7967" s="63" t="n"/>
      <c r="C7967" s="64" t="n"/>
      <c r="D7967" s="64" t="n"/>
      <c r="E7967" s="63" t="n"/>
    </row>
    <row r="7968" ht="18" customHeight="1">
      <c r="A7968" s="62" t="n"/>
      <c r="B7968" s="63" t="n"/>
      <c r="C7968" s="64" t="n"/>
      <c r="D7968" s="64" t="n"/>
      <c r="E7968" s="63" t="n"/>
    </row>
    <row r="7969" ht="18" customHeight="1">
      <c r="A7969" s="62" t="n"/>
      <c r="B7969" s="63" t="n"/>
      <c r="C7969" s="64" t="n"/>
      <c r="D7969" s="64" t="n"/>
      <c r="E7969" s="63" t="n"/>
    </row>
    <row r="7970" ht="18" customHeight="1">
      <c r="A7970" s="62" t="n"/>
      <c r="B7970" s="63" t="n"/>
      <c r="C7970" s="64" t="n"/>
      <c r="D7970" s="64" t="n"/>
      <c r="E7970" s="63" t="n"/>
    </row>
    <row r="7971" ht="18" customHeight="1">
      <c r="A7971" s="62" t="n"/>
      <c r="B7971" s="63" t="n"/>
      <c r="C7971" s="64" t="n"/>
      <c r="D7971" s="64" t="n"/>
      <c r="E7971" s="63" t="n"/>
    </row>
    <row r="7972" ht="18" customHeight="1">
      <c r="A7972" s="62" t="n"/>
      <c r="B7972" s="63" t="n"/>
      <c r="C7972" s="64" t="n"/>
      <c r="D7972" s="64" t="n"/>
      <c r="E7972" s="63" t="n"/>
    </row>
    <row r="7973" ht="18" customHeight="1">
      <c r="A7973" s="62" t="n"/>
      <c r="B7973" s="63" t="n"/>
      <c r="C7973" s="64" t="n"/>
      <c r="D7973" s="64" t="n"/>
      <c r="E7973" s="63" t="n"/>
    </row>
    <row r="7974" ht="18" customHeight="1">
      <c r="A7974" s="62" t="n"/>
      <c r="B7974" s="63" t="n"/>
      <c r="C7974" s="64" t="n"/>
      <c r="D7974" s="64" t="n"/>
      <c r="E7974" s="63" t="n"/>
    </row>
    <row r="7975" ht="18" customHeight="1">
      <c r="A7975" s="62" t="n"/>
      <c r="B7975" s="63" t="n"/>
      <c r="C7975" s="64" t="n"/>
      <c r="D7975" s="64" t="n"/>
      <c r="E7975" s="63" t="n"/>
    </row>
    <row r="7976" ht="18" customHeight="1">
      <c r="A7976" s="62" t="n"/>
      <c r="B7976" s="63" t="n"/>
      <c r="C7976" s="64" t="n"/>
      <c r="D7976" s="64" t="n"/>
      <c r="E7976" s="63" t="n"/>
    </row>
    <row r="7977" ht="18" customHeight="1">
      <c r="A7977" s="62" t="n"/>
      <c r="B7977" s="63" t="n"/>
      <c r="C7977" s="64" t="n"/>
      <c r="D7977" s="64" t="n"/>
      <c r="E7977" s="63" t="n"/>
    </row>
    <row r="7978" ht="18" customHeight="1">
      <c r="A7978" s="62" t="n"/>
      <c r="B7978" s="63" t="n"/>
      <c r="C7978" s="64" t="n"/>
      <c r="D7978" s="64" t="n"/>
      <c r="E7978" s="63" t="n"/>
    </row>
    <row r="7979" ht="18" customHeight="1">
      <c r="A7979" s="62" t="n"/>
      <c r="B7979" s="63" t="n"/>
      <c r="C7979" s="64" t="n"/>
      <c r="D7979" s="64" t="n"/>
      <c r="E7979" s="63" t="n"/>
    </row>
    <row r="7980" ht="18" customHeight="1">
      <c r="A7980" s="62" t="n"/>
      <c r="B7980" s="63" t="n"/>
      <c r="C7980" s="64" t="n"/>
      <c r="D7980" s="64" t="n"/>
      <c r="E7980" s="63" t="n"/>
    </row>
    <row r="7981" ht="18" customHeight="1">
      <c r="A7981" s="62" t="n"/>
      <c r="B7981" s="63" t="n"/>
      <c r="C7981" s="64" t="n"/>
      <c r="D7981" s="64" t="n"/>
      <c r="E7981" s="63" t="n"/>
    </row>
    <row r="7982" ht="18" customHeight="1">
      <c r="A7982" s="62" t="n"/>
      <c r="B7982" s="63" t="n"/>
      <c r="C7982" s="64" t="n"/>
      <c r="D7982" s="64" t="n"/>
      <c r="E7982" s="63" t="n"/>
    </row>
    <row r="7983" ht="18" customHeight="1">
      <c r="A7983" s="62" t="n"/>
      <c r="B7983" s="63" t="n"/>
      <c r="C7983" s="64" t="n"/>
      <c r="D7983" s="64" t="n"/>
      <c r="E7983" s="63" t="n"/>
    </row>
    <row r="7984" ht="18" customHeight="1">
      <c r="A7984" s="62" t="n"/>
      <c r="B7984" s="63" t="n"/>
      <c r="C7984" s="64" t="n"/>
      <c r="D7984" s="64" t="n"/>
      <c r="E7984" s="63" t="n"/>
    </row>
    <row r="7985" ht="18" customHeight="1">
      <c r="A7985" s="62" t="n"/>
      <c r="B7985" s="63" t="n"/>
      <c r="C7985" s="64" t="n"/>
      <c r="D7985" s="64" t="n"/>
      <c r="E7985" s="63" t="n"/>
    </row>
    <row r="7986" ht="18" customHeight="1">
      <c r="A7986" s="62" t="n"/>
      <c r="B7986" s="63" t="n"/>
      <c r="C7986" s="64" t="n"/>
      <c r="D7986" s="64" t="n"/>
      <c r="E7986" s="63" t="n"/>
    </row>
    <row r="7987" ht="18" customHeight="1">
      <c r="A7987" s="62" t="n"/>
      <c r="B7987" s="63" t="n"/>
      <c r="C7987" s="64" t="n"/>
      <c r="D7987" s="64" t="n"/>
      <c r="E7987" s="63" t="n"/>
    </row>
    <row r="7988" ht="18" customHeight="1">
      <c r="A7988" s="62" t="n"/>
      <c r="B7988" s="63" t="n"/>
      <c r="C7988" s="64" t="n"/>
      <c r="D7988" s="64" t="n"/>
      <c r="E7988" s="63" t="n"/>
    </row>
    <row r="7989" ht="18" customHeight="1">
      <c r="A7989" s="62" t="n"/>
      <c r="B7989" s="63" t="n"/>
      <c r="C7989" s="64" t="n"/>
      <c r="D7989" s="64" t="n"/>
      <c r="E7989" s="63" t="n"/>
    </row>
    <row r="7990" ht="18" customHeight="1">
      <c r="A7990" s="62" t="n"/>
      <c r="B7990" s="63" t="n"/>
      <c r="C7990" s="64" t="n"/>
      <c r="D7990" s="64" t="n"/>
      <c r="E7990" s="63" t="n"/>
    </row>
    <row r="7991" ht="18" customHeight="1">
      <c r="A7991" s="62" t="n"/>
      <c r="B7991" s="63" t="n"/>
      <c r="C7991" s="64" t="n"/>
      <c r="D7991" s="64" t="n"/>
      <c r="E7991" s="63" t="n"/>
    </row>
    <row r="7992" ht="18" customHeight="1">
      <c r="A7992" s="62" t="n"/>
      <c r="B7992" s="63" t="n"/>
      <c r="C7992" s="64" t="n"/>
      <c r="D7992" s="64" t="n"/>
      <c r="E7992" s="63" t="n"/>
    </row>
    <row r="7993" ht="18" customHeight="1">
      <c r="A7993" s="62" t="n"/>
      <c r="B7993" s="63" t="n"/>
      <c r="C7993" s="64" t="n"/>
      <c r="D7993" s="64" t="n"/>
      <c r="E7993" s="63" t="n"/>
    </row>
    <row r="7994" ht="18" customHeight="1">
      <c r="A7994" s="62" t="n"/>
      <c r="B7994" s="63" t="n"/>
      <c r="C7994" s="64" t="n"/>
      <c r="D7994" s="64" t="n"/>
      <c r="E7994" s="63" t="n"/>
    </row>
    <row r="7995" ht="18" customHeight="1">
      <c r="A7995" s="62" t="n"/>
      <c r="B7995" s="63" t="n"/>
      <c r="C7995" s="64" t="n"/>
      <c r="D7995" s="64" t="n"/>
      <c r="E7995" s="63" t="n"/>
    </row>
    <row r="7996" ht="18" customHeight="1">
      <c r="A7996" s="62" t="n"/>
      <c r="B7996" s="63" t="n"/>
      <c r="C7996" s="64" t="n"/>
      <c r="D7996" s="64" t="n"/>
      <c r="E7996" s="63" t="n"/>
    </row>
    <row r="7997" ht="18" customHeight="1">
      <c r="A7997" s="62" t="n"/>
      <c r="B7997" s="63" t="n"/>
      <c r="C7997" s="64" t="n"/>
      <c r="D7997" s="64" t="n"/>
      <c r="E7997" s="63" t="n"/>
    </row>
    <row r="7998" ht="18" customHeight="1">
      <c r="A7998" s="62" t="n"/>
      <c r="B7998" s="63" t="n"/>
      <c r="C7998" s="64" t="n"/>
      <c r="D7998" s="64" t="n"/>
      <c r="E7998" s="63" t="n"/>
    </row>
    <row r="7999" ht="18" customHeight="1">
      <c r="A7999" s="62" t="n"/>
      <c r="B7999" s="63" t="n"/>
      <c r="C7999" s="64" t="n"/>
      <c r="D7999" s="64" t="n"/>
      <c r="E7999" s="63" t="n"/>
    </row>
    <row r="8000" ht="18" customHeight="1">
      <c r="A8000" s="62" t="n"/>
      <c r="B8000" s="63" t="n"/>
      <c r="C8000" s="64" t="n"/>
      <c r="D8000" s="64" t="n"/>
      <c r="E8000" s="63" t="n"/>
    </row>
    <row r="8001" ht="18" customHeight="1">
      <c r="A8001" s="62" t="n"/>
      <c r="B8001" s="63" t="n"/>
      <c r="C8001" s="64" t="n"/>
      <c r="D8001" s="64" t="n"/>
      <c r="E8001" s="63" t="n"/>
    </row>
    <row r="8002" ht="18" customHeight="1">
      <c r="A8002" s="62" t="n"/>
      <c r="B8002" s="63" t="n"/>
      <c r="C8002" s="64" t="n"/>
      <c r="D8002" s="64" t="n"/>
      <c r="E8002" s="63" t="n"/>
    </row>
    <row r="8003" ht="18" customHeight="1">
      <c r="A8003" s="62" t="n"/>
      <c r="B8003" s="63" t="n"/>
      <c r="C8003" s="64" t="n"/>
      <c r="D8003" s="64" t="n"/>
      <c r="E8003" s="63" t="n"/>
    </row>
    <row r="8004" ht="18" customHeight="1">
      <c r="A8004" s="62" t="n"/>
      <c r="B8004" s="63" t="n"/>
      <c r="C8004" s="64" t="n"/>
      <c r="D8004" s="64" t="n"/>
      <c r="E8004" s="63" t="n"/>
    </row>
    <row r="8005" ht="18" customHeight="1">
      <c r="A8005" s="62" t="n"/>
      <c r="B8005" s="63" t="n"/>
      <c r="C8005" s="64" t="n"/>
      <c r="D8005" s="64" t="n"/>
      <c r="E8005" s="63" t="n"/>
    </row>
    <row r="8006" ht="18" customHeight="1">
      <c r="A8006" s="62" t="n"/>
      <c r="B8006" s="63" t="n"/>
      <c r="C8006" s="64" t="n"/>
      <c r="D8006" s="64" t="n"/>
      <c r="E8006" s="63" t="n"/>
    </row>
    <row r="8007" ht="18" customHeight="1">
      <c r="A8007" s="62" t="n"/>
      <c r="B8007" s="63" t="n"/>
      <c r="C8007" s="64" t="n"/>
      <c r="D8007" s="64" t="n"/>
      <c r="E8007" s="63" t="n"/>
    </row>
    <row r="8008" ht="18" customHeight="1">
      <c r="A8008" s="62" t="n"/>
      <c r="B8008" s="63" t="n"/>
      <c r="C8008" s="64" t="n"/>
      <c r="D8008" s="64" t="n"/>
      <c r="E8008" s="63" t="n"/>
    </row>
    <row r="8009" ht="18" customHeight="1">
      <c r="A8009" s="62" t="n"/>
      <c r="B8009" s="63" t="n"/>
      <c r="C8009" s="64" t="n"/>
      <c r="D8009" s="64" t="n"/>
      <c r="E8009" s="63" t="n"/>
    </row>
    <row r="8010" ht="18" customHeight="1">
      <c r="A8010" s="62" t="n"/>
      <c r="B8010" s="63" t="n"/>
      <c r="C8010" s="64" t="n"/>
      <c r="D8010" s="64" t="n"/>
      <c r="E8010" s="63" t="n"/>
    </row>
    <row r="8011" ht="18" customHeight="1">
      <c r="A8011" s="62" t="n"/>
      <c r="B8011" s="63" t="n"/>
      <c r="C8011" s="64" t="n"/>
      <c r="D8011" s="64" t="n"/>
      <c r="E8011" s="63" t="n"/>
    </row>
    <row r="8012" ht="18" customHeight="1">
      <c r="A8012" s="62" t="n"/>
      <c r="B8012" s="63" t="n"/>
      <c r="C8012" s="64" t="n"/>
      <c r="D8012" s="64" t="n"/>
      <c r="E8012" s="63" t="n"/>
    </row>
    <row r="8013" ht="18" customHeight="1">
      <c r="A8013" s="62" t="n"/>
      <c r="B8013" s="63" t="n"/>
      <c r="C8013" s="64" t="n"/>
      <c r="D8013" s="64" t="n"/>
      <c r="E8013" s="63" t="n"/>
    </row>
    <row r="8014" ht="18" customHeight="1">
      <c r="A8014" s="62" t="n"/>
      <c r="B8014" s="63" t="n"/>
      <c r="C8014" s="64" t="n"/>
      <c r="D8014" s="64" t="n"/>
      <c r="E8014" s="63" t="n"/>
    </row>
    <row r="8015" ht="18" customHeight="1">
      <c r="A8015" s="62" t="n"/>
      <c r="B8015" s="63" t="n"/>
      <c r="C8015" s="64" t="n"/>
      <c r="D8015" s="64" t="n"/>
      <c r="E8015" s="63" t="n"/>
    </row>
    <row r="8016" ht="18" customHeight="1">
      <c r="A8016" s="62" t="n"/>
      <c r="B8016" s="63" t="n"/>
      <c r="C8016" s="64" t="n"/>
      <c r="D8016" s="64" t="n"/>
      <c r="E8016" s="63" t="n"/>
    </row>
    <row r="8017" ht="18" customHeight="1">
      <c r="A8017" s="62" t="n"/>
      <c r="B8017" s="63" t="n"/>
      <c r="C8017" s="64" t="n"/>
      <c r="D8017" s="64" t="n"/>
      <c r="E8017" s="63" t="n"/>
    </row>
    <row r="8018" ht="18" customHeight="1">
      <c r="A8018" s="62" t="n"/>
      <c r="B8018" s="63" t="n"/>
      <c r="C8018" s="64" t="n"/>
      <c r="D8018" s="64" t="n"/>
      <c r="E8018" s="63" t="n"/>
    </row>
    <row r="8019" ht="18" customHeight="1">
      <c r="A8019" s="62" t="n"/>
      <c r="B8019" s="63" t="n"/>
      <c r="C8019" s="64" t="n"/>
      <c r="D8019" s="64" t="n"/>
      <c r="E8019" s="63" t="n"/>
    </row>
    <row r="8020" ht="18" customHeight="1">
      <c r="A8020" s="62" t="n"/>
      <c r="B8020" s="63" t="n"/>
      <c r="C8020" s="64" t="n"/>
      <c r="D8020" s="64" t="n"/>
      <c r="E8020" s="63" t="n"/>
    </row>
    <row r="8021" ht="18" customHeight="1">
      <c r="A8021" s="62" t="n"/>
      <c r="B8021" s="63" t="n"/>
      <c r="C8021" s="64" t="n"/>
      <c r="D8021" s="64" t="n"/>
      <c r="E8021" s="63" t="n"/>
    </row>
    <row r="8022" ht="18" customHeight="1">
      <c r="A8022" s="62" t="n"/>
      <c r="B8022" s="63" t="n"/>
      <c r="C8022" s="64" t="n"/>
      <c r="D8022" s="64" t="n"/>
      <c r="E8022" s="63" t="n"/>
    </row>
    <row r="8023" ht="18" customHeight="1">
      <c r="A8023" s="62" t="n"/>
      <c r="B8023" s="63" t="n"/>
      <c r="C8023" s="64" t="n"/>
      <c r="D8023" s="64" t="n"/>
      <c r="E8023" s="63" t="n"/>
    </row>
    <row r="8024" ht="18" customHeight="1">
      <c r="A8024" s="62" t="n"/>
      <c r="B8024" s="63" t="n"/>
      <c r="C8024" s="64" t="n"/>
      <c r="D8024" s="64" t="n"/>
      <c r="E8024" s="63" t="n"/>
    </row>
    <row r="8025" ht="18" customHeight="1">
      <c r="A8025" s="62" t="n"/>
      <c r="B8025" s="63" t="n"/>
      <c r="C8025" s="64" t="n"/>
      <c r="D8025" s="64" t="n"/>
      <c r="E8025" s="63" t="n"/>
    </row>
    <row r="8026" ht="18" customHeight="1">
      <c r="A8026" s="62" t="n"/>
      <c r="B8026" s="63" t="n"/>
      <c r="C8026" s="64" t="n"/>
      <c r="D8026" s="64" t="n"/>
      <c r="E8026" s="63" t="n"/>
    </row>
    <row r="8027" ht="18" customHeight="1">
      <c r="A8027" s="62" t="n"/>
      <c r="B8027" s="63" t="n"/>
      <c r="C8027" s="64" t="n"/>
      <c r="D8027" s="64" t="n"/>
      <c r="E8027" s="63" t="n"/>
    </row>
    <row r="8028" ht="18" customHeight="1">
      <c r="A8028" s="62" t="n"/>
      <c r="B8028" s="63" t="n"/>
      <c r="C8028" s="64" t="n"/>
      <c r="D8028" s="64" t="n"/>
      <c r="E8028" s="63" t="n"/>
    </row>
    <row r="8029" ht="18" customHeight="1">
      <c r="A8029" s="62" t="n"/>
      <c r="B8029" s="63" t="n"/>
      <c r="C8029" s="64" t="n"/>
      <c r="D8029" s="64" t="n"/>
      <c r="E8029" s="63" t="n"/>
    </row>
    <row r="8030" ht="18" customHeight="1">
      <c r="A8030" s="62" t="n"/>
      <c r="B8030" s="63" t="n"/>
      <c r="C8030" s="64" t="n"/>
      <c r="D8030" s="64" t="n"/>
      <c r="E8030" s="63" t="n"/>
    </row>
    <row r="8031" ht="18" customHeight="1">
      <c r="A8031" s="62" t="n"/>
      <c r="B8031" s="63" t="n"/>
      <c r="C8031" s="64" t="n"/>
      <c r="D8031" s="64" t="n"/>
      <c r="E8031" s="63" t="n"/>
    </row>
    <row r="8032" ht="18" customHeight="1">
      <c r="A8032" s="62" t="n"/>
      <c r="B8032" s="63" t="n"/>
      <c r="C8032" s="64" t="n"/>
      <c r="D8032" s="64" t="n"/>
      <c r="E8032" s="63" t="n"/>
    </row>
    <row r="8033" ht="18" customHeight="1">
      <c r="A8033" s="62" t="n"/>
      <c r="B8033" s="63" t="n"/>
      <c r="C8033" s="64" t="n"/>
      <c r="D8033" s="64" t="n"/>
      <c r="E8033" s="63" t="n"/>
    </row>
    <row r="8034" ht="18" customHeight="1">
      <c r="A8034" s="62" t="n"/>
      <c r="B8034" s="63" t="n"/>
      <c r="C8034" s="64" t="n"/>
      <c r="D8034" s="64" t="n"/>
      <c r="E8034" s="63" t="n"/>
    </row>
    <row r="8035" ht="18" customHeight="1">
      <c r="A8035" s="62" t="n"/>
      <c r="B8035" s="63" t="n"/>
      <c r="C8035" s="64" t="n"/>
      <c r="D8035" s="64" t="n"/>
      <c r="E8035" s="63" t="n"/>
    </row>
    <row r="8036" ht="18" customHeight="1">
      <c r="A8036" s="62" t="n"/>
      <c r="B8036" s="63" t="n"/>
      <c r="C8036" s="64" t="n"/>
      <c r="D8036" s="64" t="n"/>
      <c r="E8036" s="63" t="n"/>
    </row>
    <row r="8037" ht="18" customHeight="1">
      <c r="A8037" s="62" t="n"/>
      <c r="B8037" s="63" t="n"/>
      <c r="C8037" s="64" t="n"/>
      <c r="D8037" s="64" t="n"/>
      <c r="E8037" s="63" t="n"/>
    </row>
    <row r="8038" ht="18" customHeight="1">
      <c r="A8038" s="62" t="n"/>
      <c r="B8038" s="63" t="n"/>
      <c r="C8038" s="64" t="n"/>
      <c r="D8038" s="64" t="n"/>
      <c r="E8038" s="63" t="n"/>
    </row>
    <row r="8039" ht="18" customHeight="1">
      <c r="A8039" s="62" t="n"/>
      <c r="B8039" s="63" t="n"/>
      <c r="C8039" s="64" t="n"/>
      <c r="D8039" s="64" t="n"/>
      <c r="E8039" s="63" t="n"/>
    </row>
    <row r="8040" ht="18" customHeight="1">
      <c r="A8040" s="62" t="n"/>
      <c r="B8040" s="63" t="n"/>
      <c r="C8040" s="64" t="n"/>
      <c r="D8040" s="64" t="n"/>
      <c r="E8040" s="63" t="n"/>
    </row>
    <row r="8041" ht="18" customHeight="1">
      <c r="A8041" s="62" t="n"/>
      <c r="B8041" s="63" t="n"/>
      <c r="C8041" s="64" t="n"/>
      <c r="D8041" s="64" t="n"/>
      <c r="E8041" s="63" t="n"/>
    </row>
    <row r="8042" ht="18" customHeight="1">
      <c r="A8042" s="62" t="n"/>
      <c r="B8042" s="63" t="n"/>
      <c r="C8042" s="64" t="n"/>
      <c r="D8042" s="64" t="n"/>
      <c r="E8042" s="63" t="n"/>
    </row>
    <row r="8043" ht="18" customHeight="1">
      <c r="A8043" s="62" t="n"/>
      <c r="B8043" s="63" t="n"/>
      <c r="C8043" s="64" t="n"/>
      <c r="D8043" s="64" t="n"/>
      <c r="E8043" s="63" t="n"/>
    </row>
    <row r="8044" ht="18" customHeight="1">
      <c r="A8044" s="62" t="n"/>
      <c r="B8044" s="63" t="n"/>
      <c r="C8044" s="64" t="n"/>
      <c r="D8044" s="64" t="n"/>
      <c r="E8044" s="63" t="n"/>
    </row>
    <row r="8045" ht="18" customHeight="1">
      <c r="A8045" s="62" t="n"/>
      <c r="B8045" s="63" t="n"/>
      <c r="C8045" s="64" t="n"/>
      <c r="D8045" s="64" t="n"/>
      <c r="E8045" s="63" t="n"/>
    </row>
    <row r="8046" ht="18" customHeight="1">
      <c r="A8046" s="62" t="n"/>
      <c r="B8046" s="63" t="n"/>
      <c r="C8046" s="64" t="n"/>
      <c r="D8046" s="64" t="n"/>
      <c r="E8046" s="63" t="n"/>
    </row>
    <row r="8047" ht="18" customHeight="1">
      <c r="A8047" s="62" t="n"/>
      <c r="B8047" s="63" t="n"/>
      <c r="C8047" s="64" t="n"/>
      <c r="D8047" s="64" t="n"/>
      <c r="E8047" s="63" t="n"/>
    </row>
    <row r="8048" ht="18" customHeight="1">
      <c r="A8048" s="62" t="n"/>
      <c r="B8048" s="63" t="n"/>
      <c r="C8048" s="64" t="n"/>
      <c r="D8048" s="64" t="n"/>
      <c r="E8048" s="63" t="n"/>
    </row>
    <row r="8049" ht="18" customHeight="1">
      <c r="A8049" s="62" t="n"/>
      <c r="B8049" s="63" t="n"/>
      <c r="C8049" s="64" t="n"/>
      <c r="D8049" s="64" t="n"/>
      <c r="E8049" s="63" t="n"/>
    </row>
    <row r="8050" ht="18" customHeight="1">
      <c r="A8050" s="62" t="n"/>
      <c r="B8050" s="63" t="n"/>
      <c r="C8050" s="64" t="n"/>
      <c r="D8050" s="64" t="n"/>
      <c r="E8050" s="63" t="n"/>
    </row>
    <row r="8051" ht="18" customHeight="1">
      <c r="A8051" s="62" t="n"/>
      <c r="B8051" s="63" t="n"/>
      <c r="C8051" s="64" t="n"/>
      <c r="D8051" s="64" t="n"/>
      <c r="E8051" s="63" t="n"/>
    </row>
    <row r="8052" ht="18" customHeight="1">
      <c r="A8052" s="62" t="n"/>
      <c r="B8052" s="63" t="n"/>
      <c r="C8052" s="64" t="n"/>
      <c r="D8052" s="64" t="n"/>
      <c r="E8052" s="63" t="n"/>
    </row>
    <row r="8053" ht="18" customHeight="1">
      <c r="A8053" s="62" t="n"/>
      <c r="B8053" s="63" t="n"/>
      <c r="C8053" s="64" t="n"/>
      <c r="D8053" s="64" t="n"/>
      <c r="E8053" s="63" t="n"/>
    </row>
    <row r="8054" ht="18" customHeight="1">
      <c r="A8054" s="62" t="n"/>
      <c r="B8054" s="63" t="n"/>
      <c r="C8054" s="64" t="n"/>
      <c r="D8054" s="64" t="n"/>
      <c r="E8054" s="63" t="n"/>
    </row>
    <row r="8055" ht="18" customHeight="1">
      <c r="A8055" s="62" t="n"/>
      <c r="B8055" s="63" t="n"/>
      <c r="C8055" s="64" t="n"/>
      <c r="D8055" s="64" t="n"/>
      <c r="E8055" s="63" t="n"/>
    </row>
    <row r="8056" ht="18" customHeight="1">
      <c r="A8056" s="62" t="n"/>
      <c r="B8056" s="63" t="n"/>
      <c r="C8056" s="64" t="n"/>
      <c r="D8056" s="64" t="n"/>
      <c r="E8056" s="63" t="n"/>
    </row>
    <row r="8057" ht="18" customHeight="1">
      <c r="A8057" s="62" t="n"/>
      <c r="B8057" s="63" t="n"/>
      <c r="C8057" s="64" t="n"/>
      <c r="D8057" s="64" t="n"/>
      <c r="E8057" s="63" t="n"/>
    </row>
    <row r="8058" ht="18" customHeight="1">
      <c r="A8058" s="62" t="n"/>
      <c r="B8058" s="63" t="n"/>
      <c r="C8058" s="64" t="n"/>
      <c r="D8058" s="64" t="n"/>
      <c r="E8058" s="63" t="n"/>
    </row>
    <row r="8059" ht="18" customHeight="1">
      <c r="A8059" s="62" t="n"/>
      <c r="B8059" s="63" t="n"/>
      <c r="C8059" s="64" t="n"/>
      <c r="D8059" s="64" t="n"/>
      <c r="E8059" s="63" t="n"/>
    </row>
    <row r="8060" ht="18" customHeight="1">
      <c r="A8060" s="62" t="n"/>
      <c r="B8060" s="63" t="n"/>
      <c r="C8060" s="64" t="n"/>
      <c r="D8060" s="64" t="n"/>
      <c r="E8060" s="63" t="n"/>
    </row>
    <row r="8061" ht="18" customHeight="1">
      <c r="A8061" s="62" t="n"/>
      <c r="B8061" s="63" t="n"/>
      <c r="C8061" s="64" t="n"/>
      <c r="D8061" s="64" t="n"/>
      <c r="E8061" s="63" t="n"/>
    </row>
    <row r="8062" ht="18" customHeight="1">
      <c r="A8062" s="62" t="n"/>
      <c r="B8062" s="63" t="n"/>
      <c r="C8062" s="64" t="n"/>
      <c r="D8062" s="64" t="n"/>
      <c r="E8062" s="63" t="n"/>
    </row>
    <row r="8063" ht="18" customHeight="1">
      <c r="A8063" s="62" t="n"/>
      <c r="B8063" s="63" t="n"/>
      <c r="C8063" s="64" t="n"/>
      <c r="D8063" s="64" t="n"/>
      <c r="E8063" s="63" t="n"/>
    </row>
    <row r="8064" ht="18" customHeight="1">
      <c r="A8064" s="62" t="n"/>
      <c r="B8064" s="63" t="n"/>
      <c r="C8064" s="64" t="n"/>
      <c r="D8064" s="64" t="n"/>
      <c r="E8064" s="63" t="n"/>
    </row>
    <row r="8065" ht="18" customHeight="1">
      <c r="A8065" s="62" t="n"/>
      <c r="B8065" s="63" t="n"/>
      <c r="C8065" s="64" t="n"/>
      <c r="D8065" s="64" t="n"/>
      <c r="E8065" s="63" t="n"/>
    </row>
    <row r="8066" ht="18" customHeight="1">
      <c r="A8066" s="62" t="n"/>
      <c r="B8066" s="63" t="n"/>
      <c r="C8066" s="64" t="n"/>
      <c r="D8066" s="64" t="n"/>
      <c r="E8066" s="63" t="n"/>
    </row>
    <row r="8067" ht="18" customHeight="1">
      <c r="A8067" s="62" t="n"/>
      <c r="B8067" s="63" t="n"/>
      <c r="C8067" s="64" t="n"/>
      <c r="D8067" s="64" t="n"/>
      <c r="E8067" s="63" t="n"/>
    </row>
    <row r="8068" ht="18" customHeight="1">
      <c r="A8068" s="62" t="n"/>
      <c r="B8068" s="63" t="n"/>
      <c r="C8068" s="64" t="n"/>
      <c r="D8068" s="64" t="n"/>
      <c r="E8068" s="63" t="n"/>
    </row>
    <row r="8069" ht="18" customHeight="1">
      <c r="A8069" s="62" t="n"/>
      <c r="B8069" s="63" t="n"/>
      <c r="C8069" s="64" t="n"/>
      <c r="D8069" s="64" t="n"/>
      <c r="E8069" s="63" t="n"/>
    </row>
    <row r="8070" ht="18" customHeight="1">
      <c r="A8070" s="62" t="n"/>
      <c r="B8070" s="63" t="n"/>
      <c r="C8070" s="64" t="n"/>
      <c r="D8070" s="64" t="n"/>
      <c r="E8070" s="63" t="n"/>
    </row>
    <row r="8071" ht="18" customHeight="1">
      <c r="A8071" s="62" t="n"/>
      <c r="B8071" s="63" t="n"/>
      <c r="C8071" s="64" t="n"/>
      <c r="D8071" s="64" t="n"/>
      <c r="E8071" s="63" t="n"/>
    </row>
    <row r="8072" ht="18" customHeight="1">
      <c r="A8072" s="62" t="n"/>
      <c r="B8072" s="63" t="n"/>
      <c r="C8072" s="64" t="n"/>
      <c r="D8072" s="64" t="n"/>
      <c r="E8072" s="63" t="n"/>
    </row>
    <row r="8073" ht="18" customHeight="1">
      <c r="A8073" s="62" t="n"/>
      <c r="B8073" s="63" t="n"/>
      <c r="C8073" s="64" t="n"/>
      <c r="D8073" s="64" t="n"/>
      <c r="E8073" s="63" t="n"/>
    </row>
    <row r="8074" ht="18" customHeight="1">
      <c r="A8074" s="62" t="n"/>
      <c r="B8074" s="63" t="n"/>
      <c r="C8074" s="64" t="n"/>
      <c r="D8074" s="64" t="n"/>
      <c r="E8074" s="63" t="n"/>
    </row>
    <row r="8075" ht="18" customHeight="1">
      <c r="A8075" s="62" t="n"/>
      <c r="B8075" s="63" t="n"/>
      <c r="C8075" s="64" t="n"/>
      <c r="D8075" s="64" t="n"/>
      <c r="E8075" s="63" t="n"/>
    </row>
    <row r="8076" ht="18" customHeight="1">
      <c r="A8076" s="62" t="n"/>
      <c r="B8076" s="63" t="n"/>
      <c r="C8076" s="64" t="n"/>
      <c r="D8076" s="64" t="n"/>
      <c r="E8076" s="63" t="n"/>
    </row>
    <row r="8077" ht="18" customHeight="1">
      <c r="A8077" s="62" t="n"/>
      <c r="B8077" s="63" t="n"/>
      <c r="C8077" s="64" t="n"/>
      <c r="D8077" s="64" t="n"/>
      <c r="E8077" s="63" t="n"/>
    </row>
    <row r="8078" ht="18" customHeight="1">
      <c r="A8078" s="62" t="n"/>
      <c r="B8078" s="63" t="n"/>
      <c r="C8078" s="64" t="n"/>
      <c r="D8078" s="64" t="n"/>
      <c r="E8078" s="63" t="n"/>
    </row>
    <row r="8079" ht="18" customHeight="1">
      <c r="A8079" s="62" t="n"/>
      <c r="B8079" s="63" t="n"/>
      <c r="C8079" s="64" t="n"/>
      <c r="D8079" s="64" t="n"/>
      <c r="E8079" s="63" t="n"/>
    </row>
    <row r="8080" ht="18" customHeight="1">
      <c r="A8080" s="62" t="n"/>
      <c r="B8080" s="63" t="n"/>
      <c r="C8080" s="64" t="n"/>
      <c r="D8080" s="64" t="n"/>
      <c r="E8080" s="63" t="n"/>
    </row>
    <row r="8081" ht="18" customHeight="1">
      <c r="A8081" s="62" t="n"/>
      <c r="B8081" s="63" t="n"/>
      <c r="C8081" s="64" t="n"/>
      <c r="D8081" s="64" t="n"/>
      <c r="E8081" s="63" t="n"/>
    </row>
    <row r="8082" ht="18" customHeight="1">
      <c r="A8082" s="62" t="n"/>
      <c r="B8082" s="63" t="n"/>
      <c r="C8082" s="64" t="n"/>
      <c r="D8082" s="64" t="n"/>
      <c r="E8082" s="63" t="n"/>
    </row>
    <row r="8083" ht="18" customHeight="1">
      <c r="A8083" s="62" t="n"/>
      <c r="B8083" s="63" t="n"/>
      <c r="C8083" s="64" t="n"/>
      <c r="D8083" s="64" t="n"/>
      <c r="E8083" s="63" t="n"/>
    </row>
    <row r="8084" ht="18" customHeight="1">
      <c r="A8084" s="62" t="n"/>
      <c r="B8084" s="63" t="n"/>
      <c r="C8084" s="64" t="n"/>
      <c r="D8084" s="64" t="n"/>
      <c r="E8084" s="63" t="n"/>
    </row>
    <row r="8085" ht="18" customHeight="1">
      <c r="A8085" s="62" t="n"/>
      <c r="B8085" s="63" t="n"/>
      <c r="C8085" s="64" t="n"/>
      <c r="D8085" s="64" t="n"/>
      <c r="E8085" s="63" t="n"/>
    </row>
    <row r="8086" ht="18" customHeight="1">
      <c r="A8086" s="62" t="n"/>
      <c r="B8086" s="63" t="n"/>
      <c r="C8086" s="64" t="n"/>
      <c r="D8086" s="64" t="n"/>
      <c r="E8086" s="63" t="n"/>
    </row>
    <row r="8087" ht="18" customHeight="1">
      <c r="A8087" s="62" t="n"/>
      <c r="B8087" s="63" t="n"/>
      <c r="C8087" s="64" t="n"/>
      <c r="D8087" s="64" t="n"/>
      <c r="E8087" s="63" t="n"/>
    </row>
    <row r="8088" ht="18" customHeight="1">
      <c r="A8088" s="62" t="n"/>
      <c r="B8088" s="63" t="n"/>
      <c r="C8088" s="64" t="n"/>
      <c r="D8088" s="64" t="n"/>
      <c r="E8088" s="63" t="n"/>
    </row>
    <row r="8089" ht="18" customHeight="1">
      <c r="A8089" s="62" t="n"/>
      <c r="B8089" s="63" t="n"/>
      <c r="C8089" s="64" t="n"/>
      <c r="D8089" s="64" t="n"/>
      <c r="E8089" s="63" t="n"/>
    </row>
    <row r="8090" ht="18" customHeight="1">
      <c r="A8090" s="62" t="n"/>
      <c r="B8090" s="63" t="n"/>
      <c r="C8090" s="64" t="n"/>
      <c r="D8090" s="64" t="n"/>
      <c r="E8090" s="63" t="n"/>
    </row>
    <row r="8091" ht="18" customHeight="1">
      <c r="A8091" s="62" t="n"/>
      <c r="B8091" s="63" t="n"/>
      <c r="C8091" s="64" t="n"/>
      <c r="D8091" s="64" t="n"/>
      <c r="E8091" s="63" t="n"/>
    </row>
    <row r="8092" ht="18" customHeight="1">
      <c r="A8092" s="62" t="n"/>
      <c r="B8092" s="63" t="n"/>
      <c r="C8092" s="64" t="n"/>
      <c r="D8092" s="64" t="n"/>
      <c r="E8092" s="63" t="n"/>
    </row>
    <row r="8093" ht="18" customHeight="1">
      <c r="A8093" s="62" t="n"/>
      <c r="B8093" s="63" t="n"/>
      <c r="C8093" s="64" t="n"/>
      <c r="D8093" s="64" t="n"/>
      <c r="E8093" s="63" t="n"/>
    </row>
    <row r="8094" ht="18" customHeight="1">
      <c r="A8094" s="62" t="n"/>
      <c r="B8094" s="63" t="n"/>
      <c r="C8094" s="64" t="n"/>
      <c r="D8094" s="64" t="n"/>
      <c r="E8094" s="63" t="n"/>
    </row>
    <row r="8095" ht="18" customHeight="1">
      <c r="A8095" s="62" t="n"/>
      <c r="B8095" s="63" t="n"/>
      <c r="C8095" s="64" t="n"/>
      <c r="D8095" s="64" t="n"/>
      <c r="E8095" s="63" t="n"/>
    </row>
    <row r="8096" ht="18" customHeight="1">
      <c r="A8096" s="62" t="n"/>
      <c r="B8096" s="63" t="n"/>
      <c r="C8096" s="64" t="n"/>
      <c r="D8096" s="64" t="n"/>
      <c r="E8096" s="63" t="n"/>
    </row>
    <row r="8097" ht="18" customHeight="1">
      <c r="A8097" s="62" t="n"/>
      <c r="B8097" s="63" t="n"/>
      <c r="C8097" s="64" t="n"/>
      <c r="D8097" s="64" t="n"/>
      <c r="E8097" s="63" t="n"/>
    </row>
    <row r="8098" ht="18" customHeight="1">
      <c r="A8098" s="62" t="n"/>
      <c r="B8098" s="63" t="n"/>
      <c r="C8098" s="64" t="n"/>
      <c r="D8098" s="64" t="n"/>
      <c r="E8098" s="63" t="n"/>
    </row>
    <row r="8099" ht="18" customHeight="1">
      <c r="A8099" s="62" t="n"/>
      <c r="B8099" s="63" t="n"/>
      <c r="C8099" s="64" t="n"/>
      <c r="D8099" s="64" t="n"/>
      <c r="E8099" s="63" t="n"/>
    </row>
    <row r="8100" ht="18" customHeight="1">
      <c r="A8100" s="62" t="n"/>
      <c r="B8100" s="63" t="n"/>
      <c r="C8100" s="64" t="n"/>
      <c r="D8100" s="64" t="n"/>
      <c r="E8100" s="63" t="n"/>
    </row>
    <row r="8101" ht="18" customHeight="1">
      <c r="A8101" s="62" t="n"/>
      <c r="B8101" s="63" t="n"/>
      <c r="C8101" s="64" t="n"/>
      <c r="D8101" s="64" t="n"/>
      <c r="E8101" s="63" t="n"/>
    </row>
    <row r="8102" ht="18" customHeight="1">
      <c r="A8102" s="62" t="n"/>
      <c r="B8102" s="63" t="n"/>
      <c r="C8102" s="64" t="n"/>
      <c r="D8102" s="64" t="n"/>
      <c r="E8102" s="63" t="n"/>
    </row>
    <row r="8103" ht="18" customHeight="1">
      <c r="A8103" s="62" t="n"/>
      <c r="B8103" s="63" t="n"/>
      <c r="C8103" s="64" t="n"/>
      <c r="D8103" s="64" t="n"/>
      <c r="E8103" s="63" t="n"/>
    </row>
    <row r="8104" ht="18" customHeight="1">
      <c r="A8104" s="62" t="n"/>
      <c r="B8104" s="63" t="n"/>
      <c r="C8104" s="64" t="n"/>
      <c r="D8104" s="64" t="n"/>
      <c r="E8104" s="63" t="n"/>
    </row>
    <row r="8105" ht="18" customHeight="1">
      <c r="A8105" s="62" t="n"/>
      <c r="B8105" s="63" t="n"/>
      <c r="C8105" s="64" t="n"/>
      <c r="D8105" s="64" t="n"/>
      <c r="E8105" s="63" t="n"/>
    </row>
    <row r="8106" ht="18" customHeight="1">
      <c r="A8106" s="62" t="n"/>
      <c r="B8106" s="63" t="n"/>
      <c r="C8106" s="64" t="n"/>
      <c r="D8106" s="64" t="n"/>
      <c r="E8106" s="63" t="n"/>
    </row>
    <row r="8107" ht="18" customHeight="1">
      <c r="A8107" s="62" t="n"/>
      <c r="B8107" s="63" t="n"/>
      <c r="C8107" s="64" t="n"/>
      <c r="D8107" s="64" t="n"/>
      <c r="E8107" s="63" t="n"/>
    </row>
    <row r="8108" ht="18" customHeight="1">
      <c r="A8108" s="62" t="n"/>
      <c r="B8108" s="63" t="n"/>
      <c r="C8108" s="64" t="n"/>
      <c r="D8108" s="64" t="n"/>
      <c r="E8108" s="63" t="n"/>
    </row>
    <row r="8109" ht="18" customHeight="1">
      <c r="A8109" s="62" t="n"/>
      <c r="B8109" s="63" t="n"/>
      <c r="C8109" s="64" t="n"/>
      <c r="D8109" s="64" t="n"/>
      <c r="E8109" s="63" t="n"/>
    </row>
    <row r="8110" ht="18" customHeight="1">
      <c r="A8110" s="62" t="n"/>
      <c r="B8110" s="63" t="n"/>
      <c r="C8110" s="64" t="n"/>
      <c r="D8110" s="64" t="n"/>
      <c r="E8110" s="63" t="n"/>
    </row>
    <row r="8111" ht="18" customHeight="1">
      <c r="A8111" s="62" t="n"/>
      <c r="B8111" s="63" t="n"/>
      <c r="C8111" s="64" t="n"/>
      <c r="D8111" s="64" t="n"/>
      <c r="E8111" s="63" t="n"/>
    </row>
    <row r="8112" ht="18" customHeight="1">
      <c r="A8112" s="62" t="n"/>
      <c r="B8112" s="63" t="n"/>
      <c r="C8112" s="64" t="n"/>
      <c r="D8112" s="64" t="n"/>
      <c r="E8112" s="63" t="n"/>
    </row>
    <row r="8113" ht="18" customHeight="1">
      <c r="A8113" s="62" t="n"/>
      <c r="B8113" s="63" t="n"/>
      <c r="C8113" s="64" t="n"/>
      <c r="D8113" s="64" t="n"/>
      <c r="E8113" s="63" t="n"/>
    </row>
    <row r="8114" ht="18" customHeight="1">
      <c r="A8114" s="62" t="n"/>
      <c r="B8114" s="63" t="n"/>
      <c r="C8114" s="64" t="n"/>
      <c r="D8114" s="64" t="n"/>
      <c r="E8114" s="63" t="n"/>
    </row>
    <row r="8115" ht="18" customHeight="1">
      <c r="A8115" s="62" t="n"/>
      <c r="B8115" s="63" t="n"/>
      <c r="C8115" s="64" t="n"/>
      <c r="D8115" s="64" t="n"/>
      <c r="E8115" s="63" t="n"/>
    </row>
    <row r="8116" ht="18" customHeight="1">
      <c r="A8116" s="62" t="n"/>
      <c r="B8116" s="63" t="n"/>
      <c r="C8116" s="64" t="n"/>
      <c r="D8116" s="64" t="n"/>
      <c r="E8116" s="63" t="n"/>
    </row>
    <row r="8117" ht="18" customHeight="1">
      <c r="A8117" s="62" t="n"/>
      <c r="B8117" s="63" t="n"/>
      <c r="C8117" s="64" t="n"/>
      <c r="D8117" s="64" t="n"/>
      <c r="E8117" s="63" t="n"/>
    </row>
    <row r="8118" ht="18" customHeight="1">
      <c r="A8118" s="62" t="n"/>
      <c r="B8118" s="63" t="n"/>
      <c r="C8118" s="64" t="n"/>
      <c r="D8118" s="64" t="n"/>
      <c r="E8118" s="63" t="n"/>
    </row>
    <row r="8119" ht="18" customHeight="1">
      <c r="A8119" s="62" t="n"/>
      <c r="B8119" s="63" t="n"/>
      <c r="C8119" s="64" t="n"/>
      <c r="D8119" s="64" t="n"/>
      <c r="E8119" s="63" t="n"/>
    </row>
    <row r="8120" ht="18" customHeight="1">
      <c r="A8120" s="62" t="n"/>
      <c r="B8120" s="63" t="n"/>
      <c r="C8120" s="64" t="n"/>
      <c r="D8120" s="64" t="n"/>
      <c r="E8120" s="63" t="n"/>
    </row>
    <row r="8121" ht="18" customHeight="1">
      <c r="A8121" s="62" t="n"/>
      <c r="B8121" s="63" t="n"/>
      <c r="C8121" s="64" t="n"/>
      <c r="D8121" s="64" t="n"/>
      <c r="E8121" s="63" t="n"/>
    </row>
    <row r="8122" ht="18" customHeight="1">
      <c r="A8122" s="62" t="n"/>
      <c r="B8122" s="63" t="n"/>
      <c r="C8122" s="64" t="n"/>
      <c r="D8122" s="64" t="n"/>
      <c r="E8122" s="63" t="n"/>
    </row>
    <row r="8123" ht="18" customHeight="1">
      <c r="A8123" s="62" t="n"/>
      <c r="B8123" s="63" t="n"/>
      <c r="C8123" s="64" t="n"/>
      <c r="D8123" s="64" t="n"/>
      <c r="E8123" s="63" t="n"/>
    </row>
    <row r="8124" ht="18" customHeight="1">
      <c r="A8124" s="62" t="n"/>
      <c r="B8124" s="63" t="n"/>
      <c r="C8124" s="64" t="n"/>
      <c r="D8124" s="64" t="n"/>
      <c r="E8124" s="63" t="n"/>
    </row>
    <row r="8125" ht="18" customHeight="1">
      <c r="A8125" s="62" t="n"/>
      <c r="B8125" s="63" t="n"/>
      <c r="C8125" s="64" t="n"/>
      <c r="D8125" s="64" t="n"/>
      <c r="E8125" s="63" t="n"/>
    </row>
    <row r="8126" ht="18" customHeight="1">
      <c r="A8126" s="62" t="n"/>
      <c r="B8126" s="63" t="n"/>
      <c r="C8126" s="64" t="n"/>
      <c r="D8126" s="64" t="n"/>
      <c r="E8126" s="63" t="n"/>
    </row>
    <row r="8127" ht="18" customHeight="1">
      <c r="A8127" s="62" t="n"/>
      <c r="B8127" s="63" t="n"/>
      <c r="C8127" s="64" t="n"/>
      <c r="D8127" s="64" t="n"/>
      <c r="E8127" s="63" t="n"/>
    </row>
    <row r="8128" ht="18" customHeight="1">
      <c r="A8128" s="62" t="n"/>
      <c r="B8128" s="63" t="n"/>
      <c r="C8128" s="64" t="n"/>
      <c r="D8128" s="64" t="n"/>
      <c r="E8128" s="63" t="n"/>
    </row>
    <row r="8129" ht="18" customHeight="1">
      <c r="A8129" s="62" t="n"/>
      <c r="B8129" s="63" t="n"/>
      <c r="C8129" s="64" t="n"/>
      <c r="D8129" s="64" t="n"/>
      <c r="E8129" s="63" t="n"/>
    </row>
    <row r="8130" ht="18" customHeight="1">
      <c r="A8130" s="62" t="n"/>
      <c r="B8130" s="63" t="n"/>
      <c r="C8130" s="64" t="n"/>
      <c r="D8130" s="64" t="n"/>
      <c r="E8130" s="63" t="n"/>
    </row>
    <row r="8131" ht="18" customHeight="1">
      <c r="A8131" s="62" t="n"/>
      <c r="B8131" s="63" t="n"/>
      <c r="C8131" s="64" t="n"/>
      <c r="D8131" s="64" t="n"/>
      <c r="E8131" s="63" t="n"/>
    </row>
    <row r="8132" ht="18" customHeight="1">
      <c r="A8132" s="62" t="n"/>
      <c r="B8132" s="63" t="n"/>
      <c r="C8132" s="64" t="n"/>
      <c r="D8132" s="64" t="n"/>
      <c r="E8132" s="63" t="n"/>
    </row>
    <row r="8133" ht="18" customHeight="1">
      <c r="A8133" s="62" t="n"/>
      <c r="B8133" s="63" t="n"/>
      <c r="C8133" s="64" t="n"/>
      <c r="D8133" s="64" t="n"/>
      <c r="E8133" s="63" t="n"/>
    </row>
    <row r="8134" ht="18" customHeight="1">
      <c r="A8134" s="62" t="n"/>
      <c r="B8134" s="63" t="n"/>
      <c r="C8134" s="64" t="n"/>
      <c r="D8134" s="64" t="n"/>
      <c r="E8134" s="63" t="n"/>
    </row>
    <row r="8135" ht="18" customHeight="1">
      <c r="A8135" s="62" t="n"/>
      <c r="B8135" s="63" t="n"/>
      <c r="C8135" s="64" t="n"/>
      <c r="D8135" s="64" t="n"/>
      <c r="E8135" s="63" t="n"/>
    </row>
    <row r="8136" ht="18" customHeight="1">
      <c r="A8136" s="62" t="n"/>
      <c r="B8136" s="63" t="n"/>
      <c r="C8136" s="64" t="n"/>
      <c r="D8136" s="64" t="n"/>
      <c r="E8136" s="63" t="n"/>
    </row>
    <row r="8137" ht="18" customHeight="1">
      <c r="A8137" s="62" t="n"/>
      <c r="B8137" s="63" t="n"/>
      <c r="C8137" s="64" t="n"/>
      <c r="D8137" s="64" t="n"/>
      <c r="E8137" s="63" t="n"/>
    </row>
    <row r="8138" ht="18" customHeight="1">
      <c r="A8138" s="62" t="n"/>
      <c r="B8138" s="63" t="n"/>
      <c r="C8138" s="64" t="n"/>
      <c r="D8138" s="64" t="n"/>
      <c r="E8138" s="63" t="n"/>
    </row>
    <row r="8139" ht="18" customHeight="1">
      <c r="A8139" s="62" t="n"/>
      <c r="B8139" s="63" t="n"/>
      <c r="C8139" s="64" t="n"/>
      <c r="D8139" s="64" t="n"/>
      <c r="E8139" s="63" t="n"/>
    </row>
    <row r="8140" ht="18" customHeight="1">
      <c r="A8140" s="62" t="n"/>
      <c r="B8140" s="63" t="n"/>
      <c r="C8140" s="64" t="n"/>
      <c r="D8140" s="64" t="n"/>
      <c r="E8140" s="63" t="n"/>
    </row>
    <row r="8141" ht="18" customHeight="1">
      <c r="A8141" s="62" t="n"/>
      <c r="B8141" s="63" t="n"/>
      <c r="C8141" s="64" t="n"/>
      <c r="D8141" s="64" t="n"/>
      <c r="E8141" s="63" t="n"/>
    </row>
    <row r="8142" ht="18" customHeight="1">
      <c r="A8142" s="62" t="n"/>
      <c r="B8142" s="63" t="n"/>
      <c r="C8142" s="64" t="n"/>
      <c r="D8142" s="64" t="n"/>
      <c r="E8142" s="63" t="n"/>
    </row>
    <row r="8143" ht="18" customHeight="1">
      <c r="A8143" s="62" t="n"/>
      <c r="B8143" s="63" t="n"/>
      <c r="C8143" s="64" t="n"/>
      <c r="D8143" s="64" t="n"/>
      <c r="E8143" s="63" t="n"/>
    </row>
    <row r="8144" ht="18" customHeight="1">
      <c r="A8144" s="62" t="n"/>
      <c r="B8144" s="63" t="n"/>
      <c r="C8144" s="64" t="n"/>
      <c r="D8144" s="64" t="n"/>
      <c r="E8144" s="63" t="n"/>
    </row>
    <row r="8145" ht="18" customHeight="1">
      <c r="A8145" s="62" t="n"/>
      <c r="B8145" s="63" t="n"/>
      <c r="C8145" s="64" t="n"/>
      <c r="D8145" s="64" t="n"/>
      <c r="E8145" s="63" t="n"/>
    </row>
    <row r="8146" ht="18" customHeight="1">
      <c r="A8146" s="62" t="n"/>
      <c r="B8146" s="63" t="n"/>
      <c r="C8146" s="64" t="n"/>
      <c r="D8146" s="64" t="n"/>
      <c r="E8146" s="63" t="n"/>
    </row>
    <row r="8147" ht="18" customHeight="1">
      <c r="A8147" s="62" t="n"/>
      <c r="B8147" s="63" t="n"/>
      <c r="C8147" s="64" t="n"/>
      <c r="D8147" s="64" t="n"/>
      <c r="E8147" s="63" t="n"/>
    </row>
    <row r="8148" ht="18" customHeight="1">
      <c r="A8148" s="62" t="n"/>
      <c r="B8148" s="63" t="n"/>
      <c r="C8148" s="64" t="n"/>
      <c r="D8148" s="64" t="n"/>
      <c r="E8148" s="63" t="n"/>
    </row>
    <row r="8149" ht="18" customHeight="1">
      <c r="A8149" s="62" t="n"/>
      <c r="B8149" s="63" t="n"/>
      <c r="C8149" s="64" t="n"/>
      <c r="D8149" s="64" t="n"/>
      <c r="E8149" s="63" t="n"/>
    </row>
    <row r="8150" ht="18" customHeight="1">
      <c r="A8150" s="62" t="n"/>
      <c r="B8150" s="63" t="n"/>
      <c r="C8150" s="64" t="n"/>
      <c r="D8150" s="64" t="n"/>
      <c r="E8150" s="63" t="n"/>
    </row>
    <row r="8151" ht="18" customHeight="1">
      <c r="A8151" s="62" t="n"/>
      <c r="B8151" s="63" t="n"/>
      <c r="C8151" s="64" t="n"/>
      <c r="D8151" s="64" t="n"/>
      <c r="E8151" s="63" t="n"/>
    </row>
    <row r="8152" ht="18" customHeight="1">
      <c r="A8152" s="62" t="n"/>
      <c r="B8152" s="63" t="n"/>
      <c r="C8152" s="64" t="n"/>
      <c r="D8152" s="64" t="n"/>
      <c r="E8152" s="63" t="n"/>
    </row>
    <row r="8153" ht="18" customHeight="1">
      <c r="A8153" s="62" t="n"/>
      <c r="B8153" s="63" t="n"/>
      <c r="C8153" s="64" t="n"/>
      <c r="D8153" s="64" t="n"/>
      <c r="E8153" s="63" t="n"/>
    </row>
    <row r="8154" ht="18" customHeight="1">
      <c r="A8154" s="62" t="n"/>
      <c r="B8154" s="63" t="n"/>
      <c r="C8154" s="64" t="n"/>
      <c r="D8154" s="64" t="n"/>
      <c r="E8154" s="63" t="n"/>
    </row>
    <row r="8155" ht="18" customHeight="1">
      <c r="A8155" s="62" t="n"/>
      <c r="B8155" s="63" t="n"/>
      <c r="C8155" s="64" t="n"/>
      <c r="D8155" s="64" t="n"/>
      <c r="E8155" s="63" t="n"/>
    </row>
    <row r="8156" ht="18" customHeight="1">
      <c r="A8156" s="62" t="n"/>
      <c r="B8156" s="63" t="n"/>
      <c r="C8156" s="64" t="n"/>
      <c r="D8156" s="64" t="n"/>
      <c r="E8156" s="63" t="n"/>
    </row>
    <row r="8157" ht="18" customHeight="1">
      <c r="A8157" s="62" t="n"/>
      <c r="B8157" s="63" t="n"/>
      <c r="C8157" s="64" t="n"/>
      <c r="D8157" s="64" t="n"/>
      <c r="E8157" s="63" t="n"/>
    </row>
    <row r="8158" ht="18" customHeight="1">
      <c r="A8158" s="62" t="n"/>
      <c r="B8158" s="63" t="n"/>
      <c r="C8158" s="64" t="n"/>
      <c r="D8158" s="64" t="n"/>
      <c r="E8158" s="63" t="n"/>
    </row>
    <row r="8159" ht="18" customHeight="1">
      <c r="A8159" s="62" t="n"/>
      <c r="B8159" s="63" t="n"/>
      <c r="C8159" s="64" t="n"/>
      <c r="D8159" s="64" t="n"/>
      <c r="E8159" s="63" t="n"/>
    </row>
    <row r="8160" ht="18" customHeight="1">
      <c r="A8160" s="62" t="n"/>
      <c r="B8160" s="63" t="n"/>
      <c r="C8160" s="64" t="n"/>
      <c r="D8160" s="64" t="n"/>
      <c r="E8160" s="63" t="n"/>
    </row>
    <row r="8161" ht="18" customHeight="1">
      <c r="A8161" s="62" t="n"/>
      <c r="B8161" s="63" t="n"/>
      <c r="C8161" s="64" t="n"/>
      <c r="D8161" s="64" t="n"/>
      <c r="E8161" s="63" t="n"/>
    </row>
    <row r="8162" ht="18" customHeight="1">
      <c r="A8162" s="62" t="n"/>
      <c r="B8162" s="63" t="n"/>
      <c r="C8162" s="64" t="n"/>
      <c r="D8162" s="64" t="n"/>
      <c r="E8162" s="63" t="n"/>
    </row>
    <row r="8163" ht="18" customHeight="1">
      <c r="A8163" s="62" t="n"/>
      <c r="B8163" s="63" t="n"/>
      <c r="C8163" s="64" t="n"/>
      <c r="D8163" s="64" t="n"/>
      <c r="E8163" s="63" t="n"/>
    </row>
    <row r="8164" ht="18" customHeight="1">
      <c r="A8164" s="62" t="n"/>
      <c r="B8164" s="63" t="n"/>
      <c r="C8164" s="64" t="n"/>
      <c r="D8164" s="64" t="n"/>
      <c r="E8164" s="63" t="n"/>
    </row>
    <row r="8165" ht="18" customHeight="1">
      <c r="A8165" s="62" t="n"/>
      <c r="B8165" s="63" t="n"/>
      <c r="C8165" s="64" t="n"/>
      <c r="D8165" s="64" t="n"/>
      <c r="E8165" s="63" t="n"/>
    </row>
    <row r="8166" ht="18" customHeight="1">
      <c r="A8166" s="62" t="n"/>
      <c r="B8166" s="63" t="n"/>
      <c r="C8166" s="64" t="n"/>
      <c r="D8166" s="64" t="n"/>
      <c r="E8166" s="63" t="n"/>
    </row>
    <row r="8167" ht="18" customHeight="1">
      <c r="A8167" s="62" t="n"/>
      <c r="B8167" s="63" t="n"/>
      <c r="C8167" s="64" t="n"/>
      <c r="D8167" s="64" t="n"/>
      <c r="E8167" s="63" t="n"/>
    </row>
    <row r="8168" ht="18" customHeight="1">
      <c r="A8168" s="62" t="n"/>
      <c r="B8168" s="63" t="n"/>
      <c r="C8168" s="64" t="n"/>
      <c r="D8168" s="64" t="n"/>
      <c r="E8168" s="63" t="n"/>
    </row>
    <row r="8169" ht="18" customHeight="1">
      <c r="A8169" s="62" t="n"/>
      <c r="B8169" s="63" t="n"/>
      <c r="C8169" s="64" t="n"/>
      <c r="D8169" s="64" t="n"/>
      <c r="E8169" s="63" t="n"/>
    </row>
    <row r="8170" ht="18" customHeight="1">
      <c r="A8170" s="62" t="n"/>
      <c r="B8170" s="63" t="n"/>
      <c r="C8170" s="64" t="n"/>
      <c r="D8170" s="64" t="n"/>
      <c r="E8170" s="63" t="n"/>
    </row>
    <row r="8171" ht="18" customHeight="1">
      <c r="A8171" s="62" t="n"/>
      <c r="B8171" s="63" t="n"/>
      <c r="C8171" s="64" t="n"/>
      <c r="D8171" s="64" t="n"/>
      <c r="E8171" s="63" t="n"/>
    </row>
    <row r="8172" ht="18" customHeight="1">
      <c r="A8172" s="62" t="n"/>
      <c r="B8172" s="63" t="n"/>
      <c r="C8172" s="64" t="n"/>
      <c r="D8172" s="64" t="n"/>
      <c r="E8172" s="63" t="n"/>
    </row>
    <row r="8173" ht="18" customHeight="1">
      <c r="A8173" s="62" t="n"/>
      <c r="B8173" s="63" t="n"/>
      <c r="C8173" s="64" t="n"/>
      <c r="D8173" s="64" t="n"/>
      <c r="E8173" s="63" t="n"/>
    </row>
    <row r="8174" ht="18" customHeight="1">
      <c r="A8174" s="62" t="n"/>
      <c r="B8174" s="63" t="n"/>
      <c r="C8174" s="64" t="n"/>
      <c r="D8174" s="64" t="n"/>
      <c r="E8174" s="63" t="n"/>
    </row>
    <row r="8175" ht="18" customHeight="1">
      <c r="A8175" s="62" t="n"/>
      <c r="B8175" s="63" t="n"/>
      <c r="C8175" s="64" t="n"/>
      <c r="D8175" s="64" t="n"/>
      <c r="E8175" s="63" t="n"/>
    </row>
    <row r="8176" ht="18" customHeight="1">
      <c r="A8176" s="62" t="n"/>
      <c r="B8176" s="63" t="n"/>
      <c r="C8176" s="64" t="n"/>
      <c r="D8176" s="64" t="n"/>
      <c r="E8176" s="63" t="n"/>
    </row>
    <row r="8177" ht="18" customHeight="1">
      <c r="A8177" s="62" t="n"/>
      <c r="B8177" s="63" t="n"/>
      <c r="C8177" s="64" t="n"/>
      <c r="D8177" s="64" t="n"/>
      <c r="E8177" s="63" t="n"/>
    </row>
    <row r="8178" ht="18" customHeight="1">
      <c r="A8178" s="62" t="n"/>
      <c r="B8178" s="63" t="n"/>
      <c r="C8178" s="64" t="n"/>
      <c r="D8178" s="64" t="n"/>
      <c r="E8178" s="63" t="n"/>
    </row>
    <row r="8179" ht="18" customHeight="1">
      <c r="A8179" s="62" t="n"/>
      <c r="B8179" s="63" t="n"/>
      <c r="C8179" s="64" t="n"/>
      <c r="D8179" s="64" t="n"/>
      <c r="E8179" s="63" t="n"/>
    </row>
    <row r="8180" ht="18" customHeight="1">
      <c r="A8180" s="62" t="n"/>
      <c r="B8180" s="63" t="n"/>
      <c r="C8180" s="64" t="n"/>
      <c r="D8180" s="64" t="n"/>
      <c r="E8180" s="63" t="n"/>
    </row>
    <row r="8181" ht="18" customHeight="1">
      <c r="A8181" s="62" t="n"/>
      <c r="B8181" s="63" t="n"/>
      <c r="C8181" s="64" t="n"/>
      <c r="D8181" s="64" t="n"/>
      <c r="E8181" s="63" t="n"/>
    </row>
    <row r="8182" ht="18" customHeight="1">
      <c r="A8182" s="62" t="n"/>
      <c r="B8182" s="63" t="n"/>
      <c r="C8182" s="64" t="n"/>
      <c r="D8182" s="64" t="n"/>
      <c r="E8182" s="63" t="n"/>
    </row>
    <row r="8183" ht="18" customHeight="1">
      <c r="A8183" s="62" t="n"/>
      <c r="B8183" s="63" t="n"/>
      <c r="C8183" s="64" t="n"/>
      <c r="D8183" s="64" t="n"/>
      <c r="E8183" s="63" t="n"/>
    </row>
    <row r="8184" ht="18" customHeight="1">
      <c r="A8184" s="62" t="n"/>
      <c r="B8184" s="63" t="n"/>
      <c r="C8184" s="64" t="n"/>
      <c r="D8184" s="64" t="n"/>
      <c r="E8184" s="63" t="n"/>
    </row>
    <row r="8185" ht="18" customHeight="1">
      <c r="A8185" s="62" t="n"/>
      <c r="B8185" s="63" t="n"/>
      <c r="C8185" s="64" t="n"/>
      <c r="D8185" s="64" t="n"/>
      <c r="E8185" s="63" t="n"/>
    </row>
    <row r="8186" ht="18" customHeight="1">
      <c r="A8186" s="62" t="n"/>
      <c r="B8186" s="63" t="n"/>
      <c r="C8186" s="64" t="n"/>
      <c r="D8186" s="64" t="n"/>
      <c r="E8186" s="63" t="n"/>
    </row>
    <row r="8187" ht="18" customHeight="1">
      <c r="A8187" s="62" t="n"/>
      <c r="B8187" s="63" t="n"/>
      <c r="C8187" s="64" t="n"/>
      <c r="D8187" s="64" t="n"/>
      <c r="E8187" s="63" t="n"/>
    </row>
    <row r="8188" ht="18" customHeight="1">
      <c r="A8188" s="62" t="n"/>
      <c r="B8188" s="63" t="n"/>
      <c r="C8188" s="64" t="n"/>
      <c r="D8188" s="64" t="n"/>
      <c r="E8188" s="63" t="n"/>
    </row>
    <row r="8189" ht="18" customHeight="1">
      <c r="A8189" s="62" t="n"/>
      <c r="B8189" s="63" t="n"/>
      <c r="C8189" s="64" t="n"/>
      <c r="D8189" s="64" t="n"/>
      <c r="E8189" s="63" t="n"/>
    </row>
    <row r="8190" ht="18" customHeight="1">
      <c r="A8190" s="62" t="n"/>
      <c r="B8190" s="63" t="n"/>
      <c r="C8190" s="64" t="n"/>
      <c r="D8190" s="64" t="n"/>
      <c r="E8190" s="63" t="n"/>
    </row>
    <row r="8191" ht="18" customHeight="1">
      <c r="A8191" s="62" t="n"/>
      <c r="B8191" s="63" t="n"/>
      <c r="C8191" s="64" t="n"/>
      <c r="D8191" s="64" t="n"/>
      <c r="E8191" s="63" t="n"/>
    </row>
    <row r="8192" ht="18" customHeight="1">
      <c r="A8192" s="62" t="n"/>
      <c r="B8192" s="63" t="n"/>
      <c r="C8192" s="64" t="n"/>
      <c r="D8192" s="64" t="n"/>
      <c r="E8192" s="63" t="n"/>
    </row>
    <row r="8193" ht="18" customHeight="1">
      <c r="A8193" s="62" t="n"/>
      <c r="B8193" s="63" t="n"/>
      <c r="C8193" s="64" t="n"/>
      <c r="D8193" s="64" t="n"/>
      <c r="E8193" s="63" t="n"/>
    </row>
    <row r="8194" ht="18" customHeight="1">
      <c r="A8194" s="62" t="n"/>
      <c r="B8194" s="63" t="n"/>
      <c r="C8194" s="64" t="n"/>
      <c r="D8194" s="64" t="n"/>
      <c r="E8194" s="63" t="n"/>
    </row>
    <row r="8195" ht="18" customHeight="1">
      <c r="A8195" s="62" t="n"/>
      <c r="B8195" s="63" t="n"/>
      <c r="C8195" s="64" t="n"/>
      <c r="D8195" s="64" t="n"/>
      <c r="E8195" s="63" t="n"/>
    </row>
    <row r="8196" ht="18" customHeight="1">
      <c r="A8196" s="62" t="n"/>
      <c r="B8196" s="63" t="n"/>
      <c r="C8196" s="64" t="n"/>
      <c r="D8196" s="64" t="n"/>
      <c r="E8196" s="63" t="n"/>
    </row>
    <row r="8197" ht="18" customHeight="1">
      <c r="A8197" s="62" t="n"/>
      <c r="B8197" s="63" t="n"/>
      <c r="C8197" s="64" t="n"/>
      <c r="D8197" s="64" t="n"/>
      <c r="E8197" s="63" t="n"/>
    </row>
    <row r="8198" ht="18" customHeight="1">
      <c r="A8198" s="62" t="n"/>
      <c r="B8198" s="63" t="n"/>
      <c r="C8198" s="64" t="n"/>
      <c r="D8198" s="64" t="n"/>
      <c r="E8198" s="63" t="n"/>
    </row>
    <row r="8199" ht="18" customHeight="1">
      <c r="A8199" s="62" t="n"/>
      <c r="B8199" s="63" t="n"/>
      <c r="C8199" s="64" t="n"/>
      <c r="D8199" s="64" t="n"/>
      <c r="E8199" s="63" t="n"/>
    </row>
    <row r="8200" ht="18" customHeight="1">
      <c r="A8200" s="62" t="n"/>
      <c r="B8200" s="63" t="n"/>
      <c r="C8200" s="64" t="n"/>
      <c r="D8200" s="64" t="n"/>
      <c r="E8200" s="63" t="n"/>
    </row>
    <row r="8201" ht="18" customHeight="1">
      <c r="A8201" s="62" t="n"/>
      <c r="B8201" s="63" t="n"/>
      <c r="C8201" s="64" t="n"/>
      <c r="D8201" s="64" t="n"/>
      <c r="E8201" s="63" t="n"/>
    </row>
    <row r="8202" ht="18" customHeight="1">
      <c r="A8202" s="62" t="n"/>
      <c r="B8202" s="63" t="n"/>
      <c r="C8202" s="64" t="n"/>
      <c r="D8202" s="64" t="n"/>
      <c r="E8202" s="63" t="n"/>
    </row>
    <row r="8203" ht="18" customHeight="1">
      <c r="A8203" s="62" t="n"/>
      <c r="B8203" s="63" t="n"/>
      <c r="C8203" s="64" t="n"/>
      <c r="D8203" s="64" t="n"/>
      <c r="E8203" s="63" t="n"/>
    </row>
    <row r="8204" ht="18" customHeight="1">
      <c r="A8204" s="62" t="n"/>
      <c r="B8204" s="63" t="n"/>
      <c r="C8204" s="64" t="n"/>
      <c r="D8204" s="64" t="n"/>
      <c r="E8204" s="63" t="n"/>
    </row>
    <row r="8205" ht="18" customHeight="1">
      <c r="A8205" s="62" t="n"/>
      <c r="B8205" s="63" t="n"/>
      <c r="C8205" s="64" t="n"/>
      <c r="D8205" s="64" t="n"/>
      <c r="E8205" s="63" t="n"/>
    </row>
    <row r="8206" ht="18" customHeight="1">
      <c r="A8206" s="62" t="n"/>
      <c r="B8206" s="63" t="n"/>
      <c r="C8206" s="64" t="n"/>
      <c r="D8206" s="64" t="n"/>
      <c r="E8206" s="63" t="n"/>
    </row>
    <row r="8207" ht="18" customHeight="1">
      <c r="A8207" s="62" t="n"/>
      <c r="B8207" s="63" t="n"/>
      <c r="C8207" s="64" t="n"/>
      <c r="D8207" s="64" t="n"/>
      <c r="E8207" s="63" t="n"/>
    </row>
    <row r="8208" ht="18" customHeight="1">
      <c r="A8208" s="62" t="n"/>
      <c r="B8208" s="63" t="n"/>
      <c r="C8208" s="64" t="n"/>
      <c r="D8208" s="64" t="n"/>
      <c r="E8208" s="63" t="n"/>
    </row>
    <row r="8209" ht="18" customHeight="1">
      <c r="A8209" s="62" t="n"/>
      <c r="B8209" s="63" t="n"/>
      <c r="C8209" s="64" t="n"/>
      <c r="D8209" s="64" t="n"/>
      <c r="E8209" s="63" t="n"/>
    </row>
    <row r="8210" ht="18" customHeight="1">
      <c r="A8210" s="62" t="n"/>
      <c r="B8210" s="63" t="n"/>
      <c r="C8210" s="64" t="n"/>
      <c r="D8210" s="64" t="n"/>
      <c r="E8210" s="63" t="n"/>
    </row>
    <row r="8211" ht="18" customHeight="1">
      <c r="A8211" s="62" t="n"/>
      <c r="B8211" s="63" t="n"/>
      <c r="C8211" s="64" t="n"/>
      <c r="D8211" s="64" t="n"/>
      <c r="E8211" s="63" t="n"/>
    </row>
    <row r="8212" ht="18" customHeight="1">
      <c r="A8212" s="62" t="n"/>
      <c r="B8212" s="63" t="n"/>
      <c r="C8212" s="64" t="n"/>
      <c r="D8212" s="64" t="n"/>
      <c r="E8212" s="63" t="n"/>
    </row>
    <row r="8213" ht="18" customHeight="1">
      <c r="A8213" s="62" t="n"/>
      <c r="B8213" s="63" t="n"/>
      <c r="C8213" s="64" t="n"/>
      <c r="D8213" s="64" t="n"/>
      <c r="E8213" s="63" t="n"/>
    </row>
    <row r="8214" ht="18" customHeight="1">
      <c r="A8214" s="62" t="n"/>
      <c r="B8214" s="63" t="n"/>
      <c r="C8214" s="64" t="n"/>
      <c r="D8214" s="64" t="n"/>
      <c r="E8214" s="63" t="n"/>
    </row>
    <row r="8215" ht="18" customHeight="1">
      <c r="A8215" s="62" t="n"/>
      <c r="B8215" s="63" t="n"/>
      <c r="C8215" s="64" t="n"/>
      <c r="D8215" s="64" t="n"/>
      <c r="E8215" s="63" t="n"/>
    </row>
    <row r="8216" ht="18" customHeight="1">
      <c r="A8216" s="62" t="n"/>
      <c r="B8216" s="63" t="n"/>
      <c r="C8216" s="64" t="n"/>
      <c r="D8216" s="64" t="n"/>
      <c r="E8216" s="63" t="n"/>
    </row>
    <row r="8217" ht="18" customHeight="1">
      <c r="A8217" s="62" t="n"/>
      <c r="B8217" s="63" t="n"/>
      <c r="C8217" s="64" t="n"/>
      <c r="D8217" s="64" t="n"/>
      <c r="E8217" s="63" t="n"/>
    </row>
    <row r="8218" ht="18" customHeight="1">
      <c r="A8218" s="62" t="n"/>
      <c r="B8218" s="63" t="n"/>
      <c r="C8218" s="64" t="n"/>
      <c r="D8218" s="64" t="n"/>
      <c r="E8218" s="63" t="n"/>
    </row>
    <row r="8219" ht="18" customHeight="1">
      <c r="A8219" s="62" t="n"/>
      <c r="B8219" s="63" t="n"/>
      <c r="C8219" s="64" t="n"/>
      <c r="D8219" s="64" t="n"/>
      <c r="E8219" s="63" t="n"/>
    </row>
    <row r="8220" ht="18" customHeight="1">
      <c r="A8220" s="62" t="n"/>
      <c r="B8220" s="63" t="n"/>
      <c r="C8220" s="64" t="n"/>
      <c r="D8220" s="64" t="n"/>
      <c r="E8220" s="63" t="n"/>
    </row>
    <row r="8221" ht="18" customHeight="1">
      <c r="A8221" s="62" t="n"/>
      <c r="B8221" s="63" t="n"/>
      <c r="C8221" s="64" t="n"/>
      <c r="D8221" s="64" t="n"/>
      <c r="E8221" s="63" t="n"/>
    </row>
    <row r="8222" ht="18" customHeight="1">
      <c r="A8222" s="62" t="n"/>
      <c r="B8222" s="63" t="n"/>
      <c r="C8222" s="64" t="n"/>
      <c r="D8222" s="64" t="n"/>
      <c r="E8222" s="63" t="n"/>
    </row>
    <row r="8223" ht="18" customHeight="1">
      <c r="A8223" s="62" t="n"/>
      <c r="B8223" s="63" t="n"/>
      <c r="C8223" s="64" t="n"/>
      <c r="D8223" s="64" t="n"/>
      <c r="E8223" s="63" t="n"/>
    </row>
    <row r="8224" ht="18" customHeight="1">
      <c r="A8224" s="62" t="n"/>
      <c r="B8224" s="63" t="n"/>
      <c r="C8224" s="64" t="n"/>
      <c r="D8224" s="64" t="n"/>
      <c r="E8224" s="63" t="n"/>
    </row>
    <row r="8225" ht="18" customHeight="1">
      <c r="A8225" s="62" t="n"/>
      <c r="B8225" s="63" t="n"/>
      <c r="C8225" s="64" t="n"/>
      <c r="D8225" s="64" t="n"/>
      <c r="E8225" s="63" t="n"/>
    </row>
    <row r="8226" ht="18" customHeight="1">
      <c r="A8226" s="62" t="n"/>
      <c r="B8226" s="63" t="n"/>
      <c r="C8226" s="64" t="n"/>
      <c r="D8226" s="64" t="n"/>
      <c r="E8226" s="63" t="n"/>
    </row>
    <row r="8227" ht="18" customHeight="1">
      <c r="A8227" s="62" t="n"/>
      <c r="B8227" s="63" t="n"/>
      <c r="C8227" s="64" t="n"/>
      <c r="D8227" s="64" t="n"/>
      <c r="E8227" s="63" t="n"/>
    </row>
    <row r="8228" ht="18" customHeight="1">
      <c r="A8228" s="62" t="n"/>
      <c r="B8228" s="63" t="n"/>
      <c r="C8228" s="64" t="n"/>
      <c r="D8228" s="64" t="n"/>
      <c r="E8228" s="63" t="n"/>
    </row>
    <row r="8229" ht="18" customHeight="1">
      <c r="A8229" s="62" t="n"/>
      <c r="B8229" s="63" t="n"/>
      <c r="C8229" s="64" t="n"/>
      <c r="D8229" s="64" t="n"/>
      <c r="E8229" s="63" t="n"/>
    </row>
    <row r="8230" ht="18" customHeight="1">
      <c r="A8230" s="62" t="n"/>
      <c r="B8230" s="63" t="n"/>
      <c r="C8230" s="64" t="n"/>
      <c r="D8230" s="64" t="n"/>
      <c r="E8230" s="63" t="n"/>
    </row>
    <row r="8231" ht="18" customHeight="1">
      <c r="A8231" s="62" t="n"/>
      <c r="B8231" s="63" t="n"/>
      <c r="C8231" s="64" t="n"/>
      <c r="D8231" s="64" t="n"/>
      <c r="E8231" s="63" t="n"/>
    </row>
    <row r="8232" ht="18" customHeight="1">
      <c r="A8232" s="62" t="n"/>
      <c r="B8232" s="63" t="n"/>
      <c r="C8232" s="64" t="n"/>
      <c r="D8232" s="64" t="n"/>
      <c r="E8232" s="63" t="n"/>
    </row>
    <row r="8233" ht="18" customHeight="1">
      <c r="A8233" s="62" t="n"/>
      <c r="B8233" s="63" t="n"/>
      <c r="C8233" s="64" t="n"/>
      <c r="D8233" s="64" t="n"/>
      <c r="E8233" s="63" t="n"/>
    </row>
    <row r="8234" ht="18" customHeight="1">
      <c r="A8234" s="62" t="n"/>
      <c r="B8234" s="63" t="n"/>
      <c r="C8234" s="64" t="n"/>
      <c r="D8234" s="64" t="n"/>
      <c r="E8234" s="63" t="n"/>
    </row>
    <row r="8235" ht="18" customHeight="1">
      <c r="A8235" s="62" t="n"/>
      <c r="B8235" s="63" t="n"/>
      <c r="C8235" s="64" t="n"/>
      <c r="D8235" s="64" t="n"/>
      <c r="E8235" s="63" t="n"/>
    </row>
    <row r="8236" ht="18" customHeight="1">
      <c r="A8236" s="62" t="n"/>
      <c r="B8236" s="63" t="n"/>
      <c r="C8236" s="64" t="n"/>
      <c r="D8236" s="64" t="n"/>
      <c r="E8236" s="63" t="n"/>
    </row>
    <row r="8237" ht="18" customHeight="1">
      <c r="A8237" s="62" t="n"/>
      <c r="B8237" s="63" t="n"/>
      <c r="C8237" s="64" t="n"/>
      <c r="D8237" s="64" t="n"/>
      <c r="E8237" s="63" t="n"/>
    </row>
    <row r="8238" ht="18" customHeight="1">
      <c r="A8238" s="62" t="n"/>
      <c r="B8238" s="63" t="n"/>
      <c r="C8238" s="64" t="n"/>
      <c r="D8238" s="64" t="n"/>
      <c r="E8238" s="63" t="n"/>
    </row>
    <row r="8239" ht="18" customHeight="1">
      <c r="A8239" s="62" t="n"/>
      <c r="B8239" s="63" t="n"/>
      <c r="C8239" s="64" t="n"/>
      <c r="D8239" s="64" t="n"/>
      <c r="E8239" s="63" t="n"/>
    </row>
    <row r="8240" ht="18" customHeight="1">
      <c r="A8240" s="62" t="n"/>
      <c r="B8240" s="63" t="n"/>
      <c r="C8240" s="64" t="n"/>
      <c r="D8240" s="64" t="n"/>
      <c r="E8240" s="63" t="n"/>
    </row>
    <row r="8241" ht="18" customHeight="1">
      <c r="A8241" s="62" t="n"/>
      <c r="B8241" s="63" t="n"/>
      <c r="C8241" s="64" t="n"/>
      <c r="D8241" s="64" t="n"/>
      <c r="E8241" s="63" t="n"/>
    </row>
    <row r="8242" ht="18" customHeight="1">
      <c r="A8242" s="62" t="n"/>
      <c r="B8242" s="63" t="n"/>
      <c r="C8242" s="64" t="n"/>
      <c r="D8242" s="64" t="n"/>
      <c r="E8242" s="63" t="n"/>
    </row>
    <row r="8243" ht="18" customHeight="1">
      <c r="A8243" s="62" t="n"/>
      <c r="B8243" s="63" t="n"/>
      <c r="C8243" s="64" t="n"/>
      <c r="D8243" s="64" t="n"/>
      <c r="E8243" s="63" t="n"/>
    </row>
    <row r="8244" ht="18" customHeight="1">
      <c r="A8244" s="62" t="n"/>
      <c r="B8244" s="63" t="n"/>
      <c r="C8244" s="64" t="n"/>
      <c r="D8244" s="64" t="n"/>
      <c r="E8244" s="63" t="n"/>
    </row>
    <row r="8245" ht="18" customHeight="1">
      <c r="A8245" s="62" t="n"/>
      <c r="B8245" s="63" t="n"/>
      <c r="C8245" s="64" t="n"/>
      <c r="D8245" s="64" t="n"/>
      <c r="E8245" s="63" t="n"/>
    </row>
    <row r="8246" ht="18" customHeight="1">
      <c r="A8246" s="62" t="n"/>
      <c r="B8246" s="63" t="n"/>
      <c r="C8246" s="64" t="n"/>
      <c r="D8246" s="64" t="n"/>
      <c r="E8246" s="63" t="n"/>
    </row>
    <row r="8247" ht="18" customHeight="1">
      <c r="A8247" s="62" t="n"/>
      <c r="B8247" s="63" t="n"/>
      <c r="C8247" s="64" t="n"/>
      <c r="D8247" s="64" t="n"/>
      <c r="E8247" s="63" t="n"/>
    </row>
    <row r="8248" ht="18" customHeight="1">
      <c r="A8248" s="62" t="n"/>
      <c r="B8248" s="63" t="n"/>
      <c r="C8248" s="64" t="n"/>
      <c r="D8248" s="64" t="n"/>
      <c r="E8248" s="63" t="n"/>
    </row>
    <row r="8249" ht="18" customHeight="1">
      <c r="A8249" s="62" t="n"/>
      <c r="B8249" s="63" t="n"/>
      <c r="C8249" s="64" t="n"/>
      <c r="D8249" s="64" t="n"/>
      <c r="E8249" s="63" t="n"/>
    </row>
    <row r="8250" ht="18" customHeight="1">
      <c r="A8250" s="62" t="n"/>
      <c r="B8250" s="63" t="n"/>
      <c r="C8250" s="64" t="n"/>
      <c r="D8250" s="64" t="n"/>
      <c r="E8250" s="63" t="n"/>
    </row>
    <row r="8251" ht="18" customHeight="1">
      <c r="A8251" s="62" t="n"/>
      <c r="B8251" s="63" t="n"/>
      <c r="C8251" s="64" t="n"/>
      <c r="D8251" s="64" t="n"/>
      <c r="E8251" s="63" t="n"/>
    </row>
    <row r="8252" ht="18" customHeight="1">
      <c r="A8252" s="62" t="n"/>
      <c r="B8252" s="63" t="n"/>
      <c r="C8252" s="64" t="n"/>
      <c r="D8252" s="64" t="n"/>
      <c r="E8252" s="63" t="n"/>
    </row>
    <row r="8253" ht="18" customHeight="1">
      <c r="A8253" s="62" t="n"/>
      <c r="B8253" s="63" t="n"/>
      <c r="C8253" s="64" t="n"/>
      <c r="D8253" s="64" t="n"/>
      <c r="E8253" s="63" t="n"/>
    </row>
    <row r="8254" ht="18" customHeight="1">
      <c r="A8254" s="62" t="n"/>
      <c r="B8254" s="63" t="n"/>
      <c r="C8254" s="64" t="n"/>
      <c r="D8254" s="64" t="n"/>
      <c r="E8254" s="63" t="n"/>
    </row>
    <row r="8255" ht="18" customHeight="1">
      <c r="A8255" s="62" t="n"/>
      <c r="B8255" s="63" t="n"/>
      <c r="C8255" s="64" t="n"/>
      <c r="D8255" s="64" t="n"/>
      <c r="E8255" s="63" t="n"/>
    </row>
    <row r="8256" ht="18" customHeight="1">
      <c r="A8256" s="62" t="n"/>
      <c r="B8256" s="63" t="n"/>
      <c r="C8256" s="64" t="n"/>
      <c r="D8256" s="64" t="n"/>
      <c r="E8256" s="63" t="n"/>
    </row>
    <row r="8257" ht="18" customHeight="1">
      <c r="A8257" s="62" t="n"/>
      <c r="B8257" s="63" t="n"/>
      <c r="C8257" s="64" t="n"/>
      <c r="D8257" s="64" t="n"/>
      <c r="E8257" s="63" t="n"/>
    </row>
    <row r="8258" ht="18" customHeight="1">
      <c r="A8258" s="62" t="n"/>
      <c r="B8258" s="63" t="n"/>
      <c r="C8258" s="64" t="n"/>
      <c r="D8258" s="64" t="n"/>
      <c r="E8258" s="63" t="n"/>
    </row>
    <row r="8259" ht="18" customHeight="1">
      <c r="A8259" s="62" t="n"/>
      <c r="B8259" s="63" t="n"/>
      <c r="C8259" s="64" t="n"/>
      <c r="D8259" s="64" t="n"/>
      <c r="E8259" s="63" t="n"/>
    </row>
    <row r="8260" ht="18" customHeight="1">
      <c r="A8260" s="62" t="n"/>
      <c r="B8260" s="63" t="n"/>
      <c r="C8260" s="64" t="n"/>
      <c r="D8260" s="64" t="n"/>
      <c r="E8260" s="63" t="n"/>
    </row>
    <row r="8261" ht="18" customHeight="1">
      <c r="A8261" s="62" t="n"/>
      <c r="B8261" s="63" t="n"/>
      <c r="C8261" s="64" t="n"/>
      <c r="D8261" s="64" t="n"/>
      <c r="E8261" s="63" t="n"/>
    </row>
    <row r="8262" ht="18" customHeight="1">
      <c r="A8262" s="62" t="n"/>
      <c r="B8262" s="63" t="n"/>
      <c r="C8262" s="64" t="n"/>
      <c r="D8262" s="64" t="n"/>
      <c r="E8262" s="63" t="n"/>
    </row>
    <row r="8263" ht="18" customHeight="1">
      <c r="A8263" s="62" t="n"/>
      <c r="B8263" s="63" t="n"/>
      <c r="C8263" s="64" t="n"/>
      <c r="D8263" s="64" t="n"/>
      <c r="E8263" s="63" t="n"/>
    </row>
    <row r="8264" ht="18" customHeight="1">
      <c r="A8264" s="62" t="n"/>
      <c r="B8264" s="63" t="n"/>
      <c r="C8264" s="64" t="n"/>
      <c r="D8264" s="64" t="n"/>
      <c r="E8264" s="63" t="n"/>
    </row>
    <row r="8265" ht="18" customHeight="1">
      <c r="A8265" s="62" t="n"/>
      <c r="B8265" s="63" t="n"/>
      <c r="C8265" s="64" t="n"/>
      <c r="D8265" s="64" t="n"/>
      <c r="E8265" s="63" t="n"/>
    </row>
    <row r="8266" ht="18" customHeight="1">
      <c r="A8266" s="62" t="n"/>
      <c r="B8266" s="63" t="n"/>
      <c r="C8266" s="64" t="n"/>
      <c r="D8266" s="64" t="n"/>
      <c r="E8266" s="63" t="n"/>
    </row>
    <row r="8267" ht="18" customHeight="1">
      <c r="A8267" s="62" t="n"/>
      <c r="B8267" s="63" t="n"/>
      <c r="C8267" s="64" t="n"/>
      <c r="D8267" s="64" t="n"/>
      <c r="E8267" s="63" t="n"/>
    </row>
    <row r="8268" ht="18" customHeight="1">
      <c r="A8268" s="62" t="n"/>
      <c r="B8268" s="63" t="n"/>
      <c r="C8268" s="64" t="n"/>
      <c r="D8268" s="64" t="n"/>
      <c r="E8268" s="63" t="n"/>
    </row>
    <row r="8269" ht="18" customHeight="1">
      <c r="A8269" s="62" t="n"/>
      <c r="B8269" s="63" t="n"/>
      <c r="C8269" s="64" t="n"/>
      <c r="D8269" s="64" t="n"/>
      <c r="E8269" s="63" t="n"/>
    </row>
    <row r="8270" ht="18" customHeight="1">
      <c r="A8270" s="62" t="n"/>
      <c r="B8270" s="63" t="n"/>
      <c r="C8270" s="64" t="n"/>
      <c r="D8270" s="64" t="n"/>
      <c r="E8270" s="63" t="n"/>
    </row>
    <row r="8271" ht="18" customHeight="1">
      <c r="A8271" s="62" t="n"/>
      <c r="B8271" s="63" t="n"/>
      <c r="C8271" s="64" t="n"/>
      <c r="D8271" s="64" t="n"/>
      <c r="E8271" s="63" t="n"/>
    </row>
    <row r="8272" ht="18" customHeight="1">
      <c r="A8272" s="62" t="n"/>
      <c r="B8272" s="63" t="n"/>
      <c r="C8272" s="64" t="n"/>
      <c r="D8272" s="64" t="n"/>
      <c r="E8272" s="63" t="n"/>
    </row>
    <row r="8273" ht="18" customHeight="1">
      <c r="A8273" s="62" t="n"/>
      <c r="B8273" s="63" t="n"/>
      <c r="C8273" s="64" t="n"/>
      <c r="D8273" s="64" t="n"/>
      <c r="E8273" s="63" t="n"/>
    </row>
    <row r="8274" ht="18" customHeight="1">
      <c r="A8274" s="62" t="n"/>
      <c r="B8274" s="63" t="n"/>
      <c r="C8274" s="64" t="n"/>
      <c r="D8274" s="64" t="n"/>
      <c r="E8274" s="63" t="n"/>
    </row>
    <row r="8275" ht="18" customHeight="1">
      <c r="A8275" s="62" t="n"/>
      <c r="B8275" s="63" t="n"/>
      <c r="C8275" s="64" t="n"/>
      <c r="D8275" s="64" t="n"/>
      <c r="E8275" s="63" t="n"/>
    </row>
    <row r="8276" ht="18" customHeight="1">
      <c r="A8276" s="62" t="n"/>
      <c r="B8276" s="63" t="n"/>
      <c r="C8276" s="64" t="n"/>
      <c r="D8276" s="64" t="n"/>
      <c r="E8276" s="63" t="n"/>
    </row>
    <row r="8277" ht="18" customHeight="1">
      <c r="A8277" s="62" t="n"/>
      <c r="B8277" s="63" t="n"/>
      <c r="C8277" s="64" t="n"/>
      <c r="D8277" s="64" t="n"/>
      <c r="E8277" s="63" t="n"/>
    </row>
    <row r="8278" ht="18" customHeight="1">
      <c r="A8278" s="62" t="n"/>
      <c r="B8278" s="63" t="n"/>
      <c r="C8278" s="64" t="n"/>
      <c r="D8278" s="64" t="n"/>
      <c r="E8278" s="63" t="n"/>
    </row>
    <row r="8279" ht="18" customHeight="1">
      <c r="A8279" s="62" t="n"/>
      <c r="B8279" s="63" t="n"/>
      <c r="C8279" s="64" t="n"/>
      <c r="D8279" s="64" t="n"/>
      <c r="E8279" s="63" t="n"/>
    </row>
    <row r="8280" ht="18" customHeight="1">
      <c r="A8280" s="62" t="n"/>
      <c r="B8280" s="63" t="n"/>
      <c r="C8280" s="64" t="n"/>
      <c r="D8280" s="64" t="n"/>
      <c r="E8280" s="63" t="n"/>
    </row>
    <row r="8281" ht="18" customHeight="1">
      <c r="A8281" s="62" t="n"/>
      <c r="B8281" s="63" t="n"/>
      <c r="C8281" s="64" t="n"/>
      <c r="D8281" s="64" t="n"/>
      <c r="E8281" s="63" t="n"/>
    </row>
    <row r="8282" ht="18" customHeight="1">
      <c r="A8282" s="62" t="n"/>
      <c r="B8282" s="63" t="n"/>
      <c r="C8282" s="64" t="n"/>
      <c r="D8282" s="64" t="n"/>
      <c r="E8282" s="63" t="n"/>
    </row>
    <row r="8283" ht="18" customHeight="1">
      <c r="A8283" s="62" t="n"/>
      <c r="B8283" s="63" t="n"/>
      <c r="C8283" s="64" t="n"/>
      <c r="D8283" s="64" t="n"/>
      <c r="E8283" s="63" t="n"/>
    </row>
    <row r="8284" ht="18" customHeight="1">
      <c r="A8284" s="62" t="n"/>
      <c r="B8284" s="63" t="n"/>
      <c r="C8284" s="64" t="n"/>
      <c r="D8284" s="64" t="n"/>
      <c r="E8284" s="63" t="n"/>
    </row>
    <row r="8285" ht="18" customHeight="1">
      <c r="A8285" s="62" t="n"/>
      <c r="B8285" s="63" t="n"/>
      <c r="C8285" s="64" t="n"/>
      <c r="D8285" s="64" t="n"/>
      <c r="E8285" s="63" t="n"/>
    </row>
    <row r="8286" ht="18" customHeight="1">
      <c r="A8286" s="62" t="n"/>
      <c r="B8286" s="63" t="n"/>
      <c r="C8286" s="64" t="n"/>
      <c r="D8286" s="64" t="n"/>
      <c r="E8286" s="63" t="n"/>
    </row>
    <row r="8287" ht="18" customHeight="1">
      <c r="A8287" s="62" t="n"/>
      <c r="B8287" s="63" t="n"/>
      <c r="C8287" s="64" t="n"/>
      <c r="D8287" s="64" t="n"/>
      <c r="E8287" s="63" t="n"/>
    </row>
    <row r="8288" ht="18" customHeight="1">
      <c r="A8288" s="62" t="n"/>
      <c r="B8288" s="63" t="n"/>
      <c r="C8288" s="64" t="n"/>
      <c r="D8288" s="64" t="n"/>
      <c r="E8288" s="63" t="n"/>
    </row>
    <row r="8289" ht="18" customHeight="1">
      <c r="A8289" s="62" t="n"/>
      <c r="B8289" s="63" t="n"/>
      <c r="C8289" s="64" t="n"/>
      <c r="D8289" s="64" t="n"/>
      <c r="E8289" s="63" t="n"/>
    </row>
    <row r="8290" ht="18" customHeight="1">
      <c r="A8290" s="62" t="n"/>
      <c r="B8290" s="63" t="n"/>
      <c r="C8290" s="64" t="n"/>
      <c r="D8290" s="64" t="n"/>
      <c r="E8290" s="63" t="n"/>
    </row>
    <row r="8291" ht="18" customHeight="1">
      <c r="A8291" s="62" t="n"/>
      <c r="B8291" s="63" t="n"/>
      <c r="C8291" s="64" t="n"/>
      <c r="D8291" s="64" t="n"/>
      <c r="E8291" s="63" t="n"/>
    </row>
    <row r="8292" ht="18" customHeight="1">
      <c r="A8292" s="62" t="n"/>
      <c r="B8292" s="63" t="n"/>
      <c r="C8292" s="64" t="n"/>
      <c r="D8292" s="64" t="n"/>
      <c r="E8292" s="63" t="n"/>
    </row>
    <row r="8293" ht="18" customHeight="1">
      <c r="A8293" s="62" t="n"/>
      <c r="B8293" s="63" t="n"/>
      <c r="C8293" s="64" t="n"/>
      <c r="D8293" s="64" t="n"/>
      <c r="E8293" s="63" t="n"/>
    </row>
    <row r="8294" ht="18" customHeight="1">
      <c r="A8294" s="62" t="n"/>
      <c r="B8294" s="63" t="n"/>
      <c r="C8294" s="64" t="n"/>
      <c r="D8294" s="64" t="n"/>
      <c r="E8294" s="63" t="n"/>
    </row>
    <row r="8295" ht="18" customHeight="1">
      <c r="A8295" s="62" t="n"/>
      <c r="B8295" s="63" t="n"/>
      <c r="C8295" s="64" t="n"/>
      <c r="D8295" s="64" t="n"/>
      <c r="E8295" s="63" t="n"/>
    </row>
    <row r="8296" ht="18" customHeight="1">
      <c r="A8296" s="62" t="n"/>
      <c r="B8296" s="63" t="n"/>
      <c r="C8296" s="64" t="n"/>
      <c r="D8296" s="64" t="n"/>
      <c r="E8296" s="63" t="n"/>
    </row>
    <row r="8297" ht="18" customHeight="1">
      <c r="A8297" s="62" t="n"/>
      <c r="B8297" s="63" t="n"/>
      <c r="C8297" s="64" t="n"/>
      <c r="D8297" s="64" t="n"/>
      <c r="E8297" s="63" t="n"/>
    </row>
    <row r="8298" ht="18" customHeight="1">
      <c r="A8298" s="62" t="n"/>
      <c r="B8298" s="63" t="n"/>
      <c r="C8298" s="64" t="n"/>
      <c r="D8298" s="64" t="n"/>
      <c r="E8298" s="63" t="n"/>
    </row>
    <row r="8299" ht="18" customHeight="1">
      <c r="A8299" s="62" t="n"/>
      <c r="B8299" s="63" t="n"/>
      <c r="C8299" s="64" t="n"/>
      <c r="D8299" s="64" t="n"/>
      <c r="E8299" s="63" t="n"/>
    </row>
    <row r="8300" ht="18" customHeight="1">
      <c r="A8300" s="62" t="n"/>
      <c r="B8300" s="63" t="n"/>
      <c r="C8300" s="64" t="n"/>
      <c r="D8300" s="64" t="n"/>
      <c r="E8300" s="63" t="n"/>
    </row>
    <row r="8301" ht="18" customHeight="1">
      <c r="A8301" s="62" t="n"/>
      <c r="B8301" s="63" t="n"/>
      <c r="C8301" s="64" t="n"/>
      <c r="D8301" s="64" t="n"/>
      <c r="E8301" s="63" t="n"/>
    </row>
    <row r="8302" ht="18" customHeight="1">
      <c r="A8302" s="62" t="n"/>
      <c r="B8302" s="63" t="n"/>
      <c r="C8302" s="64" t="n"/>
      <c r="D8302" s="64" t="n"/>
      <c r="E8302" s="63" t="n"/>
    </row>
    <row r="8303" ht="18" customHeight="1">
      <c r="A8303" s="62" t="n"/>
      <c r="B8303" s="63" t="n"/>
      <c r="C8303" s="64" t="n"/>
      <c r="D8303" s="64" t="n"/>
      <c r="E8303" s="63" t="n"/>
    </row>
    <row r="8304" ht="18" customHeight="1">
      <c r="A8304" s="62" t="n"/>
      <c r="B8304" s="63" t="n"/>
      <c r="C8304" s="64" t="n"/>
      <c r="D8304" s="64" t="n"/>
      <c r="E8304" s="63" t="n"/>
    </row>
    <row r="8305" ht="18" customHeight="1">
      <c r="A8305" s="62" t="n"/>
      <c r="B8305" s="63" t="n"/>
      <c r="C8305" s="64" t="n"/>
      <c r="D8305" s="64" t="n"/>
      <c r="E8305" s="63" t="n"/>
    </row>
    <row r="8306" ht="18" customHeight="1">
      <c r="A8306" s="62" t="n"/>
      <c r="B8306" s="63" t="n"/>
      <c r="C8306" s="64" t="n"/>
      <c r="D8306" s="64" t="n"/>
      <c r="E8306" s="63" t="n"/>
    </row>
    <row r="8307" ht="18" customHeight="1">
      <c r="A8307" s="62" t="n"/>
      <c r="B8307" s="63" t="n"/>
      <c r="C8307" s="64" t="n"/>
      <c r="D8307" s="64" t="n"/>
      <c r="E8307" s="63" t="n"/>
    </row>
    <row r="8308" ht="18" customHeight="1">
      <c r="A8308" s="62" t="n"/>
      <c r="B8308" s="63" t="n"/>
      <c r="C8308" s="64" t="n"/>
      <c r="D8308" s="64" t="n"/>
      <c r="E8308" s="63" t="n"/>
    </row>
    <row r="8309" ht="18" customHeight="1">
      <c r="A8309" s="62" t="n"/>
      <c r="B8309" s="63" t="n"/>
      <c r="C8309" s="64" t="n"/>
      <c r="D8309" s="64" t="n"/>
      <c r="E8309" s="63" t="n"/>
    </row>
    <row r="8310" ht="18" customHeight="1">
      <c r="A8310" s="62" t="n"/>
      <c r="B8310" s="63" t="n"/>
      <c r="C8310" s="64" t="n"/>
      <c r="D8310" s="64" t="n"/>
      <c r="E8310" s="63" t="n"/>
    </row>
    <row r="8311" ht="18" customHeight="1">
      <c r="A8311" s="62" t="n"/>
      <c r="B8311" s="63" t="n"/>
      <c r="C8311" s="64" t="n"/>
      <c r="D8311" s="64" t="n"/>
      <c r="E8311" s="63" t="n"/>
    </row>
    <row r="8312" ht="18" customHeight="1">
      <c r="A8312" s="62" t="n"/>
      <c r="B8312" s="63" t="n"/>
      <c r="C8312" s="64" t="n"/>
      <c r="D8312" s="64" t="n"/>
      <c r="E8312" s="63" t="n"/>
    </row>
    <row r="8313" ht="18" customHeight="1">
      <c r="A8313" s="62" t="n"/>
      <c r="B8313" s="63" t="n"/>
      <c r="C8313" s="64" t="n"/>
      <c r="D8313" s="64" t="n"/>
      <c r="E8313" s="63" t="n"/>
    </row>
    <row r="8314" ht="18" customHeight="1">
      <c r="A8314" s="62" t="n"/>
      <c r="B8314" s="63" t="n"/>
      <c r="C8314" s="64" t="n"/>
      <c r="D8314" s="64" t="n"/>
      <c r="E8314" s="63" t="n"/>
    </row>
    <row r="8315" ht="18" customHeight="1">
      <c r="A8315" s="62" t="n"/>
      <c r="B8315" s="63" t="n"/>
      <c r="C8315" s="64" t="n"/>
      <c r="D8315" s="64" t="n"/>
      <c r="E8315" s="63" t="n"/>
    </row>
    <row r="8316" ht="18" customHeight="1">
      <c r="A8316" s="62" t="n"/>
      <c r="B8316" s="63" t="n"/>
      <c r="C8316" s="64" t="n"/>
      <c r="D8316" s="64" t="n"/>
      <c r="E8316" s="63" t="n"/>
    </row>
    <row r="8317" ht="18" customHeight="1">
      <c r="A8317" s="62" t="n"/>
      <c r="B8317" s="63" t="n"/>
      <c r="C8317" s="64" t="n"/>
      <c r="D8317" s="64" t="n"/>
      <c r="E8317" s="63" t="n"/>
    </row>
    <row r="8318" ht="18" customHeight="1">
      <c r="A8318" s="62" t="n"/>
      <c r="B8318" s="63" t="n"/>
      <c r="C8318" s="64" t="n"/>
      <c r="D8318" s="64" t="n"/>
      <c r="E8318" s="63" t="n"/>
    </row>
    <row r="8319" ht="18" customHeight="1">
      <c r="A8319" s="62" t="n"/>
      <c r="B8319" s="63" t="n"/>
      <c r="C8319" s="64" t="n"/>
      <c r="D8319" s="64" t="n"/>
      <c r="E8319" s="63" t="n"/>
    </row>
    <row r="8320" ht="18" customHeight="1">
      <c r="A8320" s="62" t="n"/>
      <c r="B8320" s="63" t="n"/>
      <c r="C8320" s="64" t="n"/>
      <c r="D8320" s="64" t="n"/>
      <c r="E8320" s="63" t="n"/>
    </row>
    <row r="8321" ht="18" customHeight="1">
      <c r="A8321" s="62" t="n"/>
      <c r="B8321" s="63" t="n"/>
      <c r="C8321" s="64" t="n"/>
      <c r="D8321" s="64" t="n"/>
      <c r="E8321" s="63" t="n"/>
    </row>
    <row r="8322" ht="18" customHeight="1">
      <c r="A8322" s="62" t="n"/>
      <c r="B8322" s="63" t="n"/>
      <c r="C8322" s="64" t="n"/>
      <c r="D8322" s="64" t="n"/>
      <c r="E8322" s="63" t="n"/>
    </row>
    <row r="8323" ht="18" customHeight="1">
      <c r="A8323" s="62" t="n"/>
      <c r="B8323" s="63" t="n"/>
      <c r="C8323" s="64" t="n"/>
      <c r="D8323" s="64" t="n"/>
      <c r="E8323" s="63" t="n"/>
    </row>
    <row r="8324" ht="18" customHeight="1">
      <c r="A8324" s="62" t="n"/>
      <c r="B8324" s="63" t="n"/>
      <c r="C8324" s="64" t="n"/>
      <c r="D8324" s="64" t="n"/>
      <c r="E8324" s="63" t="n"/>
    </row>
    <row r="8325" ht="18" customHeight="1">
      <c r="A8325" s="62" t="n"/>
      <c r="B8325" s="63" t="n"/>
      <c r="C8325" s="64" t="n"/>
      <c r="D8325" s="64" t="n"/>
      <c r="E8325" s="63" t="n"/>
    </row>
    <row r="8326" ht="18" customHeight="1">
      <c r="A8326" s="62" t="n"/>
      <c r="B8326" s="63" t="n"/>
      <c r="C8326" s="64" t="n"/>
      <c r="D8326" s="64" t="n"/>
      <c r="E8326" s="63" t="n"/>
    </row>
    <row r="8327" ht="18" customHeight="1">
      <c r="A8327" s="62" t="n"/>
      <c r="B8327" s="63" t="n"/>
      <c r="C8327" s="64" t="n"/>
      <c r="D8327" s="64" t="n"/>
      <c r="E8327" s="63" t="n"/>
    </row>
    <row r="8328" ht="18" customHeight="1">
      <c r="A8328" s="62" t="n"/>
      <c r="B8328" s="63" t="n"/>
      <c r="C8328" s="64" t="n"/>
      <c r="D8328" s="64" t="n"/>
      <c r="E8328" s="63" t="n"/>
    </row>
    <row r="8329" ht="18" customHeight="1">
      <c r="A8329" s="62" t="n"/>
      <c r="B8329" s="63" t="n"/>
      <c r="C8329" s="64" t="n"/>
      <c r="D8329" s="64" t="n"/>
      <c r="E8329" s="63" t="n"/>
    </row>
    <row r="8330" ht="18" customHeight="1">
      <c r="A8330" s="62" t="n"/>
      <c r="B8330" s="63" t="n"/>
      <c r="C8330" s="64" t="n"/>
      <c r="D8330" s="64" t="n"/>
      <c r="E8330" s="63" t="n"/>
    </row>
    <row r="8331" ht="18" customHeight="1">
      <c r="A8331" s="62" t="n"/>
      <c r="B8331" s="63" t="n"/>
      <c r="C8331" s="64" t="n"/>
      <c r="D8331" s="64" t="n"/>
      <c r="E8331" s="63" t="n"/>
    </row>
    <row r="8332" ht="18" customHeight="1">
      <c r="A8332" s="62" t="n"/>
      <c r="B8332" s="63" t="n"/>
      <c r="C8332" s="64" t="n"/>
      <c r="D8332" s="64" t="n"/>
      <c r="E8332" s="63" t="n"/>
    </row>
    <row r="8333" ht="18" customHeight="1">
      <c r="A8333" s="62" t="n"/>
      <c r="B8333" s="63" t="n"/>
      <c r="C8333" s="64" t="n"/>
      <c r="D8333" s="64" t="n"/>
      <c r="E8333" s="63" t="n"/>
    </row>
    <row r="8334" ht="18" customHeight="1">
      <c r="A8334" s="62" t="n"/>
      <c r="B8334" s="63" t="n"/>
      <c r="C8334" s="64" t="n"/>
      <c r="D8334" s="64" t="n"/>
      <c r="E8334" s="63" t="n"/>
    </row>
    <row r="8335" ht="18" customHeight="1">
      <c r="A8335" s="62" t="n"/>
      <c r="B8335" s="63" t="n"/>
      <c r="C8335" s="64" t="n"/>
      <c r="D8335" s="64" t="n"/>
      <c r="E8335" s="63" t="n"/>
    </row>
    <row r="8336" ht="18" customHeight="1">
      <c r="A8336" s="62" t="n"/>
      <c r="B8336" s="63" t="n"/>
      <c r="C8336" s="64" t="n"/>
      <c r="D8336" s="64" t="n"/>
      <c r="E8336" s="63" t="n"/>
    </row>
    <row r="8337" ht="18" customHeight="1">
      <c r="A8337" s="62" t="n"/>
      <c r="B8337" s="63" t="n"/>
      <c r="C8337" s="64" t="n"/>
      <c r="D8337" s="64" t="n"/>
      <c r="E8337" s="63" t="n"/>
    </row>
    <row r="8338" ht="18" customHeight="1">
      <c r="A8338" s="62" t="n"/>
      <c r="B8338" s="63" t="n"/>
      <c r="C8338" s="64" t="n"/>
      <c r="D8338" s="64" t="n"/>
      <c r="E8338" s="63" t="n"/>
    </row>
    <row r="8339" ht="18" customHeight="1">
      <c r="A8339" s="62" t="n"/>
      <c r="B8339" s="63" t="n"/>
      <c r="C8339" s="64" t="n"/>
      <c r="D8339" s="64" t="n"/>
      <c r="E8339" s="63" t="n"/>
    </row>
    <row r="8340" ht="18" customHeight="1">
      <c r="A8340" s="62" t="n"/>
      <c r="B8340" s="63" t="n"/>
      <c r="C8340" s="64" t="n"/>
      <c r="D8340" s="64" t="n"/>
      <c r="E8340" s="63" t="n"/>
    </row>
    <row r="8341" ht="18" customHeight="1">
      <c r="A8341" s="62" t="n"/>
      <c r="B8341" s="63" t="n"/>
      <c r="C8341" s="64" t="n"/>
      <c r="D8341" s="64" t="n"/>
      <c r="E8341" s="63" t="n"/>
    </row>
    <row r="8342" ht="18" customHeight="1">
      <c r="A8342" s="62" t="n"/>
      <c r="B8342" s="63" t="n"/>
      <c r="C8342" s="64" t="n"/>
      <c r="D8342" s="64" t="n"/>
      <c r="E8342" s="63" t="n"/>
    </row>
    <row r="8343" ht="18" customHeight="1">
      <c r="A8343" s="62" t="n"/>
      <c r="B8343" s="63" t="n"/>
      <c r="C8343" s="64" t="n"/>
      <c r="D8343" s="64" t="n"/>
      <c r="E8343" s="63" t="n"/>
    </row>
    <row r="8344" ht="18" customHeight="1">
      <c r="A8344" s="62" t="n"/>
      <c r="B8344" s="63" t="n"/>
      <c r="C8344" s="64" t="n"/>
      <c r="D8344" s="64" t="n"/>
      <c r="E8344" s="63" t="n"/>
    </row>
    <row r="8345" ht="18" customHeight="1">
      <c r="A8345" s="62" t="n"/>
      <c r="B8345" s="63" t="n"/>
      <c r="C8345" s="64" t="n"/>
      <c r="D8345" s="64" t="n"/>
      <c r="E8345" s="63" t="n"/>
    </row>
    <row r="8346" ht="18" customHeight="1">
      <c r="A8346" s="62" t="n"/>
      <c r="B8346" s="63" t="n"/>
      <c r="C8346" s="64" t="n"/>
      <c r="D8346" s="64" t="n"/>
      <c r="E8346" s="63" t="n"/>
    </row>
    <row r="8347" ht="18" customHeight="1">
      <c r="A8347" s="62" t="n"/>
      <c r="B8347" s="63" t="n"/>
      <c r="C8347" s="64" t="n"/>
      <c r="D8347" s="64" t="n"/>
      <c r="E8347" s="63" t="n"/>
    </row>
    <row r="8348" ht="18" customHeight="1">
      <c r="A8348" s="62" t="n"/>
      <c r="B8348" s="63" t="n"/>
      <c r="C8348" s="64" t="n"/>
      <c r="D8348" s="64" t="n"/>
      <c r="E8348" s="63" t="n"/>
    </row>
    <row r="8349" ht="18" customHeight="1">
      <c r="A8349" s="62" t="n"/>
      <c r="B8349" s="63" t="n"/>
      <c r="C8349" s="64" t="n"/>
      <c r="D8349" s="64" t="n"/>
      <c r="E8349" s="63" t="n"/>
    </row>
    <row r="8350" ht="18" customHeight="1">
      <c r="A8350" s="62" t="n"/>
      <c r="B8350" s="63" t="n"/>
      <c r="C8350" s="64" t="n"/>
      <c r="D8350" s="64" t="n"/>
      <c r="E8350" s="63" t="n"/>
    </row>
    <row r="8351" ht="18" customHeight="1">
      <c r="A8351" s="62" t="n"/>
      <c r="B8351" s="63" t="n"/>
      <c r="C8351" s="64" t="n"/>
      <c r="D8351" s="64" t="n"/>
      <c r="E8351" s="63" t="n"/>
    </row>
    <row r="8352" ht="18" customHeight="1">
      <c r="A8352" s="62" t="n"/>
      <c r="B8352" s="63" t="n"/>
      <c r="C8352" s="64" t="n"/>
      <c r="D8352" s="64" t="n"/>
      <c r="E8352" s="63" t="n"/>
    </row>
    <row r="8353" ht="18" customHeight="1">
      <c r="A8353" s="62" t="n"/>
      <c r="B8353" s="63" t="n"/>
      <c r="C8353" s="64" t="n"/>
      <c r="D8353" s="64" t="n"/>
      <c r="E8353" s="63" t="n"/>
    </row>
    <row r="8354" ht="18" customHeight="1">
      <c r="A8354" s="62" t="n"/>
      <c r="B8354" s="63" t="n"/>
      <c r="C8354" s="64" t="n"/>
      <c r="D8354" s="64" t="n"/>
      <c r="E8354" s="63" t="n"/>
    </row>
    <row r="8355" ht="18" customHeight="1">
      <c r="A8355" s="62" t="n"/>
      <c r="B8355" s="63" t="n"/>
      <c r="C8355" s="64" t="n"/>
      <c r="D8355" s="64" t="n"/>
      <c r="E8355" s="63" t="n"/>
    </row>
    <row r="8356" ht="18" customHeight="1">
      <c r="A8356" s="62" t="n"/>
      <c r="B8356" s="63" t="n"/>
      <c r="C8356" s="64" t="n"/>
      <c r="D8356" s="64" t="n"/>
      <c r="E8356" s="63" t="n"/>
    </row>
    <row r="8357" ht="18" customHeight="1">
      <c r="A8357" s="62" t="n"/>
      <c r="B8357" s="63" t="n"/>
      <c r="C8357" s="64" t="n"/>
      <c r="D8357" s="64" t="n"/>
      <c r="E8357" s="63" t="n"/>
    </row>
    <row r="8358" ht="18" customHeight="1">
      <c r="A8358" s="62" t="n"/>
      <c r="B8358" s="63" t="n"/>
      <c r="C8358" s="64" t="n"/>
      <c r="D8358" s="64" t="n"/>
      <c r="E8358" s="63" t="n"/>
    </row>
    <row r="8359" ht="18" customHeight="1">
      <c r="A8359" s="62" t="n"/>
      <c r="B8359" s="63" t="n"/>
      <c r="C8359" s="64" t="n"/>
      <c r="D8359" s="64" t="n"/>
      <c r="E8359" s="63" t="n"/>
    </row>
    <row r="8360" ht="18" customHeight="1">
      <c r="A8360" s="62" t="n"/>
      <c r="B8360" s="63" t="n"/>
      <c r="C8360" s="64" t="n"/>
      <c r="D8360" s="64" t="n"/>
      <c r="E8360" s="63" t="n"/>
    </row>
    <row r="8361" ht="18" customHeight="1">
      <c r="A8361" s="62" t="n"/>
      <c r="B8361" s="63" t="n"/>
      <c r="C8361" s="64" t="n"/>
      <c r="D8361" s="64" t="n"/>
      <c r="E8361" s="63" t="n"/>
    </row>
    <row r="8362" ht="18" customHeight="1">
      <c r="A8362" s="62" t="n"/>
      <c r="B8362" s="63" t="n"/>
      <c r="C8362" s="64" t="n"/>
      <c r="D8362" s="64" t="n"/>
      <c r="E8362" s="63" t="n"/>
    </row>
    <row r="8363" ht="18" customHeight="1">
      <c r="A8363" s="62" t="n"/>
      <c r="B8363" s="63" t="n"/>
      <c r="C8363" s="64" t="n"/>
      <c r="D8363" s="64" t="n"/>
      <c r="E8363" s="63" t="n"/>
    </row>
    <row r="8364" ht="18" customHeight="1">
      <c r="A8364" s="62" t="n"/>
      <c r="B8364" s="63" t="n"/>
      <c r="C8364" s="64" t="n"/>
      <c r="D8364" s="64" t="n"/>
      <c r="E8364" s="63" t="n"/>
    </row>
    <row r="8365" ht="18" customHeight="1">
      <c r="A8365" s="62" t="n"/>
      <c r="B8365" s="63" t="n"/>
      <c r="C8365" s="64" t="n"/>
      <c r="D8365" s="64" t="n"/>
      <c r="E8365" s="63" t="n"/>
    </row>
    <row r="8366" ht="18" customHeight="1">
      <c r="A8366" s="62" t="n"/>
      <c r="B8366" s="63" t="n"/>
      <c r="C8366" s="64" t="n"/>
      <c r="D8366" s="64" t="n"/>
      <c r="E8366" s="63" t="n"/>
    </row>
    <row r="8367" ht="18" customHeight="1">
      <c r="A8367" s="62" t="n"/>
      <c r="B8367" s="63" t="n"/>
      <c r="C8367" s="64" t="n"/>
      <c r="D8367" s="64" t="n"/>
      <c r="E8367" s="63" t="n"/>
    </row>
    <row r="8368" ht="18" customHeight="1">
      <c r="A8368" s="62" t="n"/>
      <c r="B8368" s="63" t="n"/>
      <c r="C8368" s="64" t="n"/>
      <c r="D8368" s="64" t="n"/>
      <c r="E8368" s="63" t="n"/>
    </row>
    <row r="8369" ht="18" customHeight="1">
      <c r="A8369" s="62" t="n"/>
      <c r="B8369" s="63" t="n"/>
      <c r="C8369" s="64" t="n"/>
      <c r="D8369" s="64" t="n"/>
      <c r="E8369" s="63" t="n"/>
    </row>
    <row r="8370" ht="18" customHeight="1">
      <c r="A8370" s="62" t="n"/>
      <c r="B8370" s="63" t="n"/>
      <c r="C8370" s="64" t="n"/>
      <c r="D8370" s="64" t="n"/>
      <c r="E8370" s="63" t="n"/>
    </row>
    <row r="8371" ht="18" customHeight="1">
      <c r="A8371" s="62" t="n"/>
      <c r="B8371" s="63" t="n"/>
      <c r="C8371" s="64" t="n"/>
      <c r="D8371" s="64" t="n"/>
      <c r="E8371" s="63" t="n"/>
    </row>
    <row r="8372" ht="18" customHeight="1">
      <c r="A8372" s="62" t="n"/>
      <c r="B8372" s="63" t="n"/>
      <c r="C8372" s="64" t="n"/>
      <c r="D8372" s="64" t="n"/>
      <c r="E8372" s="63" t="n"/>
    </row>
    <row r="8373" ht="18" customHeight="1">
      <c r="A8373" s="62" t="n"/>
      <c r="B8373" s="63" t="n"/>
      <c r="C8373" s="64" t="n"/>
      <c r="D8373" s="64" t="n"/>
      <c r="E8373" s="63" t="n"/>
    </row>
    <row r="8374" ht="18" customHeight="1">
      <c r="A8374" s="62" t="n"/>
      <c r="B8374" s="63" t="n"/>
      <c r="C8374" s="64" t="n"/>
      <c r="D8374" s="64" t="n"/>
      <c r="E8374" s="63" t="n"/>
    </row>
    <row r="8375" ht="18" customHeight="1">
      <c r="A8375" s="62" t="n"/>
      <c r="B8375" s="63" t="n"/>
      <c r="C8375" s="64" t="n"/>
      <c r="D8375" s="64" t="n"/>
      <c r="E8375" s="63" t="n"/>
    </row>
    <row r="8376" ht="18" customHeight="1">
      <c r="A8376" s="62" t="n"/>
      <c r="B8376" s="63" t="n"/>
      <c r="C8376" s="64" t="n"/>
      <c r="D8376" s="64" t="n"/>
      <c r="E8376" s="63" t="n"/>
    </row>
    <row r="8377" ht="18" customHeight="1">
      <c r="A8377" s="62" t="n"/>
      <c r="B8377" s="63" t="n"/>
      <c r="C8377" s="64" t="n"/>
      <c r="D8377" s="64" t="n"/>
      <c r="E8377" s="63" t="n"/>
    </row>
    <row r="8378" ht="18" customHeight="1">
      <c r="A8378" s="62" t="n"/>
      <c r="B8378" s="63" t="n"/>
      <c r="C8378" s="64" t="n"/>
      <c r="D8378" s="64" t="n"/>
      <c r="E8378" s="63" t="n"/>
    </row>
    <row r="8379" ht="18" customHeight="1">
      <c r="A8379" s="62" t="n"/>
      <c r="B8379" s="63" t="n"/>
      <c r="C8379" s="64" t="n"/>
      <c r="D8379" s="64" t="n"/>
      <c r="E8379" s="63" t="n"/>
    </row>
    <row r="8380" ht="18" customHeight="1">
      <c r="A8380" s="62" t="n"/>
      <c r="B8380" s="63" t="n"/>
      <c r="C8380" s="64" t="n"/>
      <c r="D8380" s="64" t="n"/>
      <c r="E8380" s="63" t="n"/>
    </row>
    <row r="8381" ht="18" customHeight="1">
      <c r="A8381" s="62" t="n"/>
      <c r="B8381" s="63" t="n"/>
      <c r="C8381" s="64" t="n"/>
      <c r="D8381" s="64" t="n"/>
      <c r="E8381" s="63" t="n"/>
    </row>
    <row r="8382" ht="18" customHeight="1">
      <c r="A8382" s="62" t="n"/>
      <c r="B8382" s="63" t="n"/>
      <c r="C8382" s="64" t="n"/>
      <c r="D8382" s="64" t="n"/>
      <c r="E8382" s="63" t="n"/>
    </row>
    <row r="8383" ht="18" customHeight="1">
      <c r="A8383" s="62" t="n"/>
      <c r="B8383" s="63" t="n"/>
      <c r="C8383" s="64" t="n"/>
      <c r="D8383" s="64" t="n"/>
      <c r="E8383" s="63" t="n"/>
    </row>
    <row r="8384" ht="18" customHeight="1">
      <c r="A8384" s="62" t="n"/>
      <c r="B8384" s="63" t="n"/>
      <c r="C8384" s="64" t="n"/>
      <c r="D8384" s="64" t="n"/>
      <c r="E8384" s="63" t="n"/>
    </row>
    <row r="8385" ht="18" customHeight="1">
      <c r="A8385" s="62" t="n"/>
      <c r="B8385" s="63" t="n"/>
      <c r="C8385" s="64" t="n"/>
      <c r="D8385" s="64" t="n"/>
      <c r="E8385" s="63" t="n"/>
    </row>
    <row r="8386" ht="18" customHeight="1">
      <c r="A8386" s="62" t="n"/>
      <c r="B8386" s="63" t="n"/>
      <c r="C8386" s="64" t="n"/>
      <c r="D8386" s="64" t="n"/>
      <c r="E8386" s="63" t="n"/>
    </row>
    <row r="8387" ht="18" customHeight="1">
      <c r="A8387" s="62" t="n"/>
      <c r="B8387" s="63" t="n"/>
      <c r="C8387" s="64" t="n"/>
      <c r="D8387" s="64" t="n"/>
      <c r="E8387" s="63" t="n"/>
    </row>
    <row r="8388" ht="18" customHeight="1">
      <c r="A8388" s="62" t="n"/>
      <c r="B8388" s="63" t="n"/>
      <c r="C8388" s="64" t="n"/>
      <c r="D8388" s="64" t="n"/>
      <c r="E8388" s="63" t="n"/>
    </row>
    <row r="8389" ht="18" customHeight="1">
      <c r="A8389" s="62" t="n"/>
      <c r="B8389" s="63" t="n"/>
      <c r="C8389" s="64" t="n"/>
      <c r="D8389" s="64" t="n"/>
      <c r="E8389" s="63" t="n"/>
    </row>
    <row r="8390" ht="18" customHeight="1">
      <c r="A8390" s="62" t="n"/>
      <c r="B8390" s="63" t="n"/>
      <c r="C8390" s="64" t="n"/>
      <c r="D8390" s="64" t="n"/>
      <c r="E8390" s="63" t="n"/>
    </row>
    <row r="8391" ht="18" customHeight="1">
      <c r="A8391" s="62" t="n"/>
      <c r="B8391" s="63" t="n"/>
      <c r="C8391" s="64" t="n"/>
      <c r="D8391" s="64" t="n"/>
      <c r="E8391" s="63" t="n"/>
    </row>
    <row r="8392" ht="18" customHeight="1">
      <c r="A8392" s="62" t="n"/>
      <c r="B8392" s="63" t="n"/>
      <c r="C8392" s="64" t="n"/>
      <c r="D8392" s="64" t="n"/>
      <c r="E8392" s="63" t="n"/>
    </row>
    <row r="8393" ht="18" customHeight="1">
      <c r="A8393" s="62" t="n"/>
      <c r="B8393" s="63" t="n"/>
      <c r="C8393" s="64" t="n"/>
      <c r="D8393" s="64" t="n"/>
      <c r="E8393" s="63" t="n"/>
    </row>
    <row r="8394" ht="18" customHeight="1">
      <c r="A8394" s="62" t="n"/>
      <c r="B8394" s="63" t="n"/>
      <c r="C8394" s="64" t="n"/>
      <c r="D8394" s="64" t="n"/>
      <c r="E8394" s="63" t="n"/>
    </row>
    <row r="8395" ht="18" customHeight="1">
      <c r="A8395" s="62" t="n"/>
      <c r="B8395" s="63" t="n"/>
      <c r="C8395" s="64" t="n"/>
      <c r="D8395" s="64" t="n"/>
      <c r="E8395" s="63" t="n"/>
    </row>
    <row r="8396" ht="18" customHeight="1">
      <c r="A8396" s="62" t="n"/>
      <c r="B8396" s="63" t="n"/>
      <c r="C8396" s="64" t="n"/>
      <c r="D8396" s="64" t="n"/>
      <c r="E8396" s="63" t="n"/>
    </row>
    <row r="8397" ht="18" customHeight="1">
      <c r="A8397" s="62" t="n"/>
      <c r="B8397" s="63" t="n"/>
      <c r="C8397" s="64" t="n"/>
      <c r="D8397" s="64" t="n"/>
      <c r="E8397" s="63" t="n"/>
    </row>
    <row r="8398" ht="18" customHeight="1">
      <c r="A8398" s="62" t="n"/>
      <c r="B8398" s="63" t="n"/>
      <c r="C8398" s="64" t="n"/>
      <c r="D8398" s="64" t="n"/>
      <c r="E8398" s="63" t="n"/>
    </row>
    <row r="8399" ht="18" customHeight="1">
      <c r="A8399" s="62" t="n"/>
      <c r="B8399" s="63" t="n"/>
      <c r="C8399" s="64" t="n"/>
      <c r="D8399" s="64" t="n"/>
      <c r="E8399" s="63" t="n"/>
    </row>
    <row r="8400" ht="18" customHeight="1">
      <c r="A8400" s="62" t="n"/>
      <c r="B8400" s="63" t="n"/>
      <c r="C8400" s="64" t="n"/>
      <c r="D8400" s="64" t="n"/>
      <c r="E8400" s="63" t="n"/>
    </row>
    <row r="8401" ht="18" customHeight="1">
      <c r="A8401" s="62" t="n"/>
      <c r="B8401" s="63" t="n"/>
      <c r="C8401" s="64" t="n"/>
      <c r="D8401" s="64" t="n"/>
      <c r="E8401" s="63" t="n"/>
    </row>
    <row r="8402" ht="18" customHeight="1">
      <c r="A8402" s="62" t="n"/>
      <c r="B8402" s="63" t="n"/>
      <c r="C8402" s="64" t="n"/>
      <c r="D8402" s="64" t="n"/>
      <c r="E8402" s="63" t="n"/>
    </row>
    <row r="8403" ht="18" customHeight="1">
      <c r="A8403" s="62" t="n"/>
      <c r="B8403" s="63" t="n"/>
      <c r="C8403" s="64" t="n"/>
      <c r="D8403" s="64" t="n"/>
      <c r="E8403" s="63" t="n"/>
    </row>
    <row r="8404" ht="18" customHeight="1">
      <c r="A8404" s="62" t="n"/>
      <c r="B8404" s="63" t="n"/>
      <c r="C8404" s="64" t="n"/>
      <c r="D8404" s="64" t="n"/>
      <c r="E8404" s="63" t="n"/>
    </row>
    <row r="8405" ht="18" customHeight="1">
      <c r="A8405" s="62" t="n"/>
      <c r="B8405" s="63" t="n"/>
      <c r="C8405" s="64" t="n"/>
      <c r="D8405" s="64" t="n"/>
      <c r="E8405" s="63" t="n"/>
    </row>
    <row r="8406" ht="18" customHeight="1">
      <c r="A8406" s="62" t="n"/>
      <c r="B8406" s="63" t="n"/>
      <c r="C8406" s="64" t="n"/>
      <c r="D8406" s="64" t="n"/>
      <c r="E8406" s="63" t="n"/>
    </row>
    <row r="8407" ht="18" customHeight="1">
      <c r="A8407" s="62" t="n"/>
      <c r="B8407" s="63" t="n"/>
      <c r="C8407" s="64" t="n"/>
      <c r="D8407" s="64" t="n"/>
      <c r="E8407" s="63" t="n"/>
    </row>
    <row r="8408" ht="18" customHeight="1">
      <c r="A8408" s="62" t="n"/>
      <c r="B8408" s="63" t="n"/>
      <c r="C8408" s="64" t="n"/>
      <c r="D8408" s="64" t="n"/>
      <c r="E8408" s="63" t="n"/>
    </row>
    <row r="8409" ht="18" customHeight="1">
      <c r="A8409" s="62" t="n"/>
      <c r="B8409" s="63" t="n"/>
      <c r="C8409" s="64" t="n"/>
      <c r="D8409" s="64" t="n"/>
      <c r="E8409" s="63" t="n"/>
    </row>
    <row r="8410" ht="18" customHeight="1">
      <c r="A8410" s="62" t="n"/>
      <c r="B8410" s="63" t="n"/>
      <c r="C8410" s="64" t="n"/>
      <c r="D8410" s="64" t="n"/>
      <c r="E8410" s="63" t="n"/>
    </row>
    <row r="8411" ht="18" customHeight="1">
      <c r="A8411" s="62" t="n"/>
      <c r="B8411" s="63" t="n"/>
      <c r="C8411" s="64" t="n"/>
      <c r="D8411" s="64" t="n"/>
      <c r="E8411" s="63" t="n"/>
    </row>
    <row r="8412" ht="18" customHeight="1">
      <c r="A8412" s="62" t="n"/>
      <c r="B8412" s="63" t="n"/>
      <c r="C8412" s="64" t="n"/>
      <c r="D8412" s="64" t="n"/>
      <c r="E8412" s="63" t="n"/>
    </row>
    <row r="8413" ht="18" customHeight="1">
      <c r="A8413" s="62" t="n"/>
      <c r="B8413" s="63" t="n"/>
      <c r="C8413" s="64" t="n"/>
      <c r="D8413" s="64" t="n"/>
      <c r="E8413" s="63" t="n"/>
    </row>
    <row r="8414" ht="18" customHeight="1">
      <c r="A8414" s="62" t="n"/>
      <c r="B8414" s="63" t="n"/>
      <c r="C8414" s="64" t="n"/>
      <c r="D8414" s="64" t="n"/>
      <c r="E8414" s="63" t="n"/>
    </row>
    <row r="8415" ht="18" customHeight="1">
      <c r="A8415" s="62" t="n"/>
      <c r="B8415" s="63" t="n"/>
      <c r="C8415" s="64" t="n"/>
      <c r="D8415" s="64" t="n"/>
      <c r="E8415" s="63" t="n"/>
    </row>
    <row r="8416" ht="18" customHeight="1">
      <c r="A8416" s="62" t="n"/>
      <c r="B8416" s="63" t="n"/>
      <c r="C8416" s="64" t="n"/>
      <c r="D8416" s="64" t="n"/>
      <c r="E8416" s="63" t="n"/>
    </row>
    <row r="8417" ht="18" customHeight="1">
      <c r="A8417" s="62" t="n"/>
      <c r="B8417" s="63" t="n"/>
      <c r="C8417" s="64" t="n"/>
      <c r="D8417" s="64" t="n"/>
      <c r="E8417" s="63" t="n"/>
    </row>
    <row r="8418" ht="18" customHeight="1">
      <c r="A8418" s="62" t="n"/>
      <c r="B8418" s="63" t="n"/>
      <c r="C8418" s="64" t="n"/>
      <c r="D8418" s="64" t="n"/>
      <c r="E8418" s="63" t="n"/>
    </row>
    <row r="8419" ht="18" customHeight="1">
      <c r="A8419" s="62" t="n"/>
      <c r="B8419" s="63" t="n"/>
      <c r="C8419" s="64" t="n"/>
      <c r="D8419" s="64" t="n"/>
      <c r="E8419" s="63" t="n"/>
    </row>
    <row r="8420" ht="18" customHeight="1">
      <c r="A8420" s="62" t="n"/>
      <c r="B8420" s="63" t="n"/>
      <c r="C8420" s="64" t="n"/>
      <c r="D8420" s="64" t="n"/>
      <c r="E8420" s="63" t="n"/>
    </row>
    <row r="8421" ht="18" customHeight="1">
      <c r="A8421" s="62" t="n"/>
      <c r="B8421" s="63" t="n"/>
      <c r="C8421" s="64" t="n"/>
      <c r="D8421" s="64" t="n"/>
      <c r="E8421" s="63" t="n"/>
    </row>
    <row r="8422" ht="18" customHeight="1">
      <c r="A8422" s="62" t="n"/>
      <c r="B8422" s="63" t="n"/>
      <c r="C8422" s="64" t="n"/>
      <c r="D8422" s="64" t="n"/>
      <c r="E8422" s="63" t="n"/>
    </row>
    <row r="8423" ht="18" customHeight="1">
      <c r="A8423" s="62" t="n"/>
      <c r="B8423" s="63" t="n"/>
      <c r="C8423" s="64" t="n"/>
      <c r="D8423" s="64" t="n"/>
      <c r="E8423" s="63" t="n"/>
    </row>
    <row r="8424" ht="18" customHeight="1">
      <c r="A8424" s="62" t="n"/>
      <c r="B8424" s="63" t="n"/>
      <c r="C8424" s="64" t="n"/>
      <c r="D8424" s="64" t="n"/>
      <c r="E8424" s="63" t="n"/>
    </row>
    <row r="8425" ht="18" customHeight="1">
      <c r="A8425" s="62" t="n"/>
      <c r="B8425" s="63" t="n"/>
      <c r="C8425" s="64" t="n"/>
      <c r="D8425" s="64" t="n"/>
      <c r="E8425" s="63" t="n"/>
    </row>
    <row r="8426" ht="18" customHeight="1">
      <c r="A8426" s="62" t="n"/>
      <c r="B8426" s="63" t="n"/>
      <c r="C8426" s="64" t="n"/>
      <c r="D8426" s="64" t="n"/>
      <c r="E8426" s="63" t="n"/>
    </row>
    <row r="8427" ht="18" customHeight="1">
      <c r="A8427" s="62" t="n"/>
      <c r="B8427" s="63" t="n"/>
      <c r="C8427" s="64" t="n"/>
      <c r="D8427" s="64" t="n"/>
      <c r="E8427" s="63" t="n"/>
    </row>
    <row r="8428" ht="18" customHeight="1">
      <c r="A8428" s="62" t="n"/>
      <c r="B8428" s="63" t="n"/>
      <c r="C8428" s="64" t="n"/>
      <c r="D8428" s="64" t="n"/>
      <c r="E8428" s="63" t="n"/>
    </row>
    <row r="8429" ht="18" customHeight="1">
      <c r="A8429" s="62" t="n"/>
      <c r="B8429" s="63" t="n"/>
      <c r="C8429" s="64" t="n"/>
      <c r="D8429" s="64" t="n"/>
      <c r="E8429" s="63" t="n"/>
    </row>
    <row r="8430" ht="18" customHeight="1">
      <c r="A8430" s="62" t="n"/>
      <c r="B8430" s="63" t="n"/>
      <c r="C8430" s="64" t="n"/>
      <c r="D8430" s="64" t="n"/>
      <c r="E8430" s="63" t="n"/>
    </row>
    <row r="8431" ht="18" customHeight="1">
      <c r="A8431" s="62" t="n"/>
      <c r="B8431" s="63" t="n"/>
      <c r="C8431" s="64" t="n"/>
      <c r="D8431" s="64" t="n"/>
      <c r="E8431" s="63" t="n"/>
    </row>
    <row r="8432" ht="18" customHeight="1">
      <c r="A8432" s="62" t="n"/>
      <c r="B8432" s="63" t="n"/>
      <c r="C8432" s="64" t="n"/>
      <c r="D8432" s="64" t="n"/>
      <c r="E8432" s="63" t="n"/>
    </row>
    <row r="8433" ht="18" customHeight="1">
      <c r="A8433" s="62" t="n"/>
      <c r="B8433" s="63" t="n"/>
      <c r="C8433" s="64" t="n"/>
      <c r="D8433" s="64" t="n"/>
      <c r="E8433" s="63" t="n"/>
    </row>
    <row r="8434" ht="18" customHeight="1">
      <c r="A8434" s="62" t="n"/>
      <c r="B8434" s="63" t="n"/>
      <c r="C8434" s="64" t="n"/>
      <c r="D8434" s="64" t="n"/>
      <c r="E8434" s="63" t="n"/>
    </row>
    <row r="8435" ht="18" customHeight="1">
      <c r="A8435" s="62" t="n"/>
      <c r="B8435" s="63" t="n"/>
      <c r="C8435" s="64" t="n"/>
      <c r="D8435" s="64" t="n"/>
      <c r="E8435" s="63" t="n"/>
    </row>
    <row r="8436" ht="18" customHeight="1">
      <c r="A8436" s="62" t="n"/>
      <c r="B8436" s="63" t="n"/>
      <c r="C8436" s="64" t="n"/>
      <c r="D8436" s="64" t="n"/>
      <c r="E8436" s="63" t="n"/>
    </row>
    <row r="8437" ht="18" customHeight="1">
      <c r="A8437" s="62" t="n"/>
      <c r="B8437" s="63" t="n"/>
      <c r="C8437" s="64" t="n"/>
      <c r="D8437" s="64" t="n"/>
      <c r="E8437" s="63" t="n"/>
    </row>
    <row r="8438" ht="18" customHeight="1">
      <c r="A8438" s="62" t="n"/>
      <c r="B8438" s="63" t="n"/>
      <c r="C8438" s="64" t="n"/>
      <c r="D8438" s="64" t="n"/>
      <c r="E8438" s="63" t="n"/>
    </row>
    <row r="8439" ht="18" customHeight="1">
      <c r="A8439" s="62" t="n"/>
      <c r="B8439" s="63" t="n"/>
      <c r="C8439" s="64" t="n"/>
      <c r="D8439" s="64" t="n"/>
      <c r="E8439" s="63" t="n"/>
    </row>
    <row r="8440" ht="18" customHeight="1">
      <c r="A8440" s="62" t="n"/>
      <c r="B8440" s="63" t="n"/>
      <c r="C8440" s="64" t="n"/>
      <c r="D8440" s="64" t="n"/>
      <c r="E8440" s="63" t="n"/>
    </row>
    <row r="8441" ht="18" customHeight="1">
      <c r="A8441" s="62" t="n"/>
      <c r="B8441" s="63" t="n"/>
      <c r="C8441" s="64" t="n"/>
      <c r="D8441" s="64" t="n"/>
      <c r="E8441" s="63" t="n"/>
    </row>
    <row r="8442" ht="18" customHeight="1">
      <c r="A8442" s="62" t="n"/>
      <c r="B8442" s="63" t="n"/>
      <c r="C8442" s="64" t="n"/>
      <c r="D8442" s="64" t="n"/>
      <c r="E8442" s="63" t="n"/>
    </row>
    <row r="8443" ht="18" customHeight="1">
      <c r="A8443" s="62" t="n"/>
      <c r="B8443" s="63" t="n"/>
      <c r="C8443" s="64" t="n"/>
      <c r="D8443" s="64" t="n"/>
      <c r="E8443" s="63" t="n"/>
    </row>
    <row r="8444" ht="18" customHeight="1">
      <c r="A8444" s="62" t="n"/>
      <c r="B8444" s="63" t="n"/>
      <c r="C8444" s="64" t="n"/>
      <c r="D8444" s="64" t="n"/>
      <c r="E8444" s="63" t="n"/>
    </row>
    <row r="8445" ht="18" customHeight="1">
      <c r="A8445" s="62" t="n"/>
      <c r="B8445" s="63" t="n"/>
      <c r="C8445" s="64" t="n"/>
      <c r="D8445" s="64" t="n"/>
      <c r="E8445" s="63" t="n"/>
    </row>
    <row r="8446" ht="18" customHeight="1">
      <c r="A8446" s="62" t="n"/>
      <c r="B8446" s="63" t="n"/>
      <c r="C8446" s="64" t="n"/>
      <c r="D8446" s="64" t="n"/>
      <c r="E8446" s="63" t="n"/>
    </row>
    <row r="8447" ht="18" customHeight="1">
      <c r="A8447" s="62" t="n"/>
      <c r="B8447" s="63" t="n"/>
      <c r="C8447" s="64" t="n"/>
      <c r="D8447" s="64" t="n"/>
      <c r="E8447" s="63" t="n"/>
    </row>
    <row r="8448" ht="18" customHeight="1">
      <c r="A8448" s="62" t="n"/>
      <c r="B8448" s="63" t="n"/>
      <c r="C8448" s="64" t="n"/>
      <c r="D8448" s="64" t="n"/>
      <c r="E8448" s="63" t="n"/>
    </row>
    <row r="8449" ht="18" customHeight="1">
      <c r="A8449" s="62" t="n"/>
      <c r="B8449" s="63" t="n"/>
      <c r="C8449" s="64" t="n"/>
      <c r="D8449" s="64" t="n"/>
      <c r="E8449" s="63" t="n"/>
    </row>
    <row r="8450" ht="18" customHeight="1">
      <c r="A8450" s="62" t="n"/>
      <c r="B8450" s="63" t="n"/>
      <c r="C8450" s="64" t="n"/>
      <c r="D8450" s="64" t="n"/>
      <c r="E8450" s="63" t="n"/>
    </row>
    <row r="8451" ht="18" customHeight="1">
      <c r="A8451" s="62" t="n"/>
      <c r="B8451" s="63" t="n"/>
      <c r="C8451" s="64" t="n"/>
      <c r="D8451" s="64" t="n"/>
      <c r="E8451" s="63" t="n"/>
    </row>
    <row r="8452" ht="18" customHeight="1">
      <c r="A8452" s="62" t="n"/>
      <c r="B8452" s="63" t="n"/>
      <c r="C8452" s="64" t="n"/>
      <c r="D8452" s="64" t="n"/>
      <c r="E8452" s="63" t="n"/>
    </row>
    <row r="8453" ht="18" customHeight="1">
      <c r="A8453" s="62" t="n"/>
      <c r="B8453" s="63" t="n"/>
      <c r="C8453" s="64" t="n"/>
      <c r="D8453" s="64" t="n"/>
      <c r="E8453" s="63" t="n"/>
    </row>
    <row r="8454" ht="18" customHeight="1">
      <c r="A8454" s="62" t="n"/>
      <c r="B8454" s="63" t="n"/>
      <c r="C8454" s="64" t="n"/>
      <c r="D8454" s="64" t="n"/>
      <c r="E8454" s="63" t="n"/>
    </row>
    <row r="8455" ht="18" customHeight="1">
      <c r="A8455" s="62" t="n"/>
      <c r="B8455" s="63" t="n"/>
      <c r="C8455" s="64" t="n"/>
      <c r="D8455" s="64" t="n"/>
      <c r="E8455" s="63" t="n"/>
    </row>
    <row r="8456" ht="18" customHeight="1">
      <c r="A8456" s="62" t="n"/>
      <c r="B8456" s="63" t="n"/>
      <c r="C8456" s="64" t="n"/>
      <c r="D8456" s="64" t="n"/>
      <c r="E8456" s="63" t="n"/>
    </row>
    <row r="8457" ht="18" customHeight="1">
      <c r="A8457" s="62" t="n"/>
      <c r="B8457" s="63" t="n"/>
      <c r="C8457" s="64" t="n"/>
      <c r="D8457" s="64" t="n"/>
      <c r="E8457" s="63" t="n"/>
    </row>
    <row r="8458" ht="18" customHeight="1">
      <c r="A8458" s="62" t="n"/>
      <c r="B8458" s="63" t="n"/>
      <c r="C8458" s="64" t="n"/>
      <c r="D8458" s="64" t="n"/>
      <c r="E8458" s="63" t="n"/>
    </row>
    <row r="8459" ht="18" customHeight="1">
      <c r="A8459" s="62" t="n"/>
      <c r="B8459" s="63" t="n"/>
      <c r="C8459" s="64" t="n"/>
      <c r="D8459" s="64" t="n"/>
      <c r="E8459" s="63" t="n"/>
    </row>
    <row r="8460" ht="18" customHeight="1">
      <c r="A8460" s="62" t="n"/>
      <c r="B8460" s="63" t="n"/>
      <c r="C8460" s="64" t="n"/>
      <c r="D8460" s="64" t="n"/>
      <c r="E8460" s="63" t="n"/>
    </row>
    <row r="8461" ht="18" customHeight="1">
      <c r="A8461" s="62" t="n"/>
      <c r="B8461" s="63" t="n"/>
      <c r="C8461" s="64" t="n"/>
      <c r="D8461" s="64" t="n"/>
      <c r="E8461" s="63" t="n"/>
    </row>
    <row r="8462" ht="18" customHeight="1">
      <c r="A8462" s="62" t="n"/>
      <c r="B8462" s="63" t="n"/>
      <c r="C8462" s="64" t="n"/>
      <c r="D8462" s="64" t="n"/>
      <c r="E8462" s="63" t="n"/>
    </row>
    <row r="8463" ht="18" customHeight="1">
      <c r="A8463" s="62" t="n"/>
      <c r="B8463" s="63" t="n"/>
      <c r="C8463" s="64" t="n"/>
      <c r="D8463" s="64" t="n"/>
      <c r="E8463" s="63" t="n"/>
    </row>
    <row r="8464" ht="18" customHeight="1">
      <c r="A8464" s="62" t="n"/>
      <c r="B8464" s="63" t="n"/>
      <c r="C8464" s="64" t="n"/>
      <c r="D8464" s="64" t="n"/>
      <c r="E8464" s="63" t="n"/>
    </row>
    <row r="8465" ht="18" customHeight="1">
      <c r="A8465" s="62" t="n"/>
      <c r="B8465" s="63" t="n"/>
      <c r="C8465" s="64" t="n"/>
      <c r="D8465" s="64" t="n"/>
      <c r="E8465" s="63" t="n"/>
    </row>
    <row r="8466" ht="18" customHeight="1">
      <c r="A8466" s="62" t="n"/>
      <c r="B8466" s="63" t="n"/>
      <c r="C8466" s="64" t="n"/>
      <c r="D8466" s="64" t="n"/>
      <c r="E8466" s="63" t="n"/>
    </row>
    <row r="8467" ht="18" customHeight="1">
      <c r="A8467" s="62" t="n"/>
      <c r="B8467" s="63" t="n"/>
      <c r="C8467" s="64" t="n"/>
      <c r="D8467" s="64" t="n"/>
      <c r="E8467" s="63" t="n"/>
    </row>
    <row r="8468" ht="18" customHeight="1">
      <c r="A8468" s="62" t="n"/>
      <c r="B8468" s="63" t="n"/>
      <c r="C8468" s="64" t="n"/>
      <c r="D8468" s="64" t="n"/>
      <c r="E8468" s="63" t="n"/>
    </row>
    <row r="8469" ht="18" customHeight="1">
      <c r="A8469" s="62" t="n"/>
      <c r="B8469" s="63" t="n"/>
      <c r="C8469" s="64" t="n"/>
      <c r="D8469" s="64" t="n"/>
      <c r="E8469" s="63" t="n"/>
    </row>
    <row r="8470" ht="18" customHeight="1">
      <c r="A8470" s="62" t="n"/>
      <c r="B8470" s="63" t="n"/>
      <c r="C8470" s="64" t="n"/>
      <c r="D8470" s="64" t="n"/>
      <c r="E8470" s="63" t="n"/>
    </row>
    <row r="8471" ht="18" customHeight="1">
      <c r="A8471" s="62" t="n"/>
      <c r="B8471" s="63" t="n"/>
      <c r="C8471" s="64" t="n"/>
      <c r="D8471" s="64" t="n"/>
      <c r="E8471" s="63" t="n"/>
    </row>
    <row r="8472" ht="18" customHeight="1">
      <c r="A8472" s="62" t="n"/>
      <c r="B8472" s="63" t="n"/>
      <c r="C8472" s="64" t="n"/>
      <c r="D8472" s="64" t="n"/>
      <c r="E8472" s="63" t="n"/>
    </row>
    <row r="8473" ht="18" customHeight="1">
      <c r="A8473" s="62" t="n"/>
      <c r="B8473" s="63" t="n"/>
      <c r="C8473" s="64" t="n"/>
      <c r="D8473" s="64" t="n"/>
      <c r="E8473" s="63" t="n"/>
    </row>
    <row r="8474" ht="18" customHeight="1">
      <c r="A8474" s="62" t="n"/>
      <c r="B8474" s="63" t="n"/>
      <c r="C8474" s="64" t="n"/>
      <c r="D8474" s="64" t="n"/>
      <c r="E8474" s="63" t="n"/>
    </row>
    <row r="8475" ht="18" customHeight="1">
      <c r="A8475" s="62" t="n"/>
      <c r="B8475" s="63" t="n"/>
      <c r="C8475" s="64" t="n"/>
      <c r="D8475" s="64" t="n"/>
      <c r="E8475" s="63" t="n"/>
    </row>
    <row r="8476" ht="18" customHeight="1">
      <c r="A8476" s="62" t="n"/>
      <c r="B8476" s="63" t="n"/>
      <c r="C8476" s="64" t="n"/>
      <c r="D8476" s="64" t="n"/>
      <c r="E8476" s="63" t="n"/>
    </row>
    <row r="8477" ht="18" customHeight="1">
      <c r="A8477" s="62" t="n"/>
      <c r="B8477" s="63" t="n"/>
      <c r="C8477" s="64" t="n"/>
      <c r="D8477" s="64" t="n"/>
      <c r="E8477" s="63" t="n"/>
    </row>
    <row r="8478" ht="18" customHeight="1">
      <c r="A8478" s="62" t="n"/>
      <c r="B8478" s="63" t="n"/>
      <c r="C8478" s="64" t="n"/>
      <c r="D8478" s="64" t="n"/>
      <c r="E8478" s="63" t="n"/>
    </row>
    <row r="8479" ht="18" customHeight="1">
      <c r="A8479" s="62" t="n"/>
      <c r="B8479" s="63" t="n"/>
      <c r="C8479" s="64" t="n"/>
      <c r="D8479" s="64" t="n"/>
      <c r="E8479" s="63" t="n"/>
    </row>
    <row r="8480" ht="18" customHeight="1">
      <c r="A8480" s="62" t="n"/>
      <c r="B8480" s="63" t="n"/>
      <c r="C8480" s="64" t="n"/>
      <c r="D8480" s="64" t="n"/>
      <c r="E8480" s="63" t="n"/>
    </row>
    <row r="8481" ht="18" customHeight="1">
      <c r="A8481" s="62" t="n"/>
      <c r="B8481" s="63" t="n"/>
      <c r="C8481" s="64" t="n"/>
      <c r="D8481" s="64" t="n"/>
      <c r="E8481" s="63" t="n"/>
    </row>
    <row r="8482" ht="18" customHeight="1">
      <c r="A8482" s="62" t="n"/>
      <c r="B8482" s="63" t="n"/>
      <c r="C8482" s="64" t="n"/>
      <c r="D8482" s="64" t="n"/>
      <c r="E8482" s="63" t="n"/>
    </row>
    <row r="8483" ht="18" customHeight="1">
      <c r="A8483" s="62" t="n"/>
      <c r="B8483" s="63" t="n"/>
      <c r="C8483" s="64" t="n"/>
      <c r="D8483" s="64" t="n"/>
      <c r="E8483" s="63" t="n"/>
    </row>
    <row r="8484" ht="18" customHeight="1">
      <c r="A8484" s="62" t="n"/>
      <c r="B8484" s="63" t="n"/>
      <c r="C8484" s="64" t="n"/>
      <c r="D8484" s="64" t="n"/>
      <c r="E8484" s="63" t="n"/>
    </row>
    <row r="8485" ht="18" customHeight="1">
      <c r="A8485" s="62" t="n"/>
      <c r="B8485" s="63" t="n"/>
      <c r="C8485" s="64" t="n"/>
      <c r="D8485" s="64" t="n"/>
      <c r="E8485" s="63" t="n"/>
    </row>
    <row r="8486" ht="18" customHeight="1">
      <c r="A8486" s="62" t="n"/>
      <c r="B8486" s="63" t="n"/>
      <c r="C8486" s="64" t="n"/>
      <c r="D8486" s="64" t="n"/>
      <c r="E8486" s="63" t="n"/>
    </row>
    <row r="8487" ht="18" customHeight="1">
      <c r="A8487" s="62" t="n"/>
      <c r="B8487" s="63" t="n"/>
      <c r="C8487" s="64" t="n"/>
      <c r="D8487" s="64" t="n"/>
      <c r="E8487" s="63" t="n"/>
    </row>
    <row r="8488" ht="18" customHeight="1">
      <c r="A8488" s="62" t="n"/>
      <c r="B8488" s="63" t="n"/>
      <c r="C8488" s="64" t="n"/>
      <c r="D8488" s="64" t="n"/>
      <c r="E8488" s="63" t="n"/>
    </row>
    <row r="8489" ht="18" customHeight="1">
      <c r="A8489" s="62" t="n"/>
      <c r="B8489" s="63" t="n"/>
      <c r="C8489" s="64" t="n"/>
      <c r="D8489" s="64" t="n"/>
      <c r="E8489" s="63" t="n"/>
    </row>
    <row r="8490" ht="18" customHeight="1">
      <c r="A8490" s="62" t="n"/>
      <c r="B8490" s="63" t="n"/>
      <c r="C8490" s="64" t="n"/>
      <c r="D8490" s="64" t="n"/>
      <c r="E8490" s="63" t="n"/>
    </row>
    <row r="8491" ht="18" customHeight="1">
      <c r="A8491" s="62" t="n"/>
      <c r="B8491" s="63" t="n"/>
      <c r="C8491" s="64" t="n"/>
      <c r="D8491" s="64" t="n"/>
      <c r="E8491" s="63" t="n"/>
    </row>
    <row r="8492" ht="18" customHeight="1">
      <c r="A8492" s="62" t="n"/>
      <c r="B8492" s="63" t="n"/>
      <c r="C8492" s="64" t="n"/>
      <c r="D8492" s="64" t="n"/>
      <c r="E8492" s="63" t="n"/>
    </row>
    <row r="8493" ht="18" customHeight="1">
      <c r="A8493" s="62" t="n"/>
      <c r="B8493" s="63" t="n"/>
      <c r="C8493" s="64" t="n"/>
      <c r="D8493" s="64" t="n"/>
      <c r="E8493" s="63" t="n"/>
    </row>
    <row r="8494" ht="18" customHeight="1">
      <c r="A8494" s="62" t="n"/>
      <c r="B8494" s="63" t="n"/>
      <c r="C8494" s="64" t="n"/>
      <c r="D8494" s="64" t="n"/>
      <c r="E8494" s="63" t="n"/>
    </row>
    <row r="8495" ht="18" customHeight="1">
      <c r="A8495" s="62" t="n"/>
      <c r="B8495" s="63" t="n"/>
      <c r="C8495" s="64" t="n"/>
      <c r="D8495" s="64" t="n"/>
      <c r="E8495" s="63" t="n"/>
    </row>
    <row r="8496" ht="18" customHeight="1">
      <c r="A8496" s="62" t="n"/>
      <c r="B8496" s="63" t="n"/>
      <c r="C8496" s="64" t="n"/>
      <c r="D8496" s="64" t="n"/>
      <c r="E8496" s="63" t="n"/>
    </row>
    <row r="8497" ht="18" customHeight="1">
      <c r="A8497" s="62" t="n"/>
      <c r="B8497" s="63" t="n"/>
      <c r="C8497" s="64" t="n"/>
      <c r="D8497" s="64" t="n"/>
      <c r="E8497" s="63" t="n"/>
    </row>
    <row r="8498" ht="18" customHeight="1">
      <c r="A8498" s="62" t="n"/>
      <c r="B8498" s="63" t="n"/>
      <c r="C8498" s="64" t="n"/>
      <c r="D8498" s="64" t="n"/>
      <c r="E8498" s="63" t="n"/>
    </row>
    <row r="8499" ht="18" customHeight="1">
      <c r="A8499" s="62" t="n"/>
      <c r="B8499" s="63" t="n"/>
      <c r="C8499" s="64" t="n"/>
      <c r="D8499" s="64" t="n"/>
      <c r="E8499" s="63" t="n"/>
    </row>
    <row r="8500" ht="18" customHeight="1">
      <c r="A8500" s="62" t="n"/>
      <c r="B8500" s="63" t="n"/>
      <c r="C8500" s="64" t="n"/>
      <c r="D8500" s="64" t="n"/>
      <c r="E8500" s="63" t="n"/>
    </row>
    <row r="8501" ht="18" customHeight="1">
      <c r="A8501" s="62" t="n"/>
      <c r="B8501" s="63" t="n"/>
      <c r="C8501" s="64" t="n"/>
      <c r="D8501" s="64" t="n"/>
      <c r="E8501" s="63" t="n"/>
    </row>
    <row r="8502" ht="18" customHeight="1">
      <c r="A8502" s="62" t="n"/>
      <c r="B8502" s="63" t="n"/>
      <c r="C8502" s="64" t="n"/>
      <c r="D8502" s="64" t="n"/>
      <c r="E8502" s="63" t="n"/>
    </row>
    <row r="8503" ht="18" customHeight="1">
      <c r="A8503" s="62" t="n"/>
      <c r="B8503" s="63" t="n"/>
      <c r="C8503" s="64" t="n"/>
      <c r="D8503" s="64" t="n"/>
      <c r="E8503" s="63" t="n"/>
    </row>
    <row r="8504" ht="18" customHeight="1">
      <c r="A8504" s="62" t="n"/>
      <c r="B8504" s="63" t="n"/>
      <c r="C8504" s="64" t="n"/>
      <c r="D8504" s="64" t="n"/>
      <c r="E8504" s="63" t="n"/>
    </row>
    <row r="8505" ht="18" customHeight="1">
      <c r="A8505" s="62" t="n"/>
      <c r="B8505" s="63" t="n"/>
      <c r="C8505" s="64" t="n"/>
      <c r="D8505" s="64" t="n"/>
      <c r="E8505" s="63" t="n"/>
    </row>
    <row r="8506" ht="18" customHeight="1">
      <c r="A8506" s="62" t="n"/>
      <c r="B8506" s="63" t="n"/>
      <c r="C8506" s="64" t="n"/>
      <c r="D8506" s="64" t="n"/>
      <c r="E8506" s="63" t="n"/>
    </row>
    <row r="8507" ht="18" customHeight="1">
      <c r="A8507" s="62" t="n"/>
      <c r="B8507" s="63" t="n"/>
      <c r="C8507" s="64" t="n"/>
      <c r="D8507" s="64" t="n"/>
      <c r="E8507" s="63" t="n"/>
    </row>
    <row r="8508" ht="18" customHeight="1">
      <c r="A8508" s="62" t="n"/>
      <c r="B8508" s="63" t="n"/>
      <c r="C8508" s="64" t="n"/>
      <c r="D8508" s="64" t="n"/>
      <c r="E8508" s="63" t="n"/>
    </row>
    <row r="8509" ht="18" customHeight="1">
      <c r="A8509" s="62" t="n"/>
      <c r="B8509" s="63" t="n"/>
      <c r="C8509" s="64" t="n"/>
      <c r="D8509" s="64" t="n"/>
      <c r="E8509" s="63" t="n"/>
    </row>
    <row r="8510" ht="18" customHeight="1">
      <c r="A8510" s="62" t="n"/>
      <c r="B8510" s="63" t="n"/>
      <c r="C8510" s="64" t="n"/>
      <c r="D8510" s="64" t="n"/>
      <c r="E8510" s="63" t="n"/>
    </row>
    <row r="8511" ht="18" customHeight="1">
      <c r="A8511" s="62" t="n"/>
      <c r="B8511" s="63" t="n"/>
      <c r="C8511" s="64" t="n"/>
      <c r="D8511" s="64" t="n"/>
      <c r="E8511" s="63" t="n"/>
    </row>
    <row r="8512" ht="18" customHeight="1">
      <c r="A8512" s="62" t="n"/>
      <c r="B8512" s="63" t="n"/>
      <c r="C8512" s="64" t="n"/>
      <c r="D8512" s="64" t="n"/>
      <c r="E8512" s="63" t="n"/>
    </row>
    <row r="8513" ht="18" customHeight="1">
      <c r="A8513" s="62" t="n"/>
      <c r="B8513" s="63" t="n"/>
      <c r="C8513" s="64" t="n"/>
      <c r="D8513" s="64" t="n"/>
      <c r="E8513" s="63" t="n"/>
    </row>
    <row r="8514" ht="18" customHeight="1">
      <c r="A8514" s="62" t="n"/>
      <c r="B8514" s="63" t="n"/>
      <c r="C8514" s="64" t="n"/>
      <c r="D8514" s="64" t="n"/>
      <c r="E8514" s="63" t="n"/>
    </row>
    <row r="8515" ht="18" customHeight="1">
      <c r="A8515" s="62" t="n"/>
      <c r="B8515" s="63" t="n"/>
      <c r="C8515" s="64" t="n"/>
      <c r="D8515" s="64" t="n"/>
      <c r="E8515" s="63" t="n"/>
    </row>
    <row r="8516" ht="18" customHeight="1">
      <c r="A8516" s="62" t="n"/>
      <c r="B8516" s="63" t="n"/>
      <c r="C8516" s="64" t="n"/>
      <c r="D8516" s="64" t="n"/>
      <c r="E8516" s="63" t="n"/>
    </row>
    <row r="8517" ht="18" customHeight="1">
      <c r="A8517" s="62" t="n"/>
      <c r="B8517" s="63" t="n"/>
      <c r="C8517" s="64" t="n"/>
      <c r="D8517" s="64" t="n"/>
      <c r="E8517" s="63" t="n"/>
    </row>
    <row r="8518" ht="18" customHeight="1">
      <c r="A8518" s="62" t="n"/>
      <c r="B8518" s="63" t="n"/>
      <c r="C8518" s="64" t="n"/>
      <c r="D8518" s="64" t="n"/>
      <c r="E8518" s="63" t="n"/>
    </row>
    <row r="8519" ht="18" customHeight="1">
      <c r="A8519" s="62" t="n"/>
      <c r="B8519" s="63" t="n"/>
      <c r="C8519" s="64" t="n"/>
      <c r="D8519" s="64" t="n"/>
      <c r="E8519" s="63" t="n"/>
    </row>
    <row r="8520" ht="18" customHeight="1">
      <c r="A8520" s="62" t="n"/>
      <c r="B8520" s="63" t="n"/>
      <c r="C8520" s="64" t="n"/>
      <c r="D8520" s="64" t="n"/>
      <c r="E8520" s="63" t="n"/>
    </row>
    <row r="8521" ht="18" customHeight="1">
      <c r="A8521" s="62" t="n"/>
      <c r="B8521" s="63" t="n"/>
      <c r="C8521" s="64" t="n"/>
      <c r="D8521" s="64" t="n"/>
      <c r="E8521" s="63" t="n"/>
    </row>
    <row r="8522" ht="18" customHeight="1">
      <c r="A8522" s="62" t="n"/>
      <c r="B8522" s="63" t="n"/>
      <c r="C8522" s="64" t="n"/>
      <c r="D8522" s="64" t="n"/>
      <c r="E8522" s="63" t="n"/>
    </row>
    <row r="8523" ht="18" customHeight="1">
      <c r="A8523" s="62" t="n"/>
      <c r="B8523" s="63" t="n"/>
      <c r="C8523" s="64" t="n"/>
      <c r="D8523" s="64" t="n"/>
      <c r="E8523" s="63" t="n"/>
    </row>
    <row r="8524" ht="18" customHeight="1">
      <c r="A8524" s="62" t="n"/>
      <c r="B8524" s="63" t="n"/>
      <c r="C8524" s="64" t="n"/>
      <c r="D8524" s="64" t="n"/>
      <c r="E8524" s="63" t="n"/>
    </row>
    <row r="8525" ht="18" customHeight="1">
      <c r="A8525" s="62" t="n"/>
      <c r="B8525" s="63" t="n"/>
      <c r="C8525" s="64" t="n"/>
      <c r="D8525" s="64" t="n"/>
      <c r="E8525" s="63" t="n"/>
    </row>
    <row r="8526" ht="18" customHeight="1">
      <c r="A8526" s="62" t="n"/>
      <c r="B8526" s="63" t="n"/>
      <c r="C8526" s="64" t="n"/>
      <c r="D8526" s="64" t="n"/>
      <c r="E8526" s="63" t="n"/>
    </row>
    <row r="8527" ht="18" customHeight="1">
      <c r="A8527" s="62" t="n"/>
      <c r="B8527" s="63" t="n"/>
      <c r="C8527" s="64" t="n"/>
      <c r="D8527" s="64" t="n"/>
      <c r="E8527" s="63" t="n"/>
    </row>
    <row r="8528" ht="18" customHeight="1">
      <c r="A8528" s="62" t="n"/>
      <c r="B8528" s="63" t="n"/>
      <c r="C8528" s="64" t="n"/>
      <c r="D8528" s="64" t="n"/>
      <c r="E8528" s="63" t="n"/>
    </row>
    <row r="8529" ht="18" customHeight="1">
      <c r="A8529" s="62" t="n"/>
      <c r="B8529" s="63" t="n"/>
      <c r="C8529" s="64" t="n"/>
      <c r="D8529" s="64" t="n"/>
      <c r="E8529" s="63" t="n"/>
    </row>
    <row r="8530" ht="18" customHeight="1">
      <c r="A8530" s="62" t="n"/>
      <c r="B8530" s="63" t="n"/>
      <c r="C8530" s="64" t="n"/>
      <c r="D8530" s="64" t="n"/>
      <c r="E8530" s="63" t="n"/>
    </row>
    <row r="8531" ht="18" customHeight="1">
      <c r="A8531" s="62" t="n"/>
      <c r="B8531" s="63" t="n"/>
      <c r="C8531" s="64" t="n"/>
      <c r="D8531" s="64" t="n"/>
      <c r="E8531" s="63" t="n"/>
    </row>
    <row r="8532" ht="18" customHeight="1">
      <c r="A8532" s="62" t="n"/>
      <c r="B8532" s="63" t="n"/>
      <c r="C8532" s="64" t="n"/>
      <c r="D8532" s="64" t="n"/>
      <c r="E8532" s="63" t="n"/>
    </row>
    <row r="8533" ht="18" customHeight="1">
      <c r="A8533" s="62" t="n"/>
      <c r="B8533" s="63" t="n"/>
      <c r="C8533" s="64" t="n"/>
      <c r="D8533" s="64" t="n"/>
      <c r="E8533" s="63" t="n"/>
    </row>
    <row r="8534" ht="18" customHeight="1">
      <c r="A8534" s="62" t="n"/>
      <c r="B8534" s="63" t="n"/>
      <c r="C8534" s="64" t="n"/>
      <c r="D8534" s="64" t="n"/>
      <c r="E8534" s="63" t="n"/>
    </row>
    <row r="8535" ht="18" customHeight="1">
      <c r="A8535" s="62" t="n"/>
      <c r="B8535" s="63" t="n"/>
      <c r="C8535" s="64" t="n"/>
      <c r="D8535" s="64" t="n"/>
      <c r="E8535" s="63" t="n"/>
    </row>
    <row r="8536" ht="18" customHeight="1">
      <c r="A8536" s="62" t="n"/>
      <c r="B8536" s="63" t="n"/>
      <c r="C8536" s="64" t="n"/>
      <c r="D8536" s="64" t="n"/>
      <c r="E8536" s="63" t="n"/>
    </row>
    <row r="8537" ht="18" customHeight="1">
      <c r="A8537" s="62" t="n"/>
      <c r="B8537" s="63" t="n"/>
      <c r="C8537" s="64" t="n"/>
      <c r="D8537" s="64" t="n"/>
      <c r="E8537" s="63" t="n"/>
    </row>
    <row r="8538" ht="18" customHeight="1">
      <c r="A8538" s="62" t="n"/>
      <c r="B8538" s="63" t="n"/>
      <c r="C8538" s="64" t="n"/>
      <c r="D8538" s="64" t="n"/>
      <c r="E8538" s="63" t="n"/>
    </row>
    <row r="8539" ht="18" customHeight="1">
      <c r="A8539" s="62" t="n"/>
      <c r="B8539" s="63" t="n"/>
      <c r="C8539" s="64" t="n"/>
      <c r="D8539" s="64" t="n"/>
      <c r="E8539" s="63" t="n"/>
    </row>
    <row r="8540" ht="18" customHeight="1">
      <c r="A8540" s="62" t="n"/>
      <c r="B8540" s="63" t="n"/>
      <c r="C8540" s="64" t="n"/>
      <c r="D8540" s="64" t="n"/>
      <c r="E8540" s="63" t="n"/>
    </row>
    <row r="8541" ht="18" customHeight="1">
      <c r="A8541" s="62" t="n"/>
      <c r="B8541" s="63" t="n"/>
      <c r="C8541" s="64" t="n"/>
      <c r="D8541" s="64" t="n"/>
      <c r="E8541" s="63" t="n"/>
    </row>
    <row r="8542" ht="18" customHeight="1">
      <c r="A8542" s="62" t="n"/>
      <c r="B8542" s="63" t="n"/>
      <c r="C8542" s="64" t="n"/>
      <c r="D8542" s="64" t="n"/>
      <c r="E8542" s="63" t="n"/>
    </row>
    <row r="8543" ht="18" customHeight="1">
      <c r="A8543" s="62" t="n"/>
      <c r="B8543" s="63" t="n"/>
      <c r="C8543" s="64" t="n"/>
      <c r="D8543" s="64" t="n"/>
      <c r="E8543" s="63" t="n"/>
    </row>
    <row r="8544" ht="18" customHeight="1">
      <c r="A8544" s="62" t="n"/>
      <c r="B8544" s="63" t="n"/>
      <c r="C8544" s="64" t="n"/>
      <c r="D8544" s="64" t="n"/>
      <c r="E8544" s="63" t="n"/>
    </row>
    <row r="8545" ht="18" customHeight="1">
      <c r="A8545" s="62" t="n"/>
      <c r="B8545" s="63" t="n"/>
      <c r="C8545" s="64" t="n"/>
      <c r="D8545" s="64" t="n"/>
      <c r="E8545" s="63" t="n"/>
    </row>
    <row r="8546" ht="18" customHeight="1">
      <c r="A8546" s="62" t="n"/>
      <c r="B8546" s="63" t="n"/>
      <c r="C8546" s="64" t="n"/>
      <c r="D8546" s="64" t="n"/>
      <c r="E8546" s="63" t="n"/>
    </row>
    <row r="8547" ht="18" customHeight="1">
      <c r="A8547" s="62" t="n"/>
      <c r="B8547" s="63" t="n"/>
      <c r="C8547" s="64" t="n"/>
      <c r="D8547" s="64" t="n"/>
      <c r="E8547" s="63" t="n"/>
    </row>
    <row r="8548" ht="18" customHeight="1">
      <c r="A8548" s="62" t="n"/>
      <c r="B8548" s="63" t="n"/>
      <c r="C8548" s="64" t="n"/>
      <c r="D8548" s="64" t="n"/>
      <c r="E8548" s="63" t="n"/>
    </row>
    <row r="8549" ht="18" customHeight="1">
      <c r="A8549" s="62" t="n"/>
      <c r="B8549" s="63" t="n"/>
      <c r="C8549" s="64" t="n"/>
      <c r="D8549" s="64" t="n"/>
      <c r="E8549" s="63" t="n"/>
    </row>
    <row r="8550" ht="18" customHeight="1">
      <c r="A8550" s="62" t="n"/>
      <c r="B8550" s="63" t="n"/>
      <c r="C8550" s="64" t="n"/>
      <c r="D8550" s="64" t="n"/>
      <c r="E8550" s="63" t="n"/>
    </row>
    <row r="8551" ht="18" customHeight="1">
      <c r="A8551" s="62" t="n"/>
      <c r="B8551" s="63" t="n"/>
      <c r="C8551" s="64" t="n"/>
      <c r="D8551" s="64" t="n"/>
      <c r="E8551" s="63" t="n"/>
    </row>
    <row r="8552" ht="18" customHeight="1">
      <c r="A8552" s="62" t="n"/>
      <c r="B8552" s="63" t="n"/>
      <c r="C8552" s="64" t="n"/>
      <c r="D8552" s="64" t="n"/>
      <c r="E8552" s="63" t="n"/>
    </row>
    <row r="8553" ht="18" customHeight="1">
      <c r="A8553" s="62" t="n"/>
      <c r="B8553" s="63" t="n"/>
      <c r="C8553" s="64" t="n"/>
      <c r="D8553" s="64" t="n"/>
      <c r="E8553" s="63" t="n"/>
    </row>
    <row r="8554" ht="18" customHeight="1">
      <c r="A8554" s="62" t="n"/>
      <c r="B8554" s="63" t="n"/>
      <c r="C8554" s="64" t="n"/>
      <c r="D8554" s="64" t="n"/>
      <c r="E8554" s="63" t="n"/>
    </row>
    <row r="8555" ht="18" customHeight="1">
      <c r="A8555" s="62" t="n"/>
      <c r="B8555" s="63" t="n"/>
      <c r="C8555" s="64" t="n"/>
      <c r="D8555" s="64" t="n"/>
      <c r="E8555" s="63" t="n"/>
    </row>
    <row r="8556" ht="18" customHeight="1">
      <c r="A8556" s="62" t="n"/>
      <c r="B8556" s="63" t="n"/>
      <c r="C8556" s="64" t="n"/>
      <c r="D8556" s="64" t="n"/>
      <c r="E8556" s="63" t="n"/>
    </row>
    <row r="8557" ht="18" customHeight="1">
      <c r="A8557" s="62" t="n"/>
      <c r="B8557" s="63" t="n"/>
      <c r="C8557" s="64" t="n"/>
      <c r="D8557" s="64" t="n"/>
      <c r="E8557" s="63" t="n"/>
    </row>
    <row r="8558" ht="18" customHeight="1">
      <c r="A8558" s="62" t="n"/>
      <c r="B8558" s="63" t="n"/>
      <c r="C8558" s="64" t="n"/>
      <c r="D8558" s="64" t="n"/>
      <c r="E8558" s="63" t="n"/>
    </row>
    <row r="8559" ht="18" customHeight="1">
      <c r="A8559" s="62" t="n"/>
      <c r="B8559" s="63" t="n"/>
      <c r="C8559" s="64" t="n"/>
      <c r="D8559" s="64" t="n"/>
      <c r="E8559" s="63" t="n"/>
    </row>
    <row r="8560" ht="18" customHeight="1">
      <c r="A8560" s="62" t="n"/>
      <c r="B8560" s="63" t="n"/>
      <c r="C8560" s="64" t="n"/>
      <c r="D8560" s="64" t="n"/>
      <c r="E8560" s="63" t="n"/>
    </row>
    <row r="8561" ht="18" customHeight="1">
      <c r="A8561" s="62" t="n"/>
      <c r="B8561" s="63" t="n"/>
      <c r="C8561" s="64" t="n"/>
      <c r="D8561" s="64" t="n"/>
      <c r="E8561" s="63" t="n"/>
    </row>
    <row r="8562" ht="18" customHeight="1">
      <c r="A8562" s="62" t="n"/>
      <c r="B8562" s="63" t="n"/>
      <c r="C8562" s="64" t="n"/>
      <c r="D8562" s="64" t="n"/>
      <c r="E8562" s="63" t="n"/>
    </row>
    <row r="8563" ht="18" customHeight="1">
      <c r="A8563" s="62" t="n"/>
      <c r="B8563" s="63" t="n"/>
      <c r="C8563" s="64" t="n"/>
      <c r="D8563" s="64" t="n"/>
      <c r="E8563" s="63" t="n"/>
    </row>
    <row r="8564" ht="18" customHeight="1">
      <c r="A8564" s="62" t="n"/>
      <c r="B8564" s="63" t="n"/>
      <c r="C8564" s="64" t="n"/>
      <c r="D8564" s="64" t="n"/>
      <c r="E8564" s="63" t="n"/>
    </row>
    <row r="8565" ht="18" customHeight="1">
      <c r="A8565" s="62" t="n"/>
      <c r="B8565" s="63" t="n"/>
      <c r="C8565" s="64" t="n"/>
      <c r="D8565" s="64" t="n"/>
      <c r="E8565" s="63" t="n"/>
    </row>
    <row r="8566" ht="18" customHeight="1">
      <c r="A8566" s="62" t="n"/>
      <c r="B8566" s="63" t="n"/>
      <c r="C8566" s="64" t="n"/>
      <c r="D8566" s="64" t="n"/>
      <c r="E8566" s="63" t="n"/>
    </row>
    <row r="8567" ht="18" customHeight="1">
      <c r="A8567" s="62" t="n"/>
      <c r="B8567" s="63" t="n"/>
      <c r="C8567" s="64" t="n"/>
      <c r="D8567" s="64" t="n"/>
      <c r="E8567" s="63" t="n"/>
    </row>
    <row r="8568" ht="18" customHeight="1">
      <c r="A8568" s="62" t="n"/>
      <c r="B8568" s="63" t="n"/>
      <c r="C8568" s="64" t="n"/>
      <c r="D8568" s="64" t="n"/>
      <c r="E8568" s="63" t="n"/>
    </row>
    <row r="8569" ht="18" customHeight="1">
      <c r="A8569" s="62" t="n"/>
      <c r="B8569" s="63" t="n"/>
      <c r="C8569" s="64" t="n"/>
      <c r="D8569" s="64" t="n"/>
      <c r="E8569" s="63" t="n"/>
    </row>
    <row r="8570" ht="18" customHeight="1">
      <c r="A8570" s="62" t="n"/>
      <c r="B8570" s="63" t="n"/>
      <c r="C8570" s="64" t="n"/>
      <c r="D8570" s="64" t="n"/>
      <c r="E8570" s="63" t="n"/>
    </row>
    <row r="8571" ht="18" customHeight="1">
      <c r="A8571" s="62" t="n"/>
      <c r="B8571" s="63" t="n"/>
      <c r="C8571" s="64" t="n"/>
      <c r="D8571" s="64" t="n"/>
      <c r="E8571" s="63" t="n"/>
    </row>
    <row r="8572" ht="18" customHeight="1">
      <c r="A8572" s="62" t="n"/>
      <c r="B8572" s="63" t="n"/>
      <c r="C8572" s="64" t="n"/>
      <c r="D8572" s="64" t="n"/>
      <c r="E8572" s="63" t="n"/>
    </row>
    <row r="8573" ht="18" customHeight="1">
      <c r="A8573" s="62" t="n"/>
      <c r="B8573" s="63" t="n"/>
      <c r="C8573" s="64" t="n"/>
      <c r="D8573" s="64" t="n"/>
      <c r="E8573" s="63" t="n"/>
    </row>
    <row r="8574" ht="18" customHeight="1">
      <c r="A8574" s="62" t="n"/>
      <c r="B8574" s="63" t="n"/>
      <c r="C8574" s="64" t="n"/>
      <c r="D8574" s="64" t="n"/>
      <c r="E8574" s="63" t="n"/>
    </row>
    <row r="8575" ht="18" customHeight="1">
      <c r="A8575" s="62" t="n"/>
      <c r="B8575" s="63" t="n"/>
      <c r="C8575" s="64" t="n"/>
      <c r="D8575" s="64" t="n"/>
      <c r="E8575" s="63" t="n"/>
    </row>
    <row r="8576" ht="18" customHeight="1">
      <c r="A8576" s="62" t="n"/>
      <c r="B8576" s="63" t="n"/>
      <c r="C8576" s="64" t="n"/>
      <c r="D8576" s="64" t="n"/>
      <c r="E8576" s="63" t="n"/>
    </row>
    <row r="8577" ht="18" customHeight="1">
      <c r="A8577" s="62" t="n"/>
      <c r="B8577" s="63" t="n"/>
      <c r="C8577" s="64" t="n"/>
      <c r="D8577" s="64" t="n"/>
      <c r="E8577" s="63" t="n"/>
    </row>
    <row r="8578" ht="18" customHeight="1">
      <c r="A8578" s="62" t="n"/>
      <c r="B8578" s="63" t="n"/>
      <c r="C8578" s="64" t="n"/>
      <c r="D8578" s="64" t="n"/>
      <c r="E8578" s="63" t="n"/>
    </row>
    <row r="8579" ht="18" customHeight="1">
      <c r="A8579" s="62" t="n"/>
      <c r="B8579" s="63" t="n"/>
      <c r="C8579" s="64" t="n"/>
      <c r="D8579" s="64" t="n"/>
      <c r="E8579" s="63" t="n"/>
    </row>
    <row r="8580" ht="18" customHeight="1">
      <c r="A8580" s="62" t="n"/>
      <c r="B8580" s="63" t="n"/>
      <c r="C8580" s="64" t="n"/>
      <c r="D8580" s="64" t="n"/>
      <c r="E8580" s="63" t="n"/>
    </row>
    <row r="8581" ht="18" customHeight="1">
      <c r="A8581" s="62" t="n"/>
      <c r="B8581" s="63" t="n"/>
      <c r="C8581" s="64" t="n"/>
      <c r="D8581" s="64" t="n"/>
      <c r="E8581" s="63" t="n"/>
    </row>
    <row r="8582" ht="18" customHeight="1">
      <c r="A8582" s="62" t="n"/>
      <c r="B8582" s="63" t="n"/>
      <c r="C8582" s="64" t="n"/>
      <c r="D8582" s="64" t="n"/>
      <c r="E8582" s="63" t="n"/>
    </row>
    <row r="8583" ht="18" customHeight="1">
      <c r="A8583" s="62" t="n"/>
      <c r="B8583" s="63" t="n"/>
      <c r="C8583" s="64" t="n"/>
      <c r="D8583" s="64" t="n"/>
      <c r="E8583" s="63" t="n"/>
    </row>
    <row r="8584" ht="18" customHeight="1">
      <c r="A8584" s="62" t="n"/>
      <c r="B8584" s="63" t="n"/>
      <c r="C8584" s="64" t="n"/>
      <c r="D8584" s="64" t="n"/>
      <c r="E8584" s="63" t="n"/>
    </row>
    <row r="8585" ht="18" customHeight="1">
      <c r="A8585" s="62" t="n"/>
      <c r="B8585" s="63" t="n"/>
      <c r="C8585" s="64" t="n"/>
      <c r="D8585" s="64" t="n"/>
      <c r="E8585" s="63" t="n"/>
    </row>
    <row r="8586" ht="18" customHeight="1">
      <c r="A8586" s="62" t="n"/>
      <c r="B8586" s="63" t="n"/>
      <c r="C8586" s="64" t="n"/>
      <c r="D8586" s="64" t="n"/>
      <c r="E8586" s="63" t="n"/>
    </row>
    <row r="8587" ht="18" customHeight="1">
      <c r="A8587" s="62" t="n"/>
      <c r="B8587" s="63" t="n"/>
      <c r="C8587" s="64" t="n"/>
      <c r="D8587" s="64" t="n"/>
      <c r="E8587" s="63" t="n"/>
    </row>
    <row r="8588" ht="18" customHeight="1">
      <c r="A8588" s="62" t="n"/>
      <c r="B8588" s="63" t="n"/>
      <c r="C8588" s="64" t="n"/>
      <c r="D8588" s="64" t="n"/>
      <c r="E8588" s="63" t="n"/>
    </row>
    <row r="8589" ht="18" customHeight="1">
      <c r="A8589" s="62" t="n"/>
      <c r="B8589" s="63" t="n"/>
      <c r="C8589" s="64" t="n"/>
      <c r="D8589" s="64" t="n"/>
      <c r="E8589" s="63" t="n"/>
    </row>
    <row r="8590" ht="18" customHeight="1">
      <c r="A8590" s="62" t="n"/>
      <c r="B8590" s="63" t="n"/>
      <c r="C8590" s="64" t="n"/>
      <c r="D8590" s="64" t="n"/>
      <c r="E8590" s="63" t="n"/>
    </row>
    <row r="8591" ht="18" customHeight="1">
      <c r="A8591" s="62" t="n"/>
      <c r="B8591" s="63" t="n"/>
      <c r="C8591" s="64" t="n"/>
      <c r="D8591" s="64" t="n"/>
      <c r="E8591" s="63" t="n"/>
    </row>
    <row r="8592" ht="18" customHeight="1">
      <c r="A8592" s="62" t="n"/>
      <c r="B8592" s="63" t="n"/>
      <c r="C8592" s="64" t="n"/>
      <c r="D8592" s="64" t="n"/>
      <c r="E8592" s="63" t="n"/>
    </row>
    <row r="8593" ht="18" customHeight="1">
      <c r="A8593" s="62" t="n"/>
      <c r="B8593" s="63" t="n"/>
      <c r="C8593" s="64" t="n"/>
      <c r="D8593" s="64" t="n"/>
      <c r="E8593" s="63" t="n"/>
    </row>
    <row r="8594" ht="18" customHeight="1">
      <c r="A8594" s="62" t="n"/>
      <c r="B8594" s="63" t="n"/>
      <c r="C8594" s="64" t="n"/>
      <c r="D8594" s="64" t="n"/>
      <c r="E8594" s="63" t="n"/>
    </row>
    <row r="8595" ht="18" customHeight="1">
      <c r="A8595" s="62" t="n"/>
      <c r="B8595" s="63" t="n"/>
      <c r="C8595" s="64" t="n"/>
      <c r="D8595" s="64" t="n"/>
      <c r="E8595" s="63" t="n"/>
    </row>
    <row r="8596" ht="18" customHeight="1">
      <c r="A8596" s="62" t="n"/>
      <c r="B8596" s="63" t="n"/>
      <c r="C8596" s="64" t="n"/>
      <c r="D8596" s="64" t="n"/>
      <c r="E8596" s="63" t="n"/>
    </row>
    <row r="8597" ht="18" customHeight="1">
      <c r="A8597" s="62" t="n"/>
      <c r="B8597" s="63" t="n"/>
      <c r="C8597" s="64" t="n"/>
      <c r="D8597" s="64" t="n"/>
      <c r="E8597" s="63" t="n"/>
    </row>
    <row r="8598" ht="18" customHeight="1">
      <c r="A8598" s="62" t="n"/>
      <c r="B8598" s="63" t="n"/>
      <c r="C8598" s="64" t="n"/>
      <c r="D8598" s="64" t="n"/>
      <c r="E8598" s="63" t="n"/>
    </row>
    <row r="8599" ht="18" customHeight="1">
      <c r="A8599" s="62" t="n"/>
      <c r="B8599" s="63" t="n"/>
      <c r="C8599" s="64" t="n"/>
      <c r="D8599" s="64" t="n"/>
      <c r="E8599" s="63" t="n"/>
    </row>
    <row r="8600" ht="18" customHeight="1">
      <c r="A8600" s="62" t="n"/>
      <c r="B8600" s="63" t="n"/>
      <c r="C8600" s="64" t="n"/>
      <c r="D8600" s="64" t="n"/>
      <c r="E8600" s="63" t="n"/>
    </row>
    <row r="8601" ht="18" customHeight="1">
      <c r="A8601" s="62" t="n"/>
      <c r="B8601" s="63" t="n"/>
      <c r="C8601" s="64" t="n"/>
      <c r="D8601" s="64" t="n"/>
      <c r="E8601" s="63" t="n"/>
    </row>
    <row r="8602" ht="18" customHeight="1">
      <c r="A8602" s="62" t="n"/>
      <c r="B8602" s="63" t="n"/>
      <c r="C8602" s="64" t="n"/>
      <c r="D8602" s="64" t="n"/>
      <c r="E8602" s="63" t="n"/>
    </row>
    <row r="8603" ht="18" customHeight="1">
      <c r="A8603" s="62" t="n"/>
      <c r="B8603" s="63" t="n"/>
      <c r="C8603" s="64" t="n"/>
      <c r="D8603" s="64" t="n"/>
      <c r="E8603" s="63" t="n"/>
    </row>
    <row r="8604" ht="18" customHeight="1">
      <c r="A8604" s="62" t="n"/>
      <c r="B8604" s="63" t="n"/>
      <c r="C8604" s="64" t="n"/>
      <c r="D8604" s="64" t="n"/>
      <c r="E8604" s="63" t="n"/>
    </row>
    <row r="8605" ht="18" customHeight="1">
      <c r="A8605" s="62" t="n"/>
      <c r="B8605" s="63" t="n"/>
      <c r="C8605" s="64" t="n"/>
      <c r="D8605" s="64" t="n"/>
      <c r="E8605" s="63" t="n"/>
    </row>
    <row r="8606" ht="18" customHeight="1">
      <c r="A8606" s="62" t="n"/>
      <c r="B8606" s="63" t="n"/>
      <c r="C8606" s="64" t="n"/>
      <c r="D8606" s="64" t="n"/>
      <c r="E8606" s="63" t="n"/>
    </row>
    <row r="8607" ht="18" customHeight="1">
      <c r="A8607" s="62" t="n"/>
      <c r="B8607" s="63" t="n"/>
      <c r="C8607" s="64" t="n"/>
      <c r="D8607" s="64" t="n"/>
      <c r="E8607" s="63" t="n"/>
    </row>
    <row r="8608" ht="18" customHeight="1">
      <c r="A8608" s="62" t="n"/>
      <c r="B8608" s="63" t="n"/>
      <c r="C8608" s="64" t="n"/>
      <c r="D8608" s="64" t="n"/>
      <c r="E8608" s="63" t="n"/>
    </row>
    <row r="8609" ht="18" customHeight="1">
      <c r="A8609" s="62" t="n"/>
      <c r="B8609" s="63" t="n"/>
      <c r="C8609" s="64" t="n"/>
      <c r="D8609" s="64" t="n"/>
      <c r="E8609" s="63" t="n"/>
    </row>
    <row r="8610" ht="18" customHeight="1">
      <c r="A8610" s="62" t="n"/>
      <c r="B8610" s="63" t="n"/>
      <c r="C8610" s="64" t="n"/>
      <c r="D8610" s="64" t="n"/>
      <c r="E8610" s="63" t="n"/>
    </row>
    <row r="8611" ht="18" customHeight="1">
      <c r="A8611" s="62" t="n"/>
      <c r="B8611" s="63" t="n"/>
      <c r="C8611" s="64" t="n"/>
      <c r="D8611" s="64" t="n"/>
      <c r="E8611" s="63" t="n"/>
    </row>
    <row r="8612" ht="18" customHeight="1">
      <c r="A8612" s="62" t="n"/>
      <c r="B8612" s="63" t="n"/>
      <c r="C8612" s="64" t="n"/>
      <c r="D8612" s="64" t="n"/>
      <c r="E8612" s="63" t="n"/>
    </row>
    <row r="8613" ht="18" customHeight="1">
      <c r="A8613" s="62" t="n"/>
      <c r="B8613" s="63" t="n"/>
      <c r="C8613" s="64" t="n"/>
      <c r="D8613" s="64" t="n"/>
      <c r="E8613" s="63" t="n"/>
    </row>
    <row r="8614" ht="18" customHeight="1">
      <c r="A8614" s="62" t="n"/>
      <c r="B8614" s="63" t="n"/>
      <c r="C8614" s="64" t="n"/>
      <c r="D8614" s="64" t="n"/>
      <c r="E8614" s="63" t="n"/>
    </row>
    <row r="8615" ht="18" customHeight="1">
      <c r="A8615" s="62" t="n"/>
      <c r="B8615" s="63" t="n"/>
      <c r="C8615" s="64" t="n"/>
      <c r="D8615" s="64" t="n"/>
      <c r="E8615" s="63" t="n"/>
    </row>
    <row r="8616" ht="18" customHeight="1">
      <c r="A8616" s="62" t="n"/>
      <c r="B8616" s="63" t="n"/>
      <c r="C8616" s="64" t="n"/>
      <c r="D8616" s="64" t="n"/>
      <c r="E8616" s="63" t="n"/>
    </row>
    <row r="8617" ht="18" customHeight="1">
      <c r="A8617" s="62" t="n"/>
      <c r="B8617" s="63" t="n"/>
      <c r="C8617" s="64" t="n"/>
      <c r="D8617" s="64" t="n"/>
      <c r="E8617" s="63" t="n"/>
    </row>
    <row r="8618" ht="18" customHeight="1">
      <c r="A8618" s="62" t="n"/>
      <c r="B8618" s="63" t="n"/>
      <c r="C8618" s="64" t="n"/>
      <c r="D8618" s="64" t="n"/>
      <c r="E8618" s="63" t="n"/>
    </row>
    <row r="8619" ht="18" customHeight="1">
      <c r="A8619" s="62" t="n"/>
      <c r="B8619" s="63" t="n"/>
      <c r="C8619" s="64" t="n"/>
      <c r="D8619" s="64" t="n"/>
      <c r="E8619" s="63" t="n"/>
    </row>
    <row r="8620" ht="18" customHeight="1">
      <c r="A8620" s="62" t="n"/>
      <c r="B8620" s="63" t="n"/>
      <c r="C8620" s="64" t="n"/>
      <c r="D8620" s="64" t="n"/>
      <c r="E8620" s="63" t="n"/>
    </row>
    <row r="8621" ht="18" customHeight="1">
      <c r="A8621" s="62" t="n"/>
      <c r="B8621" s="63" t="n"/>
      <c r="C8621" s="64" t="n"/>
      <c r="D8621" s="64" t="n"/>
      <c r="E8621" s="63" t="n"/>
    </row>
    <row r="8622" ht="18" customHeight="1">
      <c r="A8622" s="62" t="n"/>
      <c r="B8622" s="63" t="n"/>
      <c r="C8622" s="64" t="n"/>
      <c r="D8622" s="64" t="n"/>
      <c r="E8622" s="63" t="n"/>
    </row>
    <row r="8623" ht="18" customHeight="1">
      <c r="A8623" s="62" t="n"/>
      <c r="B8623" s="63" t="n"/>
      <c r="C8623" s="64" t="n"/>
      <c r="D8623" s="64" t="n"/>
      <c r="E8623" s="63" t="n"/>
    </row>
    <row r="8624" ht="18" customHeight="1">
      <c r="A8624" s="62" t="n"/>
      <c r="B8624" s="63" t="n"/>
      <c r="C8624" s="64" t="n"/>
      <c r="D8624" s="64" t="n"/>
      <c r="E8624" s="63" t="n"/>
    </row>
    <row r="8625" ht="18" customHeight="1">
      <c r="A8625" s="62" t="n"/>
      <c r="B8625" s="63" t="n"/>
      <c r="C8625" s="64" t="n"/>
      <c r="D8625" s="64" t="n"/>
      <c r="E8625" s="63" t="n"/>
    </row>
    <row r="8626" ht="18" customHeight="1">
      <c r="A8626" s="62" t="n"/>
      <c r="B8626" s="63" t="n"/>
      <c r="C8626" s="64" t="n"/>
      <c r="D8626" s="64" t="n"/>
      <c r="E8626" s="63" t="n"/>
    </row>
    <row r="8627" ht="18" customHeight="1">
      <c r="A8627" s="62" t="n"/>
      <c r="B8627" s="63" t="n"/>
      <c r="C8627" s="64" t="n"/>
      <c r="D8627" s="64" t="n"/>
      <c r="E8627" s="63" t="n"/>
    </row>
    <row r="8628" ht="18" customHeight="1">
      <c r="A8628" s="62" t="n"/>
      <c r="B8628" s="63" t="n"/>
      <c r="C8628" s="64" t="n"/>
      <c r="D8628" s="64" t="n"/>
      <c r="E8628" s="63" t="n"/>
    </row>
    <row r="8629" ht="18" customHeight="1">
      <c r="A8629" s="62" t="n"/>
      <c r="B8629" s="63" t="n"/>
      <c r="C8629" s="64" t="n"/>
      <c r="D8629" s="64" t="n"/>
      <c r="E8629" s="63" t="n"/>
    </row>
    <row r="8630" ht="18" customHeight="1">
      <c r="A8630" s="62" t="n"/>
      <c r="B8630" s="63" t="n"/>
      <c r="C8630" s="64" t="n"/>
      <c r="D8630" s="64" t="n"/>
      <c r="E8630" s="63" t="n"/>
    </row>
    <row r="8631" ht="18" customHeight="1">
      <c r="A8631" s="62" t="n"/>
      <c r="B8631" s="63" t="n"/>
      <c r="C8631" s="64" t="n"/>
      <c r="D8631" s="64" t="n"/>
      <c r="E8631" s="63" t="n"/>
    </row>
    <row r="8632" ht="18" customHeight="1">
      <c r="A8632" s="62" t="n"/>
      <c r="B8632" s="63" t="n"/>
      <c r="C8632" s="64" t="n"/>
      <c r="D8632" s="64" t="n"/>
      <c r="E8632" s="63" t="n"/>
    </row>
    <row r="8633" ht="18" customHeight="1">
      <c r="A8633" s="62" t="n"/>
      <c r="B8633" s="63" t="n"/>
      <c r="C8633" s="64" t="n"/>
      <c r="D8633" s="64" t="n"/>
      <c r="E8633" s="63" t="n"/>
    </row>
    <row r="8634" ht="18" customHeight="1">
      <c r="A8634" s="62" t="n"/>
      <c r="B8634" s="63" t="n"/>
      <c r="C8634" s="64" t="n"/>
      <c r="D8634" s="64" t="n"/>
      <c r="E8634" s="63" t="n"/>
    </row>
    <row r="8635" ht="18" customHeight="1">
      <c r="A8635" s="62" t="n"/>
      <c r="B8635" s="63" t="n"/>
      <c r="C8635" s="64" t="n"/>
      <c r="D8635" s="64" t="n"/>
      <c r="E8635" s="63" t="n"/>
    </row>
    <row r="8636" ht="18" customHeight="1">
      <c r="A8636" s="62" t="n"/>
      <c r="B8636" s="63" t="n"/>
      <c r="C8636" s="64" t="n"/>
      <c r="D8636" s="64" t="n"/>
      <c r="E8636" s="63" t="n"/>
    </row>
    <row r="8637" ht="18" customHeight="1">
      <c r="A8637" s="62" t="n"/>
      <c r="B8637" s="63" t="n"/>
      <c r="C8637" s="64" t="n"/>
      <c r="D8637" s="64" t="n"/>
      <c r="E8637" s="63" t="n"/>
    </row>
    <row r="8638" ht="18" customHeight="1">
      <c r="A8638" s="62" t="n"/>
      <c r="B8638" s="63" t="n"/>
      <c r="C8638" s="64" t="n"/>
      <c r="D8638" s="64" t="n"/>
      <c r="E8638" s="63" t="n"/>
    </row>
    <row r="8639" ht="18" customHeight="1">
      <c r="A8639" s="62" t="n"/>
      <c r="B8639" s="63" t="n"/>
      <c r="C8639" s="64" t="n"/>
      <c r="D8639" s="64" t="n"/>
      <c r="E8639" s="63" t="n"/>
    </row>
    <row r="8640" ht="18" customHeight="1">
      <c r="A8640" s="62" t="n"/>
      <c r="B8640" s="63" t="n"/>
      <c r="C8640" s="64" t="n"/>
      <c r="D8640" s="64" t="n"/>
      <c r="E8640" s="63" t="n"/>
    </row>
    <row r="8641" ht="18" customHeight="1">
      <c r="A8641" s="62" t="n"/>
      <c r="B8641" s="63" t="n"/>
      <c r="C8641" s="64" t="n"/>
      <c r="D8641" s="64" t="n"/>
      <c r="E8641" s="63" t="n"/>
    </row>
    <row r="8642" ht="18" customHeight="1">
      <c r="A8642" s="62" t="n"/>
      <c r="B8642" s="63" t="n"/>
      <c r="C8642" s="64" t="n"/>
      <c r="D8642" s="64" t="n"/>
      <c r="E8642" s="63" t="n"/>
    </row>
    <row r="8643" ht="18" customHeight="1">
      <c r="A8643" s="62" t="n"/>
      <c r="B8643" s="63" t="n"/>
      <c r="C8643" s="64" t="n"/>
      <c r="D8643" s="64" t="n"/>
      <c r="E8643" s="63" t="n"/>
    </row>
    <row r="8644" ht="18" customHeight="1">
      <c r="A8644" s="62" t="n"/>
      <c r="B8644" s="63" t="n"/>
      <c r="C8644" s="64" t="n"/>
      <c r="D8644" s="64" t="n"/>
      <c r="E8644" s="63" t="n"/>
    </row>
    <row r="8645" ht="18" customHeight="1">
      <c r="A8645" s="62" t="n"/>
      <c r="B8645" s="63" t="n"/>
      <c r="C8645" s="64" t="n"/>
      <c r="D8645" s="64" t="n"/>
      <c r="E8645" s="63" t="n"/>
    </row>
    <row r="8646" ht="18" customHeight="1">
      <c r="A8646" s="62" t="n"/>
      <c r="B8646" s="63" t="n"/>
      <c r="C8646" s="64" t="n"/>
      <c r="D8646" s="64" t="n"/>
      <c r="E8646" s="63" t="n"/>
    </row>
    <row r="8647" ht="18" customHeight="1">
      <c r="A8647" s="62" t="n"/>
      <c r="B8647" s="63" t="n"/>
      <c r="C8647" s="64" t="n"/>
      <c r="D8647" s="64" t="n"/>
      <c r="E8647" s="63" t="n"/>
    </row>
    <row r="8648" ht="18" customHeight="1">
      <c r="A8648" s="62" t="n"/>
      <c r="B8648" s="63" t="n"/>
      <c r="C8648" s="64" t="n"/>
      <c r="D8648" s="64" t="n"/>
      <c r="E8648" s="63" t="n"/>
    </row>
    <row r="8649" ht="18" customHeight="1">
      <c r="A8649" s="62" t="n"/>
      <c r="B8649" s="63" t="n"/>
      <c r="C8649" s="64" t="n"/>
      <c r="D8649" s="64" t="n"/>
      <c r="E8649" s="63" t="n"/>
    </row>
    <row r="8650" ht="18" customHeight="1">
      <c r="A8650" s="62" t="n"/>
      <c r="B8650" s="63" t="n"/>
      <c r="C8650" s="64" t="n"/>
      <c r="D8650" s="64" t="n"/>
      <c r="E8650" s="63" t="n"/>
    </row>
    <row r="8651" ht="18" customHeight="1">
      <c r="A8651" s="62" t="n"/>
      <c r="B8651" s="63" t="n"/>
      <c r="C8651" s="64" t="n"/>
      <c r="D8651" s="64" t="n"/>
      <c r="E8651" s="63" t="n"/>
    </row>
    <row r="8652" ht="18" customHeight="1">
      <c r="A8652" s="62" t="n"/>
      <c r="B8652" s="63" t="n"/>
      <c r="C8652" s="64" t="n"/>
      <c r="D8652" s="64" t="n"/>
      <c r="E8652" s="63" t="n"/>
    </row>
    <row r="8653" ht="18" customHeight="1">
      <c r="A8653" s="62" t="n"/>
      <c r="B8653" s="63" t="n"/>
      <c r="C8653" s="64" t="n"/>
      <c r="D8653" s="64" t="n"/>
      <c r="E8653" s="63" t="n"/>
    </row>
    <row r="8654" ht="18" customHeight="1">
      <c r="A8654" s="62" t="n"/>
      <c r="B8654" s="63" t="n"/>
      <c r="C8654" s="64" t="n"/>
      <c r="D8654" s="64" t="n"/>
      <c r="E8654" s="63" t="n"/>
    </row>
    <row r="8655" ht="18" customHeight="1">
      <c r="A8655" s="62" t="n"/>
      <c r="B8655" s="63" t="n"/>
      <c r="C8655" s="64" t="n"/>
      <c r="D8655" s="64" t="n"/>
      <c r="E8655" s="63" t="n"/>
    </row>
    <row r="8656" ht="18" customHeight="1">
      <c r="A8656" s="62" t="n"/>
      <c r="B8656" s="63" t="n"/>
      <c r="C8656" s="64" t="n"/>
      <c r="D8656" s="64" t="n"/>
      <c r="E8656" s="63" t="n"/>
    </row>
    <row r="8657" ht="18" customHeight="1">
      <c r="A8657" s="62" t="n"/>
      <c r="B8657" s="63" t="n"/>
      <c r="C8657" s="64" t="n"/>
      <c r="D8657" s="64" t="n"/>
      <c r="E8657" s="63" t="n"/>
    </row>
    <row r="8658" ht="18" customHeight="1">
      <c r="A8658" s="62" t="n"/>
      <c r="B8658" s="63" t="n"/>
      <c r="C8658" s="64" t="n"/>
      <c r="D8658" s="64" t="n"/>
      <c r="E8658" s="63" t="n"/>
    </row>
    <row r="8659" ht="18" customHeight="1">
      <c r="A8659" s="62" t="n"/>
      <c r="B8659" s="63" t="n"/>
      <c r="C8659" s="64" t="n"/>
      <c r="D8659" s="64" t="n"/>
      <c r="E8659" s="63" t="n"/>
    </row>
    <row r="8660" ht="18" customHeight="1">
      <c r="A8660" s="62" t="n"/>
      <c r="B8660" s="63" t="n"/>
      <c r="C8660" s="64" t="n"/>
      <c r="D8660" s="64" t="n"/>
      <c r="E8660" s="63" t="n"/>
    </row>
    <row r="8661" ht="18" customHeight="1">
      <c r="A8661" s="62" t="n"/>
      <c r="B8661" s="63" t="n"/>
      <c r="C8661" s="64" t="n"/>
      <c r="D8661" s="64" t="n"/>
      <c r="E8661" s="63" t="n"/>
    </row>
    <row r="8662" ht="18" customHeight="1">
      <c r="A8662" s="62" t="n"/>
      <c r="B8662" s="63" t="n"/>
      <c r="C8662" s="64" t="n"/>
      <c r="D8662" s="64" t="n"/>
      <c r="E8662" s="63" t="n"/>
    </row>
    <row r="8663" ht="18" customHeight="1">
      <c r="A8663" s="62" t="n"/>
      <c r="B8663" s="63" t="n"/>
      <c r="C8663" s="64" t="n"/>
      <c r="D8663" s="64" t="n"/>
      <c r="E8663" s="63" t="n"/>
    </row>
    <row r="8664" ht="18" customHeight="1">
      <c r="A8664" s="62" t="n"/>
      <c r="B8664" s="63" t="n"/>
      <c r="C8664" s="64" t="n"/>
      <c r="D8664" s="64" t="n"/>
      <c r="E8664" s="63" t="n"/>
    </row>
    <row r="8665" ht="18" customHeight="1">
      <c r="A8665" s="62" t="n"/>
      <c r="B8665" s="63" t="n"/>
      <c r="C8665" s="64" t="n"/>
      <c r="D8665" s="64" t="n"/>
      <c r="E8665" s="63" t="n"/>
    </row>
    <row r="8666" ht="18" customHeight="1">
      <c r="A8666" s="62" t="n"/>
      <c r="B8666" s="63" t="n"/>
      <c r="C8666" s="64" t="n"/>
      <c r="D8666" s="64" t="n"/>
      <c r="E8666" s="63" t="n"/>
    </row>
    <row r="8667" ht="18" customHeight="1">
      <c r="A8667" s="62" t="n"/>
      <c r="B8667" s="63" t="n"/>
      <c r="C8667" s="64" t="n"/>
      <c r="D8667" s="64" t="n"/>
      <c r="E8667" s="63" t="n"/>
    </row>
    <row r="8668" ht="18" customHeight="1">
      <c r="A8668" s="62" t="n"/>
      <c r="B8668" s="63" t="n"/>
      <c r="C8668" s="64" t="n"/>
      <c r="D8668" s="64" t="n"/>
      <c r="E8668" s="63" t="n"/>
    </row>
    <row r="8669" ht="18" customHeight="1">
      <c r="A8669" s="62" t="n"/>
      <c r="B8669" s="63" t="n"/>
      <c r="C8669" s="64" t="n"/>
      <c r="D8669" s="64" t="n"/>
      <c r="E8669" s="63" t="n"/>
    </row>
    <row r="8670" ht="18" customHeight="1">
      <c r="A8670" s="62" t="n"/>
      <c r="B8670" s="63" t="n"/>
      <c r="C8670" s="64" t="n"/>
      <c r="D8670" s="64" t="n"/>
      <c r="E8670" s="63" t="n"/>
    </row>
    <row r="8671" ht="18" customHeight="1">
      <c r="A8671" s="62" t="n"/>
      <c r="B8671" s="63" t="n"/>
      <c r="C8671" s="64" t="n"/>
      <c r="D8671" s="64" t="n"/>
      <c r="E8671" s="63" t="n"/>
    </row>
    <row r="8672" ht="18" customHeight="1">
      <c r="A8672" s="62" t="n"/>
      <c r="B8672" s="63" t="n"/>
      <c r="C8672" s="64" t="n"/>
      <c r="D8672" s="64" t="n"/>
      <c r="E8672" s="63" t="n"/>
    </row>
    <row r="8673" ht="18" customHeight="1">
      <c r="A8673" s="62" t="n"/>
      <c r="B8673" s="63" t="n"/>
      <c r="C8673" s="64" t="n"/>
      <c r="D8673" s="64" t="n"/>
      <c r="E8673" s="63" t="n"/>
    </row>
    <row r="8674" ht="18" customHeight="1">
      <c r="A8674" s="62" t="n"/>
      <c r="B8674" s="63" t="n"/>
      <c r="C8674" s="64" t="n"/>
      <c r="D8674" s="64" t="n"/>
      <c r="E8674" s="63" t="n"/>
    </row>
    <row r="8675" ht="18" customHeight="1">
      <c r="A8675" s="62" t="n"/>
      <c r="B8675" s="63" t="n"/>
      <c r="C8675" s="64" t="n"/>
      <c r="D8675" s="64" t="n"/>
      <c r="E8675" s="63" t="n"/>
    </row>
    <row r="8676" ht="18" customHeight="1">
      <c r="A8676" s="62" t="n"/>
      <c r="B8676" s="63" t="n"/>
      <c r="C8676" s="64" t="n"/>
      <c r="D8676" s="64" t="n"/>
      <c r="E8676" s="63" t="n"/>
    </row>
    <row r="8677" ht="18" customHeight="1">
      <c r="A8677" s="62" t="n"/>
      <c r="B8677" s="63" t="n"/>
      <c r="C8677" s="64" t="n"/>
      <c r="D8677" s="64" t="n"/>
      <c r="E8677" s="63" t="n"/>
    </row>
    <row r="8678" ht="18" customHeight="1">
      <c r="A8678" s="62" t="n"/>
      <c r="B8678" s="63" t="n"/>
      <c r="C8678" s="64" t="n"/>
      <c r="D8678" s="64" t="n"/>
      <c r="E8678" s="63" t="n"/>
    </row>
    <row r="8679" ht="18" customHeight="1">
      <c r="A8679" s="62" t="n"/>
      <c r="B8679" s="63" t="n"/>
      <c r="C8679" s="64" t="n"/>
      <c r="D8679" s="64" t="n"/>
      <c r="E8679" s="63" t="n"/>
    </row>
    <row r="8680" ht="18" customHeight="1">
      <c r="A8680" s="62" t="n"/>
      <c r="B8680" s="63" t="n"/>
      <c r="C8680" s="64" t="n"/>
      <c r="D8680" s="64" t="n"/>
      <c r="E8680" s="63" t="n"/>
    </row>
    <row r="8681" ht="18" customHeight="1">
      <c r="A8681" s="62" t="n"/>
      <c r="B8681" s="63" t="n"/>
      <c r="C8681" s="64" t="n"/>
      <c r="D8681" s="64" t="n"/>
      <c r="E8681" s="63" t="n"/>
    </row>
    <row r="8682" ht="18" customHeight="1">
      <c r="A8682" s="62" t="n"/>
      <c r="B8682" s="63" t="n"/>
      <c r="C8682" s="64" t="n"/>
      <c r="D8682" s="64" t="n"/>
      <c r="E8682" s="63" t="n"/>
    </row>
    <row r="8683" ht="18" customHeight="1">
      <c r="A8683" s="62" t="n"/>
      <c r="B8683" s="63" t="n"/>
      <c r="C8683" s="64" t="n"/>
      <c r="D8683" s="64" t="n"/>
      <c r="E8683" s="63" t="n"/>
    </row>
    <row r="8684" ht="18" customHeight="1">
      <c r="A8684" s="62" t="n"/>
      <c r="B8684" s="63" t="n"/>
      <c r="C8684" s="64" t="n"/>
      <c r="D8684" s="64" t="n"/>
      <c r="E8684" s="63" t="n"/>
    </row>
    <row r="8685" ht="18" customHeight="1">
      <c r="A8685" s="62" t="n"/>
      <c r="B8685" s="63" t="n"/>
      <c r="C8685" s="64" t="n"/>
      <c r="D8685" s="64" t="n"/>
      <c r="E8685" s="63" t="n"/>
    </row>
    <row r="8686" ht="18" customHeight="1">
      <c r="A8686" s="62" t="n"/>
      <c r="B8686" s="63" t="n"/>
      <c r="C8686" s="64" t="n"/>
      <c r="D8686" s="64" t="n"/>
      <c r="E8686" s="63" t="n"/>
    </row>
    <row r="8687" ht="18" customHeight="1">
      <c r="A8687" s="62" t="n"/>
      <c r="B8687" s="63" t="n"/>
      <c r="C8687" s="64" t="n"/>
      <c r="D8687" s="64" t="n"/>
      <c r="E8687" s="63" t="n"/>
    </row>
    <row r="8688" ht="18" customHeight="1">
      <c r="A8688" s="62" t="n"/>
      <c r="B8688" s="63" t="n"/>
      <c r="C8688" s="64" t="n"/>
      <c r="D8688" s="64" t="n"/>
      <c r="E8688" s="63" t="n"/>
    </row>
    <row r="8689" ht="18" customHeight="1">
      <c r="A8689" s="62" t="n"/>
      <c r="B8689" s="63" t="n"/>
      <c r="C8689" s="64" t="n"/>
      <c r="D8689" s="64" t="n"/>
      <c r="E8689" s="63" t="n"/>
    </row>
    <row r="8690" ht="18" customHeight="1">
      <c r="A8690" s="62" t="n"/>
      <c r="B8690" s="63" t="n"/>
      <c r="C8690" s="64" t="n"/>
      <c r="D8690" s="64" t="n"/>
      <c r="E8690" s="63" t="n"/>
    </row>
    <row r="8691" ht="18" customHeight="1">
      <c r="A8691" s="62" t="n"/>
      <c r="B8691" s="63" t="n"/>
      <c r="C8691" s="64" t="n"/>
      <c r="D8691" s="64" t="n"/>
      <c r="E8691" s="63" t="n"/>
    </row>
    <row r="8692" ht="18" customHeight="1">
      <c r="A8692" s="62" t="n"/>
      <c r="B8692" s="63" t="n"/>
      <c r="C8692" s="64" t="n"/>
      <c r="D8692" s="64" t="n"/>
      <c r="E8692" s="63" t="n"/>
    </row>
    <row r="8693" ht="18" customHeight="1">
      <c r="A8693" s="62" t="n"/>
      <c r="B8693" s="63" t="n"/>
      <c r="C8693" s="64" t="n"/>
      <c r="D8693" s="64" t="n"/>
      <c r="E8693" s="63" t="n"/>
    </row>
    <row r="8694" ht="18" customHeight="1">
      <c r="A8694" s="62" t="n"/>
      <c r="B8694" s="63" t="n"/>
      <c r="C8694" s="64" t="n"/>
      <c r="D8694" s="64" t="n"/>
      <c r="E8694" s="63" t="n"/>
    </row>
    <row r="8695" ht="18" customHeight="1">
      <c r="A8695" s="62" t="n"/>
      <c r="B8695" s="63" t="n"/>
      <c r="C8695" s="64" t="n"/>
      <c r="D8695" s="64" t="n"/>
      <c r="E8695" s="63" t="n"/>
    </row>
    <row r="8696" ht="18" customHeight="1">
      <c r="A8696" s="62" t="n"/>
      <c r="B8696" s="63" t="n"/>
      <c r="C8696" s="64" t="n"/>
      <c r="D8696" s="64" t="n"/>
      <c r="E8696" s="63" t="n"/>
    </row>
    <row r="8697" ht="18" customHeight="1">
      <c r="A8697" s="62" t="n"/>
      <c r="B8697" s="63" t="n"/>
      <c r="C8697" s="64" t="n"/>
      <c r="D8697" s="64" t="n"/>
      <c r="E8697" s="63" t="n"/>
    </row>
    <row r="8698" ht="18" customHeight="1">
      <c r="A8698" s="62" t="n"/>
      <c r="B8698" s="63" t="n"/>
      <c r="C8698" s="64" t="n"/>
      <c r="D8698" s="64" t="n"/>
      <c r="E8698" s="63" t="n"/>
    </row>
    <row r="8699" ht="18" customHeight="1">
      <c r="A8699" s="62" t="n"/>
      <c r="B8699" s="63" t="n"/>
      <c r="C8699" s="64" t="n"/>
      <c r="D8699" s="64" t="n"/>
      <c r="E8699" s="63" t="n"/>
    </row>
    <row r="8700" ht="18" customHeight="1">
      <c r="A8700" s="62" t="n"/>
      <c r="B8700" s="63" t="n"/>
      <c r="C8700" s="64" t="n"/>
      <c r="D8700" s="64" t="n"/>
      <c r="E8700" s="63" t="n"/>
    </row>
    <row r="8701" ht="18" customHeight="1">
      <c r="A8701" s="62" t="n"/>
      <c r="B8701" s="63" t="n"/>
      <c r="C8701" s="64" t="n"/>
      <c r="D8701" s="64" t="n"/>
      <c r="E8701" s="63" t="n"/>
    </row>
    <row r="8702" ht="18" customHeight="1">
      <c r="A8702" s="62" t="n"/>
      <c r="B8702" s="63" t="n"/>
      <c r="C8702" s="64" t="n"/>
      <c r="D8702" s="64" t="n"/>
      <c r="E8702" s="63" t="n"/>
    </row>
    <row r="8703" ht="18" customHeight="1">
      <c r="A8703" s="62" t="n"/>
      <c r="B8703" s="63" t="n"/>
      <c r="C8703" s="64" t="n"/>
      <c r="D8703" s="64" t="n"/>
      <c r="E8703" s="63" t="n"/>
    </row>
    <row r="8704" ht="18" customHeight="1">
      <c r="A8704" s="62" t="n"/>
      <c r="B8704" s="63" t="n"/>
      <c r="C8704" s="64" t="n"/>
      <c r="D8704" s="64" t="n"/>
      <c r="E8704" s="63" t="n"/>
    </row>
    <row r="8705" ht="18" customHeight="1">
      <c r="A8705" s="62" t="n"/>
      <c r="B8705" s="63" t="n"/>
      <c r="C8705" s="64" t="n"/>
      <c r="D8705" s="64" t="n"/>
      <c r="E8705" s="63" t="n"/>
    </row>
    <row r="8706" ht="18" customHeight="1">
      <c r="A8706" s="62" t="n"/>
      <c r="B8706" s="63" t="n"/>
      <c r="C8706" s="64" t="n"/>
      <c r="D8706" s="64" t="n"/>
      <c r="E8706" s="63" t="n"/>
    </row>
    <row r="8707" ht="18" customHeight="1">
      <c r="A8707" s="62" t="n"/>
      <c r="B8707" s="63" t="n"/>
      <c r="C8707" s="64" t="n"/>
      <c r="D8707" s="64" t="n"/>
      <c r="E8707" s="63" t="n"/>
    </row>
    <row r="8708" ht="18" customHeight="1">
      <c r="A8708" s="62" t="n"/>
      <c r="B8708" s="63" t="n"/>
      <c r="C8708" s="64" t="n"/>
      <c r="D8708" s="64" t="n"/>
      <c r="E8708" s="63" t="n"/>
    </row>
    <row r="8709" ht="18" customHeight="1">
      <c r="A8709" s="62" t="n"/>
      <c r="B8709" s="63" t="n"/>
      <c r="C8709" s="64" t="n"/>
      <c r="D8709" s="64" t="n"/>
      <c r="E8709" s="63" t="n"/>
    </row>
    <row r="8710" ht="18" customHeight="1">
      <c r="A8710" s="62" t="n"/>
      <c r="B8710" s="63" t="n"/>
      <c r="C8710" s="64" t="n"/>
      <c r="D8710" s="64" t="n"/>
      <c r="E8710" s="63" t="n"/>
    </row>
    <row r="8711" ht="18" customHeight="1">
      <c r="A8711" s="62" t="n"/>
      <c r="B8711" s="63" t="n"/>
      <c r="C8711" s="64" t="n"/>
      <c r="D8711" s="64" t="n"/>
      <c r="E8711" s="63" t="n"/>
    </row>
    <row r="8712" ht="18" customHeight="1">
      <c r="A8712" s="62" t="n"/>
      <c r="B8712" s="63" t="n"/>
      <c r="C8712" s="64" t="n"/>
      <c r="D8712" s="64" t="n"/>
      <c r="E8712" s="63" t="n"/>
    </row>
    <row r="8713" ht="18" customHeight="1">
      <c r="A8713" s="62" t="n"/>
      <c r="B8713" s="63" t="n"/>
      <c r="C8713" s="64" t="n"/>
      <c r="D8713" s="64" t="n"/>
      <c r="E8713" s="63" t="n"/>
    </row>
    <row r="8714" ht="18" customHeight="1">
      <c r="A8714" s="62" t="n"/>
      <c r="B8714" s="63" t="n"/>
      <c r="C8714" s="64" t="n"/>
      <c r="D8714" s="64" t="n"/>
      <c r="E8714" s="63" t="n"/>
    </row>
    <row r="8715" ht="18" customHeight="1">
      <c r="A8715" s="62" t="n"/>
      <c r="B8715" s="63" t="n"/>
      <c r="C8715" s="64" t="n"/>
      <c r="D8715" s="64" t="n"/>
      <c r="E8715" s="63" t="n"/>
    </row>
    <row r="8716" ht="18" customHeight="1">
      <c r="A8716" s="62" t="n"/>
      <c r="B8716" s="63" t="n"/>
      <c r="C8716" s="64" t="n"/>
      <c r="D8716" s="64" t="n"/>
      <c r="E8716" s="63" t="n"/>
    </row>
    <row r="8717" ht="18" customHeight="1">
      <c r="A8717" s="62" t="n"/>
      <c r="B8717" s="63" t="n"/>
      <c r="C8717" s="64" t="n"/>
      <c r="D8717" s="64" t="n"/>
      <c r="E8717" s="63" t="n"/>
    </row>
    <row r="8718" ht="18" customHeight="1">
      <c r="A8718" s="62" t="n"/>
      <c r="B8718" s="63" t="n"/>
      <c r="C8718" s="64" t="n"/>
      <c r="D8718" s="64" t="n"/>
      <c r="E8718" s="63" t="n"/>
    </row>
    <row r="8719" ht="18" customHeight="1">
      <c r="A8719" s="62" t="n"/>
      <c r="B8719" s="63" t="n"/>
      <c r="C8719" s="64" t="n"/>
      <c r="D8719" s="64" t="n"/>
      <c r="E8719" s="63" t="n"/>
    </row>
    <row r="8720" ht="18" customHeight="1">
      <c r="A8720" s="62" t="n"/>
      <c r="B8720" s="63" t="n"/>
      <c r="C8720" s="64" t="n"/>
      <c r="D8720" s="64" t="n"/>
      <c r="E8720" s="63" t="n"/>
    </row>
    <row r="8721" ht="18" customHeight="1">
      <c r="A8721" s="62" t="n"/>
      <c r="B8721" s="63" t="n"/>
      <c r="C8721" s="64" t="n"/>
      <c r="D8721" s="64" t="n"/>
      <c r="E8721" s="63" t="n"/>
    </row>
    <row r="8722" ht="18" customHeight="1">
      <c r="A8722" s="62" t="n"/>
      <c r="B8722" s="63" t="n"/>
      <c r="C8722" s="64" t="n"/>
      <c r="D8722" s="64" t="n"/>
      <c r="E8722" s="63" t="n"/>
    </row>
    <row r="8723" ht="18" customHeight="1">
      <c r="A8723" s="62" t="n"/>
      <c r="B8723" s="63" t="n"/>
      <c r="C8723" s="64" t="n"/>
      <c r="D8723" s="64" t="n"/>
      <c r="E8723" s="63" t="n"/>
    </row>
    <row r="8724" ht="18" customHeight="1">
      <c r="A8724" s="62" t="n"/>
      <c r="B8724" s="63" t="n"/>
      <c r="C8724" s="64" t="n"/>
      <c r="D8724" s="64" t="n"/>
      <c r="E8724" s="63" t="n"/>
    </row>
    <row r="8725" ht="18" customHeight="1">
      <c r="A8725" s="62" t="n"/>
      <c r="B8725" s="63" t="n"/>
      <c r="C8725" s="64" t="n"/>
      <c r="D8725" s="64" t="n"/>
      <c r="E8725" s="63" t="n"/>
    </row>
    <row r="8726" ht="18" customHeight="1">
      <c r="A8726" s="62" t="n"/>
      <c r="B8726" s="63" t="n"/>
      <c r="C8726" s="64" t="n"/>
      <c r="D8726" s="64" t="n"/>
      <c r="E8726" s="63" t="n"/>
    </row>
    <row r="8727" ht="18" customHeight="1">
      <c r="A8727" s="62" t="n"/>
      <c r="B8727" s="63" t="n"/>
      <c r="C8727" s="64" t="n"/>
      <c r="D8727" s="64" t="n"/>
      <c r="E8727" s="63" t="n"/>
    </row>
    <row r="8728" ht="18" customHeight="1">
      <c r="A8728" s="62" t="n"/>
      <c r="B8728" s="63" t="n"/>
      <c r="C8728" s="64" t="n"/>
      <c r="D8728" s="64" t="n"/>
      <c r="E8728" s="63" t="n"/>
    </row>
    <row r="8729" ht="18" customHeight="1">
      <c r="A8729" s="62" t="n"/>
      <c r="B8729" s="63" t="n"/>
      <c r="C8729" s="64" t="n"/>
      <c r="D8729" s="64" t="n"/>
      <c r="E8729" s="63" t="n"/>
    </row>
    <row r="8730" ht="18" customHeight="1">
      <c r="A8730" s="62" t="n"/>
      <c r="B8730" s="63" t="n"/>
      <c r="C8730" s="64" t="n"/>
      <c r="D8730" s="64" t="n"/>
      <c r="E8730" s="63" t="n"/>
    </row>
    <row r="8731" ht="18" customHeight="1">
      <c r="A8731" s="62" t="n"/>
      <c r="B8731" s="63" t="n"/>
      <c r="C8731" s="64" t="n"/>
      <c r="D8731" s="64" t="n"/>
      <c r="E8731" s="63" t="n"/>
    </row>
    <row r="8732" ht="18" customHeight="1">
      <c r="A8732" s="62" t="n"/>
      <c r="B8732" s="63" t="n"/>
      <c r="C8732" s="64" t="n"/>
      <c r="D8732" s="64" t="n"/>
      <c r="E8732" s="63" t="n"/>
    </row>
    <row r="8733" ht="18" customHeight="1">
      <c r="A8733" s="62" t="n"/>
      <c r="B8733" s="63" t="n"/>
      <c r="C8733" s="64" t="n"/>
      <c r="D8733" s="64" t="n"/>
      <c r="E8733" s="63" t="n"/>
    </row>
    <row r="8734" ht="18" customHeight="1">
      <c r="A8734" s="62" t="n"/>
      <c r="B8734" s="63" t="n"/>
      <c r="C8734" s="64" t="n"/>
      <c r="D8734" s="64" t="n"/>
      <c r="E8734" s="63" t="n"/>
    </row>
    <row r="8735" ht="18" customHeight="1">
      <c r="A8735" s="62" t="n"/>
      <c r="B8735" s="63" t="n"/>
      <c r="C8735" s="64" t="n"/>
      <c r="D8735" s="64" t="n"/>
      <c r="E8735" s="63" t="n"/>
    </row>
    <row r="8736" ht="18" customHeight="1">
      <c r="A8736" s="62" t="n"/>
      <c r="B8736" s="63" t="n"/>
      <c r="C8736" s="64" t="n"/>
      <c r="D8736" s="64" t="n"/>
      <c r="E8736" s="63" t="n"/>
    </row>
    <row r="8737" ht="18" customHeight="1">
      <c r="A8737" s="62" t="n"/>
      <c r="B8737" s="63" t="n"/>
      <c r="C8737" s="64" t="n"/>
      <c r="D8737" s="64" t="n"/>
      <c r="E8737" s="63" t="n"/>
    </row>
    <row r="8738" ht="18" customHeight="1">
      <c r="A8738" s="62" t="n"/>
      <c r="B8738" s="63" t="n"/>
      <c r="C8738" s="64" t="n"/>
      <c r="D8738" s="64" t="n"/>
      <c r="E8738" s="63" t="n"/>
    </row>
    <row r="8739" ht="18" customHeight="1">
      <c r="A8739" s="62" t="n"/>
      <c r="B8739" s="63" t="n"/>
      <c r="C8739" s="64" t="n"/>
      <c r="D8739" s="64" t="n"/>
      <c r="E8739" s="63" t="n"/>
    </row>
    <row r="8740" ht="18" customHeight="1">
      <c r="A8740" s="62" t="n"/>
      <c r="B8740" s="63" t="n"/>
      <c r="C8740" s="64" t="n"/>
      <c r="D8740" s="64" t="n"/>
      <c r="E8740" s="63" t="n"/>
    </row>
    <row r="8741" ht="18" customHeight="1">
      <c r="A8741" s="62" t="n"/>
      <c r="B8741" s="63" t="n"/>
      <c r="C8741" s="64" t="n"/>
      <c r="D8741" s="64" t="n"/>
      <c r="E8741" s="63" t="n"/>
    </row>
    <row r="8742" ht="18" customHeight="1">
      <c r="A8742" s="62" t="n"/>
      <c r="B8742" s="63" t="n"/>
      <c r="C8742" s="64" t="n"/>
      <c r="D8742" s="64" t="n"/>
      <c r="E8742" s="63" t="n"/>
    </row>
    <row r="8743" ht="18" customHeight="1">
      <c r="A8743" s="62" t="n"/>
      <c r="B8743" s="63" t="n"/>
      <c r="C8743" s="64" t="n"/>
      <c r="D8743" s="64" t="n"/>
      <c r="E8743" s="63" t="n"/>
    </row>
    <row r="8744" ht="18" customHeight="1">
      <c r="A8744" s="62" t="n"/>
      <c r="B8744" s="63" t="n"/>
      <c r="C8744" s="64" t="n"/>
      <c r="D8744" s="64" t="n"/>
      <c r="E8744" s="63" t="n"/>
    </row>
    <row r="8745" ht="18" customHeight="1">
      <c r="A8745" s="62" t="n"/>
      <c r="B8745" s="63" t="n"/>
      <c r="C8745" s="64" t="n"/>
      <c r="D8745" s="64" t="n"/>
      <c r="E8745" s="63" t="n"/>
    </row>
    <row r="8746" ht="18" customHeight="1">
      <c r="A8746" s="62" t="n"/>
      <c r="B8746" s="63" t="n"/>
      <c r="C8746" s="64" t="n"/>
      <c r="D8746" s="64" t="n"/>
      <c r="E8746" s="63" t="n"/>
    </row>
    <row r="8747" ht="18" customHeight="1">
      <c r="A8747" s="62" t="n"/>
      <c r="B8747" s="63" t="n"/>
      <c r="C8747" s="64" t="n"/>
      <c r="D8747" s="64" t="n"/>
      <c r="E8747" s="63" t="n"/>
    </row>
    <row r="8748" ht="18" customHeight="1">
      <c r="A8748" s="62" t="n"/>
      <c r="B8748" s="63" t="n"/>
      <c r="C8748" s="64" t="n"/>
      <c r="D8748" s="64" t="n"/>
      <c r="E8748" s="63" t="n"/>
    </row>
    <row r="8749" ht="18" customHeight="1">
      <c r="A8749" s="62" t="n"/>
      <c r="B8749" s="63" t="n"/>
      <c r="C8749" s="64" t="n"/>
      <c r="D8749" s="64" t="n"/>
      <c r="E8749" s="63" t="n"/>
    </row>
    <row r="8750" ht="18" customHeight="1">
      <c r="A8750" s="62" t="n"/>
      <c r="B8750" s="63" t="n"/>
      <c r="C8750" s="64" t="n"/>
      <c r="D8750" s="64" t="n"/>
      <c r="E8750" s="63" t="n"/>
    </row>
    <row r="8751" ht="18" customHeight="1">
      <c r="A8751" s="62" t="n"/>
      <c r="B8751" s="63" t="n"/>
      <c r="C8751" s="64" t="n"/>
      <c r="D8751" s="64" t="n"/>
      <c r="E8751" s="63" t="n"/>
    </row>
    <row r="8752" ht="18" customHeight="1">
      <c r="A8752" s="62" t="n"/>
      <c r="B8752" s="63" t="n"/>
      <c r="C8752" s="64" t="n"/>
      <c r="D8752" s="64" t="n"/>
      <c r="E8752" s="63" t="n"/>
    </row>
    <row r="8753" ht="18" customHeight="1">
      <c r="A8753" s="62" t="n"/>
      <c r="B8753" s="63" t="n"/>
      <c r="C8753" s="64" t="n"/>
      <c r="D8753" s="64" t="n"/>
      <c r="E8753" s="63" t="n"/>
    </row>
    <row r="8754" ht="18" customHeight="1">
      <c r="A8754" s="62" t="n"/>
      <c r="B8754" s="63" t="n"/>
      <c r="C8754" s="64" t="n"/>
      <c r="D8754" s="64" t="n"/>
      <c r="E8754" s="63" t="n"/>
    </row>
    <row r="8755" ht="18" customHeight="1">
      <c r="A8755" s="62" t="n"/>
      <c r="B8755" s="63" t="n"/>
      <c r="C8755" s="64" t="n"/>
      <c r="D8755" s="64" t="n"/>
      <c r="E8755" s="63" t="n"/>
    </row>
    <row r="8756" ht="18" customHeight="1">
      <c r="A8756" s="62" t="n"/>
      <c r="B8756" s="63" t="n"/>
      <c r="C8756" s="64" t="n"/>
      <c r="D8756" s="64" t="n"/>
      <c r="E8756" s="63" t="n"/>
    </row>
    <row r="8757" ht="18" customHeight="1">
      <c r="A8757" s="62" t="n"/>
      <c r="B8757" s="63" t="n"/>
      <c r="C8757" s="64" t="n"/>
      <c r="D8757" s="64" t="n"/>
      <c r="E8757" s="63" t="n"/>
    </row>
    <row r="8758" ht="18" customHeight="1">
      <c r="A8758" s="62" t="n"/>
      <c r="B8758" s="63" t="n"/>
      <c r="C8758" s="64" t="n"/>
      <c r="D8758" s="64" t="n"/>
      <c r="E8758" s="63" t="n"/>
    </row>
    <row r="8759" ht="18" customHeight="1">
      <c r="A8759" s="62" t="n"/>
      <c r="B8759" s="63" t="n"/>
      <c r="C8759" s="64" t="n"/>
      <c r="D8759" s="64" t="n"/>
      <c r="E8759" s="63" t="n"/>
    </row>
    <row r="8760" ht="18" customHeight="1">
      <c r="A8760" s="62" t="n"/>
      <c r="B8760" s="63" t="n"/>
      <c r="C8760" s="64" t="n"/>
      <c r="D8760" s="64" t="n"/>
      <c r="E8760" s="63" t="n"/>
    </row>
    <row r="8761" ht="18" customHeight="1">
      <c r="A8761" s="62" t="n"/>
      <c r="B8761" s="63" t="n"/>
      <c r="C8761" s="64" t="n"/>
      <c r="D8761" s="64" t="n"/>
      <c r="E8761" s="63" t="n"/>
    </row>
    <row r="8762" ht="18" customHeight="1">
      <c r="A8762" s="62" t="n"/>
      <c r="B8762" s="63" t="n"/>
      <c r="C8762" s="64" t="n"/>
      <c r="D8762" s="64" t="n"/>
      <c r="E8762" s="63" t="n"/>
    </row>
    <row r="8763" ht="18" customHeight="1">
      <c r="A8763" s="62" t="n"/>
      <c r="B8763" s="63" t="n"/>
      <c r="C8763" s="64" t="n"/>
      <c r="D8763" s="64" t="n"/>
      <c r="E8763" s="63" t="n"/>
    </row>
    <row r="8764" ht="18" customHeight="1">
      <c r="A8764" s="62" t="n"/>
      <c r="B8764" s="63" t="n"/>
      <c r="C8764" s="64" t="n"/>
      <c r="D8764" s="64" t="n"/>
      <c r="E8764" s="63" t="n"/>
    </row>
    <row r="8765" ht="18" customHeight="1">
      <c r="A8765" s="62" t="n"/>
      <c r="B8765" s="63" t="n"/>
      <c r="C8765" s="64" t="n"/>
      <c r="D8765" s="64" t="n"/>
      <c r="E8765" s="63" t="n"/>
    </row>
    <row r="8766" ht="18" customHeight="1">
      <c r="A8766" s="62" t="n"/>
      <c r="B8766" s="63" t="n"/>
      <c r="C8766" s="64" t="n"/>
      <c r="D8766" s="64" t="n"/>
      <c r="E8766" s="63" t="n"/>
    </row>
    <row r="8767" ht="18" customHeight="1">
      <c r="A8767" s="62" t="n"/>
      <c r="B8767" s="63" t="n"/>
      <c r="C8767" s="64" t="n"/>
      <c r="D8767" s="64" t="n"/>
      <c r="E8767" s="63" t="n"/>
    </row>
    <row r="8768" ht="18" customHeight="1">
      <c r="A8768" s="62" t="n"/>
      <c r="B8768" s="63" t="n"/>
      <c r="C8768" s="64" t="n"/>
      <c r="D8768" s="64" t="n"/>
      <c r="E8768" s="63" t="n"/>
    </row>
    <row r="8769" ht="18" customHeight="1">
      <c r="A8769" s="62" t="n"/>
      <c r="B8769" s="63" t="n"/>
      <c r="C8769" s="64" t="n"/>
      <c r="D8769" s="64" t="n"/>
      <c r="E8769" s="63" t="n"/>
    </row>
    <row r="8770" ht="18" customHeight="1">
      <c r="A8770" s="62" t="n"/>
      <c r="B8770" s="63" t="n"/>
      <c r="C8770" s="64" t="n"/>
      <c r="D8770" s="64" t="n"/>
      <c r="E8770" s="63" t="n"/>
    </row>
    <row r="8771" ht="18" customHeight="1">
      <c r="A8771" s="62" t="n"/>
      <c r="B8771" s="63" t="n"/>
      <c r="C8771" s="64" t="n"/>
      <c r="D8771" s="64" t="n"/>
      <c r="E8771" s="63" t="n"/>
    </row>
    <row r="8772" ht="18" customHeight="1">
      <c r="A8772" s="62" t="n"/>
      <c r="B8772" s="63" t="n"/>
      <c r="C8772" s="64" t="n"/>
      <c r="D8772" s="64" t="n"/>
      <c r="E8772" s="63" t="n"/>
    </row>
    <row r="8773" ht="18" customHeight="1">
      <c r="A8773" s="62" t="n"/>
      <c r="B8773" s="63" t="n"/>
      <c r="C8773" s="64" t="n"/>
      <c r="D8773" s="64" t="n"/>
      <c r="E8773" s="63" t="n"/>
    </row>
    <row r="8774" ht="18" customHeight="1">
      <c r="A8774" s="62" t="n"/>
      <c r="B8774" s="63" t="n"/>
      <c r="C8774" s="64" t="n"/>
      <c r="D8774" s="64" t="n"/>
      <c r="E8774" s="63" t="n"/>
    </row>
    <row r="8775" ht="18" customHeight="1">
      <c r="A8775" s="62" t="n"/>
      <c r="B8775" s="63" t="n"/>
      <c r="C8775" s="64" t="n"/>
      <c r="D8775" s="64" t="n"/>
      <c r="E8775" s="63" t="n"/>
    </row>
    <row r="8776" ht="18" customHeight="1">
      <c r="A8776" s="62" t="n"/>
      <c r="B8776" s="63" t="n"/>
      <c r="C8776" s="64" t="n"/>
      <c r="D8776" s="64" t="n"/>
      <c r="E8776" s="63" t="n"/>
    </row>
    <row r="8777" ht="18" customHeight="1">
      <c r="A8777" s="62" t="n"/>
      <c r="B8777" s="63" t="n"/>
      <c r="C8777" s="64" t="n"/>
      <c r="D8777" s="64" t="n"/>
      <c r="E8777" s="63" t="n"/>
    </row>
    <row r="8778" ht="18" customHeight="1">
      <c r="A8778" s="62" t="n"/>
      <c r="B8778" s="63" t="n"/>
      <c r="C8778" s="64" t="n"/>
      <c r="D8778" s="64" t="n"/>
      <c r="E8778" s="63" t="n"/>
    </row>
    <row r="8779" ht="18" customHeight="1">
      <c r="A8779" s="62" t="n"/>
      <c r="B8779" s="63" t="n"/>
      <c r="C8779" s="64" t="n"/>
      <c r="D8779" s="64" t="n"/>
      <c r="E8779" s="63" t="n"/>
    </row>
    <row r="8780" ht="18" customHeight="1">
      <c r="A8780" s="62" t="n"/>
      <c r="B8780" s="63" t="n"/>
      <c r="C8780" s="64" t="n"/>
      <c r="D8780" s="64" t="n"/>
      <c r="E8780" s="63" t="n"/>
    </row>
    <row r="8781" ht="18" customHeight="1">
      <c r="A8781" s="62" t="n"/>
      <c r="B8781" s="63" t="n"/>
      <c r="C8781" s="64" t="n"/>
      <c r="D8781" s="64" t="n"/>
      <c r="E8781" s="63" t="n"/>
    </row>
    <row r="8782" ht="18" customHeight="1">
      <c r="A8782" s="62" t="n"/>
      <c r="B8782" s="63" t="n"/>
      <c r="C8782" s="64" t="n"/>
      <c r="D8782" s="64" t="n"/>
      <c r="E8782" s="63" t="n"/>
    </row>
    <row r="8783" ht="18" customHeight="1">
      <c r="A8783" s="62" t="n"/>
      <c r="B8783" s="63" t="n"/>
      <c r="C8783" s="64" t="n"/>
      <c r="D8783" s="64" t="n"/>
      <c r="E8783" s="63" t="n"/>
    </row>
    <row r="8784" ht="18" customHeight="1">
      <c r="A8784" s="62" t="n"/>
      <c r="B8784" s="63" t="n"/>
      <c r="C8784" s="64" t="n"/>
      <c r="D8784" s="64" t="n"/>
      <c r="E8784" s="63" t="n"/>
    </row>
    <row r="8785" ht="18" customHeight="1">
      <c r="A8785" s="62" t="n"/>
      <c r="B8785" s="63" t="n"/>
      <c r="C8785" s="64" t="n"/>
      <c r="D8785" s="64" t="n"/>
      <c r="E8785" s="63" t="n"/>
    </row>
    <row r="8786" ht="18" customHeight="1">
      <c r="A8786" s="62" t="n"/>
      <c r="B8786" s="63" t="n"/>
      <c r="C8786" s="64" t="n"/>
      <c r="D8786" s="64" t="n"/>
      <c r="E8786" s="63" t="n"/>
    </row>
    <row r="8787" ht="18" customHeight="1">
      <c r="A8787" s="62" t="n"/>
      <c r="B8787" s="63" t="n"/>
      <c r="C8787" s="64" t="n"/>
      <c r="D8787" s="64" t="n"/>
      <c r="E8787" s="63" t="n"/>
    </row>
    <row r="8788" ht="18" customHeight="1">
      <c r="A8788" s="62" t="n"/>
      <c r="B8788" s="63" t="n"/>
      <c r="C8788" s="64" t="n"/>
      <c r="D8788" s="64" t="n"/>
      <c r="E8788" s="63" t="n"/>
    </row>
    <row r="8789" ht="18" customHeight="1">
      <c r="A8789" s="62" t="n"/>
      <c r="B8789" s="63" t="n"/>
      <c r="C8789" s="64" t="n"/>
      <c r="D8789" s="64" t="n"/>
      <c r="E8789" s="63" t="n"/>
    </row>
    <row r="8790" ht="18" customHeight="1">
      <c r="A8790" s="62" t="n"/>
      <c r="B8790" s="63" t="n"/>
      <c r="C8790" s="64" t="n"/>
      <c r="D8790" s="64" t="n"/>
      <c r="E8790" s="63" t="n"/>
    </row>
    <row r="8791" ht="18" customHeight="1">
      <c r="A8791" s="62" t="n"/>
      <c r="B8791" s="63" t="n"/>
      <c r="C8791" s="64" t="n"/>
      <c r="D8791" s="64" t="n"/>
      <c r="E8791" s="63" t="n"/>
    </row>
    <row r="8792" ht="18" customHeight="1">
      <c r="A8792" s="62" t="n"/>
      <c r="B8792" s="63" t="n"/>
      <c r="C8792" s="64" t="n"/>
      <c r="D8792" s="64" t="n"/>
      <c r="E8792" s="63" t="n"/>
    </row>
    <row r="8793" ht="18" customHeight="1">
      <c r="A8793" s="62" t="n"/>
      <c r="B8793" s="63" t="n"/>
      <c r="C8793" s="64" t="n"/>
      <c r="D8793" s="64" t="n"/>
      <c r="E8793" s="63" t="n"/>
    </row>
    <row r="8794" ht="18" customHeight="1">
      <c r="A8794" s="62" t="n"/>
      <c r="B8794" s="63" t="n"/>
      <c r="C8794" s="64" t="n"/>
      <c r="D8794" s="64" t="n"/>
      <c r="E8794" s="63" t="n"/>
    </row>
    <row r="8795" ht="18" customHeight="1">
      <c r="A8795" s="62" t="n"/>
      <c r="B8795" s="63" t="n"/>
      <c r="C8795" s="64" t="n"/>
      <c r="D8795" s="64" t="n"/>
      <c r="E8795" s="63" t="n"/>
    </row>
    <row r="8796" ht="18" customHeight="1">
      <c r="A8796" s="62" t="n"/>
      <c r="B8796" s="63" t="n"/>
      <c r="C8796" s="64" t="n"/>
      <c r="D8796" s="64" t="n"/>
      <c r="E8796" s="63" t="n"/>
    </row>
    <row r="8797" ht="18" customHeight="1">
      <c r="A8797" s="62" t="n"/>
      <c r="B8797" s="63" t="n"/>
      <c r="C8797" s="64" t="n"/>
      <c r="D8797" s="64" t="n"/>
      <c r="E8797" s="63" t="n"/>
    </row>
    <row r="8798" ht="18" customHeight="1">
      <c r="A8798" s="62" t="n"/>
      <c r="B8798" s="63" t="n"/>
      <c r="C8798" s="64" t="n"/>
      <c r="D8798" s="64" t="n"/>
      <c r="E8798" s="63" t="n"/>
    </row>
    <row r="8799" ht="18" customHeight="1">
      <c r="A8799" s="62" t="n"/>
      <c r="B8799" s="63" t="n"/>
      <c r="C8799" s="64" t="n"/>
      <c r="D8799" s="64" t="n"/>
      <c r="E8799" s="63" t="n"/>
    </row>
    <row r="8800" ht="18" customHeight="1">
      <c r="A8800" s="62" t="n"/>
      <c r="B8800" s="63" t="n"/>
      <c r="C8800" s="64" t="n"/>
      <c r="D8800" s="64" t="n"/>
      <c r="E8800" s="63" t="n"/>
    </row>
    <row r="8801" ht="18" customHeight="1">
      <c r="A8801" s="62" t="n"/>
      <c r="B8801" s="63" t="n"/>
      <c r="C8801" s="64" t="n"/>
      <c r="D8801" s="64" t="n"/>
      <c r="E8801" s="63" t="n"/>
    </row>
    <row r="8802" ht="18" customHeight="1">
      <c r="A8802" s="62" t="n"/>
      <c r="B8802" s="63" t="n"/>
      <c r="C8802" s="64" t="n"/>
      <c r="D8802" s="64" t="n"/>
      <c r="E8802" s="63" t="n"/>
    </row>
    <row r="8803" ht="18" customHeight="1">
      <c r="A8803" s="62" t="n"/>
      <c r="B8803" s="63" t="n"/>
      <c r="C8803" s="64" t="n"/>
      <c r="D8803" s="64" t="n"/>
      <c r="E8803" s="63" t="n"/>
    </row>
    <row r="8804" ht="18" customHeight="1">
      <c r="A8804" s="62" t="n"/>
      <c r="B8804" s="63" t="n"/>
      <c r="C8804" s="64" t="n"/>
      <c r="D8804" s="64" t="n"/>
      <c r="E8804" s="63" t="n"/>
    </row>
    <row r="8805" ht="18" customHeight="1">
      <c r="A8805" s="62" t="n"/>
      <c r="B8805" s="63" t="n"/>
      <c r="C8805" s="64" t="n"/>
      <c r="D8805" s="64" t="n"/>
      <c r="E8805" s="63" t="n"/>
    </row>
    <row r="8806" ht="18" customHeight="1">
      <c r="A8806" s="62" t="n"/>
      <c r="B8806" s="63" t="n"/>
      <c r="C8806" s="64" t="n"/>
      <c r="D8806" s="64" t="n"/>
      <c r="E8806" s="63" t="n"/>
    </row>
    <row r="8807" ht="18" customHeight="1">
      <c r="A8807" s="62" t="n"/>
      <c r="B8807" s="63" t="n"/>
      <c r="C8807" s="64" t="n"/>
      <c r="D8807" s="64" t="n"/>
      <c r="E8807" s="63" t="n"/>
    </row>
    <row r="8808" ht="18" customHeight="1">
      <c r="A8808" s="62" t="n"/>
      <c r="B8808" s="63" t="n"/>
      <c r="C8808" s="64" t="n"/>
      <c r="D8808" s="64" t="n"/>
      <c r="E8808" s="63" t="n"/>
    </row>
    <row r="8809" ht="18" customHeight="1">
      <c r="A8809" s="62" t="n"/>
      <c r="B8809" s="63" t="n"/>
      <c r="C8809" s="64" t="n"/>
      <c r="D8809" s="64" t="n"/>
      <c r="E8809" s="63" t="n"/>
    </row>
    <row r="8810" ht="18" customHeight="1">
      <c r="A8810" s="62" t="n"/>
      <c r="B8810" s="63" t="n"/>
      <c r="C8810" s="64" t="n"/>
      <c r="D8810" s="64" t="n"/>
      <c r="E8810" s="63" t="n"/>
    </row>
    <row r="8811" ht="18" customHeight="1">
      <c r="A8811" s="62" t="n"/>
      <c r="B8811" s="63" t="n"/>
      <c r="C8811" s="64" t="n"/>
      <c r="D8811" s="64" t="n"/>
      <c r="E8811" s="63" t="n"/>
    </row>
    <row r="8812" ht="18" customHeight="1">
      <c r="A8812" s="62" t="n"/>
      <c r="B8812" s="63" t="n"/>
      <c r="C8812" s="64" t="n"/>
      <c r="D8812" s="64" t="n"/>
      <c r="E8812" s="63" t="n"/>
    </row>
    <row r="8813" ht="18" customHeight="1">
      <c r="A8813" s="62" t="n"/>
      <c r="B8813" s="63" t="n"/>
      <c r="C8813" s="64" t="n"/>
      <c r="D8813" s="64" t="n"/>
      <c r="E8813" s="63" t="n"/>
    </row>
    <row r="8814" ht="18" customHeight="1">
      <c r="A8814" s="62" t="n"/>
      <c r="B8814" s="63" t="n"/>
      <c r="C8814" s="64" t="n"/>
      <c r="D8814" s="64" t="n"/>
      <c r="E8814" s="63" t="n"/>
    </row>
    <row r="8815" ht="18" customHeight="1">
      <c r="A8815" s="62" t="n"/>
      <c r="B8815" s="63" t="n"/>
      <c r="C8815" s="64" t="n"/>
      <c r="D8815" s="64" t="n"/>
      <c r="E8815" s="63" t="n"/>
    </row>
    <row r="8816" ht="18" customHeight="1">
      <c r="A8816" s="62" t="n"/>
      <c r="B8816" s="63" t="n"/>
      <c r="C8816" s="64" t="n"/>
      <c r="D8816" s="64" t="n"/>
      <c r="E8816" s="63" t="n"/>
    </row>
    <row r="8817" ht="18" customHeight="1">
      <c r="A8817" s="62" t="n"/>
      <c r="B8817" s="63" t="n"/>
      <c r="C8817" s="64" t="n"/>
      <c r="D8817" s="64" t="n"/>
      <c r="E8817" s="63" t="n"/>
    </row>
    <row r="8818" ht="18" customHeight="1">
      <c r="A8818" s="62" t="n"/>
      <c r="B8818" s="63" t="n"/>
      <c r="C8818" s="64" t="n"/>
      <c r="D8818" s="64" t="n"/>
      <c r="E8818" s="63" t="n"/>
    </row>
    <row r="8819" ht="18" customHeight="1">
      <c r="A8819" s="62" t="n"/>
      <c r="B8819" s="63" t="n"/>
      <c r="C8819" s="64" t="n"/>
      <c r="D8819" s="64" t="n"/>
      <c r="E8819" s="63" t="n"/>
    </row>
    <row r="8820" ht="18" customHeight="1">
      <c r="A8820" s="62" t="n"/>
      <c r="B8820" s="63" t="n"/>
      <c r="C8820" s="64" t="n"/>
      <c r="D8820" s="64" t="n"/>
      <c r="E8820" s="63" t="n"/>
    </row>
    <row r="8821" ht="18" customHeight="1">
      <c r="A8821" s="62" t="n"/>
      <c r="B8821" s="63" t="n"/>
      <c r="C8821" s="64" t="n"/>
      <c r="D8821" s="64" t="n"/>
      <c r="E8821" s="63" t="n"/>
    </row>
    <row r="8822" ht="18" customHeight="1">
      <c r="A8822" s="62" t="n"/>
      <c r="B8822" s="63" t="n"/>
      <c r="C8822" s="64" t="n"/>
      <c r="D8822" s="64" t="n"/>
      <c r="E8822" s="63" t="n"/>
    </row>
    <row r="8823" ht="18" customHeight="1">
      <c r="A8823" s="62" t="n"/>
      <c r="B8823" s="63" t="n"/>
      <c r="C8823" s="64" t="n"/>
      <c r="D8823" s="64" t="n"/>
      <c r="E8823" s="63" t="n"/>
    </row>
    <row r="8824" ht="18" customHeight="1">
      <c r="A8824" s="62" t="n"/>
      <c r="B8824" s="63" t="n"/>
      <c r="C8824" s="64" t="n"/>
      <c r="D8824" s="64" t="n"/>
      <c r="E8824" s="63" t="n"/>
    </row>
    <row r="8825" ht="18" customHeight="1">
      <c r="A8825" s="62" t="n"/>
      <c r="B8825" s="63" t="n"/>
      <c r="C8825" s="64" t="n"/>
      <c r="D8825" s="64" t="n"/>
      <c r="E8825" s="63" t="n"/>
    </row>
    <row r="8826" ht="18" customHeight="1">
      <c r="A8826" s="62" t="n"/>
      <c r="B8826" s="63" t="n"/>
      <c r="C8826" s="64" t="n"/>
      <c r="D8826" s="64" t="n"/>
      <c r="E8826" s="63" t="n"/>
    </row>
    <row r="8827" ht="18" customHeight="1">
      <c r="A8827" s="62" t="n"/>
      <c r="B8827" s="63" t="n"/>
      <c r="C8827" s="64" t="n"/>
      <c r="D8827" s="64" t="n"/>
      <c r="E8827" s="63" t="n"/>
    </row>
    <row r="8828" ht="18" customHeight="1">
      <c r="A8828" s="62" t="n"/>
      <c r="B8828" s="63" t="n"/>
      <c r="C8828" s="64" t="n"/>
      <c r="D8828" s="64" t="n"/>
      <c r="E8828" s="63" t="n"/>
    </row>
    <row r="8829" ht="18" customHeight="1">
      <c r="A8829" s="62" t="n"/>
      <c r="B8829" s="63" t="n"/>
      <c r="C8829" s="64" t="n"/>
      <c r="D8829" s="64" t="n"/>
      <c r="E8829" s="63" t="n"/>
    </row>
    <row r="8830" ht="18" customHeight="1">
      <c r="A8830" s="62" t="n"/>
      <c r="B8830" s="63" t="n"/>
      <c r="C8830" s="64" t="n"/>
      <c r="D8830" s="64" t="n"/>
      <c r="E8830" s="63" t="n"/>
    </row>
    <row r="8831" ht="18" customHeight="1">
      <c r="A8831" s="62" t="n"/>
      <c r="B8831" s="63" t="n"/>
      <c r="C8831" s="64" t="n"/>
      <c r="D8831" s="64" t="n"/>
      <c r="E8831" s="63" t="n"/>
    </row>
    <row r="8832" ht="18" customHeight="1">
      <c r="A8832" s="62" t="n"/>
      <c r="B8832" s="63" t="n"/>
      <c r="C8832" s="64" t="n"/>
      <c r="D8832" s="64" t="n"/>
      <c r="E8832" s="63" t="n"/>
    </row>
    <row r="8833" ht="18" customHeight="1">
      <c r="A8833" s="62" t="n"/>
      <c r="B8833" s="63" t="n"/>
      <c r="C8833" s="64" t="n"/>
      <c r="D8833" s="64" t="n"/>
      <c r="E8833" s="63" t="n"/>
    </row>
    <row r="8834" ht="18" customHeight="1">
      <c r="A8834" s="62" t="n"/>
      <c r="B8834" s="63" t="n"/>
      <c r="C8834" s="64" t="n"/>
      <c r="D8834" s="64" t="n"/>
      <c r="E8834" s="63" t="n"/>
    </row>
    <row r="8835" ht="18" customHeight="1">
      <c r="A8835" s="62" t="n"/>
      <c r="B8835" s="63" t="n"/>
      <c r="C8835" s="64" t="n"/>
      <c r="D8835" s="64" t="n"/>
      <c r="E8835" s="63" t="n"/>
    </row>
    <row r="8836" ht="18" customHeight="1">
      <c r="A8836" s="62" t="n"/>
      <c r="B8836" s="63" t="n"/>
      <c r="C8836" s="64" t="n"/>
      <c r="D8836" s="64" t="n"/>
      <c r="E8836" s="63" t="n"/>
    </row>
    <row r="8837" ht="18" customHeight="1">
      <c r="A8837" s="62" t="n"/>
      <c r="B8837" s="63" t="n"/>
      <c r="C8837" s="64" t="n"/>
      <c r="D8837" s="64" t="n"/>
      <c r="E8837" s="63" t="n"/>
    </row>
    <row r="8838" ht="18" customHeight="1">
      <c r="A8838" s="62" t="n"/>
      <c r="B8838" s="63" t="n"/>
      <c r="C8838" s="64" t="n"/>
      <c r="D8838" s="64" t="n"/>
      <c r="E8838" s="63" t="n"/>
    </row>
    <row r="8839" ht="18" customHeight="1">
      <c r="A8839" s="62" t="n"/>
      <c r="B8839" s="63" t="n"/>
      <c r="C8839" s="64" t="n"/>
      <c r="D8839" s="64" t="n"/>
      <c r="E8839" s="63" t="n"/>
    </row>
    <row r="8840" ht="18" customHeight="1">
      <c r="A8840" s="62" t="n"/>
      <c r="B8840" s="63" t="n"/>
      <c r="C8840" s="64" t="n"/>
      <c r="D8840" s="64" t="n"/>
      <c r="E8840" s="63" t="n"/>
    </row>
    <row r="8841" ht="18" customHeight="1">
      <c r="A8841" s="62" t="n"/>
      <c r="B8841" s="63" t="n"/>
      <c r="C8841" s="64" t="n"/>
      <c r="D8841" s="64" t="n"/>
      <c r="E8841" s="63" t="n"/>
    </row>
    <row r="8842" ht="18" customHeight="1">
      <c r="A8842" s="62" t="n"/>
      <c r="B8842" s="63" t="n"/>
      <c r="C8842" s="64" t="n"/>
      <c r="D8842" s="64" t="n"/>
      <c r="E8842" s="63" t="n"/>
    </row>
    <row r="8843" ht="18" customHeight="1">
      <c r="A8843" s="62" t="n"/>
      <c r="B8843" s="63" t="n"/>
      <c r="C8843" s="64" t="n"/>
      <c r="D8843" s="64" t="n"/>
      <c r="E8843" s="63" t="n"/>
    </row>
    <row r="8844" ht="18" customHeight="1">
      <c r="A8844" s="62" t="n"/>
      <c r="B8844" s="63" t="n"/>
      <c r="C8844" s="64" t="n"/>
      <c r="D8844" s="64" t="n"/>
      <c r="E8844" s="63" t="n"/>
    </row>
    <row r="8845" ht="18" customHeight="1">
      <c r="A8845" s="62" t="n"/>
      <c r="B8845" s="63" t="n"/>
      <c r="C8845" s="64" t="n"/>
      <c r="D8845" s="64" t="n"/>
      <c r="E8845" s="63" t="n"/>
    </row>
    <row r="8846" ht="18" customHeight="1">
      <c r="A8846" s="62" t="n"/>
      <c r="B8846" s="63" t="n"/>
      <c r="C8846" s="64" t="n"/>
      <c r="D8846" s="64" t="n"/>
      <c r="E8846" s="63" t="n"/>
    </row>
    <row r="8847" ht="18" customHeight="1">
      <c r="A8847" s="62" t="n"/>
      <c r="B8847" s="63" t="n"/>
      <c r="C8847" s="64" t="n"/>
      <c r="D8847" s="64" t="n"/>
      <c r="E8847" s="63" t="n"/>
    </row>
    <row r="8848" ht="18" customHeight="1">
      <c r="A8848" s="62" t="n"/>
      <c r="B8848" s="63" t="n"/>
      <c r="C8848" s="64" t="n"/>
      <c r="D8848" s="64" t="n"/>
      <c r="E8848" s="63" t="n"/>
    </row>
    <row r="8849" ht="18" customHeight="1">
      <c r="A8849" s="62" t="n"/>
      <c r="B8849" s="63" t="n"/>
      <c r="C8849" s="64" t="n"/>
      <c r="D8849" s="64" t="n"/>
      <c r="E8849" s="63" t="n"/>
    </row>
    <row r="8850" ht="18" customHeight="1">
      <c r="A8850" s="62" t="n"/>
      <c r="B8850" s="63" t="n"/>
      <c r="C8850" s="64" t="n"/>
      <c r="D8850" s="64" t="n"/>
      <c r="E8850" s="63" t="n"/>
    </row>
    <row r="8851" ht="18" customHeight="1">
      <c r="A8851" s="62" t="n"/>
      <c r="B8851" s="63" t="n"/>
      <c r="C8851" s="64" t="n"/>
      <c r="D8851" s="64" t="n"/>
      <c r="E8851" s="63" t="n"/>
    </row>
    <row r="8852" ht="18" customHeight="1">
      <c r="A8852" s="62" t="n"/>
      <c r="B8852" s="63" t="n"/>
      <c r="C8852" s="64" t="n"/>
      <c r="D8852" s="64" t="n"/>
      <c r="E8852" s="63" t="n"/>
    </row>
    <row r="8853" ht="18" customHeight="1">
      <c r="A8853" s="62" t="n"/>
      <c r="B8853" s="63" t="n"/>
      <c r="C8853" s="64" t="n"/>
      <c r="D8853" s="64" t="n"/>
      <c r="E8853" s="63" t="n"/>
    </row>
    <row r="8854" ht="18" customHeight="1">
      <c r="A8854" s="62" t="n"/>
      <c r="B8854" s="63" t="n"/>
      <c r="C8854" s="64" t="n"/>
      <c r="D8854" s="64" t="n"/>
      <c r="E8854" s="63" t="n"/>
    </row>
    <row r="8855" ht="18" customHeight="1">
      <c r="A8855" s="62" t="n"/>
      <c r="B8855" s="63" t="n"/>
      <c r="C8855" s="64" t="n"/>
      <c r="D8855" s="64" t="n"/>
      <c r="E8855" s="63" t="n"/>
    </row>
    <row r="8856" ht="18" customHeight="1">
      <c r="A8856" s="62" t="n"/>
      <c r="B8856" s="63" t="n"/>
      <c r="C8856" s="64" t="n"/>
      <c r="D8856" s="64" t="n"/>
      <c r="E8856" s="63" t="n"/>
    </row>
    <row r="8857" ht="18" customHeight="1">
      <c r="A8857" s="62" t="n"/>
      <c r="B8857" s="63" t="n"/>
      <c r="C8857" s="64" t="n"/>
      <c r="D8857" s="64" t="n"/>
      <c r="E8857" s="63" t="n"/>
    </row>
    <row r="8858" ht="18" customHeight="1">
      <c r="A8858" s="62" t="n"/>
      <c r="B8858" s="63" t="n"/>
      <c r="C8858" s="64" t="n"/>
      <c r="D8858" s="64" t="n"/>
      <c r="E8858" s="63" t="n"/>
    </row>
    <row r="8859" ht="18" customHeight="1">
      <c r="A8859" s="62" t="n"/>
      <c r="B8859" s="63" t="n"/>
      <c r="C8859" s="64" t="n"/>
      <c r="D8859" s="64" t="n"/>
      <c r="E8859" s="63" t="n"/>
    </row>
    <row r="8860" ht="18" customHeight="1">
      <c r="A8860" s="62" t="n"/>
      <c r="B8860" s="63" t="n"/>
      <c r="C8860" s="64" t="n"/>
      <c r="D8860" s="64" t="n"/>
      <c r="E8860" s="63" t="n"/>
    </row>
    <row r="8861" ht="18" customHeight="1">
      <c r="A8861" s="62" t="n"/>
      <c r="B8861" s="63" t="n"/>
      <c r="C8861" s="64" t="n"/>
      <c r="D8861" s="64" t="n"/>
      <c r="E8861" s="63" t="n"/>
    </row>
    <row r="8862" ht="18" customHeight="1">
      <c r="A8862" s="62" t="n"/>
      <c r="B8862" s="63" t="n"/>
      <c r="C8862" s="64" t="n"/>
      <c r="D8862" s="64" t="n"/>
      <c r="E8862" s="63" t="n"/>
    </row>
    <row r="8863" ht="18" customHeight="1">
      <c r="A8863" s="62" t="n"/>
      <c r="B8863" s="63" t="n"/>
      <c r="C8863" s="64" t="n"/>
      <c r="D8863" s="64" t="n"/>
      <c r="E8863" s="63" t="n"/>
    </row>
    <row r="8864" ht="18" customHeight="1">
      <c r="A8864" s="62" t="n"/>
      <c r="B8864" s="63" t="n"/>
      <c r="C8864" s="64" t="n"/>
      <c r="D8864" s="64" t="n"/>
      <c r="E8864" s="63" t="n"/>
    </row>
    <row r="8865" ht="18" customHeight="1">
      <c r="A8865" s="62" t="n"/>
      <c r="B8865" s="63" t="n"/>
      <c r="C8865" s="64" t="n"/>
      <c r="D8865" s="64" t="n"/>
      <c r="E8865" s="63" t="n"/>
    </row>
    <row r="8866" ht="18" customHeight="1">
      <c r="A8866" s="62" t="n"/>
      <c r="B8866" s="63" t="n"/>
      <c r="C8866" s="64" t="n"/>
      <c r="D8866" s="64" t="n"/>
      <c r="E8866" s="63" t="n"/>
    </row>
    <row r="8867" ht="18" customHeight="1">
      <c r="A8867" s="62" t="n"/>
      <c r="B8867" s="63" t="n"/>
      <c r="C8867" s="64" t="n"/>
      <c r="D8867" s="64" t="n"/>
      <c r="E8867" s="63" t="n"/>
    </row>
    <row r="8868" ht="18" customHeight="1">
      <c r="A8868" s="62" t="n"/>
      <c r="B8868" s="63" t="n"/>
      <c r="C8868" s="64" t="n"/>
      <c r="D8868" s="64" t="n"/>
      <c r="E8868" s="63" t="n"/>
    </row>
    <row r="8869" ht="18" customHeight="1">
      <c r="A8869" s="62" t="n"/>
      <c r="B8869" s="63" t="n"/>
      <c r="C8869" s="64" t="n"/>
      <c r="D8869" s="64" t="n"/>
      <c r="E8869" s="63" t="n"/>
    </row>
    <row r="8870" ht="18" customHeight="1">
      <c r="A8870" s="62" t="n"/>
      <c r="B8870" s="63" t="n"/>
      <c r="C8870" s="64" t="n"/>
      <c r="D8870" s="64" t="n"/>
      <c r="E8870" s="63" t="n"/>
    </row>
    <row r="8871" ht="18" customHeight="1">
      <c r="A8871" s="62" t="n"/>
      <c r="B8871" s="63" t="n"/>
      <c r="C8871" s="64" t="n"/>
      <c r="D8871" s="64" t="n"/>
      <c r="E8871" s="63" t="n"/>
    </row>
    <row r="8872" ht="18" customHeight="1">
      <c r="A8872" s="62" t="n"/>
      <c r="B8872" s="63" t="n"/>
      <c r="C8872" s="64" t="n"/>
      <c r="D8872" s="64" t="n"/>
      <c r="E8872" s="63" t="n"/>
    </row>
    <row r="8873" ht="18" customHeight="1">
      <c r="A8873" s="62" t="n"/>
      <c r="B8873" s="63" t="n"/>
      <c r="C8873" s="64" t="n"/>
      <c r="D8873" s="64" t="n"/>
      <c r="E8873" s="63" t="n"/>
    </row>
    <row r="8874" ht="18" customHeight="1">
      <c r="A8874" s="62" t="n"/>
      <c r="B8874" s="63" t="n"/>
      <c r="C8874" s="64" t="n"/>
      <c r="D8874" s="64" t="n"/>
      <c r="E8874" s="63" t="n"/>
    </row>
    <row r="8875" ht="18" customHeight="1">
      <c r="A8875" s="62" t="n"/>
      <c r="B8875" s="63" t="n"/>
      <c r="C8875" s="64" t="n"/>
      <c r="D8875" s="64" t="n"/>
      <c r="E8875" s="63" t="n"/>
    </row>
    <row r="8876" ht="18" customHeight="1">
      <c r="A8876" s="62" t="n"/>
      <c r="B8876" s="63" t="n"/>
      <c r="C8876" s="64" t="n"/>
      <c r="D8876" s="64" t="n"/>
      <c r="E8876" s="63" t="n"/>
    </row>
    <row r="8877" ht="18" customHeight="1">
      <c r="A8877" s="62" t="n"/>
      <c r="B8877" s="63" t="n"/>
      <c r="C8877" s="64" t="n"/>
      <c r="D8877" s="64" t="n"/>
      <c r="E8877" s="63" t="n"/>
    </row>
    <row r="8878" ht="18" customHeight="1">
      <c r="A8878" s="62" t="n"/>
      <c r="B8878" s="63" t="n"/>
      <c r="C8878" s="64" t="n"/>
      <c r="D8878" s="64" t="n"/>
      <c r="E8878" s="63" t="n"/>
    </row>
    <row r="8879" ht="18" customHeight="1">
      <c r="A8879" s="62" t="n"/>
      <c r="B8879" s="63" t="n"/>
      <c r="C8879" s="64" t="n"/>
      <c r="D8879" s="64" t="n"/>
      <c r="E8879" s="63" t="n"/>
    </row>
    <row r="8880" ht="18" customHeight="1">
      <c r="A8880" s="62" t="n"/>
      <c r="B8880" s="63" t="n"/>
      <c r="C8880" s="64" t="n"/>
      <c r="D8880" s="64" t="n"/>
      <c r="E8880" s="63" t="n"/>
    </row>
    <row r="8881" ht="18" customHeight="1">
      <c r="A8881" s="62" t="n"/>
      <c r="B8881" s="63" t="n"/>
      <c r="C8881" s="64" t="n"/>
      <c r="D8881" s="64" t="n"/>
      <c r="E8881" s="63" t="n"/>
    </row>
    <row r="8882" ht="18" customHeight="1">
      <c r="A8882" s="62" t="n"/>
      <c r="B8882" s="63" t="n"/>
      <c r="C8882" s="64" t="n"/>
      <c r="D8882" s="64" t="n"/>
      <c r="E8882" s="63" t="n"/>
    </row>
    <row r="8883" ht="18" customHeight="1">
      <c r="A8883" s="62" t="n"/>
      <c r="B8883" s="63" t="n"/>
      <c r="C8883" s="64" t="n"/>
      <c r="D8883" s="64" t="n"/>
      <c r="E8883" s="63" t="n"/>
    </row>
    <row r="8884" ht="18" customHeight="1">
      <c r="A8884" s="62" t="n"/>
      <c r="B8884" s="63" t="n"/>
      <c r="C8884" s="64" t="n"/>
      <c r="D8884" s="64" t="n"/>
      <c r="E8884" s="63" t="n"/>
    </row>
    <row r="8885" ht="18" customHeight="1">
      <c r="A8885" s="62" t="n"/>
      <c r="B8885" s="63" t="n"/>
      <c r="C8885" s="64" t="n"/>
      <c r="D8885" s="64" t="n"/>
      <c r="E8885" s="63" t="n"/>
    </row>
    <row r="8886" ht="18" customHeight="1">
      <c r="A8886" s="62" t="n"/>
      <c r="B8886" s="63" t="n"/>
      <c r="C8886" s="64" t="n"/>
      <c r="D8886" s="64" t="n"/>
      <c r="E8886" s="63" t="n"/>
    </row>
    <row r="8887" ht="18" customHeight="1">
      <c r="A8887" s="62" t="n"/>
      <c r="B8887" s="63" t="n"/>
      <c r="C8887" s="64" t="n"/>
      <c r="D8887" s="64" t="n"/>
      <c r="E8887" s="63" t="n"/>
    </row>
    <row r="8888" ht="18" customHeight="1">
      <c r="A8888" s="62" t="n"/>
      <c r="B8888" s="63" t="n"/>
      <c r="C8888" s="64" t="n"/>
      <c r="D8888" s="64" t="n"/>
      <c r="E8888" s="63" t="n"/>
    </row>
    <row r="8889" ht="18" customHeight="1">
      <c r="A8889" s="62" t="n"/>
      <c r="B8889" s="63" t="n"/>
      <c r="C8889" s="64" t="n"/>
      <c r="D8889" s="64" t="n"/>
      <c r="E8889" s="63" t="n"/>
    </row>
    <row r="8890" ht="18" customHeight="1">
      <c r="A8890" s="62" t="n"/>
      <c r="B8890" s="63" t="n"/>
      <c r="C8890" s="64" t="n"/>
      <c r="D8890" s="64" t="n"/>
      <c r="E8890" s="63" t="n"/>
    </row>
    <row r="8891" ht="18" customHeight="1">
      <c r="A8891" s="62" t="n"/>
      <c r="B8891" s="63" t="n"/>
      <c r="C8891" s="64" t="n"/>
      <c r="D8891" s="64" t="n"/>
      <c r="E8891" s="63" t="n"/>
    </row>
    <row r="8892" ht="18" customHeight="1">
      <c r="A8892" s="62" t="n"/>
      <c r="B8892" s="63" t="n"/>
      <c r="C8892" s="64" t="n"/>
      <c r="D8892" s="64" t="n"/>
      <c r="E8892" s="63" t="n"/>
    </row>
    <row r="8893" ht="18" customHeight="1">
      <c r="A8893" s="62" t="n"/>
      <c r="B8893" s="63" t="n"/>
      <c r="C8893" s="64" t="n"/>
      <c r="D8893" s="64" t="n"/>
      <c r="E8893" s="63" t="n"/>
    </row>
    <row r="8894" ht="18" customHeight="1">
      <c r="A8894" s="62" t="n"/>
      <c r="B8894" s="63" t="n"/>
      <c r="C8894" s="64" t="n"/>
      <c r="D8894" s="64" t="n"/>
      <c r="E8894" s="63" t="n"/>
    </row>
    <row r="8895" ht="18" customHeight="1">
      <c r="A8895" s="62" t="n"/>
      <c r="B8895" s="63" t="n"/>
      <c r="C8895" s="64" t="n"/>
      <c r="D8895" s="64" t="n"/>
      <c r="E8895" s="63" t="n"/>
    </row>
    <row r="8896" ht="18" customHeight="1">
      <c r="A8896" s="62" t="n"/>
      <c r="B8896" s="63" t="n"/>
      <c r="C8896" s="64" t="n"/>
      <c r="D8896" s="64" t="n"/>
      <c r="E8896" s="63" t="n"/>
    </row>
    <row r="8897" ht="18" customHeight="1">
      <c r="A8897" s="62" t="n"/>
      <c r="B8897" s="63" t="n"/>
      <c r="C8897" s="64" t="n"/>
      <c r="D8897" s="64" t="n"/>
      <c r="E8897" s="63" t="n"/>
    </row>
    <row r="8898" ht="18" customHeight="1">
      <c r="A8898" s="62" t="n"/>
      <c r="B8898" s="63" t="n"/>
      <c r="C8898" s="64" t="n"/>
      <c r="D8898" s="64" t="n"/>
      <c r="E8898" s="63" t="n"/>
    </row>
    <row r="8899" ht="18" customHeight="1">
      <c r="A8899" s="62" t="n"/>
      <c r="B8899" s="63" t="n"/>
      <c r="C8899" s="64" t="n"/>
      <c r="D8899" s="64" t="n"/>
      <c r="E8899" s="63" t="n"/>
    </row>
    <row r="8900" ht="18" customHeight="1">
      <c r="A8900" s="62" t="n"/>
      <c r="B8900" s="63" t="n"/>
      <c r="C8900" s="64" t="n"/>
      <c r="D8900" s="64" t="n"/>
      <c r="E8900" s="63" t="n"/>
    </row>
    <row r="8901" ht="18" customHeight="1">
      <c r="A8901" s="62" t="n"/>
      <c r="B8901" s="63" t="n"/>
      <c r="C8901" s="64" t="n"/>
      <c r="D8901" s="64" t="n"/>
      <c r="E8901" s="63" t="n"/>
    </row>
    <row r="8902" ht="18" customHeight="1">
      <c r="A8902" s="62" t="n"/>
      <c r="B8902" s="63" t="n"/>
      <c r="C8902" s="64" t="n"/>
      <c r="D8902" s="64" t="n"/>
      <c r="E8902" s="63" t="n"/>
    </row>
    <row r="8903" ht="18" customHeight="1">
      <c r="A8903" s="62" t="n"/>
      <c r="B8903" s="63" t="n"/>
      <c r="C8903" s="64" t="n"/>
      <c r="D8903" s="64" t="n"/>
      <c r="E8903" s="63" t="n"/>
    </row>
    <row r="8904" ht="18" customHeight="1">
      <c r="A8904" s="62" t="n"/>
      <c r="B8904" s="63" t="n"/>
      <c r="C8904" s="64" t="n"/>
      <c r="D8904" s="64" t="n"/>
      <c r="E8904" s="63" t="n"/>
    </row>
    <row r="8905" ht="18" customHeight="1">
      <c r="A8905" s="62" t="n"/>
      <c r="B8905" s="63" t="n"/>
      <c r="C8905" s="64" t="n"/>
      <c r="D8905" s="64" t="n"/>
      <c r="E8905" s="63" t="n"/>
    </row>
    <row r="8906" ht="18" customHeight="1">
      <c r="A8906" s="62" t="n"/>
      <c r="B8906" s="63" t="n"/>
      <c r="C8906" s="64" t="n"/>
      <c r="D8906" s="64" t="n"/>
      <c r="E8906" s="63" t="n"/>
    </row>
    <row r="8907" ht="18" customHeight="1">
      <c r="A8907" s="62" t="n"/>
      <c r="B8907" s="63" t="n"/>
      <c r="C8907" s="64" t="n"/>
      <c r="D8907" s="64" t="n"/>
      <c r="E8907" s="63" t="n"/>
    </row>
    <row r="8908" ht="18" customHeight="1">
      <c r="A8908" s="62" t="n"/>
      <c r="B8908" s="63" t="n"/>
      <c r="C8908" s="64" t="n"/>
      <c r="D8908" s="64" t="n"/>
      <c r="E8908" s="63" t="n"/>
    </row>
    <row r="8909" ht="18" customHeight="1">
      <c r="A8909" s="62" t="n"/>
      <c r="B8909" s="63" t="n"/>
      <c r="C8909" s="64" t="n"/>
      <c r="D8909" s="64" t="n"/>
      <c r="E8909" s="63" t="n"/>
    </row>
    <row r="8910" ht="18" customHeight="1">
      <c r="A8910" s="62" t="n"/>
      <c r="B8910" s="63" t="n"/>
      <c r="C8910" s="64" t="n"/>
      <c r="D8910" s="64" t="n"/>
      <c r="E8910" s="63" t="n"/>
    </row>
    <row r="8911" ht="18" customHeight="1">
      <c r="A8911" s="62" t="n"/>
      <c r="B8911" s="63" t="n"/>
      <c r="C8911" s="64" t="n"/>
      <c r="D8911" s="64" t="n"/>
      <c r="E8911" s="63" t="n"/>
    </row>
    <row r="8912" ht="18" customHeight="1">
      <c r="A8912" s="62" t="n"/>
      <c r="B8912" s="63" t="n"/>
      <c r="C8912" s="64" t="n"/>
      <c r="D8912" s="64" t="n"/>
      <c r="E8912" s="63" t="n"/>
    </row>
    <row r="8913" ht="18" customHeight="1">
      <c r="A8913" s="62" t="n"/>
      <c r="B8913" s="63" t="n"/>
      <c r="C8913" s="64" t="n"/>
      <c r="D8913" s="64" t="n"/>
      <c r="E8913" s="63" t="n"/>
    </row>
    <row r="8914" ht="18" customHeight="1">
      <c r="A8914" s="62" t="n"/>
      <c r="B8914" s="63" t="n"/>
      <c r="C8914" s="64" t="n"/>
      <c r="D8914" s="64" t="n"/>
      <c r="E8914" s="63" t="n"/>
    </row>
    <row r="8915" ht="18" customHeight="1">
      <c r="A8915" s="62" t="n"/>
      <c r="B8915" s="63" t="n"/>
      <c r="C8915" s="64" t="n"/>
      <c r="D8915" s="64" t="n"/>
      <c r="E8915" s="63" t="n"/>
    </row>
    <row r="8916" ht="18" customHeight="1">
      <c r="A8916" s="62" t="n"/>
      <c r="B8916" s="63" t="n"/>
      <c r="C8916" s="64" t="n"/>
      <c r="D8916" s="64" t="n"/>
      <c r="E8916" s="63" t="n"/>
    </row>
    <row r="8917" ht="18" customHeight="1">
      <c r="A8917" s="62" t="n"/>
      <c r="B8917" s="63" t="n"/>
      <c r="C8917" s="64" t="n"/>
      <c r="D8917" s="64" t="n"/>
      <c r="E8917" s="63" t="n"/>
    </row>
    <row r="8918" ht="18" customHeight="1">
      <c r="A8918" s="62" t="n"/>
      <c r="B8918" s="63" t="n"/>
      <c r="C8918" s="64" t="n"/>
      <c r="D8918" s="64" t="n"/>
      <c r="E8918" s="63" t="n"/>
    </row>
    <row r="8919" ht="18" customHeight="1">
      <c r="A8919" s="62" t="n"/>
      <c r="B8919" s="63" t="n"/>
      <c r="C8919" s="64" t="n"/>
      <c r="D8919" s="64" t="n"/>
      <c r="E8919" s="63" t="n"/>
    </row>
    <row r="8920" ht="18" customHeight="1">
      <c r="A8920" s="62" t="n"/>
      <c r="B8920" s="63" t="n"/>
      <c r="C8920" s="64" t="n"/>
      <c r="D8920" s="64" t="n"/>
      <c r="E8920" s="63" t="n"/>
    </row>
    <row r="8921" ht="18" customHeight="1">
      <c r="A8921" s="62" t="n"/>
      <c r="B8921" s="63" t="n"/>
      <c r="C8921" s="64" t="n"/>
      <c r="D8921" s="64" t="n"/>
      <c r="E8921" s="63" t="n"/>
    </row>
    <row r="8922" ht="18" customHeight="1">
      <c r="A8922" s="62" t="n"/>
      <c r="B8922" s="63" t="n"/>
      <c r="C8922" s="64" t="n"/>
      <c r="D8922" s="64" t="n"/>
      <c r="E8922" s="63" t="n"/>
    </row>
    <row r="8923" ht="18" customHeight="1">
      <c r="A8923" s="62" t="n"/>
      <c r="B8923" s="63" t="n"/>
      <c r="C8923" s="64" t="n"/>
      <c r="D8923" s="64" t="n"/>
      <c r="E8923" s="63" t="n"/>
    </row>
    <row r="8924" ht="18" customHeight="1">
      <c r="A8924" s="62" t="n"/>
      <c r="B8924" s="63" t="n"/>
      <c r="C8924" s="64" t="n"/>
      <c r="D8924" s="64" t="n"/>
      <c r="E8924" s="63" t="n"/>
    </row>
    <row r="8925" ht="18" customHeight="1">
      <c r="A8925" s="62" t="n"/>
      <c r="B8925" s="63" t="n"/>
      <c r="C8925" s="64" t="n"/>
      <c r="D8925" s="64" t="n"/>
      <c r="E8925" s="63" t="n"/>
    </row>
    <row r="8926" ht="18" customHeight="1">
      <c r="A8926" s="62" t="n"/>
      <c r="B8926" s="63" t="n"/>
      <c r="C8926" s="64" t="n"/>
      <c r="D8926" s="64" t="n"/>
      <c r="E8926" s="63" t="n"/>
    </row>
    <row r="8927" ht="18" customHeight="1">
      <c r="A8927" s="62" t="n"/>
      <c r="B8927" s="63" t="n"/>
      <c r="C8927" s="64" t="n"/>
      <c r="D8927" s="64" t="n"/>
      <c r="E8927" s="63" t="n"/>
    </row>
    <row r="8928" ht="18" customHeight="1">
      <c r="A8928" s="62" t="n"/>
      <c r="B8928" s="63" t="n"/>
      <c r="C8928" s="64" t="n"/>
      <c r="D8928" s="64" t="n"/>
      <c r="E8928" s="63" t="n"/>
    </row>
    <row r="8929" ht="18" customHeight="1">
      <c r="A8929" s="62" t="n"/>
      <c r="B8929" s="63" t="n"/>
      <c r="C8929" s="64" t="n"/>
      <c r="D8929" s="64" t="n"/>
      <c r="E8929" s="63" t="n"/>
    </row>
    <row r="8930" ht="18" customHeight="1">
      <c r="A8930" s="62" t="n"/>
      <c r="B8930" s="63" t="n"/>
      <c r="C8930" s="64" t="n"/>
      <c r="D8930" s="64" t="n"/>
      <c r="E8930" s="63" t="n"/>
    </row>
    <row r="8931" ht="18" customHeight="1">
      <c r="A8931" s="62" t="n"/>
      <c r="B8931" s="63" t="n"/>
      <c r="C8931" s="64" t="n"/>
      <c r="D8931" s="64" t="n"/>
      <c r="E8931" s="63" t="n"/>
    </row>
    <row r="8932" ht="18" customHeight="1">
      <c r="A8932" s="62" t="n"/>
      <c r="B8932" s="63" t="n"/>
      <c r="C8932" s="64" t="n"/>
      <c r="D8932" s="64" t="n"/>
      <c r="E8932" s="63" t="n"/>
    </row>
    <row r="8933" ht="18" customHeight="1">
      <c r="A8933" s="62" t="n"/>
      <c r="B8933" s="63" t="n"/>
      <c r="C8933" s="64" t="n"/>
      <c r="D8933" s="64" t="n"/>
      <c r="E8933" s="63" t="n"/>
    </row>
    <row r="8934" ht="18" customHeight="1">
      <c r="A8934" s="62" t="n"/>
      <c r="B8934" s="63" t="n"/>
      <c r="C8934" s="64" t="n"/>
      <c r="D8934" s="64" t="n"/>
      <c r="E8934" s="63" t="n"/>
    </row>
    <row r="8935" ht="18" customHeight="1">
      <c r="A8935" s="62" t="n"/>
      <c r="B8935" s="63" t="n"/>
      <c r="C8935" s="64" t="n"/>
      <c r="D8935" s="64" t="n"/>
      <c r="E8935" s="63" t="n"/>
    </row>
    <row r="8936" ht="18" customHeight="1">
      <c r="A8936" s="62" t="n"/>
      <c r="B8936" s="63" t="n"/>
      <c r="C8936" s="64" t="n"/>
      <c r="D8936" s="64" t="n"/>
      <c r="E8936" s="63" t="n"/>
    </row>
    <row r="8937" ht="18" customHeight="1">
      <c r="A8937" s="62" t="n"/>
      <c r="B8937" s="63" t="n"/>
      <c r="C8937" s="64" t="n"/>
      <c r="D8937" s="64" t="n"/>
      <c r="E8937" s="63" t="n"/>
    </row>
    <row r="8938" ht="18" customHeight="1">
      <c r="A8938" s="62" t="n"/>
      <c r="B8938" s="63" t="n"/>
      <c r="C8938" s="64" t="n"/>
      <c r="D8938" s="64" t="n"/>
      <c r="E8938" s="63" t="n"/>
    </row>
    <row r="8939" ht="18" customHeight="1">
      <c r="A8939" s="62" t="n"/>
      <c r="B8939" s="63" t="n"/>
      <c r="C8939" s="64" t="n"/>
      <c r="D8939" s="64" t="n"/>
      <c r="E8939" s="63" t="n"/>
    </row>
    <row r="8940" ht="18" customHeight="1">
      <c r="A8940" s="62" t="n"/>
      <c r="B8940" s="63" t="n"/>
      <c r="C8940" s="64" t="n"/>
      <c r="D8940" s="64" t="n"/>
      <c r="E8940" s="63" t="n"/>
    </row>
    <row r="8941" ht="18" customHeight="1">
      <c r="A8941" s="62" t="n"/>
      <c r="B8941" s="63" t="n"/>
      <c r="C8941" s="64" t="n"/>
      <c r="D8941" s="64" t="n"/>
      <c r="E8941" s="63" t="n"/>
    </row>
    <row r="8942" ht="18" customHeight="1">
      <c r="A8942" s="62" t="n"/>
      <c r="B8942" s="63" t="n"/>
      <c r="C8942" s="64" t="n"/>
      <c r="D8942" s="64" t="n"/>
      <c r="E8942" s="63" t="n"/>
    </row>
    <row r="8943" ht="18" customHeight="1">
      <c r="A8943" s="62" t="n"/>
      <c r="B8943" s="63" t="n"/>
      <c r="C8943" s="64" t="n"/>
      <c r="D8943" s="64" t="n"/>
      <c r="E8943" s="63" t="n"/>
    </row>
    <row r="8944" ht="18" customHeight="1">
      <c r="A8944" s="62" t="n"/>
      <c r="B8944" s="63" t="n"/>
      <c r="C8944" s="64" t="n"/>
      <c r="D8944" s="64" t="n"/>
      <c r="E8944" s="63" t="n"/>
    </row>
    <row r="8945" ht="18" customHeight="1">
      <c r="A8945" s="62" t="n"/>
      <c r="B8945" s="63" t="n"/>
      <c r="C8945" s="64" t="n"/>
      <c r="D8945" s="64" t="n"/>
      <c r="E8945" s="63" t="n"/>
    </row>
    <row r="8946" ht="18" customHeight="1">
      <c r="A8946" s="62" t="n"/>
      <c r="B8946" s="63" t="n"/>
      <c r="C8946" s="64" t="n"/>
      <c r="D8946" s="64" t="n"/>
      <c r="E8946" s="63" t="n"/>
    </row>
    <row r="8947" ht="18" customHeight="1">
      <c r="A8947" s="62" t="n"/>
      <c r="B8947" s="63" t="n"/>
      <c r="C8947" s="64" t="n"/>
      <c r="D8947" s="64" t="n"/>
      <c r="E8947" s="63" t="n"/>
    </row>
    <row r="8948" ht="18" customHeight="1">
      <c r="A8948" s="62" t="n"/>
      <c r="B8948" s="63" t="n"/>
      <c r="C8948" s="64" t="n"/>
      <c r="D8948" s="64" t="n"/>
      <c r="E8948" s="63" t="n"/>
    </row>
    <row r="8949" ht="18" customHeight="1">
      <c r="A8949" s="62" t="n"/>
      <c r="B8949" s="63" t="n"/>
      <c r="C8949" s="64" t="n"/>
      <c r="D8949" s="64" t="n"/>
      <c r="E8949" s="63" t="n"/>
    </row>
    <row r="8950" ht="18" customHeight="1">
      <c r="A8950" s="62" t="n"/>
      <c r="B8950" s="63" t="n"/>
      <c r="C8950" s="64" t="n"/>
      <c r="D8950" s="64" t="n"/>
      <c r="E8950" s="63" t="n"/>
    </row>
    <row r="8951" ht="18" customHeight="1">
      <c r="A8951" s="62" t="n"/>
      <c r="B8951" s="63" t="n"/>
      <c r="C8951" s="64" t="n"/>
      <c r="D8951" s="64" t="n"/>
      <c r="E8951" s="63" t="n"/>
    </row>
    <row r="8952" ht="18" customHeight="1">
      <c r="A8952" s="62" t="n"/>
      <c r="B8952" s="63" t="n"/>
      <c r="C8952" s="64" t="n"/>
      <c r="D8952" s="64" t="n"/>
      <c r="E8952" s="63" t="n"/>
    </row>
    <row r="8953" ht="18" customHeight="1">
      <c r="A8953" s="62" t="n"/>
      <c r="B8953" s="63" t="n"/>
      <c r="C8953" s="64" t="n"/>
      <c r="D8953" s="64" t="n"/>
      <c r="E8953" s="63" t="n"/>
    </row>
    <row r="8954" ht="18" customHeight="1">
      <c r="A8954" s="62" t="n"/>
      <c r="B8954" s="63" t="n"/>
      <c r="C8954" s="64" t="n"/>
      <c r="D8954" s="64" t="n"/>
      <c r="E8954" s="63" t="n"/>
    </row>
    <row r="8955" ht="18" customHeight="1">
      <c r="A8955" s="62" t="n"/>
      <c r="B8955" s="63" t="n"/>
      <c r="C8955" s="64" t="n"/>
      <c r="D8955" s="64" t="n"/>
      <c r="E8955" s="63" t="n"/>
    </row>
    <row r="8956" ht="18" customHeight="1">
      <c r="A8956" s="62" t="n"/>
      <c r="B8956" s="63" t="n"/>
      <c r="C8956" s="64" t="n"/>
      <c r="D8956" s="64" t="n"/>
      <c r="E8956" s="63" t="n"/>
    </row>
    <row r="8957" ht="18" customHeight="1">
      <c r="A8957" s="62" t="n"/>
      <c r="B8957" s="63" t="n"/>
      <c r="C8957" s="64" t="n"/>
      <c r="D8957" s="64" t="n"/>
      <c r="E8957" s="63" t="n"/>
    </row>
    <row r="8958" ht="18" customHeight="1">
      <c r="A8958" s="62" t="n"/>
      <c r="B8958" s="63" t="n"/>
      <c r="C8958" s="64" t="n"/>
      <c r="D8958" s="64" t="n"/>
      <c r="E8958" s="63" t="n"/>
    </row>
    <row r="8959" ht="18" customHeight="1">
      <c r="A8959" s="62" t="n"/>
      <c r="B8959" s="63" t="n"/>
      <c r="C8959" s="64" t="n"/>
      <c r="D8959" s="64" t="n"/>
      <c r="E8959" s="63" t="n"/>
    </row>
    <row r="8960" ht="18" customHeight="1">
      <c r="A8960" s="62" t="n"/>
      <c r="B8960" s="63" t="n"/>
      <c r="C8960" s="64" t="n"/>
      <c r="D8960" s="64" t="n"/>
      <c r="E8960" s="63" t="n"/>
    </row>
    <row r="8961" ht="18" customHeight="1">
      <c r="A8961" s="62" t="n"/>
      <c r="B8961" s="63" t="n"/>
      <c r="C8961" s="64" t="n"/>
      <c r="D8961" s="64" t="n"/>
      <c r="E8961" s="63" t="n"/>
    </row>
    <row r="8962" ht="18" customHeight="1">
      <c r="A8962" s="62" t="n"/>
      <c r="B8962" s="63" t="n"/>
      <c r="C8962" s="64" t="n"/>
      <c r="D8962" s="64" t="n"/>
      <c r="E8962" s="63" t="n"/>
    </row>
    <row r="8963" ht="18" customHeight="1">
      <c r="A8963" s="62" t="n"/>
      <c r="B8963" s="63" t="n"/>
      <c r="C8963" s="64" t="n"/>
      <c r="D8963" s="64" t="n"/>
      <c r="E8963" s="63" t="n"/>
    </row>
    <row r="8964" ht="18" customHeight="1">
      <c r="A8964" s="62" t="n"/>
      <c r="B8964" s="63" t="n"/>
      <c r="C8964" s="64" t="n"/>
      <c r="D8964" s="64" t="n"/>
      <c r="E8964" s="63" t="n"/>
    </row>
    <row r="8965" ht="18" customHeight="1">
      <c r="A8965" s="62" t="n"/>
      <c r="B8965" s="63" t="n"/>
      <c r="C8965" s="64" t="n"/>
      <c r="D8965" s="64" t="n"/>
      <c r="E8965" s="63" t="n"/>
    </row>
    <row r="8966" ht="18" customHeight="1">
      <c r="A8966" s="62" t="n"/>
      <c r="B8966" s="63" t="n"/>
      <c r="C8966" s="64" t="n"/>
      <c r="D8966" s="64" t="n"/>
      <c r="E8966" s="63" t="n"/>
    </row>
    <row r="8967" ht="18" customHeight="1">
      <c r="A8967" s="62" t="n"/>
      <c r="B8967" s="63" t="n"/>
      <c r="C8967" s="64" t="n"/>
      <c r="D8967" s="64" t="n"/>
      <c r="E8967" s="63" t="n"/>
    </row>
    <row r="8968" ht="18" customHeight="1">
      <c r="A8968" s="62" t="n"/>
      <c r="B8968" s="63" t="n"/>
      <c r="C8968" s="64" t="n"/>
      <c r="D8968" s="64" t="n"/>
      <c r="E8968" s="63" t="n"/>
    </row>
    <row r="8969" ht="18" customHeight="1">
      <c r="A8969" s="62" t="n"/>
      <c r="B8969" s="63" t="n"/>
      <c r="C8969" s="64" t="n"/>
      <c r="D8969" s="64" t="n"/>
      <c r="E8969" s="63" t="n"/>
    </row>
    <row r="8970" ht="18" customHeight="1">
      <c r="A8970" s="62" t="n"/>
      <c r="B8970" s="63" t="n"/>
      <c r="C8970" s="64" t="n"/>
      <c r="D8970" s="64" t="n"/>
      <c r="E8970" s="63" t="n"/>
    </row>
    <row r="8971" ht="18" customHeight="1">
      <c r="A8971" s="62" t="n"/>
      <c r="B8971" s="63" t="n"/>
      <c r="C8971" s="64" t="n"/>
      <c r="D8971" s="64" t="n"/>
      <c r="E8971" s="63" t="n"/>
    </row>
    <row r="8972" ht="18" customHeight="1">
      <c r="A8972" s="62" t="n"/>
      <c r="B8972" s="63" t="n"/>
      <c r="C8972" s="64" t="n"/>
      <c r="D8972" s="64" t="n"/>
      <c r="E8972" s="63" t="n"/>
    </row>
    <row r="8973" ht="18" customHeight="1">
      <c r="A8973" s="62" t="n"/>
      <c r="B8973" s="63" t="n"/>
      <c r="C8973" s="64" t="n"/>
      <c r="D8973" s="64" t="n"/>
      <c r="E8973" s="63" t="n"/>
    </row>
    <row r="8974" ht="18" customHeight="1">
      <c r="A8974" s="62" t="n"/>
      <c r="B8974" s="63" t="n"/>
      <c r="C8974" s="64" t="n"/>
      <c r="D8974" s="64" t="n"/>
      <c r="E8974" s="63" t="n"/>
    </row>
    <row r="8975" ht="18" customHeight="1">
      <c r="A8975" s="62" t="n"/>
      <c r="B8975" s="63" t="n"/>
      <c r="C8975" s="64" t="n"/>
      <c r="D8975" s="64" t="n"/>
      <c r="E8975" s="63" t="n"/>
    </row>
    <row r="8976" ht="18" customHeight="1">
      <c r="A8976" s="62" t="n"/>
      <c r="B8976" s="63" t="n"/>
      <c r="C8976" s="64" t="n"/>
      <c r="D8976" s="64" t="n"/>
      <c r="E8976" s="63" t="n"/>
    </row>
    <row r="8977" ht="18" customHeight="1">
      <c r="A8977" s="62" t="n"/>
      <c r="B8977" s="63" t="n"/>
      <c r="C8977" s="64" t="n"/>
      <c r="D8977" s="64" t="n"/>
      <c r="E8977" s="63" t="n"/>
    </row>
    <row r="8978" ht="18" customHeight="1">
      <c r="A8978" s="62" t="n"/>
      <c r="B8978" s="63" t="n"/>
      <c r="C8978" s="64" t="n"/>
      <c r="D8978" s="64" t="n"/>
      <c r="E8978" s="63" t="n"/>
    </row>
    <row r="8979" ht="18" customHeight="1">
      <c r="A8979" s="62" t="n"/>
      <c r="B8979" s="63" t="n"/>
      <c r="C8979" s="64" t="n"/>
      <c r="D8979" s="64" t="n"/>
      <c r="E8979" s="63" t="n"/>
    </row>
    <row r="8980" ht="18" customHeight="1">
      <c r="A8980" s="62" t="n"/>
      <c r="B8980" s="63" t="n"/>
      <c r="C8980" s="64" t="n"/>
      <c r="D8980" s="64" t="n"/>
      <c r="E8980" s="63" t="n"/>
    </row>
    <row r="8981" ht="18" customHeight="1">
      <c r="A8981" s="62" t="n"/>
      <c r="B8981" s="63" t="n"/>
      <c r="C8981" s="64" t="n"/>
      <c r="D8981" s="64" t="n"/>
      <c r="E8981" s="63" t="n"/>
    </row>
    <row r="8982" ht="18" customHeight="1">
      <c r="A8982" s="62" t="n"/>
      <c r="B8982" s="63" t="n"/>
      <c r="C8982" s="64" t="n"/>
      <c r="D8982" s="64" t="n"/>
      <c r="E8982" s="63" t="n"/>
    </row>
    <row r="8983" ht="18" customHeight="1">
      <c r="A8983" s="62" t="n"/>
      <c r="B8983" s="63" t="n"/>
      <c r="C8983" s="64" t="n"/>
      <c r="D8983" s="64" t="n"/>
      <c r="E8983" s="63" t="n"/>
    </row>
    <row r="8984" ht="18" customHeight="1">
      <c r="A8984" s="62" t="n"/>
      <c r="B8984" s="63" t="n"/>
      <c r="C8984" s="64" t="n"/>
      <c r="D8984" s="64" t="n"/>
      <c r="E8984" s="63" t="n"/>
    </row>
    <row r="8985" ht="18" customHeight="1">
      <c r="A8985" s="62" t="n"/>
      <c r="B8985" s="63" t="n"/>
      <c r="C8985" s="64" t="n"/>
      <c r="D8985" s="64" t="n"/>
      <c r="E8985" s="63" t="n"/>
    </row>
    <row r="8986" ht="18" customHeight="1">
      <c r="A8986" s="62" t="n"/>
      <c r="B8986" s="63" t="n"/>
      <c r="C8986" s="64" t="n"/>
      <c r="D8986" s="64" t="n"/>
      <c r="E8986" s="63" t="n"/>
    </row>
    <row r="8987" ht="18" customHeight="1">
      <c r="A8987" s="62" t="n"/>
      <c r="B8987" s="63" t="n"/>
      <c r="C8987" s="64" t="n"/>
      <c r="D8987" s="64" t="n"/>
      <c r="E8987" s="63" t="n"/>
    </row>
    <row r="8988" ht="18" customHeight="1">
      <c r="A8988" s="62" t="n"/>
      <c r="B8988" s="63" t="n"/>
      <c r="C8988" s="64" t="n"/>
      <c r="D8988" s="64" t="n"/>
      <c r="E8988" s="63" t="n"/>
    </row>
    <row r="8989" ht="18" customHeight="1">
      <c r="A8989" s="62" t="n"/>
      <c r="B8989" s="63" t="n"/>
      <c r="C8989" s="64" t="n"/>
      <c r="D8989" s="64" t="n"/>
      <c r="E8989" s="63" t="n"/>
    </row>
    <row r="8990" ht="18" customHeight="1">
      <c r="A8990" s="62" t="n"/>
      <c r="B8990" s="63" t="n"/>
      <c r="C8990" s="64" t="n"/>
      <c r="D8990" s="64" t="n"/>
      <c r="E8990" s="63" t="n"/>
    </row>
    <row r="8991" ht="18" customHeight="1">
      <c r="A8991" s="62" t="n"/>
      <c r="B8991" s="63" t="n"/>
      <c r="C8991" s="64" t="n"/>
      <c r="D8991" s="64" t="n"/>
      <c r="E8991" s="63" t="n"/>
    </row>
    <row r="8992" ht="18" customHeight="1">
      <c r="A8992" s="62" t="n"/>
      <c r="B8992" s="63" t="n"/>
      <c r="C8992" s="64" t="n"/>
      <c r="D8992" s="64" t="n"/>
      <c r="E8992" s="63" t="n"/>
    </row>
    <row r="8993" ht="18" customHeight="1">
      <c r="A8993" s="62" t="n"/>
      <c r="B8993" s="63" t="n"/>
      <c r="C8993" s="64" t="n"/>
      <c r="D8993" s="64" t="n"/>
      <c r="E8993" s="63" t="n"/>
    </row>
    <row r="8994" ht="18" customHeight="1">
      <c r="A8994" s="62" t="n"/>
      <c r="B8994" s="63" t="n"/>
      <c r="C8994" s="64" t="n"/>
      <c r="D8994" s="64" t="n"/>
      <c r="E8994" s="63" t="n"/>
    </row>
    <row r="8995" ht="18" customHeight="1">
      <c r="A8995" s="62" t="n"/>
      <c r="B8995" s="63" t="n"/>
      <c r="C8995" s="64" t="n"/>
      <c r="D8995" s="64" t="n"/>
      <c r="E8995" s="63" t="n"/>
    </row>
    <row r="8996" ht="18" customHeight="1">
      <c r="A8996" s="62" t="n"/>
      <c r="B8996" s="63" t="n"/>
      <c r="C8996" s="64" t="n"/>
      <c r="D8996" s="64" t="n"/>
      <c r="E8996" s="63" t="n"/>
    </row>
    <row r="8997" ht="18" customHeight="1">
      <c r="A8997" s="62" t="n"/>
      <c r="B8997" s="63" t="n"/>
      <c r="C8997" s="64" t="n"/>
      <c r="D8997" s="64" t="n"/>
      <c r="E8997" s="63" t="n"/>
    </row>
    <row r="8998" ht="18" customHeight="1">
      <c r="A8998" s="62" t="n"/>
      <c r="B8998" s="63" t="n"/>
      <c r="C8998" s="64" t="n"/>
      <c r="D8998" s="64" t="n"/>
      <c r="E8998" s="63" t="n"/>
    </row>
    <row r="8999" ht="18" customHeight="1">
      <c r="A8999" s="62" t="n"/>
      <c r="B8999" s="63" t="n"/>
      <c r="C8999" s="64" t="n"/>
      <c r="D8999" s="64" t="n"/>
      <c r="E8999" s="63" t="n"/>
    </row>
    <row r="9000" ht="18" customHeight="1">
      <c r="A9000" s="62" t="n"/>
      <c r="B9000" s="63" t="n"/>
      <c r="C9000" s="64" t="n"/>
      <c r="D9000" s="64" t="n"/>
      <c r="E9000" s="63" t="n"/>
    </row>
    <row r="9001" ht="18" customHeight="1">
      <c r="A9001" s="62" t="n"/>
      <c r="B9001" s="63" t="n"/>
      <c r="C9001" s="64" t="n"/>
      <c r="D9001" s="64" t="n"/>
      <c r="E9001" s="63" t="n"/>
    </row>
    <row r="9002" ht="18" customHeight="1">
      <c r="A9002" s="62" t="n"/>
      <c r="B9002" s="63" t="n"/>
      <c r="C9002" s="64" t="n"/>
      <c r="D9002" s="64" t="n"/>
      <c r="E9002" s="63" t="n"/>
    </row>
    <row r="9003" ht="18" customHeight="1">
      <c r="A9003" s="62" t="n"/>
      <c r="B9003" s="63" t="n"/>
      <c r="C9003" s="64" t="n"/>
      <c r="D9003" s="64" t="n"/>
      <c r="E9003" s="63" t="n"/>
    </row>
    <row r="9004" ht="18" customHeight="1">
      <c r="A9004" s="62" t="n"/>
      <c r="B9004" s="63" t="n"/>
      <c r="C9004" s="64" t="n"/>
      <c r="D9004" s="64" t="n"/>
      <c r="E9004" s="63" t="n"/>
    </row>
    <row r="9005" ht="18" customHeight="1">
      <c r="A9005" s="62" t="n"/>
      <c r="B9005" s="63" t="n"/>
      <c r="C9005" s="64" t="n"/>
      <c r="D9005" s="64" t="n"/>
      <c r="E9005" s="63" t="n"/>
    </row>
    <row r="9006" ht="18" customHeight="1">
      <c r="A9006" s="62" t="n"/>
      <c r="B9006" s="63" t="n"/>
      <c r="C9006" s="64" t="n"/>
      <c r="D9006" s="64" t="n"/>
      <c r="E9006" s="63" t="n"/>
    </row>
    <row r="9007" ht="18" customHeight="1">
      <c r="A9007" s="62" t="n"/>
      <c r="B9007" s="63" t="n"/>
      <c r="C9007" s="64" t="n"/>
      <c r="D9007" s="64" t="n"/>
      <c r="E9007" s="63" t="n"/>
    </row>
    <row r="9008" ht="18" customHeight="1">
      <c r="A9008" s="62" t="n"/>
      <c r="B9008" s="63" t="n"/>
      <c r="C9008" s="64" t="n"/>
      <c r="D9008" s="64" t="n"/>
      <c r="E9008" s="63" t="n"/>
    </row>
    <row r="9009" ht="18" customHeight="1">
      <c r="A9009" s="62" t="n"/>
      <c r="B9009" s="63" t="n"/>
      <c r="C9009" s="64" t="n"/>
      <c r="D9009" s="64" t="n"/>
      <c r="E9009" s="63" t="n"/>
    </row>
    <row r="9010" ht="18" customHeight="1">
      <c r="A9010" s="62" t="n"/>
      <c r="B9010" s="63" t="n"/>
      <c r="C9010" s="64" t="n"/>
      <c r="D9010" s="64" t="n"/>
      <c r="E9010" s="63" t="n"/>
    </row>
    <row r="9011" ht="18" customHeight="1">
      <c r="A9011" s="62" t="n"/>
      <c r="B9011" s="63" t="n"/>
      <c r="C9011" s="64" t="n"/>
      <c r="D9011" s="64" t="n"/>
      <c r="E9011" s="63" t="n"/>
    </row>
    <row r="9012" ht="18" customHeight="1">
      <c r="A9012" s="62" t="n"/>
      <c r="B9012" s="63" t="n"/>
      <c r="C9012" s="64" t="n"/>
      <c r="D9012" s="64" t="n"/>
      <c r="E9012" s="63" t="n"/>
    </row>
    <row r="9013" ht="18" customHeight="1">
      <c r="A9013" s="62" t="n"/>
      <c r="B9013" s="63" t="n"/>
      <c r="C9013" s="64" t="n"/>
      <c r="D9013" s="64" t="n"/>
      <c r="E9013" s="63" t="n"/>
    </row>
    <row r="9014" ht="18" customHeight="1">
      <c r="A9014" s="62" t="n"/>
      <c r="B9014" s="63" t="n"/>
      <c r="C9014" s="64" t="n"/>
      <c r="D9014" s="64" t="n"/>
      <c r="E9014" s="63" t="n"/>
    </row>
    <row r="9015" ht="18" customHeight="1">
      <c r="A9015" s="62" t="n"/>
      <c r="B9015" s="63" t="n"/>
      <c r="C9015" s="64" t="n"/>
      <c r="D9015" s="64" t="n"/>
      <c r="E9015" s="63" t="n"/>
    </row>
    <row r="9016" ht="18" customHeight="1">
      <c r="A9016" s="62" t="n"/>
      <c r="B9016" s="63" t="n"/>
      <c r="C9016" s="64" t="n"/>
      <c r="D9016" s="64" t="n"/>
      <c r="E9016" s="63" t="n"/>
    </row>
    <row r="9017" ht="18" customHeight="1">
      <c r="A9017" s="62" t="n"/>
      <c r="B9017" s="63" t="n"/>
      <c r="C9017" s="64" t="n"/>
      <c r="D9017" s="64" t="n"/>
      <c r="E9017" s="63" t="n"/>
    </row>
    <row r="9018" ht="18" customHeight="1">
      <c r="A9018" s="62" t="n"/>
      <c r="B9018" s="63" t="n"/>
      <c r="C9018" s="64" t="n"/>
      <c r="D9018" s="64" t="n"/>
      <c r="E9018" s="63" t="n"/>
    </row>
    <row r="9019" ht="18" customHeight="1">
      <c r="A9019" s="62" t="n"/>
      <c r="B9019" s="63" t="n"/>
      <c r="C9019" s="64" t="n"/>
      <c r="D9019" s="64" t="n"/>
      <c r="E9019" s="63" t="n"/>
    </row>
    <row r="9020" ht="18" customHeight="1">
      <c r="A9020" s="62" t="n"/>
      <c r="B9020" s="63" t="n"/>
      <c r="C9020" s="64" t="n"/>
      <c r="D9020" s="64" t="n"/>
      <c r="E9020" s="63" t="n"/>
    </row>
    <row r="9021" ht="18" customHeight="1">
      <c r="A9021" s="62" t="n"/>
      <c r="B9021" s="63" t="n"/>
      <c r="C9021" s="64" t="n"/>
      <c r="D9021" s="64" t="n"/>
      <c r="E9021" s="63" t="n"/>
    </row>
    <row r="9022" ht="18" customHeight="1">
      <c r="A9022" s="62" t="n"/>
      <c r="B9022" s="63" t="n"/>
      <c r="C9022" s="64" t="n"/>
      <c r="D9022" s="64" t="n"/>
      <c r="E9022" s="63" t="n"/>
    </row>
    <row r="9023" ht="18" customHeight="1">
      <c r="A9023" s="62" t="n"/>
      <c r="B9023" s="63" t="n"/>
      <c r="C9023" s="64" t="n"/>
      <c r="D9023" s="64" t="n"/>
      <c r="E9023" s="63" t="n"/>
    </row>
    <row r="9024" ht="18" customHeight="1">
      <c r="A9024" s="62" t="n"/>
      <c r="B9024" s="63" t="n"/>
      <c r="C9024" s="64" t="n"/>
      <c r="D9024" s="64" t="n"/>
      <c r="E9024" s="63" t="n"/>
    </row>
    <row r="9025" ht="18" customHeight="1">
      <c r="A9025" s="62" t="n"/>
      <c r="B9025" s="63" t="n"/>
      <c r="C9025" s="64" t="n"/>
      <c r="D9025" s="64" t="n"/>
      <c r="E9025" s="63" t="n"/>
    </row>
    <row r="9026" ht="18" customHeight="1">
      <c r="A9026" s="62" t="n"/>
      <c r="B9026" s="63" t="n"/>
      <c r="C9026" s="64" t="n"/>
      <c r="D9026" s="64" t="n"/>
      <c r="E9026" s="63" t="n"/>
    </row>
    <row r="9027" ht="18" customHeight="1">
      <c r="A9027" s="62" t="n"/>
      <c r="B9027" s="63" t="n"/>
      <c r="C9027" s="64" t="n"/>
      <c r="D9027" s="64" t="n"/>
      <c r="E9027" s="63" t="n"/>
    </row>
    <row r="9028" ht="18" customHeight="1">
      <c r="A9028" s="62" t="n"/>
      <c r="B9028" s="63" t="n"/>
      <c r="C9028" s="64" t="n"/>
      <c r="D9028" s="64" t="n"/>
      <c r="E9028" s="63" t="n"/>
    </row>
    <row r="9029" ht="18" customHeight="1">
      <c r="A9029" s="62" t="n"/>
      <c r="B9029" s="63" t="n"/>
      <c r="C9029" s="64" t="n"/>
      <c r="D9029" s="64" t="n"/>
      <c r="E9029" s="63" t="n"/>
    </row>
    <row r="9030" ht="18" customHeight="1">
      <c r="A9030" s="62" t="n"/>
      <c r="B9030" s="63" t="n"/>
      <c r="C9030" s="64" t="n"/>
      <c r="D9030" s="64" t="n"/>
      <c r="E9030" s="63" t="n"/>
    </row>
    <row r="9031" ht="18" customHeight="1">
      <c r="A9031" s="62" t="n"/>
      <c r="B9031" s="63" t="n"/>
      <c r="C9031" s="64" t="n"/>
      <c r="D9031" s="64" t="n"/>
      <c r="E9031" s="63" t="n"/>
    </row>
    <row r="9032" ht="18" customHeight="1">
      <c r="A9032" s="62" t="n"/>
      <c r="B9032" s="63" t="n"/>
      <c r="C9032" s="64" t="n"/>
      <c r="D9032" s="64" t="n"/>
      <c r="E9032" s="63" t="n"/>
    </row>
    <row r="9033" ht="18" customHeight="1">
      <c r="A9033" s="62" t="n"/>
      <c r="B9033" s="63" t="n"/>
      <c r="C9033" s="64" t="n"/>
      <c r="D9033" s="64" t="n"/>
      <c r="E9033" s="63" t="n"/>
    </row>
    <row r="9034" ht="18" customHeight="1">
      <c r="A9034" s="62" t="n"/>
      <c r="B9034" s="63" t="n"/>
      <c r="C9034" s="64" t="n"/>
      <c r="D9034" s="64" t="n"/>
      <c r="E9034" s="63" t="n"/>
    </row>
    <row r="9035" ht="18" customHeight="1">
      <c r="A9035" s="62" t="n"/>
      <c r="B9035" s="63" t="n"/>
      <c r="C9035" s="64" t="n"/>
      <c r="D9035" s="64" t="n"/>
      <c r="E9035" s="63" t="n"/>
    </row>
    <row r="9036" ht="18" customHeight="1">
      <c r="A9036" s="62" t="n"/>
      <c r="B9036" s="63" t="n"/>
      <c r="C9036" s="64" t="n"/>
      <c r="D9036" s="64" t="n"/>
      <c r="E9036" s="63" t="n"/>
    </row>
    <row r="9037" ht="18" customHeight="1">
      <c r="A9037" s="62" t="n"/>
      <c r="B9037" s="63" t="n"/>
      <c r="C9037" s="64" t="n"/>
      <c r="D9037" s="64" t="n"/>
      <c r="E9037" s="63" t="n"/>
    </row>
    <row r="9038" ht="18" customHeight="1">
      <c r="A9038" s="62" t="n"/>
      <c r="B9038" s="63" t="n"/>
      <c r="C9038" s="64" t="n"/>
      <c r="D9038" s="64" t="n"/>
      <c r="E9038" s="63" t="n"/>
    </row>
    <row r="9039" ht="18" customHeight="1">
      <c r="A9039" s="62" t="n"/>
      <c r="B9039" s="63" t="n"/>
      <c r="C9039" s="64" t="n"/>
      <c r="D9039" s="64" t="n"/>
      <c r="E9039" s="63" t="n"/>
    </row>
    <row r="9040" ht="18" customHeight="1">
      <c r="A9040" s="62" t="n"/>
      <c r="B9040" s="63" t="n"/>
      <c r="C9040" s="64" t="n"/>
      <c r="D9040" s="64" t="n"/>
      <c r="E9040" s="63" t="n"/>
    </row>
    <row r="9041" ht="18" customHeight="1">
      <c r="A9041" s="62" t="n"/>
      <c r="B9041" s="63" t="n"/>
      <c r="C9041" s="64" t="n"/>
      <c r="D9041" s="64" t="n"/>
      <c r="E9041" s="63" t="n"/>
    </row>
    <row r="9042" ht="18" customHeight="1">
      <c r="A9042" s="62" t="n"/>
      <c r="B9042" s="63" t="n"/>
      <c r="C9042" s="64" t="n"/>
      <c r="D9042" s="64" t="n"/>
      <c r="E9042" s="63" t="n"/>
    </row>
    <row r="9043" ht="18" customHeight="1">
      <c r="A9043" s="62" t="n"/>
      <c r="B9043" s="63" t="n"/>
      <c r="C9043" s="64" t="n"/>
      <c r="D9043" s="64" t="n"/>
      <c r="E9043" s="63" t="n"/>
    </row>
    <row r="9044" ht="18" customHeight="1">
      <c r="A9044" s="62" t="n"/>
      <c r="B9044" s="63" t="n"/>
      <c r="C9044" s="64" t="n"/>
      <c r="D9044" s="64" t="n"/>
      <c r="E9044" s="63" t="n"/>
    </row>
    <row r="9045" ht="18" customHeight="1">
      <c r="A9045" s="62" t="n"/>
      <c r="B9045" s="63" t="n"/>
      <c r="C9045" s="64" t="n"/>
      <c r="D9045" s="64" t="n"/>
      <c r="E9045" s="63" t="n"/>
    </row>
    <row r="9046" ht="18" customHeight="1">
      <c r="A9046" s="62" t="n"/>
      <c r="B9046" s="63" t="n"/>
      <c r="C9046" s="64" t="n"/>
      <c r="D9046" s="64" t="n"/>
      <c r="E9046" s="63" t="n"/>
    </row>
    <row r="9047" ht="18" customHeight="1">
      <c r="A9047" s="62" t="n"/>
      <c r="B9047" s="63" t="n"/>
      <c r="C9047" s="64" t="n"/>
      <c r="D9047" s="64" t="n"/>
      <c r="E9047" s="63" t="n"/>
    </row>
    <row r="9048" ht="18" customHeight="1">
      <c r="A9048" s="62" t="n"/>
      <c r="B9048" s="63" t="n"/>
      <c r="C9048" s="64" t="n"/>
      <c r="D9048" s="64" t="n"/>
      <c r="E9048" s="63" t="n"/>
    </row>
    <row r="9049" ht="18" customHeight="1">
      <c r="A9049" s="62" t="n"/>
      <c r="B9049" s="63" t="n"/>
      <c r="C9049" s="64" t="n"/>
      <c r="D9049" s="64" t="n"/>
      <c r="E9049" s="63" t="n"/>
    </row>
    <row r="9050" ht="18" customHeight="1">
      <c r="A9050" s="62" t="n"/>
      <c r="B9050" s="63" t="n"/>
      <c r="C9050" s="64" t="n"/>
      <c r="D9050" s="64" t="n"/>
      <c r="E9050" s="63" t="n"/>
    </row>
    <row r="9051" ht="18" customHeight="1">
      <c r="A9051" s="62" t="n"/>
      <c r="B9051" s="63" t="n"/>
      <c r="C9051" s="64" t="n"/>
      <c r="D9051" s="64" t="n"/>
      <c r="E9051" s="63" t="n"/>
    </row>
    <row r="9052" ht="18" customHeight="1">
      <c r="A9052" s="62" t="n"/>
      <c r="B9052" s="63" t="n"/>
      <c r="C9052" s="64" t="n"/>
      <c r="D9052" s="64" t="n"/>
      <c r="E9052" s="63" t="n"/>
    </row>
    <row r="9053" ht="18" customHeight="1">
      <c r="A9053" s="62" t="n"/>
      <c r="B9053" s="63" t="n"/>
      <c r="C9053" s="64" t="n"/>
      <c r="D9053" s="64" t="n"/>
      <c r="E9053" s="63" t="n"/>
    </row>
    <row r="9054" ht="18" customHeight="1">
      <c r="A9054" s="62" t="n"/>
      <c r="B9054" s="63" t="n"/>
      <c r="C9054" s="64" t="n"/>
      <c r="D9054" s="64" t="n"/>
      <c r="E9054" s="63" t="n"/>
    </row>
    <row r="9055" ht="18" customHeight="1">
      <c r="A9055" s="62" t="n"/>
      <c r="B9055" s="63" t="n"/>
      <c r="C9055" s="64" t="n"/>
      <c r="D9055" s="64" t="n"/>
      <c r="E9055" s="63" t="n"/>
    </row>
    <row r="9056" ht="18" customHeight="1">
      <c r="A9056" s="62" t="n"/>
      <c r="B9056" s="63" t="n"/>
      <c r="C9056" s="64" t="n"/>
      <c r="D9056" s="64" t="n"/>
      <c r="E9056" s="63" t="n"/>
    </row>
    <row r="9057" ht="18" customHeight="1">
      <c r="A9057" s="62" t="n"/>
      <c r="B9057" s="63" t="n"/>
      <c r="C9057" s="64" t="n"/>
      <c r="D9057" s="64" t="n"/>
      <c r="E9057" s="63" t="n"/>
    </row>
    <row r="9058" ht="18" customHeight="1">
      <c r="A9058" s="62" t="n"/>
      <c r="B9058" s="63" t="n"/>
      <c r="C9058" s="64" t="n"/>
      <c r="D9058" s="64" t="n"/>
      <c r="E9058" s="63" t="n"/>
    </row>
    <row r="9059" ht="18" customHeight="1">
      <c r="A9059" s="62" t="n"/>
      <c r="B9059" s="63" t="n"/>
      <c r="C9059" s="64" t="n"/>
      <c r="D9059" s="64" t="n"/>
      <c r="E9059" s="63" t="n"/>
    </row>
    <row r="9060" ht="18" customHeight="1">
      <c r="A9060" s="62" t="n"/>
      <c r="B9060" s="63" t="n"/>
      <c r="C9060" s="64" t="n"/>
      <c r="D9060" s="64" t="n"/>
      <c r="E9060" s="63" t="n"/>
    </row>
    <row r="9061" ht="18" customHeight="1">
      <c r="A9061" s="62" t="n"/>
      <c r="B9061" s="63" t="n"/>
      <c r="C9061" s="64" t="n"/>
      <c r="D9061" s="64" t="n"/>
      <c r="E9061" s="63" t="n"/>
    </row>
    <row r="9062" ht="18" customHeight="1">
      <c r="A9062" s="62" t="n"/>
      <c r="B9062" s="63" t="n"/>
      <c r="C9062" s="64" t="n"/>
      <c r="D9062" s="64" t="n"/>
      <c r="E9062" s="63" t="n"/>
    </row>
    <row r="9063" ht="18" customHeight="1">
      <c r="A9063" s="62" t="n"/>
      <c r="B9063" s="63" t="n"/>
      <c r="C9063" s="64" t="n"/>
      <c r="D9063" s="64" t="n"/>
      <c r="E9063" s="63" t="n"/>
    </row>
    <row r="9064" ht="18" customHeight="1">
      <c r="A9064" s="62" t="n"/>
      <c r="B9064" s="63" t="n"/>
      <c r="C9064" s="64" t="n"/>
      <c r="D9064" s="64" t="n"/>
      <c r="E9064" s="63" t="n"/>
    </row>
    <row r="9065" ht="18" customHeight="1">
      <c r="A9065" s="62" t="n"/>
      <c r="B9065" s="63" t="n"/>
      <c r="C9065" s="64" t="n"/>
      <c r="D9065" s="64" t="n"/>
      <c r="E9065" s="63" t="n"/>
    </row>
    <row r="9066" ht="18" customHeight="1">
      <c r="A9066" s="62" t="n"/>
      <c r="B9066" s="63" t="n"/>
      <c r="C9066" s="64" t="n"/>
      <c r="D9066" s="64" t="n"/>
      <c r="E9066" s="63" t="n"/>
    </row>
    <row r="9067" ht="18" customHeight="1">
      <c r="A9067" s="62" t="n"/>
      <c r="B9067" s="63" t="n"/>
      <c r="C9067" s="64" t="n"/>
      <c r="D9067" s="64" t="n"/>
      <c r="E9067" s="63" t="n"/>
    </row>
    <row r="9068" ht="18" customHeight="1">
      <c r="A9068" s="62" t="n"/>
      <c r="B9068" s="63" t="n"/>
      <c r="C9068" s="64" t="n"/>
      <c r="D9068" s="64" t="n"/>
      <c r="E9068" s="63" t="n"/>
    </row>
    <row r="9069" ht="18" customHeight="1">
      <c r="A9069" s="62" t="n"/>
      <c r="B9069" s="63" t="n"/>
      <c r="C9069" s="64" t="n"/>
      <c r="D9069" s="64" t="n"/>
      <c r="E9069" s="63" t="n"/>
    </row>
    <row r="9070" ht="18" customHeight="1">
      <c r="A9070" s="62" t="n"/>
      <c r="B9070" s="63" t="n"/>
      <c r="C9070" s="64" t="n"/>
      <c r="D9070" s="64" t="n"/>
      <c r="E9070" s="63" t="n"/>
    </row>
    <row r="9071" ht="18" customHeight="1">
      <c r="A9071" s="62" t="n"/>
      <c r="B9071" s="63" t="n"/>
      <c r="C9071" s="64" t="n"/>
      <c r="D9071" s="64" t="n"/>
      <c r="E9071" s="63" t="n"/>
    </row>
    <row r="9072" ht="18" customHeight="1">
      <c r="A9072" s="62" t="n"/>
      <c r="B9072" s="63" t="n"/>
      <c r="C9072" s="64" t="n"/>
      <c r="D9072" s="64" t="n"/>
      <c r="E9072" s="63" t="n"/>
    </row>
    <row r="9073" ht="18" customHeight="1">
      <c r="A9073" s="62" t="n"/>
      <c r="B9073" s="63" t="n"/>
      <c r="C9073" s="64" t="n"/>
      <c r="D9073" s="64" t="n"/>
      <c r="E9073" s="63" t="n"/>
    </row>
    <row r="9074" ht="18" customHeight="1">
      <c r="A9074" s="62" t="n"/>
      <c r="B9074" s="63" t="n"/>
      <c r="C9074" s="64" t="n"/>
      <c r="D9074" s="64" t="n"/>
      <c r="E9074" s="63" t="n"/>
    </row>
    <row r="9075" ht="18" customHeight="1">
      <c r="A9075" s="62" t="n"/>
      <c r="B9075" s="63" t="n"/>
      <c r="C9075" s="64" t="n"/>
      <c r="D9075" s="64" t="n"/>
      <c r="E9075" s="63" t="n"/>
    </row>
    <row r="9076" ht="18" customHeight="1">
      <c r="A9076" s="62" t="n"/>
      <c r="B9076" s="63" t="n"/>
      <c r="C9076" s="64" t="n"/>
      <c r="D9076" s="64" t="n"/>
      <c r="E9076" s="63" t="n"/>
    </row>
    <row r="9077" ht="18" customHeight="1">
      <c r="A9077" s="62" t="n"/>
      <c r="B9077" s="63" t="n"/>
      <c r="C9077" s="64" t="n"/>
      <c r="D9077" s="64" t="n"/>
      <c r="E9077" s="63" t="n"/>
    </row>
    <row r="9078" ht="18" customHeight="1">
      <c r="A9078" s="62" t="n"/>
      <c r="B9078" s="63" t="n"/>
      <c r="C9078" s="64" t="n"/>
      <c r="D9078" s="64" t="n"/>
      <c r="E9078" s="63" t="n"/>
    </row>
    <row r="9079" ht="18" customHeight="1">
      <c r="A9079" s="62" t="n"/>
      <c r="B9079" s="63" t="n"/>
      <c r="C9079" s="64" t="n"/>
      <c r="D9079" s="64" t="n"/>
      <c r="E9079" s="63" t="n"/>
    </row>
    <row r="9080" ht="18" customHeight="1">
      <c r="A9080" s="62" t="n"/>
      <c r="B9080" s="63" t="n"/>
      <c r="C9080" s="64" t="n"/>
      <c r="D9080" s="64" t="n"/>
      <c r="E9080" s="63" t="n"/>
    </row>
    <row r="9081" ht="18" customHeight="1">
      <c r="A9081" s="62" t="n"/>
      <c r="B9081" s="63" t="n"/>
      <c r="C9081" s="64" t="n"/>
      <c r="D9081" s="64" t="n"/>
      <c r="E9081" s="63" t="n"/>
    </row>
    <row r="9082" ht="18" customHeight="1">
      <c r="A9082" s="62" t="n"/>
      <c r="B9082" s="63" t="n"/>
      <c r="C9082" s="64" t="n"/>
      <c r="D9082" s="64" t="n"/>
      <c r="E9082" s="63" t="n"/>
    </row>
    <row r="9083" ht="18" customHeight="1">
      <c r="A9083" s="62" t="n"/>
      <c r="B9083" s="63" t="n"/>
      <c r="C9083" s="64" t="n"/>
      <c r="D9083" s="64" t="n"/>
      <c r="E9083" s="63" t="n"/>
    </row>
    <row r="9084" ht="18" customHeight="1">
      <c r="A9084" s="62" t="n"/>
      <c r="B9084" s="63" t="n"/>
      <c r="C9084" s="64" t="n"/>
      <c r="D9084" s="64" t="n"/>
      <c r="E9084" s="63" t="n"/>
    </row>
    <row r="9085" ht="18" customHeight="1">
      <c r="A9085" s="62" t="n"/>
      <c r="B9085" s="63" t="n"/>
      <c r="C9085" s="64" t="n"/>
      <c r="D9085" s="64" t="n"/>
      <c r="E9085" s="63" t="n"/>
    </row>
    <row r="9086" ht="18" customHeight="1">
      <c r="A9086" s="62" t="n"/>
      <c r="B9086" s="63" t="n"/>
      <c r="C9086" s="64" t="n"/>
      <c r="D9086" s="64" t="n"/>
      <c r="E9086" s="63" t="n"/>
    </row>
    <row r="9087" ht="18" customHeight="1">
      <c r="A9087" s="62" t="n"/>
      <c r="B9087" s="63" t="n"/>
      <c r="C9087" s="64" t="n"/>
      <c r="D9087" s="64" t="n"/>
      <c r="E9087" s="63" t="n"/>
    </row>
    <row r="9088" ht="18" customHeight="1">
      <c r="A9088" s="62" t="n"/>
      <c r="B9088" s="63" t="n"/>
      <c r="C9088" s="64" t="n"/>
      <c r="D9088" s="64" t="n"/>
      <c r="E9088" s="63" t="n"/>
    </row>
    <row r="9089" ht="18" customHeight="1">
      <c r="A9089" s="62" t="n"/>
      <c r="B9089" s="63" t="n"/>
      <c r="C9089" s="64" t="n"/>
      <c r="D9089" s="64" t="n"/>
      <c r="E9089" s="63" t="n"/>
    </row>
    <row r="9090" ht="18" customHeight="1">
      <c r="A9090" s="62" t="n"/>
      <c r="B9090" s="63" t="n"/>
      <c r="C9090" s="64" t="n"/>
      <c r="D9090" s="64" t="n"/>
      <c r="E9090" s="63" t="n"/>
    </row>
    <row r="9091" ht="18" customHeight="1">
      <c r="A9091" s="62" t="n"/>
      <c r="B9091" s="63" t="n"/>
      <c r="C9091" s="64" t="n"/>
      <c r="D9091" s="64" t="n"/>
      <c r="E9091" s="63" t="n"/>
    </row>
    <row r="9092" ht="18" customHeight="1">
      <c r="A9092" s="62" t="n"/>
      <c r="B9092" s="63" t="n"/>
      <c r="C9092" s="64" t="n"/>
      <c r="D9092" s="64" t="n"/>
      <c r="E9092" s="63" t="n"/>
    </row>
    <row r="9093" ht="18" customHeight="1">
      <c r="A9093" s="62" t="n"/>
      <c r="B9093" s="63" t="n"/>
      <c r="C9093" s="64" t="n"/>
      <c r="D9093" s="64" t="n"/>
      <c r="E9093" s="63" t="n"/>
    </row>
    <row r="9094" ht="18" customHeight="1">
      <c r="A9094" s="62" t="n"/>
      <c r="B9094" s="63" t="n"/>
      <c r="C9094" s="64" t="n"/>
      <c r="D9094" s="64" t="n"/>
      <c r="E9094" s="63" t="n"/>
    </row>
    <row r="9095" ht="18" customHeight="1">
      <c r="A9095" s="62" t="n"/>
      <c r="B9095" s="63" t="n"/>
      <c r="C9095" s="64" t="n"/>
      <c r="D9095" s="64" t="n"/>
      <c r="E9095" s="63" t="n"/>
    </row>
    <row r="9096" ht="18" customHeight="1">
      <c r="A9096" s="62" t="n"/>
      <c r="B9096" s="63" t="n"/>
      <c r="C9096" s="64" t="n"/>
      <c r="D9096" s="64" t="n"/>
      <c r="E9096" s="63" t="n"/>
    </row>
    <row r="9097" ht="18" customHeight="1">
      <c r="A9097" s="62" t="n"/>
      <c r="B9097" s="63" t="n"/>
      <c r="C9097" s="64" t="n"/>
      <c r="D9097" s="64" t="n"/>
      <c r="E9097" s="63" t="n"/>
    </row>
    <row r="9098" ht="18" customHeight="1">
      <c r="A9098" s="62" t="n"/>
      <c r="B9098" s="63" t="n"/>
      <c r="C9098" s="64" t="n"/>
      <c r="D9098" s="64" t="n"/>
      <c r="E9098" s="63" t="n"/>
    </row>
    <row r="9099" ht="18" customHeight="1">
      <c r="A9099" s="62" t="n"/>
      <c r="B9099" s="63" t="n"/>
      <c r="C9099" s="64" t="n"/>
      <c r="D9099" s="64" t="n"/>
      <c r="E9099" s="63" t="n"/>
    </row>
    <row r="9100" ht="18" customHeight="1">
      <c r="A9100" s="62" t="n"/>
      <c r="B9100" s="63" t="n"/>
      <c r="C9100" s="64" t="n"/>
      <c r="D9100" s="64" t="n"/>
      <c r="E9100" s="63" t="n"/>
    </row>
    <row r="9101" ht="18" customHeight="1">
      <c r="A9101" s="62" t="n"/>
      <c r="B9101" s="63" t="n"/>
      <c r="C9101" s="64" t="n"/>
      <c r="D9101" s="64" t="n"/>
      <c r="E9101" s="63" t="n"/>
    </row>
    <row r="9102" ht="18" customHeight="1">
      <c r="A9102" s="62" t="n"/>
      <c r="B9102" s="63" t="n"/>
      <c r="C9102" s="64" t="n"/>
      <c r="D9102" s="64" t="n"/>
      <c r="E9102" s="63" t="n"/>
    </row>
    <row r="9103" ht="18" customHeight="1">
      <c r="A9103" s="62" t="n"/>
      <c r="B9103" s="63" t="n"/>
      <c r="C9103" s="64" t="n"/>
      <c r="D9103" s="64" t="n"/>
      <c r="E9103" s="63" t="n"/>
    </row>
    <row r="9104" ht="18" customHeight="1">
      <c r="A9104" s="62" t="n"/>
      <c r="B9104" s="63" t="n"/>
      <c r="C9104" s="64" t="n"/>
      <c r="D9104" s="64" t="n"/>
      <c r="E9104" s="63" t="n"/>
    </row>
    <row r="9105" ht="18" customHeight="1">
      <c r="A9105" s="62" t="n"/>
      <c r="B9105" s="63" t="n"/>
      <c r="C9105" s="64" t="n"/>
      <c r="D9105" s="64" t="n"/>
      <c r="E9105" s="63" t="n"/>
    </row>
    <row r="9106" ht="18" customHeight="1">
      <c r="A9106" s="62" t="n"/>
      <c r="B9106" s="63" t="n"/>
      <c r="C9106" s="64" t="n"/>
      <c r="D9106" s="64" t="n"/>
      <c r="E9106" s="63" t="n"/>
    </row>
    <row r="9107" ht="18" customHeight="1">
      <c r="A9107" s="62" t="n"/>
      <c r="B9107" s="63" t="n"/>
      <c r="C9107" s="64" t="n"/>
      <c r="D9107" s="64" t="n"/>
      <c r="E9107" s="63" t="n"/>
    </row>
    <row r="9108" ht="18" customHeight="1">
      <c r="A9108" s="62" t="n"/>
      <c r="B9108" s="63" t="n"/>
      <c r="C9108" s="64" t="n"/>
      <c r="D9108" s="64" t="n"/>
      <c r="E9108" s="63" t="n"/>
    </row>
    <row r="9109" ht="18" customHeight="1">
      <c r="A9109" s="62" t="n"/>
      <c r="B9109" s="63" t="n"/>
      <c r="C9109" s="64" t="n"/>
      <c r="D9109" s="64" t="n"/>
      <c r="E9109" s="63" t="n"/>
    </row>
    <row r="9110" ht="18" customHeight="1">
      <c r="A9110" s="62" t="n"/>
      <c r="B9110" s="63" t="n"/>
      <c r="C9110" s="64" t="n"/>
      <c r="D9110" s="64" t="n"/>
      <c r="E9110" s="63" t="n"/>
    </row>
    <row r="9111" ht="18" customHeight="1">
      <c r="A9111" s="62" t="n"/>
      <c r="B9111" s="63" t="n"/>
      <c r="C9111" s="64" t="n"/>
      <c r="D9111" s="64" t="n"/>
      <c r="E9111" s="63" t="n"/>
    </row>
    <row r="9112" ht="18" customHeight="1">
      <c r="A9112" s="62" t="n"/>
      <c r="B9112" s="63" t="n"/>
      <c r="C9112" s="64" t="n"/>
      <c r="D9112" s="64" t="n"/>
      <c r="E9112" s="63" t="n"/>
    </row>
    <row r="9113" ht="18" customHeight="1">
      <c r="A9113" s="62" t="n"/>
      <c r="B9113" s="63" t="n"/>
      <c r="C9113" s="64" t="n"/>
      <c r="D9113" s="64" t="n"/>
      <c r="E9113" s="63" t="n"/>
    </row>
    <row r="9114" ht="18" customHeight="1">
      <c r="A9114" s="62" t="n"/>
      <c r="B9114" s="63" t="n"/>
      <c r="C9114" s="64" t="n"/>
      <c r="D9114" s="64" t="n"/>
      <c r="E9114" s="63" t="n"/>
    </row>
    <row r="9115" ht="18" customHeight="1">
      <c r="A9115" s="62" t="n"/>
      <c r="B9115" s="63" t="n"/>
      <c r="C9115" s="64" t="n"/>
      <c r="D9115" s="64" t="n"/>
      <c r="E9115" s="63" t="n"/>
    </row>
    <row r="9116" ht="18" customHeight="1">
      <c r="A9116" s="62" t="n"/>
      <c r="B9116" s="63" t="n"/>
      <c r="C9116" s="64" t="n"/>
      <c r="D9116" s="64" t="n"/>
      <c r="E9116" s="63" t="n"/>
    </row>
    <row r="9117" ht="18" customHeight="1">
      <c r="A9117" s="62" t="n"/>
      <c r="B9117" s="63" t="n"/>
      <c r="C9117" s="64" t="n"/>
      <c r="D9117" s="64" t="n"/>
      <c r="E9117" s="63" t="n"/>
    </row>
    <row r="9118" ht="18" customHeight="1">
      <c r="A9118" s="62" t="n"/>
      <c r="B9118" s="63" t="n"/>
      <c r="C9118" s="64" t="n"/>
      <c r="D9118" s="64" t="n"/>
      <c r="E9118" s="63" t="n"/>
    </row>
    <row r="9119" ht="18" customHeight="1">
      <c r="A9119" s="62" t="n"/>
      <c r="B9119" s="63" t="n"/>
      <c r="C9119" s="64" t="n"/>
      <c r="D9119" s="64" t="n"/>
      <c r="E9119" s="63" t="n"/>
    </row>
    <row r="9120" ht="18" customHeight="1">
      <c r="A9120" s="62" t="n"/>
      <c r="B9120" s="63" t="n"/>
      <c r="C9120" s="64" t="n"/>
      <c r="D9120" s="64" t="n"/>
      <c r="E9120" s="63" t="n"/>
    </row>
    <row r="9121" ht="18" customHeight="1">
      <c r="A9121" s="62" t="n"/>
      <c r="B9121" s="63" t="n"/>
      <c r="C9121" s="64" t="n"/>
      <c r="D9121" s="64" t="n"/>
      <c r="E9121" s="63" t="n"/>
    </row>
    <row r="9122" ht="18" customHeight="1">
      <c r="A9122" s="62" t="n"/>
      <c r="B9122" s="63" t="n"/>
      <c r="C9122" s="64" t="n"/>
      <c r="D9122" s="64" t="n"/>
      <c r="E9122" s="63" t="n"/>
    </row>
    <row r="9123" ht="18" customHeight="1">
      <c r="A9123" s="62" t="n"/>
      <c r="B9123" s="63" t="n"/>
      <c r="C9123" s="64" t="n"/>
      <c r="D9123" s="64" t="n"/>
      <c r="E9123" s="63" t="n"/>
    </row>
    <row r="9124" ht="18" customHeight="1">
      <c r="A9124" s="62" t="n"/>
      <c r="B9124" s="63" t="n"/>
      <c r="C9124" s="64" t="n"/>
      <c r="D9124" s="64" t="n"/>
      <c r="E9124" s="63" t="n"/>
    </row>
    <row r="9125" ht="18" customHeight="1">
      <c r="A9125" s="62" t="n"/>
      <c r="B9125" s="63" t="n"/>
      <c r="C9125" s="64" t="n"/>
      <c r="D9125" s="64" t="n"/>
      <c r="E9125" s="63" t="n"/>
    </row>
    <row r="9126" ht="18" customHeight="1">
      <c r="A9126" s="62" t="n"/>
      <c r="B9126" s="63" t="n"/>
      <c r="C9126" s="64" t="n"/>
      <c r="D9126" s="64" t="n"/>
      <c r="E9126" s="63" t="n"/>
    </row>
    <row r="9127" ht="18" customHeight="1">
      <c r="A9127" s="62" t="n"/>
      <c r="B9127" s="63" t="n"/>
      <c r="C9127" s="64" t="n"/>
      <c r="D9127" s="64" t="n"/>
      <c r="E9127" s="63" t="n"/>
    </row>
    <row r="9128" ht="18" customHeight="1">
      <c r="A9128" s="62" t="n"/>
      <c r="B9128" s="63" t="n"/>
      <c r="C9128" s="64" t="n"/>
      <c r="D9128" s="64" t="n"/>
      <c r="E9128" s="63" t="n"/>
    </row>
    <row r="9129" ht="18" customHeight="1">
      <c r="A9129" s="62" t="n"/>
      <c r="B9129" s="63" t="n"/>
      <c r="C9129" s="64" t="n"/>
      <c r="D9129" s="64" t="n"/>
      <c r="E9129" s="63" t="n"/>
    </row>
    <row r="9130" ht="18" customHeight="1">
      <c r="A9130" s="62" t="n"/>
      <c r="B9130" s="63" t="n"/>
      <c r="C9130" s="64" t="n"/>
      <c r="D9130" s="64" t="n"/>
      <c r="E9130" s="63" t="n"/>
    </row>
    <row r="9131" ht="18" customHeight="1">
      <c r="A9131" s="62" t="n"/>
      <c r="B9131" s="63" t="n"/>
      <c r="C9131" s="64" t="n"/>
      <c r="D9131" s="64" t="n"/>
      <c r="E9131" s="63" t="n"/>
    </row>
    <row r="9132" ht="18" customHeight="1">
      <c r="A9132" s="62" t="n"/>
      <c r="B9132" s="63" t="n"/>
      <c r="C9132" s="64" t="n"/>
      <c r="D9132" s="64" t="n"/>
      <c r="E9132" s="63" t="n"/>
    </row>
    <row r="9133" ht="18" customHeight="1">
      <c r="A9133" s="62" t="n"/>
      <c r="B9133" s="63" t="n"/>
      <c r="C9133" s="64" t="n"/>
      <c r="D9133" s="64" t="n"/>
      <c r="E9133" s="63" t="n"/>
    </row>
    <row r="9134" ht="18" customHeight="1">
      <c r="A9134" s="62" t="n"/>
      <c r="B9134" s="63" t="n"/>
      <c r="C9134" s="64" t="n"/>
      <c r="D9134" s="64" t="n"/>
      <c r="E9134" s="63" t="n"/>
    </row>
    <row r="9135" ht="18" customHeight="1">
      <c r="A9135" s="62" t="n"/>
      <c r="B9135" s="63" t="n"/>
      <c r="C9135" s="64" t="n"/>
      <c r="D9135" s="64" t="n"/>
      <c r="E9135" s="63" t="n"/>
    </row>
    <row r="9136" ht="18" customHeight="1">
      <c r="A9136" s="62" t="n"/>
      <c r="B9136" s="63" t="n"/>
      <c r="C9136" s="64" t="n"/>
      <c r="D9136" s="64" t="n"/>
      <c r="E9136" s="63" t="n"/>
    </row>
    <row r="9137" ht="18" customHeight="1">
      <c r="A9137" s="62" t="n"/>
      <c r="B9137" s="63" t="n"/>
      <c r="C9137" s="64" t="n"/>
      <c r="D9137" s="64" t="n"/>
      <c r="E9137" s="63" t="n"/>
    </row>
    <row r="9138" ht="18" customHeight="1">
      <c r="A9138" s="62" t="n"/>
      <c r="B9138" s="63" t="n"/>
      <c r="C9138" s="64" t="n"/>
      <c r="D9138" s="64" t="n"/>
      <c r="E9138" s="63" t="n"/>
    </row>
    <row r="9139" ht="18" customHeight="1">
      <c r="A9139" s="62" t="n"/>
      <c r="B9139" s="63" t="n"/>
      <c r="C9139" s="64" t="n"/>
      <c r="D9139" s="64" t="n"/>
      <c r="E9139" s="63" t="n"/>
    </row>
    <row r="9140" ht="18" customHeight="1">
      <c r="A9140" s="62" t="n"/>
      <c r="B9140" s="63" t="n"/>
      <c r="C9140" s="64" t="n"/>
      <c r="D9140" s="64" t="n"/>
      <c r="E9140" s="63" t="n"/>
    </row>
    <row r="9141" ht="18" customHeight="1">
      <c r="A9141" s="62" t="n"/>
      <c r="B9141" s="63" t="n"/>
      <c r="C9141" s="64" t="n"/>
      <c r="D9141" s="64" t="n"/>
      <c r="E9141" s="63" t="n"/>
    </row>
    <row r="9142" ht="18" customHeight="1">
      <c r="A9142" s="62" t="n"/>
      <c r="B9142" s="63" t="n"/>
      <c r="C9142" s="64" t="n"/>
      <c r="D9142" s="64" t="n"/>
      <c r="E9142" s="63" t="n"/>
    </row>
    <row r="9143" ht="18" customHeight="1">
      <c r="A9143" s="62" t="n"/>
      <c r="B9143" s="63" t="n"/>
      <c r="C9143" s="64" t="n"/>
      <c r="D9143" s="64" t="n"/>
      <c r="E9143" s="63" t="n"/>
    </row>
    <row r="9144" ht="18" customHeight="1">
      <c r="A9144" s="62" t="n"/>
      <c r="B9144" s="63" t="n"/>
      <c r="C9144" s="64" t="n"/>
      <c r="D9144" s="64" t="n"/>
      <c r="E9144" s="63" t="n"/>
    </row>
    <row r="9145" ht="18" customHeight="1">
      <c r="A9145" s="62" t="n"/>
      <c r="B9145" s="63" t="n"/>
      <c r="C9145" s="64" t="n"/>
      <c r="D9145" s="64" t="n"/>
      <c r="E9145" s="63" t="n"/>
    </row>
    <row r="9146" ht="18" customHeight="1">
      <c r="A9146" s="62" t="n"/>
      <c r="B9146" s="63" t="n"/>
      <c r="C9146" s="64" t="n"/>
      <c r="D9146" s="64" t="n"/>
      <c r="E9146" s="63" t="n"/>
    </row>
    <row r="9147" ht="18" customHeight="1">
      <c r="A9147" s="62" t="n"/>
      <c r="B9147" s="63" t="n"/>
      <c r="C9147" s="64" t="n"/>
      <c r="D9147" s="64" t="n"/>
      <c r="E9147" s="63" t="n"/>
    </row>
    <row r="9148" ht="18" customHeight="1">
      <c r="A9148" s="62" t="n"/>
      <c r="B9148" s="63" t="n"/>
      <c r="C9148" s="64" t="n"/>
      <c r="D9148" s="64" t="n"/>
      <c r="E9148" s="63" t="n"/>
    </row>
    <row r="9149" ht="18" customHeight="1">
      <c r="A9149" s="62" t="n"/>
      <c r="B9149" s="63" t="n"/>
      <c r="C9149" s="64" t="n"/>
      <c r="D9149" s="64" t="n"/>
      <c r="E9149" s="63" t="n"/>
    </row>
    <row r="9150" ht="18" customHeight="1">
      <c r="A9150" s="62" t="n"/>
      <c r="B9150" s="63" t="n"/>
      <c r="C9150" s="64" t="n"/>
      <c r="D9150" s="64" t="n"/>
      <c r="E9150" s="63" t="n"/>
    </row>
    <row r="9151" ht="18" customHeight="1">
      <c r="A9151" s="62" t="n"/>
      <c r="B9151" s="63" t="n"/>
      <c r="C9151" s="64" t="n"/>
      <c r="D9151" s="64" t="n"/>
      <c r="E9151" s="63" t="n"/>
    </row>
    <row r="9152" ht="18" customHeight="1">
      <c r="A9152" s="62" t="n"/>
      <c r="B9152" s="63" t="n"/>
      <c r="C9152" s="64" t="n"/>
      <c r="D9152" s="64" t="n"/>
      <c r="E9152" s="63" t="n"/>
    </row>
    <row r="9153" ht="18" customHeight="1">
      <c r="A9153" s="62" t="n"/>
      <c r="B9153" s="63" t="n"/>
      <c r="C9153" s="64" t="n"/>
      <c r="D9153" s="64" t="n"/>
      <c r="E9153" s="63" t="n"/>
    </row>
    <row r="9154" ht="18" customHeight="1">
      <c r="A9154" s="62" t="n"/>
      <c r="B9154" s="63" t="n"/>
      <c r="C9154" s="64" t="n"/>
      <c r="D9154" s="64" t="n"/>
      <c r="E9154" s="63" t="n"/>
    </row>
    <row r="9155" ht="18" customHeight="1">
      <c r="A9155" s="62" t="n"/>
      <c r="B9155" s="63" t="n"/>
      <c r="C9155" s="64" t="n"/>
      <c r="D9155" s="64" t="n"/>
      <c r="E9155" s="63" t="n"/>
    </row>
    <row r="9156" ht="18" customHeight="1">
      <c r="A9156" s="62" t="n"/>
      <c r="B9156" s="63" t="n"/>
      <c r="C9156" s="64" t="n"/>
      <c r="D9156" s="64" t="n"/>
      <c r="E9156" s="63" t="n"/>
    </row>
    <row r="9157" ht="18" customHeight="1">
      <c r="A9157" s="62" t="n"/>
      <c r="B9157" s="63" t="n"/>
      <c r="C9157" s="64" t="n"/>
      <c r="D9157" s="64" t="n"/>
      <c r="E9157" s="63" t="n"/>
    </row>
    <row r="9158" ht="18" customHeight="1">
      <c r="A9158" s="62" t="n"/>
      <c r="B9158" s="63" t="n"/>
      <c r="C9158" s="64" t="n"/>
      <c r="D9158" s="64" t="n"/>
      <c r="E9158" s="63" t="n"/>
    </row>
    <row r="9159" ht="18" customHeight="1">
      <c r="A9159" s="62" t="n"/>
      <c r="B9159" s="63" t="n"/>
      <c r="C9159" s="64" t="n"/>
      <c r="D9159" s="64" t="n"/>
      <c r="E9159" s="63" t="n"/>
    </row>
    <row r="9160" ht="18" customHeight="1">
      <c r="A9160" s="62" t="n"/>
      <c r="B9160" s="63" t="n"/>
      <c r="C9160" s="64" t="n"/>
      <c r="D9160" s="64" t="n"/>
      <c r="E9160" s="63" t="n"/>
    </row>
    <row r="9161" ht="18" customHeight="1">
      <c r="A9161" s="62" t="n"/>
      <c r="B9161" s="63" t="n"/>
      <c r="C9161" s="64" t="n"/>
      <c r="D9161" s="64" t="n"/>
      <c r="E9161" s="63" t="n"/>
    </row>
    <row r="9162" ht="18" customHeight="1">
      <c r="A9162" s="62" t="n"/>
      <c r="B9162" s="63" t="n"/>
      <c r="C9162" s="64" t="n"/>
      <c r="D9162" s="64" t="n"/>
      <c r="E9162" s="63" t="n"/>
    </row>
    <row r="9163" ht="18" customHeight="1">
      <c r="A9163" s="62" t="n"/>
      <c r="B9163" s="63" t="n"/>
      <c r="C9163" s="64" t="n"/>
      <c r="D9163" s="64" t="n"/>
      <c r="E9163" s="63" t="n"/>
    </row>
    <row r="9164" ht="18" customHeight="1">
      <c r="A9164" s="62" t="n"/>
      <c r="B9164" s="63" t="n"/>
      <c r="C9164" s="64" t="n"/>
      <c r="D9164" s="64" t="n"/>
      <c r="E9164" s="63" t="n"/>
    </row>
    <row r="9165" ht="18" customHeight="1">
      <c r="A9165" s="62" t="n"/>
      <c r="B9165" s="63" t="n"/>
      <c r="C9165" s="64" t="n"/>
      <c r="D9165" s="64" t="n"/>
      <c r="E9165" s="63" t="n"/>
    </row>
    <row r="9166" ht="18" customHeight="1">
      <c r="A9166" s="62" t="n"/>
      <c r="B9166" s="63" t="n"/>
      <c r="C9166" s="64" t="n"/>
      <c r="D9166" s="64" t="n"/>
      <c r="E9166" s="63" t="n"/>
    </row>
    <row r="9167" ht="18" customHeight="1">
      <c r="A9167" s="62" t="n"/>
      <c r="B9167" s="63" t="n"/>
      <c r="C9167" s="64" t="n"/>
      <c r="D9167" s="64" t="n"/>
      <c r="E9167" s="63" t="n"/>
    </row>
    <row r="9168" ht="18" customHeight="1">
      <c r="A9168" s="62" t="n"/>
      <c r="B9168" s="63" t="n"/>
      <c r="C9168" s="64" t="n"/>
      <c r="D9168" s="64" t="n"/>
      <c r="E9168" s="63" t="n"/>
    </row>
    <row r="9169" ht="18" customHeight="1">
      <c r="A9169" s="62" t="n"/>
      <c r="B9169" s="63" t="n"/>
      <c r="C9169" s="64" t="n"/>
      <c r="D9169" s="64" t="n"/>
      <c r="E9169" s="63" t="n"/>
    </row>
    <row r="9170" ht="18" customHeight="1">
      <c r="A9170" s="62" t="n"/>
      <c r="B9170" s="63" t="n"/>
      <c r="C9170" s="64" t="n"/>
      <c r="D9170" s="64" t="n"/>
      <c r="E9170" s="63" t="n"/>
    </row>
    <row r="9171" ht="18" customHeight="1">
      <c r="A9171" s="62" t="n"/>
      <c r="B9171" s="63" t="n"/>
      <c r="C9171" s="64" t="n"/>
      <c r="D9171" s="64" t="n"/>
      <c r="E9171" s="63" t="n"/>
    </row>
    <row r="9172" ht="18" customHeight="1">
      <c r="A9172" s="62" t="n"/>
      <c r="B9172" s="63" t="n"/>
      <c r="C9172" s="64" t="n"/>
      <c r="D9172" s="64" t="n"/>
      <c r="E9172" s="63" t="n"/>
    </row>
    <row r="9173" ht="18" customHeight="1">
      <c r="A9173" s="62" t="n"/>
      <c r="B9173" s="63" t="n"/>
      <c r="C9173" s="64" t="n"/>
      <c r="D9173" s="64" t="n"/>
      <c r="E9173" s="63" t="n"/>
    </row>
    <row r="9174" ht="18" customHeight="1">
      <c r="A9174" s="62" t="n"/>
      <c r="B9174" s="63" t="n"/>
      <c r="C9174" s="64" t="n"/>
      <c r="D9174" s="64" t="n"/>
      <c r="E9174" s="63" t="n"/>
    </row>
    <row r="9175" ht="18" customHeight="1">
      <c r="A9175" s="62" t="n"/>
      <c r="B9175" s="63" t="n"/>
      <c r="C9175" s="64" t="n"/>
      <c r="D9175" s="64" t="n"/>
      <c r="E9175" s="63" t="n"/>
    </row>
    <row r="9176" ht="18" customHeight="1">
      <c r="A9176" s="62" t="n"/>
      <c r="B9176" s="63" t="n"/>
      <c r="C9176" s="64" t="n"/>
      <c r="D9176" s="64" t="n"/>
      <c r="E9176" s="63" t="n"/>
    </row>
    <row r="9177" ht="18" customHeight="1">
      <c r="A9177" s="62" t="n"/>
      <c r="B9177" s="63" t="n"/>
      <c r="C9177" s="64" t="n"/>
      <c r="D9177" s="64" t="n"/>
      <c r="E9177" s="63" t="n"/>
    </row>
    <row r="9178" ht="18" customHeight="1">
      <c r="A9178" s="62" t="n"/>
      <c r="B9178" s="63" t="n"/>
      <c r="C9178" s="64" t="n"/>
      <c r="D9178" s="64" t="n"/>
      <c r="E9178" s="63" t="n"/>
    </row>
    <row r="9179" ht="18" customHeight="1">
      <c r="A9179" s="62" t="n"/>
      <c r="B9179" s="63" t="n"/>
      <c r="C9179" s="64" t="n"/>
      <c r="D9179" s="64" t="n"/>
      <c r="E9179" s="63" t="n"/>
    </row>
    <row r="9180" ht="18" customHeight="1">
      <c r="A9180" s="62" t="n"/>
      <c r="B9180" s="63" t="n"/>
      <c r="C9180" s="64" t="n"/>
      <c r="D9180" s="64" t="n"/>
      <c r="E9180" s="63" t="n"/>
    </row>
    <row r="9181" ht="18" customHeight="1">
      <c r="A9181" s="62" t="n"/>
      <c r="B9181" s="63" t="n"/>
      <c r="C9181" s="64" t="n"/>
      <c r="D9181" s="64" t="n"/>
      <c r="E9181" s="63" t="n"/>
    </row>
    <row r="9182" ht="18" customHeight="1">
      <c r="A9182" s="62" t="n"/>
      <c r="B9182" s="63" t="n"/>
      <c r="C9182" s="64" t="n"/>
      <c r="D9182" s="64" t="n"/>
      <c r="E9182" s="63" t="n"/>
    </row>
    <row r="9183" ht="18" customHeight="1">
      <c r="A9183" s="62" t="n"/>
      <c r="B9183" s="63" t="n"/>
      <c r="C9183" s="64" t="n"/>
      <c r="D9183" s="64" t="n"/>
      <c r="E9183" s="63" t="n"/>
    </row>
    <row r="9184" ht="18" customHeight="1">
      <c r="A9184" s="62" t="n"/>
      <c r="B9184" s="63" t="n"/>
      <c r="C9184" s="64" t="n"/>
      <c r="D9184" s="64" t="n"/>
      <c r="E9184" s="63" t="n"/>
    </row>
    <row r="9185" ht="18" customHeight="1">
      <c r="A9185" s="62" t="n"/>
      <c r="B9185" s="63" t="n"/>
      <c r="C9185" s="64" t="n"/>
      <c r="D9185" s="64" t="n"/>
      <c r="E9185" s="63" t="n"/>
    </row>
    <row r="9186" ht="18" customHeight="1">
      <c r="A9186" s="62" t="n"/>
      <c r="B9186" s="63" t="n"/>
      <c r="C9186" s="64" t="n"/>
      <c r="D9186" s="64" t="n"/>
      <c r="E9186" s="63" t="n"/>
    </row>
    <row r="9187" ht="18" customHeight="1">
      <c r="A9187" s="62" t="n"/>
      <c r="B9187" s="63" t="n"/>
      <c r="C9187" s="64" t="n"/>
      <c r="D9187" s="64" t="n"/>
      <c r="E9187" s="63" t="n"/>
    </row>
    <row r="9188" ht="18" customHeight="1">
      <c r="A9188" s="62" t="n"/>
      <c r="B9188" s="63" t="n"/>
      <c r="C9188" s="64" t="n"/>
      <c r="D9188" s="64" t="n"/>
      <c r="E9188" s="63" t="n"/>
    </row>
    <row r="9189" ht="18" customHeight="1">
      <c r="A9189" s="62" t="n"/>
      <c r="B9189" s="63" t="n"/>
      <c r="C9189" s="64" t="n"/>
      <c r="D9189" s="64" t="n"/>
      <c r="E9189" s="63" t="n"/>
    </row>
    <row r="9190" ht="18" customHeight="1">
      <c r="A9190" s="62" t="n"/>
      <c r="B9190" s="63" t="n"/>
      <c r="C9190" s="64" t="n"/>
      <c r="D9190" s="64" t="n"/>
      <c r="E9190" s="63" t="n"/>
    </row>
    <row r="9191" ht="18" customHeight="1">
      <c r="A9191" s="62" t="n"/>
      <c r="B9191" s="63" t="n"/>
      <c r="C9191" s="64" t="n"/>
      <c r="D9191" s="64" t="n"/>
      <c r="E9191" s="63" t="n"/>
    </row>
    <row r="9192" ht="18" customHeight="1">
      <c r="A9192" s="62" t="n"/>
      <c r="B9192" s="63" t="n"/>
      <c r="C9192" s="64" t="n"/>
      <c r="D9192" s="64" t="n"/>
      <c r="E9192" s="63" t="n"/>
    </row>
    <row r="9193" ht="18" customHeight="1">
      <c r="A9193" s="62" t="n"/>
      <c r="B9193" s="63" t="n"/>
      <c r="C9193" s="64" t="n"/>
      <c r="D9193" s="64" t="n"/>
      <c r="E9193" s="63" t="n"/>
    </row>
    <row r="9194" ht="18" customHeight="1">
      <c r="A9194" s="62" t="n"/>
      <c r="B9194" s="63" t="n"/>
      <c r="C9194" s="64" t="n"/>
      <c r="D9194" s="64" t="n"/>
      <c r="E9194" s="63" t="n"/>
    </row>
    <row r="9195" ht="18" customHeight="1">
      <c r="A9195" s="62" t="n"/>
      <c r="B9195" s="63" t="n"/>
      <c r="C9195" s="64" t="n"/>
      <c r="D9195" s="64" t="n"/>
      <c r="E9195" s="63" t="n"/>
    </row>
    <row r="9196" ht="18" customHeight="1">
      <c r="A9196" s="62" t="n"/>
      <c r="B9196" s="63" t="n"/>
      <c r="C9196" s="64" t="n"/>
      <c r="D9196" s="64" t="n"/>
      <c r="E9196" s="63" t="n"/>
    </row>
    <row r="9197" ht="18" customHeight="1">
      <c r="A9197" s="62" t="n"/>
      <c r="B9197" s="63" t="n"/>
      <c r="C9197" s="64" t="n"/>
      <c r="D9197" s="64" t="n"/>
      <c r="E9197" s="63" t="n"/>
    </row>
    <row r="9198" ht="18" customHeight="1">
      <c r="A9198" s="62" t="n"/>
      <c r="B9198" s="63" t="n"/>
      <c r="C9198" s="64" t="n"/>
      <c r="D9198" s="64" t="n"/>
      <c r="E9198" s="63" t="n"/>
    </row>
    <row r="9199" ht="18" customHeight="1">
      <c r="A9199" s="62" t="n"/>
      <c r="B9199" s="63" t="n"/>
      <c r="C9199" s="64" t="n"/>
      <c r="D9199" s="64" t="n"/>
      <c r="E9199" s="63" t="n"/>
    </row>
    <row r="9200" ht="18" customHeight="1">
      <c r="A9200" s="62" t="n"/>
      <c r="B9200" s="63" t="n"/>
      <c r="C9200" s="64" t="n"/>
      <c r="D9200" s="64" t="n"/>
      <c r="E9200" s="63" t="n"/>
    </row>
    <row r="9201" ht="18" customHeight="1">
      <c r="A9201" s="62" t="n"/>
      <c r="B9201" s="63" t="n"/>
      <c r="C9201" s="64" t="n"/>
      <c r="D9201" s="64" t="n"/>
      <c r="E9201" s="63" t="n"/>
    </row>
    <row r="9202" ht="18" customHeight="1">
      <c r="A9202" s="62" t="n"/>
      <c r="B9202" s="63" t="n"/>
      <c r="C9202" s="64" t="n"/>
      <c r="D9202" s="64" t="n"/>
      <c r="E9202" s="63" t="n"/>
    </row>
    <row r="9203" ht="18" customHeight="1">
      <c r="A9203" s="62" t="n"/>
      <c r="B9203" s="63" t="n"/>
      <c r="C9203" s="64" t="n"/>
      <c r="D9203" s="64" t="n"/>
      <c r="E9203" s="63" t="n"/>
    </row>
    <row r="9204" ht="18" customHeight="1">
      <c r="A9204" s="62" t="n"/>
      <c r="B9204" s="63" t="n"/>
      <c r="C9204" s="64" t="n"/>
      <c r="D9204" s="64" t="n"/>
      <c r="E9204" s="63" t="n"/>
    </row>
    <row r="9205" ht="18" customHeight="1">
      <c r="A9205" s="62" t="n"/>
      <c r="B9205" s="63" t="n"/>
      <c r="C9205" s="64" t="n"/>
      <c r="D9205" s="64" t="n"/>
      <c r="E9205" s="63" t="n"/>
    </row>
    <row r="9206" ht="18" customHeight="1">
      <c r="A9206" s="62" t="n"/>
      <c r="B9206" s="63" t="n"/>
      <c r="C9206" s="64" t="n"/>
      <c r="D9206" s="64" t="n"/>
      <c r="E9206" s="63" t="n"/>
    </row>
    <row r="9207" ht="18" customHeight="1">
      <c r="A9207" s="62" t="n"/>
      <c r="B9207" s="63" t="n"/>
      <c r="C9207" s="64" t="n"/>
      <c r="D9207" s="64" t="n"/>
      <c r="E9207" s="63" t="n"/>
    </row>
    <row r="9208" ht="18" customHeight="1">
      <c r="A9208" s="62" t="n"/>
      <c r="B9208" s="63" t="n"/>
      <c r="C9208" s="64" t="n"/>
      <c r="D9208" s="64" t="n"/>
      <c r="E9208" s="63" t="n"/>
    </row>
    <row r="9209" ht="18" customHeight="1">
      <c r="A9209" s="62" t="n"/>
      <c r="B9209" s="63" t="n"/>
      <c r="C9209" s="64" t="n"/>
      <c r="D9209" s="64" t="n"/>
      <c r="E9209" s="63" t="n"/>
    </row>
    <row r="9210" ht="18" customHeight="1">
      <c r="A9210" s="62" t="n"/>
      <c r="B9210" s="63" t="n"/>
      <c r="C9210" s="64" t="n"/>
      <c r="D9210" s="64" t="n"/>
      <c r="E9210" s="63" t="n"/>
    </row>
    <row r="9211" ht="18" customHeight="1">
      <c r="A9211" s="62" t="n"/>
      <c r="B9211" s="63" t="n"/>
      <c r="C9211" s="64" t="n"/>
      <c r="D9211" s="64" t="n"/>
      <c r="E9211" s="63" t="n"/>
    </row>
    <row r="9212" ht="18" customHeight="1">
      <c r="A9212" s="62" t="n"/>
      <c r="B9212" s="63" t="n"/>
      <c r="C9212" s="64" t="n"/>
      <c r="D9212" s="64" t="n"/>
      <c r="E9212" s="63" t="n"/>
    </row>
    <row r="9213" ht="18" customHeight="1">
      <c r="A9213" s="62" t="n"/>
      <c r="B9213" s="63" t="n"/>
      <c r="C9213" s="64" t="n"/>
      <c r="D9213" s="64" t="n"/>
      <c r="E9213" s="63" t="n"/>
    </row>
    <row r="9214" ht="18" customHeight="1">
      <c r="A9214" s="62" t="n"/>
      <c r="B9214" s="63" t="n"/>
      <c r="C9214" s="64" t="n"/>
      <c r="D9214" s="64" t="n"/>
      <c r="E9214" s="63" t="n"/>
    </row>
    <row r="9215" ht="18" customHeight="1">
      <c r="A9215" s="62" t="n"/>
      <c r="B9215" s="63" t="n"/>
      <c r="C9215" s="64" t="n"/>
      <c r="D9215" s="64" t="n"/>
      <c r="E9215" s="63" t="n"/>
    </row>
    <row r="9216" ht="18" customHeight="1">
      <c r="A9216" s="62" t="n"/>
      <c r="B9216" s="63" t="n"/>
      <c r="C9216" s="64" t="n"/>
      <c r="D9216" s="64" t="n"/>
      <c r="E9216" s="63" t="n"/>
    </row>
    <row r="9217" ht="18" customHeight="1">
      <c r="A9217" s="62" t="n"/>
      <c r="B9217" s="63" t="n"/>
      <c r="C9217" s="64" t="n"/>
      <c r="D9217" s="64" t="n"/>
      <c r="E9217" s="63" t="n"/>
    </row>
    <row r="9218" ht="18" customHeight="1">
      <c r="A9218" s="62" t="n"/>
      <c r="B9218" s="63" t="n"/>
      <c r="C9218" s="64" t="n"/>
      <c r="D9218" s="64" t="n"/>
      <c r="E9218" s="63" t="n"/>
    </row>
    <row r="9219" ht="18" customHeight="1">
      <c r="A9219" s="62" t="n"/>
      <c r="B9219" s="63" t="n"/>
      <c r="C9219" s="64" t="n"/>
      <c r="D9219" s="64" t="n"/>
      <c r="E9219" s="63" t="n"/>
    </row>
    <row r="9220" ht="18" customHeight="1">
      <c r="A9220" s="62" t="n"/>
      <c r="B9220" s="63" t="n"/>
      <c r="C9220" s="64" t="n"/>
      <c r="D9220" s="64" t="n"/>
      <c r="E9220" s="63" t="n"/>
    </row>
    <row r="9221" ht="18" customHeight="1">
      <c r="A9221" s="62" t="n"/>
      <c r="B9221" s="63" t="n"/>
      <c r="C9221" s="64" t="n"/>
      <c r="D9221" s="64" t="n"/>
      <c r="E9221" s="63" t="n"/>
    </row>
    <row r="9222" ht="18" customHeight="1">
      <c r="A9222" s="62" t="n"/>
      <c r="B9222" s="63" t="n"/>
      <c r="C9222" s="64" t="n"/>
      <c r="D9222" s="64" t="n"/>
      <c r="E9222" s="63" t="n"/>
    </row>
    <row r="9223" ht="18" customHeight="1">
      <c r="A9223" s="62" t="n"/>
      <c r="B9223" s="63" t="n"/>
      <c r="C9223" s="64" t="n"/>
      <c r="D9223" s="64" t="n"/>
      <c r="E9223" s="63" t="n"/>
    </row>
    <row r="9224" ht="18" customHeight="1">
      <c r="A9224" s="62" t="n"/>
      <c r="B9224" s="63" t="n"/>
      <c r="C9224" s="64" t="n"/>
      <c r="D9224" s="64" t="n"/>
      <c r="E9224" s="63" t="n"/>
    </row>
    <row r="9225" ht="18" customHeight="1">
      <c r="A9225" s="62" t="n"/>
      <c r="B9225" s="63" t="n"/>
      <c r="C9225" s="64" t="n"/>
      <c r="D9225" s="64" t="n"/>
      <c r="E9225" s="63" t="n"/>
    </row>
    <row r="9226" ht="18" customHeight="1">
      <c r="A9226" s="62" t="n"/>
      <c r="B9226" s="63" t="n"/>
      <c r="C9226" s="64" t="n"/>
      <c r="D9226" s="64" t="n"/>
      <c r="E9226" s="63" t="n"/>
    </row>
    <row r="9227" ht="18" customHeight="1">
      <c r="A9227" s="62" t="n"/>
      <c r="B9227" s="63" t="n"/>
      <c r="C9227" s="64" t="n"/>
      <c r="D9227" s="64" t="n"/>
      <c r="E9227" s="63" t="n"/>
    </row>
    <row r="9228" ht="18" customHeight="1">
      <c r="A9228" s="62" t="n"/>
      <c r="B9228" s="63" t="n"/>
      <c r="C9228" s="64" t="n"/>
      <c r="D9228" s="64" t="n"/>
      <c r="E9228" s="63" t="n"/>
    </row>
    <row r="9229" ht="18" customHeight="1">
      <c r="A9229" s="62" t="n"/>
      <c r="B9229" s="63" t="n"/>
      <c r="C9229" s="64" t="n"/>
      <c r="D9229" s="64" t="n"/>
      <c r="E9229" s="63" t="n"/>
    </row>
    <row r="9230" ht="18" customHeight="1">
      <c r="A9230" s="62" t="n"/>
      <c r="B9230" s="63" t="n"/>
      <c r="C9230" s="64" t="n"/>
      <c r="D9230" s="64" t="n"/>
      <c r="E9230" s="63" t="n"/>
    </row>
    <row r="9231" ht="18" customHeight="1">
      <c r="A9231" s="62" t="n"/>
      <c r="B9231" s="63" t="n"/>
      <c r="C9231" s="64" t="n"/>
      <c r="D9231" s="64" t="n"/>
      <c r="E9231" s="63" t="n"/>
    </row>
    <row r="9232" ht="18" customHeight="1">
      <c r="A9232" s="62" t="n"/>
      <c r="B9232" s="63" t="n"/>
      <c r="C9232" s="64" t="n"/>
      <c r="D9232" s="64" t="n"/>
      <c r="E9232" s="63" t="n"/>
    </row>
    <row r="9233" ht="18" customHeight="1">
      <c r="A9233" s="62" t="n"/>
      <c r="B9233" s="63" t="n"/>
      <c r="C9233" s="64" t="n"/>
      <c r="D9233" s="64" t="n"/>
      <c r="E9233" s="63" t="n"/>
    </row>
    <row r="9234" ht="18" customHeight="1">
      <c r="A9234" s="62" t="n"/>
      <c r="B9234" s="63" t="n"/>
      <c r="C9234" s="64" t="n"/>
      <c r="D9234" s="64" t="n"/>
      <c r="E9234" s="63" t="n"/>
    </row>
    <row r="9235" ht="18" customHeight="1">
      <c r="A9235" s="62" t="n"/>
      <c r="B9235" s="63" t="n"/>
      <c r="C9235" s="64" t="n"/>
      <c r="D9235" s="64" t="n"/>
      <c r="E9235" s="63" t="n"/>
    </row>
    <row r="9236" ht="18" customHeight="1">
      <c r="A9236" s="62" t="n"/>
      <c r="B9236" s="63" t="n"/>
      <c r="C9236" s="64" t="n"/>
      <c r="D9236" s="64" t="n"/>
      <c r="E9236" s="63" t="n"/>
    </row>
    <row r="9237" ht="18" customHeight="1">
      <c r="A9237" s="62" t="n"/>
      <c r="B9237" s="63" t="n"/>
      <c r="C9237" s="64" t="n"/>
      <c r="D9237" s="64" t="n"/>
      <c r="E9237" s="63" t="n"/>
    </row>
    <row r="9238" ht="18" customHeight="1">
      <c r="A9238" s="62" t="n"/>
      <c r="B9238" s="63" t="n"/>
      <c r="C9238" s="64" t="n"/>
      <c r="D9238" s="64" t="n"/>
      <c r="E9238" s="63" t="n"/>
    </row>
    <row r="9239" ht="18" customHeight="1">
      <c r="A9239" s="62" t="n"/>
      <c r="B9239" s="63" t="n"/>
      <c r="C9239" s="64" t="n"/>
      <c r="D9239" s="64" t="n"/>
      <c r="E9239" s="63" t="n"/>
    </row>
    <row r="9240" ht="18" customHeight="1">
      <c r="A9240" s="62" t="n"/>
      <c r="B9240" s="63" t="n"/>
      <c r="C9240" s="64" t="n"/>
      <c r="D9240" s="64" t="n"/>
      <c r="E9240" s="63" t="n"/>
    </row>
    <row r="9241" ht="18" customHeight="1">
      <c r="A9241" s="62" t="n"/>
      <c r="B9241" s="63" t="n"/>
      <c r="C9241" s="64" t="n"/>
      <c r="D9241" s="64" t="n"/>
      <c r="E9241" s="63" t="n"/>
    </row>
    <row r="9242" ht="18" customHeight="1">
      <c r="A9242" s="62" t="n"/>
      <c r="B9242" s="63" t="n"/>
      <c r="C9242" s="64" t="n"/>
      <c r="D9242" s="64" t="n"/>
      <c r="E9242" s="63" t="n"/>
    </row>
    <row r="9243" ht="18" customHeight="1">
      <c r="A9243" s="62" t="n"/>
      <c r="B9243" s="63" t="n"/>
      <c r="C9243" s="64" t="n"/>
      <c r="D9243" s="64" t="n"/>
      <c r="E9243" s="63" t="n"/>
    </row>
    <row r="9244" ht="18" customHeight="1">
      <c r="A9244" s="62" t="n"/>
      <c r="B9244" s="63" t="n"/>
      <c r="C9244" s="64" t="n"/>
      <c r="D9244" s="64" t="n"/>
      <c r="E9244" s="63" t="n"/>
    </row>
    <row r="9245" ht="18" customHeight="1">
      <c r="A9245" s="62" t="n"/>
      <c r="B9245" s="63" t="n"/>
      <c r="C9245" s="64" t="n"/>
      <c r="D9245" s="64" t="n"/>
      <c r="E9245" s="63" t="n"/>
    </row>
    <row r="9246" ht="18" customHeight="1">
      <c r="A9246" s="62" t="n"/>
      <c r="B9246" s="63" t="n"/>
      <c r="C9246" s="64" t="n"/>
      <c r="D9246" s="64" t="n"/>
      <c r="E9246" s="63" t="n"/>
    </row>
    <row r="9247" ht="18" customHeight="1">
      <c r="A9247" s="62" t="n"/>
      <c r="B9247" s="63" t="n"/>
      <c r="C9247" s="64" t="n"/>
      <c r="D9247" s="64" t="n"/>
      <c r="E9247" s="63" t="n"/>
    </row>
    <row r="9248" ht="18" customHeight="1">
      <c r="A9248" s="62" t="n"/>
      <c r="B9248" s="63" t="n"/>
      <c r="C9248" s="64" t="n"/>
      <c r="D9248" s="64" t="n"/>
      <c r="E9248" s="63" t="n"/>
    </row>
    <row r="9249" ht="18" customHeight="1">
      <c r="A9249" s="62" t="n"/>
      <c r="B9249" s="63" t="n"/>
      <c r="C9249" s="64" t="n"/>
      <c r="D9249" s="64" t="n"/>
      <c r="E9249" s="63" t="n"/>
    </row>
    <row r="9250" ht="18" customHeight="1">
      <c r="A9250" s="62" t="n"/>
      <c r="B9250" s="63" t="n"/>
      <c r="C9250" s="64" t="n"/>
      <c r="D9250" s="64" t="n"/>
      <c r="E9250" s="63" t="n"/>
    </row>
    <row r="9251" ht="18" customHeight="1">
      <c r="A9251" s="62" t="n"/>
      <c r="B9251" s="63" t="n"/>
      <c r="C9251" s="64" t="n"/>
      <c r="D9251" s="64" t="n"/>
      <c r="E9251" s="63" t="n"/>
    </row>
    <row r="9252" ht="18" customHeight="1">
      <c r="A9252" s="62" t="n"/>
      <c r="B9252" s="63" t="n"/>
      <c r="C9252" s="64" t="n"/>
      <c r="D9252" s="64" t="n"/>
      <c r="E9252" s="63" t="n"/>
    </row>
    <row r="9253" ht="18" customHeight="1">
      <c r="A9253" s="62" t="n"/>
      <c r="B9253" s="63" t="n"/>
      <c r="C9253" s="64" t="n"/>
      <c r="D9253" s="64" t="n"/>
      <c r="E9253" s="63" t="n"/>
    </row>
    <row r="9254" ht="18" customHeight="1">
      <c r="A9254" s="62" t="n"/>
      <c r="B9254" s="63" t="n"/>
      <c r="C9254" s="64" t="n"/>
      <c r="D9254" s="64" t="n"/>
      <c r="E9254" s="63" t="n"/>
    </row>
    <row r="9255" ht="18" customHeight="1">
      <c r="A9255" s="62" t="n"/>
      <c r="B9255" s="63" t="n"/>
      <c r="C9255" s="64" t="n"/>
      <c r="D9255" s="64" t="n"/>
      <c r="E9255" s="63" t="n"/>
    </row>
    <row r="9256" ht="18" customHeight="1">
      <c r="A9256" s="62" t="n"/>
      <c r="B9256" s="63" t="n"/>
      <c r="C9256" s="64" t="n"/>
      <c r="D9256" s="64" t="n"/>
      <c r="E9256" s="63" t="n"/>
    </row>
    <row r="9257" ht="18" customHeight="1">
      <c r="A9257" s="62" t="n"/>
      <c r="B9257" s="63" t="n"/>
      <c r="C9257" s="64" t="n"/>
      <c r="D9257" s="64" t="n"/>
      <c r="E9257" s="63" t="n"/>
    </row>
    <row r="9258" ht="18" customHeight="1">
      <c r="A9258" s="62" t="n"/>
      <c r="B9258" s="63" t="n"/>
      <c r="C9258" s="64" t="n"/>
      <c r="D9258" s="64" t="n"/>
      <c r="E9258" s="63" t="n"/>
    </row>
    <row r="9259" ht="18" customHeight="1">
      <c r="A9259" s="62" t="n"/>
      <c r="B9259" s="63" t="n"/>
      <c r="C9259" s="64" t="n"/>
      <c r="D9259" s="64" t="n"/>
      <c r="E9259" s="63" t="n"/>
    </row>
    <row r="9260" ht="18" customHeight="1">
      <c r="A9260" s="62" t="n"/>
      <c r="B9260" s="63" t="n"/>
      <c r="C9260" s="64" t="n"/>
      <c r="D9260" s="64" t="n"/>
      <c r="E9260" s="63" t="n"/>
    </row>
    <row r="9261" ht="18" customHeight="1">
      <c r="A9261" s="62" t="n"/>
      <c r="B9261" s="63" t="n"/>
      <c r="C9261" s="64" t="n"/>
      <c r="D9261" s="64" t="n"/>
      <c r="E9261" s="63" t="n"/>
    </row>
    <row r="9262" ht="18" customHeight="1">
      <c r="A9262" s="62" t="n"/>
      <c r="B9262" s="63" t="n"/>
      <c r="C9262" s="64" t="n"/>
      <c r="D9262" s="64" t="n"/>
      <c r="E9262" s="63" t="n"/>
    </row>
    <row r="9263" ht="18" customHeight="1">
      <c r="A9263" s="62" t="n"/>
      <c r="B9263" s="63" t="n"/>
      <c r="C9263" s="64" t="n"/>
      <c r="D9263" s="64" t="n"/>
      <c r="E9263" s="63" t="n"/>
    </row>
    <row r="9264" ht="18" customHeight="1">
      <c r="A9264" s="62" t="n"/>
      <c r="B9264" s="63" t="n"/>
      <c r="C9264" s="64" t="n"/>
      <c r="D9264" s="64" t="n"/>
      <c r="E9264" s="63" t="n"/>
    </row>
    <row r="9265" ht="18" customHeight="1">
      <c r="A9265" s="62" t="n"/>
      <c r="B9265" s="63" t="n"/>
      <c r="C9265" s="64" t="n"/>
      <c r="D9265" s="64" t="n"/>
      <c r="E9265" s="63" t="n"/>
    </row>
    <row r="9266" ht="18" customHeight="1">
      <c r="A9266" s="62" t="n"/>
      <c r="B9266" s="63" t="n"/>
      <c r="C9266" s="64" t="n"/>
      <c r="D9266" s="64" t="n"/>
      <c r="E9266" s="63" t="n"/>
    </row>
    <row r="9267" ht="18" customHeight="1">
      <c r="A9267" s="62" t="n"/>
      <c r="B9267" s="63" t="n"/>
      <c r="C9267" s="64" t="n"/>
      <c r="D9267" s="64" t="n"/>
      <c r="E9267" s="63" t="n"/>
    </row>
    <row r="9268" ht="18" customHeight="1">
      <c r="A9268" s="62" t="n"/>
      <c r="B9268" s="63" t="n"/>
      <c r="C9268" s="64" t="n"/>
      <c r="D9268" s="64" t="n"/>
      <c r="E9268" s="63" t="n"/>
    </row>
    <row r="9269" ht="18" customHeight="1">
      <c r="A9269" s="62" t="n"/>
      <c r="B9269" s="63" t="n"/>
      <c r="C9269" s="64" t="n"/>
      <c r="D9269" s="64" t="n"/>
      <c r="E9269" s="63" t="n"/>
    </row>
    <row r="9270" ht="18" customHeight="1">
      <c r="A9270" s="62" t="n"/>
      <c r="B9270" s="63" t="n"/>
      <c r="C9270" s="64" t="n"/>
      <c r="D9270" s="64" t="n"/>
      <c r="E9270" s="63" t="n"/>
    </row>
    <row r="9271" ht="18" customHeight="1">
      <c r="A9271" s="62" t="n"/>
      <c r="B9271" s="63" t="n"/>
      <c r="C9271" s="64" t="n"/>
      <c r="D9271" s="64" t="n"/>
      <c r="E9271" s="63" t="n"/>
    </row>
    <row r="9272" ht="18" customHeight="1">
      <c r="A9272" s="62" t="n"/>
      <c r="B9272" s="63" t="n"/>
      <c r="C9272" s="64" t="n"/>
      <c r="D9272" s="64" t="n"/>
      <c r="E9272" s="63" t="n"/>
    </row>
    <row r="9273" ht="18" customHeight="1">
      <c r="A9273" s="62" t="n"/>
      <c r="B9273" s="63" t="n"/>
      <c r="C9273" s="64" t="n"/>
      <c r="D9273" s="64" t="n"/>
      <c r="E9273" s="63" t="n"/>
    </row>
    <row r="9274" ht="18" customHeight="1">
      <c r="A9274" s="62" t="n"/>
      <c r="B9274" s="63" t="n"/>
      <c r="C9274" s="64" t="n"/>
      <c r="D9274" s="64" t="n"/>
      <c r="E9274" s="63" t="n"/>
    </row>
    <row r="9275" ht="18" customHeight="1">
      <c r="A9275" s="62" t="n"/>
      <c r="B9275" s="63" t="n"/>
      <c r="C9275" s="64" t="n"/>
      <c r="D9275" s="64" t="n"/>
      <c r="E9275" s="63" t="n"/>
    </row>
    <row r="9276" ht="18" customHeight="1">
      <c r="A9276" s="62" t="n"/>
      <c r="B9276" s="63" t="n"/>
      <c r="C9276" s="64" t="n"/>
      <c r="D9276" s="64" t="n"/>
      <c r="E9276" s="63" t="n"/>
    </row>
    <row r="9277" ht="18" customHeight="1">
      <c r="A9277" s="62" t="n"/>
      <c r="B9277" s="63" t="n"/>
      <c r="C9277" s="64" t="n"/>
      <c r="D9277" s="64" t="n"/>
      <c r="E9277" s="63" t="n"/>
    </row>
    <row r="9278" ht="18" customHeight="1">
      <c r="A9278" s="62" t="n"/>
      <c r="B9278" s="63" t="n"/>
      <c r="C9278" s="64" t="n"/>
      <c r="D9278" s="64" t="n"/>
      <c r="E9278" s="63" t="n"/>
    </row>
    <row r="9279" ht="18" customHeight="1">
      <c r="A9279" s="62" t="n"/>
      <c r="B9279" s="63" t="n"/>
      <c r="C9279" s="64" t="n"/>
      <c r="D9279" s="64" t="n"/>
      <c r="E9279" s="63" t="n"/>
    </row>
    <row r="9280" ht="18" customHeight="1">
      <c r="A9280" s="62" t="n"/>
      <c r="B9280" s="63" t="n"/>
      <c r="C9280" s="64" t="n"/>
      <c r="D9280" s="64" t="n"/>
      <c r="E9280" s="63" t="n"/>
    </row>
    <row r="9281" ht="18" customHeight="1">
      <c r="A9281" s="62" t="n"/>
      <c r="B9281" s="63" t="n"/>
      <c r="C9281" s="64" t="n"/>
      <c r="D9281" s="64" t="n"/>
      <c r="E9281" s="63" t="n"/>
    </row>
    <row r="9282" ht="18" customHeight="1">
      <c r="A9282" s="62" t="n"/>
      <c r="B9282" s="63" t="n"/>
      <c r="C9282" s="64" t="n"/>
      <c r="D9282" s="64" t="n"/>
      <c r="E9282" s="63" t="n"/>
    </row>
    <row r="9283" ht="18" customHeight="1">
      <c r="A9283" s="62" t="n"/>
      <c r="B9283" s="63" t="n"/>
      <c r="C9283" s="64" t="n"/>
      <c r="D9283" s="64" t="n"/>
      <c r="E9283" s="63" t="n"/>
    </row>
    <row r="9284" ht="18" customHeight="1">
      <c r="A9284" s="62" t="n"/>
      <c r="B9284" s="63" t="n"/>
      <c r="C9284" s="64" t="n"/>
      <c r="D9284" s="64" t="n"/>
      <c r="E9284" s="63" t="n"/>
    </row>
    <row r="9285" ht="18" customHeight="1">
      <c r="A9285" s="62" t="n"/>
      <c r="B9285" s="63" t="n"/>
      <c r="C9285" s="64" t="n"/>
      <c r="D9285" s="64" t="n"/>
      <c r="E9285" s="63" t="n"/>
    </row>
    <row r="9286" ht="18" customHeight="1">
      <c r="A9286" s="62" t="n"/>
      <c r="B9286" s="63" t="n"/>
      <c r="C9286" s="64" t="n"/>
      <c r="D9286" s="64" t="n"/>
      <c r="E9286" s="63" t="n"/>
    </row>
    <row r="9287" ht="18" customHeight="1">
      <c r="A9287" s="62" t="n"/>
      <c r="B9287" s="63" t="n"/>
      <c r="C9287" s="64" t="n"/>
      <c r="D9287" s="64" t="n"/>
      <c r="E9287" s="63" t="n"/>
    </row>
    <row r="9288" ht="18" customHeight="1">
      <c r="A9288" s="62" t="n"/>
      <c r="B9288" s="63" t="n"/>
      <c r="C9288" s="64" t="n"/>
      <c r="D9288" s="64" t="n"/>
      <c r="E9288" s="63" t="n"/>
    </row>
    <row r="9289" ht="18" customHeight="1">
      <c r="A9289" s="62" t="n"/>
      <c r="B9289" s="63" t="n"/>
      <c r="C9289" s="64" t="n"/>
      <c r="D9289" s="64" t="n"/>
      <c r="E9289" s="63" t="n"/>
    </row>
    <row r="9290" ht="18" customHeight="1">
      <c r="A9290" s="62" t="n"/>
      <c r="B9290" s="63" t="n"/>
      <c r="C9290" s="64" t="n"/>
      <c r="D9290" s="64" t="n"/>
      <c r="E9290" s="63" t="n"/>
    </row>
    <row r="9291" ht="18" customHeight="1">
      <c r="A9291" s="62" t="n"/>
      <c r="B9291" s="63" t="n"/>
      <c r="C9291" s="64" t="n"/>
      <c r="D9291" s="64" t="n"/>
      <c r="E9291" s="63" t="n"/>
    </row>
    <row r="9292" ht="18" customHeight="1">
      <c r="A9292" s="62" t="n"/>
      <c r="B9292" s="63" t="n"/>
      <c r="C9292" s="64" t="n"/>
      <c r="D9292" s="64" t="n"/>
      <c r="E9292" s="63" t="n"/>
    </row>
    <row r="9293" ht="18" customHeight="1">
      <c r="A9293" s="62" t="n"/>
      <c r="B9293" s="63" t="n"/>
      <c r="C9293" s="64" t="n"/>
      <c r="D9293" s="64" t="n"/>
      <c r="E9293" s="63" t="n"/>
    </row>
    <row r="9294" ht="18" customHeight="1">
      <c r="A9294" s="62" t="n"/>
      <c r="B9294" s="63" t="n"/>
      <c r="C9294" s="64" t="n"/>
      <c r="D9294" s="64" t="n"/>
      <c r="E9294" s="63" t="n"/>
    </row>
    <row r="9295" ht="18" customHeight="1">
      <c r="A9295" s="62" t="n"/>
      <c r="B9295" s="63" t="n"/>
      <c r="C9295" s="64" t="n"/>
      <c r="D9295" s="64" t="n"/>
      <c r="E9295" s="63" t="n"/>
    </row>
    <row r="9296" ht="18" customHeight="1">
      <c r="A9296" s="62" t="n"/>
      <c r="B9296" s="63" t="n"/>
      <c r="C9296" s="64" t="n"/>
      <c r="D9296" s="64" t="n"/>
      <c r="E9296" s="63" t="n"/>
    </row>
    <row r="9297" ht="18" customHeight="1">
      <c r="A9297" s="62" t="n"/>
      <c r="B9297" s="63" t="n"/>
      <c r="C9297" s="64" t="n"/>
      <c r="D9297" s="64" t="n"/>
      <c r="E9297" s="63" t="n"/>
    </row>
    <row r="9298" ht="18" customHeight="1">
      <c r="A9298" s="62" t="n"/>
      <c r="B9298" s="63" t="n"/>
      <c r="C9298" s="64" t="n"/>
      <c r="D9298" s="64" t="n"/>
      <c r="E9298" s="63" t="n"/>
    </row>
    <row r="9299" ht="18" customHeight="1">
      <c r="A9299" s="62" t="n"/>
      <c r="B9299" s="63" t="n"/>
      <c r="C9299" s="64" t="n"/>
      <c r="D9299" s="64" t="n"/>
      <c r="E9299" s="63" t="n"/>
    </row>
    <row r="9300" ht="18" customHeight="1">
      <c r="A9300" s="62" t="n"/>
      <c r="B9300" s="63" t="n"/>
      <c r="C9300" s="64" t="n"/>
      <c r="D9300" s="64" t="n"/>
      <c r="E9300" s="63" t="n"/>
    </row>
    <row r="9301" ht="18" customHeight="1">
      <c r="A9301" s="62" t="n"/>
      <c r="B9301" s="63" t="n"/>
      <c r="C9301" s="64" t="n"/>
      <c r="D9301" s="64" t="n"/>
      <c r="E9301" s="63" t="n"/>
    </row>
    <row r="9302" ht="18" customHeight="1">
      <c r="A9302" s="62" t="n"/>
      <c r="B9302" s="63" t="n"/>
      <c r="C9302" s="64" t="n"/>
      <c r="D9302" s="64" t="n"/>
      <c r="E9302" s="63" t="n"/>
    </row>
    <row r="9303" ht="18" customHeight="1">
      <c r="A9303" s="62" t="n"/>
      <c r="B9303" s="63" t="n"/>
      <c r="C9303" s="64" t="n"/>
      <c r="D9303" s="64" t="n"/>
      <c r="E9303" s="63" t="n"/>
    </row>
    <row r="9304" ht="18" customHeight="1">
      <c r="A9304" s="62" t="n"/>
      <c r="B9304" s="63" t="n"/>
      <c r="C9304" s="64" t="n"/>
      <c r="D9304" s="64" t="n"/>
      <c r="E9304" s="63" t="n"/>
    </row>
    <row r="9305" ht="18" customHeight="1">
      <c r="A9305" s="62" t="n"/>
      <c r="B9305" s="63" t="n"/>
      <c r="C9305" s="64" t="n"/>
      <c r="D9305" s="64" t="n"/>
      <c r="E9305" s="63" t="n"/>
    </row>
    <row r="9306" ht="18" customHeight="1">
      <c r="A9306" s="62" t="n"/>
      <c r="B9306" s="63" t="n"/>
      <c r="C9306" s="64" t="n"/>
      <c r="D9306" s="64" t="n"/>
      <c r="E9306" s="63" t="n"/>
    </row>
    <row r="9307" ht="18" customHeight="1">
      <c r="A9307" s="62" t="n"/>
      <c r="B9307" s="63" t="n"/>
      <c r="C9307" s="64" t="n"/>
      <c r="D9307" s="64" t="n"/>
      <c r="E9307" s="63" t="n"/>
    </row>
    <row r="9308" ht="18" customHeight="1">
      <c r="A9308" s="62" t="n"/>
      <c r="B9308" s="63" t="n"/>
      <c r="C9308" s="64" t="n"/>
      <c r="D9308" s="64" t="n"/>
      <c r="E9308" s="63" t="n"/>
    </row>
    <row r="9309" ht="18" customHeight="1">
      <c r="A9309" s="62" t="n"/>
      <c r="B9309" s="63" t="n"/>
      <c r="C9309" s="64" t="n"/>
      <c r="D9309" s="64" t="n"/>
      <c r="E9309" s="63" t="n"/>
    </row>
    <row r="9310" ht="18" customHeight="1">
      <c r="A9310" s="62" t="n"/>
      <c r="B9310" s="63" t="n"/>
      <c r="C9310" s="64" t="n"/>
      <c r="D9310" s="64" t="n"/>
      <c r="E9310" s="63" t="n"/>
    </row>
    <row r="9311" ht="18" customHeight="1">
      <c r="A9311" s="62" t="n"/>
      <c r="B9311" s="63" t="n"/>
      <c r="C9311" s="64" t="n"/>
      <c r="D9311" s="64" t="n"/>
      <c r="E9311" s="63" t="n"/>
    </row>
    <row r="9312" ht="18" customHeight="1">
      <c r="A9312" s="62" t="n"/>
      <c r="B9312" s="63" t="n"/>
      <c r="C9312" s="64" t="n"/>
      <c r="D9312" s="64" t="n"/>
      <c r="E9312" s="63" t="n"/>
    </row>
    <row r="9313" ht="18" customHeight="1">
      <c r="A9313" s="62" t="n"/>
      <c r="B9313" s="63" t="n"/>
      <c r="C9313" s="64" t="n"/>
      <c r="D9313" s="64" t="n"/>
      <c r="E9313" s="63" t="n"/>
    </row>
    <row r="9314" ht="18" customHeight="1">
      <c r="A9314" s="62" t="n"/>
      <c r="B9314" s="63" t="n"/>
      <c r="C9314" s="64" t="n"/>
      <c r="D9314" s="64" t="n"/>
      <c r="E9314" s="63" t="n"/>
    </row>
    <row r="9315" ht="18" customHeight="1">
      <c r="A9315" s="62" t="n"/>
      <c r="B9315" s="63" t="n"/>
      <c r="C9315" s="64" t="n"/>
      <c r="D9315" s="64" t="n"/>
      <c r="E9315" s="63" t="n"/>
    </row>
    <row r="9316" ht="18" customHeight="1">
      <c r="A9316" s="62" t="n"/>
      <c r="B9316" s="63" t="n"/>
      <c r="C9316" s="64" t="n"/>
      <c r="D9316" s="64" t="n"/>
      <c r="E9316" s="63" t="n"/>
    </row>
    <row r="9317" ht="18" customHeight="1">
      <c r="A9317" s="62" t="n"/>
      <c r="B9317" s="63" t="n"/>
      <c r="C9317" s="64" t="n"/>
      <c r="D9317" s="64" t="n"/>
      <c r="E9317" s="63" t="n"/>
    </row>
    <row r="9318" ht="18" customHeight="1">
      <c r="A9318" s="62" t="n"/>
      <c r="B9318" s="63" t="n"/>
      <c r="C9318" s="64" t="n"/>
      <c r="D9318" s="64" t="n"/>
      <c r="E9318" s="63" t="n"/>
    </row>
    <row r="9319" ht="18" customHeight="1">
      <c r="A9319" s="62" t="n"/>
      <c r="B9319" s="63" t="n"/>
      <c r="C9319" s="64" t="n"/>
      <c r="D9319" s="64" t="n"/>
      <c r="E9319" s="63" t="n"/>
    </row>
    <row r="9320" ht="18" customHeight="1">
      <c r="A9320" s="62" t="n"/>
      <c r="B9320" s="63" t="n"/>
      <c r="C9320" s="64" t="n"/>
      <c r="D9320" s="64" t="n"/>
      <c r="E9320" s="63" t="n"/>
    </row>
    <row r="9321" ht="18" customHeight="1">
      <c r="A9321" s="62" t="n"/>
      <c r="B9321" s="63" t="n"/>
      <c r="C9321" s="64" t="n"/>
      <c r="D9321" s="64" t="n"/>
      <c r="E9321" s="63" t="n"/>
    </row>
    <row r="9322" ht="18" customHeight="1">
      <c r="A9322" s="62" t="n"/>
      <c r="B9322" s="63" t="n"/>
      <c r="C9322" s="64" t="n"/>
      <c r="D9322" s="64" t="n"/>
      <c r="E9322" s="63" t="n"/>
    </row>
    <row r="9323" ht="18" customHeight="1">
      <c r="A9323" s="62" t="n"/>
      <c r="B9323" s="63" t="n"/>
      <c r="C9323" s="64" t="n"/>
      <c r="D9323" s="64" t="n"/>
      <c r="E9323" s="63" t="n"/>
    </row>
    <row r="9324" ht="18" customHeight="1">
      <c r="A9324" s="62" t="n"/>
      <c r="B9324" s="63" t="n"/>
      <c r="C9324" s="64" t="n"/>
      <c r="D9324" s="64" t="n"/>
      <c r="E9324" s="63" t="n"/>
    </row>
    <row r="9325" ht="18" customHeight="1">
      <c r="A9325" s="62" t="n"/>
      <c r="B9325" s="63" t="n"/>
      <c r="C9325" s="64" t="n"/>
      <c r="D9325" s="64" t="n"/>
      <c r="E9325" s="63" t="n"/>
    </row>
    <row r="9326" ht="18" customHeight="1">
      <c r="A9326" s="62" t="n"/>
      <c r="B9326" s="63" t="n"/>
      <c r="C9326" s="64" t="n"/>
      <c r="D9326" s="64" t="n"/>
      <c r="E9326" s="63" t="n"/>
    </row>
    <row r="9327" ht="18" customHeight="1">
      <c r="A9327" s="62" t="n"/>
      <c r="B9327" s="63" t="n"/>
      <c r="C9327" s="64" t="n"/>
      <c r="D9327" s="64" t="n"/>
      <c r="E9327" s="63" t="n"/>
    </row>
    <row r="9328" ht="18" customHeight="1">
      <c r="A9328" s="62" t="n"/>
      <c r="B9328" s="63" t="n"/>
      <c r="C9328" s="64" t="n"/>
      <c r="D9328" s="64" t="n"/>
      <c r="E9328" s="63" t="n"/>
    </row>
    <row r="9329" ht="18" customHeight="1">
      <c r="A9329" s="62" t="n"/>
      <c r="B9329" s="63" t="n"/>
      <c r="C9329" s="64" t="n"/>
      <c r="D9329" s="64" t="n"/>
      <c r="E9329" s="63" t="n"/>
    </row>
    <row r="9330" ht="18" customHeight="1">
      <c r="A9330" s="62" t="n"/>
      <c r="B9330" s="63" t="n"/>
      <c r="C9330" s="64" t="n"/>
      <c r="D9330" s="64" t="n"/>
      <c r="E9330" s="63" t="n"/>
    </row>
    <row r="9331" ht="18" customHeight="1">
      <c r="A9331" s="62" t="n"/>
      <c r="B9331" s="63" t="n"/>
      <c r="C9331" s="64" t="n"/>
      <c r="D9331" s="64" t="n"/>
      <c r="E9331" s="63" t="n"/>
    </row>
    <row r="9332" ht="18" customHeight="1">
      <c r="A9332" s="62" t="n"/>
      <c r="B9332" s="63" t="n"/>
      <c r="C9332" s="64" t="n"/>
      <c r="D9332" s="64" t="n"/>
      <c r="E9332" s="63" t="n"/>
    </row>
    <row r="9333" ht="18" customHeight="1">
      <c r="A9333" s="62" t="n"/>
      <c r="B9333" s="63" t="n"/>
      <c r="C9333" s="64" t="n"/>
      <c r="D9333" s="64" t="n"/>
      <c r="E9333" s="63" t="n"/>
    </row>
    <row r="9334" ht="18" customHeight="1">
      <c r="A9334" s="62" t="n"/>
      <c r="B9334" s="63" t="n"/>
      <c r="C9334" s="64" t="n"/>
      <c r="D9334" s="64" t="n"/>
      <c r="E9334" s="63" t="n"/>
    </row>
    <row r="9335" ht="18" customHeight="1">
      <c r="A9335" s="62" t="n"/>
      <c r="B9335" s="63" t="n"/>
      <c r="C9335" s="64" t="n"/>
      <c r="D9335" s="64" t="n"/>
      <c r="E9335" s="63" t="n"/>
    </row>
    <row r="9336" ht="18" customHeight="1">
      <c r="A9336" s="62" t="n"/>
      <c r="B9336" s="63" t="n"/>
      <c r="C9336" s="64" t="n"/>
      <c r="D9336" s="64" t="n"/>
      <c r="E9336" s="63" t="n"/>
    </row>
    <row r="9337" ht="18" customHeight="1">
      <c r="A9337" s="62" t="n"/>
      <c r="B9337" s="63" t="n"/>
      <c r="C9337" s="64" t="n"/>
      <c r="D9337" s="64" t="n"/>
      <c r="E9337" s="63" t="n"/>
    </row>
    <row r="9338" ht="18" customHeight="1">
      <c r="A9338" s="62" t="n"/>
      <c r="B9338" s="63" t="n"/>
      <c r="C9338" s="64" t="n"/>
      <c r="D9338" s="64" t="n"/>
      <c r="E9338" s="63" t="n"/>
    </row>
    <row r="9339" ht="18" customHeight="1">
      <c r="A9339" s="62" t="n"/>
      <c r="B9339" s="63" t="n"/>
      <c r="C9339" s="64" t="n"/>
      <c r="D9339" s="64" t="n"/>
      <c r="E9339" s="63" t="n"/>
    </row>
    <row r="9340" ht="18" customHeight="1">
      <c r="A9340" s="62" t="n"/>
      <c r="B9340" s="63" t="n"/>
      <c r="C9340" s="64" t="n"/>
      <c r="D9340" s="64" t="n"/>
      <c r="E9340" s="63" t="n"/>
    </row>
    <row r="9341" ht="18" customHeight="1">
      <c r="A9341" s="62" t="n"/>
      <c r="B9341" s="63" t="n"/>
      <c r="C9341" s="64" t="n"/>
      <c r="D9341" s="64" t="n"/>
      <c r="E9341" s="63" t="n"/>
    </row>
    <row r="9342" ht="18" customHeight="1">
      <c r="A9342" s="62" t="n"/>
      <c r="B9342" s="63" t="n"/>
      <c r="C9342" s="64" t="n"/>
      <c r="D9342" s="64" t="n"/>
      <c r="E9342" s="63" t="n"/>
    </row>
    <row r="9343" ht="18" customHeight="1">
      <c r="A9343" s="62" t="n"/>
      <c r="B9343" s="63" t="n"/>
      <c r="C9343" s="64" t="n"/>
      <c r="D9343" s="64" t="n"/>
      <c r="E9343" s="63" t="n"/>
    </row>
    <row r="9344" ht="18" customHeight="1">
      <c r="A9344" s="62" t="n"/>
      <c r="B9344" s="63" t="n"/>
      <c r="C9344" s="64" t="n"/>
      <c r="D9344" s="64" t="n"/>
      <c r="E9344" s="63" t="n"/>
    </row>
    <row r="9345" ht="18" customHeight="1">
      <c r="A9345" s="62" t="n"/>
      <c r="B9345" s="63" t="n"/>
      <c r="C9345" s="64" t="n"/>
      <c r="D9345" s="64" t="n"/>
      <c r="E9345" s="63" t="n"/>
    </row>
    <row r="9346" ht="18" customHeight="1">
      <c r="A9346" s="62" t="n"/>
      <c r="B9346" s="63" t="n"/>
      <c r="C9346" s="64" t="n"/>
      <c r="D9346" s="64" t="n"/>
      <c r="E9346" s="63" t="n"/>
    </row>
    <row r="9347" ht="18" customHeight="1">
      <c r="A9347" s="62" t="n"/>
      <c r="B9347" s="63" t="n"/>
      <c r="C9347" s="64" t="n"/>
      <c r="D9347" s="64" t="n"/>
      <c r="E9347" s="63" t="n"/>
    </row>
    <row r="9348" ht="18" customHeight="1">
      <c r="A9348" s="62" t="n"/>
      <c r="B9348" s="63" t="n"/>
      <c r="C9348" s="64" t="n"/>
      <c r="D9348" s="64" t="n"/>
      <c r="E9348" s="63" t="n"/>
    </row>
    <row r="9349" ht="18" customHeight="1">
      <c r="A9349" s="62" t="n"/>
      <c r="B9349" s="63" t="n"/>
      <c r="C9349" s="64" t="n"/>
      <c r="D9349" s="64" t="n"/>
      <c r="E9349" s="63" t="n"/>
    </row>
    <row r="9350" ht="18" customHeight="1">
      <c r="A9350" s="62" t="n"/>
      <c r="B9350" s="63" t="n"/>
      <c r="C9350" s="64" t="n"/>
      <c r="D9350" s="64" t="n"/>
      <c r="E9350" s="63" t="n"/>
    </row>
    <row r="9351" ht="18" customHeight="1">
      <c r="A9351" s="62" t="n"/>
      <c r="B9351" s="63" t="n"/>
      <c r="C9351" s="64" t="n"/>
      <c r="D9351" s="64" t="n"/>
      <c r="E9351" s="63" t="n"/>
    </row>
    <row r="9352" ht="18" customHeight="1">
      <c r="A9352" s="62" t="n"/>
      <c r="B9352" s="63" t="n"/>
      <c r="C9352" s="64" t="n"/>
      <c r="D9352" s="64" t="n"/>
      <c r="E9352" s="63" t="n"/>
    </row>
    <row r="9353" ht="18" customHeight="1">
      <c r="A9353" s="62" t="n"/>
      <c r="B9353" s="63" t="n"/>
      <c r="C9353" s="64" t="n"/>
      <c r="D9353" s="64" t="n"/>
      <c r="E9353" s="63" t="n"/>
    </row>
    <row r="9354" ht="18" customHeight="1">
      <c r="A9354" s="62" t="n"/>
      <c r="B9354" s="63" t="n"/>
      <c r="C9354" s="64" t="n"/>
      <c r="D9354" s="64" t="n"/>
      <c r="E9354" s="63" t="n"/>
    </row>
    <row r="9355" ht="18" customHeight="1">
      <c r="A9355" s="62" t="n"/>
      <c r="B9355" s="63" t="n"/>
      <c r="C9355" s="64" t="n"/>
      <c r="D9355" s="64" t="n"/>
      <c r="E9355" s="63" t="n"/>
    </row>
    <row r="9356" ht="18" customHeight="1">
      <c r="A9356" s="62" t="n"/>
      <c r="B9356" s="63" t="n"/>
      <c r="C9356" s="64" t="n"/>
      <c r="D9356" s="64" t="n"/>
      <c r="E9356" s="63" t="n"/>
    </row>
    <row r="9357" ht="18" customHeight="1">
      <c r="A9357" s="62" t="n"/>
      <c r="B9357" s="63" t="n"/>
      <c r="C9357" s="64" t="n"/>
      <c r="D9357" s="64" t="n"/>
      <c r="E9357" s="63" t="n"/>
    </row>
    <row r="9358" ht="18" customHeight="1">
      <c r="A9358" s="62" t="n"/>
      <c r="B9358" s="63" t="n"/>
      <c r="C9358" s="64" t="n"/>
      <c r="D9358" s="64" t="n"/>
      <c r="E9358" s="63" t="n"/>
    </row>
    <row r="9359" ht="18" customHeight="1">
      <c r="A9359" s="62" t="n"/>
      <c r="B9359" s="63" t="n"/>
      <c r="C9359" s="64" t="n"/>
      <c r="D9359" s="64" t="n"/>
      <c r="E9359" s="63" t="n"/>
    </row>
    <row r="9360" ht="18" customHeight="1">
      <c r="A9360" s="62" t="n"/>
      <c r="B9360" s="63" t="n"/>
      <c r="C9360" s="64" t="n"/>
      <c r="D9360" s="64" t="n"/>
      <c r="E9360" s="63" t="n"/>
    </row>
    <row r="9361" ht="18" customHeight="1">
      <c r="A9361" s="62" t="n"/>
      <c r="B9361" s="63" t="n"/>
      <c r="C9361" s="64" t="n"/>
      <c r="D9361" s="64" t="n"/>
      <c r="E9361" s="63" t="n"/>
    </row>
    <row r="9362" ht="18" customHeight="1">
      <c r="A9362" s="62" t="n"/>
      <c r="B9362" s="63" t="n"/>
      <c r="C9362" s="64" t="n"/>
      <c r="D9362" s="64" t="n"/>
      <c r="E9362" s="63" t="n"/>
    </row>
    <row r="9363" ht="18" customHeight="1">
      <c r="A9363" s="62" t="n"/>
      <c r="B9363" s="63" t="n"/>
      <c r="C9363" s="64" t="n"/>
      <c r="D9363" s="64" t="n"/>
      <c r="E9363" s="63" t="n"/>
    </row>
    <row r="9364" ht="18" customHeight="1">
      <c r="A9364" s="62" t="n"/>
      <c r="B9364" s="63" t="n"/>
      <c r="C9364" s="64" t="n"/>
      <c r="D9364" s="64" t="n"/>
      <c r="E9364" s="63" t="n"/>
    </row>
    <row r="9365" ht="18" customHeight="1">
      <c r="A9365" s="62" t="n"/>
      <c r="B9365" s="63" t="n"/>
      <c r="C9365" s="64" t="n"/>
      <c r="D9365" s="64" t="n"/>
      <c r="E9365" s="63" t="n"/>
    </row>
    <row r="9366" ht="18" customHeight="1">
      <c r="A9366" s="62" t="n"/>
      <c r="B9366" s="63" t="n"/>
      <c r="C9366" s="64" t="n"/>
      <c r="D9366" s="64" t="n"/>
      <c r="E9366" s="63" t="n"/>
    </row>
    <row r="9367" ht="18" customHeight="1">
      <c r="A9367" s="62" t="n"/>
      <c r="B9367" s="63" t="n"/>
      <c r="C9367" s="64" t="n"/>
      <c r="D9367" s="64" t="n"/>
      <c r="E9367" s="63" t="n"/>
    </row>
    <row r="9368" ht="18" customHeight="1">
      <c r="A9368" s="62" t="n"/>
      <c r="B9368" s="63" t="n"/>
      <c r="C9368" s="64" t="n"/>
      <c r="D9368" s="64" t="n"/>
      <c r="E9368" s="63" t="n"/>
    </row>
    <row r="9369" ht="18" customHeight="1">
      <c r="A9369" s="62" t="n"/>
      <c r="B9369" s="63" t="n"/>
      <c r="C9369" s="64" t="n"/>
      <c r="D9369" s="64" t="n"/>
      <c r="E9369" s="63" t="n"/>
    </row>
    <row r="9370" ht="18" customHeight="1">
      <c r="A9370" s="62" t="n"/>
      <c r="B9370" s="63" t="n"/>
      <c r="C9370" s="64" t="n"/>
      <c r="D9370" s="64" t="n"/>
      <c r="E9370" s="63" t="n"/>
    </row>
    <row r="9371" ht="18" customHeight="1">
      <c r="A9371" s="62" t="n"/>
      <c r="B9371" s="63" t="n"/>
      <c r="C9371" s="64" t="n"/>
      <c r="D9371" s="64" t="n"/>
      <c r="E9371" s="63" t="n"/>
    </row>
    <row r="9372" ht="18" customHeight="1">
      <c r="A9372" s="62" t="n"/>
      <c r="B9372" s="63" t="n"/>
      <c r="C9372" s="64" t="n"/>
      <c r="D9372" s="64" t="n"/>
      <c r="E9372" s="63" t="n"/>
    </row>
    <row r="9373" ht="18" customHeight="1">
      <c r="A9373" s="62" t="n"/>
      <c r="B9373" s="63" t="n"/>
      <c r="C9373" s="64" t="n"/>
      <c r="D9373" s="64" t="n"/>
      <c r="E9373" s="63" t="n"/>
    </row>
    <row r="9374" ht="18" customHeight="1">
      <c r="A9374" s="62" t="n"/>
      <c r="B9374" s="63" t="n"/>
      <c r="C9374" s="64" t="n"/>
      <c r="D9374" s="64" t="n"/>
      <c r="E9374" s="63" t="n"/>
    </row>
    <row r="9375" ht="18" customHeight="1">
      <c r="A9375" s="62" t="n"/>
      <c r="B9375" s="63" t="n"/>
      <c r="C9375" s="64" t="n"/>
      <c r="D9375" s="64" t="n"/>
      <c r="E9375" s="63" t="n"/>
    </row>
    <row r="9376" ht="18" customHeight="1">
      <c r="A9376" s="62" t="n"/>
      <c r="B9376" s="63" t="n"/>
      <c r="C9376" s="64" t="n"/>
      <c r="D9376" s="64" t="n"/>
      <c r="E9376" s="63" t="n"/>
    </row>
    <row r="9377" ht="18" customHeight="1">
      <c r="A9377" s="62" t="n"/>
      <c r="B9377" s="63" t="n"/>
      <c r="C9377" s="64" t="n"/>
      <c r="D9377" s="64" t="n"/>
      <c r="E9377" s="63" t="n"/>
    </row>
    <row r="9378" ht="18" customHeight="1">
      <c r="A9378" s="62" t="n"/>
      <c r="B9378" s="63" t="n"/>
      <c r="C9378" s="64" t="n"/>
      <c r="D9378" s="64" t="n"/>
      <c r="E9378" s="63" t="n"/>
    </row>
    <row r="9379" ht="18" customHeight="1">
      <c r="A9379" s="62" t="n"/>
      <c r="B9379" s="63" t="n"/>
      <c r="C9379" s="64" t="n"/>
      <c r="D9379" s="64" t="n"/>
      <c r="E9379" s="63" t="n"/>
    </row>
    <row r="9380" ht="18" customHeight="1">
      <c r="A9380" s="62" t="n"/>
      <c r="B9380" s="63" t="n"/>
      <c r="C9380" s="64" t="n"/>
      <c r="D9380" s="64" t="n"/>
      <c r="E9380" s="63" t="n"/>
    </row>
    <row r="9381" ht="18" customHeight="1">
      <c r="A9381" s="62" t="n"/>
      <c r="B9381" s="63" t="n"/>
      <c r="C9381" s="64" t="n"/>
      <c r="D9381" s="64" t="n"/>
      <c r="E9381" s="63" t="n"/>
    </row>
    <row r="9382" ht="18" customHeight="1">
      <c r="A9382" s="62" t="n"/>
      <c r="B9382" s="63" t="n"/>
      <c r="C9382" s="64" t="n"/>
      <c r="D9382" s="64" t="n"/>
      <c r="E9382" s="63" t="n"/>
    </row>
    <row r="9383" ht="18" customHeight="1">
      <c r="A9383" s="62" t="n"/>
      <c r="B9383" s="63" t="n"/>
      <c r="C9383" s="64" t="n"/>
      <c r="D9383" s="64" t="n"/>
      <c r="E9383" s="63" t="n"/>
    </row>
    <row r="9384" ht="18" customHeight="1">
      <c r="A9384" s="62" t="n"/>
      <c r="B9384" s="63" t="n"/>
      <c r="C9384" s="64" t="n"/>
      <c r="D9384" s="64" t="n"/>
      <c r="E9384" s="63" t="n"/>
    </row>
    <row r="9385" ht="18" customHeight="1">
      <c r="A9385" s="62" t="n"/>
      <c r="B9385" s="63" t="n"/>
      <c r="C9385" s="64" t="n"/>
      <c r="D9385" s="64" t="n"/>
      <c r="E9385" s="63" t="n"/>
    </row>
    <row r="9386" ht="18" customHeight="1">
      <c r="A9386" s="62" t="n"/>
      <c r="B9386" s="63" t="n"/>
      <c r="C9386" s="64" t="n"/>
      <c r="D9386" s="64" t="n"/>
      <c r="E9386" s="63" t="n"/>
    </row>
    <row r="9387" ht="18" customHeight="1">
      <c r="A9387" s="62" t="n"/>
      <c r="B9387" s="63" t="n"/>
      <c r="C9387" s="64" t="n"/>
      <c r="D9387" s="64" t="n"/>
      <c r="E9387" s="63" t="n"/>
    </row>
    <row r="9388" ht="18" customHeight="1">
      <c r="A9388" s="62" t="n"/>
      <c r="B9388" s="63" t="n"/>
      <c r="C9388" s="64" t="n"/>
      <c r="D9388" s="64" t="n"/>
      <c r="E9388" s="63" t="n"/>
    </row>
    <row r="9389" ht="18" customHeight="1">
      <c r="A9389" s="62" t="n"/>
      <c r="B9389" s="63" t="n"/>
      <c r="C9389" s="64" t="n"/>
      <c r="D9389" s="64" t="n"/>
      <c r="E9389" s="63" t="n"/>
    </row>
    <row r="9390" ht="18" customHeight="1">
      <c r="A9390" s="62" t="n"/>
      <c r="B9390" s="63" t="n"/>
      <c r="C9390" s="64" t="n"/>
      <c r="D9390" s="64" t="n"/>
      <c r="E9390" s="63" t="n"/>
    </row>
    <row r="9391" ht="18" customHeight="1">
      <c r="A9391" s="62" t="n"/>
      <c r="B9391" s="63" t="n"/>
      <c r="C9391" s="64" t="n"/>
      <c r="D9391" s="64" t="n"/>
      <c r="E9391" s="63" t="n"/>
    </row>
    <row r="9392" ht="18" customHeight="1">
      <c r="A9392" s="62" t="n"/>
      <c r="B9392" s="63" t="n"/>
      <c r="C9392" s="64" t="n"/>
      <c r="D9392" s="64" t="n"/>
      <c r="E9392" s="63" t="n"/>
    </row>
    <row r="9393" ht="18" customHeight="1">
      <c r="A9393" s="62" t="n"/>
      <c r="B9393" s="63" t="n"/>
      <c r="C9393" s="64" t="n"/>
      <c r="D9393" s="64" t="n"/>
      <c r="E9393" s="63" t="n"/>
    </row>
    <row r="9394" ht="18" customHeight="1">
      <c r="A9394" s="62" t="n"/>
      <c r="B9394" s="63" t="n"/>
      <c r="C9394" s="64" t="n"/>
      <c r="D9394" s="64" t="n"/>
      <c r="E9394" s="63" t="n"/>
    </row>
    <row r="9395" ht="18" customHeight="1">
      <c r="A9395" s="62" t="n"/>
      <c r="B9395" s="63" t="n"/>
      <c r="C9395" s="64" t="n"/>
      <c r="D9395" s="64" t="n"/>
      <c r="E9395" s="63" t="n"/>
    </row>
    <row r="9396" ht="18" customHeight="1">
      <c r="A9396" s="62" t="n"/>
      <c r="B9396" s="63" t="n"/>
      <c r="C9396" s="64" t="n"/>
      <c r="D9396" s="64" t="n"/>
      <c r="E9396" s="63" t="n"/>
    </row>
    <row r="9397" ht="18" customHeight="1">
      <c r="A9397" s="62" t="n"/>
      <c r="B9397" s="63" t="n"/>
      <c r="C9397" s="64" t="n"/>
      <c r="D9397" s="64" t="n"/>
      <c r="E9397" s="63" t="n"/>
    </row>
    <row r="9398" ht="18" customHeight="1">
      <c r="A9398" s="62" t="n"/>
      <c r="B9398" s="63" t="n"/>
      <c r="C9398" s="64" t="n"/>
      <c r="D9398" s="64" t="n"/>
      <c r="E9398" s="63" t="n"/>
    </row>
    <row r="9399" ht="18" customHeight="1">
      <c r="A9399" s="62" t="n"/>
      <c r="B9399" s="63" t="n"/>
      <c r="C9399" s="64" t="n"/>
      <c r="D9399" s="64" t="n"/>
      <c r="E9399" s="63" t="n"/>
    </row>
    <row r="9400" ht="18" customHeight="1">
      <c r="A9400" s="62" t="n"/>
      <c r="B9400" s="63" t="n"/>
      <c r="C9400" s="64" t="n"/>
      <c r="D9400" s="64" t="n"/>
      <c r="E9400" s="63" t="n"/>
    </row>
    <row r="9401" ht="18" customHeight="1">
      <c r="A9401" s="62" t="n"/>
      <c r="B9401" s="63" t="n"/>
      <c r="C9401" s="64" t="n"/>
      <c r="D9401" s="64" t="n"/>
      <c r="E9401" s="63" t="n"/>
    </row>
    <row r="9402" ht="18" customHeight="1">
      <c r="A9402" s="62" t="n"/>
      <c r="B9402" s="63" t="n"/>
      <c r="C9402" s="64" t="n"/>
      <c r="D9402" s="64" t="n"/>
      <c r="E9402" s="63" t="n"/>
    </row>
    <row r="9403" ht="18" customHeight="1">
      <c r="A9403" s="62" t="n"/>
      <c r="B9403" s="63" t="n"/>
      <c r="C9403" s="64" t="n"/>
      <c r="D9403" s="64" t="n"/>
      <c r="E9403" s="63" t="n"/>
    </row>
    <row r="9404" ht="18" customHeight="1">
      <c r="A9404" s="62" t="n"/>
      <c r="B9404" s="63" t="n"/>
      <c r="C9404" s="64" t="n"/>
      <c r="D9404" s="64" t="n"/>
      <c r="E9404" s="63" t="n"/>
    </row>
    <row r="9405" ht="18" customHeight="1">
      <c r="A9405" s="62" t="n"/>
      <c r="B9405" s="63" t="n"/>
      <c r="C9405" s="64" t="n"/>
      <c r="D9405" s="64" t="n"/>
      <c r="E9405" s="63" t="n"/>
    </row>
    <row r="9406" ht="18" customHeight="1">
      <c r="A9406" s="62" t="n"/>
      <c r="B9406" s="63" t="n"/>
      <c r="C9406" s="64" t="n"/>
      <c r="D9406" s="64" t="n"/>
      <c r="E9406" s="63" t="n"/>
    </row>
    <row r="9407" ht="18" customHeight="1">
      <c r="A9407" s="62" t="n"/>
      <c r="B9407" s="63" t="n"/>
      <c r="C9407" s="64" t="n"/>
      <c r="D9407" s="64" t="n"/>
      <c r="E9407" s="63" t="n"/>
    </row>
    <row r="9408" ht="18" customHeight="1">
      <c r="A9408" s="62" t="n"/>
      <c r="B9408" s="63" t="n"/>
      <c r="C9408" s="64" t="n"/>
      <c r="D9408" s="64" t="n"/>
      <c r="E9408" s="63" t="n"/>
    </row>
    <row r="9409" ht="18" customHeight="1">
      <c r="A9409" s="62" t="n"/>
      <c r="B9409" s="63" t="n"/>
      <c r="C9409" s="64" t="n"/>
      <c r="D9409" s="64" t="n"/>
      <c r="E9409" s="63" t="n"/>
    </row>
    <row r="9410" ht="18" customHeight="1">
      <c r="A9410" s="62" t="n"/>
      <c r="B9410" s="63" t="n"/>
      <c r="C9410" s="64" t="n"/>
      <c r="D9410" s="64" t="n"/>
      <c r="E9410" s="63" t="n"/>
    </row>
    <row r="9411" ht="18" customHeight="1">
      <c r="A9411" s="62" t="n"/>
      <c r="B9411" s="63" t="n"/>
      <c r="C9411" s="64" t="n"/>
      <c r="D9411" s="64" t="n"/>
      <c r="E9411" s="63" t="n"/>
    </row>
    <row r="9412" ht="18" customHeight="1">
      <c r="A9412" s="62" t="n"/>
      <c r="B9412" s="63" t="n"/>
      <c r="C9412" s="64" t="n"/>
      <c r="D9412" s="64" t="n"/>
      <c r="E9412" s="63" t="n"/>
    </row>
    <row r="9413" ht="18" customHeight="1">
      <c r="A9413" s="62" t="n"/>
      <c r="B9413" s="63" t="n"/>
      <c r="C9413" s="64" t="n"/>
      <c r="D9413" s="64" t="n"/>
      <c r="E9413" s="63" t="n"/>
    </row>
    <row r="9414" ht="18" customHeight="1">
      <c r="A9414" s="62" t="n"/>
      <c r="B9414" s="63" t="n"/>
      <c r="C9414" s="64" t="n"/>
      <c r="D9414" s="64" t="n"/>
      <c r="E9414" s="63" t="n"/>
    </row>
    <row r="9415" ht="18" customHeight="1">
      <c r="A9415" s="62" t="n"/>
      <c r="B9415" s="63" t="n"/>
      <c r="C9415" s="64" t="n"/>
      <c r="D9415" s="64" t="n"/>
      <c r="E9415" s="63" t="n"/>
    </row>
    <row r="9416" ht="18" customHeight="1">
      <c r="A9416" s="62" t="n"/>
      <c r="B9416" s="63" t="n"/>
      <c r="C9416" s="64" t="n"/>
      <c r="D9416" s="64" t="n"/>
      <c r="E9416" s="63" t="n"/>
    </row>
    <row r="9417" ht="18" customHeight="1">
      <c r="A9417" s="62" t="n"/>
      <c r="B9417" s="63" t="n"/>
      <c r="C9417" s="64" t="n"/>
      <c r="D9417" s="64" t="n"/>
      <c r="E9417" s="63" t="n"/>
    </row>
    <row r="9418" ht="18" customHeight="1">
      <c r="A9418" s="62" t="n"/>
      <c r="B9418" s="63" t="n"/>
      <c r="C9418" s="64" t="n"/>
      <c r="D9418" s="64" t="n"/>
      <c r="E9418" s="63" t="n"/>
    </row>
    <row r="9419" ht="18" customHeight="1">
      <c r="A9419" s="62" t="n"/>
      <c r="B9419" s="63" t="n"/>
      <c r="C9419" s="64" t="n"/>
      <c r="D9419" s="64" t="n"/>
      <c r="E9419" s="63" t="n"/>
    </row>
    <row r="9420" ht="18" customHeight="1">
      <c r="A9420" s="62" t="n"/>
      <c r="B9420" s="63" t="n"/>
      <c r="C9420" s="64" t="n"/>
      <c r="D9420" s="64" t="n"/>
      <c r="E9420" s="63" t="n"/>
    </row>
    <row r="9421" ht="18" customHeight="1">
      <c r="A9421" s="62" t="n"/>
      <c r="B9421" s="63" t="n"/>
      <c r="C9421" s="64" t="n"/>
      <c r="D9421" s="64" t="n"/>
      <c r="E9421" s="63" t="n"/>
    </row>
    <row r="9422" ht="18" customHeight="1">
      <c r="A9422" s="62" t="n"/>
      <c r="B9422" s="63" t="n"/>
      <c r="C9422" s="64" t="n"/>
      <c r="D9422" s="64" t="n"/>
      <c r="E9422" s="63" t="n"/>
    </row>
    <row r="9423" ht="18" customHeight="1">
      <c r="A9423" s="62" t="n"/>
      <c r="B9423" s="63" t="n"/>
      <c r="C9423" s="64" t="n"/>
      <c r="D9423" s="64" t="n"/>
      <c r="E9423" s="63" t="n"/>
    </row>
    <row r="9424" ht="18" customHeight="1">
      <c r="A9424" s="62" t="n"/>
      <c r="B9424" s="63" t="n"/>
      <c r="C9424" s="64" t="n"/>
      <c r="D9424" s="64" t="n"/>
      <c r="E9424" s="63" t="n"/>
    </row>
    <row r="9425" ht="18" customHeight="1">
      <c r="A9425" s="62" t="n"/>
      <c r="B9425" s="63" t="n"/>
      <c r="C9425" s="64" t="n"/>
      <c r="D9425" s="64" t="n"/>
      <c r="E9425" s="63" t="n"/>
    </row>
    <row r="9426" ht="18" customHeight="1">
      <c r="A9426" s="62" t="n"/>
      <c r="B9426" s="63" t="n"/>
      <c r="C9426" s="64" t="n"/>
      <c r="D9426" s="64" t="n"/>
      <c r="E9426" s="63" t="n"/>
    </row>
    <row r="9427" ht="18" customHeight="1">
      <c r="A9427" s="62" t="n"/>
      <c r="B9427" s="63" t="n"/>
      <c r="C9427" s="64" t="n"/>
      <c r="D9427" s="64" t="n"/>
      <c r="E9427" s="63" t="n"/>
    </row>
    <row r="9428" ht="18" customHeight="1">
      <c r="A9428" s="62" t="n"/>
      <c r="B9428" s="63" t="n"/>
      <c r="C9428" s="64" t="n"/>
      <c r="D9428" s="64" t="n"/>
      <c r="E9428" s="63" t="n"/>
    </row>
    <row r="9429" ht="18" customHeight="1">
      <c r="A9429" s="62" t="n"/>
      <c r="B9429" s="63" t="n"/>
      <c r="C9429" s="64" t="n"/>
      <c r="D9429" s="64" t="n"/>
      <c r="E9429" s="63" t="n"/>
    </row>
    <row r="9430" ht="18" customHeight="1">
      <c r="A9430" s="62" t="n"/>
      <c r="B9430" s="63" t="n"/>
      <c r="C9430" s="64" t="n"/>
      <c r="D9430" s="64" t="n"/>
      <c r="E9430" s="63" t="n"/>
    </row>
    <row r="9431" ht="18" customHeight="1">
      <c r="A9431" s="62" t="n"/>
      <c r="B9431" s="63" t="n"/>
      <c r="C9431" s="64" t="n"/>
      <c r="D9431" s="64" t="n"/>
      <c r="E9431" s="63" t="n"/>
    </row>
    <row r="9432" ht="18" customHeight="1">
      <c r="A9432" s="62" t="n"/>
      <c r="B9432" s="63" t="n"/>
      <c r="C9432" s="64" t="n"/>
      <c r="D9432" s="64" t="n"/>
      <c r="E9432" s="63" t="n"/>
    </row>
    <row r="9433" ht="18" customHeight="1">
      <c r="A9433" s="62" t="n"/>
      <c r="B9433" s="63" t="n"/>
      <c r="C9433" s="64" t="n"/>
      <c r="D9433" s="64" t="n"/>
      <c r="E9433" s="63" t="n"/>
    </row>
    <row r="9434" ht="18" customHeight="1">
      <c r="A9434" s="62" t="n"/>
      <c r="B9434" s="63" t="n"/>
      <c r="C9434" s="64" t="n"/>
      <c r="D9434" s="64" t="n"/>
      <c r="E9434" s="63" t="n"/>
    </row>
    <row r="9435" ht="18" customHeight="1">
      <c r="A9435" s="62" t="n"/>
      <c r="B9435" s="63" t="n"/>
      <c r="C9435" s="64" t="n"/>
      <c r="D9435" s="64" t="n"/>
      <c r="E9435" s="63" t="n"/>
    </row>
    <row r="9436" ht="18" customHeight="1">
      <c r="A9436" s="62" t="n"/>
      <c r="B9436" s="63" t="n"/>
      <c r="C9436" s="64" t="n"/>
      <c r="D9436" s="64" t="n"/>
      <c r="E9436" s="63" t="n"/>
    </row>
    <row r="9437" ht="18" customHeight="1">
      <c r="A9437" s="62" t="n"/>
      <c r="B9437" s="63" t="n"/>
      <c r="C9437" s="64" t="n"/>
      <c r="D9437" s="64" t="n"/>
      <c r="E9437" s="63" t="n"/>
    </row>
    <row r="9438" ht="18" customHeight="1">
      <c r="A9438" s="62" t="n"/>
      <c r="B9438" s="63" t="n"/>
      <c r="C9438" s="64" t="n"/>
      <c r="D9438" s="64" t="n"/>
      <c r="E9438" s="63" t="n"/>
    </row>
    <row r="9439" ht="18" customHeight="1">
      <c r="A9439" s="62" t="n"/>
      <c r="B9439" s="63" t="n"/>
      <c r="C9439" s="64" t="n"/>
      <c r="D9439" s="64" t="n"/>
      <c r="E9439" s="63" t="n"/>
    </row>
    <row r="9440" ht="18" customHeight="1">
      <c r="A9440" s="62" t="n"/>
      <c r="B9440" s="63" t="n"/>
      <c r="C9440" s="64" t="n"/>
      <c r="D9440" s="64" t="n"/>
      <c r="E9440" s="63" t="n"/>
    </row>
    <row r="9441" ht="18" customHeight="1">
      <c r="A9441" s="62" t="n"/>
      <c r="B9441" s="63" t="n"/>
      <c r="C9441" s="64" t="n"/>
      <c r="D9441" s="64" t="n"/>
      <c r="E9441" s="63" t="n"/>
    </row>
    <row r="9442" ht="18" customHeight="1">
      <c r="A9442" s="62" t="n"/>
      <c r="B9442" s="63" t="n"/>
      <c r="C9442" s="64" t="n"/>
      <c r="D9442" s="64" t="n"/>
      <c r="E9442" s="63" t="n"/>
    </row>
    <row r="9443" ht="18" customHeight="1">
      <c r="A9443" s="62" t="n"/>
      <c r="B9443" s="63" t="n"/>
      <c r="C9443" s="64" t="n"/>
      <c r="D9443" s="64" t="n"/>
      <c r="E9443" s="63" t="n"/>
    </row>
    <row r="9444" ht="18" customHeight="1">
      <c r="A9444" s="62" t="n"/>
      <c r="B9444" s="63" t="n"/>
      <c r="C9444" s="64" t="n"/>
      <c r="D9444" s="64" t="n"/>
      <c r="E9444" s="63" t="n"/>
    </row>
    <row r="9445" ht="18" customHeight="1">
      <c r="A9445" s="62" t="n"/>
      <c r="B9445" s="63" t="n"/>
      <c r="C9445" s="64" t="n"/>
      <c r="D9445" s="64" t="n"/>
      <c r="E9445" s="63" t="n"/>
    </row>
    <row r="9446" ht="18" customHeight="1">
      <c r="A9446" s="62" t="n"/>
      <c r="B9446" s="63" t="n"/>
      <c r="C9446" s="64" t="n"/>
      <c r="D9446" s="64" t="n"/>
      <c r="E9446" s="63" t="n"/>
    </row>
    <row r="9447" ht="18" customHeight="1">
      <c r="A9447" s="62" t="n"/>
      <c r="B9447" s="63" t="n"/>
      <c r="C9447" s="64" t="n"/>
      <c r="D9447" s="64" t="n"/>
      <c r="E9447" s="63" t="n"/>
    </row>
    <row r="9448" ht="18" customHeight="1">
      <c r="A9448" s="62" t="n"/>
      <c r="B9448" s="63" t="n"/>
      <c r="C9448" s="64" t="n"/>
      <c r="D9448" s="64" t="n"/>
      <c r="E9448" s="63" t="n"/>
    </row>
    <row r="9449" ht="18" customHeight="1">
      <c r="A9449" s="62" t="n"/>
      <c r="B9449" s="63" t="n"/>
      <c r="C9449" s="64" t="n"/>
      <c r="D9449" s="64" t="n"/>
      <c r="E9449" s="63" t="n"/>
    </row>
    <row r="9450" ht="18" customHeight="1">
      <c r="A9450" s="62" t="n"/>
      <c r="B9450" s="63" t="n"/>
      <c r="C9450" s="64" t="n"/>
      <c r="D9450" s="64" t="n"/>
      <c r="E9450" s="63" t="n"/>
    </row>
    <row r="9451" ht="18" customHeight="1">
      <c r="A9451" s="62" t="n"/>
      <c r="B9451" s="63" t="n"/>
      <c r="C9451" s="64" t="n"/>
      <c r="D9451" s="64" t="n"/>
      <c r="E9451" s="63" t="n"/>
    </row>
    <row r="9452" ht="18" customHeight="1">
      <c r="A9452" s="62" t="n"/>
      <c r="B9452" s="63" t="n"/>
      <c r="C9452" s="64" t="n"/>
      <c r="D9452" s="64" t="n"/>
      <c r="E9452" s="63" t="n"/>
    </row>
    <row r="9453" ht="18" customHeight="1">
      <c r="A9453" s="62" t="n"/>
      <c r="B9453" s="63" t="n"/>
      <c r="C9453" s="64" t="n"/>
      <c r="D9453" s="64" t="n"/>
      <c r="E9453" s="63" t="n"/>
    </row>
    <row r="9454" ht="18" customHeight="1">
      <c r="A9454" s="62" t="n"/>
      <c r="B9454" s="63" t="n"/>
      <c r="C9454" s="64" t="n"/>
      <c r="D9454" s="64" t="n"/>
      <c r="E9454" s="63" t="n"/>
    </row>
    <row r="9455" ht="18" customHeight="1">
      <c r="A9455" s="62" t="n"/>
      <c r="B9455" s="63" t="n"/>
      <c r="C9455" s="64" t="n"/>
      <c r="D9455" s="64" t="n"/>
      <c r="E9455" s="63" t="n"/>
    </row>
    <row r="9456" ht="18" customHeight="1">
      <c r="A9456" s="62" t="n"/>
      <c r="B9456" s="63" t="n"/>
      <c r="C9456" s="64" t="n"/>
      <c r="D9456" s="64" t="n"/>
      <c r="E9456" s="63" t="n"/>
    </row>
    <row r="9457" ht="18" customHeight="1">
      <c r="A9457" s="62" t="n"/>
      <c r="B9457" s="63" t="n"/>
      <c r="C9457" s="64" t="n"/>
      <c r="D9457" s="64" t="n"/>
      <c r="E9457" s="63" t="n"/>
    </row>
    <row r="9458" ht="18" customHeight="1">
      <c r="A9458" s="62" t="n"/>
      <c r="B9458" s="63" t="n"/>
      <c r="C9458" s="64" t="n"/>
      <c r="D9458" s="64" t="n"/>
      <c r="E9458" s="63" t="n"/>
    </row>
    <row r="9459" ht="18" customHeight="1">
      <c r="A9459" s="62" t="n"/>
      <c r="B9459" s="63" t="n"/>
      <c r="C9459" s="64" t="n"/>
      <c r="D9459" s="64" t="n"/>
      <c r="E9459" s="63" t="n"/>
    </row>
    <row r="9460" ht="18" customHeight="1">
      <c r="A9460" s="62" t="n"/>
      <c r="B9460" s="63" t="n"/>
      <c r="C9460" s="64" t="n"/>
      <c r="D9460" s="64" t="n"/>
      <c r="E9460" s="63" t="n"/>
    </row>
    <row r="9461" ht="18" customHeight="1">
      <c r="A9461" s="62" t="n"/>
      <c r="B9461" s="63" t="n"/>
      <c r="C9461" s="64" t="n"/>
      <c r="D9461" s="64" t="n"/>
      <c r="E9461" s="63" t="n"/>
    </row>
    <row r="9462" ht="18" customHeight="1">
      <c r="A9462" s="62" t="n"/>
      <c r="B9462" s="63" t="n"/>
      <c r="C9462" s="64" t="n"/>
      <c r="D9462" s="64" t="n"/>
      <c r="E9462" s="63" t="n"/>
    </row>
    <row r="9463" ht="18" customHeight="1">
      <c r="A9463" s="62" t="n"/>
      <c r="B9463" s="63" t="n"/>
      <c r="C9463" s="64" t="n"/>
      <c r="D9463" s="64" t="n"/>
      <c r="E9463" s="63" t="n"/>
    </row>
    <row r="9464" ht="18" customHeight="1">
      <c r="A9464" s="62" t="n"/>
      <c r="B9464" s="63" t="n"/>
      <c r="C9464" s="64" t="n"/>
      <c r="D9464" s="64" t="n"/>
      <c r="E9464" s="63" t="n"/>
    </row>
    <row r="9465" ht="18" customHeight="1">
      <c r="A9465" s="62" t="n"/>
      <c r="B9465" s="63" t="n"/>
      <c r="C9465" s="64" t="n"/>
      <c r="D9465" s="64" t="n"/>
      <c r="E9465" s="63" t="n"/>
    </row>
    <row r="9466" ht="18" customHeight="1">
      <c r="A9466" s="62" t="n"/>
      <c r="B9466" s="63" t="n"/>
      <c r="C9466" s="64" t="n"/>
      <c r="D9466" s="64" t="n"/>
      <c r="E9466" s="63" t="n"/>
    </row>
    <row r="9467" ht="18" customHeight="1">
      <c r="A9467" s="62" t="n"/>
      <c r="B9467" s="63" t="n"/>
      <c r="C9467" s="64" t="n"/>
      <c r="D9467" s="64" t="n"/>
      <c r="E9467" s="63" t="n"/>
    </row>
    <row r="9468" ht="18" customHeight="1">
      <c r="A9468" s="62" t="n"/>
      <c r="B9468" s="63" t="n"/>
      <c r="C9468" s="64" t="n"/>
      <c r="D9468" s="64" t="n"/>
      <c r="E9468" s="63" t="n"/>
    </row>
    <row r="9469" ht="18" customHeight="1">
      <c r="A9469" s="62" t="n"/>
      <c r="B9469" s="63" t="n"/>
      <c r="C9469" s="64" t="n"/>
      <c r="D9469" s="64" t="n"/>
      <c r="E9469" s="63" t="n"/>
    </row>
    <row r="9470" ht="18" customHeight="1">
      <c r="A9470" s="62" t="n"/>
      <c r="B9470" s="63" t="n"/>
      <c r="C9470" s="64" t="n"/>
      <c r="D9470" s="64" t="n"/>
      <c r="E9470" s="63" t="n"/>
    </row>
    <row r="9471" ht="18" customHeight="1">
      <c r="A9471" s="62" t="n"/>
      <c r="B9471" s="63" t="n"/>
      <c r="C9471" s="64" t="n"/>
      <c r="D9471" s="64" t="n"/>
      <c r="E9471" s="63" t="n"/>
    </row>
    <row r="9472" ht="18" customHeight="1">
      <c r="A9472" s="62" t="n"/>
      <c r="B9472" s="63" t="n"/>
      <c r="C9472" s="64" t="n"/>
      <c r="D9472" s="64" t="n"/>
      <c r="E9472" s="63" t="n"/>
    </row>
    <row r="9473" ht="18" customHeight="1">
      <c r="A9473" s="62" t="n"/>
      <c r="B9473" s="63" t="n"/>
      <c r="C9473" s="64" t="n"/>
      <c r="D9473" s="64" t="n"/>
      <c r="E9473" s="63" t="n"/>
    </row>
    <row r="9474" ht="18" customHeight="1">
      <c r="A9474" s="62" t="n"/>
      <c r="B9474" s="63" t="n"/>
      <c r="C9474" s="64" t="n"/>
      <c r="D9474" s="64" t="n"/>
      <c r="E9474" s="63" t="n"/>
    </row>
    <row r="9475" ht="18" customHeight="1">
      <c r="A9475" s="62" t="n"/>
      <c r="B9475" s="63" t="n"/>
      <c r="C9475" s="64" t="n"/>
      <c r="D9475" s="64" t="n"/>
      <c r="E9475" s="63" t="n"/>
    </row>
    <row r="9476" ht="18" customHeight="1">
      <c r="A9476" s="62" t="n"/>
      <c r="B9476" s="63" t="n"/>
      <c r="C9476" s="64" t="n"/>
      <c r="D9476" s="64" t="n"/>
      <c r="E9476" s="63" t="n"/>
    </row>
    <row r="9477" ht="18" customHeight="1">
      <c r="A9477" s="62" t="n"/>
      <c r="B9477" s="63" t="n"/>
      <c r="C9477" s="64" t="n"/>
      <c r="D9477" s="64" t="n"/>
      <c r="E9477" s="63" t="n"/>
    </row>
    <row r="9478" ht="18" customHeight="1">
      <c r="A9478" s="62" t="n"/>
      <c r="B9478" s="63" t="n"/>
      <c r="C9478" s="64" t="n"/>
      <c r="D9478" s="64" t="n"/>
      <c r="E9478" s="63" t="n"/>
    </row>
    <row r="9479" ht="18" customHeight="1">
      <c r="A9479" s="62" t="n"/>
      <c r="B9479" s="63" t="n"/>
      <c r="C9479" s="64" t="n"/>
      <c r="D9479" s="64" t="n"/>
      <c r="E9479" s="63" t="n"/>
    </row>
    <row r="9480" ht="18" customHeight="1">
      <c r="A9480" s="62" t="n"/>
      <c r="B9480" s="63" t="n"/>
      <c r="C9480" s="64" t="n"/>
      <c r="D9480" s="64" t="n"/>
      <c r="E9480" s="63" t="n"/>
    </row>
    <row r="9481" ht="18" customHeight="1">
      <c r="A9481" s="62" t="n"/>
      <c r="B9481" s="63" t="n"/>
      <c r="C9481" s="64" t="n"/>
      <c r="D9481" s="64" t="n"/>
      <c r="E9481" s="63" t="n"/>
    </row>
    <row r="9482" ht="18" customHeight="1">
      <c r="A9482" s="62" t="n"/>
      <c r="B9482" s="63" t="n"/>
      <c r="C9482" s="64" t="n"/>
      <c r="D9482" s="64" t="n"/>
      <c r="E9482" s="63" t="n"/>
    </row>
    <row r="9483" ht="18" customHeight="1">
      <c r="A9483" s="62" t="n"/>
      <c r="B9483" s="63" t="n"/>
      <c r="C9483" s="64" t="n"/>
      <c r="D9483" s="64" t="n"/>
      <c r="E9483" s="63" t="n"/>
    </row>
    <row r="9484" ht="18" customHeight="1">
      <c r="A9484" s="62" t="n"/>
      <c r="B9484" s="63" t="n"/>
      <c r="C9484" s="64" t="n"/>
      <c r="D9484" s="64" t="n"/>
      <c r="E9484" s="63" t="n"/>
    </row>
    <row r="9485" ht="18" customHeight="1">
      <c r="A9485" s="62" t="n"/>
      <c r="B9485" s="63" t="n"/>
      <c r="C9485" s="64" t="n"/>
      <c r="D9485" s="64" t="n"/>
      <c r="E9485" s="63" t="n"/>
    </row>
    <row r="9486" ht="18" customHeight="1">
      <c r="A9486" s="62" t="n"/>
      <c r="B9486" s="63" t="n"/>
      <c r="C9486" s="64" t="n"/>
      <c r="D9486" s="64" t="n"/>
      <c r="E9486" s="63" t="n"/>
    </row>
    <row r="9487" ht="18" customHeight="1">
      <c r="A9487" s="62" t="n"/>
      <c r="B9487" s="63" t="n"/>
      <c r="C9487" s="64" t="n"/>
      <c r="D9487" s="64" t="n"/>
      <c r="E9487" s="63" t="n"/>
    </row>
    <row r="9488" ht="18" customHeight="1">
      <c r="A9488" s="62" t="n"/>
      <c r="B9488" s="63" t="n"/>
      <c r="C9488" s="64" t="n"/>
      <c r="D9488" s="64" t="n"/>
      <c r="E9488" s="63" t="n"/>
    </row>
    <row r="9489" ht="18" customHeight="1">
      <c r="A9489" s="62" t="n"/>
      <c r="B9489" s="63" t="n"/>
      <c r="C9489" s="64" t="n"/>
      <c r="D9489" s="64" t="n"/>
      <c r="E9489" s="63" t="n"/>
    </row>
    <row r="9490" ht="18" customHeight="1">
      <c r="A9490" s="62" t="n"/>
      <c r="B9490" s="63" t="n"/>
      <c r="C9490" s="64" t="n"/>
      <c r="D9490" s="64" t="n"/>
      <c r="E9490" s="63" t="n"/>
    </row>
    <row r="9491" ht="18" customHeight="1">
      <c r="A9491" s="62" t="n"/>
      <c r="B9491" s="63" t="n"/>
      <c r="C9491" s="64" t="n"/>
      <c r="D9491" s="64" t="n"/>
      <c r="E9491" s="63" t="n"/>
    </row>
    <row r="9492" ht="18" customHeight="1">
      <c r="A9492" s="62" t="n"/>
      <c r="B9492" s="63" t="n"/>
      <c r="C9492" s="64" t="n"/>
      <c r="D9492" s="64" t="n"/>
      <c r="E9492" s="63" t="n"/>
    </row>
    <row r="9493" ht="18" customHeight="1">
      <c r="A9493" s="62" t="n"/>
      <c r="B9493" s="63" t="n"/>
      <c r="C9493" s="64" t="n"/>
      <c r="D9493" s="64" t="n"/>
      <c r="E9493" s="63" t="n"/>
    </row>
    <row r="9494" ht="18" customHeight="1">
      <c r="A9494" s="62" t="n"/>
      <c r="B9494" s="63" t="n"/>
      <c r="C9494" s="64" t="n"/>
      <c r="D9494" s="64" t="n"/>
      <c r="E9494" s="63" t="n"/>
    </row>
    <row r="9495" ht="18" customHeight="1">
      <c r="A9495" s="62" t="n"/>
      <c r="B9495" s="63" t="n"/>
      <c r="C9495" s="64" t="n"/>
      <c r="D9495" s="64" t="n"/>
      <c r="E9495" s="63" t="n"/>
    </row>
    <row r="9496" ht="18" customHeight="1">
      <c r="A9496" s="62" t="n"/>
      <c r="B9496" s="63" t="n"/>
      <c r="C9496" s="64" t="n"/>
      <c r="D9496" s="64" t="n"/>
      <c r="E9496" s="63" t="n"/>
    </row>
    <row r="9497" ht="18" customHeight="1">
      <c r="A9497" s="62" t="n"/>
      <c r="B9497" s="63" t="n"/>
      <c r="C9497" s="64" t="n"/>
      <c r="D9497" s="64" t="n"/>
      <c r="E9497" s="63" t="n"/>
    </row>
    <row r="9498" ht="18" customHeight="1">
      <c r="A9498" s="62" t="n"/>
      <c r="B9498" s="63" t="n"/>
      <c r="C9498" s="64" t="n"/>
      <c r="D9498" s="64" t="n"/>
      <c r="E9498" s="63" t="n"/>
    </row>
    <row r="9499" ht="18" customHeight="1">
      <c r="A9499" s="62" t="n"/>
      <c r="B9499" s="63" t="n"/>
      <c r="C9499" s="64" t="n"/>
      <c r="D9499" s="64" t="n"/>
      <c r="E9499" s="63" t="n"/>
    </row>
    <row r="9500" ht="18" customHeight="1">
      <c r="A9500" s="62" t="n"/>
      <c r="B9500" s="63" t="n"/>
      <c r="C9500" s="64" t="n"/>
      <c r="D9500" s="64" t="n"/>
      <c r="E9500" s="63" t="n"/>
    </row>
    <row r="9501" ht="18" customHeight="1">
      <c r="A9501" s="62" t="n"/>
      <c r="B9501" s="63" t="n"/>
      <c r="C9501" s="64" t="n"/>
      <c r="D9501" s="64" t="n"/>
      <c r="E9501" s="63" t="n"/>
    </row>
    <row r="9502" ht="18" customHeight="1">
      <c r="A9502" s="62" t="n"/>
      <c r="B9502" s="63" t="n"/>
      <c r="C9502" s="64" t="n"/>
      <c r="D9502" s="64" t="n"/>
      <c r="E9502" s="63" t="n"/>
    </row>
    <row r="9503" ht="18" customHeight="1">
      <c r="A9503" s="62" t="n"/>
      <c r="B9503" s="63" t="n"/>
      <c r="C9503" s="64" t="n"/>
      <c r="D9503" s="64" t="n"/>
      <c r="E9503" s="63" t="n"/>
    </row>
    <row r="9504" ht="18" customHeight="1">
      <c r="A9504" s="62" t="n"/>
      <c r="B9504" s="63" t="n"/>
      <c r="C9504" s="64" t="n"/>
      <c r="D9504" s="64" t="n"/>
      <c r="E9504" s="63" t="n"/>
    </row>
    <row r="9505" ht="18" customHeight="1">
      <c r="A9505" s="62" t="n"/>
      <c r="B9505" s="63" t="n"/>
      <c r="C9505" s="64" t="n"/>
      <c r="D9505" s="64" t="n"/>
      <c r="E9505" s="63" t="n"/>
    </row>
    <row r="9506" ht="18" customHeight="1">
      <c r="A9506" s="62" t="n"/>
      <c r="B9506" s="63" t="n"/>
      <c r="C9506" s="64" t="n"/>
      <c r="D9506" s="64" t="n"/>
      <c r="E9506" s="63" t="n"/>
    </row>
    <row r="9507" ht="18" customHeight="1">
      <c r="A9507" s="62" t="n"/>
      <c r="B9507" s="63" t="n"/>
      <c r="C9507" s="64" t="n"/>
      <c r="D9507" s="64" t="n"/>
      <c r="E9507" s="63" t="n"/>
    </row>
    <row r="9508" ht="18" customHeight="1">
      <c r="A9508" s="62" t="n"/>
      <c r="B9508" s="63" t="n"/>
      <c r="C9508" s="64" t="n"/>
      <c r="D9508" s="64" t="n"/>
      <c r="E9508" s="63" t="n"/>
    </row>
    <row r="9509" ht="18" customHeight="1">
      <c r="A9509" s="62" t="n"/>
      <c r="B9509" s="63" t="n"/>
      <c r="C9509" s="64" t="n"/>
      <c r="D9509" s="64" t="n"/>
      <c r="E9509" s="63" t="n"/>
    </row>
    <row r="9510" ht="18" customHeight="1">
      <c r="A9510" s="62" t="n"/>
      <c r="B9510" s="63" t="n"/>
      <c r="C9510" s="64" t="n"/>
      <c r="D9510" s="64" t="n"/>
      <c r="E9510" s="63" t="n"/>
    </row>
    <row r="9511" ht="18" customHeight="1">
      <c r="A9511" s="62" t="n"/>
      <c r="B9511" s="63" t="n"/>
      <c r="C9511" s="64" t="n"/>
      <c r="D9511" s="64" t="n"/>
      <c r="E9511" s="63" t="n"/>
    </row>
    <row r="9512" ht="18" customHeight="1">
      <c r="A9512" s="62" t="n"/>
      <c r="B9512" s="63" t="n"/>
      <c r="C9512" s="64" t="n"/>
      <c r="D9512" s="64" t="n"/>
      <c r="E9512" s="63" t="n"/>
    </row>
    <row r="9513" ht="18" customHeight="1">
      <c r="A9513" s="62" t="n"/>
      <c r="B9513" s="63" t="n"/>
      <c r="C9513" s="64" t="n"/>
      <c r="D9513" s="64" t="n"/>
      <c r="E9513" s="63" t="n"/>
    </row>
    <row r="9514" ht="18" customHeight="1">
      <c r="A9514" s="62" t="n"/>
      <c r="B9514" s="63" t="n"/>
      <c r="C9514" s="64" t="n"/>
      <c r="D9514" s="64" t="n"/>
      <c r="E9514" s="63" t="n"/>
    </row>
    <row r="9515" ht="18" customHeight="1">
      <c r="A9515" s="62" t="n"/>
      <c r="B9515" s="63" t="n"/>
      <c r="C9515" s="64" t="n"/>
      <c r="D9515" s="64" t="n"/>
      <c r="E9515" s="63" t="n"/>
    </row>
    <row r="9516" ht="18" customHeight="1">
      <c r="A9516" s="62" t="n"/>
      <c r="B9516" s="63" t="n"/>
      <c r="C9516" s="64" t="n"/>
      <c r="D9516" s="64" t="n"/>
      <c r="E9516" s="63" t="n"/>
    </row>
    <row r="9517" ht="18" customHeight="1">
      <c r="A9517" s="62" t="n"/>
      <c r="B9517" s="63" t="n"/>
      <c r="C9517" s="64" t="n"/>
      <c r="D9517" s="64" t="n"/>
      <c r="E9517" s="63" t="n"/>
    </row>
    <row r="9518" ht="18" customHeight="1">
      <c r="A9518" s="62" t="n"/>
      <c r="B9518" s="63" t="n"/>
      <c r="C9518" s="64" t="n"/>
      <c r="D9518" s="64" t="n"/>
      <c r="E9518" s="63" t="n"/>
    </row>
    <row r="9519" ht="18" customHeight="1">
      <c r="A9519" s="62" t="n"/>
      <c r="B9519" s="63" t="n"/>
      <c r="C9519" s="64" t="n"/>
      <c r="D9519" s="64" t="n"/>
      <c r="E9519" s="63" t="n"/>
    </row>
    <row r="9520" ht="18" customHeight="1">
      <c r="A9520" s="62" t="n"/>
      <c r="B9520" s="63" t="n"/>
      <c r="C9520" s="64" t="n"/>
      <c r="D9520" s="64" t="n"/>
      <c r="E9520" s="63" t="n"/>
    </row>
    <row r="9521" ht="18" customHeight="1">
      <c r="A9521" s="62" t="n"/>
      <c r="B9521" s="63" t="n"/>
      <c r="C9521" s="64" t="n"/>
      <c r="D9521" s="64" t="n"/>
      <c r="E9521" s="63" t="n"/>
    </row>
    <row r="9522" ht="18" customHeight="1">
      <c r="A9522" s="62" t="n"/>
      <c r="B9522" s="63" t="n"/>
      <c r="C9522" s="64" t="n"/>
      <c r="D9522" s="64" t="n"/>
      <c r="E9522" s="63" t="n"/>
    </row>
    <row r="9523" ht="18" customHeight="1">
      <c r="A9523" s="62" t="n"/>
      <c r="B9523" s="63" t="n"/>
      <c r="C9523" s="64" t="n"/>
      <c r="D9523" s="64" t="n"/>
      <c r="E9523" s="63" t="n"/>
    </row>
    <row r="9524" ht="18" customHeight="1">
      <c r="A9524" s="62" t="n"/>
      <c r="B9524" s="63" t="n"/>
      <c r="C9524" s="64" t="n"/>
      <c r="D9524" s="64" t="n"/>
      <c r="E9524" s="63" t="n"/>
    </row>
    <row r="9525" ht="18" customHeight="1">
      <c r="A9525" s="62" t="n"/>
      <c r="B9525" s="63" t="n"/>
      <c r="C9525" s="64" t="n"/>
      <c r="D9525" s="64" t="n"/>
      <c r="E9525" s="63" t="n"/>
    </row>
    <row r="9526" ht="18" customHeight="1">
      <c r="A9526" s="62" t="n"/>
      <c r="B9526" s="63" t="n"/>
      <c r="C9526" s="64" t="n"/>
      <c r="D9526" s="64" t="n"/>
      <c r="E9526" s="63" t="n"/>
    </row>
    <row r="9527" ht="18" customHeight="1">
      <c r="A9527" s="62" t="n"/>
      <c r="B9527" s="63" t="n"/>
      <c r="C9527" s="64" t="n"/>
      <c r="D9527" s="64" t="n"/>
      <c r="E9527" s="63" t="n"/>
    </row>
    <row r="9528" ht="18" customHeight="1">
      <c r="A9528" s="62" t="n"/>
      <c r="B9528" s="63" t="n"/>
      <c r="C9528" s="64" t="n"/>
      <c r="D9528" s="64" t="n"/>
      <c r="E9528" s="63" t="n"/>
    </row>
    <row r="9529" ht="18" customHeight="1">
      <c r="A9529" s="62" t="n"/>
      <c r="B9529" s="63" t="n"/>
      <c r="C9529" s="64" t="n"/>
      <c r="D9529" s="64" t="n"/>
      <c r="E9529" s="63" t="n"/>
    </row>
    <row r="9530" ht="18" customHeight="1">
      <c r="A9530" s="62" t="n"/>
      <c r="B9530" s="63" t="n"/>
      <c r="C9530" s="64" t="n"/>
      <c r="D9530" s="64" t="n"/>
      <c r="E9530" s="63" t="n"/>
    </row>
    <row r="9531" ht="18" customHeight="1">
      <c r="A9531" s="62" t="n"/>
      <c r="B9531" s="63" t="n"/>
      <c r="C9531" s="64" t="n"/>
      <c r="D9531" s="64" t="n"/>
      <c r="E9531" s="63" t="n"/>
    </row>
    <row r="9532" ht="18" customHeight="1">
      <c r="A9532" s="62" t="n"/>
      <c r="B9532" s="63" t="n"/>
      <c r="C9532" s="64" t="n"/>
      <c r="D9532" s="64" t="n"/>
      <c r="E9532" s="63" t="n"/>
    </row>
    <row r="9533" ht="18" customHeight="1">
      <c r="A9533" s="62" t="n"/>
      <c r="B9533" s="63" t="n"/>
      <c r="C9533" s="64" t="n"/>
      <c r="D9533" s="64" t="n"/>
      <c r="E9533" s="63" t="n"/>
    </row>
    <row r="9534" ht="18" customHeight="1">
      <c r="A9534" s="62" t="n"/>
      <c r="B9534" s="63" t="n"/>
      <c r="C9534" s="64" t="n"/>
      <c r="D9534" s="64" t="n"/>
      <c r="E9534" s="63" t="n"/>
    </row>
    <row r="9535" ht="18" customHeight="1">
      <c r="A9535" s="62" t="n"/>
      <c r="B9535" s="63" t="n"/>
      <c r="C9535" s="64" t="n"/>
      <c r="D9535" s="64" t="n"/>
      <c r="E9535" s="63" t="n"/>
    </row>
    <row r="9536" ht="18" customHeight="1">
      <c r="A9536" s="62" t="n"/>
      <c r="B9536" s="63" t="n"/>
      <c r="C9536" s="64" t="n"/>
      <c r="D9536" s="64" t="n"/>
      <c r="E9536" s="63" t="n"/>
    </row>
    <row r="9537" ht="18" customHeight="1">
      <c r="A9537" s="62" t="n"/>
      <c r="B9537" s="63" t="n"/>
      <c r="C9537" s="64" t="n"/>
      <c r="D9537" s="64" t="n"/>
      <c r="E9537" s="63" t="n"/>
    </row>
    <row r="9538" ht="18" customHeight="1">
      <c r="A9538" s="62" t="n"/>
      <c r="B9538" s="63" t="n"/>
      <c r="C9538" s="64" t="n"/>
      <c r="D9538" s="64" t="n"/>
      <c r="E9538" s="63" t="n"/>
    </row>
    <row r="9539" ht="18" customHeight="1">
      <c r="A9539" s="62" t="n"/>
      <c r="B9539" s="63" t="n"/>
      <c r="C9539" s="64" t="n"/>
      <c r="D9539" s="64" t="n"/>
      <c r="E9539" s="63" t="n"/>
    </row>
    <row r="9540" ht="18" customHeight="1">
      <c r="A9540" s="62" t="n"/>
      <c r="B9540" s="63" t="n"/>
      <c r="C9540" s="64" t="n"/>
      <c r="D9540" s="64" t="n"/>
      <c r="E9540" s="63" t="n"/>
    </row>
    <row r="9541" ht="18" customHeight="1">
      <c r="A9541" s="62" t="n"/>
      <c r="B9541" s="63" t="n"/>
      <c r="C9541" s="64" t="n"/>
      <c r="D9541" s="64" t="n"/>
      <c r="E9541" s="63" t="n"/>
    </row>
    <row r="9542" ht="18" customHeight="1">
      <c r="A9542" s="62" t="n"/>
      <c r="B9542" s="63" t="n"/>
      <c r="C9542" s="64" t="n"/>
      <c r="D9542" s="64" t="n"/>
      <c r="E9542" s="63" t="n"/>
    </row>
    <row r="9543" ht="18" customHeight="1">
      <c r="A9543" s="62" t="n"/>
      <c r="B9543" s="63" t="n"/>
      <c r="C9543" s="64" t="n"/>
      <c r="D9543" s="64" t="n"/>
      <c r="E9543" s="63" t="n"/>
    </row>
    <row r="9544" ht="18" customHeight="1">
      <c r="A9544" s="62" t="n"/>
      <c r="B9544" s="63" t="n"/>
      <c r="C9544" s="64" t="n"/>
      <c r="D9544" s="64" t="n"/>
      <c r="E9544" s="63" t="n"/>
    </row>
    <row r="9545" ht="18" customHeight="1">
      <c r="A9545" s="62" t="n"/>
      <c r="B9545" s="63" t="n"/>
      <c r="C9545" s="64" t="n"/>
      <c r="D9545" s="64" t="n"/>
      <c r="E9545" s="63" t="n"/>
    </row>
    <row r="9546" ht="18" customHeight="1">
      <c r="A9546" s="62" t="n"/>
      <c r="B9546" s="63" t="n"/>
      <c r="C9546" s="64" t="n"/>
      <c r="D9546" s="64" t="n"/>
      <c r="E9546" s="63" t="n"/>
    </row>
    <row r="9547" ht="18" customHeight="1">
      <c r="A9547" s="62" t="n"/>
      <c r="B9547" s="63" t="n"/>
      <c r="C9547" s="64" t="n"/>
      <c r="D9547" s="64" t="n"/>
      <c r="E9547" s="63" t="n"/>
    </row>
    <row r="9548" ht="18" customHeight="1">
      <c r="A9548" s="62" t="n"/>
      <c r="B9548" s="63" t="n"/>
      <c r="C9548" s="64" t="n"/>
      <c r="D9548" s="64" t="n"/>
      <c r="E9548" s="63" t="n"/>
    </row>
    <row r="9549" ht="18" customHeight="1">
      <c r="A9549" s="62" t="n"/>
      <c r="B9549" s="63" t="n"/>
      <c r="C9549" s="64" t="n"/>
      <c r="D9549" s="64" t="n"/>
      <c r="E9549" s="63" t="n"/>
    </row>
    <row r="9550" ht="18" customHeight="1">
      <c r="A9550" s="62" t="n"/>
      <c r="B9550" s="63" t="n"/>
      <c r="C9550" s="64" t="n"/>
      <c r="D9550" s="64" t="n"/>
      <c r="E9550" s="63" t="n"/>
    </row>
    <row r="9551" ht="18" customHeight="1">
      <c r="A9551" s="62" t="n"/>
      <c r="B9551" s="63" t="n"/>
      <c r="C9551" s="64" t="n"/>
      <c r="D9551" s="64" t="n"/>
      <c r="E9551" s="63" t="n"/>
    </row>
    <row r="9552" ht="18" customHeight="1">
      <c r="A9552" s="62" t="n"/>
      <c r="B9552" s="63" t="n"/>
      <c r="C9552" s="64" t="n"/>
      <c r="D9552" s="64" t="n"/>
      <c r="E9552" s="63" t="n"/>
    </row>
    <row r="9553" ht="18" customHeight="1">
      <c r="A9553" s="62" t="n"/>
      <c r="B9553" s="63" t="n"/>
      <c r="C9553" s="64" t="n"/>
      <c r="D9553" s="64" t="n"/>
      <c r="E9553" s="63" t="n"/>
    </row>
    <row r="9554" ht="18" customHeight="1">
      <c r="A9554" s="62" t="n"/>
      <c r="B9554" s="63" t="n"/>
      <c r="C9554" s="64" t="n"/>
      <c r="D9554" s="64" t="n"/>
      <c r="E9554" s="63" t="n"/>
    </row>
    <row r="9555" ht="18" customHeight="1">
      <c r="A9555" s="62" t="n"/>
      <c r="B9555" s="63" t="n"/>
      <c r="C9555" s="64" t="n"/>
      <c r="D9555" s="64" t="n"/>
      <c r="E9555" s="63" t="n"/>
    </row>
    <row r="9556" ht="18" customHeight="1">
      <c r="A9556" s="62" t="n"/>
      <c r="B9556" s="63" t="n"/>
      <c r="C9556" s="64" t="n"/>
      <c r="D9556" s="64" t="n"/>
      <c r="E9556" s="63" t="n"/>
    </row>
    <row r="9557" ht="18" customHeight="1">
      <c r="A9557" s="62" t="n"/>
      <c r="B9557" s="63" t="n"/>
      <c r="C9557" s="64" t="n"/>
      <c r="D9557" s="64" t="n"/>
      <c r="E9557" s="63" t="n"/>
    </row>
    <row r="9558" ht="18" customHeight="1">
      <c r="A9558" s="62" t="n"/>
      <c r="B9558" s="63" t="n"/>
      <c r="C9558" s="64" t="n"/>
      <c r="D9558" s="64" t="n"/>
      <c r="E9558" s="63" t="n"/>
    </row>
    <row r="9559" ht="18" customHeight="1">
      <c r="A9559" s="62" t="n"/>
      <c r="B9559" s="63" t="n"/>
      <c r="C9559" s="64" t="n"/>
      <c r="D9559" s="64" t="n"/>
      <c r="E9559" s="63" t="n"/>
    </row>
    <row r="9560" ht="18" customHeight="1">
      <c r="A9560" s="62" t="n"/>
      <c r="B9560" s="63" t="n"/>
      <c r="C9560" s="64" t="n"/>
      <c r="D9560" s="64" t="n"/>
      <c r="E9560" s="63" t="n"/>
    </row>
    <row r="9561" ht="18" customHeight="1">
      <c r="A9561" s="62" t="n"/>
      <c r="B9561" s="63" t="n"/>
      <c r="C9561" s="64" t="n"/>
      <c r="D9561" s="64" t="n"/>
      <c r="E9561" s="63" t="n"/>
    </row>
    <row r="9562" ht="18" customHeight="1">
      <c r="A9562" s="62" t="n"/>
      <c r="B9562" s="63" t="n"/>
      <c r="C9562" s="64" t="n"/>
      <c r="D9562" s="64" t="n"/>
      <c r="E9562" s="63" t="n"/>
    </row>
    <row r="9563" ht="18" customHeight="1">
      <c r="A9563" s="62" t="n"/>
      <c r="B9563" s="63" t="n"/>
      <c r="C9563" s="64" t="n"/>
      <c r="D9563" s="64" t="n"/>
      <c r="E9563" s="63" t="n"/>
    </row>
    <row r="9564" ht="18" customHeight="1">
      <c r="A9564" s="62" t="n"/>
      <c r="B9564" s="63" t="n"/>
      <c r="C9564" s="64" t="n"/>
      <c r="D9564" s="64" t="n"/>
      <c r="E9564" s="63" t="n"/>
    </row>
    <row r="9565" ht="18" customHeight="1">
      <c r="A9565" s="62" t="n"/>
      <c r="B9565" s="63" t="n"/>
      <c r="C9565" s="64" t="n"/>
      <c r="D9565" s="64" t="n"/>
      <c r="E9565" s="63" t="n"/>
    </row>
    <row r="9566" ht="18" customHeight="1">
      <c r="A9566" s="62" t="n"/>
      <c r="B9566" s="63" t="n"/>
      <c r="C9566" s="64" t="n"/>
      <c r="D9566" s="64" t="n"/>
      <c r="E9566" s="63" t="n"/>
    </row>
    <row r="9567" ht="18" customHeight="1">
      <c r="A9567" s="62" t="n"/>
      <c r="B9567" s="63" t="n"/>
      <c r="C9567" s="64" t="n"/>
      <c r="D9567" s="64" t="n"/>
      <c r="E9567" s="63" t="n"/>
    </row>
    <row r="9568" ht="18" customHeight="1">
      <c r="A9568" s="62" t="n"/>
      <c r="B9568" s="63" t="n"/>
      <c r="C9568" s="64" t="n"/>
      <c r="D9568" s="64" t="n"/>
      <c r="E9568" s="63" t="n"/>
    </row>
    <row r="9569" ht="18" customHeight="1">
      <c r="A9569" s="62" t="n"/>
      <c r="B9569" s="63" t="n"/>
      <c r="C9569" s="64" t="n"/>
      <c r="D9569" s="64" t="n"/>
      <c r="E9569" s="63" t="n"/>
    </row>
    <row r="9570" ht="18" customHeight="1">
      <c r="A9570" s="62" t="n"/>
      <c r="B9570" s="63" t="n"/>
      <c r="C9570" s="64" t="n"/>
      <c r="D9570" s="64" t="n"/>
      <c r="E9570" s="63" t="n"/>
    </row>
    <row r="9571" ht="18" customHeight="1">
      <c r="A9571" s="62" t="n"/>
      <c r="B9571" s="63" t="n"/>
      <c r="C9571" s="64" t="n"/>
      <c r="D9571" s="64" t="n"/>
      <c r="E9571" s="63" t="n"/>
    </row>
    <row r="9572" ht="18" customHeight="1">
      <c r="A9572" s="62" t="n"/>
      <c r="B9572" s="63" t="n"/>
      <c r="C9572" s="64" t="n"/>
      <c r="D9572" s="64" t="n"/>
      <c r="E9572" s="63" t="n"/>
    </row>
    <row r="9573" ht="18" customHeight="1">
      <c r="A9573" s="62" t="n"/>
      <c r="B9573" s="63" t="n"/>
      <c r="C9573" s="64" t="n"/>
      <c r="D9573" s="64" t="n"/>
      <c r="E9573" s="63" t="n"/>
    </row>
    <row r="9574" ht="18" customHeight="1">
      <c r="A9574" s="62" t="n"/>
      <c r="B9574" s="63" t="n"/>
      <c r="C9574" s="64" t="n"/>
      <c r="D9574" s="64" t="n"/>
      <c r="E9574" s="63" t="n"/>
    </row>
    <row r="9575" ht="18" customHeight="1">
      <c r="A9575" s="62" t="n"/>
      <c r="B9575" s="63" t="n"/>
      <c r="C9575" s="64" t="n"/>
      <c r="D9575" s="64" t="n"/>
      <c r="E9575" s="63" t="n"/>
    </row>
    <row r="9576" ht="18" customHeight="1">
      <c r="A9576" s="62" t="n"/>
      <c r="B9576" s="63" t="n"/>
      <c r="C9576" s="64" t="n"/>
      <c r="D9576" s="64" t="n"/>
      <c r="E9576" s="63" t="n"/>
    </row>
    <row r="9577" ht="18" customHeight="1">
      <c r="A9577" s="62" t="n"/>
      <c r="B9577" s="63" t="n"/>
      <c r="C9577" s="64" t="n"/>
      <c r="D9577" s="64" t="n"/>
      <c r="E9577" s="63" t="n"/>
    </row>
    <row r="9578" ht="18" customHeight="1">
      <c r="A9578" s="62" t="n"/>
      <c r="B9578" s="63" t="n"/>
      <c r="C9578" s="64" t="n"/>
      <c r="D9578" s="64" t="n"/>
      <c r="E9578" s="63" t="n"/>
    </row>
    <row r="9579" ht="18" customHeight="1">
      <c r="A9579" s="62" t="n"/>
      <c r="B9579" s="63" t="n"/>
      <c r="C9579" s="64" t="n"/>
      <c r="D9579" s="64" t="n"/>
      <c r="E9579" s="63" t="n"/>
    </row>
    <row r="9580" ht="18" customHeight="1">
      <c r="A9580" s="62" t="n"/>
      <c r="B9580" s="63" t="n"/>
      <c r="C9580" s="64" t="n"/>
      <c r="D9580" s="64" t="n"/>
      <c r="E9580" s="63" t="n"/>
    </row>
    <row r="9581" ht="18" customHeight="1">
      <c r="A9581" s="62" t="n"/>
      <c r="B9581" s="63" t="n"/>
      <c r="C9581" s="64" t="n"/>
      <c r="D9581" s="64" t="n"/>
      <c r="E9581" s="63" t="n"/>
    </row>
    <row r="9582" ht="18" customHeight="1">
      <c r="A9582" s="62" t="n"/>
      <c r="B9582" s="63" t="n"/>
      <c r="C9582" s="64" t="n"/>
      <c r="D9582" s="64" t="n"/>
      <c r="E9582" s="63" t="n"/>
    </row>
    <row r="9583" ht="18" customHeight="1">
      <c r="A9583" s="62" t="n"/>
      <c r="B9583" s="63" t="n"/>
      <c r="C9583" s="64" t="n"/>
      <c r="D9583" s="64" t="n"/>
      <c r="E9583" s="63" t="n"/>
    </row>
    <row r="9584" ht="18" customHeight="1">
      <c r="A9584" s="62" t="n"/>
      <c r="B9584" s="63" t="n"/>
      <c r="C9584" s="64" t="n"/>
      <c r="D9584" s="64" t="n"/>
      <c r="E9584" s="63" t="n"/>
    </row>
    <row r="9585" ht="18" customHeight="1">
      <c r="A9585" s="62" t="n"/>
      <c r="B9585" s="63" t="n"/>
      <c r="C9585" s="64" t="n"/>
      <c r="D9585" s="64" t="n"/>
      <c r="E9585" s="63" t="n"/>
    </row>
    <row r="9586" ht="18" customHeight="1">
      <c r="A9586" s="62" t="n"/>
      <c r="B9586" s="63" t="n"/>
      <c r="C9586" s="64" t="n"/>
      <c r="D9586" s="64" t="n"/>
      <c r="E9586" s="63" t="n"/>
    </row>
    <row r="9587" ht="18" customHeight="1">
      <c r="A9587" s="62" t="n"/>
      <c r="B9587" s="63" t="n"/>
      <c r="C9587" s="64" t="n"/>
      <c r="D9587" s="64" t="n"/>
      <c r="E9587" s="63" t="n"/>
    </row>
    <row r="9588" ht="18" customHeight="1">
      <c r="A9588" s="62" t="n"/>
      <c r="B9588" s="63" t="n"/>
      <c r="C9588" s="64" t="n"/>
      <c r="D9588" s="64" t="n"/>
      <c r="E9588" s="63" t="n"/>
    </row>
    <row r="9589" ht="18" customHeight="1">
      <c r="A9589" s="62" t="n"/>
      <c r="B9589" s="63" t="n"/>
      <c r="C9589" s="64" t="n"/>
      <c r="D9589" s="64" t="n"/>
      <c r="E9589" s="63" t="n"/>
    </row>
    <row r="9590" ht="18" customHeight="1">
      <c r="A9590" s="62" t="n"/>
      <c r="B9590" s="63" t="n"/>
      <c r="C9590" s="64" t="n"/>
      <c r="D9590" s="64" t="n"/>
      <c r="E9590" s="63" t="n"/>
    </row>
    <row r="9591" ht="18" customHeight="1">
      <c r="A9591" s="62" t="n"/>
      <c r="B9591" s="63" t="n"/>
      <c r="C9591" s="64" t="n"/>
      <c r="D9591" s="64" t="n"/>
      <c r="E9591" s="63" t="n"/>
    </row>
    <row r="9592" ht="18" customHeight="1">
      <c r="A9592" s="62" t="n"/>
      <c r="B9592" s="63" t="n"/>
      <c r="C9592" s="64" t="n"/>
      <c r="D9592" s="64" t="n"/>
      <c r="E9592" s="63" t="n"/>
    </row>
    <row r="9593" ht="18" customHeight="1">
      <c r="A9593" s="62" t="n"/>
      <c r="B9593" s="63" t="n"/>
      <c r="C9593" s="64" t="n"/>
      <c r="D9593" s="64" t="n"/>
      <c r="E9593" s="63" t="n"/>
    </row>
    <row r="9594" ht="18" customHeight="1">
      <c r="A9594" s="62" t="n"/>
      <c r="B9594" s="63" t="n"/>
      <c r="C9594" s="64" t="n"/>
      <c r="D9594" s="64" t="n"/>
      <c r="E9594" s="63" t="n"/>
    </row>
    <row r="9595" ht="18" customHeight="1">
      <c r="A9595" s="62" t="n"/>
      <c r="B9595" s="63" t="n"/>
      <c r="C9595" s="64" t="n"/>
      <c r="D9595" s="64" t="n"/>
      <c r="E9595" s="63" t="n"/>
    </row>
    <row r="9596" ht="18" customHeight="1">
      <c r="A9596" s="62" t="n"/>
      <c r="B9596" s="63" t="n"/>
      <c r="C9596" s="64" t="n"/>
      <c r="D9596" s="64" t="n"/>
      <c r="E9596" s="63" t="n"/>
    </row>
    <row r="9597" ht="18" customHeight="1">
      <c r="A9597" s="62" t="n"/>
      <c r="B9597" s="63" t="n"/>
      <c r="C9597" s="64" t="n"/>
      <c r="D9597" s="64" t="n"/>
      <c r="E9597" s="63" t="n"/>
    </row>
    <row r="9598" ht="18" customHeight="1">
      <c r="A9598" s="62" t="n"/>
      <c r="B9598" s="63" t="n"/>
      <c r="C9598" s="64" t="n"/>
      <c r="D9598" s="64" t="n"/>
      <c r="E9598" s="63" t="n"/>
    </row>
    <row r="9599" ht="18" customHeight="1">
      <c r="A9599" s="62" t="n"/>
      <c r="B9599" s="63" t="n"/>
      <c r="C9599" s="64" t="n"/>
      <c r="D9599" s="64" t="n"/>
      <c r="E9599" s="63" t="n"/>
    </row>
    <row r="9600" ht="18" customHeight="1">
      <c r="A9600" s="62" t="n"/>
      <c r="B9600" s="63" t="n"/>
      <c r="C9600" s="64" t="n"/>
      <c r="D9600" s="64" t="n"/>
      <c r="E9600" s="63" t="n"/>
    </row>
    <row r="9601" ht="18" customHeight="1">
      <c r="A9601" s="62" t="n"/>
      <c r="B9601" s="63" t="n"/>
      <c r="C9601" s="64" t="n"/>
      <c r="D9601" s="64" t="n"/>
      <c r="E9601" s="63" t="n"/>
    </row>
    <row r="9602" ht="18" customHeight="1">
      <c r="A9602" s="62" t="n"/>
      <c r="B9602" s="63" t="n"/>
      <c r="C9602" s="64" t="n"/>
      <c r="D9602" s="64" t="n"/>
      <c r="E9602" s="63" t="n"/>
    </row>
    <row r="9603" ht="18" customHeight="1">
      <c r="A9603" s="62" t="n"/>
      <c r="B9603" s="63" t="n"/>
      <c r="C9603" s="64" t="n"/>
      <c r="D9603" s="64" t="n"/>
      <c r="E9603" s="63" t="n"/>
    </row>
    <row r="9604" ht="18" customHeight="1">
      <c r="A9604" s="62" t="n"/>
      <c r="B9604" s="63" t="n"/>
      <c r="C9604" s="64" t="n"/>
      <c r="D9604" s="64" t="n"/>
      <c r="E9604" s="63" t="n"/>
    </row>
    <row r="9605" ht="18" customHeight="1">
      <c r="A9605" s="62" t="n"/>
      <c r="B9605" s="63" t="n"/>
      <c r="C9605" s="64" t="n"/>
      <c r="D9605" s="64" t="n"/>
      <c r="E9605" s="63" t="n"/>
    </row>
    <row r="9606" ht="18" customHeight="1">
      <c r="A9606" s="62" t="n"/>
      <c r="B9606" s="63" t="n"/>
      <c r="C9606" s="64" t="n"/>
      <c r="D9606" s="64" t="n"/>
      <c r="E9606" s="63" t="n"/>
    </row>
    <row r="9607" ht="18" customHeight="1">
      <c r="A9607" s="62" t="n"/>
      <c r="B9607" s="63" t="n"/>
      <c r="C9607" s="64" t="n"/>
      <c r="D9607" s="64" t="n"/>
      <c r="E9607" s="63" t="n"/>
    </row>
    <row r="9608" ht="18" customHeight="1">
      <c r="A9608" s="62" t="n"/>
      <c r="B9608" s="63" t="n"/>
      <c r="C9608" s="64" t="n"/>
      <c r="D9608" s="64" t="n"/>
      <c r="E9608" s="63" t="n"/>
    </row>
    <row r="9609" ht="18" customHeight="1">
      <c r="A9609" s="62" t="n"/>
      <c r="B9609" s="63" t="n"/>
      <c r="C9609" s="64" t="n"/>
      <c r="D9609" s="64" t="n"/>
      <c r="E9609" s="63" t="n"/>
    </row>
    <row r="9610" ht="18" customHeight="1">
      <c r="A9610" s="62" t="n"/>
      <c r="B9610" s="63" t="n"/>
      <c r="C9610" s="64" t="n"/>
      <c r="D9610" s="64" t="n"/>
      <c r="E9610" s="63" t="n"/>
    </row>
    <row r="9611" ht="18" customHeight="1">
      <c r="A9611" s="62" t="n"/>
      <c r="B9611" s="63" t="n"/>
      <c r="C9611" s="64" t="n"/>
      <c r="D9611" s="64" t="n"/>
      <c r="E9611" s="63" t="n"/>
    </row>
    <row r="9612" ht="18" customHeight="1">
      <c r="A9612" s="62" t="n"/>
      <c r="B9612" s="63" t="n"/>
      <c r="C9612" s="64" t="n"/>
      <c r="D9612" s="64" t="n"/>
      <c r="E9612" s="63" t="n"/>
    </row>
    <row r="9613" ht="18" customHeight="1">
      <c r="A9613" s="62" t="n"/>
      <c r="B9613" s="63" t="n"/>
      <c r="C9613" s="64" t="n"/>
      <c r="D9613" s="64" t="n"/>
      <c r="E9613" s="63" t="n"/>
    </row>
    <row r="9614" ht="18" customHeight="1">
      <c r="A9614" s="62" t="n"/>
      <c r="B9614" s="63" t="n"/>
      <c r="C9614" s="64" t="n"/>
      <c r="D9614" s="64" t="n"/>
      <c r="E9614" s="63" t="n"/>
    </row>
    <row r="9615" ht="18" customHeight="1">
      <c r="A9615" s="62" t="n"/>
      <c r="B9615" s="63" t="n"/>
      <c r="C9615" s="64" t="n"/>
      <c r="D9615" s="64" t="n"/>
      <c r="E9615" s="63" t="n"/>
    </row>
    <row r="9616" ht="18" customHeight="1">
      <c r="A9616" s="62" t="n"/>
      <c r="B9616" s="63" t="n"/>
      <c r="C9616" s="64" t="n"/>
      <c r="D9616" s="64" t="n"/>
      <c r="E9616" s="63" t="n"/>
    </row>
    <row r="9617" ht="18" customHeight="1">
      <c r="A9617" s="62" t="n"/>
      <c r="B9617" s="63" t="n"/>
      <c r="C9617" s="64" t="n"/>
      <c r="D9617" s="64" t="n"/>
      <c r="E9617" s="63" t="n"/>
    </row>
    <row r="9618" ht="18" customHeight="1">
      <c r="A9618" s="62" t="n"/>
      <c r="B9618" s="63" t="n"/>
      <c r="C9618" s="64" t="n"/>
      <c r="D9618" s="64" t="n"/>
      <c r="E9618" s="63" t="n"/>
    </row>
    <row r="9619" ht="18" customHeight="1">
      <c r="A9619" s="62" t="n"/>
      <c r="B9619" s="63" t="n"/>
      <c r="C9619" s="64" t="n"/>
      <c r="D9619" s="64" t="n"/>
      <c r="E9619" s="63" t="n"/>
    </row>
    <row r="9620" ht="18" customHeight="1">
      <c r="A9620" s="62" t="n"/>
      <c r="B9620" s="63" t="n"/>
      <c r="C9620" s="64" t="n"/>
      <c r="D9620" s="64" t="n"/>
      <c r="E9620" s="63" t="n"/>
    </row>
    <row r="9621" ht="18" customHeight="1">
      <c r="A9621" s="62" t="n"/>
      <c r="B9621" s="63" t="n"/>
      <c r="C9621" s="64" t="n"/>
      <c r="D9621" s="64" t="n"/>
      <c r="E9621" s="63" t="n"/>
    </row>
    <row r="9622" ht="18" customHeight="1">
      <c r="A9622" s="62" t="n"/>
      <c r="B9622" s="63" t="n"/>
      <c r="C9622" s="64" t="n"/>
      <c r="D9622" s="64" t="n"/>
      <c r="E9622" s="63" t="n"/>
    </row>
    <row r="9623" ht="18" customHeight="1">
      <c r="A9623" s="62" t="n"/>
      <c r="B9623" s="63" t="n"/>
      <c r="C9623" s="64" t="n"/>
      <c r="D9623" s="64" t="n"/>
      <c r="E9623" s="63" t="n"/>
    </row>
    <row r="9624" ht="18" customHeight="1">
      <c r="A9624" s="62" t="n"/>
      <c r="B9624" s="63" t="n"/>
      <c r="C9624" s="64" t="n"/>
      <c r="D9624" s="64" t="n"/>
      <c r="E9624" s="63" t="n"/>
    </row>
    <row r="9625" ht="18" customHeight="1">
      <c r="A9625" s="62" t="n"/>
      <c r="B9625" s="63" t="n"/>
      <c r="C9625" s="64" t="n"/>
      <c r="D9625" s="64" t="n"/>
      <c r="E9625" s="63" t="n"/>
    </row>
    <row r="9626" ht="18" customHeight="1">
      <c r="A9626" s="62" t="n"/>
      <c r="B9626" s="63" t="n"/>
      <c r="C9626" s="64" t="n"/>
      <c r="D9626" s="64" t="n"/>
      <c r="E9626" s="63" t="n"/>
    </row>
    <row r="9627" ht="18" customHeight="1">
      <c r="A9627" s="62" t="n"/>
      <c r="B9627" s="63" t="n"/>
      <c r="C9627" s="64" t="n"/>
      <c r="D9627" s="64" t="n"/>
      <c r="E9627" s="63" t="n"/>
    </row>
    <row r="9628" ht="18" customHeight="1">
      <c r="A9628" s="62" t="n"/>
      <c r="B9628" s="63" t="n"/>
      <c r="C9628" s="64" t="n"/>
      <c r="D9628" s="64" t="n"/>
      <c r="E9628" s="63" t="n"/>
    </row>
    <row r="9629" ht="18" customHeight="1">
      <c r="A9629" s="62" t="n"/>
      <c r="B9629" s="63" t="n"/>
      <c r="C9629" s="64" t="n"/>
      <c r="D9629" s="64" t="n"/>
      <c r="E9629" s="63" t="n"/>
    </row>
    <row r="9630" ht="18" customHeight="1">
      <c r="A9630" s="62" t="n"/>
      <c r="B9630" s="63" t="n"/>
      <c r="C9630" s="64" t="n"/>
      <c r="D9630" s="64" t="n"/>
      <c r="E9630" s="63" t="n"/>
    </row>
    <row r="9631" ht="18" customHeight="1">
      <c r="A9631" s="62" t="n"/>
      <c r="B9631" s="63" t="n"/>
      <c r="C9631" s="64" t="n"/>
      <c r="D9631" s="64" t="n"/>
      <c r="E9631" s="63" t="n"/>
    </row>
    <row r="9632" ht="18" customHeight="1">
      <c r="A9632" s="62" t="n"/>
      <c r="B9632" s="63" t="n"/>
      <c r="C9632" s="64" t="n"/>
      <c r="D9632" s="64" t="n"/>
      <c r="E9632" s="63" t="n"/>
    </row>
    <row r="9633" ht="18" customHeight="1">
      <c r="A9633" s="62" t="n"/>
      <c r="B9633" s="63" t="n"/>
      <c r="C9633" s="64" t="n"/>
      <c r="D9633" s="64" t="n"/>
      <c r="E9633" s="63" t="n"/>
    </row>
    <row r="9634" ht="18" customHeight="1">
      <c r="A9634" s="62" t="n"/>
      <c r="B9634" s="63" t="n"/>
      <c r="C9634" s="64" t="n"/>
      <c r="D9634" s="64" t="n"/>
      <c r="E9634" s="63" t="n"/>
    </row>
    <row r="9635" ht="18" customHeight="1">
      <c r="A9635" s="62" t="n"/>
      <c r="B9635" s="63" t="n"/>
      <c r="C9635" s="64" t="n"/>
      <c r="D9635" s="64" t="n"/>
      <c r="E9635" s="63" t="n"/>
    </row>
    <row r="9636" ht="18" customHeight="1">
      <c r="A9636" s="62" t="n"/>
      <c r="B9636" s="63" t="n"/>
      <c r="C9636" s="64" t="n"/>
      <c r="D9636" s="64" t="n"/>
      <c r="E9636" s="63" t="n"/>
    </row>
    <row r="9637" ht="18" customHeight="1">
      <c r="A9637" s="62" t="n"/>
      <c r="B9637" s="63" t="n"/>
      <c r="C9637" s="64" t="n"/>
      <c r="D9637" s="64" t="n"/>
      <c r="E9637" s="63" t="n"/>
    </row>
    <row r="9638" ht="18" customHeight="1">
      <c r="A9638" s="62" t="n"/>
      <c r="B9638" s="63" t="n"/>
      <c r="C9638" s="64" t="n"/>
      <c r="D9638" s="64" t="n"/>
      <c r="E9638" s="63" t="n"/>
    </row>
    <row r="9639" ht="18" customHeight="1">
      <c r="A9639" s="62" t="n"/>
      <c r="B9639" s="63" t="n"/>
      <c r="C9639" s="64" t="n"/>
      <c r="D9639" s="64" t="n"/>
      <c r="E9639" s="63" t="n"/>
    </row>
    <row r="9640" ht="18" customHeight="1">
      <c r="A9640" s="62" t="n"/>
      <c r="B9640" s="63" t="n"/>
      <c r="C9640" s="64" t="n"/>
      <c r="D9640" s="64" t="n"/>
      <c r="E9640" s="63" t="n"/>
    </row>
    <row r="9641" ht="18" customHeight="1">
      <c r="A9641" s="62" t="n"/>
      <c r="B9641" s="63" t="n"/>
      <c r="C9641" s="64" t="n"/>
      <c r="D9641" s="64" t="n"/>
      <c r="E9641" s="63" t="n"/>
    </row>
    <row r="9642" ht="18" customHeight="1">
      <c r="A9642" s="62" t="n"/>
      <c r="B9642" s="63" t="n"/>
      <c r="C9642" s="64" t="n"/>
      <c r="D9642" s="64" t="n"/>
      <c r="E9642" s="63" t="n"/>
    </row>
    <row r="9643" ht="18" customHeight="1">
      <c r="A9643" s="62" t="n"/>
      <c r="B9643" s="63" t="n"/>
      <c r="C9643" s="64" t="n"/>
      <c r="D9643" s="64" t="n"/>
      <c r="E9643" s="63" t="n"/>
    </row>
    <row r="9644" ht="18" customHeight="1">
      <c r="A9644" s="62" t="n"/>
      <c r="B9644" s="63" t="n"/>
      <c r="C9644" s="64" t="n"/>
      <c r="D9644" s="64" t="n"/>
      <c r="E9644" s="63" t="n"/>
    </row>
    <row r="9645" ht="18" customHeight="1">
      <c r="A9645" s="62" t="n"/>
      <c r="B9645" s="63" t="n"/>
      <c r="C9645" s="64" t="n"/>
      <c r="D9645" s="64" t="n"/>
      <c r="E9645" s="63" t="n"/>
    </row>
    <row r="9646" ht="18" customHeight="1">
      <c r="A9646" s="62" t="n"/>
      <c r="B9646" s="63" t="n"/>
      <c r="C9646" s="64" t="n"/>
      <c r="D9646" s="64" t="n"/>
      <c r="E9646" s="63" t="n"/>
    </row>
    <row r="9647" ht="18" customHeight="1">
      <c r="A9647" s="62" t="n"/>
      <c r="B9647" s="63" t="n"/>
      <c r="C9647" s="64" t="n"/>
      <c r="D9647" s="64" t="n"/>
      <c r="E9647" s="63" t="n"/>
    </row>
    <row r="9648" ht="18" customHeight="1">
      <c r="A9648" s="62" t="n"/>
      <c r="B9648" s="63" t="n"/>
      <c r="C9648" s="64" t="n"/>
      <c r="D9648" s="64" t="n"/>
      <c r="E9648" s="63" t="n"/>
    </row>
    <row r="9649" ht="18" customHeight="1">
      <c r="A9649" s="62" t="n"/>
      <c r="B9649" s="63" t="n"/>
      <c r="C9649" s="64" t="n"/>
      <c r="D9649" s="64" t="n"/>
      <c r="E9649" s="63" t="n"/>
    </row>
    <row r="9650" ht="18" customHeight="1">
      <c r="A9650" s="62" t="n"/>
      <c r="B9650" s="63" t="n"/>
      <c r="C9650" s="64" t="n"/>
      <c r="D9650" s="64" t="n"/>
      <c r="E9650" s="63" t="n"/>
    </row>
    <row r="9651" ht="18" customHeight="1">
      <c r="A9651" s="62" t="n"/>
      <c r="B9651" s="63" t="n"/>
      <c r="C9651" s="64" t="n"/>
      <c r="D9651" s="64" t="n"/>
      <c r="E9651" s="63" t="n"/>
    </row>
    <row r="9652" ht="18" customHeight="1">
      <c r="A9652" s="62" t="n"/>
      <c r="B9652" s="63" t="n"/>
      <c r="C9652" s="64" t="n"/>
      <c r="D9652" s="64" t="n"/>
      <c r="E9652" s="63" t="n"/>
    </row>
    <row r="9653" ht="18" customHeight="1">
      <c r="A9653" s="62" t="n"/>
      <c r="B9653" s="63" t="n"/>
      <c r="C9653" s="64" t="n"/>
      <c r="D9653" s="64" t="n"/>
      <c r="E9653" s="63" t="n"/>
    </row>
    <row r="9654" ht="18" customHeight="1">
      <c r="A9654" s="62" t="n"/>
      <c r="B9654" s="63" t="n"/>
      <c r="C9654" s="64" t="n"/>
      <c r="D9654" s="64" t="n"/>
      <c r="E9654" s="63" t="n"/>
    </row>
    <row r="9655" ht="18" customHeight="1">
      <c r="A9655" s="62" t="n"/>
      <c r="B9655" s="63" t="n"/>
      <c r="C9655" s="64" t="n"/>
      <c r="D9655" s="64" t="n"/>
      <c r="E9655" s="63" t="n"/>
    </row>
    <row r="9656" ht="18" customHeight="1">
      <c r="A9656" s="62" t="n"/>
      <c r="B9656" s="63" t="n"/>
      <c r="C9656" s="64" t="n"/>
      <c r="D9656" s="64" t="n"/>
      <c r="E9656" s="63" t="n"/>
    </row>
    <row r="9657" ht="18" customHeight="1">
      <c r="A9657" s="62" t="n"/>
      <c r="B9657" s="63" t="n"/>
      <c r="C9657" s="64" t="n"/>
      <c r="D9657" s="64" t="n"/>
      <c r="E9657" s="63" t="n"/>
    </row>
    <row r="9658" ht="18" customHeight="1">
      <c r="A9658" s="62" t="n"/>
      <c r="B9658" s="63" t="n"/>
      <c r="C9658" s="64" t="n"/>
      <c r="D9658" s="64" t="n"/>
      <c r="E9658" s="63" t="n"/>
    </row>
    <row r="9659" ht="18" customHeight="1">
      <c r="A9659" s="62" t="n"/>
      <c r="B9659" s="63" t="n"/>
      <c r="C9659" s="64" t="n"/>
      <c r="D9659" s="64" t="n"/>
      <c r="E9659" s="63" t="n"/>
    </row>
    <row r="9660" ht="18" customHeight="1">
      <c r="A9660" s="62" t="n"/>
      <c r="B9660" s="63" t="n"/>
      <c r="C9660" s="64" t="n"/>
      <c r="D9660" s="64" t="n"/>
      <c r="E9660" s="63" t="n"/>
    </row>
    <row r="9661" ht="18" customHeight="1">
      <c r="A9661" s="62" t="n"/>
      <c r="B9661" s="63" t="n"/>
      <c r="C9661" s="64" t="n"/>
      <c r="D9661" s="64" t="n"/>
      <c r="E9661" s="63" t="n"/>
    </row>
    <row r="9662" ht="18" customHeight="1">
      <c r="A9662" s="62" t="n"/>
      <c r="B9662" s="63" t="n"/>
      <c r="C9662" s="64" t="n"/>
      <c r="D9662" s="64" t="n"/>
      <c r="E9662" s="63" t="n"/>
    </row>
    <row r="9663" ht="18" customHeight="1">
      <c r="A9663" s="62" t="n"/>
      <c r="B9663" s="63" t="n"/>
      <c r="C9663" s="64" t="n"/>
      <c r="D9663" s="64" t="n"/>
      <c r="E9663" s="63" t="n"/>
    </row>
    <row r="9664" ht="18" customHeight="1">
      <c r="A9664" s="62" t="n"/>
      <c r="B9664" s="63" t="n"/>
      <c r="C9664" s="64" t="n"/>
      <c r="D9664" s="64" t="n"/>
      <c r="E9664" s="63" t="n"/>
    </row>
    <row r="9665" ht="18" customHeight="1">
      <c r="A9665" s="62" t="n"/>
      <c r="B9665" s="63" t="n"/>
      <c r="C9665" s="64" t="n"/>
      <c r="D9665" s="64" t="n"/>
      <c r="E9665" s="63" t="n"/>
    </row>
    <row r="9666" ht="18" customHeight="1">
      <c r="A9666" s="62" t="n"/>
      <c r="B9666" s="63" t="n"/>
      <c r="C9666" s="64" t="n"/>
      <c r="D9666" s="64" t="n"/>
      <c r="E9666" s="63" t="n"/>
    </row>
    <row r="9667" ht="18" customHeight="1">
      <c r="A9667" s="62" t="n"/>
      <c r="B9667" s="63" t="n"/>
      <c r="C9667" s="64" t="n"/>
      <c r="D9667" s="64" t="n"/>
      <c r="E9667" s="63" t="n"/>
    </row>
    <row r="9668" ht="18" customHeight="1">
      <c r="A9668" s="62" t="n"/>
      <c r="B9668" s="63" t="n"/>
      <c r="C9668" s="64" t="n"/>
      <c r="D9668" s="64" t="n"/>
      <c r="E9668" s="63" t="n"/>
    </row>
    <row r="9669" ht="18" customHeight="1">
      <c r="A9669" s="62" t="n"/>
      <c r="B9669" s="63" t="n"/>
      <c r="C9669" s="64" t="n"/>
      <c r="D9669" s="64" t="n"/>
      <c r="E9669" s="63" t="n"/>
    </row>
    <row r="9670" ht="18" customHeight="1">
      <c r="A9670" s="62" t="n"/>
      <c r="B9670" s="63" t="n"/>
      <c r="C9670" s="64" t="n"/>
      <c r="D9670" s="64" t="n"/>
      <c r="E9670" s="63" t="n"/>
    </row>
    <row r="9671" ht="18" customHeight="1">
      <c r="A9671" s="62" t="n"/>
      <c r="B9671" s="63" t="n"/>
      <c r="C9671" s="64" t="n"/>
      <c r="D9671" s="64" t="n"/>
      <c r="E9671" s="63" t="n"/>
    </row>
    <row r="9672" ht="18" customHeight="1">
      <c r="A9672" s="62" t="n"/>
      <c r="B9672" s="63" t="n"/>
      <c r="C9672" s="64" t="n"/>
      <c r="D9672" s="64" t="n"/>
      <c r="E9672" s="63" t="n"/>
    </row>
    <row r="9673" ht="18" customHeight="1">
      <c r="A9673" s="62" t="n"/>
      <c r="B9673" s="63" t="n"/>
      <c r="C9673" s="64" t="n"/>
      <c r="D9673" s="64" t="n"/>
      <c r="E9673" s="63" t="n"/>
    </row>
    <row r="9674" ht="18" customHeight="1">
      <c r="A9674" s="62" t="n"/>
      <c r="B9674" s="63" t="n"/>
      <c r="C9674" s="64" t="n"/>
      <c r="D9674" s="64" t="n"/>
      <c r="E9674" s="63" t="n"/>
    </row>
    <row r="9675" ht="18" customHeight="1">
      <c r="A9675" s="62" t="n"/>
      <c r="B9675" s="63" t="n"/>
      <c r="C9675" s="64" t="n"/>
      <c r="D9675" s="64" t="n"/>
      <c r="E9675" s="63" t="n"/>
    </row>
    <row r="9676" ht="18" customHeight="1">
      <c r="A9676" s="62" t="n"/>
      <c r="B9676" s="63" t="n"/>
      <c r="C9676" s="64" t="n"/>
      <c r="D9676" s="64" t="n"/>
      <c r="E9676" s="63" t="n"/>
    </row>
    <row r="9677" ht="18" customHeight="1">
      <c r="A9677" s="62" t="n"/>
      <c r="B9677" s="63" t="n"/>
      <c r="C9677" s="64" t="n"/>
      <c r="D9677" s="64" t="n"/>
      <c r="E9677" s="63" t="n"/>
    </row>
    <row r="9678" ht="18" customHeight="1">
      <c r="A9678" s="62" t="n"/>
      <c r="B9678" s="63" t="n"/>
      <c r="C9678" s="64" t="n"/>
      <c r="D9678" s="64" t="n"/>
      <c r="E9678" s="63" t="n"/>
    </row>
    <row r="9679" ht="18" customHeight="1">
      <c r="A9679" s="62" t="n"/>
      <c r="B9679" s="63" t="n"/>
      <c r="C9679" s="64" t="n"/>
      <c r="D9679" s="64" t="n"/>
      <c r="E9679" s="63" t="n"/>
    </row>
    <row r="9680" ht="18" customHeight="1">
      <c r="A9680" s="62" t="n"/>
      <c r="B9680" s="63" t="n"/>
      <c r="C9680" s="64" t="n"/>
      <c r="D9680" s="64" t="n"/>
      <c r="E9680" s="63" t="n"/>
    </row>
    <row r="9681" ht="18" customHeight="1">
      <c r="A9681" s="62" t="n"/>
      <c r="B9681" s="63" t="n"/>
      <c r="C9681" s="64" t="n"/>
      <c r="D9681" s="64" t="n"/>
      <c r="E9681" s="63" t="n"/>
    </row>
    <row r="9682" ht="18" customHeight="1">
      <c r="A9682" s="62" t="n"/>
      <c r="B9682" s="63" t="n"/>
      <c r="C9682" s="64" t="n"/>
      <c r="D9682" s="64" t="n"/>
      <c r="E9682" s="63" t="n"/>
    </row>
    <row r="9683" ht="18" customHeight="1">
      <c r="A9683" s="62" t="n"/>
      <c r="B9683" s="63" t="n"/>
      <c r="C9683" s="64" t="n"/>
      <c r="D9683" s="64" t="n"/>
      <c r="E9683" s="63" t="n"/>
    </row>
    <row r="9684" ht="18" customHeight="1">
      <c r="A9684" s="62" t="n"/>
      <c r="B9684" s="63" t="n"/>
      <c r="C9684" s="64" t="n"/>
      <c r="D9684" s="64" t="n"/>
      <c r="E9684" s="63" t="n"/>
    </row>
    <row r="9685" ht="18" customHeight="1">
      <c r="A9685" s="62" t="n"/>
      <c r="B9685" s="63" t="n"/>
      <c r="C9685" s="64" t="n"/>
      <c r="D9685" s="64" t="n"/>
      <c r="E9685" s="63" t="n"/>
    </row>
    <row r="9686" ht="18" customHeight="1">
      <c r="A9686" s="62" t="n"/>
      <c r="B9686" s="63" t="n"/>
      <c r="C9686" s="64" t="n"/>
      <c r="D9686" s="64" t="n"/>
      <c r="E9686" s="63" t="n"/>
    </row>
    <row r="9687" ht="18" customHeight="1">
      <c r="A9687" s="62" t="n"/>
      <c r="B9687" s="63" t="n"/>
      <c r="C9687" s="64" t="n"/>
      <c r="D9687" s="64" t="n"/>
      <c r="E9687" s="63" t="n"/>
    </row>
    <row r="9688" ht="18" customHeight="1">
      <c r="A9688" s="62" t="n"/>
      <c r="B9688" s="63" t="n"/>
      <c r="C9688" s="64" t="n"/>
      <c r="D9688" s="64" t="n"/>
      <c r="E9688" s="63" t="n"/>
    </row>
    <row r="9689" ht="18" customHeight="1">
      <c r="A9689" s="62" t="n"/>
      <c r="B9689" s="63" t="n"/>
      <c r="C9689" s="64" t="n"/>
      <c r="D9689" s="64" t="n"/>
      <c r="E9689" s="63" t="n"/>
    </row>
    <row r="9690" ht="18" customHeight="1">
      <c r="A9690" s="62" t="n"/>
      <c r="B9690" s="63" t="n"/>
      <c r="C9690" s="64" t="n"/>
      <c r="D9690" s="64" t="n"/>
      <c r="E9690" s="63" t="n"/>
    </row>
    <row r="9691" ht="18" customHeight="1">
      <c r="A9691" s="62" t="n"/>
      <c r="B9691" s="63" t="n"/>
      <c r="C9691" s="64" t="n"/>
      <c r="D9691" s="64" t="n"/>
      <c r="E9691" s="63" t="n"/>
    </row>
    <row r="9692" ht="18" customHeight="1">
      <c r="A9692" s="62" t="n"/>
      <c r="B9692" s="63" t="n"/>
      <c r="C9692" s="64" t="n"/>
      <c r="D9692" s="64" t="n"/>
      <c r="E9692" s="63" t="n"/>
    </row>
    <row r="9693" ht="18" customHeight="1">
      <c r="A9693" s="62" t="n"/>
      <c r="B9693" s="63" t="n"/>
      <c r="C9693" s="64" t="n"/>
      <c r="D9693" s="64" t="n"/>
      <c r="E9693" s="63" t="n"/>
    </row>
    <row r="9694" ht="18" customHeight="1">
      <c r="A9694" s="62" t="n"/>
      <c r="B9694" s="63" t="n"/>
      <c r="C9694" s="64" t="n"/>
      <c r="D9694" s="64" t="n"/>
      <c r="E9694" s="63" t="n"/>
    </row>
    <row r="9695" ht="18" customHeight="1">
      <c r="A9695" s="62" t="n"/>
      <c r="B9695" s="63" t="n"/>
      <c r="C9695" s="64" t="n"/>
      <c r="D9695" s="64" t="n"/>
      <c r="E9695" s="63" t="n"/>
    </row>
    <row r="9696" ht="18" customHeight="1">
      <c r="A9696" s="62" t="n"/>
      <c r="B9696" s="63" t="n"/>
      <c r="C9696" s="64" t="n"/>
      <c r="D9696" s="64" t="n"/>
      <c r="E9696" s="63" t="n"/>
    </row>
    <row r="9697" ht="18" customHeight="1">
      <c r="A9697" s="62" t="n"/>
      <c r="B9697" s="63" t="n"/>
      <c r="C9697" s="64" t="n"/>
      <c r="D9697" s="64" t="n"/>
      <c r="E9697" s="63" t="n"/>
    </row>
    <row r="9698" ht="18" customHeight="1">
      <c r="A9698" s="62" t="n"/>
      <c r="B9698" s="63" t="n"/>
      <c r="C9698" s="64" t="n"/>
      <c r="D9698" s="64" t="n"/>
      <c r="E9698" s="63" t="n"/>
    </row>
    <row r="9699" ht="18" customHeight="1">
      <c r="A9699" s="62" t="n"/>
      <c r="B9699" s="63" t="n"/>
      <c r="C9699" s="64" t="n"/>
      <c r="D9699" s="64" t="n"/>
      <c r="E9699" s="63" t="n"/>
    </row>
    <row r="9700" ht="18" customHeight="1">
      <c r="A9700" s="62" t="n"/>
      <c r="B9700" s="63" t="n"/>
      <c r="C9700" s="64" t="n"/>
      <c r="D9700" s="64" t="n"/>
      <c r="E9700" s="63" t="n"/>
    </row>
    <row r="9701" ht="18" customHeight="1">
      <c r="A9701" s="62" t="n"/>
      <c r="B9701" s="63" t="n"/>
      <c r="C9701" s="64" t="n"/>
      <c r="D9701" s="64" t="n"/>
      <c r="E9701" s="63" t="n"/>
    </row>
    <row r="9702" ht="18" customHeight="1">
      <c r="A9702" s="62" t="n"/>
      <c r="B9702" s="63" t="n"/>
      <c r="C9702" s="64" t="n"/>
      <c r="D9702" s="64" t="n"/>
      <c r="E9702" s="63" t="n"/>
    </row>
    <row r="9703" ht="18" customHeight="1">
      <c r="A9703" s="62" t="n"/>
      <c r="B9703" s="63" t="n"/>
      <c r="C9703" s="64" t="n"/>
      <c r="D9703" s="64" t="n"/>
      <c r="E9703" s="63" t="n"/>
    </row>
    <row r="9704" ht="18" customHeight="1">
      <c r="A9704" s="62" t="n"/>
      <c r="B9704" s="63" t="n"/>
      <c r="C9704" s="64" t="n"/>
      <c r="D9704" s="64" t="n"/>
      <c r="E9704" s="63" t="n"/>
    </row>
    <row r="9705" ht="18" customHeight="1">
      <c r="A9705" s="62" t="n"/>
      <c r="B9705" s="63" t="n"/>
      <c r="C9705" s="64" t="n"/>
      <c r="D9705" s="64" t="n"/>
      <c r="E9705" s="63" t="n"/>
    </row>
    <row r="9706" ht="18" customHeight="1">
      <c r="A9706" s="62" t="n"/>
      <c r="B9706" s="63" t="n"/>
      <c r="C9706" s="64" t="n"/>
      <c r="D9706" s="64" t="n"/>
      <c r="E9706" s="63" t="n"/>
    </row>
    <row r="9707" ht="18" customHeight="1">
      <c r="A9707" s="62" t="n"/>
      <c r="B9707" s="63" t="n"/>
      <c r="C9707" s="64" t="n"/>
      <c r="D9707" s="64" t="n"/>
      <c r="E9707" s="63" t="n"/>
    </row>
    <row r="9708" ht="18" customHeight="1">
      <c r="A9708" s="62" t="n"/>
      <c r="B9708" s="63" t="n"/>
      <c r="C9708" s="64" t="n"/>
      <c r="D9708" s="64" t="n"/>
      <c r="E9708" s="63" t="n"/>
    </row>
    <row r="9709" ht="18" customHeight="1">
      <c r="A9709" s="62" t="n"/>
      <c r="B9709" s="63" t="n"/>
      <c r="C9709" s="64" t="n"/>
      <c r="D9709" s="64" t="n"/>
      <c r="E9709" s="63" t="n"/>
    </row>
    <row r="9710" ht="18" customHeight="1">
      <c r="A9710" s="62" t="n"/>
      <c r="B9710" s="63" t="n"/>
      <c r="C9710" s="64" t="n"/>
      <c r="D9710" s="64" t="n"/>
      <c r="E9710" s="63" t="n"/>
    </row>
    <row r="9711" ht="18" customHeight="1">
      <c r="A9711" s="62" t="n"/>
      <c r="B9711" s="63" t="n"/>
      <c r="C9711" s="64" t="n"/>
      <c r="D9711" s="64" t="n"/>
      <c r="E9711" s="63" t="n"/>
    </row>
    <row r="9712" ht="18" customHeight="1">
      <c r="A9712" s="62" t="n"/>
      <c r="B9712" s="63" t="n"/>
      <c r="C9712" s="64" t="n"/>
      <c r="D9712" s="64" t="n"/>
      <c r="E9712" s="63" t="n"/>
    </row>
    <row r="9713" ht="18" customHeight="1">
      <c r="A9713" s="62" t="n"/>
      <c r="B9713" s="63" t="n"/>
      <c r="C9713" s="64" t="n"/>
      <c r="D9713" s="64" t="n"/>
      <c r="E9713" s="63" t="n"/>
    </row>
    <row r="9714" ht="18" customHeight="1">
      <c r="A9714" s="62" t="n"/>
      <c r="B9714" s="63" t="n"/>
      <c r="C9714" s="64" t="n"/>
      <c r="D9714" s="64" t="n"/>
      <c r="E9714" s="63" t="n"/>
    </row>
    <row r="9715" ht="18" customHeight="1">
      <c r="A9715" s="62" t="n"/>
      <c r="B9715" s="63" t="n"/>
      <c r="C9715" s="64" t="n"/>
      <c r="D9715" s="64" t="n"/>
      <c r="E9715" s="63" t="n"/>
    </row>
    <row r="9716" ht="18" customHeight="1">
      <c r="A9716" s="62" t="n"/>
      <c r="B9716" s="63" t="n"/>
      <c r="C9716" s="64" t="n"/>
      <c r="D9716" s="64" t="n"/>
      <c r="E9716" s="63" t="n"/>
    </row>
    <row r="9717" ht="18" customHeight="1">
      <c r="A9717" s="62" t="n"/>
      <c r="B9717" s="63" t="n"/>
      <c r="C9717" s="64" t="n"/>
      <c r="D9717" s="64" t="n"/>
      <c r="E9717" s="63" t="n"/>
    </row>
    <row r="9718" ht="18" customHeight="1">
      <c r="A9718" s="62" t="n"/>
      <c r="B9718" s="63" t="n"/>
      <c r="C9718" s="64" t="n"/>
      <c r="D9718" s="64" t="n"/>
      <c r="E9718" s="63" t="n"/>
    </row>
    <row r="9719" ht="18" customHeight="1">
      <c r="A9719" s="62" t="n"/>
      <c r="B9719" s="63" t="n"/>
      <c r="C9719" s="64" t="n"/>
      <c r="D9719" s="64" t="n"/>
      <c r="E9719" s="63" t="n"/>
    </row>
    <row r="9720" ht="18" customHeight="1">
      <c r="A9720" s="62" t="n"/>
      <c r="B9720" s="63" t="n"/>
      <c r="C9720" s="64" t="n"/>
      <c r="D9720" s="64" t="n"/>
      <c r="E9720" s="63" t="n"/>
    </row>
    <row r="9721" ht="18" customHeight="1">
      <c r="A9721" s="62" t="n"/>
      <c r="B9721" s="63" t="n"/>
      <c r="C9721" s="64" t="n"/>
      <c r="D9721" s="64" t="n"/>
      <c r="E9721" s="63" t="n"/>
    </row>
    <row r="9722" ht="18" customHeight="1">
      <c r="A9722" s="62" t="n"/>
      <c r="B9722" s="63" t="n"/>
      <c r="C9722" s="64" t="n"/>
      <c r="D9722" s="64" t="n"/>
      <c r="E9722" s="63" t="n"/>
    </row>
    <row r="9723" ht="18" customHeight="1">
      <c r="A9723" s="62" t="n"/>
      <c r="B9723" s="63" t="n"/>
      <c r="C9723" s="64" t="n"/>
      <c r="D9723" s="64" t="n"/>
      <c r="E9723" s="63" t="n"/>
    </row>
    <row r="9724" ht="18" customHeight="1">
      <c r="A9724" s="62" t="n"/>
      <c r="B9724" s="63" t="n"/>
      <c r="C9724" s="64" t="n"/>
      <c r="D9724" s="64" t="n"/>
      <c r="E9724" s="63" t="n"/>
    </row>
    <row r="9725" ht="18" customHeight="1">
      <c r="A9725" s="62" t="n"/>
      <c r="B9725" s="63" t="n"/>
      <c r="C9725" s="64" t="n"/>
      <c r="D9725" s="64" t="n"/>
      <c r="E9725" s="63" t="n"/>
    </row>
    <row r="9726" ht="18" customHeight="1">
      <c r="A9726" s="62" t="n"/>
      <c r="B9726" s="63" t="n"/>
      <c r="C9726" s="64" t="n"/>
      <c r="D9726" s="64" t="n"/>
      <c r="E9726" s="63" t="n"/>
    </row>
    <row r="9727" ht="18" customHeight="1">
      <c r="A9727" s="62" t="n"/>
      <c r="B9727" s="63" t="n"/>
      <c r="C9727" s="64" t="n"/>
      <c r="D9727" s="64" t="n"/>
      <c r="E9727" s="63" t="n"/>
    </row>
    <row r="9728" ht="18" customHeight="1">
      <c r="A9728" s="62" t="n"/>
      <c r="B9728" s="63" t="n"/>
      <c r="C9728" s="64" t="n"/>
      <c r="D9728" s="64" t="n"/>
      <c r="E9728" s="63" t="n"/>
    </row>
    <row r="9729" ht="18" customHeight="1">
      <c r="A9729" s="62" t="n"/>
      <c r="B9729" s="63" t="n"/>
      <c r="C9729" s="64" t="n"/>
      <c r="D9729" s="64" t="n"/>
      <c r="E9729" s="63" t="n"/>
    </row>
    <row r="9730" ht="18" customHeight="1">
      <c r="A9730" s="62" t="n"/>
      <c r="B9730" s="63" t="n"/>
      <c r="C9730" s="64" t="n"/>
      <c r="D9730" s="64" t="n"/>
      <c r="E9730" s="63" t="n"/>
    </row>
    <row r="9731" ht="18" customHeight="1">
      <c r="A9731" s="62" t="n"/>
      <c r="B9731" s="63" t="n"/>
      <c r="C9731" s="64" t="n"/>
      <c r="D9731" s="64" t="n"/>
      <c r="E9731" s="63" t="n"/>
    </row>
    <row r="9732" ht="18" customHeight="1">
      <c r="A9732" s="62" t="n"/>
      <c r="B9732" s="63" t="n"/>
      <c r="C9732" s="64" t="n"/>
      <c r="D9732" s="64" t="n"/>
      <c r="E9732" s="63" t="n"/>
    </row>
    <row r="9733" ht="18" customHeight="1">
      <c r="A9733" s="62" t="n"/>
      <c r="B9733" s="63" t="n"/>
      <c r="C9733" s="64" t="n"/>
      <c r="D9733" s="64" t="n"/>
      <c r="E9733" s="63" t="n"/>
    </row>
    <row r="9734" ht="18" customHeight="1">
      <c r="A9734" s="62" t="n"/>
      <c r="B9734" s="63" t="n"/>
      <c r="C9734" s="64" t="n"/>
      <c r="D9734" s="64" t="n"/>
      <c r="E9734" s="63" t="n"/>
    </row>
    <row r="9735" ht="18" customHeight="1">
      <c r="A9735" s="62" t="n"/>
      <c r="B9735" s="63" t="n"/>
      <c r="C9735" s="64" t="n"/>
      <c r="D9735" s="64" t="n"/>
      <c r="E9735" s="63" t="n"/>
    </row>
    <row r="9736" ht="18" customHeight="1">
      <c r="A9736" s="62" t="n"/>
      <c r="B9736" s="63" t="n"/>
      <c r="C9736" s="64" t="n"/>
      <c r="D9736" s="64" t="n"/>
      <c r="E9736" s="63" t="n"/>
    </row>
    <row r="9737" ht="18" customHeight="1">
      <c r="A9737" s="62" t="n"/>
      <c r="B9737" s="63" t="n"/>
      <c r="C9737" s="64" t="n"/>
      <c r="D9737" s="64" t="n"/>
      <c r="E9737" s="63" t="n"/>
    </row>
    <row r="9738" ht="18" customHeight="1">
      <c r="A9738" s="62" t="n"/>
      <c r="B9738" s="63" t="n"/>
      <c r="C9738" s="64" t="n"/>
      <c r="D9738" s="64" t="n"/>
      <c r="E9738" s="63" t="n"/>
    </row>
    <row r="9739" ht="18" customHeight="1">
      <c r="A9739" s="62" t="n"/>
      <c r="B9739" s="63" t="n"/>
      <c r="C9739" s="64" t="n"/>
      <c r="D9739" s="64" t="n"/>
      <c r="E9739" s="63" t="n"/>
    </row>
    <row r="9740" ht="18" customHeight="1">
      <c r="A9740" s="62" t="n"/>
      <c r="B9740" s="63" t="n"/>
      <c r="C9740" s="64" t="n"/>
      <c r="D9740" s="64" t="n"/>
      <c r="E9740" s="63" t="n"/>
    </row>
    <row r="9741" ht="18" customHeight="1">
      <c r="A9741" s="62" t="n"/>
      <c r="B9741" s="63" t="n"/>
      <c r="C9741" s="64" t="n"/>
      <c r="D9741" s="64" t="n"/>
      <c r="E9741" s="63" t="n"/>
    </row>
    <row r="9742" ht="18" customHeight="1">
      <c r="A9742" s="62" t="n"/>
      <c r="B9742" s="63" t="n"/>
      <c r="C9742" s="64" t="n"/>
      <c r="D9742" s="64" t="n"/>
      <c r="E9742" s="63" t="n"/>
    </row>
    <row r="9743" ht="18" customHeight="1">
      <c r="A9743" s="62" t="n"/>
      <c r="B9743" s="63" t="n"/>
      <c r="C9743" s="64" t="n"/>
      <c r="D9743" s="64" t="n"/>
      <c r="E9743" s="63" t="n"/>
    </row>
    <row r="9744" ht="18" customHeight="1">
      <c r="A9744" s="62" t="n"/>
      <c r="B9744" s="63" t="n"/>
      <c r="C9744" s="64" t="n"/>
      <c r="D9744" s="64" t="n"/>
      <c r="E9744" s="63" t="n"/>
    </row>
    <row r="9745" ht="18" customHeight="1">
      <c r="A9745" s="62" t="n"/>
      <c r="B9745" s="63" t="n"/>
      <c r="C9745" s="64" t="n"/>
      <c r="D9745" s="64" t="n"/>
      <c r="E9745" s="63" t="n"/>
    </row>
    <row r="9746" ht="18" customHeight="1">
      <c r="A9746" s="62" t="n"/>
      <c r="B9746" s="63" t="n"/>
      <c r="C9746" s="64" t="n"/>
      <c r="D9746" s="64" t="n"/>
      <c r="E9746" s="63" t="n"/>
    </row>
    <row r="9747" ht="18" customHeight="1">
      <c r="A9747" s="62" t="n"/>
      <c r="B9747" s="63" t="n"/>
      <c r="C9747" s="64" t="n"/>
      <c r="D9747" s="64" t="n"/>
      <c r="E9747" s="63" t="n"/>
    </row>
    <row r="9748" ht="18" customHeight="1">
      <c r="A9748" s="62" t="n"/>
      <c r="B9748" s="63" t="n"/>
      <c r="C9748" s="64" t="n"/>
      <c r="D9748" s="64" t="n"/>
      <c r="E9748" s="63" t="n"/>
    </row>
    <row r="9749" ht="18" customHeight="1">
      <c r="A9749" s="62" t="n"/>
      <c r="B9749" s="63" t="n"/>
      <c r="C9749" s="64" t="n"/>
      <c r="D9749" s="64" t="n"/>
      <c r="E9749" s="63" t="n"/>
    </row>
    <row r="9750" ht="18" customHeight="1">
      <c r="A9750" s="62" t="n"/>
      <c r="B9750" s="63" t="n"/>
      <c r="C9750" s="64" t="n"/>
      <c r="D9750" s="64" t="n"/>
      <c r="E9750" s="63" t="n"/>
    </row>
    <row r="9751" ht="18" customHeight="1">
      <c r="A9751" s="62" t="n"/>
      <c r="B9751" s="63" t="n"/>
      <c r="C9751" s="64" t="n"/>
      <c r="D9751" s="64" t="n"/>
      <c r="E9751" s="63" t="n"/>
    </row>
    <row r="9752" ht="18" customHeight="1">
      <c r="A9752" s="62" t="n"/>
      <c r="B9752" s="63" t="n"/>
      <c r="C9752" s="64" t="n"/>
      <c r="D9752" s="64" t="n"/>
      <c r="E9752" s="63" t="n"/>
    </row>
    <row r="9753" ht="18" customHeight="1">
      <c r="A9753" s="62" t="n"/>
      <c r="B9753" s="63" t="n"/>
      <c r="C9753" s="64" t="n"/>
      <c r="D9753" s="64" t="n"/>
      <c r="E9753" s="63" t="n"/>
    </row>
    <row r="9754" ht="18" customHeight="1">
      <c r="A9754" s="62" t="n"/>
      <c r="B9754" s="63" t="n"/>
      <c r="C9754" s="64" t="n"/>
      <c r="D9754" s="64" t="n"/>
      <c r="E9754" s="63" t="n"/>
    </row>
    <row r="9755" ht="18" customHeight="1">
      <c r="A9755" s="62" t="n"/>
      <c r="B9755" s="63" t="n"/>
      <c r="C9755" s="64" t="n"/>
      <c r="D9755" s="64" t="n"/>
      <c r="E9755" s="63" t="n"/>
    </row>
    <row r="9756" ht="18" customHeight="1">
      <c r="A9756" s="62" t="n"/>
      <c r="B9756" s="63" t="n"/>
      <c r="C9756" s="64" t="n"/>
      <c r="D9756" s="64" t="n"/>
      <c r="E9756" s="63" t="n"/>
    </row>
    <row r="9757" ht="18" customHeight="1">
      <c r="A9757" s="62" t="n"/>
      <c r="B9757" s="63" t="n"/>
      <c r="C9757" s="64" t="n"/>
      <c r="D9757" s="64" t="n"/>
      <c r="E9757" s="63" t="n"/>
    </row>
    <row r="9758" ht="18" customHeight="1">
      <c r="A9758" s="62" t="n"/>
      <c r="B9758" s="63" t="n"/>
      <c r="C9758" s="64" t="n"/>
      <c r="D9758" s="64" t="n"/>
      <c r="E9758" s="63" t="n"/>
    </row>
    <row r="9759" ht="18" customHeight="1">
      <c r="A9759" s="62" t="n"/>
      <c r="B9759" s="63" t="n"/>
      <c r="C9759" s="64" t="n"/>
      <c r="D9759" s="64" t="n"/>
      <c r="E9759" s="63" t="n"/>
    </row>
    <row r="9760" ht="18" customHeight="1">
      <c r="A9760" s="62" t="n"/>
      <c r="B9760" s="63" t="n"/>
      <c r="C9760" s="64" t="n"/>
      <c r="D9760" s="64" t="n"/>
      <c r="E9760" s="63" t="n"/>
    </row>
    <row r="9761" ht="18" customHeight="1">
      <c r="A9761" s="62" t="n"/>
      <c r="B9761" s="63" t="n"/>
      <c r="C9761" s="64" t="n"/>
      <c r="D9761" s="64" t="n"/>
      <c r="E9761" s="63" t="n"/>
    </row>
    <row r="9762" ht="18" customHeight="1">
      <c r="A9762" s="62" t="n"/>
      <c r="B9762" s="63" t="n"/>
      <c r="C9762" s="64" t="n"/>
      <c r="D9762" s="64" t="n"/>
      <c r="E9762" s="63" t="n"/>
    </row>
    <row r="9763" ht="18" customHeight="1">
      <c r="A9763" s="62" t="n"/>
      <c r="B9763" s="63" t="n"/>
      <c r="C9763" s="64" t="n"/>
      <c r="D9763" s="64" t="n"/>
      <c r="E9763" s="63" t="n"/>
    </row>
    <row r="9764" ht="18" customHeight="1">
      <c r="A9764" s="62" t="n"/>
      <c r="B9764" s="63" t="n"/>
      <c r="C9764" s="64" t="n"/>
      <c r="D9764" s="64" t="n"/>
      <c r="E9764" s="63" t="n"/>
    </row>
    <row r="9765" ht="18" customHeight="1">
      <c r="A9765" s="62" t="n"/>
      <c r="B9765" s="63" t="n"/>
      <c r="C9765" s="64" t="n"/>
      <c r="D9765" s="64" t="n"/>
      <c r="E9765" s="63" t="n"/>
    </row>
    <row r="9766" ht="18" customHeight="1">
      <c r="A9766" s="62" t="n"/>
      <c r="B9766" s="63" t="n"/>
      <c r="C9766" s="64" t="n"/>
      <c r="D9766" s="64" t="n"/>
      <c r="E9766" s="63" t="n"/>
    </row>
    <row r="9767" ht="18" customHeight="1">
      <c r="A9767" s="62" t="n"/>
      <c r="B9767" s="63" t="n"/>
      <c r="C9767" s="64" t="n"/>
      <c r="D9767" s="64" t="n"/>
      <c r="E9767" s="63" t="n"/>
    </row>
    <row r="9768" ht="18" customHeight="1">
      <c r="A9768" s="62" t="n"/>
      <c r="B9768" s="63" t="n"/>
      <c r="C9768" s="64" t="n"/>
      <c r="D9768" s="64" t="n"/>
      <c r="E9768" s="63" t="n"/>
    </row>
    <row r="9769" ht="18" customHeight="1">
      <c r="A9769" s="62" t="n"/>
      <c r="B9769" s="63" t="n"/>
      <c r="C9769" s="64" t="n"/>
      <c r="D9769" s="64" t="n"/>
      <c r="E9769" s="63" t="n"/>
    </row>
    <row r="9770" ht="18" customHeight="1">
      <c r="A9770" s="62" t="n"/>
      <c r="B9770" s="63" t="n"/>
      <c r="C9770" s="64" t="n"/>
      <c r="D9770" s="64" t="n"/>
      <c r="E9770" s="63" t="n"/>
    </row>
    <row r="9771" ht="18" customHeight="1">
      <c r="A9771" s="62" t="n"/>
      <c r="B9771" s="63" t="n"/>
      <c r="C9771" s="64" t="n"/>
      <c r="D9771" s="64" t="n"/>
      <c r="E9771" s="63" t="n"/>
    </row>
    <row r="9772" ht="18" customHeight="1">
      <c r="A9772" s="62" t="n"/>
      <c r="B9772" s="63" t="n"/>
      <c r="C9772" s="64" t="n"/>
      <c r="D9772" s="64" t="n"/>
      <c r="E9772" s="63" t="n"/>
    </row>
    <row r="9773" ht="18" customHeight="1">
      <c r="A9773" s="62" t="n"/>
      <c r="B9773" s="63" t="n"/>
      <c r="C9773" s="64" t="n"/>
      <c r="D9773" s="64" t="n"/>
      <c r="E9773" s="63" t="n"/>
    </row>
    <row r="9774" ht="18" customHeight="1">
      <c r="A9774" s="62" t="n"/>
      <c r="B9774" s="63" t="n"/>
      <c r="C9774" s="64" t="n"/>
      <c r="D9774" s="64" t="n"/>
      <c r="E9774" s="63" t="n"/>
    </row>
    <row r="9775" ht="18" customHeight="1">
      <c r="A9775" s="62" t="n"/>
      <c r="B9775" s="63" t="n"/>
      <c r="C9775" s="64" t="n"/>
      <c r="D9775" s="64" t="n"/>
      <c r="E9775" s="63" t="n"/>
    </row>
    <row r="9776" ht="18" customHeight="1">
      <c r="A9776" s="62" t="n"/>
      <c r="B9776" s="63" t="n"/>
      <c r="C9776" s="64" t="n"/>
      <c r="D9776" s="64" t="n"/>
      <c r="E9776" s="63" t="n"/>
    </row>
    <row r="9777" ht="18" customHeight="1">
      <c r="A9777" s="62" t="n"/>
      <c r="B9777" s="63" t="n"/>
      <c r="C9777" s="64" t="n"/>
      <c r="D9777" s="64" t="n"/>
      <c r="E9777" s="63" t="n"/>
    </row>
    <row r="9778" ht="18" customHeight="1">
      <c r="A9778" s="62" t="n"/>
      <c r="B9778" s="63" t="n"/>
      <c r="C9778" s="64" t="n"/>
      <c r="D9778" s="64" t="n"/>
      <c r="E9778" s="63" t="n"/>
    </row>
    <row r="9779" ht="18" customHeight="1">
      <c r="A9779" s="62" t="n"/>
      <c r="B9779" s="63" t="n"/>
      <c r="C9779" s="64" t="n"/>
      <c r="D9779" s="64" t="n"/>
      <c r="E9779" s="63" t="n"/>
    </row>
    <row r="9780" ht="18" customHeight="1">
      <c r="A9780" s="62" t="n"/>
      <c r="B9780" s="63" t="n"/>
      <c r="C9780" s="64" t="n"/>
      <c r="D9780" s="64" t="n"/>
      <c r="E9780" s="63" t="n"/>
    </row>
    <row r="9781" ht="18" customHeight="1">
      <c r="A9781" s="62" t="n"/>
      <c r="B9781" s="63" t="n"/>
      <c r="C9781" s="64" t="n"/>
      <c r="D9781" s="64" t="n"/>
      <c r="E9781" s="63" t="n"/>
    </row>
    <row r="9782" ht="18" customHeight="1">
      <c r="A9782" s="62" t="n"/>
      <c r="B9782" s="63" t="n"/>
      <c r="C9782" s="64" t="n"/>
      <c r="D9782" s="64" t="n"/>
      <c r="E9782" s="63" t="n"/>
    </row>
    <row r="9783" ht="18" customHeight="1">
      <c r="A9783" s="62" t="n"/>
      <c r="B9783" s="63" t="n"/>
      <c r="C9783" s="64" t="n"/>
      <c r="D9783" s="64" t="n"/>
      <c r="E9783" s="63" t="n"/>
    </row>
    <row r="9784" ht="18" customHeight="1">
      <c r="A9784" s="62" t="n"/>
      <c r="B9784" s="63" t="n"/>
      <c r="C9784" s="64" t="n"/>
      <c r="D9784" s="64" t="n"/>
      <c r="E9784" s="63" t="n"/>
    </row>
    <row r="9785" ht="18" customHeight="1">
      <c r="A9785" s="62" t="n"/>
      <c r="B9785" s="63" t="n"/>
      <c r="C9785" s="64" t="n"/>
      <c r="D9785" s="64" t="n"/>
      <c r="E9785" s="63" t="n"/>
    </row>
    <row r="9786" ht="18" customHeight="1">
      <c r="A9786" s="62" t="n"/>
      <c r="B9786" s="63" t="n"/>
      <c r="C9786" s="64" t="n"/>
      <c r="D9786" s="64" t="n"/>
      <c r="E9786" s="63" t="n"/>
    </row>
    <row r="9787" ht="18" customHeight="1">
      <c r="A9787" s="62" t="n"/>
      <c r="B9787" s="63" t="n"/>
      <c r="C9787" s="64" t="n"/>
      <c r="D9787" s="64" t="n"/>
      <c r="E9787" s="63" t="n"/>
    </row>
    <row r="9788" ht="18" customHeight="1">
      <c r="A9788" s="62" t="n"/>
      <c r="B9788" s="63" t="n"/>
      <c r="C9788" s="64" t="n"/>
      <c r="D9788" s="64" t="n"/>
      <c r="E9788" s="63" t="n"/>
    </row>
    <row r="9789" ht="18" customHeight="1">
      <c r="A9789" s="62" t="n"/>
      <c r="B9789" s="63" t="n"/>
      <c r="C9789" s="64" t="n"/>
      <c r="D9789" s="64" t="n"/>
      <c r="E9789" s="63" t="n"/>
    </row>
    <row r="9790" ht="18" customHeight="1">
      <c r="A9790" s="62" t="n"/>
      <c r="B9790" s="63" t="n"/>
      <c r="C9790" s="64" t="n"/>
      <c r="D9790" s="64" t="n"/>
      <c r="E9790" s="63" t="n"/>
    </row>
    <row r="9791" ht="18" customHeight="1">
      <c r="A9791" s="62" t="n"/>
      <c r="B9791" s="63" t="n"/>
      <c r="C9791" s="64" t="n"/>
      <c r="D9791" s="64" t="n"/>
      <c r="E9791" s="63" t="n"/>
    </row>
    <row r="9792" ht="18" customHeight="1">
      <c r="A9792" s="62" t="n"/>
      <c r="B9792" s="63" t="n"/>
      <c r="C9792" s="64" t="n"/>
      <c r="D9792" s="64" t="n"/>
      <c r="E9792" s="63" t="n"/>
    </row>
    <row r="9793" ht="18" customHeight="1">
      <c r="A9793" s="62" t="n"/>
      <c r="B9793" s="63" t="n"/>
      <c r="C9793" s="64" t="n"/>
      <c r="D9793" s="64" t="n"/>
      <c r="E9793" s="63" t="n"/>
    </row>
    <row r="9794" ht="18" customHeight="1">
      <c r="A9794" s="62" t="n"/>
      <c r="B9794" s="63" t="n"/>
      <c r="C9794" s="64" t="n"/>
      <c r="D9794" s="64" t="n"/>
      <c r="E9794" s="63" t="n"/>
    </row>
    <row r="9795" ht="18" customHeight="1">
      <c r="A9795" s="62" t="n"/>
      <c r="B9795" s="63" t="n"/>
      <c r="C9795" s="64" t="n"/>
      <c r="D9795" s="64" t="n"/>
      <c r="E9795" s="63" t="n"/>
    </row>
    <row r="9796" ht="18" customHeight="1">
      <c r="A9796" s="62" t="n"/>
      <c r="B9796" s="63" t="n"/>
      <c r="C9796" s="64" t="n"/>
      <c r="D9796" s="64" t="n"/>
      <c r="E9796" s="63" t="n"/>
    </row>
    <row r="9797" ht="18" customHeight="1">
      <c r="A9797" s="62" t="n"/>
      <c r="B9797" s="63" t="n"/>
      <c r="C9797" s="64" t="n"/>
      <c r="D9797" s="64" t="n"/>
      <c r="E9797" s="63" t="n"/>
    </row>
    <row r="9798" ht="18" customHeight="1">
      <c r="A9798" s="62" t="n"/>
      <c r="B9798" s="63" t="n"/>
      <c r="C9798" s="64" t="n"/>
      <c r="D9798" s="64" t="n"/>
      <c r="E9798" s="63" t="n"/>
    </row>
    <row r="9799" ht="18" customHeight="1">
      <c r="A9799" s="62" t="n"/>
      <c r="B9799" s="63" t="n"/>
      <c r="C9799" s="64" t="n"/>
      <c r="D9799" s="64" t="n"/>
      <c r="E9799" s="63" t="n"/>
    </row>
    <row r="9800" ht="18" customHeight="1">
      <c r="A9800" s="62" t="n"/>
      <c r="B9800" s="63" t="n"/>
      <c r="C9800" s="64" t="n"/>
      <c r="D9800" s="64" t="n"/>
      <c r="E9800" s="63" t="n"/>
    </row>
    <row r="9801" ht="18" customHeight="1">
      <c r="A9801" s="62" t="n"/>
      <c r="B9801" s="63" t="n"/>
      <c r="C9801" s="64" t="n"/>
      <c r="D9801" s="64" t="n"/>
      <c r="E9801" s="63" t="n"/>
    </row>
    <row r="9802" ht="18" customHeight="1">
      <c r="A9802" s="62" t="n"/>
      <c r="B9802" s="63" t="n"/>
      <c r="C9802" s="64" t="n"/>
      <c r="D9802" s="64" t="n"/>
      <c r="E9802" s="63" t="n"/>
    </row>
    <row r="9803" ht="18" customHeight="1">
      <c r="A9803" s="62" t="n"/>
      <c r="B9803" s="63" t="n"/>
      <c r="C9803" s="64" t="n"/>
      <c r="D9803" s="64" t="n"/>
      <c r="E9803" s="63" t="n"/>
    </row>
    <row r="9804" ht="18" customHeight="1">
      <c r="A9804" s="62" t="n"/>
      <c r="B9804" s="63" t="n"/>
      <c r="C9804" s="64" t="n"/>
      <c r="D9804" s="64" t="n"/>
      <c r="E9804" s="63" t="n"/>
    </row>
    <row r="9805" ht="18" customHeight="1">
      <c r="A9805" s="62" t="n"/>
      <c r="B9805" s="63" t="n"/>
      <c r="C9805" s="64" t="n"/>
      <c r="D9805" s="64" t="n"/>
      <c r="E9805" s="63" t="n"/>
    </row>
    <row r="9806" ht="18" customHeight="1">
      <c r="A9806" s="62" t="n"/>
      <c r="B9806" s="63" t="n"/>
      <c r="C9806" s="64" t="n"/>
      <c r="D9806" s="64" t="n"/>
      <c r="E9806" s="63" t="n"/>
    </row>
    <row r="9807" ht="18" customHeight="1">
      <c r="A9807" s="62" t="n"/>
      <c r="B9807" s="63" t="n"/>
      <c r="C9807" s="64" t="n"/>
      <c r="D9807" s="64" t="n"/>
      <c r="E9807" s="63" t="n"/>
    </row>
    <row r="9808" ht="18" customHeight="1">
      <c r="A9808" s="62" t="n"/>
      <c r="B9808" s="63" t="n"/>
      <c r="C9808" s="64" t="n"/>
      <c r="D9808" s="64" t="n"/>
      <c r="E9808" s="63" t="n"/>
    </row>
    <row r="9809" ht="18" customHeight="1">
      <c r="A9809" s="62" t="n"/>
      <c r="B9809" s="63" t="n"/>
      <c r="C9809" s="64" t="n"/>
      <c r="D9809" s="64" t="n"/>
      <c r="E9809" s="63" t="n"/>
    </row>
    <row r="9810" ht="18" customHeight="1">
      <c r="A9810" s="62" t="n"/>
      <c r="B9810" s="63" t="n"/>
      <c r="C9810" s="64" t="n"/>
      <c r="D9810" s="64" t="n"/>
      <c r="E9810" s="63" t="n"/>
    </row>
    <row r="9811" ht="18" customHeight="1">
      <c r="A9811" s="62" t="n"/>
      <c r="B9811" s="63" t="n"/>
      <c r="C9811" s="64" t="n"/>
      <c r="D9811" s="64" t="n"/>
      <c r="E9811" s="63" t="n"/>
    </row>
    <row r="9812" ht="18" customHeight="1">
      <c r="A9812" s="62" t="n"/>
      <c r="B9812" s="63" t="n"/>
      <c r="C9812" s="64" t="n"/>
      <c r="D9812" s="64" t="n"/>
      <c r="E9812" s="63" t="n"/>
    </row>
    <row r="9813" ht="18" customHeight="1">
      <c r="A9813" s="62" t="n"/>
      <c r="B9813" s="63" t="n"/>
      <c r="C9813" s="64" t="n"/>
      <c r="D9813" s="64" t="n"/>
      <c r="E9813" s="63" t="n"/>
    </row>
    <row r="9814" ht="18" customHeight="1">
      <c r="A9814" s="62" t="n"/>
      <c r="B9814" s="63" t="n"/>
      <c r="C9814" s="64" t="n"/>
      <c r="D9814" s="64" t="n"/>
      <c r="E9814" s="63" t="n"/>
    </row>
    <row r="9815" ht="18" customHeight="1">
      <c r="A9815" s="62" t="n"/>
      <c r="B9815" s="63" t="n"/>
      <c r="C9815" s="64" t="n"/>
      <c r="D9815" s="64" t="n"/>
      <c r="E9815" s="63" t="n"/>
    </row>
    <row r="9816" ht="18" customHeight="1">
      <c r="A9816" s="62" t="n"/>
      <c r="B9816" s="63" t="n"/>
      <c r="C9816" s="64" t="n"/>
      <c r="D9816" s="64" t="n"/>
      <c r="E9816" s="63" t="n"/>
    </row>
    <row r="9817" ht="18" customHeight="1">
      <c r="A9817" s="62" t="n"/>
      <c r="B9817" s="63" t="n"/>
      <c r="C9817" s="64" t="n"/>
      <c r="D9817" s="64" t="n"/>
      <c r="E9817" s="63" t="n"/>
    </row>
    <row r="9818" ht="18" customHeight="1">
      <c r="A9818" s="62" t="n"/>
      <c r="B9818" s="63" t="n"/>
      <c r="C9818" s="64" t="n"/>
      <c r="D9818" s="64" t="n"/>
      <c r="E9818" s="63" t="n"/>
    </row>
    <row r="9819" ht="18" customHeight="1">
      <c r="A9819" s="62" t="n"/>
      <c r="B9819" s="63" t="n"/>
      <c r="C9819" s="64" t="n"/>
      <c r="D9819" s="64" t="n"/>
      <c r="E9819" s="63" t="n"/>
    </row>
    <row r="9820" ht="18" customHeight="1">
      <c r="A9820" s="62" t="n"/>
      <c r="B9820" s="63" t="n"/>
      <c r="C9820" s="64" t="n"/>
      <c r="D9820" s="64" t="n"/>
      <c r="E9820" s="63" t="n"/>
    </row>
    <row r="9821" ht="18" customHeight="1">
      <c r="A9821" s="62" t="n"/>
      <c r="B9821" s="63" t="n"/>
      <c r="C9821" s="64" t="n"/>
      <c r="D9821" s="64" t="n"/>
      <c r="E9821" s="63" t="n"/>
    </row>
    <row r="9822" ht="18" customHeight="1">
      <c r="A9822" s="62" t="n"/>
      <c r="B9822" s="63" t="n"/>
      <c r="C9822" s="64" t="n"/>
      <c r="D9822" s="64" t="n"/>
      <c r="E9822" s="63" t="n"/>
    </row>
    <row r="9823" ht="18" customHeight="1">
      <c r="A9823" s="62" t="n"/>
      <c r="B9823" s="63" t="n"/>
      <c r="C9823" s="64" t="n"/>
      <c r="D9823" s="64" t="n"/>
      <c r="E9823" s="63" t="n"/>
    </row>
    <row r="9824" ht="18" customHeight="1">
      <c r="A9824" s="62" t="n"/>
      <c r="B9824" s="63" t="n"/>
      <c r="C9824" s="64" t="n"/>
      <c r="D9824" s="64" t="n"/>
      <c r="E9824" s="63" t="n"/>
    </row>
    <row r="9825" ht="18" customHeight="1">
      <c r="A9825" s="62" t="n"/>
      <c r="B9825" s="63" t="n"/>
      <c r="C9825" s="64" t="n"/>
      <c r="D9825" s="64" t="n"/>
      <c r="E9825" s="63" t="n"/>
    </row>
    <row r="9826" ht="18" customHeight="1">
      <c r="A9826" s="62" t="n"/>
      <c r="B9826" s="63" t="n"/>
      <c r="C9826" s="64" t="n"/>
      <c r="D9826" s="64" t="n"/>
      <c r="E9826" s="63" t="n"/>
    </row>
    <row r="9827" ht="18" customHeight="1">
      <c r="A9827" s="62" t="n"/>
      <c r="B9827" s="63" t="n"/>
      <c r="C9827" s="64" t="n"/>
      <c r="D9827" s="64" t="n"/>
      <c r="E9827" s="63" t="n"/>
    </row>
    <row r="9828" ht="18" customHeight="1">
      <c r="A9828" s="62" t="n"/>
      <c r="B9828" s="63" t="n"/>
      <c r="C9828" s="64" t="n"/>
      <c r="D9828" s="64" t="n"/>
      <c r="E9828" s="63" t="n"/>
    </row>
    <row r="9829" ht="18" customHeight="1">
      <c r="A9829" s="62" t="n"/>
      <c r="B9829" s="63" t="n"/>
      <c r="C9829" s="64" t="n"/>
      <c r="D9829" s="64" t="n"/>
      <c r="E9829" s="63" t="n"/>
    </row>
    <row r="9830" ht="18" customHeight="1">
      <c r="A9830" s="62" t="n"/>
      <c r="B9830" s="63" t="n"/>
      <c r="C9830" s="64" t="n"/>
      <c r="D9830" s="64" t="n"/>
      <c r="E9830" s="63" t="n"/>
    </row>
    <row r="9831" ht="18" customHeight="1">
      <c r="A9831" s="62" t="n"/>
      <c r="B9831" s="63" t="n"/>
      <c r="C9831" s="64" t="n"/>
      <c r="D9831" s="64" t="n"/>
      <c r="E9831" s="63" t="n"/>
    </row>
    <row r="9832" ht="18" customHeight="1">
      <c r="A9832" s="62" t="n"/>
      <c r="B9832" s="63" t="n"/>
      <c r="C9832" s="64" t="n"/>
      <c r="D9832" s="64" t="n"/>
      <c r="E9832" s="63" t="n"/>
    </row>
    <row r="9833" ht="18" customHeight="1">
      <c r="A9833" s="62" t="n"/>
      <c r="B9833" s="63" t="n"/>
      <c r="C9833" s="64" t="n"/>
      <c r="D9833" s="64" t="n"/>
      <c r="E9833" s="63" t="n"/>
    </row>
    <row r="9834" ht="18" customHeight="1">
      <c r="A9834" s="62" t="n"/>
      <c r="B9834" s="63" t="n"/>
      <c r="C9834" s="64" t="n"/>
      <c r="D9834" s="64" t="n"/>
      <c r="E9834" s="63" t="n"/>
    </row>
    <row r="9835" ht="18" customHeight="1">
      <c r="A9835" s="62" t="n"/>
      <c r="B9835" s="63" t="n"/>
      <c r="C9835" s="64" t="n"/>
      <c r="D9835" s="64" t="n"/>
      <c r="E9835" s="63" t="n"/>
    </row>
    <row r="9836" ht="18" customHeight="1">
      <c r="A9836" s="62" t="n"/>
      <c r="B9836" s="63" t="n"/>
      <c r="C9836" s="64" t="n"/>
      <c r="D9836" s="64" t="n"/>
      <c r="E9836" s="63" t="n"/>
    </row>
    <row r="9837" ht="18" customHeight="1">
      <c r="A9837" s="62" t="n"/>
      <c r="B9837" s="63" t="n"/>
      <c r="C9837" s="64" t="n"/>
      <c r="D9837" s="64" t="n"/>
      <c r="E9837" s="63" t="n"/>
    </row>
    <row r="9838" ht="18" customHeight="1">
      <c r="A9838" s="62" t="n"/>
      <c r="B9838" s="63" t="n"/>
      <c r="C9838" s="64" t="n"/>
      <c r="D9838" s="64" t="n"/>
      <c r="E9838" s="63" t="n"/>
    </row>
    <row r="9839" ht="18" customHeight="1">
      <c r="A9839" s="62" t="n"/>
      <c r="B9839" s="63" t="n"/>
      <c r="C9839" s="64" t="n"/>
      <c r="D9839" s="64" t="n"/>
      <c r="E9839" s="63" t="n"/>
    </row>
    <row r="9840" ht="18" customHeight="1">
      <c r="A9840" s="62" t="n"/>
      <c r="B9840" s="63" t="n"/>
      <c r="C9840" s="64" t="n"/>
      <c r="D9840" s="64" t="n"/>
      <c r="E9840" s="63" t="n"/>
    </row>
    <row r="9841" ht="18" customHeight="1">
      <c r="A9841" s="62" t="n"/>
      <c r="B9841" s="63" t="n"/>
      <c r="C9841" s="64" t="n"/>
      <c r="D9841" s="64" t="n"/>
      <c r="E9841" s="63" t="n"/>
    </row>
    <row r="9842" ht="18" customHeight="1">
      <c r="A9842" s="62" t="n"/>
      <c r="B9842" s="63" t="n"/>
      <c r="C9842" s="64" t="n"/>
      <c r="D9842" s="64" t="n"/>
      <c r="E9842" s="63" t="n"/>
    </row>
    <row r="9843" ht="18" customHeight="1">
      <c r="A9843" s="62" t="n"/>
      <c r="B9843" s="63" t="n"/>
      <c r="C9843" s="64" t="n"/>
      <c r="D9843" s="64" t="n"/>
      <c r="E9843" s="63" t="n"/>
    </row>
    <row r="9844" ht="18" customHeight="1">
      <c r="A9844" s="62" t="n"/>
      <c r="B9844" s="63" t="n"/>
      <c r="C9844" s="64" t="n"/>
      <c r="D9844" s="64" t="n"/>
      <c r="E9844" s="63" t="n"/>
    </row>
    <row r="9845" ht="18" customHeight="1">
      <c r="A9845" s="62" t="n"/>
      <c r="B9845" s="63" t="n"/>
      <c r="C9845" s="64" t="n"/>
      <c r="D9845" s="64" t="n"/>
      <c r="E9845" s="63" t="n"/>
    </row>
    <row r="9846" ht="18" customHeight="1">
      <c r="A9846" s="62" t="n"/>
      <c r="B9846" s="63" t="n"/>
      <c r="C9846" s="64" t="n"/>
      <c r="D9846" s="64" t="n"/>
      <c r="E9846" s="63" t="n"/>
    </row>
    <row r="9847" ht="18" customHeight="1">
      <c r="A9847" s="62" t="n"/>
      <c r="B9847" s="63" t="n"/>
      <c r="C9847" s="64" t="n"/>
      <c r="D9847" s="64" t="n"/>
      <c r="E9847" s="63" t="n"/>
    </row>
    <row r="9848" ht="18" customHeight="1">
      <c r="A9848" s="62" t="n"/>
      <c r="B9848" s="63" t="n"/>
      <c r="C9848" s="64" t="n"/>
      <c r="D9848" s="64" t="n"/>
      <c r="E9848" s="63" t="n"/>
    </row>
    <row r="9849" ht="18" customHeight="1">
      <c r="A9849" s="62" t="n"/>
      <c r="B9849" s="63" t="n"/>
      <c r="C9849" s="64" t="n"/>
      <c r="D9849" s="64" t="n"/>
      <c r="E9849" s="63" t="n"/>
    </row>
    <row r="9850" ht="18" customHeight="1">
      <c r="A9850" s="62" t="n"/>
      <c r="B9850" s="63" t="n"/>
      <c r="C9850" s="64" t="n"/>
      <c r="D9850" s="64" t="n"/>
      <c r="E9850" s="63" t="n"/>
    </row>
    <row r="9851" ht="18" customHeight="1">
      <c r="A9851" s="62" t="n"/>
      <c r="B9851" s="63" t="n"/>
      <c r="C9851" s="64" t="n"/>
      <c r="D9851" s="64" t="n"/>
      <c r="E9851" s="63" t="n"/>
    </row>
    <row r="9852" ht="18" customHeight="1">
      <c r="A9852" s="62" t="n"/>
      <c r="B9852" s="63" t="n"/>
      <c r="C9852" s="64" t="n"/>
      <c r="D9852" s="64" t="n"/>
      <c r="E9852" s="63" t="n"/>
    </row>
    <row r="9853" ht="18" customHeight="1">
      <c r="A9853" s="62" t="n"/>
      <c r="B9853" s="63" t="n"/>
      <c r="C9853" s="64" t="n"/>
      <c r="D9853" s="64" t="n"/>
      <c r="E9853" s="63" t="n"/>
    </row>
    <row r="9854" ht="18" customHeight="1">
      <c r="A9854" s="62" t="n"/>
      <c r="B9854" s="63" t="n"/>
      <c r="C9854" s="64" t="n"/>
      <c r="D9854" s="64" t="n"/>
      <c r="E9854" s="63" t="n"/>
    </row>
    <row r="9855" ht="18" customHeight="1">
      <c r="A9855" s="62" t="n"/>
      <c r="B9855" s="63" t="n"/>
      <c r="C9855" s="64" t="n"/>
      <c r="D9855" s="64" t="n"/>
      <c r="E9855" s="63" t="n"/>
    </row>
    <row r="9856" ht="18" customHeight="1">
      <c r="A9856" s="62" t="n"/>
      <c r="B9856" s="63" t="n"/>
      <c r="C9856" s="64" t="n"/>
      <c r="D9856" s="64" t="n"/>
      <c r="E9856" s="63" t="n"/>
    </row>
    <row r="9857" ht="18" customHeight="1">
      <c r="A9857" s="62" t="n"/>
      <c r="B9857" s="63" t="n"/>
      <c r="C9857" s="64" t="n"/>
      <c r="D9857" s="64" t="n"/>
      <c r="E9857" s="63" t="n"/>
    </row>
    <row r="9858" ht="18" customHeight="1">
      <c r="A9858" s="62" t="n"/>
      <c r="B9858" s="63" t="n"/>
      <c r="C9858" s="64" t="n"/>
      <c r="D9858" s="64" t="n"/>
      <c r="E9858" s="63" t="n"/>
    </row>
    <row r="9859" ht="18" customHeight="1">
      <c r="A9859" s="62" t="n"/>
      <c r="B9859" s="63" t="n"/>
      <c r="C9859" s="64" t="n"/>
      <c r="D9859" s="64" t="n"/>
      <c r="E9859" s="63" t="n"/>
    </row>
    <row r="9860" ht="18" customHeight="1">
      <c r="A9860" s="62" t="n"/>
      <c r="B9860" s="63" t="n"/>
      <c r="C9860" s="64" t="n"/>
      <c r="D9860" s="64" t="n"/>
      <c r="E9860" s="63" t="n"/>
    </row>
    <row r="9861" ht="18" customHeight="1">
      <c r="A9861" s="62" t="n"/>
      <c r="B9861" s="63" t="n"/>
      <c r="C9861" s="64" t="n"/>
      <c r="D9861" s="64" t="n"/>
      <c r="E9861" s="63" t="n"/>
    </row>
    <row r="9862" ht="18" customHeight="1">
      <c r="A9862" s="62" t="n"/>
      <c r="B9862" s="63" t="n"/>
      <c r="C9862" s="64" t="n"/>
      <c r="D9862" s="64" t="n"/>
      <c r="E9862" s="63" t="n"/>
    </row>
    <row r="9863" ht="18" customHeight="1">
      <c r="A9863" s="62" t="n"/>
      <c r="B9863" s="63" t="n"/>
      <c r="C9863" s="64" t="n"/>
      <c r="D9863" s="64" t="n"/>
      <c r="E9863" s="63" t="n"/>
    </row>
    <row r="9864" ht="18" customHeight="1">
      <c r="A9864" s="62" t="n"/>
      <c r="B9864" s="63" t="n"/>
      <c r="C9864" s="64" t="n"/>
      <c r="D9864" s="64" t="n"/>
      <c r="E9864" s="63" t="n"/>
    </row>
    <row r="9865" ht="18" customHeight="1">
      <c r="A9865" s="62" t="n"/>
      <c r="B9865" s="63" t="n"/>
      <c r="C9865" s="64" t="n"/>
      <c r="D9865" s="64" t="n"/>
      <c r="E9865" s="63" t="n"/>
    </row>
    <row r="9866" ht="18" customHeight="1">
      <c r="A9866" s="62" t="n"/>
      <c r="B9866" s="63" t="n"/>
      <c r="C9866" s="64" t="n"/>
      <c r="D9866" s="64" t="n"/>
      <c r="E9866" s="63" t="n"/>
    </row>
    <row r="9867" ht="18" customHeight="1">
      <c r="A9867" s="62" t="n"/>
      <c r="B9867" s="63" t="n"/>
      <c r="C9867" s="64" t="n"/>
      <c r="D9867" s="64" t="n"/>
      <c r="E9867" s="63" t="n"/>
    </row>
    <row r="9868" ht="18" customHeight="1">
      <c r="A9868" s="62" t="n"/>
      <c r="B9868" s="63" t="n"/>
      <c r="C9868" s="64" t="n"/>
      <c r="D9868" s="64" t="n"/>
      <c r="E9868" s="63" t="n"/>
    </row>
    <row r="9869" ht="18" customHeight="1">
      <c r="A9869" s="62" t="n"/>
      <c r="B9869" s="63" t="n"/>
      <c r="C9869" s="64" t="n"/>
      <c r="D9869" s="64" t="n"/>
      <c r="E9869" s="63" t="n"/>
    </row>
    <row r="9870" ht="18" customHeight="1">
      <c r="A9870" s="62" t="n"/>
      <c r="B9870" s="63" t="n"/>
      <c r="C9870" s="64" t="n"/>
      <c r="D9870" s="64" t="n"/>
      <c r="E9870" s="63" t="n"/>
    </row>
    <row r="9871" ht="18" customHeight="1">
      <c r="A9871" s="62" t="n"/>
      <c r="B9871" s="63" t="n"/>
      <c r="C9871" s="64" t="n"/>
      <c r="D9871" s="64" t="n"/>
      <c r="E9871" s="63" t="n"/>
    </row>
    <row r="9872" ht="18" customHeight="1">
      <c r="A9872" s="62" t="n"/>
      <c r="B9872" s="63" t="n"/>
      <c r="C9872" s="64" t="n"/>
      <c r="D9872" s="64" t="n"/>
      <c r="E9872" s="63" t="n"/>
    </row>
    <row r="9873" ht="18" customHeight="1">
      <c r="A9873" s="62" t="n"/>
      <c r="B9873" s="63" t="n"/>
      <c r="C9873" s="64" t="n"/>
      <c r="D9873" s="64" t="n"/>
      <c r="E9873" s="63" t="n"/>
    </row>
    <row r="9874" ht="18" customHeight="1">
      <c r="A9874" s="62" t="n"/>
      <c r="B9874" s="63" t="n"/>
      <c r="C9874" s="64" t="n"/>
      <c r="D9874" s="64" t="n"/>
      <c r="E9874" s="63" t="n"/>
    </row>
    <row r="9875" ht="18" customHeight="1">
      <c r="A9875" s="62" t="n"/>
      <c r="B9875" s="63" t="n"/>
      <c r="C9875" s="64" t="n"/>
      <c r="D9875" s="64" t="n"/>
      <c r="E9875" s="63" t="n"/>
    </row>
    <row r="9876" ht="18" customHeight="1">
      <c r="A9876" s="62" t="n"/>
      <c r="B9876" s="63" t="n"/>
      <c r="C9876" s="64" t="n"/>
      <c r="D9876" s="64" t="n"/>
      <c r="E9876" s="63" t="n"/>
    </row>
    <row r="9877" ht="18" customHeight="1">
      <c r="A9877" s="62" t="n"/>
      <c r="B9877" s="63" t="n"/>
      <c r="C9877" s="64" t="n"/>
      <c r="D9877" s="64" t="n"/>
      <c r="E9877" s="63" t="n"/>
    </row>
    <row r="9878" ht="18" customHeight="1">
      <c r="A9878" s="62" t="n"/>
      <c r="B9878" s="63" t="n"/>
      <c r="C9878" s="64" t="n"/>
      <c r="D9878" s="64" t="n"/>
      <c r="E9878" s="63" t="n"/>
    </row>
    <row r="9879" ht="18" customHeight="1">
      <c r="A9879" s="62" t="n"/>
      <c r="B9879" s="63" t="n"/>
      <c r="C9879" s="64" t="n"/>
      <c r="D9879" s="64" t="n"/>
      <c r="E9879" s="63" t="n"/>
    </row>
    <row r="9880" ht="18" customHeight="1">
      <c r="A9880" s="62" t="n"/>
      <c r="B9880" s="63" t="n"/>
      <c r="C9880" s="64" t="n"/>
      <c r="D9880" s="64" t="n"/>
      <c r="E9880" s="63" t="n"/>
    </row>
    <row r="9881" ht="18" customHeight="1">
      <c r="A9881" s="62" t="n"/>
      <c r="B9881" s="63" t="n"/>
      <c r="C9881" s="64" t="n"/>
      <c r="D9881" s="64" t="n"/>
      <c r="E9881" s="63" t="n"/>
    </row>
    <row r="9882" ht="18" customHeight="1">
      <c r="A9882" s="62" t="n"/>
      <c r="B9882" s="63" t="n"/>
      <c r="C9882" s="64" t="n"/>
      <c r="D9882" s="64" t="n"/>
      <c r="E9882" s="63" t="n"/>
    </row>
    <row r="9883" ht="18" customHeight="1">
      <c r="A9883" s="62" t="n"/>
      <c r="B9883" s="63" t="n"/>
      <c r="C9883" s="64" t="n"/>
      <c r="D9883" s="64" t="n"/>
      <c r="E9883" s="63" t="n"/>
    </row>
    <row r="9884" ht="18" customHeight="1">
      <c r="A9884" s="62" t="n"/>
      <c r="B9884" s="63" t="n"/>
      <c r="C9884" s="64" t="n"/>
      <c r="D9884" s="64" t="n"/>
      <c r="E9884" s="63" t="n"/>
    </row>
    <row r="9885" ht="18" customHeight="1">
      <c r="A9885" s="62" t="n"/>
      <c r="B9885" s="63" t="n"/>
      <c r="C9885" s="64" t="n"/>
      <c r="D9885" s="64" t="n"/>
      <c r="E9885" s="63" t="n"/>
    </row>
    <row r="9886" ht="18" customHeight="1">
      <c r="A9886" s="62" t="n"/>
      <c r="B9886" s="63" t="n"/>
      <c r="C9886" s="64" t="n"/>
      <c r="D9886" s="64" t="n"/>
      <c r="E9886" s="63" t="n"/>
    </row>
    <row r="9887" ht="18" customHeight="1">
      <c r="A9887" s="62" t="n"/>
      <c r="B9887" s="63" t="n"/>
      <c r="C9887" s="64" t="n"/>
      <c r="D9887" s="64" t="n"/>
      <c r="E9887" s="63" t="n"/>
    </row>
    <row r="9888" ht="18" customHeight="1">
      <c r="A9888" s="62" t="n"/>
      <c r="B9888" s="63" t="n"/>
      <c r="C9888" s="64" t="n"/>
      <c r="D9888" s="64" t="n"/>
      <c r="E9888" s="63" t="n"/>
    </row>
    <row r="9889" ht="18" customHeight="1">
      <c r="A9889" s="62" t="n"/>
      <c r="B9889" s="63" t="n"/>
      <c r="C9889" s="64" t="n"/>
      <c r="D9889" s="64" t="n"/>
      <c r="E9889" s="63" t="n"/>
    </row>
    <row r="9890" ht="18" customHeight="1">
      <c r="A9890" s="62" t="n"/>
      <c r="B9890" s="63" t="n"/>
      <c r="C9890" s="64" t="n"/>
      <c r="D9890" s="64" t="n"/>
      <c r="E9890" s="63" t="n"/>
    </row>
    <row r="9891" ht="18" customHeight="1">
      <c r="A9891" s="62" t="n"/>
      <c r="B9891" s="63" t="n"/>
      <c r="C9891" s="64" t="n"/>
      <c r="D9891" s="64" t="n"/>
      <c r="E9891" s="63" t="n"/>
    </row>
    <row r="9892" ht="18" customHeight="1">
      <c r="A9892" s="62" t="n"/>
      <c r="B9892" s="63" t="n"/>
      <c r="C9892" s="64" t="n"/>
      <c r="D9892" s="64" t="n"/>
      <c r="E9892" s="63" t="n"/>
    </row>
    <row r="9893" ht="18" customHeight="1">
      <c r="A9893" s="62" t="n"/>
      <c r="B9893" s="63" t="n"/>
      <c r="C9893" s="64" t="n"/>
      <c r="D9893" s="64" t="n"/>
      <c r="E9893" s="63" t="n"/>
    </row>
    <row r="9894" ht="18" customHeight="1">
      <c r="A9894" s="62" t="n"/>
      <c r="B9894" s="63" t="n"/>
      <c r="C9894" s="64" t="n"/>
      <c r="D9894" s="64" t="n"/>
      <c r="E9894" s="63" t="n"/>
    </row>
    <row r="9895" ht="18" customHeight="1">
      <c r="A9895" s="62" t="n"/>
      <c r="B9895" s="63" t="n"/>
      <c r="C9895" s="64" t="n"/>
      <c r="D9895" s="64" t="n"/>
      <c r="E9895" s="63" t="n"/>
    </row>
    <row r="9896" ht="18" customHeight="1">
      <c r="A9896" s="62" t="n"/>
      <c r="B9896" s="63" t="n"/>
      <c r="C9896" s="64" t="n"/>
      <c r="D9896" s="64" t="n"/>
      <c r="E9896" s="63" t="n"/>
    </row>
    <row r="9897" ht="18" customHeight="1">
      <c r="A9897" s="62" t="n"/>
      <c r="B9897" s="63" t="n"/>
      <c r="C9897" s="64" t="n"/>
      <c r="D9897" s="64" t="n"/>
      <c r="E9897" s="63" t="n"/>
    </row>
    <row r="9898" ht="18" customHeight="1">
      <c r="A9898" s="62" t="n"/>
      <c r="B9898" s="63" t="n"/>
      <c r="C9898" s="64" t="n"/>
      <c r="D9898" s="64" t="n"/>
      <c r="E9898" s="63" t="n"/>
    </row>
    <row r="9899" ht="18" customHeight="1">
      <c r="A9899" s="62" t="n"/>
      <c r="B9899" s="63" t="n"/>
      <c r="C9899" s="64" t="n"/>
      <c r="D9899" s="64" t="n"/>
      <c r="E9899" s="63" t="n"/>
    </row>
    <row r="9900" ht="18" customHeight="1">
      <c r="A9900" s="62" t="n"/>
      <c r="B9900" s="63" t="n"/>
      <c r="C9900" s="64" t="n"/>
      <c r="D9900" s="64" t="n"/>
      <c r="E9900" s="63" t="n"/>
    </row>
    <row r="9901" ht="18" customHeight="1">
      <c r="A9901" s="62" t="n"/>
      <c r="B9901" s="63" t="n"/>
      <c r="C9901" s="64" t="n"/>
      <c r="D9901" s="64" t="n"/>
      <c r="E9901" s="63" t="n"/>
    </row>
    <row r="9902" ht="18" customHeight="1">
      <c r="A9902" s="62" t="n"/>
      <c r="B9902" s="63" t="n"/>
      <c r="C9902" s="64" t="n"/>
      <c r="D9902" s="64" t="n"/>
      <c r="E9902" s="63" t="n"/>
    </row>
    <row r="9903" ht="18" customHeight="1">
      <c r="A9903" s="62" t="n"/>
      <c r="B9903" s="63" t="n"/>
      <c r="C9903" s="64" t="n"/>
      <c r="D9903" s="64" t="n"/>
      <c r="E9903" s="63" t="n"/>
    </row>
    <row r="9904" ht="18" customHeight="1">
      <c r="A9904" s="62" t="n"/>
      <c r="B9904" s="63" t="n"/>
      <c r="C9904" s="64" t="n"/>
      <c r="D9904" s="64" t="n"/>
      <c r="E9904" s="63" t="n"/>
    </row>
    <row r="9905" ht="18" customHeight="1">
      <c r="A9905" s="62" t="n"/>
      <c r="B9905" s="63" t="n"/>
      <c r="C9905" s="64" t="n"/>
      <c r="D9905" s="64" t="n"/>
      <c r="E9905" s="63" t="n"/>
    </row>
    <row r="9906" ht="18" customHeight="1">
      <c r="A9906" s="62" t="n"/>
      <c r="B9906" s="63" t="n"/>
      <c r="C9906" s="64" t="n"/>
      <c r="D9906" s="64" t="n"/>
      <c r="E9906" s="63" t="n"/>
    </row>
    <row r="9907" ht="18" customHeight="1">
      <c r="A9907" s="62" t="n"/>
      <c r="B9907" s="63" t="n"/>
      <c r="C9907" s="64" t="n"/>
      <c r="D9907" s="64" t="n"/>
      <c r="E9907" s="63" t="n"/>
    </row>
    <row r="9908" ht="18" customHeight="1">
      <c r="A9908" s="62" t="n"/>
      <c r="B9908" s="63" t="n"/>
      <c r="C9908" s="64" t="n"/>
      <c r="D9908" s="64" t="n"/>
      <c r="E9908" s="63" t="n"/>
    </row>
    <row r="9909" ht="18" customHeight="1">
      <c r="A9909" s="62" t="n"/>
      <c r="B9909" s="63" t="n"/>
      <c r="C9909" s="64" t="n"/>
      <c r="D9909" s="64" t="n"/>
      <c r="E9909" s="63" t="n"/>
    </row>
    <row r="9910" ht="18" customHeight="1">
      <c r="A9910" s="62" t="n"/>
      <c r="B9910" s="63" t="n"/>
      <c r="C9910" s="64" t="n"/>
      <c r="D9910" s="64" t="n"/>
      <c r="E9910" s="63" t="n"/>
    </row>
    <row r="9911" ht="18" customHeight="1">
      <c r="A9911" s="62" t="n"/>
      <c r="B9911" s="63" t="n"/>
      <c r="C9911" s="64" t="n"/>
      <c r="D9911" s="64" t="n"/>
      <c r="E9911" s="63" t="n"/>
    </row>
    <row r="9912" ht="18" customHeight="1">
      <c r="A9912" s="62" t="n"/>
      <c r="B9912" s="63" t="n"/>
      <c r="C9912" s="64" t="n"/>
      <c r="D9912" s="64" t="n"/>
      <c r="E9912" s="63" t="n"/>
    </row>
    <row r="9913" ht="18" customHeight="1">
      <c r="A9913" s="62" t="n"/>
      <c r="B9913" s="63" t="n"/>
      <c r="C9913" s="64" t="n"/>
      <c r="D9913" s="64" t="n"/>
      <c r="E9913" s="63" t="n"/>
    </row>
    <row r="9914" ht="18" customHeight="1">
      <c r="A9914" s="62" t="n"/>
      <c r="B9914" s="63" t="n"/>
      <c r="C9914" s="64" t="n"/>
      <c r="D9914" s="64" t="n"/>
      <c r="E9914" s="63" t="n"/>
    </row>
    <row r="9915" ht="18" customHeight="1">
      <c r="A9915" s="62" t="n"/>
      <c r="B9915" s="63" t="n"/>
      <c r="C9915" s="64" t="n"/>
      <c r="D9915" s="64" t="n"/>
      <c r="E9915" s="63" t="n"/>
    </row>
    <row r="9916" ht="18" customHeight="1">
      <c r="A9916" s="62" t="n"/>
      <c r="B9916" s="63" t="n"/>
      <c r="C9916" s="64" t="n"/>
      <c r="D9916" s="64" t="n"/>
      <c r="E9916" s="63" t="n"/>
    </row>
    <row r="9917" ht="18" customHeight="1">
      <c r="A9917" s="62" t="n"/>
      <c r="B9917" s="63" t="n"/>
      <c r="C9917" s="64" t="n"/>
      <c r="D9917" s="64" t="n"/>
      <c r="E9917" s="63" t="n"/>
    </row>
    <row r="9918" ht="18" customHeight="1">
      <c r="A9918" s="62" t="n"/>
      <c r="B9918" s="63" t="n"/>
      <c r="C9918" s="64" t="n"/>
      <c r="D9918" s="64" t="n"/>
      <c r="E9918" s="63" t="n"/>
    </row>
    <row r="9919" ht="18" customHeight="1">
      <c r="A9919" s="62" t="n"/>
      <c r="B9919" s="63" t="n"/>
      <c r="C9919" s="64" t="n"/>
      <c r="D9919" s="64" t="n"/>
      <c r="E9919" s="63" t="n"/>
    </row>
    <row r="9920" ht="18" customHeight="1">
      <c r="A9920" s="62" t="n"/>
      <c r="B9920" s="63" t="n"/>
      <c r="C9920" s="64" t="n"/>
      <c r="D9920" s="64" t="n"/>
      <c r="E9920" s="63" t="n"/>
    </row>
    <row r="9921" ht="18" customHeight="1">
      <c r="A9921" s="62" t="n"/>
      <c r="B9921" s="63" t="n"/>
      <c r="C9921" s="64" t="n"/>
      <c r="D9921" s="64" t="n"/>
      <c r="E9921" s="63" t="n"/>
    </row>
    <row r="9922" ht="18" customHeight="1">
      <c r="A9922" s="62" t="n"/>
      <c r="B9922" s="63" t="n"/>
      <c r="C9922" s="64" t="n"/>
      <c r="D9922" s="64" t="n"/>
      <c r="E9922" s="63" t="n"/>
    </row>
    <row r="9923" ht="18" customHeight="1">
      <c r="A9923" s="62" t="n"/>
      <c r="B9923" s="63" t="n"/>
      <c r="C9923" s="64" t="n"/>
      <c r="D9923" s="64" t="n"/>
      <c r="E9923" s="63" t="n"/>
    </row>
    <row r="9924" ht="18" customHeight="1">
      <c r="A9924" s="62" t="n"/>
      <c r="B9924" s="63" t="n"/>
      <c r="C9924" s="64" t="n"/>
      <c r="D9924" s="64" t="n"/>
      <c r="E9924" s="63" t="n"/>
    </row>
    <row r="9925" ht="18" customHeight="1">
      <c r="A9925" s="62" t="n"/>
      <c r="B9925" s="63" t="n"/>
      <c r="C9925" s="64" t="n"/>
      <c r="D9925" s="64" t="n"/>
      <c r="E9925" s="63" t="n"/>
    </row>
    <row r="9926" ht="18" customHeight="1">
      <c r="A9926" s="62" t="n"/>
      <c r="B9926" s="63" t="n"/>
      <c r="C9926" s="64" t="n"/>
      <c r="D9926" s="64" t="n"/>
      <c r="E9926" s="63" t="n"/>
    </row>
    <row r="9927" ht="18" customHeight="1">
      <c r="A9927" s="62" t="n"/>
      <c r="B9927" s="63" t="n"/>
      <c r="C9927" s="64" t="n"/>
      <c r="D9927" s="64" t="n"/>
      <c r="E9927" s="63" t="n"/>
    </row>
    <row r="9928" ht="18" customHeight="1">
      <c r="A9928" s="62" t="n"/>
      <c r="B9928" s="63" t="n"/>
      <c r="C9928" s="64" t="n"/>
      <c r="D9928" s="64" t="n"/>
      <c r="E9928" s="63" t="n"/>
    </row>
    <row r="9929" ht="18" customHeight="1">
      <c r="A9929" s="62" t="n"/>
      <c r="B9929" s="63" t="n"/>
      <c r="C9929" s="64" t="n"/>
      <c r="D9929" s="64" t="n"/>
      <c r="E9929" s="63" t="n"/>
    </row>
    <row r="9930" ht="18" customHeight="1">
      <c r="A9930" s="62" t="n"/>
      <c r="B9930" s="63" t="n"/>
      <c r="C9930" s="64" t="n"/>
      <c r="D9930" s="64" t="n"/>
      <c r="E9930" s="63" t="n"/>
    </row>
    <row r="9931" ht="18" customHeight="1">
      <c r="A9931" s="62" t="n"/>
      <c r="B9931" s="63" t="n"/>
      <c r="C9931" s="64" t="n"/>
      <c r="D9931" s="64" t="n"/>
      <c r="E9931" s="63" t="n"/>
    </row>
    <row r="9932" ht="18" customHeight="1">
      <c r="A9932" s="62" t="n"/>
      <c r="B9932" s="63" t="n"/>
      <c r="C9932" s="64" t="n"/>
      <c r="D9932" s="64" t="n"/>
      <c r="E9932" s="63" t="n"/>
    </row>
    <row r="9933" ht="18" customHeight="1">
      <c r="A9933" s="62" t="n"/>
      <c r="B9933" s="63" t="n"/>
      <c r="C9933" s="64" t="n"/>
      <c r="D9933" s="64" t="n"/>
      <c r="E9933" s="63" t="n"/>
    </row>
    <row r="9934" ht="18" customHeight="1">
      <c r="A9934" s="62" t="n"/>
      <c r="B9934" s="63" t="n"/>
      <c r="C9934" s="64" t="n"/>
      <c r="D9934" s="64" t="n"/>
      <c r="E9934" s="63" t="n"/>
    </row>
    <row r="9935" ht="18" customHeight="1">
      <c r="A9935" s="62" t="n"/>
      <c r="B9935" s="63" t="n"/>
      <c r="C9935" s="64" t="n"/>
      <c r="D9935" s="64" t="n"/>
      <c r="E9935" s="63" t="n"/>
    </row>
    <row r="9936" ht="18" customHeight="1">
      <c r="A9936" s="62" t="n"/>
      <c r="B9936" s="63" t="n"/>
      <c r="C9936" s="64" t="n"/>
      <c r="D9936" s="64" t="n"/>
      <c r="E9936" s="63" t="n"/>
    </row>
    <row r="9937" ht="18" customHeight="1">
      <c r="A9937" s="62" t="n"/>
      <c r="B9937" s="63" t="n"/>
      <c r="C9937" s="64" t="n"/>
      <c r="D9937" s="64" t="n"/>
      <c r="E9937" s="63" t="n"/>
    </row>
    <row r="9938" ht="18" customHeight="1">
      <c r="A9938" s="62" t="n"/>
      <c r="B9938" s="63" t="n"/>
      <c r="C9938" s="64" t="n"/>
      <c r="D9938" s="64" t="n"/>
      <c r="E9938" s="63" t="n"/>
    </row>
    <row r="9939" ht="18" customHeight="1">
      <c r="A9939" s="62" t="n"/>
      <c r="B9939" s="63" t="n"/>
      <c r="C9939" s="64" t="n"/>
      <c r="D9939" s="64" t="n"/>
      <c r="E9939" s="63" t="n"/>
    </row>
    <row r="9940" ht="18" customHeight="1">
      <c r="A9940" s="62" t="n"/>
      <c r="B9940" s="63" t="n"/>
      <c r="C9940" s="64" t="n"/>
      <c r="D9940" s="64" t="n"/>
      <c r="E9940" s="63" t="n"/>
    </row>
    <row r="9941" ht="18" customHeight="1">
      <c r="A9941" s="62" t="n"/>
      <c r="B9941" s="63" t="n"/>
      <c r="C9941" s="64" t="n"/>
      <c r="D9941" s="64" t="n"/>
      <c r="E9941" s="63" t="n"/>
    </row>
    <row r="9942" ht="18" customHeight="1">
      <c r="A9942" s="62" t="n"/>
      <c r="B9942" s="63" t="n"/>
      <c r="C9942" s="64" t="n"/>
      <c r="D9942" s="64" t="n"/>
      <c r="E9942" s="63" t="n"/>
    </row>
    <row r="9943" ht="18" customHeight="1">
      <c r="A9943" s="62" t="n"/>
      <c r="B9943" s="63" t="n"/>
      <c r="C9943" s="64" t="n"/>
      <c r="D9943" s="64" t="n"/>
      <c r="E9943" s="63" t="n"/>
    </row>
    <row r="9944" ht="18" customHeight="1">
      <c r="A9944" s="62" t="n"/>
      <c r="B9944" s="63" t="n"/>
      <c r="C9944" s="64" t="n"/>
      <c r="D9944" s="64" t="n"/>
      <c r="E9944" s="63" t="n"/>
    </row>
    <row r="9945" ht="18" customHeight="1">
      <c r="A9945" s="62" t="n"/>
      <c r="B9945" s="63" t="n"/>
      <c r="C9945" s="64" t="n"/>
      <c r="D9945" s="64" t="n"/>
      <c r="E9945" s="63" t="n"/>
    </row>
    <row r="9946" ht="18" customHeight="1">
      <c r="A9946" s="62" t="n"/>
      <c r="B9946" s="63" t="n"/>
      <c r="C9946" s="64" t="n"/>
      <c r="D9946" s="64" t="n"/>
      <c r="E9946" s="63" t="n"/>
    </row>
    <row r="9947" ht="18" customHeight="1">
      <c r="A9947" s="62" t="n"/>
      <c r="B9947" s="63" t="n"/>
      <c r="C9947" s="64" t="n"/>
      <c r="D9947" s="64" t="n"/>
      <c r="E9947" s="63" t="n"/>
    </row>
    <row r="9948" ht="18" customHeight="1">
      <c r="A9948" s="62" t="n"/>
      <c r="B9948" s="63" t="n"/>
      <c r="C9948" s="64" t="n"/>
      <c r="D9948" s="64" t="n"/>
      <c r="E9948" s="63" t="n"/>
    </row>
    <row r="9949" ht="18" customHeight="1">
      <c r="A9949" s="62" t="n"/>
      <c r="B9949" s="63" t="n"/>
      <c r="C9949" s="64" t="n"/>
      <c r="D9949" s="64" t="n"/>
      <c r="E9949" s="63" t="n"/>
    </row>
    <row r="9950" ht="18" customHeight="1">
      <c r="A9950" s="62" t="n"/>
      <c r="B9950" s="63" t="n"/>
      <c r="C9950" s="64" t="n"/>
      <c r="D9950" s="64" t="n"/>
      <c r="E9950" s="63" t="n"/>
    </row>
    <row r="9951" ht="18" customHeight="1">
      <c r="A9951" s="62" t="n"/>
      <c r="B9951" s="63" t="n"/>
      <c r="C9951" s="64" t="n"/>
      <c r="D9951" s="64" t="n"/>
      <c r="E9951" s="63" t="n"/>
    </row>
    <row r="9952" ht="18" customHeight="1">
      <c r="A9952" s="62" t="n"/>
      <c r="B9952" s="63" t="n"/>
      <c r="C9952" s="64" t="n"/>
      <c r="D9952" s="64" t="n"/>
      <c r="E9952" s="63" t="n"/>
    </row>
    <row r="9953" ht="18" customHeight="1">
      <c r="A9953" s="62" t="n"/>
      <c r="B9953" s="63" t="n"/>
      <c r="C9953" s="64" t="n"/>
      <c r="D9953" s="64" t="n"/>
      <c r="E9953" s="63" t="n"/>
    </row>
    <row r="9954" ht="18" customHeight="1">
      <c r="A9954" s="62" t="n"/>
      <c r="B9954" s="63" t="n"/>
      <c r="C9954" s="64" t="n"/>
      <c r="D9954" s="64" t="n"/>
      <c r="E9954" s="63" t="n"/>
    </row>
    <row r="9955" ht="18" customHeight="1">
      <c r="A9955" s="62" t="n"/>
      <c r="B9955" s="63" t="n"/>
      <c r="C9955" s="64" t="n"/>
      <c r="D9955" s="64" t="n"/>
      <c r="E9955" s="63" t="n"/>
    </row>
    <row r="9956" ht="18" customHeight="1">
      <c r="A9956" s="62" t="n"/>
      <c r="B9956" s="63" t="n"/>
      <c r="C9956" s="64" t="n"/>
      <c r="D9956" s="64" t="n"/>
      <c r="E9956" s="63" t="n"/>
    </row>
    <row r="9957" ht="18" customHeight="1">
      <c r="A9957" s="62" t="n"/>
      <c r="B9957" s="63" t="n"/>
      <c r="C9957" s="64" t="n"/>
      <c r="D9957" s="64" t="n"/>
      <c r="E9957" s="63" t="n"/>
    </row>
    <row r="9958" ht="18" customHeight="1">
      <c r="A9958" s="62" t="n"/>
      <c r="B9958" s="63" t="n"/>
      <c r="C9958" s="64" t="n"/>
      <c r="D9958" s="64" t="n"/>
      <c r="E9958" s="63" t="n"/>
    </row>
    <row r="9959" ht="18" customHeight="1">
      <c r="A9959" s="62" t="n"/>
      <c r="B9959" s="63" t="n"/>
      <c r="C9959" s="64" t="n"/>
      <c r="D9959" s="64" t="n"/>
      <c r="E9959" s="63" t="n"/>
    </row>
    <row r="9960" ht="18" customHeight="1">
      <c r="A9960" s="62" t="n"/>
      <c r="B9960" s="63" t="n"/>
      <c r="C9960" s="64" t="n"/>
      <c r="D9960" s="64" t="n"/>
      <c r="E9960" s="63" t="n"/>
    </row>
    <row r="9961" ht="18" customHeight="1">
      <c r="A9961" s="62" t="n"/>
      <c r="B9961" s="63" t="n"/>
      <c r="C9961" s="64" t="n"/>
      <c r="D9961" s="64" t="n"/>
      <c r="E9961" s="63" t="n"/>
    </row>
    <row r="9962" ht="18" customHeight="1">
      <c r="A9962" s="62" t="n"/>
      <c r="B9962" s="63" t="n"/>
      <c r="C9962" s="64" t="n"/>
      <c r="D9962" s="64" t="n"/>
      <c r="E9962" s="63" t="n"/>
    </row>
    <row r="9963" ht="18" customHeight="1">
      <c r="A9963" s="62" t="n"/>
      <c r="B9963" s="63" t="n"/>
      <c r="C9963" s="64" t="n"/>
      <c r="D9963" s="64" t="n"/>
      <c r="E9963" s="63" t="n"/>
    </row>
    <row r="9964" ht="18" customHeight="1">
      <c r="A9964" s="62" t="n"/>
      <c r="B9964" s="63" t="n"/>
      <c r="C9964" s="64" t="n"/>
      <c r="D9964" s="64" t="n"/>
      <c r="E9964" s="63" t="n"/>
    </row>
    <row r="9965" ht="18" customHeight="1">
      <c r="A9965" s="62" t="n"/>
      <c r="B9965" s="63" t="n"/>
      <c r="C9965" s="64" t="n"/>
      <c r="D9965" s="64" t="n"/>
      <c r="E9965" s="63" t="n"/>
    </row>
    <row r="9966" ht="18" customHeight="1">
      <c r="A9966" s="62" t="n"/>
      <c r="B9966" s="63" t="n"/>
      <c r="C9966" s="64" t="n"/>
      <c r="D9966" s="64" t="n"/>
      <c r="E9966" s="63" t="n"/>
    </row>
    <row r="9967" ht="18" customHeight="1">
      <c r="A9967" s="62" t="n"/>
      <c r="B9967" s="63" t="n"/>
      <c r="C9967" s="64" t="n"/>
      <c r="D9967" s="64" t="n"/>
      <c r="E9967" s="63" t="n"/>
    </row>
    <row r="9968" ht="18" customHeight="1">
      <c r="A9968" s="62" t="n"/>
      <c r="B9968" s="63" t="n"/>
      <c r="C9968" s="64" t="n"/>
      <c r="D9968" s="64" t="n"/>
      <c r="E9968" s="63" t="n"/>
    </row>
    <row r="9969" ht="18" customHeight="1">
      <c r="A9969" s="62" t="n"/>
      <c r="B9969" s="63" t="n"/>
      <c r="C9969" s="64" t="n"/>
      <c r="D9969" s="64" t="n"/>
      <c r="E9969" s="63" t="n"/>
    </row>
    <row r="9970" ht="18" customHeight="1">
      <c r="A9970" s="62" t="n"/>
      <c r="B9970" s="63" t="n"/>
      <c r="C9970" s="64" t="n"/>
      <c r="D9970" s="64" t="n"/>
      <c r="E9970" s="63" t="n"/>
    </row>
    <row r="9971" ht="18" customHeight="1">
      <c r="A9971" s="62" t="n"/>
      <c r="B9971" s="63" t="n"/>
      <c r="C9971" s="64" t="n"/>
      <c r="D9971" s="64" t="n"/>
      <c r="E9971" s="63" t="n"/>
    </row>
    <row r="9972" ht="18" customHeight="1">
      <c r="A9972" s="62" t="n"/>
      <c r="B9972" s="63" t="n"/>
      <c r="C9972" s="64" t="n"/>
      <c r="D9972" s="64" t="n"/>
      <c r="E9972" s="63" t="n"/>
    </row>
    <row r="9973" ht="18" customHeight="1">
      <c r="A9973" s="62" t="n"/>
      <c r="B9973" s="63" t="n"/>
      <c r="C9973" s="64" t="n"/>
      <c r="D9973" s="64" t="n"/>
      <c r="E9973" s="63" t="n"/>
    </row>
    <row r="9974" ht="18" customHeight="1">
      <c r="A9974" s="62" t="n"/>
      <c r="B9974" s="63" t="n"/>
      <c r="C9974" s="64" t="n"/>
      <c r="D9974" s="64" t="n"/>
      <c r="E9974" s="63" t="n"/>
    </row>
    <row r="9975" ht="18" customHeight="1">
      <c r="A9975" s="62" t="n"/>
      <c r="B9975" s="63" t="n"/>
      <c r="C9975" s="64" t="n"/>
      <c r="D9975" s="64" t="n"/>
      <c r="E9975" s="63" t="n"/>
    </row>
    <row r="9976" ht="18" customHeight="1">
      <c r="A9976" s="62" t="n"/>
      <c r="B9976" s="63" t="n"/>
      <c r="C9976" s="64" t="n"/>
      <c r="D9976" s="64" t="n"/>
      <c r="E9976" s="63" t="n"/>
    </row>
    <row r="9977" ht="18" customHeight="1">
      <c r="A9977" s="62" t="n"/>
      <c r="B9977" s="63" t="n"/>
      <c r="C9977" s="64" t="n"/>
      <c r="D9977" s="64" t="n"/>
      <c r="E9977" s="63" t="n"/>
    </row>
    <row r="9978" ht="18" customHeight="1">
      <c r="A9978" s="62" t="n"/>
      <c r="B9978" s="63" t="n"/>
      <c r="C9978" s="64" t="n"/>
      <c r="D9978" s="64" t="n"/>
      <c r="E9978" s="63" t="n"/>
    </row>
    <row r="9979" ht="18" customHeight="1">
      <c r="A9979" s="62" t="n"/>
      <c r="B9979" s="63" t="n"/>
      <c r="C9979" s="64" t="n"/>
      <c r="D9979" s="64" t="n"/>
      <c r="E9979" s="63" t="n"/>
    </row>
    <row r="9980" ht="18" customHeight="1">
      <c r="A9980" s="62" t="n"/>
      <c r="B9980" s="63" t="n"/>
      <c r="C9980" s="64" t="n"/>
      <c r="D9980" s="64" t="n"/>
      <c r="E9980" s="63" t="n"/>
    </row>
    <row r="9981" ht="18" customHeight="1">
      <c r="A9981" s="62" t="n"/>
      <c r="B9981" s="63" t="n"/>
      <c r="C9981" s="64" t="n"/>
      <c r="D9981" s="64" t="n"/>
      <c r="E9981" s="63" t="n"/>
    </row>
    <row r="9982" ht="18" customHeight="1">
      <c r="A9982" s="62" t="n"/>
      <c r="B9982" s="63" t="n"/>
      <c r="C9982" s="64" t="n"/>
      <c r="D9982" s="64" t="n"/>
      <c r="E9982" s="63" t="n"/>
    </row>
    <row r="9983" ht="18" customHeight="1">
      <c r="A9983" s="62" t="n"/>
      <c r="B9983" s="63" t="n"/>
      <c r="C9983" s="64" t="n"/>
      <c r="D9983" s="64" t="n"/>
      <c r="E9983" s="63" t="n"/>
    </row>
    <row r="9984" ht="18" customHeight="1">
      <c r="A9984" s="62" t="n"/>
      <c r="B9984" s="63" t="n"/>
      <c r="C9984" s="64" t="n"/>
      <c r="D9984" s="64" t="n"/>
      <c r="E9984" s="63" t="n"/>
    </row>
    <row r="9985" ht="18" customHeight="1">
      <c r="A9985" s="62" t="n"/>
      <c r="B9985" s="63" t="n"/>
      <c r="C9985" s="64" t="n"/>
      <c r="D9985" s="64" t="n"/>
      <c r="E9985" s="63" t="n"/>
    </row>
    <row r="9986" ht="18" customHeight="1">
      <c r="A9986" s="62" t="n"/>
      <c r="B9986" s="63" t="n"/>
      <c r="C9986" s="64" t="n"/>
      <c r="D9986" s="64" t="n"/>
      <c r="E9986" s="63" t="n"/>
    </row>
    <row r="9987" ht="18" customHeight="1">
      <c r="A9987" s="62" t="n"/>
      <c r="B9987" s="63" t="n"/>
      <c r="C9987" s="64" t="n"/>
      <c r="D9987" s="64" t="n"/>
      <c r="E9987" s="63" t="n"/>
    </row>
    <row r="9988" ht="18" customHeight="1">
      <c r="A9988" s="62" t="n"/>
      <c r="B9988" s="63" t="n"/>
      <c r="C9988" s="64" t="n"/>
      <c r="D9988" s="64" t="n"/>
      <c r="E9988" s="63" t="n"/>
    </row>
    <row r="9989" ht="18" customHeight="1">
      <c r="A9989" s="62" t="n"/>
      <c r="B9989" s="63" t="n"/>
      <c r="C9989" s="64" t="n"/>
      <c r="D9989" s="64" t="n"/>
      <c r="E9989" s="63" t="n"/>
    </row>
    <row r="9990" ht="18" customHeight="1">
      <c r="A9990" s="62" t="n"/>
      <c r="B9990" s="63" t="n"/>
      <c r="C9990" s="64" t="n"/>
      <c r="D9990" s="64" t="n"/>
      <c r="E9990" s="63" t="n"/>
    </row>
    <row r="9991" ht="18" customHeight="1">
      <c r="A9991" s="62" t="n"/>
      <c r="B9991" s="63" t="n"/>
      <c r="C9991" s="64" t="n"/>
      <c r="D9991" s="64" t="n"/>
      <c r="E9991" s="63" t="n"/>
    </row>
    <row r="9992" ht="18" customHeight="1">
      <c r="A9992" s="62" t="n"/>
      <c r="B9992" s="63" t="n"/>
      <c r="C9992" s="64" t="n"/>
      <c r="D9992" s="64" t="n"/>
      <c r="E9992" s="63" t="n"/>
    </row>
    <row r="9993" ht="18" customHeight="1">
      <c r="A9993" s="62" t="n"/>
      <c r="B9993" s="63" t="n"/>
      <c r="C9993" s="64" t="n"/>
      <c r="D9993" s="64" t="n"/>
      <c r="E9993" s="63" t="n"/>
    </row>
    <row r="9994" ht="18" customHeight="1">
      <c r="A9994" s="62" t="n"/>
      <c r="B9994" s="63" t="n"/>
      <c r="C9994" s="64" t="n"/>
      <c r="D9994" s="64" t="n"/>
      <c r="E9994" s="63" t="n"/>
    </row>
    <row r="9995" ht="18" customHeight="1">
      <c r="A9995" s="62" t="n"/>
      <c r="B9995" s="63" t="n"/>
      <c r="C9995" s="64" t="n"/>
      <c r="D9995" s="64" t="n"/>
      <c r="E9995" s="63" t="n"/>
    </row>
    <row r="9996" ht="18" customHeight="1">
      <c r="A9996" s="62" t="n"/>
      <c r="B9996" s="63" t="n"/>
      <c r="C9996" s="64" t="n"/>
      <c r="D9996" s="64" t="n"/>
      <c r="E9996" s="63" t="n"/>
    </row>
    <row r="9997" ht="18" customHeight="1">
      <c r="A9997" s="62" t="n"/>
      <c r="B9997" s="63" t="n"/>
      <c r="C9997" s="64" t="n"/>
      <c r="D9997" s="64" t="n"/>
      <c r="E9997" s="63" t="n"/>
    </row>
    <row r="9998" ht="18" customHeight="1">
      <c r="A9998" s="62" t="n"/>
      <c r="B9998" s="63" t="n"/>
      <c r="C9998" s="64" t="n"/>
      <c r="D9998" s="64" t="n"/>
      <c r="E9998" s="63" t="n"/>
    </row>
    <row r="9999" ht="18" customHeight="1">
      <c r="A9999" s="62" t="n"/>
      <c r="B9999" s="63" t="n"/>
      <c r="C9999" s="64" t="n"/>
      <c r="D9999" s="64" t="n"/>
      <c r="E9999" s="63" t="n"/>
    </row>
    <row r="10000" ht="18" customHeight="1">
      <c r="A10000" s="62" t="n"/>
      <c r="B10000" s="63" t="n"/>
      <c r="C10000" s="64" t="n"/>
      <c r="D10000" s="64" t="n"/>
      <c r="E10000" s="63" t="n"/>
    </row>
    <row r="10001" ht="18" customHeight="1">
      <c r="A10001" s="62" t="n"/>
      <c r="B10001" s="63" t="n"/>
      <c r="C10001" s="64" t="n"/>
      <c r="D10001" s="64" t="n"/>
      <c r="E10001" s="63" t="n"/>
    </row>
    <row r="10002" ht="18" customHeight="1">
      <c r="A10002" s="62" t="n"/>
      <c r="B10002" s="63" t="n"/>
      <c r="C10002" s="64" t="n"/>
      <c r="D10002" s="64" t="n"/>
      <c r="E10002" s="63" t="n"/>
    </row>
    <row r="10003" ht="18" customHeight="1">
      <c r="A10003" s="62" t="n"/>
      <c r="B10003" s="63" t="n"/>
      <c r="C10003" s="64" t="n"/>
      <c r="D10003" s="64" t="n"/>
      <c r="E10003" s="63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autoFilter ref="A6:E253"/>
  <dataValidations count="3">
    <dataValidation sqref="B7:B10003" showDropDown="0" showInputMessage="0" showErrorMessage="0" allowBlank="1" errorTitle="Unknown product" error="Pick a product from the dropdown so the entry reaches the Stock sheet." type="list">
      <formula1>Products</formula1>
      <formula2>0</formula2>
    </dataValidation>
    <dataValidation sqref="C7:D10003" showDropDown="0" showInputMessage="0" showErrorMessage="0" allowBlank="1" errorTitle="Negative quantity" error="Quantity cannot be negative. Record a despatch in the Shipment column." type="decimal" operator="greaterThanOrEqual">
      <formula1>0</formula1>
      <formula2>0</formula2>
    </dataValidation>
    <dataValidation sqref="A7:A10003" showDropDown="0" showInputMessage="0" showErrorMessage="0" allowBlank="1" errorTitle="Date required" error="Enter a real date such as 22/08/2026, not text." type="date" operator="greaterThan">
      <formula1>DATE(2000,1,1)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showGridLines="0" tabSelected="1" workbookViewId="0">
      <selection activeCell="A9" sqref="A9:H9"/>
    </sheetView>
  </sheetViews>
  <sheetFormatPr baseColWidth="8" defaultColWidth="8.42578125" defaultRowHeight="15"/>
  <cols>
    <col width="25.7109375" customWidth="1" style="3" min="1" max="1"/>
    <col width="7.140625" customWidth="1" style="3" min="2" max="2"/>
    <col width="7.140625" customWidth="1" style="27" min="3" max="3"/>
    <col width="14.28515625" customWidth="1" style="3" min="4" max="5"/>
    <col width="11.42578125" customWidth="1" style="3" min="6" max="7"/>
    <col width="17.140625" customWidth="1" style="3" min="8" max="8"/>
    <col width="8.42578125" customWidth="1" style="3" min="9" max="9"/>
    <col width="7" customWidth="1" style="3" min="10" max="10"/>
    <col width="8.42578125" customWidth="1" style="3" min="11" max="16384"/>
  </cols>
  <sheetData>
    <row r="1" ht="18" customHeight="1">
      <c r="A1" s="2" t="inlineStr">
        <is>
          <t>PREMIER EXPORTS INTERNATIONAL</t>
        </is>
      </c>
    </row>
    <row r="2">
      <c r="A2" s="4" t="inlineStr">
        <is>
          <t>VALUATION BY BRAND</t>
        </is>
      </c>
    </row>
    <row r="3"/>
    <row r="4">
      <c r="A4" s="127" t="inlineStr">
        <is>
          <t>Closing Stock</t>
        </is>
      </c>
      <c r="C4" s="127" t="inlineStr">
        <is>
          <t>Stock Value (₹)</t>
        </is>
      </c>
      <c r="F4" s="127" t="n"/>
      <c r="G4" s="127" t="inlineStr">
        <is>
          <t>Stock Value ($)</t>
        </is>
      </c>
    </row>
    <row r="5" ht="19.5" customHeight="1">
      <c r="A5" s="128">
        <f>Stock!$K$102</f>
        <v/>
      </c>
      <c r="C5" s="129">
        <f>IF(Stock!$M$102="","—",Stock!$M$102)</f>
        <v/>
      </c>
      <c r="F5" s="129" t="n"/>
      <c r="G5" s="130">
        <f>IF(OR(Stock!$E$4="",Stock!$M$102=""),"—",Stock!$M$102/Stock!$E$4)</f>
        <v/>
      </c>
    </row>
    <row r="6">
      <c r="A6" s="131" t="inlineStr">
        <is>
          <t>kilos, across every product</t>
        </is>
      </c>
      <c r="C6" s="131" t="inlineStr">
        <is>
          <t>at the per-kilo export prices</t>
        </is>
      </c>
      <c r="F6" s="131" t="n"/>
      <c r="G6" s="131" t="inlineStr">
        <is>
          <t>the same stock in dollars</t>
        </is>
      </c>
    </row>
    <row r="7">
      <c r="A7" s="22">
        <f>IF(SUM(Stock!$X$8:$X$101)=0,"",SUM(Stock!$X$8:$X$101)&amp;" product(s) have no Kg / Unit on Stock — they are counted in kilos as zero and are not valued.")</f>
        <v/>
      </c>
    </row>
    <row r="8"/>
    <row r="9" ht="24.95" customFormat="1" customHeight="1" s="81">
      <c r="A9" s="132" t="inlineStr">
        <is>
          <t>Blue Dolphin</t>
        </is>
      </c>
      <c r="B9" s="144" t="n"/>
      <c r="C9" s="144" t="n"/>
      <c r="D9" s="144" t="n"/>
      <c r="E9" s="144" t="n"/>
      <c r="F9" s="144" t="n"/>
      <c r="G9" s="144" t="n"/>
      <c r="H9" s="144" t="n"/>
    </row>
    <row r="10" ht="20.1" customFormat="1" customHeight="1" s="26">
      <c r="A10" s="80" t="inlineStr">
        <is>
          <t>Product</t>
        </is>
      </c>
      <c r="B10" s="80" t="inlineStr">
        <is>
          <t>Unit</t>
        </is>
      </c>
      <c r="C10" s="82" t="inlineStr">
        <is>
          <t>Kg / Unit</t>
        </is>
      </c>
      <c r="D10" s="80" t="inlineStr">
        <is>
          <t>Closing Balance</t>
        </is>
      </c>
      <c r="E10" s="80" t="inlineStr">
        <is>
          <t>Closing Stock (Kg)</t>
        </is>
      </c>
      <c r="F10" s="80" t="inlineStr">
        <is>
          <t>No. of Cases</t>
        </is>
      </c>
      <c r="G10" s="80" t="inlineStr">
        <is>
          <t>Rate / Kg ($)</t>
        </is>
      </c>
      <c r="H10" s="80" t="inlineStr">
        <is>
          <t>Stock Value (₹)</t>
        </is>
      </c>
    </row>
    <row r="11" ht="12.75" customHeight="1">
      <c r="A11" s="66">
        <f>IF($J11="","",INDEX(Stock!$B$8:$B$101,$J11))</f>
        <v/>
      </c>
      <c r="B11" s="66">
        <f>IF($J11="","",IF(INDEX(Stock!$C$8:$C$101,$J11)=0,"",INDEX(Stock!$C$8:$C$101,$J11)))</f>
        <v/>
      </c>
      <c r="C11" s="83">
        <f>IF($J11="","",IF(INDEX(Stock!$D$8:$D$101,$J11)=0,"",INDEX(Stock!$D$8:$D$101,$J11)))</f>
        <v/>
      </c>
      <c r="D11" s="67">
        <f>IF($J11="","",INDEX(Stock!$J$8:$J$101,$J11))</f>
        <v/>
      </c>
      <c r="E11" s="68">
        <f>IF($J11="","",INDEX(Stock!$K$8:$K$101,$J11))</f>
        <v/>
      </c>
      <c r="F11" s="68">
        <f>+$D11/10</f>
        <v/>
      </c>
      <c r="G11" s="69">
        <f>IF($J11="","",IF(INDEX(Stock!$L$8:$L$101,$J11)=0,"",INDEX(Stock!$L$8:$L$101,$J11)))</f>
        <v/>
      </c>
      <c r="H11" s="70">
        <f>IF($J11="","",INDEX(Stock!$M$8:$M$101,$J11))</f>
        <v/>
      </c>
      <c r="J11" s="71">
        <f>IFERROR(MATCH($A$9&amp;"#"&amp;1,Stock!$R$8:$R$101,0),"")</f>
        <v/>
      </c>
    </row>
    <row r="12" ht="12.75" customHeight="1">
      <c r="A12" s="72">
        <f>IF($J12="","",INDEX(Stock!$B$8:$B$101,$J12))</f>
        <v/>
      </c>
      <c r="B12" s="72">
        <f>IF($J12="","",IF(INDEX(Stock!$C$8:$C$101,$J12)=0,"",INDEX(Stock!$C$8:$C$101,$J12)))</f>
        <v/>
      </c>
      <c r="C12" s="84">
        <f>IF($J12="","",IF(INDEX(Stock!$D$8:$D$101,$J12)=0,"",INDEX(Stock!$D$8:$D$101,$J12)))</f>
        <v/>
      </c>
      <c r="D12" s="73">
        <f>IF($J12="","",INDEX(Stock!$J$8:$J$101,$J12))</f>
        <v/>
      </c>
      <c r="E12" s="74">
        <f>IF($J12="","",INDEX(Stock!$K$8:$K$101,$J12))</f>
        <v/>
      </c>
      <c r="F12" s="125">
        <f>+$D12/10</f>
        <v/>
      </c>
      <c r="G12" s="75">
        <f>IF($J12="","",IF(INDEX(Stock!$L$8:$L$101,$J12)=0,"",INDEX(Stock!$L$8:$L$101,$J12)))</f>
        <v/>
      </c>
      <c r="H12" s="76">
        <f>IF($J12="","",INDEX(Stock!$M$8:$M$101,$J12))</f>
        <v/>
      </c>
      <c r="J12" s="71">
        <f>IFERROR(MATCH($A$9&amp;"#"&amp;2,Stock!$R$8:$R$101,0),"")</f>
        <v/>
      </c>
    </row>
    <row r="13" ht="12.75" customHeight="1">
      <c r="A13" s="66">
        <f>IF($J13="","",INDEX(Stock!$B$8:$B$101,$J13))</f>
        <v/>
      </c>
      <c r="B13" s="66">
        <f>IF($J13="","",IF(INDEX(Stock!$C$8:$C$101,$J13)=0,"",INDEX(Stock!$C$8:$C$101,$J13)))</f>
        <v/>
      </c>
      <c r="C13" s="83">
        <f>IF($J13="","",IF(INDEX(Stock!$D$8:$D$101,$J13)=0,"",INDEX(Stock!$D$8:$D$101,$J13)))</f>
        <v/>
      </c>
      <c r="D13" s="67">
        <f>IF($J13="","",INDEX(Stock!$J$8:$J$101,$J13))</f>
        <v/>
      </c>
      <c r="E13" s="68">
        <f>IF($J13="","",INDEX(Stock!$K$8:$K$101,$J13))</f>
        <v/>
      </c>
      <c r="F13" s="68">
        <f>+$D13/10</f>
        <v/>
      </c>
      <c r="G13" s="69">
        <f>IF($J13="","",IF(INDEX(Stock!$L$8:$L$101,$J13)=0,"",INDEX(Stock!$L$8:$L$101,$J13)))</f>
        <v/>
      </c>
      <c r="H13" s="70">
        <f>IF($J13="","",INDEX(Stock!$M$8:$M$101,$J13))</f>
        <v/>
      </c>
      <c r="J13" s="71">
        <f>IFERROR(MATCH($A$9&amp;"#"&amp;3,Stock!$R$8:$R$101,0),"")</f>
        <v/>
      </c>
    </row>
    <row r="14" ht="12.75" customHeight="1">
      <c r="A14" s="72">
        <f>IF($J14="","",INDEX(Stock!$B$8:$B$101,$J14))</f>
        <v/>
      </c>
      <c r="B14" s="72">
        <f>IF($J14="","",IF(INDEX(Stock!$C$8:$C$101,$J14)=0,"",INDEX(Stock!$C$8:$C$101,$J14)))</f>
        <v/>
      </c>
      <c r="C14" s="84">
        <f>IF($J14="","",IF(INDEX(Stock!$D$8:$D$101,$J14)=0,"",INDEX(Stock!$D$8:$D$101,$J14)))</f>
        <v/>
      </c>
      <c r="D14" s="73">
        <f>IF($J14="","",INDEX(Stock!$J$8:$J$101,$J14))</f>
        <v/>
      </c>
      <c r="E14" s="74">
        <f>IF($J14="","",INDEX(Stock!$K$8:$K$101,$J14))</f>
        <v/>
      </c>
      <c r="F14" s="125">
        <f>+$D14/10</f>
        <v/>
      </c>
      <c r="G14" s="75">
        <f>IF($J14="","",IF(INDEX(Stock!$L$8:$L$101,$J14)=0,"",INDEX(Stock!$L$8:$L$101,$J14)))</f>
        <v/>
      </c>
      <c r="H14" s="76">
        <f>IF($J14="","",INDEX(Stock!$M$8:$M$101,$J14))</f>
        <v/>
      </c>
      <c r="J14" s="71">
        <f>IFERROR(MATCH($A$9&amp;"#"&amp;4,Stock!$R$8:$R$101,0),"")</f>
        <v/>
      </c>
    </row>
    <row r="15" ht="12.75" customHeight="1">
      <c r="A15" s="66">
        <f>IF($J15="","",INDEX(Stock!$B$8:$B$101,$J15))</f>
        <v/>
      </c>
      <c r="B15" s="66">
        <f>IF($J15="","",IF(INDEX(Stock!$C$8:$C$101,$J15)=0,"",INDEX(Stock!$C$8:$C$101,$J15)))</f>
        <v/>
      </c>
      <c r="C15" s="83">
        <f>IF($J15="","",IF(INDEX(Stock!$D$8:$D$101,$J15)=0,"",INDEX(Stock!$D$8:$D$101,$J15)))</f>
        <v/>
      </c>
      <c r="D15" s="67">
        <f>IF($J15="","",INDEX(Stock!$J$8:$J$101,$J15))</f>
        <v/>
      </c>
      <c r="E15" s="68">
        <f>IF($J15="","",INDEX(Stock!$K$8:$K$101,$J15))</f>
        <v/>
      </c>
      <c r="F15" s="68">
        <f>+$D15/10</f>
        <v/>
      </c>
      <c r="G15" s="69">
        <f>IF($J15="","",IF(INDEX(Stock!$L$8:$L$101,$J15)=0,"",INDEX(Stock!$L$8:$L$101,$J15)))</f>
        <v/>
      </c>
      <c r="H15" s="70">
        <f>IF($J15="","",INDEX(Stock!$M$8:$M$101,$J15))</f>
        <v/>
      </c>
      <c r="J15" s="71">
        <f>IFERROR(MATCH($A$9&amp;"#"&amp;5,Stock!$R$8:$R$101,0),"")</f>
        <v/>
      </c>
    </row>
    <row r="16" ht="12.75" customHeight="1">
      <c r="A16" s="72">
        <f>IF($J16="","",INDEX(Stock!$B$8:$B$101,$J16))</f>
        <v/>
      </c>
      <c r="B16" s="72">
        <f>IF($J16="","",IF(INDEX(Stock!$C$8:$C$101,$J16)=0,"",INDEX(Stock!$C$8:$C$101,$J16)))</f>
        <v/>
      </c>
      <c r="C16" s="84">
        <f>IF($J16="","",IF(INDEX(Stock!$D$8:$D$101,$J16)=0,"",INDEX(Stock!$D$8:$D$101,$J16)))</f>
        <v/>
      </c>
      <c r="D16" s="73">
        <f>IF($J16="","",INDEX(Stock!$J$8:$J$101,$J16))</f>
        <v/>
      </c>
      <c r="E16" s="74">
        <f>IF($J16="","",INDEX(Stock!$K$8:$K$101,$J16))</f>
        <v/>
      </c>
      <c r="F16" s="125">
        <f>+$D16/10</f>
        <v/>
      </c>
      <c r="G16" s="75">
        <f>IF($J16="","",IF(INDEX(Stock!$L$8:$L$101,$J16)=0,"",INDEX(Stock!$L$8:$L$101,$J16)))</f>
        <v/>
      </c>
      <c r="H16" s="76">
        <f>IF($J16="","",INDEX(Stock!$M$8:$M$101,$J16))</f>
        <v/>
      </c>
      <c r="J16" s="71">
        <f>IFERROR(MATCH($A$9&amp;"#"&amp;6,Stock!$R$8:$R$101,0),"")</f>
        <v/>
      </c>
    </row>
    <row r="17" ht="12.75" customHeight="1">
      <c r="A17" s="66">
        <f>IF($J17="","",INDEX(Stock!$B$8:$B$101,$J17))</f>
        <v/>
      </c>
      <c r="B17" s="66">
        <f>IF($J17="","",IF(INDEX(Stock!$C$8:$C$101,$J17)=0,"",INDEX(Stock!$C$8:$C$101,$J17)))</f>
        <v/>
      </c>
      <c r="C17" s="83">
        <f>IF($J17="","",IF(INDEX(Stock!$D$8:$D$101,$J17)=0,"",INDEX(Stock!$D$8:$D$101,$J17)))</f>
        <v/>
      </c>
      <c r="D17" s="67">
        <f>IF($J17="","",INDEX(Stock!$J$8:$J$101,$J17))</f>
        <v/>
      </c>
      <c r="E17" s="68">
        <f>IF($J17="","",INDEX(Stock!$K$8:$K$101,$J17))</f>
        <v/>
      </c>
      <c r="F17" s="68">
        <f>+$D17/10</f>
        <v/>
      </c>
      <c r="G17" s="69">
        <f>IF($J17="","",IF(INDEX(Stock!$L$8:$L$101,$J17)=0,"",INDEX(Stock!$L$8:$L$101,$J17)))</f>
        <v/>
      </c>
      <c r="H17" s="70">
        <f>IF($J17="","",INDEX(Stock!$M$8:$M$101,$J17))</f>
        <v/>
      </c>
      <c r="J17" s="71">
        <f>IFERROR(MATCH($A$9&amp;"#"&amp;7,Stock!$R$8:$R$101,0),"")</f>
        <v/>
      </c>
    </row>
    <row r="18" ht="12.75" customHeight="1">
      <c r="A18" s="72">
        <f>IF($J18="","",INDEX(Stock!$B$8:$B$101,$J18))</f>
        <v/>
      </c>
      <c r="B18" s="72">
        <f>IF($J18="","",IF(INDEX(Stock!$C$8:$C$101,$J18)=0,"",INDEX(Stock!$C$8:$C$101,$J18)))</f>
        <v/>
      </c>
      <c r="C18" s="84">
        <f>IF($J18="","",IF(INDEX(Stock!$D$8:$D$101,$J18)=0,"",INDEX(Stock!$D$8:$D$101,$J18)))</f>
        <v/>
      </c>
      <c r="D18" s="73">
        <f>IF($J18="","",INDEX(Stock!$J$8:$J$101,$J18))</f>
        <v/>
      </c>
      <c r="E18" s="74">
        <f>IF($J18="","",INDEX(Stock!$K$8:$K$101,$J18))</f>
        <v/>
      </c>
      <c r="F18" s="125">
        <f>+$D18/10</f>
        <v/>
      </c>
      <c r="G18" s="75">
        <f>IF($J18="","",IF(INDEX(Stock!$L$8:$L$101,$J18)=0,"",INDEX(Stock!$L$8:$L$101,$J18)))</f>
        <v/>
      </c>
      <c r="H18" s="76">
        <f>IF($J18="","",INDEX(Stock!$M$8:$M$101,$J18))</f>
        <v/>
      </c>
      <c r="J18" s="71">
        <f>IFERROR(MATCH($A$9&amp;"#"&amp;8,Stock!$R$8:$R$101,0),"")</f>
        <v/>
      </c>
    </row>
    <row r="19" ht="12.75" customHeight="1">
      <c r="A19" s="66">
        <f>IF($J19="","",INDEX(Stock!$B$8:$B$101,$J19))</f>
        <v/>
      </c>
      <c r="B19" s="66">
        <f>IF($J19="","",IF(INDEX(Stock!$C$8:$C$101,$J19)=0,"",INDEX(Stock!$C$8:$C$101,$J19)))</f>
        <v/>
      </c>
      <c r="C19" s="83">
        <f>IF($J19="","",IF(INDEX(Stock!$D$8:$D$101,$J19)=0,"",INDEX(Stock!$D$8:$D$101,$J19)))</f>
        <v/>
      </c>
      <c r="D19" s="67">
        <f>IF($J19="","",INDEX(Stock!$J$8:$J$101,$J19))</f>
        <v/>
      </c>
      <c r="E19" s="68">
        <f>IF($J19="","",INDEX(Stock!$K$8:$K$101,$J19))</f>
        <v/>
      </c>
      <c r="F19" s="68" t="n"/>
      <c r="G19" s="69">
        <f>IF($J19="","",IF(INDEX(Stock!$L$8:$L$101,$J19)=0,"",INDEX(Stock!$L$8:$L$101,$J19)))</f>
        <v/>
      </c>
      <c r="H19" s="70">
        <f>IF($J19="","",INDEX(Stock!$M$8:$M$101,$J19))</f>
        <v/>
      </c>
      <c r="J19" s="71">
        <f>IFERROR(MATCH($A$9&amp;"#"&amp;9,Stock!$R$8:$R$101,0),"")</f>
        <v/>
      </c>
    </row>
    <row r="20" ht="12.75" customHeight="1">
      <c r="A20" s="72">
        <f>IF($J20="","",INDEX(Stock!$B$8:$B$101,$J20))</f>
        <v/>
      </c>
      <c r="B20" s="72">
        <f>IF($J20="","",IF(INDEX(Stock!$C$8:$C$101,$J20)=0,"",INDEX(Stock!$C$8:$C$101,$J20)))</f>
        <v/>
      </c>
      <c r="C20" s="84">
        <f>IF($J20="","",IF(INDEX(Stock!$D$8:$D$101,$J20)=0,"",INDEX(Stock!$D$8:$D$101,$J20)))</f>
        <v/>
      </c>
      <c r="D20" s="73">
        <f>IF($J20="","",INDEX(Stock!$J$8:$J$101,$J20))</f>
        <v/>
      </c>
      <c r="E20" s="74">
        <f>IF($J20="","",INDEX(Stock!$K$8:$K$101,$J20))</f>
        <v/>
      </c>
      <c r="F20" s="74" t="n"/>
      <c r="G20" s="75">
        <f>IF($J20="","",IF(INDEX(Stock!$L$8:$L$101,$J20)=0,"",INDEX(Stock!$L$8:$L$101,$J20)))</f>
        <v/>
      </c>
      <c r="H20" s="76">
        <f>IF($J20="","",INDEX(Stock!$M$8:$M$101,$J20))</f>
        <v/>
      </c>
      <c r="J20" s="71">
        <f>IFERROR(MATCH($A$9&amp;"#"&amp;10,Stock!$R$8:$R$101,0),"")</f>
        <v/>
      </c>
    </row>
    <row r="21" ht="12.75" customHeight="1">
      <c r="A21" s="66">
        <f>IF($J21="","",INDEX(Stock!$B$8:$B$101,$J21))</f>
        <v/>
      </c>
      <c r="B21" s="66">
        <f>IF($J21="","",IF(INDEX(Stock!$C$8:$C$101,$J21)=0,"",INDEX(Stock!$C$8:$C$101,$J21)))</f>
        <v/>
      </c>
      <c r="C21" s="83">
        <f>IF($J21="","",IF(INDEX(Stock!$D$8:$D$101,$J21)=0,"",INDEX(Stock!$D$8:$D$101,$J21)))</f>
        <v/>
      </c>
      <c r="D21" s="67">
        <f>IF($J21="","",INDEX(Stock!$J$8:$J$101,$J21))</f>
        <v/>
      </c>
      <c r="E21" s="68">
        <f>IF($J21="","",INDEX(Stock!$K$8:$K$101,$J21))</f>
        <v/>
      </c>
      <c r="F21" s="68" t="n"/>
      <c r="G21" s="69">
        <f>IF($J21="","",IF(INDEX(Stock!$L$8:$L$101,$J21)=0,"",INDEX(Stock!$L$8:$L$101,$J21)))</f>
        <v/>
      </c>
      <c r="H21" s="70">
        <f>IF($J21="","",INDEX(Stock!$M$8:$M$101,$J21))</f>
        <v/>
      </c>
      <c r="J21" s="71">
        <f>IFERROR(MATCH($A$9&amp;"#"&amp;11,Stock!$R$8:$R$101,0),"")</f>
        <v/>
      </c>
    </row>
    <row r="22">
      <c r="A22" s="77">
        <f>IF($A$9="","",$A$9&amp;" total")</f>
        <v/>
      </c>
      <c r="B22" s="77" t="n"/>
      <c r="C22" s="85" t="n"/>
      <c r="D22" s="123">
        <f>SUM(D11:D21)</f>
        <v/>
      </c>
      <c r="E22" s="78">
        <f>SUM(E11:E21)</f>
        <v/>
      </c>
      <c r="F22" s="78">
        <f>SUM(F11:F21)</f>
        <v/>
      </c>
      <c r="G22" s="77" t="n"/>
      <c r="H22" s="79">
        <f>SUM(H11:H21)</f>
        <v/>
      </c>
    </row>
    <row r="23"/>
    <row r="24" ht="24.95" customFormat="1" customHeight="1" s="81">
      <c r="A24" s="132" t="inlineStr">
        <is>
          <t>Primus Japan</t>
        </is>
      </c>
      <c r="B24" s="144" t="n"/>
      <c r="C24" s="144" t="n"/>
      <c r="D24" s="144" t="n"/>
      <c r="E24" s="144" t="n"/>
      <c r="F24" s="144" t="n"/>
      <c r="G24" s="144" t="n"/>
      <c r="H24" s="144" t="n"/>
    </row>
    <row r="25" ht="20.1" customFormat="1" customHeight="1" s="26">
      <c r="A25" s="80" t="inlineStr">
        <is>
          <t>Product</t>
        </is>
      </c>
      <c r="B25" s="80" t="inlineStr">
        <is>
          <t>Unit</t>
        </is>
      </c>
      <c r="C25" s="82" t="inlineStr">
        <is>
          <t>Kg / Unit</t>
        </is>
      </c>
      <c r="D25" s="80" t="inlineStr">
        <is>
          <t>Closing Balance</t>
        </is>
      </c>
      <c r="E25" s="80" t="inlineStr">
        <is>
          <t>Closing Stock (Kg)</t>
        </is>
      </c>
      <c r="F25" s="80" t="inlineStr">
        <is>
          <t>No. of Cases</t>
        </is>
      </c>
      <c r="G25" s="80" t="inlineStr">
        <is>
          <t>Rate / Kg ($)</t>
        </is>
      </c>
      <c r="H25" s="80" t="inlineStr">
        <is>
          <t>Stock Value (₹)</t>
        </is>
      </c>
    </row>
    <row r="26" ht="12.75" customHeight="1">
      <c r="A26" s="66">
        <f>IF($J26="","",INDEX(Stock!$B$8:$B$101,$J26))</f>
        <v/>
      </c>
      <c r="B26" s="66">
        <f>IF($J26="","",IF(INDEX(Stock!$C$8:$C$101,$J26)=0,"",INDEX(Stock!$C$8:$C$101,$J26)))</f>
        <v/>
      </c>
      <c r="C26" s="83">
        <f>IF($J26="","",IF(INDEX(Stock!$D$8:$D$101,$J26)=0,"",INDEX(Stock!$D$8:$D$101,$J26)))</f>
        <v/>
      </c>
      <c r="D26" s="67">
        <f>IF($J26="","",INDEX(Stock!$J$8:$J$101,$J26))</f>
        <v/>
      </c>
      <c r="E26" s="68">
        <f>IF($J26="","",INDEX(Stock!$K$8:$K$101,$J26))</f>
        <v/>
      </c>
      <c r="F26" s="68">
        <f>+$D26/10</f>
        <v/>
      </c>
      <c r="G26" s="69">
        <f>IF($J26="","",IF(INDEX(Stock!$L$8:$L$101,$J26)=0,"",INDEX(Stock!$L$8:$L$101,$J26)))</f>
        <v/>
      </c>
      <c r="H26" s="70">
        <f>IF($J26="","",INDEX(Stock!$M$8:$M$101,$J26))</f>
        <v/>
      </c>
      <c r="J26" s="71">
        <f>IFERROR(MATCH($A$24&amp;"#"&amp;1,Stock!$R$8:$R$101,0),"")</f>
        <v/>
      </c>
    </row>
    <row r="27" ht="12.75" customHeight="1">
      <c r="A27" s="72">
        <f>IF($J27="","",INDEX(Stock!$B$8:$B$101,$J27))</f>
        <v/>
      </c>
      <c r="B27" s="72">
        <f>IF($J27="","",IF(INDEX(Stock!$C$8:$C$101,$J27)=0,"",INDEX(Stock!$C$8:$C$101,$J27)))</f>
        <v/>
      </c>
      <c r="C27" s="84">
        <f>IF($J27="","",IF(INDEX(Stock!$D$8:$D$101,$J27)=0,"",INDEX(Stock!$D$8:$D$101,$J27)))</f>
        <v/>
      </c>
      <c r="D27" s="73">
        <f>IF($J27="","",INDEX(Stock!$J$8:$J$101,$J27))</f>
        <v/>
      </c>
      <c r="E27" s="74">
        <f>IF($J27="","",INDEX(Stock!$K$8:$K$101,$J27))</f>
        <v/>
      </c>
      <c r="F27" s="125">
        <f>+$D27/10</f>
        <v/>
      </c>
      <c r="G27" s="75">
        <f>IF($J27="","",IF(INDEX(Stock!$L$8:$L$101,$J27)=0,"",INDEX(Stock!$L$8:$L$101,$J27)))</f>
        <v/>
      </c>
      <c r="H27" s="76">
        <f>IF($J27="","",INDEX(Stock!$M$8:$M$101,$J27))</f>
        <v/>
      </c>
      <c r="J27" s="71">
        <f>IFERROR(MATCH($A$24&amp;"#"&amp;2,Stock!$R$8:$R$101,0),"")</f>
        <v/>
      </c>
    </row>
    <row r="28" ht="12.75" customHeight="1">
      <c r="A28" s="66">
        <f>IF($J28="","",INDEX(Stock!$B$8:$B$101,$J28))</f>
        <v/>
      </c>
      <c r="B28" s="66">
        <f>IF($J28="","",IF(INDEX(Stock!$C$8:$C$101,$J28)=0,"",INDEX(Stock!$C$8:$C$101,$J28)))</f>
        <v/>
      </c>
      <c r="C28" s="83">
        <f>IF($J28="","",IF(INDEX(Stock!$D$8:$D$101,$J28)=0,"",INDEX(Stock!$D$8:$D$101,$J28)))</f>
        <v/>
      </c>
      <c r="D28" s="67">
        <f>IF($J28="","",INDEX(Stock!$J$8:$J$101,$J28))</f>
        <v/>
      </c>
      <c r="E28" s="68">
        <f>IF($J28="","",INDEX(Stock!$K$8:$K$101,$J28))</f>
        <v/>
      </c>
      <c r="F28" s="68">
        <f>+$D28/10</f>
        <v/>
      </c>
      <c r="G28" s="69">
        <f>IF($J28="","",IF(INDEX(Stock!$L$8:$L$101,$J28)=0,"",INDEX(Stock!$L$8:$L$101,$J28)))</f>
        <v/>
      </c>
      <c r="H28" s="70">
        <f>IF($J28="","",INDEX(Stock!$M$8:$M$101,$J28))</f>
        <v/>
      </c>
      <c r="J28" s="71">
        <f>IFERROR(MATCH($A$24&amp;"#"&amp;3,Stock!$R$8:$R$101,0),"")</f>
        <v/>
      </c>
    </row>
    <row r="29" ht="12.75" customHeight="1">
      <c r="A29" s="72">
        <f>IF($J29="","",INDEX(Stock!$B$8:$B$101,$J29))</f>
        <v/>
      </c>
      <c r="B29" s="72">
        <f>IF($J29="","",IF(INDEX(Stock!$C$8:$C$101,$J29)=0,"",INDEX(Stock!$C$8:$C$101,$J29)))</f>
        <v/>
      </c>
      <c r="C29" s="84">
        <f>IF($J29="","",IF(INDEX(Stock!$D$8:$D$101,$J29)=0,"",INDEX(Stock!$D$8:$D$101,$J29)))</f>
        <v/>
      </c>
      <c r="D29" s="73">
        <f>IF($J29="","",INDEX(Stock!$J$8:$J$101,$J29))</f>
        <v/>
      </c>
      <c r="E29" s="74">
        <f>IF($J29="","",INDEX(Stock!$K$8:$K$101,$J29))</f>
        <v/>
      </c>
      <c r="F29" s="125">
        <f>+$D29/10</f>
        <v/>
      </c>
      <c r="G29" s="75">
        <f>IF($J29="","",IF(INDEX(Stock!$L$8:$L$101,$J29)=0,"",INDEX(Stock!$L$8:$L$101,$J29)))</f>
        <v/>
      </c>
      <c r="H29" s="76">
        <f>IF($J29="","",INDEX(Stock!$M$8:$M$101,$J29))</f>
        <v/>
      </c>
      <c r="J29" s="71">
        <f>IFERROR(MATCH($A$24&amp;"#"&amp;4,Stock!$R$8:$R$101,0),"")</f>
        <v/>
      </c>
    </row>
    <row r="30" ht="12.75" customHeight="1">
      <c r="A30" s="66">
        <f>IF($J30="","",INDEX(Stock!$B$8:$B$101,$J30))</f>
        <v/>
      </c>
      <c r="B30" s="66">
        <f>IF($J30="","",IF(INDEX(Stock!$C$8:$C$101,$J30)=0,"",INDEX(Stock!$C$8:$C$101,$J30)))</f>
        <v/>
      </c>
      <c r="C30" s="83">
        <f>IF($J30="","",IF(INDEX(Stock!$D$8:$D$101,$J30)=0,"",INDEX(Stock!$D$8:$D$101,$J30)))</f>
        <v/>
      </c>
      <c r="D30" s="67">
        <f>IF($J30="","",INDEX(Stock!$J$8:$J$101,$J30))</f>
        <v/>
      </c>
      <c r="E30" s="68">
        <f>IF($J30="","",INDEX(Stock!$K$8:$K$101,$J30))</f>
        <v/>
      </c>
      <c r="F30" s="68">
        <f>+$D30/10</f>
        <v/>
      </c>
      <c r="G30" s="69">
        <f>IF($J30="","",IF(INDEX(Stock!$L$8:$L$101,$J30)=0,"",INDEX(Stock!$L$8:$L$101,$J30)))</f>
        <v/>
      </c>
      <c r="H30" s="70">
        <f>IF($J30="","",INDEX(Stock!$M$8:$M$101,$J30))</f>
        <v/>
      </c>
      <c r="J30" s="71">
        <f>IFERROR(MATCH($A$24&amp;"#"&amp;5,Stock!$R$8:$R$101,0),"")</f>
        <v/>
      </c>
    </row>
    <row r="31" ht="12.75" customHeight="1">
      <c r="A31" s="72">
        <f>IF($J31="","",INDEX(Stock!$B$8:$B$101,$J31))</f>
        <v/>
      </c>
      <c r="B31" s="72">
        <f>IF($J31="","",IF(INDEX(Stock!$C$8:$C$101,$J31)=0,"",INDEX(Stock!$C$8:$C$101,$J31)))</f>
        <v/>
      </c>
      <c r="C31" s="84">
        <f>IF($J31="","",IF(INDEX(Stock!$D$8:$D$101,$J31)=0,"",INDEX(Stock!$D$8:$D$101,$J31)))</f>
        <v/>
      </c>
      <c r="D31" s="73">
        <f>IF($J31="","",INDEX(Stock!$J$8:$J$101,$J31))</f>
        <v/>
      </c>
      <c r="E31" s="74">
        <f>IF($J31="","",INDEX(Stock!$K$8:$K$101,$J31))</f>
        <v/>
      </c>
      <c r="F31" s="125">
        <f>+$D31/10</f>
        <v/>
      </c>
      <c r="G31" s="75">
        <f>IF($J31="","",IF(INDEX(Stock!$L$8:$L$101,$J31)=0,"",INDEX(Stock!$L$8:$L$101,$J31)))</f>
        <v/>
      </c>
      <c r="H31" s="76">
        <f>IF($J31="","",INDEX(Stock!$M$8:$M$101,$J31))</f>
        <v/>
      </c>
      <c r="J31" s="71">
        <f>IFERROR(MATCH($A$24&amp;"#"&amp;6,Stock!$R$8:$R$101,0),"")</f>
        <v/>
      </c>
    </row>
    <row r="32" ht="12.75" customHeight="1">
      <c r="A32" s="66">
        <f>IF($J32="","",INDEX(Stock!$B$8:$B$101,$J32))</f>
        <v/>
      </c>
      <c r="B32" s="66">
        <f>IF($J32="","",IF(INDEX(Stock!$C$8:$C$101,$J32)=0,"",INDEX(Stock!$C$8:$C$101,$J32)))</f>
        <v/>
      </c>
      <c r="C32" s="83">
        <f>IF($J32="","",IF(INDEX(Stock!$D$8:$D$101,$J32)=0,"",INDEX(Stock!$D$8:$D$101,$J32)))</f>
        <v/>
      </c>
      <c r="D32" s="67">
        <f>IF($J32="","",INDEX(Stock!$J$8:$J$101,$J32))</f>
        <v/>
      </c>
      <c r="E32" s="68">
        <f>IF($J32="","",INDEX(Stock!$K$8:$K$101,$J32))</f>
        <v/>
      </c>
      <c r="F32" s="68">
        <f>+$D32/10</f>
        <v/>
      </c>
      <c r="G32" s="69">
        <f>IF($J32="","",IF(INDEX(Stock!$L$8:$L$101,$J32)=0,"",INDEX(Stock!$L$8:$L$101,$J32)))</f>
        <v/>
      </c>
      <c r="H32" s="70">
        <f>IF($J32="","",INDEX(Stock!$M$8:$M$101,$J32))</f>
        <v/>
      </c>
      <c r="J32" s="71">
        <f>IFERROR(MATCH($A$24&amp;"#"&amp;7,Stock!$R$8:$R$101,0),"")</f>
        <v/>
      </c>
    </row>
    <row r="33" ht="12.75" customHeight="1">
      <c r="A33" s="72">
        <f>IF($J33="","",INDEX(Stock!$B$8:$B$101,$J33))</f>
        <v/>
      </c>
      <c r="B33" s="72">
        <f>IF($J33="","",IF(INDEX(Stock!$C$8:$C$101,$J33)=0,"",INDEX(Stock!$C$8:$C$101,$J33)))</f>
        <v/>
      </c>
      <c r="C33" s="84">
        <f>IF($J33="","",IF(INDEX(Stock!$D$8:$D$101,$J33)=0,"",INDEX(Stock!$D$8:$D$101,$J33)))</f>
        <v/>
      </c>
      <c r="D33" s="73">
        <f>IF($J33="","",INDEX(Stock!$J$8:$J$101,$J33))</f>
        <v/>
      </c>
      <c r="E33" s="74">
        <f>IF($J33="","",INDEX(Stock!$K$8:$K$101,$J33))</f>
        <v/>
      </c>
      <c r="F33" s="125">
        <f>+$D33/10</f>
        <v/>
      </c>
      <c r="G33" s="75">
        <f>IF($J33="","",IF(INDEX(Stock!$L$8:$L$101,$J33)=0,"",INDEX(Stock!$L$8:$L$101,$J33)))</f>
        <v/>
      </c>
      <c r="H33" s="76">
        <f>IF($J33="","",INDEX(Stock!$M$8:$M$101,$J33))</f>
        <v/>
      </c>
      <c r="J33" s="71">
        <f>IFERROR(MATCH($A$24&amp;"#"&amp;8,Stock!$R$8:$R$101,0),"")</f>
        <v/>
      </c>
    </row>
    <row r="34" ht="12.75" customHeight="1">
      <c r="A34" s="66">
        <f>IF($J34="","",INDEX(Stock!$B$8:$B$101,$J34))</f>
        <v/>
      </c>
      <c r="B34" s="66">
        <f>IF($J34="","",IF(INDEX(Stock!$C$8:$C$101,$J34)=0,"",INDEX(Stock!$C$8:$C$101,$J34)))</f>
        <v/>
      </c>
      <c r="C34" s="83">
        <f>IF($J34="","",IF(INDEX(Stock!$D$8:$D$101,$J34)=0,"",INDEX(Stock!$D$8:$D$101,$J34)))</f>
        <v/>
      </c>
      <c r="D34" s="67">
        <f>IF($J34="","",INDEX(Stock!$J$8:$J$101,$J34))</f>
        <v/>
      </c>
      <c r="E34" s="68">
        <f>IF($J34="","",INDEX(Stock!$K$8:$K$101,$J34))</f>
        <v/>
      </c>
      <c r="F34" s="68">
        <f>+$D34/10</f>
        <v/>
      </c>
      <c r="G34" s="69">
        <f>IF($J34="","",IF(INDEX(Stock!$L$8:$L$101,$J34)=0,"",INDEX(Stock!$L$8:$L$101,$J34)))</f>
        <v/>
      </c>
      <c r="H34" s="70">
        <f>IF($J34="","",INDEX(Stock!$M$8:$M$101,$J34))</f>
        <v/>
      </c>
      <c r="J34" s="71">
        <f>IFERROR(MATCH($A$24&amp;"#"&amp;9,Stock!$R$8:$R$101,0),"")</f>
        <v/>
      </c>
    </row>
    <row r="35" ht="12.75" customHeight="1">
      <c r="A35" s="72">
        <f>IF($J35="","",INDEX(Stock!$B$8:$B$101,$J35))</f>
        <v/>
      </c>
      <c r="B35" s="72">
        <f>IF($J35="","",IF(INDEX(Stock!$C$8:$C$101,$J35)=0,"",INDEX(Stock!$C$8:$C$101,$J35)))</f>
        <v/>
      </c>
      <c r="C35" s="84">
        <f>IF($J35="","",IF(INDEX(Stock!$D$8:$D$101,$J35)=0,"",INDEX(Stock!$D$8:$D$101,$J35)))</f>
        <v/>
      </c>
      <c r="D35" s="73">
        <f>IF($J35="","",INDEX(Stock!$J$8:$J$101,$J35))</f>
        <v/>
      </c>
      <c r="E35" s="74">
        <f>IF($J35="","",INDEX(Stock!$K$8:$K$101,$J35))</f>
        <v/>
      </c>
      <c r="F35" s="125">
        <f>+$D35/10</f>
        <v/>
      </c>
      <c r="G35" s="75">
        <f>IF($J35="","",IF(INDEX(Stock!$L$8:$L$101,$J35)=0,"",INDEX(Stock!$L$8:$L$101,$J35)))</f>
        <v/>
      </c>
      <c r="H35" s="76">
        <f>IF($J35="","",INDEX(Stock!$M$8:$M$101,$J35))</f>
        <v/>
      </c>
      <c r="J35" s="71">
        <f>IFERROR(MATCH($A$24&amp;"#"&amp;10,Stock!$R$8:$R$101,0),"")</f>
        <v/>
      </c>
    </row>
    <row r="36" ht="12.75" customHeight="1">
      <c r="A36" s="66">
        <f>IF($J36="","",INDEX(Stock!$B$8:$B$101,$J36))</f>
        <v/>
      </c>
      <c r="B36" s="66">
        <f>IF($J36="","",IF(INDEX(Stock!$C$8:$C$101,$J36)=0,"",INDEX(Stock!$C$8:$C$101,$J36)))</f>
        <v/>
      </c>
      <c r="C36" s="83">
        <f>IF($J36="","",IF(INDEX(Stock!$D$8:$D$101,$J36)=0,"",INDEX(Stock!$D$8:$D$101,$J36)))</f>
        <v/>
      </c>
      <c r="D36" s="67">
        <f>IF($J36="","",INDEX(Stock!$J$8:$J$101,$J36))</f>
        <v/>
      </c>
      <c r="E36" s="68">
        <f>IF($J36="","",INDEX(Stock!$K$8:$K$101,$J36))</f>
        <v/>
      </c>
      <c r="F36" s="68">
        <f>+$D36/10</f>
        <v/>
      </c>
      <c r="G36" s="69">
        <f>IF($J36="","",IF(INDEX(Stock!$L$8:$L$101,$J36)=0,"",INDEX(Stock!$L$8:$L$101,$J36)))</f>
        <v/>
      </c>
      <c r="H36" s="70">
        <f>IF($J36="","",INDEX(Stock!$M$8:$M$101,$J36))</f>
        <v/>
      </c>
      <c r="J36" s="71">
        <f>IFERROR(MATCH($A$24&amp;"#"&amp;11,Stock!$R$8:$R$101,0),"")</f>
        <v/>
      </c>
    </row>
    <row r="37" ht="12.75" customHeight="1">
      <c r="A37" s="72">
        <f>IF($J37="","",INDEX(Stock!$B$8:$B$101,$J37))</f>
        <v/>
      </c>
      <c r="B37" s="72">
        <f>IF($J37="","",IF(INDEX(Stock!$C$8:$C$101,$J37)=0,"",INDEX(Stock!$C$8:$C$101,$J37)))</f>
        <v/>
      </c>
      <c r="C37" s="84">
        <f>IF($J37="","",IF(INDEX(Stock!$D$8:$D$101,$J37)=0,"",INDEX(Stock!$D$8:$D$101,$J37)))</f>
        <v/>
      </c>
      <c r="D37" s="73">
        <f>IF($J37="","",INDEX(Stock!$J$8:$J$101,$J37))</f>
        <v/>
      </c>
      <c r="E37" s="74">
        <f>IF($J37="","",INDEX(Stock!$K$8:$K$101,$J37))</f>
        <v/>
      </c>
      <c r="F37" s="125">
        <f>+$D37/10</f>
        <v/>
      </c>
      <c r="G37" s="75">
        <f>IF($J37="","",IF(INDEX(Stock!$L$8:$L$101,$J37)=0,"",INDEX(Stock!$L$8:$L$101,$J37)))</f>
        <v/>
      </c>
      <c r="H37" s="76">
        <f>IF($J37="","",INDEX(Stock!$M$8:$M$101,$J37))</f>
        <v/>
      </c>
      <c r="J37" s="71">
        <f>IFERROR(MATCH($A$24&amp;"#"&amp;12,Stock!$R$8:$R$101,0),"")</f>
        <v/>
      </c>
    </row>
    <row r="38" ht="12.75" customHeight="1">
      <c r="A38" s="66">
        <f>IF($J38="","",INDEX(Stock!$B$8:$B$101,$J38))</f>
        <v/>
      </c>
      <c r="B38" s="66">
        <f>IF($J38="","",IF(INDEX(Stock!$C$8:$C$101,$J38)=0,"",INDEX(Stock!$C$8:$C$101,$J38)))</f>
        <v/>
      </c>
      <c r="C38" s="83">
        <f>IF($J38="","",IF(INDEX(Stock!$D$8:$D$101,$J38)=0,"",INDEX(Stock!$D$8:$D$101,$J38)))</f>
        <v/>
      </c>
      <c r="D38" s="67">
        <f>IF($J38="","",INDEX(Stock!$J$8:$J$101,$J38))</f>
        <v/>
      </c>
      <c r="E38" s="68">
        <f>IF($J38="","",INDEX(Stock!$K$8:$K$101,$J38))</f>
        <v/>
      </c>
      <c r="F38" s="68">
        <f>+$D38/10</f>
        <v/>
      </c>
      <c r="G38" s="69">
        <f>IF($J38="","",IF(INDEX(Stock!$L$8:$L$101,$J38)=0,"",INDEX(Stock!$L$8:$L$101,$J38)))</f>
        <v/>
      </c>
      <c r="H38" s="70">
        <f>IF($J38="","",INDEX(Stock!$M$8:$M$101,$J38))</f>
        <v/>
      </c>
      <c r="J38" s="71">
        <f>IFERROR(MATCH($A$24&amp;"#"&amp;13,Stock!$R$8:$R$101,0),"")</f>
        <v/>
      </c>
    </row>
    <row r="39" ht="12.75" customHeight="1">
      <c r="A39" s="72">
        <f>IF($J39="","",INDEX(Stock!$B$8:$B$101,$J39))</f>
        <v/>
      </c>
      <c r="B39" s="72">
        <f>IF($J39="","",IF(INDEX(Stock!$C$8:$C$101,$J39)=0,"",INDEX(Stock!$C$8:$C$101,$J39)))</f>
        <v/>
      </c>
      <c r="C39" s="84">
        <f>IF($J39="","",IF(INDEX(Stock!$D$8:$D$101,$J39)=0,"",INDEX(Stock!$D$8:$D$101,$J39)))</f>
        <v/>
      </c>
      <c r="D39" s="73">
        <f>IF($J39="","",INDEX(Stock!$J$8:$J$101,$J39))</f>
        <v/>
      </c>
      <c r="E39" s="74">
        <f>IF($J39="","",INDEX(Stock!$K$8:$K$101,$J39))</f>
        <v/>
      </c>
      <c r="F39" s="125">
        <f>+$D39/10</f>
        <v/>
      </c>
      <c r="G39" s="75">
        <f>IF($J39="","",IF(INDEX(Stock!$L$8:$L$101,$J39)=0,"",INDEX(Stock!$L$8:$L$101,$J39)))</f>
        <v/>
      </c>
      <c r="H39" s="76">
        <f>IF($J39="","",INDEX(Stock!$M$8:$M$101,$J39))</f>
        <v/>
      </c>
      <c r="J39" s="71">
        <f>IFERROR(MATCH($A$24&amp;"#"&amp;14,Stock!$R$8:$R$101,0),"")</f>
        <v/>
      </c>
    </row>
    <row r="40" ht="12.75" customHeight="1">
      <c r="A40" s="66">
        <f>IF($J40="","",INDEX(Stock!$B$8:$B$101,$J40))</f>
        <v/>
      </c>
      <c r="B40" s="66">
        <f>IF($J40="","",IF(INDEX(Stock!$C$8:$C$101,$J40)=0,"",INDEX(Stock!$C$8:$C$101,$J40)))</f>
        <v/>
      </c>
      <c r="C40" s="83">
        <f>IF($J40="","",IF(INDEX(Stock!$D$8:$D$101,$J40)=0,"",INDEX(Stock!$D$8:$D$101,$J40)))</f>
        <v/>
      </c>
      <c r="D40" s="67">
        <f>IF($J40="","",INDEX(Stock!$J$8:$J$101,$J40))</f>
        <v/>
      </c>
      <c r="E40" s="68">
        <f>IF($J40="","",INDEX(Stock!$K$8:$K$101,$J40))</f>
        <v/>
      </c>
      <c r="F40" s="68">
        <f>+$D40/10</f>
        <v/>
      </c>
      <c r="G40" s="69">
        <f>IF($J40="","",IF(INDEX(Stock!$L$8:$L$101,$J40)=0,"",INDEX(Stock!$L$8:$L$101,$J40)))</f>
        <v/>
      </c>
      <c r="H40" s="70">
        <f>IF($J40="","",INDEX(Stock!$M$8:$M$101,$J40))</f>
        <v/>
      </c>
      <c r="J40" s="71">
        <f>IFERROR(MATCH($A$24&amp;"#"&amp;15,Stock!$R$8:$R$101,0),"")</f>
        <v/>
      </c>
    </row>
    <row r="41" ht="12.75" customHeight="1">
      <c r="A41" s="72">
        <f>IF($J41="","",INDEX(Stock!$B$8:$B$101,$J41))</f>
        <v/>
      </c>
      <c r="B41" s="72">
        <f>IF($J41="","",IF(INDEX(Stock!$C$8:$C$101,$J41)=0,"",INDEX(Stock!$C$8:$C$101,$J41)))</f>
        <v/>
      </c>
      <c r="C41" s="84">
        <f>IF($J41="","",IF(INDEX(Stock!$D$8:$D$101,$J41)=0,"",INDEX(Stock!$D$8:$D$101,$J41)))</f>
        <v/>
      </c>
      <c r="D41" s="73">
        <f>IF($J41="","",INDEX(Stock!$J$8:$J$101,$J41))</f>
        <v/>
      </c>
      <c r="E41" s="74">
        <f>IF($J41="","",INDEX(Stock!$K$8:$K$101,$J41))</f>
        <v/>
      </c>
      <c r="F41" s="125">
        <f>+$D41/10</f>
        <v/>
      </c>
      <c r="G41" s="75">
        <f>IF($J41="","",IF(INDEX(Stock!$L$8:$L$101,$J41)=0,"",INDEX(Stock!$L$8:$L$101,$J41)))</f>
        <v/>
      </c>
      <c r="H41" s="76">
        <f>IF($J41="","",INDEX(Stock!$M$8:$M$101,$J41))</f>
        <v/>
      </c>
      <c r="J41" s="71">
        <f>IFERROR(MATCH($A$24&amp;"#"&amp;16,Stock!$R$8:$R$101,0),"")</f>
        <v/>
      </c>
    </row>
    <row r="42" ht="12.75" customHeight="1">
      <c r="A42" s="66">
        <f>IF($J42="","",INDEX(Stock!$B$8:$B$101,$J42))</f>
        <v/>
      </c>
      <c r="B42" s="66">
        <f>IF($J42="","",IF(INDEX(Stock!$C$8:$C$101,$J42)=0,"",INDEX(Stock!$C$8:$C$101,$J42)))</f>
        <v/>
      </c>
      <c r="C42" s="83">
        <f>IF($J42="","",IF(INDEX(Stock!$D$8:$D$101,$J42)=0,"",INDEX(Stock!$D$8:$D$101,$J42)))</f>
        <v/>
      </c>
      <c r="D42" s="67">
        <f>IF($J42="","",INDEX(Stock!$J$8:$J$101,$J42))</f>
        <v/>
      </c>
      <c r="E42" s="68">
        <f>IF($J42="","",INDEX(Stock!$K$8:$K$101,$J42))</f>
        <v/>
      </c>
      <c r="F42" s="68">
        <f>+$D42/10</f>
        <v/>
      </c>
      <c r="G42" s="69">
        <f>IF($J42="","",IF(INDEX(Stock!$L$8:$L$101,$J42)=0,"",INDEX(Stock!$L$8:$L$101,$J42)))</f>
        <v/>
      </c>
      <c r="H42" s="70">
        <f>IF($J42="","",INDEX(Stock!$M$8:$M$101,$J42))</f>
        <v/>
      </c>
      <c r="J42" s="71">
        <f>IFERROR(MATCH($A$24&amp;"#"&amp;17,Stock!$R$8:$R$101,0),"")</f>
        <v/>
      </c>
    </row>
    <row r="43" ht="12.75" customHeight="1">
      <c r="A43" s="72">
        <f>IF($J43="","",INDEX(Stock!$B$8:$B$101,$J43))</f>
        <v/>
      </c>
      <c r="B43" s="72">
        <f>IF($J43="","",IF(INDEX(Stock!$C$8:$C$101,$J43)=0,"",INDEX(Stock!$C$8:$C$101,$J43)))</f>
        <v/>
      </c>
      <c r="C43" s="84">
        <f>IF($J43="","",IF(INDEX(Stock!$D$8:$D$101,$J43)=0,"",INDEX(Stock!$D$8:$D$101,$J43)))</f>
        <v/>
      </c>
      <c r="D43" s="73">
        <f>IF($J43="","",INDEX(Stock!$J$8:$J$101,$J43))</f>
        <v/>
      </c>
      <c r="E43" s="74">
        <f>IF($J43="","",INDEX(Stock!$K$8:$K$101,$J43))</f>
        <v/>
      </c>
      <c r="F43" s="125">
        <f>+$D43/10</f>
        <v/>
      </c>
      <c r="G43" s="75">
        <f>IF($J43="","",IF(INDEX(Stock!$L$8:$L$101,$J43)=0,"",INDEX(Stock!$L$8:$L$101,$J43)))</f>
        <v/>
      </c>
      <c r="H43" s="76">
        <f>IF($J43="","",INDEX(Stock!$M$8:$M$101,$J43))</f>
        <v/>
      </c>
      <c r="J43" s="71">
        <f>IFERROR(MATCH($A$24&amp;"#"&amp;18,Stock!$R$8:$R$101,0),"")</f>
        <v/>
      </c>
    </row>
    <row r="44" ht="12.75" customHeight="1">
      <c r="A44" s="66">
        <f>IF($J44="","",INDEX(Stock!$B$8:$B$101,$J44))</f>
        <v/>
      </c>
      <c r="B44" s="66">
        <f>IF($J44="","",IF(INDEX(Stock!$C$8:$C$101,$J44)=0,"",INDEX(Stock!$C$8:$C$101,$J44)))</f>
        <v/>
      </c>
      <c r="C44" s="83">
        <f>IF($J44="","",IF(INDEX(Stock!$D$8:$D$101,$J44)=0,"",INDEX(Stock!$D$8:$D$101,$J44)))</f>
        <v/>
      </c>
      <c r="D44" s="67">
        <f>IF($J44="","",INDEX(Stock!$J$8:$J$101,$J44))</f>
        <v/>
      </c>
      <c r="E44" s="68">
        <f>IF($J44="","",INDEX(Stock!$K$8:$K$101,$J44))</f>
        <v/>
      </c>
      <c r="F44" s="68">
        <f>+$D44/10</f>
        <v/>
      </c>
      <c r="G44" s="69">
        <f>IF($J44="","",IF(INDEX(Stock!$L$8:$L$101,$J44)=0,"",INDEX(Stock!$L$8:$L$101,$J44)))</f>
        <v/>
      </c>
      <c r="H44" s="70">
        <f>IF($J44="","",INDEX(Stock!$M$8:$M$101,$J44))</f>
        <v/>
      </c>
      <c r="J44" s="71">
        <f>IFERROR(MATCH($A$24&amp;"#"&amp;19,Stock!$R$8:$R$101,0),"")</f>
        <v/>
      </c>
    </row>
    <row r="45" ht="12.75" customHeight="1">
      <c r="A45" s="72">
        <f>IF($J45="","",INDEX(Stock!$B$8:$B$101,$J45))</f>
        <v/>
      </c>
      <c r="B45" s="72">
        <f>IF($J45="","",IF(INDEX(Stock!$C$8:$C$101,$J45)=0,"",INDEX(Stock!$C$8:$C$101,$J45)))</f>
        <v/>
      </c>
      <c r="C45" s="84">
        <f>IF($J45="","",IF(INDEX(Stock!$D$8:$D$101,$J45)=0,"",INDEX(Stock!$D$8:$D$101,$J45)))</f>
        <v/>
      </c>
      <c r="D45" s="73">
        <f>IF($J45="","",INDEX(Stock!$J$8:$J$101,$J45))</f>
        <v/>
      </c>
      <c r="E45" s="74">
        <f>IF($J45="","",INDEX(Stock!$K$8:$K$101,$J45))</f>
        <v/>
      </c>
      <c r="F45" s="74" t="n"/>
      <c r="G45" s="75">
        <f>IF($J45="","",IF(INDEX(Stock!$L$8:$L$101,$J45)=0,"",INDEX(Stock!$L$8:$L$101,$J45)))</f>
        <v/>
      </c>
      <c r="H45" s="76">
        <f>IF($J45="","",INDEX(Stock!$M$8:$M$101,$J45))</f>
        <v/>
      </c>
      <c r="J45" s="71">
        <f>IFERROR(MATCH($A$24&amp;"#"&amp;20,Stock!$R$8:$R$101,0),"")</f>
        <v/>
      </c>
    </row>
    <row r="46" ht="12.75" customHeight="1">
      <c r="A46" s="66">
        <f>IF($J46="","",INDEX(Stock!$B$8:$B$101,$J46))</f>
        <v/>
      </c>
      <c r="B46" s="66">
        <f>IF($J46="","",IF(INDEX(Stock!$C$8:$C$101,$J46)=0,"",INDEX(Stock!$C$8:$C$101,$J46)))</f>
        <v/>
      </c>
      <c r="C46" s="83">
        <f>IF($J46="","",IF(INDEX(Stock!$D$8:$D$101,$J46)=0,"",INDEX(Stock!$D$8:$D$101,$J46)))</f>
        <v/>
      </c>
      <c r="D46" s="67">
        <f>IF($J46="","",INDEX(Stock!$J$8:$J$101,$J46))</f>
        <v/>
      </c>
      <c r="E46" s="68">
        <f>IF($J46="","",INDEX(Stock!$K$8:$K$101,$J46))</f>
        <v/>
      </c>
      <c r="F46" s="68" t="n"/>
      <c r="G46" s="69">
        <f>IF($J46="","",IF(INDEX(Stock!$L$8:$L$101,$J46)=0,"",INDEX(Stock!$L$8:$L$101,$J46)))</f>
        <v/>
      </c>
      <c r="H46" s="70">
        <f>IF($J46="","",INDEX(Stock!$M$8:$M$101,$J46))</f>
        <v/>
      </c>
      <c r="J46" s="71">
        <f>IFERROR(MATCH($A$24&amp;"#"&amp;21,Stock!$R$8:$R$101,0),"")</f>
        <v/>
      </c>
    </row>
    <row r="47" ht="12.75" customHeight="1">
      <c r="A47" s="72">
        <f>IF($J47="","",INDEX(Stock!$B$8:$B$101,$J47))</f>
        <v/>
      </c>
      <c r="B47" s="72">
        <f>IF($J47="","",IF(INDEX(Stock!$C$8:$C$101,$J47)=0,"",INDEX(Stock!$C$8:$C$101,$J47)))</f>
        <v/>
      </c>
      <c r="C47" s="84">
        <f>IF($J47="","",IF(INDEX(Stock!$D$8:$D$101,$J47)=0,"",INDEX(Stock!$D$8:$D$101,$J47)))</f>
        <v/>
      </c>
      <c r="D47" s="73">
        <f>IF($J47="","",INDEX(Stock!$J$8:$J$101,$J47))</f>
        <v/>
      </c>
      <c r="E47" s="74">
        <f>IF($J47="","",INDEX(Stock!$K$8:$K$101,$J47))</f>
        <v/>
      </c>
      <c r="F47" s="74" t="n"/>
      <c r="G47" s="75">
        <f>IF($J47="","",IF(INDEX(Stock!$L$8:$L$101,$J47)=0,"",INDEX(Stock!$L$8:$L$101,$J47)))</f>
        <v/>
      </c>
      <c r="H47" s="76">
        <f>IF($J47="","",INDEX(Stock!$M$8:$M$101,$J47))</f>
        <v/>
      </c>
      <c r="J47" s="71">
        <f>IFERROR(MATCH($A$24&amp;"#"&amp;22,Stock!$R$8:$R$101,0),"")</f>
        <v/>
      </c>
    </row>
    <row r="48">
      <c r="A48" s="77">
        <f>IF($A$24="","",$A$24&amp;" total")</f>
        <v/>
      </c>
      <c r="B48" s="77" t="n"/>
      <c r="C48" s="85" t="n"/>
      <c r="D48" s="123">
        <f>SUM(D26:D47)</f>
        <v/>
      </c>
      <c r="E48" s="78">
        <f>SUM(E26:E47)</f>
        <v/>
      </c>
      <c r="F48" s="78">
        <f>SUM(F26:F47)</f>
        <v/>
      </c>
      <c r="G48" s="77" t="n"/>
      <c r="H48" s="79">
        <f>SUM(H26:H47)</f>
        <v/>
      </c>
    </row>
    <row r="49"/>
    <row r="50" ht="24.95" customFormat="1" customHeight="1" s="81">
      <c r="A50" s="132" t="inlineStr">
        <is>
          <t>Primus EU</t>
        </is>
      </c>
      <c r="B50" s="144" t="n"/>
      <c r="C50" s="144" t="n"/>
      <c r="D50" s="144" t="n"/>
      <c r="E50" s="144" t="n"/>
      <c r="F50" s="144" t="n"/>
      <c r="G50" s="144" t="n"/>
      <c r="H50" s="144" t="n"/>
    </row>
    <row r="51" ht="20.1" customFormat="1" customHeight="1" s="26">
      <c r="A51" s="80" t="inlineStr">
        <is>
          <t>Product</t>
        </is>
      </c>
      <c r="B51" s="80" t="inlineStr">
        <is>
          <t>Unit</t>
        </is>
      </c>
      <c r="C51" s="82" t="inlineStr">
        <is>
          <t>Kg / Unit</t>
        </is>
      </c>
      <c r="D51" s="80" t="inlineStr">
        <is>
          <t>Closing Balance</t>
        </is>
      </c>
      <c r="E51" s="80" t="inlineStr">
        <is>
          <t>Closing Stock (Kg)</t>
        </is>
      </c>
      <c r="F51" s="80" t="inlineStr">
        <is>
          <t>No. of Cases</t>
        </is>
      </c>
      <c r="G51" s="80" t="inlineStr">
        <is>
          <t>Rate / Kg ($)</t>
        </is>
      </c>
      <c r="H51" s="80" t="inlineStr">
        <is>
          <t>Stock Value (₹)</t>
        </is>
      </c>
    </row>
    <row r="52" ht="12.75" customHeight="1">
      <c r="A52" s="66">
        <f>IF($J52="","",INDEX(Stock!$B$8:$B$101,$J52))</f>
        <v/>
      </c>
      <c r="B52" s="66">
        <f>IF($J52="","",IF(INDEX(Stock!$C$8:$C$101,$J52)=0,"",INDEX(Stock!$C$8:$C$101,$J52)))</f>
        <v/>
      </c>
      <c r="C52" s="83">
        <f>IF($J52="","",IF(INDEX(Stock!$D$8:$D$101,$J52)=0,"",INDEX(Stock!$D$8:$D$101,$J52)))</f>
        <v/>
      </c>
      <c r="D52" s="67">
        <f>IF($J52="","",INDEX(Stock!$J$8:$J$101,$J52))</f>
        <v/>
      </c>
      <c r="E52" s="68">
        <f>IF($J52="","",INDEX(Stock!$K$8:$K$101,$J52))</f>
        <v/>
      </c>
      <c r="F52" s="68">
        <f>+$D52/10</f>
        <v/>
      </c>
      <c r="G52" s="69">
        <f>IF($J52="","",IF(INDEX(Stock!$L$8:$L$101,$J52)=0,"",INDEX(Stock!$L$8:$L$101,$J52)))</f>
        <v/>
      </c>
      <c r="H52" s="70">
        <f>IF($J52="","",INDEX(Stock!$M$8:$M$101,$J52))</f>
        <v/>
      </c>
      <c r="J52" s="71">
        <f>IFERROR(MATCH($A$50&amp;"#"&amp;1,Stock!$R$8:$R$101,0),"")</f>
        <v/>
      </c>
    </row>
    <row r="53" ht="12.75" customHeight="1">
      <c r="A53" s="72">
        <f>IF($J53="","",INDEX(Stock!$B$8:$B$101,$J53))</f>
        <v/>
      </c>
      <c r="B53" s="72">
        <f>IF($J53="","",IF(INDEX(Stock!$C$8:$C$101,$J53)=0,"",INDEX(Stock!$C$8:$C$101,$J53)))</f>
        <v/>
      </c>
      <c r="C53" s="84">
        <f>IF($J53="","",IF(INDEX(Stock!$D$8:$D$101,$J53)=0,"",INDEX(Stock!$D$8:$D$101,$J53)))</f>
        <v/>
      </c>
      <c r="D53" s="73">
        <f>IF($J53="","",INDEX(Stock!$J$8:$J$101,$J53))</f>
        <v/>
      </c>
      <c r="E53" s="74">
        <f>IF($J53="","",INDEX(Stock!$K$8:$K$101,$J53))</f>
        <v/>
      </c>
      <c r="F53" s="125">
        <f>+$D53/10</f>
        <v/>
      </c>
      <c r="G53" s="75">
        <f>IF($J53="","",IF(INDEX(Stock!$L$8:$L$101,$J53)=0,"",INDEX(Stock!$L$8:$L$101,$J53)))</f>
        <v/>
      </c>
      <c r="H53" s="76">
        <f>IF($J53="","",INDEX(Stock!$M$8:$M$101,$J53))</f>
        <v/>
      </c>
      <c r="J53" s="71">
        <f>IFERROR(MATCH($A$50&amp;"#"&amp;2,Stock!$R$8:$R$101,0),"")</f>
        <v/>
      </c>
    </row>
    <row r="54" ht="12.75" customHeight="1">
      <c r="A54" s="66">
        <f>IF($J54="","",INDEX(Stock!$B$8:$B$101,$J54))</f>
        <v/>
      </c>
      <c r="B54" s="66">
        <f>IF($J54="","",IF(INDEX(Stock!$C$8:$C$101,$J54)=0,"",INDEX(Stock!$C$8:$C$101,$J54)))</f>
        <v/>
      </c>
      <c r="C54" s="83">
        <f>IF($J54="","",IF(INDEX(Stock!$D$8:$D$101,$J54)=0,"",INDEX(Stock!$D$8:$D$101,$J54)))</f>
        <v/>
      </c>
      <c r="D54" s="67">
        <f>IF($J54="","",INDEX(Stock!$J$8:$J$101,$J54))</f>
        <v/>
      </c>
      <c r="E54" s="68">
        <f>IF($J54="","",INDEX(Stock!$K$8:$K$101,$J54))</f>
        <v/>
      </c>
      <c r="F54" s="68">
        <f>+$D54/10</f>
        <v/>
      </c>
      <c r="G54" s="69">
        <f>IF($J54="","",IF(INDEX(Stock!$L$8:$L$101,$J54)=0,"",INDEX(Stock!$L$8:$L$101,$J54)))</f>
        <v/>
      </c>
      <c r="H54" s="70">
        <f>IF($J54="","",INDEX(Stock!$M$8:$M$101,$J54))</f>
        <v/>
      </c>
      <c r="J54" s="71">
        <f>IFERROR(MATCH($A$50&amp;"#"&amp;3,Stock!$R$8:$R$101,0),"")</f>
        <v/>
      </c>
    </row>
    <row r="55" ht="12.75" customHeight="1">
      <c r="A55" s="72">
        <f>IF($J55="","",INDEX(Stock!$B$8:$B$101,$J55))</f>
        <v/>
      </c>
      <c r="B55" s="72">
        <f>IF($J55="","",IF(INDEX(Stock!$C$8:$C$101,$J55)=0,"",INDEX(Stock!$C$8:$C$101,$J55)))</f>
        <v/>
      </c>
      <c r="C55" s="84">
        <f>IF($J55="","",IF(INDEX(Stock!$D$8:$D$101,$J55)=0,"",INDEX(Stock!$D$8:$D$101,$J55)))</f>
        <v/>
      </c>
      <c r="D55" s="73">
        <f>IF($J55="","",INDEX(Stock!$J$8:$J$101,$J55))</f>
        <v/>
      </c>
      <c r="E55" s="74">
        <f>IF($J55="","",INDEX(Stock!$K$8:$K$101,$J55))</f>
        <v/>
      </c>
      <c r="F55" s="125">
        <f>+$D55/10</f>
        <v/>
      </c>
      <c r="G55" s="75">
        <f>IF($J55="","",IF(INDEX(Stock!$L$8:$L$101,$J55)=0,"",INDEX(Stock!$L$8:$L$101,$J55)))</f>
        <v/>
      </c>
      <c r="H55" s="76">
        <f>IF($J55="","",INDEX(Stock!$M$8:$M$101,$J55))</f>
        <v/>
      </c>
      <c r="J55" s="71">
        <f>IFERROR(MATCH($A$50&amp;"#"&amp;4,Stock!$R$8:$R$101,0),"")</f>
        <v/>
      </c>
    </row>
    <row r="56" ht="12.75" customHeight="1">
      <c r="A56" s="66">
        <f>IF($J56="","",INDEX(Stock!$B$8:$B$101,$J56))</f>
        <v/>
      </c>
      <c r="B56" s="66">
        <f>IF($J56="","",IF(INDEX(Stock!$C$8:$C$101,$J56)=0,"",INDEX(Stock!$C$8:$C$101,$J56)))</f>
        <v/>
      </c>
      <c r="C56" s="83">
        <f>IF($J56="","",IF(INDEX(Stock!$D$8:$D$101,$J56)=0,"",INDEX(Stock!$D$8:$D$101,$J56)))</f>
        <v/>
      </c>
      <c r="D56" s="67">
        <f>IF($J56="","",INDEX(Stock!$J$8:$J$101,$J56))</f>
        <v/>
      </c>
      <c r="E56" s="68">
        <f>IF($J56="","",INDEX(Stock!$K$8:$K$101,$J56))</f>
        <v/>
      </c>
      <c r="F56" s="68">
        <f>+$D56/10</f>
        <v/>
      </c>
      <c r="G56" s="69">
        <f>IF($J56="","",IF(INDEX(Stock!$L$8:$L$101,$J56)=0,"",INDEX(Stock!$L$8:$L$101,$J56)))</f>
        <v/>
      </c>
      <c r="H56" s="70">
        <f>IF($J56="","",INDEX(Stock!$M$8:$M$101,$J56))</f>
        <v/>
      </c>
      <c r="J56" s="71">
        <f>IFERROR(MATCH($A$50&amp;"#"&amp;5,Stock!$R$8:$R$101,0),"")</f>
        <v/>
      </c>
    </row>
    <row r="57" ht="12.75" customHeight="1">
      <c r="A57" s="72">
        <f>IF($J57="","",INDEX(Stock!$B$8:$B$101,$J57))</f>
        <v/>
      </c>
      <c r="B57" s="72">
        <f>IF($J57="","",IF(INDEX(Stock!$C$8:$C$101,$J57)=0,"",INDEX(Stock!$C$8:$C$101,$J57)))</f>
        <v/>
      </c>
      <c r="C57" s="84">
        <f>IF($J57="","",IF(INDEX(Stock!$D$8:$D$101,$J57)=0,"",INDEX(Stock!$D$8:$D$101,$J57)))</f>
        <v/>
      </c>
      <c r="D57" s="73">
        <f>IF($J57="","",INDEX(Stock!$J$8:$J$101,$J57))</f>
        <v/>
      </c>
      <c r="E57" s="74">
        <f>IF($J57="","",INDEX(Stock!$K$8:$K$101,$J57))</f>
        <v/>
      </c>
      <c r="F57" s="125">
        <f>+$D57/10</f>
        <v/>
      </c>
      <c r="G57" s="75">
        <f>IF($J57="","",IF(INDEX(Stock!$L$8:$L$101,$J57)=0,"",INDEX(Stock!$L$8:$L$101,$J57)))</f>
        <v/>
      </c>
      <c r="H57" s="76">
        <f>IF($J57="","",INDEX(Stock!$M$8:$M$101,$J57))</f>
        <v/>
      </c>
      <c r="J57" s="71">
        <f>IFERROR(MATCH($A$50&amp;"#"&amp;6,Stock!$R$8:$R$101,0),"")</f>
        <v/>
      </c>
    </row>
    <row r="58" ht="12.75" customHeight="1">
      <c r="A58" s="66">
        <f>IF($J58="","",INDEX(Stock!$B$8:$B$101,$J58))</f>
        <v/>
      </c>
      <c r="B58" s="66">
        <f>IF($J58="","",IF(INDEX(Stock!$C$8:$C$101,$J58)=0,"",INDEX(Stock!$C$8:$C$101,$J58)))</f>
        <v/>
      </c>
      <c r="C58" s="83">
        <f>IF($J58="","",IF(INDEX(Stock!$D$8:$D$101,$J58)=0,"",INDEX(Stock!$D$8:$D$101,$J58)))</f>
        <v/>
      </c>
      <c r="D58" s="67">
        <f>IF($J58="","",INDEX(Stock!$J$8:$J$101,$J58))</f>
        <v/>
      </c>
      <c r="E58" s="68">
        <f>IF($J58="","",INDEX(Stock!$K$8:$K$101,$J58))</f>
        <v/>
      </c>
      <c r="F58" s="68">
        <f>+$D58/10</f>
        <v/>
      </c>
      <c r="G58" s="69">
        <f>IF($J58="","",IF(INDEX(Stock!$L$8:$L$101,$J58)=0,"",INDEX(Stock!$L$8:$L$101,$J58)))</f>
        <v/>
      </c>
      <c r="H58" s="70">
        <f>IF($J58="","",INDEX(Stock!$M$8:$M$101,$J58))</f>
        <v/>
      </c>
      <c r="J58" s="71">
        <f>IFERROR(MATCH($A$50&amp;"#"&amp;7,Stock!$R$8:$R$101,0),"")</f>
        <v/>
      </c>
    </row>
    <row r="59" ht="12.75" customHeight="1">
      <c r="A59" s="72">
        <f>IF($J59="","",INDEX(Stock!$B$8:$B$101,$J59))</f>
        <v/>
      </c>
      <c r="B59" s="72">
        <f>IF($J59="","",IF(INDEX(Stock!$C$8:$C$101,$J59)=0,"",INDEX(Stock!$C$8:$C$101,$J59)))</f>
        <v/>
      </c>
      <c r="C59" s="84">
        <f>IF($J59="","",IF(INDEX(Stock!$D$8:$D$101,$J59)=0,"",INDEX(Stock!$D$8:$D$101,$J59)))</f>
        <v/>
      </c>
      <c r="D59" s="73">
        <f>IF($J59="","",INDEX(Stock!$J$8:$J$101,$J59))</f>
        <v/>
      </c>
      <c r="E59" s="74">
        <f>IF($J59="","",INDEX(Stock!$K$8:$K$101,$J59))</f>
        <v/>
      </c>
      <c r="F59" s="125">
        <f>+$D59/10</f>
        <v/>
      </c>
      <c r="G59" s="75">
        <f>IF($J59="","",IF(INDEX(Stock!$L$8:$L$101,$J59)=0,"",INDEX(Stock!$L$8:$L$101,$J59)))</f>
        <v/>
      </c>
      <c r="H59" s="76">
        <f>IF($J59="","",INDEX(Stock!$M$8:$M$101,$J59))</f>
        <v/>
      </c>
      <c r="J59" s="71">
        <f>IFERROR(MATCH($A$50&amp;"#"&amp;8,Stock!$R$8:$R$101,0),"")</f>
        <v/>
      </c>
    </row>
    <row r="60" ht="12.75" customHeight="1">
      <c r="A60" s="66">
        <f>IF($J60="","",INDEX(Stock!$B$8:$B$101,$J60))</f>
        <v/>
      </c>
      <c r="B60" s="66">
        <f>IF($J60="","",IF(INDEX(Stock!$C$8:$C$101,$J60)=0,"",INDEX(Stock!$C$8:$C$101,$J60)))</f>
        <v/>
      </c>
      <c r="C60" s="83">
        <f>IF($J60="","",IF(INDEX(Stock!$D$8:$D$101,$J60)=0,"",INDEX(Stock!$D$8:$D$101,$J60)))</f>
        <v/>
      </c>
      <c r="D60" s="67">
        <f>IF($J60="","",INDEX(Stock!$J$8:$J$101,$J60))</f>
        <v/>
      </c>
      <c r="E60" s="68">
        <f>IF($J60="","",INDEX(Stock!$K$8:$K$101,$J60))</f>
        <v/>
      </c>
      <c r="F60" s="68" t="n"/>
      <c r="G60" s="69">
        <f>IF($J60="","",IF(INDEX(Stock!$L$8:$L$101,$J60)=0,"",INDEX(Stock!$L$8:$L$101,$J60)))</f>
        <v/>
      </c>
      <c r="H60" s="70">
        <f>IF($J60="","",INDEX(Stock!$M$8:$M$101,$J60))</f>
        <v/>
      </c>
      <c r="J60" s="71">
        <f>IFERROR(MATCH($A$50&amp;"#"&amp;9,Stock!$R$8:$R$101,0),"")</f>
        <v/>
      </c>
    </row>
    <row r="61" ht="12.75" customHeight="1">
      <c r="A61" s="72">
        <f>IF($J61="","",INDEX(Stock!$B$8:$B$101,$J61))</f>
        <v/>
      </c>
      <c r="B61" s="72">
        <f>IF($J61="","",IF(INDEX(Stock!$C$8:$C$101,$J61)=0,"",INDEX(Stock!$C$8:$C$101,$J61)))</f>
        <v/>
      </c>
      <c r="C61" s="84">
        <f>IF($J61="","",IF(INDEX(Stock!$D$8:$D$101,$J61)=0,"",INDEX(Stock!$D$8:$D$101,$J61)))</f>
        <v/>
      </c>
      <c r="D61" s="73">
        <f>IF($J61="","",INDEX(Stock!$J$8:$J$101,$J61))</f>
        <v/>
      </c>
      <c r="E61" s="74">
        <f>IF($J61="","",INDEX(Stock!$K$8:$K$101,$J61))</f>
        <v/>
      </c>
      <c r="F61" s="74" t="n"/>
      <c r="G61" s="75">
        <f>IF($J61="","",IF(INDEX(Stock!$L$8:$L$101,$J61)=0,"",INDEX(Stock!$L$8:$L$101,$J61)))</f>
        <v/>
      </c>
      <c r="H61" s="76">
        <f>IF($J61="","",INDEX(Stock!$M$8:$M$101,$J61))</f>
        <v/>
      </c>
      <c r="J61" s="71">
        <f>IFERROR(MATCH($A$50&amp;"#"&amp;10,Stock!$R$8:$R$101,0),"")</f>
        <v/>
      </c>
    </row>
    <row r="62" ht="12.75" customHeight="1">
      <c r="A62" s="66">
        <f>IF($J62="","",INDEX(Stock!$B$8:$B$101,$J62))</f>
        <v/>
      </c>
      <c r="B62" s="66">
        <f>IF($J62="","",IF(INDEX(Stock!$C$8:$C$101,$J62)=0,"",INDEX(Stock!$C$8:$C$101,$J62)))</f>
        <v/>
      </c>
      <c r="C62" s="83">
        <f>IF($J62="","",IF(INDEX(Stock!$D$8:$D$101,$J62)=0,"",INDEX(Stock!$D$8:$D$101,$J62)))</f>
        <v/>
      </c>
      <c r="D62" s="67">
        <f>IF($J62="","",INDEX(Stock!$J$8:$J$101,$J62))</f>
        <v/>
      </c>
      <c r="E62" s="68">
        <f>IF($J62="","",INDEX(Stock!$K$8:$K$101,$J62))</f>
        <v/>
      </c>
      <c r="F62" s="68" t="n"/>
      <c r="G62" s="69">
        <f>IF($J62="","",IF(INDEX(Stock!$L$8:$L$101,$J62)=0,"",INDEX(Stock!$L$8:$L$101,$J62)))</f>
        <v/>
      </c>
      <c r="H62" s="70">
        <f>IF($J62="","",INDEX(Stock!$M$8:$M$101,$J62))</f>
        <v/>
      </c>
      <c r="J62" s="71">
        <f>IFERROR(MATCH($A$50&amp;"#"&amp;11,Stock!$R$8:$R$101,0),"")</f>
        <v/>
      </c>
    </row>
    <row r="63">
      <c r="A63" s="77">
        <f>IF($A$50="","",$A$50&amp;" total")</f>
        <v/>
      </c>
      <c r="B63" s="77" t="n"/>
      <c r="C63" s="85" t="n"/>
      <c r="D63" s="123">
        <f>SUM(D52:D62)</f>
        <v/>
      </c>
      <c r="E63" s="78">
        <f>SUM(E52:E62)</f>
        <v/>
      </c>
      <c r="F63" s="78">
        <f>SUM(F52:F62)</f>
        <v/>
      </c>
      <c r="G63" s="77" t="n"/>
      <c r="H63" s="79">
        <f>SUM(H52:H62)</f>
        <v/>
      </c>
    </row>
    <row r="64"/>
    <row r="65" ht="24.95" customFormat="1" customHeight="1" s="81">
      <c r="A65" s="132" t="inlineStr">
        <is>
          <t>AMF Brand</t>
        </is>
      </c>
      <c r="B65" s="144" t="n"/>
      <c r="C65" s="144" t="n"/>
      <c r="D65" s="144" t="n"/>
      <c r="E65" s="144" t="n"/>
      <c r="F65" s="144" t="n"/>
      <c r="G65" s="144" t="n"/>
      <c r="H65" s="144" t="n"/>
    </row>
    <row r="66" ht="20.1" customFormat="1" customHeight="1" s="26">
      <c r="A66" s="80" t="inlineStr">
        <is>
          <t>Product</t>
        </is>
      </c>
      <c r="B66" s="80" t="inlineStr">
        <is>
          <t>Unit</t>
        </is>
      </c>
      <c r="C66" s="82" t="inlineStr">
        <is>
          <t>Kg / Unit</t>
        </is>
      </c>
      <c r="D66" s="80" t="inlineStr">
        <is>
          <t>Closing Balance</t>
        </is>
      </c>
      <c r="E66" s="80" t="inlineStr">
        <is>
          <t>Closing Stock (Kg)</t>
        </is>
      </c>
      <c r="F66" s="80" t="inlineStr">
        <is>
          <t>No. of Cases</t>
        </is>
      </c>
      <c r="G66" s="80" t="inlineStr">
        <is>
          <t>Rate / Kg ($)</t>
        </is>
      </c>
      <c r="H66" s="80" t="inlineStr">
        <is>
          <t>Stock Value (₹)</t>
        </is>
      </c>
    </row>
    <row r="67" ht="12.75" customHeight="1">
      <c r="A67" s="66">
        <f>IF($J67="","",INDEX(Stock!$B$8:$B$101,$J67))</f>
        <v/>
      </c>
      <c r="B67" s="66">
        <f>IF($J67="","",IF(INDEX(Stock!$C$8:$C$101,$J67)=0,"",INDEX(Stock!$C$8:$C$101,$J67)))</f>
        <v/>
      </c>
      <c r="C67" s="83">
        <f>IF($J67="","",IF(INDEX(Stock!$D$8:$D$101,$J67)=0,"",INDEX(Stock!$D$8:$D$101,$J67)))</f>
        <v/>
      </c>
      <c r="D67" s="67">
        <f>IF($J67="","",INDEX(Stock!$J$8:$J$101,$J67))</f>
        <v/>
      </c>
      <c r="E67" s="68">
        <f>IF($J67="","",INDEX(Stock!$K$8:$K$101,$J67))</f>
        <v/>
      </c>
      <c r="F67" s="68">
        <f>+$D67/10</f>
        <v/>
      </c>
      <c r="G67" s="69">
        <f>IF($J67="","",IF(INDEX(Stock!$L$8:$L$101,$J67)=0,"",INDEX(Stock!$L$8:$L$101,$J67)))</f>
        <v/>
      </c>
      <c r="H67" s="70">
        <f>IF($J67="","",INDEX(Stock!$M$8:$M$101,$J67))</f>
        <v/>
      </c>
      <c r="J67" s="71">
        <f>IFERROR(MATCH($A$65&amp;"#"&amp;1,Stock!$R$8:$R$101,0),"")</f>
        <v/>
      </c>
    </row>
    <row r="68" ht="12.75" customHeight="1">
      <c r="A68" s="72">
        <f>IF($J68="","",INDEX(Stock!$B$8:$B$101,$J68))</f>
        <v/>
      </c>
      <c r="B68" s="72">
        <f>IF($J68="","",IF(INDEX(Stock!$C$8:$C$101,$J68)=0,"",INDEX(Stock!$C$8:$C$101,$J68)))</f>
        <v/>
      </c>
      <c r="C68" s="84">
        <f>IF($J68="","",IF(INDEX(Stock!$D$8:$D$101,$J68)=0,"",INDEX(Stock!$D$8:$D$101,$J68)))</f>
        <v/>
      </c>
      <c r="D68" s="73">
        <f>IF($J68="","",INDEX(Stock!$J$8:$J$101,$J68))</f>
        <v/>
      </c>
      <c r="E68" s="74">
        <f>IF($J68="","",INDEX(Stock!$K$8:$K$101,$J68))</f>
        <v/>
      </c>
      <c r="F68" s="125">
        <f>+$D68/10</f>
        <v/>
      </c>
      <c r="G68" s="75">
        <f>IF($J68="","",IF(INDEX(Stock!$L$8:$L$101,$J68)=0,"",INDEX(Stock!$L$8:$L$101,$J68)))</f>
        <v/>
      </c>
      <c r="H68" s="76">
        <f>IF($J68="","",INDEX(Stock!$M$8:$M$101,$J68))</f>
        <v/>
      </c>
      <c r="J68" s="71">
        <f>IFERROR(MATCH($A$65&amp;"#"&amp;2,Stock!$R$8:$R$101,0),"")</f>
        <v/>
      </c>
    </row>
    <row r="69" ht="12.75" customHeight="1">
      <c r="A69" s="66">
        <f>IF($J69="","",INDEX(Stock!$B$8:$B$101,$J69))</f>
        <v/>
      </c>
      <c r="B69" s="66">
        <f>IF($J69="","",IF(INDEX(Stock!$C$8:$C$101,$J69)=0,"",INDEX(Stock!$C$8:$C$101,$J69)))</f>
        <v/>
      </c>
      <c r="C69" s="83">
        <f>IF($J69="","",IF(INDEX(Stock!$D$8:$D$101,$J69)=0,"",INDEX(Stock!$D$8:$D$101,$J69)))</f>
        <v/>
      </c>
      <c r="D69" s="67">
        <f>IF($J69="","",INDEX(Stock!$J$8:$J$101,$J69))</f>
        <v/>
      </c>
      <c r="E69" s="68">
        <f>IF($J69="","",INDEX(Stock!$K$8:$K$101,$J69))</f>
        <v/>
      </c>
      <c r="F69" s="68">
        <f>+$D69/10</f>
        <v/>
      </c>
      <c r="G69" s="69">
        <f>IF($J69="","",IF(INDEX(Stock!$L$8:$L$101,$J69)=0,"",INDEX(Stock!$L$8:$L$101,$J69)))</f>
        <v/>
      </c>
      <c r="H69" s="70">
        <f>IF($J69="","",INDEX(Stock!$M$8:$M$101,$J69))</f>
        <v/>
      </c>
      <c r="J69" s="71">
        <f>IFERROR(MATCH($A$65&amp;"#"&amp;3,Stock!$R$8:$R$101,0),"")</f>
        <v/>
      </c>
    </row>
    <row r="70" ht="12.75" customHeight="1">
      <c r="A70" s="72">
        <f>IF($J70="","",INDEX(Stock!$B$8:$B$101,$J70))</f>
        <v/>
      </c>
      <c r="B70" s="72">
        <f>IF($J70="","",IF(INDEX(Stock!$C$8:$C$101,$J70)=0,"",INDEX(Stock!$C$8:$C$101,$J70)))</f>
        <v/>
      </c>
      <c r="C70" s="84">
        <f>IF($J70="","",IF(INDEX(Stock!$D$8:$D$101,$J70)=0,"",INDEX(Stock!$D$8:$D$101,$J70)))</f>
        <v/>
      </c>
      <c r="D70" s="73">
        <f>IF($J70="","",INDEX(Stock!$J$8:$J$101,$J70))</f>
        <v/>
      </c>
      <c r="E70" s="74">
        <f>IF($J70="","",INDEX(Stock!$K$8:$K$101,$J70))</f>
        <v/>
      </c>
      <c r="F70" s="125">
        <f>+$D70/10</f>
        <v/>
      </c>
      <c r="G70" s="75">
        <f>IF($J70="","",IF(INDEX(Stock!$L$8:$L$101,$J70)=0,"",INDEX(Stock!$L$8:$L$101,$J70)))</f>
        <v/>
      </c>
      <c r="H70" s="76">
        <f>IF($J70="","",INDEX(Stock!$M$8:$M$101,$J70))</f>
        <v/>
      </c>
      <c r="J70" s="71">
        <f>IFERROR(MATCH($A$65&amp;"#"&amp;4,Stock!$R$8:$R$101,0),"")</f>
        <v/>
      </c>
    </row>
    <row r="71" ht="12.75" customHeight="1">
      <c r="A71" s="66">
        <f>IF($J71="","",INDEX(Stock!$B$8:$B$101,$J71))</f>
        <v/>
      </c>
      <c r="B71" s="66">
        <f>IF($J71="","",IF(INDEX(Stock!$C$8:$C$101,$J71)=0,"",INDEX(Stock!$C$8:$C$101,$J71)))</f>
        <v/>
      </c>
      <c r="C71" s="83">
        <f>IF($J71="","",IF(INDEX(Stock!$D$8:$D$101,$J71)=0,"",INDEX(Stock!$D$8:$D$101,$J71)))</f>
        <v/>
      </c>
      <c r="D71" s="67">
        <f>IF($J71="","",INDEX(Stock!$J$8:$J$101,$J71))</f>
        <v/>
      </c>
      <c r="E71" s="68">
        <f>IF($J71="","",INDEX(Stock!$K$8:$K$101,$J71))</f>
        <v/>
      </c>
      <c r="F71" s="68">
        <f>+$D71/10</f>
        <v/>
      </c>
      <c r="G71" s="69">
        <f>IF($J71="","",IF(INDEX(Stock!$L$8:$L$101,$J71)=0,"",INDEX(Stock!$L$8:$L$101,$J71)))</f>
        <v/>
      </c>
      <c r="H71" s="70">
        <f>IF($J71="","",INDEX(Stock!$M$8:$M$101,$J71))</f>
        <v/>
      </c>
      <c r="J71" s="71">
        <f>IFERROR(MATCH($A$65&amp;"#"&amp;5,Stock!$R$8:$R$101,0),"")</f>
        <v/>
      </c>
    </row>
    <row r="72" ht="12.75" customHeight="1">
      <c r="A72" s="72">
        <f>IF($J72="","",INDEX(Stock!$B$8:$B$101,$J72))</f>
        <v/>
      </c>
      <c r="B72" s="72">
        <f>IF($J72="","",IF(INDEX(Stock!$C$8:$C$101,$J72)=0,"",INDEX(Stock!$C$8:$C$101,$J72)))</f>
        <v/>
      </c>
      <c r="C72" s="84">
        <f>IF($J72="","",IF(INDEX(Stock!$D$8:$D$101,$J72)=0,"",INDEX(Stock!$D$8:$D$101,$J72)))</f>
        <v/>
      </c>
      <c r="D72" s="73">
        <f>IF($J72="","",INDEX(Stock!$J$8:$J$101,$J72))</f>
        <v/>
      </c>
      <c r="E72" s="74">
        <f>IF($J72="","",INDEX(Stock!$K$8:$K$101,$J72))</f>
        <v/>
      </c>
      <c r="F72" s="125">
        <f>+$D72/10</f>
        <v/>
      </c>
      <c r="G72" s="75">
        <f>IF($J72="","",IF(INDEX(Stock!$L$8:$L$101,$J72)=0,"",INDEX(Stock!$L$8:$L$101,$J72)))</f>
        <v/>
      </c>
      <c r="H72" s="76">
        <f>IF($J72="","",INDEX(Stock!$M$8:$M$101,$J72))</f>
        <v/>
      </c>
      <c r="J72" s="71">
        <f>IFERROR(MATCH($A$65&amp;"#"&amp;6,Stock!$R$8:$R$101,0),"")</f>
        <v/>
      </c>
    </row>
    <row r="73" ht="12.75" customHeight="1">
      <c r="A73" s="66">
        <f>IF($J73="","",INDEX(Stock!$B$8:$B$101,$J73))</f>
        <v/>
      </c>
      <c r="B73" s="66">
        <f>IF($J73="","",IF(INDEX(Stock!$C$8:$C$101,$J73)=0,"",INDEX(Stock!$C$8:$C$101,$J73)))</f>
        <v/>
      </c>
      <c r="C73" s="83">
        <f>IF($J73="","",IF(INDEX(Stock!$D$8:$D$101,$J73)=0,"",INDEX(Stock!$D$8:$D$101,$J73)))</f>
        <v/>
      </c>
      <c r="D73" s="67">
        <f>IF($J73="","",INDEX(Stock!$J$8:$J$101,$J73))</f>
        <v/>
      </c>
      <c r="E73" s="68">
        <f>IF($J73="","",INDEX(Stock!$K$8:$K$101,$J73))</f>
        <v/>
      </c>
      <c r="F73" s="68">
        <f>+$D73/10</f>
        <v/>
      </c>
      <c r="G73" s="69">
        <f>IF($J73="","",IF(INDEX(Stock!$L$8:$L$101,$J73)=0,"",INDEX(Stock!$L$8:$L$101,$J73)))</f>
        <v/>
      </c>
      <c r="H73" s="70">
        <f>IF($J73="","",INDEX(Stock!$M$8:$M$101,$J73))</f>
        <v/>
      </c>
      <c r="J73" s="71">
        <f>IFERROR(MATCH($A$65&amp;"#"&amp;7,Stock!$R$8:$R$101,0),"")</f>
        <v/>
      </c>
    </row>
    <row r="74" ht="12.75" customHeight="1">
      <c r="A74" s="72">
        <f>IF($J74="","",INDEX(Stock!$B$8:$B$101,$J74))</f>
        <v/>
      </c>
      <c r="B74" s="72">
        <f>IF($J74="","",IF(INDEX(Stock!$C$8:$C$101,$J74)=0,"",INDEX(Stock!$C$8:$C$101,$J74)))</f>
        <v/>
      </c>
      <c r="C74" s="84">
        <f>IF($J74="","",IF(INDEX(Stock!$D$8:$D$101,$J74)=0,"",INDEX(Stock!$D$8:$D$101,$J74)))</f>
        <v/>
      </c>
      <c r="D74" s="73">
        <f>IF($J74="","",INDEX(Stock!$J$8:$J$101,$J74))</f>
        <v/>
      </c>
      <c r="E74" s="74">
        <f>IF($J74="","",INDEX(Stock!$K$8:$K$101,$J74))</f>
        <v/>
      </c>
      <c r="F74" s="125">
        <f>+$D74/10</f>
        <v/>
      </c>
      <c r="G74" s="75">
        <f>IF($J74="","",IF(INDEX(Stock!$L$8:$L$101,$J74)=0,"",INDEX(Stock!$L$8:$L$101,$J74)))</f>
        <v/>
      </c>
      <c r="H74" s="76">
        <f>IF($J74="","",INDEX(Stock!$M$8:$M$101,$J74))</f>
        <v/>
      </c>
      <c r="J74" s="71">
        <f>IFERROR(MATCH($A$65&amp;"#"&amp;8,Stock!$R$8:$R$101,0),"")</f>
        <v/>
      </c>
    </row>
    <row r="75" ht="12.75" customHeight="1">
      <c r="A75" s="66">
        <f>IF($J75="","",INDEX(Stock!$B$8:$B$101,$J75))</f>
        <v/>
      </c>
      <c r="B75" s="66">
        <f>IF($J75="","",IF(INDEX(Stock!$C$8:$C$101,$J75)=0,"",INDEX(Stock!$C$8:$C$101,$J75)))</f>
        <v/>
      </c>
      <c r="C75" s="83">
        <f>IF($J75="","",IF(INDEX(Stock!$D$8:$D$101,$J75)=0,"",INDEX(Stock!$D$8:$D$101,$J75)))</f>
        <v/>
      </c>
      <c r="D75" s="67">
        <f>IF($J75="","",INDEX(Stock!$J$8:$J$101,$J75))</f>
        <v/>
      </c>
      <c r="E75" s="68">
        <f>IF($J75="","",INDEX(Stock!$K$8:$K$101,$J75))</f>
        <v/>
      </c>
      <c r="F75" s="68" t="n"/>
      <c r="G75" s="69">
        <f>IF($J75="","",IF(INDEX(Stock!$L$8:$L$101,$J75)=0,"",INDEX(Stock!$L$8:$L$101,$J75)))</f>
        <v/>
      </c>
      <c r="H75" s="70">
        <f>IF($J75="","",INDEX(Stock!$M$8:$M$101,$J75))</f>
        <v/>
      </c>
      <c r="J75" s="71">
        <f>IFERROR(MATCH($A$65&amp;"#"&amp;9,Stock!$R$8:$R$101,0),"")</f>
        <v/>
      </c>
    </row>
    <row r="76" ht="12.75" customHeight="1">
      <c r="A76" s="72">
        <f>IF($J76="","",INDEX(Stock!$B$8:$B$101,$J76))</f>
        <v/>
      </c>
      <c r="B76" s="72">
        <f>IF($J76="","",IF(INDEX(Stock!$C$8:$C$101,$J76)=0,"",INDEX(Stock!$C$8:$C$101,$J76)))</f>
        <v/>
      </c>
      <c r="C76" s="84">
        <f>IF($J76="","",IF(INDEX(Stock!$D$8:$D$101,$J76)=0,"",INDEX(Stock!$D$8:$D$101,$J76)))</f>
        <v/>
      </c>
      <c r="D76" s="73">
        <f>IF($J76="","",INDEX(Stock!$J$8:$J$101,$J76))</f>
        <v/>
      </c>
      <c r="E76" s="74">
        <f>IF($J76="","",INDEX(Stock!$K$8:$K$101,$J76))</f>
        <v/>
      </c>
      <c r="F76" s="74" t="n"/>
      <c r="G76" s="75">
        <f>IF($J76="","",IF(INDEX(Stock!$L$8:$L$101,$J76)=0,"",INDEX(Stock!$L$8:$L$101,$J76)))</f>
        <v/>
      </c>
      <c r="H76" s="76">
        <f>IF($J76="","",INDEX(Stock!$M$8:$M$101,$J76))</f>
        <v/>
      </c>
      <c r="J76" s="71">
        <f>IFERROR(MATCH($A$65&amp;"#"&amp;10,Stock!$R$8:$R$101,0),"")</f>
        <v/>
      </c>
    </row>
    <row r="77">
      <c r="A77" s="77">
        <f>IF($A$65="","",$A$65&amp;" total")</f>
        <v/>
      </c>
      <c r="B77" s="77" t="n"/>
      <c r="C77" s="85" t="n"/>
      <c r="D77" s="123">
        <f>SUM(D67:D76)</f>
        <v/>
      </c>
      <c r="E77" s="78">
        <f>SUM(E67:E76)</f>
        <v/>
      </c>
      <c r="F77" s="78">
        <f>SUM(F67:F76)</f>
        <v/>
      </c>
      <c r="G77" s="77" t="n"/>
      <c r="H77" s="79">
        <f>SUM(H67:H76)</f>
        <v/>
      </c>
    </row>
    <row r="78"/>
    <row r="79" ht="24.95" customFormat="1" customHeight="1" s="81">
      <c r="A79" s="132" t="inlineStr">
        <is>
          <t>THT Brand</t>
        </is>
      </c>
      <c r="B79" s="144" t="n"/>
      <c r="C79" s="144" t="n"/>
      <c r="D79" s="144" t="n"/>
      <c r="E79" s="144" t="n"/>
      <c r="F79" s="144" t="n"/>
      <c r="G79" s="144" t="n"/>
      <c r="H79" s="144" t="n"/>
    </row>
    <row r="80" ht="20.1" customFormat="1" customHeight="1" s="26">
      <c r="A80" s="80" t="inlineStr">
        <is>
          <t>Product</t>
        </is>
      </c>
      <c r="B80" s="80" t="inlineStr">
        <is>
          <t>Unit</t>
        </is>
      </c>
      <c r="C80" s="82" t="inlineStr">
        <is>
          <t>Kg / Unit</t>
        </is>
      </c>
      <c r="D80" s="80" t="inlineStr">
        <is>
          <t>Closing Balance</t>
        </is>
      </c>
      <c r="E80" s="80" t="inlineStr">
        <is>
          <t>Closing Stock (Kg)</t>
        </is>
      </c>
      <c r="F80" s="80" t="inlineStr">
        <is>
          <t>No. of Cases</t>
        </is>
      </c>
      <c r="G80" s="80" t="inlineStr">
        <is>
          <t>Rate / Kg ($)</t>
        </is>
      </c>
      <c r="H80" s="80" t="inlineStr">
        <is>
          <t>Stock Value (₹)</t>
        </is>
      </c>
    </row>
    <row r="81" ht="12.75" customHeight="1">
      <c r="A81" s="66">
        <f>IF($J81="","",INDEX(Stock!$B$8:$B$101,$J81))</f>
        <v/>
      </c>
      <c r="B81" s="66">
        <f>IF($J81="","",IF(INDEX(Stock!$C$8:$C$101,$J81)=0,"",INDEX(Stock!$C$8:$C$101,$J81)))</f>
        <v/>
      </c>
      <c r="C81" s="83">
        <f>IF($J81="","",IF(INDEX(Stock!$D$8:$D$101,$J81)=0,"",INDEX(Stock!$D$8:$D$101,$J81)))</f>
        <v/>
      </c>
      <c r="D81" s="67">
        <f>IF($J81="","",INDEX(Stock!$J$8:$J$101,$J81))</f>
        <v/>
      </c>
      <c r="E81" s="68">
        <f>IF($J81="","",INDEX(Stock!$K$8:$K$101,$J81))</f>
        <v/>
      </c>
      <c r="F81" s="68">
        <f>+$D81/10</f>
        <v/>
      </c>
      <c r="G81" s="69">
        <f>IF($J81="","",IF(INDEX(Stock!$L$8:$L$101,$J81)=0,"",INDEX(Stock!$L$8:$L$101,$J81)))</f>
        <v/>
      </c>
      <c r="H81" s="70">
        <f>IF($J81="","",INDEX(Stock!$M$8:$M$101,$J81))</f>
        <v/>
      </c>
      <c r="J81" s="71">
        <f>IFERROR(MATCH($A$79&amp;"#"&amp;1,Stock!$R$8:$R$101,0),"")</f>
        <v/>
      </c>
    </row>
    <row r="82" ht="12.75" customHeight="1">
      <c r="A82" s="72">
        <f>IF($J82="","",INDEX(Stock!$B$8:$B$101,$J82))</f>
        <v/>
      </c>
      <c r="B82" s="72">
        <f>IF($J82="","",IF(INDEX(Stock!$C$8:$C$101,$J82)=0,"",INDEX(Stock!$C$8:$C$101,$J82)))</f>
        <v/>
      </c>
      <c r="C82" s="84">
        <f>IF($J82="","",IF(INDEX(Stock!$D$8:$D$101,$J82)=0,"",INDEX(Stock!$D$8:$D$101,$J82)))</f>
        <v/>
      </c>
      <c r="D82" s="73">
        <f>IF($J82="","",INDEX(Stock!$J$8:$J$101,$J82))</f>
        <v/>
      </c>
      <c r="E82" s="74">
        <f>IF($J82="","",INDEX(Stock!$K$8:$K$101,$J82))</f>
        <v/>
      </c>
      <c r="F82" s="125">
        <f>+$D82/10</f>
        <v/>
      </c>
      <c r="G82" s="75">
        <f>IF($J82="","",IF(INDEX(Stock!$L$8:$L$101,$J82)=0,"",INDEX(Stock!$L$8:$L$101,$J82)))</f>
        <v/>
      </c>
      <c r="H82" s="76">
        <f>IF($J82="","",INDEX(Stock!$M$8:$M$101,$J82))</f>
        <v/>
      </c>
      <c r="J82" s="71">
        <f>IFERROR(MATCH($A$79&amp;"#"&amp;2,Stock!$R$8:$R$101,0),"")</f>
        <v/>
      </c>
    </row>
    <row r="83" ht="12.75" customHeight="1">
      <c r="A83" s="66">
        <f>IF($J83="","",INDEX(Stock!$B$8:$B$101,$J83))</f>
        <v/>
      </c>
      <c r="B83" s="66">
        <f>IF($J83="","",IF(INDEX(Stock!$C$8:$C$101,$J83)=0,"",INDEX(Stock!$C$8:$C$101,$J83)))</f>
        <v/>
      </c>
      <c r="C83" s="83">
        <f>IF($J83="","",IF(INDEX(Stock!$D$8:$D$101,$J83)=0,"",INDEX(Stock!$D$8:$D$101,$J83)))</f>
        <v/>
      </c>
      <c r="D83" s="67">
        <f>IF($J83="","",INDEX(Stock!$J$8:$J$101,$J83))</f>
        <v/>
      </c>
      <c r="E83" s="68">
        <f>IF($J83="","",INDEX(Stock!$K$8:$K$101,$J83))</f>
        <v/>
      </c>
      <c r="F83" s="68">
        <f>+$D83/10</f>
        <v/>
      </c>
      <c r="G83" s="69">
        <f>IF($J83="","",IF(INDEX(Stock!$L$8:$L$101,$J83)=0,"",INDEX(Stock!$L$8:$L$101,$J83)))</f>
        <v/>
      </c>
      <c r="H83" s="70">
        <f>IF($J83="","",INDEX(Stock!$M$8:$M$101,$J83))</f>
        <v/>
      </c>
      <c r="J83" s="71">
        <f>IFERROR(MATCH($A$79&amp;"#"&amp;3,Stock!$R$8:$R$101,0),"")</f>
        <v/>
      </c>
    </row>
    <row r="84" ht="12.75" customHeight="1">
      <c r="A84" s="72">
        <f>IF($J84="","",INDEX(Stock!$B$8:$B$101,$J84))</f>
        <v/>
      </c>
      <c r="B84" s="72">
        <f>IF($J84="","",IF(INDEX(Stock!$C$8:$C$101,$J84)=0,"",INDEX(Stock!$C$8:$C$101,$J84)))</f>
        <v/>
      </c>
      <c r="C84" s="84">
        <f>IF($J84="","",IF(INDEX(Stock!$D$8:$D$101,$J84)=0,"",INDEX(Stock!$D$8:$D$101,$J84)))</f>
        <v/>
      </c>
      <c r="D84" s="73">
        <f>IF($J84="","",INDEX(Stock!$J$8:$J$101,$J84))</f>
        <v/>
      </c>
      <c r="E84" s="74">
        <f>IF($J84="","",INDEX(Stock!$K$8:$K$101,$J84))</f>
        <v/>
      </c>
      <c r="F84" s="74" t="n"/>
      <c r="G84" s="75">
        <f>IF($J84="","",IF(INDEX(Stock!$L$8:$L$101,$J84)=0,"",INDEX(Stock!$L$8:$L$101,$J84)))</f>
        <v/>
      </c>
      <c r="H84" s="76">
        <f>IF($J84="","",INDEX(Stock!$M$8:$M$101,$J84))</f>
        <v/>
      </c>
      <c r="J84" s="71">
        <f>IFERROR(MATCH($A$79&amp;"#"&amp;4,Stock!$R$8:$R$101,0),"")</f>
        <v/>
      </c>
    </row>
    <row r="85" ht="12.75" customHeight="1">
      <c r="A85" s="66">
        <f>IF($J85="","",INDEX(Stock!$B$8:$B$101,$J85))</f>
        <v/>
      </c>
      <c r="B85" s="66">
        <f>IF($J85="","",IF(INDEX(Stock!$C$8:$C$101,$J85)=0,"",INDEX(Stock!$C$8:$C$101,$J85)))</f>
        <v/>
      </c>
      <c r="C85" s="83">
        <f>IF($J85="","",IF(INDEX(Stock!$D$8:$D$101,$J85)=0,"",INDEX(Stock!$D$8:$D$101,$J85)))</f>
        <v/>
      </c>
      <c r="D85" s="67">
        <f>IF($J85="","",INDEX(Stock!$J$8:$J$101,$J85))</f>
        <v/>
      </c>
      <c r="E85" s="68">
        <f>IF($J85="","",INDEX(Stock!$K$8:$K$101,$J85))</f>
        <v/>
      </c>
      <c r="F85" s="68" t="n"/>
      <c r="G85" s="69">
        <f>IF($J85="","",IF(INDEX(Stock!$L$8:$L$101,$J85)=0,"",INDEX(Stock!$L$8:$L$101,$J85)))</f>
        <v/>
      </c>
      <c r="H85" s="70">
        <f>IF($J85="","",INDEX(Stock!$M$8:$M$101,$J85))</f>
        <v/>
      </c>
      <c r="J85" s="71">
        <f>IFERROR(MATCH($A$79&amp;"#"&amp;5,Stock!$R$8:$R$101,0),"")</f>
        <v/>
      </c>
    </row>
    <row r="86" ht="12.75" customHeight="1">
      <c r="A86" s="72">
        <f>IF($J86="","",INDEX(Stock!$B$8:$B$101,$J86))</f>
        <v/>
      </c>
      <c r="B86" s="72">
        <f>IF($J86="","",IF(INDEX(Stock!$C$8:$C$101,$J86)=0,"",INDEX(Stock!$C$8:$C$101,$J86)))</f>
        <v/>
      </c>
      <c r="C86" s="84">
        <f>IF($J86="","",IF(INDEX(Stock!$D$8:$D$101,$J86)=0,"",INDEX(Stock!$D$8:$D$101,$J86)))</f>
        <v/>
      </c>
      <c r="D86" s="73">
        <f>IF($J86="","",INDEX(Stock!$J$8:$J$101,$J86))</f>
        <v/>
      </c>
      <c r="E86" s="74">
        <f>IF($J86="","",INDEX(Stock!$K$8:$K$101,$J86))</f>
        <v/>
      </c>
      <c r="F86" s="74" t="n"/>
      <c r="G86" s="75">
        <f>IF($J86="","",IF(INDEX(Stock!$L$8:$L$101,$J86)=0,"",INDEX(Stock!$L$8:$L$101,$J86)))</f>
        <v/>
      </c>
      <c r="H86" s="76">
        <f>IF($J86="","",INDEX(Stock!$M$8:$M$101,$J86))</f>
        <v/>
      </c>
      <c r="J86" s="71">
        <f>IFERROR(MATCH($A$79&amp;"#"&amp;6,Stock!$R$8:$R$101,0),"")</f>
        <v/>
      </c>
    </row>
    <row r="87">
      <c r="A87" s="77">
        <f>IF($A$79="","",$A$79&amp;" total")</f>
        <v/>
      </c>
      <c r="B87" s="77" t="n"/>
      <c r="C87" s="85" t="n"/>
      <c r="D87" s="123">
        <f>SUM(D81:D86)</f>
        <v/>
      </c>
      <c r="E87" s="78">
        <f>SUM(E81:E86)</f>
        <v/>
      </c>
      <c r="F87" s="78">
        <f>SUM(F81:F86)</f>
        <v/>
      </c>
      <c r="G87" s="77" t="n"/>
      <c r="H87" s="79">
        <f>SUM(H81:H86)</f>
        <v/>
      </c>
    </row>
    <row r="88"/>
    <row r="89" ht="24.95" customFormat="1" customHeight="1" s="81">
      <c r="A89" s="132" t="inlineStr">
        <is>
          <t>China</t>
        </is>
      </c>
      <c r="B89" s="144" t="n"/>
      <c r="C89" s="144" t="n"/>
      <c r="D89" s="144" t="n"/>
      <c r="E89" s="144" t="n"/>
      <c r="F89" s="144" t="n"/>
      <c r="G89" s="144" t="n"/>
      <c r="H89" s="144" t="n"/>
    </row>
    <row r="90" ht="20.1" customFormat="1" customHeight="1" s="26">
      <c r="A90" s="80" t="inlineStr">
        <is>
          <t>Product</t>
        </is>
      </c>
      <c r="B90" s="80" t="inlineStr">
        <is>
          <t>Unit</t>
        </is>
      </c>
      <c r="C90" s="82" t="inlineStr">
        <is>
          <t>Kg / Unit</t>
        </is>
      </c>
      <c r="D90" s="80" t="inlineStr">
        <is>
          <t>Closing Balance</t>
        </is>
      </c>
      <c r="E90" s="80" t="inlineStr">
        <is>
          <t>Closing Stock (Kg)</t>
        </is>
      </c>
      <c r="F90" s="80" t="inlineStr">
        <is>
          <t>No. of Cases</t>
        </is>
      </c>
      <c r="G90" s="80" t="inlineStr">
        <is>
          <t>Rate / Kg ($)</t>
        </is>
      </c>
      <c r="H90" s="80" t="inlineStr">
        <is>
          <t>Stock Value (₹)</t>
        </is>
      </c>
    </row>
    <row r="91" ht="12.75" customHeight="1">
      <c r="A91" s="66">
        <f>IF($J91="","",INDEX(Stock!$B$8:$B$101,$J91))</f>
        <v/>
      </c>
      <c r="B91" s="66">
        <f>IF($J91="","",IF(INDEX(Stock!$C$8:$C$101,$J91)=0,"",INDEX(Stock!$C$8:$C$101,$J91)))</f>
        <v/>
      </c>
      <c r="C91" s="83">
        <f>IF($J91="","",IF(INDEX(Stock!$D$8:$D$101,$J91)=0,"",INDEX(Stock!$D$8:$D$101,$J91)))</f>
        <v/>
      </c>
      <c r="D91" s="67">
        <f>IF($J91="","",INDEX(Stock!$J$8:$J$101,$J91))</f>
        <v/>
      </c>
      <c r="E91" s="68">
        <f>IF($J91="","",INDEX(Stock!$K$8:$K$101,$J91))</f>
        <v/>
      </c>
      <c r="F91" s="68">
        <f>+$D91/10</f>
        <v/>
      </c>
      <c r="G91" s="69">
        <f>IF($J91="","",IF(INDEX(Stock!$L$8:$L$101,$J91)=0,"",INDEX(Stock!$L$8:$L$101,$J91)))</f>
        <v/>
      </c>
      <c r="H91" s="70">
        <f>IF($J91="","",INDEX(Stock!$M$8:$M$101,$J91))</f>
        <v/>
      </c>
      <c r="J91" s="71">
        <f>IFERROR(MATCH($A$89&amp;"#"&amp;1,Stock!$R$8:$R$101,0),"")</f>
        <v/>
      </c>
    </row>
    <row r="92" ht="12.75" customHeight="1">
      <c r="A92" s="72">
        <f>IF($J92="","",INDEX(Stock!$B$8:$B$101,$J92))</f>
        <v/>
      </c>
      <c r="B92" s="72">
        <f>IF($J92="","",IF(INDEX(Stock!$C$8:$C$101,$J92)=0,"",INDEX(Stock!$C$8:$C$101,$J92)))</f>
        <v/>
      </c>
      <c r="C92" s="84">
        <f>IF($J92="","",IF(INDEX(Stock!$D$8:$D$101,$J92)=0,"",INDEX(Stock!$D$8:$D$101,$J92)))</f>
        <v/>
      </c>
      <c r="D92" s="73">
        <f>IF($J92="","",INDEX(Stock!$J$8:$J$101,$J92))</f>
        <v/>
      </c>
      <c r="E92" s="74">
        <f>IF($J92="","",INDEX(Stock!$K$8:$K$101,$J92))</f>
        <v/>
      </c>
      <c r="F92" s="125">
        <f>+$D92/10</f>
        <v/>
      </c>
      <c r="G92" s="75">
        <f>IF($J92="","",IF(INDEX(Stock!$L$8:$L$101,$J92)=0,"",INDEX(Stock!$L$8:$L$101,$J92)))</f>
        <v/>
      </c>
      <c r="H92" s="76">
        <f>IF($J92="","",INDEX(Stock!$M$8:$M$101,$J92))</f>
        <v/>
      </c>
      <c r="J92" s="71">
        <f>IFERROR(MATCH($A$89&amp;"#"&amp;2,Stock!$R$8:$R$101,0),"")</f>
        <v/>
      </c>
    </row>
    <row r="93" ht="12.75" customHeight="1">
      <c r="A93" s="66">
        <f>IF($J93="","",INDEX(Stock!$B$8:$B$101,$J93))</f>
        <v/>
      </c>
      <c r="B93" s="66">
        <f>IF($J93="","",IF(INDEX(Stock!$C$8:$C$101,$J93)=0,"",INDEX(Stock!$C$8:$C$101,$J93)))</f>
        <v/>
      </c>
      <c r="C93" s="83">
        <f>IF($J93="","",IF(INDEX(Stock!$D$8:$D$101,$J93)=0,"",INDEX(Stock!$D$8:$D$101,$J93)))</f>
        <v/>
      </c>
      <c r="D93" s="67">
        <f>IF($J93="","",INDEX(Stock!$J$8:$J$101,$J93))</f>
        <v/>
      </c>
      <c r="E93" s="68">
        <f>IF($J93="","",INDEX(Stock!$K$8:$K$101,$J93))</f>
        <v/>
      </c>
      <c r="F93" s="68">
        <f>+$D93/10</f>
        <v/>
      </c>
      <c r="G93" s="69">
        <f>IF($J93="","",IF(INDEX(Stock!$L$8:$L$101,$J93)=0,"",INDEX(Stock!$L$8:$L$101,$J93)))</f>
        <v/>
      </c>
      <c r="H93" s="70">
        <f>IF($J93="","",INDEX(Stock!$M$8:$M$101,$J93))</f>
        <v/>
      </c>
      <c r="J93" s="71">
        <f>IFERROR(MATCH($A$89&amp;"#"&amp;3,Stock!$R$8:$R$101,0),"")</f>
        <v/>
      </c>
    </row>
    <row r="94" ht="12.75" customHeight="1">
      <c r="A94" s="72">
        <f>IF($J94="","",INDEX(Stock!$B$8:$B$101,$J94))</f>
        <v/>
      </c>
      <c r="B94" s="72">
        <f>IF($J94="","",IF(INDEX(Stock!$C$8:$C$101,$J94)=0,"",INDEX(Stock!$C$8:$C$101,$J94)))</f>
        <v/>
      </c>
      <c r="C94" s="84">
        <f>IF($J94="","",IF(INDEX(Stock!$D$8:$D$101,$J94)=0,"",INDEX(Stock!$D$8:$D$101,$J94)))</f>
        <v/>
      </c>
      <c r="D94" s="73">
        <f>IF($J94="","",INDEX(Stock!$J$8:$J$101,$J94))</f>
        <v/>
      </c>
      <c r="E94" s="74">
        <f>IF($J94="","",INDEX(Stock!$K$8:$K$101,$J94))</f>
        <v/>
      </c>
      <c r="F94" s="125">
        <f>+$D94/10</f>
        <v/>
      </c>
      <c r="G94" s="75">
        <f>IF($J94="","",IF(INDEX(Stock!$L$8:$L$101,$J94)=0,"",INDEX(Stock!$L$8:$L$101,$J94)))</f>
        <v/>
      </c>
      <c r="H94" s="76">
        <f>IF($J94="","",INDEX(Stock!$M$8:$M$101,$J94))</f>
        <v/>
      </c>
      <c r="J94" s="71">
        <f>IFERROR(MATCH($A$89&amp;"#"&amp;4,Stock!$R$8:$R$101,0),"")</f>
        <v/>
      </c>
    </row>
    <row r="95" ht="12.75" customHeight="1">
      <c r="A95" s="66">
        <f>IF($J95="","",INDEX(Stock!$B$8:$B$101,$J95))</f>
        <v/>
      </c>
      <c r="B95" s="66">
        <f>IF($J95="","",IF(INDEX(Stock!$C$8:$C$101,$J95)=0,"",INDEX(Stock!$C$8:$C$101,$J95)))</f>
        <v/>
      </c>
      <c r="C95" s="83">
        <f>IF($J95="","",IF(INDEX(Stock!$D$8:$D$101,$J95)=0,"",INDEX(Stock!$D$8:$D$101,$J95)))</f>
        <v/>
      </c>
      <c r="D95" s="67">
        <f>IF($J95="","",INDEX(Stock!$J$8:$J$101,$J95))</f>
        <v/>
      </c>
      <c r="E95" s="68">
        <f>IF($J95="","",INDEX(Stock!$K$8:$K$101,$J95))</f>
        <v/>
      </c>
      <c r="F95" s="68" t="n"/>
      <c r="G95" s="69">
        <f>IF($J95="","",IF(INDEX(Stock!$L$8:$L$101,$J95)=0,"",INDEX(Stock!$L$8:$L$101,$J95)))</f>
        <v/>
      </c>
      <c r="H95" s="70">
        <f>IF($J95="","",INDEX(Stock!$M$8:$M$101,$J95))</f>
        <v/>
      </c>
      <c r="J95" s="71">
        <f>IFERROR(MATCH($A$89&amp;"#"&amp;5,Stock!$R$8:$R$101,0),"")</f>
        <v/>
      </c>
    </row>
    <row r="96" ht="12.75" customHeight="1">
      <c r="A96" s="72">
        <f>IF($J96="","",INDEX(Stock!$B$8:$B$101,$J96))</f>
        <v/>
      </c>
      <c r="B96" s="72">
        <f>IF($J96="","",IF(INDEX(Stock!$C$8:$C$101,$J96)=0,"",INDEX(Stock!$C$8:$C$101,$J96)))</f>
        <v/>
      </c>
      <c r="C96" s="84">
        <f>IF($J96="","",IF(INDEX(Stock!$D$8:$D$101,$J96)=0,"",INDEX(Stock!$D$8:$D$101,$J96)))</f>
        <v/>
      </c>
      <c r="D96" s="73">
        <f>IF($J96="","",INDEX(Stock!$J$8:$J$101,$J96))</f>
        <v/>
      </c>
      <c r="E96" s="74">
        <f>IF($J96="","",INDEX(Stock!$K$8:$K$101,$J96))</f>
        <v/>
      </c>
      <c r="F96" s="74" t="n"/>
      <c r="G96" s="75">
        <f>IF($J96="","",IF(INDEX(Stock!$L$8:$L$101,$J96)=0,"",INDEX(Stock!$L$8:$L$101,$J96)))</f>
        <v/>
      </c>
      <c r="H96" s="76">
        <f>IF($J96="","",INDEX(Stock!$M$8:$M$101,$J96))</f>
        <v/>
      </c>
      <c r="J96" s="71">
        <f>IFERROR(MATCH($A$89&amp;"#"&amp;6,Stock!$R$8:$R$101,0),"")</f>
        <v/>
      </c>
    </row>
    <row r="97" ht="12.75" customHeight="1">
      <c r="A97" s="66">
        <f>IF($J97="","",INDEX(Stock!$B$8:$B$101,$J97))</f>
        <v/>
      </c>
      <c r="B97" s="66">
        <f>IF($J97="","",IF(INDEX(Stock!$C$8:$C$101,$J97)=0,"",INDEX(Stock!$C$8:$C$101,$J97)))</f>
        <v/>
      </c>
      <c r="C97" s="83">
        <f>IF($J97="","",IF(INDEX(Stock!$D$8:$D$101,$J97)=0,"",INDEX(Stock!$D$8:$D$101,$J97)))</f>
        <v/>
      </c>
      <c r="D97" s="67">
        <f>IF($J97="","",INDEX(Stock!$J$8:$J$101,$J97))</f>
        <v/>
      </c>
      <c r="E97" s="68">
        <f>IF($J97="","",INDEX(Stock!$K$8:$K$101,$J97))</f>
        <v/>
      </c>
      <c r="F97" s="68" t="n"/>
      <c r="G97" s="69">
        <f>IF($J97="","",IF(INDEX(Stock!$L$8:$L$101,$J97)=0,"",INDEX(Stock!$L$8:$L$101,$J97)))</f>
        <v/>
      </c>
      <c r="H97" s="70">
        <f>IF($J97="","",INDEX(Stock!$M$8:$M$101,$J97))</f>
        <v/>
      </c>
      <c r="J97" s="71">
        <f>IFERROR(MATCH($A$89&amp;"#"&amp;7,Stock!$R$8:$R$101,0),"")</f>
        <v/>
      </c>
    </row>
    <row r="98">
      <c r="A98" s="77">
        <f>IF($A$89="","",$A$89&amp;" total")</f>
        <v/>
      </c>
      <c r="B98" s="77" t="n"/>
      <c r="C98" s="85" t="n"/>
      <c r="D98" s="123">
        <f>SUM(D91:D97)</f>
        <v/>
      </c>
      <c r="E98" s="78">
        <f>SUM(E91:E97)</f>
        <v/>
      </c>
      <c r="F98" s="78">
        <f>SUM(F91:F97)</f>
        <v/>
      </c>
      <c r="G98" s="77" t="n"/>
      <c r="H98" s="79">
        <f>SUM(H91:H97)</f>
        <v/>
      </c>
    </row>
    <row r="99"/>
    <row r="100" ht="24.95" customFormat="1" customHeight="1" s="81">
      <c r="A100" s="132" t="inlineStr">
        <is>
          <t>Deep Sea</t>
        </is>
      </c>
      <c r="B100" s="144" t="n"/>
      <c r="C100" s="144" t="n"/>
      <c r="D100" s="144" t="n"/>
      <c r="E100" s="144" t="n"/>
      <c r="F100" s="144" t="n"/>
      <c r="G100" s="144" t="n"/>
      <c r="H100" s="144" t="n"/>
    </row>
    <row r="101" ht="20.1" customFormat="1" customHeight="1" s="26">
      <c r="A101" s="80" t="inlineStr">
        <is>
          <t>Product</t>
        </is>
      </c>
      <c r="B101" s="80" t="inlineStr">
        <is>
          <t>Unit</t>
        </is>
      </c>
      <c r="C101" s="82" t="inlineStr">
        <is>
          <t>Kg / Unit</t>
        </is>
      </c>
      <c r="D101" s="80" t="inlineStr">
        <is>
          <t>Closing Balance</t>
        </is>
      </c>
      <c r="E101" s="80" t="inlineStr">
        <is>
          <t>Closing Stock (Kg)</t>
        </is>
      </c>
      <c r="F101" s="80" t="inlineStr">
        <is>
          <t>No. of Cases</t>
        </is>
      </c>
      <c r="G101" s="80" t="inlineStr">
        <is>
          <t>Rate / Kg ($)</t>
        </is>
      </c>
      <c r="H101" s="80" t="inlineStr">
        <is>
          <t>Stock Value (₹)</t>
        </is>
      </c>
    </row>
    <row r="102" ht="12.75" customHeight="1">
      <c r="A102" s="66">
        <f>IF($J102="","",INDEX(Stock!$B$8:$B$101,$J102))</f>
        <v/>
      </c>
      <c r="B102" s="66">
        <f>IF($J102="","",IF(INDEX(Stock!$C$8:$C$101,$J102)=0,"",INDEX(Stock!$C$8:$C$101,$J102)))</f>
        <v/>
      </c>
      <c r="C102" s="83">
        <f>IF($J102="","",IF(INDEX(Stock!$D$8:$D$101,$J102)=0,"",INDEX(Stock!$D$8:$D$101,$J102)))</f>
        <v/>
      </c>
      <c r="D102" s="67">
        <f>IF($J102="","",INDEX(Stock!$J$8:$J$101,$J102))</f>
        <v/>
      </c>
      <c r="E102" s="68">
        <f>IF($J102="","",INDEX(Stock!$K$8:$K$101,$J102))</f>
        <v/>
      </c>
      <c r="F102" s="68">
        <f>+$D102/10</f>
        <v/>
      </c>
      <c r="G102" s="69">
        <f>IF($J102="","",IF(INDEX(Stock!$L$8:$L$101,$J102)=0,"",INDEX(Stock!$L$8:$L$101,$J102)))</f>
        <v/>
      </c>
      <c r="H102" s="70">
        <f>IF($J102="","",INDEX(Stock!$M$8:$M$101,$J102))</f>
        <v/>
      </c>
      <c r="J102" s="71">
        <f>IFERROR(MATCH($A$100&amp;"#"&amp;1,Stock!$R$8:$R$101,0),"")</f>
        <v/>
      </c>
    </row>
    <row r="103" ht="12.75" customHeight="1">
      <c r="A103" s="72">
        <f>IF($J103="","",INDEX(Stock!$B$8:$B$101,$J103))</f>
        <v/>
      </c>
      <c r="B103" s="72">
        <f>IF($J103="","",IF(INDEX(Stock!$C$8:$C$101,$J103)=0,"",INDEX(Stock!$C$8:$C$101,$J103)))</f>
        <v/>
      </c>
      <c r="C103" s="84">
        <f>IF($J103="","",IF(INDEX(Stock!$D$8:$D$101,$J103)=0,"",INDEX(Stock!$D$8:$D$101,$J103)))</f>
        <v/>
      </c>
      <c r="D103" s="73">
        <f>IF($J103="","",INDEX(Stock!$J$8:$J$101,$J103))</f>
        <v/>
      </c>
      <c r="E103" s="74">
        <f>IF($J103="","",INDEX(Stock!$K$8:$K$101,$J103))</f>
        <v/>
      </c>
      <c r="F103" s="74" t="n"/>
      <c r="G103" s="75">
        <f>IF($J103="","",IF(INDEX(Stock!$L$8:$L$101,$J103)=0,"",INDEX(Stock!$L$8:$L$101,$J103)))</f>
        <v/>
      </c>
      <c r="H103" s="76">
        <f>IF($J103="","",INDEX(Stock!$M$8:$M$101,$J103))</f>
        <v/>
      </c>
      <c r="J103" s="71">
        <f>IFERROR(MATCH($A$100&amp;"#"&amp;2,Stock!$R$8:$R$101,0),"")</f>
        <v/>
      </c>
    </row>
    <row r="104" ht="12.75" customHeight="1">
      <c r="A104" s="66">
        <f>IF($J104="","",INDEX(Stock!$B$8:$B$101,$J104))</f>
        <v/>
      </c>
      <c r="B104" s="66">
        <f>IF($J104="","",IF(INDEX(Stock!$C$8:$C$101,$J104)=0,"",INDEX(Stock!$C$8:$C$101,$J104)))</f>
        <v/>
      </c>
      <c r="C104" s="83">
        <f>IF($J104="","",IF(INDEX(Stock!$D$8:$D$101,$J104)=0,"",INDEX(Stock!$D$8:$D$101,$J104)))</f>
        <v/>
      </c>
      <c r="D104" s="67">
        <f>IF($J104="","",INDEX(Stock!$J$8:$J$101,$J104))</f>
        <v/>
      </c>
      <c r="E104" s="68">
        <f>IF($J104="","",INDEX(Stock!$K$8:$K$101,$J104))</f>
        <v/>
      </c>
      <c r="F104" s="68" t="n"/>
      <c r="G104" s="69">
        <f>IF($J104="","",IF(INDEX(Stock!$L$8:$L$101,$J104)=0,"",INDEX(Stock!$L$8:$L$101,$J104)))</f>
        <v/>
      </c>
      <c r="H104" s="70">
        <f>IF($J104="","",INDEX(Stock!$M$8:$M$101,$J104))</f>
        <v/>
      </c>
      <c r="J104" s="71">
        <f>IFERROR(MATCH($A$100&amp;"#"&amp;3,Stock!$R$8:$R$101,0),"")</f>
        <v/>
      </c>
    </row>
    <row r="105" ht="12.75" customHeight="1">
      <c r="A105" s="72">
        <f>IF($J105="","",INDEX(Stock!$B$8:$B$101,$J105))</f>
        <v/>
      </c>
      <c r="B105" s="72">
        <f>IF($J105="","",IF(INDEX(Stock!$C$8:$C$101,$J105)=0,"",INDEX(Stock!$C$8:$C$101,$J105)))</f>
        <v/>
      </c>
      <c r="C105" s="84">
        <f>IF($J105="","",IF(INDEX(Stock!$D$8:$D$101,$J105)=0,"",INDEX(Stock!$D$8:$D$101,$J105)))</f>
        <v/>
      </c>
      <c r="D105" s="73">
        <f>IF($J105="","",INDEX(Stock!$J$8:$J$101,$J105))</f>
        <v/>
      </c>
      <c r="E105" s="74">
        <f>IF($J105="","",INDEX(Stock!$K$8:$K$101,$J105))</f>
        <v/>
      </c>
      <c r="F105" s="74" t="n"/>
      <c r="G105" s="75">
        <f>IF($J105="","",IF(INDEX(Stock!$L$8:$L$101,$J105)=0,"",INDEX(Stock!$L$8:$L$101,$J105)))</f>
        <v/>
      </c>
      <c r="H105" s="76">
        <f>IF($J105="","",INDEX(Stock!$M$8:$M$101,$J105))</f>
        <v/>
      </c>
      <c r="J105" s="71">
        <f>IFERROR(MATCH($A$100&amp;"#"&amp;4,Stock!$R$8:$R$101,0),"")</f>
        <v/>
      </c>
    </row>
    <row r="106">
      <c r="A106" s="77">
        <f>IF($A$100="","",$A$100&amp;" total")</f>
        <v/>
      </c>
      <c r="B106" s="77" t="n"/>
      <c r="C106" s="85" t="n"/>
      <c r="D106" s="123">
        <f>SUM(D102:D105)</f>
        <v/>
      </c>
      <c r="E106" s="78">
        <f>SUM(E102:E105)</f>
        <v/>
      </c>
      <c r="F106" s="78">
        <f>SUM(F102:F105)</f>
        <v/>
      </c>
      <c r="G106" s="77" t="n"/>
      <c r="H106" s="79">
        <f>SUM(H102:H105)</f>
        <v/>
      </c>
    </row>
    <row r="107"/>
    <row r="108" ht="24.95" customFormat="1" customHeight="1" s="81">
      <c r="A108" s="132" t="inlineStr">
        <is>
          <t>Shrimp Whole</t>
        </is>
      </c>
      <c r="B108" s="144" t="n"/>
      <c r="C108" s="144" t="n"/>
      <c r="D108" s="144" t="n"/>
      <c r="E108" s="144" t="n"/>
      <c r="F108" s="144" t="n"/>
      <c r="G108" s="144" t="n"/>
      <c r="H108" s="144" t="n"/>
    </row>
    <row r="109" ht="20.1" customFormat="1" customHeight="1" s="26">
      <c r="A109" s="80" t="inlineStr">
        <is>
          <t>Product</t>
        </is>
      </c>
      <c r="B109" s="80" t="inlineStr">
        <is>
          <t>Unit</t>
        </is>
      </c>
      <c r="C109" s="82" t="inlineStr">
        <is>
          <t>Kg / Unit</t>
        </is>
      </c>
      <c r="D109" s="80" t="inlineStr">
        <is>
          <t>Closing Balance</t>
        </is>
      </c>
      <c r="E109" s="80" t="inlineStr">
        <is>
          <t>Closing Stock (Kg)</t>
        </is>
      </c>
      <c r="F109" s="80" t="inlineStr">
        <is>
          <t>No. of Cases</t>
        </is>
      </c>
      <c r="G109" s="80" t="inlineStr">
        <is>
          <t>Rate / Kg ($)</t>
        </is>
      </c>
      <c r="H109" s="80" t="inlineStr">
        <is>
          <t>Stock Value (₹)</t>
        </is>
      </c>
    </row>
    <row r="110" ht="12.75" customHeight="1">
      <c r="A110" s="66">
        <f>IF($J110="","",INDEX(Stock!$B$8:$B$101,$J110))</f>
        <v/>
      </c>
      <c r="B110" s="66">
        <f>IF($J110="","",IF(INDEX(Stock!$C$8:$C$101,$J110)=0,"",INDEX(Stock!$C$8:$C$101,$J110)))</f>
        <v/>
      </c>
      <c r="C110" s="83">
        <f>IF($J110="","",IF(INDEX(Stock!$D$8:$D$101,$J110)=0,"",INDEX(Stock!$D$8:$D$101,$J110)))</f>
        <v/>
      </c>
      <c r="D110" s="67">
        <f>IF($J110="","",INDEX(Stock!$J$8:$J$101,$J110))</f>
        <v/>
      </c>
      <c r="E110" s="68">
        <f>IF($J110="","",INDEX(Stock!$K$8:$K$101,$J110))</f>
        <v/>
      </c>
      <c r="F110" s="68">
        <f>+$D110/10</f>
        <v/>
      </c>
      <c r="G110" s="69">
        <f>IF($J110="","",IF(INDEX(Stock!$L$8:$L$101,$J110)=0,"",INDEX(Stock!$L$8:$L$101,$J110)))</f>
        <v/>
      </c>
      <c r="H110" s="70">
        <f>IF($J110="","",INDEX(Stock!$M$8:$M$101,$J110))</f>
        <v/>
      </c>
      <c r="J110" s="71">
        <f>IFERROR(MATCH($A$108&amp;"#"&amp;1,Stock!$R$8:$R$101,0),"")</f>
        <v/>
      </c>
    </row>
    <row r="111" ht="12.75" customHeight="1">
      <c r="A111" s="72">
        <f>IF($J111="","",INDEX(Stock!$B$8:$B$101,$J111))</f>
        <v/>
      </c>
      <c r="B111" s="72">
        <f>IF($J111="","",IF(INDEX(Stock!$C$8:$C$101,$J111)=0,"",INDEX(Stock!$C$8:$C$101,$J111)))</f>
        <v/>
      </c>
      <c r="C111" s="84">
        <f>IF($J111="","",IF(INDEX(Stock!$D$8:$D$101,$J111)=0,"",INDEX(Stock!$D$8:$D$101,$J111)))</f>
        <v/>
      </c>
      <c r="D111" s="73">
        <f>IF($J111="","",INDEX(Stock!$J$8:$J$101,$J111))</f>
        <v/>
      </c>
      <c r="E111" s="74">
        <f>IF($J111="","",INDEX(Stock!$K$8:$K$101,$J111))</f>
        <v/>
      </c>
      <c r="F111" s="74" t="n"/>
      <c r="G111" s="75">
        <f>IF($J111="","",IF(INDEX(Stock!$L$8:$L$101,$J111)=0,"",INDEX(Stock!$L$8:$L$101,$J111)))</f>
        <v/>
      </c>
      <c r="H111" s="76">
        <f>IF($J111="","",INDEX(Stock!$M$8:$M$101,$J111))</f>
        <v/>
      </c>
      <c r="J111" s="71">
        <f>IFERROR(MATCH($A$108&amp;"#"&amp;2,Stock!$R$8:$R$101,0),"")</f>
        <v/>
      </c>
    </row>
    <row r="112" ht="12.75" customHeight="1">
      <c r="A112" s="66">
        <f>IF($J112="","",INDEX(Stock!$B$8:$B$101,$J112))</f>
        <v/>
      </c>
      <c r="B112" s="66">
        <f>IF($J112="","",IF(INDEX(Stock!$C$8:$C$101,$J112)=0,"",INDEX(Stock!$C$8:$C$101,$J112)))</f>
        <v/>
      </c>
      <c r="C112" s="83">
        <f>IF($J112="","",IF(INDEX(Stock!$D$8:$D$101,$J112)=0,"",INDEX(Stock!$D$8:$D$101,$J112)))</f>
        <v/>
      </c>
      <c r="D112" s="67">
        <f>IF($J112="","",INDEX(Stock!$J$8:$J$101,$J112))</f>
        <v/>
      </c>
      <c r="E112" s="68">
        <f>IF($J112="","",INDEX(Stock!$K$8:$K$101,$J112))</f>
        <v/>
      </c>
      <c r="F112" s="68" t="n"/>
      <c r="G112" s="69">
        <f>IF($J112="","",IF(INDEX(Stock!$L$8:$L$101,$J112)=0,"",INDEX(Stock!$L$8:$L$101,$J112)))</f>
        <v/>
      </c>
      <c r="H112" s="70">
        <f>IF($J112="","",INDEX(Stock!$M$8:$M$101,$J112))</f>
        <v/>
      </c>
      <c r="J112" s="71">
        <f>IFERROR(MATCH($A$108&amp;"#"&amp;3,Stock!$R$8:$R$101,0),"")</f>
        <v/>
      </c>
    </row>
    <row r="113" ht="12.75" customHeight="1">
      <c r="A113" s="72">
        <f>IF($J113="","",INDEX(Stock!$B$8:$B$101,$J113))</f>
        <v/>
      </c>
      <c r="B113" s="72">
        <f>IF($J113="","",IF(INDEX(Stock!$C$8:$C$101,$J113)=0,"",INDEX(Stock!$C$8:$C$101,$J113)))</f>
        <v/>
      </c>
      <c r="C113" s="84">
        <f>IF($J113="","",IF(INDEX(Stock!$D$8:$D$101,$J113)=0,"",INDEX(Stock!$D$8:$D$101,$J113)))</f>
        <v/>
      </c>
      <c r="D113" s="73">
        <f>IF($J113="","",INDEX(Stock!$J$8:$J$101,$J113))</f>
        <v/>
      </c>
      <c r="E113" s="74">
        <f>IF($J113="","",INDEX(Stock!$K$8:$K$101,$J113))</f>
        <v/>
      </c>
      <c r="F113" s="74" t="n"/>
      <c r="G113" s="75">
        <f>IF($J113="","",IF(INDEX(Stock!$L$8:$L$101,$J113)=0,"",INDEX(Stock!$L$8:$L$101,$J113)))</f>
        <v/>
      </c>
      <c r="H113" s="76">
        <f>IF($J113="","",INDEX(Stock!$M$8:$M$101,$J113))</f>
        <v/>
      </c>
      <c r="J113" s="71">
        <f>IFERROR(MATCH($A$108&amp;"#"&amp;4,Stock!$R$8:$R$101,0),"")</f>
        <v/>
      </c>
    </row>
    <row r="114">
      <c r="A114" s="77">
        <f>IF($A$108="","",$A$108&amp;" total")</f>
        <v/>
      </c>
      <c r="B114" s="77" t="n"/>
      <c r="C114" s="85" t="n"/>
      <c r="D114" s="123">
        <f>SUM(D110:D113)</f>
        <v/>
      </c>
      <c r="E114" s="78">
        <f>SUM(E110:E113)</f>
        <v/>
      </c>
      <c r="F114" s="78">
        <f>SUM(F110:F113)</f>
        <v/>
      </c>
      <c r="G114" s="77" t="n"/>
      <c r="H114" s="79">
        <f>SUM(H110:H113)</f>
        <v/>
      </c>
    </row>
    <row r="115"/>
    <row r="116" ht="24.95" customFormat="1" customHeight="1" s="81">
      <c r="A116" s="132" t="inlineStr">
        <is>
          <t>Tuna</t>
        </is>
      </c>
      <c r="B116" s="144" t="n"/>
      <c r="C116" s="144" t="n"/>
      <c r="D116" s="144" t="n"/>
      <c r="E116" s="144" t="n"/>
      <c r="F116" s="144" t="n"/>
      <c r="G116" s="144" t="n"/>
      <c r="H116" s="144" t="n"/>
    </row>
    <row r="117" ht="20.1" customFormat="1" customHeight="1" s="26">
      <c r="A117" s="80" t="inlineStr">
        <is>
          <t>Product</t>
        </is>
      </c>
      <c r="B117" s="80" t="inlineStr">
        <is>
          <t>Unit</t>
        </is>
      </c>
      <c r="C117" s="82" t="inlineStr">
        <is>
          <t>Kg / Unit</t>
        </is>
      </c>
      <c r="D117" s="80" t="inlineStr">
        <is>
          <t>Closing Balance</t>
        </is>
      </c>
      <c r="E117" s="80" t="inlineStr">
        <is>
          <t>Closing Stock (Kg)</t>
        </is>
      </c>
      <c r="F117" s="80" t="inlineStr">
        <is>
          <t>No. of Cases</t>
        </is>
      </c>
      <c r="G117" s="80" t="inlineStr">
        <is>
          <t>Rate / Kg ($)</t>
        </is>
      </c>
      <c r="H117" s="80" t="inlineStr">
        <is>
          <t>Stock Value (₹)</t>
        </is>
      </c>
    </row>
    <row r="118" ht="12.75" customHeight="1">
      <c r="A118" s="66">
        <f>IF($J118="","",INDEX(Stock!$B$8:$B$101,$J118))</f>
        <v/>
      </c>
      <c r="B118" s="66">
        <f>IF($J118="","",IF(INDEX(Stock!$C$8:$C$101,$J118)=0,"",INDEX(Stock!$C$8:$C$101,$J118)))</f>
        <v/>
      </c>
      <c r="C118" s="83">
        <f>IF($J118="","",IF(INDEX(Stock!$D$8:$D$101,$J118)=0,"",INDEX(Stock!$D$8:$D$101,$J118)))</f>
        <v/>
      </c>
      <c r="D118" s="67">
        <f>IF($J118="","",INDEX(Stock!$J$8:$J$101,$J118))</f>
        <v/>
      </c>
      <c r="E118" s="68">
        <f>IF($J118="","",INDEX(Stock!$K$8:$K$101,$J118))</f>
        <v/>
      </c>
      <c r="F118" s="68" t="n"/>
      <c r="G118" s="69">
        <f>IF($J118="","",IF(INDEX(Stock!$L$8:$L$101,$J118)=0,"",INDEX(Stock!$L$8:$L$101,$J118)))</f>
        <v/>
      </c>
      <c r="H118" s="70">
        <f>IF($J118="","",INDEX(Stock!$M$8:$M$101,$J118))</f>
        <v/>
      </c>
      <c r="J118" s="71">
        <f>IFERROR(MATCH($A$116&amp;"#"&amp;1,Stock!$R$8:$R$101,0),"")</f>
        <v/>
      </c>
    </row>
    <row r="119" ht="12.75" customHeight="1">
      <c r="A119" s="72">
        <f>IF($J119="","",INDEX(Stock!$B$8:$B$101,$J119))</f>
        <v/>
      </c>
      <c r="B119" s="72">
        <f>IF($J119="","",IF(INDEX(Stock!$C$8:$C$101,$J119)=0,"",INDEX(Stock!$C$8:$C$101,$J119)))</f>
        <v/>
      </c>
      <c r="C119" s="84">
        <f>IF($J119="","",IF(INDEX(Stock!$D$8:$D$101,$J119)=0,"",INDEX(Stock!$D$8:$D$101,$J119)))</f>
        <v/>
      </c>
      <c r="D119" s="73">
        <f>IF($J119="","",INDEX(Stock!$J$8:$J$101,$J119))</f>
        <v/>
      </c>
      <c r="E119" s="74">
        <f>IF($J119="","",INDEX(Stock!$K$8:$K$101,$J119))</f>
        <v/>
      </c>
      <c r="F119" s="74" t="n"/>
      <c r="G119" s="75">
        <f>IF($J119="","",IF(INDEX(Stock!$L$8:$L$101,$J119)=0,"",INDEX(Stock!$L$8:$L$101,$J119)))</f>
        <v/>
      </c>
      <c r="H119" s="76">
        <f>IF($J119="","",INDEX(Stock!$M$8:$M$101,$J119))</f>
        <v/>
      </c>
      <c r="J119" s="71">
        <f>IFERROR(MATCH($A$116&amp;"#"&amp;2,Stock!$R$8:$R$101,0),"")</f>
        <v/>
      </c>
    </row>
    <row r="120" ht="12.75" customHeight="1">
      <c r="A120" s="66">
        <f>IF($J120="","",INDEX(Stock!$B$8:$B$101,$J120))</f>
        <v/>
      </c>
      <c r="B120" s="66">
        <f>IF($J120="","",IF(INDEX(Stock!$C$8:$C$101,$J120)=0,"",INDEX(Stock!$C$8:$C$101,$J120)))</f>
        <v/>
      </c>
      <c r="C120" s="83">
        <f>IF($J120="","",IF(INDEX(Stock!$D$8:$D$101,$J120)=0,"",INDEX(Stock!$D$8:$D$101,$J120)))</f>
        <v/>
      </c>
      <c r="D120" s="67">
        <f>IF($J120="","",INDEX(Stock!$J$8:$J$101,$J120))</f>
        <v/>
      </c>
      <c r="E120" s="68">
        <f>IF($J120="","",INDEX(Stock!$K$8:$K$101,$J120))</f>
        <v/>
      </c>
      <c r="F120" s="68" t="n"/>
      <c r="G120" s="69">
        <f>IF($J120="","",IF(INDEX(Stock!$L$8:$L$101,$J120)=0,"",INDEX(Stock!$L$8:$L$101,$J120)))</f>
        <v/>
      </c>
      <c r="H120" s="70">
        <f>IF($J120="","",INDEX(Stock!$M$8:$M$101,$J120))</f>
        <v/>
      </c>
      <c r="J120" s="71">
        <f>IFERROR(MATCH($A$116&amp;"#"&amp;3,Stock!$R$8:$R$101,0),"")</f>
        <v/>
      </c>
    </row>
    <row r="121" ht="12.75" customHeight="1">
      <c r="A121" s="72">
        <f>IF($J121="","",INDEX(Stock!$B$8:$B$101,$J121))</f>
        <v/>
      </c>
      <c r="B121" s="72">
        <f>IF($J121="","",IF(INDEX(Stock!$C$8:$C$101,$J121)=0,"",INDEX(Stock!$C$8:$C$101,$J121)))</f>
        <v/>
      </c>
      <c r="C121" s="84">
        <f>IF($J121="","",IF(INDEX(Stock!$D$8:$D$101,$J121)=0,"",INDEX(Stock!$D$8:$D$101,$J121)))</f>
        <v/>
      </c>
      <c r="D121" s="73">
        <f>IF($J121="","",INDEX(Stock!$J$8:$J$101,$J121))</f>
        <v/>
      </c>
      <c r="E121" s="74">
        <f>IF($J121="","",INDEX(Stock!$K$8:$K$101,$J121))</f>
        <v/>
      </c>
      <c r="F121" s="74" t="n"/>
      <c r="G121" s="75">
        <f>IF($J121="","",IF(INDEX(Stock!$L$8:$L$101,$J121)=0,"",INDEX(Stock!$L$8:$L$101,$J121)))</f>
        <v/>
      </c>
      <c r="H121" s="76">
        <f>IF($J121="","",INDEX(Stock!$M$8:$M$101,$J121))</f>
        <v/>
      </c>
      <c r="J121" s="71">
        <f>IFERROR(MATCH($A$116&amp;"#"&amp;4,Stock!$R$8:$R$101,0),"")</f>
        <v/>
      </c>
    </row>
    <row r="122" ht="12.75" customHeight="1">
      <c r="A122" s="66">
        <f>IF($J122="","",INDEX(Stock!$B$8:$B$101,$J122))</f>
        <v/>
      </c>
      <c r="B122" s="66">
        <f>IF($J122="","",IF(INDEX(Stock!$C$8:$C$101,$J122)=0,"",INDEX(Stock!$C$8:$C$101,$J122)))</f>
        <v/>
      </c>
      <c r="C122" s="83">
        <f>IF($J122="","",IF(INDEX(Stock!$D$8:$D$101,$J122)=0,"",INDEX(Stock!$D$8:$D$101,$J122)))</f>
        <v/>
      </c>
      <c r="D122" s="67">
        <f>IF($J122="","",INDEX(Stock!$J$8:$J$101,$J122))</f>
        <v/>
      </c>
      <c r="E122" s="68">
        <f>IF($J122="","",INDEX(Stock!$K$8:$K$101,$J122))</f>
        <v/>
      </c>
      <c r="F122" s="68" t="n"/>
      <c r="G122" s="69">
        <f>IF($J122="","",IF(INDEX(Stock!$L$8:$L$101,$J122)=0,"",INDEX(Stock!$L$8:$L$101,$J122)))</f>
        <v/>
      </c>
      <c r="H122" s="70">
        <f>IF($J122="","",INDEX(Stock!$M$8:$M$101,$J122))</f>
        <v/>
      </c>
      <c r="J122" s="71">
        <f>IFERROR(MATCH($A$116&amp;"#"&amp;5,Stock!$R$8:$R$101,0),"")</f>
        <v/>
      </c>
    </row>
    <row r="123" ht="12.75" customHeight="1">
      <c r="A123" s="72">
        <f>IF($J123="","",INDEX(Stock!$B$8:$B$101,$J123))</f>
        <v/>
      </c>
      <c r="B123" s="72">
        <f>IF($J123="","",IF(INDEX(Stock!$C$8:$C$101,$J123)=0,"",INDEX(Stock!$C$8:$C$101,$J123)))</f>
        <v/>
      </c>
      <c r="C123" s="84">
        <f>IF($J123="","",IF(INDEX(Stock!$D$8:$D$101,$J123)=0,"",INDEX(Stock!$D$8:$D$101,$J123)))</f>
        <v/>
      </c>
      <c r="D123" s="73">
        <f>IF($J123="","",INDEX(Stock!$J$8:$J$101,$J123))</f>
        <v/>
      </c>
      <c r="E123" s="74">
        <f>IF($J123="","",INDEX(Stock!$K$8:$K$101,$J123))</f>
        <v/>
      </c>
      <c r="F123" s="74" t="n"/>
      <c r="G123" s="75">
        <f>IF($J123="","",IF(INDEX(Stock!$L$8:$L$101,$J123)=0,"",INDEX(Stock!$L$8:$L$101,$J123)))</f>
        <v/>
      </c>
      <c r="H123" s="76">
        <f>IF($J123="","",INDEX(Stock!$M$8:$M$101,$J123))</f>
        <v/>
      </c>
      <c r="J123" s="71">
        <f>IFERROR(MATCH($A$116&amp;"#"&amp;6,Stock!$R$8:$R$101,0),"")</f>
        <v/>
      </c>
    </row>
    <row r="124" ht="12.75" customHeight="1">
      <c r="A124" s="66">
        <f>IF($J124="","",INDEX(Stock!$B$8:$B$101,$J124))</f>
        <v/>
      </c>
      <c r="B124" s="66">
        <f>IF($J124="","",IF(INDEX(Stock!$C$8:$C$101,$J124)=0,"",INDEX(Stock!$C$8:$C$101,$J124)))</f>
        <v/>
      </c>
      <c r="C124" s="83">
        <f>IF($J124="","",IF(INDEX(Stock!$D$8:$D$101,$J124)=0,"",INDEX(Stock!$D$8:$D$101,$J124)))</f>
        <v/>
      </c>
      <c r="D124" s="67">
        <f>IF($J124="","",INDEX(Stock!$J$8:$J$101,$J124))</f>
        <v/>
      </c>
      <c r="E124" s="68">
        <f>IF($J124="","",INDEX(Stock!$K$8:$K$101,$J124))</f>
        <v/>
      </c>
      <c r="F124" s="68" t="n"/>
      <c r="G124" s="69">
        <f>IF($J124="","",IF(INDEX(Stock!$L$8:$L$101,$J124)=0,"",INDEX(Stock!$L$8:$L$101,$J124)))</f>
        <v/>
      </c>
      <c r="H124" s="70">
        <f>IF($J124="","",INDEX(Stock!$M$8:$M$101,$J124))</f>
        <v/>
      </c>
      <c r="J124" s="71">
        <f>IFERROR(MATCH($A$116&amp;"#"&amp;7,Stock!$R$8:$R$101,0),"")</f>
        <v/>
      </c>
    </row>
    <row r="125" ht="12.75" customHeight="1">
      <c r="A125" s="72">
        <f>IF($J125="","",INDEX(Stock!$B$8:$B$101,$J125))</f>
        <v/>
      </c>
      <c r="B125" s="72">
        <f>IF($J125="","",IF(INDEX(Stock!$C$8:$C$101,$J125)=0,"",INDEX(Stock!$C$8:$C$101,$J125)))</f>
        <v/>
      </c>
      <c r="C125" s="84">
        <f>IF($J125="","",IF(INDEX(Stock!$D$8:$D$101,$J125)=0,"",INDEX(Stock!$D$8:$D$101,$J125)))</f>
        <v/>
      </c>
      <c r="D125" s="73">
        <f>IF($J125="","",INDEX(Stock!$J$8:$J$101,$J125))</f>
        <v/>
      </c>
      <c r="E125" s="74">
        <f>IF($J125="","",INDEX(Stock!$K$8:$K$101,$J125))</f>
        <v/>
      </c>
      <c r="F125" s="74" t="n"/>
      <c r="G125" s="75">
        <f>IF($J125="","",IF(INDEX(Stock!$L$8:$L$101,$J125)=0,"",INDEX(Stock!$L$8:$L$101,$J125)))</f>
        <v/>
      </c>
      <c r="H125" s="76">
        <f>IF($J125="","",INDEX(Stock!$M$8:$M$101,$J125))</f>
        <v/>
      </c>
      <c r="J125" s="71">
        <f>IFERROR(MATCH($A$116&amp;"#"&amp;8,Stock!$R$8:$R$101,0),"")</f>
        <v/>
      </c>
    </row>
    <row r="126" ht="12.75" customHeight="1">
      <c r="A126" s="66">
        <f>IF($J126="","",INDEX(Stock!$B$8:$B$101,$J126))</f>
        <v/>
      </c>
      <c r="B126" s="66">
        <f>IF($J126="","",IF(INDEX(Stock!$C$8:$C$101,$J126)=0,"",INDEX(Stock!$C$8:$C$101,$J126)))</f>
        <v/>
      </c>
      <c r="C126" s="83">
        <f>IF($J126="","",IF(INDEX(Stock!$D$8:$D$101,$J126)=0,"",INDEX(Stock!$D$8:$D$101,$J126)))</f>
        <v/>
      </c>
      <c r="D126" s="67">
        <f>IF($J126="","",INDEX(Stock!$J$8:$J$101,$J126))</f>
        <v/>
      </c>
      <c r="E126" s="68">
        <f>IF($J126="","",INDEX(Stock!$K$8:$K$101,$J126))</f>
        <v/>
      </c>
      <c r="F126" s="68" t="n"/>
      <c r="G126" s="69">
        <f>IF($J126="","",IF(INDEX(Stock!$L$8:$L$101,$J126)=0,"",INDEX(Stock!$L$8:$L$101,$J126)))</f>
        <v/>
      </c>
      <c r="H126" s="70">
        <f>IF($J126="","",INDEX(Stock!$M$8:$M$101,$J126))</f>
        <v/>
      </c>
      <c r="J126" s="71">
        <f>IFERROR(MATCH($A$116&amp;"#"&amp;9,Stock!$R$8:$R$101,0),"")</f>
        <v/>
      </c>
    </row>
    <row r="127">
      <c r="A127" s="77">
        <f>IF($A$116="","",$A$116&amp;" total")</f>
        <v/>
      </c>
      <c r="B127" s="77" t="n"/>
      <c r="C127" s="85" t="n"/>
      <c r="D127" s="77" t="n"/>
      <c r="E127" s="78">
        <f>SUM(E118:E126)</f>
        <v/>
      </c>
      <c r="F127" s="78" t="n"/>
      <c r="G127" s="77" t="n"/>
      <c r="H127" s="79">
        <f>SUM(H118:H126)</f>
        <v/>
      </c>
    </row>
    <row r="128"/>
    <row r="129" ht="24.95" customFormat="1" customHeight="1" s="81">
      <c r="A129" s="132" t="inlineStr">
        <is>
          <t>Mackerel</t>
        </is>
      </c>
      <c r="B129" s="144" t="n"/>
      <c r="C129" s="144" t="n"/>
      <c r="D129" s="144" t="n"/>
      <c r="E129" s="144" t="n"/>
      <c r="F129" s="144" t="n"/>
      <c r="G129" s="144" t="n"/>
      <c r="H129" s="144" t="n"/>
    </row>
    <row r="130" ht="20.1" customFormat="1" customHeight="1" s="26">
      <c r="A130" s="80" t="inlineStr">
        <is>
          <t>Product</t>
        </is>
      </c>
      <c r="B130" s="80" t="inlineStr">
        <is>
          <t>Unit</t>
        </is>
      </c>
      <c r="C130" s="82" t="inlineStr">
        <is>
          <t>Kg / Unit</t>
        </is>
      </c>
      <c r="D130" s="80" t="inlineStr">
        <is>
          <t>Closing Balance</t>
        </is>
      </c>
      <c r="E130" s="80" t="inlineStr">
        <is>
          <t>Closing Stock (Kg)</t>
        </is>
      </c>
      <c r="F130" s="80" t="inlineStr">
        <is>
          <t>No. of Cases</t>
        </is>
      </c>
      <c r="G130" s="80" t="inlineStr">
        <is>
          <t>Rate / Kg ($)</t>
        </is>
      </c>
      <c r="H130" s="80" t="inlineStr">
        <is>
          <t>Stock Value (₹)</t>
        </is>
      </c>
    </row>
    <row r="131" ht="12.75" customHeight="1">
      <c r="A131" s="66">
        <f>IF($J131="","",INDEX(Stock!$B$8:$B$101,$J131))</f>
        <v/>
      </c>
      <c r="B131" s="66">
        <f>IF($J131="","",IF(INDEX(Stock!$C$8:$C$101,$J131)=0,"",INDEX(Stock!$C$8:$C$101,$J131)))</f>
        <v/>
      </c>
      <c r="C131" s="83">
        <f>IF($J131="","",IF(INDEX(Stock!$D$8:$D$101,$J131)=0,"",INDEX(Stock!$D$8:$D$101,$J131)))</f>
        <v/>
      </c>
      <c r="D131" s="67">
        <f>IF($J131="","",INDEX(Stock!$J$8:$J$101,$J131))</f>
        <v/>
      </c>
      <c r="E131" s="68">
        <f>IF($J131="","",INDEX(Stock!$K$8:$K$101,$J131))</f>
        <v/>
      </c>
      <c r="F131" s="68" t="n"/>
      <c r="G131" s="69">
        <f>IF($J131="","",IF(INDEX(Stock!$L$8:$L$101,$J131)=0,"",INDEX(Stock!$L$8:$L$101,$J131)))</f>
        <v/>
      </c>
      <c r="H131" s="70">
        <f>IF($J131="","",INDEX(Stock!$M$8:$M$101,$J131))</f>
        <v/>
      </c>
      <c r="J131" s="71">
        <f>IFERROR(MATCH($A$129&amp;"#"&amp;1,Stock!$R$8:$R$101,0),"")</f>
        <v/>
      </c>
    </row>
    <row r="132" ht="12.75" customHeight="1">
      <c r="A132" s="72">
        <f>IF($J132="","",INDEX(Stock!$B$8:$B$101,$J132))</f>
        <v/>
      </c>
      <c r="B132" s="72">
        <f>IF($J132="","",IF(INDEX(Stock!$C$8:$C$101,$J132)=0,"",INDEX(Stock!$C$8:$C$101,$J132)))</f>
        <v/>
      </c>
      <c r="C132" s="84">
        <f>IF($J132="","",IF(INDEX(Stock!$D$8:$D$101,$J132)=0,"",INDEX(Stock!$D$8:$D$101,$J132)))</f>
        <v/>
      </c>
      <c r="D132" s="73">
        <f>IF($J132="","",INDEX(Stock!$J$8:$J$101,$J132))</f>
        <v/>
      </c>
      <c r="E132" s="74">
        <f>IF($J132="","",INDEX(Stock!$K$8:$K$101,$J132))</f>
        <v/>
      </c>
      <c r="F132" s="74" t="n"/>
      <c r="G132" s="75">
        <f>IF($J132="","",IF(INDEX(Stock!$L$8:$L$101,$J132)=0,"",INDEX(Stock!$L$8:$L$101,$J132)))</f>
        <v/>
      </c>
      <c r="H132" s="76">
        <f>IF($J132="","",INDEX(Stock!$M$8:$M$101,$J132))</f>
        <v/>
      </c>
      <c r="J132" s="71">
        <f>IFERROR(MATCH($A$129&amp;"#"&amp;2,Stock!$R$8:$R$101,0),"")</f>
        <v/>
      </c>
    </row>
    <row r="133" ht="12.75" customHeight="1">
      <c r="A133" s="66">
        <f>IF($J133="","",INDEX(Stock!$B$8:$B$101,$J133))</f>
        <v/>
      </c>
      <c r="B133" s="66">
        <f>IF($J133="","",IF(INDEX(Stock!$C$8:$C$101,$J133)=0,"",INDEX(Stock!$C$8:$C$101,$J133)))</f>
        <v/>
      </c>
      <c r="C133" s="83">
        <f>IF($J133="","",IF(INDEX(Stock!$D$8:$D$101,$J133)=0,"",INDEX(Stock!$D$8:$D$101,$J133)))</f>
        <v/>
      </c>
      <c r="D133" s="67">
        <f>IF($J133="","",INDEX(Stock!$J$8:$J$101,$J133))</f>
        <v/>
      </c>
      <c r="E133" s="68">
        <f>IF($J133="","",INDEX(Stock!$K$8:$K$101,$J133))</f>
        <v/>
      </c>
      <c r="F133" s="68" t="n"/>
      <c r="G133" s="69">
        <f>IF($J133="","",IF(INDEX(Stock!$L$8:$L$101,$J133)=0,"",INDEX(Stock!$L$8:$L$101,$J133)))</f>
        <v/>
      </c>
      <c r="H133" s="70">
        <f>IF($J133="","",INDEX(Stock!$M$8:$M$101,$J133))</f>
        <v/>
      </c>
      <c r="J133" s="71">
        <f>IFERROR(MATCH($A$129&amp;"#"&amp;3,Stock!$R$8:$R$101,0),"")</f>
        <v/>
      </c>
    </row>
    <row r="134" ht="12.75" customHeight="1">
      <c r="A134" s="72">
        <f>IF($J134="","",INDEX(Stock!$B$8:$B$101,$J134))</f>
        <v/>
      </c>
      <c r="B134" s="72">
        <f>IF($J134="","",IF(INDEX(Stock!$C$8:$C$101,$J134)=0,"",INDEX(Stock!$C$8:$C$101,$J134)))</f>
        <v/>
      </c>
      <c r="C134" s="84">
        <f>IF($J134="","",IF(INDEX(Stock!$D$8:$D$101,$J134)=0,"",INDEX(Stock!$D$8:$D$101,$J134)))</f>
        <v/>
      </c>
      <c r="D134" s="73">
        <f>IF($J134="","",INDEX(Stock!$J$8:$J$101,$J134))</f>
        <v/>
      </c>
      <c r="E134" s="74">
        <f>IF($J134="","",INDEX(Stock!$K$8:$K$101,$J134))</f>
        <v/>
      </c>
      <c r="F134" s="74" t="n"/>
      <c r="G134" s="75">
        <f>IF($J134="","",IF(INDEX(Stock!$L$8:$L$101,$J134)=0,"",INDEX(Stock!$L$8:$L$101,$J134)))</f>
        <v/>
      </c>
      <c r="H134" s="76">
        <f>IF($J134="","",INDEX(Stock!$M$8:$M$101,$J134))</f>
        <v/>
      </c>
      <c r="J134" s="71">
        <f>IFERROR(MATCH($A$129&amp;"#"&amp;4,Stock!$R$8:$R$101,0),"")</f>
        <v/>
      </c>
    </row>
    <row r="135" ht="12.75" customHeight="1">
      <c r="A135" s="66">
        <f>IF($J135="","",INDEX(Stock!$B$8:$B$101,$J135))</f>
        <v/>
      </c>
      <c r="B135" s="66">
        <f>IF($J135="","",IF(INDEX(Stock!$C$8:$C$101,$J135)=0,"",INDEX(Stock!$C$8:$C$101,$J135)))</f>
        <v/>
      </c>
      <c r="C135" s="83">
        <f>IF($J135="","",IF(INDEX(Stock!$D$8:$D$101,$J135)=0,"",INDEX(Stock!$D$8:$D$101,$J135)))</f>
        <v/>
      </c>
      <c r="D135" s="67">
        <f>IF($J135="","",INDEX(Stock!$J$8:$J$101,$J135))</f>
        <v/>
      </c>
      <c r="E135" s="68">
        <f>IF($J135="","",INDEX(Stock!$K$8:$K$101,$J135))</f>
        <v/>
      </c>
      <c r="F135" s="68" t="n"/>
      <c r="G135" s="69">
        <f>IF($J135="","",IF(INDEX(Stock!$L$8:$L$101,$J135)=0,"",INDEX(Stock!$L$8:$L$101,$J135)))</f>
        <v/>
      </c>
      <c r="H135" s="70">
        <f>IF($J135="","",INDEX(Stock!$M$8:$M$101,$J135))</f>
        <v/>
      </c>
      <c r="J135" s="71">
        <f>IFERROR(MATCH($A$129&amp;"#"&amp;5,Stock!$R$8:$R$101,0),"")</f>
        <v/>
      </c>
    </row>
    <row r="136" ht="12.75" customHeight="1">
      <c r="A136" s="72">
        <f>IF($J136="","",INDEX(Stock!$B$8:$B$101,$J136))</f>
        <v/>
      </c>
      <c r="B136" s="72">
        <f>IF($J136="","",IF(INDEX(Stock!$C$8:$C$101,$J136)=0,"",INDEX(Stock!$C$8:$C$101,$J136)))</f>
        <v/>
      </c>
      <c r="C136" s="84">
        <f>IF($J136="","",IF(INDEX(Stock!$D$8:$D$101,$J136)=0,"",INDEX(Stock!$D$8:$D$101,$J136)))</f>
        <v/>
      </c>
      <c r="D136" s="73">
        <f>IF($J136="","",INDEX(Stock!$J$8:$J$101,$J136))</f>
        <v/>
      </c>
      <c r="E136" s="74">
        <f>IF($J136="","",INDEX(Stock!$K$8:$K$101,$J136))</f>
        <v/>
      </c>
      <c r="F136" s="74" t="n"/>
      <c r="G136" s="75">
        <f>IF($J136="","",IF(INDEX(Stock!$L$8:$L$101,$J136)=0,"",INDEX(Stock!$L$8:$L$101,$J136)))</f>
        <v/>
      </c>
      <c r="H136" s="76">
        <f>IF($J136="","",INDEX(Stock!$M$8:$M$101,$J136))</f>
        <v/>
      </c>
      <c r="J136" s="71">
        <f>IFERROR(MATCH($A$129&amp;"#"&amp;6,Stock!$R$8:$R$101,0),"")</f>
        <v/>
      </c>
    </row>
    <row r="137" ht="12.75" customHeight="1">
      <c r="A137" s="66">
        <f>IF($J137="","",INDEX(Stock!$B$8:$B$101,$J137))</f>
        <v/>
      </c>
      <c r="B137" s="66">
        <f>IF($J137="","",IF(INDEX(Stock!$C$8:$C$101,$J137)=0,"",INDEX(Stock!$C$8:$C$101,$J137)))</f>
        <v/>
      </c>
      <c r="C137" s="83">
        <f>IF($J137="","",IF(INDEX(Stock!$D$8:$D$101,$J137)=0,"",INDEX(Stock!$D$8:$D$101,$J137)))</f>
        <v/>
      </c>
      <c r="D137" s="67">
        <f>IF($J137="","",INDEX(Stock!$J$8:$J$101,$J137))</f>
        <v/>
      </c>
      <c r="E137" s="68">
        <f>IF($J137="","",INDEX(Stock!$K$8:$K$101,$J137))</f>
        <v/>
      </c>
      <c r="F137" s="68" t="n"/>
      <c r="G137" s="69">
        <f>IF($J137="","",IF(INDEX(Stock!$L$8:$L$101,$J137)=0,"",INDEX(Stock!$L$8:$L$101,$J137)))</f>
        <v/>
      </c>
      <c r="H137" s="70">
        <f>IF($J137="","",INDEX(Stock!$M$8:$M$101,$J137))</f>
        <v/>
      </c>
      <c r="J137" s="71">
        <f>IFERROR(MATCH($A$129&amp;"#"&amp;7,Stock!$R$8:$R$101,0),"")</f>
        <v/>
      </c>
    </row>
    <row r="138" ht="12.75" customHeight="1">
      <c r="A138" s="72">
        <f>IF($J138="","",INDEX(Stock!$B$8:$B$101,$J138))</f>
        <v/>
      </c>
      <c r="B138" s="72">
        <f>IF($J138="","",IF(INDEX(Stock!$C$8:$C$101,$J138)=0,"",INDEX(Stock!$C$8:$C$101,$J138)))</f>
        <v/>
      </c>
      <c r="C138" s="84">
        <f>IF($J138="","",IF(INDEX(Stock!$D$8:$D$101,$J138)=0,"",INDEX(Stock!$D$8:$D$101,$J138)))</f>
        <v/>
      </c>
      <c r="D138" s="73">
        <f>IF($J138="","",INDEX(Stock!$J$8:$J$101,$J138))</f>
        <v/>
      </c>
      <c r="E138" s="74">
        <f>IF($J138="","",INDEX(Stock!$K$8:$K$101,$J138))</f>
        <v/>
      </c>
      <c r="F138" s="74" t="n"/>
      <c r="G138" s="75">
        <f>IF($J138="","",IF(INDEX(Stock!$L$8:$L$101,$J138)=0,"",INDEX(Stock!$L$8:$L$101,$J138)))</f>
        <v/>
      </c>
      <c r="H138" s="76">
        <f>IF($J138="","",INDEX(Stock!$M$8:$M$101,$J138))</f>
        <v/>
      </c>
      <c r="J138" s="71">
        <f>IFERROR(MATCH($A$129&amp;"#"&amp;8,Stock!$R$8:$R$101,0),"")</f>
        <v/>
      </c>
    </row>
    <row r="139" ht="12.75" customHeight="1">
      <c r="A139" s="66">
        <f>IF($J139="","",INDEX(Stock!$B$8:$B$101,$J139))</f>
        <v/>
      </c>
      <c r="B139" s="66">
        <f>IF($J139="","",IF(INDEX(Stock!$C$8:$C$101,$J139)=0,"",INDEX(Stock!$C$8:$C$101,$J139)))</f>
        <v/>
      </c>
      <c r="C139" s="83">
        <f>IF($J139="","",IF(INDEX(Stock!$D$8:$D$101,$J139)=0,"",INDEX(Stock!$D$8:$D$101,$J139)))</f>
        <v/>
      </c>
      <c r="D139" s="67">
        <f>IF($J139="","",INDEX(Stock!$J$8:$J$101,$J139))</f>
        <v/>
      </c>
      <c r="E139" s="68">
        <f>IF($J139="","",INDEX(Stock!$K$8:$K$101,$J139))</f>
        <v/>
      </c>
      <c r="F139" s="68" t="n"/>
      <c r="G139" s="69">
        <f>IF($J139="","",IF(INDEX(Stock!$L$8:$L$101,$J139)=0,"",INDEX(Stock!$L$8:$L$101,$J139)))</f>
        <v/>
      </c>
      <c r="H139" s="70">
        <f>IF($J139="","",INDEX(Stock!$M$8:$M$101,$J139))</f>
        <v/>
      </c>
      <c r="J139" s="71">
        <f>IFERROR(MATCH($A$129&amp;"#"&amp;9,Stock!$R$8:$R$101,0),"")</f>
        <v/>
      </c>
    </row>
    <row r="140" ht="12.75" customHeight="1">
      <c r="A140" s="72">
        <f>IF($J140="","",INDEX(Stock!$B$8:$B$101,$J140))</f>
        <v/>
      </c>
      <c r="B140" s="72">
        <f>IF($J140="","",IF(INDEX(Stock!$C$8:$C$101,$J140)=0,"",INDEX(Stock!$C$8:$C$101,$J140)))</f>
        <v/>
      </c>
      <c r="C140" s="84">
        <f>IF($J140="","",IF(INDEX(Stock!$D$8:$D$101,$J140)=0,"",INDEX(Stock!$D$8:$D$101,$J140)))</f>
        <v/>
      </c>
      <c r="D140" s="73">
        <f>IF($J140="","",INDEX(Stock!$J$8:$J$101,$J140))</f>
        <v/>
      </c>
      <c r="E140" s="74">
        <f>IF($J140="","",INDEX(Stock!$K$8:$K$101,$J140))</f>
        <v/>
      </c>
      <c r="F140" s="74" t="n"/>
      <c r="G140" s="75">
        <f>IF($J140="","",IF(INDEX(Stock!$L$8:$L$101,$J140)=0,"",INDEX(Stock!$L$8:$L$101,$J140)))</f>
        <v/>
      </c>
      <c r="H140" s="76">
        <f>IF($J140="","",INDEX(Stock!$M$8:$M$101,$J140))</f>
        <v/>
      </c>
      <c r="J140" s="71">
        <f>IFERROR(MATCH($A$129&amp;"#"&amp;10,Stock!$R$8:$R$101,0),"")</f>
        <v/>
      </c>
    </row>
    <row r="141">
      <c r="A141" s="77">
        <f>IF($A$129="","",$A$129&amp;" total")</f>
        <v/>
      </c>
      <c r="B141" s="77" t="n"/>
      <c r="C141" s="85" t="n"/>
      <c r="D141" s="77" t="n"/>
      <c r="E141" s="78">
        <f>SUM(E131:E140)</f>
        <v/>
      </c>
      <c r="F141" s="78" t="n"/>
      <c r="G141" s="77" t="n"/>
      <c r="H141" s="79">
        <f>SUM(H131:H140)</f>
        <v/>
      </c>
    </row>
    <row r="142"/>
    <row r="143" ht="24.95" customFormat="1" customHeight="1" s="81">
      <c r="A143" s="132" t="inlineStr">
        <is>
          <t>Cuttlefish</t>
        </is>
      </c>
      <c r="B143" s="144" t="n"/>
      <c r="C143" s="144" t="n"/>
      <c r="D143" s="144" t="n"/>
      <c r="E143" s="144" t="n"/>
      <c r="F143" s="144" t="n"/>
      <c r="G143" s="144" t="n"/>
      <c r="H143" s="144" t="n"/>
    </row>
    <row r="144" ht="20.1" customFormat="1" customHeight="1" s="26">
      <c r="A144" s="80" t="inlineStr">
        <is>
          <t>Product</t>
        </is>
      </c>
      <c r="B144" s="80" t="inlineStr">
        <is>
          <t>Unit</t>
        </is>
      </c>
      <c r="C144" s="82" t="inlineStr">
        <is>
          <t>Kg / Unit</t>
        </is>
      </c>
      <c r="D144" s="80" t="inlineStr">
        <is>
          <t>Closing Balance</t>
        </is>
      </c>
      <c r="E144" s="80" t="inlineStr">
        <is>
          <t>Closing Stock (Kg)</t>
        </is>
      </c>
      <c r="F144" s="80" t="inlineStr">
        <is>
          <t>No. of Cases</t>
        </is>
      </c>
      <c r="G144" s="80" t="inlineStr">
        <is>
          <t>Rate / Kg ($)</t>
        </is>
      </c>
      <c r="H144" s="80" t="inlineStr">
        <is>
          <t>Stock Value (₹)</t>
        </is>
      </c>
    </row>
    <row r="145" ht="12.75" customHeight="1">
      <c r="A145" s="66">
        <f>IF($J145="","",INDEX(Stock!$B$8:$B$101,$J145))</f>
        <v/>
      </c>
      <c r="B145" s="66">
        <f>IF($J145="","",IF(INDEX(Stock!$C$8:$C$101,$J145)=0,"",INDEX(Stock!$C$8:$C$101,$J145)))</f>
        <v/>
      </c>
      <c r="C145" s="83">
        <f>IF($J145="","",IF(INDEX(Stock!$D$8:$D$101,$J145)=0,"",INDEX(Stock!$D$8:$D$101,$J145)))</f>
        <v/>
      </c>
      <c r="D145" s="67">
        <f>IF($J145="","",INDEX(Stock!$J$8:$J$101,$J145))</f>
        <v/>
      </c>
      <c r="E145" s="68">
        <f>IF($J145="","",INDEX(Stock!$K$8:$K$101,$J145))</f>
        <v/>
      </c>
      <c r="F145" s="68" t="n"/>
      <c r="G145" s="69">
        <f>IF($J145="","",IF(INDEX(Stock!$L$8:$L$101,$J145)=0,"",INDEX(Stock!$L$8:$L$101,$J145)))</f>
        <v/>
      </c>
      <c r="H145" s="70">
        <f>IF($J145="","",INDEX(Stock!$M$8:$M$101,$J145))</f>
        <v/>
      </c>
      <c r="J145" s="71">
        <f>IFERROR(MATCH($A$143&amp;"#"&amp;1,Stock!$R$8:$R$101,0),"")</f>
        <v/>
      </c>
    </row>
    <row r="146" ht="12.75" customHeight="1">
      <c r="A146" s="72">
        <f>IF($J146="","",INDEX(Stock!$B$8:$B$101,$J146))</f>
        <v/>
      </c>
      <c r="B146" s="72">
        <f>IF($J146="","",IF(INDEX(Stock!$C$8:$C$101,$J146)=0,"",INDEX(Stock!$C$8:$C$101,$J146)))</f>
        <v/>
      </c>
      <c r="C146" s="84">
        <f>IF($J146="","",IF(INDEX(Stock!$D$8:$D$101,$J146)=0,"",INDEX(Stock!$D$8:$D$101,$J146)))</f>
        <v/>
      </c>
      <c r="D146" s="73">
        <f>IF($J146="","",INDEX(Stock!$J$8:$J$101,$J146))</f>
        <v/>
      </c>
      <c r="E146" s="74">
        <f>IF($J146="","",INDEX(Stock!$K$8:$K$101,$J146))</f>
        <v/>
      </c>
      <c r="F146" s="74" t="n"/>
      <c r="G146" s="75">
        <f>IF($J146="","",IF(INDEX(Stock!$L$8:$L$101,$J146)=0,"",INDEX(Stock!$L$8:$L$101,$J146)))</f>
        <v/>
      </c>
      <c r="H146" s="76">
        <f>IF($J146="","",INDEX(Stock!$M$8:$M$101,$J146))</f>
        <v/>
      </c>
      <c r="J146" s="71">
        <f>IFERROR(MATCH($A$143&amp;"#"&amp;2,Stock!$R$8:$R$101,0),"")</f>
        <v/>
      </c>
    </row>
    <row r="147" ht="12.75" customHeight="1">
      <c r="A147" s="66">
        <f>IF($J147="","",INDEX(Stock!$B$8:$B$101,$J147))</f>
        <v/>
      </c>
      <c r="B147" s="66">
        <f>IF($J147="","",IF(INDEX(Stock!$C$8:$C$101,$J147)=0,"",INDEX(Stock!$C$8:$C$101,$J147)))</f>
        <v/>
      </c>
      <c r="C147" s="83">
        <f>IF($J147="","",IF(INDEX(Stock!$D$8:$D$101,$J147)=0,"",INDEX(Stock!$D$8:$D$101,$J147)))</f>
        <v/>
      </c>
      <c r="D147" s="67">
        <f>IF($J147="","",INDEX(Stock!$J$8:$J$101,$J147))</f>
        <v/>
      </c>
      <c r="E147" s="68">
        <f>IF($J147="","",INDEX(Stock!$K$8:$K$101,$J147))</f>
        <v/>
      </c>
      <c r="F147" s="68" t="n"/>
      <c r="G147" s="69">
        <f>IF($J147="","",IF(INDEX(Stock!$L$8:$L$101,$J147)=0,"",INDEX(Stock!$L$8:$L$101,$J147)))</f>
        <v/>
      </c>
      <c r="H147" s="70">
        <f>IF($J147="","",INDEX(Stock!$M$8:$M$101,$J147))</f>
        <v/>
      </c>
      <c r="J147" s="71">
        <f>IFERROR(MATCH($A$143&amp;"#"&amp;3,Stock!$R$8:$R$101,0),"")</f>
        <v/>
      </c>
    </row>
    <row r="148" ht="12.75" customHeight="1">
      <c r="A148" s="72">
        <f>IF($J148="","",INDEX(Stock!$B$8:$B$101,$J148))</f>
        <v/>
      </c>
      <c r="B148" s="72">
        <f>IF($J148="","",IF(INDEX(Stock!$C$8:$C$101,$J148)=0,"",INDEX(Stock!$C$8:$C$101,$J148)))</f>
        <v/>
      </c>
      <c r="C148" s="84">
        <f>IF($J148="","",IF(INDEX(Stock!$D$8:$D$101,$J148)=0,"",INDEX(Stock!$D$8:$D$101,$J148)))</f>
        <v/>
      </c>
      <c r="D148" s="73">
        <f>IF($J148="","",INDEX(Stock!$J$8:$J$101,$J148))</f>
        <v/>
      </c>
      <c r="E148" s="74">
        <f>IF($J148="","",INDEX(Stock!$K$8:$K$101,$J148))</f>
        <v/>
      </c>
      <c r="F148" s="74" t="n"/>
      <c r="G148" s="75">
        <f>IF($J148="","",IF(INDEX(Stock!$L$8:$L$101,$J148)=0,"",INDEX(Stock!$L$8:$L$101,$J148)))</f>
        <v/>
      </c>
      <c r="H148" s="76">
        <f>IF($J148="","",INDEX(Stock!$M$8:$M$101,$J148))</f>
        <v/>
      </c>
      <c r="J148" s="71">
        <f>IFERROR(MATCH($A$143&amp;"#"&amp;4,Stock!$R$8:$R$101,0),"")</f>
        <v/>
      </c>
    </row>
    <row r="149" ht="12.75" customHeight="1">
      <c r="A149" s="66">
        <f>IF($J149="","",INDEX(Stock!$B$8:$B$101,$J149))</f>
        <v/>
      </c>
      <c r="B149" s="66">
        <f>IF($J149="","",IF(INDEX(Stock!$C$8:$C$101,$J149)=0,"",INDEX(Stock!$C$8:$C$101,$J149)))</f>
        <v/>
      </c>
      <c r="C149" s="83">
        <f>IF($J149="","",IF(INDEX(Stock!$D$8:$D$101,$J149)=0,"",INDEX(Stock!$D$8:$D$101,$J149)))</f>
        <v/>
      </c>
      <c r="D149" s="67">
        <f>IF($J149="","",INDEX(Stock!$J$8:$J$101,$J149))</f>
        <v/>
      </c>
      <c r="E149" s="68">
        <f>IF($J149="","",INDEX(Stock!$K$8:$K$101,$J149))</f>
        <v/>
      </c>
      <c r="F149" s="68" t="n"/>
      <c r="G149" s="69">
        <f>IF($J149="","",IF(INDEX(Stock!$L$8:$L$101,$J149)=0,"",INDEX(Stock!$L$8:$L$101,$J149)))</f>
        <v/>
      </c>
      <c r="H149" s="70">
        <f>IF($J149="","",INDEX(Stock!$M$8:$M$101,$J149))</f>
        <v/>
      </c>
      <c r="J149" s="71">
        <f>IFERROR(MATCH($A$143&amp;"#"&amp;5,Stock!$R$8:$R$101,0),"")</f>
        <v/>
      </c>
    </row>
    <row r="150" ht="12.75" customHeight="1">
      <c r="A150" s="72">
        <f>IF($J150="","",INDEX(Stock!$B$8:$B$101,$J150))</f>
        <v/>
      </c>
      <c r="B150" s="72">
        <f>IF($J150="","",IF(INDEX(Stock!$C$8:$C$101,$J150)=0,"",INDEX(Stock!$C$8:$C$101,$J150)))</f>
        <v/>
      </c>
      <c r="C150" s="84">
        <f>IF($J150="","",IF(INDEX(Stock!$D$8:$D$101,$J150)=0,"",INDEX(Stock!$D$8:$D$101,$J150)))</f>
        <v/>
      </c>
      <c r="D150" s="73">
        <f>IF($J150="","",INDEX(Stock!$J$8:$J$101,$J150))</f>
        <v/>
      </c>
      <c r="E150" s="74">
        <f>IF($J150="","",INDEX(Stock!$K$8:$K$101,$J150))</f>
        <v/>
      </c>
      <c r="F150" s="74" t="n"/>
      <c r="G150" s="75">
        <f>IF($J150="","",IF(INDEX(Stock!$L$8:$L$101,$J150)=0,"",INDEX(Stock!$L$8:$L$101,$J150)))</f>
        <v/>
      </c>
      <c r="H150" s="76">
        <f>IF($J150="","",INDEX(Stock!$M$8:$M$101,$J150))</f>
        <v/>
      </c>
      <c r="J150" s="71">
        <f>IFERROR(MATCH($A$143&amp;"#"&amp;6,Stock!$R$8:$R$101,0),"")</f>
        <v/>
      </c>
    </row>
    <row r="151" ht="12.75" customHeight="1">
      <c r="A151" s="66">
        <f>IF($J151="","",INDEX(Stock!$B$8:$B$101,$J151))</f>
        <v/>
      </c>
      <c r="B151" s="66">
        <f>IF($J151="","",IF(INDEX(Stock!$C$8:$C$101,$J151)=0,"",INDEX(Stock!$C$8:$C$101,$J151)))</f>
        <v/>
      </c>
      <c r="C151" s="83">
        <f>IF($J151="","",IF(INDEX(Stock!$D$8:$D$101,$J151)=0,"",INDEX(Stock!$D$8:$D$101,$J151)))</f>
        <v/>
      </c>
      <c r="D151" s="67">
        <f>IF($J151="","",INDEX(Stock!$J$8:$J$101,$J151))</f>
        <v/>
      </c>
      <c r="E151" s="68">
        <f>IF($J151="","",INDEX(Stock!$K$8:$K$101,$J151))</f>
        <v/>
      </c>
      <c r="F151" s="68" t="n"/>
      <c r="G151" s="69">
        <f>IF($J151="","",IF(INDEX(Stock!$L$8:$L$101,$J151)=0,"",INDEX(Stock!$L$8:$L$101,$J151)))</f>
        <v/>
      </c>
      <c r="H151" s="70">
        <f>IF($J151="","",INDEX(Stock!$M$8:$M$101,$J151))</f>
        <v/>
      </c>
      <c r="J151" s="71">
        <f>IFERROR(MATCH($A$143&amp;"#"&amp;7,Stock!$R$8:$R$101,0),"")</f>
        <v/>
      </c>
    </row>
    <row r="152" ht="12.75" customHeight="1">
      <c r="A152" s="72">
        <f>IF($J152="","",INDEX(Stock!$B$8:$B$101,$J152))</f>
        <v/>
      </c>
      <c r="B152" s="72">
        <f>IF($J152="","",IF(INDEX(Stock!$C$8:$C$101,$J152)=0,"",INDEX(Stock!$C$8:$C$101,$J152)))</f>
        <v/>
      </c>
      <c r="C152" s="84">
        <f>IF($J152="","",IF(INDEX(Stock!$D$8:$D$101,$J152)=0,"",INDEX(Stock!$D$8:$D$101,$J152)))</f>
        <v/>
      </c>
      <c r="D152" s="73">
        <f>IF($J152="","",INDEX(Stock!$J$8:$J$101,$J152))</f>
        <v/>
      </c>
      <c r="E152" s="74">
        <f>IF($J152="","",INDEX(Stock!$K$8:$K$101,$J152))</f>
        <v/>
      </c>
      <c r="F152" s="74" t="n"/>
      <c r="G152" s="75">
        <f>IF($J152="","",IF(INDEX(Stock!$L$8:$L$101,$J152)=0,"",INDEX(Stock!$L$8:$L$101,$J152)))</f>
        <v/>
      </c>
      <c r="H152" s="76">
        <f>IF($J152="","",INDEX(Stock!$M$8:$M$101,$J152))</f>
        <v/>
      </c>
      <c r="J152" s="71">
        <f>IFERROR(MATCH($A$143&amp;"#"&amp;8,Stock!$R$8:$R$101,0),"")</f>
        <v/>
      </c>
    </row>
    <row r="153" ht="12.75" customHeight="1">
      <c r="A153" s="66">
        <f>IF($J153="","",INDEX(Stock!$B$8:$B$101,$J153))</f>
        <v/>
      </c>
      <c r="B153" s="66">
        <f>IF($J153="","",IF(INDEX(Stock!$C$8:$C$101,$J153)=0,"",INDEX(Stock!$C$8:$C$101,$J153)))</f>
        <v/>
      </c>
      <c r="C153" s="83">
        <f>IF($J153="","",IF(INDEX(Stock!$D$8:$D$101,$J153)=0,"",INDEX(Stock!$D$8:$D$101,$J153)))</f>
        <v/>
      </c>
      <c r="D153" s="67">
        <f>IF($J153="","",INDEX(Stock!$J$8:$J$101,$J153))</f>
        <v/>
      </c>
      <c r="E153" s="68">
        <f>IF($J153="","",INDEX(Stock!$K$8:$K$101,$J153))</f>
        <v/>
      </c>
      <c r="F153" s="68" t="n"/>
      <c r="G153" s="69">
        <f>IF($J153="","",IF(INDEX(Stock!$L$8:$L$101,$J153)=0,"",INDEX(Stock!$L$8:$L$101,$J153)))</f>
        <v/>
      </c>
      <c r="H153" s="70">
        <f>IF($J153="","",INDEX(Stock!$M$8:$M$101,$J153))</f>
        <v/>
      </c>
      <c r="J153" s="71">
        <f>IFERROR(MATCH($A$143&amp;"#"&amp;9,Stock!$R$8:$R$101,0),"")</f>
        <v/>
      </c>
    </row>
    <row r="154">
      <c r="A154" s="77">
        <f>IF($A$143="","",$A$143&amp;" total")</f>
        <v/>
      </c>
      <c r="B154" s="77" t="n"/>
      <c r="C154" s="85" t="n"/>
      <c r="D154" s="123">
        <f>SUM(D145:D153)</f>
        <v/>
      </c>
      <c r="E154" s="78">
        <f>SUM(E145:E153)</f>
        <v/>
      </c>
      <c r="F154" s="78" t="n"/>
      <c r="G154" s="77" t="n"/>
      <c r="H154" s="79">
        <f>SUM(H145:H153)</f>
        <v/>
      </c>
    </row>
    <row r="155"/>
    <row r="156" ht="24.95" customFormat="1" customHeight="1" s="81">
      <c r="A156" s="132" t="inlineStr">
        <is>
          <t>White Squid</t>
        </is>
      </c>
      <c r="B156" s="144" t="n"/>
      <c r="C156" s="144" t="n"/>
      <c r="D156" s="144" t="n"/>
      <c r="E156" s="144" t="n"/>
      <c r="F156" s="144" t="n"/>
      <c r="G156" s="144" t="n"/>
      <c r="H156" s="144" t="n"/>
    </row>
    <row r="157" ht="20.1" customFormat="1" customHeight="1" s="26">
      <c r="A157" s="80" t="inlineStr">
        <is>
          <t>Product</t>
        </is>
      </c>
      <c r="B157" s="80" t="inlineStr">
        <is>
          <t>Unit</t>
        </is>
      </c>
      <c r="C157" s="82" t="inlineStr">
        <is>
          <t>Kg / Unit</t>
        </is>
      </c>
      <c r="D157" s="80" t="inlineStr">
        <is>
          <t>Closing Balance</t>
        </is>
      </c>
      <c r="E157" s="80" t="inlineStr">
        <is>
          <t>Closing Stock (Kg)</t>
        </is>
      </c>
      <c r="F157" s="80" t="inlineStr">
        <is>
          <t>No. of Cases</t>
        </is>
      </c>
      <c r="G157" s="80" t="inlineStr">
        <is>
          <t>Rate / Kg ($)</t>
        </is>
      </c>
      <c r="H157" s="80" t="inlineStr">
        <is>
          <t>Stock Value (₹)</t>
        </is>
      </c>
    </row>
    <row r="158" ht="12.75" customHeight="1">
      <c r="A158" s="66">
        <f>IF($J158="","",INDEX(Stock!$B$8:$B$101,$J158))</f>
        <v/>
      </c>
      <c r="B158" s="66">
        <f>IF($J158="","",IF(INDEX(Stock!$C$8:$C$101,$J158)=0,"",INDEX(Stock!$C$8:$C$101,$J158)))</f>
        <v/>
      </c>
      <c r="C158" s="83">
        <f>IF($J158="","",IF(INDEX(Stock!$D$8:$D$101,$J158)=0,"",INDEX(Stock!$D$8:$D$101,$J158)))</f>
        <v/>
      </c>
      <c r="D158" s="67">
        <f>IF($J158="","",INDEX(Stock!$J$8:$J$101,$J158))</f>
        <v/>
      </c>
      <c r="E158" s="68">
        <f>IF($J158="","",INDEX(Stock!$K$8:$K$101,$J158))</f>
        <v/>
      </c>
      <c r="F158" s="68" t="n"/>
      <c r="G158" s="69">
        <f>IF($J158="","",IF(INDEX(Stock!$L$8:$L$101,$J158)=0,"",INDEX(Stock!$L$8:$L$101,$J158)))</f>
        <v/>
      </c>
      <c r="H158" s="70">
        <f>IF($J158="","",INDEX(Stock!$M$8:$M$101,$J158))</f>
        <v/>
      </c>
      <c r="J158" s="71">
        <f>IFERROR(MATCH($A$156&amp;"#"&amp;1,Stock!$R$8:$R$101,0),"")</f>
        <v/>
      </c>
    </row>
    <row r="159" ht="12.75" customHeight="1">
      <c r="A159" s="72">
        <f>IF($J159="","",INDEX(Stock!$B$8:$B$101,$J159))</f>
        <v/>
      </c>
      <c r="B159" s="72">
        <f>IF($J159="","",IF(INDEX(Stock!$C$8:$C$101,$J159)=0,"",INDEX(Stock!$C$8:$C$101,$J159)))</f>
        <v/>
      </c>
      <c r="C159" s="84">
        <f>IF($J159="","",IF(INDEX(Stock!$D$8:$D$101,$J159)=0,"",INDEX(Stock!$D$8:$D$101,$J159)))</f>
        <v/>
      </c>
      <c r="D159" s="73">
        <f>IF($J159="","",INDEX(Stock!$J$8:$J$101,$J159))</f>
        <v/>
      </c>
      <c r="E159" s="74">
        <f>IF($J159="","",INDEX(Stock!$K$8:$K$101,$J159))</f>
        <v/>
      </c>
      <c r="F159" s="74" t="n"/>
      <c r="G159" s="75">
        <f>IF($J159="","",IF(INDEX(Stock!$L$8:$L$101,$J159)=0,"",INDEX(Stock!$L$8:$L$101,$J159)))</f>
        <v/>
      </c>
      <c r="H159" s="76">
        <f>IF($J159="","",INDEX(Stock!$M$8:$M$101,$J159))</f>
        <v/>
      </c>
      <c r="J159" s="71">
        <f>IFERROR(MATCH($A$156&amp;"#"&amp;2,Stock!$R$8:$R$101,0),"")</f>
        <v/>
      </c>
    </row>
    <row r="160" ht="12.75" customHeight="1">
      <c r="A160" s="66">
        <f>IF($J160="","",INDEX(Stock!$B$8:$B$101,$J160))</f>
        <v/>
      </c>
      <c r="B160" s="66">
        <f>IF($J160="","",IF(INDEX(Stock!$C$8:$C$101,$J160)=0,"",INDEX(Stock!$C$8:$C$101,$J160)))</f>
        <v/>
      </c>
      <c r="C160" s="83">
        <f>IF($J160="","",IF(INDEX(Stock!$D$8:$D$101,$J160)=0,"",INDEX(Stock!$D$8:$D$101,$J160)))</f>
        <v/>
      </c>
      <c r="D160" s="67">
        <f>IF($J160="","",INDEX(Stock!$J$8:$J$101,$J160))</f>
        <v/>
      </c>
      <c r="E160" s="68">
        <f>IF($J160="","",INDEX(Stock!$K$8:$K$101,$J160))</f>
        <v/>
      </c>
      <c r="F160" s="68" t="n"/>
      <c r="G160" s="69">
        <f>IF($J160="","",IF(INDEX(Stock!$L$8:$L$101,$J160)=0,"",INDEX(Stock!$L$8:$L$101,$J160)))</f>
        <v/>
      </c>
      <c r="H160" s="70">
        <f>IF($J160="","",INDEX(Stock!$M$8:$M$101,$J160))</f>
        <v/>
      </c>
      <c r="J160" s="71">
        <f>IFERROR(MATCH($A$156&amp;"#"&amp;3,Stock!$R$8:$R$101,0),"")</f>
        <v/>
      </c>
    </row>
    <row r="161" ht="12.75" customHeight="1">
      <c r="A161" s="72">
        <f>IF($J161="","",INDEX(Stock!$B$8:$B$101,$J161))</f>
        <v/>
      </c>
      <c r="B161" s="72">
        <f>IF($J161="","",IF(INDEX(Stock!$C$8:$C$101,$J161)=0,"",INDEX(Stock!$C$8:$C$101,$J161)))</f>
        <v/>
      </c>
      <c r="C161" s="84">
        <f>IF($J161="","",IF(INDEX(Stock!$D$8:$D$101,$J161)=0,"",INDEX(Stock!$D$8:$D$101,$J161)))</f>
        <v/>
      </c>
      <c r="D161" s="73">
        <f>IF($J161="","",INDEX(Stock!$J$8:$J$101,$J161))</f>
        <v/>
      </c>
      <c r="E161" s="74">
        <f>IF($J161="","",INDEX(Stock!$K$8:$K$101,$J161))</f>
        <v/>
      </c>
      <c r="F161" s="74" t="n"/>
      <c r="G161" s="75">
        <f>IF($J161="","",IF(INDEX(Stock!$L$8:$L$101,$J161)=0,"",INDEX(Stock!$L$8:$L$101,$J161)))</f>
        <v/>
      </c>
      <c r="H161" s="76">
        <f>IF($J161="","",INDEX(Stock!$M$8:$M$101,$J161))</f>
        <v/>
      </c>
      <c r="J161" s="71">
        <f>IFERROR(MATCH($A$156&amp;"#"&amp;4,Stock!$R$8:$R$101,0),"")</f>
        <v/>
      </c>
    </row>
    <row r="162" ht="12.75" customHeight="1">
      <c r="A162" s="66">
        <f>IF($J162="","",INDEX(Stock!$B$8:$B$101,$J162))</f>
        <v/>
      </c>
      <c r="B162" s="66">
        <f>IF($J162="","",IF(INDEX(Stock!$C$8:$C$101,$J162)=0,"",INDEX(Stock!$C$8:$C$101,$J162)))</f>
        <v/>
      </c>
      <c r="C162" s="83">
        <f>IF($J162="","",IF(INDEX(Stock!$D$8:$D$101,$J162)=0,"",INDEX(Stock!$D$8:$D$101,$J162)))</f>
        <v/>
      </c>
      <c r="D162" s="67">
        <f>IF($J162="","",INDEX(Stock!$J$8:$J$101,$J162))</f>
        <v/>
      </c>
      <c r="E162" s="68">
        <f>IF($J162="","",INDEX(Stock!$K$8:$K$101,$J162))</f>
        <v/>
      </c>
      <c r="F162" s="68" t="n"/>
      <c r="G162" s="69">
        <f>IF($J162="","",IF(INDEX(Stock!$L$8:$L$101,$J162)=0,"",INDEX(Stock!$L$8:$L$101,$J162)))</f>
        <v/>
      </c>
      <c r="H162" s="70">
        <f>IF($J162="","",INDEX(Stock!$M$8:$M$101,$J162))</f>
        <v/>
      </c>
      <c r="J162" s="71">
        <f>IFERROR(MATCH($A$156&amp;"#"&amp;5,Stock!$R$8:$R$101,0),"")</f>
        <v/>
      </c>
    </row>
    <row r="163" ht="12.75" customHeight="1">
      <c r="A163" s="72">
        <f>IF($J163="","",INDEX(Stock!$B$8:$B$101,$J163))</f>
        <v/>
      </c>
      <c r="B163" s="72">
        <f>IF($J163="","",IF(INDEX(Stock!$C$8:$C$101,$J163)=0,"",INDEX(Stock!$C$8:$C$101,$J163)))</f>
        <v/>
      </c>
      <c r="C163" s="84">
        <f>IF($J163="","",IF(INDEX(Stock!$D$8:$D$101,$J163)=0,"",INDEX(Stock!$D$8:$D$101,$J163)))</f>
        <v/>
      </c>
      <c r="D163" s="73">
        <f>IF($J163="","",INDEX(Stock!$J$8:$J$101,$J163))</f>
        <v/>
      </c>
      <c r="E163" s="74">
        <f>IF($J163="","",INDEX(Stock!$K$8:$K$101,$J163))</f>
        <v/>
      </c>
      <c r="F163" s="74" t="n"/>
      <c r="G163" s="75">
        <f>IF($J163="","",IF(INDEX(Stock!$L$8:$L$101,$J163)=0,"",INDEX(Stock!$L$8:$L$101,$J163)))</f>
        <v/>
      </c>
      <c r="H163" s="76">
        <f>IF($J163="","",INDEX(Stock!$M$8:$M$101,$J163))</f>
        <v/>
      </c>
      <c r="J163" s="71">
        <f>IFERROR(MATCH($A$156&amp;"#"&amp;6,Stock!$R$8:$R$101,0),"")</f>
        <v/>
      </c>
    </row>
    <row r="164" ht="12.75" customHeight="1">
      <c r="A164" s="66">
        <f>IF($J164="","",INDEX(Stock!$B$8:$B$101,$J164))</f>
        <v/>
      </c>
      <c r="B164" s="66">
        <f>IF($J164="","",IF(INDEX(Stock!$C$8:$C$101,$J164)=0,"",INDEX(Stock!$C$8:$C$101,$J164)))</f>
        <v/>
      </c>
      <c r="C164" s="83">
        <f>IF($J164="","",IF(INDEX(Stock!$D$8:$D$101,$J164)=0,"",INDEX(Stock!$D$8:$D$101,$J164)))</f>
        <v/>
      </c>
      <c r="D164" s="67">
        <f>IF($J164="","",INDEX(Stock!$J$8:$J$101,$J164))</f>
        <v/>
      </c>
      <c r="E164" s="68">
        <f>IF($J164="","",INDEX(Stock!$K$8:$K$101,$J164))</f>
        <v/>
      </c>
      <c r="F164" s="68" t="n"/>
      <c r="G164" s="69">
        <f>IF($J164="","",IF(INDEX(Stock!$L$8:$L$101,$J164)=0,"",INDEX(Stock!$L$8:$L$101,$J164)))</f>
        <v/>
      </c>
      <c r="H164" s="70">
        <f>IF($J164="","",INDEX(Stock!$M$8:$M$101,$J164))</f>
        <v/>
      </c>
      <c r="J164" s="71">
        <f>IFERROR(MATCH($A$156&amp;"#"&amp;7,Stock!$R$8:$R$101,0),"")</f>
        <v/>
      </c>
    </row>
    <row r="165" ht="12.75" customHeight="1">
      <c r="A165" s="72">
        <f>IF($J165="","",INDEX(Stock!$B$8:$B$101,$J165))</f>
        <v/>
      </c>
      <c r="B165" s="72">
        <f>IF($J165="","",IF(INDEX(Stock!$C$8:$C$101,$J165)=0,"",INDEX(Stock!$C$8:$C$101,$J165)))</f>
        <v/>
      </c>
      <c r="C165" s="84">
        <f>IF($J165="","",IF(INDEX(Stock!$D$8:$D$101,$J165)=0,"",INDEX(Stock!$D$8:$D$101,$J165)))</f>
        <v/>
      </c>
      <c r="D165" s="73">
        <f>IF($J165="","",INDEX(Stock!$J$8:$J$101,$J165))</f>
        <v/>
      </c>
      <c r="E165" s="74">
        <f>IF($J165="","",INDEX(Stock!$K$8:$K$101,$J165))</f>
        <v/>
      </c>
      <c r="F165" s="74" t="n"/>
      <c r="G165" s="75">
        <f>IF($J165="","",IF(INDEX(Stock!$L$8:$L$101,$J165)=0,"",INDEX(Stock!$L$8:$L$101,$J165)))</f>
        <v/>
      </c>
      <c r="H165" s="76">
        <f>IF($J165="","",INDEX(Stock!$M$8:$M$101,$J165))</f>
        <v/>
      </c>
      <c r="J165" s="71">
        <f>IFERROR(MATCH($A$156&amp;"#"&amp;8,Stock!$R$8:$R$101,0),"")</f>
        <v/>
      </c>
    </row>
    <row r="166" ht="12.75" customHeight="1">
      <c r="A166" s="66">
        <f>IF($J166="","",INDEX(Stock!$B$8:$B$101,$J166))</f>
        <v/>
      </c>
      <c r="B166" s="66">
        <f>IF($J166="","",IF(INDEX(Stock!$C$8:$C$101,$J166)=0,"",INDEX(Stock!$C$8:$C$101,$J166)))</f>
        <v/>
      </c>
      <c r="C166" s="83">
        <f>IF($J166="","",IF(INDEX(Stock!$D$8:$D$101,$J166)=0,"",INDEX(Stock!$D$8:$D$101,$J166)))</f>
        <v/>
      </c>
      <c r="D166" s="67">
        <f>IF($J166="","",INDEX(Stock!$J$8:$J$101,$J166))</f>
        <v/>
      </c>
      <c r="E166" s="68">
        <f>IF($J166="","",INDEX(Stock!$K$8:$K$101,$J166))</f>
        <v/>
      </c>
      <c r="F166" s="68" t="n"/>
      <c r="G166" s="69">
        <f>IF($J166="","",IF(INDEX(Stock!$L$8:$L$101,$J166)=0,"",INDEX(Stock!$L$8:$L$101,$J166)))</f>
        <v/>
      </c>
      <c r="H166" s="70">
        <f>IF($J166="","",INDEX(Stock!$M$8:$M$101,$J166))</f>
        <v/>
      </c>
      <c r="J166" s="71">
        <f>IFERROR(MATCH($A$156&amp;"#"&amp;9,Stock!$R$8:$R$101,0),"")</f>
        <v/>
      </c>
    </row>
    <row r="167" ht="12.75" customHeight="1">
      <c r="A167" s="72">
        <f>IF($J167="","",INDEX(Stock!$B$8:$B$101,$J167))</f>
        <v/>
      </c>
      <c r="B167" s="72">
        <f>IF($J167="","",IF(INDEX(Stock!$C$8:$C$101,$J167)=0,"",INDEX(Stock!$C$8:$C$101,$J167)))</f>
        <v/>
      </c>
      <c r="C167" s="84">
        <f>IF($J167="","",IF(INDEX(Stock!$D$8:$D$101,$J167)=0,"",INDEX(Stock!$D$8:$D$101,$J167)))</f>
        <v/>
      </c>
      <c r="D167" s="73">
        <f>IF($J167="","",INDEX(Stock!$J$8:$J$101,$J167))</f>
        <v/>
      </c>
      <c r="E167" s="74">
        <f>IF($J167="","",INDEX(Stock!$K$8:$K$101,$J167))</f>
        <v/>
      </c>
      <c r="F167" s="74" t="n"/>
      <c r="G167" s="75">
        <f>IF($J167="","",IF(INDEX(Stock!$L$8:$L$101,$J167)=0,"",INDEX(Stock!$L$8:$L$101,$J167)))</f>
        <v/>
      </c>
      <c r="H167" s="76">
        <f>IF($J167="","",INDEX(Stock!$M$8:$M$101,$J167))</f>
        <v/>
      </c>
      <c r="J167" s="71">
        <f>IFERROR(MATCH($A$156&amp;"#"&amp;10,Stock!$R$8:$R$101,0),"")</f>
        <v/>
      </c>
    </row>
    <row r="168" ht="12.75" customHeight="1">
      <c r="A168" s="66">
        <f>IF($J168="","",INDEX(Stock!$B$8:$B$101,$J168))</f>
        <v/>
      </c>
      <c r="B168" s="66">
        <f>IF($J168="","",IF(INDEX(Stock!$C$8:$C$101,$J168)=0,"",INDEX(Stock!$C$8:$C$101,$J168)))</f>
        <v/>
      </c>
      <c r="C168" s="83">
        <f>IF($J168="","",IF(INDEX(Stock!$D$8:$D$101,$J168)=0,"",INDEX(Stock!$D$8:$D$101,$J168)))</f>
        <v/>
      </c>
      <c r="D168" s="67">
        <f>IF($J168="","",INDEX(Stock!$J$8:$J$101,$J168))</f>
        <v/>
      </c>
      <c r="E168" s="68">
        <f>IF($J168="","",INDEX(Stock!$K$8:$K$101,$J168))</f>
        <v/>
      </c>
      <c r="F168" s="68" t="n"/>
      <c r="G168" s="69">
        <f>IF($J168="","",IF(INDEX(Stock!$L$8:$L$101,$J168)=0,"",INDEX(Stock!$L$8:$L$101,$J168)))</f>
        <v/>
      </c>
      <c r="H168" s="70">
        <f>IF($J168="","",INDEX(Stock!$M$8:$M$101,$J168))</f>
        <v/>
      </c>
      <c r="J168" s="71">
        <f>IFERROR(MATCH($A$156&amp;"#"&amp;11,Stock!$R$8:$R$101,0),"")</f>
        <v/>
      </c>
    </row>
    <row r="169">
      <c r="A169" s="77">
        <f>IF($A$156="","",$A$156&amp;" total")</f>
        <v/>
      </c>
      <c r="B169" s="77" t="n"/>
      <c r="C169" s="85" t="n"/>
      <c r="D169" s="123">
        <f>SUM(D158:D168)</f>
        <v/>
      </c>
      <c r="E169" s="78">
        <f>SUM(E158:E168)</f>
        <v/>
      </c>
      <c r="F169" s="78" t="n"/>
      <c r="G169" s="77" t="n"/>
      <c r="H169" s="79">
        <f>SUM(H158:H168)</f>
        <v/>
      </c>
    </row>
    <row r="170"/>
    <row r="171" ht="24.95" customFormat="1" customHeight="1" s="81">
      <c r="A171" s="132" t="inlineStr">
        <is>
          <t>Semi Needle Squid</t>
        </is>
      </c>
      <c r="B171" s="144" t="n"/>
      <c r="C171" s="144" t="n"/>
      <c r="D171" s="144" t="n"/>
      <c r="E171" s="144" t="n"/>
      <c r="F171" s="144" t="n"/>
      <c r="G171" s="144" t="n"/>
      <c r="H171" s="144" t="n"/>
    </row>
    <row r="172" ht="20.1" customFormat="1" customHeight="1" s="26">
      <c r="A172" s="80" t="inlineStr">
        <is>
          <t>Product</t>
        </is>
      </c>
      <c r="B172" s="80" t="inlineStr">
        <is>
          <t>Unit</t>
        </is>
      </c>
      <c r="C172" s="82" t="inlineStr">
        <is>
          <t>Kg / Unit</t>
        </is>
      </c>
      <c r="D172" s="80" t="inlineStr">
        <is>
          <t>Closing Balance</t>
        </is>
      </c>
      <c r="E172" s="80" t="inlineStr">
        <is>
          <t>Closing Stock (Kg)</t>
        </is>
      </c>
      <c r="F172" s="80" t="inlineStr">
        <is>
          <t>No. of Cases</t>
        </is>
      </c>
      <c r="G172" s="80" t="inlineStr">
        <is>
          <t>Rate / Kg ($)</t>
        </is>
      </c>
      <c r="H172" s="80" t="inlineStr">
        <is>
          <t>Stock Value (₹)</t>
        </is>
      </c>
    </row>
    <row r="173" ht="12.75" customHeight="1">
      <c r="A173" s="66">
        <f>IF($J173="","",INDEX(Stock!$B$8:$B$101,$J173))</f>
        <v/>
      </c>
      <c r="B173" s="66">
        <f>IF($J173="","",IF(INDEX(Stock!$C$8:$C$101,$J173)=0,"",INDEX(Stock!$C$8:$C$101,$J173)))</f>
        <v/>
      </c>
      <c r="C173" s="83">
        <f>IF($J173="","",IF(INDEX(Stock!$D$8:$D$101,$J173)=0,"",INDEX(Stock!$D$8:$D$101,$J173)))</f>
        <v/>
      </c>
      <c r="D173" s="67">
        <f>IF($J173="","",INDEX(Stock!$J$8:$J$101,$J173))</f>
        <v/>
      </c>
      <c r="E173" s="68">
        <f>IF($J173="","",INDEX(Stock!$K$8:$K$101,$J173))</f>
        <v/>
      </c>
      <c r="F173" s="68" t="n"/>
      <c r="G173" s="69">
        <f>IF($J173="","",IF(INDEX(Stock!$L$8:$L$101,$J173)=0,"",INDEX(Stock!$L$8:$L$101,$J173)))</f>
        <v/>
      </c>
      <c r="H173" s="70">
        <f>IF($J173="","",INDEX(Stock!$M$8:$M$101,$J173))</f>
        <v/>
      </c>
      <c r="J173" s="71">
        <f>IFERROR(MATCH($A$171&amp;"#"&amp;1,Stock!$R$8:$R$101,0),"")</f>
        <v/>
      </c>
    </row>
    <row r="174" ht="12.75" customHeight="1">
      <c r="A174" s="72">
        <f>IF($J174="","",INDEX(Stock!$B$8:$B$101,$J174))</f>
        <v/>
      </c>
      <c r="B174" s="72">
        <f>IF($J174="","",IF(INDEX(Stock!$C$8:$C$101,$J174)=0,"",INDEX(Stock!$C$8:$C$101,$J174)))</f>
        <v/>
      </c>
      <c r="C174" s="84">
        <f>IF($J174="","",IF(INDEX(Stock!$D$8:$D$101,$J174)=0,"",INDEX(Stock!$D$8:$D$101,$J174)))</f>
        <v/>
      </c>
      <c r="D174" s="73">
        <f>IF($J174="","",INDEX(Stock!$J$8:$J$101,$J174))</f>
        <v/>
      </c>
      <c r="E174" s="74">
        <f>IF($J174="","",INDEX(Stock!$K$8:$K$101,$J174))</f>
        <v/>
      </c>
      <c r="F174" s="74" t="n"/>
      <c r="G174" s="75">
        <f>IF($J174="","",IF(INDEX(Stock!$L$8:$L$101,$J174)=0,"",INDEX(Stock!$L$8:$L$101,$J174)))</f>
        <v/>
      </c>
      <c r="H174" s="76">
        <f>IF($J174="","",INDEX(Stock!$M$8:$M$101,$J174))</f>
        <v/>
      </c>
      <c r="J174" s="71">
        <f>IFERROR(MATCH($A$171&amp;"#"&amp;2,Stock!$R$8:$R$101,0),"")</f>
        <v/>
      </c>
    </row>
    <row r="175" ht="12.75" customHeight="1">
      <c r="A175" s="66">
        <f>IF($J175="","",INDEX(Stock!$B$8:$B$101,$J175))</f>
        <v/>
      </c>
      <c r="B175" s="66">
        <f>IF($J175="","",IF(INDEX(Stock!$C$8:$C$101,$J175)=0,"",INDEX(Stock!$C$8:$C$101,$J175)))</f>
        <v/>
      </c>
      <c r="C175" s="83">
        <f>IF($J175="","",IF(INDEX(Stock!$D$8:$D$101,$J175)=0,"",INDEX(Stock!$D$8:$D$101,$J175)))</f>
        <v/>
      </c>
      <c r="D175" s="67">
        <f>IF($J175="","",INDEX(Stock!$J$8:$J$101,$J175))</f>
        <v/>
      </c>
      <c r="E175" s="68">
        <f>IF($J175="","",INDEX(Stock!$K$8:$K$101,$J175))</f>
        <v/>
      </c>
      <c r="F175" s="68" t="n"/>
      <c r="G175" s="69">
        <f>IF($J175="","",IF(INDEX(Stock!$L$8:$L$101,$J175)=0,"",INDEX(Stock!$L$8:$L$101,$J175)))</f>
        <v/>
      </c>
      <c r="H175" s="70">
        <f>IF($J175="","",INDEX(Stock!$M$8:$M$101,$J175))</f>
        <v/>
      </c>
      <c r="J175" s="71">
        <f>IFERROR(MATCH($A$171&amp;"#"&amp;3,Stock!$R$8:$R$101,0),"")</f>
        <v/>
      </c>
    </row>
    <row r="176" ht="12.75" customHeight="1">
      <c r="A176" s="72">
        <f>IF($J176="","",INDEX(Stock!$B$8:$B$101,$J176))</f>
        <v/>
      </c>
      <c r="B176" s="72">
        <f>IF($J176="","",IF(INDEX(Stock!$C$8:$C$101,$J176)=0,"",INDEX(Stock!$C$8:$C$101,$J176)))</f>
        <v/>
      </c>
      <c r="C176" s="84">
        <f>IF($J176="","",IF(INDEX(Stock!$D$8:$D$101,$J176)=0,"",INDEX(Stock!$D$8:$D$101,$J176)))</f>
        <v/>
      </c>
      <c r="D176" s="73">
        <f>IF($J176="","",INDEX(Stock!$J$8:$J$101,$J176))</f>
        <v/>
      </c>
      <c r="E176" s="74">
        <f>IF($J176="","",INDEX(Stock!$K$8:$K$101,$J176))</f>
        <v/>
      </c>
      <c r="F176" s="74" t="n"/>
      <c r="G176" s="75">
        <f>IF($J176="","",IF(INDEX(Stock!$L$8:$L$101,$J176)=0,"",INDEX(Stock!$L$8:$L$101,$J176)))</f>
        <v/>
      </c>
      <c r="H176" s="76">
        <f>IF($J176="","",INDEX(Stock!$M$8:$M$101,$J176))</f>
        <v/>
      </c>
      <c r="J176" s="71">
        <f>IFERROR(MATCH($A$171&amp;"#"&amp;4,Stock!$R$8:$R$101,0),"")</f>
        <v/>
      </c>
    </row>
    <row r="177" ht="12.75" customHeight="1">
      <c r="A177" s="72">
        <f>IF($J177="","",INDEX(Stock!$B$8:$B$101,$J177))</f>
        <v/>
      </c>
      <c r="B177" s="72">
        <f>IF($J177="","",IF(INDEX(Stock!$C$8:$C$101,$J177)=0,"",INDEX(Stock!$C$8:$C$101,$J177)))</f>
        <v/>
      </c>
      <c r="C177" s="84">
        <f>IF($J177="","",IF(INDEX(Stock!$D$8:$D$101,$J177)=0,"",INDEX(Stock!$D$8:$D$101,$J177)))</f>
        <v/>
      </c>
      <c r="D177" s="73">
        <f>IF($J177="","",INDEX(Stock!$J$8:$J$101,$J177))</f>
        <v/>
      </c>
      <c r="E177" s="74">
        <f>IF($J177="","",INDEX(Stock!$K$8:$K$101,$J177))</f>
        <v/>
      </c>
      <c r="F177" s="74" t="n"/>
      <c r="G177" s="75">
        <f>IF($J177="","",IF(INDEX(Stock!$L$8:$L$101,$J177)=0,"",INDEX(Stock!$L$8:$L$101,$J177)))</f>
        <v/>
      </c>
      <c r="H177" s="76">
        <f>IF($J177="","",INDEX(Stock!$M$8:$M$101,$J177))</f>
        <v/>
      </c>
      <c r="J177" s="71">
        <f>IFERROR(MATCH($A$171&amp;"#"&amp;5,Stock!$R$8:$R$101,0),"")</f>
        <v/>
      </c>
    </row>
    <row r="178" ht="12.75" customHeight="1">
      <c r="A178" s="66">
        <f>IF($J178="","",INDEX(Stock!$B$8:$B$101,$J178))</f>
        <v/>
      </c>
      <c r="B178" s="66">
        <f>IF($J178="","",IF(INDEX(Stock!$C$8:$C$101,$J178)=0,"",INDEX(Stock!$C$8:$C$101,$J178)))</f>
        <v/>
      </c>
      <c r="C178" s="83">
        <f>IF($J178="","",IF(INDEX(Stock!$D$8:$D$101,$J178)=0,"",INDEX(Stock!$D$8:$D$101,$J178)))</f>
        <v/>
      </c>
      <c r="D178" s="67">
        <f>IF($J178="","",INDEX(Stock!$J$8:$J$101,$J178))</f>
        <v/>
      </c>
      <c r="E178" s="68">
        <f>IF($J178="","",INDEX(Stock!$K$8:$K$101,$J178))</f>
        <v/>
      </c>
      <c r="F178" s="68" t="n"/>
      <c r="G178" s="69">
        <f>IF($J178="","",IF(INDEX(Stock!$L$8:$L$101,$J178)=0,"",INDEX(Stock!$L$8:$L$101,$J178)))</f>
        <v/>
      </c>
      <c r="H178" s="70">
        <f>IF($J178="","",INDEX(Stock!$M$8:$M$101,$J178))</f>
        <v/>
      </c>
      <c r="J178" s="71">
        <f>IFERROR(MATCH($A$171&amp;"#"&amp;6,Stock!$R$8:$R$101,0),"")</f>
        <v/>
      </c>
    </row>
    <row r="179" ht="12.75" customHeight="1">
      <c r="A179" s="72">
        <f>IF($J179="","",INDEX(Stock!$B$8:$B$101,$J179))</f>
        <v/>
      </c>
      <c r="B179" s="72">
        <f>IF($J179="","",IF(INDEX(Stock!$C$8:$C$101,$J179)=0,"",INDEX(Stock!$C$8:$C$101,$J179)))</f>
        <v/>
      </c>
      <c r="C179" s="84">
        <f>IF($J179="","",IF(INDEX(Stock!$D$8:$D$101,$J179)=0,"",INDEX(Stock!$D$8:$D$101,$J179)))</f>
        <v/>
      </c>
      <c r="D179" s="73">
        <f>IF($J179="","",INDEX(Stock!$J$8:$J$101,$J179))</f>
        <v/>
      </c>
      <c r="E179" s="74">
        <f>IF($J179="","",INDEX(Stock!$K$8:$K$101,$J179))</f>
        <v/>
      </c>
      <c r="F179" s="74" t="n"/>
      <c r="G179" s="75">
        <f>IF($J179="","",IF(INDEX(Stock!$L$8:$L$101,$J179)=0,"",INDEX(Stock!$L$8:$L$101,$J179)))</f>
        <v/>
      </c>
      <c r="H179" s="76">
        <f>IF($J179="","",INDEX(Stock!$M$8:$M$101,$J179))</f>
        <v/>
      </c>
      <c r="J179" s="71">
        <f>IFERROR(MATCH($A$171&amp;"#"&amp;7,Stock!$R$8:$R$101,0),"")</f>
        <v/>
      </c>
    </row>
    <row r="180" ht="12.75" customHeight="1">
      <c r="A180" s="66">
        <f>IF($J180="","",INDEX(Stock!$B$8:$B$101,$J180))</f>
        <v/>
      </c>
      <c r="B180" s="66">
        <f>IF($J180="","",IF(INDEX(Stock!$C$8:$C$101,$J180)=0,"",INDEX(Stock!$C$8:$C$101,$J180)))</f>
        <v/>
      </c>
      <c r="C180" s="83">
        <f>IF($J180="","",IF(INDEX(Stock!$D$8:$D$101,$J180)=0,"",INDEX(Stock!$D$8:$D$101,$J180)))</f>
        <v/>
      </c>
      <c r="D180" s="67">
        <f>IF($J180="","",INDEX(Stock!$J$8:$J$101,$J180))</f>
        <v/>
      </c>
      <c r="E180" s="68">
        <f>IF($J180="","",INDEX(Stock!$K$8:$K$101,$J180))</f>
        <v/>
      </c>
      <c r="F180" s="68" t="n"/>
      <c r="G180" s="69">
        <f>IF($J180="","",IF(INDEX(Stock!$L$8:$L$101,$J180)=0,"",INDEX(Stock!$L$8:$L$101,$J180)))</f>
        <v/>
      </c>
      <c r="H180" s="70">
        <f>IF($J180="","",INDEX(Stock!$M$8:$M$101,$J180))</f>
        <v/>
      </c>
      <c r="J180" s="71">
        <f>IFERROR(MATCH($A$171&amp;"#"&amp;8,Stock!$R$8:$R$101,0),"")</f>
        <v/>
      </c>
    </row>
    <row r="181" ht="12.75" customHeight="1">
      <c r="A181" s="119">
        <f>IF($J181="","",INDEX(Stock!$B$8:$B$101,$J181))</f>
        <v/>
      </c>
      <c r="B181" s="72" t="n"/>
      <c r="C181" s="84" t="n"/>
      <c r="D181" s="73" t="n"/>
      <c r="E181" s="74" t="n"/>
      <c r="F181" s="74" t="n"/>
      <c r="G181" s="75" t="n"/>
      <c r="H181" s="76" t="n"/>
      <c r="J181" s="71">
        <f>IFERROR(MATCH($A$171&amp;"#"&amp;9,Stock!$R$8:$R$101,0),"")</f>
        <v/>
      </c>
    </row>
    <row r="182" ht="12.75" customHeight="1">
      <c r="A182" s="111" t="n"/>
      <c r="B182" s="111" t="n"/>
      <c r="C182" s="112" t="n"/>
      <c r="D182" s="113" t="n"/>
      <c r="E182" s="114" t="n"/>
      <c r="F182" s="114" t="n"/>
      <c r="G182" s="115" t="n"/>
      <c r="H182" s="116" t="n"/>
      <c r="J182" s="71">
        <f>IFERROR(MATCH($A$171&amp;"#"&amp;10,Stock!$R$8:$R$101,0),"")</f>
        <v/>
      </c>
    </row>
    <row r="183">
      <c r="A183" s="77">
        <f>IF($A$171="","",$A$171&amp;" total")</f>
        <v/>
      </c>
      <c r="B183" s="77" t="n"/>
      <c r="C183" s="85" t="n"/>
      <c r="D183" s="123">
        <f>SUM(D173:D182)</f>
        <v/>
      </c>
      <c r="E183" s="78">
        <f>SUM(E173:E180)</f>
        <v/>
      </c>
      <c r="F183" s="78" t="n"/>
      <c r="G183" s="77" t="n"/>
      <c r="H183" s="79">
        <f>SUM(H173:H180)</f>
        <v/>
      </c>
    </row>
    <row r="184"/>
    <row r="185" ht="24.95" customFormat="1" customHeight="1" s="81">
      <c r="A185" s="133" t="n"/>
      <c r="B185" s="145" t="n"/>
      <c r="C185" s="145" t="n"/>
      <c r="D185" s="145" t="n"/>
      <c r="E185" s="145" t="n"/>
      <c r="F185" s="145" t="n"/>
      <c r="G185" s="145" t="n"/>
      <c r="H185" s="145" t="n"/>
    </row>
    <row r="186" ht="20.1" customFormat="1" customHeight="1" s="26">
      <c r="A186" s="80" t="inlineStr">
        <is>
          <t>Product</t>
        </is>
      </c>
      <c r="B186" s="80" t="inlineStr">
        <is>
          <t>Unit</t>
        </is>
      </c>
      <c r="C186" s="82" t="inlineStr">
        <is>
          <t>Kg / Unit</t>
        </is>
      </c>
      <c r="D186" s="80" t="inlineStr">
        <is>
          <t>Closing Balance</t>
        </is>
      </c>
      <c r="E186" s="80" t="inlineStr">
        <is>
          <t>Closing Stock (Kg)</t>
        </is>
      </c>
      <c r="F186" s="80" t="inlineStr">
        <is>
          <t>No. of Cases</t>
        </is>
      </c>
      <c r="G186" s="80" t="inlineStr">
        <is>
          <t>Rate / Kg ($)</t>
        </is>
      </c>
      <c r="H186" s="80" t="inlineStr">
        <is>
          <t>Stock Value (₹)</t>
        </is>
      </c>
    </row>
    <row r="187" ht="12.75" customHeight="1">
      <c r="A187" s="66">
        <f>IF($J187="","",INDEX(Stock!$B$8:$B$101,$J187))</f>
        <v/>
      </c>
      <c r="B187" s="66">
        <f>IF($J187="","",IF(INDEX(Stock!$C$8:$C$101,$J187)=0,"",INDEX(Stock!$C$8:$C$101,$J187)))</f>
        <v/>
      </c>
      <c r="C187" s="83">
        <f>IF($J187="","",IF(INDEX(Stock!$D$8:$D$101,$J187)=0,"",INDEX(Stock!$D$8:$D$101,$J187)))</f>
        <v/>
      </c>
      <c r="D187" s="67">
        <f>IF($J187="","",INDEX(Stock!$J$8:$J$101,$J187))</f>
        <v/>
      </c>
      <c r="E187" s="68">
        <f>IF($J187="","",INDEX(Stock!$K$8:$K$101,$J187))</f>
        <v/>
      </c>
      <c r="F187" s="68" t="n"/>
      <c r="G187" s="69">
        <f>IF($J187="","",IF(INDEX(Stock!$L$8:$L$101,$J187)=0,"",INDEX(Stock!$L$8:$L$101,$J187)))</f>
        <v/>
      </c>
      <c r="H187" s="70">
        <f>IF($J187="","",INDEX(Stock!$M$8:$M$101,$J187))</f>
        <v/>
      </c>
      <c r="J187" s="71">
        <f>IFERROR(MATCH($A$185&amp;"#"&amp;1,Stock!$R$8:$R$101,0),"")</f>
        <v/>
      </c>
    </row>
    <row r="188" ht="12.75" customHeight="1">
      <c r="A188" s="72">
        <f>IF($J188="","",INDEX(Stock!$B$8:$B$101,$J188))</f>
        <v/>
      </c>
      <c r="B188" s="72">
        <f>IF($J188="","",IF(INDEX(Stock!$C$8:$C$101,$J188)=0,"",INDEX(Stock!$C$8:$C$101,$J188)))</f>
        <v/>
      </c>
      <c r="C188" s="84">
        <f>IF($J188="","",IF(INDEX(Stock!$D$8:$D$101,$J188)=0,"",INDEX(Stock!$D$8:$D$101,$J188)))</f>
        <v/>
      </c>
      <c r="D188" s="73">
        <f>IF($J188="","",INDEX(Stock!$J$8:$J$101,$J188))</f>
        <v/>
      </c>
      <c r="E188" s="74">
        <f>IF($J188="","",INDEX(Stock!$K$8:$K$101,$J188))</f>
        <v/>
      </c>
      <c r="F188" s="74" t="n"/>
      <c r="G188" s="75">
        <f>IF($J188="","",IF(INDEX(Stock!$L$8:$L$101,$J188)=0,"",INDEX(Stock!$L$8:$L$101,$J188)))</f>
        <v/>
      </c>
      <c r="H188" s="76">
        <f>IF($J188="","",INDEX(Stock!$M$8:$M$101,$J188))</f>
        <v/>
      </c>
      <c r="J188" s="71">
        <f>IFERROR(MATCH($A$185&amp;"#"&amp;2,Stock!$R$8:$R$101,0),"")</f>
        <v/>
      </c>
    </row>
    <row r="189" ht="12.75" customHeight="1">
      <c r="A189" s="66">
        <f>IF($J189="","",INDEX(Stock!$B$8:$B$101,$J189))</f>
        <v/>
      </c>
      <c r="B189" s="66">
        <f>IF($J189="","",IF(INDEX(Stock!$C$8:$C$101,$J189)=0,"",INDEX(Stock!$C$8:$C$101,$J189)))</f>
        <v/>
      </c>
      <c r="C189" s="83">
        <f>IF($J189="","",IF(INDEX(Stock!$D$8:$D$101,$J189)=0,"",INDEX(Stock!$D$8:$D$101,$J189)))</f>
        <v/>
      </c>
      <c r="D189" s="67">
        <f>IF($J189="","",INDEX(Stock!$J$8:$J$101,$J189))</f>
        <v/>
      </c>
      <c r="E189" s="68">
        <f>IF($J189="","",INDEX(Stock!$K$8:$K$101,$J189))</f>
        <v/>
      </c>
      <c r="F189" s="68" t="n"/>
      <c r="G189" s="69">
        <f>IF($J189="","",IF(INDEX(Stock!$L$8:$L$101,$J189)=0,"",INDEX(Stock!$L$8:$L$101,$J189)))</f>
        <v/>
      </c>
      <c r="H189" s="70">
        <f>IF($J189="","",INDEX(Stock!$M$8:$M$101,$J189))</f>
        <v/>
      </c>
      <c r="J189" s="71">
        <f>IFERROR(MATCH($A$185&amp;"#"&amp;3,Stock!$R$8:$R$101,0),"")</f>
        <v/>
      </c>
    </row>
    <row r="190" ht="12.75" customHeight="1">
      <c r="A190" s="72">
        <f>IF($J190="","",INDEX(Stock!$B$8:$B$101,$J190))</f>
        <v/>
      </c>
      <c r="B190" s="72">
        <f>IF($J190="","",IF(INDEX(Stock!$C$8:$C$101,$J190)=0,"",INDEX(Stock!$C$8:$C$101,$J190)))</f>
        <v/>
      </c>
      <c r="C190" s="84">
        <f>IF($J190="","",IF(INDEX(Stock!$D$8:$D$101,$J190)=0,"",INDEX(Stock!$D$8:$D$101,$J190)))</f>
        <v/>
      </c>
      <c r="D190" s="73">
        <f>IF($J190="","",INDEX(Stock!$J$8:$J$101,$J190))</f>
        <v/>
      </c>
      <c r="E190" s="74">
        <f>IF($J190="","",INDEX(Stock!$K$8:$K$101,$J190))</f>
        <v/>
      </c>
      <c r="F190" s="74" t="n"/>
      <c r="G190" s="75">
        <f>IF($J190="","",IF(INDEX(Stock!$L$8:$L$101,$J190)=0,"",INDEX(Stock!$L$8:$L$101,$J190)))</f>
        <v/>
      </c>
      <c r="H190" s="76">
        <f>IF($J190="","",INDEX(Stock!$M$8:$M$101,$J190))</f>
        <v/>
      </c>
      <c r="J190" s="71">
        <f>IFERROR(MATCH($A$185&amp;"#"&amp;4,Stock!$R$8:$R$101,0),"")</f>
        <v/>
      </c>
    </row>
    <row r="191" ht="12.75" customHeight="1">
      <c r="A191" s="66">
        <f>IF($J191="","",INDEX(Stock!$B$8:$B$101,$J191))</f>
        <v/>
      </c>
      <c r="B191" s="66">
        <f>IF($J191="","",IF(INDEX(Stock!$C$8:$C$101,$J191)=0,"",INDEX(Stock!$C$8:$C$101,$J191)))</f>
        <v/>
      </c>
      <c r="C191" s="83">
        <f>IF($J191="","",IF(INDEX(Stock!$D$8:$D$101,$J191)=0,"",INDEX(Stock!$D$8:$D$101,$J191)))</f>
        <v/>
      </c>
      <c r="D191" s="67">
        <f>IF($J191="","",INDEX(Stock!$J$8:$J$101,$J191))</f>
        <v/>
      </c>
      <c r="E191" s="68">
        <f>IF($J191="","",INDEX(Stock!$K$8:$K$101,$J191))</f>
        <v/>
      </c>
      <c r="F191" s="68" t="n"/>
      <c r="G191" s="69">
        <f>IF($J191="","",IF(INDEX(Stock!$L$8:$L$101,$J191)=0,"",INDEX(Stock!$L$8:$L$101,$J191)))</f>
        <v/>
      </c>
      <c r="H191" s="70">
        <f>IF($J191="","",INDEX(Stock!$M$8:$M$101,$J191))</f>
        <v/>
      </c>
      <c r="J191" s="71">
        <f>IFERROR(MATCH($A$185&amp;"#"&amp;5,Stock!$R$8:$R$101,0),"")</f>
        <v/>
      </c>
    </row>
    <row r="192">
      <c r="A192" s="77">
        <f>IF($A$185="","",$A$185&amp;" total")</f>
        <v/>
      </c>
      <c r="B192" s="77" t="n"/>
      <c r="C192" s="85" t="n"/>
      <c r="D192" s="77" t="n"/>
      <c r="E192" s="78">
        <f>SUM(E187:E191)</f>
        <v/>
      </c>
      <c r="F192" s="78" t="n"/>
      <c r="G192" s="77" t="n"/>
      <c r="H192" s="79">
        <f>SUM(H187:H191)</f>
        <v/>
      </c>
    </row>
    <row r="193"/>
    <row r="194" ht="24.95" customFormat="1" customHeight="1" s="81">
      <c r="A194" s="133" t="n"/>
      <c r="B194" s="145" t="n"/>
      <c r="C194" s="145" t="n"/>
      <c r="D194" s="145" t="n"/>
      <c r="E194" s="145" t="n"/>
      <c r="F194" s="145" t="n"/>
      <c r="G194" s="145" t="n"/>
      <c r="H194" s="145" t="n"/>
    </row>
    <row r="195" ht="20.1" customFormat="1" customHeight="1" s="26">
      <c r="A195" s="80" t="inlineStr">
        <is>
          <t>Product</t>
        </is>
      </c>
      <c r="B195" s="80" t="inlineStr">
        <is>
          <t>Unit</t>
        </is>
      </c>
      <c r="C195" s="82" t="inlineStr">
        <is>
          <t>Kg / Unit</t>
        </is>
      </c>
      <c r="D195" s="80" t="inlineStr">
        <is>
          <t>Closing Balance</t>
        </is>
      </c>
      <c r="E195" s="80" t="inlineStr">
        <is>
          <t>Closing Stock (Kg)</t>
        </is>
      </c>
      <c r="F195" s="80" t="inlineStr">
        <is>
          <t>No. of Cases</t>
        </is>
      </c>
      <c r="G195" s="80" t="inlineStr">
        <is>
          <t>Rate / Kg ($)</t>
        </is>
      </c>
      <c r="H195" s="80" t="inlineStr">
        <is>
          <t>Stock Value (₹)</t>
        </is>
      </c>
    </row>
    <row r="196" ht="12.75" customHeight="1">
      <c r="A196" s="66">
        <f>IF($J196="","",INDEX(Stock!$B$8:$B$101,$J196))</f>
        <v/>
      </c>
      <c r="B196" s="66">
        <f>IF($J196="","",IF(INDEX(Stock!$C$8:$C$101,$J196)=0,"",INDEX(Stock!$C$8:$C$101,$J196)))</f>
        <v/>
      </c>
      <c r="C196" s="83">
        <f>IF($J196="","",IF(INDEX(Stock!$D$8:$D$101,$J196)=0,"",INDEX(Stock!$D$8:$D$101,$J196)))</f>
        <v/>
      </c>
      <c r="D196" s="67">
        <f>IF($J196="","",INDEX(Stock!$J$8:$J$101,$J196))</f>
        <v/>
      </c>
      <c r="E196" s="68">
        <f>IF($J196="","",INDEX(Stock!$K$8:$K$101,$J196))</f>
        <v/>
      </c>
      <c r="F196" s="68" t="n"/>
      <c r="G196" s="69">
        <f>IF($J196="","",IF(INDEX(Stock!$L$8:$L$101,$J196)=0,"",INDEX(Stock!$L$8:$L$101,$J196)))</f>
        <v/>
      </c>
      <c r="H196" s="70">
        <f>IF($J196="","",INDEX(Stock!$M$8:$M$101,$J196))</f>
        <v/>
      </c>
      <c r="J196" s="71">
        <f>IFERROR(MATCH($A$194&amp;"#"&amp;1,Stock!$R$8:$R$101,0),"")</f>
        <v/>
      </c>
    </row>
    <row r="197" ht="12.75" customHeight="1">
      <c r="A197" s="72">
        <f>IF($J197="","",INDEX(Stock!$B$8:$B$101,$J197))</f>
        <v/>
      </c>
      <c r="B197" s="72">
        <f>IF($J197="","",IF(INDEX(Stock!$C$8:$C$101,$J197)=0,"",INDEX(Stock!$C$8:$C$101,$J197)))</f>
        <v/>
      </c>
      <c r="C197" s="84">
        <f>IF($J197="","",IF(INDEX(Stock!$D$8:$D$101,$J197)=0,"",INDEX(Stock!$D$8:$D$101,$J197)))</f>
        <v/>
      </c>
      <c r="D197" s="73">
        <f>IF($J197="","",INDEX(Stock!$J$8:$J$101,$J197))</f>
        <v/>
      </c>
      <c r="E197" s="74">
        <f>IF($J197="","",INDEX(Stock!$K$8:$K$101,$J197))</f>
        <v/>
      </c>
      <c r="F197" s="74" t="n"/>
      <c r="G197" s="75">
        <f>IF($J197="","",IF(INDEX(Stock!$L$8:$L$101,$J197)=0,"",INDEX(Stock!$L$8:$L$101,$J197)))</f>
        <v/>
      </c>
      <c r="H197" s="76">
        <f>IF($J197="","",INDEX(Stock!$M$8:$M$101,$J197))</f>
        <v/>
      </c>
      <c r="J197" s="71">
        <f>IFERROR(MATCH($A$194&amp;"#"&amp;2,Stock!$R$8:$R$101,0),"")</f>
        <v/>
      </c>
    </row>
    <row r="198" ht="12.75" customHeight="1">
      <c r="A198" s="66">
        <f>IF($J198="","",INDEX(Stock!$B$8:$B$101,$J198))</f>
        <v/>
      </c>
      <c r="B198" s="66">
        <f>IF($J198="","",IF(INDEX(Stock!$C$8:$C$101,$J198)=0,"",INDEX(Stock!$C$8:$C$101,$J198)))</f>
        <v/>
      </c>
      <c r="C198" s="83">
        <f>IF($J198="","",IF(INDEX(Stock!$D$8:$D$101,$J198)=0,"",INDEX(Stock!$D$8:$D$101,$J198)))</f>
        <v/>
      </c>
      <c r="D198" s="67">
        <f>IF($J198="","",INDEX(Stock!$J$8:$J$101,$J198))</f>
        <v/>
      </c>
      <c r="E198" s="68">
        <f>IF($J198="","",INDEX(Stock!$K$8:$K$101,$J198))</f>
        <v/>
      </c>
      <c r="F198" s="68" t="n"/>
      <c r="G198" s="69">
        <f>IF($J198="","",IF(INDEX(Stock!$L$8:$L$101,$J198)=0,"",INDEX(Stock!$L$8:$L$101,$J198)))</f>
        <v/>
      </c>
      <c r="H198" s="70">
        <f>IF($J198="","",INDEX(Stock!$M$8:$M$101,$J198))</f>
        <v/>
      </c>
      <c r="J198" s="71">
        <f>IFERROR(MATCH($A$194&amp;"#"&amp;3,Stock!$R$8:$R$101,0),"")</f>
        <v/>
      </c>
    </row>
    <row r="199" ht="12.75" customHeight="1">
      <c r="A199" s="72">
        <f>IF($J199="","",INDEX(Stock!$B$8:$B$101,$J199))</f>
        <v/>
      </c>
      <c r="B199" s="72">
        <f>IF($J199="","",IF(INDEX(Stock!$C$8:$C$101,$J199)=0,"",INDEX(Stock!$C$8:$C$101,$J199)))</f>
        <v/>
      </c>
      <c r="C199" s="84">
        <f>IF($J199="","",IF(INDEX(Stock!$D$8:$D$101,$J199)=0,"",INDEX(Stock!$D$8:$D$101,$J199)))</f>
        <v/>
      </c>
      <c r="D199" s="73">
        <f>IF($J199="","",INDEX(Stock!$J$8:$J$101,$J199))</f>
        <v/>
      </c>
      <c r="E199" s="74">
        <f>IF($J199="","",INDEX(Stock!$K$8:$K$101,$J199))</f>
        <v/>
      </c>
      <c r="F199" s="74" t="n"/>
      <c r="G199" s="75">
        <f>IF($J199="","",IF(INDEX(Stock!$L$8:$L$101,$J199)=0,"",INDEX(Stock!$L$8:$L$101,$J199)))</f>
        <v/>
      </c>
      <c r="H199" s="76">
        <f>IF($J199="","",INDEX(Stock!$M$8:$M$101,$J199))</f>
        <v/>
      </c>
      <c r="J199" s="71">
        <f>IFERROR(MATCH($A$194&amp;"#"&amp;4,Stock!$R$8:$R$101,0),"")</f>
        <v/>
      </c>
    </row>
    <row r="200" ht="12.75" customHeight="1">
      <c r="A200" s="66">
        <f>IF($J200="","",INDEX(Stock!$B$8:$B$101,$J200))</f>
        <v/>
      </c>
      <c r="B200" s="66">
        <f>IF($J200="","",IF(INDEX(Stock!$C$8:$C$101,$J200)=0,"",INDEX(Stock!$C$8:$C$101,$J200)))</f>
        <v/>
      </c>
      <c r="C200" s="83">
        <f>IF($J200="","",IF(INDEX(Stock!$D$8:$D$101,$J200)=0,"",INDEX(Stock!$D$8:$D$101,$J200)))</f>
        <v/>
      </c>
      <c r="D200" s="67">
        <f>IF($J200="","",INDEX(Stock!$J$8:$J$101,$J200))</f>
        <v/>
      </c>
      <c r="E200" s="68">
        <f>IF($J200="","",INDEX(Stock!$K$8:$K$101,$J200))</f>
        <v/>
      </c>
      <c r="F200" s="68" t="n"/>
      <c r="G200" s="69">
        <f>IF($J200="","",IF(INDEX(Stock!$L$8:$L$101,$J200)=0,"",INDEX(Stock!$L$8:$L$101,$J200)))</f>
        <v/>
      </c>
      <c r="H200" s="70">
        <f>IF($J200="","",INDEX(Stock!$M$8:$M$101,$J200))</f>
        <v/>
      </c>
      <c r="J200" s="71">
        <f>IFERROR(MATCH($A$194&amp;"#"&amp;5,Stock!$R$8:$R$101,0),"")</f>
        <v/>
      </c>
    </row>
    <row r="201">
      <c r="A201" s="77">
        <f>IF($A$194="","",$A$194&amp;" total")</f>
        <v/>
      </c>
      <c r="B201" s="77" t="n"/>
      <c r="C201" s="85" t="n"/>
      <c r="D201" s="77" t="n"/>
      <c r="E201" s="78">
        <f>SUM(E196:E200)</f>
        <v/>
      </c>
      <c r="F201" s="78" t="n"/>
      <c r="G201" s="77" t="n"/>
      <c r="H201" s="79">
        <f>SUM(H196:H200)</f>
        <v/>
      </c>
    </row>
    <row r="202"/>
    <row r="203">
      <c r="A203" s="19" t="inlineStr">
        <is>
          <t>GRAND TOTAL</t>
        </is>
      </c>
      <c r="B203" s="19" t="n"/>
      <c r="C203" s="30" t="n"/>
      <c r="D203" s="19" t="n"/>
      <c r="E203" s="20">
        <f>E22+E48+E63+E77+E87+E98+E106+E114+E127+E141+E154+E169+E183+E192+E201</f>
        <v/>
      </c>
      <c r="F203" s="20" t="n"/>
      <c r="G203" s="19" t="n"/>
      <c r="H203" s="21">
        <f>H22+H48+H63+H77+H87+H98+H106+H114+H127+H141+H154+H169+H183+H192+H201</f>
        <v/>
      </c>
    </row>
    <row r="204"/>
    <row r="205">
      <c r="A205" s="22">
        <f>IF(ROUND($E$203,1)&lt;&gt;ROUND(Stock!$K$102,1),"A brand on Stock has no table here — type its name into a blank brand band above, or these totals understate the stock.","")</f>
        <v/>
      </c>
    </row>
    <row r="206">
      <c r="A206" s="7" t="inlineStr">
        <is>
          <t>Every figure is read from 'Stock', so this can never disagree with it.</t>
        </is>
      </c>
    </row>
    <row r="207"/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mergeCells count="24">
    <mergeCell ref="A9:H9"/>
    <mergeCell ref="A143:H143"/>
    <mergeCell ref="A24:H24"/>
    <mergeCell ref="A79:H79"/>
    <mergeCell ref="A6:B6"/>
    <mergeCell ref="A65:H65"/>
    <mergeCell ref="A108:H108"/>
    <mergeCell ref="G6:H6"/>
    <mergeCell ref="A89:H89"/>
    <mergeCell ref="A50:H50"/>
    <mergeCell ref="A129:H129"/>
    <mergeCell ref="A5:B5"/>
    <mergeCell ref="G5:H5"/>
    <mergeCell ref="A185:H185"/>
    <mergeCell ref="A116:H116"/>
    <mergeCell ref="A194:H194"/>
    <mergeCell ref="C6:E6"/>
    <mergeCell ref="A4:B4"/>
    <mergeCell ref="G4:H4"/>
    <mergeCell ref="A100:H100"/>
    <mergeCell ref="C5:E5"/>
    <mergeCell ref="A156:H156"/>
    <mergeCell ref="A171:H171"/>
    <mergeCell ref="C4:E4"/>
  </mergeCells>
  <conditionalFormatting sqref="A11:H21">
    <cfRule type="expression" priority="11">
      <formula>$A11=""</formula>
    </cfRule>
  </conditionalFormatting>
  <conditionalFormatting sqref="A26:E44 A45:H47 G26:H44">
    <cfRule type="expression" priority="12">
      <formula>$A26=""</formula>
    </cfRule>
  </conditionalFormatting>
  <conditionalFormatting sqref="A52:E59 A60:H62 G52:H59">
    <cfRule type="expression" priority="13">
      <formula>$A52=""</formula>
    </cfRule>
  </conditionalFormatting>
  <conditionalFormatting sqref="A67:E74 A75:H76 G67:H74">
    <cfRule type="expression" priority="14">
      <formula>$A67=""</formula>
    </cfRule>
  </conditionalFormatting>
  <conditionalFormatting sqref="A81:E83 A84:H86 G81:H83">
    <cfRule type="expression" priority="15">
      <formula>$A81=""</formula>
    </cfRule>
  </conditionalFormatting>
  <conditionalFormatting sqref="A91:E94 A95:H97 G91:H94">
    <cfRule type="expression" priority="16">
      <formula>$A91=""</formula>
    </cfRule>
  </conditionalFormatting>
  <conditionalFormatting sqref="A102:E102 A103:H105 G102:H102">
    <cfRule type="expression" priority="17">
      <formula>$A102=""</formula>
    </cfRule>
  </conditionalFormatting>
  <conditionalFormatting sqref="A110:E110 A111:H113 G110:H110">
    <cfRule type="expression" priority="18">
      <formula>$A110=""</formula>
    </cfRule>
  </conditionalFormatting>
  <conditionalFormatting sqref="A118:H126">
    <cfRule type="expression" priority="19">
      <formula>$A118=""</formula>
    </cfRule>
  </conditionalFormatting>
  <conditionalFormatting sqref="A131:H140">
    <cfRule type="expression" priority="20">
      <formula>$A131=""</formula>
    </cfRule>
  </conditionalFormatting>
  <conditionalFormatting sqref="A145:H153">
    <cfRule type="expression" priority="21">
      <formula>$A145=""</formula>
    </cfRule>
  </conditionalFormatting>
  <conditionalFormatting sqref="A158:H168">
    <cfRule type="expression" priority="22">
      <formula>$A158=""</formula>
    </cfRule>
  </conditionalFormatting>
  <conditionalFormatting sqref="A173:H182">
    <cfRule type="expression" priority="23">
      <formula>$A173=""</formula>
    </cfRule>
  </conditionalFormatting>
  <conditionalFormatting sqref="A187:H191">
    <cfRule type="expression" priority="24">
      <formula>$A187=""</formula>
    </cfRule>
  </conditionalFormatting>
  <conditionalFormatting sqref="A196:H200">
    <cfRule type="expression" priority="25">
      <formula>$A196=""</formula>
    </cfRule>
  </conditionalFormatting>
  <conditionalFormatting sqref="F26:F33">
    <cfRule type="expression" priority="9">
      <formula>$A26=""</formula>
    </cfRule>
  </conditionalFormatting>
  <conditionalFormatting sqref="F34:F44">
    <cfRule type="expression" priority="8">
      <formula>$A34=""</formula>
    </cfRule>
  </conditionalFormatting>
  <conditionalFormatting sqref="F52:F58">
    <cfRule type="expression" priority="7">
      <formula>$A52=""</formula>
    </cfRule>
  </conditionalFormatting>
  <conditionalFormatting sqref="F59">
    <cfRule type="expression" priority="6">
      <formula>$A59=""</formula>
    </cfRule>
  </conditionalFormatting>
  <conditionalFormatting sqref="F67:F74">
    <cfRule type="expression" priority="5">
      <formula>$A67=""</formula>
    </cfRule>
  </conditionalFormatting>
  <conditionalFormatting sqref="F81:F83">
    <cfRule type="expression" priority="4">
      <formula>$A81=""</formula>
    </cfRule>
  </conditionalFormatting>
  <conditionalFormatting sqref="F91:F94">
    <cfRule type="expression" priority="3">
      <formula>$A91=""</formula>
    </cfRule>
  </conditionalFormatting>
  <conditionalFormatting sqref="F102">
    <cfRule type="expression" priority="2">
      <formula>$A102=""</formula>
    </cfRule>
  </conditionalFormatting>
  <conditionalFormatting sqref="F110">
    <cfRule type="expression" priority="1">
      <formula>$A110=""</formula>
    </cfRule>
  </conditionalFormatting>
  <pageMargins left="0.75" right="0.75" top="1" bottom="1" header="0.511811023622047" footer="0.511811023622047"/>
  <pageSetup orientation="portrait" scale="87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workbookViewId="0">
      <selection activeCell="A2" sqref="A2"/>
    </sheetView>
  </sheetViews>
  <sheetFormatPr baseColWidth="8" defaultColWidth="8.5703125" defaultRowHeight="15"/>
  <cols>
    <col width="21.42578125" customWidth="1" style="3" min="1" max="1"/>
    <col width="20" customWidth="1" style="3" min="2" max="2"/>
    <col width="17.140625" customWidth="1" style="3" min="3" max="6"/>
    <col width="2.140625" customWidth="1" style="3" min="7" max="7"/>
    <col width="8.5703125" customWidth="1" style="3" min="8" max="16384"/>
  </cols>
  <sheetData>
    <row r="1" ht="33.75" customHeight="1">
      <c r="B1" s="134" t="inlineStr">
        <is>
          <t>Premier Exports International</t>
        </is>
      </c>
      <c r="E1" s="141" t="inlineStr">
        <is>
          <t>AP X/453, NH-66 Highway, Chandiroor P.O.,</t>
        </is>
      </c>
    </row>
    <row r="2">
      <c r="E2" s="141" t="inlineStr">
        <is>
          <t>Aroor, Alappuzha, Kerala - 688 537, India</t>
        </is>
      </c>
    </row>
    <row r="3">
      <c r="E3" s="141" t="inlineStr">
        <is>
          <t>GSTIN 32AADFP3158P1ZZ</t>
        </is>
      </c>
    </row>
    <row r="4" ht="4.5" customHeight="1">
      <c r="A4" s="86" t="n"/>
      <c r="B4" s="86" t="n"/>
      <c r="C4" s="86" t="n"/>
      <c r="D4" s="86" t="n"/>
      <c r="E4" s="86" t="n"/>
      <c r="F4" s="86" t="n"/>
    </row>
    <row r="5" ht="25.5" customHeight="1">
      <c r="A5" s="1" t="inlineStr">
        <is>
          <t>DAILY STOCK REPORT</t>
        </is>
      </c>
      <c r="E5" s="142">
        <f>Stock!$E$3</f>
        <v/>
      </c>
    </row>
    <row r="6">
      <c r="A6" s="87" t="inlineStr">
        <is>
          <t>PURCHASE &amp; PROCESSING · PRODUCTION</t>
        </is>
      </c>
      <c r="E6" s="143" t="inlineStr">
        <is>
          <t>STATEMENT DATE</t>
        </is>
      </c>
    </row>
    <row r="8" ht="12.75" customHeight="1">
      <c r="A8" s="88" t="inlineStr">
        <is>
          <t>OPENING STOCK (KG)</t>
        </is>
      </c>
      <c r="B8" s="88" t="inlineStr">
        <is>
          <t>PRODUCED TODAY (KG)</t>
        </is>
      </c>
      <c r="C8" s="88" t="inlineStr">
        <is>
          <t>SHIPPED TODAY (KG)</t>
        </is>
      </c>
      <c r="D8" s="88" t="inlineStr">
        <is>
          <t>CLOSING STOCK (KG)</t>
        </is>
      </c>
      <c r="E8" s="137">
        <f>IF(Stock!$E$4="","STOCK VALUE (₹)","STOCK VALUE (₹) AT "&amp;TEXT(Stock!$E$4,"0.00")&amp;" / US$")</f>
        <v/>
      </c>
    </row>
    <row r="9" ht="21.75" customHeight="1">
      <c r="A9" s="106">
        <f>+($D$9-$B$9)+$C$9</f>
        <v/>
      </c>
      <c r="B9" s="105">
        <f>SUM(Stock!$T$8:$T$101)</f>
        <v/>
      </c>
      <c r="C9" s="105">
        <f>SUM(Stock!$U$8:$U$101)</f>
        <v/>
      </c>
      <c r="D9" s="146">
        <f>Stock!$K$102</f>
        <v/>
      </c>
      <c r="E9" s="138">
        <f>IF(Stock!$E$4="","Exchange rate not set",IF(Stock!$M$102="","Export rates not entered",Stock!$M$102))</f>
        <v/>
      </c>
    </row>
    <row r="10" ht="12" customHeight="1">
      <c r="A10" s="139">
        <f>IF(SUM(Stock!$X$8:$X$101)=0,"",SUM(Stock!$X$8:$X$101)&amp;" product(s) have no Kg / Unit set — their stock is not counted in these totals.")</f>
        <v/>
      </c>
    </row>
    <row r="12" ht="18" customHeight="1">
      <c r="A12" s="140" t="inlineStr">
        <is>
          <t>POSITION BY BRAND</t>
        </is>
      </c>
      <c r="B12" s="144" t="n"/>
      <c r="C12" s="144" t="n"/>
      <c r="D12" s="144" t="n"/>
      <c r="E12" s="144" t="n"/>
      <c r="F12" s="144" t="n"/>
    </row>
    <row r="13" ht="20.1" customFormat="1" customHeight="1" s="26">
      <c r="A13" s="80" t="inlineStr">
        <is>
          <t>Brand</t>
        </is>
      </c>
      <c r="B13" s="80" t="inlineStr">
        <is>
          <t>Closing Stock (Kg)</t>
        </is>
      </c>
      <c r="C13" s="80" t="inlineStr">
        <is>
          <t>Today's Production (Kg)</t>
        </is>
      </c>
      <c r="D13" s="80" t="inlineStr">
        <is>
          <t>Today's Shipment (Kg)</t>
        </is>
      </c>
      <c r="E13" s="80" t="inlineStr">
        <is>
          <t>Products</t>
        </is>
      </c>
      <c r="F13" s="80" t="inlineStr">
        <is>
          <t>Stock Value (₹)</t>
        </is>
      </c>
    </row>
    <row r="14" ht="12.75" customHeight="1">
      <c r="A14" s="89" t="inlineStr">
        <is>
          <t>Blue Dolphin</t>
        </is>
      </c>
      <c r="B14" s="68">
        <f>IF($A14="","",SUMIF(Stock!$A$8:$A$101,$A14,Stock!$K$8:$K$101))</f>
        <v/>
      </c>
      <c r="C14" s="90">
        <f>IF($A14="","",SUMIF(Stock!$A$8:$A$101,$A14,Stock!$T$8:$T$101))</f>
        <v/>
      </c>
      <c r="D14" s="90">
        <f>IF($A14="","",SUMIF(Stock!$A$8:$A$101,$A14,Stock!$U$8:$U$101))</f>
        <v/>
      </c>
      <c r="E14" s="91">
        <f>IF($A14="","",COUNTIF(Stock!$A$8:$A$101,$A14))</f>
        <v/>
      </c>
      <c r="F14" s="70">
        <f>IF($A14="","",IF(SUMIF(Stock!$A$8:$A$101,$A14,Stock!$M$8:$M$101)=0,"",SUMIF(Stock!$A$8:$A$101,$A14,Stock!$M$8:$M$101)))</f>
        <v/>
      </c>
    </row>
    <row r="15" ht="12.75" customHeight="1">
      <c r="A15" s="92" t="inlineStr">
        <is>
          <t>Primus Japan</t>
        </is>
      </c>
      <c r="B15" s="74">
        <f>IF($A15="","",SUMIF(Stock!$A$8:$A$101,$A15,Stock!$K$8:$K$101))</f>
        <v/>
      </c>
      <c r="C15" s="93">
        <f>IF($A15="","",SUMIF(Stock!$A$8:$A$101,$A15,Stock!$T$8:$T$101))</f>
        <v/>
      </c>
      <c r="D15" s="93">
        <f>IF($A15="","",SUMIF(Stock!$A$8:$A$101,$A15,Stock!$U$8:$U$101))</f>
        <v/>
      </c>
      <c r="E15" s="94">
        <f>IF($A15="","",COUNTIF(Stock!$A$8:$A$101,$A15))</f>
        <v/>
      </c>
      <c r="F15" s="76">
        <f>IF($A15="","",IF(SUMIF(Stock!$A$8:$A$101,$A15,Stock!$M$8:$M$101)=0,"",SUMIF(Stock!$A$8:$A$101,$A15,Stock!$M$8:$M$101)))</f>
        <v/>
      </c>
    </row>
    <row r="16" ht="12.75" customHeight="1">
      <c r="A16" s="89" t="inlineStr">
        <is>
          <t>Primus EU</t>
        </is>
      </c>
      <c r="B16" s="68">
        <f>IF($A16="","",SUMIF(Stock!$A$8:$A$101,$A16,Stock!$K$8:$K$101))</f>
        <v/>
      </c>
      <c r="C16" s="90">
        <f>IF($A16="","",SUMIF(Stock!$A$8:$A$101,$A16,Stock!$T$8:$T$101))</f>
        <v/>
      </c>
      <c r="D16" s="90">
        <f>IF($A16="","",SUMIF(Stock!$A$8:$A$101,$A16,Stock!$U$8:$U$101))</f>
        <v/>
      </c>
      <c r="E16" s="91">
        <f>IF($A16="","",COUNTIF(Stock!$A$8:$A$101,$A16))</f>
        <v/>
      </c>
      <c r="F16" s="70">
        <f>IF($A16="","",IF(SUMIF(Stock!$A$8:$A$101,$A16,Stock!$M$8:$M$101)=0,"",SUMIF(Stock!$A$8:$A$101,$A16,Stock!$M$8:$M$101)))</f>
        <v/>
      </c>
    </row>
    <row r="17" ht="12.75" customHeight="1">
      <c r="A17" s="92" t="inlineStr">
        <is>
          <t>AMF Brand</t>
        </is>
      </c>
      <c r="B17" s="74">
        <f>IF($A17="","",SUMIF(Stock!$A$8:$A$101,$A17,Stock!$K$8:$K$101))</f>
        <v/>
      </c>
      <c r="C17" s="93">
        <f>IF($A17="","",SUMIF(Stock!$A$8:$A$101,$A17,Stock!$T$8:$T$101))</f>
        <v/>
      </c>
      <c r="D17" s="93">
        <f>IF($A17="","",SUMIF(Stock!$A$8:$A$101,$A17,Stock!$U$8:$U$101))</f>
        <v/>
      </c>
      <c r="E17" s="94">
        <f>IF($A17="","",COUNTIF(Stock!$A$8:$A$101,$A17))</f>
        <v/>
      </c>
      <c r="F17" s="76">
        <f>IF($A17="","",IF(SUMIF(Stock!$A$8:$A$101,$A17,Stock!$M$8:$M$101)=0,"",SUMIF(Stock!$A$8:$A$101,$A17,Stock!$M$8:$M$101)))</f>
        <v/>
      </c>
    </row>
    <row r="18" ht="12.75" customHeight="1">
      <c r="A18" s="89" t="inlineStr">
        <is>
          <t>THT Brand</t>
        </is>
      </c>
      <c r="B18" s="68">
        <f>IF($A18="","",SUMIF(Stock!$A$8:$A$101,$A18,Stock!$K$8:$K$101))</f>
        <v/>
      </c>
      <c r="C18" s="90">
        <f>IF($A18="","",SUMIF(Stock!$A$8:$A$101,$A18,Stock!$T$8:$T$101))</f>
        <v/>
      </c>
      <c r="D18" s="90">
        <f>IF($A18="","",SUMIF(Stock!$A$8:$A$101,$A18,Stock!$U$8:$U$101))</f>
        <v/>
      </c>
      <c r="E18" s="91">
        <f>IF($A18="","",COUNTIF(Stock!$A$8:$A$101,$A18))</f>
        <v/>
      </c>
      <c r="F18" s="70">
        <f>IF($A18="","",IF(SUMIF(Stock!$A$8:$A$101,$A18,Stock!$M$8:$M$101)=0,"",SUMIF(Stock!$A$8:$A$101,$A18,Stock!$M$8:$M$101)))</f>
        <v/>
      </c>
    </row>
    <row r="19" ht="12.75" customHeight="1">
      <c r="A19" s="92" t="inlineStr">
        <is>
          <t>China</t>
        </is>
      </c>
      <c r="B19" s="74">
        <f>IF($A19="","",SUMIF(Stock!$A$8:$A$101,$A19,Stock!$K$8:$K$101))</f>
        <v/>
      </c>
      <c r="C19" s="93">
        <f>IF($A19="","",SUMIF(Stock!$A$8:$A$101,$A19,Stock!$T$8:$T$101))</f>
        <v/>
      </c>
      <c r="D19" s="93">
        <f>IF($A19="","",SUMIF(Stock!$A$8:$A$101,$A19,Stock!$U$8:$U$101))</f>
        <v/>
      </c>
      <c r="E19" s="94">
        <f>IF($A19="","",COUNTIF(Stock!$A$8:$A$101,$A19))</f>
        <v/>
      </c>
      <c r="F19" s="76">
        <f>IF($A19="","",IF(SUMIF(Stock!$A$8:$A$101,$A19,Stock!$M$8:$M$101)=0,"",SUMIF(Stock!$A$8:$A$101,$A19,Stock!$M$8:$M$101)))</f>
        <v/>
      </c>
    </row>
    <row r="20" ht="12.75" customHeight="1">
      <c r="A20" s="89" t="inlineStr">
        <is>
          <t>Deep Sea</t>
        </is>
      </c>
      <c r="B20" s="68">
        <f>IF($A20="","",SUMIF(Stock!$A$8:$A$101,$A20,Stock!$K$8:$K$101))</f>
        <v/>
      </c>
      <c r="C20" s="90">
        <f>IF($A20="","",SUMIF(Stock!$A$8:$A$101,$A20,Stock!$T$8:$T$101))</f>
        <v/>
      </c>
      <c r="D20" s="90">
        <f>IF($A20="","",SUMIF(Stock!$A$8:$A$101,$A20,Stock!$U$8:$U$101))</f>
        <v/>
      </c>
      <c r="E20" s="91">
        <f>IF($A20="","",COUNTIF(Stock!$A$8:$A$101,$A20))</f>
        <v/>
      </c>
      <c r="F20" s="70">
        <f>IF($A20="","",IF(SUMIF(Stock!$A$8:$A$101,$A20,Stock!$M$8:$M$101)=0,"",SUMIF(Stock!$A$8:$A$101,$A20,Stock!$M$8:$M$101)))</f>
        <v/>
      </c>
    </row>
    <row r="21" ht="12.75" customHeight="1">
      <c r="A21" s="92" t="inlineStr">
        <is>
          <t>Shrimp Whole</t>
        </is>
      </c>
      <c r="B21" s="74">
        <f>IF($A21="","",SUMIF(Stock!$A$8:$A$101,$A21,Stock!$K$8:$K$101))</f>
        <v/>
      </c>
      <c r="C21" s="93">
        <f>IF($A21="","",SUMIF(Stock!$A$8:$A$101,$A21,Stock!$T$8:$T$101))</f>
        <v/>
      </c>
      <c r="D21" s="93">
        <f>IF($A21="","",SUMIF(Stock!$A$8:$A$101,$A21,Stock!$U$8:$U$101))</f>
        <v/>
      </c>
      <c r="E21" s="94">
        <f>IF($A21="","",COUNTIF(Stock!$A$8:$A$101,$A21))</f>
        <v/>
      </c>
      <c r="F21" s="76">
        <f>IF($A21="","",IF(SUMIF(Stock!$A$8:$A$101,$A21,Stock!$M$8:$M$101)=0,"",SUMIF(Stock!$A$8:$A$101,$A21,Stock!$M$8:$M$101)))</f>
        <v/>
      </c>
    </row>
    <row r="22" ht="12.75" customHeight="1">
      <c r="A22" s="89" t="inlineStr">
        <is>
          <t>Tuna</t>
        </is>
      </c>
      <c r="B22" s="68">
        <f>IF($A22="","",SUMIF(Stock!$A$8:$A$101,$A22,Stock!$K$8:$K$101))</f>
        <v/>
      </c>
      <c r="C22" s="90">
        <f>IF($A22="","",SUMIF(Stock!$A$8:$A$101,$A22,Stock!$T$8:$T$101))</f>
        <v/>
      </c>
      <c r="D22" s="90">
        <f>IF($A22="","",SUMIF(Stock!$A$8:$A$101,$A22,Stock!$U$8:$U$101))</f>
        <v/>
      </c>
      <c r="E22" s="91">
        <f>IF($A22="","",COUNTIF(Stock!$A$8:$A$101,$A22))</f>
        <v/>
      </c>
      <c r="F22" s="70">
        <f>IF($A22="","",IF(SUMIF(Stock!$A$8:$A$101,$A22,Stock!$M$8:$M$101)=0,"",SUMIF(Stock!$A$8:$A$101,$A22,Stock!$M$8:$M$101)))</f>
        <v/>
      </c>
    </row>
    <row r="23" ht="12.75" customHeight="1">
      <c r="A23" s="92" t="inlineStr">
        <is>
          <t>Mackerel</t>
        </is>
      </c>
      <c r="B23" s="74">
        <f>IF($A23="","",SUMIF(Stock!$A$8:$A$101,$A23,Stock!$K$8:$K$101))</f>
        <v/>
      </c>
      <c r="C23" s="93">
        <f>IF($A23="","",SUMIF(Stock!$A$8:$A$101,$A23,Stock!$T$8:$T$101))</f>
        <v/>
      </c>
      <c r="D23" s="93">
        <f>IF($A23="","",SUMIF(Stock!$A$8:$A$101,$A23,Stock!$U$8:$U$101))</f>
        <v/>
      </c>
      <c r="E23" s="94">
        <f>IF($A23="","",COUNTIF(Stock!$A$8:$A$101,$A23))</f>
        <v/>
      </c>
      <c r="F23" s="76">
        <f>IF($A23="","",IF(SUMIF(Stock!$A$8:$A$101,$A23,Stock!$M$8:$M$101)=0,"",SUMIF(Stock!$A$8:$A$101,$A23,Stock!$M$8:$M$101)))</f>
        <v/>
      </c>
    </row>
    <row r="24" ht="12.75" customHeight="1">
      <c r="A24" s="89" t="inlineStr">
        <is>
          <t>Cuttlefish</t>
        </is>
      </c>
      <c r="B24" s="68">
        <f>IF($A24="","",SUMIF(Stock!$A$8:$A$101,$A24,Stock!$K$8:$K$101))</f>
        <v/>
      </c>
      <c r="C24" s="90">
        <f>IF($A24="","",SUMIF(Stock!$A$8:$A$101,$A24,Stock!$T$8:$T$101))</f>
        <v/>
      </c>
      <c r="D24" s="90">
        <f>IF($A24="","",SUMIF(Stock!$A$8:$A$101,$A24,Stock!$U$8:$U$101))</f>
        <v/>
      </c>
      <c r="E24" s="91">
        <f>IF($A24="","",COUNTIF(Stock!$A$8:$A$101,$A24))</f>
        <v/>
      </c>
      <c r="F24" s="70">
        <f>IF($A24="","",IF(SUMIF(Stock!$A$8:$A$101,$A24,Stock!$M$8:$M$101)=0,"",SUMIF(Stock!$A$8:$A$101,$A24,Stock!$M$8:$M$101)))</f>
        <v/>
      </c>
    </row>
    <row r="25" ht="12.75" customHeight="1">
      <c r="A25" s="92" t="inlineStr">
        <is>
          <t>White Squid</t>
        </is>
      </c>
      <c r="B25" s="74">
        <f>IF($A25="","",SUMIF(Stock!$A$8:$A$101,$A25,Stock!$K$8:$K$101))</f>
        <v/>
      </c>
      <c r="C25" s="93">
        <f>IF($A25="","",SUMIF(Stock!$A$8:$A$101,$A25,Stock!$T$8:$T$101))</f>
        <v/>
      </c>
      <c r="D25" s="93">
        <f>IF($A25="","",SUMIF(Stock!$A$8:$A$101,$A25,Stock!$U$8:$U$101))</f>
        <v/>
      </c>
      <c r="E25" s="94">
        <f>IF($A25="","",COUNTIF(Stock!$A$8:$A$101,$A25))</f>
        <v/>
      </c>
      <c r="F25" s="76">
        <f>IF($A25="","",IF(SUMIF(Stock!$A$8:$A$101,$A25,Stock!$M$8:$M$101)=0,"",SUMIF(Stock!$A$8:$A$101,$A25,Stock!$M$8:$M$101)))</f>
        <v/>
      </c>
    </row>
    <row r="26" ht="12.75" customHeight="1">
      <c r="A26" s="89" t="inlineStr">
        <is>
          <t>Semi Needle Squid</t>
        </is>
      </c>
      <c r="B26" s="68">
        <f>IF($A26="","",SUMIF(Stock!$A$8:$A$101,$A26,Stock!$K$8:$K$101))</f>
        <v/>
      </c>
      <c r="C26" s="90">
        <f>IF($A26="","",SUMIF(Stock!$A$8:$A$101,$A26,Stock!$T$8:$T$101))</f>
        <v/>
      </c>
      <c r="D26" s="90">
        <f>IF($A26="","",SUMIF(Stock!$A$8:$A$101,$A26,Stock!$U$8:$U$101))</f>
        <v/>
      </c>
      <c r="E26" s="91">
        <f>IF($A26="","",COUNTIF(Stock!$A$8:$A$101,$A26))</f>
        <v/>
      </c>
      <c r="F26" s="70">
        <f>IF($A26="","",IF(SUMIF(Stock!$A$8:$A$101,$A26,Stock!$M$8:$M$101)=0,"",SUMIF(Stock!$A$8:$A$101,$A26,Stock!$M$8:$M$101)))</f>
        <v/>
      </c>
    </row>
    <row r="27" ht="12.75" customHeight="1">
      <c r="A27" s="95" t="n"/>
      <c r="B27" s="74">
        <f>IF($A27="","",SUMIF(Stock!$A$8:$A$101,$A27,Stock!$K$8:$K$101))</f>
        <v/>
      </c>
      <c r="C27" s="93">
        <f>IF($A27="","",SUMIF(Stock!$A$8:$A$101,$A27,Stock!$T$8:$T$101))</f>
        <v/>
      </c>
      <c r="D27" s="93">
        <f>IF($A27="","",SUMIF(Stock!$A$8:$A$101,$A27,Stock!$U$8:$U$101))</f>
        <v/>
      </c>
      <c r="E27" s="94">
        <f>IF($A27="","",COUNTIF(Stock!$A$8:$A$101,$A27))</f>
        <v/>
      </c>
      <c r="F27" s="76">
        <f>IF($A27="","",IF(SUMIF(Stock!$A$8:$A$101,$A27,Stock!$M$8:$M$101)=0,"",SUMIF(Stock!$A$8:$A$101,$A27,Stock!$M$8:$M$101)))</f>
        <v/>
      </c>
    </row>
    <row r="28" ht="12.75" customHeight="1">
      <c r="A28" s="96" t="n"/>
      <c r="B28" s="68">
        <f>IF($A28="","",SUMIF(Stock!$A$8:$A$101,$A28,Stock!$K$8:$K$101))</f>
        <v/>
      </c>
      <c r="C28" s="90">
        <f>IF($A28="","",SUMIF(Stock!$A$8:$A$101,$A28,Stock!$T$8:$T$101))</f>
        <v/>
      </c>
      <c r="D28" s="90">
        <f>IF($A28="","",SUMIF(Stock!$A$8:$A$101,$A28,Stock!$U$8:$U$101))</f>
        <v/>
      </c>
      <c r="E28" s="91">
        <f>IF($A28="","",COUNTIF(Stock!$A$8:$A$101,$A28))</f>
        <v/>
      </c>
      <c r="F28" s="70">
        <f>IF($A28="","",IF(SUMIF(Stock!$A$8:$A$101,$A28,Stock!$M$8:$M$101)=0,"",SUMIF(Stock!$A$8:$A$101,$A28,Stock!$M$8:$M$101)))</f>
        <v/>
      </c>
    </row>
    <row r="29">
      <c r="A29" s="97" t="inlineStr">
        <is>
          <t>GRAND TOTAL</t>
        </is>
      </c>
      <c r="B29" s="147">
        <f>SUM(B14:B28)</f>
        <v/>
      </c>
      <c r="C29" s="108">
        <f>SUM(C14:C28)</f>
        <v/>
      </c>
      <c r="D29" s="108">
        <f>SUM(D14:D28)</f>
        <v/>
      </c>
      <c r="E29" s="97" t="n"/>
      <c r="F29" s="98">
        <f>IF(SUM(F14:F28)=0,"",SUM(F14:F28))</f>
        <v/>
      </c>
    </row>
    <row r="31" ht="18" customHeight="1">
      <c r="A31" s="140" t="inlineStr">
        <is>
          <t>TODAY'S MOVEMENTS</t>
        </is>
      </c>
      <c r="B31" s="144" t="n"/>
      <c r="C31" s="144" t="n"/>
      <c r="D31" s="144" t="n"/>
      <c r="E31" s="144" t="n"/>
      <c r="F31" s="144" t="n"/>
    </row>
    <row r="32" ht="20.1" customFormat="1" customHeight="1" s="26">
      <c r="A32" s="80" t="inlineStr">
        <is>
          <t>Brand</t>
        </is>
      </c>
      <c r="B32" s="80" t="inlineStr">
        <is>
          <t>Product</t>
        </is>
      </c>
      <c r="C32" s="80" t="inlineStr">
        <is>
          <t>Production</t>
        </is>
      </c>
      <c r="D32" s="80" t="inlineStr">
        <is>
          <t>Shipment</t>
        </is>
      </c>
      <c r="E32" s="80" t="inlineStr">
        <is>
          <t>Closing Stock Balance</t>
        </is>
      </c>
      <c r="F32" s="80" t="inlineStr">
        <is>
          <t>Unit</t>
        </is>
      </c>
    </row>
    <row r="33" ht="12.75" customHeight="1">
      <c r="A33" s="99">
        <f>IF($H33="","",INDEX(Stock!$A$8:$A$101,$H33))</f>
        <v/>
      </c>
      <c r="B33" s="99">
        <f>IF($H33="","",INDEX(Stock!$B$8:$B$101,$H33))</f>
        <v/>
      </c>
      <c r="C33" s="100">
        <f>IF($H33="","",INDEX(Stock!$F$8:$F$101,$H33))</f>
        <v/>
      </c>
      <c r="D33" s="100">
        <f>IF($H33="","",INDEX(Stock!$G$8:$G$101,$H33))</f>
        <v/>
      </c>
      <c r="E33" s="101">
        <f>IF($H33="","",INDEX(Stock!$J$8:$J$101,$H33))</f>
        <v/>
      </c>
      <c r="F33" s="102">
        <f>IF($H33="","",IF(INDEX(Stock!$C$8:$C$101,$H33)=0,"",INDEX(Stock!$C$8:$C$101,$H33)))</f>
        <v/>
      </c>
      <c r="H33" s="71">
        <f>IFERROR(MATCH(1,Stock!$Q$8:$Q$101,0),"")</f>
        <v/>
      </c>
    </row>
    <row r="34" ht="12.75" customHeight="1">
      <c r="A34" s="99">
        <f>IF($H34="","",INDEX(Stock!$A$8:$A$101,$H34))</f>
        <v/>
      </c>
      <c r="B34" s="99">
        <f>IF($H34="","",INDEX(Stock!$B$8:$B$101,$H34))</f>
        <v/>
      </c>
      <c r="C34" s="100">
        <f>IF($H34="","",INDEX(Stock!$F$8:$F$101,$H34))</f>
        <v/>
      </c>
      <c r="D34" s="100">
        <f>IF($H34="","",INDEX(Stock!$G$8:$G$101,$H34))</f>
        <v/>
      </c>
      <c r="E34" s="101">
        <f>IF($H34="","",INDEX(Stock!$J$8:$J$101,$H34))</f>
        <v/>
      </c>
      <c r="F34" s="102">
        <f>IF($H34="","",IF(INDEX(Stock!$C$8:$C$101,$H34)=0,"",INDEX(Stock!$C$8:$C$101,$H34)))</f>
        <v/>
      </c>
      <c r="H34" s="71">
        <f>IFERROR(MATCH(2,Stock!$Q$8:$Q$101,0),"")</f>
        <v/>
      </c>
    </row>
    <row r="35" ht="12.75" customHeight="1">
      <c r="A35" s="99">
        <f>IF($H35="","",INDEX(Stock!$A$8:$A$101,$H35))</f>
        <v/>
      </c>
      <c r="B35" s="99">
        <f>IF($H35="","",INDEX(Stock!$B$8:$B$101,$H35))</f>
        <v/>
      </c>
      <c r="C35" s="100">
        <f>IF($H35="","",INDEX(Stock!$F$8:$F$101,$H35))</f>
        <v/>
      </c>
      <c r="D35" s="100">
        <f>IF($H35="","",INDEX(Stock!$G$8:$G$101,$H35))</f>
        <v/>
      </c>
      <c r="E35" s="101">
        <f>IF($H35="","",INDEX(Stock!$J$8:$J$101,$H35))</f>
        <v/>
      </c>
      <c r="F35" s="102">
        <f>IF($H35="","",IF(INDEX(Stock!$C$8:$C$101,$H35)=0,"",INDEX(Stock!$C$8:$C$101,$H35)))</f>
        <v/>
      </c>
      <c r="H35" s="71">
        <f>IFERROR(MATCH(3,Stock!$Q$8:$Q$101,0),"")</f>
        <v/>
      </c>
    </row>
    <row r="36" ht="12.75" customHeight="1">
      <c r="A36" s="99">
        <f>IF($H36="","",INDEX(Stock!$A$8:$A$101,$H36))</f>
        <v/>
      </c>
      <c r="B36" s="99">
        <f>IF($H36="","",INDEX(Stock!$B$8:$B$101,$H36))</f>
        <v/>
      </c>
      <c r="C36" s="100">
        <f>IF($H36="","",INDEX(Stock!$F$8:$F$101,$H36))</f>
        <v/>
      </c>
      <c r="D36" s="100">
        <f>IF($H36="","",INDEX(Stock!$G$8:$G$101,$H36))</f>
        <v/>
      </c>
      <c r="E36" s="101">
        <f>IF($H36="","",INDEX(Stock!$J$8:$J$101,$H36))</f>
        <v/>
      </c>
      <c r="F36" s="102">
        <f>IF($H36="","",IF(INDEX(Stock!$C$8:$C$101,$H36)=0,"",INDEX(Stock!$C$8:$C$101,$H36)))</f>
        <v/>
      </c>
      <c r="H36" s="71">
        <f>IFERROR(MATCH(4,Stock!$Q$8:$Q$101,0),"")</f>
        <v/>
      </c>
    </row>
    <row r="37" ht="12.75" customHeight="1">
      <c r="A37" s="99">
        <f>IF($H37="","",INDEX(Stock!$A$8:$A$101,$H37))</f>
        <v/>
      </c>
      <c r="B37" s="99">
        <f>IF($H37="","",INDEX(Stock!$B$8:$B$101,$H37))</f>
        <v/>
      </c>
      <c r="C37" s="100">
        <f>IF($H37="","",INDEX(Stock!$F$8:$F$101,$H37))</f>
        <v/>
      </c>
      <c r="D37" s="100">
        <f>IF($H37="","",INDEX(Stock!$G$8:$G$101,$H37))</f>
        <v/>
      </c>
      <c r="E37" s="101">
        <f>IF($H37="","",INDEX(Stock!$J$8:$J$101,$H37))</f>
        <v/>
      </c>
      <c r="F37" s="102">
        <f>IF($H37="","",IF(INDEX(Stock!$C$8:$C$101,$H37)=0,"",INDEX(Stock!$C$8:$C$101,$H37)))</f>
        <v/>
      </c>
      <c r="H37" s="71">
        <f>IFERROR(MATCH(5,Stock!$Q$8:$Q$101,0),"")</f>
        <v/>
      </c>
    </row>
    <row r="38" ht="12.75" customHeight="1">
      <c r="A38" s="99">
        <f>IF($H38="","",INDEX(Stock!$A$8:$A$101,$H38))</f>
        <v/>
      </c>
      <c r="B38" s="99">
        <f>IF($H38="","",INDEX(Stock!$B$8:$B$101,$H38))</f>
        <v/>
      </c>
      <c r="C38" s="100">
        <f>IF($H38="","",INDEX(Stock!$F$8:$F$101,$H38))</f>
        <v/>
      </c>
      <c r="D38" s="100">
        <f>IF($H38="","",INDEX(Stock!$G$8:$G$101,$H38))</f>
        <v/>
      </c>
      <c r="E38" s="101">
        <f>IF($H38="","",INDEX(Stock!$J$8:$J$101,$H38))</f>
        <v/>
      </c>
      <c r="F38" s="102">
        <f>IF($H38="","",IF(INDEX(Stock!$C$8:$C$101,$H38)=0,"",INDEX(Stock!$C$8:$C$101,$H38)))</f>
        <v/>
      </c>
      <c r="H38" s="71">
        <f>IFERROR(MATCH(6,Stock!$Q$8:$Q$101,0),"")</f>
        <v/>
      </c>
    </row>
    <row r="39" ht="12.75" customHeight="1">
      <c r="A39" s="99">
        <f>IF($H39="","",INDEX(Stock!$A$8:$A$101,$H39))</f>
        <v/>
      </c>
      <c r="B39" s="99">
        <f>IF($H39="","",INDEX(Stock!$B$8:$B$101,$H39))</f>
        <v/>
      </c>
      <c r="C39" s="100">
        <f>IF($H39="","",INDEX(Stock!$F$8:$F$101,$H39))</f>
        <v/>
      </c>
      <c r="D39" s="100">
        <f>IF($H39="","",INDEX(Stock!$G$8:$G$101,$H39))</f>
        <v/>
      </c>
      <c r="E39" s="101">
        <f>IF($H39="","",INDEX(Stock!$J$8:$J$101,$H39))</f>
        <v/>
      </c>
      <c r="F39" s="102">
        <f>IF($H39="","",IF(INDEX(Stock!$C$8:$C$101,$H39)=0,"",INDEX(Stock!$C$8:$C$101,$H39)))</f>
        <v/>
      </c>
      <c r="H39" s="71">
        <f>IFERROR(MATCH(7,Stock!$Q$8:$Q$101,0),"")</f>
        <v/>
      </c>
    </row>
    <row r="40" ht="12.75" customHeight="1">
      <c r="A40" s="99">
        <f>IF($H40="","",INDEX(Stock!$A$8:$A$101,$H40))</f>
        <v/>
      </c>
      <c r="B40" s="99">
        <f>IF($H40="","",INDEX(Stock!$B$8:$B$101,$H40))</f>
        <v/>
      </c>
      <c r="C40" s="100">
        <f>IF($H40="","",INDEX(Stock!$F$8:$F$101,$H40))</f>
        <v/>
      </c>
      <c r="D40" s="100">
        <f>IF($H40="","",INDEX(Stock!$G$8:$G$101,$H40))</f>
        <v/>
      </c>
      <c r="E40" s="101">
        <f>IF($H40="","",INDEX(Stock!$J$8:$J$101,$H40))</f>
        <v/>
      </c>
      <c r="F40" s="102">
        <f>IF($H40="","",IF(INDEX(Stock!$C$8:$C$101,$H40)=0,"",INDEX(Stock!$C$8:$C$101,$H40)))</f>
        <v/>
      </c>
      <c r="H40" s="71">
        <f>IFERROR(MATCH(8,Stock!$Q$8:$Q$101,0),"")</f>
        <v/>
      </c>
    </row>
    <row r="41" ht="12.75" customHeight="1">
      <c r="A41" s="99">
        <f>IF($H41="","",INDEX(Stock!$A$8:$A$101,$H41))</f>
        <v/>
      </c>
      <c r="B41" s="99">
        <f>IF($H41="","",INDEX(Stock!$B$8:$B$101,$H41))</f>
        <v/>
      </c>
      <c r="C41" s="100">
        <f>IF($H41="","",INDEX(Stock!$F$8:$F$101,$H41))</f>
        <v/>
      </c>
      <c r="D41" s="100">
        <f>IF($H41="","",INDEX(Stock!$G$8:$G$101,$H41))</f>
        <v/>
      </c>
      <c r="E41" s="101">
        <f>IF($H41="","",INDEX(Stock!$J$8:$J$101,$H41))</f>
        <v/>
      </c>
      <c r="F41" s="102">
        <f>IF($H41="","",IF(INDEX(Stock!$C$8:$C$101,$H41)=0,"",INDEX(Stock!$C$8:$C$101,$H41)))</f>
        <v/>
      </c>
      <c r="H41" s="71">
        <f>IFERROR(MATCH(9,Stock!$Q$8:$Q$101,0),"")</f>
        <v/>
      </c>
    </row>
    <row r="42" ht="12.75" customHeight="1">
      <c r="A42" s="99">
        <f>IF($H42="","",INDEX(Stock!$A$8:$A$101,$H42))</f>
        <v/>
      </c>
      <c r="B42" s="99">
        <f>IF($H42="","",INDEX(Stock!$B$8:$B$101,$H42))</f>
        <v/>
      </c>
      <c r="C42" s="100">
        <f>IF($H42="","",INDEX(Stock!$F$8:$F$101,$H42))</f>
        <v/>
      </c>
      <c r="D42" s="100">
        <f>IF($H42="","",INDEX(Stock!$G$8:$G$101,$H42))</f>
        <v/>
      </c>
      <c r="E42" s="101">
        <f>IF($H42="","",INDEX(Stock!$J$8:$J$101,$H42))</f>
        <v/>
      </c>
      <c r="F42" s="102">
        <f>IF($H42="","",IF(INDEX(Stock!$C$8:$C$101,$H42)=0,"",INDEX(Stock!$C$8:$C$101,$H42)))</f>
        <v/>
      </c>
      <c r="H42" s="71">
        <f>IFERROR(MATCH(10,Stock!$Q$8:$Q$101,0),"")</f>
        <v/>
      </c>
    </row>
    <row r="43" ht="12.75" customHeight="1">
      <c r="A43" s="99">
        <f>IF($H43="","",INDEX(Stock!$A$8:$A$101,$H43))</f>
        <v/>
      </c>
      <c r="B43" s="99">
        <f>IF($H43="","",INDEX(Stock!$B$8:$B$101,$H43))</f>
        <v/>
      </c>
      <c r="C43" s="100">
        <f>IF($H43="","",INDEX(Stock!$F$8:$F$101,$H43))</f>
        <v/>
      </c>
      <c r="D43" s="100">
        <f>IF($H43="","",INDEX(Stock!$G$8:$G$101,$H43))</f>
        <v/>
      </c>
      <c r="E43" s="101">
        <f>IF($H43="","",INDEX(Stock!$J$8:$J$101,$H43))</f>
        <v/>
      </c>
      <c r="F43" s="102">
        <f>IF($H43="","",IF(INDEX(Stock!$C$8:$C$101,$H43)=0,"",INDEX(Stock!$C$8:$C$101,$H43)))</f>
        <v/>
      </c>
      <c r="H43" s="71">
        <f>IFERROR(MATCH(11,Stock!$Q$8:$Q$101,0),"")</f>
        <v/>
      </c>
    </row>
    <row r="44" ht="12.75" customHeight="1">
      <c r="A44" s="99">
        <f>IF($H44="","",INDEX(Stock!$A$8:$A$101,$H44))</f>
        <v/>
      </c>
      <c r="B44" s="99">
        <f>IF($H44="","",INDEX(Stock!$B$8:$B$101,$H44))</f>
        <v/>
      </c>
      <c r="C44" s="100">
        <f>IF($H44="","",INDEX(Stock!$F$8:$F$101,$H44))</f>
        <v/>
      </c>
      <c r="D44" s="100">
        <f>IF($H44="","",INDEX(Stock!$G$8:$G$101,$H44))</f>
        <v/>
      </c>
      <c r="E44" s="101">
        <f>IF($H44="","",INDEX(Stock!$J$8:$J$101,$H44))</f>
        <v/>
      </c>
      <c r="F44" s="102">
        <f>IF($H44="","",IF(INDEX(Stock!$C$8:$C$101,$H44)=0,"",INDEX(Stock!$C$8:$C$101,$H44)))</f>
        <v/>
      </c>
      <c r="H44" s="71">
        <f>IFERROR(MATCH(12,Stock!$Q$8:$Q$101,0),"")</f>
        <v/>
      </c>
    </row>
    <row r="45" ht="12.75" customHeight="1">
      <c r="A45" s="99">
        <f>IF($H45="","",INDEX(Stock!$A$8:$A$101,$H45))</f>
        <v/>
      </c>
      <c r="B45" s="99">
        <f>IF($H45="","",INDEX(Stock!$B$8:$B$101,$H45))</f>
        <v/>
      </c>
      <c r="C45" s="100">
        <f>IF($H45="","",INDEX(Stock!$F$8:$F$101,$H45))</f>
        <v/>
      </c>
      <c r="D45" s="100">
        <f>IF($H45="","",INDEX(Stock!$G$8:$G$101,$H45))</f>
        <v/>
      </c>
      <c r="E45" s="101">
        <f>IF($H45="","",INDEX(Stock!$J$8:$J$101,$H45))</f>
        <v/>
      </c>
      <c r="F45" s="102">
        <f>IF($H45="","",IF(INDEX(Stock!$C$8:$C$101,$H45)=0,"",INDEX(Stock!$C$8:$C$101,$H45)))</f>
        <v/>
      </c>
      <c r="H45" s="71">
        <f>IFERROR(MATCH(13,Stock!$Q$8:$Q$101,0),"")</f>
        <v/>
      </c>
    </row>
    <row r="46" ht="12.75" customHeight="1">
      <c r="A46" s="99">
        <f>IF($H46="","",INDEX(Stock!$A$8:$A$101,$H46))</f>
        <v/>
      </c>
      <c r="B46" s="99">
        <f>IF($H46="","",INDEX(Stock!$B$8:$B$101,$H46))</f>
        <v/>
      </c>
      <c r="C46" s="100">
        <f>IF($H46="","",INDEX(Stock!$F$8:$F$101,$H46))</f>
        <v/>
      </c>
      <c r="D46" s="100">
        <f>IF($H46="","",INDEX(Stock!$G$8:$G$101,$H46))</f>
        <v/>
      </c>
      <c r="E46" s="101">
        <f>IF($H46="","",INDEX(Stock!$J$8:$J$101,$H46))</f>
        <v/>
      </c>
      <c r="F46" s="102">
        <f>IF($H46="","",IF(INDEX(Stock!$C$8:$C$101,$H46)=0,"",INDEX(Stock!$C$8:$C$101,$H46)))</f>
        <v/>
      </c>
      <c r="H46" s="71">
        <f>IFERROR(MATCH(14,Stock!$Q$8:$Q$101,0),"")</f>
        <v/>
      </c>
    </row>
    <row r="47" ht="12.75" customHeight="1">
      <c r="A47" s="99">
        <f>IF($H47="","",INDEX(Stock!$A$8:$A$101,$H47))</f>
        <v/>
      </c>
      <c r="B47" s="99">
        <f>IF($H47="","",INDEX(Stock!$B$8:$B$101,$H47))</f>
        <v/>
      </c>
      <c r="C47" s="100">
        <f>IF($H47="","",INDEX(Stock!$F$8:$F$101,$H47))</f>
        <v/>
      </c>
      <c r="D47" s="100">
        <f>IF($H47="","",INDEX(Stock!$G$8:$G$101,$H47))</f>
        <v/>
      </c>
      <c r="E47" s="101">
        <f>IF($H47="","",INDEX(Stock!$J$8:$J$101,$H47))</f>
        <v/>
      </c>
      <c r="F47" s="102">
        <f>IF($H47="","",IF(INDEX(Stock!$C$8:$C$101,$H47)=0,"",INDEX(Stock!$C$8:$C$101,$H47)))</f>
        <v/>
      </c>
      <c r="H47" s="71">
        <f>IFERROR(MATCH(15,Stock!$Q$8:$Q$101,0),"")</f>
        <v/>
      </c>
    </row>
    <row r="48" ht="12.75" customHeight="1">
      <c r="A48" s="99">
        <f>IF($H48="","",INDEX(Stock!$A$8:$A$101,$H48))</f>
        <v/>
      </c>
      <c r="B48" s="99">
        <f>IF($H48="","",INDEX(Stock!$B$8:$B$101,$H48))</f>
        <v/>
      </c>
      <c r="C48" s="100">
        <f>IF($H48="","",INDEX(Stock!$F$8:$F$101,$H48))</f>
        <v/>
      </c>
      <c r="D48" s="100">
        <f>IF($H48="","",INDEX(Stock!$G$8:$G$101,$H48))</f>
        <v/>
      </c>
      <c r="E48" s="101">
        <f>IF($H48="","",INDEX(Stock!$J$8:$J$101,$H48))</f>
        <v/>
      </c>
      <c r="F48" s="102">
        <f>IF($H48="","",IF(INDEX(Stock!$C$8:$C$101,$H48)=0,"",INDEX(Stock!$C$8:$C$101,$H48)))</f>
        <v/>
      </c>
      <c r="H48" s="71">
        <f>IFERROR(MATCH(16,Stock!$Q$8:$Q$101,0),"")</f>
        <v/>
      </c>
    </row>
    <row r="49" ht="12.75" customHeight="1">
      <c r="A49" s="99">
        <f>IF($H49="","",INDEX(Stock!$A$8:$A$101,$H49))</f>
        <v/>
      </c>
      <c r="B49" s="99">
        <f>IF($H49="","",INDEX(Stock!$B$8:$B$101,$H49))</f>
        <v/>
      </c>
      <c r="C49" s="100">
        <f>IF($H49="","",INDEX(Stock!$F$8:$F$101,$H49))</f>
        <v/>
      </c>
      <c r="D49" s="100">
        <f>IF($H49="","",INDEX(Stock!$G$8:$G$101,$H49))</f>
        <v/>
      </c>
      <c r="E49" s="101">
        <f>IF($H49="","",INDEX(Stock!$J$8:$J$101,$H49))</f>
        <v/>
      </c>
      <c r="F49" s="102">
        <f>IF($H49="","",IF(INDEX(Stock!$C$8:$C$101,$H49)=0,"",INDEX(Stock!$C$8:$C$101,$H49)))</f>
        <v/>
      </c>
      <c r="H49" s="71">
        <f>IFERROR(MATCH(17,Stock!$Q$8:$Q$101,0),"")</f>
        <v/>
      </c>
    </row>
    <row r="50" ht="12.75" customHeight="1">
      <c r="A50" s="99">
        <f>IF($H50="","",INDEX(Stock!$A$8:$A$101,$H50))</f>
        <v/>
      </c>
      <c r="B50" s="99">
        <f>IF($H50="","",INDEX(Stock!$B$8:$B$101,$H50))</f>
        <v/>
      </c>
      <c r="C50" s="100">
        <f>IF($H50="","",INDEX(Stock!$F$8:$F$101,$H50))</f>
        <v/>
      </c>
      <c r="D50" s="100">
        <f>IF($H50="","",INDEX(Stock!$G$8:$G$101,$H50))</f>
        <v/>
      </c>
      <c r="E50" s="101">
        <f>IF($H50="","",INDEX(Stock!$J$8:$J$101,$H50))</f>
        <v/>
      </c>
      <c r="F50" s="102">
        <f>IF($H50="","",IF(INDEX(Stock!$C$8:$C$101,$H50)=0,"",INDEX(Stock!$C$8:$C$101,$H50)))</f>
        <v/>
      </c>
      <c r="H50" s="71">
        <f>IFERROR(MATCH(18,Stock!$Q$8:$Q$101,0),"")</f>
        <v/>
      </c>
    </row>
    <row r="51" ht="12.75" customHeight="1">
      <c r="A51" s="99">
        <f>IF($H51="","",INDEX(Stock!$A$8:$A$101,$H51))</f>
        <v/>
      </c>
      <c r="B51" s="99">
        <f>IF($H51="","",INDEX(Stock!$B$8:$B$101,$H51))</f>
        <v/>
      </c>
      <c r="C51" s="100">
        <f>IF($H51="","",INDEX(Stock!$F$8:$F$101,$H51))</f>
        <v/>
      </c>
      <c r="D51" s="100">
        <f>IF($H51="","",INDEX(Stock!$G$8:$G$101,$H51))</f>
        <v/>
      </c>
      <c r="E51" s="101">
        <f>IF($H51="","",INDEX(Stock!$J$8:$J$101,$H51))</f>
        <v/>
      </c>
      <c r="F51" s="102">
        <f>IF($H51="","",IF(INDEX(Stock!$C$8:$C$101,$H51)=0,"",INDEX(Stock!$C$8:$C$101,$H51)))</f>
        <v/>
      </c>
      <c r="H51" s="71">
        <f>IFERROR(MATCH(19,Stock!$Q$8:$Q$101,0),"")</f>
        <v/>
      </c>
    </row>
    <row r="52" ht="12.75" customHeight="1">
      <c r="A52" s="99">
        <f>IF($H52="","",INDEX(Stock!$A$8:$A$101,$H52))</f>
        <v/>
      </c>
      <c r="B52" s="99">
        <f>IF($H52="","",INDEX(Stock!$B$8:$B$101,$H52))</f>
        <v/>
      </c>
      <c r="C52" s="100">
        <f>IF($H52="","",INDEX(Stock!$F$8:$F$101,$H52))</f>
        <v/>
      </c>
      <c r="D52" s="100">
        <f>IF($H52="","",INDEX(Stock!$G$8:$G$101,$H52))</f>
        <v/>
      </c>
      <c r="E52" s="101">
        <f>IF($H52="","",INDEX(Stock!$J$8:$J$101,$H52))</f>
        <v/>
      </c>
      <c r="F52" s="102">
        <f>IF($H52="","",IF(INDEX(Stock!$C$8:$C$101,$H52)=0,"",INDEX(Stock!$C$8:$C$101,$H52)))</f>
        <v/>
      </c>
      <c r="H52" s="71">
        <f>IFERROR(MATCH(20,Stock!$Q$8:$Q$101,0),"")</f>
        <v/>
      </c>
    </row>
    <row r="53" ht="15" customHeight="1">
      <c r="A53" s="77" t="inlineStr">
        <is>
          <t>TOTAL MOVED TODAY</t>
        </is>
      </c>
      <c r="B53" s="103">
        <f>COUNTIF(Stock!$P$8:$P$101,1)&amp;" product(s)"</f>
        <v/>
      </c>
      <c r="C53" s="110">
        <f>SUM(Stock!$T$8:$T$101)</f>
        <v/>
      </c>
      <c r="D53" s="110">
        <f>SUM(Stock!$U$8:$U$101)</f>
        <v/>
      </c>
      <c r="E53" s="104" t="inlineStr">
        <is>
          <t>Kg</t>
        </is>
      </c>
      <c r="F53" s="77" t="n"/>
    </row>
    <row r="54">
      <c r="A54" s="135">
        <f>IF(COUNTIF(Stock!$P$8:$P$101,1)&gt;20,"Note: "&amp;(COUNTIF(Stock!$P$8:$P$101,1)-20)&amp;" further product(s) moved today — see the Stock sheet.","")</f>
        <v/>
      </c>
    </row>
    <row r="56">
      <c r="A56" s="136" t="inlineStr">
        <is>
          <t>Prepared from the stock register. Balances are in each product's own unit; totals are in kilos. Value = Closing Kg × Rate / Kg ($) × Exchange Rate.</t>
        </is>
      </c>
      <c r="B56" s="148" t="n"/>
      <c r="C56" s="148" t="n"/>
      <c r="D56" s="148" t="n"/>
      <c r="E56" s="148" t="n"/>
      <c r="F56" s="148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mergeCells count="13">
    <mergeCell ref="A54:F54"/>
    <mergeCell ref="A10:F10"/>
    <mergeCell ref="E6:F6"/>
    <mergeCell ref="E2:F2"/>
    <mergeCell ref="E1:F1"/>
    <mergeCell ref="B1:D3"/>
    <mergeCell ref="A31:F31"/>
    <mergeCell ref="E5:F5"/>
    <mergeCell ref="A56:F56"/>
    <mergeCell ref="A12:F12"/>
    <mergeCell ref="E9:F9"/>
    <mergeCell ref="E8:F8"/>
    <mergeCell ref="E3:F3"/>
  </mergeCells>
  <conditionalFormatting sqref="A14:F28">
    <cfRule type="expression" priority="2">
      <formula>$A14=""</formula>
    </cfRule>
  </conditionalFormatting>
  <conditionalFormatting sqref="A33:F52">
    <cfRule type="expression" priority="3" dxfId="0">
      <formula>$B33&lt;&gt;""</formula>
    </cfRule>
  </conditionalFormatting>
  <pageMargins left="0.4" right="0.4" top="0.4" bottom="0.4" header="0.511811023622047" footer="0.511811023622047"/>
  <pageSetup orientation="portrait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5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1" customWidth="1" min="10" max="10"/>
    <col width="20" customWidth="1" min="11" max="11"/>
    <col width="9" customWidth="1" min="12" max="12"/>
    <col width="2" customWidth="1" min="14" max="14"/>
    <col width="13" customWidth="1" min="15" max="15"/>
    <col width="11" customWidth="1" min="16" max="16"/>
  </cols>
  <sheetData>
    <row r="1" ht="18" customHeight="1">
      <c r="A1" s="2" t="inlineStr">
        <is>
          <t>PREMIER EXPORTS INTERNATIONAL</t>
        </is>
      </c>
    </row>
    <row r="2">
      <c r="A2" s="4" t="inlineStr">
        <is>
          <t>CARTON STOCK — LIVE POSITION</t>
        </is>
      </c>
    </row>
    <row r="3">
      <c r="A3" s="5" t="inlineStr">
        <is>
          <t>Statement Date</t>
        </is>
      </c>
      <c r="E3" s="149">
        <f>Stock!$E$3</f>
        <v/>
      </c>
      <c r="F3" s="7" t="inlineStr">
        <is>
          <t>← from Stock; change it there</t>
        </is>
      </c>
    </row>
    <row r="4">
      <c r="A4" s="5" t="inlineStr">
        <is>
          <t>Count Date</t>
        </is>
      </c>
      <c r="E4" s="150" t="n">
        <v>46325</v>
      </c>
      <c r="F4" s="7" t="inlineStr">
        <is>
          <t>← the day the opening cartons were counted, before that day's packing</t>
        </is>
      </c>
      <c r="O4" s="25" t="inlineStr">
        <is>
          <t>Days averaged</t>
        </is>
      </c>
      <c r="P4" s="151">
        <f>MAX(1,MIN(30,Stock!$E$3-'Carton Stock'!$E$4+1))</f>
        <v/>
      </c>
    </row>
    <row r="5">
      <c r="A5" s="7" t="inlineStr">
        <is>
          <t>Cartons used come from production on Daily Entry and the carton sizes on Packing, rounded up per product. Closing = Opening + Received − Used ± Adjusted.</t>
        </is>
      </c>
    </row>
    <row r="7" ht="30" customHeight="1">
      <c r="A7" s="23" t="inlineStr">
        <is>
          <t>Brand</t>
        </is>
      </c>
      <c r="B7" s="23" t="inlineStr">
        <is>
          <t>Carton</t>
        </is>
      </c>
      <c r="C7" s="23" t="inlineStr">
        <is>
          <t>Opening Stock</t>
        </is>
      </c>
      <c r="D7" s="23" t="inlineStr">
        <is>
          <t>Received Today</t>
        </is>
      </c>
      <c r="E7" s="23" t="inlineStr">
        <is>
          <t>Used Today</t>
        </is>
      </c>
      <c r="F7" s="23" t="inlineStr">
        <is>
          <t>Received to Date</t>
        </is>
      </c>
      <c r="G7" s="23" t="inlineStr">
        <is>
          <t>Used to Date</t>
        </is>
      </c>
      <c r="H7" s="23" t="inlineStr">
        <is>
          <t>Adjusted to Date</t>
        </is>
      </c>
      <c r="I7" s="23" t="inlineStr">
        <is>
          <t>Closing Stock</t>
        </is>
      </c>
      <c r="J7" s="23" t="inlineStr">
        <is>
          <t>Reorder Level</t>
        </is>
      </c>
      <c r="K7" s="23" t="inlineStr">
        <is>
          <t>Status</t>
        </is>
      </c>
      <c r="L7" s="23" t="inlineStr">
        <is>
          <t>Days Left</t>
        </is>
      </c>
      <c r="O7" s="25" t="inlineStr">
        <is>
          <t>Used / day (last 30 days)</t>
        </is>
      </c>
      <c r="P7" s="25" t="inlineStr">
        <is>
          <t>Duplicate name</t>
        </is>
      </c>
    </row>
    <row r="8" ht="15" customHeight="1">
      <c r="A8" s="152" t="inlineStr">
        <is>
          <t>Blue Dolphin</t>
        </is>
      </c>
      <c r="B8" s="152" t="inlineStr">
        <is>
          <t>Blue Dolphin carton</t>
        </is>
      </c>
      <c r="C8" s="153" t="n"/>
      <c r="D8" s="11">
        <f>IF($B8="","",IF(Stock!$E$3&lt;'Carton Stock'!$E$4,0,SUMIFS('Carton Entry'!$C$7:$C$5006,'Carton Entry'!$B$7:$B$5006,$B8,'Carton Entry'!$A$7:$A$5006,Stock!$E$3)))</f>
        <v/>
      </c>
      <c r="E8" s="11">
        <f>IF($B8="","",SUMIF(Packing!$D$8:$D$101,$B8,Packing!$I$8:$I$101))</f>
        <v/>
      </c>
      <c r="F8" s="154">
        <f>IF($B8="","",IF(Stock!$E$3&lt;'Carton Stock'!$E$4,0,SUMIFS('Carton Entry'!$C$7:$C$5006,'Carton Entry'!$B$7:$B$5006,$B8,'Carton Entry'!$A$7:$A$5006,"&gt;="&amp;'Carton Stock'!$E$4,'Carton Entry'!$A$7:$A$5006,"&lt;="&amp;Stock!$E$3)))</f>
        <v/>
      </c>
      <c r="G8" s="154">
        <f>IF($B8="","",SUMIF(Packing!$D$8:$D$101,$B8,Packing!$G$8:$G$101))</f>
        <v/>
      </c>
      <c r="H8" s="155">
        <f>IF($B8="","",IF(Stock!$E$3&lt;'Carton Stock'!$E$4,0,SUMIFS('Carton Entry'!$D$7:$D$5006,'Carton Entry'!$B$7:$B$5006,$B8,'Carton Entry'!$A$7:$A$5006,"&gt;="&amp;'Carton Stock'!$E$4,'Carton Entry'!$A$7:$A$5006,"&lt;="&amp;Stock!$E$3)))</f>
        <v/>
      </c>
      <c r="I8" s="156">
        <f>IF(OR($B8="",$C8=""),"",$C8+$F8-$G8+$H8)</f>
        <v/>
      </c>
      <c r="J8" s="153" t="n"/>
      <c r="K8" s="157">
        <f>IF($B8="","",IF($C8="","Count needed",IF($I8&lt;0,"Negative — check",IF(AND($J8&lt;&gt;"",$I8&lt;=$J8),"Reorder","OK"))))</f>
        <v/>
      </c>
      <c r="L8" s="158">
        <f>IF($I8="","",IF($I8&lt;=0,0,IF(N($O8)&lt;=0,"—",ROUNDDOWN($I8/$O8,0))))</f>
        <v/>
      </c>
      <c r="O8" s="159">
        <f>IF($B8="","",SUMIF(Packing!$D$8:$D$101,$B8,Packing!$Q$8:$Q$101)/$P$4)</f>
        <v/>
      </c>
      <c r="P8" s="151">
        <f>IF($B8="",0,IF(COUNTIF($B$8:$B$47,$B8)&gt;1,1,0))</f>
        <v/>
      </c>
    </row>
    <row r="9" ht="15" customHeight="1">
      <c r="A9" s="152" t="inlineStr">
        <is>
          <t>Primus Japan</t>
        </is>
      </c>
      <c r="B9" s="152" t="inlineStr">
        <is>
          <t>Primus Japan carton</t>
        </is>
      </c>
      <c r="C9" s="153" t="n"/>
      <c r="D9" s="11">
        <f>IF($B9="","",IF(Stock!$E$3&lt;'Carton Stock'!$E$4,0,SUMIFS('Carton Entry'!$C$7:$C$5006,'Carton Entry'!$B$7:$B$5006,$B9,'Carton Entry'!$A$7:$A$5006,Stock!$E$3)))</f>
        <v/>
      </c>
      <c r="E9" s="11">
        <f>IF($B9="","",SUMIF(Packing!$D$8:$D$101,$B9,Packing!$I$8:$I$101))</f>
        <v/>
      </c>
      <c r="F9" s="154">
        <f>IF($B9="","",IF(Stock!$E$3&lt;'Carton Stock'!$E$4,0,SUMIFS('Carton Entry'!$C$7:$C$5006,'Carton Entry'!$B$7:$B$5006,$B9,'Carton Entry'!$A$7:$A$5006,"&gt;="&amp;'Carton Stock'!$E$4,'Carton Entry'!$A$7:$A$5006,"&lt;="&amp;Stock!$E$3)))</f>
        <v/>
      </c>
      <c r="G9" s="154">
        <f>IF($B9="","",SUMIF(Packing!$D$8:$D$101,$B9,Packing!$G$8:$G$101))</f>
        <v/>
      </c>
      <c r="H9" s="155">
        <f>IF($B9="","",IF(Stock!$E$3&lt;'Carton Stock'!$E$4,0,SUMIFS('Carton Entry'!$D$7:$D$5006,'Carton Entry'!$B$7:$B$5006,$B9,'Carton Entry'!$A$7:$A$5006,"&gt;="&amp;'Carton Stock'!$E$4,'Carton Entry'!$A$7:$A$5006,"&lt;="&amp;Stock!$E$3)))</f>
        <v/>
      </c>
      <c r="I9" s="156">
        <f>IF(OR($B9="",$C9=""),"",$C9+$F9-$G9+$H9)</f>
        <v/>
      </c>
      <c r="J9" s="153" t="n"/>
      <c r="K9" s="157">
        <f>IF($B9="","",IF($C9="","Count needed",IF($I9&lt;0,"Negative — check",IF(AND($J9&lt;&gt;"",$I9&lt;=$J9),"Reorder","OK"))))</f>
        <v/>
      </c>
      <c r="L9" s="158">
        <f>IF($I9="","",IF($I9&lt;=0,0,IF(N($O9)&lt;=0,"—",ROUNDDOWN($I9/$O9,0))))</f>
        <v/>
      </c>
      <c r="O9" s="159">
        <f>IF($B9="","",SUMIF(Packing!$D$8:$D$101,$B9,Packing!$Q$8:$Q$101)/$P$4)</f>
        <v/>
      </c>
      <c r="P9" s="151">
        <f>IF($B9="",0,IF(COUNTIF($B$8:$B$47,$B9)&gt;1,1,0))</f>
        <v/>
      </c>
    </row>
    <row r="10" ht="15" customHeight="1">
      <c r="A10" s="152" t="inlineStr">
        <is>
          <t>Primus EU</t>
        </is>
      </c>
      <c r="B10" s="152" t="inlineStr">
        <is>
          <t>Primus EU carton</t>
        </is>
      </c>
      <c r="C10" s="153" t="n"/>
      <c r="D10" s="11">
        <f>IF($B10="","",IF(Stock!$E$3&lt;'Carton Stock'!$E$4,0,SUMIFS('Carton Entry'!$C$7:$C$5006,'Carton Entry'!$B$7:$B$5006,$B10,'Carton Entry'!$A$7:$A$5006,Stock!$E$3)))</f>
        <v/>
      </c>
      <c r="E10" s="11">
        <f>IF($B10="","",SUMIF(Packing!$D$8:$D$101,$B10,Packing!$I$8:$I$101))</f>
        <v/>
      </c>
      <c r="F10" s="154">
        <f>IF($B10="","",IF(Stock!$E$3&lt;'Carton Stock'!$E$4,0,SUMIFS('Carton Entry'!$C$7:$C$5006,'Carton Entry'!$B$7:$B$5006,$B10,'Carton Entry'!$A$7:$A$5006,"&gt;="&amp;'Carton Stock'!$E$4,'Carton Entry'!$A$7:$A$5006,"&lt;="&amp;Stock!$E$3)))</f>
        <v/>
      </c>
      <c r="G10" s="154">
        <f>IF($B10="","",SUMIF(Packing!$D$8:$D$101,$B10,Packing!$G$8:$G$101))</f>
        <v/>
      </c>
      <c r="H10" s="155">
        <f>IF($B10="","",IF(Stock!$E$3&lt;'Carton Stock'!$E$4,0,SUMIFS('Carton Entry'!$D$7:$D$5006,'Carton Entry'!$B$7:$B$5006,$B10,'Carton Entry'!$A$7:$A$5006,"&gt;="&amp;'Carton Stock'!$E$4,'Carton Entry'!$A$7:$A$5006,"&lt;="&amp;Stock!$E$3)))</f>
        <v/>
      </c>
      <c r="I10" s="156">
        <f>IF(OR($B10="",$C10=""),"",$C10+$F10-$G10+$H10)</f>
        <v/>
      </c>
      <c r="J10" s="153" t="n"/>
      <c r="K10" s="157">
        <f>IF($B10="","",IF($C10="","Count needed",IF($I10&lt;0,"Negative — check",IF(AND($J10&lt;&gt;"",$I10&lt;=$J10),"Reorder","OK"))))</f>
        <v/>
      </c>
      <c r="L10" s="158">
        <f>IF($I10="","",IF($I10&lt;=0,0,IF(N($O10)&lt;=0,"—",ROUNDDOWN($I10/$O10,0))))</f>
        <v/>
      </c>
      <c r="O10" s="159">
        <f>IF($B10="","",SUMIF(Packing!$D$8:$D$101,$B10,Packing!$Q$8:$Q$101)/$P$4)</f>
        <v/>
      </c>
      <c r="P10" s="151">
        <f>IF($B10="",0,IF(COUNTIF($B$8:$B$47,$B10)&gt;1,1,0))</f>
        <v/>
      </c>
    </row>
    <row r="11" ht="15" customHeight="1">
      <c r="A11" s="152" t="inlineStr">
        <is>
          <t>AMF Brand</t>
        </is>
      </c>
      <c r="B11" s="152" t="inlineStr">
        <is>
          <t>AMF Brand carton</t>
        </is>
      </c>
      <c r="C11" s="153" t="n"/>
      <c r="D11" s="11">
        <f>IF($B11="","",IF(Stock!$E$3&lt;'Carton Stock'!$E$4,0,SUMIFS('Carton Entry'!$C$7:$C$5006,'Carton Entry'!$B$7:$B$5006,$B11,'Carton Entry'!$A$7:$A$5006,Stock!$E$3)))</f>
        <v/>
      </c>
      <c r="E11" s="11">
        <f>IF($B11="","",SUMIF(Packing!$D$8:$D$101,$B11,Packing!$I$8:$I$101))</f>
        <v/>
      </c>
      <c r="F11" s="154">
        <f>IF($B11="","",IF(Stock!$E$3&lt;'Carton Stock'!$E$4,0,SUMIFS('Carton Entry'!$C$7:$C$5006,'Carton Entry'!$B$7:$B$5006,$B11,'Carton Entry'!$A$7:$A$5006,"&gt;="&amp;'Carton Stock'!$E$4,'Carton Entry'!$A$7:$A$5006,"&lt;="&amp;Stock!$E$3)))</f>
        <v/>
      </c>
      <c r="G11" s="154">
        <f>IF($B11="","",SUMIF(Packing!$D$8:$D$101,$B11,Packing!$G$8:$G$101))</f>
        <v/>
      </c>
      <c r="H11" s="155">
        <f>IF($B11="","",IF(Stock!$E$3&lt;'Carton Stock'!$E$4,0,SUMIFS('Carton Entry'!$D$7:$D$5006,'Carton Entry'!$B$7:$B$5006,$B11,'Carton Entry'!$A$7:$A$5006,"&gt;="&amp;'Carton Stock'!$E$4,'Carton Entry'!$A$7:$A$5006,"&lt;="&amp;Stock!$E$3)))</f>
        <v/>
      </c>
      <c r="I11" s="156">
        <f>IF(OR($B11="",$C11=""),"",$C11+$F11-$G11+$H11)</f>
        <v/>
      </c>
      <c r="J11" s="153" t="n"/>
      <c r="K11" s="157">
        <f>IF($B11="","",IF($C11="","Count needed",IF($I11&lt;0,"Negative — check",IF(AND($J11&lt;&gt;"",$I11&lt;=$J11),"Reorder","OK"))))</f>
        <v/>
      </c>
      <c r="L11" s="158">
        <f>IF($I11="","",IF($I11&lt;=0,0,IF(N($O11)&lt;=0,"—",ROUNDDOWN($I11/$O11,0))))</f>
        <v/>
      </c>
      <c r="O11" s="159">
        <f>IF($B11="","",SUMIF(Packing!$D$8:$D$101,$B11,Packing!$Q$8:$Q$101)/$P$4)</f>
        <v/>
      </c>
      <c r="P11" s="151">
        <f>IF($B11="",0,IF(COUNTIF($B$8:$B$47,$B11)&gt;1,1,0))</f>
        <v/>
      </c>
    </row>
    <row r="12" ht="15" customHeight="1">
      <c r="A12" s="152" t="inlineStr">
        <is>
          <t>THT Brand</t>
        </is>
      </c>
      <c r="B12" s="152" t="inlineStr">
        <is>
          <t>THT Brand carton</t>
        </is>
      </c>
      <c r="C12" s="153" t="n"/>
      <c r="D12" s="11">
        <f>IF($B12="","",IF(Stock!$E$3&lt;'Carton Stock'!$E$4,0,SUMIFS('Carton Entry'!$C$7:$C$5006,'Carton Entry'!$B$7:$B$5006,$B12,'Carton Entry'!$A$7:$A$5006,Stock!$E$3)))</f>
        <v/>
      </c>
      <c r="E12" s="11">
        <f>IF($B12="","",SUMIF(Packing!$D$8:$D$101,$B12,Packing!$I$8:$I$101))</f>
        <v/>
      </c>
      <c r="F12" s="154">
        <f>IF($B12="","",IF(Stock!$E$3&lt;'Carton Stock'!$E$4,0,SUMIFS('Carton Entry'!$C$7:$C$5006,'Carton Entry'!$B$7:$B$5006,$B12,'Carton Entry'!$A$7:$A$5006,"&gt;="&amp;'Carton Stock'!$E$4,'Carton Entry'!$A$7:$A$5006,"&lt;="&amp;Stock!$E$3)))</f>
        <v/>
      </c>
      <c r="G12" s="154">
        <f>IF($B12="","",SUMIF(Packing!$D$8:$D$101,$B12,Packing!$G$8:$G$101))</f>
        <v/>
      </c>
      <c r="H12" s="155">
        <f>IF($B12="","",IF(Stock!$E$3&lt;'Carton Stock'!$E$4,0,SUMIFS('Carton Entry'!$D$7:$D$5006,'Carton Entry'!$B$7:$B$5006,$B12,'Carton Entry'!$A$7:$A$5006,"&gt;="&amp;'Carton Stock'!$E$4,'Carton Entry'!$A$7:$A$5006,"&lt;="&amp;Stock!$E$3)))</f>
        <v/>
      </c>
      <c r="I12" s="156">
        <f>IF(OR($B12="",$C12=""),"",$C12+$F12-$G12+$H12)</f>
        <v/>
      </c>
      <c r="J12" s="153" t="n"/>
      <c r="K12" s="157">
        <f>IF($B12="","",IF($C12="","Count needed",IF($I12&lt;0,"Negative — check",IF(AND($J12&lt;&gt;"",$I12&lt;=$J12),"Reorder","OK"))))</f>
        <v/>
      </c>
      <c r="L12" s="158">
        <f>IF($I12="","",IF($I12&lt;=0,0,IF(N($O12)&lt;=0,"—",ROUNDDOWN($I12/$O12,0))))</f>
        <v/>
      </c>
      <c r="O12" s="159">
        <f>IF($B12="","",SUMIF(Packing!$D$8:$D$101,$B12,Packing!$Q$8:$Q$101)/$P$4)</f>
        <v/>
      </c>
      <c r="P12" s="151">
        <f>IF($B12="",0,IF(COUNTIF($B$8:$B$47,$B12)&gt;1,1,0))</f>
        <v/>
      </c>
    </row>
    <row r="13" ht="15" customHeight="1">
      <c r="A13" s="152" t="inlineStr">
        <is>
          <t>China</t>
        </is>
      </c>
      <c r="B13" s="152" t="inlineStr">
        <is>
          <t>China carton</t>
        </is>
      </c>
      <c r="C13" s="153" t="n"/>
      <c r="D13" s="11">
        <f>IF($B13="","",IF(Stock!$E$3&lt;'Carton Stock'!$E$4,0,SUMIFS('Carton Entry'!$C$7:$C$5006,'Carton Entry'!$B$7:$B$5006,$B13,'Carton Entry'!$A$7:$A$5006,Stock!$E$3)))</f>
        <v/>
      </c>
      <c r="E13" s="11">
        <f>IF($B13="","",SUMIF(Packing!$D$8:$D$101,$B13,Packing!$I$8:$I$101))</f>
        <v/>
      </c>
      <c r="F13" s="154">
        <f>IF($B13="","",IF(Stock!$E$3&lt;'Carton Stock'!$E$4,0,SUMIFS('Carton Entry'!$C$7:$C$5006,'Carton Entry'!$B$7:$B$5006,$B13,'Carton Entry'!$A$7:$A$5006,"&gt;="&amp;'Carton Stock'!$E$4,'Carton Entry'!$A$7:$A$5006,"&lt;="&amp;Stock!$E$3)))</f>
        <v/>
      </c>
      <c r="G13" s="154">
        <f>IF($B13="","",SUMIF(Packing!$D$8:$D$101,$B13,Packing!$G$8:$G$101))</f>
        <v/>
      </c>
      <c r="H13" s="155">
        <f>IF($B13="","",IF(Stock!$E$3&lt;'Carton Stock'!$E$4,0,SUMIFS('Carton Entry'!$D$7:$D$5006,'Carton Entry'!$B$7:$B$5006,$B13,'Carton Entry'!$A$7:$A$5006,"&gt;="&amp;'Carton Stock'!$E$4,'Carton Entry'!$A$7:$A$5006,"&lt;="&amp;Stock!$E$3)))</f>
        <v/>
      </c>
      <c r="I13" s="156">
        <f>IF(OR($B13="",$C13=""),"",$C13+$F13-$G13+$H13)</f>
        <v/>
      </c>
      <c r="J13" s="153" t="n"/>
      <c r="K13" s="157">
        <f>IF($B13="","",IF($C13="","Count needed",IF($I13&lt;0,"Negative — check",IF(AND($J13&lt;&gt;"",$I13&lt;=$J13),"Reorder","OK"))))</f>
        <v/>
      </c>
      <c r="L13" s="158">
        <f>IF($I13="","",IF($I13&lt;=0,0,IF(N($O13)&lt;=0,"—",ROUNDDOWN($I13/$O13,0))))</f>
        <v/>
      </c>
      <c r="O13" s="159">
        <f>IF($B13="","",SUMIF(Packing!$D$8:$D$101,$B13,Packing!$Q$8:$Q$101)/$P$4)</f>
        <v/>
      </c>
      <c r="P13" s="151">
        <f>IF($B13="",0,IF(COUNTIF($B$8:$B$47,$B13)&gt;1,1,0))</f>
        <v/>
      </c>
    </row>
    <row r="14" ht="15" customHeight="1">
      <c r="A14" s="152" t="inlineStr">
        <is>
          <t>Deep Sea</t>
        </is>
      </c>
      <c r="B14" s="152" t="inlineStr">
        <is>
          <t>Deep Sea carton</t>
        </is>
      </c>
      <c r="C14" s="153" t="n"/>
      <c r="D14" s="11">
        <f>IF($B14="","",IF(Stock!$E$3&lt;'Carton Stock'!$E$4,0,SUMIFS('Carton Entry'!$C$7:$C$5006,'Carton Entry'!$B$7:$B$5006,$B14,'Carton Entry'!$A$7:$A$5006,Stock!$E$3)))</f>
        <v/>
      </c>
      <c r="E14" s="11">
        <f>IF($B14="","",SUMIF(Packing!$D$8:$D$101,$B14,Packing!$I$8:$I$101))</f>
        <v/>
      </c>
      <c r="F14" s="154">
        <f>IF($B14="","",IF(Stock!$E$3&lt;'Carton Stock'!$E$4,0,SUMIFS('Carton Entry'!$C$7:$C$5006,'Carton Entry'!$B$7:$B$5006,$B14,'Carton Entry'!$A$7:$A$5006,"&gt;="&amp;'Carton Stock'!$E$4,'Carton Entry'!$A$7:$A$5006,"&lt;="&amp;Stock!$E$3)))</f>
        <v/>
      </c>
      <c r="G14" s="154">
        <f>IF($B14="","",SUMIF(Packing!$D$8:$D$101,$B14,Packing!$G$8:$G$101))</f>
        <v/>
      </c>
      <c r="H14" s="155">
        <f>IF($B14="","",IF(Stock!$E$3&lt;'Carton Stock'!$E$4,0,SUMIFS('Carton Entry'!$D$7:$D$5006,'Carton Entry'!$B$7:$B$5006,$B14,'Carton Entry'!$A$7:$A$5006,"&gt;="&amp;'Carton Stock'!$E$4,'Carton Entry'!$A$7:$A$5006,"&lt;="&amp;Stock!$E$3)))</f>
        <v/>
      </c>
      <c r="I14" s="156">
        <f>IF(OR($B14="",$C14=""),"",$C14+$F14-$G14+$H14)</f>
        <v/>
      </c>
      <c r="J14" s="153" t="n"/>
      <c r="K14" s="157">
        <f>IF($B14="","",IF($C14="","Count needed",IF($I14&lt;0,"Negative — check",IF(AND($J14&lt;&gt;"",$I14&lt;=$J14),"Reorder","OK"))))</f>
        <v/>
      </c>
      <c r="L14" s="158">
        <f>IF($I14="","",IF($I14&lt;=0,0,IF(N($O14)&lt;=0,"—",ROUNDDOWN($I14/$O14,0))))</f>
        <v/>
      </c>
      <c r="O14" s="159">
        <f>IF($B14="","",SUMIF(Packing!$D$8:$D$101,$B14,Packing!$Q$8:$Q$101)/$P$4)</f>
        <v/>
      </c>
      <c r="P14" s="151">
        <f>IF($B14="",0,IF(COUNTIF($B$8:$B$47,$B14)&gt;1,1,0))</f>
        <v/>
      </c>
    </row>
    <row r="15" ht="15" customHeight="1">
      <c r="A15" s="152" t="inlineStr">
        <is>
          <t>Shrimp Whole</t>
        </is>
      </c>
      <c r="B15" s="152" t="inlineStr">
        <is>
          <t>Shrimp Whole carton</t>
        </is>
      </c>
      <c r="C15" s="153" t="n"/>
      <c r="D15" s="11">
        <f>IF($B15="","",IF(Stock!$E$3&lt;'Carton Stock'!$E$4,0,SUMIFS('Carton Entry'!$C$7:$C$5006,'Carton Entry'!$B$7:$B$5006,$B15,'Carton Entry'!$A$7:$A$5006,Stock!$E$3)))</f>
        <v/>
      </c>
      <c r="E15" s="11">
        <f>IF($B15="","",SUMIF(Packing!$D$8:$D$101,$B15,Packing!$I$8:$I$101))</f>
        <v/>
      </c>
      <c r="F15" s="154">
        <f>IF($B15="","",IF(Stock!$E$3&lt;'Carton Stock'!$E$4,0,SUMIFS('Carton Entry'!$C$7:$C$5006,'Carton Entry'!$B$7:$B$5006,$B15,'Carton Entry'!$A$7:$A$5006,"&gt;="&amp;'Carton Stock'!$E$4,'Carton Entry'!$A$7:$A$5006,"&lt;="&amp;Stock!$E$3)))</f>
        <v/>
      </c>
      <c r="G15" s="154">
        <f>IF($B15="","",SUMIF(Packing!$D$8:$D$101,$B15,Packing!$G$8:$G$101))</f>
        <v/>
      </c>
      <c r="H15" s="155">
        <f>IF($B15="","",IF(Stock!$E$3&lt;'Carton Stock'!$E$4,0,SUMIFS('Carton Entry'!$D$7:$D$5006,'Carton Entry'!$B$7:$B$5006,$B15,'Carton Entry'!$A$7:$A$5006,"&gt;="&amp;'Carton Stock'!$E$4,'Carton Entry'!$A$7:$A$5006,"&lt;="&amp;Stock!$E$3)))</f>
        <v/>
      </c>
      <c r="I15" s="156">
        <f>IF(OR($B15="",$C15=""),"",$C15+$F15-$G15+$H15)</f>
        <v/>
      </c>
      <c r="J15" s="153" t="n"/>
      <c r="K15" s="157">
        <f>IF($B15="","",IF($C15="","Count needed",IF($I15&lt;0,"Negative — check",IF(AND($J15&lt;&gt;"",$I15&lt;=$J15),"Reorder","OK"))))</f>
        <v/>
      </c>
      <c r="L15" s="158">
        <f>IF($I15="","",IF($I15&lt;=0,0,IF(N($O15)&lt;=0,"—",ROUNDDOWN($I15/$O15,0))))</f>
        <v/>
      </c>
      <c r="O15" s="159">
        <f>IF($B15="","",SUMIF(Packing!$D$8:$D$101,$B15,Packing!$Q$8:$Q$101)/$P$4)</f>
        <v/>
      </c>
      <c r="P15" s="151">
        <f>IF($B15="",0,IF(COUNTIF($B$8:$B$47,$B15)&gt;1,1,0))</f>
        <v/>
      </c>
    </row>
    <row r="16" ht="15" customHeight="1">
      <c r="A16" s="152" t="inlineStr">
        <is>
          <t>Tuna</t>
        </is>
      </c>
      <c r="B16" s="152" t="inlineStr">
        <is>
          <t>Tuna carton</t>
        </is>
      </c>
      <c r="C16" s="153" t="n"/>
      <c r="D16" s="11">
        <f>IF($B16="","",IF(Stock!$E$3&lt;'Carton Stock'!$E$4,0,SUMIFS('Carton Entry'!$C$7:$C$5006,'Carton Entry'!$B$7:$B$5006,$B16,'Carton Entry'!$A$7:$A$5006,Stock!$E$3)))</f>
        <v/>
      </c>
      <c r="E16" s="11">
        <f>IF($B16="","",SUMIF(Packing!$D$8:$D$101,$B16,Packing!$I$8:$I$101))</f>
        <v/>
      </c>
      <c r="F16" s="154">
        <f>IF($B16="","",IF(Stock!$E$3&lt;'Carton Stock'!$E$4,0,SUMIFS('Carton Entry'!$C$7:$C$5006,'Carton Entry'!$B$7:$B$5006,$B16,'Carton Entry'!$A$7:$A$5006,"&gt;="&amp;'Carton Stock'!$E$4,'Carton Entry'!$A$7:$A$5006,"&lt;="&amp;Stock!$E$3)))</f>
        <v/>
      </c>
      <c r="G16" s="154">
        <f>IF($B16="","",SUMIF(Packing!$D$8:$D$101,$B16,Packing!$G$8:$G$101))</f>
        <v/>
      </c>
      <c r="H16" s="155">
        <f>IF($B16="","",IF(Stock!$E$3&lt;'Carton Stock'!$E$4,0,SUMIFS('Carton Entry'!$D$7:$D$5006,'Carton Entry'!$B$7:$B$5006,$B16,'Carton Entry'!$A$7:$A$5006,"&gt;="&amp;'Carton Stock'!$E$4,'Carton Entry'!$A$7:$A$5006,"&lt;="&amp;Stock!$E$3)))</f>
        <v/>
      </c>
      <c r="I16" s="156">
        <f>IF(OR($B16="",$C16=""),"",$C16+$F16-$G16+$H16)</f>
        <v/>
      </c>
      <c r="J16" s="153" t="n"/>
      <c r="K16" s="157">
        <f>IF($B16="","",IF($C16="","Count needed",IF($I16&lt;0,"Negative — check",IF(AND($J16&lt;&gt;"",$I16&lt;=$J16),"Reorder","OK"))))</f>
        <v/>
      </c>
      <c r="L16" s="158">
        <f>IF($I16="","",IF($I16&lt;=0,0,IF(N($O16)&lt;=0,"—",ROUNDDOWN($I16/$O16,0))))</f>
        <v/>
      </c>
      <c r="O16" s="159">
        <f>IF($B16="","",SUMIF(Packing!$D$8:$D$101,$B16,Packing!$Q$8:$Q$101)/$P$4)</f>
        <v/>
      </c>
      <c r="P16" s="151">
        <f>IF($B16="",0,IF(COUNTIF($B$8:$B$47,$B16)&gt;1,1,0))</f>
        <v/>
      </c>
    </row>
    <row r="17" ht="15" customHeight="1">
      <c r="A17" s="152" t="inlineStr">
        <is>
          <t>Mackerel</t>
        </is>
      </c>
      <c r="B17" s="152" t="inlineStr">
        <is>
          <t>Mackerel carton</t>
        </is>
      </c>
      <c r="C17" s="153" t="n"/>
      <c r="D17" s="11">
        <f>IF($B17="","",IF(Stock!$E$3&lt;'Carton Stock'!$E$4,0,SUMIFS('Carton Entry'!$C$7:$C$5006,'Carton Entry'!$B$7:$B$5006,$B17,'Carton Entry'!$A$7:$A$5006,Stock!$E$3)))</f>
        <v/>
      </c>
      <c r="E17" s="11">
        <f>IF($B17="","",SUMIF(Packing!$D$8:$D$101,$B17,Packing!$I$8:$I$101))</f>
        <v/>
      </c>
      <c r="F17" s="154">
        <f>IF($B17="","",IF(Stock!$E$3&lt;'Carton Stock'!$E$4,0,SUMIFS('Carton Entry'!$C$7:$C$5006,'Carton Entry'!$B$7:$B$5006,$B17,'Carton Entry'!$A$7:$A$5006,"&gt;="&amp;'Carton Stock'!$E$4,'Carton Entry'!$A$7:$A$5006,"&lt;="&amp;Stock!$E$3)))</f>
        <v/>
      </c>
      <c r="G17" s="154">
        <f>IF($B17="","",SUMIF(Packing!$D$8:$D$101,$B17,Packing!$G$8:$G$101))</f>
        <v/>
      </c>
      <c r="H17" s="155">
        <f>IF($B17="","",IF(Stock!$E$3&lt;'Carton Stock'!$E$4,0,SUMIFS('Carton Entry'!$D$7:$D$5006,'Carton Entry'!$B$7:$B$5006,$B17,'Carton Entry'!$A$7:$A$5006,"&gt;="&amp;'Carton Stock'!$E$4,'Carton Entry'!$A$7:$A$5006,"&lt;="&amp;Stock!$E$3)))</f>
        <v/>
      </c>
      <c r="I17" s="156">
        <f>IF(OR($B17="",$C17=""),"",$C17+$F17-$G17+$H17)</f>
        <v/>
      </c>
      <c r="J17" s="153" t="n"/>
      <c r="K17" s="157">
        <f>IF($B17="","",IF($C17="","Count needed",IF($I17&lt;0,"Negative — check",IF(AND($J17&lt;&gt;"",$I17&lt;=$J17),"Reorder","OK"))))</f>
        <v/>
      </c>
      <c r="L17" s="158">
        <f>IF($I17="","",IF($I17&lt;=0,0,IF(N($O17)&lt;=0,"—",ROUNDDOWN($I17/$O17,0))))</f>
        <v/>
      </c>
      <c r="O17" s="159">
        <f>IF($B17="","",SUMIF(Packing!$D$8:$D$101,$B17,Packing!$Q$8:$Q$101)/$P$4)</f>
        <v/>
      </c>
      <c r="P17" s="151">
        <f>IF($B17="",0,IF(COUNTIF($B$8:$B$47,$B17)&gt;1,1,0))</f>
        <v/>
      </c>
    </row>
    <row r="18" ht="15" customHeight="1">
      <c r="A18" s="152" t="inlineStr">
        <is>
          <t>Cuttlefish</t>
        </is>
      </c>
      <c r="B18" s="152" t="inlineStr">
        <is>
          <t>Cuttlefish carton</t>
        </is>
      </c>
      <c r="C18" s="153" t="n"/>
      <c r="D18" s="11">
        <f>IF($B18="","",IF(Stock!$E$3&lt;'Carton Stock'!$E$4,0,SUMIFS('Carton Entry'!$C$7:$C$5006,'Carton Entry'!$B$7:$B$5006,$B18,'Carton Entry'!$A$7:$A$5006,Stock!$E$3)))</f>
        <v/>
      </c>
      <c r="E18" s="11">
        <f>IF($B18="","",SUMIF(Packing!$D$8:$D$101,$B18,Packing!$I$8:$I$101))</f>
        <v/>
      </c>
      <c r="F18" s="154">
        <f>IF($B18="","",IF(Stock!$E$3&lt;'Carton Stock'!$E$4,0,SUMIFS('Carton Entry'!$C$7:$C$5006,'Carton Entry'!$B$7:$B$5006,$B18,'Carton Entry'!$A$7:$A$5006,"&gt;="&amp;'Carton Stock'!$E$4,'Carton Entry'!$A$7:$A$5006,"&lt;="&amp;Stock!$E$3)))</f>
        <v/>
      </c>
      <c r="G18" s="154">
        <f>IF($B18="","",SUMIF(Packing!$D$8:$D$101,$B18,Packing!$G$8:$G$101))</f>
        <v/>
      </c>
      <c r="H18" s="155">
        <f>IF($B18="","",IF(Stock!$E$3&lt;'Carton Stock'!$E$4,0,SUMIFS('Carton Entry'!$D$7:$D$5006,'Carton Entry'!$B$7:$B$5006,$B18,'Carton Entry'!$A$7:$A$5006,"&gt;="&amp;'Carton Stock'!$E$4,'Carton Entry'!$A$7:$A$5006,"&lt;="&amp;Stock!$E$3)))</f>
        <v/>
      </c>
      <c r="I18" s="156">
        <f>IF(OR($B18="",$C18=""),"",$C18+$F18-$G18+$H18)</f>
        <v/>
      </c>
      <c r="J18" s="153" t="n"/>
      <c r="K18" s="157">
        <f>IF($B18="","",IF($C18="","Count needed",IF($I18&lt;0,"Negative — check",IF(AND($J18&lt;&gt;"",$I18&lt;=$J18),"Reorder","OK"))))</f>
        <v/>
      </c>
      <c r="L18" s="158">
        <f>IF($I18="","",IF($I18&lt;=0,0,IF(N($O18)&lt;=0,"—",ROUNDDOWN($I18/$O18,0))))</f>
        <v/>
      </c>
      <c r="O18" s="159">
        <f>IF($B18="","",SUMIF(Packing!$D$8:$D$101,$B18,Packing!$Q$8:$Q$101)/$P$4)</f>
        <v/>
      </c>
      <c r="P18" s="151">
        <f>IF($B18="",0,IF(COUNTIF($B$8:$B$47,$B18)&gt;1,1,0))</f>
        <v/>
      </c>
    </row>
    <row r="19" ht="15" customHeight="1">
      <c r="A19" s="152" t="inlineStr">
        <is>
          <t>White Squid</t>
        </is>
      </c>
      <c r="B19" s="152" t="inlineStr">
        <is>
          <t>White Squid carton</t>
        </is>
      </c>
      <c r="C19" s="153" t="n"/>
      <c r="D19" s="11">
        <f>IF($B19="","",IF(Stock!$E$3&lt;'Carton Stock'!$E$4,0,SUMIFS('Carton Entry'!$C$7:$C$5006,'Carton Entry'!$B$7:$B$5006,$B19,'Carton Entry'!$A$7:$A$5006,Stock!$E$3)))</f>
        <v/>
      </c>
      <c r="E19" s="11">
        <f>IF($B19="","",SUMIF(Packing!$D$8:$D$101,$B19,Packing!$I$8:$I$101))</f>
        <v/>
      </c>
      <c r="F19" s="154">
        <f>IF($B19="","",IF(Stock!$E$3&lt;'Carton Stock'!$E$4,0,SUMIFS('Carton Entry'!$C$7:$C$5006,'Carton Entry'!$B$7:$B$5006,$B19,'Carton Entry'!$A$7:$A$5006,"&gt;="&amp;'Carton Stock'!$E$4,'Carton Entry'!$A$7:$A$5006,"&lt;="&amp;Stock!$E$3)))</f>
        <v/>
      </c>
      <c r="G19" s="154">
        <f>IF($B19="","",SUMIF(Packing!$D$8:$D$101,$B19,Packing!$G$8:$G$101))</f>
        <v/>
      </c>
      <c r="H19" s="155">
        <f>IF($B19="","",IF(Stock!$E$3&lt;'Carton Stock'!$E$4,0,SUMIFS('Carton Entry'!$D$7:$D$5006,'Carton Entry'!$B$7:$B$5006,$B19,'Carton Entry'!$A$7:$A$5006,"&gt;="&amp;'Carton Stock'!$E$4,'Carton Entry'!$A$7:$A$5006,"&lt;="&amp;Stock!$E$3)))</f>
        <v/>
      </c>
      <c r="I19" s="156">
        <f>IF(OR($B19="",$C19=""),"",$C19+$F19-$G19+$H19)</f>
        <v/>
      </c>
      <c r="J19" s="153" t="n"/>
      <c r="K19" s="157">
        <f>IF($B19="","",IF($C19="","Count needed",IF($I19&lt;0,"Negative — check",IF(AND($J19&lt;&gt;"",$I19&lt;=$J19),"Reorder","OK"))))</f>
        <v/>
      </c>
      <c r="L19" s="158">
        <f>IF($I19="","",IF($I19&lt;=0,0,IF(N($O19)&lt;=0,"—",ROUNDDOWN($I19/$O19,0))))</f>
        <v/>
      </c>
      <c r="O19" s="159">
        <f>IF($B19="","",SUMIF(Packing!$D$8:$D$101,$B19,Packing!$Q$8:$Q$101)/$P$4)</f>
        <v/>
      </c>
      <c r="P19" s="151">
        <f>IF($B19="",0,IF(COUNTIF($B$8:$B$47,$B19)&gt;1,1,0))</f>
        <v/>
      </c>
    </row>
    <row r="20" ht="15" customHeight="1">
      <c r="A20" s="152" t="inlineStr">
        <is>
          <t>Semi Needle Squid</t>
        </is>
      </c>
      <c r="B20" s="152" t="inlineStr">
        <is>
          <t>Semi Needle Squid carton</t>
        </is>
      </c>
      <c r="C20" s="153" t="n"/>
      <c r="D20" s="11">
        <f>IF($B20="","",IF(Stock!$E$3&lt;'Carton Stock'!$E$4,0,SUMIFS('Carton Entry'!$C$7:$C$5006,'Carton Entry'!$B$7:$B$5006,$B20,'Carton Entry'!$A$7:$A$5006,Stock!$E$3)))</f>
        <v/>
      </c>
      <c r="E20" s="11">
        <f>IF($B20="","",SUMIF(Packing!$D$8:$D$101,$B20,Packing!$I$8:$I$101))</f>
        <v/>
      </c>
      <c r="F20" s="154">
        <f>IF($B20="","",IF(Stock!$E$3&lt;'Carton Stock'!$E$4,0,SUMIFS('Carton Entry'!$C$7:$C$5006,'Carton Entry'!$B$7:$B$5006,$B20,'Carton Entry'!$A$7:$A$5006,"&gt;="&amp;'Carton Stock'!$E$4,'Carton Entry'!$A$7:$A$5006,"&lt;="&amp;Stock!$E$3)))</f>
        <v/>
      </c>
      <c r="G20" s="154">
        <f>IF($B20="","",SUMIF(Packing!$D$8:$D$101,$B20,Packing!$G$8:$G$101))</f>
        <v/>
      </c>
      <c r="H20" s="155">
        <f>IF($B20="","",IF(Stock!$E$3&lt;'Carton Stock'!$E$4,0,SUMIFS('Carton Entry'!$D$7:$D$5006,'Carton Entry'!$B$7:$B$5006,$B20,'Carton Entry'!$A$7:$A$5006,"&gt;="&amp;'Carton Stock'!$E$4,'Carton Entry'!$A$7:$A$5006,"&lt;="&amp;Stock!$E$3)))</f>
        <v/>
      </c>
      <c r="I20" s="156">
        <f>IF(OR($B20="",$C20=""),"",$C20+$F20-$G20+$H20)</f>
        <v/>
      </c>
      <c r="J20" s="153" t="n"/>
      <c r="K20" s="157">
        <f>IF($B20="","",IF($C20="","Count needed",IF($I20&lt;0,"Negative — check",IF(AND($J20&lt;&gt;"",$I20&lt;=$J20),"Reorder","OK"))))</f>
        <v/>
      </c>
      <c r="L20" s="158">
        <f>IF($I20="","",IF($I20&lt;=0,0,IF(N($O20)&lt;=0,"—",ROUNDDOWN($I20/$O20,0))))</f>
        <v/>
      </c>
      <c r="O20" s="159">
        <f>IF($B20="","",SUMIF(Packing!$D$8:$D$101,$B20,Packing!$Q$8:$Q$101)/$P$4)</f>
        <v/>
      </c>
      <c r="P20" s="151">
        <f>IF($B20="",0,IF(COUNTIF($B$8:$B$47,$B20)&gt;1,1,0))</f>
        <v/>
      </c>
    </row>
    <row r="21" ht="15" customHeight="1">
      <c r="A21" s="152" t="n"/>
      <c r="B21" s="152" t="n"/>
      <c r="C21" s="153" t="n"/>
      <c r="D21" s="11">
        <f>IF($B21="","",IF(Stock!$E$3&lt;'Carton Stock'!$E$4,0,SUMIFS('Carton Entry'!$C$7:$C$5006,'Carton Entry'!$B$7:$B$5006,$B21,'Carton Entry'!$A$7:$A$5006,Stock!$E$3)))</f>
        <v/>
      </c>
      <c r="E21" s="11">
        <f>IF($B21="","",SUMIF(Packing!$D$8:$D$101,$B21,Packing!$I$8:$I$101))</f>
        <v/>
      </c>
      <c r="F21" s="154">
        <f>IF($B21="","",IF(Stock!$E$3&lt;'Carton Stock'!$E$4,0,SUMIFS('Carton Entry'!$C$7:$C$5006,'Carton Entry'!$B$7:$B$5006,$B21,'Carton Entry'!$A$7:$A$5006,"&gt;="&amp;'Carton Stock'!$E$4,'Carton Entry'!$A$7:$A$5006,"&lt;="&amp;Stock!$E$3)))</f>
        <v/>
      </c>
      <c r="G21" s="154">
        <f>IF($B21="","",SUMIF(Packing!$D$8:$D$101,$B21,Packing!$G$8:$G$101))</f>
        <v/>
      </c>
      <c r="H21" s="155">
        <f>IF($B21="","",IF(Stock!$E$3&lt;'Carton Stock'!$E$4,0,SUMIFS('Carton Entry'!$D$7:$D$5006,'Carton Entry'!$B$7:$B$5006,$B21,'Carton Entry'!$A$7:$A$5006,"&gt;="&amp;'Carton Stock'!$E$4,'Carton Entry'!$A$7:$A$5006,"&lt;="&amp;Stock!$E$3)))</f>
        <v/>
      </c>
      <c r="I21" s="156">
        <f>IF(OR($B21="",$C21=""),"",$C21+$F21-$G21+$H21)</f>
        <v/>
      </c>
      <c r="J21" s="153" t="n"/>
      <c r="K21" s="157">
        <f>IF($B21="","",IF($C21="","Count needed",IF($I21&lt;0,"Negative — check",IF(AND($J21&lt;&gt;"",$I21&lt;=$J21),"Reorder","OK"))))</f>
        <v/>
      </c>
      <c r="L21" s="158">
        <f>IF($I21="","",IF($I21&lt;=0,0,IF(N($O21)&lt;=0,"—",ROUNDDOWN($I21/$O21,0))))</f>
        <v/>
      </c>
      <c r="O21" s="159">
        <f>IF($B21="","",SUMIF(Packing!$D$8:$D$101,$B21,Packing!$Q$8:$Q$101)/$P$4)</f>
        <v/>
      </c>
      <c r="P21" s="151">
        <f>IF($B21="",0,IF(COUNTIF($B$8:$B$47,$B21)&gt;1,1,0))</f>
        <v/>
      </c>
    </row>
    <row r="22" ht="15" customHeight="1">
      <c r="A22" s="152" t="n"/>
      <c r="B22" s="152" t="n"/>
      <c r="C22" s="153" t="n"/>
      <c r="D22" s="11">
        <f>IF($B22="","",IF(Stock!$E$3&lt;'Carton Stock'!$E$4,0,SUMIFS('Carton Entry'!$C$7:$C$5006,'Carton Entry'!$B$7:$B$5006,$B22,'Carton Entry'!$A$7:$A$5006,Stock!$E$3)))</f>
        <v/>
      </c>
      <c r="E22" s="11">
        <f>IF($B22="","",SUMIF(Packing!$D$8:$D$101,$B22,Packing!$I$8:$I$101))</f>
        <v/>
      </c>
      <c r="F22" s="154">
        <f>IF($B22="","",IF(Stock!$E$3&lt;'Carton Stock'!$E$4,0,SUMIFS('Carton Entry'!$C$7:$C$5006,'Carton Entry'!$B$7:$B$5006,$B22,'Carton Entry'!$A$7:$A$5006,"&gt;="&amp;'Carton Stock'!$E$4,'Carton Entry'!$A$7:$A$5006,"&lt;="&amp;Stock!$E$3)))</f>
        <v/>
      </c>
      <c r="G22" s="154">
        <f>IF($B22="","",SUMIF(Packing!$D$8:$D$101,$B22,Packing!$G$8:$G$101))</f>
        <v/>
      </c>
      <c r="H22" s="155">
        <f>IF($B22="","",IF(Stock!$E$3&lt;'Carton Stock'!$E$4,0,SUMIFS('Carton Entry'!$D$7:$D$5006,'Carton Entry'!$B$7:$B$5006,$B22,'Carton Entry'!$A$7:$A$5006,"&gt;="&amp;'Carton Stock'!$E$4,'Carton Entry'!$A$7:$A$5006,"&lt;="&amp;Stock!$E$3)))</f>
        <v/>
      </c>
      <c r="I22" s="156">
        <f>IF(OR($B22="",$C22=""),"",$C22+$F22-$G22+$H22)</f>
        <v/>
      </c>
      <c r="J22" s="153" t="n"/>
      <c r="K22" s="157">
        <f>IF($B22="","",IF($C22="","Count needed",IF($I22&lt;0,"Negative — check",IF(AND($J22&lt;&gt;"",$I22&lt;=$J22),"Reorder","OK"))))</f>
        <v/>
      </c>
      <c r="L22" s="158">
        <f>IF($I22="","",IF($I22&lt;=0,0,IF(N($O22)&lt;=0,"—",ROUNDDOWN($I22/$O22,0))))</f>
        <v/>
      </c>
      <c r="O22" s="159">
        <f>IF($B22="","",SUMIF(Packing!$D$8:$D$101,$B22,Packing!$Q$8:$Q$101)/$P$4)</f>
        <v/>
      </c>
      <c r="P22" s="151">
        <f>IF($B22="",0,IF(COUNTIF($B$8:$B$47,$B22)&gt;1,1,0))</f>
        <v/>
      </c>
    </row>
    <row r="23" ht="15" customHeight="1">
      <c r="A23" s="152" t="n"/>
      <c r="B23" s="152" t="n"/>
      <c r="C23" s="153" t="n"/>
      <c r="D23" s="11">
        <f>IF($B23="","",IF(Stock!$E$3&lt;'Carton Stock'!$E$4,0,SUMIFS('Carton Entry'!$C$7:$C$5006,'Carton Entry'!$B$7:$B$5006,$B23,'Carton Entry'!$A$7:$A$5006,Stock!$E$3)))</f>
        <v/>
      </c>
      <c r="E23" s="11">
        <f>IF($B23="","",SUMIF(Packing!$D$8:$D$101,$B23,Packing!$I$8:$I$101))</f>
        <v/>
      </c>
      <c r="F23" s="154">
        <f>IF($B23="","",IF(Stock!$E$3&lt;'Carton Stock'!$E$4,0,SUMIFS('Carton Entry'!$C$7:$C$5006,'Carton Entry'!$B$7:$B$5006,$B23,'Carton Entry'!$A$7:$A$5006,"&gt;="&amp;'Carton Stock'!$E$4,'Carton Entry'!$A$7:$A$5006,"&lt;="&amp;Stock!$E$3)))</f>
        <v/>
      </c>
      <c r="G23" s="154">
        <f>IF($B23="","",SUMIF(Packing!$D$8:$D$101,$B23,Packing!$G$8:$G$101))</f>
        <v/>
      </c>
      <c r="H23" s="155">
        <f>IF($B23="","",IF(Stock!$E$3&lt;'Carton Stock'!$E$4,0,SUMIFS('Carton Entry'!$D$7:$D$5006,'Carton Entry'!$B$7:$B$5006,$B23,'Carton Entry'!$A$7:$A$5006,"&gt;="&amp;'Carton Stock'!$E$4,'Carton Entry'!$A$7:$A$5006,"&lt;="&amp;Stock!$E$3)))</f>
        <v/>
      </c>
      <c r="I23" s="156">
        <f>IF(OR($B23="",$C23=""),"",$C23+$F23-$G23+$H23)</f>
        <v/>
      </c>
      <c r="J23" s="153" t="n"/>
      <c r="K23" s="157">
        <f>IF($B23="","",IF($C23="","Count needed",IF($I23&lt;0,"Negative — check",IF(AND($J23&lt;&gt;"",$I23&lt;=$J23),"Reorder","OK"))))</f>
        <v/>
      </c>
      <c r="L23" s="158">
        <f>IF($I23="","",IF($I23&lt;=0,0,IF(N($O23)&lt;=0,"—",ROUNDDOWN($I23/$O23,0))))</f>
        <v/>
      </c>
      <c r="O23" s="159">
        <f>IF($B23="","",SUMIF(Packing!$D$8:$D$101,$B23,Packing!$Q$8:$Q$101)/$P$4)</f>
        <v/>
      </c>
      <c r="P23" s="151">
        <f>IF($B23="",0,IF(COUNTIF($B$8:$B$47,$B23)&gt;1,1,0))</f>
        <v/>
      </c>
    </row>
    <row r="24" ht="15" customHeight="1">
      <c r="A24" s="152" t="n"/>
      <c r="B24" s="152" t="n"/>
      <c r="C24" s="153" t="n"/>
      <c r="D24" s="11">
        <f>IF($B24="","",IF(Stock!$E$3&lt;'Carton Stock'!$E$4,0,SUMIFS('Carton Entry'!$C$7:$C$5006,'Carton Entry'!$B$7:$B$5006,$B24,'Carton Entry'!$A$7:$A$5006,Stock!$E$3)))</f>
        <v/>
      </c>
      <c r="E24" s="11">
        <f>IF($B24="","",SUMIF(Packing!$D$8:$D$101,$B24,Packing!$I$8:$I$101))</f>
        <v/>
      </c>
      <c r="F24" s="154">
        <f>IF($B24="","",IF(Stock!$E$3&lt;'Carton Stock'!$E$4,0,SUMIFS('Carton Entry'!$C$7:$C$5006,'Carton Entry'!$B$7:$B$5006,$B24,'Carton Entry'!$A$7:$A$5006,"&gt;="&amp;'Carton Stock'!$E$4,'Carton Entry'!$A$7:$A$5006,"&lt;="&amp;Stock!$E$3)))</f>
        <v/>
      </c>
      <c r="G24" s="154">
        <f>IF($B24="","",SUMIF(Packing!$D$8:$D$101,$B24,Packing!$G$8:$G$101))</f>
        <v/>
      </c>
      <c r="H24" s="155">
        <f>IF($B24="","",IF(Stock!$E$3&lt;'Carton Stock'!$E$4,0,SUMIFS('Carton Entry'!$D$7:$D$5006,'Carton Entry'!$B$7:$B$5006,$B24,'Carton Entry'!$A$7:$A$5006,"&gt;="&amp;'Carton Stock'!$E$4,'Carton Entry'!$A$7:$A$5006,"&lt;="&amp;Stock!$E$3)))</f>
        <v/>
      </c>
      <c r="I24" s="156">
        <f>IF(OR($B24="",$C24=""),"",$C24+$F24-$G24+$H24)</f>
        <v/>
      </c>
      <c r="J24" s="153" t="n"/>
      <c r="K24" s="157">
        <f>IF($B24="","",IF($C24="","Count needed",IF($I24&lt;0,"Negative — check",IF(AND($J24&lt;&gt;"",$I24&lt;=$J24),"Reorder","OK"))))</f>
        <v/>
      </c>
      <c r="L24" s="158">
        <f>IF($I24="","",IF($I24&lt;=0,0,IF(N($O24)&lt;=0,"—",ROUNDDOWN($I24/$O24,0))))</f>
        <v/>
      </c>
      <c r="O24" s="159">
        <f>IF($B24="","",SUMIF(Packing!$D$8:$D$101,$B24,Packing!$Q$8:$Q$101)/$P$4)</f>
        <v/>
      </c>
      <c r="P24" s="151">
        <f>IF($B24="",0,IF(COUNTIF($B$8:$B$47,$B24)&gt;1,1,0))</f>
        <v/>
      </c>
    </row>
    <row r="25" ht="15" customHeight="1">
      <c r="A25" s="152" t="n"/>
      <c r="B25" s="152" t="n"/>
      <c r="C25" s="153" t="n"/>
      <c r="D25" s="11">
        <f>IF($B25="","",IF(Stock!$E$3&lt;'Carton Stock'!$E$4,0,SUMIFS('Carton Entry'!$C$7:$C$5006,'Carton Entry'!$B$7:$B$5006,$B25,'Carton Entry'!$A$7:$A$5006,Stock!$E$3)))</f>
        <v/>
      </c>
      <c r="E25" s="11">
        <f>IF($B25="","",SUMIF(Packing!$D$8:$D$101,$B25,Packing!$I$8:$I$101))</f>
        <v/>
      </c>
      <c r="F25" s="154">
        <f>IF($B25="","",IF(Stock!$E$3&lt;'Carton Stock'!$E$4,0,SUMIFS('Carton Entry'!$C$7:$C$5006,'Carton Entry'!$B$7:$B$5006,$B25,'Carton Entry'!$A$7:$A$5006,"&gt;="&amp;'Carton Stock'!$E$4,'Carton Entry'!$A$7:$A$5006,"&lt;="&amp;Stock!$E$3)))</f>
        <v/>
      </c>
      <c r="G25" s="154">
        <f>IF($B25="","",SUMIF(Packing!$D$8:$D$101,$B25,Packing!$G$8:$G$101))</f>
        <v/>
      </c>
      <c r="H25" s="155">
        <f>IF($B25="","",IF(Stock!$E$3&lt;'Carton Stock'!$E$4,0,SUMIFS('Carton Entry'!$D$7:$D$5006,'Carton Entry'!$B$7:$B$5006,$B25,'Carton Entry'!$A$7:$A$5006,"&gt;="&amp;'Carton Stock'!$E$4,'Carton Entry'!$A$7:$A$5006,"&lt;="&amp;Stock!$E$3)))</f>
        <v/>
      </c>
      <c r="I25" s="156">
        <f>IF(OR($B25="",$C25=""),"",$C25+$F25-$G25+$H25)</f>
        <v/>
      </c>
      <c r="J25" s="153" t="n"/>
      <c r="K25" s="157">
        <f>IF($B25="","",IF($C25="","Count needed",IF($I25&lt;0,"Negative — check",IF(AND($J25&lt;&gt;"",$I25&lt;=$J25),"Reorder","OK"))))</f>
        <v/>
      </c>
      <c r="L25" s="158">
        <f>IF($I25="","",IF($I25&lt;=0,0,IF(N($O25)&lt;=0,"—",ROUNDDOWN($I25/$O25,0))))</f>
        <v/>
      </c>
      <c r="O25" s="159">
        <f>IF($B25="","",SUMIF(Packing!$D$8:$D$101,$B25,Packing!$Q$8:$Q$101)/$P$4)</f>
        <v/>
      </c>
      <c r="P25" s="151">
        <f>IF($B25="",0,IF(COUNTIF($B$8:$B$47,$B25)&gt;1,1,0))</f>
        <v/>
      </c>
    </row>
    <row r="26" ht="15" customHeight="1">
      <c r="A26" s="152" t="n"/>
      <c r="B26" s="152" t="n"/>
      <c r="C26" s="153" t="n"/>
      <c r="D26" s="11">
        <f>IF($B26="","",IF(Stock!$E$3&lt;'Carton Stock'!$E$4,0,SUMIFS('Carton Entry'!$C$7:$C$5006,'Carton Entry'!$B$7:$B$5006,$B26,'Carton Entry'!$A$7:$A$5006,Stock!$E$3)))</f>
        <v/>
      </c>
      <c r="E26" s="11">
        <f>IF($B26="","",SUMIF(Packing!$D$8:$D$101,$B26,Packing!$I$8:$I$101))</f>
        <v/>
      </c>
      <c r="F26" s="154">
        <f>IF($B26="","",IF(Stock!$E$3&lt;'Carton Stock'!$E$4,0,SUMIFS('Carton Entry'!$C$7:$C$5006,'Carton Entry'!$B$7:$B$5006,$B26,'Carton Entry'!$A$7:$A$5006,"&gt;="&amp;'Carton Stock'!$E$4,'Carton Entry'!$A$7:$A$5006,"&lt;="&amp;Stock!$E$3)))</f>
        <v/>
      </c>
      <c r="G26" s="154">
        <f>IF($B26="","",SUMIF(Packing!$D$8:$D$101,$B26,Packing!$G$8:$G$101))</f>
        <v/>
      </c>
      <c r="H26" s="155">
        <f>IF($B26="","",IF(Stock!$E$3&lt;'Carton Stock'!$E$4,0,SUMIFS('Carton Entry'!$D$7:$D$5006,'Carton Entry'!$B$7:$B$5006,$B26,'Carton Entry'!$A$7:$A$5006,"&gt;="&amp;'Carton Stock'!$E$4,'Carton Entry'!$A$7:$A$5006,"&lt;="&amp;Stock!$E$3)))</f>
        <v/>
      </c>
      <c r="I26" s="156">
        <f>IF(OR($B26="",$C26=""),"",$C26+$F26-$G26+$H26)</f>
        <v/>
      </c>
      <c r="J26" s="153" t="n"/>
      <c r="K26" s="157">
        <f>IF($B26="","",IF($C26="","Count needed",IF($I26&lt;0,"Negative — check",IF(AND($J26&lt;&gt;"",$I26&lt;=$J26),"Reorder","OK"))))</f>
        <v/>
      </c>
      <c r="L26" s="158">
        <f>IF($I26="","",IF($I26&lt;=0,0,IF(N($O26)&lt;=0,"—",ROUNDDOWN($I26/$O26,0))))</f>
        <v/>
      </c>
      <c r="O26" s="159">
        <f>IF($B26="","",SUMIF(Packing!$D$8:$D$101,$B26,Packing!$Q$8:$Q$101)/$P$4)</f>
        <v/>
      </c>
      <c r="P26" s="151">
        <f>IF($B26="",0,IF(COUNTIF($B$8:$B$47,$B26)&gt;1,1,0))</f>
        <v/>
      </c>
    </row>
    <row r="27" ht="15" customHeight="1">
      <c r="A27" s="152" t="n"/>
      <c r="B27" s="152" t="n"/>
      <c r="C27" s="153" t="n"/>
      <c r="D27" s="11">
        <f>IF($B27="","",IF(Stock!$E$3&lt;'Carton Stock'!$E$4,0,SUMIFS('Carton Entry'!$C$7:$C$5006,'Carton Entry'!$B$7:$B$5006,$B27,'Carton Entry'!$A$7:$A$5006,Stock!$E$3)))</f>
        <v/>
      </c>
      <c r="E27" s="11">
        <f>IF($B27="","",SUMIF(Packing!$D$8:$D$101,$B27,Packing!$I$8:$I$101))</f>
        <v/>
      </c>
      <c r="F27" s="154">
        <f>IF($B27="","",IF(Stock!$E$3&lt;'Carton Stock'!$E$4,0,SUMIFS('Carton Entry'!$C$7:$C$5006,'Carton Entry'!$B$7:$B$5006,$B27,'Carton Entry'!$A$7:$A$5006,"&gt;="&amp;'Carton Stock'!$E$4,'Carton Entry'!$A$7:$A$5006,"&lt;="&amp;Stock!$E$3)))</f>
        <v/>
      </c>
      <c r="G27" s="154">
        <f>IF($B27="","",SUMIF(Packing!$D$8:$D$101,$B27,Packing!$G$8:$G$101))</f>
        <v/>
      </c>
      <c r="H27" s="155">
        <f>IF($B27="","",IF(Stock!$E$3&lt;'Carton Stock'!$E$4,0,SUMIFS('Carton Entry'!$D$7:$D$5006,'Carton Entry'!$B$7:$B$5006,$B27,'Carton Entry'!$A$7:$A$5006,"&gt;="&amp;'Carton Stock'!$E$4,'Carton Entry'!$A$7:$A$5006,"&lt;="&amp;Stock!$E$3)))</f>
        <v/>
      </c>
      <c r="I27" s="156">
        <f>IF(OR($B27="",$C27=""),"",$C27+$F27-$G27+$H27)</f>
        <v/>
      </c>
      <c r="J27" s="153" t="n"/>
      <c r="K27" s="157">
        <f>IF($B27="","",IF($C27="","Count needed",IF($I27&lt;0,"Negative — check",IF(AND($J27&lt;&gt;"",$I27&lt;=$J27),"Reorder","OK"))))</f>
        <v/>
      </c>
      <c r="L27" s="158">
        <f>IF($I27="","",IF($I27&lt;=0,0,IF(N($O27)&lt;=0,"—",ROUNDDOWN($I27/$O27,0))))</f>
        <v/>
      </c>
      <c r="O27" s="159">
        <f>IF($B27="","",SUMIF(Packing!$D$8:$D$101,$B27,Packing!$Q$8:$Q$101)/$P$4)</f>
        <v/>
      </c>
      <c r="P27" s="151">
        <f>IF($B27="",0,IF(COUNTIF($B$8:$B$47,$B27)&gt;1,1,0))</f>
        <v/>
      </c>
    </row>
    <row r="28" ht="15" customHeight="1">
      <c r="A28" s="152" t="n"/>
      <c r="B28" s="152" t="n"/>
      <c r="C28" s="153" t="n"/>
      <c r="D28" s="11">
        <f>IF($B28="","",IF(Stock!$E$3&lt;'Carton Stock'!$E$4,0,SUMIFS('Carton Entry'!$C$7:$C$5006,'Carton Entry'!$B$7:$B$5006,$B28,'Carton Entry'!$A$7:$A$5006,Stock!$E$3)))</f>
        <v/>
      </c>
      <c r="E28" s="11">
        <f>IF($B28="","",SUMIF(Packing!$D$8:$D$101,$B28,Packing!$I$8:$I$101))</f>
        <v/>
      </c>
      <c r="F28" s="154">
        <f>IF($B28="","",IF(Stock!$E$3&lt;'Carton Stock'!$E$4,0,SUMIFS('Carton Entry'!$C$7:$C$5006,'Carton Entry'!$B$7:$B$5006,$B28,'Carton Entry'!$A$7:$A$5006,"&gt;="&amp;'Carton Stock'!$E$4,'Carton Entry'!$A$7:$A$5006,"&lt;="&amp;Stock!$E$3)))</f>
        <v/>
      </c>
      <c r="G28" s="154">
        <f>IF($B28="","",SUMIF(Packing!$D$8:$D$101,$B28,Packing!$G$8:$G$101))</f>
        <v/>
      </c>
      <c r="H28" s="155">
        <f>IF($B28="","",IF(Stock!$E$3&lt;'Carton Stock'!$E$4,0,SUMIFS('Carton Entry'!$D$7:$D$5006,'Carton Entry'!$B$7:$B$5006,$B28,'Carton Entry'!$A$7:$A$5006,"&gt;="&amp;'Carton Stock'!$E$4,'Carton Entry'!$A$7:$A$5006,"&lt;="&amp;Stock!$E$3)))</f>
        <v/>
      </c>
      <c r="I28" s="156">
        <f>IF(OR($B28="",$C28=""),"",$C28+$F28-$G28+$H28)</f>
        <v/>
      </c>
      <c r="J28" s="153" t="n"/>
      <c r="K28" s="157">
        <f>IF($B28="","",IF($C28="","Count needed",IF($I28&lt;0,"Negative — check",IF(AND($J28&lt;&gt;"",$I28&lt;=$J28),"Reorder","OK"))))</f>
        <v/>
      </c>
      <c r="L28" s="158">
        <f>IF($I28="","",IF($I28&lt;=0,0,IF(N($O28)&lt;=0,"—",ROUNDDOWN($I28/$O28,0))))</f>
        <v/>
      </c>
      <c r="O28" s="159">
        <f>IF($B28="","",SUMIF(Packing!$D$8:$D$101,$B28,Packing!$Q$8:$Q$101)/$P$4)</f>
        <v/>
      </c>
      <c r="P28" s="151">
        <f>IF($B28="",0,IF(COUNTIF($B$8:$B$47,$B28)&gt;1,1,0))</f>
        <v/>
      </c>
    </row>
    <row r="29" ht="15" customHeight="1">
      <c r="A29" s="152" t="n"/>
      <c r="B29" s="152" t="n"/>
      <c r="C29" s="153" t="n"/>
      <c r="D29" s="11">
        <f>IF($B29="","",IF(Stock!$E$3&lt;'Carton Stock'!$E$4,0,SUMIFS('Carton Entry'!$C$7:$C$5006,'Carton Entry'!$B$7:$B$5006,$B29,'Carton Entry'!$A$7:$A$5006,Stock!$E$3)))</f>
        <v/>
      </c>
      <c r="E29" s="11">
        <f>IF($B29="","",SUMIF(Packing!$D$8:$D$101,$B29,Packing!$I$8:$I$101))</f>
        <v/>
      </c>
      <c r="F29" s="154">
        <f>IF($B29="","",IF(Stock!$E$3&lt;'Carton Stock'!$E$4,0,SUMIFS('Carton Entry'!$C$7:$C$5006,'Carton Entry'!$B$7:$B$5006,$B29,'Carton Entry'!$A$7:$A$5006,"&gt;="&amp;'Carton Stock'!$E$4,'Carton Entry'!$A$7:$A$5006,"&lt;="&amp;Stock!$E$3)))</f>
        <v/>
      </c>
      <c r="G29" s="154">
        <f>IF($B29="","",SUMIF(Packing!$D$8:$D$101,$B29,Packing!$G$8:$G$101))</f>
        <v/>
      </c>
      <c r="H29" s="155">
        <f>IF($B29="","",IF(Stock!$E$3&lt;'Carton Stock'!$E$4,0,SUMIFS('Carton Entry'!$D$7:$D$5006,'Carton Entry'!$B$7:$B$5006,$B29,'Carton Entry'!$A$7:$A$5006,"&gt;="&amp;'Carton Stock'!$E$4,'Carton Entry'!$A$7:$A$5006,"&lt;="&amp;Stock!$E$3)))</f>
        <v/>
      </c>
      <c r="I29" s="156">
        <f>IF(OR($B29="",$C29=""),"",$C29+$F29-$G29+$H29)</f>
        <v/>
      </c>
      <c r="J29" s="153" t="n"/>
      <c r="K29" s="157">
        <f>IF($B29="","",IF($C29="","Count needed",IF($I29&lt;0,"Negative — check",IF(AND($J29&lt;&gt;"",$I29&lt;=$J29),"Reorder","OK"))))</f>
        <v/>
      </c>
      <c r="L29" s="158">
        <f>IF($I29="","",IF($I29&lt;=0,0,IF(N($O29)&lt;=0,"—",ROUNDDOWN($I29/$O29,0))))</f>
        <v/>
      </c>
      <c r="O29" s="159">
        <f>IF($B29="","",SUMIF(Packing!$D$8:$D$101,$B29,Packing!$Q$8:$Q$101)/$P$4)</f>
        <v/>
      </c>
      <c r="P29" s="151">
        <f>IF($B29="",0,IF(COUNTIF($B$8:$B$47,$B29)&gt;1,1,0))</f>
        <v/>
      </c>
    </row>
    <row r="30" ht="15" customHeight="1">
      <c r="A30" s="152" t="n"/>
      <c r="B30" s="152" t="n"/>
      <c r="C30" s="153" t="n"/>
      <c r="D30" s="11">
        <f>IF($B30="","",IF(Stock!$E$3&lt;'Carton Stock'!$E$4,0,SUMIFS('Carton Entry'!$C$7:$C$5006,'Carton Entry'!$B$7:$B$5006,$B30,'Carton Entry'!$A$7:$A$5006,Stock!$E$3)))</f>
        <v/>
      </c>
      <c r="E30" s="11">
        <f>IF($B30="","",SUMIF(Packing!$D$8:$D$101,$B30,Packing!$I$8:$I$101))</f>
        <v/>
      </c>
      <c r="F30" s="154">
        <f>IF($B30="","",IF(Stock!$E$3&lt;'Carton Stock'!$E$4,0,SUMIFS('Carton Entry'!$C$7:$C$5006,'Carton Entry'!$B$7:$B$5006,$B30,'Carton Entry'!$A$7:$A$5006,"&gt;="&amp;'Carton Stock'!$E$4,'Carton Entry'!$A$7:$A$5006,"&lt;="&amp;Stock!$E$3)))</f>
        <v/>
      </c>
      <c r="G30" s="154">
        <f>IF($B30="","",SUMIF(Packing!$D$8:$D$101,$B30,Packing!$G$8:$G$101))</f>
        <v/>
      </c>
      <c r="H30" s="155">
        <f>IF($B30="","",IF(Stock!$E$3&lt;'Carton Stock'!$E$4,0,SUMIFS('Carton Entry'!$D$7:$D$5006,'Carton Entry'!$B$7:$B$5006,$B30,'Carton Entry'!$A$7:$A$5006,"&gt;="&amp;'Carton Stock'!$E$4,'Carton Entry'!$A$7:$A$5006,"&lt;="&amp;Stock!$E$3)))</f>
        <v/>
      </c>
      <c r="I30" s="156">
        <f>IF(OR($B30="",$C30=""),"",$C30+$F30-$G30+$H30)</f>
        <v/>
      </c>
      <c r="J30" s="153" t="n"/>
      <c r="K30" s="157">
        <f>IF($B30="","",IF($C30="","Count needed",IF($I30&lt;0,"Negative — check",IF(AND($J30&lt;&gt;"",$I30&lt;=$J30),"Reorder","OK"))))</f>
        <v/>
      </c>
      <c r="L30" s="158">
        <f>IF($I30="","",IF($I30&lt;=0,0,IF(N($O30)&lt;=0,"—",ROUNDDOWN($I30/$O30,0))))</f>
        <v/>
      </c>
      <c r="O30" s="159">
        <f>IF($B30="","",SUMIF(Packing!$D$8:$D$101,$B30,Packing!$Q$8:$Q$101)/$P$4)</f>
        <v/>
      </c>
      <c r="P30" s="151">
        <f>IF($B30="",0,IF(COUNTIF($B$8:$B$47,$B30)&gt;1,1,0))</f>
        <v/>
      </c>
    </row>
    <row r="31" ht="15" customHeight="1">
      <c r="A31" s="152" t="n"/>
      <c r="B31" s="152" t="n"/>
      <c r="C31" s="153" t="n"/>
      <c r="D31" s="11">
        <f>IF($B31="","",IF(Stock!$E$3&lt;'Carton Stock'!$E$4,0,SUMIFS('Carton Entry'!$C$7:$C$5006,'Carton Entry'!$B$7:$B$5006,$B31,'Carton Entry'!$A$7:$A$5006,Stock!$E$3)))</f>
        <v/>
      </c>
      <c r="E31" s="11">
        <f>IF($B31="","",SUMIF(Packing!$D$8:$D$101,$B31,Packing!$I$8:$I$101))</f>
        <v/>
      </c>
      <c r="F31" s="154">
        <f>IF($B31="","",IF(Stock!$E$3&lt;'Carton Stock'!$E$4,0,SUMIFS('Carton Entry'!$C$7:$C$5006,'Carton Entry'!$B$7:$B$5006,$B31,'Carton Entry'!$A$7:$A$5006,"&gt;="&amp;'Carton Stock'!$E$4,'Carton Entry'!$A$7:$A$5006,"&lt;="&amp;Stock!$E$3)))</f>
        <v/>
      </c>
      <c r="G31" s="154">
        <f>IF($B31="","",SUMIF(Packing!$D$8:$D$101,$B31,Packing!$G$8:$G$101))</f>
        <v/>
      </c>
      <c r="H31" s="155">
        <f>IF($B31="","",IF(Stock!$E$3&lt;'Carton Stock'!$E$4,0,SUMIFS('Carton Entry'!$D$7:$D$5006,'Carton Entry'!$B$7:$B$5006,$B31,'Carton Entry'!$A$7:$A$5006,"&gt;="&amp;'Carton Stock'!$E$4,'Carton Entry'!$A$7:$A$5006,"&lt;="&amp;Stock!$E$3)))</f>
        <v/>
      </c>
      <c r="I31" s="156">
        <f>IF(OR($B31="",$C31=""),"",$C31+$F31-$G31+$H31)</f>
        <v/>
      </c>
      <c r="J31" s="153" t="n"/>
      <c r="K31" s="157">
        <f>IF($B31="","",IF($C31="","Count needed",IF($I31&lt;0,"Negative — check",IF(AND($J31&lt;&gt;"",$I31&lt;=$J31),"Reorder","OK"))))</f>
        <v/>
      </c>
      <c r="L31" s="158">
        <f>IF($I31="","",IF($I31&lt;=0,0,IF(N($O31)&lt;=0,"—",ROUNDDOWN($I31/$O31,0))))</f>
        <v/>
      </c>
      <c r="O31" s="159">
        <f>IF($B31="","",SUMIF(Packing!$D$8:$D$101,$B31,Packing!$Q$8:$Q$101)/$P$4)</f>
        <v/>
      </c>
      <c r="P31" s="151">
        <f>IF($B31="",0,IF(COUNTIF($B$8:$B$47,$B31)&gt;1,1,0))</f>
        <v/>
      </c>
    </row>
    <row r="32" ht="15" customHeight="1">
      <c r="A32" s="152" t="n"/>
      <c r="B32" s="152" t="n"/>
      <c r="C32" s="153" t="n"/>
      <c r="D32" s="11">
        <f>IF($B32="","",IF(Stock!$E$3&lt;'Carton Stock'!$E$4,0,SUMIFS('Carton Entry'!$C$7:$C$5006,'Carton Entry'!$B$7:$B$5006,$B32,'Carton Entry'!$A$7:$A$5006,Stock!$E$3)))</f>
        <v/>
      </c>
      <c r="E32" s="11">
        <f>IF($B32="","",SUMIF(Packing!$D$8:$D$101,$B32,Packing!$I$8:$I$101))</f>
        <v/>
      </c>
      <c r="F32" s="154">
        <f>IF($B32="","",IF(Stock!$E$3&lt;'Carton Stock'!$E$4,0,SUMIFS('Carton Entry'!$C$7:$C$5006,'Carton Entry'!$B$7:$B$5006,$B32,'Carton Entry'!$A$7:$A$5006,"&gt;="&amp;'Carton Stock'!$E$4,'Carton Entry'!$A$7:$A$5006,"&lt;="&amp;Stock!$E$3)))</f>
        <v/>
      </c>
      <c r="G32" s="154">
        <f>IF($B32="","",SUMIF(Packing!$D$8:$D$101,$B32,Packing!$G$8:$G$101))</f>
        <v/>
      </c>
      <c r="H32" s="155">
        <f>IF($B32="","",IF(Stock!$E$3&lt;'Carton Stock'!$E$4,0,SUMIFS('Carton Entry'!$D$7:$D$5006,'Carton Entry'!$B$7:$B$5006,$B32,'Carton Entry'!$A$7:$A$5006,"&gt;="&amp;'Carton Stock'!$E$4,'Carton Entry'!$A$7:$A$5006,"&lt;="&amp;Stock!$E$3)))</f>
        <v/>
      </c>
      <c r="I32" s="156">
        <f>IF(OR($B32="",$C32=""),"",$C32+$F32-$G32+$H32)</f>
        <v/>
      </c>
      <c r="J32" s="153" t="n"/>
      <c r="K32" s="157">
        <f>IF($B32="","",IF($C32="","Count needed",IF($I32&lt;0,"Negative — check",IF(AND($J32&lt;&gt;"",$I32&lt;=$J32),"Reorder","OK"))))</f>
        <v/>
      </c>
      <c r="L32" s="158">
        <f>IF($I32="","",IF($I32&lt;=0,0,IF(N($O32)&lt;=0,"—",ROUNDDOWN($I32/$O32,0))))</f>
        <v/>
      </c>
      <c r="O32" s="159">
        <f>IF($B32="","",SUMIF(Packing!$D$8:$D$101,$B32,Packing!$Q$8:$Q$101)/$P$4)</f>
        <v/>
      </c>
      <c r="P32" s="151">
        <f>IF($B32="",0,IF(COUNTIF($B$8:$B$47,$B32)&gt;1,1,0))</f>
        <v/>
      </c>
    </row>
    <row r="33" ht="15" customHeight="1">
      <c r="A33" s="152" t="n"/>
      <c r="B33" s="152" t="n"/>
      <c r="C33" s="153" t="n"/>
      <c r="D33" s="11">
        <f>IF($B33="","",IF(Stock!$E$3&lt;'Carton Stock'!$E$4,0,SUMIFS('Carton Entry'!$C$7:$C$5006,'Carton Entry'!$B$7:$B$5006,$B33,'Carton Entry'!$A$7:$A$5006,Stock!$E$3)))</f>
        <v/>
      </c>
      <c r="E33" s="11">
        <f>IF($B33="","",SUMIF(Packing!$D$8:$D$101,$B33,Packing!$I$8:$I$101))</f>
        <v/>
      </c>
      <c r="F33" s="154">
        <f>IF($B33="","",IF(Stock!$E$3&lt;'Carton Stock'!$E$4,0,SUMIFS('Carton Entry'!$C$7:$C$5006,'Carton Entry'!$B$7:$B$5006,$B33,'Carton Entry'!$A$7:$A$5006,"&gt;="&amp;'Carton Stock'!$E$4,'Carton Entry'!$A$7:$A$5006,"&lt;="&amp;Stock!$E$3)))</f>
        <v/>
      </c>
      <c r="G33" s="154">
        <f>IF($B33="","",SUMIF(Packing!$D$8:$D$101,$B33,Packing!$G$8:$G$101))</f>
        <v/>
      </c>
      <c r="H33" s="155">
        <f>IF($B33="","",IF(Stock!$E$3&lt;'Carton Stock'!$E$4,0,SUMIFS('Carton Entry'!$D$7:$D$5006,'Carton Entry'!$B$7:$B$5006,$B33,'Carton Entry'!$A$7:$A$5006,"&gt;="&amp;'Carton Stock'!$E$4,'Carton Entry'!$A$7:$A$5006,"&lt;="&amp;Stock!$E$3)))</f>
        <v/>
      </c>
      <c r="I33" s="156">
        <f>IF(OR($B33="",$C33=""),"",$C33+$F33-$G33+$H33)</f>
        <v/>
      </c>
      <c r="J33" s="153" t="n"/>
      <c r="K33" s="157">
        <f>IF($B33="","",IF($C33="","Count needed",IF($I33&lt;0,"Negative — check",IF(AND($J33&lt;&gt;"",$I33&lt;=$J33),"Reorder","OK"))))</f>
        <v/>
      </c>
      <c r="L33" s="158">
        <f>IF($I33="","",IF($I33&lt;=0,0,IF(N($O33)&lt;=0,"—",ROUNDDOWN($I33/$O33,0))))</f>
        <v/>
      </c>
      <c r="O33" s="159">
        <f>IF($B33="","",SUMIF(Packing!$D$8:$D$101,$B33,Packing!$Q$8:$Q$101)/$P$4)</f>
        <v/>
      </c>
      <c r="P33" s="151">
        <f>IF($B33="",0,IF(COUNTIF($B$8:$B$47,$B33)&gt;1,1,0))</f>
        <v/>
      </c>
    </row>
    <row r="34" ht="15" customHeight="1">
      <c r="A34" s="152" t="n"/>
      <c r="B34" s="152" t="n"/>
      <c r="C34" s="153" t="n"/>
      <c r="D34" s="11">
        <f>IF($B34="","",IF(Stock!$E$3&lt;'Carton Stock'!$E$4,0,SUMIFS('Carton Entry'!$C$7:$C$5006,'Carton Entry'!$B$7:$B$5006,$B34,'Carton Entry'!$A$7:$A$5006,Stock!$E$3)))</f>
        <v/>
      </c>
      <c r="E34" s="11">
        <f>IF($B34="","",SUMIF(Packing!$D$8:$D$101,$B34,Packing!$I$8:$I$101))</f>
        <v/>
      </c>
      <c r="F34" s="154">
        <f>IF($B34="","",IF(Stock!$E$3&lt;'Carton Stock'!$E$4,0,SUMIFS('Carton Entry'!$C$7:$C$5006,'Carton Entry'!$B$7:$B$5006,$B34,'Carton Entry'!$A$7:$A$5006,"&gt;="&amp;'Carton Stock'!$E$4,'Carton Entry'!$A$7:$A$5006,"&lt;="&amp;Stock!$E$3)))</f>
        <v/>
      </c>
      <c r="G34" s="154">
        <f>IF($B34="","",SUMIF(Packing!$D$8:$D$101,$B34,Packing!$G$8:$G$101))</f>
        <v/>
      </c>
      <c r="H34" s="155">
        <f>IF($B34="","",IF(Stock!$E$3&lt;'Carton Stock'!$E$4,0,SUMIFS('Carton Entry'!$D$7:$D$5006,'Carton Entry'!$B$7:$B$5006,$B34,'Carton Entry'!$A$7:$A$5006,"&gt;="&amp;'Carton Stock'!$E$4,'Carton Entry'!$A$7:$A$5006,"&lt;="&amp;Stock!$E$3)))</f>
        <v/>
      </c>
      <c r="I34" s="156">
        <f>IF(OR($B34="",$C34=""),"",$C34+$F34-$G34+$H34)</f>
        <v/>
      </c>
      <c r="J34" s="153" t="n"/>
      <c r="K34" s="157">
        <f>IF($B34="","",IF($C34="","Count needed",IF($I34&lt;0,"Negative — check",IF(AND($J34&lt;&gt;"",$I34&lt;=$J34),"Reorder","OK"))))</f>
        <v/>
      </c>
      <c r="L34" s="158">
        <f>IF($I34="","",IF($I34&lt;=0,0,IF(N($O34)&lt;=0,"—",ROUNDDOWN($I34/$O34,0))))</f>
        <v/>
      </c>
      <c r="O34" s="159">
        <f>IF($B34="","",SUMIF(Packing!$D$8:$D$101,$B34,Packing!$Q$8:$Q$101)/$P$4)</f>
        <v/>
      </c>
      <c r="P34" s="151">
        <f>IF($B34="",0,IF(COUNTIF($B$8:$B$47,$B34)&gt;1,1,0))</f>
        <v/>
      </c>
    </row>
    <row r="35" ht="15" customHeight="1">
      <c r="A35" s="152" t="n"/>
      <c r="B35" s="152" t="n"/>
      <c r="C35" s="153" t="n"/>
      <c r="D35" s="11">
        <f>IF($B35="","",IF(Stock!$E$3&lt;'Carton Stock'!$E$4,0,SUMIFS('Carton Entry'!$C$7:$C$5006,'Carton Entry'!$B$7:$B$5006,$B35,'Carton Entry'!$A$7:$A$5006,Stock!$E$3)))</f>
        <v/>
      </c>
      <c r="E35" s="11">
        <f>IF($B35="","",SUMIF(Packing!$D$8:$D$101,$B35,Packing!$I$8:$I$101))</f>
        <v/>
      </c>
      <c r="F35" s="154">
        <f>IF($B35="","",IF(Stock!$E$3&lt;'Carton Stock'!$E$4,0,SUMIFS('Carton Entry'!$C$7:$C$5006,'Carton Entry'!$B$7:$B$5006,$B35,'Carton Entry'!$A$7:$A$5006,"&gt;="&amp;'Carton Stock'!$E$4,'Carton Entry'!$A$7:$A$5006,"&lt;="&amp;Stock!$E$3)))</f>
        <v/>
      </c>
      <c r="G35" s="154">
        <f>IF($B35="","",SUMIF(Packing!$D$8:$D$101,$B35,Packing!$G$8:$G$101))</f>
        <v/>
      </c>
      <c r="H35" s="155">
        <f>IF($B35="","",IF(Stock!$E$3&lt;'Carton Stock'!$E$4,0,SUMIFS('Carton Entry'!$D$7:$D$5006,'Carton Entry'!$B$7:$B$5006,$B35,'Carton Entry'!$A$7:$A$5006,"&gt;="&amp;'Carton Stock'!$E$4,'Carton Entry'!$A$7:$A$5006,"&lt;="&amp;Stock!$E$3)))</f>
        <v/>
      </c>
      <c r="I35" s="156">
        <f>IF(OR($B35="",$C35=""),"",$C35+$F35-$G35+$H35)</f>
        <v/>
      </c>
      <c r="J35" s="153" t="n"/>
      <c r="K35" s="157">
        <f>IF($B35="","",IF($C35="","Count needed",IF($I35&lt;0,"Negative — check",IF(AND($J35&lt;&gt;"",$I35&lt;=$J35),"Reorder","OK"))))</f>
        <v/>
      </c>
      <c r="L35" s="158">
        <f>IF($I35="","",IF($I35&lt;=0,0,IF(N($O35)&lt;=0,"—",ROUNDDOWN($I35/$O35,0))))</f>
        <v/>
      </c>
      <c r="O35" s="159">
        <f>IF($B35="","",SUMIF(Packing!$D$8:$D$101,$B35,Packing!$Q$8:$Q$101)/$P$4)</f>
        <v/>
      </c>
      <c r="P35" s="151">
        <f>IF($B35="",0,IF(COUNTIF($B$8:$B$47,$B35)&gt;1,1,0))</f>
        <v/>
      </c>
    </row>
    <row r="36" ht="15" customHeight="1">
      <c r="A36" s="152" t="n"/>
      <c r="B36" s="152" t="n"/>
      <c r="C36" s="153" t="n"/>
      <c r="D36" s="11">
        <f>IF($B36="","",IF(Stock!$E$3&lt;'Carton Stock'!$E$4,0,SUMIFS('Carton Entry'!$C$7:$C$5006,'Carton Entry'!$B$7:$B$5006,$B36,'Carton Entry'!$A$7:$A$5006,Stock!$E$3)))</f>
        <v/>
      </c>
      <c r="E36" s="11">
        <f>IF($B36="","",SUMIF(Packing!$D$8:$D$101,$B36,Packing!$I$8:$I$101))</f>
        <v/>
      </c>
      <c r="F36" s="154">
        <f>IF($B36="","",IF(Stock!$E$3&lt;'Carton Stock'!$E$4,0,SUMIFS('Carton Entry'!$C$7:$C$5006,'Carton Entry'!$B$7:$B$5006,$B36,'Carton Entry'!$A$7:$A$5006,"&gt;="&amp;'Carton Stock'!$E$4,'Carton Entry'!$A$7:$A$5006,"&lt;="&amp;Stock!$E$3)))</f>
        <v/>
      </c>
      <c r="G36" s="154">
        <f>IF($B36="","",SUMIF(Packing!$D$8:$D$101,$B36,Packing!$G$8:$G$101))</f>
        <v/>
      </c>
      <c r="H36" s="155">
        <f>IF($B36="","",IF(Stock!$E$3&lt;'Carton Stock'!$E$4,0,SUMIFS('Carton Entry'!$D$7:$D$5006,'Carton Entry'!$B$7:$B$5006,$B36,'Carton Entry'!$A$7:$A$5006,"&gt;="&amp;'Carton Stock'!$E$4,'Carton Entry'!$A$7:$A$5006,"&lt;="&amp;Stock!$E$3)))</f>
        <v/>
      </c>
      <c r="I36" s="156">
        <f>IF(OR($B36="",$C36=""),"",$C36+$F36-$G36+$H36)</f>
        <v/>
      </c>
      <c r="J36" s="153" t="n"/>
      <c r="K36" s="157">
        <f>IF($B36="","",IF($C36="","Count needed",IF($I36&lt;0,"Negative — check",IF(AND($J36&lt;&gt;"",$I36&lt;=$J36),"Reorder","OK"))))</f>
        <v/>
      </c>
      <c r="L36" s="158">
        <f>IF($I36="","",IF($I36&lt;=0,0,IF(N($O36)&lt;=0,"—",ROUNDDOWN($I36/$O36,0))))</f>
        <v/>
      </c>
      <c r="O36" s="159">
        <f>IF($B36="","",SUMIF(Packing!$D$8:$D$101,$B36,Packing!$Q$8:$Q$101)/$P$4)</f>
        <v/>
      </c>
      <c r="P36" s="151">
        <f>IF($B36="",0,IF(COUNTIF($B$8:$B$47,$B36)&gt;1,1,0))</f>
        <v/>
      </c>
    </row>
    <row r="37" ht="15" customHeight="1">
      <c r="A37" s="152" t="n"/>
      <c r="B37" s="152" t="n"/>
      <c r="C37" s="153" t="n"/>
      <c r="D37" s="11">
        <f>IF($B37="","",IF(Stock!$E$3&lt;'Carton Stock'!$E$4,0,SUMIFS('Carton Entry'!$C$7:$C$5006,'Carton Entry'!$B$7:$B$5006,$B37,'Carton Entry'!$A$7:$A$5006,Stock!$E$3)))</f>
        <v/>
      </c>
      <c r="E37" s="11">
        <f>IF($B37="","",SUMIF(Packing!$D$8:$D$101,$B37,Packing!$I$8:$I$101))</f>
        <v/>
      </c>
      <c r="F37" s="154">
        <f>IF($B37="","",IF(Stock!$E$3&lt;'Carton Stock'!$E$4,0,SUMIFS('Carton Entry'!$C$7:$C$5006,'Carton Entry'!$B$7:$B$5006,$B37,'Carton Entry'!$A$7:$A$5006,"&gt;="&amp;'Carton Stock'!$E$4,'Carton Entry'!$A$7:$A$5006,"&lt;="&amp;Stock!$E$3)))</f>
        <v/>
      </c>
      <c r="G37" s="154">
        <f>IF($B37="","",SUMIF(Packing!$D$8:$D$101,$B37,Packing!$G$8:$G$101))</f>
        <v/>
      </c>
      <c r="H37" s="155">
        <f>IF($B37="","",IF(Stock!$E$3&lt;'Carton Stock'!$E$4,0,SUMIFS('Carton Entry'!$D$7:$D$5006,'Carton Entry'!$B$7:$B$5006,$B37,'Carton Entry'!$A$7:$A$5006,"&gt;="&amp;'Carton Stock'!$E$4,'Carton Entry'!$A$7:$A$5006,"&lt;="&amp;Stock!$E$3)))</f>
        <v/>
      </c>
      <c r="I37" s="156">
        <f>IF(OR($B37="",$C37=""),"",$C37+$F37-$G37+$H37)</f>
        <v/>
      </c>
      <c r="J37" s="153" t="n"/>
      <c r="K37" s="157">
        <f>IF($B37="","",IF($C37="","Count needed",IF($I37&lt;0,"Negative — check",IF(AND($J37&lt;&gt;"",$I37&lt;=$J37),"Reorder","OK"))))</f>
        <v/>
      </c>
      <c r="L37" s="158">
        <f>IF($I37="","",IF($I37&lt;=0,0,IF(N($O37)&lt;=0,"—",ROUNDDOWN($I37/$O37,0))))</f>
        <v/>
      </c>
      <c r="O37" s="159">
        <f>IF($B37="","",SUMIF(Packing!$D$8:$D$101,$B37,Packing!$Q$8:$Q$101)/$P$4)</f>
        <v/>
      </c>
      <c r="P37" s="151">
        <f>IF($B37="",0,IF(COUNTIF($B$8:$B$47,$B37)&gt;1,1,0))</f>
        <v/>
      </c>
    </row>
    <row r="38" ht="15" customHeight="1">
      <c r="A38" s="152" t="n"/>
      <c r="B38" s="152" t="n"/>
      <c r="C38" s="153" t="n"/>
      <c r="D38" s="11">
        <f>IF($B38="","",IF(Stock!$E$3&lt;'Carton Stock'!$E$4,0,SUMIFS('Carton Entry'!$C$7:$C$5006,'Carton Entry'!$B$7:$B$5006,$B38,'Carton Entry'!$A$7:$A$5006,Stock!$E$3)))</f>
        <v/>
      </c>
      <c r="E38" s="11">
        <f>IF($B38="","",SUMIF(Packing!$D$8:$D$101,$B38,Packing!$I$8:$I$101))</f>
        <v/>
      </c>
      <c r="F38" s="154">
        <f>IF($B38="","",IF(Stock!$E$3&lt;'Carton Stock'!$E$4,0,SUMIFS('Carton Entry'!$C$7:$C$5006,'Carton Entry'!$B$7:$B$5006,$B38,'Carton Entry'!$A$7:$A$5006,"&gt;="&amp;'Carton Stock'!$E$4,'Carton Entry'!$A$7:$A$5006,"&lt;="&amp;Stock!$E$3)))</f>
        <v/>
      </c>
      <c r="G38" s="154">
        <f>IF($B38="","",SUMIF(Packing!$D$8:$D$101,$B38,Packing!$G$8:$G$101))</f>
        <v/>
      </c>
      <c r="H38" s="155">
        <f>IF($B38="","",IF(Stock!$E$3&lt;'Carton Stock'!$E$4,0,SUMIFS('Carton Entry'!$D$7:$D$5006,'Carton Entry'!$B$7:$B$5006,$B38,'Carton Entry'!$A$7:$A$5006,"&gt;="&amp;'Carton Stock'!$E$4,'Carton Entry'!$A$7:$A$5006,"&lt;="&amp;Stock!$E$3)))</f>
        <v/>
      </c>
      <c r="I38" s="156">
        <f>IF(OR($B38="",$C38=""),"",$C38+$F38-$G38+$H38)</f>
        <v/>
      </c>
      <c r="J38" s="153" t="n"/>
      <c r="K38" s="157">
        <f>IF($B38="","",IF($C38="","Count needed",IF($I38&lt;0,"Negative — check",IF(AND($J38&lt;&gt;"",$I38&lt;=$J38),"Reorder","OK"))))</f>
        <v/>
      </c>
      <c r="L38" s="158">
        <f>IF($I38="","",IF($I38&lt;=0,0,IF(N($O38)&lt;=0,"—",ROUNDDOWN($I38/$O38,0))))</f>
        <v/>
      </c>
      <c r="O38" s="159">
        <f>IF($B38="","",SUMIF(Packing!$D$8:$D$101,$B38,Packing!$Q$8:$Q$101)/$P$4)</f>
        <v/>
      </c>
      <c r="P38" s="151">
        <f>IF($B38="",0,IF(COUNTIF($B$8:$B$47,$B38)&gt;1,1,0))</f>
        <v/>
      </c>
    </row>
    <row r="39" ht="15" customHeight="1">
      <c r="A39" s="152" t="n"/>
      <c r="B39" s="152" t="n"/>
      <c r="C39" s="153" t="n"/>
      <c r="D39" s="11">
        <f>IF($B39="","",IF(Stock!$E$3&lt;'Carton Stock'!$E$4,0,SUMIFS('Carton Entry'!$C$7:$C$5006,'Carton Entry'!$B$7:$B$5006,$B39,'Carton Entry'!$A$7:$A$5006,Stock!$E$3)))</f>
        <v/>
      </c>
      <c r="E39" s="11">
        <f>IF($B39="","",SUMIF(Packing!$D$8:$D$101,$B39,Packing!$I$8:$I$101))</f>
        <v/>
      </c>
      <c r="F39" s="154">
        <f>IF($B39="","",IF(Stock!$E$3&lt;'Carton Stock'!$E$4,0,SUMIFS('Carton Entry'!$C$7:$C$5006,'Carton Entry'!$B$7:$B$5006,$B39,'Carton Entry'!$A$7:$A$5006,"&gt;="&amp;'Carton Stock'!$E$4,'Carton Entry'!$A$7:$A$5006,"&lt;="&amp;Stock!$E$3)))</f>
        <v/>
      </c>
      <c r="G39" s="154">
        <f>IF($B39="","",SUMIF(Packing!$D$8:$D$101,$B39,Packing!$G$8:$G$101))</f>
        <v/>
      </c>
      <c r="H39" s="155">
        <f>IF($B39="","",IF(Stock!$E$3&lt;'Carton Stock'!$E$4,0,SUMIFS('Carton Entry'!$D$7:$D$5006,'Carton Entry'!$B$7:$B$5006,$B39,'Carton Entry'!$A$7:$A$5006,"&gt;="&amp;'Carton Stock'!$E$4,'Carton Entry'!$A$7:$A$5006,"&lt;="&amp;Stock!$E$3)))</f>
        <v/>
      </c>
      <c r="I39" s="156">
        <f>IF(OR($B39="",$C39=""),"",$C39+$F39-$G39+$H39)</f>
        <v/>
      </c>
      <c r="J39" s="153" t="n"/>
      <c r="K39" s="157">
        <f>IF($B39="","",IF($C39="","Count needed",IF($I39&lt;0,"Negative — check",IF(AND($J39&lt;&gt;"",$I39&lt;=$J39),"Reorder","OK"))))</f>
        <v/>
      </c>
      <c r="L39" s="158">
        <f>IF($I39="","",IF($I39&lt;=0,0,IF(N($O39)&lt;=0,"—",ROUNDDOWN($I39/$O39,0))))</f>
        <v/>
      </c>
      <c r="O39" s="159">
        <f>IF($B39="","",SUMIF(Packing!$D$8:$D$101,$B39,Packing!$Q$8:$Q$101)/$P$4)</f>
        <v/>
      </c>
      <c r="P39" s="151">
        <f>IF($B39="",0,IF(COUNTIF($B$8:$B$47,$B39)&gt;1,1,0))</f>
        <v/>
      </c>
    </row>
    <row r="40" ht="15" customHeight="1">
      <c r="A40" s="152" t="n"/>
      <c r="B40" s="152" t="n"/>
      <c r="C40" s="153" t="n"/>
      <c r="D40" s="11">
        <f>IF($B40="","",IF(Stock!$E$3&lt;'Carton Stock'!$E$4,0,SUMIFS('Carton Entry'!$C$7:$C$5006,'Carton Entry'!$B$7:$B$5006,$B40,'Carton Entry'!$A$7:$A$5006,Stock!$E$3)))</f>
        <v/>
      </c>
      <c r="E40" s="11">
        <f>IF($B40="","",SUMIF(Packing!$D$8:$D$101,$B40,Packing!$I$8:$I$101))</f>
        <v/>
      </c>
      <c r="F40" s="154">
        <f>IF($B40="","",IF(Stock!$E$3&lt;'Carton Stock'!$E$4,0,SUMIFS('Carton Entry'!$C$7:$C$5006,'Carton Entry'!$B$7:$B$5006,$B40,'Carton Entry'!$A$7:$A$5006,"&gt;="&amp;'Carton Stock'!$E$4,'Carton Entry'!$A$7:$A$5006,"&lt;="&amp;Stock!$E$3)))</f>
        <v/>
      </c>
      <c r="G40" s="154">
        <f>IF($B40="","",SUMIF(Packing!$D$8:$D$101,$B40,Packing!$G$8:$G$101))</f>
        <v/>
      </c>
      <c r="H40" s="155">
        <f>IF($B40="","",IF(Stock!$E$3&lt;'Carton Stock'!$E$4,0,SUMIFS('Carton Entry'!$D$7:$D$5006,'Carton Entry'!$B$7:$B$5006,$B40,'Carton Entry'!$A$7:$A$5006,"&gt;="&amp;'Carton Stock'!$E$4,'Carton Entry'!$A$7:$A$5006,"&lt;="&amp;Stock!$E$3)))</f>
        <v/>
      </c>
      <c r="I40" s="156">
        <f>IF(OR($B40="",$C40=""),"",$C40+$F40-$G40+$H40)</f>
        <v/>
      </c>
      <c r="J40" s="153" t="n"/>
      <c r="K40" s="157">
        <f>IF($B40="","",IF($C40="","Count needed",IF($I40&lt;0,"Negative — check",IF(AND($J40&lt;&gt;"",$I40&lt;=$J40),"Reorder","OK"))))</f>
        <v/>
      </c>
      <c r="L40" s="158">
        <f>IF($I40="","",IF($I40&lt;=0,0,IF(N($O40)&lt;=0,"—",ROUNDDOWN($I40/$O40,0))))</f>
        <v/>
      </c>
      <c r="O40" s="159">
        <f>IF($B40="","",SUMIF(Packing!$D$8:$D$101,$B40,Packing!$Q$8:$Q$101)/$P$4)</f>
        <v/>
      </c>
      <c r="P40" s="151">
        <f>IF($B40="",0,IF(COUNTIF($B$8:$B$47,$B40)&gt;1,1,0))</f>
        <v/>
      </c>
    </row>
    <row r="41" ht="15" customHeight="1">
      <c r="A41" s="152" t="n"/>
      <c r="B41" s="152" t="n"/>
      <c r="C41" s="153" t="n"/>
      <c r="D41" s="11">
        <f>IF($B41="","",IF(Stock!$E$3&lt;'Carton Stock'!$E$4,0,SUMIFS('Carton Entry'!$C$7:$C$5006,'Carton Entry'!$B$7:$B$5006,$B41,'Carton Entry'!$A$7:$A$5006,Stock!$E$3)))</f>
        <v/>
      </c>
      <c r="E41" s="11">
        <f>IF($B41="","",SUMIF(Packing!$D$8:$D$101,$B41,Packing!$I$8:$I$101))</f>
        <v/>
      </c>
      <c r="F41" s="154">
        <f>IF($B41="","",IF(Stock!$E$3&lt;'Carton Stock'!$E$4,0,SUMIFS('Carton Entry'!$C$7:$C$5006,'Carton Entry'!$B$7:$B$5006,$B41,'Carton Entry'!$A$7:$A$5006,"&gt;="&amp;'Carton Stock'!$E$4,'Carton Entry'!$A$7:$A$5006,"&lt;="&amp;Stock!$E$3)))</f>
        <v/>
      </c>
      <c r="G41" s="154">
        <f>IF($B41="","",SUMIF(Packing!$D$8:$D$101,$B41,Packing!$G$8:$G$101))</f>
        <v/>
      </c>
      <c r="H41" s="155">
        <f>IF($B41="","",IF(Stock!$E$3&lt;'Carton Stock'!$E$4,0,SUMIFS('Carton Entry'!$D$7:$D$5006,'Carton Entry'!$B$7:$B$5006,$B41,'Carton Entry'!$A$7:$A$5006,"&gt;="&amp;'Carton Stock'!$E$4,'Carton Entry'!$A$7:$A$5006,"&lt;="&amp;Stock!$E$3)))</f>
        <v/>
      </c>
      <c r="I41" s="156">
        <f>IF(OR($B41="",$C41=""),"",$C41+$F41-$G41+$H41)</f>
        <v/>
      </c>
      <c r="J41" s="153" t="n"/>
      <c r="K41" s="157">
        <f>IF($B41="","",IF($C41="","Count needed",IF($I41&lt;0,"Negative — check",IF(AND($J41&lt;&gt;"",$I41&lt;=$J41),"Reorder","OK"))))</f>
        <v/>
      </c>
      <c r="L41" s="158">
        <f>IF($I41="","",IF($I41&lt;=0,0,IF(N($O41)&lt;=0,"—",ROUNDDOWN($I41/$O41,0))))</f>
        <v/>
      </c>
      <c r="O41" s="159">
        <f>IF($B41="","",SUMIF(Packing!$D$8:$D$101,$B41,Packing!$Q$8:$Q$101)/$P$4)</f>
        <v/>
      </c>
      <c r="P41" s="151">
        <f>IF($B41="",0,IF(COUNTIF($B$8:$B$47,$B41)&gt;1,1,0))</f>
        <v/>
      </c>
    </row>
    <row r="42" ht="15" customHeight="1">
      <c r="A42" s="152" t="n"/>
      <c r="B42" s="152" t="n"/>
      <c r="C42" s="153" t="n"/>
      <c r="D42" s="11">
        <f>IF($B42="","",IF(Stock!$E$3&lt;'Carton Stock'!$E$4,0,SUMIFS('Carton Entry'!$C$7:$C$5006,'Carton Entry'!$B$7:$B$5006,$B42,'Carton Entry'!$A$7:$A$5006,Stock!$E$3)))</f>
        <v/>
      </c>
      <c r="E42" s="11">
        <f>IF($B42="","",SUMIF(Packing!$D$8:$D$101,$B42,Packing!$I$8:$I$101))</f>
        <v/>
      </c>
      <c r="F42" s="154">
        <f>IF($B42="","",IF(Stock!$E$3&lt;'Carton Stock'!$E$4,0,SUMIFS('Carton Entry'!$C$7:$C$5006,'Carton Entry'!$B$7:$B$5006,$B42,'Carton Entry'!$A$7:$A$5006,"&gt;="&amp;'Carton Stock'!$E$4,'Carton Entry'!$A$7:$A$5006,"&lt;="&amp;Stock!$E$3)))</f>
        <v/>
      </c>
      <c r="G42" s="154">
        <f>IF($B42="","",SUMIF(Packing!$D$8:$D$101,$B42,Packing!$G$8:$G$101))</f>
        <v/>
      </c>
      <c r="H42" s="155">
        <f>IF($B42="","",IF(Stock!$E$3&lt;'Carton Stock'!$E$4,0,SUMIFS('Carton Entry'!$D$7:$D$5006,'Carton Entry'!$B$7:$B$5006,$B42,'Carton Entry'!$A$7:$A$5006,"&gt;="&amp;'Carton Stock'!$E$4,'Carton Entry'!$A$7:$A$5006,"&lt;="&amp;Stock!$E$3)))</f>
        <v/>
      </c>
      <c r="I42" s="156">
        <f>IF(OR($B42="",$C42=""),"",$C42+$F42-$G42+$H42)</f>
        <v/>
      </c>
      <c r="J42" s="153" t="n"/>
      <c r="K42" s="157">
        <f>IF($B42="","",IF($C42="","Count needed",IF($I42&lt;0,"Negative — check",IF(AND($J42&lt;&gt;"",$I42&lt;=$J42),"Reorder","OK"))))</f>
        <v/>
      </c>
      <c r="L42" s="158">
        <f>IF($I42="","",IF($I42&lt;=0,0,IF(N($O42)&lt;=0,"—",ROUNDDOWN($I42/$O42,0))))</f>
        <v/>
      </c>
      <c r="O42" s="159">
        <f>IF($B42="","",SUMIF(Packing!$D$8:$D$101,$B42,Packing!$Q$8:$Q$101)/$P$4)</f>
        <v/>
      </c>
      <c r="P42" s="151">
        <f>IF($B42="",0,IF(COUNTIF($B$8:$B$47,$B42)&gt;1,1,0))</f>
        <v/>
      </c>
    </row>
    <row r="43" ht="15" customHeight="1">
      <c r="A43" s="152" t="n"/>
      <c r="B43" s="152" t="n"/>
      <c r="C43" s="153" t="n"/>
      <c r="D43" s="11">
        <f>IF($B43="","",IF(Stock!$E$3&lt;'Carton Stock'!$E$4,0,SUMIFS('Carton Entry'!$C$7:$C$5006,'Carton Entry'!$B$7:$B$5006,$B43,'Carton Entry'!$A$7:$A$5006,Stock!$E$3)))</f>
        <v/>
      </c>
      <c r="E43" s="11">
        <f>IF($B43="","",SUMIF(Packing!$D$8:$D$101,$B43,Packing!$I$8:$I$101))</f>
        <v/>
      </c>
      <c r="F43" s="154">
        <f>IF($B43="","",IF(Stock!$E$3&lt;'Carton Stock'!$E$4,0,SUMIFS('Carton Entry'!$C$7:$C$5006,'Carton Entry'!$B$7:$B$5006,$B43,'Carton Entry'!$A$7:$A$5006,"&gt;="&amp;'Carton Stock'!$E$4,'Carton Entry'!$A$7:$A$5006,"&lt;="&amp;Stock!$E$3)))</f>
        <v/>
      </c>
      <c r="G43" s="154">
        <f>IF($B43="","",SUMIF(Packing!$D$8:$D$101,$B43,Packing!$G$8:$G$101))</f>
        <v/>
      </c>
      <c r="H43" s="155">
        <f>IF($B43="","",IF(Stock!$E$3&lt;'Carton Stock'!$E$4,0,SUMIFS('Carton Entry'!$D$7:$D$5006,'Carton Entry'!$B$7:$B$5006,$B43,'Carton Entry'!$A$7:$A$5006,"&gt;="&amp;'Carton Stock'!$E$4,'Carton Entry'!$A$7:$A$5006,"&lt;="&amp;Stock!$E$3)))</f>
        <v/>
      </c>
      <c r="I43" s="156">
        <f>IF(OR($B43="",$C43=""),"",$C43+$F43-$G43+$H43)</f>
        <v/>
      </c>
      <c r="J43" s="153" t="n"/>
      <c r="K43" s="157">
        <f>IF($B43="","",IF($C43="","Count needed",IF($I43&lt;0,"Negative — check",IF(AND($J43&lt;&gt;"",$I43&lt;=$J43),"Reorder","OK"))))</f>
        <v/>
      </c>
      <c r="L43" s="158">
        <f>IF($I43="","",IF($I43&lt;=0,0,IF(N($O43)&lt;=0,"—",ROUNDDOWN($I43/$O43,0))))</f>
        <v/>
      </c>
      <c r="O43" s="159">
        <f>IF($B43="","",SUMIF(Packing!$D$8:$D$101,$B43,Packing!$Q$8:$Q$101)/$P$4)</f>
        <v/>
      </c>
      <c r="P43" s="151">
        <f>IF($B43="",0,IF(COUNTIF($B$8:$B$47,$B43)&gt;1,1,0))</f>
        <v/>
      </c>
    </row>
    <row r="44" ht="15" customHeight="1">
      <c r="A44" s="152" t="n"/>
      <c r="B44" s="152" t="n"/>
      <c r="C44" s="153" t="n"/>
      <c r="D44" s="11">
        <f>IF($B44="","",IF(Stock!$E$3&lt;'Carton Stock'!$E$4,0,SUMIFS('Carton Entry'!$C$7:$C$5006,'Carton Entry'!$B$7:$B$5006,$B44,'Carton Entry'!$A$7:$A$5006,Stock!$E$3)))</f>
        <v/>
      </c>
      <c r="E44" s="11">
        <f>IF($B44="","",SUMIF(Packing!$D$8:$D$101,$B44,Packing!$I$8:$I$101))</f>
        <v/>
      </c>
      <c r="F44" s="154">
        <f>IF($B44="","",IF(Stock!$E$3&lt;'Carton Stock'!$E$4,0,SUMIFS('Carton Entry'!$C$7:$C$5006,'Carton Entry'!$B$7:$B$5006,$B44,'Carton Entry'!$A$7:$A$5006,"&gt;="&amp;'Carton Stock'!$E$4,'Carton Entry'!$A$7:$A$5006,"&lt;="&amp;Stock!$E$3)))</f>
        <v/>
      </c>
      <c r="G44" s="154">
        <f>IF($B44="","",SUMIF(Packing!$D$8:$D$101,$B44,Packing!$G$8:$G$101))</f>
        <v/>
      </c>
      <c r="H44" s="155">
        <f>IF($B44="","",IF(Stock!$E$3&lt;'Carton Stock'!$E$4,0,SUMIFS('Carton Entry'!$D$7:$D$5006,'Carton Entry'!$B$7:$B$5006,$B44,'Carton Entry'!$A$7:$A$5006,"&gt;="&amp;'Carton Stock'!$E$4,'Carton Entry'!$A$7:$A$5006,"&lt;="&amp;Stock!$E$3)))</f>
        <v/>
      </c>
      <c r="I44" s="156">
        <f>IF(OR($B44="",$C44=""),"",$C44+$F44-$G44+$H44)</f>
        <v/>
      </c>
      <c r="J44" s="153" t="n"/>
      <c r="K44" s="157">
        <f>IF($B44="","",IF($C44="","Count needed",IF($I44&lt;0,"Negative — check",IF(AND($J44&lt;&gt;"",$I44&lt;=$J44),"Reorder","OK"))))</f>
        <v/>
      </c>
      <c r="L44" s="158">
        <f>IF($I44="","",IF($I44&lt;=0,0,IF(N($O44)&lt;=0,"—",ROUNDDOWN($I44/$O44,0))))</f>
        <v/>
      </c>
      <c r="O44" s="159">
        <f>IF($B44="","",SUMIF(Packing!$D$8:$D$101,$B44,Packing!$Q$8:$Q$101)/$P$4)</f>
        <v/>
      </c>
      <c r="P44" s="151">
        <f>IF($B44="",0,IF(COUNTIF($B$8:$B$47,$B44)&gt;1,1,0))</f>
        <v/>
      </c>
    </row>
    <row r="45" ht="15" customHeight="1">
      <c r="A45" s="152" t="n"/>
      <c r="B45" s="152" t="n"/>
      <c r="C45" s="153" t="n"/>
      <c r="D45" s="11">
        <f>IF($B45="","",IF(Stock!$E$3&lt;'Carton Stock'!$E$4,0,SUMIFS('Carton Entry'!$C$7:$C$5006,'Carton Entry'!$B$7:$B$5006,$B45,'Carton Entry'!$A$7:$A$5006,Stock!$E$3)))</f>
        <v/>
      </c>
      <c r="E45" s="11">
        <f>IF($B45="","",SUMIF(Packing!$D$8:$D$101,$B45,Packing!$I$8:$I$101))</f>
        <v/>
      </c>
      <c r="F45" s="154">
        <f>IF($B45="","",IF(Stock!$E$3&lt;'Carton Stock'!$E$4,0,SUMIFS('Carton Entry'!$C$7:$C$5006,'Carton Entry'!$B$7:$B$5006,$B45,'Carton Entry'!$A$7:$A$5006,"&gt;="&amp;'Carton Stock'!$E$4,'Carton Entry'!$A$7:$A$5006,"&lt;="&amp;Stock!$E$3)))</f>
        <v/>
      </c>
      <c r="G45" s="154">
        <f>IF($B45="","",SUMIF(Packing!$D$8:$D$101,$B45,Packing!$G$8:$G$101))</f>
        <v/>
      </c>
      <c r="H45" s="155">
        <f>IF($B45="","",IF(Stock!$E$3&lt;'Carton Stock'!$E$4,0,SUMIFS('Carton Entry'!$D$7:$D$5006,'Carton Entry'!$B$7:$B$5006,$B45,'Carton Entry'!$A$7:$A$5006,"&gt;="&amp;'Carton Stock'!$E$4,'Carton Entry'!$A$7:$A$5006,"&lt;="&amp;Stock!$E$3)))</f>
        <v/>
      </c>
      <c r="I45" s="156">
        <f>IF(OR($B45="",$C45=""),"",$C45+$F45-$G45+$H45)</f>
        <v/>
      </c>
      <c r="J45" s="153" t="n"/>
      <c r="K45" s="157">
        <f>IF($B45="","",IF($C45="","Count needed",IF($I45&lt;0,"Negative — check",IF(AND($J45&lt;&gt;"",$I45&lt;=$J45),"Reorder","OK"))))</f>
        <v/>
      </c>
      <c r="L45" s="158">
        <f>IF($I45="","",IF($I45&lt;=0,0,IF(N($O45)&lt;=0,"—",ROUNDDOWN($I45/$O45,0))))</f>
        <v/>
      </c>
      <c r="O45" s="159">
        <f>IF($B45="","",SUMIF(Packing!$D$8:$D$101,$B45,Packing!$Q$8:$Q$101)/$P$4)</f>
        <v/>
      </c>
      <c r="P45" s="151">
        <f>IF($B45="",0,IF(COUNTIF($B$8:$B$47,$B45)&gt;1,1,0))</f>
        <v/>
      </c>
    </row>
    <row r="46" ht="15" customHeight="1">
      <c r="A46" s="152" t="n"/>
      <c r="B46" s="152" t="n"/>
      <c r="C46" s="153" t="n"/>
      <c r="D46" s="11">
        <f>IF($B46="","",IF(Stock!$E$3&lt;'Carton Stock'!$E$4,0,SUMIFS('Carton Entry'!$C$7:$C$5006,'Carton Entry'!$B$7:$B$5006,$B46,'Carton Entry'!$A$7:$A$5006,Stock!$E$3)))</f>
        <v/>
      </c>
      <c r="E46" s="11">
        <f>IF($B46="","",SUMIF(Packing!$D$8:$D$101,$B46,Packing!$I$8:$I$101))</f>
        <v/>
      </c>
      <c r="F46" s="154">
        <f>IF($B46="","",IF(Stock!$E$3&lt;'Carton Stock'!$E$4,0,SUMIFS('Carton Entry'!$C$7:$C$5006,'Carton Entry'!$B$7:$B$5006,$B46,'Carton Entry'!$A$7:$A$5006,"&gt;="&amp;'Carton Stock'!$E$4,'Carton Entry'!$A$7:$A$5006,"&lt;="&amp;Stock!$E$3)))</f>
        <v/>
      </c>
      <c r="G46" s="154">
        <f>IF($B46="","",SUMIF(Packing!$D$8:$D$101,$B46,Packing!$G$8:$G$101))</f>
        <v/>
      </c>
      <c r="H46" s="155">
        <f>IF($B46="","",IF(Stock!$E$3&lt;'Carton Stock'!$E$4,0,SUMIFS('Carton Entry'!$D$7:$D$5006,'Carton Entry'!$B$7:$B$5006,$B46,'Carton Entry'!$A$7:$A$5006,"&gt;="&amp;'Carton Stock'!$E$4,'Carton Entry'!$A$7:$A$5006,"&lt;="&amp;Stock!$E$3)))</f>
        <v/>
      </c>
      <c r="I46" s="156">
        <f>IF(OR($B46="",$C46=""),"",$C46+$F46-$G46+$H46)</f>
        <v/>
      </c>
      <c r="J46" s="153" t="n"/>
      <c r="K46" s="157">
        <f>IF($B46="","",IF($C46="","Count needed",IF($I46&lt;0,"Negative — check",IF(AND($J46&lt;&gt;"",$I46&lt;=$J46),"Reorder","OK"))))</f>
        <v/>
      </c>
      <c r="L46" s="158">
        <f>IF($I46="","",IF($I46&lt;=0,0,IF(N($O46)&lt;=0,"—",ROUNDDOWN($I46/$O46,0))))</f>
        <v/>
      </c>
      <c r="O46" s="159">
        <f>IF($B46="","",SUMIF(Packing!$D$8:$D$101,$B46,Packing!$Q$8:$Q$101)/$P$4)</f>
        <v/>
      </c>
      <c r="P46" s="151">
        <f>IF($B46="",0,IF(COUNTIF($B$8:$B$47,$B46)&gt;1,1,0))</f>
        <v/>
      </c>
    </row>
    <row r="47" ht="15" customHeight="1">
      <c r="A47" s="152" t="n"/>
      <c r="B47" s="152" t="n"/>
      <c r="C47" s="153" t="n"/>
      <c r="D47" s="11">
        <f>IF($B47="","",IF(Stock!$E$3&lt;'Carton Stock'!$E$4,0,SUMIFS('Carton Entry'!$C$7:$C$5006,'Carton Entry'!$B$7:$B$5006,$B47,'Carton Entry'!$A$7:$A$5006,Stock!$E$3)))</f>
        <v/>
      </c>
      <c r="E47" s="11">
        <f>IF($B47="","",SUMIF(Packing!$D$8:$D$101,$B47,Packing!$I$8:$I$101))</f>
        <v/>
      </c>
      <c r="F47" s="154">
        <f>IF($B47="","",IF(Stock!$E$3&lt;'Carton Stock'!$E$4,0,SUMIFS('Carton Entry'!$C$7:$C$5006,'Carton Entry'!$B$7:$B$5006,$B47,'Carton Entry'!$A$7:$A$5006,"&gt;="&amp;'Carton Stock'!$E$4,'Carton Entry'!$A$7:$A$5006,"&lt;="&amp;Stock!$E$3)))</f>
        <v/>
      </c>
      <c r="G47" s="154">
        <f>IF($B47="","",SUMIF(Packing!$D$8:$D$101,$B47,Packing!$G$8:$G$101))</f>
        <v/>
      </c>
      <c r="H47" s="155">
        <f>IF($B47="","",IF(Stock!$E$3&lt;'Carton Stock'!$E$4,0,SUMIFS('Carton Entry'!$D$7:$D$5006,'Carton Entry'!$B$7:$B$5006,$B47,'Carton Entry'!$A$7:$A$5006,"&gt;="&amp;'Carton Stock'!$E$4,'Carton Entry'!$A$7:$A$5006,"&lt;="&amp;Stock!$E$3)))</f>
        <v/>
      </c>
      <c r="I47" s="156">
        <f>IF(OR($B47="",$C47=""),"",$C47+$F47-$G47+$H47)</f>
        <v/>
      </c>
      <c r="J47" s="153" t="n"/>
      <c r="K47" s="157">
        <f>IF($B47="","",IF($C47="","Count needed",IF($I47&lt;0,"Negative — check",IF(AND($J47&lt;&gt;"",$I47&lt;=$J47),"Reorder","OK"))))</f>
        <v/>
      </c>
      <c r="L47" s="158">
        <f>IF($I47="","",IF($I47&lt;=0,0,IF(N($O47)&lt;=0,"—",ROUNDDOWN($I47/$O47,0))))</f>
        <v/>
      </c>
      <c r="O47" s="159">
        <f>IF($B47="","",SUMIF(Packing!$D$8:$D$101,$B47,Packing!$Q$8:$Q$101)/$P$4)</f>
        <v/>
      </c>
      <c r="P47" s="151">
        <f>IF($B47="",0,IF(COUNTIF($B$8:$B$47,$B47)&gt;1,1,0))</f>
        <v/>
      </c>
    </row>
    <row r="48">
      <c r="A48" s="19" t="inlineStr">
        <is>
          <t>TOTAL (cartons)</t>
        </is>
      </c>
      <c r="B48" s="19" t="n"/>
      <c r="C48" s="160">
        <f>SUM(C8:C47)</f>
        <v/>
      </c>
      <c r="D48" s="161">
        <f>SUM(D8:D47)</f>
        <v/>
      </c>
      <c r="E48" s="161">
        <f>SUM(E8:E47)</f>
        <v/>
      </c>
      <c r="F48" s="160">
        <f>SUM(F8:F47)</f>
        <v/>
      </c>
      <c r="G48" s="160">
        <f>SUM(G8:G47)</f>
        <v/>
      </c>
      <c r="H48" s="162">
        <f>SUM(H8:H47)</f>
        <v/>
      </c>
      <c r="I48" s="160">
        <f>SUM(I8:I47)</f>
        <v/>
      </c>
      <c r="J48" s="19" t="n"/>
      <c r="K48" s="163">
        <f>IF(COUNTIF($K$8:$K$47,"Reorder")=0,"",COUNTIF($K$8:$K$47,"Reorder")&amp;" to reorder")</f>
        <v/>
      </c>
      <c r="L48" s="19" t="n"/>
    </row>
    <row r="50">
      <c r="A50" s="22">
        <f>IF(SUM(Packing!$R$8:$R$101)=0,"",SUM(Packing!$R$8:$R$101)&amp;" product(s) packed since the count have no carton or no Packed per Carton on Packing — their cartons are not taken off. Fill them in on Packing.")</f>
        <v/>
      </c>
    </row>
    <row r="51">
      <c r="A51" s="22">
        <f>IF(SUM(Packing!$S$8:$S$101)=0,"",SUM(Packing!$S$8:$S$101)&amp;" product(s) on Packing name a carton that is not on this list — check the spelling.")</f>
        <v/>
      </c>
    </row>
    <row r="52">
      <c r="A52" s="22">
        <f>IF(SUMPRODUCT(('Carton Entry'!$B$7:$B$5006&lt;&gt;"")*(COUNTIF($B$8:$B$47,'Carton Entry'!$B$7:$B$5006)=0))=0,"",SUMPRODUCT(('Carton Entry'!$B$7:$B$5006&lt;&gt;"")*(COUNTIF($B$8:$B$47,'Carton Entry'!$B$7:$B$5006)=0))&amp;" row(s) on Carton Entry name a carton that is not on this list — they are not counted.")</f>
        <v/>
      </c>
    </row>
    <row r="53">
      <c r="A53" s="22">
        <f>IF(SUM($P$8:$P$47)=0,"","Two rows share a carton name — deliveries and usage would be counted on both. Rename one.")</f>
        <v/>
      </c>
    </row>
    <row r="54">
      <c r="A54" s="22">
        <f>IF(Stock!$E$3&lt;'Carton Stock'!$E$4,"The Statement Date on Stock is before the Count Date — nothing after the count is counted yet.","")</f>
        <v/>
      </c>
    </row>
    <row r="55">
      <c r="A55" s="164">
        <f>IF(SUM(Packing!$T$8:$T$101)=0,"",SUM(Packing!$T$8:$T$101)&amp;" product(s) on Packing have no carton size yet — fill them in before they are packed.")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autoFilter ref="A7:L47"/>
  <conditionalFormatting sqref="C8:C47">
    <cfRule type="expression" priority="1" dxfId="2">
      <formula>AND($B8&lt;&gt;"",$C8="")</formula>
    </cfRule>
  </conditionalFormatting>
  <conditionalFormatting sqref="I8:I47">
    <cfRule type="cellIs" priority="2" operator="lessThan" dxfId="1">
      <formula>0</formula>
    </cfRule>
  </conditionalFormatting>
  <conditionalFormatting sqref="K8:K47">
    <cfRule type="expression" priority="3" dxfId="1" stopIfTrue="1">
      <formula>$K8="Negative — check"</formula>
    </cfRule>
    <cfRule type="expression" priority="4" dxfId="3" stopIfTrue="1">
      <formula>$K8="Reorder"</formula>
    </cfRule>
    <cfRule type="expression" priority="5" dxfId="4">
      <formula>$K8="Count needed"</formula>
    </cfRule>
  </conditionalFormatting>
  <dataValidations count="3">
    <dataValidation sqref="C8:C47" showDropDown="0" showInputMessage="0" showErrorMessage="1" allowBlank="1" error="Opening stock is a number of cartons, 0 or more." type="whole" operator="greaterThanOrEqual">
      <formula1>0</formula1>
    </dataValidation>
    <dataValidation sqref="J8:J47" showDropDown="0" showInputMessage="0" showErrorMessage="1" allowBlank="1" error="Reorder level is a number of cartons, 0 or more." type="whole" operator="greaterThanOrEqual">
      <formula1>0</formula1>
    </dataValidation>
    <dataValidation sqref="E4" showDropDown="0" showInputMessage="0" showErrorMessage="1" allowBlank="1" error="Enter the count date." type="date" operator="greaterThanOrEqual">
      <formula1>DATE(2000,1,1)</formula1>
    </dataValidation>
  </dataValidation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style="165" min="1" max="1"/>
    <col width="30" customWidth="1" style="165" min="2" max="2"/>
    <col width="16" customWidth="1" style="165" min="3" max="3"/>
    <col width="16" customWidth="1" style="165" min="4" max="4"/>
    <col width="26" customWidth="1" style="165" min="5" max="5"/>
    <col width="36" customWidth="1" style="165" min="6" max="6"/>
    <col width="6" customWidth="1" min="10" max="10"/>
  </cols>
  <sheetData>
    <row r="1" ht="18" customHeight="1">
      <c r="A1" s="2" t="inlineStr">
        <is>
          <t>PREMIER EXPORTS INTERNATIONAL</t>
        </is>
      </c>
    </row>
    <row r="2">
      <c r="A2" s="4" t="inlineStr">
        <is>
          <t>CARTON ENTRY — ONE ROW PER DELIVERY OR ADJUSTMENT</t>
        </is>
      </c>
    </row>
    <row r="4">
      <c r="A4" s="7" t="inlineStr">
        <is>
          <t>When cartons arrive, add a row: date, carton from the dropdown, number received.</t>
        </is>
      </c>
      <c r="G4" s="127" t="inlineStr">
        <is>
          <t>Rows that will not reach Carton Stock:</t>
        </is>
      </c>
      <c r="J4" s="22">
        <f>SUMPRODUCT((B7:B5006&lt;&gt;"")*(COUNTIF('Carton Stock'!$B$8:$B$47,B7:B5006)=0))</f>
        <v/>
      </c>
      <c r="K4" s="7" t="inlineStr">
        <is>
          <t>← must stay at 0; anything else is a mistyped carton</t>
        </is>
      </c>
    </row>
    <row r="5">
      <c r="A5" s="7" t="inlineStr">
        <is>
          <t>Damaged, or a recount differs: Adjustment, minus or plus. Packing is taken off by itself from production — never enter it here.</t>
        </is>
      </c>
    </row>
    <row r="6" ht="30" customHeight="1">
      <c r="A6" s="23" t="inlineStr">
        <is>
          <t>Date</t>
        </is>
      </c>
      <c r="B6" s="23" t="inlineStr">
        <is>
          <t>Carton (pick from list)</t>
        </is>
      </c>
      <c r="C6" s="23" t="inlineStr">
        <is>
          <t>Received (cartons)</t>
        </is>
      </c>
      <c r="D6" s="23" t="inlineStr">
        <is>
          <t>Adjustment (+ / −)</t>
        </is>
      </c>
      <c r="E6" s="23" t="inlineStr">
        <is>
          <t>Supplier / Invoice No.</t>
        </is>
      </c>
      <c r="F6" s="23" t="inlineStr">
        <is>
          <t>Note</t>
        </is>
      </c>
    </row>
    <row r="7">
      <c r="A7" s="166" t="n"/>
      <c r="B7" s="63" t="n"/>
      <c r="C7" s="64" t="n"/>
      <c r="D7" s="167" t="n"/>
      <c r="E7" s="63" t="n"/>
      <c r="F7" s="63" t="n"/>
    </row>
    <row r="8">
      <c r="A8" s="166" t="n"/>
      <c r="B8" s="63" t="n"/>
      <c r="C8" s="64" t="n"/>
      <c r="D8" s="167" t="n"/>
      <c r="E8" s="63" t="n"/>
      <c r="F8" s="63" t="n"/>
    </row>
    <row r="9">
      <c r="A9" s="166" t="n"/>
      <c r="B9" s="63" t="n"/>
      <c r="C9" s="64" t="n"/>
      <c r="D9" s="167" t="n"/>
      <c r="E9" s="63" t="n"/>
      <c r="F9" s="63" t="n"/>
    </row>
    <row r="10">
      <c r="A10" s="166" t="n"/>
      <c r="B10" s="63" t="n"/>
      <c r="C10" s="64" t="n"/>
      <c r="D10" s="167" t="n"/>
      <c r="E10" s="63" t="n"/>
      <c r="F10" s="63" t="n"/>
    </row>
    <row r="11">
      <c r="A11" s="166" t="n"/>
      <c r="B11" s="63" t="n"/>
      <c r="C11" s="64" t="n"/>
      <c r="D11" s="167" t="n"/>
      <c r="E11" s="63" t="n"/>
      <c r="F11" s="63" t="n"/>
    </row>
    <row r="12">
      <c r="A12" s="166" t="n"/>
      <c r="B12" s="63" t="n"/>
      <c r="C12" s="64" t="n"/>
      <c r="D12" s="167" t="n"/>
      <c r="E12" s="63" t="n"/>
      <c r="F12" s="63" t="n"/>
    </row>
    <row r="13">
      <c r="A13" s="166" t="n"/>
      <c r="B13" s="63" t="n"/>
      <c r="C13" s="64" t="n"/>
      <c r="D13" s="167" t="n"/>
      <c r="E13" s="63" t="n"/>
      <c r="F13" s="63" t="n"/>
    </row>
    <row r="14">
      <c r="A14" s="166" t="n"/>
      <c r="B14" s="63" t="n"/>
      <c r="C14" s="64" t="n"/>
      <c r="D14" s="167" t="n"/>
      <c r="E14" s="63" t="n"/>
      <c r="F14" s="63" t="n"/>
    </row>
    <row r="15">
      <c r="A15" s="166" t="n"/>
      <c r="B15" s="63" t="n"/>
      <c r="C15" s="64" t="n"/>
      <c r="D15" s="167" t="n"/>
      <c r="E15" s="63" t="n"/>
      <c r="F15" s="63" t="n"/>
    </row>
    <row r="16">
      <c r="A16" s="166" t="n"/>
      <c r="B16" s="63" t="n"/>
      <c r="C16" s="64" t="n"/>
      <c r="D16" s="167" t="n"/>
      <c r="E16" s="63" t="n"/>
      <c r="F16" s="63" t="n"/>
    </row>
    <row r="17">
      <c r="A17" s="166" t="n"/>
      <c r="B17" s="63" t="n"/>
      <c r="C17" s="64" t="n"/>
      <c r="D17" s="167" t="n"/>
      <c r="E17" s="63" t="n"/>
      <c r="F17" s="63" t="n"/>
    </row>
    <row r="18">
      <c r="A18" s="166" t="n"/>
      <c r="B18" s="63" t="n"/>
      <c r="C18" s="64" t="n"/>
      <c r="D18" s="167" t="n"/>
      <c r="E18" s="63" t="n"/>
      <c r="F18" s="63" t="n"/>
    </row>
    <row r="19">
      <c r="A19" s="166" t="n"/>
      <c r="B19" s="63" t="n"/>
      <c r="C19" s="64" t="n"/>
      <c r="D19" s="167" t="n"/>
      <c r="E19" s="63" t="n"/>
      <c r="F19" s="63" t="n"/>
    </row>
    <row r="20">
      <c r="A20" s="166" t="n"/>
      <c r="B20" s="63" t="n"/>
      <c r="C20" s="64" t="n"/>
      <c r="D20" s="167" t="n"/>
      <c r="E20" s="63" t="n"/>
      <c r="F20" s="63" t="n"/>
    </row>
    <row r="21">
      <c r="A21" s="166" t="n"/>
      <c r="B21" s="63" t="n"/>
      <c r="C21" s="64" t="n"/>
      <c r="D21" s="167" t="n"/>
      <c r="E21" s="63" t="n"/>
      <c r="F21" s="63" t="n"/>
    </row>
    <row r="22">
      <c r="A22" s="166" t="n"/>
      <c r="B22" s="63" t="n"/>
      <c r="C22" s="64" t="n"/>
      <c r="D22" s="167" t="n"/>
      <c r="E22" s="63" t="n"/>
      <c r="F22" s="63" t="n"/>
    </row>
    <row r="23">
      <c r="A23" s="166" t="n"/>
      <c r="B23" s="63" t="n"/>
      <c r="C23" s="64" t="n"/>
      <c r="D23" s="167" t="n"/>
      <c r="E23" s="63" t="n"/>
      <c r="F23" s="63" t="n"/>
    </row>
    <row r="24">
      <c r="A24" s="166" t="n"/>
      <c r="B24" s="63" t="n"/>
      <c r="C24" s="64" t="n"/>
      <c r="D24" s="167" t="n"/>
      <c r="E24" s="63" t="n"/>
      <c r="F24" s="63" t="n"/>
    </row>
    <row r="25">
      <c r="A25" s="166" t="n"/>
      <c r="B25" s="63" t="n"/>
      <c r="C25" s="64" t="n"/>
      <c r="D25" s="167" t="n"/>
      <c r="E25" s="63" t="n"/>
      <c r="F25" s="63" t="n"/>
    </row>
    <row r="26">
      <c r="A26" s="166" t="n"/>
      <c r="B26" s="63" t="n"/>
      <c r="C26" s="64" t="n"/>
      <c r="D26" s="167" t="n"/>
      <c r="E26" s="63" t="n"/>
      <c r="F26" s="63" t="n"/>
    </row>
    <row r="27">
      <c r="A27" s="166" t="n"/>
      <c r="B27" s="63" t="n"/>
      <c r="C27" s="64" t="n"/>
      <c r="D27" s="167" t="n"/>
      <c r="E27" s="63" t="n"/>
      <c r="F27" s="63" t="n"/>
    </row>
    <row r="28">
      <c r="A28" s="166" t="n"/>
      <c r="B28" s="63" t="n"/>
      <c r="C28" s="64" t="n"/>
      <c r="D28" s="167" t="n"/>
      <c r="E28" s="63" t="n"/>
      <c r="F28" s="63" t="n"/>
    </row>
    <row r="29">
      <c r="A29" s="166" t="n"/>
      <c r="B29" s="63" t="n"/>
      <c r="C29" s="64" t="n"/>
      <c r="D29" s="167" t="n"/>
      <c r="E29" s="63" t="n"/>
      <c r="F29" s="63" t="n"/>
    </row>
    <row r="30">
      <c r="A30" s="166" t="n"/>
      <c r="B30" s="63" t="n"/>
      <c r="C30" s="64" t="n"/>
      <c r="D30" s="167" t="n"/>
      <c r="E30" s="63" t="n"/>
      <c r="F30" s="63" t="n"/>
    </row>
    <row r="31">
      <c r="A31" s="166" t="n"/>
      <c r="B31" s="63" t="n"/>
      <c r="C31" s="64" t="n"/>
      <c r="D31" s="167" t="n"/>
      <c r="E31" s="63" t="n"/>
      <c r="F31" s="63" t="n"/>
    </row>
    <row r="32">
      <c r="A32" s="166" t="n"/>
      <c r="B32" s="63" t="n"/>
      <c r="C32" s="64" t="n"/>
      <c r="D32" s="167" t="n"/>
      <c r="E32" s="63" t="n"/>
      <c r="F32" s="63" t="n"/>
    </row>
    <row r="33">
      <c r="A33" s="166" t="n"/>
      <c r="B33" s="63" t="n"/>
      <c r="C33" s="64" t="n"/>
      <c r="D33" s="167" t="n"/>
      <c r="E33" s="63" t="n"/>
      <c r="F33" s="63" t="n"/>
    </row>
    <row r="34">
      <c r="A34" s="166" t="n"/>
      <c r="B34" s="63" t="n"/>
      <c r="C34" s="64" t="n"/>
      <c r="D34" s="167" t="n"/>
      <c r="E34" s="63" t="n"/>
      <c r="F34" s="63" t="n"/>
    </row>
    <row r="35">
      <c r="A35" s="166" t="n"/>
      <c r="B35" s="63" t="n"/>
      <c r="C35" s="64" t="n"/>
      <c r="D35" s="167" t="n"/>
      <c r="E35" s="63" t="n"/>
      <c r="F35" s="63" t="n"/>
    </row>
    <row r="36">
      <c r="A36" s="166" t="n"/>
      <c r="B36" s="63" t="n"/>
      <c r="C36" s="64" t="n"/>
      <c r="D36" s="167" t="n"/>
      <c r="E36" s="63" t="n"/>
      <c r="F36" s="63" t="n"/>
    </row>
    <row r="37">
      <c r="A37" s="166" t="n"/>
      <c r="B37" s="63" t="n"/>
      <c r="C37" s="64" t="n"/>
      <c r="D37" s="167" t="n"/>
      <c r="E37" s="63" t="n"/>
      <c r="F37" s="63" t="n"/>
    </row>
    <row r="38">
      <c r="A38" s="166" t="n"/>
      <c r="B38" s="63" t="n"/>
      <c r="C38" s="64" t="n"/>
      <c r="D38" s="167" t="n"/>
      <c r="E38" s="63" t="n"/>
      <c r="F38" s="63" t="n"/>
    </row>
    <row r="39">
      <c r="A39" s="166" t="n"/>
      <c r="B39" s="63" t="n"/>
      <c r="C39" s="64" t="n"/>
      <c r="D39" s="167" t="n"/>
      <c r="E39" s="63" t="n"/>
      <c r="F39" s="63" t="n"/>
    </row>
    <row r="40">
      <c r="A40" s="166" t="n"/>
      <c r="B40" s="63" t="n"/>
      <c r="C40" s="64" t="n"/>
      <c r="D40" s="167" t="n"/>
      <c r="E40" s="63" t="n"/>
      <c r="F40" s="63" t="n"/>
    </row>
    <row r="41">
      <c r="A41" s="166" t="n"/>
      <c r="B41" s="63" t="n"/>
      <c r="C41" s="64" t="n"/>
      <c r="D41" s="167" t="n"/>
      <c r="E41" s="63" t="n"/>
      <c r="F41" s="63" t="n"/>
    </row>
    <row r="42">
      <c r="A42" s="166" t="n"/>
      <c r="B42" s="63" t="n"/>
      <c r="C42" s="64" t="n"/>
      <c r="D42" s="167" t="n"/>
      <c r="E42" s="63" t="n"/>
      <c r="F42" s="63" t="n"/>
    </row>
    <row r="43">
      <c r="A43" s="166" t="n"/>
      <c r="B43" s="63" t="n"/>
      <c r="C43" s="64" t="n"/>
      <c r="D43" s="167" t="n"/>
      <c r="E43" s="63" t="n"/>
      <c r="F43" s="63" t="n"/>
    </row>
    <row r="44">
      <c r="A44" s="166" t="n"/>
      <c r="B44" s="63" t="n"/>
      <c r="C44" s="64" t="n"/>
      <c r="D44" s="167" t="n"/>
      <c r="E44" s="63" t="n"/>
      <c r="F44" s="63" t="n"/>
    </row>
    <row r="45">
      <c r="A45" s="166" t="n"/>
      <c r="B45" s="63" t="n"/>
      <c r="C45" s="64" t="n"/>
      <c r="D45" s="167" t="n"/>
      <c r="E45" s="63" t="n"/>
      <c r="F45" s="63" t="n"/>
    </row>
    <row r="46">
      <c r="A46" s="166" t="n"/>
      <c r="B46" s="63" t="n"/>
      <c r="C46" s="64" t="n"/>
      <c r="D46" s="167" t="n"/>
      <c r="E46" s="63" t="n"/>
      <c r="F46" s="63" t="n"/>
    </row>
    <row r="47">
      <c r="A47" s="166" t="n"/>
      <c r="B47" s="63" t="n"/>
      <c r="C47" s="64" t="n"/>
      <c r="D47" s="167" t="n"/>
      <c r="E47" s="63" t="n"/>
      <c r="F47" s="63" t="n"/>
    </row>
    <row r="48">
      <c r="A48" s="166" t="n"/>
      <c r="B48" s="63" t="n"/>
      <c r="C48" s="64" t="n"/>
      <c r="D48" s="167" t="n"/>
      <c r="E48" s="63" t="n"/>
      <c r="F48" s="63" t="n"/>
    </row>
    <row r="49">
      <c r="A49" s="166" t="n"/>
      <c r="B49" s="63" t="n"/>
      <c r="C49" s="64" t="n"/>
      <c r="D49" s="167" t="n"/>
      <c r="E49" s="63" t="n"/>
      <c r="F49" s="63" t="n"/>
    </row>
    <row r="50">
      <c r="A50" s="166" t="n"/>
      <c r="B50" s="63" t="n"/>
      <c r="C50" s="64" t="n"/>
      <c r="D50" s="167" t="n"/>
      <c r="E50" s="63" t="n"/>
      <c r="F50" s="63" t="n"/>
    </row>
    <row r="51">
      <c r="A51" s="166" t="n"/>
      <c r="B51" s="63" t="n"/>
      <c r="C51" s="64" t="n"/>
      <c r="D51" s="167" t="n"/>
      <c r="E51" s="63" t="n"/>
      <c r="F51" s="63" t="n"/>
    </row>
    <row r="52">
      <c r="A52" s="166" t="n"/>
      <c r="B52" s="63" t="n"/>
      <c r="C52" s="64" t="n"/>
      <c r="D52" s="167" t="n"/>
      <c r="E52" s="63" t="n"/>
      <c r="F52" s="63" t="n"/>
    </row>
    <row r="53">
      <c r="A53" s="166" t="n"/>
      <c r="B53" s="63" t="n"/>
      <c r="C53" s="64" t="n"/>
      <c r="D53" s="167" t="n"/>
      <c r="E53" s="63" t="n"/>
      <c r="F53" s="63" t="n"/>
    </row>
    <row r="54">
      <c r="A54" s="166" t="n"/>
      <c r="B54" s="63" t="n"/>
      <c r="C54" s="64" t="n"/>
      <c r="D54" s="167" t="n"/>
      <c r="E54" s="63" t="n"/>
      <c r="F54" s="63" t="n"/>
    </row>
    <row r="55">
      <c r="A55" s="166" t="n"/>
      <c r="B55" s="63" t="n"/>
      <c r="C55" s="64" t="n"/>
      <c r="D55" s="167" t="n"/>
      <c r="E55" s="63" t="n"/>
      <c r="F55" s="63" t="n"/>
    </row>
    <row r="56">
      <c r="A56" s="166" t="n"/>
      <c r="B56" s="63" t="n"/>
      <c r="C56" s="64" t="n"/>
      <c r="D56" s="167" t="n"/>
      <c r="E56" s="63" t="n"/>
      <c r="F56" s="63" t="n"/>
    </row>
    <row r="57">
      <c r="A57" s="166" t="n"/>
      <c r="B57" s="63" t="n"/>
      <c r="C57" s="64" t="n"/>
      <c r="D57" s="167" t="n"/>
      <c r="E57" s="63" t="n"/>
      <c r="F57" s="63" t="n"/>
    </row>
    <row r="58">
      <c r="A58" s="166" t="n"/>
      <c r="B58" s="63" t="n"/>
      <c r="C58" s="64" t="n"/>
      <c r="D58" s="167" t="n"/>
      <c r="E58" s="63" t="n"/>
      <c r="F58" s="63" t="n"/>
    </row>
    <row r="59">
      <c r="A59" s="166" t="n"/>
      <c r="B59" s="63" t="n"/>
      <c r="C59" s="64" t="n"/>
      <c r="D59" s="167" t="n"/>
      <c r="E59" s="63" t="n"/>
      <c r="F59" s="63" t="n"/>
    </row>
    <row r="60">
      <c r="A60" s="166" t="n"/>
      <c r="B60" s="63" t="n"/>
      <c r="C60" s="64" t="n"/>
      <c r="D60" s="167" t="n"/>
      <c r="E60" s="63" t="n"/>
      <c r="F60" s="63" t="n"/>
    </row>
    <row r="61">
      <c r="A61" s="166" t="n"/>
      <c r="B61" s="63" t="n"/>
      <c r="C61" s="64" t="n"/>
      <c r="D61" s="167" t="n"/>
      <c r="E61" s="63" t="n"/>
      <c r="F61" s="63" t="n"/>
    </row>
    <row r="62">
      <c r="A62" s="166" t="n"/>
      <c r="B62" s="63" t="n"/>
      <c r="C62" s="64" t="n"/>
      <c r="D62" s="167" t="n"/>
      <c r="E62" s="63" t="n"/>
      <c r="F62" s="63" t="n"/>
    </row>
    <row r="63">
      <c r="A63" s="166" t="n"/>
      <c r="B63" s="63" t="n"/>
      <c r="C63" s="64" t="n"/>
      <c r="D63" s="167" t="n"/>
      <c r="E63" s="63" t="n"/>
      <c r="F63" s="63" t="n"/>
    </row>
    <row r="64">
      <c r="A64" s="166" t="n"/>
      <c r="B64" s="63" t="n"/>
      <c r="C64" s="64" t="n"/>
      <c r="D64" s="167" t="n"/>
      <c r="E64" s="63" t="n"/>
      <c r="F64" s="63" t="n"/>
    </row>
    <row r="65">
      <c r="A65" s="166" t="n"/>
      <c r="B65" s="63" t="n"/>
      <c r="C65" s="64" t="n"/>
      <c r="D65" s="167" t="n"/>
      <c r="E65" s="63" t="n"/>
      <c r="F65" s="63" t="n"/>
    </row>
    <row r="66">
      <c r="A66" s="166" t="n"/>
      <c r="B66" s="63" t="n"/>
      <c r="C66" s="64" t="n"/>
      <c r="D66" s="167" t="n"/>
      <c r="E66" s="63" t="n"/>
      <c r="F66" s="63" t="n"/>
    </row>
    <row r="67">
      <c r="A67" s="166" t="n"/>
      <c r="B67" s="63" t="n"/>
      <c r="C67" s="64" t="n"/>
      <c r="D67" s="167" t="n"/>
      <c r="E67" s="63" t="n"/>
      <c r="F67" s="63" t="n"/>
    </row>
    <row r="68">
      <c r="A68" s="166" t="n"/>
      <c r="B68" s="63" t="n"/>
      <c r="C68" s="64" t="n"/>
      <c r="D68" s="167" t="n"/>
      <c r="E68" s="63" t="n"/>
      <c r="F68" s="63" t="n"/>
    </row>
    <row r="69">
      <c r="A69" s="166" t="n"/>
      <c r="B69" s="63" t="n"/>
      <c r="C69" s="64" t="n"/>
      <c r="D69" s="167" t="n"/>
      <c r="E69" s="63" t="n"/>
      <c r="F69" s="63" t="n"/>
    </row>
    <row r="70">
      <c r="A70" s="166" t="n"/>
      <c r="B70" s="63" t="n"/>
      <c r="C70" s="64" t="n"/>
      <c r="D70" s="167" t="n"/>
      <c r="E70" s="63" t="n"/>
      <c r="F70" s="63" t="n"/>
    </row>
    <row r="71">
      <c r="A71" s="166" t="n"/>
      <c r="B71" s="63" t="n"/>
      <c r="C71" s="64" t="n"/>
      <c r="D71" s="167" t="n"/>
      <c r="E71" s="63" t="n"/>
      <c r="F71" s="63" t="n"/>
    </row>
    <row r="72">
      <c r="A72" s="166" t="n"/>
      <c r="B72" s="63" t="n"/>
      <c r="C72" s="64" t="n"/>
      <c r="D72" s="167" t="n"/>
      <c r="E72" s="63" t="n"/>
      <c r="F72" s="63" t="n"/>
    </row>
    <row r="73">
      <c r="A73" s="166" t="n"/>
      <c r="B73" s="63" t="n"/>
      <c r="C73" s="64" t="n"/>
      <c r="D73" s="167" t="n"/>
      <c r="E73" s="63" t="n"/>
      <c r="F73" s="63" t="n"/>
    </row>
    <row r="74">
      <c r="A74" s="166" t="n"/>
      <c r="B74" s="63" t="n"/>
      <c r="C74" s="64" t="n"/>
      <c r="D74" s="167" t="n"/>
      <c r="E74" s="63" t="n"/>
      <c r="F74" s="63" t="n"/>
    </row>
    <row r="75">
      <c r="A75" s="166" t="n"/>
      <c r="B75" s="63" t="n"/>
      <c r="C75" s="64" t="n"/>
      <c r="D75" s="167" t="n"/>
      <c r="E75" s="63" t="n"/>
      <c r="F75" s="63" t="n"/>
    </row>
    <row r="76">
      <c r="A76" s="166" t="n"/>
      <c r="B76" s="63" t="n"/>
      <c r="C76" s="64" t="n"/>
      <c r="D76" s="167" t="n"/>
      <c r="E76" s="63" t="n"/>
      <c r="F76" s="63" t="n"/>
    </row>
    <row r="77">
      <c r="A77" s="166" t="n"/>
      <c r="B77" s="63" t="n"/>
      <c r="C77" s="64" t="n"/>
      <c r="D77" s="167" t="n"/>
      <c r="E77" s="63" t="n"/>
      <c r="F77" s="63" t="n"/>
    </row>
    <row r="78">
      <c r="A78" s="166" t="n"/>
      <c r="B78" s="63" t="n"/>
      <c r="C78" s="64" t="n"/>
      <c r="D78" s="167" t="n"/>
      <c r="E78" s="63" t="n"/>
      <c r="F78" s="63" t="n"/>
    </row>
    <row r="79">
      <c r="A79" s="166" t="n"/>
      <c r="B79" s="63" t="n"/>
      <c r="C79" s="64" t="n"/>
      <c r="D79" s="167" t="n"/>
      <c r="E79" s="63" t="n"/>
      <c r="F79" s="63" t="n"/>
    </row>
    <row r="80">
      <c r="A80" s="166" t="n"/>
      <c r="B80" s="63" t="n"/>
      <c r="C80" s="64" t="n"/>
      <c r="D80" s="167" t="n"/>
      <c r="E80" s="63" t="n"/>
      <c r="F80" s="63" t="n"/>
    </row>
    <row r="81">
      <c r="A81" s="166" t="n"/>
      <c r="B81" s="63" t="n"/>
      <c r="C81" s="64" t="n"/>
      <c r="D81" s="167" t="n"/>
      <c r="E81" s="63" t="n"/>
      <c r="F81" s="63" t="n"/>
    </row>
    <row r="82">
      <c r="A82" s="166" t="n"/>
      <c r="B82" s="63" t="n"/>
      <c r="C82" s="64" t="n"/>
      <c r="D82" s="167" t="n"/>
      <c r="E82" s="63" t="n"/>
      <c r="F82" s="63" t="n"/>
    </row>
    <row r="83">
      <c r="A83" s="166" t="n"/>
      <c r="B83" s="63" t="n"/>
      <c r="C83" s="64" t="n"/>
      <c r="D83" s="167" t="n"/>
      <c r="E83" s="63" t="n"/>
      <c r="F83" s="63" t="n"/>
    </row>
    <row r="84">
      <c r="A84" s="166" t="n"/>
      <c r="B84" s="63" t="n"/>
      <c r="C84" s="64" t="n"/>
      <c r="D84" s="167" t="n"/>
      <c r="E84" s="63" t="n"/>
      <c r="F84" s="63" t="n"/>
    </row>
    <row r="85">
      <c r="A85" s="166" t="n"/>
      <c r="B85" s="63" t="n"/>
      <c r="C85" s="64" t="n"/>
      <c r="D85" s="167" t="n"/>
      <c r="E85" s="63" t="n"/>
      <c r="F85" s="63" t="n"/>
    </row>
    <row r="86">
      <c r="A86" s="166" t="n"/>
      <c r="B86" s="63" t="n"/>
      <c r="C86" s="64" t="n"/>
      <c r="D86" s="167" t="n"/>
      <c r="E86" s="63" t="n"/>
      <c r="F86" s="63" t="n"/>
    </row>
    <row r="87">
      <c r="A87" s="166" t="n"/>
      <c r="B87" s="63" t="n"/>
      <c r="C87" s="64" t="n"/>
      <c r="D87" s="167" t="n"/>
      <c r="E87" s="63" t="n"/>
      <c r="F87" s="63" t="n"/>
    </row>
    <row r="88">
      <c r="A88" s="166" t="n"/>
      <c r="B88" s="63" t="n"/>
      <c r="C88" s="64" t="n"/>
      <c r="D88" s="167" t="n"/>
      <c r="E88" s="63" t="n"/>
      <c r="F88" s="63" t="n"/>
    </row>
    <row r="89">
      <c r="A89" s="166" t="n"/>
      <c r="B89" s="63" t="n"/>
      <c r="C89" s="64" t="n"/>
      <c r="D89" s="167" t="n"/>
      <c r="E89" s="63" t="n"/>
      <c r="F89" s="63" t="n"/>
    </row>
    <row r="90">
      <c r="A90" s="166" t="n"/>
      <c r="B90" s="63" t="n"/>
      <c r="C90" s="64" t="n"/>
      <c r="D90" s="167" t="n"/>
      <c r="E90" s="63" t="n"/>
      <c r="F90" s="63" t="n"/>
    </row>
    <row r="91">
      <c r="A91" s="166" t="n"/>
      <c r="B91" s="63" t="n"/>
      <c r="C91" s="64" t="n"/>
      <c r="D91" s="167" t="n"/>
      <c r="E91" s="63" t="n"/>
      <c r="F91" s="63" t="n"/>
    </row>
    <row r="92">
      <c r="A92" s="166" t="n"/>
      <c r="B92" s="63" t="n"/>
      <c r="C92" s="64" t="n"/>
      <c r="D92" s="167" t="n"/>
      <c r="E92" s="63" t="n"/>
      <c r="F92" s="63" t="n"/>
    </row>
    <row r="93">
      <c r="A93" s="166" t="n"/>
      <c r="B93" s="63" t="n"/>
      <c r="C93" s="64" t="n"/>
      <c r="D93" s="167" t="n"/>
      <c r="E93" s="63" t="n"/>
      <c r="F93" s="63" t="n"/>
    </row>
    <row r="94">
      <c r="A94" s="166" t="n"/>
      <c r="B94" s="63" t="n"/>
      <c r="C94" s="64" t="n"/>
      <c r="D94" s="167" t="n"/>
      <c r="E94" s="63" t="n"/>
      <c r="F94" s="63" t="n"/>
    </row>
    <row r="95">
      <c r="A95" s="166" t="n"/>
      <c r="B95" s="63" t="n"/>
      <c r="C95" s="64" t="n"/>
      <c r="D95" s="167" t="n"/>
      <c r="E95" s="63" t="n"/>
      <c r="F95" s="63" t="n"/>
    </row>
    <row r="96">
      <c r="A96" s="166" t="n"/>
      <c r="B96" s="63" t="n"/>
      <c r="C96" s="64" t="n"/>
      <c r="D96" s="167" t="n"/>
      <c r="E96" s="63" t="n"/>
      <c r="F96" s="63" t="n"/>
    </row>
    <row r="97">
      <c r="A97" s="166" t="n"/>
      <c r="B97" s="63" t="n"/>
      <c r="C97" s="64" t="n"/>
      <c r="D97" s="167" t="n"/>
      <c r="E97" s="63" t="n"/>
      <c r="F97" s="63" t="n"/>
    </row>
    <row r="98">
      <c r="A98" s="166" t="n"/>
      <c r="B98" s="63" t="n"/>
      <c r="C98" s="64" t="n"/>
      <c r="D98" s="167" t="n"/>
      <c r="E98" s="63" t="n"/>
      <c r="F98" s="63" t="n"/>
    </row>
    <row r="99">
      <c r="A99" s="166" t="n"/>
      <c r="B99" s="63" t="n"/>
      <c r="C99" s="64" t="n"/>
      <c r="D99" s="167" t="n"/>
      <c r="E99" s="63" t="n"/>
      <c r="F99" s="63" t="n"/>
    </row>
    <row r="100">
      <c r="A100" s="166" t="n"/>
      <c r="B100" s="63" t="n"/>
      <c r="C100" s="64" t="n"/>
      <c r="D100" s="167" t="n"/>
      <c r="E100" s="63" t="n"/>
      <c r="F100" s="63" t="n"/>
    </row>
    <row r="101">
      <c r="A101" s="166" t="n"/>
      <c r="B101" s="63" t="n"/>
      <c r="C101" s="64" t="n"/>
      <c r="D101" s="167" t="n"/>
      <c r="E101" s="63" t="n"/>
      <c r="F101" s="63" t="n"/>
    </row>
    <row r="102">
      <c r="A102" s="166" t="n"/>
      <c r="B102" s="63" t="n"/>
      <c r="C102" s="64" t="n"/>
      <c r="D102" s="167" t="n"/>
      <c r="E102" s="63" t="n"/>
      <c r="F102" s="63" t="n"/>
    </row>
    <row r="103">
      <c r="A103" s="166" t="n"/>
      <c r="B103" s="63" t="n"/>
      <c r="C103" s="64" t="n"/>
      <c r="D103" s="167" t="n"/>
      <c r="E103" s="63" t="n"/>
      <c r="F103" s="63" t="n"/>
    </row>
    <row r="104">
      <c r="A104" s="166" t="n"/>
      <c r="B104" s="63" t="n"/>
      <c r="C104" s="64" t="n"/>
      <c r="D104" s="167" t="n"/>
      <c r="E104" s="63" t="n"/>
      <c r="F104" s="63" t="n"/>
    </row>
    <row r="105">
      <c r="A105" s="166" t="n"/>
      <c r="B105" s="63" t="n"/>
      <c r="C105" s="64" t="n"/>
      <c r="D105" s="167" t="n"/>
      <c r="E105" s="63" t="n"/>
      <c r="F105" s="63" t="n"/>
    </row>
    <row r="106">
      <c r="A106" s="166" t="n"/>
      <c r="B106" s="63" t="n"/>
      <c r="C106" s="64" t="n"/>
      <c r="D106" s="167" t="n"/>
      <c r="E106" s="63" t="n"/>
      <c r="F106" s="63" t="n"/>
    </row>
    <row r="107">
      <c r="A107" s="166" t="n"/>
      <c r="B107" s="63" t="n"/>
      <c r="C107" s="64" t="n"/>
      <c r="D107" s="167" t="n"/>
      <c r="E107" s="63" t="n"/>
      <c r="F107" s="63" t="n"/>
    </row>
    <row r="108">
      <c r="A108" s="166" t="n"/>
      <c r="B108" s="63" t="n"/>
      <c r="C108" s="64" t="n"/>
      <c r="D108" s="167" t="n"/>
      <c r="E108" s="63" t="n"/>
      <c r="F108" s="63" t="n"/>
    </row>
    <row r="109">
      <c r="A109" s="166" t="n"/>
      <c r="B109" s="63" t="n"/>
      <c r="C109" s="64" t="n"/>
      <c r="D109" s="167" t="n"/>
      <c r="E109" s="63" t="n"/>
      <c r="F109" s="63" t="n"/>
    </row>
    <row r="110">
      <c r="A110" s="166" t="n"/>
      <c r="B110" s="63" t="n"/>
      <c r="C110" s="64" t="n"/>
      <c r="D110" s="167" t="n"/>
      <c r="E110" s="63" t="n"/>
      <c r="F110" s="63" t="n"/>
    </row>
    <row r="111">
      <c r="A111" s="166" t="n"/>
      <c r="B111" s="63" t="n"/>
      <c r="C111" s="64" t="n"/>
      <c r="D111" s="167" t="n"/>
      <c r="E111" s="63" t="n"/>
      <c r="F111" s="63" t="n"/>
    </row>
    <row r="112">
      <c r="A112" s="166" t="n"/>
      <c r="B112" s="63" t="n"/>
      <c r="C112" s="64" t="n"/>
      <c r="D112" s="167" t="n"/>
      <c r="E112" s="63" t="n"/>
      <c r="F112" s="63" t="n"/>
    </row>
    <row r="113">
      <c r="A113" s="166" t="n"/>
      <c r="B113" s="63" t="n"/>
      <c r="C113" s="64" t="n"/>
      <c r="D113" s="167" t="n"/>
      <c r="E113" s="63" t="n"/>
      <c r="F113" s="63" t="n"/>
    </row>
    <row r="114">
      <c r="A114" s="166" t="n"/>
      <c r="B114" s="63" t="n"/>
      <c r="C114" s="64" t="n"/>
      <c r="D114" s="167" t="n"/>
      <c r="E114" s="63" t="n"/>
      <c r="F114" s="63" t="n"/>
    </row>
    <row r="115">
      <c r="A115" s="166" t="n"/>
      <c r="B115" s="63" t="n"/>
      <c r="C115" s="64" t="n"/>
      <c r="D115" s="167" t="n"/>
      <c r="E115" s="63" t="n"/>
      <c r="F115" s="63" t="n"/>
    </row>
    <row r="116">
      <c r="A116" s="166" t="n"/>
      <c r="B116" s="63" t="n"/>
      <c r="C116" s="64" t="n"/>
      <c r="D116" s="167" t="n"/>
      <c r="E116" s="63" t="n"/>
      <c r="F116" s="63" t="n"/>
    </row>
    <row r="117">
      <c r="A117" s="166" t="n"/>
      <c r="B117" s="63" t="n"/>
      <c r="C117" s="64" t="n"/>
      <c r="D117" s="167" t="n"/>
      <c r="E117" s="63" t="n"/>
      <c r="F117" s="63" t="n"/>
    </row>
    <row r="118">
      <c r="A118" s="166" t="n"/>
      <c r="B118" s="63" t="n"/>
      <c r="C118" s="64" t="n"/>
      <c r="D118" s="167" t="n"/>
      <c r="E118" s="63" t="n"/>
      <c r="F118" s="63" t="n"/>
    </row>
    <row r="119">
      <c r="A119" s="166" t="n"/>
      <c r="B119" s="63" t="n"/>
      <c r="C119" s="64" t="n"/>
      <c r="D119" s="167" t="n"/>
      <c r="E119" s="63" t="n"/>
      <c r="F119" s="63" t="n"/>
    </row>
    <row r="120">
      <c r="A120" s="166" t="n"/>
      <c r="B120" s="63" t="n"/>
      <c r="C120" s="64" t="n"/>
      <c r="D120" s="167" t="n"/>
      <c r="E120" s="63" t="n"/>
      <c r="F120" s="63" t="n"/>
    </row>
    <row r="121">
      <c r="A121" s="166" t="n"/>
      <c r="B121" s="63" t="n"/>
      <c r="C121" s="64" t="n"/>
      <c r="D121" s="167" t="n"/>
      <c r="E121" s="63" t="n"/>
      <c r="F121" s="63" t="n"/>
    </row>
    <row r="122">
      <c r="A122" s="166" t="n"/>
      <c r="B122" s="63" t="n"/>
      <c r="C122" s="64" t="n"/>
      <c r="D122" s="167" t="n"/>
      <c r="E122" s="63" t="n"/>
      <c r="F122" s="63" t="n"/>
    </row>
    <row r="123">
      <c r="A123" s="166" t="n"/>
      <c r="B123" s="63" t="n"/>
      <c r="C123" s="64" t="n"/>
      <c r="D123" s="167" t="n"/>
      <c r="E123" s="63" t="n"/>
      <c r="F123" s="63" t="n"/>
    </row>
    <row r="124">
      <c r="A124" s="166" t="n"/>
      <c r="B124" s="63" t="n"/>
      <c r="C124" s="64" t="n"/>
      <c r="D124" s="167" t="n"/>
      <c r="E124" s="63" t="n"/>
      <c r="F124" s="63" t="n"/>
    </row>
    <row r="125">
      <c r="A125" s="166" t="n"/>
      <c r="B125" s="63" t="n"/>
      <c r="C125" s="64" t="n"/>
      <c r="D125" s="167" t="n"/>
      <c r="E125" s="63" t="n"/>
      <c r="F125" s="63" t="n"/>
    </row>
    <row r="126">
      <c r="A126" s="166" t="n"/>
      <c r="B126" s="63" t="n"/>
      <c r="C126" s="64" t="n"/>
      <c r="D126" s="167" t="n"/>
      <c r="E126" s="63" t="n"/>
      <c r="F126" s="63" t="n"/>
    </row>
    <row r="127">
      <c r="A127" s="166" t="n"/>
      <c r="B127" s="63" t="n"/>
      <c r="C127" s="64" t="n"/>
      <c r="D127" s="167" t="n"/>
      <c r="E127" s="63" t="n"/>
      <c r="F127" s="63" t="n"/>
    </row>
    <row r="128">
      <c r="A128" s="166" t="n"/>
      <c r="B128" s="63" t="n"/>
      <c r="C128" s="64" t="n"/>
      <c r="D128" s="167" t="n"/>
      <c r="E128" s="63" t="n"/>
      <c r="F128" s="63" t="n"/>
    </row>
    <row r="129">
      <c r="A129" s="166" t="n"/>
      <c r="B129" s="63" t="n"/>
      <c r="C129" s="64" t="n"/>
      <c r="D129" s="167" t="n"/>
      <c r="E129" s="63" t="n"/>
      <c r="F129" s="63" t="n"/>
    </row>
    <row r="130">
      <c r="A130" s="166" t="n"/>
      <c r="B130" s="63" t="n"/>
      <c r="C130" s="64" t="n"/>
      <c r="D130" s="167" t="n"/>
      <c r="E130" s="63" t="n"/>
      <c r="F130" s="63" t="n"/>
    </row>
    <row r="131">
      <c r="A131" s="166" t="n"/>
      <c r="B131" s="63" t="n"/>
      <c r="C131" s="64" t="n"/>
      <c r="D131" s="167" t="n"/>
      <c r="E131" s="63" t="n"/>
      <c r="F131" s="63" t="n"/>
    </row>
    <row r="132">
      <c r="A132" s="166" t="n"/>
      <c r="B132" s="63" t="n"/>
      <c r="C132" s="64" t="n"/>
      <c r="D132" s="167" t="n"/>
      <c r="E132" s="63" t="n"/>
      <c r="F132" s="63" t="n"/>
    </row>
    <row r="133">
      <c r="A133" s="166" t="n"/>
      <c r="B133" s="63" t="n"/>
      <c r="C133" s="64" t="n"/>
      <c r="D133" s="167" t="n"/>
      <c r="E133" s="63" t="n"/>
      <c r="F133" s="63" t="n"/>
    </row>
    <row r="134">
      <c r="A134" s="166" t="n"/>
      <c r="B134" s="63" t="n"/>
      <c r="C134" s="64" t="n"/>
      <c r="D134" s="167" t="n"/>
      <c r="E134" s="63" t="n"/>
      <c r="F134" s="63" t="n"/>
    </row>
    <row r="135">
      <c r="A135" s="166" t="n"/>
      <c r="B135" s="63" t="n"/>
      <c r="C135" s="64" t="n"/>
      <c r="D135" s="167" t="n"/>
      <c r="E135" s="63" t="n"/>
      <c r="F135" s="63" t="n"/>
    </row>
    <row r="136">
      <c r="A136" s="166" t="n"/>
      <c r="B136" s="63" t="n"/>
      <c r="C136" s="64" t="n"/>
      <c r="D136" s="167" t="n"/>
      <c r="E136" s="63" t="n"/>
      <c r="F136" s="63" t="n"/>
    </row>
    <row r="137">
      <c r="A137" s="166" t="n"/>
      <c r="B137" s="63" t="n"/>
      <c r="C137" s="64" t="n"/>
      <c r="D137" s="167" t="n"/>
      <c r="E137" s="63" t="n"/>
      <c r="F137" s="63" t="n"/>
    </row>
    <row r="138">
      <c r="A138" s="166" t="n"/>
      <c r="B138" s="63" t="n"/>
      <c r="C138" s="64" t="n"/>
      <c r="D138" s="167" t="n"/>
      <c r="E138" s="63" t="n"/>
      <c r="F138" s="63" t="n"/>
    </row>
    <row r="139">
      <c r="A139" s="166" t="n"/>
      <c r="B139" s="63" t="n"/>
      <c r="C139" s="64" t="n"/>
      <c r="D139" s="167" t="n"/>
      <c r="E139" s="63" t="n"/>
      <c r="F139" s="63" t="n"/>
    </row>
    <row r="140">
      <c r="A140" s="166" t="n"/>
      <c r="B140" s="63" t="n"/>
      <c r="C140" s="64" t="n"/>
      <c r="D140" s="167" t="n"/>
      <c r="E140" s="63" t="n"/>
      <c r="F140" s="63" t="n"/>
    </row>
    <row r="141">
      <c r="A141" s="166" t="n"/>
      <c r="B141" s="63" t="n"/>
      <c r="C141" s="64" t="n"/>
      <c r="D141" s="167" t="n"/>
      <c r="E141" s="63" t="n"/>
      <c r="F141" s="63" t="n"/>
    </row>
    <row r="142">
      <c r="A142" s="166" t="n"/>
      <c r="B142" s="63" t="n"/>
      <c r="C142" s="64" t="n"/>
      <c r="D142" s="167" t="n"/>
      <c r="E142" s="63" t="n"/>
      <c r="F142" s="63" t="n"/>
    </row>
    <row r="143">
      <c r="A143" s="166" t="n"/>
      <c r="B143" s="63" t="n"/>
      <c r="C143" s="64" t="n"/>
      <c r="D143" s="167" t="n"/>
      <c r="E143" s="63" t="n"/>
      <c r="F143" s="63" t="n"/>
    </row>
    <row r="144">
      <c r="A144" s="166" t="n"/>
      <c r="B144" s="63" t="n"/>
      <c r="C144" s="64" t="n"/>
      <c r="D144" s="167" t="n"/>
      <c r="E144" s="63" t="n"/>
      <c r="F144" s="63" t="n"/>
    </row>
    <row r="145">
      <c r="A145" s="166" t="n"/>
      <c r="B145" s="63" t="n"/>
      <c r="C145" s="64" t="n"/>
      <c r="D145" s="167" t="n"/>
      <c r="E145" s="63" t="n"/>
      <c r="F145" s="63" t="n"/>
    </row>
    <row r="146">
      <c r="A146" s="166" t="n"/>
      <c r="B146" s="63" t="n"/>
      <c r="C146" s="64" t="n"/>
      <c r="D146" s="167" t="n"/>
      <c r="E146" s="63" t="n"/>
      <c r="F146" s="63" t="n"/>
    </row>
    <row r="147">
      <c r="A147" s="166" t="n"/>
      <c r="B147" s="63" t="n"/>
      <c r="C147" s="64" t="n"/>
      <c r="D147" s="167" t="n"/>
      <c r="E147" s="63" t="n"/>
      <c r="F147" s="63" t="n"/>
    </row>
    <row r="148">
      <c r="A148" s="166" t="n"/>
      <c r="B148" s="63" t="n"/>
      <c r="C148" s="64" t="n"/>
      <c r="D148" s="167" t="n"/>
      <c r="E148" s="63" t="n"/>
      <c r="F148" s="63" t="n"/>
    </row>
    <row r="149">
      <c r="A149" s="166" t="n"/>
      <c r="B149" s="63" t="n"/>
      <c r="C149" s="64" t="n"/>
      <c r="D149" s="167" t="n"/>
      <c r="E149" s="63" t="n"/>
      <c r="F149" s="63" t="n"/>
    </row>
    <row r="150">
      <c r="A150" s="166" t="n"/>
      <c r="B150" s="63" t="n"/>
      <c r="C150" s="64" t="n"/>
      <c r="D150" s="167" t="n"/>
      <c r="E150" s="63" t="n"/>
      <c r="F150" s="63" t="n"/>
    </row>
    <row r="151">
      <c r="A151" s="166" t="n"/>
      <c r="B151" s="63" t="n"/>
      <c r="C151" s="64" t="n"/>
      <c r="D151" s="167" t="n"/>
      <c r="E151" s="63" t="n"/>
      <c r="F151" s="63" t="n"/>
    </row>
    <row r="152">
      <c r="A152" s="166" t="n"/>
      <c r="B152" s="63" t="n"/>
      <c r="C152" s="64" t="n"/>
      <c r="D152" s="167" t="n"/>
      <c r="E152" s="63" t="n"/>
      <c r="F152" s="63" t="n"/>
    </row>
    <row r="153">
      <c r="A153" s="166" t="n"/>
      <c r="B153" s="63" t="n"/>
      <c r="C153" s="64" t="n"/>
      <c r="D153" s="167" t="n"/>
      <c r="E153" s="63" t="n"/>
      <c r="F153" s="63" t="n"/>
    </row>
    <row r="154">
      <c r="A154" s="166" t="n"/>
      <c r="B154" s="63" t="n"/>
      <c r="C154" s="64" t="n"/>
      <c r="D154" s="167" t="n"/>
      <c r="E154" s="63" t="n"/>
      <c r="F154" s="63" t="n"/>
    </row>
    <row r="155">
      <c r="A155" s="166" t="n"/>
      <c r="B155" s="63" t="n"/>
      <c r="C155" s="64" t="n"/>
      <c r="D155" s="167" t="n"/>
      <c r="E155" s="63" t="n"/>
      <c r="F155" s="63" t="n"/>
    </row>
    <row r="156">
      <c r="A156" s="166" t="n"/>
      <c r="B156" s="63" t="n"/>
      <c r="C156" s="64" t="n"/>
      <c r="D156" s="167" t="n"/>
      <c r="E156" s="63" t="n"/>
      <c r="F156" s="63" t="n"/>
    </row>
    <row r="157">
      <c r="A157" s="166" t="n"/>
      <c r="B157" s="63" t="n"/>
      <c r="C157" s="64" t="n"/>
      <c r="D157" s="167" t="n"/>
      <c r="E157" s="63" t="n"/>
      <c r="F157" s="63" t="n"/>
    </row>
    <row r="158">
      <c r="A158" s="166" t="n"/>
      <c r="B158" s="63" t="n"/>
      <c r="C158" s="64" t="n"/>
      <c r="D158" s="167" t="n"/>
      <c r="E158" s="63" t="n"/>
      <c r="F158" s="63" t="n"/>
    </row>
    <row r="159">
      <c r="A159" s="166" t="n"/>
      <c r="B159" s="63" t="n"/>
      <c r="C159" s="64" t="n"/>
      <c r="D159" s="167" t="n"/>
      <c r="E159" s="63" t="n"/>
      <c r="F159" s="63" t="n"/>
    </row>
    <row r="160">
      <c r="A160" s="166" t="n"/>
      <c r="B160" s="63" t="n"/>
      <c r="C160" s="64" t="n"/>
      <c r="D160" s="167" t="n"/>
      <c r="E160" s="63" t="n"/>
      <c r="F160" s="63" t="n"/>
    </row>
    <row r="161">
      <c r="A161" s="166" t="n"/>
      <c r="B161" s="63" t="n"/>
      <c r="C161" s="64" t="n"/>
      <c r="D161" s="167" t="n"/>
      <c r="E161" s="63" t="n"/>
      <c r="F161" s="63" t="n"/>
    </row>
    <row r="162">
      <c r="A162" s="166" t="n"/>
      <c r="B162" s="63" t="n"/>
      <c r="C162" s="64" t="n"/>
      <c r="D162" s="167" t="n"/>
      <c r="E162" s="63" t="n"/>
      <c r="F162" s="63" t="n"/>
    </row>
    <row r="163">
      <c r="A163" s="166" t="n"/>
      <c r="B163" s="63" t="n"/>
      <c r="C163" s="64" t="n"/>
      <c r="D163" s="167" t="n"/>
      <c r="E163" s="63" t="n"/>
      <c r="F163" s="63" t="n"/>
    </row>
    <row r="164">
      <c r="A164" s="166" t="n"/>
      <c r="B164" s="63" t="n"/>
      <c r="C164" s="64" t="n"/>
      <c r="D164" s="167" t="n"/>
      <c r="E164" s="63" t="n"/>
      <c r="F164" s="63" t="n"/>
    </row>
    <row r="165">
      <c r="A165" s="166" t="n"/>
      <c r="B165" s="63" t="n"/>
      <c r="C165" s="64" t="n"/>
      <c r="D165" s="167" t="n"/>
      <c r="E165" s="63" t="n"/>
      <c r="F165" s="63" t="n"/>
    </row>
    <row r="166">
      <c r="A166" s="166" t="n"/>
      <c r="B166" s="63" t="n"/>
      <c r="C166" s="64" t="n"/>
      <c r="D166" s="167" t="n"/>
      <c r="E166" s="63" t="n"/>
      <c r="F166" s="63" t="n"/>
    </row>
    <row r="167">
      <c r="A167" s="166" t="n"/>
      <c r="B167" s="63" t="n"/>
      <c r="C167" s="64" t="n"/>
      <c r="D167" s="167" t="n"/>
      <c r="E167" s="63" t="n"/>
      <c r="F167" s="63" t="n"/>
    </row>
    <row r="168">
      <c r="A168" s="166" t="n"/>
      <c r="B168" s="63" t="n"/>
      <c r="C168" s="64" t="n"/>
      <c r="D168" s="167" t="n"/>
      <c r="E168" s="63" t="n"/>
      <c r="F168" s="63" t="n"/>
    </row>
    <row r="169">
      <c r="A169" s="166" t="n"/>
      <c r="B169" s="63" t="n"/>
      <c r="C169" s="64" t="n"/>
      <c r="D169" s="167" t="n"/>
      <c r="E169" s="63" t="n"/>
      <c r="F169" s="63" t="n"/>
    </row>
    <row r="170">
      <c r="A170" s="166" t="n"/>
      <c r="B170" s="63" t="n"/>
      <c r="C170" s="64" t="n"/>
      <c r="D170" s="167" t="n"/>
      <c r="E170" s="63" t="n"/>
      <c r="F170" s="63" t="n"/>
    </row>
    <row r="171">
      <c r="A171" s="166" t="n"/>
      <c r="B171" s="63" t="n"/>
      <c r="C171" s="64" t="n"/>
      <c r="D171" s="167" t="n"/>
      <c r="E171" s="63" t="n"/>
      <c r="F171" s="63" t="n"/>
    </row>
    <row r="172">
      <c r="A172" s="166" t="n"/>
      <c r="B172" s="63" t="n"/>
      <c r="C172" s="64" t="n"/>
      <c r="D172" s="167" t="n"/>
      <c r="E172" s="63" t="n"/>
      <c r="F172" s="63" t="n"/>
    </row>
    <row r="173">
      <c r="A173" s="166" t="n"/>
      <c r="B173" s="63" t="n"/>
      <c r="C173" s="64" t="n"/>
      <c r="D173" s="167" t="n"/>
      <c r="E173" s="63" t="n"/>
      <c r="F173" s="63" t="n"/>
    </row>
    <row r="174">
      <c r="A174" s="166" t="n"/>
      <c r="B174" s="63" t="n"/>
      <c r="C174" s="64" t="n"/>
      <c r="D174" s="167" t="n"/>
      <c r="E174" s="63" t="n"/>
      <c r="F174" s="63" t="n"/>
    </row>
    <row r="175">
      <c r="A175" s="166" t="n"/>
      <c r="B175" s="63" t="n"/>
      <c r="C175" s="64" t="n"/>
      <c r="D175" s="167" t="n"/>
      <c r="E175" s="63" t="n"/>
      <c r="F175" s="63" t="n"/>
    </row>
    <row r="176">
      <c r="A176" s="166" t="n"/>
      <c r="B176" s="63" t="n"/>
      <c r="C176" s="64" t="n"/>
      <c r="D176" s="167" t="n"/>
      <c r="E176" s="63" t="n"/>
      <c r="F176" s="63" t="n"/>
    </row>
    <row r="177">
      <c r="A177" s="166" t="n"/>
      <c r="B177" s="63" t="n"/>
      <c r="C177" s="64" t="n"/>
      <c r="D177" s="167" t="n"/>
      <c r="E177" s="63" t="n"/>
      <c r="F177" s="63" t="n"/>
    </row>
    <row r="178">
      <c r="A178" s="166" t="n"/>
      <c r="B178" s="63" t="n"/>
      <c r="C178" s="64" t="n"/>
      <c r="D178" s="167" t="n"/>
      <c r="E178" s="63" t="n"/>
      <c r="F178" s="63" t="n"/>
    </row>
    <row r="179">
      <c r="A179" s="166" t="n"/>
      <c r="B179" s="63" t="n"/>
      <c r="C179" s="64" t="n"/>
      <c r="D179" s="167" t="n"/>
      <c r="E179" s="63" t="n"/>
      <c r="F179" s="63" t="n"/>
    </row>
    <row r="180">
      <c r="A180" s="166" t="n"/>
      <c r="B180" s="63" t="n"/>
      <c r="C180" s="64" t="n"/>
      <c r="D180" s="167" t="n"/>
      <c r="E180" s="63" t="n"/>
      <c r="F180" s="63" t="n"/>
    </row>
    <row r="181">
      <c r="A181" s="166" t="n"/>
      <c r="B181" s="63" t="n"/>
      <c r="C181" s="64" t="n"/>
      <c r="D181" s="167" t="n"/>
      <c r="E181" s="63" t="n"/>
      <c r="F181" s="63" t="n"/>
    </row>
    <row r="182">
      <c r="A182" s="166" t="n"/>
      <c r="B182" s="63" t="n"/>
      <c r="C182" s="64" t="n"/>
      <c r="D182" s="167" t="n"/>
      <c r="E182" s="63" t="n"/>
      <c r="F182" s="63" t="n"/>
    </row>
    <row r="183">
      <c r="A183" s="166" t="n"/>
      <c r="B183" s="63" t="n"/>
      <c r="C183" s="64" t="n"/>
      <c r="D183" s="167" t="n"/>
      <c r="E183" s="63" t="n"/>
      <c r="F183" s="63" t="n"/>
    </row>
    <row r="184">
      <c r="A184" s="166" t="n"/>
      <c r="B184" s="63" t="n"/>
      <c r="C184" s="64" t="n"/>
      <c r="D184" s="167" t="n"/>
      <c r="E184" s="63" t="n"/>
      <c r="F184" s="63" t="n"/>
    </row>
    <row r="185">
      <c r="A185" s="166" t="n"/>
      <c r="B185" s="63" t="n"/>
      <c r="C185" s="64" t="n"/>
      <c r="D185" s="167" t="n"/>
      <c r="E185" s="63" t="n"/>
      <c r="F185" s="63" t="n"/>
    </row>
    <row r="186">
      <c r="A186" s="166" t="n"/>
      <c r="B186" s="63" t="n"/>
      <c r="C186" s="64" t="n"/>
      <c r="D186" s="167" t="n"/>
      <c r="E186" s="63" t="n"/>
      <c r="F186" s="63" t="n"/>
    </row>
    <row r="187">
      <c r="A187" s="166" t="n"/>
      <c r="B187" s="63" t="n"/>
      <c r="C187" s="64" t="n"/>
      <c r="D187" s="167" t="n"/>
      <c r="E187" s="63" t="n"/>
      <c r="F187" s="63" t="n"/>
    </row>
    <row r="188">
      <c r="A188" s="166" t="n"/>
      <c r="B188" s="63" t="n"/>
      <c r="C188" s="64" t="n"/>
      <c r="D188" s="167" t="n"/>
      <c r="E188" s="63" t="n"/>
      <c r="F188" s="63" t="n"/>
    </row>
    <row r="189">
      <c r="A189" s="166" t="n"/>
      <c r="B189" s="63" t="n"/>
      <c r="C189" s="64" t="n"/>
      <c r="D189" s="167" t="n"/>
      <c r="E189" s="63" t="n"/>
      <c r="F189" s="63" t="n"/>
    </row>
    <row r="190">
      <c r="A190" s="166" t="n"/>
      <c r="B190" s="63" t="n"/>
      <c r="C190" s="64" t="n"/>
      <c r="D190" s="167" t="n"/>
      <c r="E190" s="63" t="n"/>
      <c r="F190" s="63" t="n"/>
    </row>
    <row r="191">
      <c r="A191" s="166" t="n"/>
      <c r="B191" s="63" t="n"/>
      <c r="C191" s="64" t="n"/>
      <c r="D191" s="167" t="n"/>
      <c r="E191" s="63" t="n"/>
      <c r="F191" s="63" t="n"/>
    </row>
    <row r="192">
      <c r="A192" s="166" t="n"/>
      <c r="B192" s="63" t="n"/>
      <c r="C192" s="64" t="n"/>
      <c r="D192" s="167" t="n"/>
      <c r="E192" s="63" t="n"/>
      <c r="F192" s="63" t="n"/>
    </row>
    <row r="193">
      <c r="A193" s="166" t="n"/>
      <c r="B193" s="63" t="n"/>
      <c r="C193" s="64" t="n"/>
      <c r="D193" s="167" t="n"/>
      <c r="E193" s="63" t="n"/>
      <c r="F193" s="63" t="n"/>
    </row>
    <row r="194">
      <c r="A194" s="166" t="n"/>
      <c r="B194" s="63" t="n"/>
      <c r="C194" s="64" t="n"/>
      <c r="D194" s="167" t="n"/>
      <c r="E194" s="63" t="n"/>
      <c r="F194" s="63" t="n"/>
    </row>
    <row r="195">
      <c r="A195" s="166" t="n"/>
      <c r="B195" s="63" t="n"/>
      <c r="C195" s="64" t="n"/>
      <c r="D195" s="167" t="n"/>
      <c r="E195" s="63" t="n"/>
      <c r="F195" s="63" t="n"/>
    </row>
    <row r="196">
      <c r="A196" s="166" t="n"/>
      <c r="B196" s="63" t="n"/>
      <c r="C196" s="64" t="n"/>
      <c r="D196" s="167" t="n"/>
      <c r="E196" s="63" t="n"/>
      <c r="F196" s="63" t="n"/>
    </row>
    <row r="197">
      <c r="A197" s="166" t="n"/>
      <c r="B197" s="63" t="n"/>
      <c r="C197" s="64" t="n"/>
      <c r="D197" s="167" t="n"/>
      <c r="E197" s="63" t="n"/>
      <c r="F197" s="63" t="n"/>
    </row>
    <row r="198">
      <c r="A198" s="166" t="n"/>
      <c r="B198" s="63" t="n"/>
      <c r="C198" s="64" t="n"/>
      <c r="D198" s="167" t="n"/>
      <c r="E198" s="63" t="n"/>
      <c r="F198" s="63" t="n"/>
    </row>
    <row r="199">
      <c r="A199" s="166" t="n"/>
      <c r="B199" s="63" t="n"/>
      <c r="C199" s="64" t="n"/>
      <c r="D199" s="167" t="n"/>
      <c r="E199" s="63" t="n"/>
      <c r="F199" s="63" t="n"/>
    </row>
    <row r="200">
      <c r="A200" s="166" t="n"/>
      <c r="B200" s="63" t="n"/>
      <c r="C200" s="64" t="n"/>
      <c r="D200" s="167" t="n"/>
      <c r="E200" s="63" t="n"/>
      <c r="F200" s="63" t="n"/>
    </row>
    <row r="201">
      <c r="A201" s="166" t="n"/>
      <c r="B201" s="63" t="n"/>
      <c r="C201" s="64" t="n"/>
      <c r="D201" s="167" t="n"/>
      <c r="E201" s="63" t="n"/>
      <c r="F201" s="63" t="n"/>
    </row>
    <row r="202">
      <c r="A202" s="166" t="n"/>
      <c r="B202" s="63" t="n"/>
      <c r="C202" s="64" t="n"/>
      <c r="D202" s="167" t="n"/>
      <c r="E202" s="63" t="n"/>
      <c r="F202" s="63" t="n"/>
    </row>
    <row r="203">
      <c r="A203" s="166" t="n"/>
      <c r="B203" s="63" t="n"/>
      <c r="C203" s="64" t="n"/>
      <c r="D203" s="167" t="n"/>
      <c r="E203" s="63" t="n"/>
      <c r="F203" s="63" t="n"/>
    </row>
    <row r="204">
      <c r="A204" s="166" t="n"/>
      <c r="B204" s="63" t="n"/>
      <c r="C204" s="64" t="n"/>
      <c r="D204" s="167" t="n"/>
      <c r="E204" s="63" t="n"/>
      <c r="F204" s="63" t="n"/>
    </row>
    <row r="205">
      <c r="A205" s="166" t="n"/>
      <c r="B205" s="63" t="n"/>
      <c r="C205" s="64" t="n"/>
      <c r="D205" s="167" t="n"/>
      <c r="E205" s="63" t="n"/>
      <c r="F205" s="63" t="n"/>
    </row>
    <row r="206">
      <c r="A206" s="166" t="n"/>
      <c r="B206" s="63" t="n"/>
      <c r="C206" s="64" t="n"/>
      <c r="D206" s="167" t="n"/>
      <c r="E206" s="63" t="n"/>
      <c r="F206" s="63" t="n"/>
    </row>
    <row r="207">
      <c r="A207" s="166" t="n"/>
      <c r="B207" s="63" t="n"/>
      <c r="C207" s="64" t="n"/>
      <c r="D207" s="167" t="n"/>
      <c r="E207" s="63" t="n"/>
      <c r="F207" s="63" t="n"/>
    </row>
    <row r="208">
      <c r="A208" s="166" t="n"/>
      <c r="B208" s="63" t="n"/>
      <c r="C208" s="64" t="n"/>
      <c r="D208" s="167" t="n"/>
      <c r="E208" s="63" t="n"/>
      <c r="F208" s="63" t="n"/>
    </row>
    <row r="209">
      <c r="A209" s="166" t="n"/>
      <c r="B209" s="63" t="n"/>
      <c r="C209" s="64" t="n"/>
      <c r="D209" s="167" t="n"/>
      <c r="E209" s="63" t="n"/>
      <c r="F209" s="63" t="n"/>
    </row>
    <row r="210">
      <c r="A210" s="166" t="n"/>
      <c r="B210" s="63" t="n"/>
      <c r="C210" s="64" t="n"/>
      <c r="D210" s="167" t="n"/>
      <c r="E210" s="63" t="n"/>
      <c r="F210" s="63" t="n"/>
    </row>
    <row r="211">
      <c r="A211" s="166" t="n"/>
      <c r="B211" s="63" t="n"/>
      <c r="C211" s="64" t="n"/>
      <c r="D211" s="167" t="n"/>
      <c r="E211" s="63" t="n"/>
      <c r="F211" s="63" t="n"/>
    </row>
    <row r="212">
      <c r="A212" s="166" t="n"/>
      <c r="B212" s="63" t="n"/>
      <c r="C212" s="64" t="n"/>
      <c r="D212" s="167" t="n"/>
      <c r="E212" s="63" t="n"/>
      <c r="F212" s="63" t="n"/>
    </row>
    <row r="213">
      <c r="A213" s="166" t="n"/>
      <c r="B213" s="63" t="n"/>
      <c r="C213" s="64" t="n"/>
      <c r="D213" s="167" t="n"/>
      <c r="E213" s="63" t="n"/>
      <c r="F213" s="63" t="n"/>
    </row>
    <row r="214">
      <c r="A214" s="166" t="n"/>
      <c r="B214" s="63" t="n"/>
      <c r="C214" s="64" t="n"/>
      <c r="D214" s="167" t="n"/>
      <c r="E214" s="63" t="n"/>
      <c r="F214" s="63" t="n"/>
    </row>
    <row r="215">
      <c r="A215" s="166" t="n"/>
      <c r="B215" s="63" t="n"/>
      <c r="C215" s="64" t="n"/>
      <c r="D215" s="167" t="n"/>
      <c r="E215" s="63" t="n"/>
      <c r="F215" s="63" t="n"/>
    </row>
    <row r="216">
      <c r="A216" s="166" t="n"/>
      <c r="B216" s="63" t="n"/>
      <c r="C216" s="64" t="n"/>
      <c r="D216" s="167" t="n"/>
      <c r="E216" s="63" t="n"/>
      <c r="F216" s="63" t="n"/>
    </row>
    <row r="217">
      <c r="A217" s="166" t="n"/>
      <c r="B217" s="63" t="n"/>
      <c r="C217" s="64" t="n"/>
      <c r="D217" s="167" t="n"/>
      <c r="E217" s="63" t="n"/>
      <c r="F217" s="63" t="n"/>
    </row>
    <row r="218">
      <c r="A218" s="166" t="n"/>
      <c r="B218" s="63" t="n"/>
      <c r="C218" s="64" t="n"/>
      <c r="D218" s="167" t="n"/>
      <c r="E218" s="63" t="n"/>
      <c r="F218" s="63" t="n"/>
    </row>
    <row r="219">
      <c r="A219" s="166" t="n"/>
      <c r="B219" s="63" t="n"/>
      <c r="C219" s="64" t="n"/>
      <c r="D219" s="167" t="n"/>
      <c r="E219" s="63" t="n"/>
      <c r="F219" s="63" t="n"/>
    </row>
    <row r="220">
      <c r="A220" s="166" t="n"/>
      <c r="B220" s="63" t="n"/>
      <c r="C220" s="64" t="n"/>
      <c r="D220" s="167" t="n"/>
      <c r="E220" s="63" t="n"/>
      <c r="F220" s="63" t="n"/>
    </row>
    <row r="221">
      <c r="A221" s="166" t="n"/>
      <c r="B221" s="63" t="n"/>
      <c r="C221" s="64" t="n"/>
      <c r="D221" s="167" t="n"/>
      <c r="E221" s="63" t="n"/>
      <c r="F221" s="63" t="n"/>
    </row>
    <row r="222">
      <c r="A222" s="166" t="n"/>
      <c r="B222" s="63" t="n"/>
      <c r="C222" s="64" t="n"/>
      <c r="D222" s="167" t="n"/>
      <c r="E222" s="63" t="n"/>
      <c r="F222" s="63" t="n"/>
    </row>
    <row r="223">
      <c r="A223" s="166" t="n"/>
      <c r="B223" s="63" t="n"/>
      <c r="C223" s="64" t="n"/>
      <c r="D223" s="167" t="n"/>
      <c r="E223" s="63" t="n"/>
      <c r="F223" s="63" t="n"/>
    </row>
    <row r="224">
      <c r="A224" s="166" t="n"/>
      <c r="B224" s="63" t="n"/>
      <c r="C224" s="64" t="n"/>
      <c r="D224" s="167" t="n"/>
      <c r="E224" s="63" t="n"/>
      <c r="F224" s="63" t="n"/>
    </row>
    <row r="225">
      <c r="A225" s="166" t="n"/>
      <c r="B225" s="63" t="n"/>
      <c r="C225" s="64" t="n"/>
      <c r="D225" s="167" t="n"/>
      <c r="E225" s="63" t="n"/>
      <c r="F225" s="63" t="n"/>
    </row>
    <row r="226">
      <c r="A226" s="166" t="n"/>
      <c r="B226" s="63" t="n"/>
      <c r="C226" s="64" t="n"/>
      <c r="D226" s="167" t="n"/>
      <c r="E226" s="63" t="n"/>
      <c r="F226" s="63" t="n"/>
    </row>
    <row r="227">
      <c r="A227" s="166" t="n"/>
      <c r="B227" s="63" t="n"/>
      <c r="C227" s="64" t="n"/>
      <c r="D227" s="167" t="n"/>
      <c r="E227" s="63" t="n"/>
      <c r="F227" s="63" t="n"/>
    </row>
    <row r="228">
      <c r="A228" s="166" t="n"/>
      <c r="B228" s="63" t="n"/>
      <c r="C228" s="64" t="n"/>
      <c r="D228" s="167" t="n"/>
      <c r="E228" s="63" t="n"/>
      <c r="F228" s="63" t="n"/>
    </row>
    <row r="229">
      <c r="A229" s="166" t="n"/>
      <c r="B229" s="63" t="n"/>
      <c r="C229" s="64" t="n"/>
      <c r="D229" s="167" t="n"/>
      <c r="E229" s="63" t="n"/>
      <c r="F229" s="63" t="n"/>
    </row>
    <row r="230">
      <c r="A230" s="166" t="n"/>
      <c r="B230" s="63" t="n"/>
      <c r="C230" s="64" t="n"/>
      <c r="D230" s="167" t="n"/>
      <c r="E230" s="63" t="n"/>
      <c r="F230" s="63" t="n"/>
    </row>
    <row r="231">
      <c r="A231" s="166" t="n"/>
      <c r="B231" s="63" t="n"/>
      <c r="C231" s="64" t="n"/>
      <c r="D231" s="167" t="n"/>
      <c r="E231" s="63" t="n"/>
      <c r="F231" s="63" t="n"/>
    </row>
    <row r="232">
      <c r="A232" s="166" t="n"/>
      <c r="B232" s="63" t="n"/>
      <c r="C232" s="64" t="n"/>
      <c r="D232" s="167" t="n"/>
      <c r="E232" s="63" t="n"/>
      <c r="F232" s="63" t="n"/>
    </row>
    <row r="233">
      <c r="A233" s="166" t="n"/>
      <c r="B233" s="63" t="n"/>
      <c r="C233" s="64" t="n"/>
      <c r="D233" s="167" t="n"/>
      <c r="E233" s="63" t="n"/>
      <c r="F233" s="63" t="n"/>
    </row>
    <row r="234">
      <c r="A234" s="166" t="n"/>
      <c r="B234" s="63" t="n"/>
      <c r="C234" s="64" t="n"/>
      <c r="D234" s="167" t="n"/>
      <c r="E234" s="63" t="n"/>
      <c r="F234" s="63" t="n"/>
    </row>
    <row r="235">
      <c r="A235" s="166" t="n"/>
      <c r="B235" s="63" t="n"/>
      <c r="C235" s="64" t="n"/>
      <c r="D235" s="167" t="n"/>
      <c r="E235" s="63" t="n"/>
      <c r="F235" s="63" t="n"/>
    </row>
    <row r="236">
      <c r="A236" s="166" t="n"/>
      <c r="B236" s="63" t="n"/>
      <c r="C236" s="64" t="n"/>
      <c r="D236" s="167" t="n"/>
      <c r="E236" s="63" t="n"/>
      <c r="F236" s="63" t="n"/>
    </row>
    <row r="237">
      <c r="A237" s="166" t="n"/>
      <c r="B237" s="63" t="n"/>
      <c r="C237" s="64" t="n"/>
      <c r="D237" s="167" t="n"/>
      <c r="E237" s="63" t="n"/>
      <c r="F237" s="63" t="n"/>
    </row>
    <row r="238">
      <c r="A238" s="166" t="n"/>
      <c r="B238" s="63" t="n"/>
      <c r="C238" s="64" t="n"/>
      <c r="D238" s="167" t="n"/>
      <c r="E238" s="63" t="n"/>
      <c r="F238" s="63" t="n"/>
    </row>
    <row r="239">
      <c r="A239" s="166" t="n"/>
      <c r="B239" s="63" t="n"/>
      <c r="C239" s="64" t="n"/>
      <c r="D239" s="167" t="n"/>
      <c r="E239" s="63" t="n"/>
      <c r="F239" s="63" t="n"/>
    </row>
    <row r="240">
      <c r="A240" s="166" t="n"/>
      <c r="B240" s="63" t="n"/>
      <c r="C240" s="64" t="n"/>
      <c r="D240" s="167" t="n"/>
      <c r="E240" s="63" t="n"/>
      <c r="F240" s="63" t="n"/>
    </row>
    <row r="241">
      <c r="A241" s="166" t="n"/>
      <c r="B241" s="63" t="n"/>
      <c r="C241" s="64" t="n"/>
      <c r="D241" s="167" t="n"/>
      <c r="E241" s="63" t="n"/>
      <c r="F241" s="63" t="n"/>
    </row>
    <row r="242">
      <c r="A242" s="166" t="n"/>
      <c r="B242" s="63" t="n"/>
      <c r="C242" s="64" t="n"/>
      <c r="D242" s="167" t="n"/>
      <c r="E242" s="63" t="n"/>
      <c r="F242" s="63" t="n"/>
    </row>
    <row r="243">
      <c r="A243" s="166" t="n"/>
      <c r="B243" s="63" t="n"/>
      <c r="C243" s="64" t="n"/>
      <c r="D243" s="167" t="n"/>
      <c r="E243" s="63" t="n"/>
      <c r="F243" s="63" t="n"/>
    </row>
    <row r="244">
      <c r="A244" s="166" t="n"/>
      <c r="B244" s="63" t="n"/>
      <c r="C244" s="64" t="n"/>
      <c r="D244" s="167" t="n"/>
      <c r="E244" s="63" t="n"/>
      <c r="F244" s="63" t="n"/>
    </row>
    <row r="245">
      <c r="A245" s="166" t="n"/>
      <c r="B245" s="63" t="n"/>
      <c r="C245" s="64" t="n"/>
      <c r="D245" s="167" t="n"/>
      <c r="E245" s="63" t="n"/>
      <c r="F245" s="63" t="n"/>
    </row>
    <row r="246">
      <c r="A246" s="166" t="n"/>
      <c r="B246" s="63" t="n"/>
      <c r="C246" s="64" t="n"/>
      <c r="D246" s="167" t="n"/>
      <c r="E246" s="63" t="n"/>
      <c r="F246" s="63" t="n"/>
    </row>
    <row r="247">
      <c r="A247" s="166" t="n"/>
      <c r="B247" s="63" t="n"/>
      <c r="C247" s="64" t="n"/>
      <c r="D247" s="167" t="n"/>
      <c r="E247" s="63" t="n"/>
      <c r="F247" s="63" t="n"/>
    </row>
    <row r="248">
      <c r="A248" s="166" t="n"/>
      <c r="B248" s="63" t="n"/>
      <c r="C248" s="64" t="n"/>
      <c r="D248" s="167" t="n"/>
      <c r="E248" s="63" t="n"/>
      <c r="F248" s="63" t="n"/>
    </row>
    <row r="249">
      <c r="A249" s="166" t="n"/>
      <c r="B249" s="63" t="n"/>
      <c r="C249" s="64" t="n"/>
      <c r="D249" s="167" t="n"/>
      <c r="E249" s="63" t="n"/>
      <c r="F249" s="63" t="n"/>
    </row>
    <row r="250">
      <c r="A250" s="166" t="n"/>
      <c r="B250" s="63" t="n"/>
      <c r="C250" s="64" t="n"/>
      <c r="D250" s="167" t="n"/>
      <c r="E250" s="63" t="n"/>
      <c r="F250" s="63" t="n"/>
    </row>
    <row r="251">
      <c r="A251" s="166" t="n"/>
      <c r="B251" s="63" t="n"/>
      <c r="C251" s="64" t="n"/>
      <c r="D251" s="167" t="n"/>
      <c r="E251" s="63" t="n"/>
      <c r="F251" s="63" t="n"/>
    </row>
    <row r="252">
      <c r="A252" s="166" t="n"/>
      <c r="B252" s="63" t="n"/>
      <c r="C252" s="64" t="n"/>
      <c r="D252" s="167" t="n"/>
      <c r="E252" s="63" t="n"/>
      <c r="F252" s="63" t="n"/>
    </row>
    <row r="253">
      <c r="A253" s="166" t="n"/>
      <c r="B253" s="63" t="n"/>
      <c r="C253" s="64" t="n"/>
      <c r="D253" s="167" t="n"/>
      <c r="E253" s="63" t="n"/>
      <c r="F253" s="63" t="n"/>
    </row>
    <row r="254">
      <c r="A254" s="166" t="n"/>
      <c r="B254" s="63" t="n"/>
      <c r="C254" s="64" t="n"/>
      <c r="D254" s="167" t="n"/>
      <c r="E254" s="63" t="n"/>
      <c r="F254" s="63" t="n"/>
    </row>
    <row r="255">
      <c r="A255" s="166" t="n"/>
      <c r="B255" s="63" t="n"/>
      <c r="C255" s="64" t="n"/>
      <c r="D255" s="167" t="n"/>
      <c r="E255" s="63" t="n"/>
      <c r="F255" s="63" t="n"/>
    </row>
    <row r="256">
      <c r="A256" s="166" t="n"/>
      <c r="B256" s="63" t="n"/>
      <c r="C256" s="64" t="n"/>
      <c r="D256" s="167" t="n"/>
      <c r="E256" s="63" t="n"/>
      <c r="F256" s="63" t="n"/>
    </row>
    <row r="257">
      <c r="A257" s="166" t="n"/>
      <c r="B257" s="63" t="n"/>
      <c r="C257" s="64" t="n"/>
      <c r="D257" s="167" t="n"/>
      <c r="E257" s="63" t="n"/>
      <c r="F257" s="63" t="n"/>
    </row>
    <row r="258">
      <c r="A258" s="166" t="n"/>
      <c r="B258" s="63" t="n"/>
      <c r="C258" s="64" t="n"/>
      <c r="D258" s="167" t="n"/>
      <c r="E258" s="63" t="n"/>
      <c r="F258" s="63" t="n"/>
    </row>
    <row r="259">
      <c r="A259" s="166" t="n"/>
      <c r="B259" s="63" t="n"/>
      <c r="C259" s="64" t="n"/>
      <c r="D259" s="167" t="n"/>
      <c r="E259" s="63" t="n"/>
      <c r="F259" s="63" t="n"/>
    </row>
    <row r="260">
      <c r="A260" s="166" t="n"/>
      <c r="B260" s="63" t="n"/>
      <c r="C260" s="64" t="n"/>
      <c r="D260" s="167" t="n"/>
      <c r="E260" s="63" t="n"/>
      <c r="F260" s="63" t="n"/>
    </row>
    <row r="261">
      <c r="A261" s="166" t="n"/>
      <c r="B261" s="63" t="n"/>
      <c r="C261" s="64" t="n"/>
      <c r="D261" s="167" t="n"/>
      <c r="E261" s="63" t="n"/>
      <c r="F261" s="63" t="n"/>
    </row>
    <row r="262">
      <c r="A262" s="166" t="n"/>
      <c r="B262" s="63" t="n"/>
      <c r="C262" s="64" t="n"/>
      <c r="D262" s="167" t="n"/>
      <c r="E262" s="63" t="n"/>
      <c r="F262" s="63" t="n"/>
    </row>
    <row r="263">
      <c r="A263" s="166" t="n"/>
      <c r="B263" s="63" t="n"/>
      <c r="C263" s="64" t="n"/>
      <c r="D263" s="167" t="n"/>
      <c r="E263" s="63" t="n"/>
      <c r="F263" s="63" t="n"/>
    </row>
    <row r="264">
      <c r="A264" s="166" t="n"/>
      <c r="B264" s="63" t="n"/>
      <c r="C264" s="64" t="n"/>
      <c r="D264" s="167" t="n"/>
      <c r="E264" s="63" t="n"/>
      <c r="F264" s="63" t="n"/>
    </row>
    <row r="265">
      <c r="A265" s="166" t="n"/>
      <c r="B265" s="63" t="n"/>
      <c r="C265" s="64" t="n"/>
      <c r="D265" s="167" t="n"/>
      <c r="E265" s="63" t="n"/>
      <c r="F265" s="63" t="n"/>
    </row>
    <row r="266">
      <c r="A266" s="166" t="n"/>
      <c r="B266" s="63" t="n"/>
      <c r="C266" s="64" t="n"/>
      <c r="D266" s="167" t="n"/>
      <c r="E266" s="63" t="n"/>
      <c r="F266" s="63" t="n"/>
    </row>
    <row r="267">
      <c r="A267" s="166" t="n"/>
      <c r="B267" s="63" t="n"/>
      <c r="C267" s="64" t="n"/>
      <c r="D267" s="167" t="n"/>
      <c r="E267" s="63" t="n"/>
      <c r="F267" s="63" t="n"/>
    </row>
    <row r="268">
      <c r="A268" s="166" t="n"/>
      <c r="B268" s="63" t="n"/>
      <c r="C268" s="64" t="n"/>
      <c r="D268" s="167" t="n"/>
      <c r="E268" s="63" t="n"/>
      <c r="F268" s="63" t="n"/>
    </row>
    <row r="269">
      <c r="A269" s="166" t="n"/>
      <c r="B269" s="63" t="n"/>
      <c r="C269" s="64" t="n"/>
      <c r="D269" s="167" t="n"/>
      <c r="E269" s="63" t="n"/>
      <c r="F269" s="63" t="n"/>
    </row>
    <row r="270">
      <c r="A270" s="166" t="n"/>
      <c r="B270" s="63" t="n"/>
      <c r="C270" s="64" t="n"/>
      <c r="D270" s="167" t="n"/>
      <c r="E270" s="63" t="n"/>
      <c r="F270" s="63" t="n"/>
    </row>
    <row r="271">
      <c r="A271" s="166" t="n"/>
      <c r="B271" s="63" t="n"/>
      <c r="C271" s="64" t="n"/>
      <c r="D271" s="167" t="n"/>
      <c r="E271" s="63" t="n"/>
      <c r="F271" s="63" t="n"/>
    </row>
    <row r="272">
      <c r="A272" s="166" t="n"/>
      <c r="B272" s="63" t="n"/>
      <c r="C272" s="64" t="n"/>
      <c r="D272" s="167" t="n"/>
      <c r="E272" s="63" t="n"/>
      <c r="F272" s="63" t="n"/>
    </row>
    <row r="273">
      <c r="A273" s="166" t="n"/>
      <c r="B273" s="63" t="n"/>
      <c r="C273" s="64" t="n"/>
      <c r="D273" s="167" t="n"/>
      <c r="E273" s="63" t="n"/>
      <c r="F273" s="63" t="n"/>
    </row>
    <row r="274">
      <c r="A274" s="166" t="n"/>
      <c r="B274" s="63" t="n"/>
      <c r="C274" s="64" t="n"/>
      <c r="D274" s="167" t="n"/>
      <c r="E274" s="63" t="n"/>
      <c r="F274" s="63" t="n"/>
    </row>
    <row r="275">
      <c r="A275" s="166" t="n"/>
      <c r="B275" s="63" t="n"/>
      <c r="C275" s="64" t="n"/>
      <c r="D275" s="167" t="n"/>
      <c r="E275" s="63" t="n"/>
      <c r="F275" s="63" t="n"/>
    </row>
    <row r="276">
      <c r="A276" s="166" t="n"/>
      <c r="B276" s="63" t="n"/>
      <c r="C276" s="64" t="n"/>
      <c r="D276" s="167" t="n"/>
      <c r="E276" s="63" t="n"/>
      <c r="F276" s="63" t="n"/>
    </row>
    <row r="277">
      <c r="A277" s="166" t="n"/>
      <c r="B277" s="63" t="n"/>
      <c r="C277" s="64" t="n"/>
      <c r="D277" s="167" t="n"/>
      <c r="E277" s="63" t="n"/>
      <c r="F277" s="63" t="n"/>
    </row>
    <row r="278">
      <c r="A278" s="166" t="n"/>
      <c r="B278" s="63" t="n"/>
      <c r="C278" s="64" t="n"/>
      <c r="D278" s="167" t="n"/>
      <c r="E278" s="63" t="n"/>
      <c r="F278" s="63" t="n"/>
    </row>
    <row r="279">
      <c r="A279" s="166" t="n"/>
      <c r="B279" s="63" t="n"/>
      <c r="C279" s="64" t="n"/>
      <c r="D279" s="167" t="n"/>
      <c r="E279" s="63" t="n"/>
      <c r="F279" s="63" t="n"/>
    </row>
    <row r="280">
      <c r="A280" s="166" t="n"/>
      <c r="B280" s="63" t="n"/>
      <c r="C280" s="64" t="n"/>
      <c r="D280" s="167" t="n"/>
      <c r="E280" s="63" t="n"/>
      <c r="F280" s="63" t="n"/>
    </row>
    <row r="281">
      <c r="A281" s="166" t="n"/>
      <c r="B281" s="63" t="n"/>
      <c r="C281" s="64" t="n"/>
      <c r="D281" s="167" t="n"/>
      <c r="E281" s="63" t="n"/>
      <c r="F281" s="63" t="n"/>
    </row>
    <row r="282">
      <c r="A282" s="166" t="n"/>
      <c r="B282" s="63" t="n"/>
      <c r="C282" s="64" t="n"/>
      <c r="D282" s="167" t="n"/>
      <c r="E282" s="63" t="n"/>
      <c r="F282" s="63" t="n"/>
    </row>
    <row r="283">
      <c r="A283" s="166" t="n"/>
      <c r="B283" s="63" t="n"/>
      <c r="C283" s="64" t="n"/>
      <c r="D283" s="167" t="n"/>
      <c r="E283" s="63" t="n"/>
      <c r="F283" s="63" t="n"/>
    </row>
    <row r="284">
      <c r="A284" s="166" t="n"/>
      <c r="B284" s="63" t="n"/>
      <c r="C284" s="64" t="n"/>
      <c r="D284" s="167" t="n"/>
      <c r="E284" s="63" t="n"/>
      <c r="F284" s="63" t="n"/>
    </row>
    <row r="285">
      <c r="A285" s="166" t="n"/>
      <c r="B285" s="63" t="n"/>
      <c r="C285" s="64" t="n"/>
      <c r="D285" s="167" t="n"/>
      <c r="E285" s="63" t="n"/>
      <c r="F285" s="63" t="n"/>
    </row>
    <row r="286">
      <c r="A286" s="166" t="n"/>
      <c r="B286" s="63" t="n"/>
      <c r="C286" s="64" t="n"/>
      <c r="D286" s="167" t="n"/>
      <c r="E286" s="63" t="n"/>
      <c r="F286" s="63" t="n"/>
    </row>
    <row r="287">
      <c r="A287" s="166" t="n"/>
      <c r="B287" s="63" t="n"/>
      <c r="C287" s="64" t="n"/>
      <c r="D287" s="167" t="n"/>
      <c r="E287" s="63" t="n"/>
      <c r="F287" s="63" t="n"/>
    </row>
    <row r="288">
      <c r="A288" s="166" t="n"/>
      <c r="B288" s="63" t="n"/>
      <c r="C288" s="64" t="n"/>
      <c r="D288" s="167" t="n"/>
      <c r="E288" s="63" t="n"/>
      <c r="F288" s="63" t="n"/>
    </row>
    <row r="289">
      <c r="A289" s="166" t="n"/>
      <c r="B289" s="63" t="n"/>
      <c r="C289" s="64" t="n"/>
      <c r="D289" s="167" t="n"/>
      <c r="E289" s="63" t="n"/>
      <c r="F289" s="63" t="n"/>
    </row>
    <row r="290">
      <c r="A290" s="166" t="n"/>
      <c r="B290" s="63" t="n"/>
      <c r="C290" s="64" t="n"/>
      <c r="D290" s="167" t="n"/>
      <c r="E290" s="63" t="n"/>
      <c r="F290" s="63" t="n"/>
    </row>
    <row r="291">
      <c r="A291" s="166" t="n"/>
      <c r="B291" s="63" t="n"/>
      <c r="C291" s="64" t="n"/>
      <c r="D291" s="167" t="n"/>
      <c r="E291" s="63" t="n"/>
      <c r="F291" s="63" t="n"/>
    </row>
    <row r="292">
      <c r="A292" s="166" t="n"/>
      <c r="B292" s="63" t="n"/>
      <c r="C292" s="64" t="n"/>
      <c r="D292" s="167" t="n"/>
      <c r="E292" s="63" t="n"/>
      <c r="F292" s="63" t="n"/>
    </row>
    <row r="293">
      <c r="A293" s="166" t="n"/>
      <c r="B293" s="63" t="n"/>
      <c r="C293" s="64" t="n"/>
      <c r="D293" s="167" t="n"/>
      <c r="E293" s="63" t="n"/>
      <c r="F293" s="63" t="n"/>
    </row>
    <row r="294">
      <c r="A294" s="166" t="n"/>
      <c r="B294" s="63" t="n"/>
      <c r="C294" s="64" t="n"/>
      <c r="D294" s="167" t="n"/>
      <c r="E294" s="63" t="n"/>
      <c r="F294" s="63" t="n"/>
    </row>
    <row r="295">
      <c r="A295" s="166" t="n"/>
      <c r="B295" s="63" t="n"/>
      <c r="C295" s="64" t="n"/>
      <c r="D295" s="167" t="n"/>
      <c r="E295" s="63" t="n"/>
      <c r="F295" s="63" t="n"/>
    </row>
    <row r="296">
      <c r="A296" s="166" t="n"/>
      <c r="B296" s="63" t="n"/>
      <c r="C296" s="64" t="n"/>
      <c r="D296" s="167" t="n"/>
      <c r="E296" s="63" t="n"/>
      <c r="F296" s="63" t="n"/>
    </row>
    <row r="297">
      <c r="A297" s="166" t="n"/>
      <c r="B297" s="63" t="n"/>
      <c r="C297" s="64" t="n"/>
      <c r="D297" s="167" t="n"/>
      <c r="E297" s="63" t="n"/>
      <c r="F297" s="63" t="n"/>
    </row>
    <row r="298">
      <c r="A298" s="166" t="n"/>
      <c r="B298" s="63" t="n"/>
      <c r="C298" s="64" t="n"/>
      <c r="D298" s="167" t="n"/>
      <c r="E298" s="63" t="n"/>
      <c r="F298" s="63" t="n"/>
    </row>
    <row r="299">
      <c r="A299" s="166" t="n"/>
      <c r="B299" s="63" t="n"/>
      <c r="C299" s="64" t="n"/>
      <c r="D299" s="167" t="n"/>
      <c r="E299" s="63" t="n"/>
      <c r="F299" s="63" t="n"/>
    </row>
    <row r="300">
      <c r="A300" s="166" t="n"/>
      <c r="B300" s="63" t="n"/>
      <c r="C300" s="64" t="n"/>
      <c r="D300" s="167" t="n"/>
      <c r="E300" s="63" t="n"/>
      <c r="F300" s="63" t="n"/>
    </row>
    <row r="301">
      <c r="A301" s="166" t="n"/>
      <c r="B301" s="63" t="n"/>
      <c r="C301" s="64" t="n"/>
      <c r="D301" s="167" t="n"/>
      <c r="E301" s="63" t="n"/>
      <c r="F301" s="63" t="n"/>
    </row>
    <row r="302">
      <c r="A302" s="166" t="n"/>
      <c r="B302" s="63" t="n"/>
      <c r="C302" s="64" t="n"/>
      <c r="D302" s="167" t="n"/>
      <c r="E302" s="63" t="n"/>
      <c r="F302" s="63" t="n"/>
    </row>
    <row r="303">
      <c r="A303" s="166" t="n"/>
      <c r="B303" s="63" t="n"/>
      <c r="C303" s="64" t="n"/>
      <c r="D303" s="167" t="n"/>
      <c r="E303" s="63" t="n"/>
      <c r="F303" s="63" t="n"/>
    </row>
    <row r="304">
      <c r="A304" s="166" t="n"/>
      <c r="B304" s="63" t="n"/>
      <c r="C304" s="64" t="n"/>
      <c r="D304" s="167" t="n"/>
      <c r="E304" s="63" t="n"/>
      <c r="F304" s="63" t="n"/>
    </row>
    <row r="305">
      <c r="A305" s="166" t="n"/>
      <c r="B305" s="63" t="n"/>
      <c r="C305" s="64" t="n"/>
      <c r="D305" s="167" t="n"/>
      <c r="E305" s="63" t="n"/>
      <c r="F305" s="63" t="n"/>
    </row>
    <row r="306">
      <c r="A306" s="166" t="n"/>
      <c r="B306" s="63" t="n"/>
      <c r="C306" s="64" t="n"/>
      <c r="D306" s="167" t="n"/>
      <c r="E306" s="63" t="n"/>
      <c r="F306" s="63" t="n"/>
    </row>
    <row r="307">
      <c r="A307" s="166" t="n"/>
      <c r="B307" s="63" t="n"/>
      <c r="C307" s="64" t="n"/>
      <c r="D307" s="167" t="n"/>
      <c r="E307" s="63" t="n"/>
      <c r="F307" s="63" t="n"/>
    </row>
    <row r="308">
      <c r="A308" s="166" t="n"/>
      <c r="B308" s="63" t="n"/>
      <c r="C308" s="64" t="n"/>
      <c r="D308" s="167" t="n"/>
      <c r="E308" s="63" t="n"/>
      <c r="F308" s="63" t="n"/>
    </row>
    <row r="309">
      <c r="A309" s="166" t="n"/>
      <c r="B309" s="63" t="n"/>
      <c r="C309" s="64" t="n"/>
      <c r="D309" s="167" t="n"/>
      <c r="E309" s="63" t="n"/>
      <c r="F309" s="63" t="n"/>
    </row>
    <row r="310">
      <c r="A310" s="166" t="n"/>
      <c r="B310" s="63" t="n"/>
      <c r="C310" s="64" t="n"/>
      <c r="D310" s="167" t="n"/>
      <c r="E310" s="63" t="n"/>
      <c r="F310" s="63" t="n"/>
    </row>
    <row r="311">
      <c r="A311" s="166" t="n"/>
      <c r="B311" s="63" t="n"/>
      <c r="C311" s="64" t="n"/>
      <c r="D311" s="167" t="n"/>
      <c r="E311" s="63" t="n"/>
      <c r="F311" s="63" t="n"/>
    </row>
    <row r="312">
      <c r="A312" s="166" t="n"/>
      <c r="B312" s="63" t="n"/>
      <c r="C312" s="64" t="n"/>
      <c r="D312" s="167" t="n"/>
      <c r="E312" s="63" t="n"/>
      <c r="F312" s="63" t="n"/>
    </row>
    <row r="313">
      <c r="A313" s="166" t="n"/>
      <c r="B313" s="63" t="n"/>
      <c r="C313" s="64" t="n"/>
      <c r="D313" s="167" t="n"/>
      <c r="E313" s="63" t="n"/>
      <c r="F313" s="63" t="n"/>
    </row>
    <row r="314">
      <c r="A314" s="166" t="n"/>
      <c r="B314" s="63" t="n"/>
      <c r="C314" s="64" t="n"/>
      <c r="D314" s="167" t="n"/>
      <c r="E314" s="63" t="n"/>
      <c r="F314" s="63" t="n"/>
    </row>
    <row r="315">
      <c r="A315" s="166" t="n"/>
      <c r="B315" s="63" t="n"/>
      <c r="C315" s="64" t="n"/>
      <c r="D315" s="167" t="n"/>
      <c r="E315" s="63" t="n"/>
      <c r="F315" s="63" t="n"/>
    </row>
    <row r="316">
      <c r="A316" s="166" t="n"/>
      <c r="B316" s="63" t="n"/>
      <c r="C316" s="64" t="n"/>
      <c r="D316" s="167" t="n"/>
      <c r="E316" s="63" t="n"/>
      <c r="F316" s="63" t="n"/>
    </row>
    <row r="317">
      <c r="A317" s="166" t="n"/>
      <c r="B317" s="63" t="n"/>
      <c r="C317" s="64" t="n"/>
      <c r="D317" s="167" t="n"/>
      <c r="E317" s="63" t="n"/>
      <c r="F317" s="63" t="n"/>
    </row>
    <row r="318">
      <c r="A318" s="166" t="n"/>
      <c r="B318" s="63" t="n"/>
      <c r="C318" s="64" t="n"/>
      <c r="D318" s="167" t="n"/>
      <c r="E318" s="63" t="n"/>
      <c r="F318" s="63" t="n"/>
    </row>
    <row r="319">
      <c r="A319" s="166" t="n"/>
      <c r="B319" s="63" t="n"/>
      <c r="C319" s="64" t="n"/>
      <c r="D319" s="167" t="n"/>
      <c r="E319" s="63" t="n"/>
      <c r="F319" s="63" t="n"/>
    </row>
    <row r="320">
      <c r="A320" s="166" t="n"/>
      <c r="B320" s="63" t="n"/>
      <c r="C320" s="64" t="n"/>
      <c r="D320" s="167" t="n"/>
      <c r="E320" s="63" t="n"/>
      <c r="F320" s="63" t="n"/>
    </row>
    <row r="321">
      <c r="A321" s="166" t="n"/>
      <c r="B321" s="63" t="n"/>
      <c r="C321" s="64" t="n"/>
      <c r="D321" s="167" t="n"/>
      <c r="E321" s="63" t="n"/>
      <c r="F321" s="63" t="n"/>
    </row>
    <row r="322">
      <c r="A322" s="166" t="n"/>
      <c r="B322" s="63" t="n"/>
      <c r="C322" s="64" t="n"/>
      <c r="D322" s="167" t="n"/>
      <c r="E322" s="63" t="n"/>
      <c r="F322" s="63" t="n"/>
    </row>
    <row r="323">
      <c r="A323" s="166" t="n"/>
      <c r="B323" s="63" t="n"/>
      <c r="C323" s="64" t="n"/>
      <c r="D323" s="167" t="n"/>
      <c r="E323" s="63" t="n"/>
      <c r="F323" s="63" t="n"/>
    </row>
    <row r="324">
      <c r="A324" s="166" t="n"/>
      <c r="B324" s="63" t="n"/>
      <c r="C324" s="64" t="n"/>
      <c r="D324" s="167" t="n"/>
      <c r="E324" s="63" t="n"/>
      <c r="F324" s="63" t="n"/>
    </row>
    <row r="325">
      <c r="A325" s="166" t="n"/>
      <c r="B325" s="63" t="n"/>
      <c r="C325" s="64" t="n"/>
      <c r="D325" s="167" t="n"/>
      <c r="E325" s="63" t="n"/>
      <c r="F325" s="63" t="n"/>
    </row>
    <row r="326">
      <c r="A326" s="166" t="n"/>
      <c r="B326" s="63" t="n"/>
      <c r="C326" s="64" t="n"/>
      <c r="D326" s="167" t="n"/>
      <c r="E326" s="63" t="n"/>
      <c r="F326" s="63" t="n"/>
    </row>
    <row r="327">
      <c r="A327" s="166" t="n"/>
      <c r="B327" s="63" t="n"/>
      <c r="C327" s="64" t="n"/>
      <c r="D327" s="167" t="n"/>
      <c r="E327" s="63" t="n"/>
      <c r="F327" s="63" t="n"/>
    </row>
    <row r="328">
      <c r="A328" s="166" t="n"/>
      <c r="B328" s="63" t="n"/>
      <c r="C328" s="64" t="n"/>
      <c r="D328" s="167" t="n"/>
      <c r="E328" s="63" t="n"/>
      <c r="F328" s="63" t="n"/>
    </row>
    <row r="329">
      <c r="A329" s="166" t="n"/>
      <c r="B329" s="63" t="n"/>
      <c r="C329" s="64" t="n"/>
      <c r="D329" s="167" t="n"/>
      <c r="E329" s="63" t="n"/>
      <c r="F329" s="63" t="n"/>
    </row>
    <row r="330">
      <c r="A330" s="166" t="n"/>
      <c r="B330" s="63" t="n"/>
      <c r="C330" s="64" t="n"/>
      <c r="D330" s="167" t="n"/>
      <c r="E330" s="63" t="n"/>
      <c r="F330" s="63" t="n"/>
    </row>
    <row r="331">
      <c r="A331" s="166" t="n"/>
      <c r="B331" s="63" t="n"/>
      <c r="C331" s="64" t="n"/>
      <c r="D331" s="167" t="n"/>
      <c r="E331" s="63" t="n"/>
      <c r="F331" s="63" t="n"/>
    </row>
    <row r="332">
      <c r="A332" s="166" t="n"/>
      <c r="B332" s="63" t="n"/>
      <c r="C332" s="64" t="n"/>
      <c r="D332" s="167" t="n"/>
      <c r="E332" s="63" t="n"/>
      <c r="F332" s="63" t="n"/>
    </row>
    <row r="333">
      <c r="A333" s="166" t="n"/>
      <c r="B333" s="63" t="n"/>
      <c r="C333" s="64" t="n"/>
      <c r="D333" s="167" t="n"/>
      <c r="E333" s="63" t="n"/>
      <c r="F333" s="63" t="n"/>
    </row>
    <row r="334">
      <c r="A334" s="166" t="n"/>
      <c r="B334" s="63" t="n"/>
      <c r="C334" s="64" t="n"/>
      <c r="D334" s="167" t="n"/>
      <c r="E334" s="63" t="n"/>
      <c r="F334" s="63" t="n"/>
    </row>
    <row r="335">
      <c r="A335" s="166" t="n"/>
      <c r="B335" s="63" t="n"/>
      <c r="C335" s="64" t="n"/>
      <c r="D335" s="167" t="n"/>
      <c r="E335" s="63" t="n"/>
      <c r="F335" s="63" t="n"/>
    </row>
    <row r="336">
      <c r="A336" s="166" t="n"/>
      <c r="B336" s="63" t="n"/>
      <c r="C336" s="64" t="n"/>
      <c r="D336" s="167" t="n"/>
      <c r="E336" s="63" t="n"/>
      <c r="F336" s="63" t="n"/>
    </row>
    <row r="337">
      <c r="A337" s="166" t="n"/>
      <c r="B337" s="63" t="n"/>
      <c r="C337" s="64" t="n"/>
      <c r="D337" s="167" t="n"/>
      <c r="E337" s="63" t="n"/>
      <c r="F337" s="63" t="n"/>
    </row>
    <row r="338">
      <c r="A338" s="166" t="n"/>
      <c r="B338" s="63" t="n"/>
      <c r="C338" s="64" t="n"/>
      <c r="D338" s="167" t="n"/>
      <c r="E338" s="63" t="n"/>
      <c r="F338" s="63" t="n"/>
    </row>
    <row r="339">
      <c r="A339" s="166" t="n"/>
      <c r="B339" s="63" t="n"/>
      <c r="C339" s="64" t="n"/>
      <c r="D339" s="167" t="n"/>
      <c r="E339" s="63" t="n"/>
      <c r="F339" s="63" t="n"/>
    </row>
    <row r="340">
      <c r="A340" s="166" t="n"/>
      <c r="B340" s="63" t="n"/>
      <c r="C340" s="64" t="n"/>
      <c r="D340" s="167" t="n"/>
      <c r="E340" s="63" t="n"/>
      <c r="F340" s="63" t="n"/>
    </row>
    <row r="341">
      <c r="A341" s="166" t="n"/>
      <c r="B341" s="63" t="n"/>
      <c r="C341" s="64" t="n"/>
      <c r="D341" s="167" t="n"/>
      <c r="E341" s="63" t="n"/>
      <c r="F341" s="63" t="n"/>
    </row>
    <row r="342">
      <c r="A342" s="166" t="n"/>
      <c r="B342" s="63" t="n"/>
      <c r="C342" s="64" t="n"/>
      <c r="D342" s="167" t="n"/>
      <c r="E342" s="63" t="n"/>
      <c r="F342" s="63" t="n"/>
    </row>
    <row r="343">
      <c r="A343" s="166" t="n"/>
      <c r="B343" s="63" t="n"/>
      <c r="C343" s="64" t="n"/>
      <c r="D343" s="167" t="n"/>
      <c r="E343" s="63" t="n"/>
      <c r="F343" s="63" t="n"/>
    </row>
    <row r="344">
      <c r="A344" s="166" t="n"/>
      <c r="B344" s="63" t="n"/>
      <c r="C344" s="64" t="n"/>
      <c r="D344" s="167" t="n"/>
      <c r="E344" s="63" t="n"/>
      <c r="F344" s="63" t="n"/>
    </row>
    <row r="345">
      <c r="A345" s="166" t="n"/>
      <c r="B345" s="63" t="n"/>
      <c r="C345" s="64" t="n"/>
      <c r="D345" s="167" t="n"/>
      <c r="E345" s="63" t="n"/>
      <c r="F345" s="63" t="n"/>
    </row>
    <row r="346">
      <c r="A346" s="166" t="n"/>
      <c r="B346" s="63" t="n"/>
      <c r="C346" s="64" t="n"/>
      <c r="D346" s="167" t="n"/>
      <c r="E346" s="63" t="n"/>
      <c r="F346" s="63" t="n"/>
    </row>
    <row r="347">
      <c r="A347" s="166" t="n"/>
      <c r="B347" s="63" t="n"/>
      <c r="C347" s="64" t="n"/>
      <c r="D347" s="167" t="n"/>
      <c r="E347" s="63" t="n"/>
      <c r="F347" s="63" t="n"/>
    </row>
    <row r="348">
      <c r="A348" s="166" t="n"/>
      <c r="B348" s="63" t="n"/>
      <c r="C348" s="64" t="n"/>
      <c r="D348" s="167" t="n"/>
      <c r="E348" s="63" t="n"/>
      <c r="F348" s="63" t="n"/>
    </row>
    <row r="349">
      <c r="A349" s="166" t="n"/>
      <c r="B349" s="63" t="n"/>
      <c r="C349" s="64" t="n"/>
      <c r="D349" s="167" t="n"/>
      <c r="E349" s="63" t="n"/>
      <c r="F349" s="63" t="n"/>
    </row>
    <row r="350">
      <c r="A350" s="166" t="n"/>
      <c r="B350" s="63" t="n"/>
      <c r="C350" s="64" t="n"/>
      <c r="D350" s="167" t="n"/>
      <c r="E350" s="63" t="n"/>
      <c r="F350" s="63" t="n"/>
    </row>
    <row r="351">
      <c r="A351" s="166" t="n"/>
      <c r="B351" s="63" t="n"/>
      <c r="C351" s="64" t="n"/>
      <c r="D351" s="167" t="n"/>
      <c r="E351" s="63" t="n"/>
      <c r="F351" s="63" t="n"/>
    </row>
    <row r="352">
      <c r="A352" s="166" t="n"/>
      <c r="B352" s="63" t="n"/>
      <c r="C352" s="64" t="n"/>
      <c r="D352" s="167" t="n"/>
      <c r="E352" s="63" t="n"/>
      <c r="F352" s="63" t="n"/>
    </row>
    <row r="353">
      <c r="A353" s="166" t="n"/>
      <c r="B353" s="63" t="n"/>
      <c r="C353" s="64" t="n"/>
      <c r="D353" s="167" t="n"/>
      <c r="E353" s="63" t="n"/>
      <c r="F353" s="63" t="n"/>
    </row>
    <row r="354">
      <c r="A354" s="166" t="n"/>
      <c r="B354" s="63" t="n"/>
      <c r="C354" s="64" t="n"/>
      <c r="D354" s="167" t="n"/>
      <c r="E354" s="63" t="n"/>
      <c r="F354" s="63" t="n"/>
    </row>
    <row r="355">
      <c r="A355" s="166" t="n"/>
      <c r="B355" s="63" t="n"/>
      <c r="C355" s="64" t="n"/>
      <c r="D355" s="167" t="n"/>
      <c r="E355" s="63" t="n"/>
      <c r="F355" s="63" t="n"/>
    </row>
    <row r="356">
      <c r="A356" s="166" t="n"/>
      <c r="B356" s="63" t="n"/>
      <c r="C356" s="64" t="n"/>
      <c r="D356" s="167" t="n"/>
      <c r="E356" s="63" t="n"/>
      <c r="F356" s="63" t="n"/>
    </row>
    <row r="357">
      <c r="A357" s="166" t="n"/>
      <c r="B357" s="63" t="n"/>
      <c r="C357" s="64" t="n"/>
      <c r="D357" s="167" t="n"/>
      <c r="E357" s="63" t="n"/>
      <c r="F357" s="63" t="n"/>
    </row>
    <row r="358">
      <c r="A358" s="166" t="n"/>
      <c r="B358" s="63" t="n"/>
      <c r="C358" s="64" t="n"/>
      <c r="D358" s="167" t="n"/>
      <c r="E358" s="63" t="n"/>
      <c r="F358" s="63" t="n"/>
    </row>
    <row r="359">
      <c r="A359" s="166" t="n"/>
      <c r="B359" s="63" t="n"/>
      <c r="C359" s="64" t="n"/>
      <c r="D359" s="167" t="n"/>
      <c r="E359" s="63" t="n"/>
      <c r="F359" s="63" t="n"/>
    </row>
    <row r="360">
      <c r="A360" s="166" t="n"/>
      <c r="B360" s="63" t="n"/>
      <c r="C360" s="64" t="n"/>
      <c r="D360" s="167" t="n"/>
      <c r="E360" s="63" t="n"/>
      <c r="F360" s="63" t="n"/>
    </row>
    <row r="361">
      <c r="A361" s="166" t="n"/>
      <c r="B361" s="63" t="n"/>
      <c r="C361" s="64" t="n"/>
      <c r="D361" s="167" t="n"/>
      <c r="E361" s="63" t="n"/>
      <c r="F361" s="63" t="n"/>
    </row>
    <row r="362">
      <c r="A362" s="166" t="n"/>
      <c r="B362" s="63" t="n"/>
      <c r="C362" s="64" t="n"/>
      <c r="D362" s="167" t="n"/>
      <c r="E362" s="63" t="n"/>
      <c r="F362" s="63" t="n"/>
    </row>
    <row r="363">
      <c r="A363" s="166" t="n"/>
      <c r="B363" s="63" t="n"/>
      <c r="C363" s="64" t="n"/>
      <c r="D363" s="167" t="n"/>
      <c r="E363" s="63" t="n"/>
      <c r="F363" s="63" t="n"/>
    </row>
    <row r="364">
      <c r="A364" s="166" t="n"/>
      <c r="B364" s="63" t="n"/>
      <c r="C364" s="64" t="n"/>
      <c r="D364" s="167" t="n"/>
      <c r="E364" s="63" t="n"/>
      <c r="F364" s="63" t="n"/>
    </row>
    <row r="365">
      <c r="A365" s="166" t="n"/>
      <c r="B365" s="63" t="n"/>
      <c r="C365" s="64" t="n"/>
      <c r="D365" s="167" t="n"/>
      <c r="E365" s="63" t="n"/>
      <c r="F365" s="63" t="n"/>
    </row>
    <row r="366">
      <c r="A366" s="166" t="n"/>
      <c r="B366" s="63" t="n"/>
      <c r="C366" s="64" t="n"/>
      <c r="D366" s="167" t="n"/>
      <c r="E366" s="63" t="n"/>
      <c r="F366" s="63" t="n"/>
    </row>
    <row r="367">
      <c r="A367" s="166" t="n"/>
      <c r="B367" s="63" t="n"/>
      <c r="C367" s="64" t="n"/>
      <c r="D367" s="167" t="n"/>
      <c r="E367" s="63" t="n"/>
      <c r="F367" s="63" t="n"/>
    </row>
    <row r="368">
      <c r="A368" s="166" t="n"/>
      <c r="B368" s="63" t="n"/>
      <c r="C368" s="64" t="n"/>
      <c r="D368" s="167" t="n"/>
      <c r="E368" s="63" t="n"/>
      <c r="F368" s="63" t="n"/>
    </row>
    <row r="369">
      <c r="A369" s="166" t="n"/>
      <c r="B369" s="63" t="n"/>
      <c r="C369" s="64" t="n"/>
      <c r="D369" s="167" t="n"/>
      <c r="E369" s="63" t="n"/>
      <c r="F369" s="63" t="n"/>
    </row>
    <row r="370">
      <c r="A370" s="166" t="n"/>
      <c r="B370" s="63" t="n"/>
      <c r="C370" s="64" t="n"/>
      <c r="D370" s="167" t="n"/>
      <c r="E370" s="63" t="n"/>
      <c r="F370" s="63" t="n"/>
    </row>
    <row r="371">
      <c r="A371" s="166" t="n"/>
      <c r="B371" s="63" t="n"/>
      <c r="C371" s="64" t="n"/>
      <c r="D371" s="167" t="n"/>
      <c r="E371" s="63" t="n"/>
      <c r="F371" s="63" t="n"/>
    </row>
    <row r="372">
      <c r="A372" s="166" t="n"/>
      <c r="B372" s="63" t="n"/>
      <c r="C372" s="64" t="n"/>
      <c r="D372" s="167" t="n"/>
      <c r="E372" s="63" t="n"/>
      <c r="F372" s="63" t="n"/>
    </row>
    <row r="373">
      <c r="A373" s="166" t="n"/>
      <c r="B373" s="63" t="n"/>
      <c r="C373" s="64" t="n"/>
      <c r="D373" s="167" t="n"/>
      <c r="E373" s="63" t="n"/>
      <c r="F373" s="63" t="n"/>
    </row>
    <row r="374">
      <c r="A374" s="166" t="n"/>
      <c r="B374" s="63" t="n"/>
      <c r="C374" s="64" t="n"/>
      <c r="D374" s="167" t="n"/>
      <c r="E374" s="63" t="n"/>
      <c r="F374" s="63" t="n"/>
    </row>
    <row r="375">
      <c r="A375" s="166" t="n"/>
      <c r="B375" s="63" t="n"/>
      <c r="C375" s="64" t="n"/>
      <c r="D375" s="167" t="n"/>
      <c r="E375" s="63" t="n"/>
      <c r="F375" s="63" t="n"/>
    </row>
    <row r="376">
      <c r="A376" s="166" t="n"/>
      <c r="B376" s="63" t="n"/>
      <c r="C376" s="64" t="n"/>
      <c r="D376" s="167" t="n"/>
      <c r="E376" s="63" t="n"/>
      <c r="F376" s="63" t="n"/>
    </row>
    <row r="377">
      <c r="A377" s="166" t="n"/>
      <c r="B377" s="63" t="n"/>
      <c r="C377" s="64" t="n"/>
      <c r="D377" s="167" t="n"/>
      <c r="E377" s="63" t="n"/>
      <c r="F377" s="63" t="n"/>
    </row>
    <row r="378">
      <c r="A378" s="166" t="n"/>
      <c r="B378" s="63" t="n"/>
      <c r="C378" s="64" t="n"/>
      <c r="D378" s="167" t="n"/>
      <c r="E378" s="63" t="n"/>
      <c r="F378" s="63" t="n"/>
    </row>
    <row r="379">
      <c r="A379" s="166" t="n"/>
      <c r="B379" s="63" t="n"/>
      <c r="C379" s="64" t="n"/>
      <c r="D379" s="167" t="n"/>
      <c r="E379" s="63" t="n"/>
      <c r="F379" s="63" t="n"/>
    </row>
    <row r="380">
      <c r="A380" s="166" t="n"/>
      <c r="B380" s="63" t="n"/>
      <c r="C380" s="64" t="n"/>
      <c r="D380" s="167" t="n"/>
      <c r="E380" s="63" t="n"/>
      <c r="F380" s="63" t="n"/>
    </row>
    <row r="381">
      <c r="A381" s="166" t="n"/>
      <c r="B381" s="63" t="n"/>
      <c r="C381" s="64" t="n"/>
      <c r="D381" s="167" t="n"/>
      <c r="E381" s="63" t="n"/>
      <c r="F381" s="63" t="n"/>
    </row>
    <row r="382">
      <c r="A382" s="166" t="n"/>
      <c r="B382" s="63" t="n"/>
      <c r="C382" s="64" t="n"/>
      <c r="D382" s="167" t="n"/>
      <c r="E382" s="63" t="n"/>
      <c r="F382" s="63" t="n"/>
    </row>
    <row r="383">
      <c r="A383" s="166" t="n"/>
      <c r="B383" s="63" t="n"/>
      <c r="C383" s="64" t="n"/>
      <c r="D383" s="167" t="n"/>
      <c r="E383" s="63" t="n"/>
      <c r="F383" s="63" t="n"/>
    </row>
    <row r="384">
      <c r="A384" s="166" t="n"/>
      <c r="B384" s="63" t="n"/>
      <c r="C384" s="64" t="n"/>
      <c r="D384" s="167" t="n"/>
      <c r="E384" s="63" t="n"/>
      <c r="F384" s="63" t="n"/>
    </row>
    <row r="385">
      <c r="A385" s="166" t="n"/>
      <c r="B385" s="63" t="n"/>
      <c r="C385" s="64" t="n"/>
      <c r="D385" s="167" t="n"/>
      <c r="E385" s="63" t="n"/>
      <c r="F385" s="63" t="n"/>
    </row>
    <row r="386">
      <c r="A386" s="166" t="n"/>
      <c r="B386" s="63" t="n"/>
      <c r="C386" s="64" t="n"/>
      <c r="D386" s="167" t="n"/>
      <c r="E386" s="63" t="n"/>
      <c r="F386" s="63" t="n"/>
    </row>
    <row r="387">
      <c r="A387" s="166" t="n"/>
      <c r="B387" s="63" t="n"/>
      <c r="C387" s="64" t="n"/>
      <c r="D387" s="167" t="n"/>
      <c r="E387" s="63" t="n"/>
      <c r="F387" s="63" t="n"/>
    </row>
    <row r="388">
      <c r="A388" s="166" t="n"/>
      <c r="B388" s="63" t="n"/>
      <c r="C388" s="64" t="n"/>
      <c r="D388" s="167" t="n"/>
      <c r="E388" s="63" t="n"/>
      <c r="F388" s="63" t="n"/>
    </row>
    <row r="389">
      <c r="A389" s="166" t="n"/>
      <c r="B389" s="63" t="n"/>
      <c r="C389" s="64" t="n"/>
      <c r="D389" s="167" t="n"/>
      <c r="E389" s="63" t="n"/>
      <c r="F389" s="63" t="n"/>
    </row>
    <row r="390">
      <c r="A390" s="166" t="n"/>
      <c r="B390" s="63" t="n"/>
      <c r="C390" s="64" t="n"/>
      <c r="D390" s="167" t="n"/>
      <c r="E390" s="63" t="n"/>
      <c r="F390" s="63" t="n"/>
    </row>
    <row r="391">
      <c r="A391" s="166" t="n"/>
      <c r="B391" s="63" t="n"/>
      <c r="C391" s="64" t="n"/>
      <c r="D391" s="167" t="n"/>
      <c r="E391" s="63" t="n"/>
      <c r="F391" s="63" t="n"/>
    </row>
    <row r="392">
      <c r="A392" s="166" t="n"/>
      <c r="B392" s="63" t="n"/>
      <c r="C392" s="64" t="n"/>
      <c r="D392" s="167" t="n"/>
      <c r="E392" s="63" t="n"/>
      <c r="F392" s="63" t="n"/>
    </row>
    <row r="393">
      <c r="A393" s="166" t="n"/>
      <c r="B393" s="63" t="n"/>
      <c r="C393" s="64" t="n"/>
      <c r="D393" s="167" t="n"/>
      <c r="E393" s="63" t="n"/>
      <c r="F393" s="63" t="n"/>
    </row>
    <row r="394">
      <c r="A394" s="166" t="n"/>
      <c r="B394" s="63" t="n"/>
      <c r="C394" s="64" t="n"/>
      <c r="D394" s="167" t="n"/>
      <c r="E394" s="63" t="n"/>
      <c r="F394" s="63" t="n"/>
    </row>
    <row r="395">
      <c r="A395" s="166" t="n"/>
      <c r="B395" s="63" t="n"/>
      <c r="C395" s="64" t="n"/>
      <c r="D395" s="167" t="n"/>
      <c r="E395" s="63" t="n"/>
      <c r="F395" s="63" t="n"/>
    </row>
    <row r="396">
      <c r="A396" s="166" t="n"/>
      <c r="B396" s="63" t="n"/>
      <c r="C396" s="64" t="n"/>
      <c r="D396" s="167" t="n"/>
      <c r="E396" s="63" t="n"/>
      <c r="F396" s="63" t="n"/>
    </row>
    <row r="397">
      <c r="A397" s="166" t="n"/>
      <c r="B397" s="63" t="n"/>
      <c r="C397" s="64" t="n"/>
      <c r="D397" s="167" t="n"/>
      <c r="E397" s="63" t="n"/>
      <c r="F397" s="63" t="n"/>
    </row>
    <row r="398">
      <c r="A398" s="166" t="n"/>
      <c r="B398" s="63" t="n"/>
      <c r="C398" s="64" t="n"/>
      <c r="D398" s="167" t="n"/>
      <c r="E398" s="63" t="n"/>
      <c r="F398" s="63" t="n"/>
    </row>
    <row r="399">
      <c r="A399" s="166" t="n"/>
      <c r="B399" s="63" t="n"/>
      <c r="C399" s="64" t="n"/>
      <c r="D399" s="167" t="n"/>
      <c r="E399" s="63" t="n"/>
      <c r="F399" s="63" t="n"/>
    </row>
    <row r="400">
      <c r="A400" s="166" t="n"/>
      <c r="B400" s="63" t="n"/>
      <c r="C400" s="64" t="n"/>
      <c r="D400" s="167" t="n"/>
      <c r="E400" s="63" t="n"/>
      <c r="F400" s="63" t="n"/>
    </row>
    <row r="401">
      <c r="A401" s="166" t="n"/>
      <c r="B401" s="63" t="n"/>
      <c r="C401" s="64" t="n"/>
      <c r="D401" s="167" t="n"/>
      <c r="E401" s="63" t="n"/>
      <c r="F401" s="63" t="n"/>
    </row>
    <row r="402">
      <c r="A402" s="166" t="n"/>
      <c r="B402" s="63" t="n"/>
      <c r="C402" s="64" t="n"/>
      <c r="D402" s="167" t="n"/>
      <c r="E402" s="63" t="n"/>
      <c r="F402" s="63" t="n"/>
    </row>
    <row r="403">
      <c r="A403" s="166" t="n"/>
      <c r="B403" s="63" t="n"/>
      <c r="C403" s="64" t="n"/>
      <c r="D403" s="167" t="n"/>
      <c r="E403" s="63" t="n"/>
      <c r="F403" s="63" t="n"/>
    </row>
    <row r="404">
      <c r="A404" s="166" t="n"/>
      <c r="B404" s="63" t="n"/>
      <c r="C404" s="64" t="n"/>
      <c r="D404" s="167" t="n"/>
      <c r="E404" s="63" t="n"/>
      <c r="F404" s="63" t="n"/>
    </row>
    <row r="405">
      <c r="A405" s="166" t="n"/>
      <c r="B405" s="63" t="n"/>
      <c r="C405" s="64" t="n"/>
      <c r="D405" s="167" t="n"/>
      <c r="E405" s="63" t="n"/>
      <c r="F405" s="63" t="n"/>
    </row>
    <row r="406">
      <c r="A406" s="166" t="n"/>
      <c r="B406" s="63" t="n"/>
      <c r="C406" s="64" t="n"/>
      <c r="D406" s="167" t="n"/>
      <c r="E406" s="63" t="n"/>
      <c r="F406" s="63" t="n"/>
    </row>
    <row r="407">
      <c r="A407" s="166" t="n"/>
      <c r="B407" s="63" t="n"/>
      <c r="C407" s="64" t="n"/>
      <c r="D407" s="167" t="n"/>
      <c r="E407" s="63" t="n"/>
      <c r="F407" s="63" t="n"/>
    </row>
    <row r="408">
      <c r="A408" s="166" t="n"/>
      <c r="B408" s="63" t="n"/>
      <c r="C408" s="64" t="n"/>
      <c r="D408" s="167" t="n"/>
      <c r="E408" s="63" t="n"/>
      <c r="F408" s="63" t="n"/>
    </row>
    <row r="409">
      <c r="A409" s="166" t="n"/>
      <c r="B409" s="63" t="n"/>
      <c r="C409" s="64" t="n"/>
      <c r="D409" s="167" t="n"/>
      <c r="E409" s="63" t="n"/>
      <c r="F409" s="63" t="n"/>
    </row>
    <row r="410">
      <c r="A410" s="166" t="n"/>
      <c r="B410" s="63" t="n"/>
      <c r="C410" s="64" t="n"/>
      <c r="D410" s="167" t="n"/>
      <c r="E410" s="63" t="n"/>
      <c r="F410" s="63" t="n"/>
    </row>
    <row r="411">
      <c r="A411" s="166" t="n"/>
      <c r="B411" s="63" t="n"/>
      <c r="C411" s="64" t="n"/>
      <c r="D411" s="167" t="n"/>
      <c r="E411" s="63" t="n"/>
      <c r="F411" s="63" t="n"/>
    </row>
    <row r="412">
      <c r="A412" s="166" t="n"/>
      <c r="B412" s="63" t="n"/>
      <c r="C412" s="64" t="n"/>
      <c r="D412" s="167" t="n"/>
      <c r="E412" s="63" t="n"/>
      <c r="F412" s="63" t="n"/>
    </row>
    <row r="413">
      <c r="A413" s="166" t="n"/>
      <c r="B413" s="63" t="n"/>
      <c r="C413" s="64" t="n"/>
      <c r="D413" s="167" t="n"/>
      <c r="E413" s="63" t="n"/>
      <c r="F413" s="63" t="n"/>
    </row>
    <row r="414">
      <c r="A414" s="166" t="n"/>
      <c r="B414" s="63" t="n"/>
      <c r="C414" s="64" t="n"/>
      <c r="D414" s="167" t="n"/>
      <c r="E414" s="63" t="n"/>
      <c r="F414" s="63" t="n"/>
    </row>
    <row r="415">
      <c r="A415" s="166" t="n"/>
      <c r="B415" s="63" t="n"/>
      <c r="C415" s="64" t="n"/>
      <c r="D415" s="167" t="n"/>
      <c r="E415" s="63" t="n"/>
      <c r="F415" s="63" t="n"/>
    </row>
    <row r="416">
      <c r="A416" s="166" t="n"/>
      <c r="B416" s="63" t="n"/>
      <c r="C416" s="64" t="n"/>
      <c r="D416" s="167" t="n"/>
      <c r="E416" s="63" t="n"/>
      <c r="F416" s="63" t="n"/>
    </row>
    <row r="417">
      <c r="A417" s="166" t="n"/>
      <c r="B417" s="63" t="n"/>
      <c r="C417" s="64" t="n"/>
      <c r="D417" s="167" t="n"/>
      <c r="E417" s="63" t="n"/>
      <c r="F417" s="63" t="n"/>
    </row>
    <row r="418">
      <c r="A418" s="166" t="n"/>
      <c r="B418" s="63" t="n"/>
      <c r="C418" s="64" t="n"/>
      <c r="D418" s="167" t="n"/>
      <c r="E418" s="63" t="n"/>
      <c r="F418" s="63" t="n"/>
    </row>
    <row r="419">
      <c r="A419" s="166" t="n"/>
      <c r="B419" s="63" t="n"/>
      <c r="C419" s="64" t="n"/>
      <c r="D419" s="167" t="n"/>
      <c r="E419" s="63" t="n"/>
      <c r="F419" s="63" t="n"/>
    </row>
    <row r="420">
      <c r="A420" s="166" t="n"/>
      <c r="B420" s="63" t="n"/>
      <c r="C420" s="64" t="n"/>
      <c r="D420" s="167" t="n"/>
      <c r="E420" s="63" t="n"/>
      <c r="F420" s="63" t="n"/>
    </row>
    <row r="421">
      <c r="A421" s="166" t="n"/>
      <c r="B421" s="63" t="n"/>
      <c r="C421" s="64" t="n"/>
      <c r="D421" s="167" t="n"/>
      <c r="E421" s="63" t="n"/>
      <c r="F421" s="63" t="n"/>
    </row>
    <row r="422">
      <c r="A422" s="166" t="n"/>
      <c r="B422" s="63" t="n"/>
      <c r="C422" s="64" t="n"/>
      <c r="D422" s="167" t="n"/>
      <c r="E422" s="63" t="n"/>
      <c r="F422" s="63" t="n"/>
    </row>
    <row r="423">
      <c r="A423" s="166" t="n"/>
      <c r="B423" s="63" t="n"/>
      <c r="C423" s="64" t="n"/>
      <c r="D423" s="167" t="n"/>
      <c r="E423" s="63" t="n"/>
      <c r="F423" s="63" t="n"/>
    </row>
    <row r="424">
      <c r="A424" s="166" t="n"/>
      <c r="B424" s="63" t="n"/>
      <c r="C424" s="64" t="n"/>
      <c r="D424" s="167" t="n"/>
      <c r="E424" s="63" t="n"/>
      <c r="F424" s="63" t="n"/>
    </row>
    <row r="425">
      <c r="A425" s="166" t="n"/>
      <c r="B425" s="63" t="n"/>
      <c r="C425" s="64" t="n"/>
      <c r="D425" s="167" t="n"/>
      <c r="E425" s="63" t="n"/>
      <c r="F425" s="63" t="n"/>
    </row>
    <row r="426">
      <c r="A426" s="166" t="n"/>
      <c r="B426" s="63" t="n"/>
      <c r="C426" s="64" t="n"/>
      <c r="D426" s="167" t="n"/>
      <c r="E426" s="63" t="n"/>
      <c r="F426" s="63" t="n"/>
    </row>
    <row r="427">
      <c r="A427" s="166" t="n"/>
      <c r="B427" s="63" t="n"/>
      <c r="C427" s="64" t="n"/>
      <c r="D427" s="167" t="n"/>
      <c r="E427" s="63" t="n"/>
      <c r="F427" s="63" t="n"/>
    </row>
    <row r="428">
      <c r="A428" s="166" t="n"/>
      <c r="B428" s="63" t="n"/>
      <c r="C428" s="64" t="n"/>
      <c r="D428" s="167" t="n"/>
      <c r="E428" s="63" t="n"/>
      <c r="F428" s="63" t="n"/>
    </row>
    <row r="429">
      <c r="A429" s="166" t="n"/>
      <c r="B429" s="63" t="n"/>
      <c r="C429" s="64" t="n"/>
      <c r="D429" s="167" t="n"/>
      <c r="E429" s="63" t="n"/>
      <c r="F429" s="63" t="n"/>
    </row>
    <row r="430">
      <c r="A430" s="166" t="n"/>
      <c r="B430" s="63" t="n"/>
      <c r="C430" s="64" t="n"/>
      <c r="D430" s="167" t="n"/>
      <c r="E430" s="63" t="n"/>
      <c r="F430" s="63" t="n"/>
    </row>
    <row r="431">
      <c r="A431" s="166" t="n"/>
      <c r="B431" s="63" t="n"/>
      <c r="C431" s="64" t="n"/>
      <c r="D431" s="167" t="n"/>
      <c r="E431" s="63" t="n"/>
      <c r="F431" s="63" t="n"/>
    </row>
    <row r="432">
      <c r="A432" s="166" t="n"/>
      <c r="B432" s="63" t="n"/>
      <c r="C432" s="64" t="n"/>
      <c r="D432" s="167" t="n"/>
      <c r="E432" s="63" t="n"/>
      <c r="F432" s="63" t="n"/>
    </row>
    <row r="433">
      <c r="A433" s="166" t="n"/>
      <c r="B433" s="63" t="n"/>
      <c r="C433" s="64" t="n"/>
      <c r="D433" s="167" t="n"/>
      <c r="E433" s="63" t="n"/>
      <c r="F433" s="63" t="n"/>
    </row>
    <row r="434">
      <c r="A434" s="166" t="n"/>
      <c r="B434" s="63" t="n"/>
      <c r="C434" s="64" t="n"/>
      <c r="D434" s="167" t="n"/>
      <c r="E434" s="63" t="n"/>
      <c r="F434" s="63" t="n"/>
    </row>
    <row r="435">
      <c r="A435" s="166" t="n"/>
      <c r="B435" s="63" t="n"/>
      <c r="C435" s="64" t="n"/>
      <c r="D435" s="167" t="n"/>
      <c r="E435" s="63" t="n"/>
      <c r="F435" s="63" t="n"/>
    </row>
    <row r="436">
      <c r="A436" s="166" t="n"/>
      <c r="B436" s="63" t="n"/>
      <c r="C436" s="64" t="n"/>
      <c r="D436" s="167" t="n"/>
      <c r="E436" s="63" t="n"/>
      <c r="F436" s="63" t="n"/>
    </row>
    <row r="437">
      <c r="A437" s="166" t="n"/>
      <c r="B437" s="63" t="n"/>
      <c r="C437" s="64" t="n"/>
      <c r="D437" s="167" t="n"/>
      <c r="E437" s="63" t="n"/>
      <c r="F437" s="63" t="n"/>
    </row>
    <row r="438">
      <c r="A438" s="166" t="n"/>
      <c r="B438" s="63" t="n"/>
      <c r="C438" s="64" t="n"/>
      <c r="D438" s="167" t="n"/>
      <c r="E438" s="63" t="n"/>
      <c r="F438" s="63" t="n"/>
    </row>
    <row r="439">
      <c r="A439" s="166" t="n"/>
      <c r="B439" s="63" t="n"/>
      <c r="C439" s="64" t="n"/>
      <c r="D439" s="167" t="n"/>
      <c r="E439" s="63" t="n"/>
      <c r="F439" s="63" t="n"/>
    </row>
    <row r="440">
      <c r="A440" s="166" t="n"/>
      <c r="B440" s="63" t="n"/>
      <c r="C440" s="64" t="n"/>
      <c r="D440" s="167" t="n"/>
      <c r="E440" s="63" t="n"/>
      <c r="F440" s="63" t="n"/>
    </row>
    <row r="441">
      <c r="A441" s="166" t="n"/>
      <c r="B441" s="63" t="n"/>
      <c r="C441" s="64" t="n"/>
      <c r="D441" s="167" t="n"/>
      <c r="E441" s="63" t="n"/>
      <c r="F441" s="63" t="n"/>
    </row>
    <row r="442">
      <c r="A442" s="166" t="n"/>
      <c r="B442" s="63" t="n"/>
      <c r="C442" s="64" t="n"/>
      <c r="D442" s="167" t="n"/>
      <c r="E442" s="63" t="n"/>
      <c r="F442" s="63" t="n"/>
    </row>
    <row r="443">
      <c r="A443" s="166" t="n"/>
      <c r="B443" s="63" t="n"/>
      <c r="C443" s="64" t="n"/>
      <c r="D443" s="167" t="n"/>
      <c r="E443" s="63" t="n"/>
      <c r="F443" s="63" t="n"/>
    </row>
    <row r="444">
      <c r="A444" s="166" t="n"/>
      <c r="B444" s="63" t="n"/>
      <c r="C444" s="64" t="n"/>
      <c r="D444" s="167" t="n"/>
      <c r="E444" s="63" t="n"/>
      <c r="F444" s="63" t="n"/>
    </row>
    <row r="445">
      <c r="A445" s="166" t="n"/>
      <c r="B445" s="63" t="n"/>
      <c r="C445" s="64" t="n"/>
      <c r="D445" s="167" t="n"/>
      <c r="E445" s="63" t="n"/>
      <c r="F445" s="63" t="n"/>
    </row>
    <row r="446">
      <c r="A446" s="166" t="n"/>
      <c r="B446" s="63" t="n"/>
      <c r="C446" s="64" t="n"/>
      <c r="D446" s="167" t="n"/>
      <c r="E446" s="63" t="n"/>
      <c r="F446" s="63" t="n"/>
    </row>
    <row r="447">
      <c r="A447" s="166" t="n"/>
      <c r="B447" s="63" t="n"/>
      <c r="C447" s="64" t="n"/>
      <c r="D447" s="167" t="n"/>
      <c r="E447" s="63" t="n"/>
      <c r="F447" s="63" t="n"/>
    </row>
    <row r="448">
      <c r="A448" s="166" t="n"/>
      <c r="B448" s="63" t="n"/>
      <c r="C448" s="64" t="n"/>
      <c r="D448" s="167" t="n"/>
      <c r="E448" s="63" t="n"/>
      <c r="F448" s="63" t="n"/>
    </row>
    <row r="449">
      <c r="A449" s="166" t="n"/>
      <c r="B449" s="63" t="n"/>
      <c r="C449" s="64" t="n"/>
      <c r="D449" s="167" t="n"/>
      <c r="E449" s="63" t="n"/>
      <c r="F449" s="63" t="n"/>
    </row>
    <row r="450">
      <c r="A450" s="166" t="n"/>
      <c r="B450" s="63" t="n"/>
      <c r="C450" s="64" t="n"/>
      <c r="D450" s="167" t="n"/>
      <c r="E450" s="63" t="n"/>
      <c r="F450" s="63" t="n"/>
    </row>
    <row r="451">
      <c r="A451" s="166" t="n"/>
      <c r="B451" s="63" t="n"/>
      <c r="C451" s="64" t="n"/>
      <c r="D451" s="167" t="n"/>
      <c r="E451" s="63" t="n"/>
      <c r="F451" s="63" t="n"/>
    </row>
    <row r="452">
      <c r="A452" s="166" t="n"/>
      <c r="B452" s="63" t="n"/>
      <c r="C452" s="64" t="n"/>
      <c r="D452" s="167" t="n"/>
      <c r="E452" s="63" t="n"/>
      <c r="F452" s="63" t="n"/>
    </row>
    <row r="453">
      <c r="A453" s="166" t="n"/>
      <c r="B453" s="63" t="n"/>
      <c r="C453" s="64" t="n"/>
      <c r="D453" s="167" t="n"/>
      <c r="E453" s="63" t="n"/>
      <c r="F453" s="63" t="n"/>
    </row>
    <row r="454">
      <c r="A454" s="166" t="n"/>
      <c r="B454" s="63" t="n"/>
      <c r="C454" s="64" t="n"/>
      <c r="D454" s="167" t="n"/>
      <c r="E454" s="63" t="n"/>
      <c r="F454" s="63" t="n"/>
    </row>
    <row r="455">
      <c r="A455" s="166" t="n"/>
      <c r="B455" s="63" t="n"/>
      <c r="C455" s="64" t="n"/>
      <c r="D455" s="167" t="n"/>
      <c r="E455" s="63" t="n"/>
      <c r="F455" s="63" t="n"/>
    </row>
    <row r="456">
      <c r="A456" s="166" t="n"/>
      <c r="B456" s="63" t="n"/>
      <c r="C456" s="64" t="n"/>
      <c r="D456" s="167" t="n"/>
      <c r="E456" s="63" t="n"/>
      <c r="F456" s="63" t="n"/>
    </row>
    <row r="457">
      <c r="A457" s="166" t="n"/>
      <c r="B457" s="63" t="n"/>
      <c r="C457" s="64" t="n"/>
      <c r="D457" s="167" t="n"/>
      <c r="E457" s="63" t="n"/>
      <c r="F457" s="63" t="n"/>
    </row>
    <row r="458">
      <c r="A458" s="166" t="n"/>
      <c r="B458" s="63" t="n"/>
      <c r="C458" s="64" t="n"/>
      <c r="D458" s="167" t="n"/>
      <c r="E458" s="63" t="n"/>
      <c r="F458" s="63" t="n"/>
    </row>
    <row r="459">
      <c r="A459" s="166" t="n"/>
      <c r="B459" s="63" t="n"/>
      <c r="C459" s="64" t="n"/>
      <c r="D459" s="167" t="n"/>
      <c r="E459" s="63" t="n"/>
      <c r="F459" s="63" t="n"/>
    </row>
    <row r="460">
      <c r="A460" s="166" t="n"/>
      <c r="B460" s="63" t="n"/>
      <c r="C460" s="64" t="n"/>
      <c r="D460" s="167" t="n"/>
      <c r="E460" s="63" t="n"/>
      <c r="F460" s="63" t="n"/>
    </row>
    <row r="461">
      <c r="A461" s="166" t="n"/>
      <c r="B461" s="63" t="n"/>
      <c r="C461" s="64" t="n"/>
      <c r="D461" s="167" t="n"/>
      <c r="E461" s="63" t="n"/>
      <c r="F461" s="63" t="n"/>
    </row>
    <row r="462">
      <c r="A462" s="166" t="n"/>
      <c r="B462" s="63" t="n"/>
      <c r="C462" s="64" t="n"/>
      <c r="D462" s="167" t="n"/>
      <c r="E462" s="63" t="n"/>
      <c r="F462" s="63" t="n"/>
    </row>
    <row r="463">
      <c r="A463" s="166" t="n"/>
      <c r="B463" s="63" t="n"/>
      <c r="C463" s="64" t="n"/>
      <c r="D463" s="167" t="n"/>
      <c r="E463" s="63" t="n"/>
      <c r="F463" s="63" t="n"/>
    </row>
    <row r="464">
      <c r="A464" s="166" t="n"/>
      <c r="B464" s="63" t="n"/>
      <c r="C464" s="64" t="n"/>
      <c r="D464" s="167" t="n"/>
      <c r="E464" s="63" t="n"/>
      <c r="F464" s="63" t="n"/>
    </row>
    <row r="465">
      <c r="A465" s="166" t="n"/>
      <c r="B465" s="63" t="n"/>
      <c r="C465" s="64" t="n"/>
      <c r="D465" s="167" t="n"/>
      <c r="E465" s="63" t="n"/>
      <c r="F465" s="63" t="n"/>
    </row>
    <row r="466">
      <c r="A466" s="166" t="n"/>
      <c r="B466" s="63" t="n"/>
      <c r="C466" s="64" t="n"/>
      <c r="D466" s="167" t="n"/>
      <c r="E466" s="63" t="n"/>
      <c r="F466" s="63" t="n"/>
    </row>
    <row r="467">
      <c r="A467" s="166" t="n"/>
      <c r="B467" s="63" t="n"/>
      <c r="C467" s="64" t="n"/>
      <c r="D467" s="167" t="n"/>
      <c r="E467" s="63" t="n"/>
      <c r="F467" s="63" t="n"/>
    </row>
    <row r="468">
      <c r="A468" s="166" t="n"/>
      <c r="B468" s="63" t="n"/>
      <c r="C468" s="64" t="n"/>
      <c r="D468" s="167" t="n"/>
      <c r="E468" s="63" t="n"/>
      <c r="F468" s="63" t="n"/>
    </row>
    <row r="469">
      <c r="A469" s="166" t="n"/>
      <c r="B469" s="63" t="n"/>
      <c r="C469" s="64" t="n"/>
      <c r="D469" s="167" t="n"/>
      <c r="E469" s="63" t="n"/>
      <c r="F469" s="63" t="n"/>
    </row>
    <row r="470">
      <c r="A470" s="166" t="n"/>
      <c r="B470" s="63" t="n"/>
      <c r="C470" s="64" t="n"/>
      <c r="D470" s="167" t="n"/>
      <c r="E470" s="63" t="n"/>
      <c r="F470" s="63" t="n"/>
    </row>
    <row r="471">
      <c r="A471" s="166" t="n"/>
      <c r="B471" s="63" t="n"/>
      <c r="C471" s="64" t="n"/>
      <c r="D471" s="167" t="n"/>
      <c r="E471" s="63" t="n"/>
      <c r="F471" s="63" t="n"/>
    </row>
    <row r="472">
      <c r="A472" s="166" t="n"/>
      <c r="B472" s="63" t="n"/>
      <c r="C472" s="64" t="n"/>
      <c r="D472" s="167" t="n"/>
      <c r="E472" s="63" t="n"/>
      <c r="F472" s="63" t="n"/>
    </row>
    <row r="473">
      <c r="A473" s="166" t="n"/>
      <c r="B473" s="63" t="n"/>
      <c r="C473" s="64" t="n"/>
      <c r="D473" s="167" t="n"/>
      <c r="E473" s="63" t="n"/>
      <c r="F473" s="63" t="n"/>
    </row>
    <row r="474">
      <c r="A474" s="166" t="n"/>
      <c r="B474" s="63" t="n"/>
      <c r="C474" s="64" t="n"/>
      <c r="D474" s="167" t="n"/>
      <c r="E474" s="63" t="n"/>
      <c r="F474" s="63" t="n"/>
    </row>
    <row r="475">
      <c r="A475" s="166" t="n"/>
      <c r="B475" s="63" t="n"/>
      <c r="C475" s="64" t="n"/>
      <c r="D475" s="167" t="n"/>
      <c r="E475" s="63" t="n"/>
      <c r="F475" s="63" t="n"/>
    </row>
    <row r="476">
      <c r="A476" s="166" t="n"/>
      <c r="B476" s="63" t="n"/>
      <c r="C476" s="64" t="n"/>
      <c r="D476" s="167" t="n"/>
      <c r="E476" s="63" t="n"/>
      <c r="F476" s="63" t="n"/>
    </row>
    <row r="477">
      <c r="A477" s="166" t="n"/>
      <c r="B477" s="63" t="n"/>
      <c r="C477" s="64" t="n"/>
      <c r="D477" s="167" t="n"/>
      <c r="E477" s="63" t="n"/>
      <c r="F477" s="63" t="n"/>
    </row>
    <row r="478">
      <c r="A478" s="166" t="n"/>
      <c r="B478" s="63" t="n"/>
      <c r="C478" s="64" t="n"/>
      <c r="D478" s="167" t="n"/>
      <c r="E478" s="63" t="n"/>
      <c r="F478" s="63" t="n"/>
    </row>
    <row r="479">
      <c r="A479" s="166" t="n"/>
      <c r="B479" s="63" t="n"/>
      <c r="C479" s="64" t="n"/>
      <c r="D479" s="167" t="n"/>
      <c r="E479" s="63" t="n"/>
      <c r="F479" s="63" t="n"/>
    </row>
    <row r="480">
      <c r="A480" s="166" t="n"/>
      <c r="B480" s="63" t="n"/>
      <c r="C480" s="64" t="n"/>
      <c r="D480" s="167" t="n"/>
      <c r="E480" s="63" t="n"/>
      <c r="F480" s="63" t="n"/>
    </row>
    <row r="481">
      <c r="A481" s="166" t="n"/>
      <c r="B481" s="63" t="n"/>
      <c r="C481" s="64" t="n"/>
      <c r="D481" s="167" t="n"/>
      <c r="E481" s="63" t="n"/>
      <c r="F481" s="63" t="n"/>
    </row>
    <row r="482">
      <c r="A482" s="166" t="n"/>
      <c r="B482" s="63" t="n"/>
      <c r="C482" s="64" t="n"/>
      <c r="D482" s="167" t="n"/>
      <c r="E482" s="63" t="n"/>
      <c r="F482" s="63" t="n"/>
    </row>
    <row r="483">
      <c r="A483" s="166" t="n"/>
      <c r="B483" s="63" t="n"/>
      <c r="C483" s="64" t="n"/>
      <c r="D483" s="167" t="n"/>
      <c r="E483" s="63" t="n"/>
      <c r="F483" s="63" t="n"/>
    </row>
    <row r="484">
      <c r="A484" s="166" t="n"/>
      <c r="B484" s="63" t="n"/>
      <c r="C484" s="64" t="n"/>
      <c r="D484" s="167" t="n"/>
      <c r="E484" s="63" t="n"/>
      <c r="F484" s="63" t="n"/>
    </row>
    <row r="485">
      <c r="A485" s="166" t="n"/>
      <c r="B485" s="63" t="n"/>
      <c r="C485" s="64" t="n"/>
      <c r="D485" s="167" t="n"/>
      <c r="E485" s="63" t="n"/>
      <c r="F485" s="63" t="n"/>
    </row>
    <row r="486">
      <c r="A486" s="166" t="n"/>
      <c r="B486" s="63" t="n"/>
      <c r="C486" s="64" t="n"/>
      <c r="D486" s="167" t="n"/>
      <c r="E486" s="63" t="n"/>
      <c r="F486" s="63" t="n"/>
    </row>
    <row r="487">
      <c r="A487" s="166" t="n"/>
      <c r="B487" s="63" t="n"/>
      <c r="C487" s="64" t="n"/>
      <c r="D487" s="167" t="n"/>
      <c r="E487" s="63" t="n"/>
      <c r="F487" s="63" t="n"/>
    </row>
    <row r="488">
      <c r="A488" s="166" t="n"/>
      <c r="B488" s="63" t="n"/>
      <c r="C488" s="64" t="n"/>
      <c r="D488" s="167" t="n"/>
      <c r="E488" s="63" t="n"/>
      <c r="F488" s="63" t="n"/>
    </row>
    <row r="489">
      <c r="A489" s="166" t="n"/>
      <c r="B489" s="63" t="n"/>
      <c r="C489" s="64" t="n"/>
      <c r="D489" s="167" t="n"/>
      <c r="E489" s="63" t="n"/>
      <c r="F489" s="63" t="n"/>
    </row>
    <row r="490">
      <c r="A490" s="166" t="n"/>
      <c r="B490" s="63" t="n"/>
      <c r="C490" s="64" t="n"/>
      <c r="D490" s="167" t="n"/>
      <c r="E490" s="63" t="n"/>
      <c r="F490" s="63" t="n"/>
    </row>
    <row r="491">
      <c r="A491" s="166" t="n"/>
      <c r="B491" s="63" t="n"/>
      <c r="C491" s="64" t="n"/>
      <c r="D491" s="167" t="n"/>
      <c r="E491" s="63" t="n"/>
      <c r="F491" s="63" t="n"/>
    </row>
    <row r="492">
      <c r="A492" s="166" t="n"/>
      <c r="B492" s="63" t="n"/>
      <c r="C492" s="64" t="n"/>
      <c r="D492" s="167" t="n"/>
      <c r="E492" s="63" t="n"/>
      <c r="F492" s="63" t="n"/>
    </row>
    <row r="493">
      <c r="A493" s="166" t="n"/>
      <c r="B493" s="63" t="n"/>
      <c r="C493" s="64" t="n"/>
      <c r="D493" s="167" t="n"/>
      <c r="E493" s="63" t="n"/>
      <c r="F493" s="63" t="n"/>
    </row>
    <row r="494">
      <c r="A494" s="166" t="n"/>
      <c r="B494" s="63" t="n"/>
      <c r="C494" s="64" t="n"/>
      <c r="D494" s="167" t="n"/>
      <c r="E494" s="63" t="n"/>
      <c r="F494" s="63" t="n"/>
    </row>
    <row r="495">
      <c r="A495" s="166" t="n"/>
      <c r="B495" s="63" t="n"/>
      <c r="C495" s="64" t="n"/>
      <c r="D495" s="167" t="n"/>
      <c r="E495" s="63" t="n"/>
      <c r="F495" s="63" t="n"/>
    </row>
    <row r="496">
      <c r="A496" s="166" t="n"/>
      <c r="B496" s="63" t="n"/>
      <c r="C496" s="64" t="n"/>
      <c r="D496" s="167" t="n"/>
      <c r="E496" s="63" t="n"/>
      <c r="F496" s="63" t="n"/>
    </row>
    <row r="497">
      <c r="A497" s="166" t="n"/>
      <c r="B497" s="63" t="n"/>
      <c r="C497" s="64" t="n"/>
      <c r="D497" s="167" t="n"/>
      <c r="E497" s="63" t="n"/>
      <c r="F497" s="63" t="n"/>
    </row>
    <row r="498">
      <c r="A498" s="166" t="n"/>
      <c r="B498" s="63" t="n"/>
      <c r="C498" s="64" t="n"/>
      <c r="D498" s="167" t="n"/>
      <c r="E498" s="63" t="n"/>
      <c r="F498" s="63" t="n"/>
    </row>
    <row r="499">
      <c r="A499" s="166" t="n"/>
      <c r="B499" s="63" t="n"/>
      <c r="C499" s="64" t="n"/>
      <c r="D499" s="167" t="n"/>
      <c r="E499" s="63" t="n"/>
      <c r="F499" s="63" t="n"/>
    </row>
    <row r="500">
      <c r="A500" s="166" t="n"/>
      <c r="B500" s="63" t="n"/>
      <c r="C500" s="64" t="n"/>
      <c r="D500" s="167" t="n"/>
      <c r="E500" s="63" t="n"/>
      <c r="F500" s="63" t="n"/>
    </row>
    <row r="501">
      <c r="A501" s="166" t="n"/>
      <c r="B501" s="63" t="n"/>
      <c r="C501" s="64" t="n"/>
      <c r="D501" s="167" t="n"/>
      <c r="E501" s="63" t="n"/>
      <c r="F501" s="63" t="n"/>
    </row>
    <row r="502">
      <c r="A502" s="166" t="n"/>
      <c r="B502" s="63" t="n"/>
      <c r="C502" s="64" t="n"/>
      <c r="D502" s="167" t="n"/>
      <c r="E502" s="63" t="n"/>
      <c r="F502" s="63" t="n"/>
    </row>
    <row r="503">
      <c r="A503" s="166" t="n"/>
      <c r="B503" s="63" t="n"/>
      <c r="C503" s="64" t="n"/>
      <c r="D503" s="167" t="n"/>
      <c r="E503" s="63" t="n"/>
      <c r="F503" s="63" t="n"/>
    </row>
    <row r="504">
      <c r="A504" s="166" t="n"/>
      <c r="B504" s="63" t="n"/>
      <c r="C504" s="64" t="n"/>
      <c r="D504" s="167" t="n"/>
      <c r="E504" s="63" t="n"/>
      <c r="F504" s="63" t="n"/>
    </row>
    <row r="505">
      <c r="A505" s="166" t="n"/>
      <c r="B505" s="63" t="n"/>
      <c r="C505" s="64" t="n"/>
      <c r="D505" s="167" t="n"/>
      <c r="E505" s="63" t="n"/>
      <c r="F505" s="63" t="n"/>
    </row>
    <row r="506">
      <c r="A506" s="166" t="n"/>
      <c r="B506" s="63" t="n"/>
      <c r="C506" s="64" t="n"/>
      <c r="D506" s="167" t="n"/>
      <c r="E506" s="63" t="n"/>
      <c r="F506" s="63" t="n"/>
    </row>
    <row r="507">
      <c r="A507" s="166" t="n"/>
      <c r="B507" s="63" t="n"/>
      <c r="C507" s="64" t="n"/>
      <c r="D507" s="167" t="n"/>
      <c r="E507" s="63" t="n"/>
      <c r="F507" s="63" t="n"/>
    </row>
    <row r="508">
      <c r="A508" s="166" t="n"/>
      <c r="B508" s="63" t="n"/>
      <c r="C508" s="64" t="n"/>
      <c r="D508" s="167" t="n"/>
      <c r="E508" s="63" t="n"/>
      <c r="F508" s="63" t="n"/>
    </row>
    <row r="509">
      <c r="A509" s="166" t="n"/>
      <c r="B509" s="63" t="n"/>
      <c r="C509" s="64" t="n"/>
      <c r="D509" s="167" t="n"/>
      <c r="E509" s="63" t="n"/>
      <c r="F509" s="63" t="n"/>
    </row>
    <row r="510">
      <c r="A510" s="166" t="n"/>
      <c r="B510" s="63" t="n"/>
      <c r="C510" s="64" t="n"/>
      <c r="D510" s="167" t="n"/>
      <c r="E510" s="63" t="n"/>
      <c r="F510" s="63" t="n"/>
    </row>
    <row r="511">
      <c r="A511" s="166" t="n"/>
      <c r="B511" s="63" t="n"/>
      <c r="C511" s="64" t="n"/>
      <c r="D511" s="167" t="n"/>
      <c r="E511" s="63" t="n"/>
      <c r="F511" s="63" t="n"/>
    </row>
    <row r="512">
      <c r="A512" s="166" t="n"/>
      <c r="B512" s="63" t="n"/>
      <c r="C512" s="64" t="n"/>
      <c r="D512" s="167" t="n"/>
      <c r="E512" s="63" t="n"/>
      <c r="F512" s="63" t="n"/>
    </row>
    <row r="513">
      <c r="A513" s="166" t="n"/>
      <c r="B513" s="63" t="n"/>
      <c r="C513" s="64" t="n"/>
      <c r="D513" s="167" t="n"/>
      <c r="E513" s="63" t="n"/>
      <c r="F513" s="63" t="n"/>
    </row>
    <row r="514">
      <c r="A514" s="166" t="n"/>
      <c r="B514" s="63" t="n"/>
      <c r="C514" s="64" t="n"/>
      <c r="D514" s="167" t="n"/>
      <c r="E514" s="63" t="n"/>
      <c r="F514" s="63" t="n"/>
    </row>
    <row r="515">
      <c r="A515" s="166" t="n"/>
      <c r="B515" s="63" t="n"/>
      <c r="C515" s="64" t="n"/>
      <c r="D515" s="167" t="n"/>
      <c r="E515" s="63" t="n"/>
      <c r="F515" s="63" t="n"/>
    </row>
    <row r="516">
      <c r="A516" s="166" t="n"/>
      <c r="B516" s="63" t="n"/>
      <c r="C516" s="64" t="n"/>
      <c r="D516" s="167" t="n"/>
      <c r="E516" s="63" t="n"/>
      <c r="F516" s="63" t="n"/>
    </row>
    <row r="517">
      <c r="A517" s="166" t="n"/>
      <c r="B517" s="63" t="n"/>
      <c r="C517" s="64" t="n"/>
      <c r="D517" s="167" t="n"/>
      <c r="E517" s="63" t="n"/>
      <c r="F517" s="63" t="n"/>
    </row>
    <row r="518">
      <c r="A518" s="166" t="n"/>
      <c r="B518" s="63" t="n"/>
      <c r="C518" s="64" t="n"/>
      <c r="D518" s="167" t="n"/>
      <c r="E518" s="63" t="n"/>
      <c r="F518" s="63" t="n"/>
    </row>
    <row r="519">
      <c r="A519" s="166" t="n"/>
      <c r="B519" s="63" t="n"/>
      <c r="C519" s="64" t="n"/>
      <c r="D519" s="167" t="n"/>
      <c r="E519" s="63" t="n"/>
      <c r="F519" s="63" t="n"/>
    </row>
    <row r="520">
      <c r="A520" s="166" t="n"/>
      <c r="B520" s="63" t="n"/>
      <c r="C520" s="64" t="n"/>
      <c r="D520" s="167" t="n"/>
      <c r="E520" s="63" t="n"/>
      <c r="F520" s="63" t="n"/>
    </row>
    <row r="521">
      <c r="A521" s="166" t="n"/>
      <c r="B521" s="63" t="n"/>
      <c r="C521" s="64" t="n"/>
      <c r="D521" s="167" t="n"/>
      <c r="E521" s="63" t="n"/>
      <c r="F521" s="63" t="n"/>
    </row>
    <row r="522">
      <c r="A522" s="166" t="n"/>
      <c r="B522" s="63" t="n"/>
      <c r="C522" s="64" t="n"/>
      <c r="D522" s="167" t="n"/>
      <c r="E522" s="63" t="n"/>
      <c r="F522" s="63" t="n"/>
    </row>
    <row r="523">
      <c r="A523" s="166" t="n"/>
      <c r="B523" s="63" t="n"/>
      <c r="C523" s="64" t="n"/>
      <c r="D523" s="167" t="n"/>
      <c r="E523" s="63" t="n"/>
      <c r="F523" s="63" t="n"/>
    </row>
    <row r="524">
      <c r="A524" s="166" t="n"/>
      <c r="B524" s="63" t="n"/>
      <c r="C524" s="64" t="n"/>
      <c r="D524" s="167" t="n"/>
      <c r="E524" s="63" t="n"/>
      <c r="F524" s="63" t="n"/>
    </row>
    <row r="525">
      <c r="A525" s="166" t="n"/>
      <c r="B525" s="63" t="n"/>
      <c r="C525" s="64" t="n"/>
      <c r="D525" s="167" t="n"/>
      <c r="E525" s="63" t="n"/>
      <c r="F525" s="63" t="n"/>
    </row>
    <row r="526">
      <c r="A526" s="166" t="n"/>
      <c r="B526" s="63" t="n"/>
      <c r="C526" s="64" t="n"/>
      <c r="D526" s="167" t="n"/>
      <c r="E526" s="63" t="n"/>
      <c r="F526" s="63" t="n"/>
    </row>
    <row r="527">
      <c r="A527" s="166" t="n"/>
      <c r="B527" s="63" t="n"/>
      <c r="C527" s="64" t="n"/>
      <c r="D527" s="167" t="n"/>
      <c r="E527" s="63" t="n"/>
      <c r="F527" s="63" t="n"/>
    </row>
    <row r="528">
      <c r="A528" s="166" t="n"/>
      <c r="B528" s="63" t="n"/>
      <c r="C528" s="64" t="n"/>
      <c r="D528" s="167" t="n"/>
      <c r="E528" s="63" t="n"/>
      <c r="F528" s="63" t="n"/>
    </row>
    <row r="529">
      <c r="A529" s="166" t="n"/>
      <c r="B529" s="63" t="n"/>
      <c r="C529" s="64" t="n"/>
      <c r="D529" s="167" t="n"/>
      <c r="E529" s="63" t="n"/>
      <c r="F529" s="63" t="n"/>
    </row>
    <row r="530">
      <c r="A530" s="166" t="n"/>
      <c r="B530" s="63" t="n"/>
      <c r="C530" s="64" t="n"/>
      <c r="D530" s="167" t="n"/>
      <c r="E530" s="63" t="n"/>
      <c r="F530" s="63" t="n"/>
    </row>
    <row r="531">
      <c r="A531" s="166" t="n"/>
      <c r="B531" s="63" t="n"/>
      <c r="C531" s="64" t="n"/>
      <c r="D531" s="167" t="n"/>
      <c r="E531" s="63" t="n"/>
      <c r="F531" s="63" t="n"/>
    </row>
    <row r="532">
      <c r="A532" s="166" t="n"/>
      <c r="B532" s="63" t="n"/>
      <c r="C532" s="64" t="n"/>
      <c r="D532" s="167" t="n"/>
      <c r="E532" s="63" t="n"/>
      <c r="F532" s="63" t="n"/>
    </row>
    <row r="533">
      <c r="A533" s="166" t="n"/>
      <c r="B533" s="63" t="n"/>
      <c r="C533" s="64" t="n"/>
      <c r="D533" s="167" t="n"/>
      <c r="E533" s="63" t="n"/>
      <c r="F533" s="63" t="n"/>
    </row>
    <row r="534">
      <c r="A534" s="166" t="n"/>
      <c r="B534" s="63" t="n"/>
      <c r="C534" s="64" t="n"/>
      <c r="D534" s="167" t="n"/>
      <c r="E534" s="63" t="n"/>
      <c r="F534" s="63" t="n"/>
    </row>
    <row r="535">
      <c r="A535" s="166" t="n"/>
      <c r="B535" s="63" t="n"/>
      <c r="C535" s="64" t="n"/>
      <c r="D535" s="167" t="n"/>
      <c r="E535" s="63" t="n"/>
      <c r="F535" s="63" t="n"/>
    </row>
    <row r="536">
      <c r="A536" s="166" t="n"/>
      <c r="B536" s="63" t="n"/>
      <c r="C536" s="64" t="n"/>
      <c r="D536" s="167" t="n"/>
      <c r="E536" s="63" t="n"/>
      <c r="F536" s="63" t="n"/>
    </row>
    <row r="537">
      <c r="A537" s="166" t="n"/>
      <c r="B537" s="63" t="n"/>
      <c r="C537" s="64" t="n"/>
      <c r="D537" s="167" t="n"/>
      <c r="E537" s="63" t="n"/>
      <c r="F537" s="63" t="n"/>
    </row>
    <row r="538">
      <c r="A538" s="166" t="n"/>
      <c r="B538" s="63" t="n"/>
      <c r="C538" s="64" t="n"/>
      <c r="D538" s="167" t="n"/>
      <c r="E538" s="63" t="n"/>
      <c r="F538" s="63" t="n"/>
    </row>
    <row r="539">
      <c r="A539" s="166" t="n"/>
      <c r="B539" s="63" t="n"/>
      <c r="C539" s="64" t="n"/>
      <c r="D539" s="167" t="n"/>
      <c r="E539" s="63" t="n"/>
      <c r="F539" s="63" t="n"/>
    </row>
    <row r="540">
      <c r="A540" s="166" t="n"/>
      <c r="B540" s="63" t="n"/>
      <c r="C540" s="64" t="n"/>
      <c r="D540" s="167" t="n"/>
      <c r="E540" s="63" t="n"/>
      <c r="F540" s="63" t="n"/>
    </row>
    <row r="541">
      <c r="A541" s="166" t="n"/>
      <c r="B541" s="63" t="n"/>
      <c r="C541" s="64" t="n"/>
      <c r="D541" s="167" t="n"/>
      <c r="E541" s="63" t="n"/>
      <c r="F541" s="63" t="n"/>
    </row>
    <row r="542">
      <c r="A542" s="166" t="n"/>
      <c r="B542" s="63" t="n"/>
      <c r="C542" s="64" t="n"/>
      <c r="D542" s="167" t="n"/>
      <c r="E542" s="63" t="n"/>
      <c r="F542" s="63" t="n"/>
    </row>
    <row r="543">
      <c r="A543" s="166" t="n"/>
      <c r="B543" s="63" t="n"/>
      <c r="C543" s="64" t="n"/>
      <c r="D543" s="167" t="n"/>
      <c r="E543" s="63" t="n"/>
      <c r="F543" s="63" t="n"/>
    </row>
    <row r="544">
      <c r="A544" s="166" t="n"/>
      <c r="B544" s="63" t="n"/>
      <c r="C544" s="64" t="n"/>
      <c r="D544" s="167" t="n"/>
      <c r="E544" s="63" t="n"/>
      <c r="F544" s="63" t="n"/>
    </row>
    <row r="545">
      <c r="A545" s="166" t="n"/>
      <c r="B545" s="63" t="n"/>
      <c r="C545" s="64" t="n"/>
      <c r="D545" s="167" t="n"/>
      <c r="E545" s="63" t="n"/>
      <c r="F545" s="63" t="n"/>
    </row>
    <row r="546">
      <c r="A546" s="166" t="n"/>
      <c r="B546" s="63" t="n"/>
      <c r="C546" s="64" t="n"/>
      <c r="D546" s="167" t="n"/>
      <c r="E546" s="63" t="n"/>
      <c r="F546" s="63" t="n"/>
    </row>
    <row r="547">
      <c r="A547" s="166" t="n"/>
      <c r="B547" s="63" t="n"/>
      <c r="C547" s="64" t="n"/>
      <c r="D547" s="167" t="n"/>
      <c r="E547" s="63" t="n"/>
      <c r="F547" s="63" t="n"/>
    </row>
    <row r="548">
      <c r="A548" s="166" t="n"/>
      <c r="B548" s="63" t="n"/>
      <c r="C548" s="64" t="n"/>
      <c r="D548" s="167" t="n"/>
      <c r="E548" s="63" t="n"/>
      <c r="F548" s="63" t="n"/>
    </row>
    <row r="549">
      <c r="A549" s="166" t="n"/>
      <c r="B549" s="63" t="n"/>
      <c r="C549" s="64" t="n"/>
      <c r="D549" s="167" t="n"/>
      <c r="E549" s="63" t="n"/>
      <c r="F549" s="63" t="n"/>
    </row>
    <row r="550">
      <c r="A550" s="166" t="n"/>
      <c r="B550" s="63" t="n"/>
      <c r="C550" s="64" t="n"/>
      <c r="D550" s="167" t="n"/>
      <c r="E550" s="63" t="n"/>
      <c r="F550" s="63" t="n"/>
    </row>
    <row r="551">
      <c r="A551" s="166" t="n"/>
      <c r="B551" s="63" t="n"/>
      <c r="C551" s="64" t="n"/>
      <c r="D551" s="167" t="n"/>
      <c r="E551" s="63" t="n"/>
      <c r="F551" s="63" t="n"/>
    </row>
    <row r="552">
      <c r="A552" s="166" t="n"/>
      <c r="B552" s="63" t="n"/>
      <c r="C552" s="64" t="n"/>
      <c r="D552" s="167" t="n"/>
      <c r="E552" s="63" t="n"/>
      <c r="F552" s="63" t="n"/>
    </row>
    <row r="553">
      <c r="A553" s="166" t="n"/>
      <c r="B553" s="63" t="n"/>
      <c r="C553" s="64" t="n"/>
      <c r="D553" s="167" t="n"/>
      <c r="E553" s="63" t="n"/>
      <c r="F553" s="63" t="n"/>
    </row>
    <row r="554">
      <c r="A554" s="166" t="n"/>
      <c r="B554" s="63" t="n"/>
      <c r="C554" s="64" t="n"/>
      <c r="D554" s="167" t="n"/>
      <c r="E554" s="63" t="n"/>
      <c r="F554" s="63" t="n"/>
    </row>
    <row r="555">
      <c r="A555" s="166" t="n"/>
      <c r="B555" s="63" t="n"/>
      <c r="C555" s="64" t="n"/>
      <c r="D555" s="167" t="n"/>
      <c r="E555" s="63" t="n"/>
      <c r="F555" s="63" t="n"/>
    </row>
    <row r="556">
      <c r="A556" s="166" t="n"/>
      <c r="B556" s="63" t="n"/>
      <c r="C556" s="64" t="n"/>
      <c r="D556" s="167" t="n"/>
      <c r="E556" s="63" t="n"/>
      <c r="F556" s="63" t="n"/>
    </row>
    <row r="557">
      <c r="A557" s="166" t="n"/>
      <c r="B557" s="63" t="n"/>
      <c r="C557" s="64" t="n"/>
      <c r="D557" s="167" t="n"/>
      <c r="E557" s="63" t="n"/>
      <c r="F557" s="63" t="n"/>
    </row>
    <row r="558">
      <c r="A558" s="166" t="n"/>
      <c r="B558" s="63" t="n"/>
      <c r="C558" s="64" t="n"/>
      <c r="D558" s="167" t="n"/>
      <c r="E558" s="63" t="n"/>
      <c r="F558" s="63" t="n"/>
    </row>
    <row r="559">
      <c r="A559" s="166" t="n"/>
      <c r="B559" s="63" t="n"/>
      <c r="C559" s="64" t="n"/>
      <c r="D559" s="167" t="n"/>
      <c r="E559" s="63" t="n"/>
      <c r="F559" s="63" t="n"/>
    </row>
    <row r="560">
      <c r="A560" s="166" t="n"/>
      <c r="B560" s="63" t="n"/>
      <c r="C560" s="64" t="n"/>
      <c r="D560" s="167" t="n"/>
      <c r="E560" s="63" t="n"/>
      <c r="F560" s="63" t="n"/>
    </row>
    <row r="561">
      <c r="A561" s="166" t="n"/>
      <c r="B561" s="63" t="n"/>
      <c r="C561" s="64" t="n"/>
      <c r="D561" s="167" t="n"/>
      <c r="E561" s="63" t="n"/>
      <c r="F561" s="63" t="n"/>
    </row>
    <row r="562">
      <c r="A562" s="166" t="n"/>
      <c r="B562" s="63" t="n"/>
      <c r="C562" s="64" t="n"/>
      <c r="D562" s="167" t="n"/>
      <c r="E562" s="63" t="n"/>
      <c r="F562" s="63" t="n"/>
    </row>
    <row r="563">
      <c r="A563" s="166" t="n"/>
      <c r="B563" s="63" t="n"/>
      <c r="C563" s="64" t="n"/>
      <c r="D563" s="167" t="n"/>
      <c r="E563" s="63" t="n"/>
      <c r="F563" s="63" t="n"/>
    </row>
    <row r="564">
      <c r="A564" s="166" t="n"/>
      <c r="B564" s="63" t="n"/>
      <c r="C564" s="64" t="n"/>
      <c r="D564" s="167" t="n"/>
      <c r="E564" s="63" t="n"/>
      <c r="F564" s="63" t="n"/>
    </row>
    <row r="565">
      <c r="A565" s="166" t="n"/>
      <c r="B565" s="63" t="n"/>
      <c r="C565" s="64" t="n"/>
      <c r="D565" s="167" t="n"/>
      <c r="E565" s="63" t="n"/>
      <c r="F565" s="63" t="n"/>
    </row>
    <row r="566">
      <c r="A566" s="166" t="n"/>
      <c r="B566" s="63" t="n"/>
      <c r="C566" s="64" t="n"/>
      <c r="D566" s="167" t="n"/>
      <c r="E566" s="63" t="n"/>
      <c r="F566" s="63" t="n"/>
    </row>
    <row r="567">
      <c r="A567" s="166" t="n"/>
      <c r="B567" s="63" t="n"/>
      <c r="C567" s="64" t="n"/>
      <c r="D567" s="167" t="n"/>
      <c r="E567" s="63" t="n"/>
      <c r="F567" s="63" t="n"/>
    </row>
    <row r="568">
      <c r="A568" s="166" t="n"/>
      <c r="B568" s="63" t="n"/>
      <c r="C568" s="64" t="n"/>
      <c r="D568" s="167" t="n"/>
      <c r="E568" s="63" t="n"/>
      <c r="F568" s="63" t="n"/>
    </row>
    <row r="569">
      <c r="A569" s="166" t="n"/>
      <c r="B569" s="63" t="n"/>
      <c r="C569" s="64" t="n"/>
      <c r="D569" s="167" t="n"/>
      <c r="E569" s="63" t="n"/>
      <c r="F569" s="63" t="n"/>
    </row>
    <row r="570">
      <c r="A570" s="166" t="n"/>
      <c r="B570" s="63" t="n"/>
      <c r="C570" s="64" t="n"/>
      <c r="D570" s="167" t="n"/>
      <c r="E570" s="63" t="n"/>
      <c r="F570" s="63" t="n"/>
    </row>
    <row r="571">
      <c r="A571" s="166" t="n"/>
      <c r="B571" s="63" t="n"/>
      <c r="C571" s="64" t="n"/>
      <c r="D571" s="167" t="n"/>
      <c r="E571" s="63" t="n"/>
      <c r="F571" s="63" t="n"/>
    </row>
    <row r="572">
      <c r="A572" s="166" t="n"/>
      <c r="B572" s="63" t="n"/>
      <c r="C572" s="64" t="n"/>
      <c r="D572" s="167" t="n"/>
      <c r="E572" s="63" t="n"/>
      <c r="F572" s="63" t="n"/>
    </row>
    <row r="573">
      <c r="A573" s="166" t="n"/>
      <c r="B573" s="63" t="n"/>
      <c r="C573" s="64" t="n"/>
      <c r="D573" s="167" t="n"/>
      <c r="E573" s="63" t="n"/>
      <c r="F573" s="63" t="n"/>
    </row>
    <row r="574">
      <c r="A574" s="166" t="n"/>
      <c r="B574" s="63" t="n"/>
      <c r="C574" s="64" t="n"/>
      <c r="D574" s="167" t="n"/>
      <c r="E574" s="63" t="n"/>
      <c r="F574" s="63" t="n"/>
    </row>
    <row r="575">
      <c r="A575" s="166" t="n"/>
      <c r="B575" s="63" t="n"/>
      <c r="C575" s="64" t="n"/>
      <c r="D575" s="167" t="n"/>
      <c r="E575" s="63" t="n"/>
      <c r="F575" s="63" t="n"/>
    </row>
    <row r="576">
      <c r="A576" s="166" t="n"/>
      <c r="B576" s="63" t="n"/>
      <c r="C576" s="64" t="n"/>
      <c r="D576" s="167" t="n"/>
      <c r="E576" s="63" t="n"/>
      <c r="F576" s="63" t="n"/>
    </row>
    <row r="577">
      <c r="A577" s="166" t="n"/>
      <c r="B577" s="63" t="n"/>
      <c r="C577" s="64" t="n"/>
      <c r="D577" s="167" t="n"/>
      <c r="E577" s="63" t="n"/>
      <c r="F577" s="63" t="n"/>
    </row>
    <row r="578">
      <c r="A578" s="166" t="n"/>
      <c r="B578" s="63" t="n"/>
      <c r="C578" s="64" t="n"/>
      <c r="D578" s="167" t="n"/>
      <c r="E578" s="63" t="n"/>
      <c r="F578" s="63" t="n"/>
    </row>
    <row r="579">
      <c r="A579" s="166" t="n"/>
      <c r="B579" s="63" t="n"/>
      <c r="C579" s="64" t="n"/>
      <c r="D579" s="167" t="n"/>
      <c r="E579" s="63" t="n"/>
      <c r="F579" s="63" t="n"/>
    </row>
    <row r="580">
      <c r="A580" s="166" t="n"/>
      <c r="B580" s="63" t="n"/>
      <c r="C580" s="64" t="n"/>
      <c r="D580" s="167" t="n"/>
      <c r="E580" s="63" t="n"/>
      <c r="F580" s="63" t="n"/>
    </row>
    <row r="581">
      <c r="A581" s="166" t="n"/>
      <c r="B581" s="63" t="n"/>
      <c r="C581" s="64" t="n"/>
      <c r="D581" s="167" t="n"/>
      <c r="E581" s="63" t="n"/>
      <c r="F581" s="63" t="n"/>
    </row>
    <row r="582">
      <c r="A582" s="166" t="n"/>
      <c r="B582" s="63" t="n"/>
      <c r="C582" s="64" t="n"/>
      <c r="D582" s="167" t="n"/>
      <c r="E582" s="63" t="n"/>
      <c r="F582" s="63" t="n"/>
    </row>
    <row r="583">
      <c r="A583" s="166" t="n"/>
      <c r="B583" s="63" t="n"/>
      <c r="C583" s="64" t="n"/>
      <c r="D583" s="167" t="n"/>
      <c r="E583" s="63" t="n"/>
      <c r="F583" s="63" t="n"/>
    </row>
    <row r="584">
      <c r="A584" s="166" t="n"/>
      <c r="B584" s="63" t="n"/>
      <c r="C584" s="64" t="n"/>
      <c r="D584" s="167" t="n"/>
      <c r="E584" s="63" t="n"/>
      <c r="F584" s="63" t="n"/>
    </row>
    <row r="585">
      <c r="A585" s="166" t="n"/>
      <c r="B585" s="63" t="n"/>
      <c r="C585" s="64" t="n"/>
      <c r="D585" s="167" t="n"/>
      <c r="E585" s="63" t="n"/>
      <c r="F585" s="63" t="n"/>
    </row>
    <row r="586">
      <c r="A586" s="166" t="n"/>
      <c r="B586" s="63" t="n"/>
      <c r="C586" s="64" t="n"/>
      <c r="D586" s="167" t="n"/>
      <c r="E586" s="63" t="n"/>
      <c r="F586" s="63" t="n"/>
    </row>
    <row r="587">
      <c r="A587" s="166" t="n"/>
      <c r="B587" s="63" t="n"/>
      <c r="C587" s="64" t="n"/>
      <c r="D587" s="167" t="n"/>
      <c r="E587" s="63" t="n"/>
      <c r="F587" s="63" t="n"/>
    </row>
    <row r="588">
      <c r="A588" s="166" t="n"/>
      <c r="B588" s="63" t="n"/>
      <c r="C588" s="64" t="n"/>
      <c r="D588" s="167" t="n"/>
      <c r="E588" s="63" t="n"/>
      <c r="F588" s="63" t="n"/>
    </row>
    <row r="589">
      <c r="A589" s="166" t="n"/>
      <c r="B589" s="63" t="n"/>
      <c r="C589" s="64" t="n"/>
      <c r="D589" s="167" t="n"/>
      <c r="E589" s="63" t="n"/>
      <c r="F589" s="63" t="n"/>
    </row>
    <row r="590">
      <c r="A590" s="166" t="n"/>
      <c r="B590" s="63" t="n"/>
      <c r="C590" s="64" t="n"/>
      <c r="D590" s="167" t="n"/>
      <c r="E590" s="63" t="n"/>
      <c r="F590" s="63" t="n"/>
    </row>
    <row r="591">
      <c r="A591" s="166" t="n"/>
      <c r="B591" s="63" t="n"/>
      <c r="C591" s="64" t="n"/>
      <c r="D591" s="167" t="n"/>
      <c r="E591" s="63" t="n"/>
      <c r="F591" s="63" t="n"/>
    </row>
    <row r="592">
      <c r="A592" s="166" t="n"/>
      <c r="B592" s="63" t="n"/>
      <c r="C592" s="64" t="n"/>
      <c r="D592" s="167" t="n"/>
      <c r="E592" s="63" t="n"/>
      <c r="F592" s="63" t="n"/>
    </row>
    <row r="593">
      <c r="A593" s="166" t="n"/>
      <c r="B593" s="63" t="n"/>
      <c r="C593" s="64" t="n"/>
      <c r="D593" s="167" t="n"/>
      <c r="E593" s="63" t="n"/>
      <c r="F593" s="63" t="n"/>
    </row>
    <row r="594">
      <c r="A594" s="166" t="n"/>
      <c r="B594" s="63" t="n"/>
      <c r="C594" s="64" t="n"/>
      <c r="D594" s="167" t="n"/>
      <c r="E594" s="63" t="n"/>
      <c r="F594" s="63" t="n"/>
    </row>
    <row r="595">
      <c r="A595" s="166" t="n"/>
      <c r="B595" s="63" t="n"/>
      <c r="C595" s="64" t="n"/>
      <c r="D595" s="167" t="n"/>
      <c r="E595" s="63" t="n"/>
      <c r="F595" s="63" t="n"/>
    </row>
    <row r="596">
      <c r="A596" s="166" t="n"/>
      <c r="B596" s="63" t="n"/>
      <c r="C596" s="64" t="n"/>
      <c r="D596" s="167" t="n"/>
      <c r="E596" s="63" t="n"/>
      <c r="F596" s="63" t="n"/>
    </row>
    <row r="597">
      <c r="A597" s="166" t="n"/>
      <c r="B597" s="63" t="n"/>
      <c r="C597" s="64" t="n"/>
      <c r="D597" s="167" t="n"/>
      <c r="E597" s="63" t="n"/>
      <c r="F597" s="63" t="n"/>
    </row>
    <row r="598">
      <c r="A598" s="166" t="n"/>
      <c r="B598" s="63" t="n"/>
      <c r="C598" s="64" t="n"/>
      <c r="D598" s="167" t="n"/>
      <c r="E598" s="63" t="n"/>
      <c r="F598" s="63" t="n"/>
    </row>
    <row r="599">
      <c r="A599" s="166" t="n"/>
      <c r="B599" s="63" t="n"/>
      <c r="C599" s="64" t="n"/>
      <c r="D599" s="167" t="n"/>
      <c r="E599" s="63" t="n"/>
      <c r="F599" s="63" t="n"/>
    </row>
    <row r="600">
      <c r="A600" s="166" t="n"/>
      <c r="B600" s="63" t="n"/>
      <c r="C600" s="64" t="n"/>
      <c r="D600" s="167" t="n"/>
      <c r="E600" s="63" t="n"/>
      <c r="F600" s="63" t="n"/>
    </row>
    <row r="601">
      <c r="A601" s="166" t="n"/>
      <c r="B601" s="63" t="n"/>
      <c r="C601" s="64" t="n"/>
      <c r="D601" s="167" t="n"/>
      <c r="E601" s="63" t="n"/>
      <c r="F601" s="63" t="n"/>
    </row>
    <row r="602">
      <c r="A602" s="166" t="n"/>
      <c r="B602" s="63" t="n"/>
      <c r="C602" s="64" t="n"/>
      <c r="D602" s="167" t="n"/>
      <c r="E602" s="63" t="n"/>
      <c r="F602" s="63" t="n"/>
    </row>
    <row r="603">
      <c r="A603" s="166" t="n"/>
      <c r="B603" s="63" t="n"/>
      <c r="C603" s="64" t="n"/>
      <c r="D603" s="167" t="n"/>
      <c r="E603" s="63" t="n"/>
      <c r="F603" s="63" t="n"/>
    </row>
    <row r="604">
      <c r="A604" s="166" t="n"/>
      <c r="B604" s="63" t="n"/>
      <c r="C604" s="64" t="n"/>
      <c r="D604" s="167" t="n"/>
      <c r="E604" s="63" t="n"/>
      <c r="F604" s="63" t="n"/>
    </row>
    <row r="605">
      <c r="A605" s="166" t="n"/>
      <c r="B605" s="63" t="n"/>
      <c r="C605" s="64" t="n"/>
      <c r="D605" s="167" t="n"/>
      <c r="E605" s="63" t="n"/>
      <c r="F605" s="63" t="n"/>
    </row>
    <row r="606">
      <c r="A606" s="166" t="n"/>
      <c r="B606" s="63" t="n"/>
      <c r="C606" s="64" t="n"/>
      <c r="D606" s="167" t="n"/>
      <c r="E606" s="63" t="n"/>
      <c r="F606" s="63" t="n"/>
    </row>
    <row r="607">
      <c r="A607" s="166" t="n"/>
      <c r="B607" s="63" t="n"/>
      <c r="C607" s="64" t="n"/>
      <c r="D607" s="167" t="n"/>
      <c r="E607" s="63" t="n"/>
      <c r="F607" s="63" t="n"/>
    </row>
    <row r="608">
      <c r="A608" s="166" t="n"/>
      <c r="B608" s="63" t="n"/>
      <c r="C608" s="64" t="n"/>
      <c r="D608" s="167" t="n"/>
      <c r="E608" s="63" t="n"/>
      <c r="F608" s="63" t="n"/>
    </row>
    <row r="609">
      <c r="A609" s="166" t="n"/>
      <c r="B609" s="63" t="n"/>
      <c r="C609" s="64" t="n"/>
      <c r="D609" s="167" t="n"/>
      <c r="E609" s="63" t="n"/>
      <c r="F609" s="63" t="n"/>
    </row>
    <row r="610">
      <c r="A610" s="166" t="n"/>
      <c r="B610" s="63" t="n"/>
      <c r="C610" s="64" t="n"/>
      <c r="D610" s="167" t="n"/>
      <c r="E610" s="63" t="n"/>
      <c r="F610" s="63" t="n"/>
    </row>
    <row r="611">
      <c r="A611" s="166" t="n"/>
      <c r="B611" s="63" t="n"/>
      <c r="C611" s="64" t="n"/>
      <c r="D611" s="167" t="n"/>
      <c r="E611" s="63" t="n"/>
      <c r="F611" s="63" t="n"/>
    </row>
    <row r="612">
      <c r="A612" s="166" t="n"/>
      <c r="B612" s="63" t="n"/>
      <c r="C612" s="64" t="n"/>
      <c r="D612" s="167" t="n"/>
      <c r="E612" s="63" t="n"/>
      <c r="F612" s="63" t="n"/>
    </row>
    <row r="613">
      <c r="A613" s="166" t="n"/>
      <c r="B613" s="63" t="n"/>
      <c r="C613" s="64" t="n"/>
      <c r="D613" s="167" t="n"/>
      <c r="E613" s="63" t="n"/>
      <c r="F613" s="63" t="n"/>
    </row>
    <row r="614">
      <c r="A614" s="166" t="n"/>
      <c r="B614" s="63" t="n"/>
      <c r="C614" s="64" t="n"/>
      <c r="D614" s="167" t="n"/>
      <c r="E614" s="63" t="n"/>
      <c r="F614" s="63" t="n"/>
    </row>
    <row r="615">
      <c r="A615" s="166" t="n"/>
      <c r="B615" s="63" t="n"/>
      <c r="C615" s="64" t="n"/>
      <c r="D615" s="167" t="n"/>
      <c r="E615" s="63" t="n"/>
      <c r="F615" s="63" t="n"/>
    </row>
    <row r="616">
      <c r="A616" s="166" t="n"/>
      <c r="B616" s="63" t="n"/>
      <c r="C616" s="64" t="n"/>
      <c r="D616" s="167" t="n"/>
      <c r="E616" s="63" t="n"/>
      <c r="F616" s="63" t="n"/>
    </row>
    <row r="617">
      <c r="A617" s="166" t="n"/>
      <c r="B617" s="63" t="n"/>
      <c r="C617" s="64" t="n"/>
      <c r="D617" s="167" t="n"/>
      <c r="E617" s="63" t="n"/>
      <c r="F617" s="63" t="n"/>
    </row>
    <row r="618">
      <c r="A618" s="166" t="n"/>
      <c r="B618" s="63" t="n"/>
      <c r="C618" s="64" t="n"/>
      <c r="D618" s="167" t="n"/>
      <c r="E618" s="63" t="n"/>
      <c r="F618" s="63" t="n"/>
    </row>
    <row r="619">
      <c r="A619" s="166" t="n"/>
      <c r="B619" s="63" t="n"/>
      <c r="C619" s="64" t="n"/>
      <c r="D619" s="167" t="n"/>
      <c r="E619" s="63" t="n"/>
      <c r="F619" s="63" t="n"/>
    </row>
    <row r="620">
      <c r="A620" s="166" t="n"/>
      <c r="B620" s="63" t="n"/>
      <c r="C620" s="64" t="n"/>
      <c r="D620" s="167" t="n"/>
      <c r="E620" s="63" t="n"/>
      <c r="F620" s="63" t="n"/>
    </row>
    <row r="621">
      <c r="A621" s="166" t="n"/>
      <c r="B621" s="63" t="n"/>
      <c r="C621" s="64" t="n"/>
      <c r="D621" s="167" t="n"/>
      <c r="E621" s="63" t="n"/>
      <c r="F621" s="63" t="n"/>
    </row>
    <row r="622">
      <c r="A622" s="166" t="n"/>
      <c r="B622" s="63" t="n"/>
      <c r="C622" s="64" t="n"/>
      <c r="D622" s="167" t="n"/>
      <c r="E622" s="63" t="n"/>
      <c r="F622" s="63" t="n"/>
    </row>
    <row r="623">
      <c r="A623" s="166" t="n"/>
      <c r="B623" s="63" t="n"/>
      <c r="C623" s="64" t="n"/>
      <c r="D623" s="167" t="n"/>
      <c r="E623" s="63" t="n"/>
      <c r="F623" s="63" t="n"/>
    </row>
    <row r="624">
      <c r="A624" s="166" t="n"/>
      <c r="B624" s="63" t="n"/>
      <c r="C624" s="64" t="n"/>
      <c r="D624" s="167" t="n"/>
      <c r="E624" s="63" t="n"/>
      <c r="F624" s="63" t="n"/>
    </row>
    <row r="625">
      <c r="A625" s="166" t="n"/>
      <c r="B625" s="63" t="n"/>
      <c r="C625" s="64" t="n"/>
      <c r="D625" s="167" t="n"/>
      <c r="E625" s="63" t="n"/>
      <c r="F625" s="63" t="n"/>
    </row>
    <row r="626">
      <c r="A626" s="166" t="n"/>
      <c r="B626" s="63" t="n"/>
      <c r="C626" s="64" t="n"/>
      <c r="D626" s="167" t="n"/>
      <c r="E626" s="63" t="n"/>
      <c r="F626" s="63" t="n"/>
    </row>
    <row r="627">
      <c r="A627" s="166" t="n"/>
      <c r="B627" s="63" t="n"/>
      <c r="C627" s="64" t="n"/>
      <c r="D627" s="167" t="n"/>
      <c r="E627" s="63" t="n"/>
      <c r="F627" s="63" t="n"/>
    </row>
    <row r="628">
      <c r="A628" s="166" t="n"/>
      <c r="B628" s="63" t="n"/>
      <c r="C628" s="64" t="n"/>
      <c r="D628" s="167" t="n"/>
      <c r="E628" s="63" t="n"/>
      <c r="F628" s="63" t="n"/>
    </row>
    <row r="629">
      <c r="A629" s="166" t="n"/>
      <c r="B629" s="63" t="n"/>
      <c r="C629" s="64" t="n"/>
      <c r="D629" s="167" t="n"/>
      <c r="E629" s="63" t="n"/>
      <c r="F629" s="63" t="n"/>
    </row>
    <row r="630">
      <c r="A630" s="166" t="n"/>
      <c r="B630" s="63" t="n"/>
      <c r="C630" s="64" t="n"/>
      <c r="D630" s="167" t="n"/>
      <c r="E630" s="63" t="n"/>
      <c r="F630" s="63" t="n"/>
    </row>
    <row r="631">
      <c r="A631" s="166" t="n"/>
      <c r="B631" s="63" t="n"/>
      <c r="C631" s="64" t="n"/>
      <c r="D631" s="167" t="n"/>
      <c r="E631" s="63" t="n"/>
      <c r="F631" s="63" t="n"/>
    </row>
    <row r="632">
      <c r="A632" s="166" t="n"/>
      <c r="B632" s="63" t="n"/>
      <c r="C632" s="64" t="n"/>
      <c r="D632" s="167" t="n"/>
      <c r="E632" s="63" t="n"/>
      <c r="F632" s="63" t="n"/>
    </row>
    <row r="633">
      <c r="A633" s="166" t="n"/>
      <c r="B633" s="63" t="n"/>
      <c r="C633" s="64" t="n"/>
      <c r="D633" s="167" t="n"/>
      <c r="E633" s="63" t="n"/>
      <c r="F633" s="63" t="n"/>
    </row>
    <row r="634">
      <c r="A634" s="166" t="n"/>
      <c r="B634" s="63" t="n"/>
      <c r="C634" s="64" t="n"/>
      <c r="D634" s="167" t="n"/>
      <c r="E634" s="63" t="n"/>
      <c r="F634" s="63" t="n"/>
    </row>
    <row r="635">
      <c r="A635" s="166" t="n"/>
      <c r="B635" s="63" t="n"/>
      <c r="C635" s="64" t="n"/>
      <c r="D635" s="167" t="n"/>
      <c r="E635" s="63" t="n"/>
      <c r="F635" s="63" t="n"/>
    </row>
    <row r="636">
      <c r="A636" s="166" t="n"/>
      <c r="B636" s="63" t="n"/>
      <c r="C636" s="64" t="n"/>
      <c r="D636" s="167" t="n"/>
      <c r="E636" s="63" t="n"/>
      <c r="F636" s="63" t="n"/>
    </row>
    <row r="637">
      <c r="A637" s="166" t="n"/>
      <c r="B637" s="63" t="n"/>
      <c r="C637" s="64" t="n"/>
      <c r="D637" s="167" t="n"/>
      <c r="E637" s="63" t="n"/>
      <c r="F637" s="63" t="n"/>
    </row>
    <row r="638">
      <c r="A638" s="166" t="n"/>
      <c r="B638" s="63" t="n"/>
      <c r="C638" s="64" t="n"/>
      <c r="D638" s="167" t="n"/>
      <c r="E638" s="63" t="n"/>
      <c r="F638" s="63" t="n"/>
    </row>
    <row r="639">
      <c r="A639" s="166" t="n"/>
      <c r="B639" s="63" t="n"/>
      <c r="C639" s="64" t="n"/>
      <c r="D639" s="167" t="n"/>
      <c r="E639" s="63" t="n"/>
      <c r="F639" s="63" t="n"/>
    </row>
    <row r="640">
      <c r="A640" s="166" t="n"/>
      <c r="B640" s="63" t="n"/>
      <c r="C640" s="64" t="n"/>
      <c r="D640" s="167" t="n"/>
      <c r="E640" s="63" t="n"/>
      <c r="F640" s="63" t="n"/>
    </row>
    <row r="641">
      <c r="A641" s="166" t="n"/>
      <c r="B641" s="63" t="n"/>
      <c r="C641" s="64" t="n"/>
      <c r="D641" s="167" t="n"/>
      <c r="E641" s="63" t="n"/>
      <c r="F641" s="63" t="n"/>
    </row>
    <row r="642">
      <c r="A642" s="166" t="n"/>
      <c r="B642" s="63" t="n"/>
      <c r="C642" s="64" t="n"/>
      <c r="D642" s="167" t="n"/>
      <c r="E642" s="63" t="n"/>
      <c r="F642" s="63" t="n"/>
    </row>
    <row r="643">
      <c r="A643" s="166" t="n"/>
      <c r="B643" s="63" t="n"/>
      <c r="C643" s="64" t="n"/>
      <c r="D643" s="167" t="n"/>
      <c r="E643" s="63" t="n"/>
      <c r="F643" s="63" t="n"/>
    </row>
    <row r="644">
      <c r="A644" s="166" t="n"/>
      <c r="B644" s="63" t="n"/>
      <c r="C644" s="64" t="n"/>
      <c r="D644" s="167" t="n"/>
      <c r="E644" s="63" t="n"/>
      <c r="F644" s="63" t="n"/>
    </row>
    <row r="645">
      <c r="A645" s="166" t="n"/>
      <c r="B645" s="63" t="n"/>
      <c r="C645" s="64" t="n"/>
      <c r="D645" s="167" t="n"/>
      <c r="E645" s="63" t="n"/>
      <c r="F645" s="63" t="n"/>
    </row>
    <row r="646">
      <c r="A646" s="166" t="n"/>
      <c r="B646" s="63" t="n"/>
      <c r="C646" s="64" t="n"/>
      <c r="D646" s="167" t="n"/>
      <c r="E646" s="63" t="n"/>
      <c r="F646" s="63" t="n"/>
    </row>
    <row r="647">
      <c r="A647" s="166" t="n"/>
      <c r="B647" s="63" t="n"/>
      <c r="C647" s="64" t="n"/>
      <c r="D647" s="167" t="n"/>
      <c r="E647" s="63" t="n"/>
      <c r="F647" s="63" t="n"/>
    </row>
    <row r="648">
      <c r="A648" s="166" t="n"/>
      <c r="B648" s="63" t="n"/>
      <c r="C648" s="64" t="n"/>
      <c r="D648" s="167" t="n"/>
      <c r="E648" s="63" t="n"/>
      <c r="F648" s="63" t="n"/>
    </row>
    <row r="649">
      <c r="A649" s="166" t="n"/>
      <c r="B649" s="63" t="n"/>
      <c r="C649" s="64" t="n"/>
      <c r="D649" s="167" t="n"/>
      <c r="E649" s="63" t="n"/>
      <c r="F649" s="63" t="n"/>
    </row>
    <row r="650">
      <c r="A650" s="166" t="n"/>
      <c r="B650" s="63" t="n"/>
      <c r="C650" s="64" t="n"/>
      <c r="D650" s="167" t="n"/>
      <c r="E650" s="63" t="n"/>
      <c r="F650" s="63" t="n"/>
    </row>
    <row r="651">
      <c r="A651" s="166" t="n"/>
      <c r="B651" s="63" t="n"/>
      <c r="C651" s="64" t="n"/>
      <c r="D651" s="167" t="n"/>
      <c r="E651" s="63" t="n"/>
      <c r="F651" s="63" t="n"/>
    </row>
    <row r="652">
      <c r="A652" s="166" t="n"/>
      <c r="B652" s="63" t="n"/>
      <c r="C652" s="64" t="n"/>
      <c r="D652" s="167" t="n"/>
      <c r="E652" s="63" t="n"/>
      <c r="F652" s="63" t="n"/>
    </row>
    <row r="653">
      <c r="A653" s="166" t="n"/>
      <c r="B653" s="63" t="n"/>
      <c r="C653" s="64" t="n"/>
      <c r="D653" s="167" t="n"/>
      <c r="E653" s="63" t="n"/>
      <c r="F653" s="63" t="n"/>
    </row>
    <row r="654">
      <c r="A654" s="166" t="n"/>
      <c r="B654" s="63" t="n"/>
      <c r="C654" s="64" t="n"/>
      <c r="D654" s="167" t="n"/>
      <c r="E654" s="63" t="n"/>
      <c r="F654" s="63" t="n"/>
    </row>
    <row r="655">
      <c r="A655" s="166" t="n"/>
      <c r="B655" s="63" t="n"/>
      <c r="C655" s="64" t="n"/>
      <c r="D655" s="167" t="n"/>
      <c r="E655" s="63" t="n"/>
      <c r="F655" s="63" t="n"/>
    </row>
    <row r="656">
      <c r="A656" s="166" t="n"/>
      <c r="B656" s="63" t="n"/>
      <c r="C656" s="64" t="n"/>
      <c r="D656" s="167" t="n"/>
      <c r="E656" s="63" t="n"/>
      <c r="F656" s="63" t="n"/>
    </row>
    <row r="657">
      <c r="A657" s="166" t="n"/>
      <c r="B657" s="63" t="n"/>
      <c r="C657" s="64" t="n"/>
      <c r="D657" s="167" t="n"/>
      <c r="E657" s="63" t="n"/>
      <c r="F657" s="63" t="n"/>
    </row>
    <row r="658">
      <c r="A658" s="166" t="n"/>
      <c r="B658" s="63" t="n"/>
      <c r="C658" s="64" t="n"/>
      <c r="D658" s="167" t="n"/>
      <c r="E658" s="63" t="n"/>
      <c r="F658" s="63" t="n"/>
    </row>
    <row r="659">
      <c r="A659" s="166" t="n"/>
      <c r="B659" s="63" t="n"/>
      <c r="C659" s="64" t="n"/>
      <c r="D659" s="167" t="n"/>
      <c r="E659" s="63" t="n"/>
      <c r="F659" s="63" t="n"/>
    </row>
    <row r="660">
      <c r="A660" s="166" t="n"/>
      <c r="B660" s="63" t="n"/>
      <c r="C660" s="64" t="n"/>
      <c r="D660" s="167" t="n"/>
      <c r="E660" s="63" t="n"/>
      <c r="F660" s="63" t="n"/>
    </row>
    <row r="661">
      <c r="A661" s="166" t="n"/>
      <c r="B661" s="63" t="n"/>
      <c r="C661" s="64" t="n"/>
      <c r="D661" s="167" t="n"/>
      <c r="E661" s="63" t="n"/>
      <c r="F661" s="63" t="n"/>
    </row>
    <row r="662">
      <c r="A662" s="166" t="n"/>
      <c r="B662" s="63" t="n"/>
      <c r="C662" s="64" t="n"/>
      <c r="D662" s="167" t="n"/>
      <c r="E662" s="63" t="n"/>
      <c r="F662" s="63" t="n"/>
    </row>
    <row r="663">
      <c r="A663" s="166" t="n"/>
      <c r="B663" s="63" t="n"/>
      <c r="C663" s="64" t="n"/>
      <c r="D663" s="167" t="n"/>
      <c r="E663" s="63" t="n"/>
      <c r="F663" s="63" t="n"/>
    </row>
    <row r="664">
      <c r="A664" s="166" t="n"/>
      <c r="B664" s="63" t="n"/>
      <c r="C664" s="64" t="n"/>
      <c r="D664" s="167" t="n"/>
      <c r="E664" s="63" t="n"/>
      <c r="F664" s="63" t="n"/>
    </row>
    <row r="665">
      <c r="A665" s="166" t="n"/>
      <c r="B665" s="63" t="n"/>
      <c r="C665" s="64" t="n"/>
      <c r="D665" s="167" t="n"/>
      <c r="E665" s="63" t="n"/>
      <c r="F665" s="63" t="n"/>
    </row>
    <row r="666">
      <c r="A666" s="166" t="n"/>
      <c r="B666" s="63" t="n"/>
      <c r="C666" s="64" t="n"/>
      <c r="D666" s="167" t="n"/>
      <c r="E666" s="63" t="n"/>
      <c r="F666" s="63" t="n"/>
    </row>
    <row r="667">
      <c r="A667" s="166" t="n"/>
      <c r="B667" s="63" t="n"/>
      <c r="C667" s="64" t="n"/>
      <c r="D667" s="167" t="n"/>
      <c r="E667" s="63" t="n"/>
      <c r="F667" s="63" t="n"/>
    </row>
    <row r="668">
      <c r="A668" s="166" t="n"/>
      <c r="B668" s="63" t="n"/>
      <c r="C668" s="64" t="n"/>
      <c r="D668" s="167" t="n"/>
      <c r="E668" s="63" t="n"/>
      <c r="F668" s="63" t="n"/>
    </row>
    <row r="669">
      <c r="A669" s="166" t="n"/>
      <c r="B669" s="63" t="n"/>
      <c r="C669" s="64" t="n"/>
      <c r="D669" s="167" t="n"/>
      <c r="E669" s="63" t="n"/>
      <c r="F669" s="63" t="n"/>
    </row>
    <row r="670">
      <c r="A670" s="166" t="n"/>
      <c r="B670" s="63" t="n"/>
      <c r="C670" s="64" t="n"/>
      <c r="D670" s="167" t="n"/>
      <c r="E670" s="63" t="n"/>
      <c r="F670" s="63" t="n"/>
    </row>
    <row r="671">
      <c r="A671" s="166" t="n"/>
      <c r="B671" s="63" t="n"/>
      <c r="C671" s="64" t="n"/>
      <c r="D671" s="167" t="n"/>
      <c r="E671" s="63" t="n"/>
      <c r="F671" s="63" t="n"/>
    </row>
    <row r="672">
      <c r="A672" s="166" t="n"/>
      <c r="B672" s="63" t="n"/>
      <c r="C672" s="64" t="n"/>
      <c r="D672" s="167" t="n"/>
      <c r="E672" s="63" t="n"/>
      <c r="F672" s="63" t="n"/>
    </row>
    <row r="673">
      <c r="A673" s="166" t="n"/>
      <c r="B673" s="63" t="n"/>
      <c r="C673" s="64" t="n"/>
      <c r="D673" s="167" t="n"/>
      <c r="E673" s="63" t="n"/>
      <c r="F673" s="63" t="n"/>
    </row>
    <row r="674">
      <c r="A674" s="166" t="n"/>
      <c r="B674" s="63" t="n"/>
      <c r="C674" s="64" t="n"/>
      <c r="D674" s="167" t="n"/>
      <c r="E674" s="63" t="n"/>
      <c r="F674" s="63" t="n"/>
    </row>
    <row r="675">
      <c r="A675" s="166" t="n"/>
      <c r="B675" s="63" t="n"/>
      <c r="C675" s="64" t="n"/>
      <c r="D675" s="167" t="n"/>
      <c r="E675" s="63" t="n"/>
      <c r="F675" s="63" t="n"/>
    </row>
    <row r="676">
      <c r="A676" s="166" t="n"/>
      <c r="B676" s="63" t="n"/>
      <c r="C676" s="64" t="n"/>
      <c r="D676" s="167" t="n"/>
      <c r="E676" s="63" t="n"/>
      <c r="F676" s="63" t="n"/>
    </row>
    <row r="677">
      <c r="A677" s="166" t="n"/>
      <c r="B677" s="63" t="n"/>
      <c r="C677" s="64" t="n"/>
      <c r="D677" s="167" t="n"/>
      <c r="E677" s="63" t="n"/>
      <c r="F677" s="63" t="n"/>
    </row>
    <row r="678">
      <c r="A678" s="166" t="n"/>
      <c r="B678" s="63" t="n"/>
      <c r="C678" s="64" t="n"/>
      <c r="D678" s="167" t="n"/>
      <c r="E678" s="63" t="n"/>
      <c r="F678" s="63" t="n"/>
    </row>
    <row r="679">
      <c r="A679" s="166" t="n"/>
      <c r="B679" s="63" t="n"/>
      <c r="C679" s="64" t="n"/>
      <c r="D679" s="167" t="n"/>
      <c r="E679" s="63" t="n"/>
      <c r="F679" s="63" t="n"/>
    </row>
    <row r="680">
      <c r="A680" s="166" t="n"/>
      <c r="B680" s="63" t="n"/>
      <c r="C680" s="64" t="n"/>
      <c r="D680" s="167" t="n"/>
      <c r="E680" s="63" t="n"/>
      <c r="F680" s="63" t="n"/>
    </row>
    <row r="681">
      <c r="A681" s="166" t="n"/>
      <c r="B681" s="63" t="n"/>
      <c r="C681" s="64" t="n"/>
      <c r="D681" s="167" t="n"/>
      <c r="E681" s="63" t="n"/>
      <c r="F681" s="63" t="n"/>
    </row>
    <row r="682">
      <c r="A682" s="166" t="n"/>
      <c r="B682" s="63" t="n"/>
      <c r="C682" s="64" t="n"/>
      <c r="D682" s="167" t="n"/>
      <c r="E682" s="63" t="n"/>
      <c r="F682" s="63" t="n"/>
    </row>
    <row r="683">
      <c r="A683" s="166" t="n"/>
      <c r="B683" s="63" t="n"/>
      <c r="C683" s="64" t="n"/>
      <c r="D683" s="167" t="n"/>
      <c r="E683" s="63" t="n"/>
      <c r="F683" s="63" t="n"/>
    </row>
    <row r="684">
      <c r="A684" s="166" t="n"/>
      <c r="B684" s="63" t="n"/>
      <c r="C684" s="64" t="n"/>
      <c r="D684" s="167" t="n"/>
      <c r="E684" s="63" t="n"/>
      <c r="F684" s="63" t="n"/>
    </row>
    <row r="685">
      <c r="A685" s="166" t="n"/>
      <c r="B685" s="63" t="n"/>
      <c r="C685" s="64" t="n"/>
      <c r="D685" s="167" t="n"/>
      <c r="E685" s="63" t="n"/>
      <c r="F685" s="63" t="n"/>
    </row>
    <row r="686">
      <c r="A686" s="166" t="n"/>
      <c r="B686" s="63" t="n"/>
      <c r="C686" s="64" t="n"/>
      <c r="D686" s="167" t="n"/>
      <c r="E686" s="63" t="n"/>
      <c r="F686" s="63" t="n"/>
    </row>
    <row r="687">
      <c r="A687" s="166" t="n"/>
      <c r="B687" s="63" t="n"/>
      <c r="C687" s="64" t="n"/>
      <c r="D687" s="167" t="n"/>
      <c r="E687" s="63" t="n"/>
      <c r="F687" s="63" t="n"/>
    </row>
    <row r="688">
      <c r="A688" s="166" t="n"/>
      <c r="B688" s="63" t="n"/>
      <c r="C688" s="64" t="n"/>
      <c r="D688" s="167" t="n"/>
      <c r="E688" s="63" t="n"/>
      <c r="F688" s="63" t="n"/>
    </row>
    <row r="689">
      <c r="A689" s="166" t="n"/>
      <c r="B689" s="63" t="n"/>
      <c r="C689" s="64" t="n"/>
      <c r="D689" s="167" t="n"/>
      <c r="E689" s="63" t="n"/>
      <c r="F689" s="63" t="n"/>
    </row>
    <row r="690">
      <c r="A690" s="166" t="n"/>
      <c r="B690" s="63" t="n"/>
      <c r="C690" s="64" t="n"/>
      <c r="D690" s="167" t="n"/>
      <c r="E690" s="63" t="n"/>
      <c r="F690" s="63" t="n"/>
    </row>
    <row r="691">
      <c r="A691" s="166" t="n"/>
      <c r="B691" s="63" t="n"/>
      <c r="C691" s="64" t="n"/>
      <c r="D691" s="167" t="n"/>
      <c r="E691" s="63" t="n"/>
      <c r="F691" s="63" t="n"/>
    </row>
    <row r="692">
      <c r="A692" s="166" t="n"/>
      <c r="B692" s="63" t="n"/>
      <c r="C692" s="64" t="n"/>
      <c r="D692" s="167" t="n"/>
      <c r="E692" s="63" t="n"/>
      <c r="F692" s="63" t="n"/>
    </row>
    <row r="693">
      <c r="A693" s="166" t="n"/>
      <c r="B693" s="63" t="n"/>
      <c r="C693" s="64" t="n"/>
      <c r="D693" s="167" t="n"/>
      <c r="E693" s="63" t="n"/>
      <c r="F693" s="63" t="n"/>
    </row>
    <row r="694">
      <c r="A694" s="166" t="n"/>
      <c r="B694" s="63" t="n"/>
      <c r="C694" s="64" t="n"/>
      <c r="D694" s="167" t="n"/>
      <c r="E694" s="63" t="n"/>
      <c r="F694" s="63" t="n"/>
    </row>
    <row r="695">
      <c r="A695" s="166" t="n"/>
      <c r="B695" s="63" t="n"/>
      <c r="C695" s="64" t="n"/>
      <c r="D695" s="167" t="n"/>
      <c r="E695" s="63" t="n"/>
      <c r="F695" s="63" t="n"/>
    </row>
    <row r="696">
      <c r="A696" s="166" t="n"/>
      <c r="B696" s="63" t="n"/>
      <c r="C696" s="64" t="n"/>
      <c r="D696" s="167" t="n"/>
      <c r="E696" s="63" t="n"/>
      <c r="F696" s="63" t="n"/>
    </row>
    <row r="697">
      <c r="A697" s="166" t="n"/>
      <c r="B697" s="63" t="n"/>
      <c r="C697" s="64" t="n"/>
      <c r="D697" s="167" t="n"/>
      <c r="E697" s="63" t="n"/>
      <c r="F697" s="63" t="n"/>
    </row>
    <row r="698">
      <c r="A698" s="166" t="n"/>
      <c r="B698" s="63" t="n"/>
      <c r="C698" s="64" t="n"/>
      <c r="D698" s="167" t="n"/>
      <c r="E698" s="63" t="n"/>
      <c r="F698" s="63" t="n"/>
    </row>
    <row r="699">
      <c r="A699" s="166" t="n"/>
      <c r="B699" s="63" t="n"/>
      <c r="C699" s="64" t="n"/>
      <c r="D699" s="167" t="n"/>
      <c r="E699" s="63" t="n"/>
      <c r="F699" s="63" t="n"/>
    </row>
    <row r="700">
      <c r="A700" s="166" t="n"/>
      <c r="B700" s="63" t="n"/>
      <c r="C700" s="64" t="n"/>
      <c r="D700" s="167" t="n"/>
      <c r="E700" s="63" t="n"/>
      <c r="F700" s="63" t="n"/>
    </row>
    <row r="701">
      <c r="A701" s="166" t="n"/>
      <c r="B701" s="63" t="n"/>
      <c r="C701" s="64" t="n"/>
      <c r="D701" s="167" t="n"/>
      <c r="E701" s="63" t="n"/>
      <c r="F701" s="63" t="n"/>
    </row>
    <row r="702">
      <c r="A702" s="166" t="n"/>
      <c r="B702" s="63" t="n"/>
      <c r="C702" s="64" t="n"/>
      <c r="D702" s="167" t="n"/>
      <c r="E702" s="63" t="n"/>
      <c r="F702" s="63" t="n"/>
    </row>
    <row r="703">
      <c r="A703" s="166" t="n"/>
      <c r="B703" s="63" t="n"/>
      <c r="C703" s="64" t="n"/>
      <c r="D703" s="167" t="n"/>
      <c r="E703" s="63" t="n"/>
      <c r="F703" s="63" t="n"/>
    </row>
    <row r="704">
      <c r="A704" s="166" t="n"/>
      <c r="B704" s="63" t="n"/>
      <c r="C704" s="64" t="n"/>
      <c r="D704" s="167" t="n"/>
      <c r="E704" s="63" t="n"/>
      <c r="F704" s="63" t="n"/>
    </row>
    <row r="705">
      <c r="A705" s="166" t="n"/>
      <c r="B705" s="63" t="n"/>
      <c r="C705" s="64" t="n"/>
      <c r="D705" s="167" t="n"/>
      <c r="E705" s="63" t="n"/>
      <c r="F705" s="63" t="n"/>
    </row>
    <row r="706">
      <c r="A706" s="166" t="n"/>
      <c r="B706" s="63" t="n"/>
      <c r="C706" s="64" t="n"/>
      <c r="D706" s="167" t="n"/>
      <c r="E706" s="63" t="n"/>
      <c r="F706" s="63" t="n"/>
    </row>
    <row r="707">
      <c r="A707" s="166" t="n"/>
      <c r="B707" s="63" t="n"/>
      <c r="C707" s="64" t="n"/>
      <c r="D707" s="167" t="n"/>
      <c r="E707" s="63" t="n"/>
      <c r="F707" s="63" t="n"/>
    </row>
    <row r="708">
      <c r="A708" s="166" t="n"/>
      <c r="B708" s="63" t="n"/>
      <c r="C708" s="64" t="n"/>
      <c r="D708" s="167" t="n"/>
      <c r="E708" s="63" t="n"/>
      <c r="F708" s="63" t="n"/>
    </row>
    <row r="709">
      <c r="A709" s="166" t="n"/>
      <c r="B709" s="63" t="n"/>
      <c r="C709" s="64" t="n"/>
      <c r="D709" s="167" t="n"/>
      <c r="E709" s="63" t="n"/>
      <c r="F709" s="63" t="n"/>
    </row>
    <row r="710">
      <c r="A710" s="166" t="n"/>
      <c r="B710" s="63" t="n"/>
      <c r="C710" s="64" t="n"/>
      <c r="D710" s="167" t="n"/>
      <c r="E710" s="63" t="n"/>
      <c r="F710" s="63" t="n"/>
    </row>
    <row r="711">
      <c r="A711" s="166" t="n"/>
      <c r="B711" s="63" t="n"/>
      <c r="C711" s="64" t="n"/>
      <c r="D711" s="167" t="n"/>
      <c r="E711" s="63" t="n"/>
      <c r="F711" s="63" t="n"/>
    </row>
    <row r="712">
      <c r="A712" s="166" t="n"/>
      <c r="B712" s="63" t="n"/>
      <c r="C712" s="64" t="n"/>
      <c r="D712" s="167" t="n"/>
      <c r="E712" s="63" t="n"/>
      <c r="F712" s="63" t="n"/>
    </row>
    <row r="713">
      <c r="A713" s="166" t="n"/>
      <c r="B713" s="63" t="n"/>
      <c r="C713" s="64" t="n"/>
      <c r="D713" s="167" t="n"/>
      <c r="E713" s="63" t="n"/>
      <c r="F713" s="63" t="n"/>
    </row>
    <row r="714">
      <c r="A714" s="166" t="n"/>
      <c r="B714" s="63" t="n"/>
      <c r="C714" s="64" t="n"/>
      <c r="D714" s="167" t="n"/>
      <c r="E714" s="63" t="n"/>
      <c r="F714" s="63" t="n"/>
    </row>
    <row r="715">
      <c r="A715" s="166" t="n"/>
      <c r="B715" s="63" t="n"/>
      <c r="C715" s="64" t="n"/>
      <c r="D715" s="167" t="n"/>
      <c r="E715" s="63" t="n"/>
      <c r="F715" s="63" t="n"/>
    </row>
    <row r="716">
      <c r="A716" s="166" t="n"/>
      <c r="B716" s="63" t="n"/>
      <c r="C716" s="64" t="n"/>
      <c r="D716" s="167" t="n"/>
      <c r="E716" s="63" t="n"/>
      <c r="F716" s="63" t="n"/>
    </row>
    <row r="717">
      <c r="A717" s="166" t="n"/>
      <c r="B717" s="63" t="n"/>
      <c r="C717" s="64" t="n"/>
      <c r="D717" s="167" t="n"/>
      <c r="E717" s="63" t="n"/>
      <c r="F717" s="63" t="n"/>
    </row>
    <row r="718">
      <c r="A718" s="166" t="n"/>
      <c r="B718" s="63" t="n"/>
      <c r="C718" s="64" t="n"/>
      <c r="D718" s="167" t="n"/>
      <c r="E718" s="63" t="n"/>
      <c r="F718" s="63" t="n"/>
    </row>
    <row r="719">
      <c r="A719" s="166" t="n"/>
      <c r="B719" s="63" t="n"/>
      <c r="C719" s="64" t="n"/>
      <c r="D719" s="167" t="n"/>
      <c r="E719" s="63" t="n"/>
      <c r="F719" s="63" t="n"/>
    </row>
    <row r="720">
      <c r="A720" s="166" t="n"/>
      <c r="B720" s="63" t="n"/>
      <c r="C720" s="64" t="n"/>
      <c r="D720" s="167" t="n"/>
      <c r="E720" s="63" t="n"/>
      <c r="F720" s="63" t="n"/>
    </row>
    <row r="721">
      <c r="A721" s="166" t="n"/>
      <c r="B721" s="63" t="n"/>
      <c r="C721" s="64" t="n"/>
      <c r="D721" s="167" t="n"/>
      <c r="E721" s="63" t="n"/>
      <c r="F721" s="63" t="n"/>
    </row>
    <row r="722">
      <c r="A722" s="166" t="n"/>
      <c r="B722" s="63" t="n"/>
      <c r="C722" s="64" t="n"/>
      <c r="D722" s="167" t="n"/>
      <c r="E722" s="63" t="n"/>
      <c r="F722" s="63" t="n"/>
    </row>
    <row r="723">
      <c r="A723" s="166" t="n"/>
      <c r="B723" s="63" t="n"/>
      <c r="C723" s="64" t="n"/>
      <c r="D723" s="167" t="n"/>
      <c r="E723" s="63" t="n"/>
      <c r="F723" s="63" t="n"/>
    </row>
    <row r="724">
      <c r="A724" s="166" t="n"/>
      <c r="B724" s="63" t="n"/>
      <c r="C724" s="64" t="n"/>
      <c r="D724" s="167" t="n"/>
      <c r="E724" s="63" t="n"/>
      <c r="F724" s="63" t="n"/>
    </row>
    <row r="725">
      <c r="A725" s="166" t="n"/>
      <c r="B725" s="63" t="n"/>
      <c r="C725" s="64" t="n"/>
      <c r="D725" s="167" t="n"/>
      <c r="E725" s="63" t="n"/>
      <c r="F725" s="63" t="n"/>
    </row>
    <row r="726">
      <c r="A726" s="166" t="n"/>
      <c r="B726" s="63" t="n"/>
      <c r="C726" s="64" t="n"/>
      <c r="D726" s="167" t="n"/>
      <c r="E726" s="63" t="n"/>
      <c r="F726" s="63" t="n"/>
    </row>
    <row r="727">
      <c r="A727" s="166" t="n"/>
      <c r="B727" s="63" t="n"/>
      <c r="C727" s="64" t="n"/>
      <c r="D727" s="167" t="n"/>
      <c r="E727" s="63" t="n"/>
      <c r="F727" s="63" t="n"/>
    </row>
    <row r="728">
      <c r="A728" s="166" t="n"/>
      <c r="B728" s="63" t="n"/>
      <c r="C728" s="64" t="n"/>
      <c r="D728" s="167" t="n"/>
      <c r="E728" s="63" t="n"/>
      <c r="F728" s="63" t="n"/>
    </row>
    <row r="729">
      <c r="A729" s="166" t="n"/>
      <c r="B729" s="63" t="n"/>
      <c r="C729" s="64" t="n"/>
      <c r="D729" s="167" t="n"/>
      <c r="E729" s="63" t="n"/>
      <c r="F729" s="63" t="n"/>
    </row>
    <row r="730">
      <c r="A730" s="166" t="n"/>
      <c r="B730" s="63" t="n"/>
      <c r="C730" s="64" t="n"/>
      <c r="D730" s="167" t="n"/>
      <c r="E730" s="63" t="n"/>
      <c r="F730" s="63" t="n"/>
    </row>
    <row r="731">
      <c r="A731" s="166" t="n"/>
      <c r="B731" s="63" t="n"/>
      <c r="C731" s="64" t="n"/>
      <c r="D731" s="167" t="n"/>
      <c r="E731" s="63" t="n"/>
      <c r="F731" s="63" t="n"/>
    </row>
    <row r="732">
      <c r="A732" s="166" t="n"/>
      <c r="B732" s="63" t="n"/>
      <c r="C732" s="64" t="n"/>
      <c r="D732" s="167" t="n"/>
      <c r="E732" s="63" t="n"/>
      <c r="F732" s="63" t="n"/>
    </row>
    <row r="733">
      <c r="A733" s="166" t="n"/>
      <c r="B733" s="63" t="n"/>
      <c r="C733" s="64" t="n"/>
      <c r="D733" s="167" t="n"/>
      <c r="E733" s="63" t="n"/>
      <c r="F733" s="63" t="n"/>
    </row>
    <row r="734">
      <c r="A734" s="166" t="n"/>
      <c r="B734" s="63" t="n"/>
      <c r="C734" s="64" t="n"/>
      <c r="D734" s="167" t="n"/>
      <c r="E734" s="63" t="n"/>
      <c r="F734" s="63" t="n"/>
    </row>
    <row r="735">
      <c r="A735" s="166" t="n"/>
      <c r="B735" s="63" t="n"/>
      <c r="C735" s="64" t="n"/>
      <c r="D735" s="167" t="n"/>
      <c r="E735" s="63" t="n"/>
      <c r="F735" s="63" t="n"/>
    </row>
    <row r="736">
      <c r="A736" s="166" t="n"/>
      <c r="B736" s="63" t="n"/>
      <c r="C736" s="64" t="n"/>
      <c r="D736" s="167" t="n"/>
      <c r="E736" s="63" t="n"/>
      <c r="F736" s="63" t="n"/>
    </row>
    <row r="737">
      <c r="A737" s="166" t="n"/>
      <c r="B737" s="63" t="n"/>
      <c r="C737" s="64" t="n"/>
      <c r="D737" s="167" t="n"/>
      <c r="E737" s="63" t="n"/>
      <c r="F737" s="63" t="n"/>
    </row>
    <row r="738">
      <c r="A738" s="166" t="n"/>
      <c r="B738" s="63" t="n"/>
      <c r="C738" s="64" t="n"/>
      <c r="D738" s="167" t="n"/>
      <c r="E738" s="63" t="n"/>
      <c r="F738" s="63" t="n"/>
    </row>
    <row r="739">
      <c r="A739" s="166" t="n"/>
      <c r="B739" s="63" t="n"/>
      <c r="C739" s="64" t="n"/>
      <c r="D739" s="167" t="n"/>
      <c r="E739" s="63" t="n"/>
      <c r="F739" s="63" t="n"/>
    </row>
    <row r="740">
      <c r="A740" s="166" t="n"/>
      <c r="B740" s="63" t="n"/>
      <c r="C740" s="64" t="n"/>
      <c r="D740" s="167" t="n"/>
      <c r="E740" s="63" t="n"/>
      <c r="F740" s="63" t="n"/>
    </row>
    <row r="741">
      <c r="A741" s="166" t="n"/>
      <c r="B741" s="63" t="n"/>
      <c r="C741" s="64" t="n"/>
      <c r="D741" s="167" t="n"/>
      <c r="E741" s="63" t="n"/>
      <c r="F741" s="63" t="n"/>
    </row>
    <row r="742">
      <c r="A742" s="166" t="n"/>
      <c r="B742" s="63" t="n"/>
      <c r="C742" s="64" t="n"/>
      <c r="D742" s="167" t="n"/>
      <c r="E742" s="63" t="n"/>
      <c r="F742" s="63" t="n"/>
    </row>
    <row r="743">
      <c r="A743" s="166" t="n"/>
      <c r="B743" s="63" t="n"/>
      <c r="C743" s="64" t="n"/>
      <c r="D743" s="167" t="n"/>
      <c r="E743" s="63" t="n"/>
      <c r="F743" s="63" t="n"/>
    </row>
    <row r="744">
      <c r="A744" s="166" t="n"/>
      <c r="B744" s="63" t="n"/>
      <c r="C744" s="64" t="n"/>
      <c r="D744" s="167" t="n"/>
      <c r="E744" s="63" t="n"/>
      <c r="F744" s="63" t="n"/>
    </row>
    <row r="745">
      <c r="A745" s="166" t="n"/>
      <c r="B745" s="63" t="n"/>
      <c r="C745" s="64" t="n"/>
      <c r="D745" s="167" t="n"/>
      <c r="E745" s="63" t="n"/>
      <c r="F745" s="63" t="n"/>
    </row>
    <row r="746">
      <c r="A746" s="166" t="n"/>
      <c r="B746" s="63" t="n"/>
      <c r="C746" s="64" t="n"/>
      <c r="D746" s="167" t="n"/>
      <c r="E746" s="63" t="n"/>
      <c r="F746" s="63" t="n"/>
    </row>
    <row r="747">
      <c r="A747" s="166" t="n"/>
      <c r="B747" s="63" t="n"/>
      <c r="C747" s="64" t="n"/>
      <c r="D747" s="167" t="n"/>
      <c r="E747" s="63" t="n"/>
      <c r="F747" s="63" t="n"/>
    </row>
    <row r="748">
      <c r="A748" s="166" t="n"/>
      <c r="B748" s="63" t="n"/>
      <c r="C748" s="64" t="n"/>
      <c r="D748" s="167" t="n"/>
      <c r="E748" s="63" t="n"/>
      <c r="F748" s="63" t="n"/>
    </row>
    <row r="749">
      <c r="A749" s="166" t="n"/>
      <c r="B749" s="63" t="n"/>
      <c r="C749" s="64" t="n"/>
      <c r="D749" s="167" t="n"/>
      <c r="E749" s="63" t="n"/>
      <c r="F749" s="63" t="n"/>
    </row>
    <row r="750">
      <c r="A750" s="166" t="n"/>
      <c r="B750" s="63" t="n"/>
      <c r="C750" s="64" t="n"/>
      <c r="D750" s="167" t="n"/>
      <c r="E750" s="63" t="n"/>
      <c r="F750" s="63" t="n"/>
    </row>
    <row r="751">
      <c r="A751" s="166" t="n"/>
      <c r="B751" s="63" t="n"/>
      <c r="C751" s="64" t="n"/>
      <c r="D751" s="167" t="n"/>
      <c r="E751" s="63" t="n"/>
      <c r="F751" s="63" t="n"/>
    </row>
    <row r="752">
      <c r="A752" s="166" t="n"/>
      <c r="B752" s="63" t="n"/>
      <c r="C752" s="64" t="n"/>
      <c r="D752" s="167" t="n"/>
      <c r="E752" s="63" t="n"/>
      <c r="F752" s="63" t="n"/>
    </row>
    <row r="753">
      <c r="A753" s="166" t="n"/>
      <c r="B753" s="63" t="n"/>
      <c r="C753" s="64" t="n"/>
      <c r="D753" s="167" t="n"/>
      <c r="E753" s="63" t="n"/>
      <c r="F753" s="63" t="n"/>
    </row>
    <row r="754">
      <c r="A754" s="166" t="n"/>
      <c r="B754" s="63" t="n"/>
      <c r="C754" s="64" t="n"/>
      <c r="D754" s="167" t="n"/>
      <c r="E754" s="63" t="n"/>
      <c r="F754" s="63" t="n"/>
    </row>
    <row r="755">
      <c r="A755" s="166" t="n"/>
      <c r="B755" s="63" t="n"/>
      <c r="C755" s="64" t="n"/>
      <c r="D755" s="167" t="n"/>
      <c r="E755" s="63" t="n"/>
      <c r="F755" s="63" t="n"/>
    </row>
    <row r="756">
      <c r="A756" s="166" t="n"/>
      <c r="B756" s="63" t="n"/>
      <c r="C756" s="64" t="n"/>
      <c r="D756" s="167" t="n"/>
      <c r="E756" s="63" t="n"/>
      <c r="F756" s="63" t="n"/>
    </row>
    <row r="757">
      <c r="A757" s="166" t="n"/>
      <c r="B757" s="63" t="n"/>
      <c r="C757" s="64" t="n"/>
      <c r="D757" s="167" t="n"/>
      <c r="E757" s="63" t="n"/>
      <c r="F757" s="63" t="n"/>
    </row>
    <row r="758">
      <c r="A758" s="166" t="n"/>
      <c r="B758" s="63" t="n"/>
      <c r="C758" s="64" t="n"/>
      <c r="D758" s="167" t="n"/>
      <c r="E758" s="63" t="n"/>
      <c r="F758" s="63" t="n"/>
    </row>
    <row r="759">
      <c r="A759" s="166" t="n"/>
      <c r="B759" s="63" t="n"/>
      <c r="C759" s="64" t="n"/>
      <c r="D759" s="167" t="n"/>
      <c r="E759" s="63" t="n"/>
      <c r="F759" s="63" t="n"/>
    </row>
    <row r="760">
      <c r="A760" s="166" t="n"/>
      <c r="B760" s="63" t="n"/>
      <c r="C760" s="64" t="n"/>
      <c r="D760" s="167" t="n"/>
      <c r="E760" s="63" t="n"/>
      <c r="F760" s="63" t="n"/>
    </row>
    <row r="761">
      <c r="A761" s="166" t="n"/>
      <c r="B761" s="63" t="n"/>
      <c r="C761" s="64" t="n"/>
      <c r="D761" s="167" t="n"/>
      <c r="E761" s="63" t="n"/>
      <c r="F761" s="63" t="n"/>
    </row>
    <row r="762">
      <c r="A762" s="166" t="n"/>
      <c r="B762" s="63" t="n"/>
      <c r="C762" s="64" t="n"/>
      <c r="D762" s="167" t="n"/>
      <c r="E762" s="63" t="n"/>
      <c r="F762" s="63" t="n"/>
    </row>
    <row r="763">
      <c r="A763" s="166" t="n"/>
      <c r="B763" s="63" t="n"/>
      <c r="C763" s="64" t="n"/>
      <c r="D763" s="167" t="n"/>
      <c r="E763" s="63" t="n"/>
      <c r="F763" s="63" t="n"/>
    </row>
    <row r="764">
      <c r="A764" s="166" t="n"/>
      <c r="B764" s="63" t="n"/>
      <c r="C764" s="64" t="n"/>
      <c r="D764" s="167" t="n"/>
      <c r="E764" s="63" t="n"/>
      <c r="F764" s="63" t="n"/>
    </row>
    <row r="765">
      <c r="A765" s="166" t="n"/>
      <c r="B765" s="63" t="n"/>
      <c r="C765" s="64" t="n"/>
      <c r="D765" s="167" t="n"/>
      <c r="E765" s="63" t="n"/>
      <c r="F765" s="63" t="n"/>
    </row>
    <row r="766">
      <c r="A766" s="166" t="n"/>
      <c r="B766" s="63" t="n"/>
      <c r="C766" s="64" t="n"/>
      <c r="D766" s="167" t="n"/>
      <c r="E766" s="63" t="n"/>
      <c r="F766" s="63" t="n"/>
    </row>
    <row r="767">
      <c r="A767" s="166" t="n"/>
      <c r="B767" s="63" t="n"/>
      <c r="C767" s="64" t="n"/>
      <c r="D767" s="167" t="n"/>
      <c r="E767" s="63" t="n"/>
      <c r="F767" s="63" t="n"/>
    </row>
    <row r="768">
      <c r="A768" s="166" t="n"/>
      <c r="B768" s="63" t="n"/>
      <c r="C768" s="64" t="n"/>
      <c r="D768" s="167" t="n"/>
      <c r="E768" s="63" t="n"/>
      <c r="F768" s="63" t="n"/>
    </row>
    <row r="769">
      <c r="A769" s="166" t="n"/>
      <c r="B769" s="63" t="n"/>
      <c r="C769" s="64" t="n"/>
      <c r="D769" s="167" t="n"/>
      <c r="E769" s="63" t="n"/>
      <c r="F769" s="63" t="n"/>
    </row>
    <row r="770">
      <c r="A770" s="166" t="n"/>
      <c r="B770" s="63" t="n"/>
      <c r="C770" s="64" t="n"/>
      <c r="D770" s="167" t="n"/>
      <c r="E770" s="63" t="n"/>
      <c r="F770" s="63" t="n"/>
    </row>
    <row r="771">
      <c r="A771" s="166" t="n"/>
      <c r="B771" s="63" t="n"/>
      <c r="C771" s="64" t="n"/>
      <c r="D771" s="167" t="n"/>
      <c r="E771" s="63" t="n"/>
      <c r="F771" s="63" t="n"/>
    </row>
    <row r="772">
      <c r="A772" s="166" t="n"/>
      <c r="B772" s="63" t="n"/>
      <c r="C772" s="64" t="n"/>
      <c r="D772" s="167" t="n"/>
      <c r="E772" s="63" t="n"/>
      <c r="F772" s="63" t="n"/>
    </row>
    <row r="773">
      <c r="A773" s="166" t="n"/>
      <c r="B773" s="63" t="n"/>
      <c r="C773" s="64" t="n"/>
      <c r="D773" s="167" t="n"/>
      <c r="E773" s="63" t="n"/>
      <c r="F773" s="63" t="n"/>
    </row>
    <row r="774">
      <c r="A774" s="166" t="n"/>
      <c r="B774" s="63" t="n"/>
      <c r="C774" s="64" t="n"/>
      <c r="D774" s="167" t="n"/>
      <c r="E774" s="63" t="n"/>
      <c r="F774" s="63" t="n"/>
    </row>
    <row r="775">
      <c r="A775" s="166" t="n"/>
      <c r="B775" s="63" t="n"/>
      <c r="C775" s="64" t="n"/>
      <c r="D775" s="167" t="n"/>
      <c r="E775" s="63" t="n"/>
      <c r="F775" s="63" t="n"/>
    </row>
    <row r="776">
      <c r="A776" s="166" t="n"/>
      <c r="B776" s="63" t="n"/>
      <c r="C776" s="64" t="n"/>
      <c r="D776" s="167" t="n"/>
      <c r="E776" s="63" t="n"/>
      <c r="F776" s="63" t="n"/>
    </row>
    <row r="777">
      <c r="A777" s="166" t="n"/>
      <c r="B777" s="63" t="n"/>
      <c r="C777" s="64" t="n"/>
      <c r="D777" s="167" t="n"/>
      <c r="E777" s="63" t="n"/>
      <c r="F777" s="63" t="n"/>
    </row>
    <row r="778">
      <c r="A778" s="166" t="n"/>
      <c r="B778" s="63" t="n"/>
      <c r="C778" s="64" t="n"/>
      <c r="D778" s="167" t="n"/>
      <c r="E778" s="63" t="n"/>
      <c r="F778" s="63" t="n"/>
    </row>
    <row r="779">
      <c r="A779" s="166" t="n"/>
      <c r="B779" s="63" t="n"/>
      <c r="C779" s="64" t="n"/>
      <c r="D779" s="167" t="n"/>
      <c r="E779" s="63" t="n"/>
      <c r="F779" s="63" t="n"/>
    </row>
    <row r="780">
      <c r="A780" s="166" t="n"/>
      <c r="B780" s="63" t="n"/>
      <c r="C780" s="64" t="n"/>
      <c r="D780" s="167" t="n"/>
      <c r="E780" s="63" t="n"/>
      <c r="F780" s="63" t="n"/>
    </row>
    <row r="781">
      <c r="A781" s="166" t="n"/>
      <c r="B781" s="63" t="n"/>
      <c r="C781" s="64" t="n"/>
      <c r="D781" s="167" t="n"/>
      <c r="E781" s="63" t="n"/>
      <c r="F781" s="63" t="n"/>
    </row>
    <row r="782">
      <c r="A782" s="166" t="n"/>
      <c r="B782" s="63" t="n"/>
      <c r="C782" s="64" t="n"/>
      <c r="D782" s="167" t="n"/>
      <c r="E782" s="63" t="n"/>
      <c r="F782" s="63" t="n"/>
    </row>
    <row r="783">
      <c r="A783" s="166" t="n"/>
      <c r="B783" s="63" t="n"/>
      <c r="C783" s="64" t="n"/>
      <c r="D783" s="167" t="n"/>
      <c r="E783" s="63" t="n"/>
      <c r="F783" s="63" t="n"/>
    </row>
    <row r="784">
      <c r="A784" s="166" t="n"/>
      <c r="B784" s="63" t="n"/>
      <c r="C784" s="64" t="n"/>
      <c r="D784" s="167" t="n"/>
      <c r="E784" s="63" t="n"/>
      <c r="F784" s="63" t="n"/>
    </row>
    <row r="785">
      <c r="A785" s="166" t="n"/>
      <c r="B785" s="63" t="n"/>
      <c r="C785" s="64" t="n"/>
      <c r="D785" s="167" t="n"/>
      <c r="E785" s="63" t="n"/>
      <c r="F785" s="63" t="n"/>
    </row>
    <row r="786">
      <c r="A786" s="166" t="n"/>
      <c r="B786" s="63" t="n"/>
      <c r="C786" s="64" t="n"/>
      <c r="D786" s="167" t="n"/>
      <c r="E786" s="63" t="n"/>
      <c r="F786" s="63" t="n"/>
    </row>
    <row r="787">
      <c r="A787" s="166" t="n"/>
      <c r="B787" s="63" t="n"/>
      <c r="C787" s="64" t="n"/>
      <c r="D787" s="167" t="n"/>
      <c r="E787" s="63" t="n"/>
      <c r="F787" s="63" t="n"/>
    </row>
    <row r="788">
      <c r="A788" s="166" t="n"/>
      <c r="B788" s="63" t="n"/>
      <c r="C788" s="64" t="n"/>
      <c r="D788" s="167" t="n"/>
      <c r="E788" s="63" t="n"/>
      <c r="F788" s="63" t="n"/>
    </row>
    <row r="789">
      <c r="A789" s="166" t="n"/>
      <c r="B789" s="63" t="n"/>
      <c r="C789" s="64" t="n"/>
      <c r="D789" s="167" t="n"/>
      <c r="E789" s="63" t="n"/>
      <c r="F789" s="63" t="n"/>
    </row>
    <row r="790">
      <c r="A790" s="166" t="n"/>
      <c r="B790" s="63" t="n"/>
      <c r="C790" s="64" t="n"/>
      <c r="D790" s="167" t="n"/>
      <c r="E790" s="63" t="n"/>
      <c r="F790" s="63" t="n"/>
    </row>
    <row r="791">
      <c r="A791" s="166" t="n"/>
      <c r="B791" s="63" t="n"/>
      <c r="C791" s="64" t="n"/>
      <c r="D791" s="167" t="n"/>
      <c r="E791" s="63" t="n"/>
      <c r="F791" s="63" t="n"/>
    </row>
    <row r="792">
      <c r="A792" s="166" t="n"/>
      <c r="B792" s="63" t="n"/>
      <c r="C792" s="64" t="n"/>
      <c r="D792" s="167" t="n"/>
      <c r="E792" s="63" t="n"/>
      <c r="F792" s="63" t="n"/>
    </row>
    <row r="793">
      <c r="A793" s="166" t="n"/>
      <c r="B793" s="63" t="n"/>
      <c r="C793" s="64" t="n"/>
      <c r="D793" s="167" t="n"/>
      <c r="E793" s="63" t="n"/>
      <c r="F793" s="63" t="n"/>
    </row>
    <row r="794">
      <c r="A794" s="166" t="n"/>
      <c r="B794" s="63" t="n"/>
      <c r="C794" s="64" t="n"/>
      <c r="D794" s="167" t="n"/>
      <c r="E794" s="63" t="n"/>
      <c r="F794" s="63" t="n"/>
    </row>
    <row r="795">
      <c r="A795" s="166" t="n"/>
      <c r="B795" s="63" t="n"/>
      <c r="C795" s="64" t="n"/>
      <c r="D795" s="167" t="n"/>
      <c r="E795" s="63" t="n"/>
      <c r="F795" s="63" t="n"/>
    </row>
    <row r="796">
      <c r="A796" s="166" t="n"/>
      <c r="B796" s="63" t="n"/>
      <c r="C796" s="64" t="n"/>
      <c r="D796" s="167" t="n"/>
      <c r="E796" s="63" t="n"/>
      <c r="F796" s="63" t="n"/>
    </row>
    <row r="797">
      <c r="A797" s="166" t="n"/>
      <c r="B797" s="63" t="n"/>
      <c r="C797" s="64" t="n"/>
      <c r="D797" s="167" t="n"/>
      <c r="E797" s="63" t="n"/>
      <c r="F797" s="63" t="n"/>
    </row>
    <row r="798">
      <c r="A798" s="166" t="n"/>
      <c r="B798" s="63" t="n"/>
      <c r="C798" s="64" t="n"/>
      <c r="D798" s="167" t="n"/>
      <c r="E798" s="63" t="n"/>
      <c r="F798" s="63" t="n"/>
    </row>
    <row r="799">
      <c r="A799" s="166" t="n"/>
      <c r="B799" s="63" t="n"/>
      <c r="C799" s="64" t="n"/>
      <c r="D799" s="167" t="n"/>
      <c r="E799" s="63" t="n"/>
      <c r="F799" s="63" t="n"/>
    </row>
    <row r="800">
      <c r="A800" s="166" t="n"/>
      <c r="B800" s="63" t="n"/>
      <c r="C800" s="64" t="n"/>
      <c r="D800" s="167" t="n"/>
      <c r="E800" s="63" t="n"/>
      <c r="F800" s="63" t="n"/>
    </row>
    <row r="801">
      <c r="A801" s="166" t="n"/>
      <c r="B801" s="63" t="n"/>
      <c r="C801" s="64" t="n"/>
      <c r="D801" s="167" t="n"/>
      <c r="E801" s="63" t="n"/>
      <c r="F801" s="63" t="n"/>
    </row>
    <row r="802">
      <c r="A802" s="166" t="n"/>
      <c r="B802" s="63" t="n"/>
      <c r="C802" s="64" t="n"/>
      <c r="D802" s="167" t="n"/>
      <c r="E802" s="63" t="n"/>
      <c r="F802" s="63" t="n"/>
    </row>
    <row r="803">
      <c r="A803" s="166" t="n"/>
      <c r="B803" s="63" t="n"/>
      <c r="C803" s="64" t="n"/>
      <c r="D803" s="167" t="n"/>
      <c r="E803" s="63" t="n"/>
      <c r="F803" s="63" t="n"/>
    </row>
    <row r="804">
      <c r="A804" s="166" t="n"/>
      <c r="B804" s="63" t="n"/>
      <c r="C804" s="64" t="n"/>
      <c r="D804" s="167" t="n"/>
      <c r="E804" s="63" t="n"/>
      <c r="F804" s="63" t="n"/>
    </row>
    <row r="805">
      <c r="A805" s="166" t="n"/>
      <c r="B805" s="63" t="n"/>
      <c r="C805" s="64" t="n"/>
      <c r="D805" s="167" t="n"/>
      <c r="E805" s="63" t="n"/>
      <c r="F805" s="63" t="n"/>
    </row>
    <row r="806">
      <c r="A806" s="166" t="n"/>
      <c r="B806" s="63" t="n"/>
      <c r="C806" s="64" t="n"/>
      <c r="D806" s="167" t="n"/>
      <c r="E806" s="63" t="n"/>
      <c r="F806" s="63" t="n"/>
    </row>
    <row r="807">
      <c r="A807" s="166" t="n"/>
      <c r="B807" s="63" t="n"/>
      <c r="C807" s="64" t="n"/>
      <c r="D807" s="167" t="n"/>
      <c r="E807" s="63" t="n"/>
      <c r="F807" s="63" t="n"/>
    </row>
    <row r="808">
      <c r="A808" s="166" t="n"/>
      <c r="B808" s="63" t="n"/>
      <c r="C808" s="64" t="n"/>
      <c r="D808" s="167" t="n"/>
      <c r="E808" s="63" t="n"/>
      <c r="F808" s="63" t="n"/>
    </row>
    <row r="809">
      <c r="A809" s="166" t="n"/>
      <c r="B809" s="63" t="n"/>
      <c r="C809" s="64" t="n"/>
      <c r="D809" s="167" t="n"/>
      <c r="E809" s="63" t="n"/>
      <c r="F809" s="63" t="n"/>
    </row>
    <row r="810">
      <c r="A810" s="166" t="n"/>
      <c r="B810" s="63" t="n"/>
      <c r="C810" s="64" t="n"/>
      <c r="D810" s="167" t="n"/>
      <c r="E810" s="63" t="n"/>
      <c r="F810" s="63" t="n"/>
    </row>
    <row r="811">
      <c r="A811" s="166" t="n"/>
      <c r="B811" s="63" t="n"/>
      <c r="C811" s="64" t="n"/>
      <c r="D811" s="167" t="n"/>
      <c r="E811" s="63" t="n"/>
      <c r="F811" s="63" t="n"/>
    </row>
    <row r="812">
      <c r="A812" s="166" t="n"/>
      <c r="B812" s="63" t="n"/>
      <c r="C812" s="64" t="n"/>
      <c r="D812" s="167" t="n"/>
      <c r="E812" s="63" t="n"/>
      <c r="F812" s="63" t="n"/>
    </row>
    <row r="813">
      <c r="A813" s="166" t="n"/>
      <c r="B813" s="63" t="n"/>
      <c r="C813" s="64" t="n"/>
      <c r="D813" s="167" t="n"/>
      <c r="E813" s="63" t="n"/>
      <c r="F813" s="63" t="n"/>
    </row>
    <row r="814">
      <c r="A814" s="166" t="n"/>
      <c r="B814" s="63" t="n"/>
      <c r="C814" s="64" t="n"/>
      <c r="D814" s="167" t="n"/>
      <c r="E814" s="63" t="n"/>
      <c r="F814" s="63" t="n"/>
    </row>
    <row r="815">
      <c r="A815" s="166" t="n"/>
      <c r="B815" s="63" t="n"/>
      <c r="C815" s="64" t="n"/>
      <c r="D815" s="167" t="n"/>
      <c r="E815" s="63" t="n"/>
      <c r="F815" s="63" t="n"/>
    </row>
    <row r="816">
      <c r="A816" s="166" t="n"/>
      <c r="B816" s="63" t="n"/>
      <c r="C816" s="64" t="n"/>
      <c r="D816" s="167" t="n"/>
      <c r="E816" s="63" t="n"/>
      <c r="F816" s="63" t="n"/>
    </row>
    <row r="817">
      <c r="A817" s="166" t="n"/>
      <c r="B817" s="63" t="n"/>
      <c r="C817" s="64" t="n"/>
      <c r="D817" s="167" t="n"/>
      <c r="E817" s="63" t="n"/>
      <c r="F817" s="63" t="n"/>
    </row>
    <row r="818">
      <c r="A818" s="166" t="n"/>
      <c r="B818" s="63" t="n"/>
      <c r="C818" s="64" t="n"/>
      <c r="D818" s="167" t="n"/>
      <c r="E818" s="63" t="n"/>
      <c r="F818" s="63" t="n"/>
    </row>
    <row r="819">
      <c r="A819" s="166" t="n"/>
      <c r="B819" s="63" t="n"/>
      <c r="C819" s="64" t="n"/>
      <c r="D819" s="167" t="n"/>
      <c r="E819" s="63" t="n"/>
      <c r="F819" s="63" t="n"/>
    </row>
    <row r="820">
      <c r="A820" s="166" t="n"/>
      <c r="B820" s="63" t="n"/>
      <c r="C820" s="64" t="n"/>
      <c r="D820" s="167" t="n"/>
      <c r="E820" s="63" t="n"/>
      <c r="F820" s="63" t="n"/>
    </row>
    <row r="821">
      <c r="A821" s="166" t="n"/>
      <c r="B821" s="63" t="n"/>
      <c r="C821" s="64" t="n"/>
      <c r="D821" s="167" t="n"/>
      <c r="E821" s="63" t="n"/>
      <c r="F821" s="63" t="n"/>
    </row>
    <row r="822">
      <c r="A822" s="166" t="n"/>
      <c r="B822" s="63" t="n"/>
      <c r="C822" s="64" t="n"/>
      <c r="D822" s="167" t="n"/>
      <c r="E822" s="63" t="n"/>
      <c r="F822" s="63" t="n"/>
    </row>
    <row r="823">
      <c r="A823" s="166" t="n"/>
      <c r="B823" s="63" t="n"/>
      <c r="C823" s="64" t="n"/>
      <c r="D823" s="167" t="n"/>
      <c r="E823" s="63" t="n"/>
      <c r="F823" s="63" t="n"/>
    </row>
    <row r="824">
      <c r="A824" s="166" t="n"/>
      <c r="B824" s="63" t="n"/>
      <c r="C824" s="64" t="n"/>
      <c r="D824" s="167" t="n"/>
      <c r="E824" s="63" t="n"/>
      <c r="F824" s="63" t="n"/>
    </row>
    <row r="825">
      <c r="A825" s="166" t="n"/>
      <c r="B825" s="63" t="n"/>
      <c r="C825" s="64" t="n"/>
      <c r="D825" s="167" t="n"/>
      <c r="E825" s="63" t="n"/>
      <c r="F825" s="63" t="n"/>
    </row>
    <row r="826">
      <c r="A826" s="166" t="n"/>
      <c r="B826" s="63" t="n"/>
      <c r="C826" s="64" t="n"/>
      <c r="D826" s="167" t="n"/>
      <c r="E826" s="63" t="n"/>
      <c r="F826" s="63" t="n"/>
    </row>
    <row r="827">
      <c r="A827" s="166" t="n"/>
      <c r="B827" s="63" t="n"/>
      <c r="C827" s="64" t="n"/>
      <c r="D827" s="167" t="n"/>
      <c r="E827" s="63" t="n"/>
      <c r="F827" s="63" t="n"/>
    </row>
    <row r="828">
      <c r="A828" s="166" t="n"/>
      <c r="B828" s="63" t="n"/>
      <c r="C828" s="64" t="n"/>
      <c r="D828" s="167" t="n"/>
      <c r="E828" s="63" t="n"/>
      <c r="F828" s="63" t="n"/>
    </row>
    <row r="829">
      <c r="A829" s="166" t="n"/>
      <c r="B829" s="63" t="n"/>
      <c r="C829" s="64" t="n"/>
      <c r="D829" s="167" t="n"/>
      <c r="E829" s="63" t="n"/>
      <c r="F829" s="63" t="n"/>
    </row>
    <row r="830">
      <c r="A830" s="166" t="n"/>
      <c r="B830" s="63" t="n"/>
      <c r="C830" s="64" t="n"/>
      <c r="D830" s="167" t="n"/>
      <c r="E830" s="63" t="n"/>
      <c r="F830" s="63" t="n"/>
    </row>
    <row r="831">
      <c r="A831" s="166" t="n"/>
      <c r="B831" s="63" t="n"/>
      <c r="C831" s="64" t="n"/>
      <c r="D831" s="167" t="n"/>
      <c r="E831" s="63" t="n"/>
      <c r="F831" s="63" t="n"/>
    </row>
    <row r="832">
      <c r="A832" s="166" t="n"/>
      <c r="B832" s="63" t="n"/>
      <c r="C832" s="64" t="n"/>
      <c r="D832" s="167" t="n"/>
      <c r="E832" s="63" t="n"/>
      <c r="F832" s="63" t="n"/>
    </row>
    <row r="833">
      <c r="A833" s="166" t="n"/>
      <c r="B833" s="63" t="n"/>
      <c r="C833" s="64" t="n"/>
      <c r="D833" s="167" t="n"/>
      <c r="E833" s="63" t="n"/>
      <c r="F833" s="63" t="n"/>
    </row>
    <row r="834">
      <c r="A834" s="166" t="n"/>
      <c r="B834" s="63" t="n"/>
      <c r="C834" s="64" t="n"/>
      <c r="D834" s="167" t="n"/>
      <c r="E834" s="63" t="n"/>
      <c r="F834" s="63" t="n"/>
    </row>
    <row r="835">
      <c r="A835" s="166" t="n"/>
      <c r="B835" s="63" t="n"/>
      <c r="C835" s="64" t="n"/>
      <c r="D835" s="167" t="n"/>
      <c r="E835" s="63" t="n"/>
      <c r="F835" s="63" t="n"/>
    </row>
    <row r="836">
      <c r="A836" s="166" t="n"/>
      <c r="B836" s="63" t="n"/>
      <c r="C836" s="64" t="n"/>
      <c r="D836" s="167" t="n"/>
      <c r="E836" s="63" t="n"/>
      <c r="F836" s="63" t="n"/>
    </row>
    <row r="837">
      <c r="A837" s="166" t="n"/>
      <c r="B837" s="63" t="n"/>
      <c r="C837" s="64" t="n"/>
      <c r="D837" s="167" t="n"/>
      <c r="E837" s="63" t="n"/>
      <c r="F837" s="63" t="n"/>
    </row>
    <row r="838">
      <c r="A838" s="166" t="n"/>
      <c r="B838" s="63" t="n"/>
      <c r="C838" s="64" t="n"/>
      <c r="D838" s="167" t="n"/>
      <c r="E838" s="63" t="n"/>
      <c r="F838" s="63" t="n"/>
    </row>
    <row r="839">
      <c r="A839" s="166" t="n"/>
      <c r="B839" s="63" t="n"/>
      <c r="C839" s="64" t="n"/>
      <c r="D839" s="167" t="n"/>
      <c r="E839" s="63" t="n"/>
      <c r="F839" s="63" t="n"/>
    </row>
    <row r="840">
      <c r="A840" s="166" t="n"/>
      <c r="B840" s="63" t="n"/>
      <c r="C840" s="64" t="n"/>
      <c r="D840" s="167" t="n"/>
      <c r="E840" s="63" t="n"/>
      <c r="F840" s="63" t="n"/>
    </row>
    <row r="841">
      <c r="A841" s="166" t="n"/>
      <c r="B841" s="63" t="n"/>
      <c r="C841" s="64" t="n"/>
      <c r="D841" s="167" t="n"/>
      <c r="E841" s="63" t="n"/>
      <c r="F841" s="63" t="n"/>
    </row>
    <row r="842">
      <c r="A842" s="166" t="n"/>
      <c r="B842" s="63" t="n"/>
      <c r="C842" s="64" t="n"/>
      <c r="D842" s="167" t="n"/>
      <c r="E842" s="63" t="n"/>
      <c r="F842" s="63" t="n"/>
    </row>
    <row r="843">
      <c r="A843" s="166" t="n"/>
      <c r="B843" s="63" t="n"/>
      <c r="C843" s="64" t="n"/>
      <c r="D843" s="167" t="n"/>
      <c r="E843" s="63" t="n"/>
      <c r="F843" s="63" t="n"/>
    </row>
    <row r="844">
      <c r="A844" s="166" t="n"/>
      <c r="B844" s="63" t="n"/>
      <c r="C844" s="64" t="n"/>
      <c r="D844" s="167" t="n"/>
      <c r="E844" s="63" t="n"/>
      <c r="F844" s="63" t="n"/>
    </row>
    <row r="845">
      <c r="A845" s="166" t="n"/>
      <c r="B845" s="63" t="n"/>
      <c r="C845" s="64" t="n"/>
      <c r="D845" s="167" t="n"/>
      <c r="E845" s="63" t="n"/>
      <c r="F845" s="63" t="n"/>
    </row>
    <row r="846">
      <c r="A846" s="166" t="n"/>
      <c r="B846" s="63" t="n"/>
      <c r="C846" s="64" t="n"/>
      <c r="D846" s="167" t="n"/>
      <c r="E846" s="63" t="n"/>
      <c r="F846" s="63" t="n"/>
    </row>
    <row r="847">
      <c r="A847" s="166" t="n"/>
      <c r="B847" s="63" t="n"/>
      <c r="C847" s="64" t="n"/>
      <c r="D847" s="167" t="n"/>
      <c r="E847" s="63" t="n"/>
      <c r="F847" s="63" t="n"/>
    </row>
    <row r="848">
      <c r="A848" s="166" t="n"/>
      <c r="B848" s="63" t="n"/>
      <c r="C848" s="64" t="n"/>
      <c r="D848" s="167" t="n"/>
      <c r="E848" s="63" t="n"/>
      <c r="F848" s="63" t="n"/>
    </row>
    <row r="849">
      <c r="A849" s="166" t="n"/>
      <c r="B849" s="63" t="n"/>
      <c r="C849" s="64" t="n"/>
      <c r="D849" s="167" t="n"/>
      <c r="E849" s="63" t="n"/>
      <c r="F849" s="63" t="n"/>
    </row>
    <row r="850">
      <c r="A850" s="166" t="n"/>
      <c r="B850" s="63" t="n"/>
      <c r="C850" s="64" t="n"/>
      <c r="D850" s="167" t="n"/>
      <c r="E850" s="63" t="n"/>
      <c r="F850" s="63" t="n"/>
    </row>
    <row r="851">
      <c r="A851" s="166" t="n"/>
      <c r="B851" s="63" t="n"/>
      <c r="C851" s="64" t="n"/>
      <c r="D851" s="167" t="n"/>
      <c r="E851" s="63" t="n"/>
      <c r="F851" s="63" t="n"/>
    </row>
    <row r="852">
      <c r="A852" s="166" t="n"/>
      <c r="B852" s="63" t="n"/>
      <c r="C852" s="64" t="n"/>
      <c r="D852" s="167" t="n"/>
      <c r="E852" s="63" t="n"/>
      <c r="F852" s="63" t="n"/>
    </row>
    <row r="853">
      <c r="A853" s="166" t="n"/>
      <c r="B853" s="63" t="n"/>
      <c r="C853" s="64" t="n"/>
      <c r="D853" s="167" t="n"/>
      <c r="E853" s="63" t="n"/>
      <c r="F853" s="63" t="n"/>
    </row>
    <row r="854">
      <c r="A854" s="166" t="n"/>
      <c r="B854" s="63" t="n"/>
      <c r="C854" s="64" t="n"/>
      <c r="D854" s="167" t="n"/>
      <c r="E854" s="63" t="n"/>
      <c r="F854" s="63" t="n"/>
    </row>
    <row r="855">
      <c r="A855" s="166" t="n"/>
      <c r="B855" s="63" t="n"/>
      <c r="C855" s="64" t="n"/>
      <c r="D855" s="167" t="n"/>
      <c r="E855" s="63" t="n"/>
      <c r="F855" s="63" t="n"/>
    </row>
    <row r="856">
      <c r="A856" s="166" t="n"/>
      <c r="B856" s="63" t="n"/>
      <c r="C856" s="64" t="n"/>
      <c r="D856" s="167" t="n"/>
      <c r="E856" s="63" t="n"/>
      <c r="F856" s="63" t="n"/>
    </row>
    <row r="857">
      <c r="A857" s="166" t="n"/>
      <c r="B857" s="63" t="n"/>
      <c r="C857" s="64" t="n"/>
      <c r="D857" s="167" t="n"/>
      <c r="E857" s="63" t="n"/>
      <c r="F857" s="63" t="n"/>
    </row>
    <row r="858">
      <c r="A858" s="166" t="n"/>
      <c r="B858" s="63" t="n"/>
      <c r="C858" s="64" t="n"/>
      <c r="D858" s="167" t="n"/>
      <c r="E858" s="63" t="n"/>
      <c r="F858" s="63" t="n"/>
    </row>
    <row r="859">
      <c r="A859" s="166" t="n"/>
      <c r="B859" s="63" t="n"/>
      <c r="C859" s="64" t="n"/>
      <c r="D859" s="167" t="n"/>
      <c r="E859" s="63" t="n"/>
      <c r="F859" s="63" t="n"/>
    </row>
    <row r="860">
      <c r="A860" s="166" t="n"/>
      <c r="B860" s="63" t="n"/>
      <c r="C860" s="64" t="n"/>
      <c r="D860" s="167" t="n"/>
      <c r="E860" s="63" t="n"/>
      <c r="F860" s="63" t="n"/>
    </row>
    <row r="861">
      <c r="A861" s="166" t="n"/>
      <c r="B861" s="63" t="n"/>
      <c r="C861" s="64" t="n"/>
      <c r="D861" s="167" t="n"/>
      <c r="E861" s="63" t="n"/>
      <c r="F861" s="63" t="n"/>
    </row>
    <row r="862">
      <c r="A862" s="166" t="n"/>
      <c r="B862" s="63" t="n"/>
      <c r="C862" s="64" t="n"/>
      <c r="D862" s="167" t="n"/>
      <c r="E862" s="63" t="n"/>
      <c r="F862" s="63" t="n"/>
    </row>
    <row r="863">
      <c r="A863" s="166" t="n"/>
      <c r="B863" s="63" t="n"/>
      <c r="C863" s="64" t="n"/>
      <c r="D863" s="167" t="n"/>
      <c r="E863" s="63" t="n"/>
      <c r="F863" s="63" t="n"/>
    </row>
    <row r="864">
      <c r="A864" s="166" t="n"/>
      <c r="B864" s="63" t="n"/>
      <c r="C864" s="64" t="n"/>
      <c r="D864" s="167" t="n"/>
      <c r="E864" s="63" t="n"/>
      <c r="F864" s="63" t="n"/>
    </row>
    <row r="865">
      <c r="A865" s="166" t="n"/>
      <c r="B865" s="63" t="n"/>
      <c r="C865" s="64" t="n"/>
      <c r="D865" s="167" t="n"/>
      <c r="E865" s="63" t="n"/>
      <c r="F865" s="63" t="n"/>
    </row>
    <row r="866">
      <c r="A866" s="166" t="n"/>
      <c r="B866" s="63" t="n"/>
      <c r="C866" s="64" t="n"/>
      <c r="D866" s="167" t="n"/>
      <c r="E866" s="63" t="n"/>
      <c r="F866" s="63" t="n"/>
    </row>
    <row r="867">
      <c r="A867" s="166" t="n"/>
      <c r="B867" s="63" t="n"/>
      <c r="C867" s="64" t="n"/>
      <c r="D867" s="167" t="n"/>
      <c r="E867" s="63" t="n"/>
      <c r="F867" s="63" t="n"/>
    </row>
    <row r="868">
      <c r="A868" s="166" t="n"/>
      <c r="B868" s="63" t="n"/>
      <c r="C868" s="64" t="n"/>
      <c r="D868" s="167" t="n"/>
      <c r="E868" s="63" t="n"/>
      <c r="F868" s="63" t="n"/>
    </row>
    <row r="869">
      <c r="A869" s="166" t="n"/>
      <c r="B869" s="63" t="n"/>
      <c r="C869" s="64" t="n"/>
      <c r="D869" s="167" t="n"/>
      <c r="E869" s="63" t="n"/>
      <c r="F869" s="63" t="n"/>
    </row>
    <row r="870">
      <c r="A870" s="166" t="n"/>
      <c r="B870" s="63" t="n"/>
      <c r="C870" s="64" t="n"/>
      <c r="D870" s="167" t="n"/>
      <c r="E870" s="63" t="n"/>
      <c r="F870" s="63" t="n"/>
    </row>
    <row r="871">
      <c r="A871" s="166" t="n"/>
      <c r="B871" s="63" t="n"/>
      <c r="C871" s="64" t="n"/>
      <c r="D871" s="167" t="n"/>
      <c r="E871" s="63" t="n"/>
      <c r="F871" s="63" t="n"/>
    </row>
    <row r="872">
      <c r="A872" s="166" t="n"/>
      <c r="B872" s="63" t="n"/>
      <c r="C872" s="64" t="n"/>
      <c r="D872" s="167" t="n"/>
      <c r="E872" s="63" t="n"/>
      <c r="F872" s="63" t="n"/>
    </row>
    <row r="873">
      <c r="A873" s="166" t="n"/>
      <c r="B873" s="63" t="n"/>
      <c r="C873" s="64" t="n"/>
      <c r="D873" s="167" t="n"/>
      <c r="E873" s="63" t="n"/>
      <c r="F873" s="63" t="n"/>
    </row>
    <row r="874">
      <c r="A874" s="166" t="n"/>
      <c r="B874" s="63" t="n"/>
      <c r="C874" s="64" t="n"/>
      <c r="D874" s="167" t="n"/>
      <c r="E874" s="63" t="n"/>
      <c r="F874" s="63" t="n"/>
    </row>
    <row r="875">
      <c r="A875" s="166" t="n"/>
      <c r="B875" s="63" t="n"/>
      <c r="C875" s="64" t="n"/>
      <c r="D875" s="167" t="n"/>
      <c r="E875" s="63" t="n"/>
      <c r="F875" s="63" t="n"/>
    </row>
    <row r="876">
      <c r="A876" s="166" t="n"/>
      <c r="B876" s="63" t="n"/>
      <c r="C876" s="64" t="n"/>
      <c r="D876" s="167" t="n"/>
      <c r="E876" s="63" t="n"/>
      <c r="F876" s="63" t="n"/>
    </row>
    <row r="877">
      <c r="A877" s="166" t="n"/>
      <c r="B877" s="63" t="n"/>
      <c r="C877" s="64" t="n"/>
      <c r="D877" s="167" t="n"/>
      <c r="E877" s="63" t="n"/>
      <c r="F877" s="63" t="n"/>
    </row>
    <row r="878">
      <c r="A878" s="166" t="n"/>
      <c r="B878" s="63" t="n"/>
      <c r="C878" s="64" t="n"/>
      <c r="D878" s="167" t="n"/>
      <c r="E878" s="63" t="n"/>
      <c r="F878" s="63" t="n"/>
    </row>
    <row r="879">
      <c r="A879" s="166" t="n"/>
      <c r="B879" s="63" t="n"/>
      <c r="C879" s="64" t="n"/>
      <c r="D879" s="167" t="n"/>
      <c r="E879" s="63" t="n"/>
      <c r="F879" s="63" t="n"/>
    </row>
    <row r="880">
      <c r="A880" s="166" t="n"/>
      <c r="B880" s="63" t="n"/>
      <c r="C880" s="64" t="n"/>
      <c r="D880" s="167" t="n"/>
      <c r="E880" s="63" t="n"/>
      <c r="F880" s="63" t="n"/>
    </row>
    <row r="881">
      <c r="A881" s="166" t="n"/>
      <c r="B881" s="63" t="n"/>
      <c r="C881" s="64" t="n"/>
      <c r="D881" s="167" t="n"/>
      <c r="E881" s="63" t="n"/>
      <c r="F881" s="63" t="n"/>
    </row>
    <row r="882">
      <c r="A882" s="166" t="n"/>
      <c r="B882" s="63" t="n"/>
      <c r="C882" s="64" t="n"/>
      <c r="D882" s="167" t="n"/>
      <c r="E882" s="63" t="n"/>
      <c r="F882" s="63" t="n"/>
    </row>
    <row r="883">
      <c r="A883" s="166" t="n"/>
      <c r="B883" s="63" t="n"/>
      <c r="C883" s="64" t="n"/>
      <c r="D883" s="167" t="n"/>
      <c r="E883" s="63" t="n"/>
      <c r="F883" s="63" t="n"/>
    </row>
    <row r="884">
      <c r="A884" s="166" t="n"/>
      <c r="B884" s="63" t="n"/>
      <c r="C884" s="64" t="n"/>
      <c r="D884" s="167" t="n"/>
      <c r="E884" s="63" t="n"/>
      <c r="F884" s="63" t="n"/>
    </row>
    <row r="885">
      <c r="A885" s="166" t="n"/>
      <c r="B885" s="63" t="n"/>
      <c r="C885" s="64" t="n"/>
      <c r="D885" s="167" t="n"/>
      <c r="E885" s="63" t="n"/>
      <c r="F885" s="63" t="n"/>
    </row>
    <row r="886">
      <c r="A886" s="166" t="n"/>
      <c r="B886" s="63" t="n"/>
      <c r="C886" s="64" t="n"/>
      <c r="D886" s="167" t="n"/>
      <c r="E886" s="63" t="n"/>
      <c r="F886" s="63" t="n"/>
    </row>
    <row r="887">
      <c r="A887" s="166" t="n"/>
      <c r="B887" s="63" t="n"/>
      <c r="C887" s="64" t="n"/>
      <c r="D887" s="167" t="n"/>
      <c r="E887" s="63" t="n"/>
      <c r="F887" s="63" t="n"/>
    </row>
    <row r="888">
      <c r="A888" s="166" t="n"/>
      <c r="B888" s="63" t="n"/>
      <c r="C888" s="64" t="n"/>
      <c r="D888" s="167" t="n"/>
      <c r="E888" s="63" t="n"/>
      <c r="F888" s="63" t="n"/>
    </row>
    <row r="889">
      <c r="A889" s="166" t="n"/>
      <c r="B889" s="63" t="n"/>
      <c r="C889" s="64" t="n"/>
      <c r="D889" s="167" t="n"/>
      <c r="E889" s="63" t="n"/>
      <c r="F889" s="63" t="n"/>
    </row>
    <row r="890">
      <c r="A890" s="166" t="n"/>
      <c r="B890" s="63" t="n"/>
      <c r="C890" s="64" t="n"/>
      <c r="D890" s="167" t="n"/>
      <c r="E890" s="63" t="n"/>
      <c r="F890" s="63" t="n"/>
    </row>
    <row r="891">
      <c r="A891" s="166" t="n"/>
      <c r="B891" s="63" t="n"/>
      <c r="C891" s="64" t="n"/>
      <c r="D891" s="167" t="n"/>
      <c r="E891" s="63" t="n"/>
      <c r="F891" s="63" t="n"/>
    </row>
    <row r="892">
      <c r="A892" s="166" t="n"/>
      <c r="B892" s="63" t="n"/>
      <c r="C892" s="64" t="n"/>
      <c r="D892" s="167" t="n"/>
      <c r="E892" s="63" t="n"/>
      <c r="F892" s="63" t="n"/>
    </row>
    <row r="893">
      <c r="A893" s="166" t="n"/>
      <c r="B893" s="63" t="n"/>
      <c r="C893" s="64" t="n"/>
      <c r="D893" s="167" t="n"/>
      <c r="E893" s="63" t="n"/>
      <c r="F893" s="63" t="n"/>
    </row>
    <row r="894">
      <c r="A894" s="166" t="n"/>
      <c r="B894" s="63" t="n"/>
      <c r="C894" s="64" t="n"/>
      <c r="D894" s="167" t="n"/>
      <c r="E894" s="63" t="n"/>
      <c r="F894" s="63" t="n"/>
    </row>
    <row r="895">
      <c r="A895" s="166" t="n"/>
      <c r="B895" s="63" t="n"/>
      <c r="C895" s="64" t="n"/>
      <c r="D895" s="167" t="n"/>
      <c r="E895" s="63" t="n"/>
      <c r="F895" s="63" t="n"/>
    </row>
    <row r="896">
      <c r="A896" s="166" t="n"/>
      <c r="B896" s="63" t="n"/>
      <c r="C896" s="64" t="n"/>
      <c r="D896" s="167" t="n"/>
      <c r="E896" s="63" t="n"/>
      <c r="F896" s="63" t="n"/>
    </row>
    <row r="897">
      <c r="A897" s="166" t="n"/>
      <c r="B897" s="63" t="n"/>
      <c r="C897" s="64" t="n"/>
      <c r="D897" s="167" t="n"/>
      <c r="E897" s="63" t="n"/>
      <c r="F897" s="63" t="n"/>
    </row>
    <row r="898">
      <c r="A898" s="166" t="n"/>
      <c r="B898" s="63" t="n"/>
      <c r="C898" s="64" t="n"/>
      <c r="D898" s="167" t="n"/>
      <c r="E898" s="63" t="n"/>
      <c r="F898" s="63" t="n"/>
    </row>
    <row r="899">
      <c r="A899" s="166" t="n"/>
      <c r="B899" s="63" t="n"/>
      <c r="C899" s="64" t="n"/>
      <c r="D899" s="167" t="n"/>
      <c r="E899" s="63" t="n"/>
      <c r="F899" s="63" t="n"/>
    </row>
    <row r="900">
      <c r="A900" s="166" t="n"/>
      <c r="B900" s="63" t="n"/>
      <c r="C900" s="64" t="n"/>
      <c r="D900" s="167" t="n"/>
      <c r="E900" s="63" t="n"/>
      <c r="F900" s="63" t="n"/>
    </row>
    <row r="901">
      <c r="A901" s="166" t="n"/>
      <c r="B901" s="63" t="n"/>
      <c r="C901" s="64" t="n"/>
      <c r="D901" s="167" t="n"/>
      <c r="E901" s="63" t="n"/>
      <c r="F901" s="63" t="n"/>
    </row>
    <row r="902">
      <c r="A902" s="166" t="n"/>
      <c r="B902" s="63" t="n"/>
      <c r="C902" s="64" t="n"/>
      <c r="D902" s="167" t="n"/>
      <c r="E902" s="63" t="n"/>
      <c r="F902" s="63" t="n"/>
    </row>
    <row r="903">
      <c r="A903" s="166" t="n"/>
      <c r="B903" s="63" t="n"/>
      <c r="C903" s="64" t="n"/>
      <c r="D903" s="167" t="n"/>
      <c r="E903" s="63" t="n"/>
      <c r="F903" s="63" t="n"/>
    </row>
    <row r="904">
      <c r="A904" s="166" t="n"/>
      <c r="B904" s="63" t="n"/>
      <c r="C904" s="64" t="n"/>
      <c r="D904" s="167" t="n"/>
      <c r="E904" s="63" t="n"/>
      <c r="F904" s="63" t="n"/>
    </row>
    <row r="905">
      <c r="A905" s="166" t="n"/>
      <c r="B905" s="63" t="n"/>
      <c r="C905" s="64" t="n"/>
      <c r="D905" s="167" t="n"/>
      <c r="E905" s="63" t="n"/>
      <c r="F905" s="63" t="n"/>
    </row>
    <row r="906">
      <c r="A906" s="166" t="n"/>
      <c r="B906" s="63" t="n"/>
      <c r="C906" s="64" t="n"/>
      <c r="D906" s="167" t="n"/>
      <c r="E906" s="63" t="n"/>
      <c r="F906" s="63" t="n"/>
    </row>
    <row r="907">
      <c r="A907" s="166" t="n"/>
      <c r="B907" s="63" t="n"/>
      <c r="C907" s="64" t="n"/>
      <c r="D907" s="167" t="n"/>
      <c r="E907" s="63" t="n"/>
      <c r="F907" s="63" t="n"/>
    </row>
    <row r="908">
      <c r="A908" s="166" t="n"/>
      <c r="B908" s="63" t="n"/>
      <c r="C908" s="64" t="n"/>
      <c r="D908" s="167" t="n"/>
      <c r="E908" s="63" t="n"/>
      <c r="F908" s="63" t="n"/>
    </row>
    <row r="909">
      <c r="A909" s="166" t="n"/>
      <c r="B909" s="63" t="n"/>
      <c r="C909" s="64" t="n"/>
      <c r="D909" s="167" t="n"/>
      <c r="E909" s="63" t="n"/>
      <c r="F909" s="63" t="n"/>
    </row>
    <row r="910">
      <c r="A910" s="166" t="n"/>
      <c r="B910" s="63" t="n"/>
      <c r="C910" s="64" t="n"/>
      <c r="D910" s="167" t="n"/>
      <c r="E910" s="63" t="n"/>
      <c r="F910" s="63" t="n"/>
    </row>
    <row r="911">
      <c r="A911" s="166" t="n"/>
      <c r="B911" s="63" t="n"/>
      <c r="C911" s="64" t="n"/>
      <c r="D911" s="167" t="n"/>
      <c r="E911" s="63" t="n"/>
      <c r="F911" s="63" t="n"/>
    </row>
    <row r="912">
      <c r="A912" s="166" t="n"/>
      <c r="B912" s="63" t="n"/>
      <c r="C912" s="64" t="n"/>
      <c r="D912" s="167" t="n"/>
      <c r="E912" s="63" t="n"/>
      <c r="F912" s="63" t="n"/>
    </row>
    <row r="913">
      <c r="A913" s="166" t="n"/>
      <c r="B913" s="63" t="n"/>
      <c r="C913" s="64" t="n"/>
      <c r="D913" s="167" t="n"/>
      <c r="E913" s="63" t="n"/>
      <c r="F913" s="63" t="n"/>
    </row>
    <row r="914">
      <c r="A914" s="166" t="n"/>
      <c r="B914" s="63" t="n"/>
      <c r="C914" s="64" t="n"/>
      <c r="D914" s="167" t="n"/>
      <c r="E914" s="63" t="n"/>
      <c r="F914" s="63" t="n"/>
    </row>
    <row r="915">
      <c r="A915" s="166" t="n"/>
      <c r="B915" s="63" t="n"/>
      <c r="C915" s="64" t="n"/>
      <c r="D915" s="167" t="n"/>
      <c r="E915" s="63" t="n"/>
      <c r="F915" s="63" t="n"/>
    </row>
    <row r="916">
      <c r="A916" s="166" t="n"/>
      <c r="B916" s="63" t="n"/>
      <c r="C916" s="64" t="n"/>
      <c r="D916" s="167" t="n"/>
      <c r="E916" s="63" t="n"/>
      <c r="F916" s="63" t="n"/>
    </row>
    <row r="917">
      <c r="A917" s="166" t="n"/>
      <c r="B917" s="63" t="n"/>
      <c r="C917" s="64" t="n"/>
      <c r="D917" s="167" t="n"/>
      <c r="E917" s="63" t="n"/>
      <c r="F917" s="63" t="n"/>
    </row>
    <row r="918">
      <c r="A918" s="166" t="n"/>
      <c r="B918" s="63" t="n"/>
      <c r="C918" s="64" t="n"/>
      <c r="D918" s="167" t="n"/>
      <c r="E918" s="63" t="n"/>
      <c r="F918" s="63" t="n"/>
    </row>
    <row r="919">
      <c r="A919" s="166" t="n"/>
      <c r="B919" s="63" t="n"/>
      <c r="C919" s="64" t="n"/>
      <c r="D919" s="167" t="n"/>
      <c r="E919" s="63" t="n"/>
      <c r="F919" s="63" t="n"/>
    </row>
    <row r="920">
      <c r="A920" s="166" t="n"/>
      <c r="B920" s="63" t="n"/>
      <c r="C920" s="64" t="n"/>
      <c r="D920" s="167" t="n"/>
      <c r="E920" s="63" t="n"/>
      <c r="F920" s="63" t="n"/>
    </row>
    <row r="921">
      <c r="A921" s="166" t="n"/>
      <c r="B921" s="63" t="n"/>
      <c r="C921" s="64" t="n"/>
      <c r="D921" s="167" t="n"/>
      <c r="E921" s="63" t="n"/>
      <c r="F921" s="63" t="n"/>
    </row>
    <row r="922">
      <c r="A922" s="166" t="n"/>
      <c r="B922" s="63" t="n"/>
      <c r="C922" s="64" t="n"/>
      <c r="D922" s="167" t="n"/>
      <c r="E922" s="63" t="n"/>
      <c r="F922" s="63" t="n"/>
    </row>
    <row r="923">
      <c r="A923" s="166" t="n"/>
      <c r="B923" s="63" t="n"/>
      <c r="C923" s="64" t="n"/>
      <c r="D923" s="167" t="n"/>
      <c r="E923" s="63" t="n"/>
      <c r="F923" s="63" t="n"/>
    </row>
    <row r="924">
      <c r="A924" s="166" t="n"/>
      <c r="B924" s="63" t="n"/>
      <c r="C924" s="64" t="n"/>
      <c r="D924" s="167" t="n"/>
      <c r="E924" s="63" t="n"/>
      <c r="F924" s="63" t="n"/>
    </row>
    <row r="925">
      <c r="A925" s="166" t="n"/>
      <c r="B925" s="63" t="n"/>
      <c r="C925" s="64" t="n"/>
      <c r="D925" s="167" t="n"/>
      <c r="E925" s="63" t="n"/>
      <c r="F925" s="63" t="n"/>
    </row>
    <row r="926">
      <c r="A926" s="166" t="n"/>
      <c r="B926" s="63" t="n"/>
      <c r="C926" s="64" t="n"/>
      <c r="D926" s="167" t="n"/>
      <c r="E926" s="63" t="n"/>
      <c r="F926" s="63" t="n"/>
    </row>
    <row r="927">
      <c r="A927" s="166" t="n"/>
      <c r="B927" s="63" t="n"/>
      <c r="C927" s="64" t="n"/>
      <c r="D927" s="167" t="n"/>
      <c r="E927" s="63" t="n"/>
      <c r="F927" s="63" t="n"/>
    </row>
    <row r="928">
      <c r="A928" s="166" t="n"/>
      <c r="B928" s="63" t="n"/>
      <c r="C928" s="64" t="n"/>
      <c r="D928" s="167" t="n"/>
      <c r="E928" s="63" t="n"/>
      <c r="F928" s="63" t="n"/>
    </row>
    <row r="929">
      <c r="A929" s="166" t="n"/>
      <c r="B929" s="63" t="n"/>
      <c r="C929" s="64" t="n"/>
      <c r="D929" s="167" t="n"/>
      <c r="E929" s="63" t="n"/>
      <c r="F929" s="63" t="n"/>
    </row>
    <row r="930">
      <c r="A930" s="166" t="n"/>
      <c r="B930" s="63" t="n"/>
      <c r="C930" s="64" t="n"/>
      <c r="D930" s="167" t="n"/>
      <c r="E930" s="63" t="n"/>
      <c r="F930" s="63" t="n"/>
    </row>
    <row r="931">
      <c r="A931" s="166" t="n"/>
      <c r="B931" s="63" t="n"/>
      <c r="C931" s="64" t="n"/>
      <c r="D931" s="167" t="n"/>
      <c r="E931" s="63" t="n"/>
      <c r="F931" s="63" t="n"/>
    </row>
    <row r="932">
      <c r="A932" s="166" t="n"/>
      <c r="B932" s="63" t="n"/>
      <c r="C932" s="64" t="n"/>
      <c r="D932" s="167" t="n"/>
      <c r="E932" s="63" t="n"/>
      <c r="F932" s="63" t="n"/>
    </row>
    <row r="933">
      <c r="A933" s="166" t="n"/>
      <c r="B933" s="63" t="n"/>
      <c r="C933" s="64" t="n"/>
      <c r="D933" s="167" t="n"/>
      <c r="E933" s="63" t="n"/>
      <c r="F933" s="63" t="n"/>
    </row>
    <row r="934">
      <c r="A934" s="166" t="n"/>
      <c r="B934" s="63" t="n"/>
      <c r="C934" s="64" t="n"/>
      <c r="D934" s="167" t="n"/>
      <c r="E934" s="63" t="n"/>
      <c r="F934" s="63" t="n"/>
    </row>
    <row r="935">
      <c r="A935" s="166" t="n"/>
      <c r="B935" s="63" t="n"/>
      <c r="C935" s="64" t="n"/>
      <c r="D935" s="167" t="n"/>
      <c r="E935" s="63" t="n"/>
      <c r="F935" s="63" t="n"/>
    </row>
    <row r="936">
      <c r="A936" s="166" t="n"/>
      <c r="B936" s="63" t="n"/>
      <c r="C936" s="64" t="n"/>
      <c r="D936" s="167" t="n"/>
      <c r="E936" s="63" t="n"/>
      <c r="F936" s="63" t="n"/>
    </row>
    <row r="937">
      <c r="A937" s="166" t="n"/>
      <c r="B937" s="63" t="n"/>
      <c r="C937" s="64" t="n"/>
      <c r="D937" s="167" t="n"/>
      <c r="E937" s="63" t="n"/>
      <c r="F937" s="63" t="n"/>
    </row>
    <row r="938">
      <c r="A938" s="166" t="n"/>
      <c r="B938" s="63" t="n"/>
      <c r="C938" s="64" t="n"/>
      <c r="D938" s="167" t="n"/>
      <c r="E938" s="63" t="n"/>
      <c r="F938" s="63" t="n"/>
    </row>
    <row r="939">
      <c r="A939" s="166" t="n"/>
      <c r="B939" s="63" t="n"/>
      <c r="C939" s="64" t="n"/>
      <c r="D939" s="167" t="n"/>
      <c r="E939" s="63" t="n"/>
      <c r="F939" s="63" t="n"/>
    </row>
    <row r="940">
      <c r="A940" s="166" t="n"/>
      <c r="B940" s="63" t="n"/>
      <c r="C940" s="64" t="n"/>
      <c r="D940" s="167" t="n"/>
      <c r="E940" s="63" t="n"/>
      <c r="F940" s="63" t="n"/>
    </row>
    <row r="941">
      <c r="A941" s="166" t="n"/>
      <c r="B941" s="63" t="n"/>
      <c r="C941" s="64" t="n"/>
      <c r="D941" s="167" t="n"/>
      <c r="E941" s="63" t="n"/>
      <c r="F941" s="63" t="n"/>
    </row>
    <row r="942">
      <c r="A942" s="166" t="n"/>
      <c r="B942" s="63" t="n"/>
      <c r="C942" s="64" t="n"/>
      <c r="D942" s="167" t="n"/>
      <c r="E942" s="63" t="n"/>
      <c r="F942" s="63" t="n"/>
    </row>
    <row r="943">
      <c r="A943" s="166" t="n"/>
      <c r="B943" s="63" t="n"/>
      <c r="C943" s="64" t="n"/>
      <c r="D943" s="167" t="n"/>
      <c r="E943" s="63" t="n"/>
      <c r="F943" s="63" t="n"/>
    </row>
    <row r="944">
      <c r="A944" s="166" t="n"/>
      <c r="B944" s="63" t="n"/>
      <c r="C944" s="64" t="n"/>
      <c r="D944" s="167" t="n"/>
      <c r="E944" s="63" t="n"/>
      <c r="F944" s="63" t="n"/>
    </row>
    <row r="945">
      <c r="A945" s="166" t="n"/>
      <c r="B945" s="63" t="n"/>
      <c r="C945" s="64" t="n"/>
      <c r="D945" s="167" t="n"/>
      <c r="E945" s="63" t="n"/>
      <c r="F945" s="63" t="n"/>
    </row>
    <row r="946">
      <c r="A946" s="166" t="n"/>
      <c r="B946" s="63" t="n"/>
      <c r="C946" s="64" t="n"/>
      <c r="D946" s="167" t="n"/>
      <c r="E946" s="63" t="n"/>
      <c r="F946" s="63" t="n"/>
    </row>
    <row r="947">
      <c r="A947" s="166" t="n"/>
      <c r="B947" s="63" t="n"/>
      <c r="C947" s="64" t="n"/>
      <c r="D947" s="167" t="n"/>
      <c r="E947" s="63" t="n"/>
      <c r="F947" s="63" t="n"/>
    </row>
    <row r="948">
      <c r="A948" s="166" t="n"/>
      <c r="B948" s="63" t="n"/>
      <c r="C948" s="64" t="n"/>
      <c r="D948" s="167" t="n"/>
      <c r="E948" s="63" t="n"/>
      <c r="F948" s="63" t="n"/>
    </row>
    <row r="949">
      <c r="A949" s="166" t="n"/>
      <c r="B949" s="63" t="n"/>
      <c r="C949" s="64" t="n"/>
      <c r="D949" s="167" t="n"/>
      <c r="E949" s="63" t="n"/>
      <c r="F949" s="63" t="n"/>
    </row>
    <row r="950">
      <c r="A950" s="166" t="n"/>
      <c r="B950" s="63" t="n"/>
      <c r="C950" s="64" t="n"/>
      <c r="D950" s="167" t="n"/>
      <c r="E950" s="63" t="n"/>
      <c r="F950" s="63" t="n"/>
    </row>
    <row r="951">
      <c r="A951" s="166" t="n"/>
      <c r="B951" s="63" t="n"/>
      <c r="C951" s="64" t="n"/>
      <c r="D951" s="167" t="n"/>
      <c r="E951" s="63" t="n"/>
      <c r="F951" s="63" t="n"/>
    </row>
    <row r="952">
      <c r="A952" s="166" t="n"/>
      <c r="B952" s="63" t="n"/>
      <c r="C952" s="64" t="n"/>
      <c r="D952" s="167" t="n"/>
      <c r="E952" s="63" t="n"/>
      <c r="F952" s="63" t="n"/>
    </row>
    <row r="953">
      <c r="A953" s="166" t="n"/>
      <c r="B953" s="63" t="n"/>
      <c r="C953" s="64" t="n"/>
      <c r="D953" s="167" t="n"/>
      <c r="E953" s="63" t="n"/>
      <c r="F953" s="63" t="n"/>
    </row>
    <row r="954">
      <c r="A954" s="166" t="n"/>
      <c r="B954" s="63" t="n"/>
      <c r="C954" s="64" t="n"/>
      <c r="D954" s="167" t="n"/>
      <c r="E954" s="63" t="n"/>
      <c r="F954" s="63" t="n"/>
    </row>
    <row r="955">
      <c r="A955" s="166" t="n"/>
      <c r="B955" s="63" t="n"/>
      <c r="C955" s="64" t="n"/>
      <c r="D955" s="167" t="n"/>
      <c r="E955" s="63" t="n"/>
      <c r="F955" s="63" t="n"/>
    </row>
    <row r="956">
      <c r="A956" s="166" t="n"/>
      <c r="B956" s="63" t="n"/>
      <c r="C956" s="64" t="n"/>
      <c r="D956" s="167" t="n"/>
      <c r="E956" s="63" t="n"/>
      <c r="F956" s="63" t="n"/>
    </row>
    <row r="957">
      <c r="A957" s="166" t="n"/>
      <c r="B957" s="63" t="n"/>
      <c r="C957" s="64" t="n"/>
      <c r="D957" s="167" t="n"/>
      <c r="E957" s="63" t="n"/>
      <c r="F957" s="63" t="n"/>
    </row>
    <row r="958">
      <c r="A958" s="166" t="n"/>
      <c r="B958" s="63" t="n"/>
      <c r="C958" s="64" t="n"/>
      <c r="D958" s="167" t="n"/>
      <c r="E958" s="63" t="n"/>
      <c r="F958" s="63" t="n"/>
    </row>
    <row r="959">
      <c r="A959" s="166" t="n"/>
      <c r="B959" s="63" t="n"/>
      <c r="C959" s="64" t="n"/>
      <c r="D959" s="167" t="n"/>
      <c r="E959" s="63" t="n"/>
      <c r="F959" s="63" t="n"/>
    </row>
    <row r="960">
      <c r="A960" s="166" t="n"/>
      <c r="B960" s="63" t="n"/>
      <c r="C960" s="64" t="n"/>
      <c r="D960" s="167" t="n"/>
      <c r="E960" s="63" t="n"/>
      <c r="F960" s="63" t="n"/>
    </row>
    <row r="961">
      <c r="A961" s="166" t="n"/>
      <c r="B961" s="63" t="n"/>
      <c r="C961" s="64" t="n"/>
      <c r="D961" s="167" t="n"/>
      <c r="E961" s="63" t="n"/>
      <c r="F961" s="63" t="n"/>
    </row>
    <row r="962">
      <c r="A962" s="166" t="n"/>
      <c r="B962" s="63" t="n"/>
      <c r="C962" s="64" t="n"/>
      <c r="D962" s="167" t="n"/>
      <c r="E962" s="63" t="n"/>
      <c r="F962" s="63" t="n"/>
    </row>
    <row r="963">
      <c r="A963" s="166" t="n"/>
      <c r="B963" s="63" t="n"/>
      <c r="C963" s="64" t="n"/>
      <c r="D963" s="167" t="n"/>
      <c r="E963" s="63" t="n"/>
      <c r="F963" s="63" t="n"/>
    </row>
    <row r="964">
      <c r="A964" s="166" t="n"/>
      <c r="B964" s="63" t="n"/>
      <c r="C964" s="64" t="n"/>
      <c r="D964" s="167" t="n"/>
      <c r="E964" s="63" t="n"/>
      <c r="F964" s="63" t="n"/>
    </row>
    <row r="965">
      <c r="A965" s="166" t="n"/>
      <c r="B965" s="63" t="n"/>
      <c r="C965" s="64" t="n"/>
      <c r="D965" s="167" t="n"/>
      <c r="E965" s="63" t="n"/>
      <c r="F965" s="63" t="n"/>
    </row>
    <row r="966">
      <c r="A966" s="166" t="n"/>
      <c r="B966" s="63" t="n"/>
      <c r="C966" s="64" t="n"/>
      <c r="D966" s="167" t="n"/>
      <c r="E966" s="63" t="n"/>
      <c r="F966" s="63" t="n"/>
    </row>
    <row r="967">
      <c r="A967" s="166" t="n"/>
      <c r="B967" s="63" t="n"/>
      <c r="C967" s="64" t="n"/>
      <c r="D967" s="167" t="n"/>
      <c r="E967" s="63" t="n"/>
      <c r="F967" s="63" t="n"/>
    </row>
    <row r="968">
      <c r="A968" s="166" t="n"/>
      <c r="B968" s="63" t="n"/>
      <c r="C968" s="64" t="n"/>
      <c r="D968" s="167" t="n"/>
      <c r="E968" s="63" t="n"/>
      <c r="F968" s="63" t="n"/>
    </row>
    <row r="969">
      <c r="A969" s="166" t="n"/>
      <c r="B969" s="63" t="n"/>
      <c r="C969" s="64" t="n"/>
      <c r="D969" s="167" t="n"/>
      <c r="E969" s="63" t="n"/>
      <c r="F969" s="63" t="n"/>
    </row>
    <row r="970">
      <c r="A970" s="166" t="n"/>
      <c r="B970" s="63" t="n"/>
      <c r="C970" s="64" t="n"/>
      <c r="D970" s="167" t="n"/>
      <c r="E970" s="63" t="n"/>
      <c r="F970" s="63" t="n"/>
    </row>
    <row r="971">
      <c r="A971" s="166" t="n"/>
      <c r="B971" s="63" t="n"/>
      <c r="C971" s="64" t="n"/>
      <c r="D971" s="167" t="n"/>
      <c r="E971" s="63" t="n"/>
      <c r="F971" s="63" t="n"/>
    </row>
    <row r="972">
      <c r="A972" s="166" t="n"/>
      <c r="B972" s="63" t="n"/>
      <c r="C972" s="64" t="n"/>
      <c r="D972" s="167" t="n"/>
      <c r="E972" s="63" t="n"/>
      <c r="F972" s="63" t="n"/>
    </row>
    <row r="973">
      <c r="A973" s="166" t="n"/>
      <c r="B973" s="63" t="n"/>
      <c r="C973" s="64" t="n"/>
      <c r="D973" s="167" t="n"/>
      <c r="E973" s="63" t="n"/>
      <c r="F973" s="63" t="n"/>
    </row>
    <row r="974">
      <c r="A974" s="166" t="n"/>
      <c r="B974" s="63" t="n"/>
      <c r="C974" s="64" t="n"/>
      <c r="D974" s="167" t="n"/>
      <c r="E974" s="63" t="n"/>
      <c r="F974" s="63" t="n"/>
    </row>
    <row r="975">
      <c r="A975" s="166" t="n"/>
      <c r="B975" s="63" t="n"/>
      <c r="C975" s="64" t="n"/>
      <c r="D975" s="167" t="n"/>
      <c r="E975" s="63" t="n"/>
      <c r="F975" s="63" t="n"/>
    </row>
    <row r="976">
      <c r="A976" s="166" t="n"/>
      <c r="B976" s="63" t="n"/>
      <c r="C976" s="64" t="n"/>
      <c r="D976" s="167" t="n"/>
      <c r="E976" s="63" t="n"/>
      <c r="F976" s="63" t="n"/>
    </row>
    <row r="977">
      <c r="A977" s="166" t="n"/>
      <c r="B977" s="63" t="n"/>
      <c r="C977" s="64" t="n"/>
      <c r="D977" s="167" t="n"/>
      <c r="E977" s="63" t="n"/>
      <c r="F977" s="63" t="n"/>
    </row>
    <row r="978">
      <c r="A978" s="166" t="n"/>
      <c r="B978" s="63" t="n"/>
      <c r="C978" s="64" t="n"/>
      <c r="D978" s="167" t="n"/>
      <c r="E978" s="63" t="n"/>
      <c r="F978" s="63" t="n"/>
    </row>
    <row r="979">
      <c r="A979" s="166" t="n"/>
      <c r="B979" s="63" t="n"/>
      <c r="C979" s="64" t="n"/>
      <c r="D979" s="167" t="n"/>
      <c r="E979" s="63" t="n"/>
      <c r="F979" s="63" t="n"/>
    </row>
    <row r="980">
      <c r="A980" s="166" t="n"/>
      <c r="B980" s="63" t="n"/>
      <c r="C980" s="64" t="n"/>
      <c r="D980" s="167" t="n"/>
      <c r="E980" s="63" t="n"/>
      <c r="F980" s="63" t="n"/>
    </row>
    <row r="981">
      <c r="A981" s="166" t="n"/>
      <c r="B981" s="63" t="n"/>
      <c r="C981" s="64" t="n"/>
      <c r="D981" s="167" t="n"/>
      <c r="E981" s="63" t="n"/>
      <c r="F981" s="63" t="n"/>
    </row>
    <row r="982">
      <c r="A982" s="166" t="n"/>
      <c r="B982" s="63" t="n"/>
      <c r="C982" s="64" t="n"/>
      <c r="D982" s="167" t="n"/>
      <c r="E982" s="63" t="n"/>
      <c r="F982" s="63" t="n"/>
    </row>
    <row r="983">
      <c r="A983" s="166" t="n"/>
      <c r="B983" s="63" t="n"/>
      <c r="C983" s="64" t="n"/>
      <c r="D983" s="167" t="n"/>
      <c r="E983" s="63" t="n"/>
      <c r="F983" s="63" t="n"/>
    </row>
    <row r="984">
      <c r="A984" s="166" t="n"/>
      <c r="B984" s="63" t="n"/>
      <c r="C984" s="64" t="n"/>
      <c r="D984" s="167" t="n"/>
      <c r="E984" s="63" t="n"/>
      <c r="F984" s="63" t="n"/>
    </row>
    <row r="985">
      <c r="A985" s="166" t="n"/>
      <c r="B985" s="63" t="n"/>
      <c r="C985" s="64" t="n"/>
      <c r="D985" s="167" t="n"/>
      <c r="E985" s="63" t="n"/>
      <c r="F985" s="63" t="n"/>
    </row>
    <row r="986">
      <c r="A986" s="166" t="n"/>
      <c r="B986" s="63" t="n"/>
      <c r="C986" s="64" t="n"/>
      <c r="D986" s="167" t="n"/>
      <c r="E986" s="63" t="n"/>
      <c r="F986" s="63" t="n"/>
    </row>
    <row r="987">
      <c r="A987" s="166" t="n"/>
      <c r="B987" s="63" t="n"/>
      <c r="C987" s="64" t="n"/>
      <c r="D987" s="167" t="n"/>
      <c r="E987" s="63" t="n"/>
      <c r="F987" s="63" t="n"/>
    </row>
    <row r="988">
      <c r="A988" s="166" t="n"/>
      <c r="B988" s="63" t="n"/>
      <c r="C988" s="64" t="n"/>
      <c r="D988" s="167" t="n"/>
      <c r="E988" s="63" t="n"/>
      <c r="F988" s="63" t="n"/>
    </row>
    <row r="989">
      <c r="A989" s="166" t="n"/>
      <c r="B989" s="63" t="n"/>
      <c r="C989" s="64" t="n"/>
      <c r="D989" s="167" t="n"/>
      <c r="E989" s="63" t="n"/>
      <c r="F989" s="63" t="n"/>
    </row>
    <row r="990">
      <c r="A990" s="166" t="n"/>
      <c r="B990" s="63" t="n"/>
      <c r="C990" s="64" t="n"/>
      <c r="D990" s="167" t="n"/>
      <c r="E990" s="63" t="n"/>
      <c r="F990" s="63" t="n"/>
    </row>
    <row r="991">
      <c r="A991" s="166" t="n"/>
      <c r="B991" s="63" t="n"/>
      <c r="C991" s="64" t="n"/>
      <c r="D991" s="167" t="n"/>
      <c r="E991" s="63" t="n"/>
      <c r="F991" s="63" t="n"/>
    </row>
    <row r="992">
      <c r="A992" s="166" t="n"/>
      <c r="B992" s="63" t="n"/>
      <c r="C992" s="64" t="n"/>
      <c r="D992" s="167" t="n"/>
      <c r="E992" s="63" t="n"/>
      <c r="F992" s="63" t="n"/>
    </row>
    <row r="993">
      <c r="A993" s="166" t="n"/>
      <c r="B993" s="63" t="n"/>
      <c r="C993" s="64" t="n"/>
      <c r="D993" s="167" t="n"/>
      <c r="E993" s="63" t="n"/>
      <c r="F993" s="63" t="n"/>
    </row>
    <row r="994">
      <c r="A994" s="166" t="n"/>
      <c r="B994" s="63" t="n"/>
      <c r="C994" s="64" t="n"/>
      <c r="D994" s="167" t="n"/>
      <c r="E994" s="63" t="n"/>
      <c r="F994" s="63" t="n"/>
    </row>
    <row r="995">
      <c r="A995" s="166" t="n"/>
      <c r="B995" s="63" t="n"/>
      <c r="C995" s="64" t="n"/>
      <c r="D995" s="167" t="n"/>
      <c r="E995" s="63" t="n"/>
      <c r="F995" s="63" t="n"/>
    </row>
    <row r="996">
      <c r="A996" s="166" t="n"/>
      <c r="B996" s="63" t="n"/>
      <c r="C996" s="64" t="n"/>
      <c r="D996" s="167" t="n"/>
      <c r="E996" s="63" t="n"/>
      <c r="F996" s="63" t="n"/>
    </row>
    <row r="997">
      <c r="A997" s="166" t="n"/>
      <c r="B997" s="63" t="n"/>
      <c r="C997" s="64" t="n"/>
      <c r="D997" s="167" t="n"/>
      <c r="E997" s="63" t="n"/>
      <c r="F997" s="63" t="n"/>
    </row>
    <row r="998">
      <c r="A998" s="166" t="n"/>
      <c r="B998" s="63" t="n"/>
      <c r="C998" s="64" t="n"/>
      <c r="D998" s="167" t="n"/>
      <c r="E998" s="63" t="n"/>
      <c r="F998" s="63" t="n"/>
    </row>
    <row r="999">
      <c r="A999" s="166" t="n"/>
      <c r="B999" s="63" t="n"/>
      <c r="C999" s="64" t="n"/>
      <c r="D999" s="167" t="n"/>
      <c r="E999" s="63" t="n"/>
      <c r="F999" s="63" t="n"/>
    </row>
    <row r="1000">
      <c r="A1000" s="166" t="n"/>
      <c r="B1000" s="63" t="n"/>
      <c r="C1000" s="64" t="n"/>
      <c r="D1000" s="167" t="n"/>
      <c r="E1000" s="63" t="n"/>
      <c r="F1000" s="63" t="n"/>
    </row>
    <row r="1001">
      <c r="A1001" s="166" t="n"/>
      <c r="B1001" s="63" t="n"/>
      <c r="C1001" s="64" t="n"/>
      <c r="D1001" s="167" t="n"/>
      <c r="E1001" s="63" t="n"/>
      <c r="F1001" s="63" t="n"/>
    </row>
    <row r="1002">
      <c r="A1002" s="166" t="n"/>
      <c r="B1002" s="63" t="n"/>
      <c r="C1002" s="64" t="n"/>
      <c r="D1002" s="167" t="n"/>
      <c r="E1002" s="63" t="n"/>
      <c r="F1002" s="63" t="n"/>
    </row>
    <row r="1003">
      <c r="A1003" s="166" t="n"/>
      <c r="B1003" s="63" t="n"/>
      <c r="C1003" s="64" t="n"/>
      <c r="D1003" s="167" t="n"/>
      <c r="E1003" s="63" t="n"/>
      <c r="F1003" s="63" t="n"/>
    </row>
    <row r="1004">
      <c r="A1004" s="166" t="n"/>
      <c r="B1004" s="63" t="n"/>
      <c r="C1004" s="64" t="n"/>
      <c r="D1004" s="167" t="n"/>
      <c r="E1004" s="63" t="n"/>
      <c r="F1004" s="63" t="n"/>
    </row>
    <row r="1005">
      <c r="A1005" s="166" t="n"/>
      <c r="B1005" s="63" t="n"/>
      <c r="C1005" s="64" t="n"/>
      <c r="D1005" s="167" t="n"/>
      <c r="E1005" s="63" t="n"/>
      <c r="F1005" s="63" t="n"/>
    </row>
    <row r="1006">
      <c r="A1006" s="166" t="n"/>
      <c r="B1006" s="63" t="n"/>
      <c r="C1006" s="64" t="n"/>
      <c r="D1006" s="167" t="n"/>
      <c r="E1006" s="63" t="n"/>
      <c r="F1006" s="63" t="n"/>
    </row>
    <row r="1007">
      <c r="A1007" s="166" t="n"/>
      <c r="B1007" s="63" t="n"/>
      <c r="C1007" s="64" t="n"/>
      <c r="D1007" s="167" t="n"/>
      <c r="E1007" s="63" t="n"/>
      <c r="F1007" s="63" t="n"/>
    </row>
    <row r="1008">
      <c r="A1008" s="166" t="n"/>
      <c r="B1008" s="63" t="n"/>
      <c r="C1008" s="64" t="n"/>
      <c r="D1008" s="167" t="n"/>
      <c r="E1008" s="63" t="n"/>
      <c r="F1008" s="63" t="n"/>
    </row>
    <row r="1009">
      <c r="A1009" s="166" t="n"/>
      <c r="B1009" s="63" t="n"/>
      <c r="C1009" s="64" t="n"/>
      <c r="D1009" s="167" t="n"/>
      <c r="E1009" s="63" t="n"/>
      <c r="F1009" s="63" t="n"/>
    </row>
    <row r="1010">
      <c r="A1010" s="166" t="n"/>
      <c r="B1010" s="63" t="n"/>
      <c r="C1010" s="64" t="n"/>
      <c r="D1010" s="167" t="n"/>
      <c r="E1010" s="63" t="n"/>
      <c r="F1010" s="63" t="n"/>
    </row>
    <row r="1011">
      <c r="A1011" s="166" t="n"/>
      <c r="B1011" s="63" t="n"/>
      <c r="C1011" s="64" t="n"/>
      <c r="D1011" s="167" t="n"/>
      <c r="E1011" s="63" t="n"/>
      <c r="F1011" s="63" t="n"/>
    </row>
    <row r="1012">
      <c r="A1012" s="166" t="n"/>
      <c r="B1012" s="63" t="n"/>
      <c r="C1012" s="64" t="n"/>
      <c r="D1012" s="167" t="n"/>
      <c r="E1012" s="63" t="n"/>
      <c r="F1012" s="63" t="n"/>
    </row>
    <row r="1013">
      <c r="A1013" s="166" t="n"/>
      <c r="B1013" s="63" t="n"/>
      <c r="C1013" s="64" t="n"/>
      <c r="D1013" s="167" t="n"/>
      <c r="E1013" s="63" t="n"/>
      <c r="F1013" s="63" t="n"/>
    </row>
    <row r="1014">
      <c r="A1014" s="166" t="n"/>
      <c r="B1014" s="63" t="n"/>
      <c r="C1014" s="64" t="n"/>
      <c r="D1014" s="167" t="n"/>
      <c r="E1014" s="63" t="n"/>
      <c r="F1014" s="63" t="n"/>
    </row>
    <row r="1015">
      <c r="A1015" s="166" t="n"/>
      <c r="B1015" s="63" t="n"/>
      <c r="C1015" s="64" t="n"/>
      <c r="D1015" s="167" t="n"/>
      <c r="E1015" s="63" t="n"/>
      <c r="F1015" s="63" t="n"/>
    </row>
    <row r="1016">
      <c r="A1016" s="166" t="n"/>
      <c r="B1016" s="63" t="n"/>
      <c r="C1016" s="64" t="n"/>
      <c r="D1016" s="167" t="n"/>
      <c r="E1016" s="63" t="n"/>
      <c r="F1016" s="63" t="n"/>
    </row>
    <row r="1017">
      <c r="A1017" s="166" t="n"/>
      <c r="B1017" s="63" t="n"/>
      <c r="C1017" s="64" t="n"/>
      <c r="D1017" s="167" t="n"/>
      <c r="E1017" s="63" t="n"/>
      <c r="F1017" s="63" t="n"/>
    </row>
    <row r="1018">
      <c r="A1018" s="166" t="n"/>
      <c r="B1018" s="63" t="n"/>
      <c r="C1018" s="64" t="n"/>
      <c r="D1018" s="167" t="n"/>
      <c r="E1018" s="63" t="n"/>
      <c r="F1018" s="63" t="n"/>
    </row>
    <row r="1019">
      <c r="A1019" s="166" t="n"/>
      <c r="B1019" s="63" t="n"/>
      <c r="C1019" s="64" t="n"/>
      <c r="D1019" s="167" t="n"/>
      <c r="E1019" s="63" t="n"/>
      <c r="F1019" s="63" t="n"/>
    </row>
    <row r="1020">
      <c r="A1020" s="166" t="n"/>
      <c r="B1020" s="63" t="n"/>
      <c r="C1020" s="64" t="n"/>
      <c r="D1020" s="167" t="n"/>
      <c r="E1020" s="63" t="n"/>
      <c r="F1020" s="63" t="n"/>
    </row>
    <row r="1021">
      <c r="A1021" s="166" t="n"/>
      <c r="B1021" s="63" t="n"/>
      <c r="C1021" s="64" t="n"/>
      <c r="D1021" s="167" t="n"/>
      <c r="E1021" s="63" t="n"/>
      <c r="F1021" s="63" t="n"/>
    </row>
    <row r="1022">
      <c r="A1022" s="166" t="n"/>
      <c r="B1022" s="63" t="n"/>
      <c r="C1022" s="64" t="n"/>
      <c r="D1022" s="167" t="n"/>
      <c r="E1022" s="63" t="n"/>
      <c r="F1022" s="63" t="n"/>
    </row>
    <row r="1023">
      <c r="A1023" s="166" t="n"/>
      <c r="B1023" s="63" t="n"/>
      <c r="C1023" s="64" t="n"/>
      <c r="D1023" s="167" t="n"/>
      <c r="E1023" s="63" t="n"/>
      <c r="F1023" s="63" t="n"/>
    </row>
    <row r="1024">
      <c r="A1024" s="166" t="n"/>
      <c r="B1024" s="63" t="n"/>
      <c r="C1024" s="64" t="n"/>
      <c r="D1024" s="167" t="n"/>
      <c r="E1024" s="63" t="n"/>
      <c r="F1024" s="63" t="n"/>
    </row>
    <row r="1025">
      <c r="A1025" s="166" t="n"/>
      <c r="B1025" s="63" t="n"/>
      <c r="C1025" s="64" t="n"/>
      <c r="D1025" s="167" t="n"/>
      <c r="E1025" s="63" t="n"/>
      <c r="F1025" s="63" t="n"/>
    </row>
    <row r="1026">
      <c r="A1026" s="166" t="n"/>
      <c r="B1026" s="63" t="n"/>
      <c r="C1026" s="64" t="n"/>
      <c r="D1026" s="167" t="n"/>
      <c r="E1026" s="63" t="n"/>
      <c r="F1026" s="63" t="n"/>
    </row>
    <row r="1027">
      <c r="A1027" s="166" t="n"/>
      <c r="B1027" s="63" t="n"/>
      <c r="C1027" s="64" t="n"/>
      <c r="D1027" s="167" t="n"/>
      <c r="E1027" s="63" t="n"/>
      <c r="F1027" s="63" t="n"/>
    </row>
    <row r="1028">
      <c r="A1028" s="166" t="n"/>
      <c r="B1028" s="63" t="n"/>
      <c r="C1028" s="64" t="n"/>
      <c r="D1028" s="167" t="n"/>
      <c r="E1028" s="63" t="n"/>
      <c r="F1028" s="63" t="n"/>
    </row>
    <row r="1029">
      <c r="A1029" s="166" t="n"/>
      <c r="B1029" s="63" t="n"/>
      <c r="C1029" s="64" t="n"/>
      <c r="D1029" s="167" t="n"/>
      <c r="E1029" s="63" t="n"/>
      <c r="F1029" s="63" t="n"/>
    </row>
    <row r="1030">
      <c r="A1030" s="166" t="n"/>
      <c r="B1030" s="63" t="n"/>
      <c r="C1030" s="64" t="n"/>
      <c r="D1030" s="167" t="n"/>
      <c r="E1030" s="63" t="n"/>
      <c r="F1030" s="63" t="n"/>
    </row>
    <row r="1031">
      <c r="A1031" s="166" t="n"/>
      <c r="B1031" s="63" t="n"/>
      <c r="C1031" s="64" t="n"/>
      <c r="D1031" s="167" t="n"/>
      <c r="E1031" s="63" t="n"/>
      <c r="F1031" s="63" t="n"/>
    </row>
    <row r="1032">
      <c r="A1032" s="166" t="n"/>
      <c r="B1032" s="63" t="n"/>
      <c r="C1032" s="64" t="n"/>
      <c r="D1032" s="167" t="n"/>
      <c r="E1032" s="63" t="n"/>
      <c r="F1032" s="63" t="n"/>
    </row>
    <row r="1033">
      <c r="A1033" s="166" t="n"/>
      <c r="B1033" s="63" t="n"/>
      <c r="C1033" s="64" t="n"/>
      <c r="D1033" s="167" t="n"/>
      <c r="E1033" s="63" t="n"/>
      <c r="F1033" s="63" t="n"/>
    </row>
    <row r="1034">
      <c r="A1034" s="166" t="n"/>
      <c r="B1034" s="63" t="n"/>
      <c r="C1034" s="64" t="n"/>
      <c r="D1034" s="167" t="n"/>
      <c r="E1034" s="63" t="n"/>
      <c r="F1034" s="63" t="n"/>
    </row>
    <row r="1035">
      <c r="A1035" s="166" t="n"/>
      <c r="B1035" s="63" t="n"/>
      <c r="C1035" s="64" t="n"/>
      <c r="D1035" s="167" t="n"/>
      <c r="E1035" s="63" t="n"/>
      <c r="F1035" s="63" t="n"/>
    </row>
    <row r="1036">
      <c r="A1036" s="166" t="n"/>
      <c r="B1036" s="63" t="n"/>
      <c r="C1036" s="64" t="n"/>
      <c r="D1036" s="167" t="n"/>
      <c r="E1036" s="63" t="n"/>
      <c r="F1036" s="63" t="n"/>
    </row>
    <row r="1037">
      <c r="A1037" s="166" t="n"/>
      <c r="B1037" s="63" t="n"/>
      <c r="C1037" s="64" t="n"/>
      <c r="D1037" s="167" t="n"/>
      <c r="E1037" s="63" t="n"/>
      <c r="F1037" s="63" t="n"/>
    </row>
    <row r="1038">
      <c r="A1038" s="166" t="n"/>
      <c r="B1038" s="63" t="n"/>
      <c r="C1038" s="64" t="n"/>
      <c r="D1038" s="167" t="n"/>
      <c r="E1038" s="63" t="n"/>
      <c r="F1038" s="63" t="n"/>
    </row>
    <row r="1039">
      <c r="A1039" s="166" t="n"/>
      <c r="B1039" s="63" t="n"/>
      <c r="C1039" s="64" t="n"/>
      <c r="D1039" s="167" t="n"/>
      <c r="E1039" s="63" t="n"/>
      <c r="F1039" s="63" t="n"/>
    </row>
    <row r="1040">
      <c r="A1040" s="166" t="n"/>
      <c r="B1040" s="63" t="n"/>
      <c r="C1040" s="64" t="n"/>
      <c r="D1040" s="167" t="n"/>
      <c r="E1040" s="63" t="n"/>
      <c r="F1040" s="63" t="n"/>
    </row>
    <row r="1041">
      <c r="A1041" s="166" t="n"/>
      <c r="B1041" s="63" t="n"/>
      <c r="C1041" s="64" t="n"/>
      <c r="D1041" s="167" t="n"/>
      <c r="E1041" s="63" t="n"/>
      <c r="F1041" s="63" t="n"/>
    </row>
    <row r="1042">
      <c r="A1042" s="166" t="n"/>
      <c r="B1042" s="63" t="n"/>
      <c r="C1042" s="64" t="n"/>
      <c r="D1042" s="167" t="n"/>
      <c r="E1042" s="63" t="n"/>
      <c r="F1042" s="63" t="n"/>
    </row>
    <row r="1043">
      <c r="A1043" s="166" t="n"/>
      <c r="B1043" s="63" t="n"/>
      <c r="C1043" s="64" t="n"/>
      <c r="D1043" s="167" t="n"/>
      <c r="E1043" s="63" t="n"/>
      <c r="F1043" s="63" t="n"/>
    </row>
    <row r="1044">
      <c r="A1044" s="166" t="n"/>
      <c r="B1044" s="63" t="n"/>
      <c r="C1044" s="64" t="n"/>
      <c r="D1044" s="167" t="n"/>
      <c r="E1044" s="63" t="n"/>
      <c r="F1044" s="63" t="n"/>
    </row>
    <row r="1045">
      <c r="A1045" s="166" t="n"/>
      <c r="B1045" s="63" t="n"/>
      <c r="C1045" s="64" t="n"/>
      <c r="D1045" s="167" t="n"/>
      <c r="E1045" s="63" t="n"/>
      <c r="F1045" s="63" t="n"/>
    </row>
    <row r="1046">
      <c r="A1046" s="166" t="n"/>
      <c r="B1046" s="63" t="n"/>
      <c r="C1046" s="64" t="n"/>
      <c r="D1046" s="167" t="n"/>
      <c r="E1046" s="63" t="n"/>
      <c r="F1046" s="63" t="n"/>
    </row>
    <row r="1047">
      <c r="A1047" s="166" t="n"/>
      <c r="B1047" s="63" t="n"/>
      <c r="C1047" s="64" t="n"/>
      <c r="D1047" s="167" t="n"/>
      <c r="E1047" s="63" t="n"/>
      <c r="F1047" s="63" t="n"/>
    </row>
    <row r="1048">
      <c r="A1048" s="166" t="n"/>
      <c r="B1048" s="63" t="n"/>
      <c r="C1048" s="64" t="n"/>
      <c r="D1048" s="167" t="n"/>
      <c r="E1048" s="63" t="n"/>
      <c r="F1048" s="63" t="n"/>
    </row>
    <row r="1049">
      <c r="A1049" s="166" t="n"/>
      <c r="B1049" s="63" t="n"/>
      <c r="C1049" s="64" t="n"/>
      <c r="D1049" s="167" t="n"/>
      <c r="E1049" s="63" t="n"/>
      <c r="F1049" s="63" t="n"/>
    </row>
    <row r="1050">
      <c r="A1050" s="166" t="n"/>
      <c r="B1050" s="63" t="n"/>
      <c r="C1050" s="64" t="n"/>
      <c r="D1050" s="167" t="n"/>
      <c r="E1050" s="63" t="n"/>
      <c r="F1050" s="63" t="n"/>
    </row>
    <row r="1051">
      <c r="A1051" s="166" t="n"/>
      <c r="B1051" s="63" t="n"/>
      <c r="C1051" s="64" t="n"/>
      <c r="D1051" s="167" t="n"/>
      <c r="E1051" s="63" t="n"/>
      <c r="F1051" s="63" t="n"/>
    </row>
    <row r="1052">
      <c r="A1052" s="166" t="n"/>
      <c r="B1052" s="63" t="n"/>
      <c r="C1052" s="64" t="n"/>
      <c r="D1052" s="167" t="n"/>
      <c r="E1052" s="63" t="n"/>
      <c r="F1052" s="63" t="n"/>
    </row>
    <row r="1053">
      <c r="A1053" s="166" t="n"/>
      <c r="B1053" s="63" t="n"/>
      <c r="C1053" s="64" t="n"/>
      <c r="D1053" s="167" t="n"/>
      <c r="E1053" s="63" t="n"/>
      <c r="F1053" s="63" t="n"/>
    </row>
    <row r="1054">
      <c r="A1054" s="166" t="n"/>
      <c r="B1054" s="63" t="n"/>
      <c r="C1054" s="64" t="n"/>
      <c r="D1054" s="167" t="n"/>
      <c r="E1054" s="63" t="n"/>
      <c r="F1054" s="63" t="n"/>
    </row>
    <row r="1055">
      <c r="A1055" s="166" t="n"/>
      <c r="B1055" s="63" t="n"/>
      <c r="C1055" s="64" t="n"/>
      <c r="D1055" s="167" t="n"/>
      <c r="E1055" s="63" t="n"/>
      <c r="F1055" s="63" t="n"/>
    </row>
    <row r="1056">
      <c r="A1056" s="166" t="n"/>
      <c r="B1056" s="63" t="n"/>
      <c r="C1056" s="64" t="n"/>
      <c r="D1056" s="167" t="n"/>
      <c r="E1056" s="63" t="n"/>
      <c r="F1056" s="63" t="n"/>
    </row>
    <row r="1057">
      <c r="A1057" s="166" t="n"/>
      <c r="B1057" s="63" t="n"/>
      <c r="C1057" s="64" t="n"/>
      <c r="D1057" s="167" t="n"/>
      <c r="E1057" s="63" t="n"/>
      <c r="F1057" s="63" t="n"/>
    </row>
    <row r="1058">
      <c r="A1058" s="166" t="n"/>
      <c r="B1058" s="63" t="n"/>
      <c r="C1058" s="64" t="n"/>
      <c r="D1058" s="167" t="n"/>
      <c r="E1058" s="63" t="n"/>
      <c r="F1058" s="63" t="n"/>
    </row>
    <row r="1059">
      <c r="A1059" s="166" t="n"/>
      <c r="B1059" s="63" t="n"/>
      <c r="C1059" s="64" t="n"/>
      <c r="D1059" s="167" t="n"/>
      <c r="E1059" s="63" t="n"/>
      <c r="F1059" s="63" t="n"/>
    </row>
    <row r="1060">
      <c r="A1060" s="166" t="n"/>
      <c r="B1060" s="63" t="n"/>
      <c r="C1060" s="64" t="n"/>
      <c r="D1060" s="167" t="n"/>
      <c r="E1060" s="63" t="n"/>
      <c r="F1060" s="63" t="n"/>
    </row>
    <row r="1061">
      <c r="A1061" s="166" t="n"/>
      <c r="B1061" s="63" t="n"/>
      <c r="C1061" s="64" t="n"/>
      <c r="D1061" s="167" t="n"/>
      <c r="E1061" s="63" t="n"/>
      <c r="F1061" s="63" t="n"/>
    </row>
    <row r="1062">
      <c r="A1062" s="166" t="n"/>
      <c r="B1062" s="63" t="n"/>
      <c r="C1062" s="64" t="n"/>
      <c r="D1062" s="167" t="n"/>
      <c r="E1062" s="63" t="n"/>
      <c r="F1062" s="63" t="n"/>
    </row>
    <row r="1063">
      <c r="A1063" s="166" t="n"/>
      <c r="B1063" s="63" t="n"/>
      <c r="C1063" s="64" t="n"/>
      <c r="D1063" s="167" t="n"/>
      <c r="E1063" s="63" t="n"/>
      <c r="F1063" s="63" t="n"/>
    </row>
    <row r="1064">
      <c r="A1064" s="166" t="n"/>
      <c r="B1064" s="63" t="n"/>
      <c r="C1064" s="64" t="n"/>
      <c r="D1064" s="167" t="n"/>
      <c r="E1064" s="63" t="n"/>
      <c r="F1064" s="63" t="n"/>
    </row>
    <row r="1065">
      <c r="A1065" s="166" t="n"/>
      <c r="B1065" s="63" t="n"/>
      <c r="C1065" s="64" t="n"/>
      <c r="D1065" s="167" t="n"/>
      <c r="E1065" s="63" t="n"/>
      <c r="F1065" s="63" t="n"/>
    </row>
    <row r="1066">
      <c r="A1066" s="166" t="n"/>
      <c r="B1066" s="63" t="n"/>
      <c r="C1066" s="64" t="n"/>
      <c r="D1066" s="167" t="n"/>
      <c r="E1066" s="63" t="n"/>
      <c r="F1066" s="63" t="n"/>
    </row>
    <row r="1067">
      <c r="A1067" s="166" t="n"/>
      <c r="B1067" s="63" t="n"/>
      <c r="C1067" s="64" t="n"/>
      <c r="D1067" s="167" t="n"/>
      <c r="E1067" s="63" t="n"/>
      <c r="F1067" s="63" t="n"/>
    </row>
    <row r="1068">
      <c r="A1068" s="166" t="n"/>
      <c r="B1068" s="63" t="n"/>
      <c r="C1068" s="64" t="n"/>
      <c r="D1068" s="167" t="n"/>
      <c r="E1068" s="63" t="n"/>
      <c r="F1068" s="63" t="n"/>
    </row>
    <row r="1069">
      <c r="A1069" s="166" t="n"/>
      <c r="B1069" s="63" t="n"/>
      <c r="C1069" s="64" t="n"/>
      <c r="D1069" s="167" t="n"/>
      <c r="E1069" s="63" t="n"/>
      <c r="F1069" s="63" t="n"/>
    </row>
    <row r="1070">
      <c r="A1070" s="166" t="n"/>
      <c r="B1070" s="63" t="n"/>
      <c r="C1070" s="64" t="n"/>
      <c r="D1070" s="167" t="n"/>
      <c r="E1070" s="63" t="n"/>
      <c r="F1070" s="63" t="n"/>
    </row>
    <row r="1071">
      <c r="A1071" s="166" t="n"/>
      <c r="B1071" s="63" t="n"/>
      <c r="C1071" s="64" t="n"/>
      <c r="D1071" s="167" t="n"/>
      <c r="E1071" s="63" t="n"/>
      <c r="F1071" s="63" t="n"/>
    </row>
    <row r="1072">
      <c r="A1072" s="166" t="n"/>
      <c r="B1072" s="63" t="n"/>
      <c r="C1072" s="64" t="n"/>
      <c r="D1072" s="167" t="n"/>
      <c r="E1072" s="63" t="n"/>
      <c r="F1072" s="63" t="n"/>
    </row>
    <row r="1073">
      <c r="A1073" s="166" t="n"/>
      <c r="B1073" s="63" t="n"/>
      <c r="C1073" s="64" t="n"/>
      <c r="D1073" s="167" t="n"/>
      <c r="E1073" s="63" t="n"/>
      <c r="F1073" s="63" t="n"/>
    </row>
    <row r="1074">
      <c r="A1074" s="166" t="n"/>
      <c r="B1074" s="63" t="n"/>
      <c r="C1074" s="64" t="n"/>
      <c r="D1074" s="167" t="n"/>
      <c r="E1074" s="63" t="n"/>
      <c r="F1074" s="63" t="n"/>
    </row>
    <row r="1075">
      <c r="A1075" s="166" t="n"/>
      <c r="B1075" s="63" t="n"/>
      <c r="C1075" s="64" t="n"/>
      <c r="D1075" s="167" t="n"/>
      <c r="E1075" s="63" t="n"/>
      <c r="F1075" s="63" t="n"/>
    </row>
    <row r="1076">
      <c r="A1076" s="166" t="n"/>
      <c r="B1076" s="63" t="n"/>
      <c r="C1076" s="64" t="n"/>
      <c r="D1076" s="167" t="n"/>
      <c r="E1076" s="63" t="n"/>
      <c r="F1076" s="63" t="n"/>
    </row>
    <row r="1077">
      <c r="A1077" s="166" t="n"/>
      <c r="B1077" s="63" t="n"/>
      <c r="C1077" s="64" t="n"/>
      <c r="D1077" s="167" t="n"/>
      <c r="E1077" s="63" t="n"/>
      <c r="F1077" s="63" t="n"/>
    </row>
    <row r="1078">
      <c r="A1078" s="166" t="n"/>
      <c r="B1078" s="63" t="n"/>
      <c r="C1078" s="64" t="n"/>
      <c r="D1078" s="167" t="n"/>
      <c r="E1078" s="63" t="n"/>
      <c r="F1078" s="63" t="n"/>
    </row>
    <row r="1079">
      <c r="A1079" s="166" t="n"/>
      <c r="B1079" s="63" t="n"/>
      <c r="C1079" s="64" t="n"/>
      <c r="D1079" s="167" t="n"/>
      <c r="E1079" s="63" t="n"/>
      <c r="F1079" s="63" t="n"/>
    </row>
    <row r="1080">
      <c r="A1080" s="166" t="n"/>
      <c r="B1080" s="63" t="n"/>
      <c r="C1080" s="64" t="n"/>
      <c r="D1080" s="167" t="n"/>
      <c r="E1080" s="63" t="n"/>
      <c r="F1080" s="63" t="n"/>
    </row>
    <row r="1081">
      <c r="A1081" s="166" t="n"/>
      <c r="B1081" s="63" t="n"/>
      <c r="C1081" s="64" t="n"/>
      <c r="D1081" s="167" t="n"/>
      <c r="E1081" s="63" t="n"/>
      <c r="F1081" s="63" t="n"/>
    </row>
    <row r="1082">
      <c r="A1082" s="166" t="n"/>
      <c r="B1082" s="63" t="n"/>
      <c r="C1082" s="64" t="n"/>
      <c r="D1082" s="167" t="n"/>
      <c r="E1082" s="63" t="n"/>
      <c r="F1082" s="63" t="n"/>
    </row>
    <row r="1083">
      <c r="A1083" s="166" t="n"/>
      <c r="B1083" s="63" t="n"/>
      <c r="C1083" s="64" t="n"/>
      <c r="D1083" s="167" t="n"/>
      <c r="E1083" s="63" t="n"/>
      <c r="F1083" s="63" t="n"/>
    </row>
    <row r="1084">
      <c r="A1084" s="166" t="n"/>
      <c r="B1084" s="63" t="n"/>
      <c r="C1084" s="64" t="n"/>
      <c r="D1084" s="167" t="n"/>
      <c r="E1084" s="63" t="n"/>
      <c r="F1084" s="63" t="n"/>
    </row>
    <row r="1085">
      <c r="A1085" s="166" t="n"/>
      <c r="B1085" s="63" t="n"/>
      <c r="C1085" s="64" t="n"/>
      <c r="D1085" s="167" t="n"/>
      <c r="E1085" s="63" t="n"/>
      <c r="F1085" s="63" t="n"/>
    </row>
    <row r="1086">
      <c r="A1086" s="166" t="n"/>
      <c r="B1086" s="63" t="n"/>
      <c r="C1086" s="64" t="n"/>
      <c r="D1086" s="167" t="n"/>
      <c r="E1086" s="63" t="n"/>
      <c r="F1086" s="63" t="n"/>
    </row>
    <row r="1087">
      <c r="A1087" s="166" t="n"/>
      <c r="B1087" s="63" t="n"/>
      <c r="C1087" s="64" t="n"/>
      <c r="D1087" s="167" t="n"/>
      <c r="E1087" s="63" t="n"/>
      <c r="F1087" s="63" t="n"/>
    </row>
    <row r="1088">
      <c r="A1088" s="166" t="n"/>
      <c r="B1088" s="63" t="n"/>
      <c r="C1088" s="64" t="n"/>
      <c r="D1088" s="167" t="n"/>
      <c r="E1088" s="63" t="n"/>
      <c r="F1088" s="63" t="n"/>
    </row>
    <row r="1089">
      <c r="A1089" s="166" t="n"/>
      <c r="B1089" s="63" t="n"/>
      <c r="C1089" s="64" t="n"/>
      <c r="D1089" s="167" t="n"/>
      <c r="E1089" s="63" t="n"/>
      <c r="F1089" s="63" t="n"/>
    </row>
    <row r="1090">
      <c r="A1090" s="166" t="n"/>
      <c r="B1090" s="63" t="n"/>
      <c r="C1090" s="64" t="n"/>
      <c r="D1090" s="167" t="n"/>
      <c r="E1090" s="63" t="n"/>
      <c r="F1090" s="63" t="n"/>
    </row>
    <row r="1091">
      <c r="A1091" s="166" t="n"/>
      <c r="B1091" s="63" t="n"/>
      <c r="C1091" s="64" t="n"/>
      <c r="D1091" s="167" t="n"/>
      <c r="E1091" s="63" t="n"/>
      <c r="F1091" s="63" t="n"/>
    </row>
    <row r="1092">
      <c r="A1092" s="166" t="n"/>
      <c r="B1092" s="63" t="n"/>
      <c r="C1092" s="64" t="n"/>
      <c r="D1092" s="167" t="n"/>
      <c r="E1092" s="63" t="n"/>
      <c r="F1092" s="63" t="n"/>
    </row>
    <row r="1093">
      <c r="A1093" s="166" t="n"/>
      <c r="B1093" s="63" t="n"/>
      <c r="C1093" s="64" t="n"/>
      <c r="D1093" s="167" t="n"/>
      <c r="E1093" s="63" t="n"/>
      <c r="F1093" s="63" t="n"/>
    </row>
    <row r="1094">
      <c r="A1094" s="166" t="n"/>
      <c r="B1094" s="63" t="n"/>
      <c r="C1094" s="64" t="n"/>
      <c r="D1094" s="167" t="n"/>
      <c r="E1094" s="63" t="n"/>
      <c r="F1094" s="63" t="n"/>
    </row>
    <row r="1095">
      <c r="A1095" s="166" t="n"/>
      <c r="B1095" s="63" t="n"/>
      <c r="C1095" s="64" t="n"/>
      <c r="D1095" s="167" t="n"/>
      <c r="E1095" s="63" t="n"/>
      <c r="F1095" s="63" t="n"/>
    </row>
    <row r="1096">
      <c r="A1096" s="166" t="n"/>
      <c r="B1096" s="63" t="n"/>
      <c r="C1096" s="64" t="n"/>
      <c r="D1096" s="167" t="n"/>
      <c r="E1096" s="63" t="n"/>
      <c r="F1096" s="63" t="n"/>
    </row>
    <row r="1097">
      <c r="A1097" s="166" t="n"/>
      <c r="B1097" s="63" t="n"/>
      <c r="C1097" s="64" t="n"/>
      <c r="D1097" s="167" t="n"/>
      <c r="E1097" s="63" t="n"/>
      <c r="F1097" s="63" t="n"/>
    </row>
    <row r="1098">
      <c r="A1098" s="166" t="n"/>
      <c r="B1098" s="63" t="n"/>
      <c r="C1098" s="64" t="n"/>
      <c r="D1098" s="167" t="n"/>
      <c r="E1098" s="63" t="n"/>
      <c r="F1098" s="63" t="n"/>
    </row>
    <row r="1099">
      <c r="A1099" s="166" t="n"/>
      <c r="B1099" s="63" t="n"/>
      <c r="C1099" s="64" t="n"/>
      <c r="D1099" s="167" t="n"/>
      <c r="E1099" s="63" t="n"/>
      <c r="F1099" s="63" t="n"/>
    </row>
    <row r="1100">
      <c r="A1100" s="166" t="n"/>
      <c r="B1100" s="63" t="n"/>
      <c r="C1100" s="64" t="n"/>
      <c r="D1100" s="167" t="n"/>
      <c r="E1100" s="63" t="n"/>
      <c r="F1100" s="63" t="n"/>
    </row>
    <row r="1101">
      <c r="A1101" s="166" t="n"/>
      <c r="B1101" s="63" t="n"/>
      <c r="C1101" s="64" t="n"/>
      <c r="D1101" s="167" t="n"/>
      <c r="E1101" s="63" t="n"/>
      <c r="F1101" s="63" t="n"/>
    </row>
    <row r="1102">
      <c r="A1102" s="166" t="n"/>
      <c r="B1102" s="63" t="n"/>
      <c r="C1102" s="64" t="n"/>
      <c r="D1102" s="167" t="n"/>
      <c r="E1102" s="63" t="n"/>
      <c r="F1102" s="63" t="n"/>
    </row>
    <row r="1103">
      <c r="A1103" s="166" t="n"/>
      <c r="B1103" s="63" t="n"/>
      <c r="C1103" s="64" t="n"/>
      <c r="D1103" s="167" t="n"/>
      <c r="E1103" s="63" t="n"/>
      <c r="F1103" s="63" t="n"/>
    </row>
    <row r="1104">
      <c r="A1104" s="166" t="n"/>
      <c r="B1104" s="63" t="n"/>
      <c r="C1104" s="64" t="n"/>
      <c r="D1104" s="167" t="n"/>
      <c r="E1104" s="63" t="n"/>
      <c r="F1104" s="63" t="n"/>
    </row>
    <row r="1105">
      <c r="A1105" s="166" t="n"/>
      <c r="B1105" s="63" t="n"/>
      <c r="C1105" s="64" t="n"/>
      <c r="D1105" s="167" t="n"/>
      <c r="E1105" s="63" t="n"/>
      <c r="F1105" s="63" t="n"/>
    </row>
    <row r="1106">
      <c r="A1106" s="166" t="n"/>
      <c r="B1106" s="63" t="n"/>
      <c r="C1106" s="64" t="n"/>
      <c r="D1106" s="167" t="n"/>
      <c r="E1106" s="63" t="n"/>
      <c r="F1106" s="63" t="n"/>
    </row>
    <row r="1107">
      <c r="A1107" s="166" t="n"/>
      <c r="B1107" s="63" t="n"/>
      <c r="C1107" s="64" t="n"/>
      <c r="D1107" s="167" t="n"/>
      <c r="E1107" s="63" t="n"/>
      <c r="F1107" s="63" t="n"/>
    </row>
    <row r="1108">
      <c r="A1108" s="166" t="n"/>
      <c r="B1108" s="63" t="n"/>
      <c r="C1108" s="64" t="n"/>
      <c r="D1108" s="167" t="n"/>
      <c r="E1108" s="63" t="n"/>
      <c r="F1108" s="63" t="n"/>
    </row>
    <row r="1109">
      <c r="A1109" s="166" t="n"/>
      <c r="B1109" s="63" t="n"/>
      <c r="C1109" s="64" t="n"/>
      <c r="D1109" s="167" t="n"/>
      <c r="E1109" s="63" t="n"/>
      <c r="F1109" s="63" t="n"/>
    </row>
    <row r="1110">
      <c r="A1110" s="166" t="n"/>
      <c r="B1110" s="63" t="n"/>
      <c r="C1110" s="64" t="n"/>
      <c r="D1110" s="167" t="n"/>
      <c r="E1110" s="63" t="n"/>
      <c r="F1110" s="63" t="n"/>
    </row>
    <row r="1111">
      <c r="A1111" s="166" t="n"/>
      <c r="B1111" s="63" t="n"/>
      <c r="C1111" s="64" t="n"/>
      <c r="D1111" s="167" t="n"/>
      <c r="E1111" s="63" t="n"/>
      <c r="F1111" s="63" t="n"/>
    </row>
    <row r="1112">
      <c r="A1112" s="166" t="n"/>
      <c r="B1112" s="63" t="n"/>
      <c r="C1112" s="64" t="n"/>
      <c r="D1112" s="167" t="n"/>
      <c r="E1112" s="63" t="n"/>
      <c r="F1112" s="63" t="n"/>
    </row>
    <row r="1113">
      <c r="A1113" s="166" t="n"/>
      <c r="B1113" s="63" t="n"/>
      <c r="C1113" s="64" t="n"/>
      <c r="D1113" s="167" t="n"/>
      <c r="E1113" s="63" t="n"/>
      <c r="F1113" s="63" t="n"/>
    </row>
    <row r="1114">
      <c r="A1114" s="166" t="n"/>
      <c r="B1114" s="63" t="n"/>
      <c r="C1114" s="64" t="n"/>
      <c r="D1114" s="167" t="n"/>
      <c r="E1114" s="63" t="n"/>
      <c r="F1114" s="63" t="n"/>
    </row>
    <row r="1115">
      <c r="A1115" s="166" t="n"/>
      <c r="B1115" s="63" t="n"/>
      <c r="C1115" s="64" t="n"/>
      <c r="D1115" s="167" t="n"/>
      <c r="E1115" s="63" t="n"/>
      <c r="F1115" s="63" t="n"/>
    </row>
    <row r="1116">
      <c r="A1116" s="166" t="n"/>
      <c r="B1116" s="63" t="n"/>
      <c r="C1116" s="64" t="n"/>
      <c r="D1116" s="167" t="n"/>
      <c r="E1116" s="63" t="n"/>
      <c r="F1116" s="63" t="n"/>
    </row>
    <row r="1117">
      <c r="A1117" s="166" t="n"/>
      <c r="B1117" s="63" t="n"/>
      <c r="C1117" s="64" t="n"/>
      <c r="D1117" s="167" t="n"/>
      <c r="E1117" s="63" t="n"/>
      <c r="F1117" s="63" t="n"/>
    </row>
    <row r="1118">
      <c r="A1118" s="166" t="n"/>
      <c r="B1118" s="63" t="n"/>
      <c r="C1118" s="64" t="n"/>
      <c r="D1118" s="167" t="n"/>
      <c r="E1118" s="63" t="n"/>
      <c r="F1118" s="63" t="n"/>
    </row>
    <row r="1119">
      <c r="A1119" s="166" t="n"/>
      <c r="B1119" s="63" t="n"/>
      <c r="C1119" s="64" t="n"/>
      <c r="D1119" s="167" t="n"/>
      <c r="E1119" s="63" t="n"/>
      <c r="F1119" s="63" t="n"/>
    </row>
    <row r="1120">
      <c r="A1120" s="166" t="n"/>
      <c r="B1120" s="63" t="n"/>
      <c r="C1120" s="64" t="n"/>
      <c r="D1120" s="167" t="n"/>
      <c r="E1120" s="63" t="n"/>
      <c r="F1120" s="63" t="n"/>
    </row>
    <row r="1121">
      <c r="A1121" s="166" t="n"/>
      <c r="B1121" s="63" t="n"/>
      <c r="C1121" s="64" t="n"/>
      <c r="D1121" s="167" t="n"/>
      <c r="E1121" s="63" t="n"/>
      <c r="F1121" s="63" t="n"/>
    </row>
    <row r="1122">
      <c r="A1122" s="166" t="n"/>
      <c r="B1122" s="63" t="n"/>
      <c r="C1122" s="64" t="n"/>
      <c r="D1122" s="167" t="n"/>
      <c r="E1122" s="63" t="n"/>
      <c r="F1122" s="63" t="n"/>
    </row>
    <row r="1123">
      <c r="A1123" s="166" t="n"/>
      <c r="B1123" s="63" t="n"/>
      <c r="C1123" s="64" t="n"/>
      <c r="D1123" s="167" t="n"/>
      <c r="E1123" s="63" t="n"/>
      <c r="F1123" s="63" t="n"/>
    </row>
    <row r="1124">
      <c r="A1124" s="166" t="n"/>
      <c r="B1124" s="63" t="n"/>
      <c r="C1124" s="64" t="n"/>
      <c r="D1124" s="167" t="n"/>
      <c r="E1124" s="63" t="n"/>
      <c r="F1124" s="63" t="n"/>
    </row>
    <row r="1125">
      <c r="A1125" s="166" t="n"/>
      <c r="B1125" s="63" t="n"/>
      <c r="C1125" s="64" t="n"/>
      <c r="D1125" s="167" t="n"/>
      <c r="E1125" s="63" t="n"/>
      <c r="F1125" s="63" t="n"/>
    </row>
    <row r="1126">
      <c r="A1126" s="166" t="n"/>
      <c r="B1126" s="63" t="n"/>
      <c r="C1126" s="64" t="n"/>
      <c r="D1126" s="167" t="n"/>
      <c r="E1126" s="63" t="n"/>
      <c r="F1126" s="63" t="n"/>
    </row>
    <row r="1127">
      <c r="A1127" s="166" t="n"/>
      <c r="B1127" s="63" t="n"/>
      <c r="C1127" s="64" t="n"/>
      <c r="D1127" s="167" t="n"/>
      <c r="E1127" s="63" t="n"/>
      <c r="F1127" s="63" t="n"/>
    </row>
    <row r="1128">
      <c r="A1128" s="166" t="n"/>
      <c r="B1128" s="63" t="n"/>
      <c r="C1128" s="64" t="n"/>
      <c r="D1128" s="167" t="n"/>
      <c r="E1128" s="63" t="n"/>
      <c r="F1128" s="63" t="n"/>
    </row>
    <row r="1129">
      <c r="A1129" s="166" t="n"/>
      <c r="B1129" s="63" t="n"/>
      <c r="C1129" s="64" t="n"/>
      <c r="D1129" s="167" t="n"/>
      <c r="E1129" s="63" t="n"/>
      <c r="F1129" s="63" t="n"/>
    </row>
    <row r="1130">
      <c r="A1130" s="166" t="n"/>
      <c r="B1130" s="63" t="n"/>
      <c r="C1130" s="64" t="n"/>
      <c r="D1130" s="167" t="n"/>
      <c r="E1130" s="63" t="n"/>
      <c r="F1130" s="63" t="n"/>
    </row>
    <row r="1131">
      <c r="A1131" s="166" t="n"/>
      <c r="B1131" s="63" t="n"/>
      <c r="C1131" s="64" t="n"/>
      <c r="D1131" s="167" t="n"/>
      <c r="E1131" s="63" t="n"/>
      <c r="F1131" s="63" t="n"/>
    </row>
    <row r="1132">
      <c r="A1132" s="166" t="n"/>
      <c r="B1132" s="63" t="n"/>
      <c r="C1132" s="64" t="n"/>
      <c r="D1132" s="167" t="n"/>
      <c r="E1132" s="63" t="n"/>
      <c r="F1132" s="63" t="n"/>
    </row>
    <row r="1133">
      <c r="A1133" s="166" t="n"/>
      <c r="B1133" s="63" t="n"/>
      <c r="C1133" s="64" t="n"/>
      <c r="D1133" s="167" t="n"/>
      <c r="E1133" s="63" t="n"/>
      <c r="F1133" s="63" t="n"/>
    </row>
    <row r="1134">
      <c r="A1134" s="166" t="n"/>
      <c r="B1134" s="63" t="n"/>
      <c r="C1134" s="64" t="n"/>
      <c r="D1134" s="167" t="n"/>
      <c r="E1134" s="63" t="n"/>
      <c r="F1134" s="63" t="n"/>
    </row>
    <row r="1135">
      <c r="A1135" s="166" t="n"/>
      <c r="B1135" s="63" t="n"/>
      <c r="C1135" s="64" t="n"/>
      <c r="D1135" s="167" t="n"/>
      <c r="E1135" s="63" t="n"/>
      <c r="F1135" s="63" t="n"/>
    </row>
    <row r="1136">
      <c r="A1136" s="166" t="n"/>
      <c r="B1136" s="63" t="n"/>
      <c r="C1136" s="64" t="n"/>
      <c r="D1136" s="167" t="n"/>
      <c r="E1136" s="63" t="n"/>
      <c r="F1136" s="63" t="n"/>
    </row>
    <row r="1137">
      <c r="A1137" s="166" t="n"/>
      <c r="B1137" s="63" t="n"/>
      <c r="C1137" s="64" t="n"/>
      <c r="D1137" s="167" t="n"/>
      <c r="E1137" s="63" t="n"/>
      <c r="F1137" s="63" t="n"/>
    </row>
    <row r="1138">
      <c r="A1138" s="166" t="n"/>
      <c r="B1138" s="63" t="n"/>
      <c r="C1138" s="64" t="n"/>
      <c r="D1138" s="167" t="n"/>
      <c r="E1138" s="63" t="n"/>
      <c r="F1138" s="63" t="n"/>
    </row>
    <row r="1139">
      <c r="A1139" s="166" t="n"/>
      <c r="B1139" s="63" t="n"/>
      <c r="C1139" s="64" t="n"/>
      <c r="D1139" s="167" t="n"/>
      <c r="E1139" s="63" t="n"/>
      <c r="F1139" s="63" t="n"/>
    </row>
    <row r="1140">
      <c r="A1140" s="166" t="n"/>
      <c r="B1140" s="63" t="n"/>
      <c r="C1140" s="64" t="n"/>
      <c r="D1140" s="167" t="n"/>
      <c r="E1140" s="63" t="n"/>
      <c r="F1140" s="63" t="n"/>
    </row>
    <row r="1141">
      <c r="A1141" s="166" t="n"/>
      <c r="B1141" s="63" t="n"/>
      <c r="C1141" s="64" t="n"/>
      <c r="D1141" s="167" t="n"/>
      <c r="E1141" s="63" t="n"/>
      <c r="F1141" s="63" t="n"/>
    </row>
    <row r="1142">
      <c r="A1142" s="166" t="n"/>
      <c r="B1142" s="63" t="n"/>
      <c r="C1142" s="64" t="n"/>
      <c r="D1142" s="167" t="n"/>
      <c r="E1142" s="63" t="n"/>
      <c r="F1142" s="63" t="n"/>
    </row>
    <row r="1143">
      <c r="A1143" s="166" t="n"/>
      <c r="B1143" s="63" t="n"/>
      <c r="C1143" s="64" t="n"/>
      <c r="D1143" s="167" t="n"/>
      <c r="E1143" s="63" t="n"/>
      <c r="F1143" s="63" t="n"/>
    </row>
    <row r="1144">
      <c r="A1144" s="166" t="n"/>
      <c r="B1144" s="63" t="n"/>
      <c r="C1144" s="64" t="n"/>
      <c r="D1144" s="167" t="n"/>
      <c r="E1144" s="63" t="n"/>
      <c r="F1144" s="63" t="n"/>
    </row>
    <row r="1145">
      <c r="A1145" s="166" t="n"/>
      <c r="B1145" s="63" t="n"/>
      <c r="C1145" s="64" t="n"/>
      <c r="D1145" s="167" t="n"/>
      <c r="E1145" s="63" t="n"/>
      <c r="F1145" s="63" t="n"/>
    </row>
    <row r="1146">
      <c r="A1146" s="166" t="n"/>
      <c r="B1146" s="63" t="n"/>
      <c r="C1146" s="64" t="n"/>
      <c r="D1146" s="167" t="n"/>
      <c r="E1146" s="63" t="n"/>
      <c r="F1146" s="63" t="n"/>
    </row>
    <row r="1147">
      <c r="A1147" s="166" t="n"/>
      <c r="B1147" s="63" t="n"/>
      <c r="C1147" s="64" t="n"/>
      <c r="D1147" s="167" t="n"/>
      <c r="E1147" s="63" t="n"/>
      <c r="F1147" s="63" t="n"/>
    </row>
    <row r="1148">
      <c r="A1148" s="166" t="n"/>
      <c r="B1148" s="63" t="n"/>
      <c r="C1148" s="64" t="n"/>
      <c r="D1148" s="167" t="n"/>
      <c r="E1148" s="63" t="n"/>
      <c r="F1148" s="63" t="n"/>
    </row>
    <row r="1149">
      <c r="A1149" s="166" t="n"/>
      <c r="B1149" s="63" t="n"/>
      <c r="C1149" s="64" t="n"/>
      <c r="D1149" s="167" t="n"/>
      <c r="E1149" s="63" t="n"/>
      <c r="F1149" s="63" t="n"/>
    </row>
    <row r="1150">
      <c r="A1150" s="166" t="n"/>
      <c r="B1150" s="63" t="n"/>
      <c r="C1150" s="64" t="n"/>
      <c r="D1150" s="167" t="n"/>
      <c r="E1150" s="63" t="n"/>
      <c r="F1150" s="63" t="n"/>
    </row>
    <row r="1151">
      <c r="A1151" s="166" t="n"/>
      <c r="B1151" s="63" t="n"/>
      <c r="C1151" s="64" t="n"/>
      <c r="D1151" s="167" t="n"/>
      <c r="E1151" s="63" t="n"/>
      <c r="F1151" s="63" t="n"/>
    </row>
    <row r="1152">
      <c r="A1152" s="166" t="n"/>
      <c r="B1152" s="63" t="n"/>
      <c r="C1152" s="64" t="n"/>
      <c r="D1152" s="167" t="n"/>
      <c r="E1152" s="63" t="n"/>
      <c r="F1152" s="63" t="n"/>
    </row>
    <row r="1153">
      <c r="A1153" s="166" t="n"/>
      <c r="B1153" s="63" t="n"/>
      <c r="C1153" s="64" t="n"/>
      <c r="D1153" s="167" t="n"/>
      <c r="E1153" s="63" t="n"/>
      <c r="F1153" s="63" t="n"/>
    </row>
    <row r="1154">
      <c r="A1154" s="166" t="n"/>
      <c r="B1154" s="63" t="n"/>
      <c r="C1154" s="64" t="n"/>
      <c r="D1154" s="167" t="n"/>
      <c r="E1154" s="63" t="n"/>
      <c r="F1154" s="63" t="n"/>
    </row>
    <row r="1155">
      <c r="A1155" s="166" t="n"/>
      <c r="B1155" s="63" t="n"/>
      <c r="C1155" s="64" t="n"/>
      <c r="D1155" s="167" t="n"/>
      <c r="E1155" s="63" t="n"/>
      <c r="F1155" s="63" t="n"/>
    </row>
    <row r="1156">
      <c r="A1156" s="166" t="n"/>
      <c r="B1156" s="63" t="n"/>
      <c r="C1156" s="64" t="n"/>
      <c r="D1156" s="167" t="n"/>
      <c r="E1156" s="63" t="n"/>
      <c r="F1156" s="63" t="n"/>
    </row>
    <row r="1157">
      <c r="A1157" s="166" t="n"/>
      <c r="B1157" s="63" t="n"/>
      <c r="C1157" s="64" t="n"/>
      <c r="D1157" s="167" t="n"/>
      <c r="E1157" s="63" t="n"/>
      <c r="F1157" s="63" t="n"/>
    </row>
    <row r="1158">
      <c r="A1158" s="166" t="n"/>
      <c r="B1158" s="63" t="n"/>
      <c r="C1158" s="64" t="n"/>
      <c r="D1158" s="167" t="n"/>
      <c r="E1158" s="63" t="n"/>
      <c r="F1158" s="63" t="n"/>
    </row>
    <row r="1159">
      <c r="A1159" s="166" t="n"/>
      <c r="B1159" s="63" t="n"/>
      <c r="C1159" s="64" t="n"/>
      <c r="D1159" s="167" t="n"/>
      <c r="E1159" s="63" t="n"/>
      <c r="F1159" s="63" t="n"/>
    </row>
    <row r="1160">
      <c r="A1160" s="166" t="n"/>
      <c r="B1160" s="63" t="n"/>
      <c r="C1160" s="64" t="n"/>
      <c r="D1160" s="167" t="n"/>
      <c r="E1160" s="63" t="n"/>
      <c r="F1160" s="63" t="n"/>
    </row>
    <row r="1161">
      <c r="A1161" s="166" t="n"/>
      <c r="B1161" s="63" t="n"/>
      <c r="C1161" s="64" t="n"/>
      <c r="D1161" s="167" t="n"/>
      <c r="E1161" s="63" t="n"/>
      <c r="F1161" s="63" t="n"/>
    </row>
    <row r="1162">
      <c r="A1162" s="166" t="n"/>
      <c r="B1162" s="63" t="n"/>
      <c r="C1162" s="64" t="n"/>
      <c r="D1162" s="167" t="n"/>
      <c r="E1162" s="63" t="n"/>
      <c r="F1162" s="63" t="n"/>
    </row>
    <row r="1163">
      <c r="A1163" s="166" t="n"/>
      <c r="B1163" s="63" t="n"/>
      <c r="C1163" s="64" t="n"/>
      <c r="D1163" s="167" t="n"/>
      <c r="E1163" s="63" t="n"/>
      <c r="F1163" s="63" t="n"/>
    </row>
    <row r="1164">
      <c r="A1164" s="166" t="n"/>
      <c r="B1164" s="63" t="n"/>
      <c r="C1164" s="64" t="n"/>
      <c r="D1164" s="167" t="n"/>
      <c r="E1164" s="63" t="n"/>
      <c r="F1164" s="63" t="n"/>
    </row>
    <row r="1165">
      <c r="A1165" s="166" t="n"/>
      <c r="B1165" s="63" t="n"/>
      <c r="C1165" s="64" t="n"/>
      <c r="D1165" s="167" t="n"/>
      <c r="E1165" s="63" t="n"/>
      <c r="F1165" s="63" t="n"/>
    </row>
    <row r="1166">
      <c r="A1166" s="166" t="n"/>
      <c r="B1166" s="63" t="n"/>
      <c r="C1166" s="64" t="n"/>
      <c r="D1166" s="167" t="n"/>
      <c r="E1166" s="63" t="n"/>
      <c r="F1166" s="63" t="n"/>
    </row>
    <row r="1167">
      <c r="A1167" s="166" t="n"/>
      <c r="B1167" s="63" t="n"/>
      <c r="C1167" s="64" t="n"/>
      <c r="D1167" s="167" t="n"/>
      <c r="E1167" s="63" t="n"/>
      <c r="F1167" s="63" t="n"/>
    </row>
    <row r="1168">
      <c r="A1168" s="166" t="n"/>
      <c r="B1168" s="63" t="n"/>
      <c r="C1168" s="64" t="n"/>
      <c r="D1168" s="167" t="n"/>
      <c r="E1168" s="63" t="n"/>
      <c r="F1168" s="63" t="n"/>
    </row>
    <row r="1169">
      <c r="A1169" s="166" t="n"/>
      <c r="B1169" s="63" t="n"/>
      <c r="C1169" s="64" t="n"/>
      <c r="D1169" s="167" t="n"/>
      <c r="E1169" s="63" t="n"/>
      <c r="F1169" s="63" t="n"/>
    </row>
    <row r="1170">
      <c r="A1170" s="166" t="n"/>
      <c r="B1170" s="63" t="n"/>
      <c r="C1170" s="64" t="n"/>
      <c r="D1170" s="167" t="n"/>
      <c r="E1170" s="63" t="n"/>
      <c r="F1170" s="63" t="n"/>
    </row>
    <row r="1171">
      <c r="A1171" s="166" t="n"/>
      <c r="B1171" s="63" t="n"/>
      <c r="C1171" s="64" t="n"/>
      <c r="D1171" s="167" t="n"/>
      <c r="E1171" s="63" t="n"/>
      <c r="F1171" s="63" t="n"/>
    </row>
    <row r="1172">
      <c r="A1172" s="166" t="n"/>
      <c r="B1172" s="63" t="n"/>
      <c r="C1172" s="64" t="n"/>
      <c r="D1172" s="167" t="n"/>
      <c r="E1172" s="63" t="n"/>
      <c r="F1172" s="63" t="n"/>
    </row>
    <row r="1173">
      <c r="A1173" s="166" t="n"/>
      <c r="B1173" s="63" t="n"/>
      <c r="C1173" s="64" t="n"/>
      <c r="D1173" s="167" t="n"/>
      <c r="E1173" s="63" t="n"/>
      <c r="F1173" s="63" t="n"/>
    </row>
    <row r="1174">
      <c r="A1174" s="166" t="n"/>
      <c r="B1174" s="63" t="n"/>
      <c r="C1174" s="64" t="n"/>
      <c r="D1174" s="167" t="n"/>
      <c r="E1174" s="63" t="n"/>
      <c r="F1174" s="63" t="n"/>
    </row>
    <row r="1175">
      <c r="A1175" s="166" t="n"/>
      <c r="B1175" s="63" t="n"/>
      <c r="C1175" s="64" t="n"/>
      <c r="D1175" s="167" t="n"/>
      <c r="E1175" s="63" t="n"/>
      <c r="F1175" s="63" t="n"/>
    </row>
    <row r="1176">
      <c r="A1176" s="166" t="n"/>
      <c r="B1176" s="63" t="n"/>
      <c r="C1176" s="64" t="n"/>
      <c r="D1176" s="167" t="n"/>
      <c r="E1176" s="63" t="n"/>
      <c r="F1176" s="63" t="n"/>
    </row>
    <row r="1177">
      <c r="A1177" s="166" t="n"/>
      <c r="B1177" s="63" t="n"/>
      <c r="C1177" s="64" t="n"/>
      <c r="D1177" s="167" t="n"/>
      <c r="E1177" s="63" t="n"/>
      <c r="F1177" s="63" t="n"/>
    </row>
    <row r="1178">
      <c r="A1178" s="166" t="n"/>
      <c r="B1178" s="63" t="n"/>
      <c r="C1178" s="64" t="n"/>
      <c r="D1178" s="167" t="n"/>
      <c r="E1178" s="63" t="n"/>
      <c r="F1178" s="63" t="n"/>
    </row>
    <row r="1179">
      <c r="A1179" s="166" t="n"/>
      <c r="B1179" s="63" t="n"/>
      <c r="C1179" s="64" t="n"/>
      <c r="D1179" s="167" t="n"/>
      <c r="E1179" s="63" t="n"/>
      <c r="F1179" s="63" t="n"/>
    </row>
    <row r="1180">
      <c r="A1180" s="166" t="n"/>
      <c r="B1180" s="63" t="n"/>
      <c r="C1180" s="64" t="n"/>
      <c r="D1180" s="167" t="n"/>
      <c r="E1180" s="63" t="n"/>
      <c r="F1180" s="63" t="n"/>
    </row>
    <row r="1181">
      <c r="A1181" s="166" t="n"/>
      <c r="B1181" s="63" t="n"/>
      <c r="C1181" s="64" t="n"/>
      <c r="D1181" s="167" t="n"/>
      <c r="E1181" s="63" t="n"/>
      <c r="F1181" s="63" t="n"/>
    </row>
    <row r="1182">
      <c r="A1182" s="166" t="n"/>
      <c r="B1182" s="63" t="n"/>
      <c r="C1182" s="64" t="n"/>
      <c r="D1182" s="167" t="n"/>
      <c r="E1182" s="63" t="n"/>
      <c r="F1182" s="63" t="n"/>
    </row>
    <row r="1183">
      <c r="A1183" s="166" t="n"/>
      <c r="B1183" s="63" t="n"/>
      <c r="C1183" s="64" t="n"/>
      <c r="D1183" s="167" t="n"/>
      <c r="E1183" s="63" t="n"/>
      <c r="F1183" s="63" t="n"/>
    </row>
    <row r="1184">
      <c r="A1184" s="166" t="n"/>
      <c r="B1184" s="63" t="n"/>
      <c r="C1184" s="64" t="n"/>
      <c r="D1184" s="167" t="n"/>
      <c r="E1184" s="63" t="n"/>
      <c r="F1184" s="63" t="n"/>
    </row>
    <row r="1185">
      <c r="A1185" s="166" t="n"/>
      <c r="B1185" s="63" t="n"/>
      <c r="C1185" s="64" t="n"/>
      <c r="D1185" s="167" t="n"/>
      <c r="E1185" s="63" t="n"/>
      <c r="F1185" s="63" t="n"/>
    </row>
    <row r="1186">
      <c r="A1186" s="166" t="n"/>
      <c r="B1186" s="63" t="n"/>
      <c r="C1186" s="64" t="n"/>
      <c r="D1186" s="167" t="n"/>
      <c r="E1186" s="63" t="n"/>
      <c r="F1186" s="63" t="n"/>
    </row>
    <row r="1187">
      <c r="A1187" s="166" t="n"/>
      <c r="B1187" s="63" t="n"/>
      <c r="C1187" s="64" t="n"/>
      <c r="D1187" s="167" t="n"/>
      <c r="E1187" s="63" t="n"/>
      <c r="F1187" s="63" t="n"/>
    </row>
    <row r="1188">
      <c r="A1188" s="166" t="n"/>
      <c r="B1188" s="63" t="n"/>
      <c r="C1188" s="64" t="n"/>
      <c r="D1188" s="167" t="n"/>
      <c r="E1188" s="63" t="n"/>
      <c r="F1188" s="63" t="n"/>
    </row>
    <row r="1189">
      <c r="A1189" s="166" t="n"/>
      <c r="B1189" s="63" t="n"/>
      <c r="C1189" s="64" t="n"/>
      <c r="D1189" s="167" t="n"/>
      <c r="E1189" s="63" t="n"/>
      <c r="F1189" s="63" t="n"/>
    </row>
    <row r="1190">
      <c r="A1190" s="166" t="n"/>
      <c r="B1190" s="63" t="n"/>
      <c r="C1190" s="64" t="n"/>
      <c r="D1190" s="167" t="n"/>
      <c r="E1190" s="63" t="n"/>
      <c r="F1190" s="63" t="n"/>
    </row>
    <row r="1191">
      <c r="A1191" s="166" t="n"/>
      <c r="B1191" s="63" t="n"/>
      <c r="C1191" s="64" t="n"/>
      <c r="D1191" s="167" t="n"/>
      <c r="E1191" s="63" t="n"/>
      <c r="F1191" s="63" t="n"/>
    </row>
    <row r="1192">
      <c r="A1192" s="166" t="n"/>
      <c r="B1192" s="63" t="n"/>
      <c r="C1192" s="64" t="n"/>
      <c r="D1192" s="167" t="n"/>
      <c r="E1192" s="63" t="n"/>
      <c r="F1192" s="63" t="n"/>
    </row>
    <row r="1193">
      <c r="A1193" s="166" t="n"/>
      <c r="B1193" s="63" t="n"/>
      <c r="C1193" s="64" t="n"/>
      <c r="D1193" s="167" t="n"/>
      <c r="E1193" s="63" t="n"/>
      <c r="F1193" s="63" t="n"/>
    </row>
    <row r="1194">
      <c r="A1194" s="166" t="n"/>
      <c r="B1194" s="63" t="n"/>
      <c r="C1194" s="64" t="n"/>
      <c r="D1194" s="167" t="n"/>
      <c r="E1194" s="63" t="n"/>
      <c r="F1194" s="63" t="n"/>
    </row>
    <row r="1195">
      <c r="A1195" s="166" t="n"/>
      <c r="B1195" s="63" t="n"/>
      <c r="C1195" s="64" t="n"/>
      <c r="D1195" s="167" t="n"/>
      <c r="E1195" s="63" t="n"/>
      <c r="F1195" s="63" t="n"/>
    </row>
    <row r="1196">
      <c r="A1196" s="166" t="n"/>
      <c r="B1196" s="63" t="n"/>
      <c r="C1196" s="64" t="n"/>
      <c r="D1196" s="167" t="n"/>
      <c r="E1196" s="63" t="n"/>
      <c r="F1196" s="63" t="n"/>
    </row>
    <row r="1197">
      <c r="A1197" s="166" t="n"/>
      <c r="B1197" s="63" t="n"/>
      <c r="C1197" s="64" t="n"/>
      <c r="D1197" s="167" t="n"/>
      <c r="E1197" s="63" t="n"/>
      <c r="F1197" s="63" t="n"/>
    </row>
    <row r="1198">
      <c r="A1198" s="166" t="n"/>
      <c r="B1198" s="63" t="n"/>
      <c r="C1198" s="64" t="n"/>
      <c r="D1198" s="167" t="n"/>
      <c r="E1198" s="63" t="n"/>
      <c r="F1198" s="63" t="n"/>
    </row>
    <row r="1199">
      <c r="A1199" s="166" t="n"/>
      <c r="B1199" s="63" t="n"/>
      <c r="C1199" s="64" t="n"/>
      <c r="D1199" s="167" t="n"/>
      <c r="E1199" s="63" t="n"/>
      <c r="F1199" s="63" t="n"/>
    </row>
    <row r="1200">
      <c r="A1200" s="166" t="n"/>
      <c r="B1200" s="63" t="n"/>
      <c r="C1200" s="64" t="n"/>
      <c r="D1200" s="167" t="n"/>
      <c r="E1200" s="63" t="n"/>
      <c r="F1200" s="63" t="n"/>
    </row>
    <row r="1201">
      <c r="A1201" s="166" t="n"/>
      <c r="B1201" s="63" t="n"/>
      <c r="C1201" s="64" t="n"/>
      <c r="D1201" s="167" t="n"/>
      <c r="E1201" s="63" t="n"/>
      <c r="F1201" s="63" t="n"/>
    </row>
    <row r="1202">
      <c r="A1202" s="166" t="n"/>
      <c r="B1202" s="63" t="n"/>
      <c r="C1202" s="64" t="n"/>
      <c r="D1202" s="167" t="n"/>
      <c r="E1202" s="63" t="n"/>
      <c r="F1202" s="63" t="n"/>
    </row>
    <row r="1203">
      <c r="A1203" s="166" t="n"/>
      <c r="B1203" s="63" t="n"/>
      <c r="C1203" s="64" t="n"/>
      <c r="D1203" s="167" t="n"/>
      <c r="E1203" s="63" t="n"/>
      <c r="F1203" s="63" t="n"/>
    </row>
    <row r="1204">
      <c r="A1204" s="166" t="n"/>
      <c r="B1204" s="63" t="n"/>
      <c r="C1204" s="64" t="n"/>
      <c r="D1204" s="167" t="n"/>
      <c r="E1204" s="63" t="n"/>
      <c r="F1204" s="63" t="n"/>
    </row>
    <row r="1205">
      <c r="A1205" s="166" t="n"/>
      <c r="B1205" s="63" t="n"/>
      <c r="C1205" s="64" t="n"/>
      <c r="D1205" s="167" t="n"/>
      <c r="E1205" s="63" t="n"/>
      <c r="F1205" s="63" t="n"/>
    </row>
    <row r="1206">
      <c r="A1206" s="166" t="n"/>
      <c r="B1206" s="63" t="n"/>
      <c r="C1206" s="64" t="n"/>
      <c r="D1206" s="167" t="n"/>
      <c r="E1206" s="63" t="n"/>
      <c r="F1206" s="63" t="n"/>
    </row>
    <row r="1207">
      <c r="A1207" s="166" t="n"/>
      <c r="B1207" s="63" t="n"/>
      <c r="C1207" s="64" t="n"/>
      <c r="D1207" s="167" t="n"/>
      <c r="E1207" s="63" t="n"/>
      <c r="F1207" s="63" t="n"/>
    </row>
    <row r="1208">
      <c r="A1208" s="166" t="n"/>
      <c r="B1208" s="63" t="n"/>
      <c r="C1208" s="64" t="n"/>
      <c r="D1208" s="167" t="n"/>
      <c r="E1208" s="63" t="n"/>
      <c r="F1208" s="63" t="n"/>
    </row>
    <row r="1209">
      <c r="A1209" s="166" t="n"/>
      <c r="B1209" s="63" t="n"/>
      <c r="C1209" s="64" t="n"/>
      <c r="D1209" s="167" t="n"/>
      <c r="E1209" s="63" t="n"/>
      <c r="F1209" s="63" t="n"/>
    </row>
    <row r="1210">
      <c r="A1210" s="166" t="n"/>
      <c r="B1210" s="63" t="n"/>
      <c r="C1210" s="64" t="n"/>
      <c r="D1210" s="167" t="n"/>
      <c r="E1210" s="63" t="n"/>
      <c r="F1210" s="63" t="n"/>
    </row>
    <row r="1211">
      <c r="A1211" s="166" t="n"/>
      <c r="B1211" s="63" t="n"/>
      <c r="C1211" s="64" t="n"/>
      <c r="D1211" s="167" t="n"/>
      <c r="E1211" s="63" t="n"/>
      <c r="F1211" s="63" t="n"/>
    </row>
    <row r="1212">
      <c r="A1212" s="166" t="n"/>
      <c r="B1212" s="63" t="n"/>
      <c r="C1212" s="64" t="n"/>
      <c r="D1212" s="167" t="n"/>
      <c r="E1212" s="63" t="n"/>
      <c r="F1212" s="63" t="n"/>
    </row>
    <row r="1213">
      <c r="A1213" s="166" t="n"/>
      <c r="B1213" s="63" t="n"/>
      <c r="C1213" s="64" t="n"/>
      <c r="D1213" s="167" t="n"/>
      <c r="E1213" s="63" t="n"/>
      <c r="F1213" s="63" t="n"/>
    </row>
    <row r="1214">
      <c r="A1214" s="166" t="n"/>
      <c r="B1214" s="63" t="n"/>
      <c r="C1214" s="64" t="n"/>
      <c r="D1214" s="167" t="n"/>
      <c r="E1214" s="63" t="n"/>
      <c r="F1214" s="63" t="n"/>
    </row>
    <row r="1215">
      <c r="A1215" s="166" t="n"/>
      <c r="B1215" s="63" t="n"/>
      <c r="C1215" s="64" t="n"/>
      <c r="D1215" s="167" t="n"/>
      <c r="E1215" s="63" t="n"/>
      <c r="F1215" s="63" t="n"/>
    </row>
    <row r="1216">
      <c r="A1216" s="166" t="n"/>
      <c r="B1216" s="63" t="n"/>
      <c r="C1216" s="64" t="n"/>
      <c r="D1216" s="167" t="n"/>
      <c r="E1216" s="63" t="n"/>
      <c r="F1216" s="63" t="n"/>
    </row>
    <row r="1217">
      <c r="A1217" s="166" t="n"/>
      <c r="B1217" s="63" t="n"/>
      <c r="C1217" s="64" t="n"/>
      <c r="D1217" s="167" t="n"/>
      <c r="E1217" s="63" t="n"/>
      <c r="F1217" s="63" t="n"/>
    </row>
    <row r="1218">
      <c r="A1218" s="166" t="n"/>
      <c r="B1218" s="63" t="n"/>
      <c r="C1218" s="64" t="n"/>
      <c r="D1218" s="167" t="n"/>
      <c r="E1218" s="63" t="n"/>
      <c r="F1218" s="63" t="n"/>
    </row>
    <row r="1219">
      <c r="A1219" s="166" t="n"/>
      <c r="B1219" s="63" t="n"/>
      <c r="C1219" s="64" t="n"/>
      <c r="D1219" s="167" t="n"/>
      <c r="E1219" s="63" t="n"/>
      <c r="F1219" s="63" t="n"/>
    </row>
    <row r="1220">
      <c r="A1220" s="166" t="n"/>
      <c r="B1220" s="63" t="n"/>
      <c r="C1220" s="64" t="n"/>
      <c r="D1220" s="167" t="n"/>
      <c r="E1220" s="63" t="n"/>
      <c r="F1220" s="63" t="n"/>
    </row>
    <row r="1221">
      <c r="A1221" s="166" t="n"/>
      <c r="B1221" s="63" t="n"/>
      <c r="C1221" s="64" t="n"/>
      <c r="D1221" s="167" t="n"/>
      <c r="E1221" s="63" t="n"/>
      <c r="F1221" s="63" t="n"/>
    </row>
    <row r="1222">
      <c r="A1222" s="166" t="n"/>
      <c r="B1222" s="63" t="n"/>
      <c r="C1222" s="64" t="n"/>
      <c r="D1222" s="167" t="n"/>
      <c r="E1222" s="63" t="n"/>
      <c r="F1222" s="63" t="n"/>
    </row>
    <row r="1223">
      <c r="A1223" s="166" t="n"/>
      <c r="B1223" s="63" t="n"/>
      <c r="C1223" s="64" t="n"/>
      <c r="D1223" s="167" t="n"/>
      <c r="E1223" s="63" t="n"/>
      <c r="F1223" s="63" t="n"/>
    </row>
    <row r="1224">
      <c r="A1224" s="166" t="n"/>
      <c r="B1224" s="63" t="n"/>
      <c r="C1224" s="64" t="n"/>
      <c r="D1224" s="167" t="n"/>
      <c r="E1224" s="63" t="n"/>
      <c r="F1224" s="63" t="n"/>
    </row>
    <row r="1225">
      <c r="A1225" s="166" t="n"/>
      <c r="B1225" s="63" t="n"/>
      <c r="C1225" s="64" t="n"/>
      <c r="D1225" s="167" t="n"/>
      <c r="E1225" s="63" t="n"/>
      <c r="F1225" s="63" t="n"/>
    </row>
    <row r="1226">
      <c r="A1226" s="166" t="n"/>
      <c r="B1226" s="63" t="n"/>
      <c r="C1226" s="64" t="n"/>
      <c r="D1226" s="167" t="n"/>
      <c r="E1226" s="63" t="n"/>
      <c r="F1226" s="63" t="n"/>
    </row>
    <row r="1227">
      <c r="A1227" s="166" t="n"/>
      <c r="B1227" s="63" t="n"/>
      <c r="C1227" s="64" t="n"/>
      <c r="D1227" s="167" t="n"/>
      <c r="E1227" s="63" t="n"/>
      <c r="F1227" s="63" t="n"/>
    </row>
    <row r="1228">
      <c r="A1228" s="166" t="n"/>
      <c r="B1228" s="63" t="n"/>
      <c r="C1228" s="64" t="n"/>
      <c r="D1228" s="167" t="n"/>
      <c r="E1228" s="63" t="n"/>
      <c r="F1228" s="63" t="n"/>
    </row>
    <row r="1229">
      <c r="A1229" s="166" t="n"/>
      <c r="B1229" s="63" t="n"/>
      <c r="C1229" s="64" t="n"/>
      <c r="D1229" s="167" t="n"/>
      <c r="E1229" s="63" t="n"/>
      <c r="F1229" s="63" t="n"/>
    </row>
    <row r="1230">
      <c r="A1230" s="166" t="n"/>
      <c r="B1230" s="63" t="n"/>
      <c r="C1230" s="64" t="n"/>
      <c r="D1230" s="167" t="n"/>
      <c r="E1230" s="63" t="n"/>
      <c r="F1230" s="63" t="n"/>
    </row>
    <row r="1231">
      <c r="A1231" s="166" t="n"/>
      <c r="B1231" s="63" t="n"/>
      <c r="C1231" s="64" t="n"/>
      <c r="D1231" s="167" t="n"/>
      <c r="E1231" s="63" t="n"/>
      <c r="F1231" s="63" t="n"/>
    </row>
    <row r="1232">
      <c r="A1232" s="166" t="n"/>
      <c r="B1232" s="63" t="n"/>
      <c r="C1232" s="64" t="n"/>
      <c r="D1232" s="167" t="n"/>
      <c r="E1232" s="63" t="n"/>
      <c r="F1232" s="63" t="n"/>
    </row>
    <row r="1233">
      <c r="A1233" s="166" t="n"/>
      <c r="B1233" s="63" t="n"/>
      <c r="C1233" s="64" t="n"/>
      <c r="D1233" s="167" t="n"/>
      <c r="E1233" s="63" t="n"/>
      <c r="F1233" s="63" t="n"/>
    </row>
    <row r="1234">
      <c r="A1234" s="166" t="n"/>
      <c r="B1234" s="63" t="n"/>
      <c r="C1234" s="64" t="n"/>
      <c r="D1234" s="167" t="n"/>
      <c r="E1234" s="63" t="n"/>
      <c r="F1234" s="63" t="n"/>
    </row>
    <row r="1235">
      <c r="A1235" s="166" t="n"/>
      <c r="B1235" s="63" t="n"/>
      <c r="C1235" s="64" t="n"/>
      <c r="D1235" s="167" t="n"/>
      <c r="E1235" s="63" t="n"/>
      <c r="F1235" s="63" t="n"/>
    </row>
    <row r="1236">
      <c r="A1236" s="166" t="n"/>
      <c r="B1236" s="63" t="n"/>
      <c r="C1236" s="64" t="n"/>
      <c r="D1236" s="167" t="n"/>
      <c r="E1236" s="63" t="n"/>
      <c r="F1236" s="63" t="n"/>
    </row>
    <row r="1237">
      <c r="A1237" s="166" t="n"/>
      <c r="B1237" s="63" t="n"/>
      <c r="C1237" s="64" t="n"/>
      <c r="D1237" s="167" t="n"/>
      <c r="E1237" s="63" t="n"/>
      <c r="F1237" s="63" t="n"/>
    </row>
    <row r="1238">
      <c r="A1238" s="166" t="n"/>
      <c r="B1238" s="63" t="n"/>
      <c r="C1238" s="64" t="n"/>
      <c r="D1238" s="167" t="n"/>
      <c r="E1238" s="63" t="n"/>
      <c r="F1238" s="63" t="n"/>
    </row>
    <row r="1239">
      <c r="A1239" s="166" t="n"/>
      <c r="B1239" s="63" t="n"/>
      <c r="C1239" s="64" t="n"/>
      <c r="D1239" s="167" t="n"/>
      <c r="E1239" s="63" t="n"/>
      <c r="F1239" s="63" t="n"/>
    </row>
    <row r="1240">
      <c r="A1240" s="166" t="n"/>
      <c r="B1240" s="63" t="n"/>
      <c r="C1240" s="64" t="n"/>
      <c r="D1240" s="167" t="n"/>
      <c r="E1240" s="63" t="n"/>
      <c r="F1240" s="63" t="n"/>
    </row>
    <row r="1241">
      <c r="A1241" s="166" t="n"/>
      <c r="B1241" s="63" t="n"/>
      <c r="C1241" s="64" t="n"/>
      <c r="D1241" s="167" t="n"/>
      <c r="E1241" s="63" t="n"/>
      <c r="F1241" s="63" t="n"/>
    </row>
    <row r="1242">
      <c r="A1242" s="166" t="n"/>
      <c r="B1242" s="63" t="n"/>
      <c r="C1242" s="64" t="n"/>
      <c r="D1242" s="167" t="n"/>
      <c r="E1242" s="63" t="n"/>
      <c r="F1242" s="63" t="n"/>
    </row>
    <row r="1243">
      <c r="A1243" s="166" t="n"/>
      <c r="B1243" s="63" t="n"/>
      <c r="C1243" s="64" t="n"/>
      <c r="D1243" s="167" t="n"/>
      <c r="E1243" s="63" t="n"/>
      <c r="F1243" s="63" t="n"/>
    </row>
    <row r="1244">
      <c r="A1244" s="166" t="n"/>
      <c r="B1244" s="63" t="n"/>
      <c r="C1244" s="64" t="n"/>
      <c r="D1244" s="167" t="n"/>
      <c r="E1244" s="63" t="n"/>
      <c r="F1244" s="63" t="n"/>
    </row>
    <row r="1245">
      <c r="A1245" s="166" t="n"/>
      <c r="B1245" s="63" t="n"/>
      <c r="C1245" s="64" t="n"/>
      <c r="D1245" s="167" t="n"/>
      <c r="E1245" s="63" t="n"/>
      <c r="F1245" s="63" t="n"/>
    </row>
    <row r="1246">
      <c r="A1246" s="166" t="n"/>
      <c r="B1246" s="63" t="n"/>
      <c r="C1246" s="64" t="n"/>
      <c r="D1246" s="167" t="n"/>
      <c r="E1246" s="63" t="n"/>
      <c r="F1246" s="63" t="n"/>
    </row>
    <row r="1247">
      <c r="A1247" s="166" t="n"/>
      <c r="B1247" s="63" t="n"/>
      <c r="C1247" s="64" t="n"/>
      <c r="D1247" s="167" t="n"/>
      <c r="E1247" s="63" t="n"/>
      <c r="F1247" s="63" t="n"/>
    </row>
    <row r="1248">
      <c r="A1248" s="166" t="n"/>
      <c r="B1248" s="63" t="n"/>
      <c r="C1248" s="64" t="n"/>
      <c r="D1248" s="167" t="n"/>
      <c r="E1248" s="63" t="n"/>
      <c r="F1248" s="63" t="n"/>
    </row>
    <row r="1249">
      <c r="A1249" s="166" t="n"/>
      <c r="B1249" s="63" t="n"/>
      <c r="C1249" s="64" t="n"/>
      <c r="D1249" s="167" t="n"/>
      <c r="E1249" s="63" t="n"/>
      <c r="F1249" s="63" t="n"/>
    </row>
    <row r="1250">
      <c r="A1250" s="166" t="n"/>
      <c r="B1250" s="63" t="n"/>
      <c r="C1250" s="64" t="n"/>
      <c r="D1250" s="167" t="n"/>
      <c r="E1250" s="63" t="n"/>
      <c r="F1250" s="63" t="n"/>
    </row>
    <row r="1251">
      <c r="A1251" s="166" t="n"/>
      <c r="B1251" s="63" t="n"/>
      <c r="C1251" s="64" t="n"/>
      <c r="D1251" s="167" t="n"/>
      <c r="E1251" s="63" t="n"/>
      <c r="F1251" s="63" t="n"/>
    </row>
    <row r="1252">
      <c r="A1252" s="166" t="n"/>
      <c r="B1252" s="63" t="n"/>
      <c r="C1252" s="64" t="n"/>
      <c r="D1252" s="167" t="n"/>
      <c r="E1252" s="63" t="n"/>
      <c r="F1252" s="63" t="n"/>
    </row>
    <row r="1253">
      <c r="A1253" s="166" t="n"/>
      <c r="B1253" s="63" t="n"/>
      <c r="C1253" s="64" t="n"/>
      <c r="D1253" s="167" t="n"/>
      <c r="E1253" s="63" t="n"/>
      <c r="F1253" s="63" t="n"/>
    </row>
    <row r="1254">
      <c r="A1254" s="166" t="n"/>
      <c r="B1254" s="63" t="n"/>
      <c r="C1254" s="64" t="n"/>
      <c r="D1254" s="167" t="n"/>
      <c r="E1254" s="63" t="n"/>
      <c r="F1254" s="63" t="n"/>
    </row>
    <row r="1255">
      <c r="A1255" s="166" t="n"/>
      <c r="B1255" s="63" t="n"/>
      <c r="C1255" s="64" t="n"/>
      <c r="D1255" s="167" t="n"/>
      <c r="E1255" s="63" t="n"/>
      <c r="F1255" s="63" t="n"/>
    </row>
    <row r="1256">
      <c r="A1256" s="166" t="n"/>
      <c r="B1256" s="63" t="n"/>
      <c r="C1256" s="64" t="n"/>
      <c r="D1256" s="167" t="n"/>
      <c r="E1256" s="63" t="n"/>
      <c r="F1256" s="63" t="n"/>
    </row>
    <row r="1257">
      <c r="A1257" s="166" t="n"/>
      <c r="B1257" s="63" t="n"/>
      <c r="C1257" s="64" t="n"/>
      <c r="D1257" s="167" t="n"/>
      <c r="E1257" s="63" t="n"/>
      <c r="F1257" s="63" t="n"/>
    </row>
    <row r="1258">
      <c r="A1258" s="166" t="n"/>
      <c r="B1258" s="63" t="n"/>
      <c r="C1258" s="64" t="n"/>
      <c r="D1258" s="167" t="n"/>
      <c r="E1258" s="63" t="n"/>
      <c r="F1258" s="63" t="n"/>
    </row>
    <row r="1259">
      <c r="A1259" s="166" t="n"/>
      <c r="B1259" s="63" t="n"/>
      <c r="C1259" s="64" t="n"/>
      <c r="D1259" s="167" t="n"/>
      <c r="E1259" s="63" t="n"/>
      <c r="F1259" s="63" t="n"/>
    </row>
    <row r="1260">
      <c r="A1260" s="166" t="n"/>
      <c r="B1260" s="63" t="n"/>
      <c r="C1260" s="64" t="n"/>
      <c r="D1260" s="167" t="n"/>
      <c r="E1260" s="63" t="n"/>
      <c r="F1260" s="63" t="n"/>
    </row>
    <row r="1261">
      <c r="A1261" s="166" t="n"/>
      <c r="B1261" s="63" t="n"/>
      <c r="C1261" s="64" t="n"/>
      <c r="D1261" s="167" t="n"/>
      <c r="E1261" s="63" t="n"/>
      <c r="F1261" s="63" t="n"/>
    </row>
    <row r="1262">
      <c r="A1262" s="166" t="n"/>
      <c r="B1262" s="63" t="n"/>
      <c r="C1262" s="64" t="n"/>
      <c r="D1262" s="167" t="n"/>
      <c r="E1262" s="63" t="n"/>
      <c r="F1262" s="63" t="n"/>
    </row>
    <row r="1263">
      <c r="A1263" s="166" t="n"/>
      <c r="B1263" s="63" t="n"/>
      <c r="C1263" s="64" t="n"/>
      <c r="D1263" s="167" t="n"/>
      <c r="E1263" s="63" t="n"/>
      <c r="F1263" s="63" t="n"/>
    </row>
    <row r="1264">
      <c r="A1264" s="166" t="n"/>
      <c r="B1264" s="63" t="n"/>
      <c r="C1264" s="64" t="n"/>
      <c r="D1264" s="167" t="n"/>
      <c r="E1264" s="63" t="n"/>
      <c r="F1264" s="63" t="n"/>
    </row>
    <row r="1265">
      <c r="A1265" s="166" t="n"/>
      <c r="B1265" s="63" t="n"/>
      <c r="C1265" s="64" t="n"/>
      <c r="D1265" s="167" t="n"/>
      <c r="E1265" s="63" t="n"/>
      <c r="F1265" s="63" t="n"/>
    </row>
    <row r="1266">
      <c r="A1266" s="166" t="n"/>
      <c r="B1266" s="63" t="n"/>
      <c r="C1266" s="64" t="n"/>
      <c r="D1266" s="167" t="n"/>
      <c r="E1266" s="63" t="n"/>
      <c r="F1266" s="63" t="n"/>
    </row>
    <row r="1267">
      <c r="A1267" s="166" t="n"/>
      <c r="B1267" s="63" t="n"/>
      <c r="C1267" s="64" t="n"/>
      <c r="D1267" s="167" t="n"/>
      <c r="E1267" s="63" t="n"/>
      <c r="F1267" s="63" t="n"/>
    </row>
    <row r="1268">
      <c r="A1268" s="166" t="n"/>
      <c r="B1268" s="63" t="n"/>
      <c r="C1268" s="64" t="n"/>
      <c r="D1268" s="167" t="n"/>
      <c r="E1268" s="63" t="n"/>
      <c r="F1268" s="63" t="n"/>
    </row>
    <row r="1269">
      <c r="A1269" s="166" t="n"/>
      <c r="B1269" s="63" t="n"/>
      <c r="C1269" s="64" t="n"/>
      <c r="D1269" s="167" t="n"/>
      <c r="E1269" s="63" t="n"/>
      <c r="F1269" s="63" t="n"/>
    </row>
    <row r="1270">
      <c r="A1270" s="166" t="n"/>
      <c r="B1270" s="63" t="n"/>
      <c r="C1270" s="64" t="n"/>
      <c r="D1270" s="167" t="n"/>
      <c r="E1270" s="63" t="n"/>
      <c r="F1270" s="63" t="n"/>
    </row>
    <row r="1271">
      <c r="A1271" s="166" t="n"/>
      <c r="B1271" s="63" t="n"/>
      <c r="C1271" s="64" t="n"/>
      <c r="D1271" s="167" t="n"/>
      <c r="E1271" s="63" t="n"/>
      <c r="F1271" s="63" t="n"/>
    </row>
    <row r="1272">
      <c r="A1272" s="166" t="n"/>
      <c r="B1272" s="63" t="n"/>
      <c r="C1272" s="64" t="n"/>
      <c r="D1272" s="167" t="n"/>
      <c r="E1272" s="63" t="n"/>
      <c r="F1272" s="63" t="n"/>
    </row>
    <row r="1273">
      <c r="A1273" s="166" t="n"/>
      <c r="B1273" s="63" t="n"/>
      <c r="C1273" s="64" t="n"/>
      <c r="D1273" s="167" t="n"/>
      <c r="E1273" s="63" t="n"/>
      <c r="F1273" s="63" t="n"/>
    </row>
    <row r="1274">
      <c r="A1274" s="166" t="n"/>
      <c r="B1274" s="63" t="n"/>
      <c r="C1274" s="64" t="n"/>
      <c r="D1274" s="167" t="n"/>
      <c r="E1274" s="63" t="n"/>
      <c r="F1274" s="63" t="n"/>
    </row>
    <row r="1275">
      <c r="A1275" s="166" t="n"/>
      <c r="B1275" s="63" t="n"/>
      <c r="C1275" s="64" t="n"/>
      <c r="D1275" s="167" t="n"/>
      <c r="E1275" s="63" t="n"/>
      <c r="F1275" s="63" t="n"/>
    </row>
    <row r="1276">
      <c r="A1276" s="166" t="n"/>
      <c r="B1276" s="63" t="n"/>
      <c r="C1276" s="64" t="n"/>
      <c r="D1276" s="167" t="n"/>
      <c r="E1276" s="63" t="n"/>
      <c r="F1276" s="63" t="n"/>
    </row>
    <row r="1277">
      <c r="A1277" s="166" t="n"/>
      <c r="B1277" s="63" t="n"/>
      <c r="C1277" s="64" t="n"/>
      <c r="D1277" s="167" t="n"/>
      <c r="E1277" s="63" t="n"/>
      <c r="F1277" s="63" t="n"/>
    </row>
    <row r="1278">
      <c r="A1278" s="166" t="n"/>
      <c r="B1278" s="63" t="n"/>
      <c r="C1278" s="64" t="n"/>
      <c r="D1278" s="167" t="n"/>
      <c r="E1278" s="63" t="n"/>
      <c r="F1278" s="63" t="n"/>
    </row>
    <row r="1279">
      <c r="A1279" s="166" t="n"/>
      <c r="B1279" s="63" t="n"/>
      <c r="C1279" s="64" t="n"/>
      <c r="D1279" s="167" t="n"/>
      <c r="E1279" s="63" t="n"/>
      <c r="F1279" s="63" t="n"/>
    </row>
    <row r="1280">
      <c r="A1280" s="166" t="n"/>
      <c r="B1280" s="63" t="n"/>
      <c r="C1280" s="64" t="n"/>
      <c r="D1280" s="167" t="n"/>
      <c r="E1280" s="63" t="n"/>
      <c r="F1280" s="63" t="n"/>
    </row>
    <row r="1281">
      <c r="A1281" s="166" t="n"/>
      <c r="B1281" s="63" t="n"/>
      <c r="C1281" s="64" t="n"/>
      <c r="D1281" s="167" t="n"/>
      <c r="E1281" s="63" t="n"/>
      <c r="F1281" s="63" t="n"/>
    </row>
    <row r="1282">
      <c r="A1282" s="166" t="n"/>
      <c r="B1282" s="63" t="n"/>
      <c r="C1282" s="64" t="n"/>
      <c r="D1282" s="167" t="n"/>
      <c r="E1282" s="63" t="n"/>
      <c r="F1282" s="63" t="n"/>
    </row>
    <row r="1283">
      <c r="A1283" s="166" t="n"/>
      <c r="B1283" s="63" t="n"/>
      <c r="C1283" s="64" t="n"/>
      <c r="D1283" s="167" t="n"/>
      <c r="E1283" s="63" t="n"/>
      <c r="F1283" s="63" t="n"/>
    </row>
    <row r="1284">
      <c r="A1284" s="166" t="n"/>
      <c r="B1284" s="63" t="n"/>
      <c r="C1284" s="64" t="n"/>
      <c r="D1284" s="167" t="n"/>
      <c r="E1284" s="63" t="n"/>
      <c r="F1284" s="63" t="n"/>
    </row>
    <row r="1285">
      <c r="A1285" s="166" t="n"/>
      <c r="B1285" s="63" t="n"/>
      <c r="C1285" s="64" t="n"/>
      <c r="D1285" s="167" t="n"/>
      <c r="E1285" s="63" t="n"/>
      <c r="F1285" s="63" t="n"/>
    </row>
    <row r="1286">
      <c r="A1286" s="166" t="n"/>
      <c r="B1286" s="63" t="n"/>
      <c r="C1286" s="64" t="n"/>
      <c r="D1286" s="167" t="n"/>
      <c r="E1286" s="63" t="n"/>
      <c r="F1286" s="63" t="n"/>
    </row>
    <row r="1287">
      <c r="A1287" s="166" t="n"/>
      <c r="B1287" s="63" t="n"/>
      <c r="C1287" s="64" t="n"/>
      <c r="D1287" s="167" t="n"/>
      <c r="E1287" s="63" t="n"/>
      <c r="F1287" s="63" t="n"/>
    </row>
    <row r="1288">
      <c r="A1288" s="166" t="n"/>
      <c r="B1288" s="63" t="n"/>
      <c r="C1288" s="64" t="n"/>
      <c r="D1288" s="167" t="n"/>
      <c r="E1288" s="63" t="n"/>
      <c r="F1288" s="63" t="n"/>
    </row>
    <row r="1289">
      <c r="A1289" s="166" t="n"/>
      <c r="B1289" s="63" t="n"/>
      <c r="C1289" s="64" t="n"/>
      <c r="D1289" s="167" t="n"/>
      <c r="E1289" s="63" t="n"/>
      <c r="F1289" s="63" t="n"/>
    </row>
    <row r="1290">
      <c r="A1290" s="166" t="n"/>
      <c r="B1290" s="63" t="n"/>
      <c r="C1290" s="64" t="n"/>
      <c r="D1290" s="167" t="n"/>
      <c r="E1290" s="63" t="n"/>
      <c r="F1290" s="63" t="n"/>
    </row>
    <row r="1291">
      <c r="A1291" s="166" t="n"/>
      <c r="B1291" s="63" t="n"/>
      <c r="C1291" s="64" t="n"/>
      <c r="D1291" s="167" t="n"/>
      <c r="E1291" s="63" t="n"/>
      <c r="F1291" s="63" t="n"/>
    </row>
    <row r="1292">
      <c r="A1292" s="166" t="n"/>
      <c r="B1292" s="63" t="n"/>
      <c r="C1292" s="64" t="n"/>
      <c r="D1292" s="167" t="n"/>
      <c r="E1292" s="63" t="n"/>
      <c r="F1292" s="63" t="n"/>
    </row>
    <row r="1293">
      <c r="A1293" s="166" t="n"/>
      <c r="B1293" s="63" t="n"/>
      <c r="C1293" s="64" t="n"/>
      <c r="D1293" s="167" t="n"/>
      <c r="E1293" s="63" t="n"/>
      <c r="F1293" s="63" t="n"/>
    </row>
    <row r="1294">
      <c r="A1294" s="166" t="n"/>
      <c r="B1294" s="63" t="n"/>
      <c r="C1294" s="64" t="n"/>
      <c r="D1294" s="167" t="n"/>
      <c r="E1294" s="63" t="n"/>
      <c r="F1294" s="63" t="n"/>
    </row>
    <row r="1295">
      <c r="A1295" s="166" t="n"/>
      <c r="B1295" s="63" t="n"/>
      <c r="C1295" s="64" t="n"/>
      <c r="D1295" s="167" t="n"/>
      <c r="E1295" s="63" t="n"/>
      <c r="F1295" s="63" t="n"/>
    </row>
    <row r="1296">
      <c r="A1296" s="166" t="n"/>
      <c r="B1296" s="63" t="n"/>
      <c r="C1296" s="64" t="n"/>
      <c r="D1296" s="167" t="n"/>
      <c r="E1296" s="63" t="n"/>
      <c r="F1296" s="63" t="n"/>
    </row>
    <row r="1297">
      <c r="A1297" s="166" t="n"/>
      <c r="B1297" s="63" t="n"/>
      <c r="C1297" s="64" t="n"/>
      <c r="D1297" s="167" t="n"/>
      <c r="E1297" s="63" t="n"/>
      <c r="F1297" s="63" t="n"/>
    </row>
    <row r="1298">
      <c r="A1298" s="166" t="n"/>
      <c r="B1298" s="63" t="n"/>
      <c r="C1298" s="64" t="n"/>
      <c r="D1298" s="167" t="n"/>
      <c r="E1298" s="63" t="n"/>
      <c r="F1298" s="63" t="n"/>
    </row>
    <row r="1299">
      <c r="A1299" s="166" t="n"/>
      <c r="B1299" s="63" t="n"/>
      <c r="C1299" s="64" t="n"/>
      <c r="D1299" s="167" t="n"/>
      <c r="E1299" s="63" t="n"/>
      <c r="F1299" s="63" t="n"/>
    </row>
    <row r="1300">
      <c r="A1300" s="166" t="n"/>
      <c r="B1300" s="63" t="n"/>
      <c r="C1300" s="64" t="n"/>
      <c r="D1300" s="167" t="n"/>
      <c r="E1300" s="63" t="n"/>
      <c r="F1300" s="63" t="n"/>
    </row>
    <row r="1301">
      <c r="A1301" s="166" t="n"/>
      <c r="B1301" s="63" t="n"/>
      <c r="C1301" s="64" t="n"/>
      <c r="D1301" s="167" t="n"/>
      <c r="E1301" s="63" t="n"/>
      <c r="F1301" s="63" t="n"/>
    </row>
    <row r="1302">
      <c r="A1302" s="166" t="n"/>
      <c r="B1302" s="63" t="n"/>
      <c r="C1302" s="64" t="n"/>
      <c r="D1302" s="167" t="n"/>
      <c r="E1302" s="63" t="n"/>
      <c r="F1302" s="63" t="n"/>
    </row>
    <row r="1303">
      <c r="A1303" s="166" t="n"/>
      <c r="B1303" s="63" t="n"/>
      <c r="C1303" s="64" t="n"/>
      <c r="D1303" s="167" t="n"/>
      <c r="E1303" s="63" t="n"/>
      <c r="F1303" s="63" t="n"/>
    </row>
    <row r="1304">
      <c r="A1304" s="166" t="n"/>
      <c r="B1304" s="63" t="n"/>
      <c r="C1304" s="64" t="n"/>
      <c r="D1304" s="167" t="n"/>
      <c r="E1304" s="63" t="n"/>
      <c r="F1304" s="63" t="n"/>
    </row>
    <row r="1305">
      <c r="A1305" s="166" t="n"/>
      <c r="B1305" s="63" t="n"/>
      <c r="C1305" s="64" t="n"/>
      <c r="D1305" s="167" t="n"/>
      <c r="E1305" s="63" t="n"/>
      <c r="F1305" s="63" t="n"/>
    </row>
    <row r="1306">
      <c r="A1306" s="166" t="n"/>
      <c r="B1306" s="63" t="n"/>
      <c r="C1306" s="64" t="n"/>
      <c r="D1306" s="167" t="n"/>
      <c r="E1306" s="63" t="n"/>
      <c r="F1306" s="63" t="n"/>
    </row>
    <row r="1307">
      <c r="A1307" s="166" t="n"/>
      <c r="B1307" s="63" t="n"/>
      <c r="C1307" s="64" t="n"/>
      <c r="D1307" s="167" t="n"/>
      <c r="E1307" s="63" t="n"/>
      <c r="F1307" s="63" t="n"/>
    </row>
    <row r="1308">
      <c r="A1308" s="166" t="n"/>
      <c r="B1308" s="63" t="n"/>
      <c r="C1308" s="64" t="n"/>
      <c r="D1308" s="167" t="n"/>
      <c r="E1308" s="63" t="n"/>
      <c r="F1308" s="63" t="n"/>
    </row>
    <row r="1309">
      <c r="A1309" s="166" t="n"/>
      <c r="B1309" s="63" t="n"/>
      <c r="C1309" s="64" t="n"/>
      <c r="D1309" s="167" t="n"/>
      <c r="E1309" s="63" t="n"/>
      <c r="F1309" s="63" t="n"/>
    </row>
    <row r="1310">
      <c r="A1310" s="166" t="n"/>
      <c r="B1310" s="63" t="n"/>
      <c r="C1310" s="64" t="n"/>
      <c r="D1310" s="167" t="n"/>
      <c r="E1310" s="63" t="n"/>
      <c r="F1310" s="63" t="n"/>
    </row>
    <row r="1311">
      <c r="A1311" s="166" t="n"/>
      <c r="B1311" s="63" t="n"/>
      <c r="C1311" s="64" t="n"/>
      <c r="D1311" s="167" t="n"/>
      <c r="E1311" s="63" t="n"/>
      <c r="F1311" s="63" t="n"/>
    </row>
    <row r="1312">
      <c r="A1312" s="166" t="n"/>
      <c r="B1312" s="63" t="n"/>
      <c r="C1312" s="64" t="n"/>
      <c r="D1312" s="167" t="n"/>
      <c r="E1312" s="63" t="n"/>
      <c r="F1312" s="63" t="n"/>
    </row>
    <row r="1313">
      <c r="A1313" s="166" t="n"/>
      <c r="B1313" s="63" t="n"/>
      <c r="C1313" s="64" t="n"/>
      <c r="D1313" s="167" t="n"/>
      <c r="E1313" s="63" t="n"/>
      <c r="F1313" s="63" t="n"/>
    </row>
    <row r="1314">
      <c r="A1314" s="166" t="n"/>
      <c r="B1314" s="63" t="n"/>
      <c r="C1314" s="64" t="n"/>
      <c r="D1314" s="167" t="n"/>
      <c r="E1314" s="63" t="n"/>
      <c r="F1314" s="63" t="n"/>
    </row>
    <row r="1315">
      <c r="A1315" s="166" t="n"/>
      <c r="B1315" s="63" t="n"/>
      <c r="C1315" s="64" t="n"/>
      <c r="D1315" s="167" t="n"/>
      <c r="E1315" s="63" t="n"/>
      <c r="F1315" s="63" t="n"/>
    </row>
    <row r="1316">
      <c r="A1316" s="166" t="n"/>
      <c r="B1316" s="63" t="n"/>
      <c r="C1316" s="64" t="n"/>
      <c r="D1316" s="167" t="n"/>
      <c r="E1316" s="63" t="n"/>
      <c r="F1316" s="63" t="n"/>
    </row>
    <row r="1317">
      <c r="A1317" s="166" t="n"/>
      <c r="B1317" s="63" t="n"/>
      <c r="C1317" s="64" t="n"/>
      <c r="D1317" s="167" t="n"/>
      <c r="E1317" s="63" t="n"/>
      <c r="F1317" s="63" t="n"/>
    </row>
    <row r="1318">
      <c r="A1318" s="166" t="n"/>
      <c r="B1318" s="63" t="n"/>
      <c r="C1318" s="64" t="n"/>
      <c r="D1318" s="167" t="n"/>
      <c r="E1318" s="63" t="n"/>
      <c r="F1318" s="63" t="n"/>
    </row>
    <row r="1319">
      <c r="A1319" s="166" t="n"/>
      <c r="B1319" s="63" t="n"/>
      <c r="C1319" s="64" t="n"/>
      <c r="D1319" s="167" t="n"/>
      <c r="E1319" s="63" t="n"/>
      <c r="F1319" s="63" t="n"/>
    </row>
    <row r="1320">
      <c r="A1320" s="166" t="n"/>
      <c r="B1320" s="63" t="n"/>
      <c r="C1320" s="64" t="n"/>
      <c r="D1320" s="167" t="n"/>
      <c r="E1320" s="63" t="n"/>
      <c r="F1320" s="63" t="n"/>
    </row>
    <row r="1321">
      <c r="A1321" s="166" t="n"/>
      <c r="B1321" s="63" t="n"/>
      <c r="C1321" s="64" t="n"/>
      <c r="D1321" s="167" t="n"/>
      <c r="E1321" s="63" t="n"/>
      <c r="F1321" s="63" t="n"/>
    </row>
    <row r="1322">
      <c r="A1322" s="166" t="n"/>
      <c r="B1322" s="63" t="n"/>
      <c r="C1322" s="64" t="n"/>
      <c r="D1322" s="167" t="n"/>
      <c r="E1322" s="63" t="n"/>
      <c r="F1322" s="63" t="n"/>
    </row>
    <row r="1323">
      <c r="A1323" s="166" t="n"/>
      <c r="B1323" s="63" t="n"/>
      <c r="C1323" s="64" t="n"/>
      <c r="D1323" s="167" t="n"/>
      <c r="E1323" s="63" t="n"/>
      <c r="F1323" s="63" t="n"/>
    </row>
    <row r="1324">
      <c r="A1324" s="166" t="n"/>
      <c r="B1324" s="63" t="n"/>
      <c r="C1324" s="64" t="n"/>
      <c r="D1324" s="167" t="n"/>
      <c r="E1324" s="63" t="n"/>
      <c r="F1324" s="63" t="n"/>
    </row>
    <row r="1325">
      <c r="A1325" s="166" t="n"/>
      <c r="B1325" s="63" t="n"/>
      <c r="C1325" s="64" t="n"/>
      <c r="D1325" s="167" t="n"/>
      <c r="E1325" s="63" t="n"/>
      <c r="F1325" s="63" t="n"/>
    </row>
    <row r="1326">
      <c r="A1326" s="166" t="n"/>
      <c r="B1326" s="63" t="n"/>
      <c r="C1326" s="64" t="n"/>
      <c r="D1326" s="167" t="n"/>
      <c r="E1326" s="63" t="n"/>
      <c r="F1326" s="63" t="n"/>
    </row>
    <row r="1327">
      <c r="A1327" s="166" t="n"/>
      <c r="B1327" s="63" t="n"/>
      <c r="C1327" s="64" t="n"/>
      <c r="D1327" s="167" t="n"/>
      <c r="E1327" s="63" t="n"/>
      <c r="F1327" s="63" t="n"/>
    </row>
    <row r="1328">
      <c r="A1328" s="166" t="n"/>
      <c r="B1328" s="63" t="n"/>
      <c r="C1328" s="64" t="n"/>
      <c r="D1328" s="167" t="n"/>
      <c r="E1328" s="63" t="n"/>
      <c r="F1328" s="63" t="n"/>
    </row>
    <row r="1329">
      <c r="A1329" s="166" t="n"/>
      <c r="B1329" s="63" t="n"/>
      <c r="C1329" s="64" t="n"/>
      <c r="D1329" s="167" t="n"/>
      <c r="E1329" s="63" t="n"/>
      <c r="F1329" s="63" t="n"/>
    </row>
    <row r="1330">
      <c r="A1330" s="166" t="n"/>
      <c r="B1330" s="63" t="n"/>
      <c r="C1330" s="64" t="n"/>
      <c r="D1330" s="167" t="n"/>
      <c r="E1330" s="63" t="n"/>
      <c r="F1330" s="63" t="n"/>
    </row>
    <row r="1331">
      <c r="A1331" s="166" t="n"/>
      <c r="B1331" s="63" t="n"/>
      <c r="C1331" s="64" t="n"/>
      <c r="D1331" s="167" t="n"/>
      <c r="E1331" s="63" t="n"/>
      <c r="F1331" s="63" t="n"/>
    </row>
    <row r="1332">
      <c r="A1332" s="166" t="n"/>
      <c r="B1332" s="63" t="n"/>
      <c r="C1332" s="64" t="n"/>
      <c r="D1332" s="167" t="n"/>
      <c r="E1332" s="63" t="n"/>
      <c r="F1332" s="63" t="n"/>
    </row>
    <row r="1333">
      <c r="A1333" s="166" t="n"/>
      <c r="B1333" s="63" t="n"/>
      <c r="C1333" s="64" t="n"/>
      <c r="D1333" s="167" t="n"/>
      <c r="E1333" s="63" t="n"/>
      <c r="F1333" s="63" t="n"/>
    </row>
    <row r="1334">
      <c r="A1334" s="166" t="n"/>
      <c r="B1334" s="63" t="n"/>
      <c r="C1334" s="64" t="n"/>
      <c r="D1334" s="167" t="n"/>
      <c r="E1334" s="63" t="n"/>
      <c r="F1334" s="63" t="n"/>
    </row>
    <row r="1335">
      <c r="A1335" s="166" t="n"/>
      <c r="B1335" s="63" t="n"/>
      <c r="C1335" s="64" t="n"/>
      <c r="D1335" s="167" t="n"/>
      <c r="E1335" s="63" t="n"/>
      <c r="F1335" s="63" t="n"/>
    </row>
    <row r="1336">
      <c r="A1336" s="166" t="n"/>
      <c r="B1336" s="63" t="n"/>
      <c r="C1336" s="64" t="n"/>
      <c r="D1336" s="167" t="n"/>
      <c r="E1336" s="63" t="n"/>
      <c r="F1336" s="63" t="n"/>
    </row>
    <row r="1337">
      <c r="A1337" s="166" t="n"/>
      <c r="B1337" s="63" t="n"/>
      <c r="C1337" s="64" t="n"/>
      <c r="D1337" s="167" t="n"/>
      <c r="E1337" s="63" t="n"/>
      <c r="F1337" s="63" t="n"/>
    </row>
    <row r="1338">
      <c r="A1338" s="166" t="n"/>
      <c r="B1338" s="63" t="n"/>
      <c r="C1338" s="64" t="n"/>
      <c r="D1338" s="167" t="n"/>
      <c r="E1338" s="63" t="n"/>
      <c r="F1338" s="63" t="n"/>
    </row>
    <row r="1339">
      <c r="A1339" s="166" t="n"/>
      <c r="B1339" s="63" t="n"/>
      <c r="C1339" s="64" t="n"/>
      <c r="D1339" s="167" t="n"/>
      <c r="E1339" s="63" t="n"/>
      <c r="F1339" s="63" t="n"/>
    </row>
    <row r="1340">
      <c r="A1340" s="166" t="n"/>
      <c r="B1340" s="63" t="n"/>
      <c r="C1340" s="64" t="n"/>
      <c r="D1340" s="167" t="n"/>
      <c r="E1340" s="63" t="n"/>
      <c r="F1340" s="63" t="n"/>
    </row>
    <row r="1341">
      <c r="A1341" s="166" t="n"/>
      <c r="B1341" s="63" t="n"/>
      <c r="C1341" s="64" t="n"/>
      <c r="D1341" s="167" t="n"/>
      <c r="E1341" s="63" t="n"/>
      <c r="F1341" s="63" t="n"/>
    </row>
    <row r="1342">
      <c r="A1342" s="166" t="n"/>
      <c r="B1342" s="63" t="n"/>
      <c r="C1342" s="64" t="n"/>
      <c r="D1342" s="167" t="n"/>
      <c r="E1342" s="63" t="n"/>
      <c r="F1342" s="63" t="n"/>
    </row>
    <row r="1343">
      <c r="A1343" s="166" t="n"/>
      <c r="B1343" s="63" t="n"/>
      <c r="C1343" s="64" t="n"/>
      <c r="D1343" s="167" t="n"/>
      <c r="E1343" s="63" t="n"/>
      <c r="F1343" s="63" t="n"/>
    </row>
    <row r="1344">
      <c r="A1344" s="166" t="n"/>
      <c r="B1344" s="63" t="n"/>
      <c r="C1344" s="64" t="n"/>
      <c r="D1344" s="167" t="n"/>
      <c r="E1344" s="63" t="n"/>
      <c r="F1344" s="63" t="n"/>
    </row>
    <row r="1345">
      <c r="A1345" s="166" t="n"/>
      <c r="B1345" s="63" t="n"/>
      <c r="C1345" s="64" t="n"/>
      <c r="D1345" s="167" t="n"/>
      <c r="E1345" s="63" t="n"/>
      <c r="F1345" s="63" t="n"/>
    </row>
    <row r="1346">
      <c r="A1346" s="166" t="n"/>
      <c r="B1346" s="63" t="n"/>
      <c r="C1346" s="64" t="n"/>
      <c r="D1346" s="167" t="n"/>
      <c r="E1346" s="63" t="n"/>
      <c r="F1346" s="63" t="n"/>
    </row>
    <row r="1347">
      <c r="A1347" s="166" t="n"/>
      <c r="B1347" s="63" t="n"/>
      <c r="C1347" s="64" t="n"/>
      <c r="D1347" s="167" t="n"/>
      <c r="E1347" s="63" t="n"/>
      <c r="F1347" s="63" t="n"/>
    </row>
    <row r="1348">
      <c r="A1348" s="166" t="n"/>
      <c r="B1348" s="63" t="n"/>
      <c r="C1348" s="64" t="n"/>
      <c r="D1348" s="167" t="n"/>
      <c r="E1348" s="63" t="n"/>
      <c r="F1348" s="63" t="n"/>
    </row>
    <row r="1349">
      <c r="A1349" s="166" t="n"/>
      <c r="B1349" s="63" t="n"/>
      <c r="C1349" s="64" t="n"/>
      <c r="D1349" s="167" t="n"/>
      <c r="E1349" s="63" t="n"/>
      <c r="F1349" s="63" t="n"/>
    </row>
    <row r="1350">
      <c r="A1350" s="166" t="n"/>
      <c r="B1350" s="63" t="n"/>
      <c r="C1350" s="64" t="n"/>
      <c r="D1350" s="167" t="n"/>
      <c r="E1350" s="63" t="n"/>
      <c r="F1350" s="63" t="n"/>
    </row>
    <row r="1351">
      <c r="A1351" s="166" t="n"/>
      <c r="B1351" s="63" t="n"/>
      <c r="C1351" s="64" t="n"/>
      <c r="D1351" s="167" t="n"/>
      <c r="E1351" s="63" t="n"/>
      <c r="F1351" s="63" t="n"/>
    </row>
    <row r="1352">
      <c r="A1352" s="166" t="n"/>
      <c r="B1352" s="63" t="n"/>
      <c r="C1352" s="64" t="n"/>
      <c r="D1352" s="167" t="n"/>
      <c r="E1352" s="63" t="n"/>
      <c r="F1352" s="63" t="n"/>
    </row>
    <row r="1353">
      <c r="A1353" s="166" t="n"/>
      <c r="B1353" s="63" t="n"/>
      <c r="C1353" s="64" t="n"/>
      <c r="D1353" s="167" t="n"/>
      <c r="E1353" s="63" t="n"/>
      <c r="F1353" s="63" t="n"/>
    </row>
    <row r="1354">
      <c r="A1354" s="166" t="n"/>
      <c r="B1354" s="63" t="n"/>
      <c r="C1354" s="64" t="n"/>
      <c r="D1354" s="167" t="n"/>
      <c r="E1354" s="63" t="n"/>
      <c r="F1354" s="63" t="n"/>
    </row>
    <row r="1355">
      <c r="A1355" s="166" t="n"/>
      <c r="B1355" s="63" t="n"/>
      <c r="C1355" s="64" t="n"/>
      <c r="D1355" s="167" t="n"/>
      <c r="E1355" s="63" t="n"/>
      <c r="F1355" s="63" t="n"/>
    </row>
    <row r="1356">
      <c r="A1356" s="166" t="n"/>
      <c r="B1356" s="63" t="n"/>
      <c r="C1356" s="64" t="n"/>
      <c r="D1356" s="167" t="n"/>
      <c r="E1356" s="63" t="n"/>
      <c r="F1356" s="63" t="n"/>
    </row>
    <row r="1357">
      <c r="A1357" s="166" t="n"/>
      <c r="B1357" s="63" t="n"/>
      <c r="C1357" s="64" t="n"/>
      <c r="D1357" s="167" t="n"/>
      <c r="E1357" s="63" t="n"/>
      <c r="F1357" s="63" t="n"/>
    </row>
    <row r="1358">
      <c r="A1358" s="166" t="n"/>
      <c r="B1358" s="63" t="n"/>
      <c r="C1358" s="64" t="n"/>
      <c r="D1358" s="167" t="n"/>
      <c r="E1358" s="63" t="n"/>
      <c r="F1358" s="63" t="n"/>
    </row>
    <row r="1359">
      <c r="A1359" s="166" t="n"/>
      <c r="B1359" s="63" t="n"/>
      <c r="C1359" s="64" t="n"/>
      <c r="D1359" s="167" t="n"/>
      <c r="E1359" s="63" t="n"/>
      <c r="F1359" s="63" t="n"/>
    </row>
    <row r="1360">
      <c r="A1360" s="166" t="n"/>
      <c r="B1360" s="63" t="n"/>
      <c r="C1360" s="64" t="n"/>
      <c r="D1360" s="167" t="n"/>
      <c r="E1360" s="63" t="n"/>
      <c r="F1360" s="63" t="n"/>
    </row>
    <row r="1361">
      <c r="A1361" s="166" t="n"/>
      <c r="B1361" s="63" t="n"/>
      <c r="C1361" s="64" t="n"/>
      <c r="D1361" s="167" t="n"/>
      <c r="E1361" s="63" t="n"/>
      <c r="F1361" s="63" t="n"/>
    </row>
    <row r="1362">
      <c r="A1362" s="166" t="n"/>
      <c r="B1362" s="63" t="n"/>
      <c r="C1362" s="64" t="n"/>
      <c r="D1362" s="167" t="n"/>
      <c r="E1362" s="63" t="n"/>
      <c r="F1362" s="63" t="n"/>
    </row>
    <row r="1363">
      <c r="A1363" s="166" t="n"/>
      <c r="B1363" s="63" t="n"/>
      <c r="C1363" s="64" t="n"/>
      <c r="D1363" s="167" t="n"/>
      <c r="E1363" s="63" t="n"/>
      <c r="F1363" s="63" t="n"/>
    </row>
    <row r="1364">
      <c r="A1364" s="166" t="n"/>
      <c r="B1364" s="63" t="n"/>
      <c r="C1364" s="64" t="n"/>
      <c r="D1364" s="167" t="n"/>
      <c r="E1364" s="63" t="n"/>
      <c r="F1364" s="63" t="n"/>
    </row>
    <row r="1365">
      <c r="A1365" s="166" t="n"/>
      <c r="B1365" s="63" t="n"/>
      <c r="C1365" s="64" t="n"/>
      <c r="D1365" s="167" t="n"/>
      <c r="E1365" s="63" t="n"/>
      <c r="F1365" s="63" t="n"/>
    </row>
    <row r="1366">
      <c r="A1366" s="166" t="n"/>
      <c r="B1366" s="63" t="n"/>
      <c r="C1366" s="64" t="n"/>
      <c r="D1366" s="167" t="n"/>
      <c r="E1366" s="63" t="n"/>
      <c r="F1366" s="63" t="n"/>
    </row>
    <row r="1367">
      <c r="A1367" s="166" t="n"/>
      <c r="B1367" s="63" t="n"/>
      <c r="C1367" s="64" t="n"/>
      <c r="D1367" s="167" t="n"/>
      <c r="E1367" s="63" t="n"/>
      <c r="F1367" s="63" t="n"/>
    </row>
    <row r="1368">
      <c r="A1368" s="166" t="n"/>
      <c r="B1368" s="63" t="n"/>
      <c r="C1368" s="64" t="n"/>
      <c r="D1368" s="167" t="n"/>
      <c r="E1368" s="63" t="n"/>
      <c r="F1368" s="63" t="n"/>
    </row>
    <row r="1369">
      <c r="A1369" s="166" t="n"/>
      <c r="B1369" s="63" t="n"/>
      <c r="C1369" s="64" t="n"/>
      <c r="D1369" s="167" t="n"/>
      <c r="E1369" s="63" t="n"/>
      <c r="F1369" s="63" t="n"/>
    </row>
    <row r="1370">
      <c r="A1370" s="166" t="n"/>
      <c r="B1370" s="63" t="n"/>
      <c r="C1370" s="64" t="n"/>
      <c r="D1370" s="167" t="n"/>
      <c r="E1370" s="63" t="n"/>
      <c r="F1370" s="63" t="n"/>
    </row>
    <row r="1371">
      <c r="A1371" s="166" t="n"/>
      <c r="B1371" s="63" t="n"/>
      <c r="C1371" s="64" t="n"/>
      <c r="D1371" s="167" t="n"/>
      <c r="E1371" s="63" t="n"/>
      <c r="F1371" s="63" t="n"/>
    </row>
    <row r="1372">
      <c r="A1372" s="166" t="n"/>
      <c r="B1372" s="63" t="n"/>
      <c r="C1372" s="64" t="n"/>
      <c r="D1372" s="167" t="n"/>
      <c r="E1372" s="63" t="n"/>
      <c r="F1372" s="63" t="n"/>
    </row>
    <row r="1373">
      <c r="A1373" s="166" t="n"/>
      <c r="B1373" s="63" t="n"/>
      <c r="C1373" s="64" t="n"/>
      <c r="D1373" s="167" t="n"/>
      <c r="E1373" s="63" t="n"/>
      <c r="F1373" s="63" t="n"/>
    </row>
    <row r="1374">
      <c r="A1374" s="166" t="n"/>
      <c r="B1374" s="63" t="n"/>
      <c r="C1374" s="64" t="n"/>
      <c r="D1374" s="167" t="n"/>
      <c r="E1374" s="63" t="n"/>
      <c r="F1374" s="63" t="n"/>
    </row>
    <row r="1375">
      <c r="A1375" s="166" t="n"/>
      <c r="B1375" s="63" t="n"/>
      <c r="C1375" s="64" t="n"/>
      <c r="D1375" s="167" t="n"/>
      <c r="E1375" s="63" t="n"/>
      <c r="F1375" s="63" t="n"/>
    </row>
    <row r="1376">
      <c r="A1376" s="166" t="n"/>
      <c r="B1376" s="63" t="n"/>
      <c r="C1376" s="64" t="n"/>
      <c r="D1376" s="167" t="n"/>
      <c r="E1376" s="63" t="n"/>
      <c r="F1376" s="63" t="n"/>
    </row>
    <row r="1377">
      <c r="A1377" s="166" t="n"/>
      <c r="B1377" s="63" t="n"/>
      <c r="C1377" s="64" t="n"/>
      <c r="D1377" s="167" t="n"/>
      <c r="E1377" s="63" t="n"/>
      <c r="F1377" s="63" t="n"/>
    </row>
    <row r="1378">
      <c r="A1378" s="166" t="n"/>
      <c r="B1378" s="63" t="n"/>
      <c r="C1378" s="64" t="n"/>
      <c r="D1378" s="167" t="n"/>
      <c r="E1378" s="63" t="n"/>
      <c r="F1378" s="63" t="n"/>
    </row>
    <row r="1379">
      <c r="A1379" s="166" t="n"/>
      <c r="B1379" s="63" t="n"/>
      <c r="C1379" s="64" t="n"/>
      <c r="D1379" s="167" t="n"/>
      <c r="E1379" s="63" t="n"/>
      <c r="F1379" s="63" t="n"/>
    </row>
    <row r="1380">
      <c r="A1380" s="166" t="n"/>
      <c r="B1380" s="63" t="n"/>
      <c r="C1380" s="64" t="n"/>
      <c r="D1380" s="167" t="n"/>
      <c r="E1380" s="63" t="n"/>
      <c r="F1380" s="63" t="n"/>
    </row>
    <row r="1381">
      <c r="A1381" s="166" t="n"/>
      <c r="B1381" s="63" t="n"/>
      <c r="C1381" s="64" t="n"/>
      <c r="D1381" s="167" t="n"/>
      <c r="E1381" s="63" t="n"/>
      <c r="F1381" s="63" t="n"/>
    </row>
    <row r="1382">
      <c r="A1382" s="166" t="n"/>
      <c r="B1382" s="63" t="n"/>
      <c r="C1382" s="64" t="n"/>
      <c r="D1382" s="167" t="n"/>
      <c r="E1382" s="63" t="n"/>
      <c r="F1382" s="63" t="n"/>
    </row>
    <row r="1383">
      <c r="A1383" s="166" t="n"/>
      <c r="B1383" s="63" t="n"/>
      <c r="C1383" s="64" t="n"/>
      <c r="D1383" s="167" t="n"/>
      <c r="E1383" s="63" t="n"/>
      <c r="F1383" s="63" t="n"/>
    </row>
    <row r="1384">
      <c r="A1384" s="166" t="n"/>
      <c r="B1384" s="63" t="n"/>
      <c r="C1384" s="64" t="n"/>
      <c r="D1384" s="167" t="n"/>
      <c r="E1384" s="63" t="n"/>
      <c r="F1384" s="63" t="n"/>
    </row>
    <row r="1385">
      <c r="A1385" s="166" t="n"/>
      <c r="B1385" s="63" t="n"/>
      <c r="C1385" s="64" t="n"/>
      <c r="D1385" s="167" t="n"/>
      <c r="E1385" s="63" t="n"/>
      <c r="F1385" s="63" t="n"/>
    </row>
    <row r="1386">
      <c r="A1386" s="166" t="n"/>
      <c r="B1386" s="63" t="n"/>
      <c r="C1386" s="64" t="n"/>
      <c r="D1386" s="167" t="n"/>
      <c r="E1386" s="63" t="n"/>
      <c r="F1386" s="63" t="n"/>
    </row>
    <row r="1387">
      <c r="A1387" s="166" t="n"/>
      <c r="B1387" s="63" t="n"/>
      <c r="C1387" s="64" t="n"/>
      <c r="D1387" s="167" t="n"/>
      <c r="E1387" s="63" t="n"/>
      <c r="F1387" s="63" t="n"/>
    </row>
    <row r="1388">
      <c r="A1388" s="166" t="n"/>
      <c r="B1388" s="63" t="n"/>
      <c r="C1388" s="64" t="n"/>
      <c r="D1388" s="167" t="n"/>
      <c r="E1388" s="63" t="n"/>
      <c r="F1388" s="63" t="n"/>
    </row>
    <row r="1389">
      <c r="A1389" s="166" t="n"/>
      <c r="B1389" s="63" t="n"/>
      <c r="C1389" s="64" t="n"/>
      <c r="D1389" s="167" t="n"/>
      <c r="E1389" s="63" t="n"/>
      <c r="F1389" s="63" t="n"/>
    </row>
    <row r="1390">
      <c r="A1390" s="166" t="n"/>
      <c r="B1390" s="63" t="n"/>
      <c r="C1390" s="64" t="n"/>
      <c r="D1390" s="167" t="n"/>
      <c r="E1390" s="63" t="n"/>
      <c r="F1390" s="63" t="n"/>
    </row>
    <row r="1391">
      <c r="A1391" s="166" t="n"/>
      <c r="B1391" s="63" t="n"/>
      <c r="C1391" s="64" t="n"/>
      <c r="D1391" s="167" t="n"/>
      <c r="E1391" s="63" t="n"/>
      <c r="F1391" s="63" t="n"/>
    </row>
    <row r="1392">
      <c r="A1392" s="166" t="n"/>
      <c r="B1392" s="63" t="n"/>
      <c r="C1392" s="64" t="n"/>
      <c r="D1392" s="167" t="n"/>
      <c r="E1392" s="63" t="n"/>
      <c r="F1392" s="63" t="n"/>
    </row>
    <row r="1393">
      <c r="A1393" s="166" t="n"/>
      <c r="B1393" s="63" t="n"/>
      <c r="C1393" s="64" t="n"/>
      <c r="D1393" s="167" t="n"/>
      <c r="E1393" s="63" t="n"/>
      <c r="F1393" s="63" t="n"/>
    </row>
    <row r="1394">
      <c r="A1394" s="166" t="n"/>
      <c r="B1394" s="63" t="n"/>
      <c r="C1394" s="64" t="n"/>
      <c r="D1394" s="167" t="n"/>
      <c r="E1394" s="63" t="n"/>
      <c r="F1394" s="63" t="n"/>
    </row>
    <row r="1395">
      <c r="A1395" s="166" t="n"/>
      <c r="B1395" s="63" t="n"/>
      <c r="C1395" s="64" t="n"/>
      <c r="D1395" s="167" t="n"/>
      <c r="E1395" s="63" t="n"/>
      <c r="F1395" s="63" t="n"/>
    </row>
    <row r="1396">
      <c r="A1396" s="166" t="n"/>
      <c r="B1396" s="63" t="n"/>
      <c r="C1396" s="64" t="n"/>
      <c r="D1396" s="167" t="n"/>
      <c r="E1396" s="63" t="n"/>
      <c r="F1396" s="63" t="n"/>
    </row>
    <row r="1397">
      <c r="A1397" s="166" t="n"/>
      <c r="B1397" s="63" t="n"/>
      <c r="C1397" s="64" t="n"/>
      <c r="D1397" s="167" t="n"/>
      <c r="E1397" s="63" t="n"/>
      <c r="F1397" s="63" t="n"/>
    </row>
    <row r="1398">
      <c r="A1398" s="166" t="n"/>
      <c r="B1398" s="63" t="n"/>
      <c r="C1398" s="64" t="n"/>
      <c r="D1398" s="167" t="n"/>
      <c r="E1398" s="63" t="n"/>
      <c r="F1398" s="63" t="n"/>
    </row>
    <row r="1399">
      <c r="A1399" s="166" t="n"/>
      <c r="B1399" s="63" t="n"/>
      <c r="C1399" s="64" t="n"/>
      <c r="D1399" s="167" t="n"/>
      <c r="E1399" s="63" t="n"/>
      <c r="F1399" s="63" t="n"/>
    </row>
    <row r="1400">
      <c r="A1400" s="166" t="n"/>
      <c r="B1400" s="63" t="n"/>
      <c r="C1400" s="64" t="n"/>
      <c r="D1400" s="167" t="n"/>
      <c r="E1400" s="63" t="n"/>
      <c r="F1400" s="63" t="n"/>
    </row>
    <row r="1401">
      <c r="A1401" s="166" t="n"/>
      <c r="B1401" s="63" t="n"/>
      <c r="C1401" s="64" t="n"/>
      <c r="D1401" s="167" t="n"/>
      <c r="E1401" s="63" t="n"/>
      <c r="F1401" s="63" t="n"/>
    </row>
    <row r="1402">
      <c r="A1402" s="166" t="n"/>
      <c r="B1402" s="63" t="n"/>
      <c r="C1402" s="64" t="n"/>
      <c r="D1402" s="167" t="n"/>
      <c r="E1402" s="63" t="n"/>
      <c r="F1402" s="63" t="n"/>
    </row>
    <row r="1403">
      <c r="A1403" s="166" t="n"/>
      <c r="B1403" s="63" t="n"/>
      <c r="C1403" s="64" t="n"/>
      <c r="D1403" s="167" t="n"/>
      <c r="E1403" s="63" t="n"/>
      <c r="F1403" s="63" t="n"/>
    </row>
    <row r="1404">
      <c r="A1404" s="166" t="n"/>
      <c r="B1404" s="63" t="n"/>
      <c r="C1404" s="64" t="n"/>
      <c r="D1404" s="167" t="n"/>
      <c r="E1404" s="63" t="n"/>
      <c r="F1404" s="63" t="n"/>
    </row>
    <row r="1405">
      <c r="A1405" s="166" t="n"/>
      <c r="B1405" s="63" t="n"/>
      <c r="C1405" s="64" t="n"/>
      <c r="D1405" s="167" t="n"/>
      <c r="E1405" s="63" t="n"/>
      <c r="F1405" s="63" t="n"/>
    </row>
    <row r="1406">
      <c r="A1406" s="166" t="n"/>
      <c r="B1406" s="63" t="n"/>
      <c r="C1406" s="64" t="n"/>
      <c r="D1406" s="167" t="n"/>
      <c r="E1406" s="63" t="n"/>
      <c r="F1406" s="63" t="n"/>
    </row>
    <row r="1407">
      <c r="A1407" s="166" t="n"/>
      <c r="B1407" s="63" t="n"/>
      <c r="C1407" s="64" t="n"/>
      <c r="D1407" s="167" t="n"/>
      <c r="E1407" s="63" t="n"/>
      <c r="F1407" s="63" t="n"/>
    </row>
    <row r="1408">
      <c r="A1408" s="166" t="n"/>
      <c r="B1408" s="63" t="n"/>
      <c r="C1408" s="64" t="n"/>
      <c r="D1408" s="167" t="n"/>
      <c r="E1408" s="63" t="n"/>
      <c r="F1408" s="63" t="n"/>
    </row>
    <row r="1409">
      <c r="A1409" s="166" t="n"/>
      <c r="B1409" s="63" t="n"/>
      <c r="C1409" s="64" t="n"/>
      <c r="D1409" s="167" t="n"/>
      <c r="E1409" s="63" t="n"/>
      <c r="F1409" s="63" t="n"/>
    </row>
    <row r="1410">
      <c r="A1410" s="166" t="n"/>
      <c r="B1410" s="63" t="n"/>
      <c r="C1410" s="64" t="n"/>
      <c r="D1410" s="167" t="n"/>
      <c r="E1410" s="63" t="n"/>
      <c r="F1410" s="63" t="n"/>
    </row>
    <row r="1411">
      <c r="A1411" s="166" t="n"/>
      <c r="B1411" s="63" t="n"/>
      <c r="C1411" s="64" t="n"/>
      <c r="D1411" s="167" t="n"/>
      <c r="E1411" s="63" t="n"/>
      <c r="F1411" s="63" t="n"/>
    </row>
    <row r="1412">
      <c r="A1412" s="166" t="n"/>
      <c r="B1412" s="63" t="n"/>
      <c r="C1412" s="64" t="n"/>
      <c r="D1412" s="167" t="n"/>
      <c r="E1412" s="63" t="n"/>
      <c r="F1412" s="63" t="n"/>
    </row>
    <row r="1413">
      <c r="A1413" s="166" t="n"/>
      <c r="B1413" s="63" t="n"/>
      <c r="C1413" s="64" t="n"/>
      <c r="D1413" s="167" t="n"/>
      <c r="E1413" s="63" t="n"/>
      <c r="F1413" s="63" t="n"/>
    </row>
    <row r="1414">
      <c r="A1414" s="166" t="n"/>
      <c r="B1414" s="63" t="n"/>
      <c r="C1414" s="64" t="n"/>
      <c r="D1414" s="167" t="n"/>
      <c r="E1414" s="63" t="n"/>
      <c r="F1414" s="63" t="n"/>
    </row>
    <row r="1415">
      <c r="A1415" s="166" t="n"/>
      <c r="B1415" s="63" t="n"/>
      <c r="C1415" s="64" t="n"/>
      <c r="D1415" s="167" t="n"/>
      <c r="E1415" s="63" t="n"/>
      <c r="F1415" s="63" t="n"/>
    </row>
    <row r="1416">
      <c r="A1416" s="166" t="n"/>
      <c r="B1416" s="63" t="n"/>
      <c r="C1416" s="64" t="n"/>
      <c r="D1416" s="167" t="n"/>
      <c r="E1416" s="63" t="n"/>
      <c r="F1416" s="63" t="n"/>
    </row>
    <row r="1417">
      <c r="A1417" s="166" t="n"/>
      <c r="B1417" s="63" t="n"/>
      <c r="C1417" s="64" t="n"/>
      <c r="D1417" s="167" t="n"/>
      <c r="E1417" s="63" t="n"/>
      <c r="F1417" s="63" t="n"/>
    </row>
    <row r="1418">
      <c r="A1418" s="166" t="n"/>
      <c r="B1418" s="63" t="n"/>
      <c r="C1418" s="64" t="n"/>
      <c r="D1418" s="167" t="n"/>
      <c r="E1418" s="63" t="n"/>
      <c r="F1418" s="63" t="n"/>
    </row>
    <row r="1419">
      <c r="A1419" s="166" t="n"/>
      <c r="B1419" s="63" t="n"/>
      <c r="C1419" s="64" t="n"/>
      <c r="D1419" s="167" t="n"/>
      <c r="E1419" s="63" t="n"/>
      <c r="F1419" s="63" t="n"/>
    </row>
    <row r="1420">
      <c r="A1420" s="166" t="n"/>
      <c r="B1420" s="63" t="n"/>
      <c r="C1420" s="64" t="n"/>
      <c r="D1420" s="167" t="n"/>
      <c r="E1420" s="63" t="n"/>
      <c r="F1420" s="63" t="n"/>
    </row>
    <row r="1421">
      <c r="A1421" s="166" t="n"/>
      <c r="B1421" s="63" t="n"/>
      <c r="C1421" s="64" t="n"/>
      <c r="D1421" s="167" t="n"/>
      <c r="E1421" s="63" t="n"/>
      <c r="F1421" s="63" t="n"/>
    </row>
    <row r="1422">
      <c r="A1422" s="166" t="n"/>
      <c r="B1422" s="63" t="n"/>
      <c r="C1422" s="64" t="n"/>
      <c r="D1422" s="167" t="n"/>
      <c r="E1422" s="63" t="n"/>
      <c r="F1422" s="63" t="n"/>
    </row>
    <row r="1423">
      <c r="A1423" s="166" t="n"/>
      <c r="B1423" s="63" t="n"/>
      <c r="C1423" s="64" t="n"/>
      <c r="D1423" s="167" t="n"/>
      <c r="E1423" s="63" t="n"/>
      <c r="F1423" s="63" t="n"/>
    </row>
    <row r="1424">
      <c r="A1424" s="166" t="n"/>
      <c r="B1424" s="63" t="n"/>
      <c r="C1424" s="64" t="n"/>
      <c r="D1424" s="167" t="n"/>
      <c r="E1424" s="63" t="n"/>
      <c r="F1424" s="63" t="n"/>
    </row>
    <row r="1425">
      <c r="A1425" s="166" t="n"/>
      <c r="B1425" s="63" t="n"/>
      <c r="C1425" s="64" t="n"/>
      <c r="D1425" s="167" t="n"/>
      <c r="E1425" s="63" t="n"/>
      <c r="F1425" s="63" t="n"/>
    </row>
    <row r="1426">
      <c r="A1426" s="166" t="n"/>
      <c r="B1426" s="63" t="n"/>
      <c r="C1426" s="64" t="n"/>
      <c r="D1426" s="167" t="n"/>
      <c r="E1426" s="63" t="n"/>
      <c r="F1426" s="63" t="n"/>
    </row>
    <row r="1427">
      <c r="A1427" s="166" t="n"/>
      <c r="B1427" s="63" t="n"/>
      <c r="C1427" s="64" t="n"/>
      <c r="D1427" s="167" t="n"/>
      <c r="E1427" s="63" t="n"/>
      <c r="F1427" s="63" t="n"/>
    </row>
    <row r="1428">
      <c r="A1428" s="166" t="n"/>
      <c r="B1428" s="63" t="n"/>
      <c r="C1428" s="64" t="n"/>
      <c r="D1428" s="167" t="n"/>
      <c r="E1428" s="63" t="n"/>
      <c r="F1428" s="63" t="n"/>
    </row>
    <row r="1429">
      <c r="A1429" s="166" t="n"/>
      <c r="B1429" s="63" t="n"/>
      <c r="C1429" s="64" t="n"/>
      <c r="D1429" s="167" t="n"/>
      <c r="E1429" s="63" t="n"/>
      <c r="F1429" s="63" t="n"/>
    </row>
    <row r="1430">
      <c r="A1430" s="166" t="n"/>
      <c r="B1430" s="63" t="n"/>
      <c r="C1430" s="64" t="n"/>
      <c r="D1430" s="167" t="n"/>
      <c r="E1430" s="63" t="n"/>
      <c r="F1430" s="63" t="n"/>
    </row>
    <row r="1431">
      <c r="A1431" s="166" t="n"/>
      <c r="B1431" s="63" t="n"/>
      <c r="C1431" s="64" t="n"/>
      <c r="D1431" s="167" t="n"/>
      <c r="E1431" s="63" t="n"/>
      <c r="F1431" s="63" t="n"/>
    </row>
    <row r="1432">
      <c r="A1432" s="166" t="n"/>
      <c r="B1432" s="63" t="n"/>
      <c r="C1432" s="64" t="n"/>
      <c r="D1432" s="167" t="n"/>
      <c r="E1432" s="63" t="n"/>
      <c r="F1432" s="63" t="n"/>
    </row>
    <row r="1433">
      <c r="A1433" s="166" t="n"/>
      <c r="B1433" s="63" t="n"/>
      <c r="C1433" s="64" t="n"/>
      <c r="D1433" s="167" t="n"/>
      <c r="E1433" s="63" t="n"/>
      <c r="F1433" s="63" t="n"/>
    </row>
    <row r="1434">
      <c r="A1434" s="166" t="n"/>
      <c r="B1434" s="63" t="n"/>
      <c r="C1434" s="64" t="n"/>
      <c r="D1434" s="167" t="n"/>
      <c r="E1434" s="63" t="n"/>
      <c r="F1434" s="63" t="n"/>
    </row>
    <row r="1435">
      <c r="A1435" s="166" t="n"/>
      <c r="B1435" s="63" t="n"/>
      <c r="C1435" s="64" t="n"/>
      <c r="D1435" s="167" t="n"/>
      <c r="E1435" s="63" t="n"/>
      <c r="F1435" s="63" t="n"/>
    </row>
    <row r="1436">
      <c r="A1436" s="166" t="n"/>
      <c r="B1436" s="63" t="n"/>
      <c r="C1436" s="64" t="n"/>
      <c r="D1436" s="167" t="n"/>
      <c r="E1436" s="63" t="n"/>
      <c r="F1436" s="63" t="n"/>
    </row>
    <row r="1437">
      <c r="A1437" s="166" t="n"/>
      <c r="B1437" s="63" t="n"/>
      <c r="C1437" s="64" t="n"/>
      <c r="D1437" s="167" t="n"/>
      <c r="E1437" s="63" t="n"/>
      <c r="F1437" s="63" t="n"/>
    </row>
    <row r="1438">
      <c r="A1438" s="166" t="n"/>
      <c r="B1438" s="63" t="n"/>
      <c r="C1438" s="64" t="n"/>
      <c r="D1438" s="167" t="n"/>
      <c r="E1438" s="63" t="n"/>
      <c r="F1438" s="63" t="n"/>
    </row>
    <row r="1439">
      <c r="A1439" s="166" t="n"/>
      <c r="B1439" s="63" t="n"/>
      <c r="C1439" s="64" t="n"/>
      <c r="D1439" s="167" t="n"/>
      <c r="E1439" s="63" t="n"/>
      <c r="F1439" s="63" t="n"/>
    </row>
    <row r="1440">
      <c r="A1440" s="166" t="n"/>
      <c r="B1440" s="63" t="n"/>
      <c r="C1440" s="64" t="n"/>
      <c r="D1440" s="167" t="n"/>
      <c r="E1440" s="63" t="n"/>
      <c r="F1440" s="63" t="n"/>
    </row>
    <row r="1441">
      <c r="A1441" s="166" t="n"/>
      <c r="B1441" s="63" t="n"/>
      <c r="C1441" s="64" t="n"/>
      <c r="D1441" s="167" t="n"/>
      <c r="E1441" s="63" t="n"/>
      <c r="F1441" s="63" t="n"/>
    </row>
    <row r="1442">
      <c r="A1442" s="166" t="n"/>
      <c r="B1442" s="63" t="n"/>
      <c r="C1442" s="64" t="n"/>
      <c r="D1442" s="167" t="n"/>
      <c r="E1442" s="63" t="n"/>
      <c r="F1442" s="63" t="n"/>
    </row>
    <row r="1443">
      <c r="A1443" s="166" t="n"/>
      <c r="B1443" s="63" t="n"/>
      <c r="C1443" s="64" t="n"/>
      <c r="D1443" s="167" t="n"/>
      <c r="E1443" s="63" t="n"/>
      <c r="F1443" s="63" t="n"/>
    </row>
    <row r="1444">
      <c r="A1444" s="166" t="n"/>
      <c r="B1444" s="63" t="n"/>
      <c r="C1444" s="64" t="n"/>
      <c r="D1444" s="167" t="n"/>
      <c r="E1444" s="63" t="n"/>
      <c r="F1444" s="63" t="n"/>
    </row>
    <row r="1445">
      <c r="A1445" s="166" t="n"/>
      <c r="B1445" s="63" t="n"/>
      <c r="C1445" s="64" t="n"/>
      <c r="D1445" s="167" t="n"/>
      <c r="E1445" s="63" t="n"/>
      <c r="F1445" s="63" t="n"/>
    </row>
    <row r="1446">
      <c r="A1446" s="166" t="n"/>
      <c r="B1446" s="63" t="n"/>
      <c r="C1446" s="64" t="n"/>
      <c r="D1446" s="167" t="n"/>
      <c r="E1446" s="63" t="n"/>
      <c r="F1446" s="63" t="n"/>
    </row>
    <row r="1447">
      <c r="A1447" s="166" t="n"/>
      <c r="B1447" s="63" t="n"/>
      <c r="C1447" s="64" t="n"/>
      <c r="D1447" s="167" t="n"/>
      <c r="E1447" s="63" t="n"/>
      <c r="F1447" s="63" t="n"/>
    </row>
    <row r="1448">
      <c r="A1448" s="166" t="n"/>
      <c r="B1448" s="63" t="n"/>
      <c r="C1448" s="64" t="n"/>
      <c r="D1448" s="167" t="n"/>
      <c r="E1448" s="63" t="n"/>
      <c r="F1448" s="63" t="n"/>
    </row>
    <row r="1449">
      <c r="A1449" s="166" t="n"/>
      <c r="B1449" s="63" t="n"/>
      <c r="C1449" s="64" t="n"/>
      <c r="D1449" s="167" t="n"/>
      <c r="E1449" s="63" t="n"/>
      <c r="F1449" s="63" t="n"/>
    </row>
    <row r="1450">
      <c r="A1450" s="166" t="n"/>
      <c r="B1450" s="63" t="n"/>
      <c r="C1450" s="64" t="n"/>
      <c r="D1450" s="167" t="n"/>
      <c r="E1450" s="63" t="n"/>
      <c r="F1450" s="63" t="n"/>
    </row>
    <row r="1451">
      <c r="A1451" s="166" t="n"/>
      <c r="B1451" s="63" t="n"/>
      <c r="C1451" s="64" t="n"/>
      <c r="D1451" s="167" t="n"/>
      <c r="E1451" s="63" t="n"/>
      <c r="F1451" s="63" t="n"/>
    </row>
    <row r="1452">
      <c r="A1452" s="166" t="n"/>
      <c r="B1452" s="63" t="n"/>
      <c r="C1452" s="64" t="n"/>
      <c r="D1452" s="167" t="n"/>
      <c r="E1452" s="63" t="n"/>
      <c r="F1452" s="63" t="n"/>
    </row>
    <row r="1453">
      <c r="A1453" s="166" t="n"/>
      <c r="B1453" s="63" t="n"/>
      <c r="C1453" s="64" t="n"/>
      <c r="D1453" s="167" t="n"/>
      <c r="E1453" s="63" t="n"/>
      <c r="F1453" s="63" t="n"/>
    </row>
    <row r="1454">
      <c r="A1454" s="166" t="n"/>
      <c r="B1454" s="63" t="n"/>
      <c r="C1454" s="64" t="n"/>
      <c r="D1454" s="167" t="n"/>
      <c r="E1454" s="63" t="n"/>
      <c r="F1454" s="63" t="n"/>
    </row>
    <row r="1455">
      <c r="A1455" s="166" t="n"/>
      <c r="B1455" s="63" t="n"/>
      <c r="C1455" s="64" t="n"/>
      <c r="D1455" s="167" t="n"/>
      <c r="E1455" s="63" t="n"/>
      <c r="F1455" s="63" t="n"/>
    </row>
    <row r="1456">
      <c r="A1456" s="166" t="n"/>
      <c r="B1456" s="63" t="n"/>
      <c r="C1456" s="64" t="n"/>
      <c r="D1456" s="167" t="n"/>
      <c r="E1456" s="63" t="n"/>
      <c r="F1456" s="63" t="n"/>
    </row>
    <row r="1457">
      <c r="A1457" s="166" t="n"/>
      <c r="B1457" s="63" t="n"/>
      <c r="C1457" s="64" t="n"/>
      <c r="D1457" s="167" t="n"/>
      <c r="E1457" s="63" t="n"/>
      <c r="F1457" s="63" t="n"/>
    </row>
    <row r="1458">
      <c r="A1458" s="166" t="n"/>
      <c r="B1458" s="63" t="n"/>
      <c r="C1458" s="64" t="n"/>
      <c r="D1458" s="167" t="n"/>
      <c r="E1458" s="63" t="n"/>
      <c r="F1458" s="63" t="n"/>
    </row>
    <row r="1459">
      <c r="A1459" s="166" t="n"/>
      <c r="B1459" s="63" t="n"/>
      <c r="C1459" s="64" t="n"/>
      <c r="D1459" s="167" t="n"/>
      <c r="E1459" s="63" t="n"/>
      <c r="F1459" s="63" t="n"/>
    </row>
    <row r="1460">
      <c r="A1460" s="166" t="n"/>
      <c r="B1460" s="63" t="n"/>
      <c r="C1460" s="64" t="n"/>
      <c r="D1460" s="167" t="n"/>
      <c r="E1460" s="63" t="n"/>
      <c r="F1460" s="63" t="n"/>
    </row>
    <row r="1461">
      <c r="A1461" s="166" t="n"/>
      <c r="B1461" s="63" t="n"/>
      <c r="C1461" s="64" t="n"/>
      <c r="D1461" s="167" t="n"/>
      <c r="E1461" s="63" t="n"/>
      <c r="F1461" s="63" t="n"/>
    </row>
    <row r="1462">
      <c r="A1462" s="166" t="n"/>
      <c r="B1462" s="63" t="n"/>
      <c r="C1462" s="64" t="n"/>
      <c r="D1462" s="167" t="n"/>
      <c r="E1462" s="63" t="n"/>
      <c r="F1462" s="63" t="n"/>
    </row>
    <row r="1463">
      <c r="A1463" s="166" t="n"/>
      <c r="B1463" s="63" t="n"/>
      <c r="C1463" s="64" t="n"/>
      <c r="D1463" s="167" t="n"/>
      <c r="E1463" s="63" t="n"/>
      <c r="F1463" s="63" t="n"/>
    </row>
    <row r="1464">
      <c r="A1464" s="166" t="n"/>
      <c r="B1464" s="63" t="n"/>
      <c r="C1464" s="64" t="n"/>
      <c r="D1464" s="167" t="n"/>
      <c r="E1464" s="63" t="n"/>
      <c r="F1464" s="63" t="n"/>
    </row>
    <row r="1465">
      <c r="A1465" s="166" t="n"/>
      <c r="B1465" s="63" t="n"/>
      <c r="C1465" s="64" t="n"/>
      <c r="D1465" s="167" t="n"/>
      <c r="E1465" s="63" t="n"/>
      <c r="F1465" s="63" t="n"/>
    </row>
    <row r="1466">
      <c r="A1466" s="166" t="n"/>
      <c r="B1466" s="63" t="n"/>
      <c r="C1466" s="64" t="n"/>
      <c r="D1466" s="167" t="n"/>
      <c r="E1466" s="63" t="n"/>
      <c r="F1466" s="63" t="n"/>
    </row>
    <row r="1467">
      <c r="A1467" s="166" t="n"/>
      <c r="B1467" s="63" t="n"/>
      <c r="C1467" s="64" t="n"/>
      <c r="D1467" s="167" t="n"/>
      <c r="E1467" s="63" t="n"/>
      <c r="F1467" s="63" t="n"/>
    </row>
    <row r="1468">
      <c r="A1468" s="166" t="n"/>
      <c r="B1468" s="63" t="n"/>
      <c r="C1468" s="64" t="n"/>
      <c r="D1468" s="167" t="n"/>
      <c r="E1468" s="63" t="n"/>
      <c r="F1468" s="63" t="n"/>
    </row>
    <row r="1469">
      <c r="A1469" s="166" t="n"/>
      <c r="B1469" s="63" t="n"/>
      <c r="C1469" s="64" t="n"/>
      <c r="D1469" s="167" t="n"/>
      <c r="E1469" s="63" t="n"/>
      <c r="F1469" s="63" t="n"/>
    </row>
    <row r="1470">
      <c r="A1470" s="166" t="n"/>
      <c r="B1470" s="63" t="n"/>
      <c r="C1470" s="64" t="n"/>
      <c r="D1470" s="167" t="n"/>
      <c r="E1470" s="63" t="n"/>
      <c r="F1470" s="63" t="n"/>
    </row>
    <row r="1471">
      <c r="A1471" s="166" t="n"/>
      <c r="B1471" s="63" t="n"/>
      <c r="C1471" s="64" t="n"/>
      <c r="D1471" s="167" t="n"/>
      <c r="E1471" s="63" t="n"/>
      <c r="F1471" s="63" t="n"/>
    </row>
    <row r="1472">
      <c r="A1472" s="166" t="n"/>
      <c r="B1472" s="63" t="n"/>
      <c r="C1472" s="64" t="n"/>
      <c r="D1472" s="167" t="n"/>
      <c r="E1472" s="63" t="n"/>
      <c r="F1472" s="63" t="n"/>
    </row>
    <row r="1473">
      <c r="A1473" s="166" t="n"/>
      <c r="B1473" s="63" t="n"/>
      <c r="C1473" s="64" t="n"/>
      <c r="D1473" s="167" t="n"/>
      <c r="E1473" s="63" t="n"/>
      <c r="F1473" s="63" t="n"/>
    </row>
    <row r="1474">
      <c r="A1474" s="166" t="n"/>
      <c r="B1474" s="63" t="n"/>
      <c r="C1474" s="64" t="n"/>
      <c r="D1474" s="167" t="n"/>
      <c r="E1474" s="63" t="n"/>
      <c r="F1474" s="63" t="n"/>
    </row>
    <row r="1475">
      <c r="A1475" s="166" t="n"/>
      <c r="B1475" s="63" t="n"/>
      <c r="C1475" s="64" t="n"/>
      <c r="D1475" s="167" t="n"/>
      <c r="E1475" s="63" t="n"/>
      <c r="F1475" s="63" t="n"/>
    </row>
    <row r="1476">
      <c r="A1476" s="166" t="n"/>
      <c r="B1476" s="63" t="n"/>
      <c r="C1476" s="64" t="n"/>
      <c r="D1476" s="167" t="n"/>
      <c r="E1476" s="63" t="n"/>
      <c r="F1476" s="63" t="n"/>
    </row>
    <row r="1477">
      <c r="A1477" s="166" t="n"/>
      <c r="B1477" s="63" t="n"/>
      <c r="C1477" s="64" t="n"/>
      <c r="D1477" s="167" t="n"/>
      <c r="E1477" s="63" t="n"/>
      <c r="F1477" s="63" t="n"/>
    </row>
    <row r="1478">
      <c r="A1478" s="166" t="n"/>
      <c r="B1478" s="63" t="n"/>
      <c r="C1478" s="64" t="n"/>
      <c r="D1478" s="167" t="n"/>
      <c r="E1478" s="63" t="n"/>
      <c r="F1478" s="63" t="n"/>
    </row>
    <row r="1479">
      <c r="A1479" s="166" t="n"/>
      <c r="B1479" s="63" t="n"/>
      <c r="C1479" s="64" t="n"/>
      <c r="D1479" s="167" t="n"/>
      <c r="E1479" s="63" t="n"/>
      <c r="F1479" s="63" t="n"/>
    </row>
    <row r="1480">
      <c r="A1480" s="166" t="n"/>
      <c r="B1480" s="63" t="n"/>
      <c r="C1480" s="64" t="n"/>
      <c r="D1480" s="167" t="n"/>
      <c r="E1480" s="63" t="n"/>
      <c r="F1480" s="63" t="n"/>
    </row>
    <row r="1481">
      <c r="A1481" s="166" t="n"/>
      <c r="B1481" s="63" t="n"/>
      <c r="C1481" s="64" t="n"/>
      <c r="D1481" s="167" t="n"/>
      <c r="E1481" s="63" t="n"/>
      <c r="F1481" s="63" t="n"/>
    </row>
    <row r="1482">
      <c r="A1482" s="166" t="n"/>
      <c r="B1482" s="63" t="n"/>
      <c r="C1482" s="64" t="n"/>
      <c r="D1482" s="167" t="n"/>
      <c r="E1482" s="63" t="n"/>
      <c r="F1482" s="63" t="n"/>
    </row>
    <row r="1483">
      <c r="A1483" s="166" t="n"/>
      <c r="B1483" s="63" t="n"/>
      <c r="C1483" s="64" t="n"/>
      <c r="D1483" s="167" t="n"/>
      <c r="E1483" s="63" t="n"/>
      <c r="F1483" s="63" t="n"/>
    </row>
    <row r="1484">
      <c r="A1484" s="166" t="n"/>
      <c r="B1484" s="63" t="n"/>
      <c r="C1484" s="64" t="n"/>
      <c r="D1484" s="167" t="n"/>
      <c r="E1484" s="63" t="n"/>
      <c r="F1484" s="63" t="n"/>
    </row>
    <row r="1485">
      <c r="A1485" s="166" t="n"/>
      <c r="B1485" s="63" t="n"/>
      <c r="C1485" s="64" t="n"/>
      <c r="D1485" s="167" t="n"/>
      <c r="E1485" s="63" t="n"/>
      <c r="F1485" s="63" t="n"/>
    </row>
    <row r="1486">
      <c r="A1486" s="166" t="n"/>
      <c r="B1486" s="63" t="n"/>
      <c r="C1486" s="64" t="n"/>
      <c r="D1486" s="167" t="n"/>
      <c r="E1486" s="63" t="n"/>
      <c r="F1486" s="63" t="n"/>
    </row>
    <row r="1487">
      <c r="A1487" s="166" t="n"/>
      <c r="B1487" s="63" t="n"/>
      <c r="C1487" s="64" t="n"/>
      <c r="D1487" s="167" t="n"/>
      <c r="E1487" s="63" t="n"/>
      <c r="F1487" s="63" t="n"/>
    </row>
    <row r="1488">
      <c r="A1488" s="166" t="n"/>
      <c r="B1488" s="63" t="n"/>
      <c r="C1488" s="64" t="n"/>
      <c r="D1488" s="167" t="n"/>
      <c r="E1488" s="63" t="n"/>
      <c r="F1488" s="63" t="n"/>
    </row>
    <row r="1489">
      <c r="A1489" s="166" t="n"/>
      <c r="B1489" s="63" t="n"/>
      <c r="C1489" s="64" t="n"/>
      <c r="D1489" s="167" t="n"/>
      <c r="E1489" s="63" t="n"/>
      <c r="F1489" s="63" t="n"/>
    </row>
    <row r="1490">
      <c r="A1490" s="166" t="n"/>
      <c r="B1490" s="63" t="n"/>
      <c r="C1490" s="64" t="n"/>
      <c r="D1490" s="167" t="n"/>
      <c r="E1490" s="63" t="n"/>
      <c r="F1490" s="63" t="n"/>
    </row>
    <row r="1491">
      <c r="A1491" s="166" t="n"/>
      <c r="B1491" s="63" t="n"/>
      <c r="C1491" s="64" t="n"/>
      <c r="D1491" s="167" t="n"/>
      <c r="E1491" s="63" t="n"/>
      <c r="F1491" s="63" t="n"/>
    </row>
    <row r="1492">
      <c r="A1492" s="166" t="n"/>
      <c r="B1492" s="63" t="n"/>
      <c r="C1492" s="64" t="n"/>
      <c r="D1492" s="167" t="n"/>
      <c r="E1492" s="63" t="n"/>
      <c r="F1492" s="63" t="n"/>
    </row>
    <row r="1493">
      <c r="A1493" s="166" t="n"/>
      <c r="B1493" s="63" t="n"/>
      <c r="C1493" s="64" t="n"/>
      <c r="D1493" s="167" t="n"/>
      <c r="E1493" s="63" t="n"/>
      <c r="F1493" s="63" t="n"/>
    </row>
    <row r="1494">
      <c r="A1494" s="166" t="n"/>
      <c r="B1494" s="63" t="n"/>
      <c r="C1494" s="64" t="n"/>
      <c r="D1494" s="167" t="n"/>
      <c r="E1494" s="63" t="n"/>
      <c r="F1494" s="63" t="n"/>
    </row>
    <row r="1495">
      <c r="A1495" s="166" t="n"/>
      <c r="B1495" s="63" t="n"/>
      <c r="C1495" s="64" t="n"/>
      <c r="D1495" s="167" t="n"/>
      <c r="E1495" s="63" t="n"/>
      <c r="F1495" s="63" t="n"/>
    </row>
    <row r="1496">
      <c r="A1496" s="166" t="n"/>
      <c r="B1496" s="63" t="n"/>
      <c r="C1496" s="64" t="n"/>
      <c r="D1496" s="167" t="n"/>
      <c r="E1496" s="63" t="n"/>
      <c r="F1496" s="63" t="n"/>
    </row>
    <row r="1497">
      <c r="A1497" s="166" t="n"/>
      <c r="B1497" s="63" t="n"/>
      <c r="C1497" s="64" t="n"/>
      <c r="D1497" s="167" t="n"/>
      <c r="E1497" s="63" t="n"/>
      <c r="F1497" s="63" t="n"/>
    </row>
    <row r="1498">
      <c r="A1498" s="166" t="n"/>
      <c r="B1498" s="63" t="n"/>
      <c r="C1498" s="64" t="n"/>
      <c r="D1498" s="167" t="n"/>
      <c r="E1498" s="63" t="n"/>
      <c r="F1498" s="63" t="n"/>
    </row>
    <row r="1499">
      <c r="A1499" s="166" t="n"/>
      <c r="B1499" s="63" t="n"/>
      <c r="C1499" s="64" t="n"/>
      <c r="D1499" s="167" t="n"/>
      <c r="E1499" s="63" t="n"/>
      <c r="F1499" s="63" t="n"/>
    </row>
    <row r="1500">
      <c r="A1500" s="166" t="n"/>
      <c r="B1500" s="63" t="n"/>
      <c r="C1500" s="64" t="n"/>
      <c r="D1500" s="167" t="n"/>
      <c r="E1500" s="63" t="n"/>
      <c r="F1500" s="63" t="n"/>
    </row>
    <row r="1501">
      <c r="A1501" s="166" t="n"/>
      <c r="B1501" s="63" t="n"/>
      <c r="C1501" s="64" t="n"/>
      <c r="D1501" s="167" t="n"/>
      <c r="E1501" s="63" t="n"/>
      <c r="F1501" s="63" t="n"/>
    </row>
    <row r="1502">
      <c r="A1502" s="166" t="n"/>
      <c r="B1502" s="63" t="n"/>
      <c r="C1502" s="64" t="n"/>
      <c r="D1502" s="167" t="n"/>
      <c r="E1502" s="63" t="n"/>
      <c r="F1502" s="63" t="n"/>
    </row>
    <row r="1503">
      <c r="A1503" s="166" t="n"/>
      <c r="B1503" s="63" t="n"/>
      <c r="C1503" s="64" t="n"/>
      <c r="D1503" s="167" t="n"/>
      <c r="E1503" s="63" t="n"/>
      <c r="F1503" s="63" t="n"/>
    </row>
    <row r="1504">
      <c r="A1504" s="166" t="n"/>
      <c r="B1504" s="63" t="n"/>
      <c r="C1504" s="64" t="n"/>
      <c r="D1504" s="167" t="n"/>
      <c r="E1504" s="63" t="n"/>
      <c r="F1504" s="63" t="n"/>
    </row>
    <row r="1505">
      <c r="A1505" s="166" t="n"/>
      <c r="B1505" s="63" t="n"/>
      <c r="C1505" s="64" t="n"/>
      <c r="D1505" s="167" t="n"/>
      <c r="E1505" s="63" t="n"/>
      <c r="F1505" s="63" t="n"/>
    </row>
    <row r="1506">
      <c r="A1506" s="166" t="n"/>
      <c r="B1506" s="63" t="n"/>
      <c r="C1506" s="64" t="n"/>
      <c r="D1506" s="167" t="n"/>
      <c r="E1506" s="63" t="n"/>
      <c r="F1506" s="63" t="n"/>
    </row>
    <row r="1507">
      <c r="A1507" s="166" t="n"/>
      <c r="B1507" s="63" t="n"/>
      <c r="C1507" s="64" t="n"/>
      <c r="D1507" s="167" t="n"/>
      <c r="E1507" s="63" t="n"/>
      <c r="F1507" s="63" t="n"/>
    </row>
    <row r="1508">
      <c r="A1508" s="166" t="n"/>
      <c r="B1508" s="63" t="n"/>
      <c r="C1508" s="64" t="n"/>
      <c r="D1508" s="167" t="n"/>
      <c r="E1508" s="63" t="n"/>
      <c r="F1508" s="63" t="n"/>
    </row>
    <row r="1509">
      <c r="A1509" s="166" t="n"/>
      <c r="B1509" s="63" t="n"/>
      <c r="C1509" s="64" t="n"/>
      <c r="D1509" s="167" t="n"/>
      <c r="E1509" s="63" t="n"/>
      <c r="F1509" s="63" t="n"/>
    </row>
    <row r="1510">
      <c r="A1510" s="166" t="n"/>
      <c r="B1510" s="63" t="n"/>
      <c r="C1510" s="64" t="n"/>
      <c r="D1510" s="167" t="n"/>
      <c r="E1510" s="63" t="n"/>
      <c r="F1510" s="63" t="n"/>
    </row>
    <row r="1511">
      <c r="A1511" s="166" t="n"/>
      <c r="B1511" s="63" t="n"/>
      <c r="C1511" s="64" t="n"/>
      <c r="D1511" s="167" t="n"/>
      <c r="E1511" s="63" t="n"/>
      <c r="F1511" s="63" t="n"/>
    </row>
    <row r="1512">
      <c r="A1512" s="166" t="n"/>
      <c r="B1512" s="63" t="n"/>
      <c r="C1512" s="64" t="n"/>
      <c r="D1512" s="167" t="n"/>
      <c r="E1512" s="63" t="n"/>
      <c r="F1512" s="63" t="n"/>
    </row>
    <row r="1513">
      <c r="A1513" s="166" t="n"/>
      <c r="B1513" s="63" t="n"/>
      <c r="C1513" s="64" t="n"/>
      <c r="D1513" s="167" t="n"/>
      <c r="E1513" s="63" t="n"/>
      <c r="F1513" s="63" t="n"/>
    </row>
    <row r="1514">
      <c r="A1514" s="166" t="n"/>
      <c r="B1514" s="63" t="n"/>
      <c r="C1514" s="64" t="n"/>
      <c r="D1514" s="167" t="n"/>
      <c r="E1514" s="63" t="n"/>
      <c r="F1514" s="63" t="n"/>
    </row>
    <row r="1515">
      <c r="A1515" s="166" t="n"/>
      <c r="B1515" s="63" t="n"/>
      <c r="C1515" s="64" t="n"/>
      <c r="D1515" s="167" t="n"/>
      <c r="E1515" s="63" t="n"/>
      <c r="F1515" s="63" t="n"/>
    </row>
    <row r="1516">
      <c r="A1516" s="166" t="n"/>
      <c r="B1516" s="63" t="n"/>
      <c r="C1516" s="64" t="n"/>
      <c r="D1516" s="167" t="n"/>
      <c r="E1516" s="63" t="n"/>
      <c r="F1516" s="63" t="n"/>
    </row>
    <row r="1517">
      <c r="A1517" s="166" t="n"/>
      <c r="B1517" s="63" t="n"/>
      <c r="C1517" s="64" t="n"/>
      <c r="D1517" s="167" t="n"/>
      <c r="E1517" s="63" t="n"/>
      <c r="F1517" s="63" t="n"/>
    </row>
    <row r="1518">
      <c r="A1518" s="166" t="n"/>
      <c r="B1518" s="63" t="n"/>
      <c r="C1518" s="64" t="n"/>
      <c r="D1518" s="167" t="n"/>
      <c r="E1518" s="63" t="n"/>
      <c r="F1518" s="63" t="n"/>
    </row>
    <row r="1519">
      <c r="A1519" s="166" t="n"/>
      <c r="B1519" s="63" t="n"/>
      <c r="C1519" s="64" t="n"/>
      <c r="D1519" s="167" t="n"/>
      <c r="E1519" s="63" t="n"/>
      <c r="F1519" s="63" t="n"/>
    </row>
    <row r="1520">
      <c r="A1520" s="166" t="n"/>
      <c r="B1520" s="63" t="n"/>
      <c r="C1520" s="64" t="n"/>
      <c r="D1520" s="167" t="n"/>
      <c r="E1520" s="63" t="n"/>
      <c r="F1520" s="63" t="n"/>
    </row>
    <row r="1521">
      <c r="A1521" s="166" t="n"/>
      <c r="B1521" s="63" t="n"/>
      <c r="C1521" s="64" t="n"/>
      <c r="D1521" s="167" t="n"/>
      <c r="E1521" s="63" t="n"/>
      <c r="F1521" s="63" t="n"/>
    </row>
    <row r="1522">
      <c r="A1522" s="166" t="n"/>
      <c r="B1522" s="63" t="n"/>
      <c r="C1522" s="64" t="n"/>
      <c r="D1522" s="167" t="n"/>
      <c r="E1522" s="63" t="n"/>
      <c r="F1522" s="63" t="n"/>
    </row>
    <row r="1523">
      <c r="A1523" s="166" t="n"/>
      <c r="B1523" s="63" t="n"/>
      <c r="C1523" s="64" t="n"/>
      <c r="D1523" s="167" t="n"/>
      <c r="E1523" s="63" t="n"/>
      <c r="F1523" s="63" t="n"/>
    </row>
    <row r="1524">
      <c r="A1524" s="166" t="n"/>
      <c r="B1524" s="63" t="n"/>
      <c r="C1524" s="64" t="n"/>
      <c r="D1524" s="167" t="n"/>
      <c r="E1524" s="63" t="n"/>
      <c r="F1524" s="63" t="n"/>
    </row>
    <row r="1525">
      <c r="A1525" s="166" t="n"/>
      <c r="B1525" s="63" t="n"/>
      <c r="C1525" s="64" t="n"/>
      <c r="D1525" s="167" t="n"/>
      <c r="E1525" s="63" t="n"/>
      <c r="F1525" s="63" t="n"/>
    </row>
    <row r="1526">
      <c r="A1526" s="166" t="n"/>
      <c r="B1526" s="63" t="n"/>
      <c r="C1526" s="64" t="n"/>
      <c r="D1526" s="167" t="n"/>
      <c r="E1526" s="63" t="n"/>
      <c r="F1526" s="63" t="n"/>
    </row>
    <row r="1527">
      <c r="A1527" s="166" t="n"/>
      <c r="B1527" s="63" t="n"/>
      <c r="C1527" s="64" t="n"/>
      <c r="D1527" s="167" t="n"/>
      <c r="E1527" s="63" t="n"/>
      <c r="F1527" s="63" t="n"/>
    </row>
    <row r="1528">
      <c r="A1528" s="166" t="n"/>
      <c r="B1528" s="63" t="n"/>
      <c r="C1528" s="64" t="n"/>
      <c r="D1528" s="167" t="n"/>
      <c r="E1528" s="63" t="n"/>
      <c r="F1528" s="63" t="n"/>
    </row>
    <row r="1529">
      <c r="A1529" s="166" t="n"/>
      <c r="B1529" s="63" t="n"/>
      <c r="C1529" s="64" t="n"/>
      <c r="D1529" s="167" t="n"/>
      <c r="E1529" s="63" t="n"/>
      <c r="F1529" s="63" t="n"/>
    </row>
    <row r="1530">
      <c r="A1530" s="166" t="n"/>
      <c r="B1530" s="63" t="n"/>
      <c r="C1530" s="64" t="n"/>
      <c r="D1530" s="167" t="n"/>
      <c r="E1530" s="63" t="n"/>
      <c r="F1530" s="63" t="n"/>
    </row>
    <row r="1531">
      <c r="A1531" s="166" t="n"/>
      <c r="B1531" s="63" t="n"/>
      <c r="C1531" s="64" t="n"/>
      <c r="D1531" s="167" t="n"/>
      <c r="E1531" s="63" t="n"/>
      <c r="F1531" s="63" t="n"/>
    </row>
    <row r="1532">
      <c r="A1532" s="166" t="n"/>
      <c r="B1532" s="63" t="n"/>
      <c r="C1532" s="64" t="n"/>
      <c r="D1532" s="167" t="n"/>
      <c r="E1532" s="63" t="n"/>
      <c r="F1532" s="63" t="n"/>
    </row>
    <row r="1533">
      <c r="A1533" s="166" t="n"/>
      <c r="B1533" s="63" t="n"/>
      <c r="C1533" s="64" t="n"/>
      <c r="D1533" s="167" t="n"/>
      <c r="E1533" s="63" t="n"/>
      <c r="F1533" s="63" t="n"/>
    </row>
    <row r="1534">
      <c r="A1534" s="166" t="n"/>
      <c r="B1534" s="63" t="n"/>
      <c r="C1534" s="64" t="n"/>
      <c r="D1534" s="167" t="n"/>
      <c r="E1534" s="63" t="n"/>
      <c r="F1534" s="63" t="n"/>
    </row>
    <row r="1535">
      <c r="A1535" s="166" t="n"/>
      <c r="B1535" s="63" t="n"/>
      <c r="C1535" s="64" t="n"/>
      <c r="D1535" s="167" t="n"/>
      <c r="E1535" s="63" t="n"/>
      <c r="F1535" s="63" t="n"/>
    </row>
    <row r="1536">
      <c r="A1536" s="166" t="n"/>
      <c r="B1536" s="63" t="n"/>
      <c r="C1536" s="64" t="n"/>
      <c r="D1536" s="167" t="n"/>
      <c r="E1536" s="63" t="n"/>
      <c r="F1536" s="63" t="n"/>
    </row>
    <row r="1537">
      <c r="A1537" s="166" t="n"/>
      <c r="B1537" s="63" t="n"/>
      <c r="C1537" s="64" t="n"/>
      <c r="D1537" s="167" t="n"/>
      <c r="E1537" s="63" t="n"/>
      <c r="F1537" s="63" t="n"/>
    </row>
    <row r="1538">
      <c r="A1538" s="166" t="n"/>
      <c r="B1538" s="63" t="n"/>
      <c r="C1538" s="64" t="n"/>
      <c r="D1538" s="167" t="n"/>
      <c r="E1538" s="63" t="n"/>
      <c r="F1538" s="63" t="n"/>
    </row>
    <row r="1539">
      <c r="A1539" s="166" t="n"/>
      <c r="B1539" s="63" t="n"/>
      <c r="C1539" s="64" t="n"/>
      <c r="D1539" s="167" t="n"/>
      <c r="E1539" s="63" t="n"/>
      <c r="F1539" s="63" t="n"/>
    </row>
    <row r="1540">
      <c r="A1540" s="166" t="n"/>
      <c r="B1540" s="63" t="n"/>
      <c r="C1540" s="64" t="n"/>
      <c r="D1540" s="167" t="n"/>
      <c r="E1540" s="63" t="n"/>
      <c r="F1540" s="63" t="n"/>
    </row>
    <row r="1541">
      <c r="A1541" s="166" t="n"/>
      <c r="B1541" s="63" t="n"/>
      <c r="C1541" s="64" t="n"/>
      <c r="D1541" s="167" t="n"/>
      <c r="E1541" s="63" t="n"/>
      <c r="F1541" s="63" t="n"/>
    </row>
    <row r="1542">
      <c r="A1542" s="166" t="n"/>
      <c r="B1542" s="63" t="n"/>
      <c r="C1542" s="64" t="n"/>
      <c r="D1542" s="167" t="n"/>
      <c r="E1542" s="63" t="n"/>
      <c r="F1542" s="63" t="n"/>
    </row>
    <row r="1543">
      <c r="A1543" s="166" t="n"/>
      <c r="B1543" s="63" t="n"/>
      <c r="C1543" s="64" t="n"/>
      <c r="D1543" s="167" t="n"/>
      <c r="E1543" s="63" t="n"/>
      <c r="F1543" s="63" t="n"/>
    </row>
    <row r="1544">
      <c r="A1544" s="166" t="n"/>
      <c r="B1544" s="63" t="n"/>
      <c r="C1544" s="64" t="n"/>
      <c r="D1544" s="167" t="n"/>
      <c r="E1544" s="63" t="n"/>
      <c r="F1544" s="63" t="n"/>
    </row>
    <row r="1545">
      <c r="A1545" s="166" t="n"/>
      <c r="B1545" s="63" t="n"/>
      <c r="C1545" s="64" t="n"/>
      <c r="D1545" s="167" t="n"/>
      <c r="E1545" s="63" t="n"/>
      <c r="F1545" s="63" t="n"/>
    </row>
    <row r="1546">
      <c r="A1546" s="166" t="n"/>
      <c r="B1546" s="63" t="n"/>
      <c r="C1546" s="64" t="n"/>
      <c r="D1546" s="167" t="n"/>
      <c r="E1546" s="63" t="n"/>
      <c r="F1546" s="63" t="n"/>
    </row>
    <row r="1547">
      <c r="A1547" s="166" t="n"/>
      <c r="B1547" s="63" t="n"/>
      <c r="C1547" s="64" t="n"/>
      <c r="D1547" s="167" t="n"/>
      <c r="E1547" s="63" t="n"/>
      <c r="F1547" s="63" t="n"/>
    </row>
    <row r="1548">
      <c r="A1548" s="166" t="n"/>
      <c r="B1548" s="63" t="n"/>
      <c r="C1548" s="64" t="n"/>
      <c r="D1548" s="167" t="n"/>
      <c r="E1548" s="63" t="n"/>
      <c r="F1548" s="63" t="n"/>
    </row>
    <row r="1549">
      <c r="A1549" s="166" t="n"/>
      <c r="B1549" s="63" t="n"/>
      <c r="C1549" s="64" t="n"/>
      <c r="D1549" s="167" t="n"/>
      <c r="E1549" s="63" t="n"/>
      <c r="F1549" s="63" t="n"/>
    </row>
    <row r="1550">
      <c r="A1550" s="166" t="n"/>
      <c r="B1550" s="63" t="n"/>
      <c r="C1550" s="64" t="n"/>
      <c r="D1550" s="167" t="n"/>
      <c r="E1550" s="63" t="n"/>
      <c r="F1550" s="63" t="n"/>
    </row>
    <row r="1551">
      <c r="A1551" s="166" t="n"/>
      <c r="B1551" s="63" t="n"/>
      <c r="C1551" s="64" t="n"/>
      <c r="D1551" s="167" t="n"/>
      <c r="E1551" s="63" t="n"/>
      <c r="F1551" s="63" t="n"/>
    </row>
    <row r="1552">
      <c r="A1552" s="166" t="n"/>
      <c r="B1552" s="63" t="n"/>
      <c r="C1552" s="64" t="n"/>
      <c r="D1552" s="167" t="n"/>
      <c r="E1552" s="63" t="n"/>
      <c r="F1552" s="63" t="n"/>
    </row>
    <row r="1553">
      <c r="A1553" s="166" t="n"/>
      <c r="B1553" s="63" t="n"/>
      <c r="C1553" s="64" t="n"/>
      <c r="D1553" s="167" t="n"/>
      <c r="E1553" s="63" t="n"/>
      <c r="F1553" s="63" t="n"/>
    </row>
    <row r="1554">
      <c r="A1554" s="166" t="n"/>
      <c r="B1554" s="63" t="n"/>
      <c r="C1554" s="64" t="n"/>
      <c r="D1554" s="167" t="n"/>
      <c r="E1554" s="63" t="n"/>
      <c r="F1554" s="63" t="n"/>
    </row>
    <row r="1555">
      <c r="A1555" s="166" t="n"/>
      <c r="B1555" s="63" t="n"/>
      <c r="C1555" s="64" t="n"/>
      <c r="D1555" s="167" t="n"/>
      <c r="E1555" s="63" t="n"/>
      <c r="F1555" s="63" t="n"/>
    </row>
    <row r="1556">
      <c r="A1556" s="166" t="n"/>
      <c r="B1556" s="63" t="n"/>
      <c r="C1556" s="64" t="n"/>
      <c r="D1556" s="167" t="n"/>
      <c r="E1556" s="63" t="n"/>
      <c r="F1556" s="63" t="n"/>
    </row>
    <row r="1557">
      <c r="A1557" s="166" t="n"/>
      <c r="B1557" s="63" t="n"/>
      <c r="C1557" s="64" t="n"/>
      <c r="D1557" s="167" t="n"/>
      <c r="E1557" s="63" t="n"/>
      <c r="F1557" s="63" t="n"/>
    </row>
    <row r="1558">
      <c r="A1558" s="166" t="n"/>
      <c r="B1558" s="63" t="n"/>
      <c r="C1558" s="64" t="n"/>
      <c r="D1558" s="167" t="n"/>
      <c r="E1558" s="63" t="n"/>
      <c r="F1558" s="63" t="n"/>
    </row>
    <row r="1559">
      <c r="A1559" s="166" t="n"/>
      <c r="B1559" s="63" t="n"/>
      <c r="C1559" s="64" t="n"/>
      <c r="D1559" s="167" t="n"/>
      <c r="E1559" s="63" t="n"/>
      <c r="F1559" s="63" t="n"/>
    </row>
    <row r="1560">
      <c r="A1560" s="166" t="n"/>
      <c r="B1560" s="63" t="n"/>
      <c r="C1560" s="64" t="n"/>
      <c r="D1560" s="167" t="n"/>
      <c r="E1560" s="63" t="n"/>
      <c r="F1560" s="63" t="n"/>
    </row>
    <row r="1561">
      <c r="A1561" s="166" t="n"/>
      <c r="B1561" s="63" t="n"/>
      <c r="C1561" s="64" t="n"/>
      <c r="D1561" s="167" t="n"/>
      <c r="E1561" s="63" t="n"/>
      <c r="F1561" s="63" t="n"/>
    </row>
    <row r="1562">
      <c r="A1562" s="166" t="n"/>
      <c r="B1562" s="63" t="n"/>
      <c r="C1562" s="64" t="n"/>
      <c r="D1562" s="167" t="n"/>
      <c r="E1562" s="63" t="n"/>
      <c r="F1562" s="63" t="n"/>
    </row>
    <row r="1563">
      <c r="A1563" s="166" t="n"/>
      <c r="B1563" s="63" t="n"/>
      <c r="C1563" s="64" t="n"/>
      <c r="D1563" s="167" t="n"/>
      <c r="E1563" s="63" t="n"/>
      <c r="F1563" s="63" t="n"/>
    </row>
    <row r="1564">
      <c r="A1564" s="166" t="n"/>
      <c r="B1564" s="63" t="n"/>
      <c r="C1564" s="64" t="n"/>
      <c r="D1564" s="167" t="n"/>
      <c r="E1564" s="63" t="n"/>
      <c r="F1564" s="63" t="n"/>
    </row>
    <row r="1565">
      <c r="A1565" s="166" t="n"/>
      <c r="B1565" s="63" t="n"/>
      <c r="C1565" s="64" t="n"/>
      <c r="D1565" s="167" t="n"/>
      <c r="E1565" s="63" t="n"/>
      <c r="F1565" s="63" t="n"/>
    </row>
    <row r="1566">
      <c r="A1566" s="166" t="n"/>
      <c r="B1566" s="63" t="n"/>
      <c r="C1566" s="64" t="n"/>
      <c r="D1566" s="167" t="n"/>
      <c r="E1566" s="63" t="n"/>
      <c r="F1566" s="63" t="n"/>
    </row>
    <row r="1567">
      <c r="A1567" s="166" t="n"/>
      <c r="B1567" s="63" t="n"/>
      <c r="C1567" s="64" t="n"/>
      <c r="D1567" s="167" t="n"/>
      <c r="E1567" s="63" t="n"/>
      <c r="F1567" s="63" t="n"/>
    </row>
    <row r="1568">
      <c r="A1568" s="166" t="n"/>
      <c r="B1568" s="63" t="n"/>
      <c r="C1568" s="64" t="n"/>
      <c r="D1568" s="167" t="n"/>
      <c r="E1568" s="63" t="n"/>
      <c r="F1568" s="63" t="n"/>
    </row>
    <row r="1569">
      <c r="A1569" s="166" t="n"/>
      <c r="B1569" s="63" t="n"/>
      <c r="C1569" s="64" t="n"/>
      <c r="D1569" s="167" t="n"/>
      <c r="E1569" s="63" t="n"/>
      <c r="F1569" s="63" t="n"/>
    </row>
    <row r="1570">
      <c r="A1570" s="166" t="n"/>
      <c r="B1570" s="63" t="n"/>
      <c r="C1570" s="64" t="n"/>
      <c r="D1570" s="167" t="n"/>
      <c r="E1570" s="63" t="n"/>
      <c r="F1570" s="63" t="n"/>
    </row>
    <row r="1571">
      <c r="A1571" s="166" t="n"/>
      <c r="B1571" s="63" t="n"/>
      <c r="C1571" s="64" t="n"/>
      <c r="D1571" s="167" t="n"/>
      <c r="E1571" s="63" t="n"/>
      <c r="F1571" s="63" t="n"/>
    </row>
    <row r="1572">
      <c r="A1572" s="166" t="n"/>
      <c r="B1572" s="63" t="n"/>
      <c r="C1572" s="64" t="n"/>
      <c r="D1572" s="167" t="n"/>
      <c r="E1572" s="63" t="n"/>
      <c r="F1572" s="63" t="n"/>
    </row>
    <row r="1573">
      <c r="A1573" s="166" t="n"/>
      <c r="B1573" s="63" t="n"/>
      <c r="C1573" s="64" t="n"/>
      <c r="D1573" s="167" t="n"/>
      <c r="E1573" s="63" t="n"/>
      <c r="F1573" s="63" t="n"/>
    </row>
    <row r="1574">
      <c r="A1574" s="166" t="n"/>
      <c r="B1574" s="63" t="n"/>
      <c r="C1574" s="64" t="n"/>
      <c r="D1574" s="167" t="n"/>
      <c r="E1574" s="63" t="n"/>
      <c r="F1574" s="63" t="n"/>
    </row>
    <row r="1575">
      <c r="A1575" s="166" t="n"/>
      <c r="B1575" s="63" t="n"/>
      <c r="C1575" s="64" t="n"/>
      <c r="D1575" s="167" t="n"/>
      <c r="E1575" s="63" t="n"/>
      <c r="F1575" s="63" t="n"/>
    </row>
    <row r="1576">
      <c r="A1576" s="166" t="n"/>
      <c r="B1576" s="63" t="n"/>
      <c r="C1576" s="64" t="n"/>
      <c r="D1576" s="167" t="n"/>
      <c r="E1576" s="63" t="n"/>
      <c r="F1576" s="63" t="n"/>
    </row>
    <row r="1577">
      <c r="A1577" s="166" t="n"/>
      <c r="B1577" s="63" t="n"/>
      <c r="C1577" s="64" t="n"/>
      <c r="D1577" s="167" t="n"/>
      <c r="E1577" s="63" t="n"/>
      <c r="F1577" s="63" t="n"/>
    </row>
    <row r="1578">
      <c r="A1578" s="166" t="n"/>
      <c r="B1578" s="63" t="n"/>
      <c r="C1578" s="64" t="n"/>
      <c r="D1578" s="167" t="n"/>
      <c r="E1578" s="63" t="n"/>
      <c r="F1578" s="63" t="n"/>
    </row>
    <row r="1579">
      <c r="A1579" s="166" t="n"/>
      <c r="B1579" s="63" t="n"/>
      <c r="C1579" s="64" t="n"/>
      <c r="D1579" s="167" t="n"/>
      <c r="E1579" s="63" t="n"/>
      <c r="F1579" s="63" t="n"/>
    </row>
    <row r="1580">
      <c r="A1580" s="166" t="n"/>
      <c r="B1580" s="63" t="n"/>
      <c r="C1580" s="64" t="n"/>
      <c r="D1580" s="167" t="n"/>
      <c r="E1580" s="63" t="n"/>
      <c r="F1580" s="63" t="n"/>
    </row>
    <row r="1581">
      <c r="A1581" s="166" t="n"/>
      <c r="B1581" s="63" t="n"/>
      <c r="C1581" s="64" t="n"/>
      <c r="D1581" s="167" t="n"/>
      <c r="E1581" s="63" t="n"/>
      <c r="F1581" s="63" t="n"/>
    </row>
    <row r="1582">
      <c r="A1582" s="166" t="n"/>
      <c r="B1582" s="63" t="n"/>
      <c r="C1582" s="64" t="n"/>
      <c r="D1582" s="167" t="n"/>
      <c r="E1582" s="63" t="n"/>
      <c r="F1582" s="63" t="n"/>
    </row>
    <row r="1583">
      <c r="A1583" s="166" t="n"/>
      <c r="B1583" s="63" t="n"/>
      <c r="C1583" s="64" t="n"/>
      <c r="D1583" s="167" t="n"/>
      <c r="E1583" s="63" t="n"/>
      <c r="F1583" s="63" t="n"/>
    </row>
    <row r="1584">
      <c r="A1584" s="166" t="n"/>
      <c r="B1584" s="63" t="n"/>
      <c r="C1584" s="64" t="n"/>
      <c r="D1584" s="167" t="n"/>
      <c r="E1584" s="63" t="n"/>
      <c r="F1584" s="63" t="n"/>
    </row>
    <row r="1585">
      <c r="A1585" s="166" t="n"/>
      <c r="B1585" s="63" t="n"/>
      <c r="C1585" s="64" t="n"/>
      <c r="D1585" s="167" t="n"/>
      <c r="E1585" s="63" t="n"/>
      <c r="F1585" s="63" t="n"/>
    </row>
    <row r="1586">
      <c r="A1586" s="166" t="n"/>
      <c r="B1586" s="63" t="n"/>
      <c r="C1586" s="64" t="n"/>
      <c r="D1586" s="167" t="n"/>
      <c r="E1586" s="63" t="n"/>
      <c r="F1586" s="63" t="n"/>
    </row>
    <row r="1587">
      <c r="A1587" s="166" t="n"/>
      <c r="B1587" s="63" t="n"/>
      <c r="C1587" s="64" t="n"/>
      <c r="D1587" s="167" t="n"/>
      <c r="E1587" s="63" t="n"/>
      <c r="F1587" s="63" t="n"/>
    </row>
    <row r="1588">
      <c r="A1588" s="166" t="n"/>
      <c r="B1588" s="63" t="n"/>
      <c r="C1588" s="64" t="n"/>
      <c r="D1588" s="167" t="n"/>
      <c r="E1588" s="63" t="n"/>
      <c r="F1588" s="63" t="n"/>
    </row>
    <row r="1589">
      <c r="A1589" s="166" t="n"/>
      <c r="B1589" s="63" t="n"/>
      <c r="C1589" s="64" t="n"/>
      <c r="D1589" s="167" t="n"/>
      <c r="E1589" s="63" t="n"/>
      <c r="F1589" s="63" t="n"/>
    </row>
    <row r="1590">
      <c r="A1590" s="166" t="n"/>
      <c r="B1590" s="63" t="n"/>
      <c r="C1590" s="64" t="n"/>
      <c r="D1590" s="167" t="n"/>
      <c r="E1590" s="63" t="n"/>
      <c r="F1590" s="63" t="n"/>
    </row>
    <row r="1591">
      <c r="A1591" s="166" t="n"/>
      <c r="B1591" s="63" t="n"/>
      <c r="C1591" s="64" t="n"/>
      <c r="D1591" s="167" t="n"/>
      <c r="E1591" s="63" t="n"/>
      <c r="F1591" s="63" t="n"/>
    </row>
    <row r="1592">
      <c r="A1592" s="166" t="n"/>
      <c r="B1592" s="63" t="n"/>
      <c r="C1592" s="64" t="n"/>
      <c r="D1592" s="167" t="n"/>
      <c r="E1592" s="63" t="n"/>
      <c r="F1592" s="63" t="n"/>
    </row>
    <row r="1593">
      <c r="A1593" s="166" t="n"/>
      <c r="B1593" s="63" t="n"/>
      <c r="C1593" s="64" t="n"/>
      <c r="D1593" s="167" t="n"/>
      <c r="E1593" s="63" t="n"/>
      <c r="F1593" s="63" t="n"/>
    </row>
    <row r="1594">
      <c r="A1594" s="166" t="n"/>
      <c r="B1594" s="63" t="n"/>
      <c r="C1594" s="64" t="n"/>
      <c r="D1594" s="167" t="n"/>
      <c r="E1594" s="63" t="n"/>
      <c r="F1594" s="63" t="n"/>
    </row>
    <row r="1595">
      <c r="A1595" s="166" t="n"/>
      <c r="B1595" s="63" t="n"/>
      <c r="C1595" s="64" t="n"/>
      <c r="D1595" s="167" t="n"/>
      <c r="E1595" s="63" t="n"/>
      <c r="F1595" s="63" t="n"/>
    </row>
    <row r="1596">
      <c r="A1596" s="166" t="n"/>
      <c r="B1596" s="63" t="n"/>
      <c r="C1596" s="64" t="n"/>
      <c r="D1596" s="167" t="n"/>
      <c r="E1596" s="63" t="n"/>
      <c r="F1596" s="63" t="n"/>
    </row>
    <row r="1597">
      <c r="A1597" s="166" t="n"/>
      <c r="B1597" s="63" t="n"/>
      <c r="C1597" s="64" t="n"/>
      <c r="D1597" s="167" t="n"/>
      <c r="E1597" s="63" t="n"/>
      <c r="F1597" s="63" t="n"/>
    </row>
    <row r="1598">
      <c r="A1598" s="166" t="n"/>
      <c r="B1598" s="63" t="n"/>
      <c r="C1598" s="64" t="n"/>
      <c r="D1598" s="167" t="n"/>
      <c r="E1598" s="63" t="n"/>
      <c r="F1598" s="63" t="n"/>
    </row>
    <row r="1599">
      <c r="A1599" s="166" t="n"/>
      <c r="B1599" s="63" t="n"/>
      <c r="C1599" s="64" t="n"/>
      <c r="D1599" s="167" t="n"/>
      <c r="E1599" s="63" t="n"/>
      <c r="F1599" s="63" t="n"/>
    </row>
    <row r="1600">
      <c r="A1600" s="166" t="n"/>
      <c r="B1600" s="63" t="n"/>
      <c r="C1600" s="64" t="n"/>
      <c r="D1600" s="167" t="n"/>
      <c r="E1600" s="63" t="n"/>
      <c r="F1600" s="63" t="n"/>
    </row>
    <row r="1601">
      <c r="A1601" s="166" t="n"/>
      <c r="B1601" s="63" t="n"/>
      <c r="C1601" s="64" t="n"/>
      <c r="D1601" s="167" t="n"/>
      <c r="E1601" s="63" t="n"/>
      <c r="F1601" s="63" t="n"/>
    </row>
    <row r="1602">
      <c r="A1602" s="166" t="n"/>
      <c r="B1602" s="63" t="n"/>
      <c r="C1602" s="64" t="n"/>
      <c r="D1602" s="167" t="n"/>
      <c r="E1602" s="63" t="n"/>
      <c r="F1602" s="63" t="n"/>
    </row>
    <row r="1603">
      <c r="A1603" s="166" t="n"/>
      <c r="B1603" s="63" t="n"/>
      <c r="C1603" s="64" t="n"/>
      <c r="D1603" s="167" t="n"/>
      <c r="E1603" s="63" t="n"/>
      <c r="F1603" s="63" t="n"/>
    </row>
    <row r="1604">
      <c r="A1604" s="166" t="n"/>
      <c r="B1604" s="63" t="n"/>
      <c r="C1604" s="64" t="n"/>
      <c r="D1604" s="167" t="n"/>
      <c r="E1604" s="63" t="n"/>
      <c r="F1604" s="63" t="n"/>
    </row>
    <row r="1605">
      <c r="A1605" s="166" t="n"/>
      <c r="B1605" s="63" t="n"/>
      <c r="C1605" s="64" t="n"/>
      <c r="D1605" s="167" t="n"/>
      <c r="E1605" s="63" t="n"/>
      <c r="F1605" s="63" t="n"/>
    </row>
    <row r="1606">
      <c r="A1606" s="166" t="n"/>
      <c r="B1606" s="63" t="n"/>
      <c r="C1606" s="64" t="n"/>
      <c r="D1606" s="167" t="n"/>
      <c r="E1606" s="63" t="n"/>
      <c r="F1606" s="63" t="n"/>
    </row>
    <row r="1607">
      <c r="A1607" s="166" t="n"/>
      <c r="B1607" s="63" t="n"/>
      <c r="C1607" s="64" t="n"/>
      <c r="D1607" s="167" t="n"/>
      <c r="E1607" s="63" t="n"/>
      <c r="F1607" s="63" t="n"/>
    </row>
    <row r="1608">
      <c r="A1608" s="166" t="n"/>
      <c r="B1608" s="63" t="n"/>
      <c r="C1608" s="64" t="n"/>
      <c r="D1608" s="167" t="n"/>
      <c r="E1608" s="63" t="n"/>
      <c r="F1608" s="63" t="n"/>
    </row>
    <row r="1609">
      <c r="A1609" s="166" t="n"/>
      <c r="B1609" s="63" t="n"/>
      <c r="C1609" s="64" t="n"/>
      <c r="D1609" s="167" t="n"/>
      <c r="E1609" s="63" t="n"/>
      <c r="F1609" s="63" t="n"/>
    </row>
    <row r="1610">
      <c r="A1610" s="166" t="n"/>
      <c r="B1610" s="63" t="n"/>
      <c r="C1610" s="64" t="n"/>
      <c r="D1610" s="167" t="n"/>
      <c r="E1610" s="63" t="n"/>
      <c r="F1610" s="63" t="n"/>
    </row>
    <row r="1611">
      <c r="A1611" s="166" t="n"/>
      <c r="B1611" s="63" t="n"/>
      <c r="C1611" s="64" t="n"/>
      <c r="D1611" s="167" t="n"/>
      <c r="E1611" s="63" t="n"/>
      <c r="F1611" s="63" t="n"/>
    </row>
    <row r="1612">
      <c r="A1612" s="166" t="n"/>
      <c r="B1612" s="63" t="n"/>
      <c r="C1612" s="64" t="n"/>
      <c r="D1612" s="167" t="n"/>
      <c r="E1612" s="63" t="n"/>
      <c r="F1612" s="63" t="n"/>
    </row>
    <row r="1613">
      <c r="A1613" s="166" t="n"/>
      <c r="B1613" s="63" t="n"/>
      <c r="C1613" s="64" t="n"/>
      <c r="D1613" s="167" t="n"/>
      <c r="E1613" s="63" t="n"/>
      <c r="F1613" s="63" t="n"/>
    </row>
    <row r="1614">
      <c r="A1614" s="166" t="n"/>
      <c r="B1614" s="63" t="n"/>
      <c r="C1614" s="64" t="n"/>
      <c r="D1614" s="167" t="n"/>
      <c r="E1614" s="63" t="n"/>
      <c r="F1614" s="63" t="n"/>
    </row>
    <row r="1615">
      <c r="A1615" s="166" t="n"/>
      <c r="B1615" s="63" t="n"/>
      <c r="C1615" s="64" t="n"/>
      <c r="D1615" s="167" t="n"/>
      <c r="E1615" s="63" t="n"/>
      <c r="F1615" s="63" t="n"/>
    </row>
    <row r="1616">
      <c r="A1616" s="166" t="n"/>
      <c r="B1616" s="63" t="n"/>
      <c r="C1616" s="64" t="n"/>
      <c r="D1616" s="167" t="n"/>
      <c r="E1616" s="63" t="n"/>
      <c r="F1616" s="63" t="n"/>
    </row>
    <row r="1617">
      <c r="A1617" s="166" t="n"/>
      <c r="B1617" s="63" t="n"/>
      <c r="C1617" s="64" t="n"/>
      <c r="D1617" s="167" t="n"/>
      <c r="E1617" s="63" t="n"/>
      <c r="F1617" s="63" t="n"/>
    </row>
    <row r="1618">
      <c r="A1618" s="166" t="n"/>
      <c r="B1618" s="63" t="n"/>
      <c r="C1618" s="64" t="n"/>
      <c r="D1618" s="167" t="n"/>
      <c r="E1618" s="63" t="n"/>
      <c r="F1618" s="63" t="n"/>
    </row>
    <row r="1619">
      <c r="A1619" s="166" t="n"/>
      <c r="B1619" s="63" t="n"/>
      <c r="C1619" s="64" t="n"/>
      <c r="D1619" s="167" t="n"/>
      <c r="E1619" s="63" t="n"/>
      <c r="F1619" s="63" t="n"/>
    </row>
    <row r="1620">
      <c r="A1620" s="166" t="n"/>
      <c r="B1620" s="63" t="n"/>
      <c r="C1620" s="64" t="n"/>
      <c r="D1620" s="167" t="n"/>
      <c r="E1620" s="63" t="n"/>
      <c r="F1620" s="63" t="n"/>
    </row>
    <row r="1621">
      <c r="A1621" s="166" t="n"/>
      <c r="B1621" s="63" t="n"/>
      <c r="C1621" s="64" t="n"/>
      <c r="D1621" s="167" t="n"/>
      <c r="E1621" s="63" t="n"/>
      <c r="F1621" s="63" t="n"/>
    </row>
    <row r="1622">
      <c r="A1622" s="166" t="n"/>
      <c r="B1622" s="63" t="n"/>
      <c r="C1622" s="64" t="n"/>
      <c r="D1622" s="167" t="n"/>
      <c r="E1622" s="63" t="n"/>
      <c r="F1622" s="63" t="n"/>
    </row>
    <row r="1623">
      <c r="A1623" s="166" t="n"/>
      <c r="B1623" s="63" t="n"/>
      <c r="C1623" s="64" t="n"/>
      <c r="D1623" s="167" t="n"/>
      <c r="E1623" s="63" t="n"/>
      <c r="F1623" s="63" t="n"/>
    </row>
    <row r="1624">
      <c r="A1624" s="166" t="n"/>
      <c r="B1624" s="63" t="n"/>
      <c r="C1624" s="64" t="n"/>
      <c r="D1624" s="167" t="n"/>
      <c r="E1624" s="63" t="n"/>
      <c r="F1624" s="63" t="n"/>
    </row>
    <row r="1625">
      <c r="A1625" s="166" t="n"/>
      <c r="B1625" s="63" t="n"/>
      <c r="C1625" s="64" t="n"/>
      <c r="D1625" s="167" t="n"/>
      <c r="E1625" s="63" t="n"/>
      <c r="F1625" s="63" t="n"/>
    </row>
    <row r="1626">
      <c r="A1626" s="166" t="n"/>
      <c r="B1626" s="63" t="n"/>
      <c r="C1626" s="64" t="n"/>
      <c r="D1626" s="167" t="n"/>
      <c r="E1626" s="63" t="n"/>
      <c r="F1626" s="63" t="n"/>
    </row>
    <row r="1627">
      <c r="A1627" s="166" t="n"/>
      <c r="B1627" s="63" t="n"/>
      <c r="C1627" s="64" t="n"/>
      <c r="D1627" s="167" t="n"/>
      <c r="E1627" s="63" t="n"/>
      <c r="F1627" s="63" t="n"/>
    </row>
    <row r="1628">
      <c r="A1628" s="166" t="n"/>
      <c r="B1628" s="63" t="n"/>
      <c r="C1628" s="64" t="n"/>
      <c r="D1628" s="167" t="n"/>
      <c r="E1628" s="63" t="n"/>
      <c r="F1628" s="63" t="n"/>
    </row>
    <row r="1629">
      <c r="A1629" s="166" t="n"/>
      <c r="B1629" s="63" t="n"/>
      <c r="C1629" s="64" t="n"/>
      <c r="D1629" s="167" t="n"/>
      <c r="E1629" s="63" t="n"/>
      <c r="F1629" s="63" t="n"/>
    </row>
    <row r="1630">
      <c r="A1630" s="166" t="n"/>
      <c r="B1630" s="63" t="n"/>
      <c r="C1630" s="64" t="n"/>
      <c r="D1630" s="167" t="n"/>
      <c r="E1630" s="63" t="n"/>
      <c r="F1630" s="63" t="n"/>
    </row>
    <row r="1631">
      <c r="A1631" s="166" t="n"/>
      <c r="B1631" s="63" t="n"/>
      <c r="C1631" s="64" t="n"/>
      <c r="D1631" s="167" t="n"/>
      <c r="E1631" s="63" t="n"/>
      <c r="F1631" s="63" t="n"/>
    </row>
    <row r="1632">
      <c r="A1632" s="166" t="n"/>
      <c r="B1632" s="63" t="n"/>
      <c r="C1632" s="64" t="n"/>
      <c r="D1632" s="167" t="n"/>
      <c r="E1632" s="63" t="n"/>
      <c r="F1632" s="63" t="n"/>
    </row>
    <row r="1633">
      <c r="A1633" s="166" t="n"/>
      <c r="B1633" s="63" t="n"/>
      <c r="C1633" s="64" t="n"/>
      <c r="D1633" s="167" t="n"/>
      <c r="E1633" s="63" t="n"/>
      <c r="F1633" s="63" t="n"/>
    </row>
    <row r="1634">
      <c r="A1634" s="166" t="n"/>
      <c r="B1634" s="63" t="n"/>
      <c r="C1634" s="64" t="n"/>
      <c r="D1634" s="167" t="n"/>
      <c r="E1634" s="63" t="n"/>
      <c r="F1634" s="63" t="n"/>
    </row>
    <row r="1635">
      <c r="A1635" s="166" t="n"/>
      <c r="B1635" s="63" t="n"/>
      <c r="C1635" s="64" t="n"/>
      <c r="D1635" s="167" t="n"/>
      <c r="E1635" s="63" t="n"/>
      <c r="F1635" s="63" t="n"/>
    </row>
    <row r="1636">
      <c r="A1636" s="166" t="n"/>
      <c r="B1636" s="63" t="n"/>
      <c r="C1636" s="64" t="n"/>
      <c r="D1636" s="167" t="n"/>
      <c r="E1636" s="63" t="n"/>
      <c r="F1636" s="63" t="n"/>
    </row>
    <row r="1637">
      <c r="A1637" s="166" t="n"/>
      <c r="B1637" s="63" t="n"/>
      <c r="C1637" s="64" t="n"/>
      <c r="D1637" s="167" t="n"/>
      <c r="E1637" s="63" t="n"/>
      <c r="F1637" s="63" t="n"/>
    </row>
    <row r="1638">
      <c r="A1638" s="166" t="n"/>
      <c r="B1638" s="63" t="n"/>
      <c r="C1638" s="64" t="n"/>
      <c r="D1638" s="167" t="n"/>
      <c r="E1638" s="63" t="n"/>
      <c r="F1638" s="63" t="n"/>
    </row>
    <row r="1639">
      <c r="A1639" s="166" t="n"/>
      <c r="B1639" s="63" t="n"/>
      <c r="C1639" s="64" t="n"/>
      <c r="D1639" s="167" t="n"/>
      <c r="E1639" s="63" t="n"/>
      <c r="F1639" s="63" t="n"/>
    </row>
    <row r="1640">
      <c r="A1640" s="166" t="n"/>
      <c r="B1640" s="63" t="n"/>
      <c r="C1640" s="64" t="n"/>
      <c r="D1640" s="167" t="n"/>
      <c r="E1640" s="63" t="n"/>
      <c r="F1640" s="63" t="n"/>
    </row>
    <row r="1641">
      <c r="A1641" s="166" t="n"/>
      <c r="B1641" s="63" t="n"/>
      <c r="C1641" s="64" t="n"/>
      <c r="D1641" s="167" t="n"/>
      <c r="E1641" s="63" t="n"/>
      <c r="F1641" s="63" t="n"/>
    </row>
    <row r="1642">
      <c r="A1642" s="166" t="n"/>
      <c r="B1642" s="63" t="n"/>
      <c r="C1642" s="64" t="n"/>
      <c r="D1642" s="167" t="n"/>
      <c r="E1642" s="63" t="n"/>
      <c r="F1642" s="63" t="n"/>
    </row>
    <row r="1643">
      <c r="A1643" s="166" t="n"/>
      <c r="B1643" s="63" t="n"/>
      <c r="C1643" s="64" t="n"/>
      <c r="D1643" s="167" t="n"/>
      <c r="E1643" s="63" t="n"/>
      <c r="F1643" s="63" t="n"/>
    </row>
    <row r="1644">
      <c r="A1644" s="166" t="n"/>
      <c r="B1644" s="63" t="n"/>
      <c r="C1644" s="64" t="n"/>
      <c r="D1644" s="167" t="n"/>
      <c r="E1644" s="63" t="n"/>
      <c r="F1644" s="63" t="n"/>
    </row>
    <row r="1645">
      <c r="A1645" s="166" t="n"/>
      <c r="B1645" s="63" t="n"/>
      <c r="C1645" s="64" t="n"/>
      <c r="D1645" s="167" t="n"/>
      <c r="E1645" s="63" t="n"/>
      <c r="F1645" s="63" t="n"/>
    </row>
    <row r="1646">
      <c r="A1646" s="166" t="n"/>
      <c r="B1646" s="63" t="n"/>
      <c r="C1646" s="64" t="n"/>
      <c r="D1646" s="167" t="n"/>
      <c r="E1646" s="63" t="n"/>
      <c r="F1646" s="63" t="n"/>
    </row>
    <row r="1647">
      <c r="A1647" s="166" t="n"/>
      <c r="B1647" s="63" t="n"/>
      <c r="C1647" s="64" t="n"/>
      <c r="D1647" s="167" t="n"/>
      <c r="E1647" s="63" t="n"/>
      <c r="F1647" s="63" t="n"/>
    </row>
    <row r="1648">
      <c r="A1648" s="166" t="n"/>
      <c r="B1648" s="63" t="n"/>
      <c r="C1648" s="64" t="n"/>
      <c r="D1648" s="167" t="n"/>
      <c r="E1648" s="63" t="n"/>
      <c r="F1648" s="63" t="n"/>
    </row>
    <row r="1649">
      <c r="A1649" s="166" t="n"/>
      <c r="B1649" s="63" t="n"/>
      <c r="C1649" s="64" t="n"/>
      <c r="D1649" s="167" t="n"/>
      <c r="E1649" s="63" t="n"/>
      <c r="F1649" s="63" t="n"/>
    </row>
    <row r="1650">
      <c r="A1650" s="166" t="n"/>
      <c r="B1650" s="63" t="n"/>
      <c r="C1650" s="64" t="n"/>
      <c r="D1650" s="167" t="n"/>
      <c r="E1650" s="63" t="n"/>
      <c r="F1650" s="63" t="n"/>
    </row>
    <row r="1651">
      <c r="A1651" s="166" t="n"/>
      <c r="B1651" s="63" t="n"/>
      <c r="C1651" s="64" t="n"/>
      <c r="D1651" s="167" t="n"/>
      <c r="E1651" s="63" t="n"/>
      <c r="F1651" s="63" t="n"/>
    </row>
    <row r="1652">
      <c r="A1652" s="166" t="n"/>
      <c r="B1652" s="63" t="n"/>
      <c r="C1652" s="64" t="n"/>
      <c r="D1652" s="167" t="n"/>
      <c r="E1652" s="63" t="n"/>
      <c r="F1652" s="63" t="n"/>
    </row>
    <row r="1653">
      <c r="A1653" s="166" t="n"/>
      <c r="B1653" s="63" t="n"/>
      <c r="C1653" s="64" t="n"/>
      <c r="D1653" s="167" t="n"/>
      <c r="E1653" s="63" t="n"/>
      <c r="F1653" s="63" t="n"/>
    </row>
    <row r="1654">
      <c r="A1654" s="166" t="n"/>
      <c r="B1654" s="63" t="n"/>
      <c r="C1654" s="64" t="n"/>
      <c r="D1654" s="167" t="n"/>
      <c r="E1654" s="63" t="n"/>
      <c r="F1654" s="63" t="n"/>
    </row>
    <row r="1655">
      <c r="A1655" s="166" t="n"/>
      <c r="B1655" s="63" t="n"/>
      <c r="C1655" s="64" t="n"/>
      <c r="D1655" s="167" t="n"/>
      <c r="E1655" s="63" t="n"/>
      <c r="F1655" s="63" t="n"/>
    </row>
    <row r="1656">
      <c r="A1656" s="166" t="n"/>
      <c r="B1656" s="63" t="n"/>
      <c r="C1656" s="64" t="n"/>
      <c r="D1656" s="167" t="n"/>
      <c r="E1656" s="63" t="n"/>
      <c r="F1656" s="63" t="n"/>
    </row>
    <row r="1657">
      <c r="A1657" s="166" t="n"/>
      <c r="B1657" s="63" t="n"/>
      <c r="C1657" s="64" t="n"/>
      <c r="D1657" s="167" t="n"/>
      <c r="E1657" s="63" t="n"/>
      <c r="F1657" s="63" t="n"/>
    </row>
    <row r="1658">
      <c r="A1658" s="166" t="n"/>
      <c r="B1658" s="63" t="n"/>
      <c r="C1658" s="64" t="n"/>
      <c r="D1658" s="167" t="n"/>
      <c r="E1658" s="63" t="n"/>
      <c r="F1658" s="63" t="n"/>
    </row>
    <row r="1659">
      <c r="A1659" s="166" t="n"/>
      <c r="B1659" s="63" t="n"/>
      <c r="C1659" s="64" t="n"/>
      <c r="D1659" s="167" t="n"/>
      <c r="E1659" s="63" t="n"/>
      <c r="F1659" s="63" t="n"/>
    </row>
    <row r="1660">
      <c r="A1660" s="166" t="n"/>
      <c r="B1660" s="63" t="n"/>
      <c r="C1660" s="64" t="n"/>
      <c r="D1660" s="167" t="n"/>
      <c r="E1660" s="63" t="n"/>
      <c r="F1660" s="63" t="n"/>
    </row>
    <row r="1661">
      <c r="A1661" s="166" t="n"/>
      <c r="B1661" s="63" t="n"/>
      <c r="C1661" s="64" t="n"/>
      <c r="D1661" s="167" t="n"/>
      <c r="E1661" s="63" t="n"/>
      <c r="F1661" s="63" t="n"/>
    </row>
    <row r="1662">
      <c r="A1662" s="166" t="n"/>
      <c r="B1662" s="63" t="n"/>
      <c r="C1662" s="64" t="n"/>
      <c r="D1662" s="167" t="n"/>
      <c r="E1662" s="63" t="n"/>
      <c r="F1662" s="63" t="n"/>
    </row>
    <row r="1663">
      <c r="A1663" s="166" t="n"/>
      <c r="B1663" s="63" t="n"/>
      <c r="C1663" s="64" t="n"/>
      <c r="D1663" s="167" t="n"/>
      <c r="E1663" s="63" t="n"/>
      <c r="F1663" s="63" t="n"/>
    </row>
    <row r="1664">
      <c r="A1664" s="166" t="n"/>
      <c r="B1664" s="63" t="n"/>
      <c r="C1664" s="64" t="n"/>
      <c r="D1664" s="167" t="n"/>
      <c r="E1664" s="63" t="n"/>
      <c r="F1664" s="63" t="n"/>
    </row>
    <row r="1665">
      <c r="A1665" s="166" t="n"/>
      <c r="B1665" s="63" t="n"/>
      <c r="C1665" s="64" t="n"/>
      <c r="D1665" s="167" t="n"/>
      <c r="E1665" s="63" t="n"/>
      <c r="F1665" s="63" t="n"/>
    </row>
    <row r="1666">
      <c r="A1666" s="166" t="n"/>
      <c r="B1666" s="63" t="n"/>
      <c r="C1666" s="64" t="n"/>
      <c r="D1666" s="167" t="n"/>
      <c r="E1666" s="63" t="n"/>
      <c r="F1666" s="63" t="n"/>
    </row>
    <row r="1667">
      <c r="A1667" s="166" t="n"/>
      <c r="B1667" s="63" t="n"/>
      <c r="C1667" s="64" t="n"/>
      <c r="D1667" s="167" t="n"/>
      <c r="E1667" s="63" t="n"/>
      <c r="F1667" s="63" t="n"/>
    </row>
    <row r="1668">
      <c r="A1668" s="166" t="n"/>
      <c r="B1668" s="63" t="n"/>
      <c r="C1668" s="64" t="n"/>
      <c r="D1668" s="167" t="n"/>
      <c r="E1668" s="63" t="n"/>
      <c r="F1668" s="63" t="n"/>
    </row>
    <row r="1669">
      <c r="A1669" s="166" t="n"/>
      <c r="B1669" s="63" t="n"/>
      <c r="C1669" s="64" t="n"/>
      <c r="D1669" s="167" t="n"/>
      <c r="E1669" s="63" t="n"/>
      <c r="F1669" s="63" t="n"/>
    </row>
    <row r="1670">
      <c r="A1670" s="166" t="n"/>
      <c r="B1670" s="63" t="n"/>
      <c r="C1670" s="64" t="n"/>
      <c r="D1670" s="167" t="n"/>
      <c r="E1670" s="63" t="n"/>
      <c r="F1670" s="63" t="n"/>
    </row>
    <row r="1671">
      <c r="A1671" s="166" t="n"/>
      <c r="B1671" s="63" t="n"/>
      <c r="C1671" s="64" t="n"/>
      <c r="D1671" s="167" t="n"/>
      <c r="E1671" s="63" t="n"/>
      <c r="F1671" s="63" t="n"/>
    </row>
    <row r="1672">
      <c r="A1672" s="166" t="n"/>
      <c r="B1672" s="63" t="n"/>
      <c r="C1672" s="64" t="n"/>
      <c r="D1672" s="167" t="n"/>
      <c r="E1672" s="63" t="n"/>
      <c r="F1672" s="63" t="n"/>
    </row>
    <row r="1673">
      <c r="A1673" s="166" t="n"/>
      <c r="B1673" s="63" t="n"/>
      <c r="C1673" s="64" t="n"/>
      <c r="D1673" s="167" t="n"/>
      <c r="E1673" s="63" t="n"/>
      <c r="F1673" s="63" t="n"/>
    </row>
    <row r="1674">
      <c r="A1674" s="166" t="n"/>
      <c r="B1674" s="63" t="n"/>
      <c r="C1674" s="64" t="n"/>
      <c r="D1674" s="167" t="n"/>
      <c r="E1674" s="63" t="n"/>
      <c r="F1674" s="63" t="n"/>
    </row>
    <row r="1675">
      <c r="A1675" s="166" t="n"/>
      <c r="B1675" s="63" t="n"/>
      <c r="C1675" s="64" t="n"/>
      <c r="D1675" s="167" t="n"/>
      <c r="E1675" s="63" t="n"/>
      <c r="F1675" s="63" t="n"/>
    </row>
    <row r="1676">
      <c r="A1676" s="166" t="n"/>
      <c r="B1676" s="63" t="n"/>
      <c r="C1676" s="64" t="n"/>
      <c r="D1676" s="167" t="n"/>
      <c r="E1676" s="63" t="n"/>
      <c r="F1676" s="63" t="n"/>
    </row>
    <row r="1677">
      <c r="A1677" s="166" t="n"/>
      <c r="B1677" s="63" t="n"/>
      <c r="C1677" s="64" t="n"/>
      <c r="D1677" s="167" t="n"/>
      <c r="E1677" s="63" t="n"/>
      <c r="F1677" s="63" t="n"/>
    </row>
    <row r="1678">
      <c r="A1678" s="166" t="n"/>
      <c r="B1678" s="63" t="n"/>
      <c r="C1678" s="64" t="n"/>
      <c r="D1678" s="167" t="n"/>
      <c r="E1678" s="63" t="n"/>
      <c r="F1678" s="63" t="n"/>
    </row>
    <row r="1679">
      <c r="A1679" s="166" t="n"/>
      <c r="B1679" s="63" t="n"/>
      <c r="C1679" s="64" t="n"/>
      <c r="D1679" s="167" t="n"/>
      <c r="E1679" s="63" t="n"/>
      <c r="F1679" s="63" t="n"/>
    </row>
    <row r="1680">
      <c r="A1680" s="166" t="n"/>
      <c r="B1680" s="63" t="n"/>
      <c r="C1680" s="64" t="n"/>
      <c r="D1680" s="167" t="n"/>
      <c r="E1680" s="63" t="n"/>
      <c r="F1680" s="63" t="n"/>
    </row>
    <row r="1681">
      <c r="A1681" s="166" t="n"/>
      <c r="B1681" s="63" t="n"/>
      <c r="C1681" s="64" t="n"/>
      <c r="D1681" s="167" t="n"/>
      <c r="E1681" s="63" t="n"/>
      <c r="F1681" s="63" t="n"/>
    </row>
    <row r="1682">
      <c r="A1682" s="166" t="n"/>
      <c r="B1682" s="63" t="n"/>
      <c r="C1682" s="64" t="n"/>
      <c r="D1682" s="167" t="n"/>
      <c r="E1682" s="63" t="n"/>
      <c r="F1682" s="63" t="n"/>
    </row>
    <row r="1683">
      <c r="A1683" s="166" t="n"/>
      <c r="B1683" s="63" t="n"/>
      <c r="C1683" s="64" t="n"/>
      <c r="D1683" s="167" t="n"/>
      <c r="E1683" s="63" t="n"/>
      <c r="F1683" s="63" t="n"/>
    </row>
    <row r="1684">
      <c r="A1684" s="166" t="n"/>
      <c r="B1684" s="63" t="n"/>
      <c r="C1684" s="64" t="n"/>
      <c r="D1684" s="167" t="n"/>
      <c r="E1684" s="63" t="n"/>
      <c r="F1684" s="63" t="n"/>
    </row>
    <row r="1685">
      <c r="A1685" s="166" t="n"/>
      <c r="B1685" s="63" t="n"/>
      <c r="C1685" s="64" t="n"/>
      <c r="D1685" s="167" t="n"/>
      <c r="E1685" s="63" t="n"/>
      <c r="F1685" s="63" t="n"/>
    </row>
    <row r="1686">
      <c r="A1686" s="166" t="n"/>
      <c r="B1686" s="63" t="n"/>
      <c r="C1686" s="64" t="n"/>
      <c r="D1686" s="167" t="n"/>
      <c r="E1686" s="63" t="n"/>
      <c r="F1686" s="63" t="n"/>
    </row>
    <row r="1687">
      <c r="A1687" s="166" t="n"/>
      <c r="B1687" s="63" t="n"/>
      <c r="C1687" s="64" t="n"/>
      <c r="D1687" s="167" t="n"/>
      <c r="E1687" s="63" t="n"/>
      <c r="F1687" s="63" t="n"/>
    </row>
    <row r="1688">
      <c r="A1688" s="166" t="n"/>
      <c r="B1688" s="63" t="n"/>
      <c r="C1688" s="64" t="n"/>
      <c r="D1688" s="167" t="n"/>
      <c r="E1688" s="63" t="n"/>
      <c r="F1688" s="63" t="n"/>
    </row>
    <row r="1689">
      <c r="A1689" s="166" t="n"/>
      <c r="B1689" s="63" t="n"/>
      <c r="C1689" s="64" t="n"/>
      <c r="D1689" s="167" t="n"/>
      <c r="E1689" s="63" t="n"/>
      <c r="F1689" s="63" t="n"/>
    </row>
    <row r="1690">
      <c r="A1690" s="166" t="n"/>
      <c r="B1690" s="63" t="n"/>
      <c r="C1690" s="64" t="n"/>
      <c r="D1690" s="167" t="n"/>
      <c r="E1690" s="63" t="n"/>
      <c r="F1690" s="63" t="n"/>
    </row>
    <row r="1691">
      <c r="A1691" s="166" t="n"/>
      <c r="B1691" s="63" t="n"/>
      <c r="C1691" s="64" t="n"/>
      <c r="D1691" s="167" t="n"/>
      <c r="E1691" s="63" t="n"/>
      <c r="F1691" s="63" t="n"/>
    </row>
    <row r="1692">
      <c r="A1692" s="166" t="n"/>
      <c r="B1692" s="63" t="n"/>
      <c r="C1692" s="64" t="n"/>
      <c r="D1692" s="167" t="n"/>
      <c r="E1692" s="63" t="n"/>
      <c r="F1692" s="63" t="n"/>
    </row>
    <row r="1693">
      <c r="A1693" s="166" t="n"/>
      <c r="B1693" s="63" t="n"/>
      <c r="C1693" s="64" t="n"/>
      <c r="D1693" s="167" t="n"/>
      <c r="E1693" s="63" t="n"/>
      <c r="F1693" s="63" t="n"/>
    </row>
    <row r="1694">
      <c r="A1694" s="166" t="n"/>
      <c r="B1694" s="63" t="n"/>
      <c r="C1694" s="64" t="n"/>
      <c r="D1694" s="167" t="n"/>
      <c r="E1694" s="63" t="n"/>
      <c r="F1694" s="63" t="n"/>
    </row>
    <row r="1695">
      <c r="A1695" s="166" t="n"/>
      <c r="B1695" s="63" t="n"/>
      <c r="C1695" s="64" t="n"/>
      <c r="D1695" s="167" t="n"/>
      <c r="E1695" s="63" t="n"/>
      <c r="F1695" s="63" t="n"/>
    </row>
    <row r="1696">
      <c r="A1696" s="166" t="n"/>
      <c r="B1696" s="63" t="n"/>
      <c r="C1696" s="64" t="n"/>
      <c r="D1696" s="167" t="n"/>
      <c r="E1696" s="63" t="n"/>
      <c r="F1696" s="63" t="n"/>
    </row>
    <row r="1697">
      <c r="A1697" s="166" t="n"/>
      <c r="B1697" s="63" t="n"/>
      <c r="C1697" s="64" t="n"/>
      <c r="D1697" s="167" t="n"/>
      <c r="E1697" s="63" t="n"/>
      <c r="F1697" s="63" t="n"/>
    </row>
    <row r="1698">
      <c r="A1698" s="166" t="n"/>
      <c r="B1698" s="63" t="n"/>
      <c r="C1698" s="64" t="n"/>
      <c r="D1698" s="167" t="n"/>
      <c r="E1698" s="63" t="n"/>
      <c r="F1698" s="63" t="n"/>
    </row>
    <row r="1699">
      <c r="A1699" s="166" t="n"/>
      <c r="B1699" s="63" t="n"/>
      <c r="C1699" s="64" t="n"/>
      <c r="D1699" s="167" t="n"/>
      <c r="E1699" s="63" t="n"/>
      <c r="F1699" s="63" t="n"/>
    </row>
    <row r="1700">
      <c r="A1700" s="166" t="n"/>
      <c r="B1700" s="63" t="n"/>
      <c r="C1700" s="64" t="n"/>
      <c r="D1700" s="167" t="n"/>
      <c r="E1700" s="63" t="n"/>
      <c r="F1700" s="63" t="n"/>
    </row>
    <row r="1701">
      <c r="A1701" s="166" t="n"/>
      <c r="B1701" s="63" t="n"/>
      <c r="C1701" s="64" t="n"/>
      <c r="D1701" s="167" t="n"/>
      <c r="E1701" s="63" t="n"/>
      <c r="F1701" s="63" t="n"/>
    </row>
    <row r="1702">
      <c r="A1702" s="166" t="n"/>
      <c r="B1702" s="63" t="n"/>
      <c r="C1702" s="64" t="n"/>
      <c r="D1702" s="167" t="n"/>
      <c r="E1702" s="63" t="n"/>
      <c r="F1702" s="63" t="n"/>
    </row>
    <row r="1703">
      <c r="A1703" s="166" t="n"/>
      <c r="B1703" s="63" t="n"/>
      <c r="C1703" s="64" t="n"/>
      <c r="D1703" s="167" t="n"/>
      <c r="E1703" s="63" t="n"/>
      <c r="F1703" s="63" t="n"/>
    </row>
    <row r="1704">
      <c r="A1704" s="166" t="n"/>
      <c r="B1704" s="63" t="n"/>
      <c r="C1704" s="64" t="n"/>
      <c r="D1704" s="167" t="n"/>
      <c r="E1704" s="63" t="n"/>
      <c r="F1704" s="63" t="n"/>
    </row>
    <row r="1705">
      <c r="A1705" s="166" t="n"/>
      <c r="B1705" s="63" t="n"/>
      <c r="C1705" s="64" t="n"/>
      <c r="D1705" s="167" t="n"/>
      <c r="E1705" s="63" t="n"/>
      <c r="F1705" s="63" t="n"/>
    </row>
    <row r="1706">
      <c r="A1706" s="166" t="n"/>
      <c r="B1706" s="63" t="n"/>
      <c r="C1706" s="64" t="n"/>
      <c r="D1706" s="167" t="n"/>
      <c r="E1706" s="63" t="n"/>
      <c r="F1706" s="63" t="n"/>
    </row>
    <row r="1707">
      <c r="A1707" s="166" t="n"/>
      <c r="B1707" s="63" t="n"/>
      <c r="C1707" s="64" t="n"/>
      <c r="D1707" s="167" t="n"/>
      <c r="E1707" s="63" t="n"/>
      <c r="F1707" s="63" t="n"/>
    </row>
    <row r="1708">
      <c r="A1708" s="166" t="n"/>
      <c r="B1708" s="63" t="n"/>
      <c r="C1708" s="64" t="n"/>
      <c r="D1708" s="167" t="n"/>
      <c r="E1708" s="63" t="n"/>
      <c r="F1708" s="63" t="n"/>
    </row>
    <row r="1709">
      <c r="A1709" s="166" t="n"/>
      <c r="B1709" s="63" t="n"/>
      <c r="C1709" s="64" t="n"/>
      <c r="D1709" s="167" t="n"/>
      <c r="E1709" s="63" t="n"/>
      <c r="F1709" s="63" t="n"/>
    </row>
    <row r="1710">
      <c r="A1710" s="166" t="n"/>
      <c r="B1710" s="63" t="n"/>
      <c r="C1710" s="64" t="n"/>
      <c r="D1710" s="167" t="n"/>
      <c r="E1710" s="63" t="n"/>
      <c r="F1710" s="63" t="n"/>
    </row>
    <row r="1711">
      <c r="A1711" s="166" t="n"/>
      <c r="B1711" s="63" t="n"/>
      <c r="C1711" s="64" t="n"/>
      <c r="D1711" s="167" t="n"/>
      <c r="E1711" s="63" t="n"/>
      <c r="F1711" s="63" t="n"/>
    </row>
    <row r="1712">
      <c r="A1712" s="166" t="n"/>
      <c r="B1712" s="63" t="n"/>
      <c r="C1712" s="64" t="n"/>
      <c r="D1712" s="167" t="n"/>
      <c r="E1712" s="63" t="n"/>
      <c r="F1712" s="63" t="n"/>
    </row>
    <row r="1713">
      <c r="A1713" s="166" t="n"/>
      <c r="B1713" s="63" t="n"/>
      <c r="C1713" s="64" t="n"/>
      <c r="D1713" s="167" t="n"/>
      <c r="E1713" s="63" t="n"/>
      <c r="F1713" s="63" t="n"/>
    </row>
    <row r="1714">
      <c r="A1714" s="166" t="n"/>
      <c r="B1714" s="63" t="n"/>
      <c r="C1714" s="64" t="n"/>
      <c r="D1714" s="167" t="n"/>
      <c r="E1714" s="63" t="n"/>
      <c r="F1714" s="63" t="n"/>
    </row>
    <row r="1715">
      <c r="A1715" s="166" t="n"/>
      <c r="B1715" s="63" t="n"/>
      <c r="C1715" s="64" t="n"/>
      <c r="D1715" s="167" t="n"/>
      <c r="E1715" s="63" t="n"/>
      <c r="F1715" s="63" t="n"/>
    </row>
    <row r="1716">
      <c r="A1716" s="166" t="n"/>
      <c r="B1716" s="63" t="n"/>
      <c r="C1716" s="64" t="n"/>
      <c r="D1716" s="167" t="n"/>
      <c r="E1716" s="63" t="n"/>
      <c r="F1716" s="63" t="n"/>
    </row>
    <row r="1717">
      <c r="A1717" s="166" t="n"/>
      <c r="B1717" s="63" t="n"/>
      <c r="C1717" s="64" t="n"/>
      <c r="D1717" s="167" t="n"/>
      <c r="E1717" s="63" t="n"/>
      <c r="F1717" s="63" t="n"/>
    </row>
    <row r="1718">
      <c r="A1718" s="166" t="n"/>
      <c r="B1718" s="63" t="n"/>
      <c r="C1718" s="64" t="n"/>
      <c r="D1718" s="167" t="n"/>
      <c r="E1718" s="63" t="n"/>
      <c r="F1718" s="63" t="n"/>
    </row>
    <row r="1719">
      <c r="A1719" s="166" t="n"/>
      <c r="B1719" s="63" t="n"/>
      <c r="C1719" s="64" t="n"/>
      <c r="D1719" s="167" t="n"/>
      <c r="E1719" s="63" t="n"/>
      <c r="F1719" s="63" t="n"/>
    </row>
    <row r="1720">
      <c r="A1720" s="166" t="n"/>
      <c r="B1720" s="63" t="n"/>
      <c r="C1720" s="64" t="n"/>
      <c r="D1720" s="167" t="n"/>
      <c r="E1720" s="63" t="n"/>
      <c r="F1720" s="63" t="n"/>
    </row>
    <row r="1721">
      <c r="A1721" s="166" t="n"/>
      <c r="B1721" s="63" t="n"/>
      <c r="C1721" s="64" t="n"/>
      <c r="D1721" s="167" t="n"/>
      <c r="E1721" s="63" t="n"/>
      <c r="F1721" s="63" t="n"/>
    </row>
    <row r="1722">
      <c r="A1722" s="166" t="n"/>
      <c r="B1722" s="63" t="n"/>
      <c r="C1722" s="64" t="n"/>
      <c r="D1722" s="167" t="n"/>
      <c r="E1722" s="63" t="n"/>
      <c r="F1722" s="63" t="n"/>
    </row>
    <row r="1723">
      <c r="A1723" s="166" t="n"/>
      <c r="B1723" s="63" t="n"/>
      <c r="C1723" s="64" t="n"/>
      <c r="D1723" s="167" t="n"/>
      <c r="E1723" s="63" t="n"/>
      <c r="F1723" s="63" t="n"/>
    </row>
    <row r="1724">
      <c r="A1724" s="166" t="n"/>
      <c r="B1724" s="63" t="n"/>
      <c r="C1724" s="64" t="n"/>
      <c r="D1724" s="167" t="n"/>
      <c r="E1724" s="63" t="n"/>
      <c r="F1724" s="63" t="n"/>
    </row>
    <row r="1725">
      <c r="A1725" s="166" t="n"/>
      <c r="B1725" s="63" t="n"/>
      <c r="C1725" s="64" t="n"/>
      <c r="D1725" s="167" t="n"/>
      <c r="E1725" s="63" t="n"/>
      <c r="F1725" s="63" t="n"/>
    </row>
    <row r="1726">
      <c r="A1726" s="166" t="n"/>
      <c r="B1726" s="63" t="n"/>
      <c r="C1726" s="64" t="n"/>
      <c r="D1726" s="167" t="n"/>
      <c r="E1726" s="63" t="n"/>
      <c r="F1726" s="63" t="n"/>
    </row>
    <row r="1727">
      <c r="A1727" s="166" t="n"/>
      <c r="B1727" s="63" t="n"/>
      <c r="C1727" s="64" t="n"/>
      <c r="D1727" s="167" t="n"/>
      <c r="E1727" s="63" t="n"/>
      <c r="F1727" s="63" t="n"/>
    </row>
    <row r="1728">
      <c r="A1728" s="166" t="n"/>
      <c r="B1728" s="63" t="n"/>
      <c r="C1728" s="64" t="n"/>
      <c r="D1728" s="167" t="n"/>
      <c r="E1728" s="63" t="n"/>
      <c r="F1728" s="63" t="n"/>
    </row>
    <row r="1729">
      <c r="A1729" s="166" t="n"/>
      <c r="B1729" s="63" t="n"/>
      <c r="C1729" s="64" t="n"/>
      <c r="D1729" s="167" t="n"/>
      <c r="E1729" s="63" t="n"/>
      <c r="F1729" s="63" t="n"/>
    </row>
    <row r="1730">
      <c r="A1730" s="166" t="n"/>
      <c r="B1730" s="63" t="n"/>
      <c r="C1730" s="64" t="n"/>
      <c r="D1730" s="167" t="n"/>
      <c r="E1730" s="63" t="n"/>
      <c r="F1730" s="63" t="n"/>
    </row>
    <row r="1731">
      <c r="A1731" s="166" t="n"/>
      <c r="B1731" s="63" t="n"/>
      <c r="C1731" s="64" t="n"/>
      <c r="D1731" s="167" t="n"/>
      <c r="E1731" s="63" t="n"/>
      <c r="F1731" s="63" t="n"/>
    </row>
    <row r="1732">
      <c r="A1732" s="166" t="n"/>
      <c r="B1732" s="63" t="n"/>
      <c r="C1732" s="64" t="n"/>
      <c r="D1732" s="167" t="n"/>
      <c r="E1732" s="63" t="n"/>
      <c r="F1732" s="63" t="n"/>
    </row>
    <row r="1733">
      <c r="A1733" s="166" t="n"/>
      <c r="B1733" s="63" t="n"/>
      <c r="C1733" s="64" t="n"/>
      <c r="D1733" s="167" t="n"/>
      <c r="E1733" s="63" t="n"/>
      <c r="F1733" s="63" t="n"/>
    </row>
    <row r="1734">
      <c r="A1734" s="166" t="n"/>
      <c r="B1734" s="63" t="n"/>
      <c r="C1734" s="64" t="n"/>
      <c r="D1734" s="167" t="n"/>
      <c r="E1734" s="63" t="n"/>
      <c r="F1734" s="63" t="n"/>
    </row>
    <row r="1735">
      <c r="A1735" s="166" t="n"/>
      <c r="B1735" s="63" t="n"/>
      <c r="C1735" s="64" t="n"/>
      <c r="D1735" s="167" t="n"/>
      <c r="E1735" s="63" t="n"/>
      <c r="F1735" s="63" t="n"/>
    </row>
    <row r="1736">
      <c r="A1736" s="166" t="n"/>
      <c r="B1736" s="63" t="n"/>
      <c r="C1736" s="64" t="n"/>
      <c r="D1736" s="167" t="n"/>
      <c r="E1736" s="63" t="n"/>
      <c r="F1736" s="63" t="n"/>
    </row>
    <row r="1737">
      <c r="A1737" s="166" t="n"/>
      <c r="B1737" s="63" t="n"/>
      <c r="C1737" s="64" t="n"/>
      <c r="D1737" s="167" t="n"/>
      <c r="E1737" s="63" t="n"/>
      <c r="F1737" s="63" t="n"/>
    </row>
    <row r="1738">
      <c r="A1738" s="166" t="n"/>
      <c r="B1738" s="63" t="n"/>
      <c r="C1738" s="64" t="n"/>
      <c r="D1738" s="167" t="n"/>
      <c r="E1738" s="63" t="n"/>
      <c r="F1738" s="63" t="n"/>
    </row>
    <row r="1739">
      <c r="A1739" s="166" t="n"/>
      <c r="B1739" s="63" t="n"/>
      <c r="C1739" s="64" t="n"/>
      <c r="D1739" s="167" t="n"/>
      <c r="E1739" s="63" t="n"/>
      <c r="F1739" s="63" t="n"/>
    </row>
    <row r="1740">
      <c r="A1740" s="166" t="n"/>
      <c r="B1740" s="63" t="n"/>
      <c r="C1740" s="64" t="n"/>
      <c r="D1740" s="167" t="n"/>
      <c r="E1740" s="63" t="n"/>
      <c r="F1740" s="63" t="n"/>
    </row>
    <row r="1741">
      <c r="A1741" s="166" t="n"/>
      <c r="B1741" s="63" t="n"/>
      <c r="C1741" s="64" t="n"/>
      <c r="D1741" s="167" t="n"/>
      <c r="E1741" s="63" t="n"/>
      <c r="F1741" s="63" t="n"/>
    </row>
    <row r="1742">
      <c r="A1742" s="166" t="n"/>
      <c r="B1742" s="63" t="n"/>
      <c r="C1742" s="64" t="n"/>
      <c r="D1742" s="167" t="n"/>
      <c r="E1742" s="63" t="n"/>
      <c r="F1742" s="63" t="n"/>
    </row>
    <row r="1743">
      <c r="A1743" s="166" t="n"/>
      <c r="B1743" s="63" t="n"/>
      <c r="C1743" s="64" t="n"/>
      <c r="D1743" s="167" t="n"/>
      <c r="E1743" s="63" t="n"/>
      <c r="F1743" s="63" t="n"/>
    </row>
    <row r="1744">
      <c r="A1744" s="166" t="n"/>
      <c r="B1744" s="63" t="n"/>
      <c r="C1744" s="64" t="n"/>
      <c r="D1744" s="167" t="n"/>
      <c r="E1744" s="63" t="n"/>
      <c r="F1744" s="63" t="n"/>
    </row>
    <row r="1745">
      <c r="A1745" s="166" t="n"/>
      <c r="B1745" s="63" t="n"/>
      <c r="C1745" s="64" t="n"/>
      <c r="D1745" s="167" t="n"/>
      <c r="E1745" s="63" t="n"/>
      <c r="F1745" s="63" t="n"/>
    </row>
    <row r="1746">
      <c r="A1746" s="166" t="n"/>
      <c r="B1746" s="63" t="n"/>
      <c r="C1746" s="64" t="n"/>
      <c r="D1746" s="167" t="n"/>
      <c r="E1746" s="63" t="n"/>
      <c r="F1746" s="63" t="n"/>
    </row>
    <row r="1747">
      <c r="A1747" s="166" t="n"/>
      <c r="B1747" s="63" t="n"/>
      <c r="C1747" s="64" t="n"/>
      <c r="D1747" s="167" t="n"/>
      <c r="E1747" s="63" t="n"/>
      <c r="F1747" s="63" t="n"/>
    </row>
    <row r="1748">
      <c r="A1748" s="166" t="n"/>
      <c r="B1748" s="63" t="n"/>
      <c r="C1748" s="64" t="n"/>
      <c r="D1748" s="167" t="n"/>
      <c r="E1748" s="63" t="n"/>
      <c r="F1748" s="63" t="n"/>
    </row>
    <row r="1749">
      <c r="A1749" s="166" t="n"/>
      <c r="B1749" s="63" t="n"/>
      <c r="C1749" s="64" t="n"/>
      <c r="D1749" s="167" t="n"/>
      <c r="E1749" s="63" t="n"/>
      <c r="F1749" s="63" t="n"/>
    </row>
    <row r="1750">
      <c r="A1750" s="166" t="n"/>
      <c r="B1750" s="63" t="n"/>
      <c r="C1750" s="64" t="n"/>
      <c r="D1750" s="167" t="n"/>
      <c r="E1750" s="63" t="n"/>
      <c r="F1750" s="63" t="n"/>
    </row>
    <row r="1751">
      <c r="A1751" s="166" t="n"/>
      <c r="B1751" s="63" t="n"/>
      <c r="C1751" s="64" t="n"/>
      <c r="D1751" s="167" t="n"/>
      <c r="E1751" s="63" t="n"/>
      <c r="F1751" s="63" t="n"/>
    </row>
    <row r="1752">
      <c r="A1752" s="166" t="n"/>
      <c r="B1752" s="63" t="n"/>
      <c r="C1752" s="64" t="n"/>
      <c r="D1752" s="167" t="n"/>
      <c r="E1752" s="63" t="n"/>
      <c r="F1752" s="63" t="n"/>
    </row>
    <row r="1753">
      <c r="A1753" s="166" t="n"/>
      <c r="B1753" s="63" t="n"/>
      <c r="C1753" s="64" t="n"/>
      <c r="D1753" s="167" t="n"/>
      <c r="E1753" s="63" t="n"/>
      <c r="F1753" s="63" t="n"/>
    </row>
    <row r="1754">
      <c r="A1754" s="166" t="n"/>
      <c r="B1754" s="63" t="n"/>
      <c r="C1754" s="64" t="n"/>
      <c r="D1754" s="167" t="n"/>
      <c r="E1754" s="63" t="n"/>
      <c r="F1754" s="63" t="n"/>
    </row>
    <row r="1755">
      <c r="A1755" s="166" t="n"/>
      <c r="B1755" s="63" t="n"/>
      <c r="C1755" s="64" t="n"/>
      <c r="D1755" s="167" t="n"/>
      <c r="E1755" s="63" t="n"/>
      <c r="F1755" s="63" t="n"/>
    </row>
    <row r="1756">
      <c r="A1756" s="166" t="n"/>
      <c r="B1756" s="63" t="n"/>
      <c r="C1756" s="64" t="n"/>
      <c r="D1756" s="167" t="n"/>
      <c r="E1756" s="63" t="n"/>
      <c r="F1756" s="63" t="n"/>
    </row>
    <row r="1757">
      <c r="A1757" s="166" t="n"/>
      <c r="B1757" s="63" t="n"/>
      <c r="C1757" s="64" t="n"/>
      <c r="D1757" s="167" t="n"/>
      <c r="E1757" s="63" t="n"/>
      <c r="F1757" s="63" t="n"/>
    </row>
    <row r="1758">
      <c r="A1758" s="166" t="n"/>
      <c r="B1758" s="63" t="n"/>
      <c r="C1758" s="64" t="n"/>
      <c r="D1758" s="167" t="n"/>
      <c r="E1758" s="63" t="n"/>
      <c r="F1758" s="63" t="n"/>
    </row>
    <row r="1759">
      <c r="A1759" s="166" t="n"/>
      <c r="B1759" s="63" t="n"/>
      <c r="C1759" s="64" t="n"/>
      <c r="D1759" s="167" t="n"/>
      <c r="E1759" s="63" t="n"/>
      <c r="F1759" s="63" t="n"/>
    </row>
    <row r="1760">
      <c r="A1760" s="166" t="n"/>
      <c r="B1760" s="63" t="n"/>
      <c r="C1760" s="64" t="n"/>
      <c r="D1760" s="167" t="n"/>
      <c r="E1760" s="63" t="n"/>
      <c r="F1760" s="63" t="n"/>
    </row>
    <row r="1761">
      <c r="A1761" s="166" t="n"/>
      <c r="B1761" s="63" t="n"/>
      <c r="C1761" s="64" t="n"/>
      <c r="D1761" s="167" t="n"/>
      <c r="E1761" s="63" t="n"/>
      <c r="F1761" s="63" t="n"/>
    </row>
    <row r="1762">
      <c r="A1762" s="166" t="n"/>
      <c r="B1762" s="63" t="n"/>
      <c r="C1762" s="64" t="n"/>
      <c r="D1762" s="167" t="n"/>
      <c r="E1762" s="63" t="n"/>
      <c r="F1762" s="63" t="n"/>
    </row>
    <row r="1763">
      <c r="A1763" s="166" t="n"/>
      <c r="B1763" s="63" t="n"/>
      <c r="C1763" s="64" t="n"/>
      <c r="D1763" s="167" t="n"/>
      <c r="E1763" s="63" t="n"/>
      <c r="F1763" s="63" t="n"/>
    </row>
    <row r="1764">
      <c r="A1764" s="166" t="n"/>
      <c r="B1764" s="63" t="n"/>
      <c r="C1764" s="64" t="n"/>
      <c r="D1764" s="167" t="n"/>
      <c r="E1764" s="63" t="n"/>
      <c r="F1764" s="63" t="n"/>
    </row>
    <row r="1765">
      <c r="A1765" s="166" t="n"/>
      <c r="B1765" s="63" t="n"/>
      <c r="C1765" s="64" t="n"/>
      <c r="D1765" s="167" t="n"/>
      <c r="E1765" s="63" t="n"/>
      <c r="F1765" s="63" t="n"/>
    </row>
    <row r="1766">
      <c r="A1766" s="166" t="n"/>
      <c r="B1766" s="63" t="n"/>
      <c r="C1766" s="64" t="n"/>
      <c r="D1766" s="167" t="n"/>
      <c r="E1766" s="63" t="n"/>
      <c r="F1766" s="63" t="n"/>
    </row>
    <row r="1767">
      <c r="A1767" s="166" t="n"/>
      <c r="B1767" s="63" t="n"/>
      <c r="C1767" s="64" t="n"/>
      <c r="D1767" s="167" t="n"/>
      <c r="E1767" s="63" t="n"/>
      <c r="F1767" s="63" t="n"/>
    </row>
    <row r="1768">
      <c r="A1768" s="166" t="n"/>
      <c r="B1768" s="63" t="n"/>
      <c r="C1768" s="64" t="n"/>
      <c r="D1768" s="167" t="n"/>
      <c r="E1768" s="63" t="n"/>
      <c r="F1768" s="63" t="n"/>
    </row>
    <row r="1769">
      <c r="A1769" s="166" t="n"/>
      <c r="B1769" s="63" t="n"/>
      <c r="C1769" s="64" t="n"/>
      <c r="D1769" s="167" t="n"/>
      <c r="E1769" s="63" t="n"/>
      <c r="F1769" s="63" t="n"/>
    </row>
    <row r="1770">
      <c r="A1770" s="166" t="n"/>
      <c r="B1770" s="63" t="n"/>
      <c r="C1770" s="64" t="n"/>
      <c r="D1770" s="167" t="n"/>
      <c r="E1770" s="63" t="n"/>
      <c r="F1770" s="63" t="n"/>
    </row>
    <row r="1771">
      <c r="A1771" s="166" t="n"/>
      <c r="B1771" s="63" t="n"/>
      <c r="C1771" s="64" t="n"/>
      <c r="D1771" s="167" t="n"/>
      <c r="E1771" s="63" t="n"/>
      <c r="F1771" s="63" t="n"/>
    </row>
    <row r="1772">
      <c r="A1772" s="166" t="n"/>
      <c r="B1772" s="63" t="n"/>
      <c r="C1772" s="64" t="n"/>
      <c r="D1772" s="167" t="n"/>
      <c r="E1772" s="63" t="n"/>
      <c r="F1772" s="63" t="n"/>
    </row>
    <row r="1773">
      <c r="A1773" s="166" t="n"/>
      <c r="B1773" s="63" t="n"/>
      <c r="C1773" s="64" t="n"/>
      <c r="D1773" s="167" t="n"/>
      <c r="E1773" s="63" t="n"/>
      <c r="F1773" s="63" t="n"/>
    </row>
    <row r="1774">
      <c r="A1774" s="166" t="n"/>
      <c r="B1774" s="63" t="n"/>
      <c r="C1774" s="64" t="n"/>
      <c r="D1774" s="167" t="n"/>
      <c r="E1774" s="63" t="n"/>
      <c r="F1774" s="63" t="n"/>
    </row>
    <row r="1775">
      <c r="A1775" s="166" t="n"/>
      <c r="B1775" s="63" t="n"/>
      <c r="C1775" s="64" t="n"/>
      <c r="D1775" s="167" t="n"/>
      <c r="E1775" s="63" t="n"/>
      <c r="F1775" s="63" t="n"/>
    </row>
    <row r="1776">
      <c r="A1776" s="166" t="n"/>
      <c r="B1776" s="63" t="n"/>
      <c r="C1776" s="64" t="n"/>
      <c r="D1776" s="167" t="n"/>
      <c r="E1776" s="63" t="n"/>
      <c r="F1776" s="63" t="n"/>
    </row>
    <row r="1777">
      <c r="A1777" s="166" t="n"/>
      <c r="B1777" s="63" t="n"/>
      <c r="C1777" s="64" t="n"/>
      <c r="D1777" s="167" t="n"/>
      <c r="E1777" s="63" t="n"/>
      <c r="F1777" s="63" t="n"/>
    </row>
    <row r="1778">
      <c r="A1778" s="166" t="n"/>
      <c r="B1778" s="63" t="n"/>
      <c r="C1778" s="64" t="n"/>
      <c r="D1778" s="167" t="n"/>
      <c r="E1778" s="63" t="n"/>
      <c r="F1778" s="63" t="n"/>
    </row>
    <row r="1779">
      <c r="A1779" s="166" t="n"/>
      <c r="B1779" s="63" t="n"/>
      <c r="C1779" s="64" t="n"/>
      <c r="D1779" s="167" t="n"/>
      <c r="E1779" s="63" t="n"/>
      <c r="F1779" s="63" t="n"/>
    </row>
    <row r="1780">
      <c r="A1780" s="166" t="n"/>
      <c r="B1780" s="63" t="n"/>
      <c r="C1780" s="64" t="n"/>
      <c r="D1780" s="167" t="n"/>
      <c r="E1780" s="63" t="n"/>
      <c r="F1780" s="63" t="n"/>
    </row>
    <row r="1781">
      <c r="A1781" s="166" t="n"/>
      <c r="B1781" s="63" t="n"/>
      <c r="C1781" s="64" t="n"/>
      <c r="D1781" s="167" t="n"/>
      <c r="E1781" s="63" t="n"/>
      <c r="F1781" s="63" t="n"/>
    </row>
    <row r="1782">
      <c r="A1782" s="166" t="n"/>
      <c r="B1782" s="63" t="n"/>
      <c r="C1782" s="64" t="n"/>
      <c r="D1782" s="167" t="n"/>
      <c r="E1782" s="63" t="n"/>
      <c r="F1782" s="63" t="n"/>
    </row>
    <row r="1783">
      <c r="A1783" s="166" t="n"/>
      <c r="B1783" s="63" t="n"/>
      <c r="C1783" s="64" t="n"/>
      <c r="D1783" s="167" t="n"/>
      <c r="E1783" s="63" t="n"/>
      <c r="F1783" s="63" t="n"/>
    </row>
    <row r="1784">
      <c r="A1784" s="166" t="n"/>
      <c r="B1784" s="63" t="n"/>
      <c r="C1784" s="64" t="n"/>
      <c r="D1784" s="167" t="n"/>
      <c r="E1784" s="63" t="n"/>
      <c r="F1784" s="63" t="n"/>
    </row>
    <row r="1785">
      <c r="A1785" s="166" t="n"/>
      <c r="B1785" s="63" t="n"/>
      <c r="C1785" s="64" t="n"/>
      <c r="D1785" s="167" t="n"/>
      <c r="E1785" s="63" t="n"/>
      <c r="F1785" s="63" t="n"/>
    </row>
    <row r="1786">
      <c r="A1786" s="166" t="n"/>
      <c r="B1786" s="63" t="n"/>
      <c r="C1786" s="64" t="n"/>
      <c r="D1786" s="167" t="n"/>
      <c r="E1786" s="63" t="n"/>
      <c r="F1786" s="63" t="n"/>
    </row>
    <row r="1787">
      <c r="A1787" s="166" t="n"/>
      <c r="B1787" s="63" t="n"/>
      <c r="C1787" s="64" t="n"/>
      <c r="D1787" s="167" t="n"/>
      <c r="E1787" s="63" t="n"/>
      <c r="F1787" s="63" t="n"/>
    </row>
    <row r="1788">
      <c r="A1788" s="166" t="n"/>
      <c r="B1788" s="63" t="n"/>
      <c r="C1788" s="64" t="n"/>
      <c r="D1788" s="167" t="n"/>
      <c r="E1788" s="63" t="n"/>
      <c r="F1788" s="63" t="n"/>
    </row>
    <row r="1789">
      <c r="A1789" s="166" t="n"/>
      <c r="B1789" s="63" t="n"/>
      <c r="C1789" s="64" t="n"/>
      <c r="D1789" s="167" t="n"/>
      <c r="E1789" s="63" t="n"/>
      <c r="F1789" s="63" t="n"/>
    </row>
    <row r="1790">
      <c r="A1790" s="166" t="n"/>
      <c r="B1790" s="63" t="n"/>
      <c r="C1790" s="64" t="n"/>
      <c r="D1790" s="167" t="n"/>
      <c r="E1790" s="63" t="n"/>
      <c r="F1790" s="63" t="n"/>
    </row>
    <row r="1791">
      <c r="A1791" s="166" t="n"/>
      <c r="B1791" s="63" t="n"/>
      <c r="C1791" s="64" t="n"/>
      <c r="D1791" s="167" t="n"/>
      <c r="E1791" s="63" t="n"/>
      <c r="F1791" s="63" t="n"/>
    </row>
    <row r="1792">
      <c r="A1792" s="166" t="n"/>
      <c r="B1792" s="63" t="n"/>
      <c r="C1792" s="64" t="n"/>
      <c r="D1792" s="167" t="n"/>
      <c r="E1792" s="63" t="n"/>
      <c r="F1792" s="63" t="n"/>
    </row>
    <row r="1793">
      <c r="A1793" s="166" t="n"/>
      <c r="B1793" s="63" t="n"/>
      <c r="C1793" s="64" t="n"/>
      <c r="D1793" s="167" t="n"/>
      <c r="E1793" s="63" t="n"/>
      <c r="F1793" s="63" t="n"/>
    </row>
    <row r="1794">
      <c r="A1794" s="166" t="n"/>
      <c r="B1794" s="63" t="n"/>
      <c r="C1794" s="64" t="n"/>
      <c r="D1794" s="167" t="n"/>
      <c r="E1794" s="63" t="n"/>
      <c r="F1794" s="63" t="n"/>
    </row>
    <row r="1795">
      <c r="A1795" s="166" t="n"/>
      <c r="B1795" s="63" t="n"/>
      <c r="C1795" s="64" t="n"/>
      <c r="D1795" s="167" t="n"/>
      <c r="E1795" s="63" t="n"/>
      <c r="F1795" s="63" t="n"/>
    </row>
    <row r="1796">
      <c r="A1796" s="166" t="n"/>
      <c r="B1796" s="63" t="n"/>
      <c r="C1796" s="64" t="n"/>
      <c r="D1796" s="167" t="n"/>
      <c r="E1796" s="63" t="n"/>
      <c r="F1796" s="63" t="n"/>
    </row>
    <row r="1797">
      <c r="A1797" s="166" t="n"/>
      <c r="B1797" s="63" t="n"/>
      <c r="C1797" s="64" t="n"/>
      <c r="D1797" s="167" t="n"/>
      <c r="E1797" s="63" t="n"/>
      <c r="F1797" s="63" t="n"/>
    </row>
    <row r="1798">
      <c r="A1798" s="166" t="n"/>
      <c r="B1798" s="63" t="n"/>
      <c r="C1798" s="64" t="n"/>
      <c r="D1798" s="167" t="n"/>
      <c r="E1798" s="63" t="n"/>
      <c r="F1798" s="63" t="n"/>
    </row>
    <row r="1799">
      <c r="A1799" s="166" t="n"/>
      <c r="B1799" s="63" t="n"/>
      <c r="C1799" s="64" t="n"/>
      <c r="D1799" s="167" t="n"/>
      <c r="E1799" s="63" t="n"/>
      <c r="F1799" s="63" t="n"/>
    </row>
    <row r="1800">
      <c r="A1800" s="166" t="n"/>
      <c r="B1800" s="63" t="n"/>
      <c r="C1800" s="64" t="n"/>
      <c r="D1800" s="167" t="n"/>
      <c r="E1800" s="63" t="n"/>
      <c r="F1800" s="63" t="n"/>
    </row>
    <row r="1801">
      <c r="A1801" s="166" t="n"/>
      <c r="B1801" s="63" t="n"/>
      <c r="C1801" s="64" t="n"/>
      <c r="D1801" s="167" t="n"/>
      <c r="E1801" s="63" t="n"/>
      <c r="F1801" s="63" t="n"/>
    </row>
    <row r="1802">
      <c r="A1802" s="166" t="n"/>
      <c r="B1802" s="63" t="n"/>
      <c r="C1802" s="64" t="n"/>
      <c r="D1802" s="167" t="n"/>
      <c r="E1802" s="63" t="n"/>
      <c r="F1802" s="63" t="n"/>
    </row>
    <row r="1803">
      <c r="A1803" s="166" t="n"/>
      <c r="B1803" s="63" t="n"/>
      <c r="C1803" s="64" t="n"/>
      <c r="D1803" s="167" t="n"/>
      <c r="E1803" s="63" t="n"/>
      <c r="F1803" s="63" t="n"/>
    </row>
    <row r="1804">
      <c r="A1804" s="166" t="n"/>
      <c r="B1804" s="63" t="n"/>
      <c r="C1804" s="64" t="n"/>
      <c r="D1804" s="167" t="n"/>
      <c r="E1804" s="63" t="n"/>
      <c r="F1804" s="63" t="n"/>
    </row>
    <row r="1805">
      <c r="A1805" s="166" t="n"/>
      <c r="B1805" s="63" t="n"/>
      <c r="C1805" s="64" t="n"/>
      <c r="D1805" s="167" t="n"/>
      <c r="E1805" s="63" t="n"/>
      <c r="F1805" s="63" t="n"/>
    </row>
    <row r="1806">
      <c r="A1806" s="166" t="n"/>
      <c r="B1806" s="63" t="n"/>
      <c r="C1806" s="64" t="n"/>
      <c r="D1806" s="167" t="n"/>
      <c r="E1806" s="63" t="n"/>
      <c r="F1806" s="63" t="n"/>
    </row>
    <row r="1807">
      <c r="A1807" s="166" t="n"/>
      <c r="B1807" s="63" t="n"/>
      <c r="C1807" s="64" t="n"/>
      <c r="D1807" s="167" t="n"/>
      <c r="E1807" s="63" t="n"/>
      <c r="F1807" s="63" t="n"/>
    </row>
    <row r="1808">
      <c r="A1808" s="166" t="n"/>
      <c r="B1808" s="63" t="n"/>
      <c r="C1808" s="64" t="n"/>
      <c r="D1808" s="167" t="n"/>
      <c r="E1808" s="63" t="n"/>
      <c r="F1808" s="63" t="n"/>
    </row>
    <row r="1809">
      <c r="A1809" s="166" t="n"/>
      <c r="B1809" s="63" t="n"/>
      <c r="C1809" s="64" t="n"/>
      <c r="D1809" s="167" t="n"/>
      <c r="E1809" s="63" t="n"/>
      <c r="F1809" s="63" t="n"/>
    </row>
    <row r="1810">
      <c r="A1810" s="166" t="n"/>
      <c r="B1810" s="63" t="n"/>
      <c r="C1810" s="64" t="n"/>
      <c r="D1810" s="167" t="n"/>
      <c r="E1810" s="63" t="n"/>
      <c r="F1810" s="63" t="n"/>
    </row>
    <row r="1811">
      <c r="A1811" s="166" t="n"/>
      <c r="B1811" s="63" t="n"/>
      <c r="C1811" s="64" t="n"/>
      <c r="D1811" s="167" t="n"/>
      <c r="E1811" s="63" t="n"/>
      <c r="F1811" s="63" t="n"/>
    </row>
    <row r="1812">
      <c r="A1812" s="166" t="n"/>
      <c r="B1812" s="63" t="n"/>
      <c r="C1812" s="64" t="n"/>
      <c r="D1812" s="167" t="n"/>
      <c r="E1812" s="63" t="n"/>
      <c r="F1812" s="63" t="n"/>
    </row>
    <row r="1813">
      <c r="A1813" s="166" t="n"/>
      <c r="B1813" s="63" t="n"/>
      <c r="C1813" s="64" t="n"/>
      <c r="D1813" s="167" t="n"/>
      <c r="E1813" s="63" t="n"/>
      <c r="F1813" s="63" t="n"/>
    </row>
    <row r="1814">
      <c r="A1814" s="166" t="n"/>
      <c r="B1814" s="63" t="n"/>
      <c r="C1814" s="64" t="n"/>
      <c r="D1814" s="167" t="n"/>
      <c r="E1814" s="63" t="n"/>
      <c r="F1814" s="63" t="n"/>
    </row>
    <row r="1815">
      <c r="A1815" s="166" t="n"/>
      <c r="B1815" s="63" t="n"/>
      <c r="C1815" s="64" t="n"/>
      <c r="D1815" s="167" t="n"/>
      <c r="E1815" s="63" t="n"/>
      <c r="F1815" s="63" t="n"/>
    </row>
    <row r="1816">
      <c r="A1816" s="166" t="n"/>
      <c r="B1816" s="63" t="n"/>
      <c r="C1816" s="64" t="n"/>
      <c r="D1816" s="167" t="n"/>
      <c r="E1816" s="63" t="n"/>
      <c r="F1816" s="63" t="n"/>
    </row>
    <row r="1817">
      <c r="A1817" s="166" t="n"/>
      <c r="B1817" s="63" t="n"/>
      <c r="C1817" s="64" t="n"/>
      <c r="D1817" s="167" t="n"/>
      <c r="E1817" s="63" t="n"/>
      <c r="F1817" s="63" t="n"/>
    </row>
    <row r="1818">
      <c r="A1818" s="166" t="n"/>
      <c r="B1818" s="63" t="n"/>
      <c r="C1818" s="64" t="n"/>
      <c r="D1818" s="167" t="n"/>
      <c r="E1818" s="63" t="n"/>
      <c r="F1818" s="63" t="n"/>
    </row>
    <row r="1819">
      <c r="A1819" s="166" t="n"/>
      <c r="B1819" s="63" t="n"/>
      <c r="C1819" s="64" t="n"/>
      <c r="D1819" s="167" t="n"/>
      <c r="E1819" s="63" t="n"/>
      <c r="F1819" s="63" t="n"/>
    </row>
    <row r="1820">
      <c r="A1820" s="166" t="n"/>
      <c r="B1820" s="63" t="n"/>
      <c r="C1820" s="64" t="n"/>
      <c r="D1820" s="167" t="n"/>
      <c r="E1820" s="63" t="n"/>
      <c r="F1820" s="63" t="n"/>
    </row>
    <row r="1821">
      <c r="A1821" s="166" t="n"/>
      <c r="B1821" s="63" t="n"/>
      <c r="C1821" s="64" t="n"/>
      <c r="D1821" s="167" t="n"/>
      <c r="E1821" s="63" t="n"/>
      <c r="F1821" s="63" t="n"/>
    </row>
    <row r="1822">
      <c r="A1822" s="166" t="n"/>
      <c r="B1822" s="63" t="n"/>
      <c r="C1822" s="64" t="n"/>
      <c r="D1822" s="167" t="n"/>
      <c r="E1822" s="63" t="n"/>
      <c r="F1822" s="63" t="n"/>
    </row>
    <row r="1823">
      <c r="A1823" s="166" t="n"/>
      <c r="B1823" s="63" t="n"/>
      <c r="C1823" s="64" t="n"/>
      <c r="D1823" s="167" t="n"/>
      <c r="E1823" s="63" t="n"/>
      <c r="F1823" s="63" t="n"/>
    </row>
    <row r="1824">
      <c r="A1824" s="166" t="n"/>
      <c r="B1824" s="63" t="n"/>
      <c r="C1824" s="64" t="n"/>
      <c r="D1824" s="167" t="n"/>
      <c r="E1824" s="63" t="n"/>
      <c r="F1824" s="63" t="n"/>
    </row>
    <row r="1825">
      <c r="A1825" s="166" t="n"/>
      <c r="B1825" s="63" t="n"/>
      <c r="C1825" s="64" t="n"/>
      <c r="D1825" s="167" t="n"/>
      <c r="E1825" s="63" t="n"/>
      <c r="F1825" s="63" t="n"/>
    </row>
    <row r="1826">
      <c r="A1826" s="166" t="n"/>
      <c r="B1826" s="63" t="n"/>
      <c r="C1826" s="64" t="n"/>
      <c r="D1826" s="167" t="n"/>
      <c r="E1826" s="63" t="n"/>
      <c r="F1826" s="63" t="n"/>
    </row>
    <row r="1827">
      <c r="A1827" s="166" t="n"/>
      <c r="B1827" s="63" t="n"/>
      <c r="C1827" s="64" t="n"/>
      <c r="D1827" s="167" t="n"/>
      <c r="E1827" s="63" t="n"/>
      <c r="F1827" s="63" t="n"/>
    </row>
    <row r="1828">
      <c r="A1828" s="166" t="n"/>
      <c r="B1828" s="63" t="n"/>
      <c r="C1828" s="64" t="n"/>
      <c r="D1828" s="167" t="n"/>
      <c r="E1828" s="63" t="n"/>
      <c r="F1828" s="63" t="n"/>
    </row>
    <row r="1829">
      <c r="A1829" s="166" t="n"/>
      <c r="B1829" s="63" t="n"/>
      <c r="C1829" s="64" t="n"/>
      <c r="D1829" s="167" t="n"/>
      <c r="E1829" s="63" t="n"/>
      <c r="F1829" s="63" t="n"/>
    </row>
    <row r="1830">
      <c r="A1830" s="166" t="n"/>
      <c r="B1830" s="63" t="n"/>
      <c r="C1830" s="64" t="n"/>
      <c r="D1830" s="167" t="n"/>
      <c r="E1830" s="63" t="n"/>
      <c r="F1830" s="63" t="n"/>
    </row>
    <row r="1831">
      <c r="A1831" s="166" t="n"/>
      <c r="B1831" s="63" t="n"/>
      <c r="C1831" s="64" t="n"/>
      <c r="D1831" s="167" t="n"/>
      <c r="E1831" s="63" t="n"/>
      <c r="F1831" s="63" t="n"/>
    </row>
    <row r="1832">
      <c r="A1832" s="166" t="n"/>
      <c r="B1832" s="63" t="n"/>
      <c r="C1832" s="64" t="n"/>
      <c r="D1832" s="167" t="n"/>
      <c r="E1832" s="63" t="n"/>
      <c r="F1832" s="63" t="n"/>
    </row>
    <row r="1833">
      <c r="A1833" s="166" t="n"/>
      <c r="B1833" s="63" t="n"/>
      <c r="C1833" s="64" t="n"/>
      <c r="D1833" s="167" t="n"/>
      <c r="E1833" s="63" t="n"/>
      <c r="F1833" s="63" t="n"/>
    </row>
    <row r="1834">
      <c r="A1834" s="166" t="n"/>
      <c r="B1834" s="63" t="n"/>
      <c r="C1834" s="64" t="n"/>
      <c r="D1834" s="167" t="n"/>
      <c r="E1834" s="63" t="n"/>
      <c r="F1834" s="63" t="n"/>
    </row>
    <row r="1835">
      <c r="A1835" s="166" t="n"/>
      <c r="B1835" s="63" t="n"/>
      <c r="C1835" s="64" t="n"/>
      <c r="D1835" s="167" t="n"/>
      <c r="E1835" s="63" t="n"/>
      <c r="F1835" s="63" t="n"/>
    </row>
    <row r="1836">
      <c r="A1836" s="166" t="n"/>
      <c r="B1836" s="63" t="n"/>
      <c r="C1836" s="64" t="n"/>
      <c r="D1836" s="167" t="n"/>
      <c r="E1836" s="63" t="n"/>
      <c r="F1836" s="63" t="n"/>
    </row>
    <row r="1837">
      <c r="A1837" s="166" t="n"/>
      <c r="B1837" s="63" t="n"/>
      <c r="C1837" s="64" t="n"/>
      <c r="D1837" s="167" t="n"/>
      <c r="E1837" s="63" t="n"/>
      <c r="F1837" s="63" t="n"/>
    </row>
    <row r="1838">
      <c r="A1838" s="166" t="n"/>
      <c r="B1838" s="63" t="n"/>
      <c r="C1838" s="64" t="n"/>
      <c r="D1838" s="167" t="n"/>
      <c r="E1838" s="63" t="n"/>
      <c r="F1838" s="63" t="n"/>
    </row>
    <row r="1839">
      <c r="A1839" s="166" t="n"/>
      <c r="B1839" s="63" t="n"/>
      <c r="C1839" s="64" t="n"/>
      <c r="D1839" s="167" t="n"/>
      <c r="E1839" s="63" t="n"/>
      <c r="F1839" s="63" t="n"/>
    </row>
    <row r="1840">
      <c r="A1840" s="166" t="n"/>
      <c r="B1840" s="63" t="n"/>
      <c r="C1840" s="64" t="n"/>
      <c r="D1840" s="167" t="n"/>
      <c r="E1840" s="63" t="n"/>
      <c r="F1840" s="63" t="n"/>
    </row>
    <row r="1841">
      <c r="A1841" s="166" t="n"/>
      <c r="B1841" s="63" t="n"/>
      <c r="C1841" s="64" t="n"/>
      <c r="D1841" s="167" t="n"/>
      <c r="E1841" s="63" t="n"/>
      <c r="F1841" s="63" t="n"/>
    </row>
    <row r="1842">
      <c r="A1842" s="166" t="n"/>
      <c r="B1842" s="63" t="n"/>
      <c r="C1842" s="64" t="n"/>
      <c r="D1842" s="167" t="n"/>
      <c r="E1842" s="63" t="n"/>
      <c r="F1842" s="63" t="n"/>
    </row>
    <row r="1843">
      <c r="A1843" s="166" t="n"/>
      <c r="B1843" s="63" t="n"/>
      <c r="C1843" s="64" t="n"/>
      <c r="D1843" s="167" t="n"/>
      <c r="E1843" s="63" t="n"/>
      <c r="F1843" s="63" t="n"/>
    </row>
    <row r="1844">
      <c r="A1844" s="166" t="n"/>
      <c r="B1844" s="63" t="n"/>
      <c r="C1844" s="64" t="n"/>
      <c r="D1844" s="167" t="n"/>
      <c r="E1844" s="63" t="n"/>
      <c r="F1844" s="63" t="n"/>
    </row>
    <row r="1845">
      <c r="A1845" s="166" t="n"/>
      <c r="B1845" s="63" t="n"/>
      <c r="C1845" s="64" t="n"/>
      <c r="D1845" s="167" t="n"/>
      <c r="E1845" s="63" t="n"/>
      <c r="F1845" s="63" t="n"/>
    </row>
    <row r="1846">
      <c r="A1846" s="166" t="n"/>
      <c r="B1846" s="63" t="n"/>
      <c r="C1846" s="64" t="n"/>
      <c r="D1846" s="167" t="n"/>
      <c r="E1846" s="63" t="n"/>
      <c r="F1846" s="63" t="n"/>
    </row>
    <row r="1847">
      <c r="A1847" s="166" t="n"/>
      <c r="B1847" s="63" t="n"/>
      <c r="C1847" s="64" t="n"/>
      <c r="D1847" s="167" t="n"/>
      <c r="E1847" s="63" t="n"/>
      <c r="F1847" s="63" t="n"/>
    </row>
    <row r="1848">
      <c r="A1848" s="166" t="n"/>
      <c r="B1848" s="63" t="n"/>
      <c r="C1848" s="64" t="n"/>
      <c r="D1848" s="167" t="n"/>
      <c r="E1848" s="63" t="n"/>
      <c r="F1848" s="63" t="n"/>
    </row>
    <row r="1849">
      <c r="A1849" s="166" t="n"/>
      <c r="B1849" s="63" t="n"/>
      <c r="C1849" s="64" t="n"/>
      <c r="D1849" s="167" t="n"/>
      <c r="E1849" s="63" t="n"/>
      <c r="F1849" s="63" t="n"/>
    </row>
    <row r="1850">
      <c r="A1850" s="166" t="n"/>
      <c r="B1850" s="63" t="n"/>
      <c r="C1850" s="64" t="n"/>
      <c r="D1850" s="167" t="n"/>
      <c r="E1850" s="63" t="n"/>
      <c r="F1850" s="63" t="n"/>
    </row>
    <row r="1851">
      <c r="A1851" s="166" t="n"/>
      <c r="B1851" s="63" t="n"/>
      <c r="C1851" s="64" t="n"/>
      <c r="D1851" s="167" t="n"/>
      <c r="E1851" s="63" t="n"/>
      <c r="F1851" s="63" t="n"/>
    </row>
    <row r="1852">
      <c r="A1852" s="166" t="n"/>
      <c r="B1852" s="63" t="n"/>
      <c r="C1852" s="64" t="n"/>
      <c r="D1852" s="167" t="n"/>
      <c r="E1852" s="63" t="n"/>
      <c r="F1852" s="63" t="n"/>
    </row>
    <row r="1853">
      <c r="A1853" s="166" t="n"/>
      <c r="B1853" s="63" t="n"/>
      <c r="C1853" s="64" t="n"/>
      <c r="D1853" s="167" t="n"/>
      <c r="E1853" s="63" t="n"/>
      <c r="F1853" s="63" t="n"/>
    </row>
    <row r="1854">
      <c r="A1854" s="166" t="n"/>
      <c r="B1854" s="63" t="n"/>
      <c r="C1854" s="64" t="n"/>
      <c r="D1854" s="167" t="n"/>
      <c r="E1854" s="63" t="n"/>
      <c r="F1854" s="63" t="n"/>
    </row>
    <row r="1855">
      <c r="A1855" s="166" t="n"/>
      <c r="B1855" s="63" t="n"/>
      <c r="C1855" s="64" t="n"/>
      <c r="D1855" s="167" t="n"/>
      <c r="E1855" s="63" t="n"/>
      <c r="F1855" s="63" t="n"/>
    </row>
    <row r="1856">
      <c r="A1856" s="166" t="n"/>
      <c r="B1856" s="63" t="n"/>
      <c r="C1856" s="64" t="n"/>
      <c r="D1856" s="167" t="n"/>
      <c r="E1856" s="63" t="n"/>
      <c r="F1856" s="63" t="n"/>
    </row>
    <row r="1857">
      <c r="A1857" s="166" t="n"/>
      <c r="B1857" s="63" t="n"/>
      <c r="C1857" s="64" t="n"/>
      <c r="D1857" s="167" t="n"/>
      <c r="E1857" s="63" t="n"/>
      <c r="F1857" s="63" t="n"/>
    </row>
    <row r="1858">
      <c r="A1858" s="166" t="n"/>
      <c r="B1858" s="63" t="n"/>
      <c r="C1858" s="64" t="n"/>
      <c r="D1858" s="167" t="n"/>
      <c r="E1858" s="63" t="n"/>
      <c r="F1858" s="63" t="n"/>
    </row>
    <row r="1859">
      <c r="A1859" s="166" t="n"/>
      <c r="B1859" s="63" t="n"/>
      <c r="C1859" s="64" t="n"/>
      <c r="D1859" s="167" t="n"/>
      <c r="E1859" s="63" t="n"/>
      <c r="F1859" s="63" t="n"/>
    </row>
    <row r="1860">
      <c r="A1860" s="166" t="n"/>
      <c r="B1860" s="63" t="n"/>
      <c r="C1860" s="64" t="n"/>
      <c r="D1860" s="167" t="n"/>
      <c r="E1860" s="63" t="n"/>
      <c r="F1860" s="63" t="n"/>
    </row>
    <row r="1861">
      <c r="A1861" s="166" t="n"/>
      <c r="B1861" s="63" t="n"/>
      <c r="C1861" s="64" t="n"/>
      <c r="D1861" s="167" t="n"/>
      <c r="E1861" s="63" t="n"/>
      <c r="F1861" s="63" t="n"/>
    </row>
    <row r="1862">
      <c r="A1862" s="166" t="n"/>
      <c r="B1862" s="63" t="n"/>
      <c r="C1862" s="64" t="n"/>
      <c r="D1862" s="167" t="n"/>
      <c r="E1862" s="63" t="n"/>
      <c r="F1862" s="63" t="n"/>
    </row>
    <row r="1863">
      <c r="A1863" s="166" t="n"/>
      <c r="B1863" s="63" t="n"/>
      <c r="C1863" s="64" t="n"/>
      <c r="D1863" s="167" t="n"/>
      <c r="E1863" s="63" t="n"/>
      <c r="F1863" s="63" t="n"/>
    </row>
    <row r="1864">
      <c r="A1864" s="166" t="n"/>
      <c r="B1864" s="63" t="n"/>
      <c r="C1864" s="64" t="n"/>
      <c r="D1864" s="167" t="n"/>
      <c r="E1864" s="63" t="n"/>
      <c r="F1864" s="63" t="n"/>
    </row>
    <row r="1865">
      <c r="A1865" s="166" t="n"/>
      <c r="B1865" s="63" t="n"/>
      <c r="C1865" s="64" t="n"/>
      <c r="D1865" s="167" t="n"/>
      <c r="E1865" s="63" t="n"/>
      <c r="F1865" s="63" t="n"/>
    </row>
    <row r="1866">
      <c r="A1866" s="166" t="n"/>
      <c r="B1866" s="63" t="n"/>
      <c r="C1866" s="64" t="n"/>
      <c r="D1866" s="167" t="n"/>
      <c r="E1866" s="63" t="n"/>
      <c r="F1866" s="63" t="n"/>
    </row>
    <row r="1867">
      <c r="A1867" s="166" t="n"/>
      <c r="B1867" s="63" t="n"/>
      <c r="C1867" s="64" t="n"/>
      <c r="D1867" s="167" t="n"/>
      <c r="E1867" s="63" t="n"/>
      <c r="F1867" s="63" t="n"/>
    </row>
    <row r="1868">
      <c r="A1868" s="166" t="n"/>
      <c r="B1868" s="63" t="n"/>
      <c r="C1868" s="64" t="n"/>
      <c r="D1868" s="167" t="n"/>
      <c r="E1868" s="63" t="n"/>
      <c r="F1868" s="63" t="n"/>
    </row>
    <row r="1869">
      <c r="A1869" s="166" t="n"/>
      <c r="B1869" s="63" t="n"/>
      <c r="C1869" s="64" t="n"/>
      <c r="D1869" s="167" t="n"/>
      <c r="E1869" s="63" t="n"/>
      <c r="F1869" s="63" t="n"/>
    </row>
    <row r="1870">
      <c r="A1870" s="166" t="n"/>
      <c r="B1870" s="63" t="n"/>
      <c r="C1870" s="64" t="n"/>
      <c r="D1870" s="167" t="n"/>
      <c r="E1870" s="63" t="n"/>
      <c r="F1870" s="63" t="n"/>
    </row>
    <row r="1871">
      <c r="A1871" s="166" t="n"/>
      <c r="B1871" s="63" t="n"/>
      <c r="C1871" s="64" t="n"/>
      <c r="D1871" s="167" t="n"/>
      <c r="E1871" s="63" t="n"/>
      <c r="F1871" s="63" t="n"/>
    </row>
    <row r="1872">
      <c r="A1872" s="166" t="n"/>
      <c r="B1872" s="63" t="n"/>
      <c r="C1872" s="64" t="n"/>
      <c r="D1872" s="167" t="n"/>
      <c r="E1872" s="63" t="n"/>
      <c r="F1872" s="63" t="n"/>
    </row>
    <row r="1873">
      <c r="A1873" s="166" t="n"/>
      <c r="B1873" s="63" t="n"/>
      <c r="C1873" s="64" t="n"/>
      <c r="D1873" s="167" t="n"/>
      <c r="E1873" s="63" t="n"/>
      <c r="F1873" s="63" t="n"/>
    </row>
    <row r="1874">
      <c r="A1874" s="166" t="n"/>
      <c r="B1874" s="63" t="n"/>
      <c r="C1874" s="64" t="n"/>
      <c r="D1874" s="167" t="n"/>
      <c r="E1874" s="63" t="n"/>
      <c r="F1874" s="63" t="n"/>
    </row>
    <row r="1875">
      <c r="A1875" s="166" t="n"/>
      <c r="B1875" s="63" t="n"/>
      <c r="C1875" s="64" t="n"/>
      <c r="D1875" s="167" t="n"/>
      <c r="E1875" s="63" t="n"/>
      <c r="F1875" s="63" t="n"/>
    </row>
    <row r="1876">
      <c r="A1876" s="166" t="n"/>
      <c r="B1876" s="63" t="n"/>
      <c r="C1876" s="64" t="n"/>
      <c r="D1876" s="167" t="n"/>
      <c r="E1876" s="63" t="n"/>
      <c r="F1876" s="63" t="n"/>
    </row>
    <row r="1877">
      <c r="A1877" s="166" t="n"/>
      <c r="B1877" s="63" t="n"/>
      <c r="C1877" s="64" t="n"/>
      <c r="D1877" s="167" t="n"/>
      <c r="E1877" s="63" t="n"/>
      <c r="F1877" s="63" t="n"/>
    </row>
    <row r="1878">
      <c r="A1878" s="166" t="n"/>
      <c r="B1878" s="63" t="n"/>
      <c r="C1878" s="64" t="n"/>
      <c r="D1878" s="167" t="n"/>
      <c r="E1878" s="63" t="n"/>
      <c r="F1878" s="63" t="n"/>
    </row>
    <row r="1879">
      <c r="A1879" s="166" t="n"/>
      <c r="B1879" s="63" t="n"/>
      <c r="C1879" s="64" t="n"/>
      <c r="D1879" s="167" t="n"/>
      <c r="E1879" s="63" t="n"/>
      <c r="F1879" s="63" t="n"/>
    </row>
    <row r="1880">
      <c r="A1880" s="166" t="n"/>
      <c r="B1880" s="63" t="n"/>
      <c r="C1880" s="64" t="n"/>
      <c r="D1880" s="167" t="n"/>
      <c r="E1880" s="63" t="n"/>
      <c r="F1880" s="63" t="n"/>
    </row>
    <row r="1881">
      <c r="A1881" s="166" t="n"/>
      <c r="B1881" s="63" t="n"/>
      <c r="C1881" s="64" t="n"/>
      <c r="D1881" s="167" t="n"/>
      <c r="E1881" s="63" t="n"/>
      <c r="F1881" s="63" t="n"/>
    </row>
    <row r="1882">
      <c r="A1882" s="166" t="n"/>
      <c r="B1882" s="63" t="n"/>
      <c r="C1882" s="64" t="n"/>
      <c r="D1882" s="167" t="n"/>
      <c r="E1882" s="63" t="n"/>
      <c r="F1882" s="63" t="n"/>
    </row>
    <row r="1883">
      <c r="A1883" s="166" t="n"/>
      <c r="B1883" s="63" t="n"/>
      <c r="C1883" s="64" t="n"/>
      <c r="D1883" s="167" t="n"/>
      <c r="E1883" s="63" t="n"/>
      <c r="F1883" s="63" t="n"/>
    </row>
    <row r="1884">
      <c r="A1884" s="166" t="n"/>
      <c r="B1884" s="63" t="n"/>
      <c r="C1884" s="64" t="n"/>
      <c r="D1884" s="167" t="n"/>
      <c r="E1884" s="63" t="n"/>
      <c r="F1884" s="63" t="n"/>
    </row>
    <row r="1885">
      <c r="A1885" s="166" t="n"/>
      <c r="B1885" s="63" t="n"/>
      <c r="C1885" s="64" t="n"/>
      <c r="D1885" s="167" t="n"/>
      <c r="E1885" s="63" t="n"/>
      <c r="F1885" s="63" t="n"/>
    </row>
    <row r="1886">
      <c r="A1886" s="166" t="n"/>
      <c r="B1886" s="63" t="n"/>
      <c r="C1886" s="64" t="n"/>
      <c r="D1886" s="167" t="n"/>
      <c r="E1886" s="63" t="n"/>
      <c r="F1886" s="63" t="n"/>
    </row>
    <row r="1887">
      <c r="A1887" s="166" t="n"/>
      <c r="B1887" s="63" t="n"/>
      <c r="C1887" s="64" t="n"/>
      <c r="D1887" s="167" t="n"/>
      <c r="E1887" s="63" t="n"/>
      <c r="F1887" s="63" t="n"/>
    </row>
    <row r="1888">
      <c r="A1888" s="166" t="n"/>
      <c r="B1888" s="63" t="n"/>
      <c r="C1888" s="64" t="n"/>
      <c r="D1888" s="167" t="n"/>
      <c r="E1888" s="63" t="n"/>
      <c r="F1888" s="63" t="n"/>
    </row>
    <row r="1889">
      <c r="A1889" s="166" t="n"/>
      <c r="B1889" s="63" t="n"/>
      <c r="C1889" s="64" t="n"/>
      <c r="D1889" s="167" t="n"/>
      <c r="E1889" s="63" t="n"/>
      <c r="F1889" s="63" t="n"/>
    </row>
    <row r="1890">
      <c r="A1890" s="166" t="n"/>
      <c r="B1890" s="63" t="n"/>
      <c r="C1890" s="64" t="n"/>
      <c r="D1890" s="167" t="n"/>
      <c r="E1890" s="63" t="n"/>
      <c r="F1890" s="63" t="n"/>
    </row>
    <row r="1891">
      <c r="A1891" s="166" t="n"/>
      <c r="B1891" s="63" t="n"/>
      <c r="C1891" s="64" t="n"/>
      <c r="D1891" s="167" t="n"/>
      <c r="E1891" s="63" t="n"/>
      <c r="F1891" s="63" t="n"/>
    </row>
    <row r="1892">
      <c r="A1892" s="166" t="n"/>
      <c r="B1892" s="63" t="n"/>
      <c r="C1892" s="64" t="n"/>
      <c r="D1892" s="167" t="n"/>
      <c r="E1892" s="63" t="n"/>
      <c r="F1892" s="63" t="n"/>
    </row>
    <row r="1893">
      <c r="A1893" s="166" t="n"/>
      <c r="B1893" s="63" t="n"/>
      <c r="C1893" s="64" t="n"/>
      <c r="D1893" s="167" t="n"/>
      <c r="E1893" s="63" t="n"/>
      <c r="F1893" s="63" t="n"/>
    </row>
    <row r="1894">
      <c r="A1894" s="166" t="n"/>
      <c r="B1894" s="63" t="n"/>
      <c r="C1894" s="64" t="n"/>
      <c r="D1894" s="167" t="n"/>
      <c r="E1894" s="63" t="n"/>
      <c r="F1894" s="63" t="n"/>
    </row>
    <row r="1895">
      <c r="A1895" s="166" t="n"/>
      <c r="B1895" s="63" t="n"/>
      <c r="C1895" s="64" t="n"/>
      <c r="D1895" s="167" t="n"/>
      <c r="E1895" s="63" t="n"/>
      <c r="F1895" s="63" t="n"/>
    </row>
    <row r="1896">
      <c r="A1896" s="166" t="n"/>
      <c r="B1896" s="63" t="n"/>
      <c r="C1896" s="64" t="n"/>
      <c r="D1896" s="167" t="n"/>
      <c r="E1896" s="63" t="n"/>
      <c r="F1896" s="63" t="n"/>
    </row>
    <row r="1897">
      <c r="A1897" s="166" t="n"/>
      <c r="B1897" s="63" t="n"/>
      <c r="C1897" s="64" t="n"/>
      <c r="D1897" s="167" t="n"/>
      <c r="E1897" s="63" t="n"/>
      <c r="F1897" s="63" t="n"/>
    </row>
    <row r="1898">
      <c r="A1898" s="166" t="n"/>
      <c r="B1898" s="63" t="n"/>
      <c r="C1898" s="64" t="n"/>
      <c r="D1898" s="167" t="n"/>
      <c r="E1898" s="63" t="n"/>
      <c r="F1898" s="63" t="n"/>
    </row>
    <row r="1899">
      <c r="A1899" s="166" t="n"/>
      <c r="B1899" s="63" t="n"/>
      <c r="C1899" s="64" t="n"/>
      <c r="D1899" s="167" t="n"/>
      <c r="E1899" s="63" t="n"/>
      <c r="F1899" s="63" t="n"/>
    </row>
    <row r="1900">
      <c r="A1900" s="166" t="n"/>
      <c r="B1900" s="63" t="n"/>
      <c r="C1900" s="64" t="n"/>
      <c r="D1900" s="167" t="n"/>
      <c r="E1900" s="63" t="n"/>
      <c r="F1900" s="63" t="n"/>
    </row>
    <row r="1901">
      <c r="A1901" s="166" t="n"/>
      <c r="B1901" s="63" t="n"/>
      <c r="C1901" s="64" t="n"/>
      <c r="D1901" s="167" t="n"/>
      <c r="E1901" s="63" t="n"/>
      <c r="F1901" s="63" t="n"/>
    </row>
    <row r="1902">
      <c r="A1902" s="166" t="n"/>
      <c r="B1902" s="63" t="n"/>
      <c r="C1902" s="64" t="n"/>
      <c r="D1902" s="167" t="n"/>
      <c r="E1902" s="63" t="n"/>
      <c r="F1902" s="63" t="n"/>
    </row>
    <row r="1903">
      <c r="A1903" s="166" t="n"/>
      <c r="B1903" s="63" t="n"/>
      <c r="C1903" s="64" t="n"/>
      <c r="D1903" s="167" t="n"/>
      <c r="E1903" s="63" t="n"/>
      <c r="F1903" s="63" t="n"/>
    </row>
    <row r="1904">
      <c r="A1904" s="166" t="n"/>
      <c r="B1904" s="63" t="n"/>
      <c r="C1904" s="64" t="n"/>
      <c r="D1904" s="167" t="n"/>
      <c r="E1904" s="63" t="n"/>
      <c r="F1904" s="63" t="n"/>
    </row>
    <row r="1905">
      <c r="A1905" s="166" t="n"/>
      <c r="B1905" s="63" t="n"/>
      <c r="C1905" s="64" t="n"/>
      <c r="D1905" s="167" t="n"/>
      <c r="E1905" s="63" t="n"/>
      <c r="F1905" s="63" t="n"/>
    </row>
    <row r="1906">
      <c r="A1906" s="166" t="n"/>
      <c r="B1906" s="63" t="n"/>
      <c r="C1906" s="64" t="n"/>
      <c r="D1906" s="167" t="n"/>
      <c r="E1906" s="63" t="n"/>
      <c r="F1906" s="63" t="n"/>
    </row>
    <row r="1907">
      <c r="A1907" s="166" t="n"/>
      <c r="B1907" s="63" t="n"/>
      <c r="C1907" s="64" t="n"/>
      <c r="D1907" s="167" t="n"/>
      <c r="E1907" s="63" t="n"/>
      <c r="F1907" s="63" t="n"/>
    </row>
    <row r="1908">
      <c r="A1908" s="166" t="n"/>
      <c r="B1908" s="63" t="n"/>
      <c r="C1908" s="64" t="n"/>
      <c r="D1908" s="167" t="n"/>
      <c r="E1908" s="63" t="n"/>
      <c r="F1908" s="63" t="n"/>
    </row>
    <row r="1909">
      <c r="A1909" s="166" t="n"/>
      <c r="B1909" s="63" t="n"/>
      <c r="C1909" s="64" t="n"/>
      <c r="D1909" s="167" t="n"/>
      <c r="E1909" s="63" t="n"/>
      <c r="F1909" s="63" t="n"/>
    </row>
    <row r="1910">
      <c r="A1910" s="166" t="n"/>
      <c r="B1910" s="63" t="n"/>
      <c r="C1910" s="64" t="n"/>
      <c r="D1910" s="167" t="n"/>
      <c r="E1910" s="63" t="n"/>
      <c r="F1910" s="63" t="n"/>
    </row>
    <row r="1911">
      <c r="A1911" s="166" t="n"/>
      <c r="B1911" s="63" t="n"/>
      <c r="C1911" s="64" t="n"/>
      <c r="D1911" s="167" t="n"/>
      <c r="E1911" s="63" t="n"/>
      <c r="F1911" s="63" t="n"/>
    </row>
    <row r="1912">
      <c r="A1912" s="166" t="n"/>
      <c r="B1912" s="63" t="n"/>
      <c r="C1912" s="64" t="n"/>
      <c r="D1912" s="167" t="n"/>
      <c r="E1912" s="63" t="n"/>
      <c r="F1912" s="63" t="n"/>
    </row>
    <row r="1913">
      <c r="A1913" s="166" t="n"/>
      <c r="B1913" s="63" t="n"/>
      <c r="C1913" s="64" t="n"/>
      <c r="D1913" s="167" t="n"/>
      <c r="E1913" s="63" t="n"/>
      <c r="F1913" s="63" t="n"/>
    </row>
    <row r="1914">
      <c r="A1914" s="166" t="n"/>
      <c r="B1914" s="63" t="n"/>
      <c r="C1914" s="64" t="n"/>
      <c r="D1914" s="167" t="n"/>
      <c r="E1914" s="63" t="n"/>
      <c r="F1914" s="63" t="n"/>
    </row>
    <row r="1915">
      <c r="A1915" s="166" t="n"/>
      <c r="B1915" s="63" t="n"/>
      <c r="C1915" s="64" t="n"/>
      <c r="D1915" s="167" t="n"/>
      <c r="E1915" s="63" t="n"/>
      <c r="F1915" s="63" t="n"/>
    </row>
    <row r="1916">
      <c r="A1916" s="166" t="n"/>
      <c r="B1916" s="63" t="n"/>
      <c r="C1916" s="64" t="n"/>
      <c r="D1916" s="167" t="n"/>
      <c r="E1916" s="63" t="n"/>
      <c r="F1916" s="63" t="n"/>
    </row>
    <row r="1917">
      <c r="A1917" s="166" t="n"/>
      <c r="B1917" s="63" t="n"/>
      <c r="C1917" s="64" t="n"/>
      <c r="D1917" s="167" t="n"/>
      <c r="E1917" s="63" t="n"/>
      <c r="F1917" s="63" t="n"/>
    </row>
    <row r="1918">
      <c r="A1918" s="166" t="n"/>
      <c r="B1918" s="63" t="n"/>
      <c r="C1918" s="64" t="n"/>
      <c r="D1918" s="167" t="n"/>
      <c r="E1918" s="63" t="n"/>
      <c r="F1918" s="63" t="n"/>
    </row>
    <row r="1919">
      <c r="A1919" s="166" t="n"/>
      <c r="B1919" s="63" t="n"/>
      <c r="C1919" s="64" t="n"/>
      <c r="D1919" s="167" t="n"/>
      <c r="E1919" s="63" t="n"/>
      <c r="F1919" s="63" t="n"/>
    </row>
    <row r="1920">
      <c r="A1920" s="166" t="n"/>
      <c r="B1920" s="63" t="n"/>
      <c r="C1920" s="64" t="n"/>
      <c r="D1920" s="167" t="n"/>
      <c r="E1920" s="63" t="n"/>
      <c r="F1920" s="63" t="n"/>
    </row>
    <row r="1921">
      <c r="A1921" s="166" t="n"/>
      <c r="B1921" s="63" t="n"/>
      <c r="C1921" s="64" t="n"/>
      <c r="D1921" s="167" t="n"/>
      <c r="E1921" s="63" t="n"/>
      <c r="F1921" s="63" t="n"/>
    </row>
    <row r="1922">
      <c r="A1922" s="166" t="n"/>
      <c r="B1922" s="63" t="n"/>
      <c r="C1922" s="64" t="n"/>
      <c r="D1922" s="167" t="n"/>
      <c r="E1922" s="63" t="n"/>
      <c r="F1922" s="63" t="n"/>
    </row>
    <row r="1923">
      <c r="A1923" s="166" t="n"/>
      <c r="B1923" s="63" t="n"/>
      <c r="C1923" s="64" t="n"/>
      <c r="D1923" s="167" t="n"/>
      <c r="E1923" s="63" t="n"/>
      <c r="F1923" s="63" t="n"/>
    </row>
    <row r="1924">
      <c r="A1924" s="166" t="n"/>
      <c r="B1924" s="63" t="n"/>
      <c r="C1924" s="64" t="n"/>
      <c r="D1924" s="167" t="n"/>
      <c r="E1924" s="63" t="n"/>
      <c r="F1924" s="63" t="n"/>
    </row>
    <row r="1925">
      <c r="A1925" s="166" t="n"/>
      <c r="B1925" s="63" t="n"/>
      <c r="C1925" s="64" t="n"/>
      <c r="D1925" s="167" t="n"/>
      <c r="E1925" s="63" t="n"/>
      <c r="F1925" s="63" t="n"/>
    </row>
    <row r="1926">
      <c r="A1926" s="166" t="n"/>
      <c r="B1926" s="63" t="n"/>
      <c r="C1926" s="64" t="n"/>
      <c r="D1926" s="167" t="n"/>
      <c r="E1926" s="63" t="n"/>
      <c r="F1926" s="63" t="n"/>
    </row>
    <row r="1927">
      <c r="A1927" s="166" t="n"/>
      <c r="B1927" s="63" t="n"/>
      <c r="C1927" s="64" t="n"/>
      <c r="D1927" s="167" t="n"/>
      <c r="E1927" s="63" t="n"/>
      <c r="F1927" s="63" t="n"/>
    </row>
    <row r="1928">
      <c r="A1928" s="166" t="n"/>
      <c r="B1928" s="63" t="n"/>
      <c r="C1928" s="64" t="n"/>
      <c r="D1928" s="167" t="n"/>
      <c r="E1928" s="63" t="n"/>
      <c r="F1928" s="63" t="n"/>
    </row>
    <row r="1929">
      <c r="A1929" s="166" t="n"/>
      <c r="B1929" s="63" t="n"/>
      <c r="C1929" s="64" t="n"/>
      <c r="D1929" s="167" t="n"/>
      <c r="E1929" s="63" t="n"/>
      <c r="F1929" s="63" t="n"/>
    </row>
    <row r="1930">
      <c r="A1930" s="166" t="n"/>
      <c r="B1930" s="63" t="n"/>
      <c r="C1930" s="64" t="n"/>
      <c r="D1930" s="167" t="n"/>
      <c r="E1930" s="63" t="n"/>
      <c r="F1930" s="63" t="n"/>
    </row>
    <row r="1931">
      <c r="A1931" s="166" t="n"/>
      <c r="B1931" s="63" t="n"/>
      <c r="C1931" s="64" t="n"/>
      <c r="D1931" s="167" t="n"/>
      <c r="E1931" s="63" t="n"/>
      <c r="F1931" s="63" t="n"/>
    </row>
    <row r="1932">
      <c r="A1932" s="166" t="n"/>
      <c r="B1932" s="63" t="n"/>
      <c r="C1932" s="64" t="n"/>
      <c r="D1932" s="167" t="n"/>
      <c r="E1932" s="63" t="n"/>
      <c r="F1932" s="63" t="n"/>
    </row>
    <row r="1933">
      <c r="A1933" s="166" t="n"/>
      <c r="B1933" s="63" t="n"/>
      <c r="C1933" s="64" t="n"/>
      <c r="D1933" s="167" t="n"/>
      <c r="E1933" s="63" t="n"/>
      <c r="F1933" s="63" t="n"/>
    </row>
    <row r="1934">
      <c r="A1934" s="166" t="n"/>
      <c r="B1934" s="63" t="n"/>
      <c r="C1934" s="64" t="n"/>
      <c r="D1934" s="167" t="n"/>
      <c r="E1934" s="63" t="n"/>
      <c r="F1934" s="63" t="n"/>
    </row>
    <row r="1935">
      <c r="A1935" s="166" t="n"/>
      <c r="B1935" s="63" t="n"/>
      <c r="C1935" s="64" t="n"/>
      <c r="D1935" s="167" t="n"/>
      <c r="E1935" s="63" t="n"/>
      <c r="F1935" s="63" t="n"/>
    </row>
    <row r="1936">
      <c r="A1936" s="166" t="n"/>
      <c r="B1936" s="63" t="n"/>
      <c r="C1936" s="64" t="n"/>
      <c r="D1936" s="167" t="n"/>
      <c r="E1936" s="63" t="n"/>
      <c r="F1936" s="63" t="n"/>
    </row>
    <row r="1937">
      <c r="A1937" s="166" t="n"/>
      <c r="B1937" s="63" t="n"/>
      <c r="C1937" s="64" t="n"/>
      <c r="D1937" s="167" t="n"/>
      <c r="E1937" s="63" t="n"/>
      <c r="F1937" s="63" t="n"/>
    </row>
    <row r="1938">
      <c r="A1938" s="166" t="n"/>
      <c r="B1938" s="63" t="n"/>
      <c r="C1938" s="64" t="n"/>
      <c r="D1938" s="167" t="n"/>
      <c r="E1938" s="63" t="n"/>
      <c r="F1938" s="63" t="n"/>
    </row>
    <row r="1939">
      <c r="A1939" s="166" t="n"/>
      <c r="B1939" s="63" t="n"/>
      <c r="C1939" s="64" t="n"/>
      <c r="D1939" s="167" t="n"/>
      <c r="E1939" s="63" t="n"/>
      <c r="F1939" s="63" t="n"/>
    </row>
    <row r="1940">
      <c r="A1940" s="166" t="n"/>
      <c r="B1940" s="63" t="n"/>
      <c r="C1940" s="64" t="n"/>
      <c r="D1940" s="167" t="n"/>
      <c r="E1940" s="63" t="n"/>
      <c r="F1940" s="63" t="n"/>
    </row>
    <row r="1941">
      <c r="A1941" s="166" t="n"/>
      <c r="B1941" s="63" t="n"/>
      <c r="C1941" s="64" t="n"/>
      <c r="D1941" s="167" t="n"/>
      <c r="E1941" s="63" t="n"/>
      <c r="F1941" s="63" t="n"/>
    </row>
    <row r="1942">
      <c r="A1942" s="166" t="n"/>
      <c r="B1942" s="63" t="n"/>
      <c r="C1942" s="64" t="n"/>
      <c r="D1942" s="167" t="n"/>
      <c r="E1942" s="63" t="n"/>
      <c r="F1942" s="63" t="n"/>
    </row>
    <row r="1943">
      <c r="A1943" s="166" t="n"/>
      <c r="B1943" s="63" t="n"/>
      <c r="C1943" s="64" t="n"/>
      <c r="D1943" s="167" t="n"/>
      <c r="E1943" s="63" t="n"/>
      <c r="F1943" s="63" t="n"/>
    </row>
    <row r="1944">
      <c r="A1944" s="166" t="n"/>
      <c r="B1944" s="63" t="n"/>
      <c r="C1944" s="64" t="n"/>
      <c r="D1944" s="167" t="n"/>
      <c r="E1944" s="63" t="n"/>
      <c r="F1944" s="63" t="n"/>
    </row>
    <row r="1945">
      <c r="A1945" s="166" t="n"/>
      <c r="B1945" s="63" t="n"/>
      <c r="C1945" s="64" t="n"/>
      <c r="D1945" s="167" t="n"/>
      <c r="E1945" s="63" t="n"/>
      <c r="F1945" s="63" t="n"/>
    </row>
    <row r="1946">
      <c r="A1946" s="166" t="n"/>
      <c r="B1946" s="63" t="n"/>
      <c r="C1946" s="64" t="n"/>
      <c r="D1946" s="167" t="n"/>
      <c r="E1946" s="63" t="n"/>
      <c r="F1946" s="63" t="n"/>
    </row>
    <row r="1947">
      <c r="A1947" s="166" t="n"/>
      <c r="B1947" s="63" t="n"/>
      <c r="C1947" s="64" t="n"/>
      <c r="D1947" s="167" t="n"/>
      <c r="E1947" s="63" t="n"/>
      <c r="F1947" s="63" t="n"/>
    </row>
    <row r="1948">
      <c r="A1948" s="166" t="n"/>
      <c r="B1948" s="63" t="n"/>
      <c r="C1948" s="64" t="n"/>
      <c r="D1948" s="167" t="n"/>
      <c r="E1948" s="63" t="n"/>
      <c r="F1948" s="63" t="n"/>
    </row>
    <row r="1949">
      <c r="A1949" s="166" t="n"/>
      <c r="B1949" s="63" t="n"/>
      <c r="C1949" s="64" t="n"/>
      <c r="D1949" s="167" t="n"/>
      <c r="E1949" s="63" t="n"/>
      <c r="F1949" s="63" t="n"/>
    </row>
    <row r="1950">
      <c r="A1950" s="166" t="n"/>
      <c r="B1950" s="63" t="n"/>
      <c r="C1950" s="64" t="n"/>
      <c r="D1950" s="167" t="n"/>
      <c r="E1950" s="63" t="n"/>
      <c r="F1950" s="63" t="n"/>
    </row>
    <row r="1951">
      <c r="A1951" s="166" t="n"/>
      <c r="B1951" s="63" t="n"/>
      <c r="C1951" s="64" t="n"/>
      <c r="D1951" s="167" t="n"/>
      <c r="E1951" s="63" t="n"/>
      <c r="F1951" s="63" t="n"/>
    </row>
    <row r="1952">
      <c r="A1952" s="166" t="n"/>
      <c r="B1952" s="63" t="n"/>
      <c r="C1952" s="64" t="n"/>
      <c r="D1952" s="167" t="n"/>
      <c r="E1952" s="63" t="n"/>
      <c r="F1952" s="63" t="n"/>
    </row>
    <row r="1953">
      <c r="A1953" s="166" t="n"/>
      <c r="B1953" s="63" t="n"/>
      <c r="C1953" s="64" t="n"/>
      <c r="D1953" s="167" t="n"/>
      <c r="E1953" s="63" t="n"/>
      <c r="F1953" s="63" t="n"/>
    </row>
    <row r="1954">
      <c r="A1954" s="166" t="n"/>
      <c r="B1954" s="63" t="n"/>
      <c r="C1954" s="64" t="n"/>
      <c r="D1954" s="167" t="n"/>
      <c r="E1954" s="63" t="n"/>
      <c r="F1954" s="63" t="n"/>
    </row>
    <row r="1955">
      <c r="A1955" s="166" t="n"/>
      <c r="B1955" s="63" t="n"/>
      <c r="C1955" s="64" t="n"/>
      <c r="D1955" s="167" t="n"/>
      <c r="E1955" s="63" t="n"/>
      <c r="F1955" s="63" t="n"/>
    </row>
    <row r="1956">
      <c r="A1956" s="166" t="n"/>
      <c r="B1956" s="63" t="n"/>
      <c r="C1956" s="64" t="n"/>
      <c r="D1956" s="167" t="n"/>
      <c r="E1956" s="63" t="n"/>
      <c r="F1956" s="63" t="n"/>
    </row>
    <row r="1957">
      <c r="A1957" s="166" t="n"/>
      <c r="B1957" s="63" t="n"/>
      <c r="C1957" s="64" t="n"/>
      <c r="D1957" s="167" t="n"/>
      <c r="E1957" s="63" t="n"/>
      <c r="F1957" s="63" t="n"/>
    </row>
    <row r="1958">
      <c r="A1958" s="166" t="n"/>
      <c r="B1958" s="63" t="n"/>
      <c r="C1958" s="64" t="n"/>
      <c r="D1958" s="167" t="n"/>
      <c r="E1958" s="63" t="n"/>
      <c r="F1958" s="63" t="n"/>
    </row>
    <row r="1959">
      <c r="A1959" s="166" t="n"/>
      <c r="B1959" s="63" t="n"/>
      <c r="C1959" s="64" t="n"/>
      <c r="D1959" s="167" t="n"/>
      <c r="E1959" s="63" t="n"/>
      <c r="F1959" s="63" t="n"/>
    </row>
    <row r="1960">
      <c r="A1960" s="166" t="n"/>
      <c r="B1960" s="63" t="n"/>
      <c r="C1960" s="64" t="n"/>
      <c r="D1960" s="167" t="n"/>
      <c r="E1960" s="63" t="n"/>
      <c r="F1960" s="63" t="n"/>
    </row>
    <row r="1961">
      <c r="A1961" s="166" t="n"/>
      <c r="B1961" s="63" t="n"/>
      <c r="C1961" s="64" t="n"/>
      <c r="D1961" s="167" t="n"/>
      <c r="E1961" s="63" t="n"/>
      <c r="F1961" s="63" t="n"/>
    </row>
    <row r="1962">
      <c r="A1962" s="166" t="n"/>
      <c r="B1962" s="63" t="n"/>
      <c r="C1962" s="64" t="n"/>
      <c r="D1962" s="167" t="n"/>
      <c r="E1962" s="63" t="n"/>
      <c r="F1962" s="63" t="n"/>
    </row>
    <row r="1963">
      <c r="A1963" s="166" t="n"/>
      <c r="B1963" s="63" t="n"/>
      <c r="C1963" s="64" t="n"/>
      <c r="D1963" s="167" t="n"/>
      <c r="E1963" s="63" t="n"/>
      <c r="F1963" s="63" t="n"/>
    </row>
    <row r="1964">
      <c r="A1964" s="166" t="n"/>
      <c r="B1964" s="63" t="n"/>
      <c r="C1964" s="64" t="n"/>
      <c r="D1964" s="167" t="n"/>
      <c r="E1964" s="63" t="n"/>
      <c r="F1964" s="63" t="n"/>
    </row>
    <row r="1965">
      <c r="A1965" s="166" t="n"/>
      <c r="B1965" s="63" t="n"/>
      <c r="C1965" s="64" t="n"/>
      <c r="D1965" s="167" t="n"/>
      <c r="E1965" s="63" t="n"/>
      <c r="F1965" s="63" t="n"/>
    </row>
    <row r="1966">
      <c r="A1966" s="166" t="n"/>
      <c r="B1966" s="63" t="n"/>
      <c r="C1966" s="64" t="n"/>
      <c r="D1966" s="167" t="n"/>
      <c r="E1966" s="63" t="n"/>
      <c r="F1966" s="63" t="n"/>
    </row>
    <row r="1967">
      <c r="A1967" s="166" t="n"/>
      <c r="B1967" s="63" t="n"/>
      <c r="C1967" s="64" t="n"/>
      <c r="D1967" s="167" t="n"/>
      <c r="E1967" s="63" t="n"/>
      <c r="F1967" s="63" t="n"/>
    </row>
    <row r="1968">
      <c r="A1968" s="166" t="n"/>
      <c r="B1968" s="63" t="n"/>
      <c r="C1968" s="64" t="n"/>
      <c r="D1968" s="167" t="n"/>
      <c r="E1968" s="63" t="n"/>
      <c r="F1968" s="63" t="n"/>
    </row>
    <row r="1969">
      <c r="A1969" s="166" t="n"/>
      <c r="B1969" s="63" t="n"/>
      <c r="C1969" s="64" t="n"/>
      <c r="D1969" s="167" t="n"/>
      <c r="E1969" s="63" t="n"/>
      <c r="F1969" s="63" t="n"/>
    </row>
    <row r="1970">
      <c r="A1970" s="166" t="n"/>
      <c r="B1970" s="63" t="n"/>
      <c r="C1970" s="64" t="n"/>
      <c r="D1970" s="167" t="n"/>
      <c r="E1970" s="63" t="n"/>
      <c r="F1970" s="63" t="n"/>
    </row>
    <row r="1971">
      <c r="A1971" s="166" t="n"/>
      <c r="B1971" s="63" t="n"/>
      <c r="C1971" s="64" t="n"/>
      <c r="D1971" s="167" t="n"/>
      <c r="E1971" s="63" t="n"/>
      <c r="F1971" s="63" t="n"/>
    </row>
    <row r="1972">
      <c r="A1972" s="166" t="n"/>
      <c r="B1972" s="63" t="n"/>
      <c r="C1972" s="64" t="n"/>
      <c r="D1972" s="167" t="n"/>
      <c r="E1972" s="63" t="n"/>
      <c r="F1972" s="63" t="n"/>
    </row>
    <row r="1973">
      <c r="A1973" s="166" t="n"/>
      <c r="B1973" s="63" t="n"/>
      <c r="C1973" s="64" t="n"/>
      <c r="D1973" s="167" t="n"/>
      <c r="E1973" s="63" t="n"/>
      <c r="F1973" s="63" t="n"/>
    </row>
    <row r="1974">
      <c r="A1974" s="166" t="n"/>
      <c r="B1974" s="63" t="n"/>
      <c r="C1974" s="64" t="n"/>
      <c r="D1974" s="167" t="n"/>
      <c r="E1974" s="63" t="n"/>
      <c r="F1974" s="63" t="n"/>
    </row>
    <row r="1975">
      <c r="A1975" s="166" t="n"/>
      <c r="B1975" s="63" t="n"/>
      <c r="C1975" s="64" t="n"/>
      <c r="D1975" s="167" t="n"/>
      <c r="E1975" s="63" t="n"/>
      <c r="F1975" s="63" t="n"/>
    </row>
    <row r="1976">
      <c r="A1976" s="166" t="n"/>
      <c r="B1976" s="63" t="n"/>
      <c r="C1976" s="64" t="n"/>
      <c r="D1976" s="167" t="n"/>
      <c r="E1976" s="63" t="n"/>
      <c r="F1976" s="63" t="n"/>
    </row>
    <row r="1977">
      <c r="A1977" s="166" t="n"/>
      <c r="B1977" s="63" t="n"/>
      <c r="C1977" s="64" t="n"/>
      <c r="D1977" s="167" t="n"/>
      <c r="E1977" s="63" t="n"/>
      <c r="F1977" s="63" t="n"/>
    </row>
    <row r="1978">
      <c r="A1978" s="166" t="n"/>
      <c r="B1978" s="63" t="n"/>
      <c r="C1978" s="64" t="n"/>
      <c r="D1978" s="167" t="n"/>
      <c r="E1978" s="63" t="n"/>
      <c r="F1978" s="63" t="n"/>
    </row>
    <row r="1979">
      <c r="A1979" s="166" t="n"/>
      <c r="B1979" s="63" t="n"/>
      <c r="C1979" s="64" t="n"/>
      <c r="D1979" s="167" t="n"/>
      <c r="E1979" s="63" t="n"/>
      <c r="F1979" s="63" t="n"/>
    </row>
    <row r="1980">
      <c r="A1980" s="166" t="n"/>
      <c r="B1980" s="63" t="n"/>
      <c r="C1980" s="64" t="n"/>
      <c r="D1980" s="167" t="n"/>
      <c r="E1980" s="63" t="n"/>
      <c r="F1980" s="63" t="n"/>
    </row>
    <row r="1981">
      <c r="A1981" s="166" t="n"/>
      <c r="B1981" s="63" t="n"/>
      <c r="C1981" s="64" t="n"/>
      <c r="D1981" s="167" t="n"/>
      <c r="E1981" s="63" t="n"/>
      <c r="F1981" s="63" t="n"/>
    </row>
    <row r="1982">
      <c r="A1982" s="166" t="n"/>
      <c r="B1982" s="63" t="n"/>
      <c r="C1982" s="64" t="n"/>
      <c r="D1982" s="167" t="n"/>
      <c r="E1982" s="63" t="n"/>
      <c r="F1982" s="63" t="n"/>
    </row>
    <row r="1983">
      <c r="A1983" s="166" t="n"/>
      <c r="B1983" s="63" t="n"/>
      <c r="C1983" s="64" t="n"/>
      <c r="D1983" s="167" t="n"/>
      <c r="E1983" s="63" t="n"/>
      <c r="F1983" s="63" t="n"/>
    </row>
    <row r="1984">
      <c r="A1984" s="166" t="n"/>
      <c r="B1984" s="63" t="n"/>
      <c r="C1984" s="64" t="n"/>
      <c r="D1984" s="167" t="n"/>
      <c r="E1984" s="63" t="n"/>
      <c r="F1984" s="63" t="n"/>
    </row>
    <row r="1985">
      <c r="A1985" s="166" t="n"/>
      <c r="B1985" s="63" t="n"/>
      <c r="C1985" s="64" t="n"/>
      <c r="D1985" s="167" t="n"/>
      <c r="E1985" s="63" t="n"/>
      <c r="F1985" s="63" t="n"/>
    </row>
    <row r="1986">
      <c r="A1986" s="166" t="n"/>
      <c r="B1986" s="63" t="n"/>
      <c r="C1986" s="64" t="n"/>
      <c r="D1986" s="167" t="n"/>
      <c r="E1986" s="63" t="n"/>
      <c r="F1986" s="63" t="n"/>
    </row>
    <row r="1987">
      <c r="A1987" s="166" t="n"/>
      <c r="B1987" s="63" t="n"/>
      <c r="C1987" s="64" t="n"/>
      <c r="D1987" s="167" t="n"/>
      <c r="E1987" s="63" t="n"/>
      <c r="F1987" s="63" t="n"/>
    </row>
    <row r="1988">
      <c r="A1988" s="166" t="n"/>
      <c r="B1988" s="63" t="n"/>
      <c r="C1988" s="64" t="n"/>
      <c r="D1988" s="167" t="n"/>
      <c r="E1988" s="63" t="n"/>
      <c r="F1988" s="63" t="n"/>
    </row>
    <row r="1989">
      <c r="A1989" s="166" t="n"/>
      <c r="B1989" s="63" t="n"/>
      <c r="C1989" s="64" t="n"/>
      <c r="D1989" s="167" t="n"/>
      <c r="E1989" s="63" t="n"/>
      <c r="F1989" s="63" t="n"/>
    </row>
    <row r="1990">
      <c r="A1990" s="166" t="n"/>
      <c r="B1990" s="63" t="n"/>
      <c r="C1990" s="64" t="n"/>
      <c r="D1990" s="167" t="n"/>
      <c r="E1990" s="63" t="n"/>
      <c r="F1990" s="63" t="n"/>
    </row>
    <row r="1991">
      <c r="A1991" s="166" t="n"/>
      <c r="B1991" s="63" t="n"/>
      <c r="C1991" s="64" t="n"/>
      <c r="D1991" s="167" t="n"/>
      <c r="E1991" s="63" t="n"/>
      <c r="F1991" s="63" t="n"/>
    </row>
    <row r="1992">
      <c r="A1992" s="166" t="n"/>
      <c r="B1992" s="63" t="n"/>
      <c r="C1992" s="64" t="n"/>
      <c r="D1992" s="167" t="n"/>
      <c r="E1992" s="63" t="n"/>
      <c r="F1992" s="63" t="n"/>
    </row>
    <row r="1993">
      <c r="A1993" s="166" t="n"/>
      <c r="B1993" s="63" t="n"/>
      <c r="C1993" s="64" t="n"/>
      <c r="D1993" s="167" t="n"/>
      <c r="E1993" s="63" t="n"/>
      <c r="F1993" s="63" t="n"/>
    </row>
    <row r="1994">
      <c r="A1994" s="166" t="n"/>
      <c r="B1994" s="63" t="n"/>
      <c r="C1994" s="64" t="n"/>
      <c r="D1994" s="167" t="n"/>
      <c r="E1994" s="63" t="n"/>
      <c r="F1994" s="63" t="n"/>
    </row>
    <row r="1995">
      <c r="A1995" s="166" t="n"/>
      <c r="B1995" s="63" t="n"/>
      <c r="C1995" s="64" t="n"/>
      <c r="D1995" s="167" t="n"/>
      <c r="E1995" s="63" t="n"/>
      <c r="F1995" s="63" t="n"/>
    </row>
    <row r="1996">
      <c r="A1996" s="166" t="n"/>
      <c r="B1996" s="63" t="n"/>
      <c r="C1996" s="64" t="n"/>
      <c r="D1996" s="167" t="n"/>
      <c r="E1996" s="63" t="n"/>
      <c r="F1996" s="63" t="n"/>
    </row>
    <row r="1997">
      <c r="A1997" s="166" t="n"/>
      <c r="B1997" s="63" t="n"/>
      <c r="C1997" s="64" t="n"/>
      <c r="D1997" s="167" t="n"/>
      <c r="E1997" s="63" t="n"/>
      <c r="F1997" s="63" t="n"/>
    </row>
    <row r="1998">
      <c r="A1998" s="166" t="n"/>
      <c r="B1998" s="63" t="n"/>
      <c r="C1998" s="64" t="n"/>
      <c r="D1998" s="167" t="n"/>
      <c r="E1998" s="63" t="n"/>
      <c r="F1998" s="63" t="n"/>
    </row>
    <row r="1999">
      <c r="A1999" s="166" t="n"/>
      <c r="B1999" s="63" t="n"/>
      <c r="C1999" s="64" t="n"/>
      <c r="D1999" s="167" t="n"/>
      <c r="E1999" s="63" t="n"/>
      <c r="F1999" s="63" t="n"/>
    </row>
    <row r="2000">
      <c r="A2000" s="166" t="n"/>
      <c r="B2000" s="63" t="n"/>
      <c r="C2000" s="64" t="n"/>
      <c r="D2000" s="167" t="n"/>
      <c r="E2000" s="63" t="n"/>
      <c r="F2000" s="63" t="n"/>
    </row>
    <row r="2001">
      <c r="A2001" s="166" t="n"/>
      <c r="B2001" s="63" t="n"/>
      <c r="C2001" s="64" t="n"/>
      <c r="D2001" s="167" t="n"/>
      <c r="E2001" s="63" t="n"/>
      <c r="F2001" s="63" t="n"/>
    </row>
    <row r="2002">
      <c r="A2002" s="166" t="n"/>
      <c r="B2002" s="63" t="n"/>
      <c r="C2002" s="64" t="n"/>
      <c r="D2002" s="167" t="n"/>
      <c r="E2002" s="63" t="n"/>
      <c r="F2002" s="63" t="n"/>
    </row>
    <row r="2003">
      <c r="A2003" s="166" t="n"/>
      <c r="B2003" s="63" t="n"/>
      <c r="C2003" s="64" t="n"/>
      <c r="D2003" s="167" t="n"/>
      <c r="E2003" s="63" t="n"/>
      <c r="F2003" s="63" t="n"/>
    </row>
    <row r="2004">
      <c r="A2004" s="166" t="n"/>
      <c r="B2004" s="63" t="n"/>
      <c r="C2004" s="64" t="n"/>
      <c r="D2004" s="167" t="n"/>
      <c r="E2004" s="63" t="n"/>
      <c r="F2004" s="63" t="n"/>
    </row>
    <row r="2005">
      <c r="A2005" s="166" t="n"/>
      <c r="B2005" s="63" t="n"/>
      <c r="C2005" s="64" t="n"/>
      <c r="D2005" s="167" t="n"/>
      <c r="E2005" s="63" t="n"/>
      <c r="F2005" s="63" t="n"/>
    </row>
    <row r="2006">
      <c r="A2006" s="166" t="n"/>
      <c r="B2006" s="63" t="n"/>
      <c r="C2006" s="64" t="n"/>
      <c r="D2006" s="167" t="n"/>
      <c r="E2006" s="63" t="n"/>
      <c r="F2006" s="63" t="n"/>
    </row>
    <row r="2007">
      <c r="A2007" s="166" t="n"/>
      <c r="B2007" s="63" t="n"/>
      <c r="C2007" s="64" t="n"/>
      <c r="D2007" s="167" t="n"/>
      <c r="E2007" s="63" t="n"/>
      <c r="F2007" s="63" t="n"/>
    </row>
    <row r="2008">
      <c r="A2008" s="166" t="n"/>
      <c r="B2008" s="63" t="n"/>
      <c r="C2008" s="64" t="n"/>
      <c r="D2008" s="167" t="n"/>
      <c r="E2008" s="63" t="n"/>
      <c r="F2008" s="63" t="n"/>
    </row>
    <row r="2009">
      <c r="A2009" s="166" t="n"/>
      <c r="B2009" s="63" t="n"/>
      <c r="C2009" s="64" t="n"/>
      <c r="D2009" s="167" t="n"/>
      <c r="E2009" s="63" t="n"/>
      <c r="F2009" s="63" t="n"/>
    </row>
    <row r="2010">
      <c r="A2010" s="166" t="n"/>
      <c r="B2010" s="63" t="n"/>
      <c r="C2010" s="64" t="n"/>
      <c r="D2010" s="167" t="n"/>
      <c r="E2010" s="63" t="n"/>
      <c r="F2010" s="63" t="n"/>
    </row>
    <row r="2011">
      <c r="A2011" s="166" t="n"/>
      <c r="B2011" s="63" t="n"/>
      <c r="C2011" s="64" t="n"/>
      <c r="D2011" s="167" t="n"/>
      <c r="E2011" s="63" t="n"/>
      <c r="F2011" s="63" t="n"/>
    </row>
    <row r="2012">
      <c r="A2012" s="166" t="n"/>
      <c r="B2012" s="63" t="n"/>
      <c r="C2012" s="64" t="n"/>
      <c r="D2012" s="167" t="n"/>
      <c r="E2012" s="63" t="n"/>
      <c r="F2012" s="63" t="n"/>
    </row>
    <row r="2013">
      <c r="A2013" s="166" t="n"/>
      <c r="B2013" s="63" t="n"/>
      <c r="C2013" s="64" t="n"/>
      <c r="D2013" s="167" t="n"/>
      <c r="E2013" s="63" t="n"/>
      <c r="F2013" s="63" t="n"/>
    </row>
    <row r="2014">
      <c r="A2014" s="166" t="n"/>
      <c r="B2014" s="63" t="n"/>
      <c r="C2014" s="64" t="n"/>
      <c r="D2014" s="167" t="n"/>
      <c r="E2014" s="63" t="n"/>
      <c r="F2014" s="63" t="n"/>
    </row>
    <row r="2015">
      <c r="A2015" s="166" t="n"/>
      <c r="B2015" s="63" t="n"/>
      <c r="C2015" s="64" t="n"/>
      <c r="D2015" s="167" t="n"/>
      <c r="E2015" s="63" t="n"/>
      <c r="F2015" s="63" t="n"/>
    </row>
    <row r="2016">
      <c r="A2016" s="166" t="n"/>
      <c r="B2016" s="63" t="n"/>
      <c r="C2016" s="64" t="n"/>
      <c r="D2016" s="167" t="n"/>
      <c r="E2016" s="63" t="n"/>
      <c r="F2016" s="63" t="n"/>
    </row>
    <row r="2017">
      <c r="A2017" s="166" t="n"/>
      <c r="B2017" s="63" t="n"/>
      <c r="C2017" s="64" t="n"/>
      <c r="D2017" s="167" t="n"/>
      <c r="E2017" s="63" t="n"/>
      <c r="F2017" s="63" t="n"/>
    </row>
    <row r="2018">
      <c r="A2018" s="166" t="n"/>
      <c r="B2018" s="63" t="n"/>
      <c r="C2018" s="64" t="n"/>
      <c r="D2018" s="167" t="n"/>
      <c r="E2018" s="63" t="n"/>
      <c r="F2018" s="63" t="n"/>
    </row>
    <row r="2019">
      <c r="A2019" s="166" t="n"/>
      <c r="B2019" s="63" t="n"/>
      <c r="C2019" s="64" t="n"/>
      <c r="D2019" s="167" t="n"/>
      <c r="E2019" s="63" t="n"/>
      <c r="F2019" s="63" t="n"/>
    </row>
    <row r="2020">
      <c r="A2020" s="166" t="n"/>
      <c r="B2020" s="63" t="n"/>
      <c r="C2020" s="64" t="n"/>
      <c r="D2020" s="167" t="n"/>
      <c r="E2020" s="63" t="n"/>
      <c r="F2020" s="63" t="n"/>
    </row>
    <row r="2021">
      <c r="A2021" s="166" t="n"/>
      <c r="B2021" s="63" t="n"/>
      <c r="C2021" s="64" t="n"/>
      <c r="D2021" s="167" t="n"/>
      <c r="E2021" s="63" t="n"/>
      <c r="F2021" s="63" t="n"/>
    </row>
    <row r="2022">
      <c r="A2022" s="166" t="n"/>
      <c r="B2022" s="63" t="n"/>
      <c r="C2022" s="64" t="n"/>
      <c r="D2022" s="167" t="n"/>
      <c r="E2022" s="63" t="n"/>
      <c r="F2022" s="63" t="n"/>
    </row>
    <row r="2023">
      <c r="A2023" s="166" t="n"/>
      <c r="B2023" s="63" t="n"/>
      <c r="C2023" s="64" t="n"/>
      <c r="D2023" s="167" t="n"/>
      <c r="E2023" s="63" t="n"/>
      <c r="F2023" s="63" t="n"/>
    </row>
    <row r="2024">
      <c r="A2024" s="166" t="n"/>
      <c r="B2024" s="63" t="n"/>
      <c r="C2024" s="64" t="n"/>
      <c r="D2024" s="167" t="n"/>
      <c r="E2024" s="63" t="n"/>
      <c r="F2024" s="63" t="n"/>
    </row>
    <row r="2025">
      <c r="A2025" s="166" t="n"/>
      <c r="B2025" s="63" t="n"/>
      <c r="C2025" s="64" t="n"/>
      <c r="D2025" s="167" t="n"/>
      <c r="E2025" s="63" t="n"/>
      <c r="F2025" s="63" t="n"/>
    </row>
    <row r="2026">
      <c r="A2026" s="166" t="n"/>
      <c r="B2026" s="63" t="n"/>
      <c r="C2026" s="64" t="n"/>
      <c r="D2026" s="167" t="n"/>
      <c r="E2026" s="63" t="n"/>
      <c r="F2026" s="63" t="n"/>
    </row>
    <row r="2027">
      <c r="A2027" s="166" t="n"/>
      <c r="B2027" s="63" t="n"/>
      <c r="C2027" s="64" t="n"/>
      <c r="D2027" s="167" t="n"/>
      <c r="E2027" s="63" t="n"/>
      <c r="F2027" s="63" t="n"/>
    </row>
    <row r="2028">
      <c r="A2028" s="166" t="n"/>
      <c r="B2028" s="63" t="n"/>
      <c r="C2028" s="64" t="n"/>
      <c r="D2028" s="167" t="n"/>
      <c r="E2028" s="63" t="n"/>
      <c r="F2028" s="63" t="n"/>
    </row>
    <row r="2029">
      <c r="A2029" s="166" t="n"/>
      <c r="B2029" s="63" t="n"/>
      <c r="C2029" s="64" t="n"/>
      <c r="D2029" s="167" t="n"/>
      <c r="E2029" s="63" t="n"/>
      <c r="F2029" s="63" t="n"/>
    </row>
    <row r="2030">
      <c r="A2030" s="166" t="n"/>
      <c r="B2030" s="63" t="n"/>
      <c r="C2030" s="64" t="n"/>
      <c r="D2030" s="167" t="n"/>
      <c r="E2030" s="63" t="n"/>
      <c r="F2030" s="63" t="n"/>
    </row>
    <row r="2031">
      <c r="A2031" s="166" t="n"/>
      <c r="B2031" s="63" t="n"/>
      <c r="C2031" s="64" t="n"/>
      <c r="D2031" s="167" t="n"/>
      <c r="E2031" s="63" t="n"/>
      <c r="F2031" s="63" t="n"/>
    </row>
    <row r="2032">
      <c r="A2032" s="166" t="n"/>
      <c r="B2032" s="63" t="n"/>
      <c r="C2032" s="64" t="n"/>
      <c r="D2032" s="167" t="n"/>
      <c r="E2032" s="63" t="n"/>
      <c r="F2032" s="63" t="n"/>
    </row>
    <row r="2033">
      <c r="A2033" s="166" t="n"/>
      <c r="B2033" s="63" t="n"/>
      <c r="C2033" s="64" t="n"/>
      <c r="D2033" s="167" t="n"/>
      <c r="E2033" s="63" t="n"/>
      <c r="F2033" s="63" t="n"/>
    </row>
    <row r="2034">
      <c r="A2034" s="166" t="n"/>
      <c r="B2034" s="63" t="n"/>
      <c r="C2034" s="64" t="n"/>
      <c r="D2034" s="167" t="n"/>
      <c r="E2034" s="63" t="n"/>
      <c r="F2034" s="63" t="n"/>
    </row>
    <row r="2035">
      <c r="A2035" s="166" t="n"/>
      <c r="B2035" s="63" t="n"/>
      <c r="C2035" s="64" t="n"/>
      <c r="D2035" s="167" t="n"/>
      <c r="E2035" s="63" t="n"/>
      <c r="F2035" s="63" t="n"/>
    </row>
    <row r="2036">
      <c r="A2036" s="166" t="n"/>
      <c r="B2036" s="63" t="n"/>
      <c r="C2036" s="64" t="n"/>
      <c r="D2036" s="167" t="n"/>
      <c r="E2036" s="63" t="n"/>
      <c r="F2036" s="63" t="n"/>
    </row>
    <row r="2037">
      <c r="A2037" s="166" t="n"/>
      <c r="B2037" s="63" t="n"/>
      <c r="C2037" s="64" t="n"/>
      <c r="D2037" s="167" t="n"/>
      <c r="E2037" s="63" t="n"/>
      <c r="F2037" s="63" t="n"/>
    </row>
    <row r="2038">
      <c r="A2038" s="166" t="n"/>
      <c r="B2038" s="63" t="n"/>
      <c r="C2038" s="64" t="n"/>
      <c r="D2038" s="167" t="n"/>
      <c r="E2038" s="63" t="n"/>
      <c r="F2038" s="63" t="n"/>
    </row>
    <row r="2039">
      <c r="A2039" s="166" t="n"/>
      <c r="B2039" s="63" t="n"/>
      <c r="C2039" s="64" t="n"/>
      <c r="D2039" s="167" t="n"/>
      <c r="E2039" s="63" t="n"/>
      <c r="F2039" s="63" t="n"/>
    </row>
    <row r="2040">
      <c r="A2040" s="166" t="n"/>
      <c r="B2040" s="63" t="n"/>
      <c r="C2040" s="64" t="n"/>
      <c r="D2040" s="167" t="n"/>
      <c r="E2040" s="63" t="n"/>
      <c r="F2040" s="63" t="n"/>
    </row>
    <row r="2041">
      <c r="A2041" s="166" t="n"/>
      <c r="B2041" s="63" t="n"/>
      <c r="C2041" s="64" t="n"/>
      <c r="D2041" s="167" t="n"/>
      <c r="E2041" s="63" t="n"/>
      <c r="F2041" s="63" t="n"/>
    </row>
    <row r="2042">
      <c r="A2042" s="166" t="n"/>
      <c r="B2042" s="63" t="n"/>
      <c r="C2042" s="64" t="n"/>
      <c r="D2042" s="167" t="n"/>
      <c r="E2042" s="63" t="n"/>
      <c r="F2042" s="63" t="n"/>
    </row>
    <row r="2043">
      <c r="A2043" s="166" t="n"/>
      <c r="B2043" s="63" t="n"/>
      <c r="C2043" s="64" t="n"/>
      <c r="D2043" s="167" t="n"/>
      <c r="E2043" s="63" t="n"/>
      <c r="F2043" s="63" t="n"/>
    </row>
    <row r="2044">
      <c r="A2044" s="166" t="n"/>
      <c r="B2044" s="63" t="n"/>
      <c r="C2044" s="64" t="n"/>
      <c r="D2044" s="167" t="n"/>
      <c r="E2044" s="63" t="n"/>
      <c r="F2044" s="63" t="n"/>
    </row>
    <row r="2045">
      <c r="A2045" s="166" t="n"/>
      <c r="B2045" s="63" t="n"/>
      <c r="C2045" s="64" t="n"/>
      <c r="D2045" s="167" t="n"/>
      <c r="E2045" s="63" t="n"/>
      <c r="F2045" s="63" t="n"/>
    </row>
    <row r="2046">
      <c r="A2046" s="166" t="n"/>
      <c r="B2046" s="63" t="n"/>
      <c r="C2046" s="64" t="n"/>
      <c r="D2046" s="167" t="n"/>
      <c r="E2046" s="63" t="n"/>
      <c r="F2046" s="63" t="n"/>
    </row>
    <row r="2047">
      <c r="A2047" s="166" t="n"/>
      <c r="B2047" s="63" t="n"/>
      <c r="C2047" s="64" t="n"/>
      <c r="D2047" s="167" t="n"/>
      <c r="E2047" s="63" t="n"/>
      <c r="F2047" s="63" t="n"/>
    </row>
    <row r="2048">
      <c r="A2048" s="166" t="n"/>
      <c r="B2048" s="63" t="n"/>
      <c r="C2048" s="64" t="n"/>
      <c r="D2048" s="167" t="n"/>
      <c r="E2048" s="63" t="n"/>
      <c r="F2048" s="63" t="n"/>
    </row>
    <row r="2049">
      <c r="A2049" s="166" t="n"/>
      <c r="B2049" s="63" t="n"/>
      <c r="C2049" s="64" t="n"/>
      <c r="D2049" s="167" t="n"/>
      <c r="E2049" s="63" t="n"/>
      <c r="F2049" s="63" t="n"/>
    </row>
    <row r="2050">
      <c r="A2050" s="166" t="n"/>
      <c r="B2050" s="63" t="n"/>
      <c r="C2050" s="64" t="n"/>
      <c r="D2050" s="167" t="n"/>
      <c r="E2050" s="63" t="n"/>
      <c r="F2050" s="63" t="n"/>
    </row>
    <row r="2051">
      <c r="A2051" s="166" t="n"/>
      <c r="B2051" s="63" t="n"/>
      <c r="C2051" s="64" t="n"/>
      <c r="D2051" s="167" t="n"/>
      <c r="E2051" s="63" t="n"/>
      <c r="F2051" s="63" t="n"/>
    </row>
    <row r="2052">
      <c r="A2052" s="166" t="n"/>
      <c r="B2052" s="63" t="n"/>
      <c r="C2052" s="64" t="n"/>
      <c r="D2052" s="167" t="n"/>
      <c r="E2052" s="63" t="n"/>
      <c r="F2052" s="63" t="n"/>
    </row>
    <row r="2053">
      <c r="A2053" s="166" t="n"/>
      <c r="B2053" s="63" t="n"/>
      <c r="C2053" s="64" t="n"/>
      <c r="D2053" s="167" t="n"/>
      <c r="E2053" s="63" t="n"/>
      <c r="F2053" s="63" t="n"/>
    </row>
    <row r="2054">
      <c r="A2054" s="166" t="n"/>
      <c r="B2054" s="63" t="n"/>
      <c r="C2054" s="64" t="n"/>
      <c r="D2054" s="167" t="n"/>
      <c r="E2054" s="63" t="n"/>
      <c r="F2054" s="63" t="n"/>
    </row>
    <row r="2055">
      <c r="A2055" s="166" t="n"/>
      <c r="B2055" s="63" t="n"/>
      <c r="C2055" s="64" t="n"/>
      <c r="D2055" s="167" t="n"/>
      <c r="E2055" s="63" t="n"/>
      <c r="F2055" s="63" t="n"/>
    </row>
    <row r="2056">
      <c r="A2056" s="166" t="n"/>
      <c r="B2056" s="63" t="n"/>
      <c r="C2056" s="64" t="n"/>
      <c r="D2056" s="167" t="n"/>
      <c r="E2056" s="63" t="n"/>
      <c r="F2056" s="63" t="n"/>
    </row>
    <row r="2057">
      <c r="A2057" s="166" t="n"/>
      <c r="B2057" s="63" t="n"/>
      <c r="C2057" s="64" t="n"/>
      <c r="D2057" s="167" t="n"/>
      <c r="E2057" s="63" t="n"/>
      <c r="F2057" s="63" t="n"/>
    </row>
    <row r="2058">
      <c r="A2058" s="166" t="n"/>
      <c r="B2058" s="63" t="n"/>
      <c r="C2058" s="64" t="n"/>
      <c r="D2058" s="167" t="n"/>
      <c r="E2058" s="63" t="n"/>
      <c r="F2058" s="63" t="n"/>
    </row>
    <row r="2059">
      <c r="A2059" s="166" t="n"/>
      <c r="B2059" s="63" t="n"/>
      <c r="C2059" s="64" t="n"/>
      <c r="D2059" s="167" t="n"/>
      <c r="E2059" s="63" t="n"/>
      <c r="F2059" s="63" t="n"/>
    </row>
    <row r="2060">
      <c r="A2060" s="166" t="n"/>
      <c r="B2060" s="63" t="n"/>
      <c r="C2060" s="64" t="n"/>
      <c r="D2060" s="167" t="n"/>
      <c r="E2060" s="63" t="n"/>
      <c r="F2060" s="63" t="n"/>
    </row>
    <row r="2061">
      <c r="A2061" s="166" t="n"/>
      <c r="B2061" s="63" t="n"/>
      <c r="C2061" s="64" t="n"/>
      <c r="D2061" s="167" t="n"/>
      <c r="E2061" s="63" t="n"/>
      <c r="F2061" s="63" t="n"/>
    </row>
    <row r="2062">
      <c r="A2062" s="166" t="n"/>
      <c r="B2062" s="63" t="n"/>
      <c r="C2062" s="64" t="n"/>
      <c r="D2062" s="167" t="n"/>
      <c r="E2062" s="63" t="n"/>
      <c r="F2062" s="63" t="n"/>
    </row>
    <row r="2063">
      <c r="A2063" s="166" t="n"/>
      <c r="B2063" s="63" t="n"/>
      <c r="C2063" s="64" t="n"/>
      <c r="D2063" s="167" t="n"/>
      <c r="E2063" s="63" t="n"/>
      <c r="F2063" s="63" t="n"/>
    </row>
    <row r="2064">
      <c r="A2064" s="166" t="n"/>
      <c r="B2064" s="63" t="n"/>
      <c r="C2064" s="64" t="n"/>
      <c r="D2064" s="167" t="n"/>
      <c r="E2064" s="63" t="n"/>
      <c r="F2064" s="63" t="n"/>
    </row>
    <row r="2065">
      <c r="A2065" s="166" t="n"/>
      <c r="B2065" s="63" t="n"/>
      <c r="C2065" s="64" t="n"/>
      <c r="D2065" s="167" t="n"/>
      <c r="E2065" s="63" t="n"/>
      <c r="F2065" s="63" t="n"/>
    </row>
    <row r="2066">
      <c r="A2066" s="166" t="n"/>
      <c r="B2066" s="63" t="n"/>
      <c r="C2066" s="64" t="n"/>
      <c r="D2066" s="167" t="n"/>
      <c r="E2066" s="63" t="n"/>
      <c r="F2066" s="63" t="n"/>
    </row>
    <row r="2067">
      <c r="A2067" s="166" t="n"/>
      <c r="B2067" s="63" t="n"/>
      <c r="C2067" s="64" t="n"/>
      <c r="D2067" s="167" t="n"/>
      <c r="E2067" s="63" t="n"/>
      <c r="F2067" s="63" t="n"/>
    </row>
    <row r="2068">
      <c r="A2068" s="166" t="n"/>
      <c r="B2068" s="63" t="n"/>
      <c r="C2068" s="64" t="n"/>
      <c r="D2068" s="167" t="n"/>
      <c r="E2068" s="63" t="n"/>
      <c r="F2068" s="63" t="n"/>
    </row>
    <row r="2069">
      <c r="A2069" s="166" t="n"/>
      <c r="B2069" s="63" t="n"/>
      <c r="C2069" s="64" t="n"/>
      <c r="D2069" s="167" t="n"/>
      <c r="E2069" s="63" t="n"/>
      <c r="F2069" s="63" t="n"/>
    </row>
    <row r="2070">
      <c r="A2070" s="166" t="n"/>
      <c r="B2070" s="63" t="n"/>
      <c r="C2070" s="64" t="n"/>
      <c r="D2070" s="167" t="n"/>
      <c r="E2070" s="63" t="n"/>
      <c r="F2070" s="63" t="n"/>
    </row>
    <row r="2071">
      <c r="A2071" s="166" t="n"/>
      <c r="B2071" s="63" t="n"/>
      <c r="C2071" s="64" t="n"/>
      <c r="D2071" s="167" t="n"/>
      <c r="E2071" s="63" t="n"/>
      <c r="F2071" s="63" t="n"/>
    </row>
    <row r="2072">
      <c r="A2072" s="166" t="n"/>
      <c r="B2072" s="63" t="n"/>
      <c r="C2072" s="64" t="n"/>
      <c r="D2072" s="167" t="n"/>
      <c r="E2072" s="63" t="n"/>
      <c r="F2072" s="63" t="n"/>
    </row>
    <row r="2073">
      <c r="A2073" s="166" t="n"/>
      <c r="B2073" s="63" t="n"/>
      <c r="C2073" s="64" t="n"/>
      <c r="D2073" s="167" t="n"/>
      <c r="E2073" s="63" t="n"/>
      <c r="F2073" s="63" t="n"/>
    </row>
    <row r="2074">
      <c r="A2074" s="166" t="n"/>
      <c r="B2074" s="63" t="n"/>
      <c r="C2074" s="64" t="n"/>
      <c r="D2074" s="167" t="n"/>
      <c r="E2074" s="63" t="n"/>
      <c r="F2074" s="63" t="n"/>
    </row>
    <row r="2075">
      <c r="A2075" s="166" t="n"/>
      <c r="B2075" s="63" t="n"/>
      <c r="C2075" s="64" t="n"/>
      <c r="D2075" s="167" t="n"/>
      <c r="E2075" s="63" t="n"/>
      <c r="F2075" s="63" t="n"/>
    </row>
    <row r="2076">
      <c r="A2076" s="166" t="n"/>
      <c r="B2076" s="63" t="n"/>
      <c r="C2076" s="64" t="n"/>
      <c r="D2076" s="167" t="n"/>
      <c r="E2076" s="63" t="n"/>
      <c r="F2076" s="63" t="n"/>
    </row>
    <row r="2077">
      <c r="A2077" s="166" t="n"/>
      <c r="B2077" s="63" t="n"/>
      <c r="C2077" s="64" t="n"/>
      <c r="D2077" s="167" t="n"/>
      <c r="E2077" s="63" t="n"/>
      <c r="F2077" s="63" t="n"/>
    </row>
    <row r="2078">
      <c r="A2078" s="166" t="n"/>
      <c r="B2078" s="63" t="n"/>
      <c r="C2078" s="64" t="n"/>
      <c r="D2078" s="167" t="n"/>
      <c r="E2078" s="63" t="n"/>
      <c r="F2078" s="63" t="n"/>
    </row>
    <row r="2079">
      <c r="A2079" s="166" t="n"/>
      <c r="B2079" s="63" t="n"/>
      <c r="C2079" s="64" t="n"/>
      <c r="D2079" s="167" t="n"/>
      <c r="E2079" s="63" t="n"/>
      <c r="F2079" s="63" t="n"/>
    </row>
    <row r="2080">
      <c r="A2080" s="166" t="n"/>
      <c r="B2080" s="63" t="n"/>
      <c r="C2080" s="64" t="n"/>
      <c r="D2080" s="167" t="n"/>
      <c r="E2080" s="63" t="n"/>
      <c r="F2080" s="63" t="n"/>
    </row>
    <row r="2081">
      <c r="A2081" s="166" t="n"/>
      <c r="B2081" s="63" t="n"/>
      <c r="C2081" s="64" t="n"/>
      <c r="D2081" s="167" t="n"/>
      <c r="E2081" s="63" t="n"/>
      <c r="F2081" s="63" t="n"/>
    </row>
    <row r="2082">
      <c r="A2082" s="166" t="n"/>
      <c r="B2082" s="63" t="n"/>
      <c r="C2082" s="64" t="n"/>
      <c r="D2082" s="167" t="n"/>
      <c r="E2082" s="63" t="n"/>
      <c r="F2082" s="63" t="n"/>
    </row>
    <row r="2083">
      <c r="A2083" s="166" t="n"/>
      <c r="B2083" s="63" t="n"/>
      <c r="C2083" s="64" t="n"/>
      <c r="D2083" s="167" t="n"/>
      <c r="E2083" s="63" t="n"/>
      <c r="F2083" s="63" t="n"/>
    </row>
    <row r="2084">
      <c r="A2084" s="166" t="n"/>
      <c r="B2084" s="63" t="n"/>
      <c r="C2084" s="64" t="n"/>
      <c r="D2084" s="167" t="n"/>
      <c r="E2084" s="63" t="n"/>
      <c r="F2084" s="63" t="n"/>
    </row>
    <row r="2085">
      <c r="A2085" s="166" t="n"/>
      <c r="B2085" s="63" t="n"/>
      <c r="C2085" s="64" t="n"/>
      <c r="D2085" s="167" t="n"/>
      <c r="E2085" s="63" t="n"/>
      <c r="F2085" s="63" t="n"/>
    </row>
    <row r="2086">
      <c r="A2086" s="166" t="n"/>
      <c r="B2086" s="63" t="n"/>
      <c r="C2086" s="64" t="n"/>
      <c r="D2086" s="167" t="n"/>
      <c r="E2086" s="63" t="n"/>
      <c r="F2086" s="63" t="n"/>
    </row>
    <row r="2087">
      <c r="A2087" s="166" t="n"/>
      <c r="B2087" s="63" t="n"/>
      <c r="C2087" s="64" t="n"/>
      <c r="D2087" s="167" t="n"/>
      <c r="E2087" s="63" t="n"/>
      <c r="F2087" s="63" t="n"/>
    </row>
    <row r="2088">
      <c r="A2088" s="166" t="n"/>
      <c r="B2088" s="63" t="n"/>
      <c r="C2088" s="64" t="n"/>
      <c r="D2088" s="167" t="n"/>
      <c r="E2088" s="63" t="n"/>
      <c r="F2088" s="63" t="n"/>
    </row>
    <row r="2089">
      <c r="A2089" s="166" t="n"/>
      <c r="B2089" s="63" t="n"/>
      <c r="C2089" s="64" t="n"/>
      <c r="D2089" s="167" t="n"/>
      <c r="E2089" s="63" t="n"/>
      <c r="F2089" s="63" t="n"/>
    </row>
    <row r="2090">
      <c r="A2090" s="166" t="n"/>
      <c r="B2090" s="63" t="n"/>
      <c r="C2090" s="64" t="n"/>
      <c r="D2090" s="167" t="n"/>
      <c r="E2090" s="63" t="n"/>
      <c r="F2090" s="63" t="n"/>
    </row>
    <row r="2091">
      <c r="A2091" s="166" t="n"/>
      <c r="B2091" s="63" t="n"/>
      <c r="C2091" s="64" t="n"/>
      <c r="D2091" s="167" t="n"/>
      <c r="E2091" s="63" t="n"/>
      <c r="F2091" s="63" t="n"/>
    </row>
    <row r="2092">
      <c r="A2092" s="166" t="n"/>
      <c r="B2092" s="63" t="n"/>
      <c r="C2092" s="64" t="n"/>
      <c r="D2092" s="167" t="n"/>
      <c r="E2092" s="63" t="n"/>
      <c r="F2092" s="63" t="n"/>
    </row>
    <row r="2093">
      <c r="A2093" s="166" t="n"/>
      <c r="B2093" s="63" t="n"/>
      <c r="C2093" s="64" t="n"/>
      <c r="D2093" s="167" t="n"/>
      <c r="E2093" s="63" t="n"/>
      <c r="F2093" s="63" t="n"/>
    </row>
    <row r="2094">
      <c r="A2094" s="166" t="n"/>
      <c r="B2094" s="63" t="n"/>
      <c r="C2094" s="64" t="n"/>
      <c r="D2094" s="167" t="n"/>
      <c r="E2094" s="63" t="n"/>
      <c r="F2094" s="63" t="n"/>
    </row>
    <row r="2095">
      <c r="A2095" s="166" t="n"/>
      <c r="B2095" s="63" t="n"/>
      <c r="C2095" s="64" t="n"/>
      <c r="D2095" s="167" t="n"/>
      <c r="E2095" s="63" t="n"/>
      <c r="F2095" s="63" t="n"/>
    </row>
    <row r="2096">
      <c r="A2096" s="166" t="n"/>
      <c r="B2096" s="63" t="n"/>
      <c r="C2096" s="64" t="n"/>
      <c r="D2096" s="167" t="n"/>
      <c r="E2096" s="63" t="n"/>
      <c r="F2096" s="63" t="n"/>
    </row>
    <row r="2097">
      <c r="A2097" s="166" t="n"/>
      <c r="B2097" s="63" t="n"/>
      <c r="C2097" s="64" t="n"/>
      <c r="D2097" s="167" t="n"/>
      <c r="E2097" s="63" t="n"/>
      <c r="F2097" s="63" t="n"/>
    </row>
    <row r="2098">
      <c r="A2098" s="166" t="n"/>
      <c r="B2098" s="63" t="n"/>
      <c r="C2098" s="64" t="n"/>
      <c r="D2098" s="167" t="n"/>
      <c r="E2098" s="63" t="n"/>
      <c r="F2098" s="63" t="n"/>
    </row>
    <row r="2099">
      <c r="A2099" s="166" t="n"/>
      <c r="B2099" s="63" t="n"/>
      <c r="C2099" s="64" t="n"/>
      <c r="D2099" s="167" t="n"/>
      <c r="E2099" s="63" t="n"/>
      <c r="F2099" s="63" t="n"/>
    </row>
    <row r="2100">
      <c r="A2100" s="166" t="n"/>
      <c r="B2100" s="63" t="n"/>
      <c r="C2100" s="64" t="n"/>
      <c r="D2100" s="167" t="n"/>
      <c r="E2100" s="63" t="n"/>
      <c r="F2100" s="63" t="n"/>
    </row>
    <row r="2101">
      <c r="A2101" s="166" t="n"/>
      <c r="B2101" s="63" t="n"/>
      <c r="C2101" s="64" t="n"/>
      <c r="D2101" s="167" t="n"/>
      <c r="E2101" s="63" t="n"/>
      <c r="F2101" s="63" t="n"/>
    </row>
    <row r="2102">
      <c r="A2102" s="166" t="n"/>
      <c r="B2102" s="63" t="n"/>
      <c r="C2102" s="64" t="n"/>
      <c r="D2102" s="167" t="n"/>
      <c r="E2102" s="63" t="n"/>
      <c r="F2102" s="63" t="n"/>
    </row>
    <row r="2103">
      <c r="A2103" s="166" t="n"/>
      <c r="B2103" s="63" t="n"/>
      <c r="C2103" s="64" t="n"/>
      <c r="D2103" s="167" t="n"/>
      <c r="E2103" s="63" t="n"/>
      <c r="F2103" s="63" t="n"/>
    </row>
    <row r="2104">
      <c r="A2104" s="166" t="n"/>
      <c r="B2104" s="63" t="n"/>
      <c r="C2104" s="64" t="n"/>
      <c r="D2104" s="167" t="n"/>
      <c r="E2104" s="63" t="n"/>
      <c r="F2104" s="63" t="n"/>
    </row>
    <row r="2105">
      <c r="A2105" s="166" t="n"/>
      <c r="B2105" s="63" t="n"/>
      <c r="C2105" s="64" t="n"/>
      <c r="D2105" s="167" t="n"/>
      <c r="E2105" s="63" t="n"/>
      <c r="F2105" s="63" t="n"/>
    </row>
    <row r="2106">
      <c r="A2106" s="166" t="n"/>
      <c r="B2106" s="63" t="n"/>
      <c r="C2106" s="64" t="n"/>
      <c r="D2106" s="167" t="n"/>
      <c r="E2106" s="63" t="n"/>
      <c r="F2106" s="63" t="n"/>
    </row>
    <row r="2107">
      <c r="A2107" s="166" t="n"/>
      <c r="B2107" s="63" t="n"/>
      <c r="C2107" s="64" t="n"/>
      <c r="D2107" s="167" t="n"/>
      <c r="E2107" s="63" t="n"/>
      <c r="F2107" s="63" t="n"/>
    </row>
    <row r="2108">
      <c r="A2108" s="166" t="n"/>
      <c r="B2108" s="63" t="n"/>
      <c r="C2108" s="64" t="n"/>
      <c r="D2108" s="167" t="n"/>
      <c r="E2108" s="63" t="n"/>
      <c r="F2108" s="63" t="n"/>
    </row>
    <row r="2109">
      <c r="A2109" s="166" t="n"/>
      <c r="B2109" s="63" t="n"/>
      <c r="C2109" s="64" t="n"/>
      <c r="D2109" s="167" t="n"/>
      <c r="E2109" s="63" t="n"/>
      <c r="F2109" s="63" t="n"/>
    </row>
    <row r="2110">
      <c r="A2110" s="166" t="n"/>
      <c r="B2110" s="63" t="n"/>
      <c r="C2110" s="64" t="n"/>
      <c r="D2110" s="167" t="n"/>
      <c r="E2110" s="63" t="n"/>
      <c r="F2110" s="63" t="n"/>
    </row>
    <row r="2111">
      <c r="A2111" s="166" t="n"/>
      <c r="B2111" s="63" t="n"/>
      <c r="C2111" s="64" t="n"/>
      <c r="D2111" s="167" t="n"/>
      <c r="E2111" s="63" t="n"/>
      <c r="F2111" s="63" t="n"/>
    </row>
    <row r="2112">
      <c r="A2112" s="166" t="n"/>
      <c r="B2112" s="63" t="n"/>
      <c r="C2112" s="64" t="n"/>
      <c r="D2112" s="167" t="n"/>
      <c r="E2112" s="63" t="n"/>
      <c r="F2112" s="63" t="n"/>
    </row>
    <row r="2113">
      <c r="A2113" s="166" t="n"/>
      <c r="B2113" s="63" t="n"/>
      <c r="C2113" s="64" t="n"/>
      <c r="D2113" s="167" t="n"/>
      <c r="E2113" s="63" t="n"/>
      <c r="F2113" s="63" t="n"/>
    </row>
    <row r="2114">
      <c r="A2114" s="166" t="n"/>
      <c r="B2114" s="63" t="n"/>
      <c r="C2114" s="64" t="n"/>
      <c r="D2114" s="167" t="n"/>
      <c r="E2114" s="63" t="n"/>
      <c r="F2114" s="63" t="n"/>
    </row>
    <row r="2115">
      <c r="A2115" s="166" t="n"/>
      <c r="B2115" s="63" t="n"/>
      <c r="C2115" s="64" t="n"/>
      <c r="D2115" s="167" t="n"/>
      <c r="E2115" s="63" t="n"/>
      <c r="F2115" s="63" t="n"/>
    </row>
    <row r="2116">
      <c r="A2116" s="166" t="n"/>
      <c r="B2116" s="63" t="n"/>
      <c r="C2116" s="64" t="n"/>
      <c r="D2116" s="167" t="n"/>
      <c r="E2116" s="63" t="n"/>
      <c r="F2116" s="63" t="n"/>
    </row>
    <row r="2117">
      <c r="A2117" s="166" t="n"/>
      <c r="B2117" s="63" t="n"/>
      <c r="C2117" s="64" t="n"/>
      <c r="D2117" s="167" t="n"/>
      <c r="E2117" s="63" t="n"/>
      <c r="F2117" s="63" t="n"/>
    </row>
    <row r="2118">
      <c r="A2118" s="166" t="n"/>
      <c r="B2118" s="63" t="n"/>
      <c r="C2118" s="64" t="n"/>
      <c r="D2118" s="167" t="n"/>
      <c r="E2118" s="63" t="n"/>
      <c r="F2118" s="63" t="n"/>
    </row>
    <row r="2119">
      <c r="A2119" s="166" t="n"/>
      <c r="B2119" s="63" t="n"/>
      <c r="C2119" s="64" t="n"/>
      <c r="D2119" s="167" t="n"/>
      <c r="E2119" s="63" t="n"/>
      <c r="F2119" s="63" t="n"/>
    </row>
    <row r="2120">
      <c r="A2120" s="166" t="n"/>
      <c r="B2120" s="63" t="n"/>
      <c r="C2120" s="64" t="n"/>
      <c r="D2120" s="167" t="n"/>
      <c r="E2120" s="63" t="n"/>
      <c r="F2120" s="63" t="n"/>
    </row>
    <row r="2121">
      <c r="A2121" s="166" t="n"/>
      <c r="B2121" s="63" t="n"/>
      <c r="C2121" s="64" t="n"/>
      <c r="D2121" s="167" t="n"/>
      <c r="E2121" s="63" t="n"/>
      <c r="F2121" s="63" t="n"/>
    </row>
    <row r="2122">
      <c r="A2122" s="166" t="n"/>
      <c r="B2122" s="63" t="n"/>
      <c r="C2122" s="64" t="n"/>
      <c r="D2122" s="167" t="n"/>
      <c r="E2122" s="63" t="n"/>
      <c r="F2122" s="63" t="n"/>
    </row>
    <row r="2123">
      <c r="A2123" s="166" t="n"/>
      <c r="B2123" s="63" t="n"/>
      <c r="C2123" s="64" t="n"/>
      <c r="D2123" s="167" t="n"/>
      <c r="E2123" s="63" t="n"/>
      <c r="F2123" s="63" t="n"/>
    </row>
    <row r="2124">
      <c r="A2124" s="166" t="n"/>
      <c r="B2124" s="63" t="n"/>
      <c r="C2124" s="64" t="n"/>
      <c r="D2124" s="167" t="n"/>
      <c r="E2124" s="63" t="n"/>
      <c r="F2124" s="63" t="n"/>
    </row>
    <row r="2125">
      <c r="A2125" s="166" t="n"/>
      <c r="B2125" s="63" t="n"/>
      <c r="C2125" s="64" t="n"/>
      <c r="D2125" s="167" t="n"/>
      <c r="E2125" s="63" t="n"/>
      <c r="F2125" s="63" t="n"/>
    </row>
    <row r="2126">
      <c r="A2126" s="166" t="n"/>
      <c r="B2126" s="63" t="n"/>
      <c r="C2126" s="64" t="n"/>
      <c r="D2126" s="167" t="n"/>
      <c r="E2126" s="63" t="n"/>
      <c r="F2126" s="63" t="n"/>
    </row>
    <row r="2127">
      <c r="A2127" s="166" t="n"/>
      <c r="B2127" s="63" t="n"/>
      <c r="C2127" s="64" t="n"/>
      <c r="D2127" s="167" t="n"/>
      <c r="E2127" s="63" t="n"/>
      <c r="F2127" s="63" t="n"/>
    </row>
    <row r="2128">
      <c r="A2128" s="166" t="n"/>
      <c r="B2128" s="63" t="n"/>
      <c r="C2128" s="64" t="n"/>
      <c r="D2128" s="167" t="n"/>
      <c r="E2128" s="63" t="n"/>
      <c r="F2128" s="63" t="n"/>
    </row>
    <row r="2129">
      <c r="A2129" s="166" t="n"/>
      <c r="B2129" s="63" t="n"/>
      <c r="C2129" s="64" t="n"/>
      <c r="D2129" s="167" t="n"/>
      <c r="E2129" s="63" t="n"/>
      <c r="F2129" s="63" t="n"/>
    </row>
    <row r="2130">
      <c r="A2130" s="166" t="n"/>
      <c r="B2130" s="63" t="n"/>
      <c r="C2130" s="64" t="n"/>
      <c r="D2130" s="167" t="n"/>
      <c r="E2130" s="63" t="n"/>
      <c r="F2130" s="63" t="n"/>
    </row>
    <row r="2131">
      <c r="A2131" s="166" t="n"/>
      <c r="B2131" s="63" t="n"/>
      <c r="C2131" s="64" t="n"/>
      <c r="D2131" s="167" t="n"/>
      <c r="E2131" s="63" t="n"/>
      <c r="F2131" s="63" t="n"/>
    </row>
    <row r="2132">
      <c r="A2132" s="166" t="n"/>
      <c r="B2132" s="63" t="n"/>
      <c r="C2132" s="64" t="n"/>
      <c r="D2132" s="167" t="n"/>
      <c r="E2132" s="63" t="n"/>
      <c r="F2132" s="63" t="n"/>
    </row>
    <row r="2133">
      <c r="A2133" s="166" t="n"/>
      <c r="B2133" s="63" t="n"/>
      <c r="C2133" s="64" t="n"/>
      <c r="D2133" s="167" t="n"/>
      <c r="E2133" s="63" t="n"/>
      <c r="F2133" s="63" t="n"/>
    </row>
    <row r="2134">
      <c r="A2134" s="166" t="n"/>
      <c r="B2134" s="63" t="n"/>
      <c r="C2134" s="64" t="n"/>
      <c r="D2134" s="167" t="n"/>
      <c r="E2134" s="63" t="n"/>
      <c r="F2134" s="63" t="n"/>
    </row>
    <row r="2135">
      <c r="A2135" s="166" t="n"/>
      <c r="B2135" s="63" t="n"/>
      <c r="C2135" s="64" t="n"/>
      <c r="D2135" s="167" t="n"/>
      <c r="E2135" s="63" t="n"/>
      <c r="F2135" s="63" t="n"/>
    </row>
    <row r="2136">
      <c r="A2136" s="166" t="n"/>
      <c r="B2136" s="63" t="n"/>
      <c r="C2136" s="64" t="n"/>
      <c r="D2136" s="167" t="n"/>
      <c r="E2136" s="63" t="n"/>
      <c r="F2136" s="63" t="n"/>
    </row>
    <row r="2137">
      <c r="A2137" s="166" t="n"/>
      <c r="B2137" s="63" t="n"/>
      <c r="C2137" s="64" t="n"/>
      <c r="D2137" s="167" t="n"/>
      <c r="E2137" s="63" t="n"/>
      <c r="F2137" s="63" t="n"/>
    </row>
    <row r="2138">
      <c r="A2138" s="166" t="n"/>
      <c r="B2138" s="63" t="n"/>
      <c r="C2138" s="64" t="n"/>
      <c r="D2138" s="167" t="n"/>
      <c r="E2138" s="63" t="n"/>
      <c r="F2138" s="63" t="n"/>
    </row>
    <row r="2139">
      <c r="A2139" s="166" t="n"/>
      <c r="B2139" s="63" t="n"/>
      <c r="C2139" s="64" t="n"/>
      <c r="D2139" s="167" t="n"/>
      <c r="E2139" s="63" t="n"/>
      <c r="F2139" s="63" t="n"/>
    </row>
    <row r="2140">
      <c r="A2140" s="166" t="n"/>
      <c r="B2140" s="63" t="n"/>
      <c r="C2140" s="64" t="n"/>
      <c r="D2140" s="167" t="n"/>
      <c r="E2140" s="63" t="n"/>
      <c r="F2140" s="63" t="n"/>
    </row>
    <row r="2141">
      <c r="A2141" s="166" t="n"/>
      <c r="B2141" s="63" t="n"/>
      <c r="C2141" s="64" t="n"/>
      <c r="D2141" s="167" t="n"/>
      <c r="E2141" s="63" t="n"/>
      <c r="F2141" s="63" t="n"/>
    </row>
    <row r="2142">
      <c r="A2142" s="166" t="n"/>
      <c r="B2142" s="63" t="n"/>
      <c r="C2142" s="64" t="n"/>
      <c r="D2142" s="167" t="n"/>
      <c r="E2142" s="63" t="n"/>
      <c r="F2142" s="63" t="n"/>
    </row>
    <row r="2143">
      <c r="A2143" s="166" t="n"/>
      <c r="B2143" s="63" t="n"/>
      <c r="C2143" s="64" t="n"/>
      <c r="D2143" s="167" t="n"/>
      <c r="E2143" s="63" t="n"/>
      <c r="F2143" s="63" t="n"/>
    </row>
    <row r="2144">
      <c r="A2144" s="166" t="n"/>
      <c r="B2144" s="63" t="n"/>
      <c r="C2144" s="64" t="n"/>
      <c r="D2144" s="167" t="n"/>
      <c r="E2144" s="63" t="n"/>
      <c r="F2144" s="63" t="n"/>
    </row>
    <row r="2145">
      <c r="A2145" s="166" t="n"/>
      <c r="B2145" s="63" t="n"/>
      <c r="C2145" s="64" t="n"/>
      <c r="D2145" s="167" t="n"/>
      <c r="E2145" s="63" t="n"/>
      <c r="F2145" s="63" t="n"/>
    </row>
    <row r="2146">
      <c r="A2146" s="166" t="n"/>
      <c r="B2146" s="63" t="n"/>
      <c r="C2146" s="64" t="n"/>
      <c r="D2146" s="167" t="n"/>
      <c r="E2146" s="63" t="n"/>
      <c r="F2146" s="63" t="n"/>
    </row>
    <row r="2147">
      <c r="A2147" s="166" t="n"/>
      <c r="B2147" s="63" t="n"/>
      <c r="C2147" s="64" t="n"/>
      <c r="D2147" s="167" t="n"/>
      <c r="E2147" s="63" t="n"/>
      <c r="F2147" s="63" t="n"/>
    </row>
    <row r="2148">
      <c r="A2148" s="166" t="n"/>
      <c r="B2148" s="63" t="n"/>
      <c r="C2148" s="64" t="n"/>
      <c r="D2148" s="167" t="n"/>
      <c r="E2148" s="63" t="n"/>
      <c r="F2148" s="63" t="n"/>
    </row>
    <row r="2149">
      <c r="A2149" s="166" t="n"/>
      <c r="B2149" s="63" t="n"/>
      <c r="C2149" s="64" t="n"/>
      <c r="D2149" s="167" t="n"/>
      <c r="E2149" s="63" t="n"/>
      <c r="F2149" s="63" t="n"/>
    </row>
    <row r="2150">
      <c r="A2150" s="166" t="n"/>
      <c r="B2150" s="63" t="n"/>
      <c r="C2150" s="64" t="n"/>
      <c r="D2150" s="167" t="n"/>
      <c r="E2150" s="63" t="n"/>
      <c r="F2150" s="63" t="n"/>
    </row>
    <row r="2151">
      <c r="A2151" s="166" t="n"/>
      <c r="B2151" s="63" t="n"/>
      <c r="C2151" s="64" t="n"/>
      <c r="D2151" s="167" t="n"/>
      <c r="E2151" s="63" t="n"/>
      <c r="F2151" s="63" t="n"/>
    </row>
    <row r="2152">
      <c r="A2152" s="166" t="n"/>
      <c r="B2152" s="63" t="n"/>
      <c r="C2152" s="64" t="n"/>
      <c r="D2152" s="167" t="n"/>
      <c r="E2152" s="63" t="n"/>
      <c r="F2152" s="63" t="n"/>
    </row>
    <row r="2153">
      <c r="A2153" s="166" t="n"/>
      <c r="B2153" s="63" t="n"/>
      <c r="C2153" s="64" t="n"/>
      <c r="D2153" s="167" t="n"/>
      <c r="E2153" s="63" t="n"/>
      <c r="F2153" s="63" t="n"/>
    </row>
    <row r="2154">
      <c r="A2154" s="166" t="n"/>
      <c r="B2154" s="63" t="n"/>
      <c r="C2154" s="64" t="n"/>
      <c r="D2154" s="167" t="n"/>
      <c r="E2154" s="63" t="n"/>
      <c r="F2154" s="63" t="n"/>
    </row>
    <row r="2155">
      <c r="A2155" s="166" t="n"/>
      <c r="B2155" s="63" t="n"/>
      <c r="C2155" s="64" t="n"/>
      <c r="D2155" s="167" t="n"/>
      <c r="E2155" s="63" t="n"/>
      <c r="F2155" s="63" t="n"/>
    </row>
    <row r="2156">
      <c r="A2156" s="166" t="n"/>
      <c r="B2156" s="63" t="n"/>
      <c r="C2156" s="64" t="n"/>
      <c r="D2156" s="167" t="n"/>
      <c r="E2156" s="63" t="n"/>
      <c r="F2156" s="63" t="n"/>
    </row>
    <row r="2157">
      <c r="A2157" s="166" t="n"/>
      <c r="B2157" s="63" t="n"/>
      <c r="C2157" s="64" t="n"/>
      <c r="D2157" s="167" t="n"/>
      <c r="E2157" s="63" t="n"/>
      <c r="F2157" s="63" t="n"/>
    </row>
    <row r="2158">
      <c r="A2158" s="166" t="n"/>
      <c r="B2158" s="63" t="n"/>
      <c r="C2158" s="64" t="n"/>
      <c r="D2158" s="167" t="n"/>
      <c r="E2158" s="63" t="n"/>
      <c r="F2158" s="63" t="n"/>
    </row>
    <row r="2159">
      <c r="A2159" s="166" t="n"/>
      <c r="B2159" s="63" t="n"/>
      <c r="C2159" s="64" t="n"/>
      <c r="D2159" s="167" t="n"/>
      <c r="E2159" s="63" t="n"/>
      <c r="F2159" s="63" t="n"/>
    </row>
    <row r="2160">
      <c r="A2160" s="166" t="n"/>
      <c r="B2160" s="63" t="n"/>
      <c r="C2160" s="64" t="n"/>
      <c r="D2160" s="167" t="n"/>
      <c r="E2160" s="63" t="n"/>
      <c r="F2160" s="63" t="n"/>
    </row>
    <row r="2161">
      <c r="A2161" s="166" t="n"/>
      <c r="B2161" s="63" t="n"/>
      <c r="C2161" s="64" t="n"/>
      <c r="D2161" s="167" t="n"/>
      <c r="E2161" s="63" t="n"/>
      <c r="F2161" s="63" t="n"/>
    </row>
    <row r="2162">
      <c r="A2162" s="166" t="n"/>
      <c r="B2162" s="63" t="n"/>
      <c r="C2162" s="64" t="n"/>
      <c r="D2162" s="167" t="n"/>
      <c r="E2162" s="63" t="n"/>
      <c r="F2162" s="63" t="n"/>
    </row>
    <row r="2163">
      <c r="A2163" s="166" t="n"/>
      <c r="B2163" s="63" t="n"/>
      <c r="C2163" s="64" t="n"/>
      <c r="D2163" s="167" t="n"/>
      <c r="E2163" s="63" t="n"/>
      <c r="F2163" s="63" t="n"/>
    </row>
    <row r="2164">
      <c r="A2164" s="166" t="n"/>
      <c r="B2164" s="63" t="n"/>
      <c r="C2164" s="64" t="n"/>
      <c r="D2164" s="167" t="n"/>
      <c r="E2164" s="63" t="n"/>
      <c r="F2164" s="63" t="n"/>
    </row>
    <row r="2165">
      <c r="A2165" s="166" t="n"/>
      <c r="B2165" s="63" t="n"/>
      <c r="C2165" s="64" t="n"/>
      <c r="D2165" s="167" t="n"/>
      <c r="E2165" s="63" t="n"/>
      <c r="F2165" s="63" t="n"/>
    </row>
    <row r="2166">
      <c r="A2166" s="166" t="n"/>
      <c r="B2166" s="63" t="n"/>
      <c r="C2166" s="64" t="n"/>
      <c r="D2166" s="167" t="n"/>
      <c r="E2166" s="63" t="n"/>
      <c r="F2166" s="63" t="n"/>
    </row>
    <row r="2167">
      <c r="A2167" s="166" t="n"/>
      <c r="B2167" s="63" t="n"/>
      <c r="C2167" s="64" t="n"/>
      <c r="D2167" s="167" t="n"/>
      <c r="E2167" s="63" t="n"/>
      <c r="F2167" s="63" t="n"/>
    </row>
    <row r="2168">
      <c r="A2168" s="166" t="n"/>
      <c r="B2168" s="63" t="n"/>
      <c r="C2168" s="64" t="n"/>
      <c r="D2168" s="167" t="n"/>
      <c r="E2168" s="63" t="n"/>
      <c r="F2168" s="63" t="n"/>
    </row>
    <row r="2169">
      <c r="A2169" s="166" t="n"/>
      <c r="B2169" s="63" t="n"/>
      <c r="C2169" s="64" t="n"/>
      <c r="D2169" s="167" t="n"/>
      <c r="E2169" s="63" t="n"/>
      <c r="F2169" s="63" t="n"/>
    </row>
    <row r="2170">
      <c r="A2170" s="166" t="n"/>
      <c r="B2170" s="63" t="n"/>
      <c r="C2170" s="64" t="n"/>
      <c r="D2170" s="167" t="n"/>
      <c r="E2170" s="63" t="n"/>
      <c r="F2170" s="63" t="n"/>
    </row>
    <row r="2171">
      <c r="A2171" s="166" t="n"/>
      <c r="B2171" s="63" t="n"/>
      <c r="C2171" s="64" t="n"/>
      <c r="D2171" s="167" t="n"/>
      <c r="E2171" s="63" t="n"/>
      <c r="F2171" s="63" t="n"/>
    </row>
    <row r="2172">
      <c r="A2172" s="166" t="n"/>
      <c r="B2172" s="63" t="n"/>
      <c r="C2172" s="64" t="n"/>
      <c r="D2172" s="167" t="n"/>
      <c r="E2172" s="63" t="n"/>
      <c r="F2172" s="63" t="n"/>
    </row>
    <row r="2173">
      <c r="A2173" s="166" t="n"/>
      <c r="B2173" s="63" t="n"/>
      <c r="C2173" s="64" t="n"/>
      <c r="D2173" s="167" t="n"/>
      <c r="E2173" s="63" t="n"/>
      <c r="F2173" s="63" t="n"/>
    </row>
    <row r="2174">
      <c r="A2174" s="166" t="n"/>
      <c r="B2174" s="63" t="n"/>
      <c r="C2174" s="64" t="n"/>
      <c r="D2174" s="167" t="n"/>
      <c r="E2174" s="63" t="n"/>
      <c r="F2174" s="63" t="n"/>
    </row>
    <row r="2175">
      <c r="A2175" s="166" t="n"/>
      <c r="B2175" s="63" t="n"/>
      <c r="C2175" s="64" t="n"/>
      <c r="D2175" s="167" t="n"/>
      <c r="E2175" s="63" t="n"/>
      <c r="F2175" s="63" t="n"/>
    </row>
    <row r="2176">
      <c r="A2176" s="166" t="n"/>
      <c r="B2176" s="63" t="n"/>
      <c r="C2176" s="64" t="n"/>
      <c r="D2176" s="167" t="n"/>
      <c r="E2176" s="63" t="n"/>
      <c r="F2176" s="63" t="n"/>
    </row>
    <row r="2177">
      <c r="A2177" s="166" t="n"/>
      <c r="B2177" s="63" t="n"/>
      <c r="C2177" s="64" t="n"/>
      <c r="D2177" s="167" t="n"/>
      <c r="E2177" s="63" t="n"/>
      <c r="F2177" s="63" t="n"/>
    </row>
    <row r="2178">
      <c r="A2178" s="166" t="n"/>
      <c r="B2178" s="63" t="n"/>
      <c r="C2178" s="64" t="n"/>
      <c r="D2178" s="167" t="n"/>
      <c r="E2178" s="63" t="n"/>
      <c r="F2178" s="63" t="n"/>
    </row>
    <row r="2179">
      <c r="A2179" s="166" t="n"/>
      <c r="B2179" s="63" t="n"/>
      <c r="C2179" s="64" t="n"/>
      <c r="D2179" s="167" t="n"/>
      <c r="E2179" s="63" t="n"/>
      <c r="F2179" s="63" t="n"/>
    </row>
    <row r="2180">
      <c r="A2180" s="166" t="n"/>
      <c r="B2180" s="63" t="n"/>
      <c r="C2180" s="64" t="n"/>
      <c r="D2180" s="167" t="n"/>
      <c r="E2180" s="63" t="n"/>
      <c r="F2180" s="63" t="n"/>
    </row>
    <row r="2181">
      <c r="A2181" s="166" t="n"/>
      <c r="B2181" s="63" t="n"/>
      <c r="C2181" s="64" t="n"/>
      <c r="D2181" s="167" t="n"/>
      <c r="E2181" s="63" t="n"/>
      <c r="F2181" s="63" t="n"/>
    </row>
    <row r="2182">
      <c r="A2182" s="166" t="n"/>
      <c r="B2182" s="63" t="n"/>
      <c r="C2182" s="64" t="n"/>
      <c r="D2182" s="167" t="n"/>
      <c r="E2182" s="63" t="n"/>
      <c r="F2182" s="63" t="n"/>
    </row>
    <row r="2183">
      <c r="A2183" s="166" t="n"/>
      <c r="B2183" s="63" t="n"/>
      <c r="C2183" s="64" t="n"/>
      <c r="D2183" s="167" t="n"/>
      <c r="E2183" s="63" t="n"/>
      <c r="F2183" s="63" t="n"/>
    </row>
    <row r="2184">
      <c r="A2184" s="166" t="n"/>
      <c r="B2184" s="63" t="n"/>
      <c r="C2184" s="64" t="n"/>
      <c r="D2184" s="167" t="n"/>
      <c r="E2184" s="63" t="n"/>
      <c r="F2184" s="63" t="n"/>
    </row>
    <row r="2185">
      <c r="A2185" s="166" t="n"/>
      <c r="B2185" s="63" t="n"/>
      <c r="C2185" s="64" t="n"/>
      <c r="D2185" s="167" t="n"/>
      <c r="E2185" s="63" t="n"/>
      <c r="F2185" s="63" t="n"/>
    </row>
    <row r="2186">
      <c r="A2186" s="166" t="n"/>
      <c r="B2186" s="63" t="n"/>
      <c r="C2186" s="64" t="n"/>
      <c r="D2186" s="167" t="n"/>
      <c r="E2186" s="63" t="n"/>
      <c r="F2186" s="63" t="n"/>
    </row>
    <row r="2187">
      <c r="A2187" s="166" t="n"/>
      <c r="B2187" s="63" t="n"/>
      <c r="C2187" s="64" t="n"/>
      <c r="D2187" s="167" t="n"/>
      <c r="E2187" s="63" t="n"/>
      <c r="F2187" s="63" t="n"/>
    </row>
    <row r="2188">
      <c r="A2188" s="166" t="n"/>
      <c r="B2188" s="63" t="n"/>
      <c r="C2188" s="64" t="n"/>
      <c r="D2188" s="167" t="n"/>
      <c r="E2188" s="63" t="n"/>
      <c r="F2188" s="63" t="n"/>
    </row>
    <row r="2189">
      <c r="A2189" s="166" t="n"/>
      <c r="B2189" s="63" t="n"/>
      <c r="C2189" s="64" t="n"/>
      <c r="D2189" s="167" t="n"/>
      <c r="E2189" s="63" t="n"/>
      <c r="F2189" s="63" t="n"/>
    </row>
    <row r="2190">
      <c r="A2190" s="166" t="n"/>
      <c r="B2190" s="63" t="n"/>
      <c r="C2190" s="64" t="n"/>
      <c r="D2190" s="167" t="n"/>
      <c r="E2190" s="63" t="n"/>
      <c r="F2190" s="63" t="n"/>
    </row>
    <row r="2191">
      <c r="A2191" s="166" t="n"/>
      <c r="B2191" s="63" t="n"/>
      <c r="C2191" s="64" t="n"/>
      <c r="D2191" s="167" t="n"/>
      <c r="E2191" s="63" t="n"/>
      <c r="F2191" s="63" t="n"/>
    </row>
    <row r="2192">
      <c r="A2192" s="166" t="n"/>
      <c r="B2192" s="63" t="n"/>
      <c r="C2192" s="64" t="n"/>
      <c r="D2192" s="167" t="n"/>
      <c r="E2192" s="63" t="n"/>
      <c r="F2192" s="63" t="n"/>
    </row>
    <row r="2193">
      <c r="A2193" s="166" t="n"/>
      <c r="B2193" s="63" t="n"/>
      <c r="C2193" s="64" t="n"/>
      <c r="D2193" s="167" t="n"/>
      <c r="E2193" s="63" t="n"/>
      <c r="F2193" s="63" t="n"/>
    </row>
    <row r="2194">
      <c r="A2194" s="166" t="n"/>
      <c r="B2194" s="63" t="n"/>
      <c r="C2194" s="64" t="n"/>
      <c r="D2194" s="167" t="n"/>
      <c r="E2194" s="63" t="n"/>
      <c r="F2194" s="63" t="n"/>
    </row>
    <row r="2195">
      <c r="A2195" s="166" t="n"/>
      <c r="B2195" s="63" t="n"/>
      <c r="C2195" s="64" t="n"/>
      <c r="D2195" s="167" t="n"/>
      <c r="E2195" s="63" t="n"/>
      <c r="F2195" s="63" t="n"/>
    </row>
    <row r="2196">
      <c r="A2196" s="166" t="n"/>
      <c r="B2196" s="63" t="n"/>
      <c r="C2196" s="64" t="n"/>
      <c r="D2196" s="167" t="n"/>
      <c r="E2196" s="63" t="n"/>
      <c r="F2196" s="63" t="n"/>
    </row>
    <row r="2197">
      <c r="A2197" s="166" t="n"/>
      <c r="B2197" s="63" t="n"/>
      <c r="C2197" s="64" t="n"/>
      <c r="D2197" s="167" t="n"/>
      <c r="E2197" s="63" t="n"/>
      <c r="F2197" s="63" t="n"/>
    </row>
    <row r="2198">
      <c r="A2198" s="166" t="n"/>
      <c r="B2198" s="63" t="n"/>
      <c r="C2198" s="64" t="n"/>
      <c r="D2198" s="167" t="n"/>
      <c r="E2198" s="63" t="n"/>
      <c r="F2198" s="63" t="n"/>
    </row>
    <row r="2199">
      <c r="A2199" s="166" t="n"/>
      <c r="B2199" s="63" t="n"/>
      <c r="C2199" s="64" t="n"/>
      <c r="D2199" s="167" t="n"/>
      <c r="E2199" s="63" t="n"/>
      <c r="F2199" s="63" t="n"/>
    </row>
    <row r="2200">
      <c r="A2200" s="166" t="n"/>
      <c r="B2200" s="63" t="n"/>
      <c r="C2200" s="64" t="n"/>
      <c r="D2200" s="167" t="n"/>
      <c r="E2200" s="63" t="n"/>
      <c r="F2200" s="63" t="n"/>
    </row>
    <row r="2201">
      <c r="A2201" s="166" t="n"/>
      <c r="B2201" s="63" t="n"/>
      <c r="C2201" s="64" t="n"/>
      <c r="D2201" s="167" t="n"/>
      <c r="E2201" s="63" t="n"/>
      <c r="F2201" s="63" t="n"/>
    </row>
    <row r="2202">
      <c r="A2202" s="166" t="n"/>
      <c r="B2202" s="63" t="n"/>
      <c r="C2202" s="64" t="n"/>
      <c r="D2202" s="167" t="n"/>
      <c r="E2202" s="63" t="n"/>
      <c r="F2202" s="63" t="n"/>
    </row>
    <row r="2203">
      <c r="A2203" s="166" t="n"/>
      <c r="B2203" s="63" t="n"/>
      <c r="C2203" s="64" t="n"/>
      <c r="D2203" s="167" t="n"/>
      <c r="E2203" s="63" t="n"/>
      <c r="F2203" s="63" t="n"/>
    </row>
    <row r="2204">
      <c r="A2204" s="166" t="n"/>
      <c r="B2204" s="63" t="n"/>
      <c r="C2204" s="64" t="n"/>
      <c r="D2204" s="167" t="n"/>
      <c r="E2204" s="63" t="n"/>
      <c r="F2204" s="63" t="n"/>
    </row>
    <row r="2205">
      <c r="A2205" s="166" t="n"/>
      <c r="B2205" s="63" t="n"/>
      <c r="C2205" s="64" t="n"/>
      <c r="D2205" s="167" t="n"/>
      <c r="E2205" s="63" t="n"/>
      <c r="F2205" s="63" t="n"/>
    </row>
    <row r="2206">
      <c r="A2206" s="166" t="n"/>
      <c r="B2206" s="63" t="n"/>
      <c r="C2206" s="64" t="n"/>
      <c r="D2206" s="167" t="n"/>
      <c r="E2206" s="63" t="n"/>
      <c r="F2206" s="63" t="n"/>
    </row>
    <row r="2207">
      <c r="A2207" s="166" t="n"/>
      <c r="B2207" s="63" t="n"/>
      <c r="C2207" s="64" t="n"/>
      <c r="D2207" s="167" t="n"/>
      <c r="E2207" s="63" t="n"/>
      <c r="F2207" s="63" t="n"/>
    </row>
    <row r="2208">
      <c r="A2208" s="166" t="n"/>
      <c r="B2208" s="63" t="n"/>
      <c r="C2208" s="64" t="n"/>
      <c r="D2208" s="167" t="n"/>
      <c r="E2208" s="63" t="n"/>
      <c r="F2208" s="63" t="n"/>
    </row>
    <row r="2209">
      <c r="A2209" s="166" t="n"/>
      <c r="B2209" s="63" t="n"/>
      <c r="C2209" s="64" t="n"/>
      <c r="D2209" s="167" t="n"/>
      <c r="E2209" s="63" t="n"/>
      <c r="F2209" s="63" t="n"/>
    </row>
    <row r="2210">
      <c r="A2210" s="166" t="n"/>
      <c r="B2210" s="63" t="n"/>
      <c r="C2210" s="64" t="n"/>
      <c r="D2210" s="167" t="n"/>
      <c r="E2210" s="63" t="n"/>
      <c r="F2210" s="63" t="n"/>
    </row>
    <row r="2211">
      <c r="A2211" s="166" t="n"/>
      <c r="B2211" s="63" t="n"/>
      <c r="C2211" s="64" t="n"/>
      <c r="D2211" s="167" t="n"/>
      <c r="E2211" s="63" t="n"/>
      <c r="F2211" s="63" t="n"/>
    </row>
    <row r="2212">
      <c r="A2212" s="166" t="n"/>
      <c r="B2212" s="63" t="n"/>
      <c r="C2212" s="64" t="n"/>
      <c r="D2212" s="167" t="n"/>
      <c r="E2212" s="63" t="n"/>
      <c r="F2212" s="63" t="n"/>
    </row>
    <row r="2213">
      <c r="A2213" s="166" t="n"/>
      <c r="B2213" s="63" t="n"/>
      <c r="C2213" s="64" t="n"/>
      <c r="D2213" s="167" t="n"/>
      <c r="E2213" s="63" t="n"/>
      <c r="F2213" s="63" t="n"/>
    </row>
    <row r="2214">
      <c r="A2214" s="166" t="n"/>
      <c r="B2214" s="63" t="n"/>
      <c r="C2214" s="64" t="n"/>
      <c r="D2214" s="167" t="n"/>
      <c r="E2214" s="63" t="n"/>
      <c r="F2214" s="63" t="n"/>
    </row>
    <row r="2215">
      <c r="A2215" s="166" t="n"/>
      <c r="B2215" s="63" t="n"/>
      <c r="C2215" s="64" t="n"/>
      <c r="D2215" s="167" t="n"/>
      <c r="E2215" s="63" t="n"/>
      <c r="F2215" s="63" t="n"/>
    </row>
    <row r="2216">
      <c r="A2216" s="166" t="n"/>
      <c r="B2216" s="63" t="n"/>
      <c r="C2216" s="64" t="n"/>
      <c r="D2216" s="167" t="n"/>
      <c r="E2216" s="63" t="n"/>
      <c r="F2216" s="63" t="n"/>
    </row>
    <row r="2217">
      <c r="A2217" s="166" t="n"/>
      <c r="B2217" s="63" t="n"/>
      <c r="C2217" s="64" t="n"/>
      <c r="D2217" s="167" t="n"/>
      <c r="E2217" s="63" t="n"/>
      <c r="F2217" s="63" t="n"/>
    </row>
    <row r="2218">
      <c r="A2218" s="166" t="n"/>
      <c r="B2218" s="63" t="n"/>
      <c r="C2218" s="64" t="n"/>
      <c r="D2218" s="167" t="n"/>
      <c r="E2218" s="63" t="n"/>
      <c r="F2218" s="63" t="n"/>
    </row>
    <row r="2219">
      <c r="A2219" s="166" t="n"/>
      <c r="B2219" s="63" t="n"/>
      <c r="C2219" s="64" t="n"/>
      <c r="D2219" s="167" t="n"/>
      <c r="E2219" s="63" t="n"/>
      <c r="F2219" s="63" t="n"/>
    </row>
    <row r="2220">
      <c r="A2220" s="166" t="n"/>
      <c r="B2220" s="63" t="n"/>
      <c r="C2220" s="64" t="n"/>
      <c r="D2220" s="167" t="n"/>
      <c r="E2220" s="63" t="n"/>
      <c r="F2220" s="63" t="n"/>
    </row>
    <row r="2221">
      <c r="A2221" s="166" t="n"/>
      <c r="B2221" s="63" t="n"/>
      <c r="C2221" s="64" t="n"/>
      <c r="D2221" s="167" t="n"/>
      <c r="E2221" s="63" t="n"/>
      <c r="F2221" s="63" t="n"/>
    </row>
    <row r="2222">
      <c r="A2222" s="166" t="n"/>
      <c r="B2222" s="63" t="n"/>
      <c r="C2222" s="64" t="n"/>
      <c r="D2222" s="167" t="n"/>
      <c r="E2222" s="63" t="n"/>
      <c r="F2222" s="63" t="n"/>
    </row>
    <row r="2223">
      <c r="A2223" s="166" t="n"/>
      <c r="B2223" s="63" t="n"/>
      <c r="C2223" s="64" t="n"/>
      <c r="D2223" s="167" t="n"/>
      <c r="E2223" s="63" t="n"/>
      <c r="F2223" s="63" t="n"/>
    </row>
    <row r="2224">
      <c r="A2224" s="166" t="n"/>
      <c r="B2224" s="63" t="n"/>
      <c r="C2224" s="64" t="n"/>
      <c r="D2224" s="167" t="n"/>
      <c r="E2224" s="63" t="n"/>
      <c r="F2224" s="63" t="n"/>
    </row>
    <row r="2225">
      <c r="A2225" s="166" t="n"/>
      <c r="B2225" s="63" t="n"/>
      <c r="C2225" s="64" t="n"/>
      <c r="D2225" s="167" t="n"/>
      <c r="E2225" s="63" t="n"/>
      <c r="F2225" s="63" t="n"/>
    </row>
    <row r="2226">
      <c r="A2226" s="166" t="n"/>
      <c r="B2226" s="63" t="n"/>
      <c r="C2226" s="64" t="n"/>
      <c r="D2226" s="167" t="n"/>
      <c r="E2226" s="63" t="n"/>
      <c r="F2226" s="63" t="n"/>
    </row>
    <row r="2227">
      <c r="A2227" s="166" t="n"/>
      <c r="B2227" s="63" t="n"/>
      <c r="C2227" s="64" t="n"/>
      <c r="D2227" s="167" t="n"/>
      <c r="E2227" s="63" t="n"/>
      <c r="F2227" s="63" t="n"/>
    </row>
    <row r="2228">
      <c r="A2228" s="166" t="n"/>
      <c r="B2228" s="63" t="n"/>
      <c r="C2228" s="64" t="n"/>
      <c r="D2228" s="167" t="n"/>
      <c r="E2228" s="63" t="n"/>
      <c r="F2228" s="63" t="n"/>
    </row>
    <row r="2229">
      <c r="A2229" s="166" t="n"/>
      <c r="B2229" s="63" t="n"/>
      <c r="C2229" s="64" t="n"/>
      <c r="D2229" s="167" t="n"/>
      <c r="E2229" s="63" t="n"/>
      <c r="F2229" s="63" t="n"/>
    </row>
    <row r="2230">
      <c r="A2230" s="166" t="n"/>
      <c r="B2230" s="63" t="n"/>
      <c r="C2230" s="64" t="n"/>
      <c r="D2230" s="167" t="n"/>
      <c r="E2230" s="63" t="n"/>
      <c r="F2230" s="63" t="n"/>
    </row>
    <row r="2231">
      <c r="A2231" s="166" t="n"/>
      <c r="B2231" s="63" t="n"/>
      <c r="C2231" s="64" t="n"/>
      <c r="D2231" s="167" t="n"/>
      <c r="E2231" s="63" t="n"/>
      <c r="F2231" s="63" t="n"/>
    </row>
    <row r="2232">
      <c r="A2232" s="166" t="n"/>
      <c r="B2232" s="63" t="n"/>
      <c r="C2232" s="64" t="n"/>
      <c r="D2232" s="167" t="n"/>
      <c r="E2232" s="63" t="n"/>
      <c r="F2232" s="63" t="n"/>
    </row>
    <row r="2233">
      <c r="A2233" s="166" t="n"/>
      <c r="B2233" s="63" t="n"/>
      <c r="C2233" s="64" t="n"/>
      <c r="D2233" s="167" t="n"/>
      <c r="E2233" s="63" t="n"/>
      <c r="F2233" s="63" t="n"/>
    </row>
    <row r="2234">
      <c r="A2234" s="166" t="n"/>
      <c r="B2234" s="63" t="n"/>
      <c r="C2234" s="64" t="n"/>
      <c r="D2234" s="167" t="n"/>
      <c r="E2234" s="63" t="n"/>
      <c r="F2234" s="63" t="n"/>
    </row>
    <row r="2235">
      <c r="A2235" s="166" t="n"/>
      <c r="B2235" s="63" t="n"/>
      <c r="C2235" s="64" t="n"/>
      <c r="D2235" s="167" t="n"/>
      <c r="E2235" s="63" t="n"/>
      <c r="F2235" s="63" t="n"/>
    </row>
    <row r="2236">
      <c r="A2236" s="166" t="n"/>
      <c r="B2236" s="63" t="n"/>
      <c r="C2236" s="64" t="n"/>
      <c r="D2236" s="167" t="n"/>
      <c r="E2236" s="63" t="n"/>
      <c r="F2236" s="63" t="n"/>
    </row>
    <row r="2237">
      <c r="A2237" s="166" t="n"/>
      <c r="B2237" s="63" t="n"/>
      <c r="C2237" s="64" t="n"/>
      <c r="D2237" s="167" t="n"/>
      <c r="E2237" s="63" t="n"/>
      <c r="F2237" s="63" t="n"/>
    </row>
    <row r="2238">
      <c r="A2238" s="166" t="n"/>
      <c r="B2238" s="63" t="n"/>
      <c r="C2238" s="64" t="n"/>
      <c r="D2238" s="167" t="n"/>
      <c r="E2238" s="63" t="n"/>
      <c r="F2238" s="63" t="n"/>
    </row>
    <row r="2239">
      <c r="A2239" s="166" t="n"/>
      <c r="B2239" s="63" t="n"/>
      <c r="C2239" s="64" t="n"/>
      <c r="D2239" s="167" t="n"/>
      <c r="E2239" s="63" t="n"/>
      <c r="F2239" s="63" t="n"/>
    </row>
    <row r="2240">
      <c r="A2240" s="166" t="n"/>
      <c r="B2240" s="63" t="n"/>
      <c r="C2240" s="64" t="n"/>
      <c r="D2240" s="167" t="n"/>
      <c r="E2240" s="63" t="n"/>
      <c r="F2240" s="63" t="n"/>
    </row>
    <row r="2241">
      <c r="A2241" s="166" t="n"/>
      <c r="B2241" s="63" t="n"/>
      <c r="C2241" s="64" t="n"/>
      <c r="D2241" s="167" t="n"/>
      <c r="E2241" s="63" t="n"/>
      <c r="F2241" s="63" t="n"/>
    </row>
    <row r="2242">
      <c r="A2242" s="166" t="n"/>
      <c r="B2242" s="63" t="n"/>
      <c r="C2242" s="64" t="n"/>
      <c r="D2242" s="167" t="n"/>
      <c r="E2242" s="63" t="n"/>
      <c r="F2242" s="63" t="n"/>
    </row>
    <row r="2243">
      <c r="A2243" s="166" t="n"/>
      <c r="B2243" s="63" t="n"/>
      <c r="C2243" s="64" t="n"/>
      <c r="D2243" s="167" t="n"/>
      <c r="E2243" s="63" t="n"/>
      <c r="F2243" s="63" t="n"/>
    </row>
    <row r="2244">
      <c r="A2244" s="166" t="n"/>
      <c r="B2244" s="63" t="n"/>
      <c r="C2244" s="64" t="n"/>
      <c r="D2244" s="167" t="n"/>
      <c r="E2244" s="63" t="n"/>
      <c r="F2244" s="63" t="n"/>
    </row>
    <row r="2245">
      <c r="A2245" s="166" t="n"/>
      <c r="B2245" s="63" t="n"/>
      <c r="C2245" s="64" t="n"/>
      <c r="D2245" s="167" t="n"/>
      <c r="E2245" s="63" t="n"/>
      <c r="F2245" s="63" t="n"/>
    </row>
    <row r="2246">
      <c r="A2246" s="166" t="n"/>
      <c r="B2246" s="63" t="n"/>
      <c r="C2246" s="64" t="n"/>
      <c r="D2246" s="167" t="n"/>
      <c r="E2246" s="63" t="n"/>
      <c r="F2246" s="63" t="n"/>
    </row>
    <row r="2247">
      <c r="A2247" s="166" t="n"/>
      <c r="B2247" s="63" t="n"/>
      <c r="C2247" s="64" t="n"/>
      <c r="D2247" s="167" t="n"/>
      <c r="E2247" s="63" t="n"/>
      <c r="F2247" s="63" t="n"/>
    </row>
    <row r="2248">
      <c r="A2248" s="166" t="n"/>
      <c r="B2248" s="63" t="n"/>
      <c r="C2248" s="64" t="n"/>
      <c r="D2248" s="167" t="n"/>
      <c r="E2248" s="63" t="n"/>
      <c r="F2248" s="63" t="n"/>
    </row>
    <row r="2249">
      <c r="A2249" s="166" t="n"/>
      <c r="B2249" s="63" t="n"/>
      <c r="C2249" s="64" t="n"/>
      <c r="D2249" s="167" t="n"/>
      <c r="E2249" s="63" t="n"/>
      <c r="F2249" s="63" t="n"/>
    </row>
    <row r="2250">
      <c r="A2250" s="166" t="n"/>
      <c r="B2250" s="63" t="n"/>
      <c r="C2250" s="64" t="n"/>
      <c r="D2250" s="167" t="n"/>
      <c r="E2250" s="63" t="n"/>
      <c r="F2250" s="63" t="n"/>
    </row>
    <row r="2251">
      <c r="A2251" s="166" t="n"/>
      <c r="B2251" s="63" t="n"/>
      <c r="C2251" s="64" t="n"/>
      <c r="D2251" s="167" t="n"/>
      <c r="E2251" s="63" t="n"/>
      <c r="F2251" s="63" t="n"/>
    </row>
    <row r="2252">
      <c r="A2252" s="166" t="n"/>
      <c r="B2252" s="63" t="n"/>
      <c r="C2252" s="64" t="n"/>
      <c r="D2252" s="167" t="n"/>
      <c r="E2252" s="63" t="n"/>
      <c r="F2252" s="63" t="n"/>
    </row>
    <row r="2253">
      <c r="A2253" s="166" t="n"/>
      <c r="B2253" s="63" t="n"/>
      <c r="C2253" s="64" t="n"/>
      <c r="D2253" s="167" t="n"/>
      <c r="E2253" s="63" t="n"/>
      <c r="F2253" s="63" t="n"/>
    </row>
    <row r="2254">
      <c r="A2254" s="166" t="n"/>
      <c r="B2254" s="63" t="n"/>
      <c r="C2254" s="64" t="n"/>
      <c r="D2254" s="167" t="n"/>
      <c r="E2254" s="63" t="n"/>
      <c r="F2254" s="63" t="n"/>
    </row>
    <row r="2255">
      <c r="A2255" s="166" t="n"/>
      <c r="B2255" s="63" t="n"/>
      <c r="C2255" s="64" t="n"/>
      <c r="D2255" s="167" t="n"/>
      <c r="E2255" s="63" t="n"/>
      <c r="F2255" s="63" t="n"/>
    </row>
    <row r="2256">
      <c r="A2256" s="166" t="n"/>
      <c r="B2256" s="63" t="n"/>
      <c r="C2256" s="64" t="n"/>
      <c r="D2256" s="167" t="n"/>
      <c r="E2256" s="63" t="n"/>
      <c r="F2256" s="63" t="n"/>
    </row>
    <row r="2257">
      <c r="A2257" s="166" t="n"/>
      <c r="B2257" s="63" t="n"/>
      <c r="C2257" s="64" t="n"/>
      <c r="D2257" s="167" t="n"/>
      <c r="E2257" s="63" t="n"/>
      <c r="F2257" s="63" t="n"/>
    </row>
    <row r="2258">
      <c r="A2258" s="166" t="n"/>
      <c r="B2258" s="63" t="n"/>
      <c r="C2258" s="64" t="n"/>
      <c r="D2258" s="167" t="n"/>
      <c r="E2258" s="63" t="n"/>
      <c r="F2258" s="63" t="n"/>
    </row>
    <row r="2259">
      <c r="A2259" s="166" t="n"/>
      <c r="B2259" s="63" t="n"/>
      <c r="C2259" s="64" t="n"/>
      <c r="D2259" s="167" t="n"/>
      <c r="E2259" s="63" t="n"/>
      <c r="F2259" s="63" t="n"/>
    </row>
    <row r="2260">
      <c r="A2260" s="166" t="n"/>
      <c r="B2260" s="63" t="n"/>
      <c r="C2260" s="64" t="n"/>
      <c r="D2260" s="167" t="n"/>
      <c r="E2260" s="63" t="n"/>
      <c r="F2260" s="63" t="n"/>
    </row>
    <row r="2261">
      <c r="A2261" s="166" t="n"/>
      <c r="B2261" s="63" t="n"/>
      <c r="C2261" s="64" t="n"/>
      <c r="D2261" s="167" t="n"/>
      <c r="E2261" s="63" t="n"/>
      <c r="F2261" s="63" t="n"/>
    </row>
    <row r="2262">
      <c r="A2262" s="166" t="n"/>
      <c r="B2262" s="63" t="n"/>
      <c r="C2262" s="64" t="n"/>
      <c r="D2262" s="167" t="n"/>
      <c r="E2262" s="63" t="n"/>
      <c r="F2262" s="63" t="n"/>
    </row>
    <row r="2263">
      <c r="A2263" s="166" t="n"/>
      <c r="B2263" s="63" t="n"/>
      <c r="C2263" s="64" t="n"/>
      <c r="D2263" s="167" t="n"/>
      <c r="E2263" s="63" t="n"/>
      <c r="F2263" s="63" t="n"/>
    </row>
    <row r="2264">
      <c r="A2264" s="166" t="n"/>
      <c r="B2264" s="63" t="n"/>
      <c r="C2264" s="64" t="n"/>
      <c r="D2264" s="167" t="n"/>
      <c r="E2264" s="63" t="n"/>
      <c r="F2264" s="63" t="n"/>
    </row>
    <row r="2265">
      <c r="A2265" s="166" t="n"/>
      <c r="B2265" s="63" t="n"/>
      <c r="C2265" s="64" t="n"/>
      <c r="D2265" s="167" t="n"/>
      <c r="E2265" s="63" t="n"/>
      <c r="F2265" s="63" t="n"/>
    </row>
    <row r="2266">
      <c r="A2266" s="166" t="n"/>
      <c r="B2266" s="63" t="n"/>
      <c r="C2266" s="64" t="n"/>
      <c r="D2266" s="167" t="n"/>
      <c r="E2266" s="63" t="n"/>
      <c r="F2266" s="63" t="n"/>
    </row>
    <row r="2267">
      <c r="A2267" s="166" t="n"/>
      <c r="B2267" s="63" t="n"/>
      <c r="C2267" s="64" t="n"/>
      <c r="D2267" s="167" t="n"/>
      <c r="E2267" s="63" t="n"/>
      <c r="F2267" s="63" t="n"/>
    </row>
    <row r="2268">
      <c r="A2268" s="166" t="n"/>
      <c r="B2268" s="63" t="n"/>
      <c r="C2268" s="64" t="n"/>
      <c r="D2268" s="167" t="n"/>
      <c r="E2268" s="63" t="n"/>
      <c r="F2268" s="63" t="n"/>
    </row>
    <row r="2269">
      <c r="A2269" s="166" t="n"/>
      <c r="B2269" s="63" t="n"/>
      <c r="C2269" s="64" t="n"/>
      <c r="D2269" s="167" t="n"/>
      <c r="E2269" s="63" t="n"/>
      <c r="F2269" s="63" t="n"/>
    </row>
    <row r="2270">
      <c r="A2270" s="166" t="n"/>
      <c r="B2270" s="63" t="n"/>
      <c r="C2270" s="64" t="n"/>
      <c r="D2270" s="167" t="n"/>
      <c r="E2270" s="63" t="n"/>
      <c r="F2270" s="63" t="n"/>
    </row>
    <row r="2271">
      <c r="A2271" s="166" t="n"/>
      <c r="B2271" s="63" t="n"/>
      <c r="C2271" s="64" t="n"/>
      <c r="D2271" s="167" t="n"/>
      <c r="E2271" s="63" t="n"/>
      <c r="F2271" s="63" t="n"/>
    </row>
    <row r="2272">
      <c r="A2272" s="166" t="n"/>
      <c r="B2272" s="63" t="n"/>
      <c r="C2272" s="64" t="n"/>
      <c r="D2272" s="167" t="n"/>
      <c r="E2272" s="63" t="n"/>
      <c r="F2272" s="63" t="n"/>
    </row>
    <row r="2273">
      <c r="A2273" s="166" t="n"/>
      <c r="B2273" s="63" t="n"/>
      <c r="C2273" s="64" t="n"/>
      <c r="D2273" s="167" t="n"/>
      <c r="E2273" s="63" t="n"/>
      <c r="F2273" s="63" t="n"/>
    </row>
    <row r="2274">
      <c r="A2274" s="166" t="n"/>
      <c r="B2274" s="63" t="n"/>
      <c r="C2274" s="64" t="n"/>
      <c r="D2274" s="167" t="n"/>
      <c r="E2274" s="63" t="n"/>
      <c r="F2274" s="63" t="n"/>
    </row>
    <row r="2275">
      <c r="A2275" s="166" t="n"/>
      <c r="B2275" s="63" t="n"/>
      <c r="C2275" s="64" t="n"/>
      <c r="D2275" s="167" t="n"/>
      <c r="E2275" s="63" t="n"/>
      <c r="F2275" s="63" t="n"/>
    </row>
    <row r="2276">
      <c r="A2276" s="166" t="n"/>
      <c r="B2276" s="63" t="n"/>
      <c r="C2276" s="64" t="n"/>
      <c r="D2276" s="167" t="n"/>
      <c r="E2276" s="63" t="n"/>
      <c r="F2276" s="63" t="n"/>
    </row>
    <row r="2277">
      <c r="A2277" s="166" t="n"/>
      <c r="B2277" s="63" t="n"/>
      <c r="C2277" s="64" t="n"/>
      <c r="D2277" s="167" t="n"/>
      <c r="E2277" s="63" t="n"/>
      <c r="F2277" s="63" t="n"/>
    </row>
    <row r="2278">
      <c r="A2278" s="166" t="n"/>
      <c r="B2278" s="63" t="n"/>
      <c r="C2278" s="64" t="n"/>
      <c r="D2278" s="167" t="n"/>
      <c r="E2278" s="63" t="n"/>
      <c r="F2278" s="63" t="n"/>
    </row>
    <row r="2279">
      <c r="A2279" s="166" t="n"/>
      <c r="B2279" s="63" t="n"/>
      <c r="C2279" s="64" t="n"/>
      <c r="D2279" s="167" t="n"/>
      <c r="E2279" s="63" t="n"/>
      <c r="F2279" s="63" t="n"/>
    </row>
    <row r="2280">
      <c r="A2280" s="166" t="n"/>
      <c r="B2280" s="63" t="n"/>
      <c r="C2280" s="64" t="n"/>
      <c r="D2280" s="167" t="n"/>
      <c r="E2280" s="63" t="n"/>
      <c r="F2280" s="63" t="n"/>
    </row>
    <row r="2281">
      <c r="A2281" s="166" t="n"/>
      <c r="B2281" s="63" t="n"/>
      <c r="C2281" s="64" t="n"/>
      <c r="D2281" s="167" t="n"/>
      <c r="E2281" s="63" t="n"/>
      <c r="F2281" s="63" t="n"/>
    </row>
    <row r="2282">
      <c r="A2282" s="166" t="n"/>
      <c r="B2282" s="63" t="n"/>
      <c r="C2282" s="64" t="n"/>
      <c r="D2282" s="167" t="n"/>
      <c r="E2282" s="63" t="n"/>
      <c r="F2282" s="63" t="n"/>
    </row>
    <row r="2283">
      <c r="A2283" s="166" t="n"/>
      <c r="B2283" s="63" t="n"/>
      <c r="C2283" s="64" t="n"/>
      <c r="D2283" s="167" t="n"/>
      <c r="E2283" s="63" t="n"/>
      <c r="F2283" s="63" t="n"/>
    </row>
    <row r="2284">
      <c r="A2284" s="166" t="n"/>
      <c r="B2284" s="63" t="n"/>
      <c r="C2284" s="64" t="n"/>
      <c r="D2284" s="167" t="n"/>
      <c r="E2284" s="63" t="n"/>
      <c r="F2284" s="63" t="n"/>
    </row>
    <row r="2285">
      <c r="A2285" s="166" t="n"/>
      <c r="B2285" s="63" t="n"/>
      <c r="C2285" s="64" t="n"/>
      <c r="D2285" s="167" t="n"/>
      <c r="E2285" s="63" t="n"/>
      <c r="F2285" s="63" t="n"/>
    </row>
    <row r="2286">
      <c r="A2286" s="166" t="n"/>
      <c r="B2286" s="63" t="n"/>
      <c r="C2286" s="64" t="n"/>
      <c r="D2286" s="167" t="n"/>
      <c r="E2286" s="63" t="n"/>
      <c r="F2286" s="63" t="n"/>
    </row>
    <row r="2287">
      <c r="A2287" s="166" t="n"/>
      <c r="B2287" s="63" t="n"/>
      <c r="C2287" s="64" t="n"/>
      <c r="D2287" s="167" t="n"/>
      <c r="E2287" s="63" t="n"/>
      <c r="F2287" s="63" t="n"/>
    </row>
    <row r="2288">
      <c r="A2288" s="166" t="n"/>
      <c r="B2288" s="63" t="n"/>
      <c r="C2288" s="64" t="n"/>
      <c r="D2288" s="167" t="n"/>
      <c r="E2288" s="63" t="n"/>
      <c r="F2288" s="63" t="n"/>
    </row>
    <row r="2289">
      <c r="A2289" s="166" t="n"/>
      <c r="B2289" s="63" t="n"/>
      <c r="C2289" s="64" t="n"/>
      <c r="D2289" s="167" t="n"/>
      <c r="E2289" s="63" t="n"/>
      <c r="F2289" s="63" t="n"/>
    </row>
    <row r="2290">
      <c r="A2290" s="166" t="n"/>
      <c r="B2290" s="63" t="n"/>
      <c r="C2290" s="64" t="n"/>
      <c r="D2290" s="167" t="n"/>
      <c r="E2290" s="63" t="n"/>
      <c r="F2290" s="63" t="n"/>
    </row>
    <row r="2291">
      <c r="A2291" s="166" t="n"/>
      <c r="B2291" s="63" t="n"/>
      <c r="C2291" s="64" t="n"/>
      <c r="D2291" s="167" t="n"/>
      <c r="E2291" s="63" t="n"/>
      <c r="F2291" s="63" t="n"/>
    </row>
    <row r="2292">
      <c r="A2292" s="166" t="n"/>
      <c r="B2292" s="63" t="n"/>
      <c r="C2292" s="64" t="n"/>
      <c r="D2292" s="167" t="n"/>
      <c r="E2292" s="63" t="n"/>
      <c r="F2292" s="63" t="n"/>
    </row>
    <row r="2293">
      <c r="A2293" s="166" t="n"/>
      <c r="B2293" s="63" t="n"/>
      <c r="C2293" s="64" t="n"/>
      <c r="D2293" s="167" t="n"/>
      <c r="E2293" s="63" t="n"/>
      <c r="F2293" s="63" t="n"/>
    </row>
    <row r="2294">
      <c r="A2294" s="166" t="n"/>
      <c r="B2294" s="63" t="n"/>
      <c r="C2294" s="64" t="n"/>
      <c r="D2294" s="167" t="n"/>
      <c r="E2294" s="63" t="n"/>
      <c r="F2294" s="63" t="n"/>
    </row>
    <row r="2295">
      <c r="A2295" s="166" t="n"/>
      <c r="B2295" s="63" t="n"/>
      <c r="C2295" s="64" t="n"/>
      <c r="D2295" s="167" t="n"/>
      <c r="E2295" s="63" t="n"/>
      <c r="F2295" s="63" t="n"/>
    </row>
    <row r="2296">
      <c r="A2296" s="166" t="n"/>
      <c r="B2296" s="63" t="n"/>
      <c r="C2296" s="64" t="n"/>
      <c r="D2296" s="167" t="n"/>
      <c r="E2296" s="63" t="n"/>
      <c r="F2296" s="63" t="n"/>
    </row>
    <row r="2297">
      <c r="A2297" s="166" t="n"/>
      <c r="B2297" s="63" t="n"/>
      <c r="C2297" s="64" t="n"/>
      <c r="D2297" s="167" t="n"/>
      <c r="E2297" s="63" t="n"/>
      <c r="F2297" s="63" t="n"/>
    </row>
    <row r="2298">
      <c r="A2298" s="166" t="n"/>
      <c r="B2298" s="63" t="n"/>
      <c r="C2298" s="64" t="n"/>
      <c r="D2298" s="167" t="n"/>
      <c r="E2298" s="63" t="n"/>
      <c r="F2298" s="63" t="n"/>
    </row>
    <row r="2299">
      <c r="A2299" s="166" t="n"/>
      <c r="B2299" s="63" t="n"/>
      <c r="C2299" s="64" t="n"/>
      <c r="D2299" s="167" t="n"/>
      <c r="E2299" s="63" t="n"/>
      <c r="F2299" s="63" t="n"/>
    </row>
    <row r="2300">
      <c r="A2300" s="166" t="n"/>
      <c r="B2300" s="63" t="n"/>
      <c r="C2300" s="64" t="n"/>
      <c r="D2300" s="167" t="n"/>
      <c r="E2300" s="63" t="n"/>
      <c r="F2300" s="63" t="n"/>
    </row>
    <row r="2301">
      <c r="A2301" s="166" t="n"/>
      <c r="B2301" s="63" t="n"/>
      <c r="C2301" s="64" t="n"/>
      <c r="D2301" s="167" t="n"/>
      <c r="E2301" s="63" t="n"/>
      <c r="F2301" s="63" t="n"/>
    </row>
    <row r="2302">
      <c r="A2302" s="166" t="n"/>
      <c r="B2302" s="63" t="n"/>
      <c r="C2302" s="64" t="n"/>
      <c r="D2302" s="167" t="n"/>
      <c r="E2302" s="63" t="n"/>
      <c r="F2302" s="63" t="n"/>
    </row>
    <row r="2303">
      <c r="A2303" s="166" t="n"/>
      <c r="B2303" s="63" t="n"/>
      <c r="C2303" s="64" t="n"/>
      <c r="D2303" s="167" t="n"/>
      <c r="E2303" s="63" t="n"/>
      <c r="F2303" s="63" t="n"/>
    </row>
    <row r="2304">
      <c r="A2304" s="166" t="n"/>
      <c r="B2304" s="63" t="n"/>
      <c r="C2304" s="64" t="n"/>
      <c r="D2304" s="167" t="n"/>
      <c r="E2304" s="63" t="n"/>
      <c r="F2304" s="63" t="n"/>
    </row>
    <row r="2305">
      <c r="A2305" s="166" t="n"/>
      <c r="B2305" s="63" t="n"/>
      <c r="C2305" s="64" t="n"/>
      <c r="D2305" s="167" t="n"/>
      <c r="E2305" s="63" t="n"/>
      <c r="F2305" s="63" t="n"/>
    </row>
    <row r="2306">
      <c r="A2306" s="166" t="n"/>
      <c r="B2306" s="63" t="n"/>
      <c r="C2306" s="64" t="n"/>
      <c r="D2306" s="167" t="n"/>
      <c r="E2306" s="63" t="n"/>
      <c r="F2306" s="63" t="n"/>
    </row>
    <row r="2307">
      <c r="A2307" s="166" t="n"/>
      <c r="B2307" s="63" t="n"/>
      <c r="C2307" s="64" t="n"/>
      <c r="D2307" s="167" t="n"/>
      <c r="E2307" s="63" t="n"/>
      <c r="F2307" s="63" t="n"/>
    </row>
    <row r="2308">
      <c r="A2308" s="166" t="n"/>
      <c r="B2308" s="63" t="n"/>
      <c r="C2308" s="64" t="n"/>
      <c r="D2308" s="167" t="n"/>
      <c r="E2308" s="63" t="n"/>
      <c r="F2308" s="63" t="n"/>
    </row>
    <row r="2309">
      <c r="A2309" s="166" t="n"/>
      <c r="B2309" s="63" t="n"/>
      <c r="C2309" s="64" t="n"/>
      <c r="D2309" s="167" t="n"/>
      <c r="E2309" s="63" t="n"/>
      <c r="F2309" s="63" t="n"/>
    </row>
    <row r="2310">
      <c r="A2310" s="166" t="n"/>
      <c r="B2310" s="63" t="n"/>
      <c r="C2310" s="64" t="n"/>
      <c r="D2310" s="167" t="n"/>
      <c r="E2310" s="63" t="n"/>
      <c r="F2310" s="63" t="n"/>
    </row>
    <row r="2311">
      <c r="A2311" s="166" t="n"/>
      <c r="B2311" s="63" t="n"/>
      <c r="C2311" s="64" t="n"/>
      <c r="D2311" s="167" t="n"/>
      <c r="E2311" s="63" t="n"/>
      <c r="F2311" s="63" t="n"/>
    </row>
    <row r="2312">
      <c r="A2312" s="166" t="n"/>
      <c r="B2312" s="63" t="n"/>
      <c r="C2312" s="64" t="n"/>
      <c r="D2312" s="167" t="n"/>
      <c r="E2312" s="63" t="n"/>
      <c r="F2312" s="63" t="n"/>
    </row>
    <row r="2313">
      <c r="A2313" s="166" t="n"/>
      <c r="B2313" s="63" t="n"/>
      <c r="C2313" s="64" t="n"/>
      <c r="D2313" s="167" t="n"/>
      <c r="E2313" s="63" t="n"/>
      <c r="F2313" s="63" t="n"/>
    </row>
    <row r="2314">
      <c r="A2314" s="166" t="n"/>
      <c r="B2314" s="63" t="n"/>
      <c r="C2314" s="64" t="n"/>
      <c r="D2314" s="167" t="n"/>
      <c r="E2314" s="63" t="n"/>
      <c r="F2314" s="63" t="n"/>
    </row>
    <row r="2315">
      <c r="A2315" s="166" t="n"/>
      <c r="B2315" s="63" t="n"/>
      <c r="C2315" s="64" t="n"/>
      <c r="D2315" s="167" t="n"/>
      <c r="E2315" s="63" t="n"/>
      <c r="F2315" s="63" t="n"/>
    </row>
    <row r="2316">
      <c r="A2316" s="166" t="n"/>
      <c r="B2316" s="63" t="n"/>
      <c r="C2316" s="64" t="n"/>
      <c r="D2316" s="167" t="n"/>
      <c r="E2316" s="63" t="n"/>
      <c r="F2316" s="63" t="n"/>
    </row>
    <row r="2317">
      <c r="A2317" s="166" t="n"/>
      <c r="B2317" s="63" t="n"/>
      <c r="C2317" s="64" t="n"/>
      <c r="D2317" s="167" t="n"/>
      <c r="E2317" s="63" t="n"/>
      <c r="F2317" s="63" t="n"/>
    </row>
    <row r="2318">
      <c r="A2318" s="166" t="n"/>
      <c r="B2318" s="63" t="n"/>
      <c r="C2318" s="64" t="n"/>
      <c r="D2318" s="167" t="n"/>
      <c r="E2318" s="63" t="n"/>
      <c r="F2318" s="63" t="n"/>
    </row>
    <row r="2319">
      <c r="A2319" s="166" t="n"/>
      <c r="B2319" s="63" t="n"/>
      <c r="C2319" s="64" t="n"/>
      <c r="D2319" s="167" t="n"/>
      <c r="E2319" s="63" t="n"/>
      <c r="F2319" s="63" t="n"/>
    </row>
    <row r="2320">
      <c r="A2320" s="166" t="n"/>
      <c r="B2320" s="63" t="n"/>
      <c r="C2320" s="64" t="n"/>
      <c r="D2320" s="167" t="n"/>
      <c r="E2320" s="63" t="n"/>
      <c r="F2320" s="63" t="n"/>
    </row>
    <row r="2321">
      <c r="A2321" s="166" t="n"/>
      <c r="B2321" s="63" t="n"/>
      <c r="C2321" s="64" t="n"/>
      <c r="D2321" s="167" t="n"/>
      <c r="E2321" s="63" t="n"/>
      <c r="F2321" s="63" t="n"/>
    </row>
    <row r="2322">
      <c r="A2322" s="166" t="n"/>
      <c r="B2322" s="63" t="n"/>
      <c r="C2322" s="64" t="n"/>
      <c r="D2322" s="167" t="n"/>
      <c r="E2322" s="63" t="n"/>
      <c r="F2322" s="63" t="n"/>
    </row>
    <row r="2323">
      <c r="A2323" s="166" t="n"/>
      <c r="B2323" s="63" t="n"/>
      <c r="C2323" s="64" t="n"/>
      <c r="D2323" s="167" t="n"/>
      <c r="E2323" s="63" t="n"/>
      <c r="F2323" s="63" t="n"/>
    </row>
    <row r="2324">
      <c r="A2324" s="166" t="n"/>
      <c r="B2324" s="63" t="n"/>
      <c r="C2324" s="64" t="n"/>
      <c r="D2324" s="167" t="n"/>
      <c r="E2324" s="63" t="n"/>
      <c r="F2324" s="63" t="n"/>
    </row>
    <row r="2325">
      <c r="A2325" s="166" t="n"/>
      <c r="B2325" s="63" t="n"/>
      <c r="C2325" s="64" t="n"/>
      <c r="D2325" s="167" t="n"/>
      <c r="E2325" s="63" t="n"/>
      <c r="F2325" s="63" t="n"/>
    </row>
    <row r="2326">
      <c r="A2326" s="166" t="n"/>
      <c r="B2326" s="63" t="n"/>
      <c r="C2326" s="64" t="n"/>
      <c r="D2326" s="167" t="n"/>
      <c r="E2326" s="63" t="n"/>
      <c r="F2326" s="63" t="n"/>
    </row>
    <row r="2327">
      <c r="A2327" s="166" t="n"/>
      <c r="B2327" s="63" t="n"/>
      <c r="C2327" s="64" t="n"/>
      <c r="D2327" s="167" t="n"/>
      <c r="E2327" s="63" t="n"/>
      <c r="F2327" s="63" t="n"/>
    </row>
    <row r="2328">
      <c r="A2328" s="166" t="n"/>
      <c r="B2328" s="63" t="n"/>
      <c r="C2328" s="64" t="n"/>
      <c r="D2328" s="167" t="n"/>
      <c r="E2328" s="63" t="n"/>
      <c r="F2328" s="63" t="n"/>
    </row>
    <row r="2329">
      <c r="A2329" s="166" t="n"/>
      <c r="B2329" s="63" t="n"/>
      <c r="C2329" s="64" t="n"/>
      <c r="D2329" s="167" t="n"/>
      <c r="E2329" s="63" t="n"/>
      <c r="F2329" s="63" t="n"/>
    </row>
    <row r="2330">
      <c r="A2330" s="166" t="n"/>
      <c r="B2330" s="63" t="n"/>
      <c r="C2330" s="64" t="n"/>
      <c r="D2330" s="167" t="n"/>
      <c r="E2330" s="63" t="n"/>
      <c r="F2330" s="63" t="n"/>
    </row>
    <row r="2331">
      <c r="A2331" s="166" t="n"/>
      <c r="B2331" s="63" t="n"/>
      <c r="C2331" s="64" t="n"/>
      <c r="D2331" s="167" t="n"/>
      <c r="E2331" s="63" t="n"/>
      <c r="F2331" s="63" t="n"/>
    </row>
    <row r="2332">
      <c r="A2332" s="166" t="n"/>
      <c r="B2332" s="63" t="n"/>
      <c r="C2332" s="64" t="n"/>
      <c r="D2332" s="167" t="n"/>
      <c r="E2332" s="63" t="n"/>
      <c r="F2332" s="63" t="n"/>
    </row>
    <row r="2333">
      <c r="A2333" s="166" t="n"/>
      <c r="B2333" s="63" t="n"/>
      <c r="C2333" s="64" t="n"/>
      <c r="D2333" s="167" t="n"/>
      <c r="E2333" s="63" t="n"/>
      <c r="F2333" s="63" t="n"/>
    </row>
    <row r="2334">
      <c r="A2334" s="166" t="n"/>
      <c r="B2334" s="63" t="n"/>
      <c r="C2334" s="64" t="n"/>
      <c r="D2334" s="167" t="n"/>
      <c r="E2334" s="63" t="n"/>
      <c r="F2334" s="63" t="n"/>
    </row>
    <row r="2335">
      <c r="A2335" s="166" t="n"/>
      <c r="B2335" s="63" t="n"/>
      <c r="C2335" s="64" t="n"/>
      <c r="D2335" s="167" t="n"/>
      <c r="E2335" s="63" t="n"/>
      <c r="F2335" s="63" t="n"/>
    </row>
    <row r="2336">
      <c r="A2336" s="166" t="n"/>
      <c r="B2336" s="63" t="n"/>
      <c r="C2336" s="64" t="n"/>
      <c r="D2336" s="167" t="n"/>
      <c r="E2336" s="63" t="n"/>
      <c r="F2336" s="63" t="n"/>
    </row>
    <row r="2337">
      <c r="A2337" s="166" t="n"/>
      <c r="B2337" s="63" t="n"/>
      <c r="C2337" s="64" t="n"/>
      <c r="D2337" s="167" t="n"/>
      <c r="E2337" s="63" t="n"/>
      <c r="F2337" s="63" t="n"/>
    </row>
    <row r="2338">
      <c r="A2338" s="166" t="n"/>
      <c r="B2338" s="63" t="n"/>
      <c r="C2338" s="64" t="n"/>
      <c r="D2338" s="167" t="n"/>
      <c r="E2338" s="63" t="n"/>
      <c r="F2338" s="63" t="n"/>
    </row>
    <row r="2339">
      <c r="A2339" s="166" t="n"/>
      <c r="B2339" s="63" t="n"/>
      <c r="C2339" s="64" t="n"/>
      <c r="D2339" s="167" t="n"/>
      <c r="E2339" s="63" t="n"/>
      <c r="F2339" s="63" t="n"/>
    </row>
    <row r="2340">
      <c r="A2340" s="166" t="n"/>
      <c r="B2340" s="63" t="n"/>
      <c r="C2340" s="64" t="n"/>
      <c r="D2340" s="167" t="n"/>
      <c r="E2340" s="63" t="n"/>
      <c r="F2340" s="63" t="n"/>
    </row>
    <row r="2341">
      <c r="A2341" s="166" t="n"/>
      <c r="B2341" s="63" t="n"/>
      <c r="C2341" s="64" t="n"/>
      <c r="D2341" s="167" t="n"/>
      <c r="E2341" s="63" t="n"/>
      <c r="F2341" s="63" t="n"/>
    </row>
    <row r="2342">
      <c r="A2342" s="166" t="n"/>
      <c r="B2342" s="63" t="n"/>
      <c r="C2342" s="64" t="n"/>
      <c r="D2342" s="167" t="n"/>
      <c r="E2342" s="63" t="n"/>
      <c r="F2342" s="63" t="n"/>
    </row>
    <row r="2343">
      <c r="A2343" s="166" t="n"/>
      <c r="B2343" s="63" t="n"/>
      <c r="C2343" s="64" t="n"/>
      <c r="D2343" s="167" t="n"/>
      <c r="E2343" s="63" t="n"/>
      <c r="F2343" s="63" t="n"/>
    </row>
    <row r="2344">
      <c r="A2344" s="166" t="n"/>
      <c r="B2344" s="63" t="n"/>
      <c r="C2344" s="64" t="n"/>
      <c r="D2344" s="167" t="n"/>
      <c r="E2344" s="63" t="n"/>
      <c r="F2344" s="63" t="n"/>
    </row>
    <row r="2345">
      <c r="A2345" s="166" t="n"/>
      <c r="B2345" s="63" t="n"/>
      <c r="C2345" s="64" t="n"/>
      <c r="D2345" s="167" t="n"/>
      <c r="E2345" s="63" t="n"/>
      <c r="F2345" s="63" t="n"/>
    </row>
    <row r="2346">
      <c r="A2346" s="166" t="n"/>
      <c r="B2346" s="63" t="n"/>
      <c r="C2346" s="64" t="n"/>
      <c r="D2346" s="167" t="n"/>
      <c r="E2346" s="63" t="n"/>
      <c r="F2346" s="63" t="n"/>
    </row>
    <row r="2347">
      <c r="A2347" s="166" t="n"/>
      <c r="B2347" s="63" t="n"/>
      <c r="C2347" s="64" t="n"/>
      <c r="D2347" s="167" t="n"/>
      <c r="E2347" s="63" t="n"/>
      <c r="F2347" s="63" t="n"/>
    </row>
    <row r="2348">
      <c r="A2348" s="166" t="n"/>
      <c r="B2348" s="63" t="n"/>
      <c r="C2348" s="64" t="n"/>
      <c r="D2348" s="167" t="n"/>
      <c r="E2348" s="63" t="n"/>
      <c r="F2348" s="63" t="n"/>
    </row>
    <row r="2349">
      <c r="A2349" s="166" t="n"/>
      <c r="B2349" s="63" t="n"/>
      <c r="C2349" s="64" t="n"/>
      <c r="D2349" s="167" t="n"/>
      <c r="E2349" s="63" t="n"/>
      <c r="F2349" s="63" t="n"/>
    </row>
    <row r="2350">
      <c r="A2350" s="166" t="n"/>
      <c r="B2350" s="63" t="n"/>
      <c r="C2350" s="64" t="n"/>
      <c r="D2350" s="167" t="n"/>
      <c r="E2350" s="63" t="n"/>
      <c r="F2350" s="63" t="n"/>
    </row>
    <row r="2351">
      <c r="A2351" s="166" t="n"/>
      <c r="B2351" s="63" t="n"/>
      <c r="C2351" s="64" t="n"/>
      <c r="D2351" s="167" t="n"/>
      <c r="E2351" s="63" t="n"/>
      <c r="F2351" s="63" t="n"/>
    </row>
    <row r="2352">
      <c r="A2352" s="166" t="n"/>
      <c r="B2352" s="63" t="n"/>
      <c r="C2352" s="64" t="n"/>
      <c r="D2352" s="167" t="n"/>
      <c r="E2352" s="63" t="n"/>
      <c r="F2352" s="63" t="n"/>
    </row>
    <row r="2353">
      <c r="A2353" s="166" t="n"/>
      <c r="B2353" s="63" t="n"/>
      <c r="C2353" s="64" t="n"/>
      <c r="D2353" s="167" t="n"/>
      <c r="E2353" s="63" t="n"/>
      <c r="F2353" s="63" t="n"/>
    </row>
    <row r="2354">
      <c r="A2354" s="166" t="n"/>
      <c r="B2354" s="63" t="n"/>
      <c r="C2354" s="64" t="n"/>
      <c r="D2354" s="167" t="n"/>
      <c r="E2354" s="63" t="n"/>
      <c r="F2354" s="63" t="n"/>
    </row>
    <row r="2355">
      <c r="A2355" s="166" t="n"/>
      <c r="B2355" s="63" t="n"/>
      <c r="C2355" s="64" t="n"/>
      <c r="D2355" s="167" t="n"/>
      <c r="E2355" s="63" t="n"/>
      <c r="F2355" s="63" t="n"/>
    </row>
    <row r="2356">
      <c r="A2356" s="166" t="n"/>
      <c r="B2356" s="63" t="n"/>
      <c r="C2356" s="64" t="n"/>
      <c r="D2356" s="167" t="n"/>
      <c r="E2356" s="63" t="n"/>
      <c r="F2356" s="63" t="n"/>
    </row>
    <row r="2357">
      <c r="A2357" s="166" t="n"/>
      <c r="B2357" s="63" t="n"/>
      <c r="C2357" s="64" t="n"/>
      <c r="D2357" s="167" t="n"/>
      <c r="E2357" s="63" t="n"/>
      <c r="F2357" s="63" t="n"/>
    </row>
    <row r="2358">
      <c r="A2358" s="166" t="n"/>
      <c r="B2358" s="63" t="n"/>
      <c r="C2358" s="64" t="n"/>
      <c r="D2358" s="167" t="n"/>
      <c r="E2358" s="63" t="n"/>
      <c r="F2358" s="63" t="n"/>
    </row>
    <row r="2359">
      <c r="A2359" s="166" t="n"/>
      <c r="B2359" s="63" t="n"/>
      <c r="C2359" s="64" t="n"/>
      <c r="D2359" s="167" t="n"/>
      <c r="E2359" s="63" t="n"/>
      <c r="F2359" s="63" t="n"/>
    </row>
    <row r="2360">
      <c r="A2360" s="166" t="n"/>
      <c r="B2360" s="63" t="n"/>
      <c r="C2360" s="64" t="n"/>
      <c r="D2360" s="167" t="n"/>
      <c r="E2360" s="63" t="n"/>
      <c r="F2360" s="63" t="n"/>
    </row>
    <row r="2361">
      <c r="A2361" s="166" t="n"/>
      <c r="B2361" s="63" t="n"/>
      <c r="C2361" s="64" t="n"/>
      <c r="D2361" s="167" t="n"/>
      <c r="E2361" s="63" t="n"/>
      <c r="F2361" s="63" t="n"/>
    </row>
    <row r="2362">
      <c r="A2362" s="166" t="n"/>
      <c r="B2362" s="63" t="n"/>
      <c r="C2362" s="64" t="n"/>
      <c r="D2362" s="167" t="n"/>
      <c r="E2362" s="63" t="n"/>
      <c r="F2362" s="63" t="n"/>
    </row>
    <row r="2363">
      <c r="A2363" s="166" t="n"/>
      <c r="B2363" s="63" t="n"/>
      <c r="C2363" s="64" t="n"/>
      <c r="D2363" s="167" t="n"/>
      <c r="E2363" s="63" t="n"/>
      <c r="F2363" s="63" t="n"/>
    </row>
    <row r="2364">
      <c r="A2364" s="166" t="n"/>
      <c r="B2364" s="63" t="n"/>
      <c r="C2364" s="64" t="n"/>
      <c r="D2364" s="167" t="n"/>
      <c r="E2364" s="63" t="n"/>
      <c r="F2364" s="63" t="n"/>
    </row>
    <row r="2365">
      <c r="A2365" s="166" t="n"/>
      <c r="B2365" s="63" t="n"/>
      <c r="C2365" s="64" t="n"/>
      <c r="D2365" s="167" t="n"/>
      <c r="E2365" s="63" t="n"/>
      <c r="F2365" s="63" t="n"/>
    </row>
    <row r="2366">
      <c r="A2366" s="166" t="n"/>
      <c r="B2366" s="63" t="n"/>
      <c r="C2366" s="64" t="n"/>
      <c r="D2366" s="167" t="n"/>
      <c r="E2366" s="63" t="n"/>
      <c r="F2366" s="63" t="n"/>
    </row>
    <row r="2367">
      <c r="A2367" s="166" t="n"/>
      <c r="B2367" s="63" t="n"/>
      <c r="C2367" s="64" t="n"/>
      <c r="D2367" s="167" t="n"/>
      <c r="E2367" s="63" t="n"/>
      <c r="F2367" s="63" t="n"/>
    </row>
    <row r="2368">
      <c r="A2368" s="166" t="n"/>
      <c r="B2368" s="63" t="n"/>
      <c r="C2368" s="64" t="n"/>
      <c r="D2368" s="167" t="n"/>
      <c r="E2368" s="63" t="n"/>
      <c r="F2368" s="63" t="n"/>
    </row>
    <row r="2369">
      <c r="A2369" s="166" t="n"/>
      <c r="B2369" s="63" t="n"/>
      <c r="C2369" s="64" t="n"/>
      <c r="D2369" s="167" t="n"/>
      <c r="E2369" s="63" t="n"/>
      <c r="F2369" s="63" t="n"/>
    </row>
    <row r="2370">
      <c r="A2370" s="166" t="n"/>
      <c r="B2370" s="63" t="n"/>
      <c r="C2370" s="64" t="n"/>
      <c r="D2370" s="167" t="n"/>
      <c r="E2370" s="63" t="n"/>
      <c r="F2370" s="63" t="n"/>
    </row>
    <row r="2371">
      <c r="A2371" s="166" t="n"/>
      <c r="B2371" s="63" t="n"/>
      <c r="C2371" s="64" t="n"/>
      <c r="D2371" s="167" t="n"/>
      <c r="E2371" s="63" t="n"/>
      <c r="F2371" s="63" t="n"/>
    </row>
    <row r="2372">
      <c r="A2372" s="166" t="n"/>
      <c r="B2372" s="63" t="n"/>
      <c r="C2372" s="64" t="n"/>
      <c r="D2372" s="167" t="n"/>
      <c r="E2372" s="63" t="n"/>
      <c r="F2372" s="63" t="n"/>
    </row>
    <row r="2373">
      <c r="A2373" s="166" t="n"/>
      <c r="B2373" s="63" t="n"/>
      <c r="C2373" s="64" t="n"/>
      <c r="D2373" s="167" t="n"/>
      <c r="E2373" s="63" t="n"/>
      <c r="F2373" s="63" t="n"/>
    </row>
    <row r="2374">
      <c r="A2374" s="166" t="n"/>
      <c r="B2374" s="63" t="n"/>
      <c r="C2374" s="64" t="n"/>
      <c r="D2374" s="167" t="n"/>
      <c r="E2374" s="63" t="n"/>
      <c r="F2374" s="63" t="n"/>
    </row>
    <row r="2375">
      <c r="A2375" s="166" t="n"/>
      <c r="B2375" s="63" t="n"/>
      <c r="C2375" s="64" t="n"/>
      <c r="D2375" s="167" t="n"/>
      <c r="E2375" s="63" t="n"/>
      <c r="F2375" s="63" t="n"/>
    </row>
    <row r="2376">
      <c r="A2376" s="166" t="n"/>
      <c r="B2376" s="63" t="n"/>
      <c r="C2376" s="64" t="n"/>
      <c r="D2376" s="167" t="n"/>
      <c r="E2376" s="63" t="n"/>
      <c r="F2376" s="63" t="n"/>
    </row>
    <row r="2377">
      <c r="A2377" s="166" t="n"/>
      <c r="B2377" s="63" t="n"/>
      <c r="C2377" s="64" t="n"/>
      <c r="D2377" s="167" t="n"/>
      <c r="E2377" s="63" t="n"/>
      <c r="F2377" s="63" t="n"/>
    </row>
    <row r="2378">
      <c r="A2378" s="166" t="n"/>
      <c r="B2378" s="63" t="n"/>
      <c r="C2378" s="64" t="n"/>
      <c r="D2378" s="167" t="n"/>
      <c r="E2378" s="63" t="n"/>
      <c r="F2378" s="63" t="n"/>
    </row>
    <row r="2379">
      <c r="A2379" s="166" t="n"/>
      <c r="B2379" s="63" t="n"/>
      <c r="C2379" s="64" t="n"/>
      <c r="D2379" s="167" t="n"/>
      <c r="E2379" s="63" t="n"/>
      <c r="F2379" s="63" t="n"/>
    </row>
    <row r="2380">
      <c r="A2380" s="166" t="n"/>
      <c r="B2380" s="63" t="n"/>
      <c r="C2380" s="64" t="n"/>
      <c r="D2380" s="167" t="n"/>
      <c r="E2380" s="63" t="n"/>
      <c r="F2380" s="63" t="n"/>
    </row>
    <row r="2381">
      <c r="A2381" s="166" t="n"/>
      <c r="B2381" s="63" t="n"/>
      <c r="C2381" s="64" t="n"/>
      <c r="D2381" s="167" t="n"/>
      <c r="E2381" s="63" t="n"/>
      <c r="F2381" s="63" t="n"/>
    </row>
    <row r="2382">
      <c r="A2382" s="166" t="n"/>
      <c r="B2382" s="63" t="n"/>
      <c r="C2382" s="64" t="n"/>
      <c r="D2382" s="167" t="n"/>
      <c r="E2382" s="63" t="n"/>
      <c r="F2382" s="63" t="n"/>
    </row>
    <row r="2383">
      <c r="A2383" s="166" t="n"/>
      <c r="B2383" s="63" t="n"/>
      <c r="C2383" s="64" t="n"/>
      <c r="D2383" s="167" t="n"/>
      <c r="E2383" s="63" t="n"/>
      <c r="F2383" s="63" t="n"/>
    </row>
    <row r="2384">
      <c r="A2384" s="166" t="n"/>
      <c r="B2384" s="63" t="n"/>
      <c r="C2384" s="64" t="n"/>
      <c r="D2384" s="167" t="n"/>
      <c r="E2384" s="63" t="n"/>
      <c r="F2384" s="63" t="n"/>
    </row>
    <row r="2385">
      <c r="A2385" s="166" t="n"/>
      <c r="B2385" s="63" t="n"/>
      <c r="C2385" s="64" t="n"/>
      <c r="D2385" s="167" t="n"/>
      <c r="E2385" s="63" t="n"/>
      <c r="F2385" s="63" t="n"/>
    </row>
    <row r="2386">
      <c r="A2386" s="166" t="n"/>
      <c r="B2386" s="63" t="n"/>
      <c r="C2386" s="64" t="n"/>
      <c r="D2386" s="167" t="n"/>
      <c r="E2386" s="63" t="n"/>
      <c r="F2386" s="63" t="n"/>
    </row>
    <row r="2387">
      <c r="A2387" s="166" t="n"/>
      <c r="B2387" s="63" t="n"/>
      <c r="C2387" s="64" t="n"/>
      <c r="D2387" s="167" t="n"/>
      <c r="E2387" s="63" t="n"/>
      <c r="F2387" s="63" t="n"/>
    </row>
    <row r="2388">
      <c r="A2388" s="166" t="n"/>
      <c r="B2388" s="63" t="n"/>
      <c r="C2388" s="64" t="n"/>
      <c r="D2388" s="167" t="n"/>
      <c r="E2388" s="63" t="n"/>
      <c r="F2388" s="63" t="n"/>
    </row>
    <row r="2389">
      <c r="A2389" s="166" t="n"/>
      <c r="B2389" s="63" t="n"/>
      <c r="C2389" s="64" t="n"/>
      <c r="D2389" s="167" t="n"/>
      <c r="E2389" s="63" t="n"/>
      <c r="F2389" s="63" t="n"/>
    </row>
    <row r="2390">
      <c r="A2390" s="166" t="n"/>
      <c r="B2390" s="63" t="n"/>
      <c r="C2390" s="64" t="n"/>
      <c r="D2390" s="167" t="n"/>
      <c r="E2390" s="63" t="n"/>
      <c r="F2390" s="63" t="n"/>
    </row>
    <row r="2391">
      <c r="A2391" s="166" t="n"/>
      <c r="B2391" s="63" t="n"/>
      <c r="C2391" s="64" t="n"/>
      <c r="D2391" s="167" t="n"/>
      <c r="E2391" s="63" t="n"/>
      <c r="F2391" s="63" t="n"/>
    </row>
    <row r="2392">
      <c r="A2392" s="166" t="n"/>
      <c r="B2392" s="63" t="n"/>
      <c r="C2392" s="64" t="n"/>
      <c r="D2392" s="167" t="n"/>
      <c r="E2392" s="63" t="n"/>
      <c r="F2392" s="63" t="n"/>
    </row>
    <row r="2393">
      <c r="A2393" s="166" t="n"/>
      <c r="B2393" s="63" t="n"/>
      <c r="C2393" s="64" t="n"/>
      <c r="D2393" s="167" t="n"/>
      <c r="E2393" s="63" t="n"/>
      <c r="F2393" s="63" t="n"/>
    </row>
    <row r="2394">
      <c r="A2394" s="166" t="n"/>
      <c r="B2394" s="63" t="n"/>
      <c r="C2394" s="64" t="n"/>
      <c r="D2394" s="167" t="n"/>
      <c r="E2394" s="63" t="n"/>
      <c r="F2394" s="63" t="n"/>
    </row>
    <row r="2395">
      <c r="A2395" s="166" t="n"/>
      <c r="B2395" s="63" t="n"/>
      <c r="C2395" s="64" t="n"/>
      <c r="D2395" s="167" t="n"/>
      <c r="E2395" s="63" t="n"/>
      <c r="F2395" s="63" t="n"/>
    </row>
    <row r="2396">
      <c r="A2396" s="166" t="n"/>
      <c r="B2396" s="63" t="n"/>
      <c r="C2396" s="64" t="n"/>
      <c r="D2396" s="167" t="n"/>
      <c r="E2396" s="63" t="n"/>
      <c r="F2396" s="63" t="n"/>
    </row>
    <row r="2397">
      <c r="A2397" s="166" t="n"/>
      <c r="B2397" s="63" t="n"/>
      <c r="C2397" s="64" t="n"/>
      <c r="D2397" s="167" t="n"/>
      <c r="E2397" s="63" t="n"/>
      <c r="F2397" s="63" t="n"/>
    </row>
    <row r="2398">
      <c r="A2398" s="166" t="n"/>
      <c r="B2398" s="63" t="n"/>
      <c r="C2398" s="64" t="n"/>
      <c r="D2398" s="167" t="n"/>
      <c r="E2398" s="63" t="n"/>
      <c r="F2398" s="63" t="n"/>
    </row>
    <row r="2399">
      <c r="A2399" s="166" t="n"/>
      <c r="B2399" s="63" t="n"/>
      <c r="C2399" s="64" t="n"/>
      <c r="D2399" s="167" t="n"/>
      <c r="E2399" s="63" t="n"/>
      <c r="F2399" s="63" t="n"/>
    </row>
    <row r="2400">
      <c r="A2400" s="166" t="n"/>
      <c r="B2400" s="63" t="n"/>
      <c r="C2400" s="64" t="n"/>
      <c r="D2400" s="167" t="n"/>
      <c r="E2400" s="63" t="n"/>
      <c r="F2400" s="63" t="n"/>
    </row>
    <row r="2401">
      <c r="A2401" s="166" t="n"/>
      <c r="B2401" s="63" t="n"/>
      <c r="C2401" s="64" t="n"/>
      <c r="D2401" s="167" t="n"/>
      <c r="E2401" s="63" t="n"/>
      <c r="F2401" s="63" t="n"/>
    </row>
    <row r="2402">
      <c r="A2402" s="166" t="n"/>
      <c r="B2402" s="63" t="n"/>
      <c r="C2402" s="64" t="n"/>
      <c r="D2402" s="167" t="n"/>
      <c r="E2402" s="63" t="n"/>
      <c r="F2402" s="63" t="n"/>
    </row>
    <row r="2403">
      <c r="A2403" s="166" t="n"/>
      <c r="B2403" s="63" t="n"/>
      <c r="C2403" s="64" t="n"/>
      <c r="D2403" s="167" t="n"/>
      <c r="E2403" s="63" t="n"/>
      <c r="F2403" s="63" t="n"/>
    </row>
    <row r="2404">
      <c r="A2404" s="166" t="n"/>
      <c r="B2404" s="63" t="n"/>
      <c r="C2404" s="64" t="n"/>
      <c r="D2404" s="167" t="n"/>
      <c r="E2404" s="63" t="n"/>
      <c r="F2404" s="63" t="n"/>
    </row>
    <row r="2405">
      <c r="A2405" s="166" t="n"/>
      <c r="B2405" s="63" t="n"/>
      <c r="C2405" s="64" t="n"/>
      <c r="D2405" s="167" t="n"/>
      <c r="E2405" s="63" t="n"/>
      <c r="F2405" s="63" t="n"/>
    </row>
    <row r="2406">
      <c r="A2406" s="166" t="n"/>
      <c r="B2406" s="63" t="n"/>
      <c r="C2406" s="64" t="n"/>
      <c r="D2406" s="167" t="n"/>
      <c r="E2406" s="63" t="n"/>
      <c r="F2406" s="63" t="n"/>
    </row>
    <row r="2407">
      <c r="A2407" s="166" t="n"/>
      <c r="B2407" s="63" t="n"/>
      <c r="C2407" s="64" t="n"/>
      <c r="D2407" s="167" t="n"/>
      <c r="E2407" s="63" t="n"/>
      <c r="F2407" s="63" t="n"/>
    </row>
    <row r="2408">
      <c r="A2408" s="166" t="n"/>
      <c r="B2408" s="63" t="n"/>
      <c r="C2408" s="64" t="n"/>
      <c r="D2408" s="167" t="n"/>
      <c r="E2408" s="63" t="n"/>
      <c r="F2408" s="63" t="n"/>
    </row>
    <row r="2409">
      <c r="A2409" s="166" t="n"/>
      <c r="B2409" s="63" t="n"/>
      <c r="C2409" s="64" t="n"/>
      <c r="D2409" s="167" t="n"/>
      <c r="E2409" s="63" t="n"/>
      <c r="F2409" s="63" t="n"/>
    </row>
    <row r="2410">
      <c r="A2410" s="166" t="n"/>
      <c r="B2410" s="63" t="n"/>
      <c r="C2410" s="64" t="n"/>
      <c r="D2410" s="167" t="n"/>
      <c r="E2410" s="63" t="n"/>
      <c r="F2410" s="63" t="n"/>
    </row>
    <row r="2411">
      <c r="A2411" s="166" t="n"/>
      <c r="B2411" s="63" t="n"/>
      <c r="C2411" s="64" t="n"/>
      <c r="D2411" s="167" t="n"/>
      <c r="E2411" s="63" t="n"/>
      <c r="F2411" s="63" t="n"/>
    </row>
    <row r="2412">
      <c r="A2412" s="166" t="n"/>
      <c r="B2412" s="63" t="n"/>
      <c r="C2412" s="64" t="n"/>
      <c r="D2412" s="167" t="n"/>
      <c r="E2412" s="63" t="n"/>
      <c r="F2412" s="63" t="n"/>
    </row>
    <row r="2413">
      <c r="A2413" s="166" t="n"/>
      <c r="B2413" s="63" t="n"/>
      <c r="C2413" s="64" t="n"/>
      <c r="D2413" s="167" t="n"/>
      <c r="E2413" s="63" t="n"/>
      <c r="F2413" s="63" t="n"/>
    </row>
    <row r="2414">
      <c r="A2414" s="166" t="n"/>
      <c r="B2414" s="63" t="n"/>
      <c r="C2414" s="64" t="n"/>
      <c r="D2414" s="167" t="n"/>
      <c r="E2414" s="63" t="n"/>
      <c r="F2414" s="63" t="n"/>
    </row>
    <row r="2415">
      <c r="A2415" s="166" t="n"/>
      <c r="B2415" s="63" t="n"/>
      <c r="C2415" s="64" t="n"/>
      <c r="D2415" s="167" t="n"/>
      <c r="E2415" s="63" t="n"/>
      <c r="F2415" s="63" t="n"/>
    </row>
    <row r="2416">
      <c r="A2416" s="166" t="n"/>
      <c r="B2416" s="63" t="n"/>
      <c r="C2416" s="64" t="n"/>
      <c r="D2416" s="167" t="n"/>
      <c r="E2416" s="63" t="n"/>
      <c r="F2416" s="63" t="n"/>
    </row>
    <row r="2417">
      <c r="A2417" s="166" t="n"/>
      <c r="B2417" s="63" t="n"/>
      <c r="C2417" s="64" t="n"/>
      <c r="D2417" s="167" t="n"/>
      <c r="E2417" s="63" t="n"/>
      <c r="F2417" s="63" t="n"/>
    </row>
    <row r="2418">
      <c r="A2418" s="166" t="n"/>
      <c r="B2418" s="63" t="n"/>
      <c r="C2418" s="64" t="n"/>
      <c r="D2418" s="167" t="n"/>
      <c r="E2418" s="63" t="n"/>
      <c r="F2418" s="63" t="n"/>
    </row>
    <row r="2419">
      <c r="A2419" s="166" t="n"/>
      <c r="B2419" s="63" t="n"/>
      <c r="C2419" s="64" t="n"/>
      <c r="D2419" s="167" t="n"/>
      <c r="E2419" s="63" t="n"/>
      <c r="F2419" s="63" t="n"/>
    </row>
    <row r="2420">
      <c r="A2420" s="166" t="n"/>
      <c r="B2420" s="63" t="n"/>
      <c r="C2420" s="64" t="n"/>
      <c r="D2420" s="167" t="n"/>
      <c r="E2420" s="63" t="n"/>
      <c r="F2420" s="63" t="n"/>
    </row>
    <row r="2421">
      <c r="A2421" s="166" t="n"/>
      <c r="B2421" s="63" t="n"/>
      <c r="C2421" s="64" t="n"/>
      <c r="D2421" s="167" t="n"/>
      <c r="E2421" s="63" t="n"/>
      <c r="F2421" s="63" t="n"/>
    </row>
    <row r="2422">
      <c r="A2422" s="166" t="n"/>
      <c r="B2422" s="63" t="n"/>
      <c r="C2422" s="64" t="n"/>
      <c r="D2422" s="167" t="n"/>
      <c r="E2422" s="63" t="n"/>
      <c r="F2422" s="63" t="n"/>
    </row>
    <row r="2423">
      <c r="A2423" s="166" t="n"/>
      <c r="B2423" s="63" t="n"/>
      <c r="C2423" s="64" t="n"/>
      <c r="D2423" s="167" t="n"/>
      <c r="E2423" s="63" t="n"/>
      <c r="F2423" s="63" t="n"/>
    </row>
    <row r="2424">
      <c r="A2424" s="166" t="n"/>
      <c r="B2424" s="63" t="n"/>
      <c r="C2424" s="64" t="n"/>
      <c r="D2424" s="167" t="n"/>
      <c r="E2424" s="63" t="n"/>
      <c r="F2424" s="63" t="n"/>
    </row>
    <row r="2425">
      <c r="A2425" s="166" t="n"/>
      <c r="B2425" s="63" t="n"/>
      <c r="C2425" s="64" t="n"/>
      <c r="D2425" s="167" t="n"/>
      <c r="E2425" s="63" t="n"/>
      <c r="F2425" s="63" t="n"/>
    </row>
    <row r="2426">
      <c r="A2426" s="166" t="n"/>
      <c r="B2426" s="63" t="n"/>
      <c r="C2426" s="64" t="n"/>
      <c r="D2426" s="167" t="n"/>
      <c r="E2426" s="63" t="n"/>
      <c r="F2426" s="63" t="n"/>
    </row>
    <row r="2427">
      <c r="A2427" s="166" t="n"/>
      <c r="B2427" s="63" t="n"/>
      <c r="C2427" s="64" t="n"/>
      <c r="D2427" s="167" t="n"/>
      <c r="E2427" s="63" t="n"/>
      <c r="F2427" s="63" t="n"/>
    </row>
    <row r="2428">
      <c r="A2428" s="166" t="n"/>
      <c r="B2428" s="63" t="n"/>
      <c r="C2428" s="64" t="n"/>
      <c r="D2428" s="167" t="n"/>
      <c r="E2428" s="63" t="n"/>
      <c r="F2428" s="63" t="n"/>
    </row>
    <row r="2429">
      <c r="A2429" s="166" t="n"/>
      <c r="B2429" s="63" t="n"/>
      <c r="C2429" s="64" t="n"/>
      <c r="D2429" s="167" t="n"/>
      <c r="E2429" s="63" t="n"/>
      <c r="F2429" s="63" t="n"/>
    </row>
    <row r="2430">
      <c r="A2430" s="166" t="n"/>
      <c r="B2430" s="63" t="n"/>
      <c r="C2430" s="64" t="n"/>
      <c r="D2430" s="167" t="n"/>
      <c r="E2430" s="63" t="n"/>
      <c r="F2430" s="63" t="n"/>
    </row>
    <row r="2431">
      <c r="A2431" s="166" t="n"/>
      <c r="B2431" s="63" t="n"/>
      <c r="C2431" s="64" t="n"/>
      <c r="D2431" s="167" t="n"/>
      <c r="E2431" s="63" t="n"/>
      <c r="F2431" s="63" t="n"/>
    </row>
    <row r="2432">
      <c r="A2432" s="166" t="n"/>
      <c r="B2432" s="63" t="n"/>
      <c r="C2432" s="64" t="n"/>
      <c r="D2432" s="167" t="n"/>
      <c r="E2432" s="63" t="n"/>
      <c r="F2432" s="63" t="n"/>
    </row>
    <row r="2433">
      <c r="A2433" s="166" t="n"/>
      <c r="B2433" s="63" t="n"/>
      <c r="C2433" s="64" t="n"/>
      <c r="D2433" s="167" t="n"/>
      <c r="E2433" s="63" t="n"/>
      <c r="F2433" s="63" t="n"/>
    </row>
    <row r="2434">
      <c r="A2434" s="166" t="n"/>
      <c r="B2434" s="63" t="n"/>
      <c r="C2434" s="64" t="n"/>
      <c r="D2434" s="167" t="n"/>
      <c r="E2434" s="63" t="n"/>
      <c r="F2434" s="63" t="n"/>
    </row>
    <row r="2435">
      <c r="A2435" s="166" t="n"/>
      <c r="B2435" s="63" t="n"/>
      <c r="C2435" s="64" t="n"/>
      <c r="D2435" s="167" t="n"/>
      <c r="E2435" s="63" t="n"/>
      <c r="F2435" s="63" t="n"/>
    </row>
    <row r="2436">
      <c r="A2436" s="166" t="n"/>
      <c r="B2436" s="63" t="n"/>
      <c r="C2436" s="64" t="n"/>
      <c r="D2436" s="167" t="n"/>
      <c r="E2436" s="63" t="n"/>
      <c r="F2436" s="63" t="n"/>
    </row>
    <row r="2437">
      <c r="A2437" s="166" t="n"/>
      <c r="B2437" s="63" t="n"/>
      <c r="C2437" s="64" t="n"/>
      <c r="D2437" s="167" t="n"/>
      <c r="E2437" s="63" t="n"/>
      <c r="F2437" s="63" t="n"/>
    </row>
    <row r="2438">
      <c r="A2438" s="166" t="n"/>
      <c r="B2438" s="63" t="n"/>
      <c r="C2438" s="64" t="n"/>
      <c r="D2438" s="167" t="n"/>
      <c r="E2438" s="63" t="n"/>
      <c r="F2438" s="63" t="n"/>
    </row>
    <row r="2439">
      <c r="A2439" s="166" t="n"/>
      <c r="B2439" s="63" t="n"/>
      <c r="C2439" s="64" t="n"/>
      <c r="D2439" s="167" t="n"/>
      <c r="E2439" s="63" t="n"/>
      <c r="F2439" s="63" t="n"/>
    </row>
    <row r="2440">
      <c r="A2440" s="166" t="n"/>
      <c r="B2440" s="63" t="n"/>
      <c r="C2440" s="64" t="n"/>
      <c r="D2440" s="167" t="n"/>
      <c r="E2440" s="63" t="n"/>
      <c r="F2440" s="63" t="n"/>
    </row>
    <row r="2441">
      <c r="A2441" s="166" t="n"/>
      <c r="B2441" s="63" t="n"/>
      <c r="C2441" s="64" t="n"/>
      <c r="D2441" s="167" t="n"/>
      <c r="E2441" s="63" t="n"/>
      <c r="F2441" s="63" t="n"/>
    </row>
    <row r="2442">
      <c r="A2442" s="166" t="n"/>
      <c r="B2442" s="63" t="n"/>
      <c r="C2442" s="64" t="n"/>
      <c r="D2442" s="167" t="n"/>
      <c r="E2442" s="63" t="n"/>
      <c r="F2442" s="63" t="n"/>
    </row>
    <row r="2443">
      <c r="A2443" s="166" t="n"/>
      <c r="B2443" s="63" t="n"/>
      <c r="C2443" s="64" t="n"/>
      <c r="D2443" s="167" t="n"/>
      <c r="E2443" s="63" t="n"/>
      <c r="F2443" s="63" t="n"/>
    </row>
    <row r="2444">
      <c r="A2444" s="166" t="n"/>
      <c r="B2444" s="63" t="n"/>
      <c r="C2444" s="64" t="n"/>
      <c r="D2444" s="167" t="n"/>
      <c r="E2444" s="63" t="n"/>
      <c r="F2444" s="63" t="n"/>
    </row>
    <row r="2445">
      <c r="A2445" s="166" t="n"/>
      <c r="B2445" s="63" t="n"/>
      <c r="C2445" s="64" t="n"/>
      <c r="D2445" s="167" t="n"/>
      <c r="E2445" s="63" t="n"/>
      <c r="F2445" s="63" t="n"/>
    </row>
    <row r="2446">
      <c r="A2446" s="166" t="n"/>
      <c r="B2446" s="63" t="n"/>
      <c r="C2446" s="64" t="n"/>
      <c r="D2446" s="167" t="n"/>
      <c r="E2446" s="63" t="n"/>
      <c r="F2446" s="63" t="n"/>
    </row>
    <row r="2447">
      <c r="A2447" s="166" t="n"/>
      <c r="B2447" s="63" t="n"/>
      <c r="C2447" s="64" t="n"/>
      <c r="D2447" s="167" t="n"/>
      <c r="E2447" s="63" t="n"/>
      <c r="F2447" s="63" t="n"/>
    </row>
    <row r="2448">
      <c r="A2448" s="166" t="n"/>
      <c r="B2448" s="63" t="n"/>
      <c r="C2448" s="64" t="n"/>
      <c r="D2448" s="167" t="n"/>
      <c r="E2448" s="63" t="n"/>
      <c r="F2448" s="63" t="n"/>
    </row>
    <row r="2449">
      <c r="A2449" s="166" t="n"/>
      <c r="B2449" s="63" t="n"/>
      <c r="C2449" s="64" t="n"/>
      <c r="D2449" s="167" t="n"/>
      <c r="E2449" s="63" t="n"/>
      <c r="F2449" s="63" t="n"/>
    </row>
    <row r="2450">
      <c r="A2450" s="166" t="n"/>
      <c r="B2450" s="63" t="n"/>
      <c r="C2450" s="64" t="n"/>
      <c r="D2450" s="167" t="n"/>
      <c r="E2450" s="63" t="n"/>
      <c r="F2450" s="63" t="n"/>
    </row>
    <row r="2451">
      <c r="A2451" s="166" t="n"/>
      <c r="B2451" s="63" t="n"/>
      <c r="C2451" s="64" t="n"/>
      <c r="D2451" s="167" t="n"/>
      <c r="E2451" s="63" t="n"/>
      <c r="F2451" s="63" t="n"/>
    </row>
    <row r="2452">
      <c r="A2452" s="166" t="n"/>
      <c r="B2452" s="63" t="n"/>
      <c r="C2452" s="64" t="n"/>
      <c r="D2452" s="167" t="n"/>
      <c r="E2452" s="63" t="n"/>
      <c r="F2452" s="63" t="n"/>
    </row>
    <row r="2453">
      <c r="A2453" s="166" t="n"/>
      <c r="B2453" s="63" t="n"/>
      <c r="C2453" s="64" t="n"/>
      <c r="D2453" s="167" t="n"/>
      <c r="E2453" s="63" t="n"/>
      <c r="F2453" s="63" t="n"/>
    </row>
    <row r="2454">
      <c r="A2454" s="166" t="n"/>
      <c r="B2454" s="63" t="n"/>
      <c r="C2454" s="64" t="n"/>
      <c r="D2454" s="167" t="n"/>
      <c r="E2454" s="63" t="n"/>
      <c r="F2454" s="63" t="n"/>
    </row>
    <row r="2455">
      <c r="A2455" s="166" t="n"/>
      <c r="B2455" s="63" t="n"/>
      <c r="C2455" s="64" t="n"/>
      <c r="D2455" s="167" t="n"/>
      <c r="E2455" s="63" t="n"/>
      <c r="F2455" s="63" t="n"/>
    </row>
    <row r="2456">
      <c r="A2456" s="166" t="n"/>
      <c r="B2456" s="63" t="n"/>
      <c r="C2456" s="64" t="n"/>
      <c r="D2456" s="167" t="n"/>
      <c r="E2456" s="63" t="n"/>
      <c r="F2456" s="63" t="n"/>
    </row>
    <row r="2457">
      <c r="A2457" s="166" t="n"/>
      <c r="B2457" s="63" t="n"/>
      <c r="C2457" s="64" t="n"/>
      <c r="D2457" s="167" t="n"/>
      <c r="E2457" s="63" t="n"/>
      <c r="F2457" s="63" t="n"/>
    </row>
    <row r="2458">
      <c r="A2458" s="166" t="n"/>
      <c r="B2458" s="63" t="n"/>
      <c r="C2458" s="64" t="n"/>
      <c r="D2458" s="167" t="n"/>
      <c r="E2458" s="63" t="n"/>
      <c r="F2458" s="63" t="n"/>
    </row>
    <row r="2459">
      <c r="A2459" s="166" t="n"/>
      <c r="B2459" s="63" t="n"/>
      <c r="C2459" s="64" t="n"/>
      <c r="D2459" s="167" t="n"/>
      <c r="E2459" s="63" t="n"/>
      <c r="F2459" s="63" t="n"/>
    </row>
    <row r="2460">
      <c r="A2460" s="166" t="n"/>
      <c r="B2460" s="63" t="n"/>
      <c r="C2460" s="64" t="n"/>
      <c r="D2460" s="167" t="n"/>
      <c r="E2460" s="63" t="n"/>
      <c r="F2460" s="63" t="n"/>
    </row>
    <row r="2461">
      <c r="A2461" s="166" t="n"/>
      <c r="B2461" s="63" t="n"/>
      <c r="C2461" s="64" t="n"/>
      <c r="D2461" s="167" t="n"/>
      <c r="E2461" s="63" t="n"/>
      <c r="F2461" s="63" t="n"/>
    </row>
    <row r="2462">
      <c r="A2462" s="166" t="n"/>
      <c r="B2462" s="63" t="n"/>
      <c r="C2462" s="64" t="n"/>
      <c r="D2462" s="167" t="n"/>
      <c r="E2462" s="63" t="n"/>
      <c r="F2462" s="63" t="n"/>
    </row>
    <row r="2463">
      <c r="A2463" s="166" t="n"/>
      <c r="B2463" s="63" t="n"/>
      <c r="C2463" s="64" t="n"/>
      <c r="D2463" s="167" t="n"/>
      <c r="E2463" s="63" t="n"/>
      <c r="F2463" s="63" t="n"/>
    </row>
    <row r="2464">
      <c r="A2464" s="166" t="n"/>
      <c r="B2464" s="63" t="n"/>
      <c r="C2464" s="64" t="n"/>
      <c r="D2464" s="167" t="n"/>
      <c r="E2464" s="63" t="n"/>
      <c r="F2464" s="63" t="n"/>
    </row>
    <row r="2465">
      <c r="A2465" s="166" t="n"/>
      <c r="B2465" s="63" t="n"/>
      <c r="C2465" s="64" t="n"/>
      <c r="D2465" s="167" t="n"/>
      <c r="E2465" s="63" t="n"/>
      <c r="F2465" s="63" t="n"/>
    </row>
    <row r="2466">
      <c r="A2466" s="166" t="n"/>
      <c r="B2466" s="63" t="n"/>
      <c r="C2466" s="64" t="n"/>
      <c r="D2466" s="167" t="n"/>
      <c r="E2466" s="63" t="n"/>
      <c r="F2466" s="63" t="n"/>
    </row>
    <row r="2467">
      <c r="A2467" s="166" t="n"/>
      <c r="B2467" s="63" t="n"/>
      <c r="C2467" s="64" t="n"/>
      <c r="D2467" s="167" t="n"/>
      <c r="E2467" s="63" t="n"/>
      <c r="F2467" s="63" t="n"/>
    </row>
    <row r="2468">
      <c r="A2468" s="166" t="n"/>
      <c r="B2468" s="63" t="n"/>
      <c r="C2468" s="64" t="n"/>
      <c r="D2468" s="167" t="n"/>
      <c r="E2468" s="63" t="n"/>
      <c r="F2468" s="63" t="n"/>
    </row>
    <row r="2469">
      <c r="A2469" s="166" t="n"/>
      <c r="B2469" s="63" t="n"/>
      <c r="C2469" s="64" t="n"/>
      <c r="D2469" s="167" t="n"/>
      <c r="E2469" s="63" t="n"/>
      <c r="F2469" s="63" t="n"/>
    </row>
    <row r="2470">
      <c r="A2470" s="166" t="n"/>
      <c r="B2470" s="63" t="n"/>
      <c r="C2470" s="64" t="n"/>
      <c r="D2470" s="167" t="n"/>
      <c r="E2470" s="63" t="n"/>
      <c r="F2470" s="63" t="n"/>
    </row>
    <row r="2471">
      <c r="A2471" s="166" t="n"/>
      <c r="B2471" s="63" t="n"/>
      <c r="C2471" s="64" t="n"/>
      <c r="D2471" s="167" t="n"/>
      <c r="E2471" s="63" t="n"/>
      <c r="F2471" s="63" t="n"/>
    </row>
    <row r="2472">
      <c r="A2472" s="166" t="n"/>
      <c r="B2472" s="63" t="n"/>
      <c r="C2472" s="64" t="n"/>
      <c r="D2472" s="167" t="n"/>
      <c r="E2472" s="63" t="n"/>
      <c r="F2472" s="63" t="n"/>
    </row>
    <row r="2473">
      <c r="A2473" s="166" t="n"/>
      <c r="B2473" s="63" t="n"/>
      <c r="C2473" s="64" t="n"/>
      <c r="D2473" s="167" t="n"/>
      <c r="E2473" s="63" t="n"/>
      <c r="F2473" s="63" t="n"/>
    </row>
    <row r="2474">
      <c r="A2474" s="166" t="n"/>
      <c r="B2474" s="63" t="n"/>
      <c r="C2474" s="64" t="n"/>
      <c r="D2474" s="167" t="n"/>
      <c r="E2474" s="63" t="n"/>
      <c r="F2474" s="63" t="n"/>
    </row>
    <row r="2475">
      <c r="A2475" s="166" t="n"/>
      <c r="B2475" s="63" t="n"/>
      <c r="C2475" s="64" t="n"/>
      <c r="D2475" s="167" t="n"/>
      <c r="E2475" s="63" t="n"/>
      <c r="F2475" s="63" t="n"/>
    </row>
    <row r="2476">
      <c r="A2476" s="166" t="n"/>
      <c r="B2476" s="63" t="n"/>
      <c r="C2476" s="64" t="n"/>
      <c r="D2476" s="167" t="n"/>
      <c r="E2476" s="63" t="n"/>
      <c r="F2476" s="63" t="n"/>
    </row>
    <row r="2477">
      <c r="A2477" s="166" t="n"/>
      <c r="B2477" s="63" t="n"/>
      <c r="C2477" s="64" t="n"/>
      <c r="D2477" s="167" t="n"/>
      <c r="E2477" s="63" t="n"/>
      <c r="F2477" s="63" t="n"/>
    </row>
    <row r="2478">
      <c r="A2478" s="166" t="n"/>
      <c r="B2478" s="63" t="n"/>
      <c r="C2478" s="64" t="n"/>
      <c r="D2478" s="167" t="n"/>
      <c r="E2478" s="63" t="n"/>
      <c r="F2478" s="63" t="n"/>
    </row>
    <row r="2479">
      <c r="A2479" s="166" t="n"/>
      <c r="B2479" s="63" t="n"/>
      <c r="C2479" s="64" t="n"/>
      <c r="D2479" s="167" t="n"/>
      <c r="E2479" s="63" t="n"/>
      <c r="F2479" s="63" t="n"/>
    </row>
    <row r="2480">
      <c r="A2480" s="166" t="n"/>
      <c r="B2480" s="63" t="n"/>
      <c r="C2480" s="64" t="n"/>
      <c r="D2480" s="167" t="n"/>
      <c r="E2480" s="63" t="n"/>
      <c r="F2480" s="63" t="n"/>
    </row>
    <row r="2481">
      <c r="A2481" s="166" t="n"/>
      <c r="B2481" s="63" t="n"/>
      <c r="C2481" s="64" t="n"/>
      <c r="D2481" s="167" t="n"/>
      <c r="E2481" s="63" t="n"/>
      <c r="F2481" s="63" t="n"/>
    </row>
    <row r="2482">
      <c r="A2482" s="166" t="n"/>
      <c r="B2482" s="63" t="n"/>
      <c r="C2482" s="64" t="n"/>
      <c r="D2482" s="167" t="n"/>
      <c r="E2482" s="63" t="n"/>
      <c r="F2482" s="63" t="n"/>
    </row>
    <row r="2483">
      <c r="A2483" s="166" t="n"/>
      <c r="B2483" s="63" t="n"/>
      <c r="C2483" s="64" t="n"/>
      <c r="D2483" s="167" t="n"/>
      <c r="E2483" s="63" t="n"/>
      <c r="F2483" s="63" t="n"/>
    </row>
    <row r="2484">
      <c r="A2484" s="166" t="n"/>
      <c r="B2484" s="63" t="n"/>
      <c r="C2484" s="64" t="n"/>
      <c r="D2484" s="167" t="n"/>
      <c r="E2484" s="63" t="n"/>
      <c r="F2484" s="63" t="n"/>
    </row>
    <row r="2485">
      <c r="A2485" s="166" t="n"/>
      <c r="B2485" s="63" t="n"/>
      <c r="C2485" s="64" t="n"/>
      <c r="D2485" s="167" t="n"/>
      <c r="E2485" s="63" t="n"/>
      <c r="F2485" s="63" t="n"/>
    </row>
    <row r="2486">
      <c r="A2486" s="166" t="n"/>
      <c r="B2486" s="63" t="n"/>
      <c r="C2486" s="64" t="n"/>
      <c r="D2486" s="167" t="n"/>
      <c r="E2486" s="63" t="n"/>
      <c r="F2486" s="63" t="n"/>
    </row>
    <row r="2487">
      <c r="A2487" s="166" t="n"/>
      <c r="B2487" s="63" t="n"/>
      <c r="C2487" s="64" t="n"/>
      <c r="D2487" s="167" t="n"/>
      <c r="E2487" s="63" t="n"/>
      <c r="F2487" s="63" t="n"/>
    </row>
    <row r="2488">
      <c r="A2488" s="166" t="n"/>
      <c r="B2488" s="63" t="n"/>
      <c r="C2488" s="64" t="n"/>
      <c r="D2488" s="167" t="n"/>
      <c r="E2488" s="63" t="n"/>
      <c r="F2488" s="63" t="n"/>
    </row>
    <row r="2489">
      <c r="A2489" s="166" t="n"/>
      <c r="B2489" s="63" t="n"/>
      <c r="C2489" s="64" t="n"/>
      <c r="D2489" s="167" t="n"/>
      <c r="E2489" s="63" t="n"/>
      <c r="F2489" s="63" t="n"/>
    </row>
    <row r="2490">
      <c r="A2490" s="166" t="n"/>
      <c r="B2490" s="63" t="n"/>
      <c r="C2490" s="64" t="n"/>
      <c r="D2490" s="167" t="n"/>
      <c r="E2490" s="63" t="n"/>
      <c r="F2490" s="63" t="n"/>
    </row>
    <row r="2491">
      <c r="A2491" s="166" t="n"/>
      <c r="B2491" s="63" t="n"/>
      <c r="C2491" s="64" t="n"/>
      <c r="D2491" s="167" t="n"/>
      <c r="E2491" s="63" t="n"/>
      <c r="F2491" s="63" t="n"/>
    </row>
    <row r="2492">
      <c r="A2492" s="166" t="n"/>
      <c r="B2492" s="63" t="n"/>
      <c r="C2492" s="64" t="n"/>
      <c r="D2492" s="167" t="n"/>
      <c r="E2492" s="63" t="n"/>
      <c r="F2492" s="63" t="n"/>
    </row>
    <row r="2493">
      <c r="A2493" s="166" t="n"/>
      <c r="B2493" s="63" t="n"/>
      <c r="C2493" s="64" t="n"/>
      <c r="D2493" s="167" t="n"/>
      <c r="E2493" s="63" t="n"/>
      <c r="F2493" s="63" t="n"/>
    </row>
    <row r="2494">
      <c r="A2494" s="166" t="n"/>
      <c r="B2494" s="63" t="n"/>
      <c r="C2494" s="64" t="n"/>
      <c r="D2494" s="167" t="n"/>
      <c r="E2494" s="63" t="n"/>
      <c r="F2494" s="63" t="n"/>
    </row>
    <row r="2495">
      <c r="A2495" s="166" t="n"/>
      <c r="B2495" s="63" t="n"/>
      <c r="C2495" s="64" t="n"/>
      <c r="D2495" s="167" t="n"/>
      <c r="E2495" s="63" t="n"/>
      <c r="F2495" s="63" t="n"/>
    </row>
    <row r="2496">
      <c r="A2496" s="166" t="n"/>
      <c r="B2496" s="63" t="n"/>
      <c r="C2496" s="64" t="n"/>
      <c r="D2496" s="167" t="n"/>
      <c r="E2496" s="63" t="n"/>
      <c r="F2496" s="63" t="n"/>
    </row>
    <row r="2497">
      <c r="A2497" s="166" t="n"/>
      <c r="B2497" s="63" t="n"/>
      <c r="C2497" s="64" t="n"/>
      <c r="D2497" s="167" t="n"/>
      <c r="E2497" s="63" t="n"/>
      <c r="F2497" s="63" t="n"/>
    </row>
    <row r="2498">
      <c r="A2498" s="166" t="n"/>
      <c r="B2498" s="63" t="n"/>
      <c r="C2498" s="64" t="n"/>
      <c r="D2498" s="167" t="n"/>
      <c r="E2498" s="63" t="n"/>
      <c r="F2498" s="63" t="n"/>
    </row>
    <row r="2499">
      <c r="A2499" s="166" t="n"/>
      <c r="B2499" s="63" t="n"/>
      <c r="C2499" s="64" t="n"/>
      <c r="D2499" s="167" t="n"/>
      <c r="E2499" s="63" t="n"/>
      <c r="F2499" s="63" t="n"/>
    </row>
    <row r="2500">
      <c r="A2500" s="166" t="n"/>
      <c r="B2500" s="63" t="n"/>
      <c r="C2500" s="64" t="n"/>
      <c r="D2500" s="167" t="n"/>
      <c r="E2500" s="63" t="n"/>
      <c r="F2500" s="63" t="n"/>
    </row>
    <row r="2501">
      <c r="A2501" s="166" t="n"/>
      <c r="B2501" s="63" t="n"/>
      <c r="C2501" s="64" t="n"/>
      <c r="D2501" s="167" t="n"/>
      <c r="E2501" s="63" t="n"/>
      <c r="F2501" s="63" t="n"/>
    </row>
    <row r="2502">
      <c r="A2502" s="166" t="n"/>
      <c r="B2502" s="63" t="n"/>
      <c r="C2502" s="64" t="n"/>
      <c r="D2502" s="167" t="n"/>
      <c r="E2502" s="63" t="n"/>
      <c r="F2502" s="63" t="n"/>
    </row>
    <row r="2503">
      <c r="A2503" s="166" t="n"/>
      <c r="B2503" s="63" t="n"/>
      <c r="C2503" s="64" t="n"/>
      <c r="D2503" s="167" t="n"/>
      <c r="E2503" s="63" t="n"/>
      <c r="F2503" s="63" t="n"/>
    </row>
    <row r="2504">
      <c r="A2504" s="166" t="n"/>
      <c r="B2504" s="63" t="n"/>
      <c r="C2504" s="64" t="n"/>
      <c r="D2504" s="167" t="n"/>
      <c r="E2504" s="63" t="n"/>
      <c r="F2504" s="63" t="n"/>
    </row>
    <row r="2505">
      <c r="A2505" s="166" t="n"/>
      <c r="B2505" s="63" t="n"/>
      <c r="C2505" s="64" t="n"/>
      <c r="D2505" s="167" t="n"/>
      <c r="E2505" s="63" t="n"/>
      <c r="F2505" s="63" t="n"/>
    </row>
    <row r="2506">
      <c r="A2506" s="166" t="n"/>
      <c r="B2506" s="63" t="n"/>
      <c r="C2506" s="64" t="n"/>
      <c r="D2506" s="167" t="n"/>
      <c r="E2506" s="63" t="n"/>
      <c r="F2506" s="63" t="n"/>
    </row>
    <row r="2507">
      <c r="A2507" s="166" t="n"/>
      <c r="B2507" s="63" t="n"/>
      <c r="C2507" s="64" t="n"/>
      <c r="D2507" s="167" t="n"/>
      <c r="E2507" s="63" t="n"/>
      <c r="F2507" s="63" t="n"/>
    </row>
    <row r="2508">
      <c r="A2508" s="166" t="n"/>
      <c r="B2508" s="63" t="n"/>
      <c r="C2508" s="64" t="n"/>
      <c r="D2508" s="167" t="n"/>
      <c r="E2508" s="63" t="n"/>
      <c r="F2508" s="63" t="n"/>
    </row>
    <row r="2509">
      <c r="A2509" s="166" t="n"/>
      <c r="B2509" s="63" t="n"/>
      <c r="C2509" s="64" t="n"/>
      <c r="D2509" s="167" t="n"/>
      <c r="E2509" s="63" t="n"/>
      <c r="F2509" s="63" t="n"/>
    </row>
    <row r="2510">
      <c r="A2510" s="166" t="n"/>
      <c r="B2510" s="63" t="n"/>
      <c r="C2510" s="64" t="n"/>
      <c r="D2510" s="167" t="n"/>
      <c r="E2510" s="63" t="n"/>
      <c r="F2510" s="63" t="n"/>
    </row>
    <row r="2511">
      <c r="A2511" s="166" t="n"/>
      <c r="B2511" s="63" t="n"/>
      <c r="C2511" s="64" t="n"/>
      <c r="D2511" s="167" t="n"/>
      <c r="E2511" s="63" t="n"/>
      <c r="F2511" s="63" t="n"/>
    </row>
    <row r="2512">
      <c r="A2512" s="166" t="n"/>
      <c r="B2512" s="63" t="n"/>
      <c r="C2512" s="64" t="n"/>
      <c r="D2512" s="167" t="n"/>
      <c r="E2512" s="63" t="n"/>
      <c r="F2512" s="63" t="n"/>
    </row>
    <row r="2513">
      <c r="A2513" s="166" t="n"/>
      <c r="B2513" s="63" t="n"/>
      <c r="C2513" s="64" t="n"/>
      <c r="D2513" s="167" t="n"/>
      <c r="E2513" s="63" t="n"/>
      <c r="F2513" s="63" t="n"/>
    </row>
    <row r="2514">
      <c r="A2514" s="166" t="n"/>
      <c r="B2514" s="63" t="n"/>
      <c r="C2514" s="64" t="n"/>
      <c r="D2514" s="167" t="n"/>
      <c r="E2514" s="63" t="n"/>
      <c r="F2514" s="63" t="n"/>
    </row>
    <row r="2515">
      <c r="A2515" s="166" t="n"/>
      <c r="B2515" s="63" t="n"/>
      <c r="C2515" s="64" t="n"/>
      <c r="D2515" s="167" t="n"/>
      <c r="E2515" s="63" t="n"/>
      <c r="F2515" s="63" t="n"/>
    </row>
    <row r="2516">
      <c r="A2516" s="166" t="n"/>
      <c r="B2516" s="63" t="n"/>
      <c r="C2516" s="64" t="n"/>
      <c r="D2516" s="167" t="n"/>
      <c r="E2516" s="63" t="n"/>
      <c r="F2516" s="63" t="n"/>
    </row>
    <row r="2517">
      <c r="A2517" s="166" t="n"/>
      <c r="B2517" s="63" t="n"/>
      <c r="C2517" s="64" t="n"/>
      <c r="D2517" s="167" t="n"/>
      <c r="E2517" s="63" t="n"/>
      <c r="F2517" s="63" t="n"/>
    </row>
    <row r="2518">
      <c r="A2518" s="166" t="n"/>
      <c r="B2518" s="63" t="n"/>
      <c r="C2518" s="64" t="n"/>
      <c r="D2518" s="167" t="n"/>
      <c r="E2518" s="63" t="n"/>
      <c r="F2518" s="63" t="n"/>
    </row>
    <row r="2519">
      <c r="A2519" s="166" t="n"/>
      <c r="B2519" s="63" t="n"/>
      <c r="C2519" s="64" t="n"/>
      <c r="D2519" s="167" t="n"/>
      <c r="E2519" s="63" t="n"/>
      <c r="F2519" s="63" t="n"/>
    </row>
    <row r="2520">
      <c r="A2520" s="166" t="n"/>
      <c r="B2520" s="63" t="n"/>
      <c r="C2520" s="64" t="n"/>
      <c r="D2520" s="167" t="n"/>
      <c r="E2520" s="63" t="n"/>
      <c r="F2520" s="63" t="n"/>
    </row>
    <row r="2521">
      <c r="A2521" s="166" t="n"/>
      <c r="B2521" s="63" t="n"/>
      <c r="C2521" s="64" t="n"/>
      <c r="D2521" s="167" t="n"/>
      <c r="E2521" s="63" t="n"/>
      <c r="F2521" s="63" t="n"/>
    </row>
    <row r="2522">
      <c r="A2522" s="166" t="n"/>
      <c r="B2522" s="63" t="n"/>
      <c r="C2522" s="64" t="n"/>
      <c r="D2522" s="167" t="n"/>
      <c r="E2522" s="63" t="n"/>
      <c r="F2522" s="63" t="n"/>
    </row>
    <row r="2523">
      <c r="A2523" s="166" t="n"/>
      <c r="B2523" s="63" t="n"/>
      <c r="C2523" s="64" t="n"/>
      <c r="D2523" s="167" t="n"/>
      <c r="E2523" s="63" t="n"/>
      <c r="F2523" s="63" t="n"/>
    </row>
    <row r="2524">
      <c r="A2524" s="166" t="n"/>
      <c r="B2524" s="63" t="n"/>
      <c r="C2524" s="64" t="n"/>
      <c r="D2524" s="167" t="n"/>
      <c r="E2524" s="63" t="n"/>
      <c r="F2524" s="63" t="n"/>
    </row>
    <row r="2525">
      <c r="A2525" s="166" t="n"/>
      <c r="B2525" s="63" t="n"/>
      <c r="C2525" s="64" t="n"/>
      <c r="D2525" s="167" t="n"/>
      <c r="E2525" s="63" t="n"/>
      <c r="F2525" s="63" t="n"/>
    </row>
    <row r="2526">
      <c r="A2526" s="166" t="n"/>
      <c r="B2526" s="63" t="n"/>
      <c r="C2526" s="64" t="n"/>
      <c r="D2526" s="167" t="n"/>
      <c r="E2526" s="63" t="n"/>
      <c r="F2526" s="63" t="n"/>
    </row>
    <row r="2527">
      <c r="A2527" s="166" t="n"/>
      <c r="B2527" s="63" t="n"/>
      <c r="C2527" s="64" t="n"/>
      <c r="D2527" s="167" t="n"/>
      <c r="E2527" s="63" t="n"/>
      <c r="F2527" s="63" t="n"/>
    </row>
    <row r="2528">
      <c r="A2528" s="166" t="n"/>
      <c r="B2528" s="63" t="n"/>
      <c r="C2528" s="64" t="n"/>
      <c r="D2528" s="167" t="n"/>
      <c r="E2528" s="63" t="n"/>
      <c r="F2528" s="63" t="n"/>
    </row>
    <row r="2529">
      <c r="A2529" s="166" t="n"/>
      <c r="B2529" s="63" t="n"/>
      <c r="C2529" s="64" t="n"/>
      <c r="D2529" s="167" t="n"/>
      <c r="E2529" s="63" t="n"/>
      <c r="F2529" s="63" t="n"/>
    </row>
    <row r="2530">
      <c r="A2530" s="166" t="n"/>
      <c r="B2530" s="63" t="n"/>
      <c r="C2530" s="64" t="n"/>
      <c r="D2530" s="167" t="n"/>
      <c r="E2530" s="63" t="n"/>
      <c r="F2530" s="63" t="n"/>
    </row>
    <row r="2531">
      <c r="A2531" s="166" t="n"/>
      <c r="B2531" s="63" t="n"/>
      <c r="C2531" s="64" t="n"/>
      <c r="D2531" s="167" t="n"/>
      <c r="E2531" s="63" t="n"/>
      <c r="F2531" s="63" t="n"/>
    </row>
    <row r="2532">
      <c r="A2532" s="166" t="n"/>
      <c r="B2532" s="63" t="n"/>
      <c r="C2532" s="64" t="n"/>
      <c r="D2532" s="167" t="n"/>
      <c r="E2532" s="63" t="n"/>
      <c r="F2532" s="63" t="n"/>
    </row>
    <row r="2533">
      <c r="A2533" s="166" t="n"/>
      <c r="B2533" s="63" t="n"/>
      <c r="C2533" s="64" t="n"/>
      <c r="D2533" s="167" t="n"/>
      <c r="E2533" s="63" t="n"/>
      <c r="F2533" s="63" t="n"/>
    </row>
    <row r="2534">
      <c r="A2534" s="166" t="n"/>
      <c r="B2534" s="63" t="n"/>
      <c r="C2534" s="64" t="n"/>
      <c r="D2534" s="167" t="n"/>
      <c r="E2534" s="63" t="n"/>
      <c r="F2534" s="63" t="n"/>
    </row>
    <row r="2535">
      <c r="A2535" s="166" t="n"/>
      <c r="B2535" s="63" t="n"/>
      <c r="C2535" s="64" t="n"/>
      <c r="D2535" s="167" t="n"/>
      <c r="E2535" s="63" t="n"/>
      <c r="F2535" s="63" t="n"/>
    </row>
    <row r="2536">
      <c r="A2536" s="166" t="n"/>
      <c r="B2536" s="63" t="n"/>
      <c r="C2536" s="64" t="n"/>
      <c r="D2536" s="167" t="n"/>
      <c r="E2536" s="63" t="n"/>
      <c r="F2536" s="63" t="n"/>
    </row>
    <row r="2537">
      <c r="A2537" s="166" t="n"/>
      <c r="B2537" s="63" t="n"/>
      <c r="C2537" s="64" t="n"/>
      <c r="D2537" s="167" t="n"/>
      <c r="E2537" s="63" t="n"/>
      <c r="F2537" s="63" t="n"/>
    </row>
    <row r="2538">
      <c r="A2538" s="166" t="n"/>
      <c r="B2538" s="63" t="n"/>
      <c r="C2538" s="64" t="n"/>
      <c r="D2538" s="167" t="n"/>
      <c r="E2538" s="63" t="n"/>
      <c r="F2538" s="63" t="n"/>
    </row>
    <row r="2539">
      <c r="A2539" s="166" t="n"/>
      <c r="B2539" s="63" t="n"/>
      <c r="C2539" s="64" t="n"/>
      <c r="D2539" s="167" t="n"/>
      <c r="E2539" s="63" t="n"/>
      <c r="F2539" s="63" t="n"/>
    </row>
    <row r="2540">
      <c r="A2540" s="166" t="n"/>
      <c r="B2540" s="63" t="n"/>
      <c r="C2540" s="64" t="n"/>
      <c r="D2540" s="167" t="n"/>
      <c r="E2540" s="63" t="n"/>
      <c r="F2540" s="63" t="n"/>
    </row>
    <row r="2541">
      <c r="A2541" s="166" t="n"/>
      <c r="B2541" s="63" t="n"/>
      <c r="C2541" s="64" t="n"/>
      <c r="D2541" s="167" t="n"/>
      <c r="E2541" s="63" t="n"/>
      <c r="F2541" s="63" t="n"/>
    </row>
    <row r="2542">
      <c r="A2542" s="166" t="n"/>
      <c r="B2542" s="63" t="n"/>
      <c r="C2542" s="64" t="n"/>
      <c r="D2542" s="167" t="n"/>
      <c r="E2542" s="63" t="n"/>
      <c r="F2542" s="63" t="n"/>
    </row>
    <row r="2543">
      <c r="A2543" s="166" t="n"/>
      <c r="B2543" s="63" t="n"/>
      <c r="C2543" s="64" t="n"/>
      <c r="D2543" s="167" t="n"/>
      <c r="E2543" s="63" t="n"/>
      <c r="F2543" s="63" t="n"/>
    </row>
    <row r="2544">
      <c r="A2544" s="166" t="n"/>
      <c r="B2544" s="63" t="n"/>
      <c r="C2544" s="64" t="n"/>
      <c r="D2544" s="167" t="n"/>
      <c r="E2544" s="63" t="n"/>
      <c r="F2544" s="63" t="n"/>
    </row>
    <row r="2545">
      <c r="A2545" s="166" t="n"/>
      <c r="B2545" s="63" t="n"/>
      <c r="C2545" s="64" t="n"/>
      <c r="D2545" s="167" t="n"/>
      <c r="E2545" s="63" t="n"/>
      <c r="F2545" s="63" t="n"/>
    </row>
    <row r="2546">
      <c r="A2546" s="166" t="n"/>
      <c r="B2546" s="63" t="n"/>
      <c r="C2546" s="64" t="n"/>
      <c r="D2546" s="167" t="n"/>
      <c r="E2546" s="63" t="n"/>
      <c r="F2546" s="63" t="n"/>
    </row>
    <row r="2547">
      <c r="A2547" s="166" t="n"/>
      <c r="B2547" s="63" t="n"/>
      <c r="C2547" s="64" t="n"/>
      <c r="D2547" s="167" t="n"/>
      <c r="E2547" s="63" t="n"/>
      <c r="F2547" s="63" t="n"/>
    </row>
    <row r="2548">
      <c r="A2548" s="166" t="n"/>
      <c r="B2548" s="63" t="n"/>
      <c r="C2548" s="64" t="n"/>
      <c r="D2548" s="167" t="n"/>
      <c r="E2548" s="63" t="n"/>
      <c r="F2548" s="63" t="n"/>
    </row>
    <row r="2549">
      <c r="A2549" s="166" t="n"/>
      <c r="B2549" s="63" t="n"/>
      <c r="C2549" s="64" t="n"/>
      <c r="D2549" s="167" t="n"/>
      <c r="E2549" s="63" t="n"/>
      <c r="F2549" s="63" t="n"/>
    </row>
    <row r="2550">
      <c r="A2550" s="166" t="n"/>
      <c r="B2550" s="63" t="n"/>
      <c r="C2550" s="64" t="n"/>
      <c r="D2550" s="167" t="n"/>
      <c r="E2550" s="63" t="n"/>
      <c r="F2550" s="63" t="n"/>
    </row>
    <row r="2551">
      <c r="A2551" s="166" t="n"/>
      <c r="B2551" s="63" t="n"/>
      <c r="C2551" s="64" t="n"/>
      <c r="D2551" s="167" t="n"/>
      <c r="E2551" s="63" t="n"/>
      <c r="F2551" s="63" t="n"/>
    </row>
    <row r="2552">
      <c r="A2552" s="166" t="n"/>
      <c r="B2552" s="63" t="n"/>
      <c r="C2552" s="64" t="n"/>
      <c r="D2552" s="167" t="n"/>
      <c r="E2552" s="63" t="n"/>
      <c r="F2552" s="63" t="n"/>
    </row>
    <row r="2553">
      <c r="A2553" s="166" t="n"/>
      <c r="B2553" s="63" t="n"/>
      <c r="C2553" s="64" t="n"/>
      <c r="D2553" s="167" t="n"/>
      <c r="E2553" s="63" t="n"/>
      <c r="F2553" s="63" t="n"/>
    </row>
    <row r="2554">
      <c r="A2554" s="166" t="n"/>
      <c r="B2554" s="63" t="n"/>
      <c r="C2554" s="64" t="n"/>
      <c r="D2554" s="167" t="n"/>
      <c r="E2554" s="63" t="n"/>
      <c r="F2554" s="63" t="n"/>
    </row>
    <row r="2555">
      <c r="A2555" s="166" t="n"/>
      <c r="B2555" s="63" t="n"/>
      <c r="C2555" s="64" t="n"/>
      <c r="D2555" s="167" t="n"/>
      <c r="E2555" s="63" t="n"/>
      <c r="F2555" s="63" t="n"/>
    </row>
    <row r="2556">
      <c r="A2556" s="166" t="n"/>
      <c r="B2556" s="63" t="n"/>
      <c r="C2556" s="64" t="n"/>
      <c r="D2556" s="167" t="n"/>
      <c r="E2556" s="63" t="n"/>
      <c r="F2556" s="63" t="n"/>
    </row>
    <row r="2557">
      <c r="A2557" s="166" t="n"/>
      <c r="B2557" s="63" t="n"/>
      <c r="C2557" s="64" t="n"/>
      <c r="D2557" s="167" t="n"/>
      <c r="E2557" s="63" t="n"/>
      <c r="F2557" s="63" t="n"/>
    </row>
    <row r="2558">
      <c r="A2558" s="166" t="n"/>
      <c r="B2558" s="63" t="n"/>
      <c r="C2558" s="64" t="n"/>
      <c r="D2558" s="167" t="n"/>
      <c r="E2558" s="63" t="n"/>
      <c r="F2558" s="63" t="n"/>
    </row>
    <row r="2559">
      <c r="A2559" s="166" t="n"/>
      <c r="B2559" s="63" t="n"/>
      <c r="C2559" s="64" t="n"/>
      <c r="D2559" s="167" t="n"/>
      <c r="E2559" s="63" t="n"/>
      <c r="F2559" s="63" t="n"/>
    </row>
    <row r="2560">
      <c r="A2560" s="166" t="n"/>
      <c r="B2560" s="63" t="n"/>
      <c r="C2560" s="64" t="n"/>
      <c r="D2560" s="167" t="n"/>
      <c r="E2560" s="63" t="n"/>
      <c r="F2560" s="63" t="n"/>
    </row>
    <row r="2561">
      <c r="A2561" s="166" t="n"/>
      <c r="B2561" s="63" t="n"/>
      <c r="C2561" s="64" t="n"/>
      <c r="D2561" s="167" t="n"/>
      <c r="E2561" s="63" t="n"/>
      <c r="F2561" s="63" t="n"/>
    </row>
    <row r="2562">
      <c r="A2562" s="166" t="n"/>
      <c r="B2562" s="63" t="n"/>
      <c r="C2562" s="64" t="n"/>
      <c r="D2562" s="167" t="n"/>
      <c r="E2562" s="63" t="n"/>
      <c r="F2562" s="63" t="n"/>
    </row>
    <row r="2563">
      <c r="A2563" s="166" t="n"/>
      <c r="B2563" s="63" t="n"/>
      <c r="C2563" s="64" t="n"/>
      <c r="D2563" s="167" t="n"/>
      <c r="E2563" s="63" t="n"/>
      <c r="F2563" s="63" t="n"/>
    </row>
    <row r="2564">
      <c r="A2564" s="166" t="n"/>
      <c r="B2564" s="63" t="n"/>
      <c r="C2564" s="64" t="n"/>
      <c r="D2564" s="167" t="n"/>
      <c r="E2564" s="63" t="n"/>
      <c r="F2564" s="63" t="n"/>
    </row>
    <row r="2565">
      <c r="A2565" s="166" t="n"/>
      <c r="B2565" s="63" t="n"/>
      <c r="C2565" s="64" t="n"/>
      <c r="D2565" s="167" t="n"/>
      <c r="E2565" s="63" t="n"/>
      <c r="F2565" s="63" t="n"/>
    </row>
    <row r="2566">
      <c r="A2566" s="166" t="n"/>
      <c r="B2566" s="63" t="n"/>
      <c r="C2566" s="64" t="n"/>
      <c r="D2566" s="167" t="n"/>
      <c r="E2566" s="63" t="n"/>
      <c r="F2566" s="63" t="n"/>
    </row>
    <row r="2567">
      <c r="A2567" s="166" t="n"/>
      <c r="B2567" s="63" t="n"/>
      <c r="C2567" s="64" t="n"/>
      <c r="D2567" s="167" t="n"/>
      <c r="E2567" s="63" t="n"/>
      <c r="F2567" s="63" t="n"/>
    </row>
    <row r="2568">
      <c r="A2568" s="166" t="n"/>
      <c r="B2568" s="63" t="n"/>
      <c r="C2568" s="64" t="n"/>
      <c r="D2568" s="167" t="n"/>
      <c r="E2568" s="63" t="n"/>
      <c r="F2568" s="63" t="n"/>
    </row>
    <row r="2569">
      <c r="A2569" s="166" t="n"/>
      <c r="B2569" s="63" t="n"/>
      <c r="C2569" s="64" t="n"/>
      <c r="D2569" s="167" t="n"/>
      <c r="E2569" s="63" t="n"/>
      <c r="F2569" s="63" t="n"/>
    </row>
    <row r="2570">
      <c r="A2570" s="166" t="n"/>
      <c r="B2570" s="63" t="n"/>
      <c r="C2570" s="64" t="n"/>
      <c r="D2570" s="167" t="n"/>
      <c r="E2570" s="63" t="n"/>
      <c r="F2570" s="63" t="n"/>
    </row>
    <row r="2571">
      <c r="A2571" s="166" t="n"/>
      <c r="B2571" s="63" t="n"/>
      <c r="C2571" s="64" t="n"/>
      <c r="D2571" s="167" t="n"/>
      <c r="E2571" s="63" t="n"/>
      <c r="F2571" s="63" t="n"/>
    </row>
    <row r="2572">
      <c r="A2572" s="166" t="n"/>
      <c r="B2572" s="63" t="n"/>
      <c r="C2572" s="64" t="n"/>
      <c r="D2572" s="167" t="n"/>
      <c r="E2572" s="63" t="n"/>
      <c r="F2572" s="63" t="n"/>
    </row>
    <row r="2573">
      <c r="A2573" s="166" t="n"/>
      <c r="B2573" s="63" t="n"/>
      <c r="C2573" s="64" t="n"/>
      <c r="D2573" s="167" t="n"/>
      <c r="E2573" s="63" t="n"/>
      <c r="F2573" s="63" t="n"/>
    </row>
    <row r="2574">
      <c r="A2574" s="166" t="n"/>
      <c r="B2574" s="63" t="n"/>
      <c r="C2574" s="64" t="n"/>
      <c r="D2574" s="167" t="n"/>
      <c r="E2574" s="63" t="n"/>
      <c r="F2574" s="63" t="n"/>
    </row>
    <row r="2575">
      <c r="A2575" s="166" t="n"/>
      <c r="B2575" s="63" t="n"/>
      <c r="C2575" s="64" t="n"/>
      <c r="D2575" s="167" t="n"/>
      <c r="E2575" s="63" t="n"/>
      <c r="F2575" s="63" t="n"/>
    </row>
    <row r="2576">
      <c r="A2576" s="166" t="n"/>
      <c r="B2576" s="63" t="n"/>
      <c r="C2576" s="64" t="n"/>
      <c r="D2576" s="167" t="n"/>
      <c r="E2576" s="63" t="n"/>
      <c r="F2576" s="63" t="n"/>
    </row>
    <row r="2577">
      <c r="A2577" s="166" t="n"/>
      <c r="B2577" s="63" t="n"/>
      <c r="C2577" s="64" t="n"/>
      <c r="D2577" s="167" t="n"/>
      <c r="E2577" s="63" t="n"/>
      <c r="F2577" s="63" t="n"/>
    </row>
    <row r="2578">
      <c r="A2578" s="166" t="n"/>
      <c r="B2578" s="63" t="n"/>
      <c r="C2578" s="64" t="n"/>
      <c r="D2578" s="167" t="n"/>
      <c r="E2578" s="63" t="n"/>
      <c r="F2578" s="63" t="n"/>
    </row>
    <row r="2579">
      <c r="A2579" s="166" t="n"/>
      <c r="B2579" s="63" t="n"/>
      <c r="C2579" s="64" t="n"/>
      <c r="D2579" s="167" t="n"/>
      <c r="E2579" s="63" t="n"/>
      <c r="F2579" s="63" t="n"/>
    </row>
    <row r="2580">
      <c r="A2580" s="166" t="n"/>
      <c r="B2580" s="63" t="n"/>
      <c r="C2580" s="64" t="n"/>
      <c r="D2580" s="167" t="n"/>
      <c r="E2580" s="63" t="n"/>
      <c r="F2580" s="63" t="n"/>
    </row>
    <row r="2581">
      <c r="A2581" s="166" t="n"/>
      <c r="B2581" s="63" t="n"/>
      <c r="C2581" s="64" t="n"/>
      <c r="D2581" s="167" t="n"/>
      <c r="E2581" s="63" t="n"/>
      <c r="F2581" s="63" t="n"/>
    </row>
    <row r="2582">
      <c r="A2582" s="166" t="n"/>
      <c r="B2582" s="63" t="n"/>
      <c r="C2582" s="64" t="n"/>
      <c r="D2582" s="167" t="n"/>
      <c r="E2582" s="63" t="n"/>
      <c r="F2582" s="63" t="n"/>
    </row>
    <row r="2583">
      <c r="A2583" s="166" t="n"/>
      <c r="B2583" s="63" t="n"/>
      <c r="C2583" s="64" t="n"/>
      <c r="D2583" s="167" t="n"/>
      <c r="E2583" s="63" t="n"/>
      <c r="F2583" s="63" t="n"/>
    </row>
    <row r="2584">
      <c r="A2584" s="166" t="n"/>
      <c r="B2584" s="63" t="n"/>
      <c r="C2584" s="64" t="n"/>
      <c r="D2584" s="167" t="n"/>
      <c r="E2584" s="63" t="n"/>
      <c r="F2584" s="63" t="n"/>
    </row>
    <row r="2585">
      <c r="A2585" s="166" t="n"/>
      <c r="B2585" s="63" t="n"/>
      <c r="C2585" s="64" t="n"/>
      <c r="D2585" s="167" t="n"/>
      <c r="E2585" s="63" t="n"/>
      <c r="F2585" s="63" t="n"/>
    </row>
    <row r="2586">
      <c r="A2586" s="166" t="n"/>
      <c r="B2586" s="63" t="n"/>
      <c r="C2586" s="64" t="n"/>
      <c r="D2586" s="167" t="n"/>
      <c r="E2586" s="63" t="n"/>
      <c r="F2586" s="63" t="n"/>
    </row>
    <row r="2587">
      <c r="A2587" s="166" t="n"/>
      <c r="B2587" s="63" t="n"/>
      <c r="C2587" s="64" t="n"/>
      <c r="D2587" s="167" t="n"/>
      <c r="E2587" s="63" t="n"/>
      <c r="F2587" s="63" t="n"/>
    </row>
    <row r="2588">
      <c r="A2588" s="166" t="n"/>
      <c r="B2588" s="63" t="n"/>
      <c r="C2588" s="64" t="n"/>
      <c r="D2588" s="167" t="n"/>
      <c r="E2588" s="63" t="n"/>
      <c r="F2588" s="63" t="n"/>
    </row>
    <row r="2589">
      <c r="A2589" s="166" t="n"/>
      <c r="B2589" s="63" t="n"/>
      <c r="C2589" s="64" t="n"/>
      <c r="D2589" s="167" t="n"/>
      <c r="E2589" s="63" t="n"/>
      <c r="F2589" s="63" t="n"/>
    </row>
    <row r="2590">
      <c r="A2590" s="166" t="n"/>
      <c r="B2590" s="63" t="n"/>
      <c r="C2590" s="64" t="n"/>
      <c r="D2590" s="167" t="n"/>
      <c r="E2590" s="63" t="n"/>
      <c r="F2590" s="63" t="n"/>
    </row>
    <row r="2591">
      <c r="A2591" s="166" t="n"/>
      <c r="B2591" s="63" t="n"/>
      <c r="C2591" s="64" t="n"/>
      <c r="D2591" s="167" t="n"/>
      <c r="E2591" s="63" t="n"/>
      <c r="F2591" s="63" t="n"/>
    </row>
    <row r="2592">
      <c r="A2592" s="166" t="n"/>
      <c r="B2592" s="63" t="n"/>
      <c r="C2592" s="64" t="n"/>
      <c r="D2592" s="167" t="n"/>
      <c r="E2592" s="63" t="n"/>
      <c r="F2592" s="63" t="n"/>
    </row>
    <row r="2593">
      <c r="A2593" s="166" t="n"/>
      <c r="B2593" s="63" t="n"/>
      <c r="C2593" s="64" t="n"/>
      <c r="D2593" s="167" t="n"/>
      <c r="E2593" s="63" t="n"/>
      <c r="F2593" s="63" t="n"/>
    </row>
    <row r="2594">
      <c r="A2594" s="166" t="n"/>
      <c r="B2594" s="63" t="n"/>
      <c r="C2594" s="64" t="n"/>
      <c r="D2594" s="167" t="n"/>
      <c r="E2594" s="63" t="n"/>
      <c r="F2594" s="63" t="n"/>
    </row>
    <row r="2595">
      <c r="A2595" s="166" t="n"/>
      <c r="B2595" s="63" t="n"/>
      <c r="C2595" s="64" t="n"/>
      <c r="D2595" s="167" t="n"/>
      <c r="E2595" s="63" t="n"/>
      <c r="F2595" s="63" t="n"/>
    </row>
    <row r="2596">
      <c r="A2596" s="166" t="n"/>
      <c r="B2596" s="63" t="n"/>
      <c r="C2596" s="64" t="n"/>
      <c r="D2596" s="167" t="n"/>
      <c r="E2596" s="63" t="n"/>
      <c r="F2596" s="63" t="n"/>
    </row>
    <row r="2597">
      <c r="A2597" s="166" t="n"/>
      <c r="B2597" s="63" t="n"/>
      <c r="C2597" s="64" t="n"/>
      <c r="D2597" s="167" t="n"/>
      <c r="E2597" s="63" t="n"/>
      <c r="F2597" s="63" t="n"/>
    </row>
    <row r="2598">
      <c r="A2598" s="166" t="n"/>
      <c r="B2598" s="63" t="n"/>
      <c r="C2598" s="64" t="n"/>
      <c r="D2598" s="167" t="n"/>
      <c r="E2598" s="63" t="n"/>
      <c r="F2598" s="63" t="n"/>
    </row>
    <row r="2599">
      <c r="A2599" s="166" t="n"/>
      <c r="B2599" s="63" t="n"/>
      <c r="C2599" s="64" t="n"/>
      <c r="D2599" s="167" t="n"/>
      <c r="E2599" s="63" t="n"/>
      <c r="F2599" s="63" t="n"/>
    </row>
    <row r="2600">
      <c r="A2600" s="166" t="n"/>
      <c r="B2600" s="63" t="n"/>
      <c r="C2600" s="64" t="n"/>
      <c r="D2600" s="167" t="n"/>
      <c r="E2600" s="63" t="n"/>
      <c r="F2600" s="63" t="n"/>
    </row>
    <row r="2601">
      <c r="A2601" s="166" t="n"/>
      <c r="B2601" s="63" t="n"/>
      <c r="C2601" s="64" t="n"/>
      <c r="D2601" s="167" t="n"/>
      <c r="E2601" s="63" t="n"/>
      <c r="F2601" s="63" t="n"/>
    </row>
    <row r="2602">
      <c r="A2602" s="166" t="n"/>
      <c r="B2602" s="63" t="n"/>
      <c r="C2602" s="64" t="n"/>
      <c r="D2602" s="167" t="n"/>
      <c r="E2602" s="63" t="n"/>
      <c r="F2602" s="63" t="n"/>
    </row>
    <row r="2603">
      <c r="A2603" s="166" t="n"/>
      <c r="B2603" s="63" t="n"/>
      <c r="C2603" s="64" t="n"/>
      <c r="D2603" s="167" t="n"/>
      <c r="E2603" s="63" t="n"/>
      <c r="F2603" s="63" t="n"/>
    </row>
    <row r="2604">
      <c r="A2604" s="166" t="n"/>
      <c r="B2604" s="63" t="n"/>
      <c r="C2604" s="64" t="n"/>
      <c r="D2604" s="167" t="n"/>
      <c r="E2604" s="63" t="n"/>
      <c r="F2604" s="63" t="n"/>
    </row>
    <row r="2605">
      <c r="A2605" s="166" t="n"/>
      <c r="B2605" s="63" t="n"/>
      <c r="C2605" s="64" t="n"/>
      <c r="D2605" s="167" t="n"/>
      <c r="E2605" s="63" t="n"/>
      <c r="F2605" s="63" t="n"/>
    </row>
    <row r="2606">
      <c r="A2606" s="166" t="n"/>
      <c r="B2606" s="63" t="n"/>
      <c r="C2606" s="64" t="n"/>
      <c r="D2606" s="167" t="n"/>
      <c r="E2606" s="63" t="n"/>
      <c r="F2606" s="63" t="n"/>
    </row>
    <row r="2607">
      <c r="A2607" s="166" t="n"/>
      <c r="B2607" s="63" t="n"/>
      <c r="C2607" s="64" t="n"/>
      <c r="D2607" s="167" t="n"/>
      <c r="E2607" s="63" t="n"/>
      <c r="F2607" s="63" t="n"/>
    </row>
    <row r="2608">
      <c r="A2608" s="166" t="n"/>
      <c r="B2608" s="63" t="n"/>
      <c r="C2608" s="64" t="n"/>
      <c r="D2608" s="167" t="n"/>
      <c r="E2608" s="63" t="n"/>
      <c r="F2608" s="63" t="n"/>
    </row>
    <row r="2609">
      <c r="A2609" s="166" t="n"/>
      <c r="B2609" s="63" t="n"/>
      <c r="C2609" s="64" t="n"/>
      <c r="D2609" s="167" t="n"/>
      <c r="E2609" s="63" t="n"/>
      <c r="F2609" s="63" t="n"/>
    </row>
    <row r="2610">
      <c r="A2610" s="166" t="n"/>
      <c r="B2610" s="63" t="n"/>
      <c r="C2610" s="64" t="n"/>
      <c r="D2610" s="167" t="n"/>
      <c r="E2610" s="63" t="n"/>
      <c r="F2610" s="63" t="n"/>
    </row>
    <row r="2611">
      <c r="A2611" s="166" t="n"/>
      <c r="B2611" s="63" t="n"/>
      <c r="C2611" s="64" t="n"/>
      <c r="D2611" s="167" t="n"/>
      <c r="E2611" s="63" t="n"/>
      <c r="F2611" s="63" t="n"/>
    </row>
    <row r="2612">
      <c r="A2612" s="166" t="n"/>
      <c r="B2612" s="63" t="n"/>
      <c r="C2612" s="64" t="n"/>
      <c r="D2612" s="167" t="n"/>
      <c r="E2612" s="63" t="n"/>
      <c r="F2612" s="63" t="n"/>
    </row>
    <row r="2613">
      <c r="A2613" s="166" t="n"/>
      <c r="B2613" s="63" t="n"/>
      <c r="C2613" s="64" t="n"/>
      <c r="D2613" s="167" t="n"/>
      <c r="E2613" s="63" t="n"/>
      <c r="F2613" s="63" t="n"/>
    </row>
    <row r="2614">
      <c r="A2614" s="166" t="n"/>
      <c r="B2614" s="63" t="n"/>
      <c r="C2614" s="64" t="n"/>
      <c r="D2614" s="167" t="n"/>
      <c r="E2614" s="63" t="n"/>
      <c r="F2614" s="63" t="n"/>
    </row>
    <row r="2615">
      <c r="A2615" s="166" t="n"/>
      <c r="B2615" s="63" t="n"/>
      <c r="C2615" s="64" t="n"/>
      <c r="D2615" s="167" t="n"/>
      <c r="E2615" s="63" t="n"/>
      <c r="F2615" s="63" t="n"/>
    </row>
    <row r="2616">
      <c r="A2616" s="166" t="n"/>
      <c r="B2616" s="63" t="n"/>
      <c r="C2616" s="64" t="n"/>
      <c r="D2616" s="167" t="n"/>
      <c r="E2616" s="63" t="n"/>
      <c r="F2616" s="63" t="n"/>
    </row>
    <row r="2617">
      <c r="A2617" s="166" t="n"/>
      <c r="B2617" s="63" t="n"/>
      <c r="C2617" s="64" t="n"/>
      <c r="D2617" s="167" t="n"/>
      <c r="E2617" s="63" t="n"/>
      <c r="F2617" s="63" t="n"/>
    </row>
    <row r="2618">
      <c r="A2618" s="166" t="n"/>
      <c r="B2618" s="63" t="n"/>
      <c r="C2618" s="64" t="n"/>
      <c r="D2618" s="167" t="n"/>
      <c r="E2618" s="63" t="n"/>
      <c r="F2618" s="63" t="n"/>
    </row>
    <row r="2619">
      <c r="A2619" s="166" t="n"/>
      <c r="B2619" s="63" t="n"/>
      <c r="C2619" s="64" t="n"/>
      <c r="D2619" s="167" t="n"/>
      <c r="E2619" s="63" t="n"/>
      <c r="F2619" s="63" t="n"/>
    </row>
    <row r="2620">
      <c r="A2620" s="166" t="n"/>
      <c r="B2620" s="63" t="n"/>
      <c r="C2620" s="64" t="n"/>
      <c r="D2620" s="167" t="n"/>
      <c r="E2620" s="63" t="n"/>
      <c r="F2620" s="63" t="n"/>
    </row>
    <row r="2621">
      <c r="A2621" s="166" t="n"/>
      <c r="B2621" s="63" t="n"/>
      <c r="C2621" s="64" t="n"/>
      <c r="D2621" s="167" t="n"/>
      <c r="E2621" s="63" t="n"/>
      <c r="F2621" s="63" t="n"/>
    </row>
    <row r="2622">
      <c r="A2622" s="166" t="n"/>
      <c r="B2622" s="63" t="n"/>
      <c r="C2622" s="64" t="n"/>
      <c r="D2622" s="167" t="n"/>
      <c r="E2622" s="63" t="n"/>
      <c r="F2622" s="63" t="n"/>
    </row>
    <row r="2623">
      <c r="A2623" s="166" t="n"/>
      <c r="B2623" s="63" t="n"/>
      <c r="C2623" s="64" t="n"/>
      <c r="D2623" s="167" t="n"/>
      <c r="E2623" s="63" t="n"/>
      <c r="F2623" s="63" t="n"/>
    </row>
    <row r="2624">
      <c r="A2624" s="166" t="n"/>
      <c r="B2624" s="63" t="n"/>
      <c r="C2624" s="64" t="n"/>
      <c r="D2624" s="167" t="n"/>
      <c r="E2624" s="63" t="n"/>
      <c r="F2624" s="63" t="n"/>
    </row>
    <row r="2625">
      <c r="A2625" s="166" t="n"/>
      <c r="B2625" s="63" t="n"/>
      <c r="C2625" s="64" t="n"/>
      <c r="D2625" s="167" t="n"/>
      <c r="E2625" s="63" t="n"/>
      <c r="F2625" s="63" t="n"/>
    </row>
    <row r="2626">
      <c r="A2626" s="166" t="n"/>
      <c r="B2626" s="63" t="n"/>
      <c r="C2626" s="64" t="n"/>
      <c r="D2626" s="167" t="n"/>
      <c r="E2626" s="63" t="n"/>
      <c r="F2626" s="63" t="n"/>
    </row>
    <row r="2627">
      <c r="A2627" s="166" t="n"/>
      <c r="B2627" s="63" t="n"/>
      <c r="C2627" s="64" t="n"/>
      <c r="D2627" s="167" t="n"/>
      <c r="E2627" s="63" t="n"/>
      <c r="F2627" s="63" t="n"/>
    </row>
    <row r="2628">
      <c r="A2628" s="166" t="n"/>
      <c r="B2628" s="63" t="n"/>
      <c r="C2628" s="64" t="n"/>
      <c r="D2628" s="167" t="n"/>
      <c r="E2628" s="63" t="n"/>
      <c r="F2628" s="63" t="n"/>
    </row>
    <row r="2629">
      <c r="A2629" s="166" t="n"/>
      <c r="B2629" s="63" t="n"/>
      <c r="C2629" s="64" t="n"/>
      <c r="D2629" s="167" t="n"/>
      <c r="E2629" s="63" t="n"/>
      <c r="F2629" s="63" t="n"/>
    </row>
    <row r="2630">
      <c r="A2630" s="166" t="n"/>
      <c r="B2630" s="63" t="n"/>
      <c r="C2630" s="64" t="n"/>
      <c r="D2630" s="167" t="n"/>
      <c r="E2630" s="63" t="n"/>
      <c r="F2630" s="63" t="n"/>
    </row>
    <row r="2631">
      <c r="A2631" s="166" t="n"/>
      <c r="B2631" s="63" t="n"/>
      <c r="C2631" s="64" t="n"/>
      <c r="D2631" s="167" t="n"/>
      <c r="E2631" s="63" t="n"/>
      <c r="F2631" s="63" t="n"/>
    </row>
    <row r="2632">
      <c r="A2632" s="166" t="n"/>
      <c r="B2632" s="63" t="n"/>
      <c r="C2632" s="64" t="n"/>
      <c r="D2632" s="167" t="n"/>
      <c r="E2632" s="63" t="n"/>
      <c r="F2632" s="63" t="n"/>
    </row>
    <row r="2633">
      <c r="A2633" s="166" t="n"/>
      <c r="B2633" s="63" t="n"/>
      <c r="C2633" s="64" t="n"/>
      <c r="D2633" s="167" t="n"/>
      <c r="E2633" s="63" t="n"/>
      <c r="F2633" s="63" t="n"/>
    </row>
    <row r="2634">
      <c r="A2634" s="166" t="n"/>
      <c r="B2634" s="63" t="n"/>
      <c r="C2634" s="64" t="n"/>
      <c r="D2634" s="167" t="n"/>
      <c r="E2634" s="63" t="n"/>
      <c r="F2634" s="63" t="n"/>
    </row>
    <row r="2635">
      <c r="A2635" s="166" t="n"/>
      <c r="B2635" s="63" t="n"/>
      <c r="C2635" s="64" t="n"/>
      <c r="D2635" s="167" t="n"/>
      <c r="E2635" s="63" t="n"/>
      <c r="F2635" s="63" t="n"/>
    </row>
    <row r="2636">
      <c r="A2636" s="166" t="n"/>
      <c r="B2636" s="63" t="n"/>
      <c r="C2636" s="64" t="n"/>
      <c r="D2636" s="167" t="n"/>
      <c r="E2636" s="63" t="n"/>
      <c r="F2636" s="63" t="n"/>
    </row>
    <row r="2637">
      <c r="A2637" s="166" t="n"/>
      <c r="B2637" s="63" t="n"/>
      <c r="C2637" s="64" t="n"/>
      <c r="D2637" s="167" t="n"/>
      <c r="E2637" s="63" t="n"/>
      <c r="F2637" s="63" t="n"/>
    </row>
    <row r="2638">
      <c r="A2638" s="166" t="n"/>
      <c r="B2638" s="63" t="n"/>
      <c r="C2638" s="64" t="n"/>
      <c r="D2638" s="167" t="n"/>
      <c r="E2638" s="63" t="n"/>
      <c r="F2638" s="63" t="n"/>
    </row>
    <row r="2639">
      <c r="A2639" s="166" t="n"/>
      <c r="B2639" s="63" t="n"/>
      <c r="C2639" s="64" t="n"/>
      <c r="D2639" s="167" t="n"/>
      <c r="E2639" s="63" t="n"/>
      <c r="F2639" s="63" t="n"/>
    </row>
    <row r="2640">
      <c r="A2640" s="166" t="n"/>
      <c r="B2640" s="63" t="n"/>
      <c r="C2640" s="64" t="n"/>
      <c r="D2640" s="167" t="n"/>
      <c r="E2640" s="63" t="n"/>
      <c r="F2640" s="63" t="n"/>
    </row>
    <row r="2641">
      <c r="A2641" s="166" t="n"/>
      <c r="B2641" s="63" t="n"/>
      <c r="C2641" s="64" t="n"/>
      <c r="D2641" s="167" t="n"/>
      <c r="E2641" s="63" t="n"/>
      <c r="F2641" s="63" t="n"/>
    </row>
    <row r="2642">
      <c r="A2642" s="166" t="n"/>
      <c r="B2642" s="63" t="n"/>
      <c r="C2642" s="64" t="n"/>
      <c r="D2642" s="167" t="n"/>
      <c r="E2642" s="63" t="n"/>
      <c r="F2642" s="63" t="n"/>
    </row>
    <row r="2643">
      <c r="A2643" s="166" t="n"/>
      <c r="B2643" s="63" t="n"/>
      <c r="C2643" s="64" t="n"/>
      <c r="D2643" s="167" t="n"/>
      <c r="E2643" s="63" t="n"/>
      <c r="F2643" s="63" t="n"/>
    </row>
    <row r="2644">
      <c r="A2644" s="166" t="n"/>
      <c r="B2644" s="63" t="n"/>
      <c r="C2644" s="64" t="n"/>
      <c r="D2644" s="167" t="n"/>
      <c r="E2644" s="63" t="n"/>
      <c r="F2644" s="63" t="n"/>
    </row>
    <row r="2645">
      <c r="A2645" s="166" t="n"/>
      <c r="B2645" s="63" t="n"/>
      <c r="C2645" s="64" t="n"/>
      <c r="D2645" s="167" t="n"/>
      <c r="E2645" s="63" t="n"/>
      <c r="F2645" s="63" t="n"/>
    </row>
    <row r="2646">
      <c r="A2646" s="166" t="n"/>
      <c r="B2646" s="63" t="n"/>
      <c r="C2646" s="64" t="n"/>
      <c r="D2646" s="167" t="n"/>
      <c r="E2646" s="63" t="n"/>
      <c r="F2646" s="63" t="n"/>
    </row>
    <row r="2647">
      <c r="A2647" s="166" t="n"/>
      <c r="B2647" s="63" t="n"/>
      <c r="C2647" s="64" t="n"/>
      <c r="D2647" s="167" t="n"/>
      <c r="E2647" s="63" t="n"/>
      <c r="F2647" s="63" t="n"/>
    </row>
    <row r="2648">
      <c r="A2648" s="166" t="n"/>
      <c r="B2648" s="63" t="n"/>
      <c r="C2648" s="64" t="n"/>
      <c r="D2648" s="167" t="n"/>
      <c r="E2648" s="63" t="n"/>
      <c r="F2648" s="63" t="n"/>
    </row>
    <row r="2649">
      <c r="A2649" s="166" t="n"/>
      <c r="B2649" s="63" t="n"/>
      <c r="C2649" s="64" t="n"/>
      <c r="D2649" s="167" t="n"/>
      <c r="E2649" s="63" t="n"/>
      <c r="F2649" s="63" t="n"/>
    </row>
    <row r="2650">
      <c r="A2650" s="166" t="n"/>
      <c r="B2650" s="63" t="n"/>
      <c r="C2650" s="64" t="n"/>
      <c r="D2650" s="167" t="n"/>
      <c r="E2650" s="63" t="n"/>
      <c r="F2650" s="63" t="n"/>
    </row>
    <row r="2651">
      <c r="A2651" s="166" t="n"/>
      <c r="B2651" s="63" t="n"/>
      <c r="C2651" s="64" t="n"/>
      <c r="D2651" s="167" t="n"/>
      <c r="E2651" s="63" t="n"/>
      <c r="F2651" s="63" t="n"/>
    </row>
    <row r="2652">
      <c r="A2652" s="166" t="n"/>
      <c r="B2652" s="63" t="n"/>
      <c r="C2652" s="64" t="n"/>
      <c r="D2652" s="167" t="n"/>
      <c r="E2652" s="63" t="n"/>
      <c r="F2652" s="63" t="n"/>
    </row>
    <row r="2653">
      <c r="A2653" s="166" t="n"/>
      <c r="B2653" s="63" t="n"/>
      <c r="C2653" s="64" t="n"/>
      <c r="D2653" s="167" t="n"/>
      <c r="E2653" s="63" t="n"/>
      <c r="F2653" s="63" t="n"/>
    </row>
    <row r="2654">
      <c r="A2654" s="166" t="n"/>
      <c r="B2654" s="63" t="n"/>
      <c r="C2654" s="64" t="n"/>
      <c r="D2654" s="167" t="n"/>
      <c r="E2654" s="63" t="n"/>
      <c r="F2654" s="63" t="n"/>
    </row>
    <row r="2655">
      <c r="A2655" s="166" t="n"/>
      <c r="B2655" s="63" t="n"/>
      <c r="C2655" s="64" t="n"/>
      <c r="D2655" s="167" t="n"/>
      <c r="E2655" s="63" t="n"/>
      <c r="F2655" s="63" t="n"/>
    </row>
    <row r="2656">
      <c r="A2656" s="166" t="n"/>
      <c r="B2656" s="63" t="n"/>
      <c r="C2656" s="64" t="n"/>
      <c r="D2656" s="167" t="n"/>
      <c r="E2656" s="63" t="n"/>
      <c r="F2656" s="63" t="n"/>
    </row>
    <row r="2657">
      <c r="A2657" s="166" t="n"/>
      <c r="B2657" s="63" t="n"/>
      <c r="C2657" s="64" t="n"/>
      <c r="D2657" s="167" t="n"/>
      <c r="E2657" s="63" t="n"/>
      <c r="F2657" s="63" t="n"/>
    </row>
    <row r="2658">
      <c r="A2658" s="166" t="n"/>
      <c r="B2658" s="63" t="n"/>
      <c r="C2658" s="64" t="n"/>
      <c r="D2658" s="167" t="n"/>
      <c r="E2658" s="63" t="n"/>
      <c r="F2658" s="63" t="n"/>
    </row>
    <row r="2659">
      <c r="A2659" s="166" t="n"/>
      <c r="B2659" s="63" t="n"/>
      <c r="C2659" s="64" t="n"/>
      <c r="D2659" s="167" t="n"/>
      <c r="E2659" s="63" t="n"/>
      <c r="F2659" s="63" t="n"/>
    </row>
    <row r="2660">
      <c r="A2660" s="166" t="n"/>
      <c r="B2660" s="63" t="n"/>
      <c r="C2660" s="64" t="n"/>
      <c r="D2660" s="167" t="n"/>
      <c r="E2660" s="63" t="n"/>
      <c r="F2660" s="63" t="n"/>
    </row>
    <row r="2661">
      <c r="A2661" s="166" t="n"/>
      <c r="B2661" s="63" t="n"/>
      <c r="C2661" s="64" t="n"/>
      <c r="D2661" s="167" t="n"/>
      <c r="E2661" s="63" t="n"/>
      <c r="F2661" s="63" t="n"/>
    </row>
    <row r="2662">
      <c r="A2662" s="166" t="n"/>
      <c r="B2662" s="63" t="n"/>
      <c r="C2662" s="64" t="n"/>
      <c r="D2662" s="167" t="n"/>
      <c r="E2662" s="63" t="n"/>
      <c r="F2662" s="63" t="n"/>
    </row>
    <row r="2663">
      <c r="A2663" s="166" t="n"/>
      <c r="B2663" s="63" t="n"/>
      <c r="C2663" s="64" t="n"/>
      <c r="D2663" s="167" t="n"/>
      <c r="E2663" s="63" t="n"/>
      <c r="F2663" s="63" t="n"/>
    </row>
    <row r="2664">
      <c r="A2664" s="166" t="n"/>
      <c r="B2664" s="63" t="n"/>
      <c r="C2664" s="64" t="n"/>
      <c r="D2664" s="167" t="n"/>
      <c r="E2664" s="63" t="n"/>
      <c r="F2664" s="63" t="n"/>
    </row>
    <row r="2665">
      <c r="A2665" s="166" t="n"/>
      <c r="B2665" s="63" t="n"/>
      <c r="C2665" s="64" t="n"/>
      <c r="D2665" s="167" t="n"/>
      <c r="E2665" s="63" t="n"/>
      <c r="F2665" s="63" t="n"/>
    </row>
    <row r="2666">
      <c r="A2666" s="166" t="n"/>
      <c r="B2666" s="63" t="n"/>
      <c r="C2666" s="64" t="n"/>
      <c r="D2666" s="167" t="n"/>
      <c r="E2666" s="63" t="n"/>
      <c r="F2666" s="63" t="n"/>
    </row>
    <row r="2667">
      <c r="A2667" s="166" t="n"/>
      <c r="B2667" s="63" t="n"/>
      <c r="C2667" s="64" t="n"/>
      <c r="D2667" s="167" t="n"/>
      <c r="E2667" s="63" t="n"/>
      <c r="F2667" s="63" t="n"/>
    </row>
    <row r="2668">
      <c r="A2668" s="166" t="n"/>
      <c r="B2668" s="63" t="n"/>
      <c r="C2668" s="64" t="n"/>
      <c r="D2668" s="167" t="n"/>
      <c r="E2668" s="63" t="n"/>
      <c r="F2668" s="63" t="n"/>
    </row>
    <row r="2669">
      <c r="A2669" s="166" t="n"/>
      <c r="B2669" s="63" t="n"/>
      <c r="C2669" s="64" t="n"/>
      <c r="D2669" s="167" t="n"/>
      <c r="E2669" s="63" t="n"/>
      <c r="F2669" s="63" t="n"/>
    </row>
    <row r="2670">
      <c r="A2670" s="166" t="n"/>
      <c r="B2670" s="63" t="n"/>
      <c r="C2670" s="64" t="n"/>
      <c r="D2670" s="167" t="n"/>
      <c r="E2670" s="63" t="n"/>
      <c r="F2670" s="63" t="n"/>
    </row>
    <row r="2671">
      <c r="A2671" s="166" t="n"/>
      <c r="B2671" s="63" t="n"/>
      <c r="C2671" s="64" t="n"/>
      <c r="D2671" s="167" t="n"/>
      <c r="E2671" s="63" t="n"/>
      <c r="F2671" s="63" t="n"/>
    </row>
    <row r="2672">
      <c r="A2672" s="166" t="n"/>
      <c r="B2672" s="63" t="n"/>
      <c r="C2672" s="64" t="n"/>
      <c r="D2672" s="167" t="n"/>
      <c r="E2672" s="63" t="n"/>
      <c r="F2672" s="63" t="n"/>
    </row>
    <row r="2673">
      <c r="A2673" s="166" t="n"/>
      <c r="B2673" s="63" t="n"/>
      <c r="C2673" s="64" t="n"/>
      <c r="D2673" s="167" t="n"/>
      <c r="E2673" s="63" t="n"/>
      <c r="F2673" s="63" t="n"/>
    </row>
    <row r="2674">
      <c r="A2674" s="166" t="n"/>
      <c r="B2674" s="63" t="n"/>
      <c r="C2674" s="64" t="n"/>
      <c r="D2674" s="167" t="n"/>
      <c r="E2674" s="63" t="n"/>
      <c r="F2674" s="63" t="n"/>
    </row>
    <row r="2675">
      <c r="A2675" s="166" t="n"/>
      <c r="B2675" s="63" t="n"/>
      <c r="C2675" s="64" t="n"/>
      <c r="D2675" s="167" t="n"/>
      <c r="E2675" s="63" t="n"/>
      <c r="F2675" s="63" t="n"/>
    </row>
    <row r="2676">
      <c r="A2676" s="166" t="n"/>
      <c r="B2676" s="63" t="n"/>
      <c r="C2676" s="64" t="n"/>
      <c r="D2676" s="167" t="n"/>
      <c r="E2676" s="63" t="n"/>
      <c r="F2676" s="63" t="n"/>
    </row>
    <row r="2677">
      <c r="A2677" s="166" t="n"/>
      <c r="B2677" s="63" t="n"/>
      <c r="C2677" s="64" t="n"/>
      <c r="D2677" s="167" t="n"/>
      <c r="E2677" s="63" t="n"/>
      <c r="F2677" s="63" t="n"/>
    </row>
    <row r="2678">
      <c r="A2678" s="166" t="n"/>
      <c r="B2678" s="63" t="n"/>
      <c r="C2678" s="64" t="n"/>
      <c r="D2678" s="167" t="n"/>
      <c r="E2678" s="63" t="n"/>
      <c r="F2678" s="63" t="n"/>
    </row>
    <row r="2679">
      <c r="A2679" s="166" t="n"/>
      <c r="B2679" s="63" t="n"/>
      <c r="C2679" s="64" t="n"/>
      <c r="D2679" s="167" t="n"/>
      <c r="E2679" s="63" t="n"/>
      <c r="F2679" s="63" t="n"/>
    </row>
    <row r="2680">
      <c r="A2680" s="166" t="n"/>
      <c r="B2680" s="63" t="n"/>
      <c r="C2680" s="64" t="n"/>
      <c r="D2680" s="167" t="n"/>
      <c r="E2680" s="63" t="n"/>
      <c r="F2680" s="63" t="n"/>
    </row>
    <row r="2681">
      <c r="A2681" s="166" t="n"/>
      <c r="B2681" s="63" t="n"/>
      <c r="C2681" s="64" t="n"/>
      <c r="D2681" s="167" t="n"/>
      <c r="E2681" s="63" t="n"/>
      <c r="F2681" s="63" t="n"/>
    </row>
    <row r="2682">
      <c r="A2682" s="166" t="n"/>
      <c r="B2682" s="63" t="n"/>
      <c r="C2682" s="64" t="n"/>
      <c r="D2682" s="167" t="n"/>
      <c r="E2682" s="63" t="n"/>
      <c r="F2682" s="63" t="n"/>
    </row>
    <row r="2683">
      <c r="A2683" s="166" t="n"/>
      <c r="B2683" s="63" t="n"/>
      <c r="C2683" s="64" t="n"/>
      <c r="D2683" s="167" t="n"/>
      <c r="E2683" s="63" t="n"/>
      <c r="F2683" s="63" t="n"/>
    </row>
    <row r="2684">
      <c r="A2684" s="166" t="n"/>
      <c r="B2684" s="63" t="n"/>
      <c r="C2684" s="64" t="n"/>
      <c r="D2684" s="167" t="n"/>
      <c r="E2684" s="63" t="n"/>
      <c r="F2684" s="63" t="n"/>
    </row>
    <row r="2685">
      <c r="A2685" s="166" t="n"/>
      <c r="B2685" s="63" t="n"/>
      <c r="C2685" s="64" t="n"/>
      <c r="D2685" s="167" t="n"/>
      <c r="E2685" s="63" t="n"/>
      <c r="F2685" s="63" t="n"/>
    </row>
    <row r="2686">
      <c r="A2686" s="166" t="n"/>
      <c r="B2686" s="63" t="n"/>
      <c r="C2686" s="64" t="n"/>
      <c r="D2686" s="167" t="n"/>
      <c r="E2686" s="63" t="n"/>
      <c r="F2686" s="63" t="n"/>
    </row>
    <row r="2687">
      <c r="A2687" s="166" t="n"/>
      <c r="B2687" s="63" t="n"/>
      <c r="C2687" s="64" t="n"/>
      <c r="D2687" s="167" t="n"/>
      <c r="E2687" s="63" t="n"/>
      <c r="F2687" s="63" t="n"/>
    </row>
    <row r="2688">
      <c r="A2688" s="166" t="n"/>
      <c r="B2688" s="63" t="n"/>
      <c r="C2688" s="64" t="n"/>
      <c r="D2688" s="167" t="n"/>
      <c r="E2688" s="63" t="n"/>
      <c r="F2688" s="63" t="n"/>
    </row>
    <row r="2689">
      <c r="A2689" s="166" t="n"/>
      <c r="B2689" s="63" t="n"/>
      <c r="C2689" s="64" t="n"/>
      <c r="D2689" s="167" t="n"/>
      <c r="E2689" s="63" t="n"/>
      <c r="F2689" s="63" t="n"/>
    </row>
    <row r="2690">
      <c r="A2690" s="166" t="n"/>
      <c r="B2690" s="63" t="n"/>
      <c r="C2690" s="64" t="n"/>
      <c r="D2690" s="167" t="n"/>
      <c r="E2690" s="63" t="n"/>
      <c r="F2690" s="63" t="n"/>
    </row>
    <row r="2691">
      <c r="A2691" s="166" t="n"/>
      <c r="B2691" s="63" t="n"/>
      <c r="C2691" s="64" t="n"/>
      <c r="D2691" s="167" t="n"/>
      <c r="E2691" s="63" t="n"/>
      <c r="F2691" s="63" t="n"/>
    </row>
    <row r="2692">
      <c r="A2692" s="166" t="n"/>
      <c r="B2692" s="63" t="n"/>
      <c r="C2692" s="64" t="n"/>
      <c r="D2692" s="167" t="n"/>
      <c r="E2692" s="63" t="n"/>
      <c r="F2692" s="63" t="n"/>
    </row>
    <row r="2693">
      <c r="A2693" s="166" t="n"/>
      <c r="B2693" s="63" t="n"/>
      <c r="C2693" s="64" t="n"/>
      <c r="D2693" s="167" t="n"/>
      <c r="E2693" s="63" t="n"/>
      <c r="F2693" s="63" t="n"/>
    </row>
    <row r="2694">
      <c r="A2694" s="166" t="n"/>
      <c r="B2694" s="63" t="n"/>
      <c r="C2694" s="64" t="n"/>
      <c r="D2694" s="167" t="n"/>
      <c r="E2694" s="63" t="n"/>
      <c r="F2694" s="63" t="n"/>
    </row>
    <row r="2695">
      <c r="A2695" s="166" t="n"/>
      <c r="B2695" s="63" t="n"/>
      <c r="C2695" s="64" t="n"/>
      <c r="D2695" s="167" t="n"/>
      <c r="E2695" s="63" t="n"/>
      <c r="F2695" s="63" t="n"/>
    </row>
    <row r="2696">
      <c r="A2696" s="166" t="n"/>
      <c r="B2696" s="63" t="n"/>
      <c r="C2696" s="64" t="n"/>
      <c r="D2696" s="167" t="n"/>
      <c r="E2696" s="63" t="n"/>
      <c r="F2696" s="63" t="n"/>
    </row>
    <row r="2697">
      <c r="A2697" s="166" t="n"/>
      <c r="B2697" s="63" t="n"/>
      <c r="C2697" s="64" t="n"/>
      <c r="D2697" s="167" t="n"/>
      <c r="E2697" s="63" t="n"/>
      <c r="F2697" s="63" t="n"/>
    </row>
    <row r="2698">
      <c r="A2698" s="166" t="n"/>
      <c r="B2698" s="63" t="n"/>
      <c r="C2698" s="64" t="n"/>
      <c r="D2698" s="167" t="n"/>
      <c r="E2698" s="63" t="n"/>
      <c r="F2698" s="63" t="n"/>
    </row>
    <row r="2699">
      <c r="A2699" s="166" t="n"/>
      <c r="B2699" s="63" t="n"/>
      <c r="C2699" s="64" t="n"/>
      <c r="D2699" s="167" t="n"/>
      <c r="E2699" s="63" t="n"/>
      <c r="F2699" s="63" t="n"/>
    </row>
    <row r="2700">
      <c r="A2700" s="166" t="n"/>
      <c r="B2700" s="63" t="n"/>
      <c r="C2700" s="64" t="n"/>
      <c r="D2700" s="167" t="n"/>
      <c r="E2700" s="63" t="n"/>
      <c r="F2700" s="63" t="n"/>
    </row>
    <row r="2701">
      <c r="A2701" s="166" t="n"/>
      <c r="B2701" s="63" t="n"/>
      <c r="C2701" s="64" t="n"/>
      <c r="D2701" s="167" t="n"/>
      <c r="E2701" s="63" t="n"/>
      <c r="F2701" s="63" t="n"/>
    </row>
    <row r="2702">
      <c r="A2702" s="166" t="n"/>
      <c r="B2702" s="63" t="n"/>
      <c r="C2702" s="64" t="n"/>
      <c r="D2702" s="167" t="n"/>
      <c r="E2702" s="63" t="n"/>
      <c r="F2702" s="63" t="n"/>
    </row>
    <row r="2703">
      <c r="A2703" s="166" t="n"/>
      <c r="B2703" s="63" t="n"/>
      <c r="C2703" s="64" t="n"/>
      <c r="D2703" s="167" t="n"/>
      <c r="E2703" s="63" t="n"/>
      <c r="F2703" s="63" t="n"/>
    </row>
    <row r="2704">
      <c r="A2704" s="166" t="n"/>
      <c r="B2704" s="63" t="n"/>
      <c r="C2704" s="64" t="n"/>
      <c r="D2704" s="167" t="n"/>
      <c r="E2704" s="63" t="n"/>
      <c r="F2704" s="63" t="n"/>
    </row>
    <row r="2705">
      <c r="A2705" s="166" t="n"/>
      <c r="B2705" s="63" t="n"/>
      <c r="C2705" s="64" t="n"/>
      <c r="D2705" s="167" t="n"/>
      <c r="E2705" s="63" t="n"/>
      <c r="F2705" s="63" t="n"/>
    </row>
    <row r="2706">
      <c r="A2706" s="166" t="n"/>
      <c r="B2706" s="63" t="n"/>
      <c r="C2706" s="64" t="n"/>
      <c r="D2706" s="167" t="n"/>
      <c r="E2706" s="63" t="n"/>
      <c r="F2706" s="63" t="n"/>
    </row>
    <row r="2707">
      <c r="A2707" s="166" t="n"/>
      <c r="B2707" s="63" t="n"/>
      <c r="C2707" s="64" t="n"/>
      <c r="D2707" s="167" t="n"/>
      <c r="E2707" s="63" t="n"/>
      <c r="F2707" s="63" t="n"/>
    </row>
    <row r="2708">
      <c r="A2708" s="166" t="n"/>
      <c r="B2708" s="63" t="n"/>
      <c r="C2708" s="64" t="n"/>
      <c r="D2708" s="167" t="n"/>
      <c r="E2708" s="63" t="n"/>
      <c r="F2708" s="63" t="n"/>
    </row>
    <row r="2709">
      <c r="A2709" s="166" t="n"/>
      <c r="B2709" s="63" t="n"/>
      <c r="C2709" s="64" t="n"/>
      <c r="D2709" s="167" t="n"/>
      <c r="E2709" s="63" t="n"/>
      <c r="F2709" s="63" t="n"/>
    </row>
    <row r="2710">
      <c r="A2710" s="166" t="n"/>
      <c r="B2710" s="63" t="n"/>
      <c r="C2710" s="64" t="n"/>
      <c r="D2710" s="167" t="n"/>
      <c r="E2710" s="63" t="n"/>
      <c r="F2710" s="63" t="n"/>
    </row>
    <row r="2711">
      <c r="A2711" s="166" t="n"/>
      <c r="B2711" s="63" t="n"/>
      <c r="C2711" s="64" t="n"/>
      <c r="D2711" s="167" t="n"/>
      <c r="E2711" s="63" t="n"/>
      <c r="F2711" s="63" t="n"/>
    </row>
    <row r="2712">
      <c r="A2712" s="166" t="n"/>
      <c r="B2712" s="63" t="n"/>
      <c r="C2712" s="64" t="n"/>
      <c r="D2712" s="167" t="n"/>
      <c r="E2712" s="63" t="n"/>
      <c r="F2712" s="63" t="n"/>
    </row>
    <row r="2713">
      <c r="A2713" s="166" t="n"/>
      <c r="B2713" s="63" t="n"/>
      <c r="C2713" s="64" t="n"/>
      <c r="D2713" s="167" t="n"/>
      <c r="E2713" s="63" t="n"/>
      <c r="F2713" s="63" t="n"/>
    </row>
    <row r="2714">
      <c r="A2714" s="166" t="n"/>
      <c r="B2714" s="63" t="n"/>
      <c r="C2714" s="64" t="n"/>
      <c r="D2714" s="167" t="n"/>
      <c r="E2714" s="63" t="n"/>
      <c r="F2714" s="63" t="n"/>
    </row>
    <row r="2715">
      <c r="A2715" s="166" t="n"/>
      <c r="B2715" s="63" t="n"/>
      <c r="C2715" s="64" t="n"/>
      <c r="D2715" s="167" t="n"/>
      <c r="E2715" s="63" t="n"/>
      <c r="F2715" s="63" t="n"/>
    </row>
    <row r="2716">
      <c r="A2716" s="166" t="n"/>
      <c r="B2716" s="63" t="n"/>
      <c r="C2716" s="64" t="n"/>
      <c r="D2716" s="167" t="n"/>
      <c r="E2716" s="63" t="n"/>
      <c r="F2716" s="63" t="n"/>
    </row>
    <row r="2717">
      <c r="A2717" s="166" t="n"/>
      <c r="B2717" s="63" t="n"/>
      <c r="C2717" s="64" t="n"/>
      <c r="D2717" s="167" t="n"/>
      <c r="E2717" s="63" t="n"/>
      <c r="F2717" s="63" t="n"/>
    </row>
    <row r="2718">
      <c r="A2718" s="166" t="n"/>
      <c r="B2718" s="63" t="n"/>
      <c r="C2718" s="64" t="n"/>
      <c r="D2718" s="167" t="n"/>
      <c r="E2718" s="63" t="n"/>
      <c r="F2718" s="63" t="n"/>
    </row>
    <row r="2719">
      <c r="A2719" s="166" t="n"/>
      <c r="B2719" s="63" t="n"/>
      <c r="C2719" s="64" t="n"/>
      <c r="D2719" s="167" t="n"/>
      <c r="E2719" s="63" t="n"/>
      <c r="F2719" s="63" t="n"/>
    </row>
    <row r="2720">
      <c r="A2720" s="166" t="n"/>
      <c r="B2720" s="63" t="n"/>
      <c r="C2720" s="64" t="n"/>
      <c r="D2720" s="167" t="n"/>
      <c r="E2720" s="63" t="n"/>
      <c r="F2720" s="63" t="n"/>
    </row>
    <row r="2721">
      <c r="A2721" s="166" t="n"/>
      <c r="B2721" s="63" t="n"/>
      <c r="C2721" s="64" t="n"/>
      <c r="D2721" s="167" t="n"/>
      <c r="E2721" s="63" t="n"/>
      <c r="F2721" s="63" t="n"/>
    </row>
    <row r="2722">
      <c r="A2722" s="166" t="n"/>
      <c r="B2722" s="63" t="n"/>
      <c r="C2722" s="64" t="n"/>
      <c r="D2722" s="167" t="n"/>
      <c r="E2722" s="63" t="n"/>
      <c r="F2722" s="63" t="n"/>
    </row>
    <row r="2723">
      <c r="A2723" s="166" t="n"/>
      <c r="B2723" s="63" t="n"/>
      <c r="C2723" s="64" t="n"/>
      <c r="D2723" s="167" t="n"/>
      <c r="E2723" s="63" t="n"/>
      <c r="F2723" s="63" t="n"/>
    </row>
    <row r="2724">
      <c r="A2724" s="166" t="n"/>
      <c r="B2724" s="63" t="n"/>
      <c r="C2724" s="64" t="n"/>
      <c r="D2724" s="167" t="n"/>
      <c r="E2724" s="63" t="n"/>
      <c r="F2724" s="63" t="n"/>
    </row>
    <row r="2725">
      <c r="A2725" s="166" t="n"/>
      <c r="B2725" s="63" t="n"/>
      <c r="C2725" s="64" t="n"/>
      <c r="D2725" s="167" t="n"/>
      <c r="E2725" s="63" t="n"/>
      <c r="F2725" s="63" t="n"/>
    </row>
    <row r="2726">
      <c r="A2726" s="166" t="n"/>
      <c r="B2726" s="63" t="n"/>
      <c r="C2726" s="64" t="n"/>
      <c r="D2726" s="167" t="n"/>
      <c r="E2726" s="63" t="n"/>
      <c r="F2726" s="63" t="n"/>
    </row>
    <row r="2727">
      <c r="A2727" s="166" t="n"/>
      <c r="B2727" s="63" t="n"/>
      <c r="C2727" s="64" t="n"/>
      <c r="D2727" s="167" t="n"/>
      <c r="E2727" s="63" t="n"/>
      <c r="F2727" s="63" t="n"/>
    </row>
    <row r="2728">
      <c r="A2728" s="166" t="n"/>
      <c r="B2728" s="63" t="n"/>
      <c r="C2728" s="64" t="n"/>
      <c r="D2728" s="167" t="n"/>
      <c r="E2728" s="63" t="n"/>
      <c r="F2728" s="63" t="n"/>
    </row>
    <row r="2729">
      <c r="A2729" s="166" t="n"/>
      <c r="B2729" s="63" t="n"/>
      <c r="C2729" s="64" t="n"/>
      <c r="D2729" s="167" t="n"/>
      <c r="E2729" s="63" t="n"/>
      <c r="F2729" s="63" t="n"/>
    </row>
    <row r="2730">
      <c r="A2730" s="166" t="n"/>
      <c r="B2730" s="63" t="n"/>
      <c r="C2730" s="64" t="n"/>
      <c r="D2730" s="167" t="n"/>
      <c r="E2730" s="63" t="n"/>
      <c r="F2730" s="63" t="n"/>
    </row>
    <row r="2731">
      <c r="A2731" s="166" t="n"/>
      <c r="B2731" s="63" t="n"/>
      <c r="C2731" s="64" t="n"/>
      <c r="D2731" s="167" t="n"/>
      <c r="E2731" s="63" t="n"/>
      <c r="F2731" s="63" t="n"/>
    </row>
    <row r="2732">
      <c r="A2732" s="166" t="n"/>
      <c r="B2732" s="63" t="n"/>
      <c r="C2732" s="64" t="n"/>
      <c r="D2732" s="167" t="n"/>
      <c r="E2732" s="63" t="n"/>
      <c r="F2732" s="63" t="n"/>
    </row>
    <row r="2733">
      <c r="A2733" s="166" t="n"/>
      <c r="B2733" s="63" t="n"/>
      <c r="C2733" s="64" t="n"/>
      <c r="D2733" s="167" t="n"/>
      <c r="E2733" s="63" t="n"/>
      <c r="F2733" s="63" t="n"/>
    </row>
    <row r="2734">
      <c r="A2734" s="166" t="n"/>
      <c r="B2734" s="63" t="n"/>
      <c r="C2734" s="64" t="n"/>
      <c r="D2734" s="167" t="n"/>
      <c r="E2734" s="63" t="n"/>
      <c r="F2734" s="63" t="n"/>
    </row>
    <row r="2735">
      <c r="A2735" s="166" t="n"/>
      <c r="B2735" s="63" t="n"/>
      <c r="C2735" s="64" t="n"/>
      <c r="D2735" s="167" t="n"/>
      <c r="E2735" s="63" t="n"/>
      <c r="F2735" s="63" t="n"/>
    </row>
    <row r="2736">
      <c r="A2736" s="166" t="n"/>
      <c r="B2736" s="63" t="n"/>
      <c r="C2736" s="64" t="n"/>
      <c r="D2736" s="167" t="n"/>
      <c r="E2736" s="63" t="n"/>
      <c r="F2736" s="63" t="n"/>
    </row>
    <row r="2737">
      <c r="A2737" s="166" t="n"/>
      <c r="B2737" s="63" t="n"/>
      <c r="C2737" s="64" t="n"/>
      <c r="D2737" s="167" t="n"/>
      <c r="E2737" s="63" t="n"/>
      <c r="F2737" s="63" t="n"/>
    </row>
    <row r="2738">
      <c r="A2738" s="166" t="n"/>
      <c r="B2738" s="63" t="n"/>
      <c r="C2738" s="64" t="n"/>
      <c r="D2738" s="167" t="n"/>
      <c r="E2738" s="63" t="n"/>
      <c r="F2738" s="63" t="n"/>
    </row>
    <row r="2739">
      <c r="A2739" s="166" t="n"/>
      <c r="B2739" s="63" t="n"/>
      <c r="C2739" s="64" t="n"/>
      <c r="D2739" s="167" t="n"/>
      <c r="E2739" s="63" t="n"/>
      <c r="F2739" s="63" t="n"/>
    </row>
    <row r="2740">
      <c r="A2740" s="166" t="n"/>
      <c r="B2740" s="63" t="n"/>
      <c r="C2740" s="64" t="n"/>
      <c r="D2740" s="167" t="n"/>
      <c r="E2740" s="63" t="n"/>
      <c r="F2740" s="63" t="n"/>
    </row>
    <row r="2741">
      <c r="A2741" s="166" t="n"/>
      <c r="B2741" s="63" t="n"/>
      <c r="C2741" s="64" t="n"/>
      <c r="D2741" s="167" t="n"/>
      <c r="E2741" s="63" t="n"/>
      <c r="F2741" s="63" t="n"/>
    </row>
    <row r="2742">
      <c r="A2742" s="166" t="n"/>
      <c r="B2742" s="63" t="n"/>
      <c r="C2742" s="64" t="n"/>
      <c r="D2742" s="167" t="n"/>
      <c r="E2742" s="63" t="n"/>
      <c r="F2742" s="63" t="n"/>
    </row>
    <row r="2743">
      <c r="A2743" s="166" t="n"/>
      <c r="B2743" s="63" t="n"/>
      <c r="C2743" s="64" t="n"/>
      <c r="D2743" s="167" t="n"/>
      <c r="E2743" s="63" t="n"/>
      <c r="F2743" s="63" t="n"/>
    </row>
    <row r="2744">
      <c r="A2744" s="166" t="n"/>
      <c r="B2744" s="63" t="n"/>
      <c r="C2744" s="64" t="n"/>
      <c r="D2744" s="167" t="n"/>
      <c r="E2744" s="63" t="n"/>
      <c r="F2744" s="63" t="n"/>
    </row>
    <row r="2745">
      <c r="A2745" s="166" t="n"/>
      <c r="B2745" s="63" t="n"/>
      <c r="C2745" s="64" t="n"/>
      <c r="D2745" s="167" t="n"/>
      <c r="E2745" s="63" t="n"/>
      <c r="F2745" s="63" t="n"/>
    </row>
    <row r="2746">
      <c r="A2746" s="166" t="n"/>
      <c r="B2746" s="63" t="n"/>
      <c r="C2746" s="64" t="n"/>
      <c r="D2746" s="167" t="n"/>
      <c r="E2746" s="63" t="n"/>
      <c r="F2746" s="63" t="n"/>
    </row>
    <row r="2747">
      <c r="A2747" s="166" t="n"/>
      <c r="B2747" s="63" t="n"/>
      <c r="C2747" s="64" t="n"/>
      <c r="D2747" s="167" t="n"/>
      <c r="E2747" s="63" t="n"/>
      <c r="F2747" s="63" t="n"/>
    </row>
    <row r="2748">
      <c r="A2748" s="166" t="n"/>
      <c r="B2748" s="63" t="n"/>
      <c r="C2748" s="64" t="n"/>
      <c r="D2748" s="167" t="n"/>
      <c r="E2748" s="63" t="n"/>
      <c r="F2748" s="63" t="n"/>
    </row>
    <row r="2749">
      <c r="A2749" s="166" t="n"/>
      <c r="B2749" s="63" t="n"/>
      <c r="C2749" s="64" t="n"/>
      <c r="D2749" s="167" t="n"/>
      <c r="E2749" s="63" t="n"/>
      <c r="F2749" s="63" t="n"/>
    </row>
    <row r="2750">
      <c r="A2750" s="166" t="n"/>
      <c r="B2750" s="63" t="n"/>
      <c r="C2750" s="64" t="n"/>
      <c r="D2750" s="167" t="n"/>
      <c r="E2750" s="63" t="n"/>
      <c r="F2750" s="63" t="n"/>
    </row>
    <row r="2751">
      <c r="A2751" s="166" t="n"/>
      <c r="B2751" s="63" t="n"/>
      <c r="C2751" s="64" t="n"/>
      <c r="D2751" s="167" t="n"/>
      <c r="E2751" s="63" t="n"/>
      <c r="F2751" s="63" t="n"/>
    </row>
    <row r="2752">
      <c r="A2752" s="166" t="n"/>
      <c r="B2752" s="63" t="n"/>
      <c r="C2752" s="64" t="n"/>
      <c r="D2752" s="167" t="n"/>
      <c r="E2752" s="63" t="n"/>
      <c r="F2752" s="63" t="n"/>
    </row>
    <row r="2753">
      <c r="A2753" s="166" t="n"/>
      <c r="B2753" s="63" t="n"/>
      <c r="C2753" s="64" t="n"/>
      <c r="D2753" s="167" t="n"/>
      <c r="E2753" s="63" t="n"/>
      <c r="F2753" s="63" t="n"/>
    </row>
    <row r="2754">
      <c r="A2754" s="166" t="n"/>
      <c r="B2754" s="63" t="n"/>
      <c r="C2754" s="64" t="n"/>
      <c r="D2754" s="167" t="n"/>
      <c r="E2754" s="63" t="n"/>
      <c r="F2754" s="63" t="n"/>
    </row>
    <row r="2755">
      <c r="A2755" s="166" t="n"/>
      <c r="B2755" s="63" t="n"/>
      <c r="C2755" s="64" t="n"/>
      <c r="D2755" s="167" t="n"/>
      <c r="E2755" s="63" t="n"/>
      <c r="F2755" s="63" t="n"/>
    </row>
    <row r="2756">
      <c r="A2756" s="166" t="n"/>
      <c r="B2756" s="63" t="n"/>
      <c r="C2756" s="64" t="n"/>
      <c r="D2756" s="167" t="n"/>
      <c r="E2756" s="63" t="n"/>
      <c r="F2756" s="63" t="n"/>
    </row>
    <row r="2757">
      <c r="A2757" s="166" t="n"/>
      <c r="B2757" s="63" t="n"/>
      <c r="C2757" s="64" t="n"/>
      <c r="D2757" s="167" t="n"/>
      <c r="E2757" s="63" t="n"/>
      <c r="F2757" s="63" t="n"/>
    </row>
    <row r="2758">
      <c r="A2758" s="166" t="n"/>
      <c r="B2758" s="63" t="n"/>
      <c r="C2758" s="64" t="n"/>
      <c r="D2758" s="167" t="n"/>
      <c r="E2758" s="63" t="n"/>
      <c r="F2758" s="63" t="n"/>
    </row>
    <row r="2759">
      <c r="A2759" s="166" t="n"/>
      <c r="B2759" s="63" t="n"/>
      <c r="C2759" s="64" t="n"/>
      <c r="D2759" s="167" t="n"/>
      <c r="E2759" s="63" t="n"/>
      <c r="F2759" s="63" t="n"/>
    </row>
    <row r="2760">
      <c r="A2760" s="166" t="n"/>
      <c r="B2760" s="63" t="n"/>
      <c r="C2760" s="64" t="n"/>
      <c r="D2760" s="167" t="n"/>
      <c r="E2760" s="63" t="n"/>
      <c r="F2760" s="63" t="n"/>
    </row>
    <row r="2761">
      <c r="A2761" s="166" t="n"/>
      <c r="B2761" s="63" t="n"/>
      <c r="C2761" s="64" t="n"/>
      <c r="D2761" s="167" t="n"/>
      <c r="E2761" s="63" t="n"/>
      <c r="F2761" s="63" t="n"/>
    </row>
    <row r="2762">
      <c r="A2762" s="166" t="n"/>
      <c r="B2762" s="63" t="n"/>
      <c r="C2762" s="64" t="n"/>
      <c r="D2762" s="167" t="n"/>
      <c r="E2762" s="63" t="n"/>
      <c r="F2762" s="63" t="n"/>
    </row>
    <row r="2763">
      <c r="A2763" s="166" t="n"/>
      <c r="B2763" s="63" t="n"/>
      <c r="C2763" s="64" t="n"/>
      <c r="D2763" s="167" t="n"/>
      <c r="E2763" s="63" t="n"/>
      <c r="F2763" s="63" t="n"/>
    </row>
    <row r="2764">
      <c r="A2764" s="166" t="n"/>
      <c r="B2764" s="63" t="n"/>
      <c r="C2764" s="64" t="n"/>
      <c r="D2764" s="167" t="n"/>
      <c r="E2764" s="63" t="n"/>
      <c r="F2764" s="63" t="n"/>
    </row>
    <row r="2765">
      <c r="A2765" s="166" t="n"/>
      <c r="B2765" s="63" t="n"/>
      <c r="C2765" s="64" t="n"/>
      <c r="D2765" s="167" t="n"/>
      <c r="E2765" s="63" t="n"/>
      <c r="F2765" s="63" t="n"/>
    </row>
    <row r="2766">
      <c r="A2766" s="166" t="n"/>
      <c r="B2766" s="63" t="n"/>
      <c r="C2766" s="64" t="n"/>
      <c r="D2766" s="167" t="n"/>
      <c r="E2766" s="63" t="n"/>
      <c r="F2766" s="63" t="n"/>
    </row>
    <row r="2767">
      <c r="A2767" s="166" t="n"/>
      <c r="B2767" s="63" t="n"/>
      <c r="C2767" s="64" t="n"/>
      <c r="D2767" s="167" t="n"/>
      <c r="E2767" s="63" t="n"/>
      <c r="F2767" s="63" t="n"/>
    </row>
    <row r="2768">
      <c r="A2768" s="166" t="n"/>
      <c r="B2768" s="63" t="n"/>
      <c r="C2768" s="64" t="n"/>
      <c r="D2768" s="167" t="n"/>
      <c r="E2768" s="63" t="n"/>
      <c r="F2768" s="63" t="n"/>
    </row>
    <row r="2769">
      <c r="A2769" s="166" t="n"/>
      <c r="B2769" s="63" t="n"/>
      <c r="C2769" s="64" t="n"/>
      <c r="D2769" s="167" t="n"/>
      <c r="E2769" s="63" t="n"/>
      <c r="F2769" s="63" t="n"/>
    </row>
    <row r="2770">
      <c r="A2770" s="166" t="n"/>
      <c r="B2770" s="63" t="n"/>
      <c r="C2770" s="64" t="n"/>
      <c r="D2770" s="167" t="n"/>
      <c r="E2770" s="63" t="n"/>
      <c r="F2770" s="63" t="n"/>
    </row>
    <row r="2771">
      <c r="A2771" s="166" t="n"/>
      <c r="B2771" s="63" t="n"/>
      <c r="C2771" s="64" t="n"/>
      <c r="D2771" s="167" t="n"/>
      <c r="E2771" s="63" t="n"/>
      <c r="F2771" s="63" t="n"/>
    </row>
    <row r="2772">
      <c r="A2772" s="166" t="n"/>
      <c r="B2772" s="63" t="n"/>
      <c r="C2772" s="64" t="n"/>
      <c r="D2772" s="167" t="n"/>
      <c r="E2772" s="63" t="n"/>
      <c r="F2772" s="63" t="n"/>
    </row>
    <row r="2773">
      <c r="A2773" s="166" t="n"/>
      <c r="B2773" s="63" t="n"/>
      <c r="C2773" s="64" t="n"/>
      <c r="D2773" s="167" t="n"/>
      <c r="E2773" s="63" t="n"/>
      <c r="F2773" s="63" t="n"/>
    </row>
    <row r="2774">
      <c r="A2774" s="166" t="n"/>
      <c r="B2774" s="63" t="n"/>
      <c r="C2774" s="64" t="n"/>
      <c r="D2774" s="167" t="n"/>
      <c r="E2774" s="63" t="n"/>
      <c r="F2774" s="63" t="n"/>
    </row>
    <row r="2775">
      <c r="A2775" s="166" t="n"/>
      <c r="B2775" s="63" t="n"/>
      <c r="C2775" s="64" t="n"/>
      <c r="D2775" s="167" t="n"/>
      <c r="E2775" s="63" t="n"/>
      <c r="F2775" s="63" t="n"/>
    </row>
    <row r="2776">
      <c r="A2776" s="166" t="n"/>
      <c r="B2776" s="63" t="n"/>
      <c r="C2776" s="64" t="n"/>
      <c r="D2776" s="167" t="n"/>
      <c r="E2776" s="63" t="n"/>
      <c r="F2776" s="63" t="n"/>
    </row>
    <row r="2777">
      <c r="A2777" s="166" t="n"/>
      <c r="B2777" s="63" t="n"/>
      <c r="C2777" s="64" t="n"/>
      <c r="D2777" s="167" t="n"/>
      <c r="E2777" s="63" t="n"/>
      <c r="F2777" s="63" t="n"/>
    </row>
    <row r="2778">
      <c r="A2778" s="166" t="n"/>
      <c r="B2778" s="63" t="n"/>
      <c r="C2778" s="64" t="n"/>
      <c r="D2778" s="167" t="n"/>
      <c r="E2778" s="63" t="n"/>
      <c r="F2778" s="63" t="n"/>
    </row>
    <row r="2779">
      <c r="A2779" s="166" t="n"/>
      <c r="B2779" s="63" t="n"/>
      <c r="C2779" s="64" t="n"/>
      <c r="D2779" s="167" t="n"/>
      <c r="E2779" s="63" t="n"/>
      <c r="F2779" s="63" t="n"/>
    </row>
    <row r="2780">
      <c r="A2780" s="166" t="n"/>
      <c r="B2780" s="63" t="n"/>
      <c r="C2780" s="64" t="n"/>
      <c r="D2780" s="167" t="n"/>
      <c r="E2780" s="63" t="n"/>
      <c r="F2780" s="63" t="n"/>
    </row>
    <row r="2781">
      <c r="A2781" s="166" t="n"/>
      <c r="B2781" s="63" t="n"/>
      <c r="C2781" s="64" t="n"/>
      <c r="D2781" s="167" t="n"/>
      <c r="E2781" s="63" t="n"/>
      <c r="F2781" s="63" t="n"/>
    </row>
    <row r="2782">
      <c r="A2782" s="166" t="n"/>
      <c r="B2782" s="63" t="n"/>
      <c r="C2782" s="64" t="n"/>
      <c r="D2782" s="167" t="n"/>
      <c r="E2782" s="63" t="n"/>
      <c r="F2782" s="63" t="n"/>
    </row>
    <row r="2783">
      <c r="A2783" s="166" t="n"/>
      <c r="B2783" s="63" t="n"/>
      <c r="C2783" s="64" t="n"/>
      <c r="D2783" s="167" t="n"/>
      <c r="E2783" s="63" t="n"/>
      <c r="F2783" s="63" t="n"/>
    </row>
    <row r="2784">
      <c r="A2784" s="166" t="n"/>
      <c r="B2784" s="63" t="n"/>
      <c r="C2784" s="64" t="n"/>
      <c r="D2784" s="167" t="n"/>
      <c r="E2784" s="63" t="n"/>
      <c r="F2784" s="63" t="n"/>
    </row>
    <row r="2785">
      <c r="A2785" s="166" t="n"/>
      <c r="B2785" s="63" t="n"/>
      <c r="C2785" s="64" t="n"/>
      <c r="D2785" s="167" t="n"/>
      <c r="E2785" s="63" t="n"/>
      <c r="F2785" s="63" t="n"/>
    </row>
    <row r="2786">
      <c r="A2786" s="166" t="n"/>
      <c r="B2786" s="63" t="n"/>
      <c r="C2786" s="64" t="n"/>
      <c r="D2786" s="167" t="n"/>
      <c r="E2786" s="63" t="n"/>
      <c r="F2786" s="63" t="n"/>
    </row>
    <row r="2787">
      <c r="A2787" s="166" t="n"/>
      <c r="B2787" s="63" t="n"/>
      <c r="C2787" s="64" t="n"/>
      <c r="D2787" s="167" t="n"/>
      <c r="E2787" s="63" t="n"/>
      <c r="F2787" s="63" t="n"/>
    </row>
    <row r="2788">
      <c r="A2788" s="166" t="n"/>
      <c r="B2788" s="63" t="n"/>
      <c r="C2788" s="64" t="n"/>
      <c r="D2788" s="167" t="n"/>
      <c r="E2788" s="63" t="n"/>
      <c r="F2788" s="63" t="n"/>
    </row>
    <row r="2789">
      <c r="A2789" s="166" t="n"/>
      <c r="B2789" s="63" t="n"/>
      <c r="C2789" s="64" t="n"/>
      <c r="D2789" s="167" t="n"/>
      <c r="E2789" s="63" t="n"/>
      <c r="F2789" s="63" t="n"/>
    </row>
    <row r="2790">
      <c r="A2790" s="166" t="n"/>
      <c r="B2790" s="63" t="n"/>
      <c r="C2790" s="64" t="n"/>
      <c r="D2790" s="167" t="n"/>
      <c r="E2790" s="63" t="n"/>
      <c r="F2790" s="63" t="n"/>
    </row>
    <row r="2791">
      <c r="A2791" s="166" t="n"/>
      <c r="B2791" s="63" t="n"/>
      <c r="C2791" s="64" t="n"/>
      <c r="D2791" s="167" t="n"/>
      <c r="E2791" s="63" t="n"/>
      <c r="F2791" s="63" t="n"/>
    </row>
    <row r="2792">
      <c r="A2792" s="166" t="n"/>
      <c r="B2792" s="63" t="n"/>
      <c r="C2792" s="64" t="n"/>
      <c r="D2792" s="167" t="n"/>
      <c r="E2792" s="63" t="n"/>
      <c r="F2792" s="63" t="n"/>
    </row>
    <row r="2793">
      <c r="A2793" s="166" t="n"/>
      <c r="B2793" s="63" t="n"/>
      <c r="C2793" s="64" t="n"/>
      <c r="D2793" s="167" t="n"/>
      <c r="E2793" s="63" t="n"/>
      <c r="F2793" s="63" t="n"/>
    </row>
    <row r="2794">
      <c r="A2794" s="166" t="n"/>
      <c r="B2794" s="63" t="n"/>
      <c r="C2794" s="64" t="n"/>
      <c r="D2794" s="167" t="n"/>
      <c r="E2794" s="63" t="n"/>
      <c r="F2794" s="63" t="n"/>
    </row>
    <row r="2795">
      <c r="A2795" s="166" t="n"/>
      <c r="B2795" s="63" t="n"/>
      <c r="C2795" s="64" t="n"/>
      <c r="D2795" s="167" t="n"/>
      <c r="E2795" s="63" t="n"/>
      <c r="F2795" s="63" t="n"/>
    </row>
    <row r="2796">
      <c r="A2796" s="166" t="n"/>
      <c r="B2796" s="63" t="n"/>
      <c r="C2796" s="64" t="n"/>
      <c r="D2796" s="167" t="n"/>
      <c r="E2796" s="63" t="n"/>
      <c r="F2796" s="63" t="n"/>
    </row>
    <row r="2797">
      <c r="A2797" s="166" t="n"/>
      <c r="B2797" s="63" t="n"/>
      <c r="C2797" s="64" t="n"/>
      <c r="D2797" s="167" t="n"/>
      <c r="E2797" s="63" t="n"/>
      <c r="F2797" s="63" t="n"/>
    </row>
    <row r="2798">
      <c r="A2798" s="166" t="n"/>
      <c r="B2798" s="63" t="n"/>
      <c r="C2798" s="64" t="n"/>
      <c r="D2798" s="167" t="n"/>
      <c r="E2798" s="63" t="n"/>
      <c r="F2798" s="63" t="n"/>
    </row>
    <row r="2799">
      <c r="A2799" s="166" t="n"/>
      <c r="B2799" s="63" t="n"/>
      <c r="C2799" s="64" t="n"/>
      <c r="D2799" s="167" t="n"/>
      <c r="E2799" s="63" t="n"/>
      <c r="F2799" s="63" t="n"/>
    </row>
    <row r="2800">
      <c r="A2800" s="166" t="n"/>
      <c r="B2800" s="63" t="n"/>
      <c r="C2800" s="64" t="n"/>
      <c r="D2800" s="167" t="n"/>
      <c r="E2800" s="63" t="n"/>
      <c r="F2800" s="63" t="n"/>
    </row>
    <row r="2801">
      <c r="A2801" s="166" t="n"/>
      <c r="B2801" s="63" t="n"/>
      <c r="C2801" s="64" t="n"/>
      <c r="D2801" s="167" t="n"/>
      <c r="E2801" s="63" t="n"/>
      <c r="F2801" s="63" t="n"/>
    </row>
    <row r="2802">
      <c r="A2802" s="166" t="n"/>
      <c r="B2802" s="63" t="n"/>
      <c r="C2802" s="64" t="n"/>
      <c r="D2802" s="167" t="n"/>
      <c r="E2802" s="63" t="n"/>
      <c r="F2802" s="63" t="n"/>
    </row>
    <row r="2803">
      <c r="A2803" s="166" t="n"/>
      <c r="B2803" s="63" t="n"/>
      <c r="C2803" s="64" t="n"/>
      <c r="D2803" s="167" t="n"/>
      <c r="E2803" s="63" t="n"/>
      <c r="F2803" s="63" t="n"/>
    </row>
    <row r="2804">
      <c r="A2804" s="166" t="n"/>
      <c r="B2804" s="63" t="n"/>
      <c r="C2804" s="64" t="n"/>
      <c r="D2804" s="167" t="n"/>
      <c r="E2804" s="63" t="n"/>
      <c r="F2804" s="63" t="n"/>
    </row>
    <row r="2805">
      <c r="A2805" s="166" t="n"/>
      <c r="B2805" s="63" t="n"/>
      <c r="C2805" s="64" t="n"/>
      <c r="D2805" s="167" t="n"/>
      <c r="E2805" s="63" t="n"/>
      <c r="F2805" s="63" t="n"/>
    </row>
    <row r="2806">
      <c r="A2806" s="166" t="n"/>
      <c r="B2806" s="63" t="n"/>
      <c r="C2806" s="64" t="n"/>
      <c r="D2806" s="167" t="n"/>
      <c r="E2806" s="63" t="n"/>
      <c r="F2806" s="63" t="n"/>
    </row>
    <row r="2807">
      <c r="A2807" s="166" t="n"/>
      <c r="B2807" s="63" t="n"/>
      <c r="C2807" s="64" t="n"/>
      <c r="D2807" s="167" t="n"/>
      <c r="E2807" s="63" t="n"/>
      <c r="F2807" s="63" t="n"/>
    </row>
    <row r="2808">
      <c r="A2808" s="166" t="n"/>
      <c r="B2808" s="63" t="n"/>
      <c r="C2808" s="64" t="n"/>
      <c r="D2808" s="167" t="n"/>
      <c r="E2808" s="63" t="n"/>
      <c r="F2808" s="63" t="n"/>
    </row>
    <row r="2809">
      <c r="A2809" s="166" t="n"/>
      <c r="B2809" s="63" t="n"/>
      <c r="C2809" s="64" t="n"/>
      <c r="D2809" s="167" t="n"/>
      <c r="E2809" s="63" t="n"/>
      <c r="F2809" s="63" t="n"/>
    </row>
    <row r="2810">
      <c r="A2810" s="166" t="n"/>
      <c r="B2810" s="63" t="n"/>
      <c r="C2810" s="64" t="n"/>
      <c r="D2810" s="167" t="n"/>
      <c r="E2810" s="63" t="n"/>
      <c r="F2810" s="63" t="n"/>
    </row>
    <row r="2811">
      <c r="A2811" s="166" t="n"/>
      <c r="B2811" s="63" t="n"/>
      <c r="C2811" s="64" t="n"/>
      <c r="D2811" s="167" t="n"/>
      <c r="E2811" s="63" t="n"/>
      <c r="F2811" s="63" t="n"/>
    </row>
    <row r="2812">
      <c r="A2812" s="166" t="n"/>
      <c r="B2812" s="63" t="n"/>
      <c r="C2812" s="64" t="n"/>
      <c r="D2812" s="167" t="n"/>
      <c r="E2812" s="63" t="n"/>
      <c r="F2812" s="63" t="n"/>
    </row>
    <row r="2813">
      <c r="A2813" s="166" t="n"/>
      <c r="B2813" s="63" t="n"/>
      <c r="C2813" s="64" t="n"/>
      <c r="D2813" s="167" t="n"/>
      <c r="E2813" s="63" t="n"/>
      <c r="F2813" s="63" t="n"/>
    </row>
    <row r="2814">
      <c r="A2814" s="166" t="n"/>
      <c r="B2814" s="63" t="n"/>
      <c r="C2814" s="64" t="n"/>
      <c r="D2814" s="167" t="n"/>
      <c r="E2814" s="63" t="n"/>
      <c r="F2814" s="63" t="n"/>
    </row>
    <row r="2815">
      <c r="A2815" s="166" t="n"/>
      <c r="B2815" s="63" t="n"/>
      <c r="C2815" s="64" t="n"/>
      <c r="D2815" s="167" t="n"/>
      <c r="E2815" s="63" t="n"/>
      <c r="F2815" s="63" t="n"/>
    </row>
    <row r="2816">
      <c r="A2816" s="166" t="n"/>
      <c r="B2816" s="63" t="n"/>
      <c r="C2816" s="64" t="n"/>
      <c r="D2816" s="167" t="n"/>
      <c r="E2816" s="63" t="n"/>
      <c r="F2816" s="63" t="n"/>
    </row>
    <row r="2817">
      <c r="A2817" s="166" t="n"/>
      <c r="B2817" s="63" t="n"/>
      <c r="C2817" s="64" t="n"/>
      <c r="D2817" s="167" t="n"/>
      <c r="E2817" s="63" t="n"/>
      <c r="F2817" s="63" t="n"/>
    </row>
    <row r="2818">
      <c r="A2818" s="166" t="n"/>
      <c r="B2818" s="63" t="n"/>
      <c r="C2818" s="64" t="n"/>
      <c r="D2818" s="167" t="n"/>
      <c r="E2818" s="63" t="n"/>
      <c r="F2818" s="63" t="n"/>
    </row>
    <row r="2819">
      <c r="A2819" s="166" t="n"/>
      <c r="B2819" s="63" t="n"/>
      <c r="C2819" s="64" t="n"/>
      <c r="D2819" s="167" t="n"/>
      <c r="E2819" s="63" t="n"/>
      <c r="F2819" s="63" t="n"/>
    </row>
    <row r="2820">
      <c r="A2820" s="166" t="n"/>
      <c r="B2820" s="63" t="n"/>
      <c r="C2820" s="64" t="n"/>
      <c r="D2820" s="167" t="n"/>
      <c r="E2820" s="63" t="n"/>
      <c r="F2820" s="63" t="n"/>
    </row>
    <row r="2821">
      <c r="A2821" s="166" t="n"/>
      <c r="B2821" s="63" t="n"/>
      <c r="C2821" s="64" t="n"/>
      <c r="D2821" s="167" t="n"/>
      <c r="E2821" s="63" t="n"/>
      <c r="F2821" s="63" t="n"/>
    </row>
    <row r="2822">
      <c r="A2822" s="166" t="n"/>
      <c r="B2822" s="63" t="n"/>
      <c r="C2822" s="64" t="n"/>
      <c r="D2822" s="167" t="n"/>
      <c r="E2822" s="63" t="n"/>
      <c r="F2822" s="63" t="n"/>
    </row>
    <row r="2823">
      <c r="A2823" s="166" t="n"/>
      <c r="B2823" s="63" t="n"/>
      <c r="C2823" s="64" t="n"/>
      <c r="D2823" s="167" t="n"/>
      <c r="E2823" s="63" t="n"/>
      <c r="F2823" s="63" t="n"/>
    </row>
    <row r="2824">
      <c r="A2824" s="166" t="n"/>
      <c r="B2824" s="63" t="n"/>
      <c r="C2824" s="64" t="n"/>
      <c r="D2824" s="167" t="n"/>
      <c r="E2824" s="63" t="n"/>
      <c r="F2824" s="63" t="n"/>
    </row>
    <row r="2825">
      <c r="A2825" s="166" t="n"/>
      <c r="B2825" s="63" t="n"/>
      <c r="C2825" s="64" t="n"/>
      <c r="D2825" s="167" t="n"/>
      <c r="E2825" s="63" t="n"/>
      <c r="F2825" s="63" t="n"/>
    </row>
    <row r="2826">
      <c r="A2826" s="166" t="n"/>
      <c r="B2826" s="63" t="n"/>
      <c r="C2826" s="64" t="n"/>
      <c r="D2826" s="167" t="n"/>
      <c r="E2826" s="63" t="n"/>
      <c r="F2826" s="63" t="n"/>
    </row>
    <row r="2827">
      <c r="A2827" s="166" t="n"/>
      <c r="B2827" s="63" t="n"/>
      <c r="C2827" s="64" t="n"/>
      <c r="D2827" s="167" t="n"/>
      <c r="E2827" s="63" t="n"/>
      <c r="F2827" s="63" t="n"/>
    </row>
    <row r="2828">
      <c r="A2828" s="166" t="n"/>
      <c r="B2828" s="63" t="n"/>
      <c r="C2828" s="64" t="n"/>
      <c r="D2828" s="167" t="n"/>
      <c r="E2828" s="63" t="n"/>
      <c r="F2828" s="63" t="n"/>
    </row>
    <row r="2829">
      <c r="A2829" s="166" t="n"/>
      <c r="B2829" s="63" t="n"/>
      <c r="C2829" s="64" t="n"/>
      <c r="D2829" s="167" t="n"/>
      <c r="E2829" s="63" t="n"/>
      <c r="F2829" s="63" t="n"/>
    </row>
    <row r="2830">
      <c r="A2830" s="166" t="n"/>
      <c r="B2830" s="63" t="n"/>
      <c r="C2830" s="64" t="n"/>
      <c r="D2830" s="167" t="n"/>
      <c r="E2830" s="63" t="n"/>
      <c r="F2830" s="63" t="n"/>
    </row>
    <row r="2831">
      <c r="A2831" s="166" t="n"/>
      <c r="B2831" s="63" t="n"/>
      <c r="C2831" s="64" t="n"/>
      <c r="D2831" s="167" t="n"/>
      <c r="E2831" s="63" t="n"/>
      <c r="F2831" s="63" t="n"/>
    </row>
    <row r="2832">
      <c r="A2832" s="166" t="n"/>
      <c r="B2832" s="63" t="n"/>
      <c r="C2832" s="64" t="n"/>
      <c r="D2832" s="167" t="n"/>
      <c r="E2832" s="63" t="n"/>
      <c r="F2832" s="63" t="n"/>
    </row>
    <row r="2833">
      <c r="A2833" s="166" t="n"/>
      <c r="B2833" s="63" t="n"/>
      <c r="C2833" s="64" t="n"/>
      <c r="D2833" s="167" t="n"/>
      <c r="E2833" s="63" t="n"/>
      <c r="F2833" s="63" t="n"/>
    </row>
    <row r="2834">
      <c r="A2834" s="166" t="n"/>
      <c r="B2834" s="63" t="n"/>
      <c r="C2834" s="64" t="n"/>
      <c r="D2834" s="167" t="n"/>
      <c r="E2834" s="63" t="n"/>
      <c r="F2834" s="63" t="n"/>
    </row>
    <row r="2835">
      <c r="A2835" s="166" t="n"/>
      <c r="B2835" s="63" t="n"/>
      <c r="C2835" s="64" t="n"/>
      <c r="D2835" s="167" t="n"/>
      <c r="E2835" s="63" t="n"/>
      <c r="F2835" s="63" t="n"/>
    </row>
    <row r="2836">
      <c r="A2836" s="166" t="n"/>
      <c r="B2836" s="63" t="n"/>
      <c r="C2836" s="64" t="n"/>
      <c r="D2836" s="167" t="n"/>
      <c r="E2836" s="63" t="n"/>
      <c r="F2836" s="63" t="n"/>
    </row>
    <row r="2837">
      <c r="A2837" s="166" t="n"/>
      <c r="B2837" s="63" t="n"/>
      <c r="C2837" s="64" t="n"/>
      <c r="D2837" s="167" t="n"/>
      <c r="E2837" s="63" t="n"/>
      <c r="F2837" s="63" t="n"/>
    </row>
    <row r="2838">
      <c r="A2838" s="166" t="n"/>
      <c r="B2838" s="63" t="n"/>
      <c r="C2838" s="64" t="n"/>
      <c r="D2838" s="167" t="n"/>
      <c r="E2838" s="63" t="n"/>
      <c r="F2838" s="63" t="n"/>
    </row>
    <row r="2839">
      <c r="A2839" s="166" t="n"/>
      <c r="B2839" s="63" t="n"/>
      <c r="C2839" s="64" t="n"/>
      <c r="D2839" s="167" t="n"/>
      <c r="E2839" s="63" t="n"/>
      <c r="F2839" s="63" t="n"/>
    </row>
    <row r="2840">
      <c r="A2840" s="166" t="n"/>
      <c r="B2840" s="63" t="n"/>
      <c r="C2840" s="64" t="n"/>
      <c r="D2840" s="167" t="n"/>
      <c r="E2840" s="63" t="n"/>
      <c r="F2840" s="63" t="n"/>
    </row>
    <row r="2841">
      <c r="A2841" s="166" t="n"/>
      <c r="B2841" s="63" t="n"/>
      <c r="C2841" s="64" t="n"/>
      <c r="D2841" s="167" t="n"/>
      <c r="E2841" s="63" t="n"/>
      <c r="F2841" s="63" t="n"/>
    </row>
    <row r="2842">
      <c r="A2842" s="166" t="n"/>
      <c r="B2842" s="63" t="n"/>
      <c r="C2842" s="64" t="n"/>
      <c r="D2842" s="167" t="n"/>
      <c r="E2842" s="63" t="n"/>
      <c r="F2842" s="63" t="n"/>
    </row>
    <row r="2843">
      <c r="A2843" s="166" t="n"/>
      <c r="B2843" s="63" t="n"/>
      <c r="C2843" s="64" t="n"/>
      <c r="D2843" s="167" t="n"/>
      <c r="E2843" s="63" t="n"/>
      <c r="F2843" s="63" t="n"/>
    </row>
    <row r="2844">
      <c r="A2844" s="166" t="n"/>
      <c r="B2844" s="63" t="n"/>
      <c r="C2844" s="64" t="n"/>
      <c r="D2844" s="167" t="n"/>
      <c r="E2844" s="63" t="n"/>
      <c r="F2844" s="63" t="n"/>
    </row>
    <row r="2845">
      <c r="A2845" s="166" t="n"/>
      <c r="B2845" s="63" t="n"/>
      <c r="C2845" s="64" t="n"/>
      <c r="D2845" s="167" t="n"/>
      <c r="E2845" s="63" t="n"/>
      <c r="F2845" s="63" t="n"/>
    </row>
    <row r="2846">
      <c r="A2846" s="166" t="n"/>
      <c r="B2846" s="63" t="n"/>
      <c r="C2846" s="64" t="n"/>
      <c r="D2846" s="167" t="n"/>
      <c r="E2846" s="63" t="n"/>
      <c r="F2846" s="63" t="n"/>
    </row>
    <row r="2847">
      <c r="A2847" s="166" t="n"/>
      <c r="B2847" s="63" t="n"/>
      <c r="C2847" s="64" t="n"/>
      <c r="D2847" s="167" t="n"/>
      <c r="E2847" s="63" t="n"/>
      <c r="F2847" s="63" t="n"/>
    </row>
    <row r="2848">
      <c r="A2848" s="166" t="n"/>
      <c r="B2848" s="63" t="n"/>
      <c r="C2848" s="64" t="n"/>
      <c r="D2848" s="167" t="n"/>
      <c r="E2848" s="63" t="n"/>
      <c r="F2848" s="63" t="n"/>
    </row>
    <row r="2849">
      <c r="A2849" s="166" t="n"/>
      <c r="B2849" s="63" t="n"/>
      <c r="C2849" s="64" t="n"/>
      <c r="D2849" s="167" t="n"/>
      <c r="E2849" s="63" t="n"/>
      <c r="F2849" s="63" t="n"/>
    </row>
    <row r="2850">
      <c r="A2850" s="166" t="n"/>
      <c r="B2850" s="63" t="n"/>
      <c r="C2850" s="64" t="n"/>
      <c r="D2850" s="167" t="n"/>
      <c r="E2850" s="63" t="n"/>
      <c r="F2850" s="63" t="n"/>
    </row>
    <row r="2851">
      <c r="A2851" s="166" t="n"/>
      <c r="B2851" s="63" t="n"/>
      <c r="C2851" s="64" t="n"/>
      <c r="D2851" s="167" t="n"/>
      <c r="E2851" s="63" t="n"/>
      <c r="F2851" s="63" t="n"/>
    </row>
    <row r="2852">
      <c r="A2852" s="166" t="n"/>
      <c r="B2852" s="63" t="n"/>
      <c r="C2852" s="64" t="n"/>
      <c r="D2852" s="167" t="n"/>
      <c r="E2852" s="63" t="n"/>
      <c r="F2852" s="63" t="n"/>
    </row>
    <row r="2853">
      <c r="A2853" s="166" t="n"/>
      <c r="B2853" s="63" t="n"/>
      <c r="C2853" s="64" t="n"/>
      <c r="D2853" s="167" t="n"/>
      <c r="E2853" s="63" t="n"/>
      <c r="F2853" s="63" t="n"/>
    </row>
    <row r="2854">
      <c r="A2854" s="166" t="n"/>
      <c r="B2854" s="63" t="n"/>
      <c r="C2854" s="64" t="n"/>
      <c r="D2854" s="167" t="n"/>
      <c r="E2854" s="63" t="n"/>
      <c r="F2854" s="63" t="n"/>
    </row>
    <row r="2855">
      <c r="A2855" s="166" t="n"/>
      <c r="B2855" s="63" t="n"/>
      <c r="C2855" s="64" t="n"/>
      <c r="D2855" s="167" t="n"/>
      <c r="E2855" s="63" t="n"/>
      <c r="F2855" s="63" t="n"/>
    </row>
    <row r="2856">
      <c r="A2856" s="166" t="n"/>
      <c r="B2856" s="63" t="n"/>
      <c r="C2856" s="64" t="n"/>
      <c r="D2856" s="167" t="n"/>
      <c r="E2856" s="63" t="n"/>
      <c r="F2856" s="63" t="n"/>
    </row>
    <row r="2857">
      <c r="A2857" s="166" t="n"/>
      <c r="B2857" s="63" t="n"/>
      <c r="C2857" s="64" t="n"/>
      <c r="D2857" s="167" t="n"/>
      <c r="E2857" s="63" t="n"/>
      <c r="F2857" s="63" t="n"/>
    </row>
    <row r="2858">
      <c r="A2858" s="166" t="n"/>
      <c r="B2858" s="63" t="n"/>
      <c r="C2858" s="64" t="n"/>
      <c r="D2858" s="167" t="n"/>
      <c r="E2858" s="63" t="n"/>
      <c r="F2858" s="63" t="n"/>
    </row>
    <row r="2859">
      <c r="A2859" s="166" t="n"/>
      <c r="B2859" s="63" t="n"/>
      <c r="C2859" s="64" t="n"/>
      <c r="D2859" s="167" t="n"/>
      <c r="E2859" s="63" t="n"/>
      <c r="F2859" s="63" t="n"/>
    </row>
    <row r="2860">
      <c r="A2860" s="166" t="n"/>
      <c r="B2860" s="63" t="n"/>
      <c r="C2860" s="64" t="n"/>
      <c r="D2860" s="167" t="n"/>
      <c r="E2860" s="63" t="n"/>
      <c r="F2860" s="63" t="n"/>
    </row>
    <row r="2861">
      <c r="A2861" s="166" t="n"/>
      <c r="B2861" s="63" t="n"/>
      <c r="C2861" s="64" t="n"/>
      <c r="D2861" s="167" t="n"/>
      <c r="E2861" s="63" t="n"/>
      <c r="F2861" s="63" t="n"/>
    </row>
    <row r="2862">
      <c r="A2862" s="166" t="n"/>
      <c r="B2862" s="63" t="n"/>
      <c r="C2862" s="64" t="n"/>
      <c r="D2862" s="167" t="n"/>
      <c r="E2862" s="63" t="n"/>
      <c r="F2862" s="63" t="n"/>
    </row>
    <row r="2863">
      <c r="A2863" s="166" t="n"/>
      <c r="B2863" s="63" t="n"/>
      <c r="C2863" s="64" t="n"/>
      <c r="D2863" s="167" t="n"/>
      <c r="E2863" s="63" t="n"/>
      <c r="F2863" s="63" t="n"/>
    </row>
    <row r="2864">
      <c r="A2864" s="166" t="n"/>
      <c r="B2864" s="63" t="n"/>
      <c r="C2864" s="64" t="n"/>
      <c r="D2864" s="167" t="n"/>
      <c r="E2864" s="63" t="n"/>
      <c r="F2864" s="63" t="n"/>
    </row>
    <row r="2865">
      <c r="A2865" s="166" t="n"/>
      <c r="B2865" s="63" t="n"/>
      <c r="C2865" s="64" t="n"/>
      <c r="D2865" s="167" t="n"/>
      <c r="E2865" s="63" t="n"/>
      <c r="F2865" s="63" t="n"/>
    </row>
    <row r="2866">
      <c r="A2866" s="166" t="n"/>
      <c r="B2866" s="63" t="n"/>
      <c r="C2866" s="64" t="n"/>
      <c r="D2866" s="167" t="n"/>
      <c r="E2866" s="63" t="n"/>
      <c r="F2866" s="63" t="n"/>
    </row>
    <row r="2867">
      <c r="A2867" s="166" t="n"/>
      <c r="B2867" s="63" t="n"/>
      <c r="C2867" s="64" t="n"/>
      <c r="D2867" s="167" t="n"/>
      <c r="E2867" s="63" t="n"/>
      <c r="F2867" s="63" t="n"/>
    </row>
    <row r="2868">
      <c r="A2868" s="166" t="n"/>
      <c r="B2868" s="63" t="n"/>
      <c r="C2868" s="64" t="n"/>
      <c r="D2868" s="167" t="n"/>
      <c r="E2868" s="63" t="n"/>
      <c r="F2868" s="63" t="n"/>
    </row>
    <row r="2869">
      <c r="A2869" s="166" t="n"/>
      <c r="B2869" s="63" t="n"/>
      <c r="C2869" s="64" t="n"/>
      <c r="D2869" s="167" t="n"/>
      <c r="E2869" s="63" t="n"/>
      <c r="F2869" s="63" t="n"/>
    </row>
    <row r="2870">
      <c r="A2870" s="166" t="n"/>
      <c r="B2870" s="63" t="n"/>
      <c r="C2870" s="64" t="n"/>
      <c r="D2870" s="167" t="n"/>
      <c r="E2870" s="63" t="n"/>
      <c r="F2870" s="63" t="n"/>
    </row>
    <row r="2871">
      <c r="A2871" s="166" t="n"/>
      <c r="B2871" s="63" t="n"/>
      <c r="C2871" s="64" t="n"/>
      <c r="D2871" s="167" t="n"/>
      <c r="E2871" s="63" t="n"/>
      <c r="F2871" s="63" t="n"/>
    </row>
    <row r="2872">
      <c r="A2872" s="166" t="n"/>
      <c r="B2872" s="63" t="n"/>
      <c r="C2872" s="64" t="n"/>
      <c r="D2872" s="167" t="n"/>
      <c r="E2872" s="63" t="n"/>
      <c r="F2872" s="63" t="n"/>
    </row>
    <row r="2873">
      <c r="A2873" s="166" t="n"/>
      <c r="B2873" s="63" t="n"/>
      <c r="C2873" s="64" t="n"/>
      <c r="D2873" s="167" t="n"/>
      <c r="E2873" s="63" t="n"/>
      <c r="F2873" s="63" t="n"/>
    </row>
    <row r="2874">
      <c r="A2874" s="166" t="n"/>
      <c r="B2874" s="63" t="n"/>
      <c r="C2874" s="64" t="n"/>
      <c r="D2874" s="167" t="n"/>
      <c r="E2874" s="63" t="n"/>
      <c r="F2874" s="63" t="n"/>
    </row>
    <row r="2875">
      <c r="A2875" s="166" t="n"/>
      <c r="B2875" s="63" t="n"/>
      <c r="C2875" s="64" t="n"/>
      <c r="D2875" s="167" t="n"/>
      <c r="E2875" s="63" t="n"/>
      <c r="F2875" s="63" t="n"/>
    </row>
    <row r="2876">
      <c r="A2876" s="166" t="n"/>
      <c r="B2876" s="63" t="n"/>
      <c r="C2876" s="64" t="n"/>
      <c r="D2876" s="167" t="n"/>
      <c r="E2876" s="63" t="n"/>
      <c r="F2876" s="63" t="n"/>
    </row>
    <row r="2877">
      <c r="A2877" s="166" t="n"/>
      <c r="B2877" s="63" t="n"/>
      <c r="C2877" s="64" t="n"/>
      <c r="D2877" s="167" t="n"/>
      <c r="E2877" s="63" t="n"/>
      <c r="F2877" s="63" t="n"/>
    </row>
    <row r="2878">
      <c r="A2878" s="166" t="n"/>
      <c r="B2878" s="63" t="n"/>
      <c r="C2878" s="64" t="n"/>
      <c r="D2878" s="167" t="n"/>
      <c r="E2878" s="63" t="n"/>
      <c r="F2878" s="63" t="n"/>
    </row>
    <row r="2879">
      <c r="A2879" s="166" t="n"/>
      <c r="B2879" s="63" t="n"/>
      <c r="C2879" s="64" t="n"/>
      <c r="D2879" s="167" t="n"/>
      <c r="E2879" s="63" t="n"/>
      <c r="F2879" s="63" t="n"/>
    </row>
    <row r="2880">
      <c r="A2880" s="166" t="n"/>
      <c r="B2880" s="63" t="n"/>
      <c r="C2880" s="64" t="n"/>
      <c r="D2880" s="167" t="n"/>
      <c r="E2880" s="63" t="n"/>
      <c r="F2880" s="63" t="n"/>
    </row>
    <row r="2881">
      <c r="A2881" s="166" t="n"/>
      <c r="B2881" s="63" t="n"/>
      <c r="C2881" s="64" t="n"/>
      <c r="D2881" s="167" t="n"/>
      <c r="E2881" s="63" t="n"/>
      <c r="F2881" s="63" t="n"/>
    </row>
    <row r="2882">
      <c r="A2882" s="166" t="n"/>
      <c r="B2882" s="63" t="n"/>
      <c r="C2882" s="64" t="n"/>
      <c r="D2882" s="167" t="n"/>
      <c r="E2882" s="63" t="n"/>
      <c r="F2882" s="63" t="n"/>
    </row>
    <row r="2883">
      <c r="A2883" s="166" t="n"/>
      <c r="B2883" s="63" t="n"/>
      <c r="C2883" s="64" t="n"/>
      <c r="D2883" s="167" t="n"/>
      <c r="E2883" s="63" t="n"/>
      <c r="F2883" s="63" t="n"/>
    </row>
    <row r="2884">
      <c r="A2884" s="166" t="n"/>
      <c r="B2884" s="63" t="n"/>
      <c r="C2884" s="64" t="n"/>
      <c r="D2884" s="167" t="n"/>
      <c r="E2884" s="63" t="n"/>
      <c r="F2884" s="63" t="n"/>
    </row>
    <row r="2885">
      <c r="A2885" s="166" t="n"/>
      <c r="B2885" s="63" t="n"/>
      <c r="C2885" s="64" t="n"/>
      <c r="D2885" s="167" t="n"/>
      <c r="E2885" s="63" t="n"/>
      <c r="F2885" s="63" t="n"/>
    </row>
    <row r="2886">
      <c r="A2886" s="166" t="n"/>
      <c r="B2886" s="63" t="n"/>
      <c r="C2886" s="64" t="n"/>
      <c r="D2886" s="167" t="n"/>
      <c r="E2886" s="63" t="n"/>
      <c r="F2886" s="63" t="n"/>
    </row>
    <row r="2887">
      <c r="A2887" s="166" t="n"/>
      <c r="B2887" s="63" t="n"/>
      <c r="C2887" s="64" t="n"/>
      <c r="D2887" s="167" t="n"/>
      <c r="E2887" s="63" t="n"/>
      <c r="F2887" s="63" t="n"/>
    </row>
    <row r="2888">
      <c r="A2888" s="166" t="n"/>
      <c r="B2888" s="63" t="n"/>
      <c r="C2888" s="64" t="n"/>
      <c r="D2888" s="167" t="n"/>
      <c r="E2888" s="63" t="n"/>
      <c r="F2888" s="63" t="n"/>
    </row>
    <row r="2889">
      <c r="A2889" s="166" t="n"/>
      <c r="B2889" s="63" t="n"/>
      <c r="C2889" s="64" t="n"/>
      <c r="D2889" s="167" t="n"/>
      <c r="E2889" s="63" t="n"/>
      <c r="F2889" s="63" t="n"/>
    </row>
    <row r="2890">
      <c r="A2890" s="166" t="n"/>
      <c r="B2890" s="63" t="n"/>
      <c r="C2890" s="64" t="n"/>
      <c r="D2890" s="167" t="n"/>
      <c r="E2890" s="63" t="n"/>
      <c r="F2890" s="63" t="n"/>
    </row>
    <row r="2891">
      <c r="A2891" s="166" t="n"/>
      <c r="B2891" s="63" t="n"/>
      <c r="C2891" s="64" t="n"/>
      <c r="D2891" s="167" t="n"/>
      <c r="E2891" s="63" t="n"/>
      <c r="F2891" s="63" t="n"/>
    </row>
    <row r="2892">
      <c r="A2892" s="166" t="n"/>
      <c r="B2892" s="63" t="n"/>
      <c r="C2892" s="64" t="n"/>
      <c r="D2892" s="167" t="n"/>
      <c r="E2892" s="63" t="n"/>
      <c r="F2892" s="63" t="n"/>
    </row>
    <row r="2893">
      <c r="A2893" s="166" t="n"/>
      <c r="B2893" s="63" t="n"/>
      <c r="C2893" s="64" t="n"/>
      <c r="D2893" s="167" t="n"/>
      <c r="E2893" s="63" t="n"/>
      <c r="F2893" s="63" t="n"/>
    </row>
    <row r="2894">
      <c r="A2894" s="166" t="n"/>
      <c r="B2894" s="63" t="n"/>
      <c r="C2894" s="64" t="n"/>
      <c r="D2894" s="167" t="n"/>
      <c r="E2894" s="63" t="n"/>
      <c r="F2894" s="63" t="n"/>
    </row>
    <row r="2895">
      <c r="A2895" s="166" t="n"/>
      <c r="B2895" s="63" t="n"/>
      <c r="C2895" s="64" t="n"/>
      <c r="D2895" s="167" t="n"/>
      <c r="E2895" s="63" t="n"/>
      <c r="F2895" s="63" t="n"/>
    </row>
    <row r="2896">
      <c r="A2896" s="166" t="n"/>
      <c r="B2896" s="63" t="n"/>
      <c r="C2896" s="64" t="n"/>
      <c r="D2896" s="167" t="n"/>
      <c r="E2896" s="63" t="n"/>
      <c r="F2896" s="63" t="n"/>
    </row>
    <row r="2897">
      <c r="A2897" s="166" t="n"/>
      <c r="B2897" s="63" t="n"/>
      <c r="C2897" s="64" t="n"/>
      <c r="D2897" s="167" t="n"/>
      <c r="E2897" s="63" t="n"/>
      <c r="F2897" s="63" t="n"/>
    </row>
    <row r="2898">
      <c r="A2898" s="166" t="n"/>
      <c r="B2898" s="63" t="n"/>
      <c r="C2898" s="64" t="n"/>
      <c r="D2898" s="167" t="n"/>
      <c r="E2898" s="63" t="n"/>
      <c r="F2898" s="63" t="n"/>
    </row>
    <row r="2899">
      <c r="A2899" s="166" t="n"/>
      <c r="B2899" s="63" t="n"/>
      <c r="C2899" s="64" t="n"/>
      <c r="D2899" s="167" t="n"/>
      <c r="E2899" s="63" t="n"/>
      <c r="F2899" s="63" t="n"/>
    </row>
    <row r="2900">
      <c r="A2900" s="166" t="n"/>
      <c r="B2900" s="63" t="n"/>
      <c r="C2900" s="64" t="n"/>
      <c r="D2900" s="167" t="n"/>
      <c r="E2900" s="63" t="n"/>
      <c r="F2900" s="63" t="n"/>
    </row>
    <row r="2901">
      <c r="A2901" s="166" t="n"/>
      <c r="B2901" s="63" t="n"/>
      <c r="C2901" s="64" t="n"/>
      <c r="D2901" s="167" t="n"/>
      <c r="E2901" s="63" t="n"/>
      <c r="F2901" s="63" t="n"/>
    </row>
    <row r="2902">
      <c r="A2902" s="166" t="n"/>
      <c r="B2902" s="63" t="n"/>
      <c r="C2902" s="64" t="n"/>
      <c r="D2902" s="167" t="n"/>
      <c r="E2902" s="63" t="n"/>
      <c r="F2902" s="63" t="n"/>
    </row>
    <row r="2903">
      <c r="A2903" s="166" t="n"/>
      <c r="B2903" s="63" t="n"/>
      <c r="C2903" s="64" t="n"/>
      <c r="D2903" s="167" t="n"/>
      <c r="E2903" s="63" t="n"/>
      <c r="F2903" s="63" t="n"/>
    </row>
    <row r="2904">
      <c r="A2904" s="166" t="n"/>
      <c r="B2904" s="63" t="n"/>
      <c r="C2904" s="64" t="n"/>
      <c r="D2904" s="167" t="n"/>
      <c r="E2904" s="63" t="n"/>
      <c r="F2904" s="63" t="n"/>
    </row>
    <row r="2905">
      <c r="A2905" s="166" t="n"/>
      <c r="B2905" s="63" t="n"/>
      <c r="C2905" s="64" t="n"/>
      <c r="D2905" s="167" t="n"/>
      <c r="E2905" s="63" t="n"/>
      <c r="F2905" s="63" t="n"/>
    </row>
    <row r="2906">
      <c r="A2906" s="166" t="n"/>
      <c r="B2906" s="63" t="n"/>
      <c r="C2906" s="64" t="n"/>
      <c r="D2906" s="167" t="n"/>
      <c r="E2906" s="63" t="n"/>
      <c r="F2906" s="63" t="n"/>
    </row>
    <row r="2907">
      <c r="A2907" s="166" t="n"/>
      <c r="B2907" s="63" t="n"/>
      <c r="C2907" s="64" t="n"/>
      <c r="D2907" s="167" t="n"/>
      <c r="E2907" s="63" t="n"/>
      <c r="F2907" s="63" t="n"/>
    </row>
    <row r="2908">
      <c r="A2908" s="166" t="n"/>
      <c r="B2908" s="63" t="n"/>
      <c r="C2908" s="64" t="n"/>
      <c r="D2908" s="167" t="n"/>
      <c r="E2908" s="63" t="n"/>
      <c r="F2908" s="63" t="n"/>
    </row>
    <row r="2909">
      <c r="A2909" s="166" t="n"/>
      <c r="B2909" s="63" t="n"/>
      <c r="C2909" s="64" t="n"/>
      <c r="D2909" s="167" t="n"/>
      <c r="E2909" s="63" t="n"/>
      <c r="F2909" s="63" t="n"/>
    </row>
    <row r="2910">
      <c r="A2910" s="166" t="n"/>
      <c r="B2910" s="63" t="n"/>
      <c r="C2910" s="64" t="n"/>
      <c r="D2910" s="167" t="n"/>
      <c r="E2910" s="63" t="n"/>
      <c r="F2910" s="63" t="n"/>
    </row>
    <row r="2911">
      <c r="A2911" s="166" t="n"/>
      <c r="B2911" s="63" t="n"/>
      <c r="C2911" s="64" t="n"/>
      <c r="D2911" s="167" t="n"/>
      <c r="E2911" s="63" t="n"/>
      <c r="F2911" s="63" t="n"/>
    </row>
    <row r="2912">
      <c r="A2912" s="166" t="n"/>
      <c r="B2912" s="63" t="n"/>
      <c r="C2912" s="64" t="n"/>
      <c r="D2912" s="167" t="n"/>
      <c r="E2912" s="63" t="n"/>
      <c r="F2912" s="63" t="n"/>
    </row>
    <row r="2913">
      <c r="A2913" s="166" t="n"/>
      <c r="B2913" s="63" t="n"/>
      <c r="C2913" s="64" t="n"/>
      <c r="D2913" s="167" t="n"/>
      <c r="E2913" s="63" t="n"/>
      <c r="F2913" s="63" t="n"/>
    </row>
    <row r="2914">
      <c r="A2914" s="166" t="n"/>
      <c r="B2914" s="63" t="n"/>
      <c r="C2914" s="64" t="n"/>
      <c r="D2914" s="167" t="n"/>
      <c r="E2914" s="63" t="n"/>
      <c r="F2914" s="63" t="n"/>
    </row>
    <row r="2915">
      <c r="A2915" s="166" t="n"/>
      <c r="B2915" s="63" t="n"/>
      <c r="C2915" s="64" t="n"/>
      <c r="D2915" s="167" t="n"/>
      <c r="E2915" s="63" t="n"/>
      <c r="F2915" s="63" t="n"/>
    </row>
    <row r="2916">
      <c r="A2916" s="166" t="n"/>
      <c r="B2916" s="63" t="n"/>
      <c r="C2916" s="64" t="n"/>
      <c r="D2916" s="167" t="n"/>
      <c r="E2916" s="63" t="n"/>
      <c r="F2916" s="63" t="n"/>
    </row>
    <row r="2917">
      <c r="A2917" s="166" t="n"/>
      <c r="B2917" s="63" t="n"/>
      <c r="C2917" s="64" t="n"/>
      <c r="D2917" s="167" t="n"/>
      <c r="E2917" s="63" t="n"/>
      <c r="F2917" s="63" t="n"/>
    </row>
    <row r="2918">
      <c r="A2918" s="166" t="n"/>
      <c r="B2918" s="63" t="n"/>
      <c r="C2918" s="64" t="n"/>
      <c r="D2918" s="167" t="n"/>
      <c r="E2918" s="63" t="n"/>
      <c r="F2918" s="63" t="n"/>
    </row>
    <row r="2919">
      <c r="A2919" s="166" t="n"/>
      <c r="B2919" s="63" t="n"/>
      <c r="C2919" s="64" t="n"/>
      <c r="D2919" s="167" t="n"/>
      <c r="E2919" s="63" t="n"/>
      <c r="F2919" s="63" t="n"/>
    </row>
    <row r="2920">
      <c r="A2920" s="166" t="n"/>
      <c r="B2920" s="63" t="n"/>
      <c r="C2920" s="64" t="n"/>
      <c r="D2920" s="167" t="n"/>
      <c r="E2920" s="63" t="n"/>
      <c r="F2920" s="63" t="n"/>
    </row>
    <row r="2921">
      <c r="A2921" s="166" t="n"/>
      <c r="B2921" s="63" t="n"/>
      <c r="C2921" s="64" t="n"/>
      <c r="D2921" s="167" t="n"/>
      <c r="E2921" s="63" t="n"/>
      <c r="F2921" s="63" t="n"/>
    </row>
    <row r="2922">
      <c r="A2922" s="166" t="n"/>
      <c r="B2922" s="63" t="n"/>
      <c r="C2922" s="64" t="n"/>
      <c r="D2922" s="167" t="n"/>
      <c r="E2922" s="63" t="n"/>
      <c r="F2922" s="63" t="n"/>
    </row>
    <row r="2923">
      <c r="A2923" s="166" t="n"/>
      <c r="B2923" s="63" t="n"/>
      <c r="C2923" s="64" t="n"/>
      <c r="D2923" s="167" t="n"/>
      <c r="E2923" s="63" t="n"/>
      <c r="F2923" s="63" t="n"/>
    </row>
    <row r="2924">
      <c r="A2924" s="166" t="n"/>
      <c r="B2924" s="63" t="n"/>
      <c r="C2924" s="64" t="n"/>
      <c r="D2924" s="167" t="n"/>
      <c r="E2924" s="63" t="n"/>
      <c r="F2924" s="63" t="n"/>
    </row>
    <row r="2925">
      <c r="A2925" s="166" t="n"/>
      <c r="B2925" s="63" t="n"/>
      <c r="C2925" s="64" t="n"/>
      <c r="D2925" s="167" t="n"/>
      <c r="E2925" s="63" t="n"/>
      <c r="F2925" s="63" t="n"/>
    </row>
    <row r="2926">
      <c r="A2926" s="166" t="n"/>
      <c r="B2926" s="63" t="n"/>
      <c r="C2926" s="64" t="n"/>
      <c r="D2926" s="167" t="n"/>
      <c r="E2926" s="63" t="n"/>
      <c r="F2926" s="63" t="n"/>
    </row>
    <row r="2927">
      <c r="A2927" s="166" t="n"/>
      <c r="B2927" s="63" t="n"/>
      <c r="C2927" s="64" t="n"/>
      <c r="D2927" s="167" t="n"/>
      <c r="E2927" s="63" t="n"/>
      <c r="F2927" s="63" t="n"/>
    </row>
    <row r="2928">
      <c r="A2928" s="166" t="n"/>
      <c r="B2928" s="63" t="n"/>
      <c r="C2928" s="64" t="n"/>
      <c r="D2928" s="167" t="n"/>
      <c r="E2928" s="63" t="n"/>
      <c r="F2928" s="63" t="n"/>
    </row>
    <row r="2929">
      <c r="A2929" s="166" t="n"/>
      <c r="B2929" s="63" t="n"/>
      <c r="C2929" s="64" t="n"/>
      <c r="D2929" s="167" t="n"/>
      <c r="E2929" s="63" t="n"/>
      <c r="F2929" s="63" t="n"/>
    </row>
    <row r="2930">
      <c r="A2930" s="166" t="n"/>
      <c r="B2930" s="63" t="n"/>
      <c r="C2930" s="64" t="n"/>
      <c r="D2930" s="167" t="n"/>
      <c r="E2930" s="63" t="n"/>
      <c r="F2930" s="63" t="n"/>
    </row>
    <row r="2931">
      <c r="A2931" s="166" t="n"/>
      <c r="B2931" s="63" t="n"/>
      <c r="C2931" s="64" t="n"/>
      <c r="D2931" s="167" t="n"/>
      <c r="E2931" s="63" t="n"/>
      <c r="F2931" s="63" t="n"/>
    </row>
    <row r="2932">
      <c r="A2932" s="166" t="n"/>
      <c r="B2932" s="63" t="n"/>
      <c r="C2932" s="64" t="n"/>
      <c r="D2932" s="167" t="n"/>
      <c r="E2932" s="63" t="n"/>
      <c r="F2932" s="63" t="n"/>
    </row>
    <row r="2933">
      <c r="A2933" s="166" t="n"/>
      <c r="B2933" s="63" t="n"/>
      <c r="C2933" s="64" t="n"/>
      <c r="D2933" s="167" t="n"/>
      <c r="E2933" s="63" t="n"/>
      <c r="F2933" s="63" t="n"/>
    </row>
    <row r="2934">
      <c r="A2934" s="166" t="n"/>
      <c r="B2934" s="63" t="n"/>
      <c r="C2934" s="64" t="n"/>
      <c r="D2934" s="167" t="n"/>
      <c r="E2934" s="63" t="n"/>
      <c r="F2934" s="63" t="n"/>
    </row>
    <row r="2935">
      <c r="A2935" s="166" t="n"/>
      <c r="B2935" s="63" t="n"/>
      <c r="C2935" s="64" t="n"/>
      <c r="D2935" s="167" t="n"/>
      <c r="E2935" s="63" t="n"/>
      <c r="F2935" s="63" t="n"/>
    </row>
    <row r="2936">
      <c r="A2936" s="166" t="n"/>
      <c r="B2936" s="63" t="n"/>
      <c r="C2936" s="64" t="n"/>
      <c r="D2936" s="167" t="n"/>
      <c r="E2936" s="63" t="n"/>
      <c r="F2936" s="63" t="n"/>
    </row>
    <row r="2937">
      <c r="A2937" s="166" t="n"/>
      <c r="B2937" s="63" t="n"/>
      <c r="C2937" s="64" t="n"/>
      <c r="D2937" s="167" t="n"/>
      <c r="E2937" s="63" t="n"/>
      <c r="F2937" s="63" t="n"/>
    </row>
    <row r="2938">
      <c r="A2938" s="166" t="n"/>
      <c r="B2938" s="63" t="n"/>
      <c r="C2938" s="64" t="n"/>
      <c r="D2938" s="167" t="n"/>
      <c r="E2938" s="63" t="n"/>
      <c r="F2938" s="63" t="n"/>
    </row>
    <row r="2939">
      <c r="A2939" s="166" t="n"/>
      <c r="B2939" s="63" t="n"/>
      <c r="C2939" s="64" t="n"/>
      <c r="D2939" s="167" t="n"/>
      <c r="E2939" s="63" t="n"/>
      <c r="F2939" s="63" t="n"/>
    </row>
    <row r="2940">
      <c r="A2940" s="166" t="n"/>
      <c r="B2940" s="63" t="n"/>
      <c r="C2940" s="64" t="n"/>
      <c r="D2940" s="167" t="n"/>
      <c r="E2940" s="63" t="n"/>
      <c r="F2940" s="63" t="n"/>
    </row>
    <row r="2941">
      <c r="A2941" s="166" t="n"/>
      <c r="B2941" s="63" t="n"/>
      <c r="C2941" s="64" t="n"/>
      <c r="D2941" s="167" t="n"/>
      <c r="E2941" s="63" t="n"/>
      <c r="F2941" s="63" t="n"/>
    </row>
    <row r="2942">
      <c r="A2942" s="166" t="n"/>
      <c r="B2942" s="63" t="n"/>
      <c r="C2942" s="64" t="n"/>
      <c r="D2942" s="167" t="n"/>
      <c r="E2942" s="63" t="n"/>
      <c r="F2942" s="63" t="n"/>
    </row>
    <row r="2943">
      <c r="A2943" s="166" t="n"/>
      <c r="B2943" s="63" t="n"/>
      <c r="C2943" s="64" t="n"/>
      <c r="D2943" s="167" t="n"/>
      <c r="E2943" s="63" t="n"/>
      <c r="F2943" s="63" t="n"/>
    </row>
    <row r="2944">
      <c r="A2944" s="166" t="n"/>
      <c r="B2944" s="63" t="n"/>
      <c r="C2944" s="64" t="n"/>
      <c r="D2944" s="167" t="n"/>
      <c r="E2944" s="63" t="n"/>
      <c r="F2944" s="63" t="n"/>
    </row>
    <row r="2945">
      <c r="A2945" s="166" t="n"/>
      <c r="B2945" s="63" t="n"/>
      <c r="C2945" s="64" t="n"/>
      <c r="D2945" s="167" t="n"/>
      <c r="E2945" s="63" t="n"/>
      <c r="F2945" s="63" t="n"/>
    </row>
    <row r="2946">
      <c r="A2946" s="166" t="n"/>
      <c r="B2946" s="63" t="n"/>
      <c r="C2946" s="64" t="n"/>
      <c r="D2946" s="167" t="n"/>
      <c r="E2946" s="63" t="n"/>
      <c r="F2946" s="63" t="n"/>
    </row>
    <row r="2947">
      <c r="A2947" s="166" t="n"/>
      <c r="B2947" s="63" t="n"/>
      <c r="C2947" s="64" t="n"/>
      <c r="D2947" s="167" t="n"/>
      <c r="E2947" s="63" t="n"/>
      <c r="F2947" s="63" t="n"/>
    </row>
    <row r="2948">
      <c r="A2948" s="166" t="n"/>
      <c r="B2948" s="63" t="n"/>
      <c r="C2948" s="64" t="n"/>
      <c r="D2948" s="167" t="n"/>
      <c r="E2948" s="63" t="n"/>
      <c r="F2948" s="63" t="n"/>
    </row>
    <row r="2949">
      <c r="A2949" s="166" t="n"/>
      <c r="B2949" s="63" t="n"/>
      <c r="C2949" s="64" t="n"/>
      <c r="D2949" s="167" t="n"/>
      <c r="E2949" s="63" t="n"/>
      <c r="F2949" s="63" t="n"/>
    </row>
    <row r="2950">
      <c r="A2950" s="166" t="n"/>
      <c r="B2950" s="63" t="n"/>
      <c r="C2950" s="64" t="n"/>
      <c r="D2950" s="167" t="n"/>
      <c r="E2950" s="63" t="n"/>
      <c r="F2950" s="63" t="n"/>
    </row>
    <row r="2951">
      <c r="A2951" s="166" t="n"/>
      <c r="B2951" s="63" t="n"/>
      <c r="C2951" s="64" t="n"/>
      <c r="D2951" s="167" t="n"/>
      <c r="E2951" s="63" t="n"/>
      <c r="F2951" s="63" t="n"/>
    </row>
    <row r="2952">
      <c r="A2952" s="166" t="n"/>
      <c r="B2952" s="63" t="n"/>
      <c r="C2952" s="64" t="n"/>
      <c r="D2952" s="167" t="n"/>
      <c r="E2952" s="63" t="n"/>
      <c r="F2952" s="63" t="n"/>
    </row>
    <row r="2953">
      <c r="A2953" s="166" t="n"/>
      <c r="B2953" s="63" t="n"/>
      <c r="C2953" s="64" t="n"/>
      <c r="D2953" s="167" t="n"/>
      <c r="E2953" s="63" t="n"/>
      <c r="F2953" s="63" t="n"/>
    </row>
    <row r="2954">
      <c r="A2954" s="166" t="n"/>
      <c r="B2954" s="63" t="n"/>
      <c r="C2954" s="64" t="n"/>
      <c r="D2954" s="167" t="n"/>
      <c r="E2954" s="63" t="n"/>
      <c r="F2954" s="63" t="n"/>
    </row>
    <row r="2955">
      <c r="A2955" s="166" t="n"/>
      <c r="B2955" s="63" t="n"/>
      <c r="C2955" s="64" t="n"/>
      <c r="D2955" s="167" t="n"/>
      <c r="E2955" s="63" t="n"/>
      <c r="F2955" s="63" t="n"/>
    </row>
    <row r="2956">
      <c r="A2956" s="166" t="n"/>
      <c r="B2956" s="63" t="n"/>
      <c r="C2956" s="64" t="n"/>
      <c r="D2956" s="167" t="n"/>
      <c r="E2956" s="63" t="n"/>
      <c r="F2956" s="63" t="n"/>
    </row>
    <row r="2957">
      <c r="A2957" s="166" t="n"/>
      <c r="B2957" s="63" t="n"/>
      <c r="C2957" s="64" t="n"/>
      <c r="D2957" s="167" t="n"/>
      <c r="E2957" s="63" t="n"/>
      <c r="F2957" s="63" t="n"/>
    </row>
    <row r="2958">
      <c r="A2958" s="166" t="n"/>
      <c r="B2958" s="63" t="n"/>
      <c r="C2958" s="64" t="n"/>
      <c r="D2958" s="167" t="n"/>
      <c r="E2958" s="63" t="n"/>
      <c r="F2958" s="63" t="n"/>
    </row>
    <row r="2959">
      <c r="A2959" s="166" t="n"/>
      <c r="B2959" s="63" t="n"/>
      <c r="C2959" s="64" t="n"/>
      <c r="D2959" s="167" t="n"/>
      <c r="E2959" s="63" t="n"/>
      <c r="F2959" s="63" t="n"/>
    </row>
    <row r="2960">
      <c r="A2960" s="166" t="n"/>
      <c r="B2960" s="63" t="n"/>
      <c r="C2960" s="64" t="n"/>
      <c r="D2960" s="167" t="n"/>
      <c r="E2960" s="63" t="n"/>
      <c r="F2960" s="63" t="n"/>
    </row>
    <row r="2961">
      <c r="A2961" s="166" t="n"/>
      <c r="B2961" s="63" t="n"/>
      <c r="C2961" s="64" t="n"/>
      <c r="D2961" s="167" t="n"/>
      <c r="E2961" s="63" t="n"/>
      <c r="F2961" s="63" t="n"/>
    </row>
    <row r="2962">
      <c r="A2962" s="166" t="n"/>
      <c r="B2962" s="63" t="n"/>
      <c r="C2962" s="64" t="n"/>
      <c r="D2962" s="167" t="n"/>
      <c r="E2962" s="63" t="n"/>
      <c r="F2962" s="63" t="n"/>
    </row>
    <row r="2963">
      <c r="A2963" s="166" t="n"/>
      <c r="B2963" s="63" t="n"/>
      <c r="C2963" s="64" t="n"/>
      <c r="D2963" s="167" t="n"/>
      <c r="E2963" s="63" t="n"/>
      <c r="F2963" s="63" t="n"/>
    </row>
    <row r="2964">
      <c r="A2964" s="166" t="n"/>
      <c r="B2964" s="63" t="n"/>
      <c r="C2964" s="64" t="n"/>
      <c r="D2964" s="167" t="n"/>
      <c r="E2964" s="63" t="n"/>
      <c r="F2964" s="63" t="n"/>
    </row>
    <row r="2965">
      <c r="A2965" s="166" t="n"/>
      <c r="B2965" s="63" t="n"/>
      <c r="C2965" s="64" t="n"/>
      <c r="D2965" s="167" t="n"/>
      <c r="E2965" s="63" t="n"/>
      <c r="F2965" s="63" t="n"/>
    </row>
    <row r="2966">
      <c r="A2966" s="166" t="n"/>
      <c r="B2966" s="63" t="n"/>
      <c r="C2966" s="64" t="n"/>
      <c r="D2966" s="167" t="n"/>
      <c r="E2966" s="63" t="n"/>
      <c r="F2966" s="63" t="n"/>
    </row>
    <row r="2967">
      <c r="A2967" s="166" t="n"/>
      <c r="B2967" s="63" t="n"/>
      <c r="C2967" s="64" t="n"/>
      <c r="D2967" s="167" t="n"/>
      <c r="E2967" s="63" t="n"/>
      <c r="F2967" s="63" t="n"/>
    </row>
    <row r="2968">
      <c r="A2968" s="166" t="n"/>
      <c r="B2968" s="63" t="n"/>
      <c r="C2968" s="64" t="n"/>
      <c r="D2968" s="167" t="n"/>
      <c r="E2968" s="63" t="n"/>
      <c r="F2968" s="63" t="n"/>
    </row>
    <row r="2969">
      <c r="A2969" s="166" t="n"/>
      <c r="B2969" s="63" t="n"/>
      <c r="C2969" s="64" t="n"/>
      <c r="D2969" s="167" t="n"/>
      <c r="E2969" s="63" t="n"/>
      <c r="F2969" s="63" t="n"/>
    </row>
    <row r="2970">
      <c r="A2970" s="166" t="n"/>
      <c r="B2970" s="63" t="n"/>
      <c r="C2970" s="64" t="n"/>
      <c r="D2970" s="167" t="n"/>
      <c r="E2970" s="63" t="n"/>
      <c r="F2970" s="63" t="n"/>
    </row>
    <row r="2971">
      <c r="A2971" s="166" t="n"/>
      <c r="B2971" s="63" t="n"/>
      <c r="C2971" s="64" t="n"/>
      <c r="D2971" s="167" t="n"/>
      <c r="E2971" s="63" t="n"/>
      <c r="F2971" s="63" t="n"/>
    </row>
    <row r="2972">
      <c r="A2972" s="166" t="n"/>
      <c r="B2972" s="63" t="n"/>
      <c r="C2972" s="64" t="n"/>
      <c r="D2972" s="167" t="n"/>
      <c r="E2972" s="63" t="n"/>
      <c r="F2972" s="63" t="n"/>
    </row>
    <row r="2973">
      <c r="A2973" s="166" t="n"/>
      <c r="B2973" s="63" t="n"/>
      <c r="C2973" s="64" t="n"/>
      <c r="D2973" s="167" t="n"/>
      <c r="E2973" s="63" t="n"/>
      <c r="F2973" s="63" t="n"/>
    </row>
    <row r="2974">
      <c r="A2974" s="166" t="n"/>
      <c r="B2974" s="63" t="n"/>
      <c r="C2974" s="64" t="n"/>
      <c r="D2974" s="167" t="n"/>
      <c r="E2974" s="63" t="n"/>
      <c r="F2974" s="63" t="n"/>
    </row>
    <row r="2975">
      <c r="A2975" s="166" t="n"/>
      <c r="B2975" s="63" t="n"/>
      <c r="C2975" s="64" t="n"/>
      <c r="D2975" s="167" t="n"/>
      <c r="E2975" s="63" t="n"/>
      <c r="F2975" s="63" t="n"/>
    </row>
    <row r="2976">
      <c r="A2976" s="166" t="n"/>
      <c r="B2976" s="63" t="n"/>
      <c r="C2976" s="64" t="n"/>
      <c r="D2976" s="167" t="n"/>
      <c r="E2976" s="63" t="n"/>
      <c r="F2976" s="63" t="n"/>
    </row>
    <row r="2977">
      <c r="A2977" s="166" t="n"/>
      <c r="B2977" s="63" t="n"/>
      <c r="C2977" s="64" t="n"/>
      <c r="D2977" s="167" t="n"/>
      <c r="E2977" s="63" t="n"/>
      <c r="F2977" s="63" t="n"/>
    </row>
    <row r="2978">
      <c r="A2978" s="166" t="n"/>
      <c r="B2978" s="63" t="n"/>
      <c r="C2978" s="64" t="n"/>
      <c r="D2978" s="167" t="n"/>
      <c r="E2978" s="63" t="n"/>
      <c r="F2978" s="63" t="n"/>
    </row>
    <row r="2979">
      <c r="A2979" s="166" t="n"/>
      <c r="B2979" s="63" t="n"/>
      <c r="C2979" s="64" t="n"/>
      <c r="D2979" s="167" t="n"/>
      <c r="E2979" s="63" t="n"/>
      <c r="F2979" s="63" t="n"/>
    </row>
    <row r="2980">
      <c r="A2980" s="166" t="n"/>
      <c r="B2980" s="63" t="n"/>
      <c r="C2980" s="64" t="n"/>
      <c r="D2980" s="167" t="n"/>
      <c r="E2980" s="63" t="n"/>
      <c r="F2980" s="63" t="n"/>
    </row>
    <row r="2981">
      <c r="A2981" s="166" t="n"/>
      <c r="B2981" s="63" t="n"/>
      <c r="C2981" s="64" t="n"/>
      <c r="D2981" s="167" t="n"/>
      <c r="E2981" s="63" t="n"/>
      <c r="F2981" s="63" t="n"/>
    </row>
    <row r="2982">
      <c r="A2982" s="166" t="n"/>
      <c r="B2982" s="63" t="n"/>
      <c r="C2982" s="64" t="n"/>
      <c r="D2982" s="167" t="n"/>
      <c r="E2982" s="63" t="n"/>
      <c r="F2982" s="63" t="n"/>
    </row>
    <row r="2983">
      <c r="A2983" s="166" t="n"/>
      <c r="B2983" s="63" t="n"/>
      <c r="C2983" s="64" t="n"/>
      <c r="D2983" s="167" t="n"/>
      <c r="E2983" s="63" t="n"/>
      <c r="F2983" s="63" t="n"/>
    </row>
    <row r="2984">
      <c r="A2984" s="166" t="n"/>
      <c r="B2984" s="63" t="n"/>
      <c r="C2984" s="64" t="n"/>
      <c r="D2984" s="167" t="n"/>
      <c r="E2984" s="63" t="n"/>
      <c r="F2984" s="63" t="n"/>
    </row>
    <row r="2985">
      <c r="A2985" s="166" t="n"/>
      <c r="B2985" s="63" t="n"/>
      <c r="C2985" s="64" t="n"/>
      <c r="D2985" s="167" t="n"/>
      <c r="E2985" s="63" t="n"/>
      <c r="F2985" s="63" t="n"/>
    </row>
    <row r="2986">
      <c r="A2986" s="166" t="n"/>
      <c r="B2986" s="63" t="n"/>
      <c r="C2986" s="64" t="n"/>
      <c r="D2986" s="167" t="n"/>
      <c r="E2986" s="63" t="n"/>
      <c r="F2986" s="63" t="n"/>
    </row>
    <row r="2987">
      <c r="A2987" s="166" t="n"/>
      <c r="B2987" s="63" t="n"/>
      <c r="C2987" s="64" t="n"/>
      <c r="D2987" s="167" t="n"/>
      <c r="E2987" s="63" t="n"/>
      <c r="F2987" s="63" t="n"/>
    </row>
    <row r="2988">
      <c r="A2988" s="166" t="n"/>
      <c r="B2988" s="63" t="n"/>
      <c r="C2988" s="64" t="n"/>
      <c r="D2988" s="167" t="n"/>
      <c r="E2988" s="63" t="n"/>
      <c r="F2988" s="63" t="n"/>
    </row>
    <row r="2989">
      <c r="A2989" s="166" t="n"/>
      <c r="B2989" s="63" t="n"/>
      <c r="C2989" s="64" t="n"/>
      <c r="D2989" s="167" t="n"/>
      <c r="E2989" s="63" t="n"/>
      <c r="F2989" s="63" t="n"/>
    </row>
    <row r="2990">
      <c r="A2990" s="166" t="n"/>
      <c r="B2990" s="63" t="n"/>
      <c r="C2990" s="64" t="n"/>
      <c r="D2990" s="167" t="n"/>
      <c r="E2990" s="63" t="n"/>
      <c r="F2990" s="63" t="n"/>
    </row>
    <row r="2991">
      <c r="A2991" s="166" t="n"/>
      <c r="B2991" s="63" t="n"/>
      <c r="C2991" s="64" t="n"/>
      <c r="D2991" s="167" t="n"/>
      <c r="E2991" s="63" t="n"/>
      <c r="F2991" s="63" t="n"/>
    </row>
    <row r="2992">
      <c r="A2992" s="166" t="n"/>
      <c r="B2992" s="63" t="n"/>
      <c r="C2992" s="64" t="n"/>
      <c r="D2992" s="167" t="n"/>
      <c r="E2992" s="63" t="n"/>
      <c r="F2992" s="63" t="n"/>
    </row>
    <row r="2993">
      <c r="A2993" s="166" t="n"/>
      <c r="B2993" s="63" t="n"/>
      <c r="C2993" s="64" t="n"/>
      <c r="D2993" s="167" t="n"/>
      <c r="E2993" s="63" t="n"/>
      <c r="F2993" s="63" t="n"/>
    </row>
    <row r="2994">
      <c r="A2994" s="166" t="n"/>
      <c r="B2994" s="63" t="n"/>
      <c r="C2994" s="64" t="n"/>
      <c r="D2994" s="167" t="n"/>
      <c r="E2994" s="63" t="n"/>
      <c r="F2994" s="63" t="n"/>
    </row>
    <row r="2995">
      <c r="A2995" s="166" t="n"/>
      <c r="B2995" s="63" t="n"/>
      <c r="C2995" s="64" t="n"/>
      <c r="D2995" s="167" t="n"/>
      <c r="E2995" s="63" t="n"/>
      <c r="F2995" s="63" t="n"/>
    </row>
    <row r="2996">
      <c r="A2996" s="166" t="n"/>
      <c r="B2996" s="63" t="n"/>
      <c r="C2996" s="64" t="n"/>
      <c r="D2996" s="167" t="n"/>
      <c r="E2996" s="63" t="n"/>
      <c r="F2996" s="63" t="n"/>
    </row>
    <row r="2997">
      <c r="A2997" s="166" t="n"/>
      <c r="B2997" s="63" t="n"/>
      <c r="C2997" s="64" t="n"/>
      <c r="D2997" s="167" t="n"/>
      <c r="E2997" s="63" t="n"/>
      <c r="F2997" s="63" t="n"/>
    </row>
    <row r="2998">
      <c r="A2998" s="166" t="n"/>
      <c r="B2998" s="63" t="n"/>
      <c r="C2998" s="64" t="n"/>
      <c r="D2998" s="167" t="n"/>
      <c r="E2998" s="63" t="n"/>
      <c r="F2998" s="63" t="n"/>
    </row>
    <row r="2999">
      <c r="A2999" s="166" t="n"/>
      <c r="B2999" s="63" t="n"/>
      <c r="C2999" s="64" t="n"/>
      <c r="D2999" s="167" t="n"/>
      <c r="E2999" s="63" t="n"/>
      <c r="F2999" s="63" t="n"/>
    </row>
    <row r="3000">
      <c r="A3000" s="166" t="n"/>
      <c r="B3000" s="63" t="n"/>
      <c r="C3000" s="64" t="n"/>
      <c r="D3000" s="167" t="n"/>
      <c r="E3000" s="63" t="n"/>
      <c r="F3000" s="63" t="n"/>
    </row>
    <row r="3001">
      <c r="A3001" s="166" t="n"/>
      <c r="B3001" s="63" t="n"/>
      <c r="C3001" s="64" t="n"/>
      <c r="D3001" s="167" t="n"/>
      <c r="E3001" s="63" t="n"/>
      <c r="F3001" s="63" t="n"/>
    </row>
    <row r="3002">
      <c r="A3002" s="166" t="n"/>
      <c r="B3002" s="63" t="n"/>
      <c r="C3002" s="64" t="n"/>
      <c r="D3002" s="167" t="n"/>
      <c r="E3002" s="63" t="n"/>
      <c r="F3002" s="63" t="n"/>
    </row>
    <row r="3003">
      <c r="A3003" s="166" t="n"/>
      <c r="B3003" s="63" t="n"/>
      <c r="C3003" s="64" t="n"/>
      <c r="D3003" s="167" t="n"/>
      <c r="E3003" s="63" t="n"/>
      <c r="F3003" s="63" t="n"/>
    </row>
    <row r="3004">
      <c r="A3004" s="166" t="n"/>
      <c r="B3004" s="63" t="n"/>
      <c r="C3004" s="64" t="n"/>
      <c r="D3004" s="167" t="n"/>
      <c r="E3004" s="63" t="n"/>
      <c r="F3004" s="63" t="n"/>
    </row>
    <row r="3005">
      <c r="A3005" s="166" t="n"/>
      <c r="B3005" s="63" t="n"/>
      <c r="C3005" s="64" t="n"/>
      <c r="D3005" s="167" t="n"/>
      <c r="E3005" s="63" t="n"/>
      <c r="F3005" s="63" t="n"/>
    </row>
    <row r="3006">
      <c r="A3006" s="166" t="n"/>
      <c r="B3006" s="63" t="n"/>
      <c r="C3006" s="64" t="n"/>
      <c r="D3006" s="167" t="n"/>
      <c r="E3006" s="63" t="n"/>
      <c r="F3006" s="63" t="n"/>
    </row>
    <row r="3007">
      <c r="A3007" s="166" t="n"/>
      <c r="B3007" s="63" t="n"/>
      <c r="C3007" s="64" t="n"/>
      <c r="D3007" s="167" t="n"/>
      <c r="E3007" s="63" t="n"/>
      <c r="F3007" s="63" t="n"/>
    </row>
    <row r="3008">
      <c r="A3008" s="166" t="n"/>
      <c r="B3008" s="63" t="n"/>
      <c r="C3008" s="64" t="n"/>
      <c r="D3008" s="167" t="n"/>
      <c r="E3008" s="63" t="n"/>
      <c r="F3008" s="63" t="n"/>
    </row>
    <row r="3009">
      <c r="A3009" s="166" t="n"/>
      <c r="B3009" s="63" t="n"/>
      <c r="C3009" s="64" t="n"/>
      <c r="D3009" s="167" t="n"/>
      <c r="E3009" s="63" t="n"/>
      <c r="F3009" s="63" t="n"/>
    </row>
    <row r="3010">
      <c r="A3010" s="166" t="n"/>
      <c r="B3010" s="63" t="n"/>
      <c r="C3010" s="64" t="n"/>
      <c r="D3010" s="167" t="n"/>
      <c r="E3010" s="63" t="n"/>
      <c r="F3010" s="63" t="n"/>
    </row>
    <row r="3011">
      <c r="A3011" s="166" t="n"/>
      <c r="B3011" s="63" t="n"/>
      <c r="C3011" s="64" t="n"/>
      <c r="D3011" s="167" t="n"/>
      <c r="E3011" s="63" t="n"/>
      <c r="F3011" s="63" t="n"/>
    </row>
    <row r="3012">
      <c r="A3012" s="166" t="n"/>
      <c r="B3012" s="63" t="n"/>
      <c r="C3012" s="64" t="n"/>
      <c r="D3012" s="167" t="n"/>
      <c r="E3012" s="63" t="n"/>
      <c r="F3012" s="63" t="n"/>
    </row>
    <row r="3013">
      <c r="A3013" s="166" t="n"/>
      <c r="B3013" s="63" t="n"/>
      <c r="C3013" s="64" t="n"/>
      <c r="D3013" s="167" t="n"/>
      <c r="E3013" s="63" t="n"/>
      <c r="F3013" s="63" t="n"/>
    </row>
    <row r="3014">
      <c r="A3014" s="166" t="n"/>
      <c r="B3014" s="63" t="n"/>
      <c r="C3014" s="64" t="n"/>
      <c r="D3014" s="167" t="n"/>
      <c r="E3014" s="63" t="n"/>
      <c r="F3014" s="63" t="n"/>
    </row>
    <row r="3015">
      <c r="A3015" s="166" t="n"/>
      <c r="B3015" s="63" t="n"/>
      <c r="C3015" s="64" t="n"/>
      <c r="D3015" s="167" t="n"/>
      <c r="E3015" s="63" t="n"/>
      <c r="F3015" s="63" t="n"/>
    </row>
    <row r="3016">
      <c r="A3016" s="166" t="n"/>
      <c r="B3016" s="63" t="n"/>
      <c r="C3016" s="64" t="n"/>
      <c r="D3016" s="167" t="n"/>
      <c r="E3016" s="63" t="n"/>
      <c r="F3016" s="63" t="n"/>
    </row>
    <row r="3017">
      <c r="A3017" s="166" t="n"/>
      <c r="B3017" s="63" t="n"/>
      <c r="C3017" s="64" t="n"/>
      <c r="D3017" s="167" t="n"/>
      <c r="E3017" s="63" t="n"/>
      <c r="F3017" s="63" t="n"/>
    </row>
    <row r="3018">
      <c r="A3018" s="166" t="n"/>
      <c r="B3018" s="63" t="n"/>
      <c r="C3018" s="64" t="n"/>
      <c r="D3018" s="167" t="n"/>
      <c r="E3018" s="63" t="n"/>
      <c r="F3018" s="63" t="n"/>
    </row>
    <row r="3019">
      <c r="A3019" s="166" t="n"/>
      <c r="B3019" s="63" t="n"/>
      <c r="C3019" s="64" t="n"/>
      <c r="D3019" s="167" t="n"/>
      <c r="E3019" s="63" t="n"/>
      <c r="F3019" s="63" t="n"/>
    </row>
    <row r="3020">
      <c r="A3020" s="166" t="n"/>
      <c r="B3020" s="63" t="n"/>
      <c r="C3020" s="64" t="n"/>
      <c r="D3020" s="167" t="n"/>
      <c r="E3020" s="63" t="n"/>
      <c r="F3020" s="63" t="n"/>
    </row>
    <row r="3021">
      <c r="A3021" s="166" t="n"/>
      <c r="B3021" s="63" t="n"/>
      <c r="C3021" s="64" t="n"/>
      <c r="D3021" s="167" t="n"/>
      <c r="E3021" s="63" t="n"/>
      <c r="F3021" s="63" t="n"/>
    </row>
    <row r="3022">
      <c r="A3022" s="166" t="n"/>
      <c r="B3022" s="63" t="n"/>
      <c r="C3022" s="64" t="n"/>
      <c r="D3022" s="167" t="n"/>
      <c r="E3022" s="63" t="n"/>
      <c r="F3022" s="63" t="n"/>
    </row>
    <row r="3023">
      <c r="A3023" s="166" t="n"/>
      <c r="B3023" s="63" t="n"/>
      <c r="C3023" s="64" t="n"/>
      <c r="D3023" s="167" t="n"/>
      <c r="E3023" s="63" t="n"/>
      <c r="F3023" s="63" t="n"/>
    </row>
    <row r="3024">
      <c r="A3024" s="166" t="n"/>
      <c r="B3024" s="63" t="n"/>
      <c r="C3024" s="64" t="n"/>
      <c r="D3024" s="167" t="n"/>
      <c r="E3024" s="63" t="n"/>
      <c r="F3024" s="63" t="n"/>
    </row>
    <row r="3025">
      <c r="A3025" s="166" t="n"/>
      <c r="B3025" s="63" t="n"/>
      <c r="C3025" s="64" t="n"/>
      <c r="D3025" s="167" t="n"/>
      <c r="E3025" s="63" t="n"/>
      <c r="F3025" s="63" t="n"/>
    </row>
    <row r="3026">
      <c r="A3026" s="166" t="n"/>
      <c r="B3026" s="63" t="n"/>
      <c r="C3026" s="64" t="n"/>
      <c r="D3026" s="167" t="n"/>
      <c r="E3026" s="63" t="n"/>
      <c r="F3026" s="63" t="n"/>
    </row>
    <row r="3027">
      <c r="A3027" s="166" t="n"/>
      <c r="B3027" s="63" t="n"/>
      <c r="C3027" s="64" t="n"/>
      <c r="D3027" s="167" t="n"/>
      <c r="E3027" s="63" t="n"/>
      <c r="F3027" s="63" t="n"/>
    </row>
    <row r="3028">
      <c r="A3028" s="166" t="n"/>
      <c r="B3028" s="63" t="n"/>
      <c r="C3028" s="64" t="n"/>
      <c r="D3028" s="167" t="n"/>
      <c r="E3028" s="63" t="n"/>
      <c r="F3028" s="63" t="n"/>
    </row>
    <row r="3029">
      <c r="A3029" s="166" t="n"/>
      <c r="B3029" s="63" t="n"/>
      <c r="C3029" s="64" t="n"/>
      <c r="D3029" s="167" t="n"/>
      <c r="E3029" s="63" t="n"/>
      <c r="F3029" s="63" t="n"/>
    </row>
    <row r="3030">
      <c r="A3030" s="166" t="n"/>
      <c r="B3030" s="63" t="n"/>
      <c r="C3030" s="64" t="n"/>
      <c r="D3030" s="167" t="n"/>
      <c r="E3030" s="63" t="n"/>
      <c r="F3030" s="63" t="n"/>
    </row>
    <row r="3031">
      <c r="A3031" s="166" t="n"/>
      <c r="B3031" s="63" t="n"/>
      <c r="C3031" s="64" t="n"/>
      <c r="D3031" s="167" t="n"/>
      <c r="E3031" s="63" t="n"/>
      <c r="F3031" s="63" t="n"/>
    </row>
    <row r="3032">
      <c r="A3032" s="166" t="n"/>
      <c r="B3032" s="63" t="n"/>
      <c r="C3032" s="64" t="n"/>
      <c r="D3032" s="167" t="n"/>
      <c r="E3032" s="63" t="n"/>
      <c r="F3032" s="63" t="n"/>
    </row>
    <row r="3033">
      <c r="A3033" s="166" t="n"/>
      <c r="B3033" s="63" t="n"/>
      <c r="C3033" s="64" t="n"/>
      <c r="D3033" s="167" t="n"/>
      <c r="E3033" s="63" t="n"/>
      <c r="F3033" s="63" t="n"/>
    </row>
    <row r="3034">
      <c r="A3034" s="166" t="n"/>
      <c r="B3034" s="63" t="n"/>
      <c r="C3034" s="64" t="n"/>
      <c r="D3034" s="167" t="n"/>
      <c r="E3034" s="63" t="n"/>
      <c r="F3034" s="63" t="n"/>
    </row>
    <row r="3035">
      <c r="A3035" s="166" t="n"/>
      <c r="B3035" s="63" t="n"/>
      <c r="C3035" s="64" t="n"/>
      <c r="D3035" s="167" t="n"/>
      <c r="E3035" s="63" t="n"/>
      <c r="F3035" s="63" t="n"/>
    </row>
    <row r="3036">
      <c r="A3036" s="166" t="n"/>
      <c r="B3036" s="63" t="n"/>
      <c r="C3036" s="64" t="n"/>
      <c r="D3036" s="167" t="n"/>
      <c r="E3036" s="63" t="n"/>
      <c r="F3036" s="63" t="n"/>
    </row>
    <row r="3037">
      <c r="A3037" s="166" t="n"/>
      <c r="B3037" s="63" t="n"/>
      <c r="C3037" s="64" t="n"/>
      <c r="D3037" s="167" t="n"/>
      <c r="E3037" s="63" t="n"/>
      <c r="F3037" s="63" t="n"/>
    </row>
    <row r="3038">
      <c r="A3038" s="166" t="n"/>
      <c r="B3038" s="63" t="n"/>
      <c r="C3038" s="64" t="n"/>
      <c r="D3038" s="167" t="n"/>
      <c r="E3038" s="63" t="n"/>
      <c r="F3038" s="63" t="n"/>
    </row>
    <row r="3039">
      <c r="A3039" s="166" t="n"/>
      <c r="B3039" s="63" t="n"/>
      <c r="C3039" s="64" t="n"/>
      <c r="D3039" s="167" t="n"/>
      <c r="E3039" s="63" t="n"/>
      <c r="F3039" s="63" t="n"/>
    </row>
    <row r="3040">
      <c r="A3040" s="166" t="n"/>
      <c r="B3040" s="63" t="n"/>
      <c r="C3040" s="64" t="n"/>
      <c r="D3040" s="167" t="n"/>
      <c r="E3040" s="63" t="n"/>
      <c r="F3040" s="63" t="n"/>
    </row>
    <row r="3041">
      <c r="A3041" s="166" t="n"/>
      <c r="B3041" s="63" t="n"/>
      <c r="C3041" s="64" t="n"/>
      <c r="D3041" s="167" t="n"/>
      <c r="E3041" s="63" t="n"/>
      <c r="F3041" s="63" t="n"/>
    </row>
    <row r="3042">
      <c r="A3042" s="166" t="n"/>
      <c r="B3042" s="63" t="n"/>
      <c r="C3042" s="64" t="n"/>
      <c r="D3042" s="167" t="n"/>
      <c r="E3042" s="63" t="n"/>
      <c r="F3042" s="63" t="n"/>
    </row>
    <row r="3043">
      <c r="A3043" s="166" t="n"/>
      <c r="B3043" s="63" t="n"/>
      <c r="C3043" s="64" t="n"/>
      <c r="D3043" s="167" t="n"/>
      <c r="E3043" s="63" t="n"/>
      <c r="F3043" s="63" t="n"/>
    </row>
    <row r="3044">
      <c r="A3044" s="166" t="n"/>
      <c r="B3044" s="63" t="n"/>
      <c r="C3044" s="64" t="n"/>
      <c r="D3044" s="167" t="n"/>
      <c r="E3044" s="63" t="n"/>
      <c r="F3044" s="63" t="n"/>
    </row>
    <row r="3045">
      <c r="A3045" s="166" t="n"/>
      <c r="B3045" s="63" t="n"/>
      <c r="C3045" s="64" t="n"/>
      <c r="D3045" s="167" t="n"/>
      <c r="E3045" s="63" t="n"/>
      <c r="F3045" s="63" t="n"/>
    </row>
    <row r="3046">
      <c r="A3046" s="166" t="n"/>
      <c r="B3046" s="63" t="n"/>
      <c r="C3046" s="64" t="n"/>
      <c r="D3046" s="167" t="n"/>
      <c r="E3046" s="63" t="n"/>
      <c r="F3046" s="63" t="n"/>
    </row>
    <row r="3047">
      <c r="A3047" s="166" t="n"/>
      <c r="B3047" s="63" t="n"/>
      <c r="C3047" s="64" t="n"/>
      <c r="D3047" s="167" t="n"/>
      <c r="E3047" s="63" t="n"/>
      <c r="F3047" s="63" t="n"/>
    </row>
    <row r="3048">
      <c r="A3048" s="166" t="n"/>
      <c r="B3048" s="63" t="n"/>
      <c r="C3048" s="64" t="n"/>
      <c r="D3048" s="167" t="n"/>
      <c r="E3048" s="63" t="n"/>
      <c r="F3048" s="63" t="n"/>
    </row>
    <row r="3049">
      <c r="A3049" s="166" t="n"/>
      <c r="B3049" s="63" t="n"/>
      <c r="C3049" s="64" t="n"/>
      <c r="D3049" s="167" t="n"/>
      <c r="E3049" s="63" t="n"/>
      <c r="F3049" s="63" t="n"/>
    </row>
    <row r="3050">
      <c r="A3050" s="166" t="n"/>
      <c r="B3050" s="63" t="n"/>
      <c r="C3050" s="64" t="n"/>
      <c r="D3050" s="167" t="n"/>
      <c r="E3050" s="63" t="n"/>
      <c r="F3050" s="63" t="n"/>
    </row>
    <row r="3051">
      <c r="A3051" s="166" t="n"/>
      <c r="B3051" s="63" t="n"/>
      <c r="C3051" s="64" t="n"/>
      <c r="D3051" s="167" t="n"/>
      <c r="E3051" s="63" t="n"/>
      <c r="F3051" s="63" t="n"/>
    </row>
    <row r="3052">
      <c r="A3052" s="166" t="n"/>
      <c r="B3052" s="63" t="n"/>
      <c r="C3052" s="64" t="n"/>
      <c r="D3052" s="167" t="n"/>
      <c r="E3052" s="63" t="n"/>
      <c r="F3052" s="63" t="n"/>
    </row>
    <row r="3053">
      <c r="A3053" s="166" t="n"/>
      <c r="B3053" s="63" t="n"/>
      <c r="C3053" s="64" t="n"/>
      <c r="D3053" s="167" t="n"/>
      <c r="E3053" s="63" t="n"/>
      <c r="F3053" s="63" t="n"/>
    </row>
    <row r="3054">
      <c r="A3054" s="166" t="n"/>
      <c r="B3054" s="63" t="n"/>
      <c r="C3054" s="64" t="n"/>
      <c r="D3054" s="167" t="n"/>
      <c r="E3054" s="63" t="n"/>
      <c r="F3054" s="63" t="n"/>
    </row>
    <row r="3055">
      <c r="A3055" s="166" t="n"/>
      <c r="B3055" s="63" t="n"/>
      <c r="C3055" s="64" t="n"/>
      <c r="D3055" s="167" t="n"/>
      <c r="E3055" s="63" t="n"/>
      <c r="F3055" s="63" t="n"/>
    </row>
    <row r="3056">
      <c r="A3056" s="166" t="n"/>
      <c r="B3056" s="63" t="n"/>
      <c r="C3056" s="64" t="n"/>
      <c r="D3056" s="167" t="n"/>
      <c r="E3056" s="63" t="n"/>
      <c r="F3056" s="63" t="n"/>
    </row>
    <row r="3057">
      <c r="A3057" s="166" t="n"/>
      <c r="B3057" s="63" t="n"/>
      <c r="C3057" s="64" t="n"/>
      <c r="D3057" s="167" t="n"/>
      <c r="E3057" s="63" t="n"/>
      <c r="F3057" s="63" t="n"/>
    </row>
    <row r="3058">
      <c r="A3058" s="166" t="n"/>
      <c r="B3058" s="63" t="n"/>
      <c r="C3058" s="64" t="n"/>
      <c r="D3058" s="167" t="n"/>
      <c r="E3058" s="63" t="n"/>
      <c r="F3058" s="63" t="n"/>
    </row>
    <row r="3059">
      <c r="A3059" s="166" t="n"/>
      <c r="B3059" s="63" t="n"/>
      <c r="C3059" s="64" t="n"/>
      <c r="D3059" s="167" t="n"/>
      <c r="E3059" s="63" t="n"/>
      <c r="F3059" s="63" t="n"/>
    </row>
    <row r="3060">
      <c r="A3060" s="166" t="n"/>
      <c r="B3060" s="63" t="n"/>
      <c r="C3060" s="64" t="n"/>
      <c r="D3060" s="167" t="n"/>
      <c r="E3060" s="63" t="n"/>
      <c r="F3060" s="63" t="n"/>
    </row>
    <row r="3061">
      <c r="A3061" s="166" t="n"/>
      <c r="B3061" s="63" t="n"/>
      <c r="C3061" s="64" t="n"/>
      <c r="D3061" s="167" t="n"/>
      <c r="E3061" s="63" t="n"/>
      <c r="F3061" s="63" t="n"/>
    </row>
    <row r="3062">
      <c r="A3062" s="166" t="n"/>
      <c r="B3062" s="63" t="n"/>
      <c r="C3062" s="64" t="n"/>
      <c r="D3062" s="167" t="n"/>
      <c r="E3062" s="63" t="n"/>
      <c r="F3062" s="63" t="n"/>
    </row>
    <row r="3063">
      <c r="A3063" s="166" t="n"/>
      <c r="B3063" s="63" t="n"/>
      <c r="C3063" s="64" t="n"/>
      <c r="D3063" s="167" t="n"/>
      <c r="E3063" s="63" t="n"/>
      <c r="F3063" s="63" t="n"/>
    </row>
    <row r="3064">
      <c r="A3064" s="166" t="n"/>
      <c r="B3064" s="63" t="n"/>
      <c r="C3064" s="64" t="n"/>
      <c r="D3064" s="167" t="n"/>
      <c r="E3064" s="63" t="n"/>
      <c r="F3064" s="63" t="n"/>
    </row>
    <row r="3065">
      <c r="A3065" s="166" t="n"/>
      <c r="B3065" s="63" t="n"/>
      <c r="C3065" s="64" t="n"/>
      <c r="D3065" s="167" t="n"/>
      <c r="E3065" s="63" t="n"/>
      <c r="F3065" s="63" t="n"/>
    </row>
    <row r="3066">
      <c r="A3066" s="166" t="n"/>
      <c r="B3066" s="63" t="n"/>
      <c r="C3066" s="64" t="n"/>
      <c r="D3066" s="167" t="n"/>
      <c r="E3066" s="63" t="n"/>
      <c r="F3066" s="63" t="n"/>
    </row>
    <row r="3067">
      <c r="A3067" s="166" t="n"/>
      <c r="B3067" s="63" t="n"/>
      <c r="C3067" s="64" t="n"/>
      <c r="D3067" s="167" t="n"/>
      <c r="E3067" s="63" t="n"/>
      <c r="F3067" s="63" t="n"/>
    </row>
    <row r="3068">
      <c r="A3068" s="166" t="n"/>
      <c r="B3068" s="63" t="n"/>
      <c r="C3068" s="64" t="n"/>
      <c r="D3068" s="167" t="n"/>
      <c r="E3068" s="63" t="n"/>
      <c r="F3068" s="63" t="n"/>
    </row>
    <row r="3069">
      <c r="A3069" s="166" t="n"/>
      <c r="B3069" s="63" t="n"/>
      <c r="C3069" s="64" t="n"/>
      <c r="D3069" s="167" t="n"/>
      <c r="E3069" s="63" t="n"/>
      <c r="F3069" s="63" t="n"/>
    </row>
    <row r="3070">
      <c r="A3070" s="166" t="n"/>
      <c r="B3070" s="63" t="n"/>
      <c r="C3070" s="64" t="n"/>
      <c r="D3070" s="167" t="n"/>
      <c r="E3070" s="63" t="n"/>
      <c r="F3070" s="63" t="n"/>
    </row>
    <row r="3071">
      <c r="A3071" s="166" t="n"/>
      <c r="B3071" s="63" t="n"/>
      <c r="C3071" s="64" t="n"/>
      <c r="D3071" s="167" t="n"/>
      <c r="E3071" s="63" t="n"/>
      <c r="F3071" s="63" t="n"/>
    </row>
    <row r="3072">
      <c r="A3072" s="166" t="n"/>
      <c r="B3072" s="63" t="n"/>
      <c r="C3072" s="64" t="n"/>
      <c r="D3072" s="167" t="n"/>
      <c r="E3072" s="63" t="n"/>
      <c r="F3072" s="63" t="n"/>
    </row>
    <row r="3073">
      <c r="A3073" s="166" t="n"/>
      <c r="B3073" s="63" t="n"/>
      <c r="C3073" s="64" t="n"/>
      <c r="D3073" s="167" t="n"/>
      <c r="E3073" s="63" t="n"/>
      <c r="F3073" s="63" t="n"/>
    </row>
    <row r="3074">
      <c r="A3074" s="166" t="n"/>
      <c r="B3074" s="63" t="n"/>
      <c r="C3074" s="64" t="n"/>
      <c r="D3074" s="167" t="n"/>
      <c r="E3074" s="63" t="n"/>
      <c r="F3074" s="63" t="n"/>
    </row>
    <row r="3075">
      <c r="A3075" s="166" t="n"/>
      <c r="B3075" s="63" t="n"/>
      <c r="C3075" s="64" t="n"/>
      <c r="D3075" s="167" t="n"/>
      <c r="E3075" s="63" t="n"/>
      <c r="F3075" s="63" t="n"/>
    </row>
    <row r="3076">
      <c r="A3076" s="166" t="n"/>
      <c r="B3076" s="63" t="n"/>
      <c r="C3076" s="64" t="n"/>
      <c r="D3076" s="167" t="n"/>
      <c r="E3076" s="63" t="n"/>
      <c r="F3076" s="63" t="n"/>
    </row>
    <row r="3077">
      <c r="A3077" s="166" t="n"/>
      <c r="B3077" s="63" t="n"/>
      <c r="C3077" s="64" t="n"/>
      <c r="D3077" s="167" t="n"/>
      <c r="E3077" s="63" t="n"/>
      <c r="F3077" s="63" t="n"/>
    </row>
    <row r="3078">
      <c r="A3078" s="166" t="n"/>
      <c r="B3078" s="63" t="n"/>
      <c r="C3078" s="64" t="n"/>
      <c r="D3078" s="167" t="n"/>
      <c r="E3078" s="63" t="n"/>
      <c r="F3078" s="63" t="n"/>
    </row>
    <row r="3079">
      <c r="A3079" s="166" t="n"/>
      <c r="B3079" s="63" t="n"/>
      <c r="C3079" s="64" t="n"/>
      <c r="D3079" s="167" t="n"/>
      <c r="E3079" s="63" t="n"/>
      <c r="F3079" s="63" t="n"/>
    </row>
    <row r="3080">
      <c r="A3080" s="166" t="n"/>
      <c r="B3080" s="63" t="n"/>
      <c r="C3080" s="64" t="n"/>
      <c r="D3080" s="167" t="n"/>
      <c r="E3080" s="63" t="n"/>
      <c r="F3080" s="63" t="n"/>
    </row>
    <row r="3081">
      <c r="A3081" s="166" t="n"/>
      <c r="B3081" s="63" t="n"/>
      <c r="C3081" s="64" t="n"/>
      <c r="D3081" s="167" t="n"/>
      <c r="E3081" s="63" t="n"/>
      <c r="F3081" s="63" t="n"/>
    </row>
    <row r="3082">
      <c r="A3082" s="166" t="n"/>
      <c r="B3082" s="63" t="n"/>
      <c r="C3082" s="64" t="n"/>
      <c r="D3082" s="167" t="n"/>
      <c r="E3082" s="63" t="n"/>
      <c r="F3082" s="63" t="n"/>
    </row>
    <row r="3083">
      <c r="A3083" s="166" t="n"/>
      <c r="B3083" s="63" t="n"/>
      <c r="C3083" s="64" t="n"/>
      <c r="D3083" s="167" t="n"/>
      <c r="E3083" s="63" t="n"/>
      <c r="F3083" s="63" t="n"/>
    </row>
    <row r="3084">
      <c r="A3084" s="166" t="n"/>
      <c r="B3084" s="63" t="n"/>
      <c r="C3084" s="64" t="n"/>
      <c r="D3084" s="167" t="n"/>
      <c r="E3084" s="63" t="n"/>
      <c r="F3084" s="63" t="n"/>
    </row>
    <row r="3085">
      <c r="A3085" s="166" t="n"/>
      <c r="B3085" s="63" t="n"/>
      <c r="C3085" s="64" t="n"/>
      <c r="D3085" s="167" t="n"/>
      <c r="E3085" s="63" t="n"/>
      <c r="F3085" s="63" t="n"/>
    </row>
    <row r="3086">
      <c r="A3086" s="166" t="n"/>
      <c r="B3086" s="63" t="n"/>
      <c r="C3086" s="64" t="n"/>
      <c r="D3086" s="167" t="n"/>
      <c r="E3086" s="63" t="n"/>
      <c r="F3086" s="63" t="n"/>
    </row>
    <row r="3087">
      <c r="A3087" s="166" t="n"/>
      <c r="B3087" s="63" t="n"/>
      <c r="C3087" s="64" t="n"/>
      <c r="D3087" s="167" t="n"/>
      <c r="E3087" s="63" t="n"/>
      <c r="F3087" s="63" t="n"/>
    </row>
    <row r="3088">
      <c r="A3088" s="166" t="n"/>
      <c r="B3088" s="63" t="n"/>
      <c r="C3088" s="64" t="n"/>
      <c r="D3088" s="167" t="n"/>
      <c r="E3088" s="63" t="n"/>
      <c r="F3088" s="63" t="n"/>
    </row>
    <row r="3089">
      <c r="A3089" s="166" t="n"/>
      <c r="B3089" s="63" t="n"/>
      <c r="C3089" s="64" t="n"/>
      <c r="D3089" s="167" t="n"/>
      <c r="E3089" s="63" t="n"/>
      <c r="F3089" s="63" t="n"/>
    </row>
    <row r="3090">
      <c r="A3090" s="166" t="n"/>
      <c r="B3090" s="63" t="n"/>
      <c r="C3090" s="64" t="n"/>
      <c r="D3090" s="167" t="n"/>
      <c r="E3090" s="63" t="n"/>
      <c r="F3090" s="63" t="n"/>
    </row>
    <row r="3091">
      <c r="A3091" s="166" t="n"/>
      <c r="B3091" s="63" t="n"/>
      <c r="C3091" s="64" t="n"/>
      <c r="D3091" s="167" t="n"/>
      <c r="E3091" s="63" t="n"/>
      <c r="F3091" s="63" t="n"/>
    </row>
    <row r="3092">
      <c r="A3092" s="166" t="n"/>
      <c r="B3092" s="63" t="n"/>
      <c r="C3092" s="64" t="n"/>
      <c r="D3092" s="167" t="n"/>
      <c r="E3092" s="63" t="n"/>
      <c r="F3092" s="63" t="n"/>
    </row>
    <row r="3093">
      <c r="A3093" s="166" t="n"/>
      <c r="B3093" s="63" t="n"/>
      <c r="C3093" s="64" t="n"/>
      <c r="D3093" s="167" t="n"/>
      <c r="E3093" s="63" t="n"/>
      <c r="F3093" s="63" t="n"/>
    </row>
    <row r="3094">
      <c r="A3094" s="166" t="n"/>
      <c r="B3094" s="63" t="n"/>
      <c r="C3094" s="64" t="n"/>
      <c r="D3094" s="167" t="n"/>
      <c r="E3094" s="63" t="n"/>
      <c r="F3094" s="63" t="n"/>
    </row>
    <row r="3095">
      <c r="A3095" s="166" t="n"/>
      <c r="B3095" s="63" t="n"/>
      <c r="C3095" s="64" t="n"/>
      <c r="D3095" s="167" t="n"/>
      <c r="E3095" s="63" t="n"/>
      <c r="F3095" s="63" t="n"/>
    </row>
    <row r="3096">
      <c r="A3096" s="166" t="n"/>
      <c r="B3096" s="63" t="n"/>
      <c r="C3096" s="64" t="n"/>
      <c r="D3096" s="167" t="n"/>
      <c r="E3096" s="63" t="n"/>
      <c r="F3096" s="63" t="n"/>
    </row>
    <row r="3097">
      <c r="A3097" s="166" t="n"/>
      <c r="B3097" s="63" t="n"/>
      <c r="C3097" s="64" t="n"/>
      <c r="D3097" s="167" t="n"/>
      <c r="E3097" s="63" t="n"/>
      <c r="F3097" s="63" t="n"/>
    </row>
    <row r="3098">
      <c r="A3098" s="166" t="n"/>
      <c r="B3098" s="63" t="n"/>
      <c r="C3098" s="64" t="n"/>
      <c r="D3098" s="167" t="n"/>
      <c r="E3098" s="63" t="n"/>
      <c r="F3098" s="63" t="n"/>
    </row>
    <row r="3099">
      <c r="A3099" s="166" t="n"/>
      <c r="B3099" s="63" t="n"/>
      <c r="C3099" s="64" t="n"/>
      <c r="D3099" s="167" t="n"/>
      <c r="E3099" s="63" t="n"/>
      <c r="F3099" s="63" t="n"/>
    </row>
    <row r="3100">
      <c r="A3100" s="166" t="n"/>
      <c r="B3100" s="63" t="n"/>
      <c r="C3100" s="64" t="n"/>
      <c r="D3100" s="167" t="n"/>
      <c r="E3100" s="63" t="n"/>
      <c r="F3100" s="63" t="n"/>
    </row>
    <row r="3101">
      <c r="A3101" s="166" t="n"/>
      <c r="B3101" s="63" t="n"/>
      <c r="C3101" s="64" t="n"/>
      <c r="D3101" s="167" t="n"/>
      <c r="E3101" s="63" t="n"/>
      <c r="F3101" s="63" t="n"/>
    </row>
    <row r="3102">
      <c r="A3102" s="166" t="n"/>
      <c r="B3102" s="63" t="n"/>
      <c r="C3102" s="64" t="n"/>
      <c r="D3102" s="167" t="n"/>
      <c r="E3102" s="63" t="n"/>
      <c r="F3102" s="63" t="n"/>
    </row>
    <row r="3103">
      <c r="A3103" s="166" t="n"/>
      <c r="B3103" s="63" t="n"/>
      <c r="C3103" s="64" t="n"/>
      <c r="D3103" s="167" t="n"/>
      <c r="E3103" s="63" t="n"/>
      <c r="F3103" s="63" t="n"/>
    </row>
    <row r="3104">
      <c r="A3104" s="166" t="n"/>
      <c r="B3104" s="63" t="n"/>
      <c r="C3104" s="64" t="n"/>
      <c r="D3104" s="167" t="n"/>
      <c r="E3104" s="63" t="n"/>
      <c r="F3104" s="63" t="n"/>
    </row>
    <row r="3105">
      <c r="A3105" s="166" t="n"/>
      <c r="B3105" s="63" t="n"/>
      <c r="C3105" s="64" t="n"/>
      <c r="D3105" s="167" t="n"/>
      <c r="E3105" s="63" t="n"/>
      <c r="F3105" s="63" t="n"/>
    </row>
    <row r="3106">
      <c r="A3106" s="166" t="n"/>
      <c r="B3106" s="63" t="n"/>
      <c r="C3106" s="64" t="n"/>
      <c r="D3106" s="167" t="n"/>
      <c r="E3106" s="63" t="n"/>
      <c r="F3106" s="63" t="n"/>
    </row>
    <row r="3107">
      <c r="A3107" s="166" t="n"/>
      <c r="B3107" s="63" t="n"/>
      <c r="C3107" s="64" t="n"/>
      <c r="D3107" s="167" t="n"/>
      <c r="E3107" s="63" t="n"/>
      <c r="F3107" s="63" t="n"/>
    </row>
    <row r="3108">
      <c r="A3108" s="166" t="n"/>
      <c r="B3108" s="63" t="n"/>
      <c r="C3108" s="64" t="n"/>
      <c r="D3108" s="167" t="n"/>
      <c r="E3108" s="63" t="n"/>
      <c r="F3108" s="63" t="n"/>
    </row>
    <row r="3109">
      <c r="A3109" s="166" t="n"/>
      <c r="B3109" s="63" t="n"/>
      <c r="C3109" s="64" t="n"/>
      <c r="D3109" s="167" t="n"/>
      <c r="E3109" s="63" t="n"/>
      <c r="F3109" s="63" t="n"/>
    </row>
    <row r="3110">
      <c r="A3110" s="166" t="n"/>
      <c r="B3110" s="63" t="n"/>
      <c r="C3110" s="64" t="n"/>
      <c r="D3110" s="167" t="n"/>
      <c r="E3110" s="63" t="n"/>
      <c r="F3110" s="63" t="n"/>
    </row>
    <row r="3111">
      <c r="A3111" s="166" t="n"/>
      <c r="B3111" s="63" t="n"/>
      <c r="C3111" s="64" t="n"/>
      <c r="D3111" s="167" t="n"/>
      <c r="E3111" s="63" t="n"/>
      <c r="F3111" s="63" t="n"/>
    </row>
    <row r="3112">
      <c r="A3112" s="166" t="n"/>
      <c r="B3112" s="63" t="n"/>
      <c r="C3112" s="64" t="n"/>
      <c r="D3112" s="167" t="n"/>
      <c r="E3112" s="63" t="n"/>
      <c r="F3112" s="63" t="n"/>
    </row>
    <row r="3113">
      <c r="A3113" s="166" t="n"/>
      <c r="B3113" s="63" t="n"/>
      <c r="C3113" s="64" t="n"/>
      <c r="D3113" s="167" t="n"/>
      <c r="E3113" s="63" t="n"/>
      <c r="F3113" s="63" t="n"/>
    </row>
    <row r="3114">
      <c r="A3114" s="166" t="n"/>
      <c r="B3114" s="63" t="n"/>
      <c r="C3114" s="64" t="n"/>
      <c r="D3114" s="167" t="n"/>
      <c r="E3114" s="63" t="n"/>
      <c r="F3114" s="63" t="n"/>
    </row>
    <row r="3115">
      <c r="A3115" s="166" t="n"/>
      <c r="B3115" s="63" t="n"/>
      <c r="C3115" s="64" t="n"/>
      <c r="D3115" s="167" t="n"/>
      <c r="E3115" s="63" t="n"/>
      <c r="F3115" s="63" t="n"/>
    </row>
    <row r="3116">
      <c r="A3116" s="166" t="n"/>
      <c r="B3116" s="63" t="n"/>
      <c r="C3116" s="64" t="n"/>
      <c r="D3116" s="167" t="n"/>
      <c r="E3116" s="63" t="n"/>
      <c r="F3116" s="63" t="n"/>
    </row>
    <row r="3117">
      <c r="A3117" s="166" t="n"/>
      <c r="B3117" s="63" t="n"/>
      <c r="C3117" s="64" t="n"/>
      <c r="D3117" s="167" t="n"/>
      <c r="E3117" s="63" t="n"/>
      <c r="F3117" s="63" t="n"/>
    </row>
    <row r="3118">
      <c r="A3118" s="166" t="n"/>
      <c r="B3118" s="63" t="n"/>
      <c r="C3118" s="64" t="n"/>
      <c r="D3118" s="167" t="n"/>
      <c r="E3118" s="63" t="n"/>
      <c r="F3118" s="63" t="n"/>
    </row>
    <row r="3119">
      <c r="A3119" s="166" t="n"/>
      <c r="B3119" s="63" t="n"/>
      <c r="C3119" s="64" t="n"/>
      <c r="D3119" s="167" t="n"/>
      <c r="E3119" s="63" t="n"/>
      <c r="F3119" s="63" t="n"/>
    </row>
    <row r="3120">
      <c r="A3120" s="166" t="n"/>
      <c r="B3120" s="63" t="n"/>
      <c r="C3120" s="64" t="n"/>
      <c r="D3120" s="167" t="n"/>
      <c r="E3120" s="63" t="n"/>
      <c r="F3120" s="63" t="n"/>
    </row>
    <row r="3121">
      <c r="A3121" s="166" t="n"/>
      <c r="B3121" s="63" t="n"/>
      <c r="C3121" s="64" t="n"/>
      <c r="D3121" s="167" t="n"/>
      <c r="E3121" s="63" t="n"/>
      <c r="F3121" s="63" t="n"/>
    </row>
    <row r="3122">
      <c r="A3122" s="166" t="n"/>
      <c r="B3122" s="63" t="n"/>
      <c r="C3122" s="64" t="n"/>
      <c r="D3122" s="167" t="n"/>
      <c r="E3122" s="63" t="n"/>
      <c r="F3122" s="63" t="n"/>
    </row>
    <row r="3123">
      <c r="A3123" s="166" t="n"/>
      <c r="B3123" s="63" t="n"/>
      <c r="C3123" s="64" t="n"/>
      <c r="D3123" s="167" t="n"/>
      <c r="E3123" s="63" t="n"/>
      <c r="F3123" s="63" t="n"/>
    </row>
    <row r="3124">
      <c r="A3124" s="166" t="n"/>
      <c r="B3124" s="63" t="n"/>
      <c r="C3124" s="64" t="n"/>
      <c r="D3124" s="167" t="n"/>
      <c r="E3124" s="63" t="n"/>
      <c r="F3124" s="63" t="n"/>
    </row>
    <row r="3125">
      <c r="A3125" s="166" t="n"/>
      <c r="B3125" s="63" t="n"/>
      <c r="C3125" s="64" t="n"/>
      <c r="D3125" s="167" t="n"/>
      <c r="E3125" s="63" t="n"/>
      <c r="F3125" s="63" t="n"/>
    </row>
    <row r="3126">
      <c r="A3126" s="166" t="n"/>
      <c r="B3126" s="63" t="n"/>
      <c r="C3126" s="64" t="n"/>
      <c r="D3126" s="167" t="n"/>
      <c r="E3126" s="63" t="n"/>
      <c r="F3126" s="63" t="n"/>
    </row>
    <row r="3127">
      <c r="A3127" s="166" t="n"/>
      <c r="B3127" s="63" t="n"/>
      <c r="C3127" s="64" t="n"/>
      <c r="D3127" s="167" t="n"/>
      <c r="E3127" s="63" t="n"/>
      <c r="F3127" s="63" t="n"/>
    </row>
    <row r="3128">
      <c r="A3128" s="166" t="n"/>
      <c r="B3128" s="63" t="n"/>
      <c r="C3128" s="64" t="n"/>
      <c r="D3128" s="167" t="n"/>
      <c r="E3128" s="63" t="n"/>
      <c r="F3128" s="63" t="n"/>
    </row>
    <row r="3129">
      <c r="A3129" s="166" t="n"/>
      <c r="B3129" s="63" t="n"/>
      <c r="C3129" s="64" t="n"/>
      <c r="D3129" s="167" t="n"/>
      <c r="E3129" s="63" t="n"/>
      <c r="F3129" s="63" t="n"/>
    </row>
    <row r="3130">
      <c r="A3130" s="166" t="n"/>
      <c r="B3130" s="63" t="n"/>
      <c r="C3130" s="64" t="n"/>
      <c r="D3130" s="167" t="n"/>
      <c r="E3130" s="63" t="n"/>
      <c r="F3130" s="63" t="n"/>
    </row>
    <row r="3131">
      <c r="A3131" s="166" t="n"/>
      <c r="B3131" s="63" t="n"/>
      <c r="C3131" s="64" t="n"/>
      <c r="D3131" s="167" t="n"/>
      <c r="E3131" s="63" t="n"/>
      <c r="F3131" s="63" t="n"/>
    </row>
    <row r="3132">
      <c r="A3132" s="166" t="n"/>
      <c r="B3132" s="63" t="n"/>
      <c r="C3132" s="64" t="n"/>
      <c r="D3132" s="167" t="n"/>
      <c r="E3132" s="63" t="n"/>
      <c r="F3132" s="63" t="n"/>
    </row>
    <row r="3133">
      <c r="A3133" s="166" t="n"/>
      <c r="B3133" s="63" t="n"/>
      <c r="C3133" s="64" t="n"/>
      <c r="D3133" s="167" t="n"/>
      <c r="E3133" s="63" t="n"/>
      <c r="F3133" s="63" t="n"/>
    </row>
    <row r="3134">
      <c r="A3134" s="166" t="n"/>
      <c r="B3134" s="63" t="n"/>
      <c r="C3134" s="64" t="n"/>
      <c r="D3134" s="167" t="n"/>
      <c r="E3134" s="63" t="n"/>
      <c r="F3134" s="63" t="n"/>
    </row>
    <row r="3135">
      <c r="A3135" s="166" t="n"/>
      <c r="B3135" s="63" t="n"/>
      <c r="C3135" s="64" t="n"/>
      <c r="D3135" s="167" t="n"/>
      <c r="E3135" s="63" t="n"/>
      <c r="F3135" s="63" t="n"/>
    </row>
    <row r="3136">
      <c r="A3136" s="166" t="n"/>
      <c r="B3136" s="63" t="n"/>
      <c r="C3136" s="64" t="n"/>
      <c r="D3136" s="167" t="n"/>
      <c r="E3136" s="63" t="n"/>
      <c r="F3136" s="63" t="n"/>
    </row>
    <row r="3137">
      <c r="A3137" s="166" t="n"/>
      <c r="B3137" s="63" t="n"/>
      <c r="C3137" s="64" t="n"/>
      <c r="D3137" s="167" t="n"/>
      <c r="E3137" s="63" t="n"/>
      <c r="F3137" s="63" t="n"/>
    </row>
    <row r="3138">
      <c r="A3138" s="166" t="n"/>
      <c r="B3138" s="63" t="n"/>
      <c r="C3138" s="64" t="n"/>
      <c r="D3138" s="167" t="n"/>
      <c r="E3138" s="63" t="n"/>
      <c r="F3138" s="63" t="n"/>
    </row>
    <row r="3139">
      <c r="A3139" s="166" t="n"/>
      <c r="B3139" s="63" t="n"/>
      <c r="C3139" s="64" t="n"/>
      <c r="D3139" s="167" t="n"/>
      <c r="E3139" s="63" t="n"/>
      <c r="F3139" s="63" t="n"/>
    </row>
    <row r="3140">
      <c r="A3140" s="166" t="n"/>
      <c r="B3140" s="63" t="n"/>
      <c r="C3140" s="64" t="n"/>
      <c r="D3140" s="167" t="n"/>
      <c r="E3140" s="63" t="n"/>
      <c r="F3140" s="63" t="n"/>
    </row>
    <row r="3141">
      <c r="A3141" s="166" t="n"/>
      <c r="B3141" s="63" t="n"/>
      <c r="C3141" s="64" t="n"/>
      <c r="D3141" s="167" t="n"/>
      <c r="E3141" s="63" t="n"/>
      <c r="F3141" s="63" t="n"/>
    </row>
    <row r="3142">
      <c r="A3142" s="166" t="n"/>
      <c r="B3142" s="63" t="n"/>
      <c r="C3142" s="64" t="n"/>
      <c r="D3142" s="167" t="n"/>
      <c r="E3142" s="63" t="n"/>
      <c r="F3142" s="63" t="n"/>
    </row>
    <row r="3143">
      <c r="A3143" s="166" t="n"/>
      <c r="B3143" s="63" t="n"/>
      <c r="C3143" s="64" t="n"/>
      <c r="D3143" s="167" t="n"/>
      <c r="E3143" s="63" t="n"/>
      <c r="F3143" s="63" t="n"/>
    </row>
    <row r="3144">
      <c r="A3144" s="166" t="n"/>
      <c r="B3144" s="63" t="n"/>
      <c r="C3144" s="64" t="n"/>
      <c r="D3144" s="167" t="n"/>
      <c r="E3144" s="63" t="n"/>
      <c r="F3144" s="63" t="n"/>
    </row>
    <row r="3145">
      <c r="A3145" s="166" t="n"/>
      <c r="B3145" s="63" t="n"/>
      <c r="C3145" s="64" t="n"/>
      <c r="D3145" s="167" t="n"/>
      <c r="E3145" s="63" t="n"/>
      <c r="F3145" s="63" t="n"/>
    </row>
    <row r="3146">
      <c r="A3146" s="166" t="n"/>
      <c r="B3146" s="63" t="n"/>
      <c r="C3146" s="64" t="n"/>
      <c r="D3146" s="167" t="n"/>
      <c r="E3146" s="63" t="n"/>
      <c r="F3146" s="63" t="n"/>
    </row>
    <row r="3147">
      <c r="A3147" s="166" t="n"/>
      <c r="B3147" s="63" t="n"/>
      <c r="C3147" s="64" t="n"/>
      <c r="D3147" s="167" t="n"/>
      <c r="E3147" s="63" t="n"/>
      <c r="F3147" s="63" t="n"/>
    </row>
    <row r="3148">
      <c r="A3148" s="166" t="n"/>
      <c r="B3148" s="63" t="n"/>
      <c r="C3148" s="64" t="n"/>
      <c r="D3148" s="167" t="n"/>
      <c r="E3148" s="63" t="n"/>
      <c r="F3148" s="63" t="n"/>
    </row>
    <row r="3149">
      <c r="A3149" s="166" t="n"/>
      <c r="B3149" s="63" t="n"/>
      <c r="C3149" s="64" t="n"/>
      <c r="D3149" s="167" t="n"/>
      <c r="E3149" s="63" t="n"/>
      <c r="F3149" s="63" t="n"/>
    </row>
    <row r="3150">
      <c r="A3150" s="166" t="n"/>
      <c r="B3150" s="63" t="n"/>
      <c r="C3150" s="64" t="n"/>
      <c r="D3150" s="167" t="n"/>
      <c r="E3150" s="63" t="n"/>
      <c r="F3150" s="63" t="n"/>
    </row>
    <row r="3151">
      <c r="A3151" s="166" t="n"/>
      <c r="B3151" s="63" t="n"/>
      <c r="C3151" s="64" t="n"/>
      <c r="D3151" s="167" t="n"/>
      <c r="E3151" s="63" t="n"/>
      <c r="F3151" s="63" t="n"/>
    </row>
    <row r="3152">
      <c r="A3152" s="166" t="n"/>
      <c r="B3152" s="63" t="n"/>
      <c r="C3152" s="64" t="n"/>
      <c r="D3152" s="167" t="n"/>
      <c r="E3152" s="63" t="n"/>
      <c r="F3152" s="63" t="n"/>
    </row>
    <row r="3153">
      <c r="A3153" s="166" t="n"/>
      <c r="B3153" s="63" t="n"/>
      <c r="C3153" s="64" t="n"/>
      <c r="D3153" s="167" t="n"/>
      <c r="E3153" s="63" t="n"/>
      <c r="F3153" s="63" t="n"/>
    </row>
    <row r="3154">
      <c r="A3154" s="166" t="n"/>
      <c r="B3154" s="63" t="n"/>
      <c r="C3154" s="64" t="n"/>
      <c r="D3154" s="167" t="n"/>
      <c r="E3154" s="63" t="n"/>
      <c r="F3154" s="63" t="n"/>
    </row>
    <row r="3155">
      <c r="A3155" s="166" t="n"/>
      <c r="B3155" s="63" t="n"/>
      <c r="C3155" s="64" t="n"/>
      <c r="D3155" s="167" t="n"/>
      <c r="E3155" s="63" t="n"/>
      <c r="F3155" s="63" t="n"/>
    </row>
    <row r="3156">
      <c r="A3156" s="166" t="n"/>
      <c r="B3156" s="63" t="n"/>
      <c r="C3156" s="64" t="n"/>
      <c r="D3156" s="167" t="n"/>
      <c r="E3156" s="63" t="n"/>
      <c r="F3156" s="63" t="n"/>
    </row>
    <row r="3157">
      <c r="A3157" s="166" t="n"/>
      <c r="B3157" s="63" t="n"/>
      <c r="C3157" s="64" t="n"/>
      <c r="D3157" s="167" t="n"/>
      <c r="E3157" s="63" t="n"/>
      <c r="F3157" s="63" t="n"/>
    </row>
    <row r="3158">
      <c r="A3158" s="166" t="n"/>
      <c r="B3158" s="63" t="n"/>
      <c r="C3158" s="64" t="n"/>
      <c r="D3158" s="167" t="n"/>
      <c r="E3158" s="63" t="n"/>
      <c r="F3158" s="63" t="n"/>
    </row>
    <row r="3159">
      <c r="A3159" s="166" t="n"/>
      <c r="B3159" s="63" t="n"/>
      <c r="C3159" s="64" t="n"/>
      <c r="D3159" s="167" t="n"/>
      <c r="E3159" s="63" t="n"/>
      <c r="F3159" s="63" t="n"/>
    </row>
    <row r="3160">
      <c r="A3160" s="166" t="n"/>
      <c r="B3160" s="63" t="n"/>
      <c r="C3160" s="64" t="n"/>
      <c r="D3160" s="167" t="n"/>
      <c r="E3160" s="63" t="n"/>
      <c r="F3160" s="63" t="n"/>
    </row>
    <row r="3161">
      <c r="A3161" s="166" t="n"/>
      <c r="B3161" s="63" t="n"/>
      <c r="C3161" s="64" t="n"/>
      <c r="D3161" s="167" t="n"/>
      <c r="E3161" s="63" t="n"/>
      <c r="F3161" s="63" t="n"/>
    </row>
    <row r="3162">
      <c r="A3162" s="166" t="n"/>
      <c r="B3162" s="63" t="n"/>
      <c r="C3162" s="64" t="n"/>
      <c r="D3162" s="167" t="n"/>
      <c r="E3162" s="63" t="n"/>
      <c r="F3162" s="63" t="n"/>
    </row>
    <row r="3163">
      <c r="A3163" s="166" t="n"/>
      <c r="B3163" s="63" t="n"/>
      <c r="C3163" s="64" t="n"/>
      <c r="D3163" s="167" t="n"/>
      <c r="E3163" s="63" t="n"/>
      <c r="F3163" s="63" t="n"/>
    </row>
    <row r="3164">
      <c r="A3164" s="166" t="n"/>
      <c r="B3164" s="63" t="n"/>
      <c r="C3164" s="64" t="n"/>
      <c r="D3164" s="167" t="n"/>
      <c r="E3164" s="63" t="n"/>
      <c r="F3164" s="63" t="n"/>
    </row>
    <row r="3165">
      <c r="A3165" s="166" t="n"/>
      <c r="B3165" s="63" t="n"/>
      <c r="C3165" s="64" t="n"/>
      <c r="D3165" s="167" t="n"/>
      <c r="E3165" s="63" t="n"/>
      <c r="F3165" s="63" t="n"/>
    </row>
    <row r="3166">
      <c r="A3166" s="166" t="n"/>
      <c r="B3166" s="63" t="n"/>
      <c r="C3166" s="64" t="n"/>
      <c r="D3166" s="167" t="n"/>
      <c r="E3166" s="63" t="n"/>
      <c r="F3166" s="63" t="n"/>
    </row>
    <row r="3167">
      <c r="A3167" s="166" t="n"/>
      <c r="B3167" s="63" t="n"/>
      <c r="C3167" s="64" t="n"/>
      <c r="D3167" s="167" t="n"/>
      <c r="E3167" s="63" t="n"/>
      <c r="F3167" s="63" t="n"/>
    </row>
    <row r="3168">
      <c r="A3168" s="166" t="n"/>
      <c r="B3168" s="63" t="n"/>
      <c r="C3168" s="64" t="n"/>
      <c r="D3168" s="167" t="n"/>
      <c r="E3168" s="63" t="n"/>
      <c r="F3168" s="63" t="n"/>
    </row>
    <row r="3169">
      <c r="A3169" s="166" t="n"/>
      <c r="B3169" s="63" t="n"/>
      <c r="C3169" s="64" t="n"/>
      <c r="D3169" s="167" t="n"/>
      <c r="E3169" s="63" t="n"/>
      <c r="F3169" s="63" t="n"/>
    </row>
    <row r="3170">
      <c r="A3170" s="166" t="n"/>
      <c r="B3170" s="63" t="n"/>
      <c r="C3170" s="64" t="n"/>
      <c r="D3170" s="167" t="n"/>
      <c r="E3170" s="63" t="n"/>
      <c r="F3170" s="63" t="n"/>
    </row>
    <row r="3171">
      <c r="A3171" s="166" t="n"/>
      <c r="B3171" s="63" t="n"/>
      <c r="C3171" s="64" t="n"/>
      <c r="D3171" s="167" t="n"/>
      <c r="E3171" s="63" t="n"/>
      <c r="F3171" s="63" t="n"/>
    </row>
    <row r="3172">
      <c r="A3172" s="166" t="n"/>
      <c r="B3172" s="63" t="n"/>
      <c r="C3172" s="64" t="n"/>
      <c r="D3172" s="167" t="n"/>
      <c r="E3172" s="63" t="n"/>
      <c r="F3172" s="63" t="n"/>
    </row>
    <row r="3173">
      <c r="A3173" s="166" t="n"/>
      <c r="B3173" s="63" t="n"/>
      <c r="C3173" s="64" t="n"/>
      <c r="D3173" s="167" t="n"/>
      <c r="E3173" s="63" t="n"/>
      <c r="F3173" s="63" t="n"/>
    </row>
    <row r="3174">
      <c r="A3174" s="166" t="n"/>
      <c r="B3174" s="63" t="n"/>
      <c r="C3174" s="64" t="n"/>
      <c r="D3174" s="167" t="n"/>
      <c r="E3174" s="63" t="n"/>
      <c r="F3174" s="63" t="n"/>
    </row>
    <row r="3175">
      <c r="A3175" s="166" t="n"/>
      <c r="B3175" s="63" t="n"/>
      <c r="C3175" s="64" t="n"/>
      <c r="D3175" s="167" t="n"/>
      <c r="E3175" s="63" t="n"/>
      <c r="F3175" s="63" t="n"/>
    </row>
    <row r="3176">
      <c r="A3176" s="166" t="n"/>
      <c r="B3176" s="63" t="n"/>
      <c r="C3176" s="64" t="n"/>
      <c r="D3176" s="167" t="n"/>
      <c r="E3176" s="63" t="n"/>
      <c r="F3176" s="63" t="n"/>
    </row>
    <row r="3177">
      <c r="A3177" s="166" t="n"/>
      <c r="B3177" s="63" t="n"/>
      <c r="C3177" s="64" t="n"/>
      <c r="D3177" s="167" t="n"/>
      <c r="E3177" s="63" t="n"/>
      <c r="F3177" s="63" t="n"/>
    </row>
    <row r="3178">
      <c r="A3178" s="166" t="n"/>
      <c r="B3178" s="63" t="n"/>
      <c r="C3178" s="64" t="n"/>
      <c r="D3178" s="167" t="n"/>
      <c r="E3178" s="63" t="n"/>
      <c r="F3178" s="63" t="n"/>
    </row>
    <row r="3179">
      <c r="A3179" s="166" t="n"/>
      <c r="B3179" s="63" t="n"/>
      <c r="C3179" s="64" t="n"/>
      <c r="D3179" s="167" t="n"/>
      <c r="E3179" s="63" t="n"/>
      <c r="F3179" s="63" t="n"/>
    </row>
    <row r="3180">
      <c r="A3180" s="166" t="n"/>
      <c r="B3180" s="63" t="n"/>
      <c r="C3180" s="64" t="n"/>
      <c r="D3180" s="167" t="n"/>
      <c r="E3180" s="63" t="n"/>
      <c r="F3180" s="63" t="n"/>
    </row>
    <row r="3181">
      <c r="A3181" s="166" t="n"/>
      <c r="B3181" s="63" t="n"/>
      <c r="C3181" s="64" t="n"/>
      <c r="D3181" s="167" t="n"/>
      <c r="E3181" s="63" t="n"/>
      <c r="F3181" s="63" t="n"/>
    </row>
    <row r="3182">
      <c r="A3182" s="166" t="n"/>
      <c r="B3182" s="63" t="n"/>
      <c r="C3182" s="64" t="n"/>
      <c r="D3182" s="167" t="n"/>
      <c r="E3182" s="63" t="n"/>
      <c r="F3182" s="63" t="n"/>
    </row>
    <row r="3183">
      <c r="A3183" s="166" t="n"/>
      <c r="B3183" s="63" t="n"/>
      <c r="C3183" s="64" t="n"/>
      <c r="D3183" s="167" t="n"/>
      <c r="E3183" s="63" t="n"/>
      <c r="F3183" s="63" t="n"/>
    </row>
    <row r="3184">
      <c r="A3184" s="166" t="n"/>
      <c r="B3184" s="63" t="n"/>
      <c r="C3184" s="64" t="n"/>
      <c r="D3184" s="167" t="n"/>
      <c r="E3184" s="63" t="n"/>
      <c r="F3184" s="63" t="n"/>
    </row>
    <row r="3185">
      <c r="A3185" s="166" t="n"/>
      <c r="B3185" s="63" t="n"/>
      <c r="C3185" s="64" t="n"/>
      <c r="D3185" s="167" t="n"/>
      <c r="E3185" s="63" t="n"/>
      <c r="F3185" s="63" t="n"/>
    </row>
    <row r="3186">
      <c r="A3186" s="166" t="n"/>
      <c r="B3186" s="63" t="n"/>
      <c r="C3186" s="64" t="n"/>
      <c r="D3186" s="167" t="n"/>
      <c r="E3186" s="63" t="n"/>
      <c r="F3186" s="63" t="n"/>
    </row>
    <row r="3187">
      <c r="A3187" s="166" t="n"/>
      <c r="B3187" s="63" t="n"/>
      <c r="C3187" s="64" t="n"/>
      <c r="D3187" s="167" t="n"/>
      <c r="E3187" s="63" t="n"/>
      <c r="F3187" s="63" t="n"/>
    </row>
    <row r="3188">
      <c r="A3188" s="166" t="n"/>
      <c r="B3188" s="63" t="n"/>
      <c r="C3188" s="64" t="n"/>
      <c r="D3188" s="167" t="n"/>
      <c r="E3188" s="63" t="n"/>
      <c r="F3188" s="63" t="n"/>
    </row>
    <row r="3189">
      <c r="A3189" s="166" t="n"/>
      <c r="B3189" s="63" t="n"/>
      <c r="C3189" s="64" t="n"/>
      <c r="D3189" s="167" t="n"/>
      <c r="E3189" s="63" t="n"/>
      <c r="F3189" s="63" t="n"/>
    </row>
    <row r="3190">
      <c r="A3190" s="166" t="n"/>
      <c r="B3190" s="63" t="n"/>
      <c r="C3190" s="64" t="n"/>
      <c r="D3190" s="167" t="n"/>
      <c r="E3190" s="63" t="n"/>
      <c r="F3190" s="63" t="n"/>
    </row>
    <row r="3191">
      <c r="A3191" s="166" t="n"/>
      <c r="B3191" s="63" t="n"/>
      <c r="C3191" s="64" t="n"/>
      <c r="D3191" s="167" t="n"/>
      <c r="E3191" s="63" t="n"/>
      <c r="F3191" s="63" t="n"/>
    </row>
    <row r="3192">
      <c r="A3192" s="166" t="n"/>
      <c r="B3192" s="63" t="n"/>
      <c r="C3192" s="64" t="n"/>
      <c r="D3192" s="167" t="n"/>
      <c r="E3192" s="63" t="n"/>
      <c r="F3192" s="63" t="n"/>
    </row>
    <row r="3193">
      <c r="A3193" s="166" t="n"/>
      <c r="B3193" s="63" t="n"/>
      <c r="C3193" s="64" t="n"/>
      <c r="D3193" s="167" t="n"/>
      <c r="E3193" s="63" t="n"/>
      <c r="F3193" s="63" t="n"/>
    </row>
    <row r="3194">
      <c r="A3194" s="166" t="n"/>
      <c r="B3194" s="63" t="n"/>
      <c r="C3194" s="64" t="n"/>
      <c r="D3194" s="167" t="n"/>
      <c r="E3194" s="63" t="n"/>
      <c r="F3194" s="63" t="n"/>
    </row>
    <row r="3195">
      <c r="A3195" s="166" t="n"/>
      <c r="B3195" s="63" t="n"/>
      <c r="C3195" s="64" t="n"/>
      <c r="D3195" s="167" t="n"/>
      <c r="E3195" s="63" t="n"/>
      <c r="F3195" s="63" t="n"/>
    </row>
    <row r="3196">
      <c r="A3196" s="166" t="n"/>
      <c r="B3196" s="63" t="n"/>
      <c r="C3196" s="64" t="n"/>
      <c r="D3196" s="167" t="n"/>
      <c r="E3196" s="63" t="n"/>
      <c r="F3196" s="63" t="n"/>
    </row>
    <row r="3197">
      <c r="A3197" s="166" t="n"/>
      <c r="B3197" s="63" t="n"/>
      <c r="C3197" s="64" t="n"/>
      <c r="D3197" s="167" t="n"/>
      <c r="E3197" s="63" t="n"/>
      <c r="F3197" s="63" t="n"/>
    </row>
    <row r="3198">
      <c r="A3198" s="166" t="n"/>
      <c r="B3198" s="63" t="n"/>
      <c r="C3198" s="64" t="n"/>
      <c r="D3198" s="167" t="n"/>
      <c r="E3198" s="63" t="n"/>
      <c r="F3198" s="63" t="n"/>
    </row>
    <row r="3199">
      <c r="A3199" s="166" t="n"/>
      <c r="B3199" s="63" t="n"/>
      <c r="C3199" s="64" t="n"/>
      <c r="D3199" s="167" t="n"/>
      <c r="E3199" s="63" t="n"/>
      <c r="F3199" s="63" t="n"/>
    </row>
    <row r="3200">
      <c r="A3200" s="166" t="n"/>
      <c r="B3200" s="63" t="n"/>
      <c r="C3200" s="64" t="n"/>
      <c r="D3200" s="167" t="n"/>
      <c r="E3200" s="63" t="n"/>
      <c r="F3200" s="63" t="n"/>
    </row>
    <row r="3201">
      <c r="A3201" s="166" t="n"/>
      <c r="B3201" s="63" t="n"/>
      <c r="C3201" s="64" t="n"/>
      <c r="D3201" s="167" t="n"/>
      <c r="E3201" s="63" t="n"/>
      <c r="F3201" s="63" t="n"/>
    </row>
    <row r="3202">
      <c r="A3202" s="166" t="n"/>
      <c r="B3202" s="63" t="n"/>
      <c r="C3202" s="64" t="n"/>
      <c r="D3202" s="167" t="n"/>
      <c r="E3202" s="63" t="n"/>
      <c r="F3202" s="63" t="n"/>
    </row>
    <row r="3203">
      <c r="A3203" s="166" t="n"/>
      <c r="B3203" s="63" t="n"/>
      <c r="C3203" s="64" t="n"/>
      <c r="D3203" s="167" t="n"/>
      <c r="E3203" s="63" t="n"/>
      <c r="F3203" s="63" t="n"/>
    </row>
    <row r="3204">
      <c r="A3204" s="166" t="n"/>
      <c r="B3204" s="63" t="n"/>
      <c r="C3204" s="64" t="n"/>
      <c r="D3204" s="167" t="n"/>
      <c r="E3204" s="63" t="n"/>
      <c r="F3204" s="63" t="n"/>
    </row>
    <row r="3205">
      <c r="A3205" s="166" t="n"/>
      <c r="B3205" s="63" t="n"/>
      <c r="C3205" s="64" t="n"/>
      <c r="D3205" s="167" t="n"/>
      <c r="E3205" s="63" t="n"/>
      <c r="F3205" s="63" t="n"/>
    </row>
    <row r="3206">
      <c r="A3206" s="166" t="n"/>
      <c r="B3206" s="63" t="n"/>
      <c r="C3206" s="64" t="n"/>
      <c r="D3206" s="167" t="n"/>
      <c r="E3206" s="63" t="n"/>
      <c r="F3206" s="63" t="n"/>
    </row>
    <row r="3207">
      <c r="A3207" s="166" t="n"/>
      <c r="B3207" s="63" t="n"/>
      <c r="C3207" s="64" t="n"/>
      <c r="D3207" s="167" t="n"/>
      <c r="E3207" s="63" t="n"/>
      <c r="F3207" s="63" t="n"/>
    </row>
    <row r="3208">
      <c r="A3208" s="166" t="n"/>
      <c r="B3208" s="63" t="n"/>
      <c r="C3208" s="64" t="n"/>
      <c r="D3208" s="167" t="n"/>
      <c r="E3208" s="63" t="n"/>
      <c r="F3208" s="63" t="n"/>
    </row>
    <row r="3209">
      <c r="A3209" s="166" t="n"/>
      <c r="B3209" s="63" t="n"/>
      <c r="C3209" s="64" t="n"/>
      <c r="D3209" s="167" t="n"/>
      <c r="E3209" s="63" t="n"/>
      <c r="F3209" s="63" t="n"/>
    </row>
    <row r="3210">
      <c r="A3210" s="166" t="n"/>
      <c r="B3210" s="63" t="n"/>
      <c r="C3210" s="64" t="n"/>
      <c r="D3210" s="167" t="n"/>
      <c r="E3210" s="63" t="n"/>
      <c r="F3210" s="63" t="n"/>
    </row>
    <row r="3211">
      <c r="A3211" s="166" t="n"/>
      <c r="B3211" s="63" t="n"/>
      <c r="C3211" s="64" t="n"/>
      <c r="D3211" s="167" t="n"/>
      <c r="E3211" s="63" t="n"/>
      <c r="F3211" s="63" t="n"/>
    </row>
    <row r="3212">
      <c r="A3212" s="166" t="n"/>
      <c r="B3212" s="63" t="n"/>
      <c r="C3212" s="64" t="n"/>
      <c r="D3212" s="167" t="n"/>
      <c r="E3212" s="63" t="n"/>
      <c r="F3212" s="63" t="n"/>
    </row>
    <row r="3213">
      <c r="A3213" s="166" t="n"/>
      <c r="B3213" s="63" t="n"/>
      <c r="C3213" s="64" t="n"/>
      <c r="D3213" s="167" t="n"/>
      <c r="E3213" s="63" t="n"/>
      <c r="F3213" s="63" t="n"/>
    </row>
    <row r="3214">
      <c r="A3214" s="166" t="n"/>
      <c r="B3214" s="63" t="n"/>
      <c r="C3214" s="64" t="n"/>
      <c r="D3214" s="167" t="n"/>
      <c r="E3214" s="63" t="n"/>
      <c r="F3214" s="63" t="n"/>
    </row>
    <row r="3215">
      <c r="A3215" s="166" t="n"/>
      <c r="B3215" s="63" t="n"/>
      <c r="C3215" s="64" t="n"/>
      <c r="D3215" s="167" t="n"/>
      <c r="E3215" s="63" t="n"/>
      <c r="F3215" s="63" t="n"/>
    </row>
    <row r="3216">
      <c r="A3216" s="166" t="n"/>
      <c r="B3216" s="63" t="n"/>
      <c r="C3216" s="64" t="n"/>
      <c r="D3216" s="167" t="n"/>
      <c r="E3216" s="63" t="n"/>
      <c r="F3216" s="63" t="n"/>
    </row>
    <row r="3217">
      <c r="A3217" s="166" t="n"/>
      <c r="B3217" s="63" t="n"/>
      <c r="C3217" s="64" t="n"/>
      <c r="D3217" s="167" t="n"/>
      <c r="E3217" s="63" t="n"/>
      <c r="F3217" s="63" t="n"/>
    </row>
    <row r="3218">
      <c r="A3218" s="166" t="n"/>
      <c r="B3218" s="63" t="n"/>
      <c r="C3218" s="64" t="n"/>
      <c r="D3218" s="167" t="n"/>
      <c r="E3218" s="63" t="n"/>
      <c r="F3218" s="63" t="n"/>
    </row>
    <row r="3219">
      <c r="A3219" s="166" t="n"/>
      <c r="B3219" s="63" t="n"/>
      <c r="C3219" s="64" t="n"/>
      <c r="D3219" s="167" t="n"/>
      <c r="E3219" s="63" t="n"/>
      <c r="F3219" s="63" t="n"/>
    </row>
    <row r="3220">
      <c r="A3220" s="166" t="n"/>
      <c r="B3220" s="63" t="n"/>
      <c r="C3220" s="64" t="n"/>
      <c r="D3220" s="167" t="n"/>
      <c r="E3220" s="63" t="n"/>
      <c r="F3220" s="63" t="n"/>
    </row>
    <row r="3221">
      <c r="A3221" s="166" t="n"/>
      <c r="B3221" s="63" t="n"/>
      <c r="C3221" s="64" t="n"/>
      <c r="D3221" s="167" t="n"/>
      <c r="E3221" s="63" t="n"/>
      <c r="F3221" s="63" t="n"/>
    </row>
    <row r="3222">
      <c r="A3222" s="166" t="n"/>
      <c r="B3222" s="63" t="n"/>
      <c r="C3222" s="64" t="n"/>
      <c r="D3222" s="167" t="n"/>
      <c r="E3222" s="63" t="n"/>
      <c r="F3222" s="63" t="n"/>
    </row>
    <row r="3223">
      <c r="A3223" s="166" t="n"/>
      <c r="B3223" s="63" t="n"/>
      <c r="C3223" s="64" t="n"/>
      <c r="D3223" s="167" t="n"/>
      <c r="E3223" s="63" t="n"/>
      <c r="F3223" s="63" t="n"/>
    </row>
    <row r="3224">
      <c r="A3224" s="166" t="n"/>
      <c r="B3224" s="63" t="n"/>
      <c r="C3224" s="64" t="n"/>
      <c r="D3224" s="167" t="n"/>
      <c r="E3224" s="63" t="n"/>
      <c r="F3224" s="63" t="n"/>
    </row>
    <row r="3225">
      <c r="A3225" s="166" t="n"/>
      <c r="B3225" s="63" t="n"/>
      <c r="C3225" s="64" t="n"/>
      <c r="D3225" s="167" t="n"/>
      <c r="E3225" s="63" t="n"/>
      <c r="F3225" s="63" t="n"/>
    </row>
    <row r="3226">
      <c r="A3226" s="166" t="n"/>
      <c r="B3226" s="63" t="n"/>
      <c r="C3226" s="64" t="n"/>
      <c r="D3226" s="167" t="n"/>
      <c r="E3226" s="63" t="n"/>
      <c r="F3226" s="63" t="n"/>
    </row>
    <row r="3227">
      <c r="A3227" s="166" t="n"/>
      <c r="B3227" s="63" t="n"/>
      <c r="C3227" s="64" t="n"/>
      <c r="D3227" s="167" t="n"/>
      <c r="E3227" s="63" t="n"/>
      <c r="F3227" s="63" t="n"/>
    </row>
    <row r="3228">
      <c r="A3228" s="166" t="n"/>
      <c r="B3228" s="63" t="n"/>
      <c r="C3228" s="64" t="n"/>
      <c r="D3228" s="167" t="n"/>
      <c r="E3228" s="63" t="n"/>
      <c r="F3228" s="63" t="n"/>
    </row>
    <row r="3229">
      <c r="A3229" s="166" t="n"/>
      <c r="B3229" s="63" t="n"/>
      <c r="C3229" s="64" t="n"/>
      <c r="D3229" s="167" t="n"/>
      <c r="E3229" s="63" t="n"/>
      <c r="F3229" s="63" t="n"/>
    </row>
    <row r="3230">
      <c r="A3230" s="166" t="n"/>
      <c r="B3230" s="63" t="n"/>
      <c r="C3230" s="64" t="n"/>
      <c r="D3230" s="167" t="n"/>
      <c r="E3230" s="63" t="n"/>
      <c r="F3230" s="63" t="n"/>
    </row>
    <row r="3231">
      <c r="A3231" s="166" t="n"/>
      <c r="B3231" s="63" t="n"/>
      <c r="C3231" s="64" t="n"/>
      <c r="D3231" s="167" t="n"/>
      <c r="E3231" s="63" t="n"/>
      <c r="F3231" s="63" t="n"/>
    </row>
    <row r="3232">
      <c r="A3232" s="166" t="n"/>
      <c r="B3232" s="63" t="n"/>
      <c r="C3232" s="64" t="n"/>
      <c r="D3232" s="167" t="n"/>
      <c r="E3232" s="63" t="n"/>
      <c r="F3232" s="63" t="n"/>
    </row>
    <row r="3233">
      <c r="A3233" s="166" t="n"/>
      <c r="B3233" s="63" t="n"/>
      <c r="C3233" s="64" t="n"/>
      <c r="D3233" s="167" t="n"/>
      <c r="E3233" s="63" t="n"/>
      <c r="F3233" s="63" t="n"/>
    </row>
    <row r="3234">
      <c r="A3234" s="166" t="n"/>
      <c r="B3234" s="63" t="n"/>
      <c r="C3234" s="64" t="n"/>
      <c r="D3234" s="167" t="n"/>
      <c r="E3234" s="63" t="n"/>
      <c r="F3234" s="63" t="n"/>
    </row>
    <row r="3235">
      <c r="A3235" s="166" t="n"/>
      <c r="B3235" s="63" t="n"/>
      <c r="C3235" s="64" t="n"/>
      <c r="D3235" s="167" t="n"/>
      <c r="E3235" s="63" t="n"/>
      <c r="F3235" s="63" t="n"/>
    </row>
    <row r="3236">
      <c r="A3236" s="166" t="n"/>
      <c r="B3236" s="63" t="n"/>
      <c r="C3236" s="64" t="n"/>
      <c r="D3236" s="167" t="n"/>
      <c r="E3236" s="63" t="n"/>
      <c r="F3236" s="63" t="n"/>
    </row>
    <row r="3237">
      <c r="A3237" s="166" t="n"/>
      <c r="B3237" s="63" t="n"/>
      <c r="C3237" s="64" t="n"/>
      <c r="D3237" s="167" t="n"/>
      <c r="E3237" s="63" t="n"/>
      <c r="F3237" s="63" t="n"/>
    </row>
    <row r="3238">
      <c r="A3238" s="166" t="n"/>
      <c r="B3238" s="63" t="n"/>
      <c r="C3238" s="64" t="n"/>
      <c r="D3238" s="167" t="n"/>
      <c r="E3238" s="63" t="n"/>
      <c r="F3238" s="63" t="n"/>
    </row>
    <row r="3239">
      <c r="A3239" s="166" t="n"/>
      <c r="B3239" s="63" t="n"/>
      <c r="C3239" s="64" t="n"/>
      <c r="D3239" s="167" t="n"/>
      <c r="E3239" s="63" t="n"/>
      <c r="F3239" s="63" t="n"/>
    </row>
    <row r="3240">
      <c r="A3240" s="166" t="n"/>
      <c r="B3240" s="63" t="n"/>
      <c r="C3240" s="64" t="n"/>
      <c r="D3240" s="167" t="n"/>
      <c r="E3240" s="63" t="n"/>
      <c r="F3240" s="63" t="n"/>
    </row>
    <row r="3241">
      <c r="A3241" s="166" t="n"/>
      <c r="B3241" s="63" t="n"/>
      <c r="C3241" s="64" t="n"/>
      <c r="D3241" s="167" t="n"/>
      <c r="E3241" s="63" t="n"/>
      <c r="F3241" s="63" t="n"/>
    </row>
    <row r="3242">
      <c r="A3242" s="166" t="n"/>
      <c r="B3242" s="63" t="n"/>
      <c r="C3242" s="64" t="n"/>
      <c r="D3242" s="167" t="n"/>
      <c r="E3242" s="63" t="n"/>
      <c r="F3242" s="63" t="n"/>
    </row>
    <row r="3243">
      <c r="A3243" s="166" t="n"/>
      <c r="B3243" s="63" t="n"/>
      <c r="C3243" s="64" t="n"/>
      <c r="D3243" s="167" t="n"/>
      <c r="E3243" s="63" t="n"/>
      <c r="F3243" s="63" t="n"/>
    </row>
    <row r="3244">
      <c r="A3244" s="166" t="n"/>
      <c r="B3244" s="63" t="n"/>
      <c r="C3244" s="64" t="n"/>
      <c r="D3244" s="167" t="n"/>
      <c r="E3244" s="63" t="n"/>
      <c r="F3244" s="63" t="n"/>
    </row>
    <row r="3245">
      <c r="A3245" s="166" t="n"/>
      <c r="B3245" s="63" t="n"/>
      <c r="C3245" s="64" t="n"/>
      <c r="D3245" s="167" t="n"/>
      <c r="E3245" s="63" t="n"/>
      <c r="F3245" s="63" t="n"/>
    </row>
    <row r="3246">
      <c r="A3246" s="166" t="n"/>
      <c r="B3246" s="63" t="n"/>
      <c r="C3246" s="64" t="n"/>
      <c r="D3246" s="167" t="n"/>
      <c r="E3246" s="63" t="n"/>
      <c r="F3246" s="63" t="n"/>
    </row>
    <row r="3247">
      <c r="A3247" s="166" t="n"/>
      <c r="B3247" s="63" t="n"/>
      <c r="C3247" s="64" t="n"/>
      <c r="D3247" s="167" t="n"/>
      <c r="E3247" s="63" t="n"/>
      <c r="F3247" s="63" t="n"/>
    </row>
    <row r="3248">
      <c r="A3248" s="166" t="n"/>
      <c r="B3248" s="63" t="n"/>
      <c r="C3248" s="64" t="n"/>
      <c r="D3248" s="167" t="n"/>
      <c r="E3248" s="63" t="n"/>
      <c r="F3248" s="63" t="n"/>
    </row>
    <row r="3249">
      <c r="A3249" s="166" t="n"/>
      <c r="B3249" s="63" t="n"/>
      <c r="C3249" s="64" t="n"/>
      <c r="D3249" s="167" t="n"/>
      <c r="E3249" s="63" t="n"/>
      <c r="F3249" s="63" t="n"/>
    </row>
    <row r="3250">
      <c r="A3250" s="166" t="n"/>
      <c r="B3250" s="63" t="n"/>
      <c r="C3250" s="64" t="n"/>
      <c r="D3250" s="167" t="n"/>
      <c r="E3250" s="63" t="n"/>
      <c r="F3250" s="63" t="n"/>
    </row>
    <row r="3251">
      <c r="A3251" s="166" t="n"/>
      <c r="B3251" s="63" t="n"/>
      <c r="C3251" s="64" t="n"/>
      <c r="D3251" s="167" t="n"/>
      <c r="E3251" s="63" t="n"/>
      <c r="F3251" s="63" t="n"/>
    </row>
    <row r="3252">
      <c r="A3252" s="166" t="n"/>
      <c r="B3252" s="63" t="n"/>
      <c r="C3252" s="64" t="n"/>
      <c r="D3252" s="167" t="n"/>
      <c r="E3252" s="63" t="n"/>
      <c r="F3252" s="63" t="n"/>
    </row>
    <row r="3253">
      <c r="A3253" s="166" t="n"/>
      <c r="B3253" s="63" t="n"/>
      <c r="C3253" s="64" t="n"/>
      <c r="D3253" s="167" t="n"/>
      <c r="E3253" s="63" t="n"/>
      <c r="F3253" s="63" t="n"/>
    </row>
    <row r="3254">
      <c r="A3254" s="166" t="n"/>
      <c r="B3254" s="63" t="n"/>
      <c r="C3254" s="64" t="n"/>
      <c r="D3254" s="167" t="n"/>
      <c r="E3254" s="63" t="n"/>
      <c r="F3254" s="63" t="n"/>
    </row>
    <row r="3255">
      <c r="A3255" s="166" t="n"/>
      <c r="B3255" s="63" t="n"/>
      <c r="C3255" s="64" t="n"/>
      <c r="D3255" s="167" t="n"/>
      <c r="E3255" s="63" t="n"/>
      <c r="F3255" s="63" t="n"/>
    </row>
    <row r="3256">
      <c r="A3256" s="166" t="n"/>
      <c r="B3256" s="63" t="n"/>
      <c r="C3256" s="64" t="n"/>
      <c r="D3256" s="167" t="n"/>
      <c r="E3256" s="63" t="n"/>
      <c r="F3256" s="63" t="n"/>
    </row>
    <row r="3257">
      <c r="A3257" s="166" t="n"/>
      <c r="B3257" s="63" t="n"/>
      <c r="C3257" s="64" t="n"/>
      <c r="D3257" s="167" t="n"/>
      <c r="E3257" s="63" t="n"/>
      <c r="F3257" s="63" t="n"/>
    </row>
    <row r="3258">
      <c r="A3258" s="166" t="n"/>
      <c r="B3258" s="63" t="n"/>
      <c r="C3258" s="64" t="n"/>
      <c r="D3258" s="167" t="n"/>
      <c r="E3258" s="63" t="n"/>
      <c r="F3258" s="63" t="n"/>
    </row>
    <row r="3259">
      <c r="A3259" s="166" t="n"/>
      <c r="B3259" s="63" t="n"/>
      <c r="C3259" s="64" t="n"/>
      <c r="D3259" s="167" t="n"/>
      <c r="E3259" s="63" t="n"/>
      <c r="F3259" s="63" t="n"/>
    </row>
    <row r="3260">
      <c r="A3260" s="166" t="n"/>
      <c r="B3260" s="63" t="n"/>
      <c r="C3260" s="64" t="n"/>
      <c r="D3260" s="167" t="n"/>
      <c r="E3260" s="63" t="n"/>
      <c r="F3260" s="63" t="n"/>
    </row>
    <row r="3261">
      <c r="A3261" s="166" t="n"/>
      <c r="B3261" s="63" t="n"/>
      <c r="C3261" s="64" t="n"/>
      <c r="D3261" s="167" t="n"/>
      <c r="E3261" s="63" t="n"/>
      <c r="F3261" s="63" t="n"/>
    </row>
    <row r="3262">
      <c r="A3262" s="166" t="n"/>
      <c r="B3262" s="63" t="n"/>
      <c r="C3262" s="64" t="n"/>
      <c r="D3262" s="167" t="n"/>
      <c r="E3262" s="63" t="n"/>
      <c r="F3262" s="63" t="n"/>
    </row>
    <row r="3263">
      <c r="A3263" s="166" t="n"/>
      <c r="B3263" s="63" t="n"/>
      <c r="C3263" s="64" t="n"/>
      <c r="D3263" s="167" t="n"/>
      <c r="E3263" s="63" t="n"/>
      <c r="F3263" s="63" t="n"/>
    </row>
    <row r="3264">
      <c r="A3264" s="166" t="n"/>
      <c r="B3264" s="63" t="n"/>
      <c r="C3264" s="64" t="n"/>
      <c r="D3264" s="167" t="n"/>
      <c r="E3264" s="63" t="n"/>
      <c r="F3264" s="63" t="n"/>
    </row>
    <row r="3265">
      <c r="A3265" s="166" t="n"/>
      <c r="B3265" s="63" t="n"/>
      <c r="C3265" s="64" t="n"/>
      <c r="D3265" s="167" t="n"/>
      <c r="E3265" s="63" t="n"/>
      <c r="F3265" s="63" t="n"/>
    </row>
    <row r="3266">
      <c r="A3266" s="166" t="n"/>
      <c r="B3266" s="63" t="n"/>
      <c r="C3266" s="64" t="n"/>
      <c r="D3266" s="167" t="n"/>
      <c r="E3266" s="63" t="n"/>
      <c r="F3266" s="63" t="n"/>
    </row>
    <row r="3267">
      <c r="A3267" s="166" t="n"/>
      <c r="B3267" s="63" t="n"/>
      <c r="C3267" s="64" t="n"/>
      <c r="D3267" s="167" t="n"/>
      <c r="E3267" s="63" t="n"/>
      <c r="F3267" s="63" t="n"/>
    </row>
    <row r="3268">
      <c r="A3268" s="166" t="n"/>
      <c r="B3268" s="63" t="n"/>
      <c r="C3268" s="64" t="n"/>
      <c r="D3268" s="167" t="n"/>
      <c r="E3268" s="63" t="n"/>
      <c r="F3268" s="63" t="n"/>
    </row>
    <row r="3269">
      <c r="A3269" s="166" t="n"/>
      <c r="B3269" s="63" t="n"/>
      <c r="C3269" s="64" t="n"/>
      <c r="D3269" s="167" t="n"/>
      <c r="E3269" s="63" t="n"/>
      <c r="F3269" s="63" t="n"/>
    </row>
    <row r="3270">
      <c r="A3270" s="166" t="n"/>
      <c r="B3270" s="63" t="n"/>
      <c r="C3270" s="64" t="n"/>
      <c r="D3270" s="167" t="n"/>
      <c r="E3270" s="63" t="n"/>
      <c r="F3270" s="63" t="n"/>
    </row>
    <row r="3271">
      <c r="A3271" s="166" t="n"/>
      <c r="B3271" s="63" t="n"/>
      <c r="C3271" s="64" t="n"/>
      <c r="D3271" s="167" t="n"/>
      <c r="E3271" s="63" t="n"/>
      <c r="F3271" s="63" t="n"/>
    </row>
    <row r="3272">
      <c r="A3272" s="166" t="n"/>
      <c r="B3272" s="63" t="n"/>
      <c r="C3272" s="64" t="n"/>
      <c r="D3272" s="167" t="n"/>
      <c r="E3272" s="63" t="n"/>
      <c r="F3272" s="63" t="n"/>
    </row>
    <row r="3273">
      <c r="A3273" s="166" t="n"/>
      <c r="B3273" s="63" t="n"/>
      <c r="C3273" s="64" t="n"/>
      <c r="D3273" s="167" t="n"/>
      <c r="E3273" s="63" t="n"/>
      <c r="F3273" s="63" t="n"/>
    </row>
    <row r="3274">
      <c r="A3274" s="166" t="n"/>
      <c r="B3274" s="63" t="n"/>
      <c r="C3274" s="64" t="n"/>
      <c r="D3274" s="167" t="n"/>
      <c r="E3274" s="63" t="n"/>
      <c r="F3274" s="63" t="n"/>
    </row>
    <row r="3275">
      <c r="A3275" s="166" t="n"/>
      <c r="B3275" s="63" t="n"/>
      <c r="C3275" s="64" t="n"/>
      <c r="D3275" s="167" t="n"/>
      <c r="E3275" s="63" t="n"/>
      <c r="F3275" s="63" t="n"/>
    </row>
    <row r="3276">
      <c r="A3276" s="166" t="n"/>
      <c r="B3276" s="63" t="n"/>
      <c r="C3276" s="64" t="n"/>
      <c r="D3276" s="167" t="n"/>
      <c r="E3276" s="63" t="n"/>
      <c r="F3276" s="63" t="n"/>
    </row>
    <row r="3277">
      <c r="A3277" s="166" t="n"/>
      <c r="B3277" s="63" t="n"/>
      <c r="C3277" s="64" t="n"/>
      <c r="D3277" s="167" t="n"/>
      <c r="E3277" s="63" t="n"/>
      <c r="F3277" s="63" t="n"/>
    </row>
    <row r="3278">
      <c r="A3278" s="166" t="n"/>
      <c r="B3278" s="63" t="n"/>
      <c r="C3278" s="64" t="n"/>
      <c r="D3278" s="167" t="n"/>
      <c r="E3278" s="63" t="n"/>
      <c r="F3278" s="63" t="n"/>
    </row>
    <row r="3279">
      <c r="A3279" s="166" t="n"/>
      <c r="B3279" s="63" t="n"/>
      <c r="C3279" s="64" t="n"/>
      <c r="D3279" s="167" t="n"/>
      <c r="E3279" s="63" t="n"/>
      <c r="F3279" s="63" t="n"/>
    </row>
    <row r="3280">
      <c r="A3280" s="166" t="n"/>
      <c r="B3280" s="63" t="n"/>
      <c r="C3280" s="64" t="n"/>
      <c r="D3280" s="167" t="n"/>
      <c r="E3280" s="63" t="n"/>
      <c r="F3280" s="63" t="n"/>
    </row>
    <row r="3281">
      <c r="A3281" s="166" t="n"/>
      <c r="B3281" s="63" t="n"/>
      <c r="C3281" s="64" t="n"/>
      <c r="D3281" s="167" t="n"/>
      <c r="E3281" s="63" t="n"/>
      <c r="F3281" s="63" t="n"/>
    </row>
    <row r="3282">
      <c r="A3282" s="166" t="n"/>
      <c r="B3282" s="63" t="n"/>
      <c r="C3282" s="64" t="n"/>
      <c r="D3282" s="167" t="n"/>
      <c r="E3282" s="63" t="n"/>
      <c r="F3282" s="63" t="n"/>
    </row>
    <row r="3283">
      <c r="A3283" s="166" t="n"/>
      <c r="B3283" s="63" t="n"/>
      <c r="C3283" s="64" t="n"/>
      <c r="D3283" s="167" t="n"/>
      <c r="E3283" s="63" t="n"/>
      <c r="F3283" s="63" t="n"/>
    </row>
    <row r="3284">
      <c r="A3284" s="166" t="n"/>
      <c r="B3284" s="63" t="n"/>
      <c r="C3284" s="64" t="n"/>
      <c r="D3284" s="167" t="n"/>
      <c r="E3284" s="63" t="n"/>
      <c r="F3284" s="63" t="n"/>
    </row>
    <row r="3285">
      <c r="A3285" s="166" t="n"/>
      <c r="B3285" s="63" t="n"/>
      <c r="C3285" s="64" t="n"/>
      <c r="D3285" s="167" t="n"/>
      <c r="E3285" s="63" t="n"/>
      <c r="F3285" s="63" t="n"/>
    </row>
    <row r="3286">
      <c r="A3286" s="166" t="n"/>
      <c r="B3286" s="63" t="n"/>
      <c r="C3286" s="64" t="n"/>
      <c r="D3286" s="167" t="n"/>
      <c r="E3286" s="63" t="n"/>
      <c r="F3286" s="63" t="n"/>
    </row>
    <row r="3287">
      <c r="A3287" s="166" t="n"/>
      <c r="B3287" s="63" t="n"/>
      <c r="C3287" s="64" t="n"/>
      <c r="D3287" s="167" t="n"/>
      <c r="E3287" s="63" t="n"/>
      <c r="F3287" s="63" t="n"/>
    </row>
    <row r="3288">
      <c r="A3288" s="166" t="n"/>
      <c r="B3288" s="63" t="n"/>
      <c r="C3288" s="64" t="n"/>
      <c r="D3288" s="167" t="n"/>
      <c r="E3288" s="63" t="n"/>
      <c r="F3288" s="63" t="n"/>
    </row>
    <row r="3289">
      <c r="A3289" s="166" t="n"/>
      <c r="B3289" s="63" t="n"/>
      <c r="C3289" s="64" t="n"/>
      <c r="D3289" s="167" t="n"/>
      <c r="E3289" s="63" t="n"/>
      <c r="F3289" s="63" t="n"/>
    </row>
    <row r="3290">
      <c r="A3290" s="166" t="n"/>
      <c r="B3290" s="63" t="n"/>
      <c r="C3290" s="64" t="n"/>
      <c r="D3290" s="167" t="n"/>
      <c r="E3290" s="63" t="n"/>
      <c r="F3290" s="63" t="n"/>
    </row>
    <row r="3291">
      <c r="A3291" s="166" t="n"/>
      <c r="B3291" s="63" t="n"/>
      <c r="C3291" s="64" t="n"/>
      <c r="D3291" s="167" t="n"/>
      <c r="E3291" s="63" t="n"/>
      <c r="F3291" s="63" t="n"/>
    </row>
    <row r="3292">
      <c r="A3292" s="166" t="n"/>
      <c r="B3292" s="63" t="n"/>
      <c r="C3292" s="64" t="n"/>
      <c r="D3292" s="167" t="n"/>
      <c r="E3292" s="63" t="n"/>
      <c r="F3292" s="63" t="n"/>
    </row>
    <row r="3293">
      <c r="A3293" s="166" t="n"/>
      <c r="B3293" s="63" t="n"/>
      <c r="C3293" s="64" t="n"/>
      <c r="D3293" s="167" t="n"/>
      <c r="E3293" s="63" t="n"/>
      <c r="F3293" s="63" t="n"/>
    </row>
    <row r="3294">
      <c r="A3294" s="166" t="n"/>
      <c r="B3294" s="63" t="n"/>
      <c r="C3294" s="64" t="n"/>
      <c r="D3294" s="167" t="n"/>
      <c r="E3294" s="63" t="n"/>
      <c r="F3294" s="63" t="n"/>
    </row>
    <row r="3295">
      <c r="A3295" s="166" t="n"/>
      <c r="B3295" s="63" t="n"/>
      <c r="C3295" s="64" t="n"/>
      <c r="D3295" s="167" t="n"/>
      <c r="E3295" s="63" t="n"/>
      <c r="F3295" s="63" t="n"/>
    </row>
    <row r="3296">
      <c r="A3296" s="166" t="n"/>
      <c r="B3296" s="63" t="n"/>
      <c r="C3296" s="64" t="n"/>
      <c r="D3296" s="167" t="n"/>
      <c r="E3296" s="63" t="n"/>
      <c r="F3296" s="63" t="n"/>
    </row>
    <row r="3297">
      <c r="A3297" s="166" t="n"/>
      <c r="B3297" s="63" t="n"/>
      <c r="C3297" s="64" t="n"/>
      <c r="D3297" s="167" t="n"/>
      <c r="E3297" s="63" t="n"/>
      <c r="F3297" s="63" t="n"/>
    </row>
    <row r="3298">
      <c r="A3298" s="166" t="n"/>
      <c r="B3298" s="63" t="n"/>
      <c r="C3298" s="64" t="n"/>
      <c r="D3298" s="167" t="n"/>
      <c r="E3298" s="63" t="n"/>
      <c r="F3298" s="63" t="n"/>
    </row>
    <row r="3299">
      <c r="A3299" s="166" t="n"/>
      <c r="B3299" s="63" t="n"/>
      <c r="C3299" s="64" t="n"/>
      <c r="D3299" s="167" t="n"/>
      <c r="E3299" s="63" t="n"/>
      <c r="F3299" s="63" t="n"/>
    </row>
    <row r="3300">
      <c r="A3300" s="166" t="n"/>
      <c r="B3300" s="63" t="n"/>
      <c r="C3300" s="64" t="n"/>
      <c r="D3300" s="167" t="n"/>
      <c r="E3300" s="63" t="n"/>
      <c r="F3300" s="63" t="n"/>
    </row>
    <row r="3301">
      <c r="A3301" s="166" t="n"/>
      <c r="B3301" s="63" t="n"/>
      <c r="C3301" s="64" t="n"/>
      <c r="D3301" s="167" t="n"/>
      <c r="E3301" s="63" t="n"/>
      <c r="F3301" s="63" t="n"/>
    </row>
    <row r="3302">
      <c r="A3302" s="166" t="n"/>
      <c r="B3302" s="63" t="n"/>
      <c r="C3302" s="64" t="n"/>
      <c r="D3302" s="167" t="n"/>
      <c r="E3302" s="63" t="n"/>
      <c r="F3302" s="63" t="n"/>
    </row>
    <row r="3303">
      <c r="A3303" s="166" t="n"/>
      <c r="B3303" s="63" t="n"/>
      <c r="C3303" s="64" t="n"/>
      <c r="D3303" s="167" t="n"/>
      <c r="E3303" s="63" t="n"/>
      <c r="F3303" s="63" t="n"/>
    </row>
    <row r="3304">
      <c r="A3304" s="166" t="n"/>
      <c r="B3304" s="63" t="n"/>
      <c r="C3304" s="64" t="n"/>
      <c r="D3304" s="167" t="n"/>
      <c r="E3304" s="63" t="n"/>
      <c r="F3304" s="63" t="n"/>
    </row>
    <row r="3305">
      <c r="A3305" s="166" t="n"/>
      <c r="B3305" s="63" t="n"/>
      <c r="C3305" s="64" t="n"/>
      <c r="D3305" s="167" t="n"/>
      <c r="E3305" s="63" t="n"/>
      <c r="F3305" s="63" t="n"/>
    </row>
    <row r="3306">
      <c r="A3306" s="166" t="n"/>
      <c r="B3306" s="63" t="n"/>
      <c r="C3306" s="64" t="n"/>
      <c r="D3306" s="167" t="n"/>
      <c r="E3306" s="63" t="n"/>
      <c r="F3306" s="63" t="n"/>
    </row>
    <row r="3307">
      <c r="A3307" s="166" t="n"/>
      <c r="B3307" s="63" t="n"/>
      <c r="C3307" s="64" t="n"/>
      <c r="D3307" s="167" t="n"/>
      <c r="E3307" s="63" t="n"/>
      <c r="F3307" s="63" t="n"/>
    </row>
    <row r="3308">
      <c r="A3308" s="166" t="n"/>
      <c r="B3308" s="63" t="n"/>
      <c r="C3308" s="64" t="n"/>
      <c r="D3308" s="167" t="n"/>
      <c r="E3308" s="63" t="n"/>
      <c r="F3308" s="63" t="n"/>
    </row>
    <row r="3309">
      <c r="A3309" s="166" t="n"/>
      <c r="B3309" s="63" t="n"/>
      <c r="C3309" s="64" t="n"/>
      <c r="D3309" s="167" t="n"/>
      <c r="E3309" s="63" t="n"/>
      <c r="F3309" s="63" t="n"/>
    </row>
    <row r="3310">
      <c r="A3310" s="166" t="n"/>
      <c r="B3310" s="63" t="n"/>
      <c r="C3310" s="64" t="n"/>
      <c r="D3310" s="167" t="n"/>
      <c r="E3310" s="63" t="n"/>
      <c r="F3310" s="63" t="n"/>
    </row>
    <row r="3311">
      <c r="A3311" s="166" t="n"/>
      <c r="B3311" s="63" t="n"/>
      <c r="C3311" s="64" t="n"/>
      <c r="D3311" s="167" t="n"/>
      <c r="E3311" s="63" t="n"/>
      <c r="F3311" s="63" t="n"/>
    </row>
    <row r="3312">
      <c r="A3312" s="166" t="n"/>
      <c r="B3312" s="63" t="n"/>
      <c r="C3312" s="64" t="n"/>
      <c r="D3312" s="167" t="n"/>
      <c r="E3312" s="63" t="n"/>
      <c r="F3312" s="63" t="n"/>
    </row>
    <row r="3313">
      <c r="A3313" s="166" t="n"/>
      <c r="B3313" s="63" t="n"/>
      <c r="C3313" s="64" t="n"/>
      <c r="D3313" s="167" t="n"/>
      <c r="E3313" s="63" t="n"/>
      <c r="F3313" s="63" t="n"/>
    </row>
    <row r="3314">
      <c r="A3314" s="166" t="n"/>
      <c r="B3314" s="63" t="n"/>
      <c r="C3314" s="64" t="n"/>
      <c r="D3314" s="167" t="n"/>
      <c r="E3314" s="63" t="n"/>
      <c r="F3314" s="63" t="n"/>
    </row>
    <row r="3315">
      <c r="A3315" s="166" t="n"/>
      <c r="B3315" s="63" t="n"/>
      <c r="C3315" s="64" t="n"/>
      <c r="D3315" s="167" t="n"/>
      <c r="E3315" s="63" t="n"/>
      <c r="F3315" s="63" t="n"/>
    </row>
    <row r="3316">
      <c r="A3316" s="166" t="n"/>
      <c r="B3316" s="63" t="n"/>
      <c r="C3316" s="64" t="n"/>
      <c r="D3316" s="167" t="n"/>
      <c r="E3316" s="63" t="n"/>
      <c r="F3316" s="63" t="n"/>
    </row>
    <row r="3317">
      <c r="A3317" s="166" t="n"/>
      <c r="B3317" s="63" t="n"/>
      <c r="C3317" s="64" t="n"/>
      <c r="D3317" s="167" t="n"/>
      <c r="E3317" s="63" t="n"/>
      <c r="F3317" s="63" t="n"/>
    </row>
    <row r="3318">
      <c r="A3318" s="166" t="n"/>
      <c r="B3318" s="63" t="n"/>
      <c r="C3318" s="64" t="n"/>
      <c r="D3318" s="167" t="n"/>
      <c r="E3318" s="63" t="n"/>
      <c r="F3318" s="63" t="n"/>
    </row>
    <row r="3319">
      <c r="A3319" s="166" t="n"/>
      <c r="B3319" s="63" t="n"/>
      <c r="C3319" s="64" t="n"/>
      <c r="D3319" s="167" t="n"/>
      <c r="E3319" s="63" t="n"/>
      <c r="F3319" s="63" t="n"/>
    </row>
    <row r="3320">
      <c r="A3320" s="166" t="n"/>
      <c r="B3320" s="63" t="n"/>
      <c r="C3320" s="64" t="n"/>
      <c r="D3320" s="167" t="n"/>
      <c r="E3320" s="63" t="n"/>
      <c r="F3320" s="63" t="n"/>
    </row>
    <row r="3321">
      <c r="A3321" s="166" t="n"/>
      <c r="B3321" s="63" t="n"/>
      <c r="C3321" s="64" t="n"/>
      <c r="D3321" s="167" t="n"/>
      <c r="E3321" s="63" t="n"/>
      <c r="F3321" s="63" t="n"/>
    </row>
    <row r="3322">
      <c r="A3322" s="166" t="n"/>
      <c r="B3322" s="63" t="n"/>
      <c r="C3322" s="64" t="n"/>
      <c r="D3322" s="167" t="n"/>
      <c r="E3322" s="63" t="n"/>
      <c r="F3322" s="63" t="n"/>
    </row>
    <row r="3323">
      <c r="A3323" s="166" t="n"/>
      <c r="B3323" s="63" t="n"/>
      <c r="C3323" s="64" t="n"/>
      <c r="D3323" s="167" t="n"/>
      <c r="E3323" s="63" t="n"/>
      <c r="F3323" s="63" t="n"/>
    </row>
    <row r="3324">
      <c r="A3324" s="166" t="n"/>
      <c r="B3324" s="63" t="n"/>
      <c r="C3324" s="64" t="n"/>
      <c r="D3324" s="167" t="n"/>
      <c r="E3324" s="63" t="n"/>
      <c r="F3324" s="63" t="n"/>
    </row>
    <row r="3325">
      <c r="A3325" s="166" t="n"/>
      <c r="B3325" s="63" t="n"/>
      <c r="C3325" s="64" t="n"/>
      <c r="D3325" s="167" t="n"/>
      <c r="E3325" s="63" t="n"/>
      <c r="F3325" s="63" t="n"/>
    </row>
    <row r="3326">
      <c r="A3326" s="166" t="n"/>
      <c r="B3326" s="63" t="n"/>
      <c r="C3326" s="64" t="n"/>
      <c r="D3326" s="167" t="n"/>
      <c r="E3326" s="63" t="n"/>
      <c r="F3326" s="63" t="n"/>
    </row>
    <row r="3327">
      <c r="A3327" s="166" t="n"/>
      <c r="B3327" s="63" t="n"/>
      <c r="C3327" s="64" t="n"/>
      <c r="D3327" s="167" t="n"/>
      <c r="E3327" s="63" t="n"/>
      <c r="F3327" s="63" t="n"/>
    </row>
    <row r="3328">
      <c r="A3328" s="166" t="n"/>
      <c r="B3328" s="63" t="n"/>
      <c r="C3328" s="64" t="n"/>
      <c r="D3328" s="167" t="n"/>
      <c r="E3328" s="63" t="n"/>
      <c r="F3328" s="63" t="n"/>
    </row>
    <row r="3329">
      <c r="A3329" s="166" t="n"/>
      <c r="B3329" s="63" t="n"/>
      <c r="C3329" s="64" t="n"/>
      <c r="D3329" s="167" t="n"/>
      <c r="E3329" s="63" t="n"/>
      <c r="F3329" s="63" t="n"/>
    </row>
    <row r="3330">
      <c r="A3330" s="166" t="n"/>
      <c r="B3330" s="63" t="n"/>
      <c r="C3330" s="64" t="n"/>
      <c r="D3330" s="167" t="n"/>
      <c r="E3330" s="63" t="n"/>
      <c r="F3330" s="63" t="n"/>
    </row>
    <row r="3331">
      <c r="A3331" s="166" t="n"/>
      <c r="B3331" s="63" t="n"/>
      <c r="C3331" s="64" t="n"/>
      <c r="D3331" s="167" t="n"/>
      <c r="E3331" s="63" t="n"/>
      <c r="F3331" s="63" t="n"/>
    </row>
    <row r="3332">
      <c r="A3332" s="166" t="n"/>
      <c r="B3332" s="63" t="n"/>
      <c r="C3332" s="64" t="n"/>
      <c r="D3332" s="167" t="n"/>
      <c r="E3332" s="63" t="n"/>
      <c r="F3332" s="63" t="n"/>
    </row>
    <row r="3333">
      <c r="A3333" s="166" t="n"/>
      <c r="B3333" s="63" t="n"/>
      <c r="C3333" s="64" t="n"/>
      <c r="D3333" s="167" t="n"/>
      <c r="E3333" s="63" t="n"/>
      <c r="F3333" s="63" t="n"/>
    </row>
    <row r="3334">
      <c r="A3334" s="166" t="n"/>
      <c r="B3334" s="63" t="n"/>
      <c r="C3334" s="64" t="n"/>
      <c r="D3334" s="167" t="n"/>
      <c r="E3334" s="63" t="n"/>
      <c r="F3334" s="63" t="n"/>
    </row>
    <row r="3335">
      <c r="A3335" s="166" t="n"/>
      <c r="B3335" s="63" t="n"/>
      <c r="C3335" s="64" t="n"/>
      <c r="D3335" s="167" t="n"/>
      <c r="E3335" s="63" t="n"/>
      <c r="F3335" s="63" t="n"/>
    </row>
    <row r="3336">
      <c r="A3336" s="166" t="n"/>
      <c r="B3336" s="63" t="n"/>
      <c r="C3336" s="64" t="n"/>
      <c r="D3336" s="167" t="n"/>
      <c r="E3336" s="63" t="n"/>
      <c r="F3336" s="63" t="n"/>
    </row>
    <row r="3337">
      <c r="A3337" s="166" t="n"/>
      <c r="B3337" s="63" t="n"/>
      <c r="C3337" s="64" t="n"/>
      <c r="D3337" s="167" t="n"/>
      <c r="E3337" s="63" t="n"/>
      <c r="F3337" s="63" t="n"/>
    </row>
    <row r="3338">
      <c r="A3338" s="166" t="n"/>
      <c r="B3338" s="63" t="n"/>
      <c r="C3338" s="64" t="n"/>
      <c r="D3338" s="167" t="n"/>
      <c r="E3338" s="63" t="n"/>
      <c r="F3338" s="63" t="n"/>
    </row>
    <row r="3339">
      <c r="A3339" s="166" t="n"/>
      <c r="B3339" s="63" t="n"/>
      <c r="C3339" s="64" t="n"/>
      <c r="D3339" s="167" t="n"/>
      <c r="E3339" s="63" t="n"/>
      <c r="F3339" s="63" t="n"/>
    </row>
    <row r="3340">
      <c r="A3340" s="166" t="n"/>
      <c r="B3340" s="63" t="n"/>
      <c r="C3340" s="64" t="n"/>
      <c r="D3340" s="167" t="n"/>
      <c r="E3340" s="63" t="n"/>
      <c r="F3340" s="63" t="n"/>
    </row>
    <row r="3341">
      <c r="A3341" s="166" t="n"/>
      <c r="B3341" s="63" t="n"/>
      <c r="C3341" s="64" t="n"/>
      <c r="D3341" s="167" t="n"/>
      <c r="E3341" s="63" t="n"/>
      <c r="F3341" s="63" t="n"/>
    </row>
    <row r="3342">
      <c r="A3342" s="166" t="n"/>
      <c r="B3342" s="63" t="n"/>
      <c r="C3342" s="64" t="n"/>
      <c r="D3342" s="167" t="n"/>
      <c r="E3342" s="63" t="n"/>
      <c r="F3342" s="63" t="n"/>
    </row>
    <row r="3343">
      <c r="A3343" s="166" t="n"/>
      <c r="B3343" s="63" t="n"/>
      <c r="C3343" s="64" t="n"/>
      <c r="D3343" s="167" t="n"/>
      <c r="E3343" s="63" t="n"/>
      <c r="F3343" s="63" t="n"/>
    </row>
    <row r="3344">
      <c r="A3344" s="166" t="n"/>
      <c r="B3344" s="63" t="n"/>
      <c r="C3344" s="64" t="n"/>
      <c r="D3344" s="167" t="n"/>
      <c r="E3344" s="63" t="n"/>
      <c r="F3344" s="63" t="n"/>
    </row>
    <row r="3345">
      <c r="A3345" s="166" t="n"/>
      <c r="B3345" s="63" t="n"/>
      <c r="C3345" s="64" t="n"/>
      <c r="D3345" s="167" t="n"/>
      <c r="E3345" s="63" t="n"/>
      <c r="F3345" s="63" t="n"/>
    </row>
    <row r="3346">
      <c r="A3346" s="166" t="n"/>
      <c r="B3346" s="63" t="n"/>
      <c r="C3346" s="64" t="n"/>
      <c r="D3346" s="167" t="n"/>
      <c r="E3346" s="63" t="n"/>
      <c r="F3346" s="63" t="n"/>
    </row>
    <row r="3347">
      <c r="A3347" s="166" t="n"/>
      <c r="B3347" s="63" t="n"/>
      <c r="C3347" s="64" t="n"/>
      <c r="D3347" s="167" t="n"/>
      <c r="E3347" s="63" t="n"/>
      <c r="F3347" s="63" t="n"/>
    </row>
    <row r="3348">
      <c r="A3348" s="166" t="n"/>
      <c r="B3348" s="63" t="n"/>
      <c r="C3348" s="64" t="n"/>
      <c r="D3348" s="167" t="n"/>
      <c r="E3348" s="63" t="n"/>
      <c r="F3348" s="63" t="n"/>
    </row>
    <row r="3349">
      <c r="A3349" s="166" t="n"/>
      <c r="B3349" s="63" t="n"/>
      <c r="C3349" s="64" t="n"/>
      <c r="D3349" s="167" t="n"/>
      <c r="E3349" s="63" t="n"/>
      <c r="F3349" s="63" t="n"/>
    </row>
    <row r="3350">
      <c r="A3350" s="166" t="n"/>
      <c r="B3350" s="63" t="n"/>
      <c r="C3350" s="64" t="n"/>
      <c r="D3350" s="167" t="n"/>
      <c r="E3350" s="63" t="n"/>
      <c r="F3350" s="63" t="n"/>
    </row>
    <row r="3351">
      <c r="A3351" s="166" t="n"/>
      <c r="B3351" s="63" t="n"/>
      <c r="C3351" s="64" t="n"/>
      <c r="D3351" s="167" t="n"/>
      <c r="E3351" s="63" t="n"/>
      <c r="F3351" s="63" t="n"/>
    </row>
    <row r="3352">
      <c r="A3352" s="166" t="n"/>
      <c r="B3352" s="63" t="n"/>
      <c r="C3352" s="64" t="n"/>
      <c r="D3352" s="167" t="n"/>
      <c r="E3352" s="63" t="n"/>
      <c r="F3352" s="63" t="n"/>
    </row>
    <row r="3353">
      <c r="A3353" s="166" t="n"/>
      <c r="B3353" s="63" t="n"/>
      <c r="C3353" s="64" t="n"/>
      <c r="D3353" s="167" t="n"/>
      <c r="E3353" s="63" t="n"/>
      <c r="F3353" s="63" t="n"/>
    </row>
    <row r="3354">
      <c r="A3354" s="166" t="n"/>
      <c r="B3354" s="63" t="n"/>
      <c r="C3354" s="64" t="n"/>
      <c r="D3354" s="167" t="n"/>
      <c r="E3354" s="63" t="n"/>
      <c r="F3354" s="63" t="n"/>
    </row>
    <row r="3355">
      <c r="A3355" s="166" t="n"/>
      <c r="B3355" s="63" t="n"/>
      <c r="C3355" s="64" t="n"/>
      <c r="D3355" s="167" t="n"/>
      <c r="E3355" s="63" t="n"/>
      <c r="F3355" s="63" t="n"/>
    </row>
    <row r="3356">
      <c r="A3356" s="166" t="n"/>
      <c r="B3356" s="63" t="n"/>
      <c r="C3356" s="64" t="n"/>
      <c r="D3356" s="167" t="n"/>
      <c r="E3356" s="63" t="n"/>
      <c r="F3356" s="63" t="n"/>
    </row>
    <row r="3357">
      <c r="A3357" s="166" t="n"/>
      <c r="B3357" s="63" t="n"/>
      <c r="C3357" s="64" t="n"/>
      <c r="D3357" s="167" t="n"/>
      <c r="E3357" s="63" t="n"/>
      <c r="F3357" s="63" t="n"/>
    </row>
    <row r="3358">
      <c r="A3358" s="166" t="n"/>
      <c r="B3358" s="63" t="n"/>
      <c r="C3358" s="64" t="n"/>
      <c r="D3358" s="167" t="n"/>
      <c r="E3358" s="63" t="n"/>
      <c r="F3358" s="63" t="n"/>
    </row>
    <row r="3359">
      <c r="A3359" s="166" t="n"/>
      <c r="B3359" s="63" t="n"/>
      <c r="C3359" s="64" t="n"/>
      <c r="D3359" s="167" t="n"/>
      <c r="E3359" s="63" t="n"/>
      <c r="F3359" s="63" t="n"/>
    </row>
    <row r="3360">
      <c r="A3360" s="166" t="n"/>
      <c r="B3360" s="63" t="n"/>
      <c r="C3360" s="64" t="n"/>
      <c r="D3360" s="167" t="n"/>
      <c r="E3360" s="63" t="n"/>
      <c r="F3360" s="63" t="n"/>
    </row>
    <row r="3361">
      <c r="A3361" s="166" t="n"/>
      <c r="B3361" s="63" t="n"/>
      <c r="C3361" s="64" t="n"/>
      <c r="D3361" s="167" t="n"/>
      <c r="E3361" s="63" t="n"/>
      <c r="F3361" s="63" t="n"/>
    </row>
    <row r="3362">
      <c r="A3362" s="166" t="n"/>
      <c r="B3362" s="63" t="n"/>
      <c r="C3362" s="64" t="n"/>
      <c r="D3362" s="167" t="n"/>
      <c r="E3362" s="63" t="n"/>
      <c r="F3362" s="63" t="n"/>
    </row>
    <row r="3363">
      <c r="A3363" s="166" t="n"/>
      <c r="B3363" s="63" t="n"/>
      <c r="C3363" s="64" t="n"/>
      <c r="D3363" s="167" t="n"/>
      <c r="E3363" s="63" t="n"/>
      <c r="F3363" s="63" t="n"/>
    </row>
    <row r="3364">
      <c r="A3364" s="166" t="n"/>
      <c r="B3364" s="63" t="n"/>
      <c r="C3364" s="64" t="n"/>
      <c r="D3364" s="167" t="n"/>
      <c r="E3364" s="63" t="n"/>
      <c r="F3364" s="63" t="n"/>
    </row>
    <row r="3365">
      <c r="A3365" s="166" t="n"/>
      <c r="B3365" s="63" t="n"/>
      <c r="C3365" s="64" t="n"/>
      <c r="D3365" s="167" t="n"/>
      <c r="E3365" s="63" t="n"/>
      <c r="F3365" s="63" t="n"/>
    </row>
    <row r="3366">
      <c r="A3366" s="166" t="n"/>
      <c r="B3366" s="63" t="n"/>
      <c r="C3366" s="64" t="n"/>
      <c r="D3366" s="167" t="n"/>
      <c r="E3366" s="63" t="n"/>
      <c r="F3366" s="63" t="n"/>
    </row>
    <row r="3367">
      <c r="A3367" s="166" t="n"/>
      <c r="B3367" s="63" t="n"/>
      <c r="C3367" s="64" t="n"/>
      <c r="D3367" s="167" t="n"/>
      <c r="E3367" s="63" t="n"/>
      <c r="F3367" s="63" t="n"/>
    </row>
    <row r="3368">
      <c r="A3368" s="166" t="n"/>
      <c r="B3368" s="63" t="n"/>
      <c r="C3368" s="64" t="n"/>
      <c r="D3368" s="167" t="n"/>
      <c r="E3368" s="63" t="n"/>
      <c r="F3368" s="63" t="n"/>
    </row>
    <row r="3369">
      <c r="A3369" s="166" t="n"/>
      <c r="B3369" s="63" t="n"/>
      <c r="C3369" s="64" t="n"/>
      <c r="D3369" s="167" t="n"/>
      <c r="E3369" s="63" t="n"/>
      <c r="F3369" s="63" t="n"/>
    </row>
    <row r="3370">
      <c r="A3370" s="166" t="n"/>
      <c r="B3370" s="63" t="n"/>
      <c r="C3370" s="64" t="n"/>
      <c r="D3370" s="167" t="n"/>
      <c r="E3370" s="63" t="n"/>
      <c r="F3370" s="63" t="n"/>
    </row>
    <row r="3371">
      <c r="A3371" s="166" t="n"/>
      <c r="B3371" s="63" t="n"/>
      <c r="C3371" s="64" t="n"/>
      <c r="D3371" s="167" t="n"/>
      <c r="E3371" s="63" t="n"/>
      <c r="F3371" s="63" t="n"/>
    </row>
    <row r="3372">
      <c r="A3372" s="166" t="n"/>
      <c r="B3372" s="63" t="n"/>
      <c r="C3372" s="64" t="n"/>
      <c r="D3372" s="167" t="n"/>
      <c r="E3372" s="63" t="n"/>
      <c r="F3372" s="63" t="n"/>
    </row>
    <row r="3373">
      <c r="A3373" s="166" t="n"/>
      <c r="B3373" s="63" t="n"/>
      <c r="C3373" s="64" t="n"/>
      <c r="D3373" s="167" t="n"/>
      <c r="E3373" s="63" t="n"/>
      <c r="F3373" s="63" t="n"/>
    </row>
    <row r="3374">
      <c r="A3374" s="166" t="n"/>
      <c r="B3374" s="63" t="n"/>
      <c r="C3374" s="64" t="n"/>
      <c r="D3374" s="167" t="n"/>
      <c r="E3374" s="63" t="n"/>
      <c r="F3374" s="63" t="n"/>
    </row>
    <row r="3375">
      <c r="A3375" s="166" t="n"/>
      <c r="B3375" s="63" t="n"/>
      <c r="C3375" s="64" t="n"/>
      <c r="D3375" s="167" t="n"/>
      <c r="E3375" s="63" t="n"/>
      <c r="F3375" s="63" t="n"/>
    </row>
    <row r="3376">
      <c r="A3376" s="166" t="n"/>
      <c r="B3376" s="63" t="n"/>
      <c r="C3376" s="64" t="n"/>
      <c r="D3376" s="167" t="n"/>
      <c r="E3376" s="63" t="n"/>
      <c r="F3376" s="63" t="n"/>
    </row>
    <row r="3377">
      <c r="A3377" s="166" t="n"/>
      <c r="B3377" s="63" t="n"/>
      <c r="C3377" s="64" t="n"/>
      <c r="D3377" s="167" t="n"/>
      <c r="E3377" s="63" t="n"/>
      <c r="F3377" s="63" t="n"/>
    </row>
    <row r="3378">
      <c r="A3378" s="166" t="n"/>
      <c r="B3378" s="63" t="n"/>
      <c r="C3378" s="64" t="n"/>
      <c r="D3378" s="167" t="n"/>
      <c r="E3378" s="63" t="n"/>
      <c r="F3378" s="63" t="n"/>
    </row>
    <row r="3379">
      <c r="A3379" s="166" t="n"/>
      <c r="B3379" s="63" t="n"/>
      <c r="C3379" s="64" t="n"/>
      <c r="D3379" s="167" t="n"/>
      <c r="E3379" s="63" t="n"/>
      <c r="F3379" s="63" t="n"/>
    </row>
    <row r="3380">
      <c r="A3380" s="166" t="n"/>
      <c r="B3380" s="63" t="n"/>
      <c r="C3380" s="64" t="n"/>
      <c r="D3380" s="167" t="n"/>
      <c r="E3380" s="63" t="n"/>
      <c r="F3380" s="63" t="n"/>
    </row>
    <row r="3381">
      <c r="A3381" s="166" t="n"/>
      <c r="B3381" s="63" t="n"/>
      <c r="C3381" s="64" t="n"/>
      <c r="D3381" s="167" t="n"/>
      <c r="E3381" s="63" t="n"/>
      <c r="F3381" s="63" t="n"/>
    </row>
    <row r="3382">
      <c r="A3382" s="166" t="n"/>
      <c r="B3382" s="63" t="n"/>
      <c r="C3382" s="64" t="n"/>
      <c r="D3382" s="167" t="n"/>
      <c r="E3382" s="63" t="n"/>
      <c r="F3382" s="63" t="n"/>
    </row>
    <row r="3383">
      <c r="A3383" s="166" t="n"/>
      <c r="B3383" s="63" t="n"/>
      <c r="C3383" s="64" t="n"/>
      <c r="D3383" s="167" t="n"/>
      <c r="E3383" s="63" t="n"/>
      <c r="F3383" s="63" t="n"/>
    </row>
    <row r="3384">
      <c r="A3384" s="166" t="n"/>
      <c r="B3384" s="63" t="n"/>
      <c r="C3384" s="64" t="n"/>
      <c r="D3384" s="167" t="n"/>
      <c r="E3384" s="63" t="n"/>
      <c r="F3384" s="63" t="n"/>
    </row>
    <row r="3385">
      <c r="A3385" s="166" t="n"/>
      <c r="B3385" s="63" t="n"/>
      <c r="C3385" s="64" t="n"/>
      <c r="D3385" s="167" t="n"/>
      <c r="E3385" s="63" t="n"/>
      <c r="F3385" s="63" t="n"/>
    </row>
    <row r="3386">
      <c r="A3386" s="166" t="n"/>
      <c r="B3386" s="63" t="n"/>
      <c r="C3386" s="64" t="n"/>
      <c r="D3386" s="167" t="n"/>
      <c r="E3386" s="63" t="n"/>
      <c r="F3386" s="63" t="n"/>
    </row>
    <row r="3387">
      <c r="A3387" s="166" t="n"/>
      <c r="B3387" s="63" t="n"/>
      <c r="C3387" s="64" t="n"/>
      <c r="D3387" s="167" t="n"/>
      <c r="E3387" s="63" t="n"/>
      <c r="F3387" s="63" t="n"/>
    </row>
    <row r="3388">
      <c r="A3388" s="166" t="n"/>
      <c r="B3388" s="63" t="n"/>
      <c r="C3388" s="64" t="n"/>
      <c r="D3388" s="167" t="n"/>
      <c r="E3388" s="63" t="n"/>
      <c r="F3388" s="63" t="n"/>
    </row>
    <row r="3389">
      <c r="A3389" s="166" t="n"/>
      <c r="B3389" s="63" t="n"/>
      <c r="C3389" s="64" t="n"/>
      <c r="D3389" s="167" t="n"/>
      <c r="E3389" s="63" t="n"/>
      <c r="F3389" s="63" t="n"/>
    </row>
    <row r="3390">
      <c r="A3390" s="166" t="n"/>
      <c r="B3390" s="63" t="n"/>
      <c r="C3390" s="64" t="n"/>
      <c r="D3390" s="167" t="n"/>
      <c r="E3390" s="63" t="n"/>
      <c r="F3390" s="63" t="n"/>
    </row>
    <row r="3391">
      <c r="A3391" s="166" t="n"/>
      <c r="B3391" s="63" t="n"/>
      <c r="C3391" s="64" t="n"/>
      <c r="D3391" s="167" t="n"/>
      <c r="E3391" s="63" t="n"/>
      <c r="F3391" s="63" t="n"/>
    </row>
    <row r="3392">
      <c r="A3392" s="166" t="n"/>
      <c r="B3392" s="63" t="n"/>
      <c r="C3392" s="64" t="n"/>
      <c r="D3392" s="167" t="n"/>
      <c r="E3392" s="63" t="n"/>
      <c r="F3392" s="63" t="n"/>
    </row>
    <row r="3393">
      <c r="A3393" s="166" t="n"/>
      <c r="B3393" s="63" t="n"/>
      <c r="C3393" s="64" t="n"/>
      <c r="D3393" s="167" t="n"/>
      <c r="E3393" s="63" t="n"/>
      <c r="F3393" s="63" t="n"/>
    </row>
    <row r="3394">
      <c r="A3394" s="166" t="n"/>
      <c r="B3394" s="63" t="n"/>
      <c r="C3394" s="64" t="n"/>
      <c r="D3394" s="167" t="n"/>
      <c r="E3394" s="63" t="n"/>
      <c r="F3394" s="63" t="n"/>
    </row>
    <row r="3395">
      <c r="A3395" s="166" t="n"/>
      <c r="B3395" s="63" t="n"/>
      <c r="C3395" s="64" t="n"/>
      <c r="D3395" s="167" t="n"/>
      <c r="E3395" s="63" t="n"/>
      <c r="F3395" s="63" t="n"/>
    </row>
    <row r="3396">
      <c r="A3396" s="166" t="n"/>
      <c r="B3396" s="63" t="n"/>
      <c r="C3396" s="64" t="n"/>
      <c r="D3396" s="167" t="n"/>
      <c r="E3396" s="63" t="n"/>
      <c r="F3396" s="63" t="n"/>
    </row>
    <row r="3397">
      <c r="A3397" s="166" t="n"/>
      <c r="B3397" s="63" t="n"/>
      <c r="C3397" s="64" t="n"/>
      <c r="D3397" s="167" t="n"/>
      <c r="E3397" s="63" t="n"/>
      <c r="F3397" s="63" t="n"/>
    </row>
    <row r="3398">
      <c r="A3398" s="166" t="n"/>
      <c r="B3398" s="63" t="n"/>
      <c r="C3398" s="64" t="n"/>
      <c r="D3398" s="167" t="n"/>
      <c r="E3398" s="63" t="n"/>
      <c r="F3398" s="63" t="n"/>
    </row>
    <row r="3399">
      <c r="A3399" s="166" t="n"/>
      <c r="B3399" s="63" t="n"/>
      <c r="C3399" s="64" t="n"/>
      <c r="D3399" s="167" t="n"/>
      <c r="E3399" s="63" t="n"/>
      <c r="F3399" s="63" t="n"/>
    </row>
    <row r="3400">
      <c r="A3400" s="166" t="n"/>
      <c r="B3400" s="63" t="n"/>
      <c r="C3400" s="64" t="n"/>
      <c r="D3400" s="167" t="n"/>
      <c r="E3400" s="63" t="n"/>
      <c r="F3400" s="63" t="n"/>
    </row>
    <row r="3401">
      <c r="A3401" s="166" t="n"/>
      <c r="B3401" s="63" t="n"/>
      <c r="C3401" s="64" t="n"/>
      <c r="D3401" s="167" t="n"/>
      <c r="E3401" s="63" t="n"/>
      <c r="F3401" s="63" t="n"/>
    </row>
    <row r="3402">
      <c r="A3402" s="166" t="n"/>
      <c r="B3402" s="63" t="n"/>
      <c r="C3402" s="64" t="n"/>
      <c r="D3402" s="167" t="n"/>
      <c r="E3402" s="63" t="n"/>
      <c r="F3402" s="63" t="n"/>
    </row>
    <row r="3403">
      <c r="A3403" s="166" t="n"/>
      <c r="B3403" s="63" t="n"/>
      <c r="C3403" s="64" t="n"/>
      <c r="D3403" s="167" t="n"/>
      <c r="E3403" s="63" t="n"/>
      <c r="F3403" s="63" t="n"/>
    </row>
    <row r="3404">
      <c r="A3404" s="166" t="n"/>
      <c r="B3404" s="63" t="n"/>
      <c r="C3404" s="64" t="n"/>
      <c r="D3404" s="167" t="n"/>
      <c r="E3404" s="63" t="n"/>
      <c r="F3404" s="63" t="n"/>
    </row>
    <row r="3405">
      <c r="A3405" s="166" t="n"/>
      <c r="B3405" s="63" t="n"/>
      <c r="C3405" s="64" t="n"/>
      <c r="D3405" s="167" t="n"/>
      <c r="E3405" s="63" t="n"/>
      <c r="F3405" s="63" t="n"/>
    </row>
    <row r="3406">
      <c r="A3406" s="166" t="n"/>
      <c r="B3406" s="63" t="n"/>
      <c r="C3406" s="64" t="n"/>
      <c r="D3406" s="167" t="n"/>
      <c r="E3406" s="63" t="n"/>
      <c r="F3406" s="63" t="n"/>
    </row>
    <row r="3407">
      <c r="A3407" s="166" t="n"/>
      <c r="B3407" s="63" t="n"/>
      <c r="C3407" s="64" t="n"/>
      <c r="D3407" s="167" t="n"/>
      <c r="E3407" s="63" t="n"/>
      <c r="F3407" s="63" t="n"/>
    </row>
    <row r="3408">
      <c r="A3408" s="166" t="n"/>
      <c r="B3408" s="63" t="n"/>
      <c r="C3408" s="64" t="n"/>
      <c r="D3408" s="167" t="n"/>
      <c r="E3408" s="63" t="n"/>
      <c r="F3408" s="63" t="n"/>
    </row>
    <row r="3409">
      <c r="A3409" s="166" t="n"/>
      <c r="B3409" s="63" t="n"/>
      <c r="C3409" s="64" t="n"/>
      <c r="D3409" s="167" t="n"/>
      <c r="E3409" s="63" t="n"/>
      <c r="F3409" s="63" t="n"/>
    </row>
    <row r="3410">
      <c r="A3410" s="166" t="n"/>
      <c r="B3410" s="63" t="n"/>
      <c r="C3410" s="64" t="n"/>
      <c r="D3410" s="167" t="n"/>
      <c r="E3410" s="63" t="n"/>
      <c r="F3410" s="63" t="n"/>
    </row>
    <row r="3411">
      <c r="A3411" s="166" t="n"/>
      <c r="B3411" s="63" t="n"/>
      <c r="C3411" s="64" t="n"/>
      <c r="D3411" s="167" t="n"/>
      <c r="E3411" s="63" t="n"/>
      <c r="F3411" s="63" t="n"/>
    </row>
    <row r="3412">
      <c r="A3412" s="166" t="n"/>
      <c r="B3412" s="63" t="n"/>
      <c r="C3412" s="64" t="n"/>
      <c r="D3412" s="167" t="n"/>
      <c r="E3412" s="63" t="n"/>
      <c r="F3412" s="63" t="n"/>
    </row>
    <row r="3413">
      <c r="A3413" s="166" t="n"/>
      <c r="B3413" s="63" t="n"/>
      <c r="C3413" s="64" t="n"/>
      <c r="D3413" s="167" t="n"/>
      <c r="E3413" s="63" t="n"/>
      <c r="F3413" s="63" t="n"/>
    </row>
    <row r="3414">
      <c r="A3414" s="166" t="n"/>
      <c r="B3414" s="63" t="n"/>
      <c r="C3414" s="64" t="n"/>
      <c r="D3414" s="167" t="n"/>
      <c r="E3414" s="63" t="n"/>
      <c r="F3414" s="63" t="n"/>
    </row>
    <row r="3415">
      <c r="A3415" s="166" t="n"/>
      <c r="B3415" s="63" t="n"/>
      <c r="C3415" s="64" t="n"/>
      <c r="D3415" s="167" t="n"/>
      <c r="E3415" s="63" t="n"/>
      <c r="F3415" s="63" t="n"/>
    </row>
    <row r="3416">
      <c r="A3416" s="166" t="n"/>
      <c r="B3416" s="63" t="n"/>
      <c r="C3416" s="64" t="n"/>
      <c r="D3416" s="167" t="n"/>
      <c r="E3416" s="63" t="n"/>
      <c r="F3416" s="63" t="n"/>
    </row>
    <row r="3417">
      <c r="A3417" s="166" t="n"/>
      <c r="B3417" s="63" t="n"/>
      <c r="C3417" s="64" t="n"/>
      <c r="D3417" s="167" t="n"/>
      <c r="E3417" s="63" t="n"/>
      <c r="F3417" s="63" t="n"/>
    </row>
    <row r="3418">
      <c r="A3418" s="166" t="n"/>
      <c r="B3418" s="63" t="n"/>
      <c r="C3418" s="64" t="n"/>
      <c r="D3418" s="167" t="n"/>
      <c r="E3418" s="63" t="n"/>
      <c r="F3418" s="63" t="n"/>
    </row>
    <row r="3419">
      <c r="A3419" s="166" t="n"/>
      <c r="B3419" s="63" t="n"/>
      <c r="C3419" s="64" t="n"/>
      <c r="D3419" s="167" t="n"/>
      <c r="E3419" s="63" t="n"/>
      <c r="F3419" s="63" t="n"/>
    </row>
    <row r="3420">
      <c r="A3420" s="166" t="n"/>
      <c r="B3420" s="63" t="n"/>
      <c r="C3420" s="64" t="n"/>
      <c r="D3420" s="167" t="n"/>
      <c r="E3420" s="63" t="n"/>
      <c r="F3420" s="63" t="n"/>
    </row>
    <row r="3421">
      <c r="A3421" s="166" t="n"/>
      <c r="B3421" s="63" t="n"/>
      <c r="C3421" s="64" t="n"/>
      <c r="D3421" s="167" t="n"/>
      <c r="E3421" s="63" t="n"/>
      <c r="F3421" s="63" t="n"/>
    </row>
    <row r="3422">
      <c r="A3422" s="166" t="n"/>
      <c r="B3422" s="63" t="n"/>
      <c r="C3422" s="64" t="n"/>
      <c r="D3422" s="167" t="n"/>
      <c r="E3422" s="63" t="n"/>
      <c r="F3422" s="63" t="n"/>
    </row>
    <row r="3423">
      <c r="A3423" s="166" t="n"/>
      <c r="B3423" s="63" t="n"/>
      <c r="C3423" s="64" t="n"/>
      <c r="D3423" s="167" t="n"/>
      <c r="E3423" s="63" t="n"/>
      <c r="F3423" s="63" t="n"/>
    </row>
    <row r="3424">
      <c r="A3424" s="166" t="n"/>
      <c r="B3424" s="63" t="n"/>
      <c r="C3424" s="64" t="n"/>
      <c r="D3424" s="167" t="n"/>
      <c r="E3424" s="63" t="n"/>
      <c r="F3424" s="63" t="n"/>
    </row>
    <row r="3425">
      <c r="A3425" s="166" t="n"/>
      <c r="B3425" s="63" t="n"/>
      <c r="C3425" s="64" t="n"/>
      <c r="D3425" s="167" t="n"/>
      <c r="E3425" s="63" t="n"/>
      <c r="F3425" s="63" t="n"/>
    </row>
    <row r="3426">
      <c r="A3426" s="166" t="n"/>
      <c r="B3426" s="63" t="n"/>
      <c r="C3426" s="64" t="n"/>
      <c r="D3426" s="167" t="n"/>
      <c r="E3426" s="63" t="n"/>
      <c r="F3426" s="63" t="n"/>
    </row>
    <row r="3427">
      <c r="A3427" s="166" t="n"/>
      <c r="B3427" s="63" t="n"/>
      <c r="C3427" s="64" t="n"/>
      <c r="D3427" s="167" t="n"/>
      <c r="E3427" s="63" t="n"/>
      <c r="F3427" s="63" t="n"/>
    </row>
    <row r="3428">
      <c r="A3428" s="166" t="n"/>
      <c r="B3428" s="63" t="n"/>
      <c r="C3428" s="64" t="n"/>
      <c r="D3428" s="167" t="n"/>
      <c r="E3428" s="63" t="n"/>
      <c r="F3428" s="63" t="n"/>
    </row>
    <row r="3429">
      <c r="A3429" s="166" t="n"/>
      <c r="B3429" s="63" t="n"/>
      <c r="C3429" s="64" t="n"/>
      <c r="D3429" s="167" t="n"/>
      <c r="E3429" s="63" t="n"/>
      <c r="F3429" s="63" t="n"/>
    </row>
    <row r="3430">
      <c r="A3430" s="166" t="n"/>
      <c r="B3430" s="63" t="n"/>
      <c r="C3430" s="64" t="n"/>
      <c r="D3430" s="167" t="n"/>
      <c r="E3430" s="63" t="n"/>
      <c r="F3430" s="63" t="n"/>
    </row>
    <row r="3431">
      <c r="A3431" s="166" t="n"/>
      <c r="B3431" s="63" t="n"/>
      <c r="C3431" s="64" t="n"/>
      <c r="D3431" s="167" t="n"/>
      <c r="E3431" s="63" t="n"/>
      <c r="F3431" s="63" t="n"/>
    </row>
    <row r="3432">
      <c r="A3432" s="166" t="n"/>
      <c r="B3432" s="63" t="n"/>
      <c r="C3432" s="64" t="n"/>
      <c r="D3432" s="167" t="n"/>
      <c r="E3432" s="63" t="n"/>
      <c r="F3432" s="63" t="n"/>
    </row>
    <row r="3433">
      <c r="A3433" s="166" t="n"/>
      <c r="B3433" s="63" t="n"/>
      <c r="C3433" s="64" t="n"/>
      <c r="D3433" s="167" t="n"/>
      <c r="E3433" s="63" t="n"/>
      <c r="F3433" s="63" t="n"/>
    </row>
    <row r="3434">
      <c r="A3434" s="166" t="n"/>
      <c r="B3434" s="63" t="n"/>
      <c r="C3434" s="64" t="n"/>
      <c r="D3434" s="167" t="n"/>
      <c r="E3434" s="63" t="n"/>
      <c r="F3434" s="63" t="n"/>
    </row>
    <row r="3435">
      <c r="A3435" s="166" t="n"/>
      <c r="B3435" s="63" t="n"/>
      <c r="C3435" s="64" t="n"/>
      <c r="D3435" s="167" t="n"/>
      <c r="E3435" s="63" t="n"/>
      <c r="F3435" s="63" t="n"/>
    </row>
    <row r="3436">
      <c r="A3436" s="166" t="n"/>
      <c r="B3436" s="63" t="n"/>
      <c r="C3436" s="64" t="n"/>
      <c r="D3436" s="167" t="n"/>
      <c r="E3436" s="63" t="n"/>
      <c r="F3436" s="63" t="n"/>
    </row>
    <row r="3437">
      <c r="A3437" s="166" t="n"/>
      <c r="B3437" s="63" t="n"/>
      <c r="C3437" s="64" t="n"/>
      <c r="D3437" s="167" t="n"/>
      <c r="E3437" s="63" t="n"/>
      <c r="F3437" s="63" t="n"/>
    </row>
    <row r="3438">
      <c r="A3438" s="166" t="n"/>
      <c r="B3438" s="63" t="n"/>
      <c r="C3438" s="64" t="n"/>
      <c r="D3438" s="167" t="n"/>
      <c r="E3438" s="63" t="n"/>
      <c r="F3438" s="63" t="n"/>
    </row>
    <row r="3439">
      <c r="A3439" s="166" t="n"/>
      <c r="B3439" s="63" t="n"/>
      <c r="C3439" s="64" t="n"/>
      <c r="D3439" s="167" t="n"/>
      <c r="E3439" s="63" t="n"/>
      <c r="F3439" s="63" t="n"/>
    </row>
    <row r="3440">
      <c r="A3440" s="166" t="n"/>
      <c r="B3440" s="63" t="n"/>
      <c r="C3440" s="64" t="n"/>
      <c r="D3440" s="167" t="n"/>
      <c r="E3440" s="63" t="n"/>
      <c r="F3440" s="63" t="n"/>
    </row>
    <row r="3441">
      <c r="A3441" s="166" t="n"/>
      <c r="B3441" s="63" t="n"/>
      <c r="C3441" s="64" t="n"/>
      <c r="D3441" s="167" t="n"/>
      <c r="E3441" s="63" t="n"/>
      <c r="F3441" s="63" t="n"/>
    </row>
    <row r="3442">
      <c r="A3442" s="166" t="n"/>
      <c r="B3442" s="63" t="n"/>
      <c r="C3442" s="64" t="n"/>
      <c r="D3442" s="167" t="n"/>
      <c r="E3442" s="63" t="n"/>
      <c r="F3442" s="63" t="n"/>
    </row>
    <row r="3443">
      <c r="A3443" s="166" t="n"/>
      <c r="B3443" s="63" t="n"/>
      <c r="C3443" s="64" t="n"/>
      <c r="D3443" s="167" t="n"/>
      <c r="E3443" s="63" t="n"/>
      <c r="F3443" s="63" t="n"/>
    </row>
    <row r="3444">
      <c r="A3444" s="166" t="n"/>
      <c r="B3444" s="63" t="n"/>
      <c r="C3444" s="64" t="n"/>
      <c r="D3444" s="167" t="n"/>
      <c r="E3444" s="63" t="n"/>
      <c r="F3444" s="63" t="n"/>
    </row>
    <row r="3445">
      <c r="A3445" s="166" t="n"/>
      <c r="B3445" s="63" t="n"/>
      <c r="C3445" s="64" t="n"/>
      <c r="D3445" s="167" t="n"/>
      <c r="E3445" s="63" t="n"/>
      <c r="F3445" s="63" t="n"/>
    </row>
    <row r="3446">
      <c r="A3446" s="166" t="n"/>
      <c r="B3446" s="63" t="n"/>
      <c r="C3446" s="64" t="n"/>
      <c r="D3446" s="167" t="n"/>
      <c r="E3446" s="63" t="n"/>
      <c r="F3446" s="63" t="n"/>
    </row>
    <row r="3447">
      <c r="A3447" s="166" t="n"/>
      <c r="B3447" s="63" t="n"/>
      <c r="C3447" s="64" t="n"/>
      <c r="D3447" s="167" t="n"/>
      <c r="E3447" s="63" t="n"/>
      <c r="F3447" s="63" t="n"/>
    </row>
    <row r="3448">
      <c r="A3448" s="166" t="n"/>
      <c r="B3448" s="63" t="n"/>
      <c r="C3448" s="64" t="n"/>
      <c r="D3448" s="167" t="n"/>
      <c r="E3448" s="63" t="n"/>
      <c r="F3448" s="63" t="n"/>
    </row>
    <row r="3449">
      <c r="A3449" s="166" t="n"/>
      <c r="B3449" s="63" t="n"/>
      <c r="C3449" s="64" t="n"/>
      <c r="D3449" s="167" t="n"/>
      <c r="E3449" s="63" t="n"/>
      <c r="F3449" s="63" t="n"/>
    </row>
    <row r="3450">
      <c r="A3450" s="166" t="n"/>
      <c r="B3450" s="63" t="n"/>
      <c r="C3450" s="64" t="n"/>
      <c r="D3450" s="167" t="n"/>
      <c r="E3450" s="63" t="n"/>
      <c r="F3450" s="63" t="n"/>
    </row>
    <row r="3451">
      <c r="A3451" s="166" t="n"/>
      <c r="B3451" s="63" t="n"/>
      <c r="C3451" s="64" t="n"/>
      <c r="D3451" s="167" t="n"/>
      <c r="E3451" s="63" t="n"/>
      <c r="F3451" s="63" t="n"/>
    </row>
    <row r="3452">
      <c r="A3452" s="166" t="n"/>
      <c r="B3452" s="63" t="n"/>
      <c r="C3452" s="64" t="n"/>
      <c r="D3452" s="167" t="n"/>
      <c r="E3452" s="63" t="n"/>
      <c r="F3452" s="63" t="n"/>
    </row>
    <row r="3453">
      <c r="A3453" s="166" t="n"/>
      <c r="B3453" s="63" t="n"/>
      <c r="C3453" s="64" t="n"/>
      <c r="D3453" s="167" t="n"/>
      <c r="E3453" s="63" t="n"/>
      <c r="F3453" s="63" t="n"/>
    </row>
    <row r="3454">
      <c r="A3454" s="166" t="n"/>
      <c r="B3454" s="63" t="n"/>
      <c r="C3454" s="64" t="n"/>
      <c r="D3454" s="167" t="n"/>
      <c r="E3454" s="63" t="n"/>
      <c r="F3454" s="63" t="n"/>
    </row>
    <row r="3455">
      <c r="A3455" s="166" t="n"/>
      <c r="B3455" s="63" t="n"/>
      <c r="C3455" s="64" t="n"/>
      <c r="D3455" s="167" t="n"/>
      <c r="E3455" s="63" t="n"/>
      <c r="F3455" s="63" t="n"/>
    </row>
    <row r="3456">
      <c r="A3456" s="166" t="n"/>
      <c r="B3456" s="63" t="n"/>
      <c r="C3456" s="64" t="n"/>
      <c r="D3456" s="167" t="n"/>
      <c r="E3456" s="63" t="n"/>
      <c r="F3456" s="63" t="n"/>
    </row>
    <row r="3457">
      <c r="A3457" s="166" t="n"/>
      <c r="B3457" s="63" t="n"/>
      <c r="C3457" s="64" t="n"/>
      <c r="D3457" s="167" t="n"/>
      <c r="E3457" s="63" t="n"/>
      <c r="F3457" s="63" t="n"/>
    </row>
    <row r="3458">
      <c r="A3458" s="166" t="n"/>
      <c r="B3458" s="63" t="n"/>
      <c r="C3458" s="64" t="n"/>
      <c r="D3458" s="167" t="n"/>
      <c r="E3458" s="63" t="n"/>
      <c r="F3458" s="63" t="n"/>
    </row>
    <row r="3459">
      <c r="A3459" s="166" t="n"/>
      <c r="B3459" s="63" t="n"/>
      <c r="C3459" s="64" t="n"/>
      <c r="D3459" s="167" t="n"/>
      <c r="E3459" s="63" t="n"/>
      <c r="F3459" s="63" t="n"/>
    </row>
    <row r="3460">
      <c r="A3460" s="166" t="n"/>
      <c r="B3460" s="63" t="n"/>
      <c r="C3460" s="64" t="n"/>
      <c r="D3460" s="167" t="n"/>
      <c r="E3460" s="63" t="n"/>
      <c r="F3460" s="63" t="n"/>
    </row>
    <row r="3461">
      <c r="A3461" s="166" t="n"/>
      <c r="B3461" s="63" t="n"/>
      <c r="C3461" s="64" t="n"/>
      <c r="D3461" s="167" t="n"/>
      <c r="E3461" s="63" t="n"/>
      <c r="F3461" s="63" t="n"/>
    </row>
    <row r="3462">
      <c r="A3462" s="166" t="n"/>
      <c r="B3462" s="63" t="n"/>
      <c r="C3462" s="64" t="n"/>
      <c r="D3462" s="167" t="n"/>
      <c r="E3462" s="63" t="n"/>
      <c r="F3462" s="63" t="n"/>
    </row>
    <row r="3463">
      <c r="A3463" s="166" t="n"/>
      <c r="B3463" s="63" t="n"/>
      <c r="C3463" s="64" t="n"/>
      <c r="D3463" s="167" t="n"/>
      <c r="E3463" s="63" t="n"/>
      <c r="F3463" s="63" t="n"/>
    </row>
    <row r="3464">
      <c r="A3464" s="166" t="n"/>
      <c r="B3464" s="63" t="n"/>
      <c r="C3464" s="64" t="n"/>
      <c r="D3464" s="167" t="n"/>
      <c r="E3464" s="63" t="n"/>
      <c r="F3464" s="63" t="n"/>
    </row>
    <row r="3465">
      <c r="A3465" s="166" t="n"/>
      <c r="B3465" s="63" t="n"/>
      <c r="C3465" s="64" t="n"/>
      <c r="D3465" s="167" t="n"/>
      <c r="E3465" s="63" t="n"/>
      <c r="F3465" s="63" t="n"/>
    </row>
    <row r="3466">
      <c r="A3466" s="166" t="n"/>
      <c r="B3466" s="63" t="n"/>
      <c r="C3466" s="64" t="n"/>
      <c r="D3466" s="167" t="n"/>
      <c r="E3466" s="63" t="n"/>
      <c r="F3466" s="63" t="n"/>
    </row>
    <row r="3467">
      <c r="A3467" s="166" t="n"/>
      <c r="B3467" s="63" t="n"/>
      <c r="C3467" s="64" t="n"/>
      <c r="D3467" s="167" t="n"/>
      <c r="E3467" s="63" t="n"/>
      <c r="F3467" s="63" t="n"/>
    </row>
    <row r="3468">
      <c r="A3468" s="166" t="n"/>
      <c r="B3468" s="63" t="n"/>
      <c r="C3468" s="64" t="n"/>
      <c r="D3468" s="167" t="n"/>
      <c r="E3468" s="63" t="n"/>
      <c r="F3468" s="63" t="n"/>
    </row>
    <row r="3469">
      <c r="A3469" s="166" t="n"/>
      <c r="B3469" s="63" t="n"/>
      <c r="C3469" s="64" t="n"/>
      <c r="D3469" s="167" t="n"/>
      <c r="E3469" s="63" t="n"/>
      <c r="F3469" s="63" t="n"/>
    </row>
    <row r="3470">
      <c r="A3470" s="166" t="n"/>
      <c r="B3470" s="63" t="n"/>
      <c r="C3470" s="64" t="n"/>
      <c r="D3470" s="167" t="n"/>
      <c r="E3470" s="63" t="n"/>
      <c r="F3470" s="63" t="n"/>
    </row>
    <row r="3471">
      <c r="A3471" s="166" t="n"/>
      <c r="B3471" s="63" t="n"/>
      <c r="C3471" s="64" t="n"/>
      <c r="D3471" s="167" t="n"/>
      <c r="E3471" s="63" t="n"/>
      <c r="F3471" s="63" t="n"/>
    </row>
    <row r="3472">
      <c r="A3472" s="166" t="n"/>
      <c r="B3472" s="63" t="n"/>
      <c r="C3472" s="64" t="n"/>
      <c r="D3472" s="167" t="n"/>
      <c r="E3472" s="63" t="n"/>
      <c r="F3472" s="63" t="n"/>
    </row>
    <row r="3473">
      <c r="A3473" s="166" t="n"/>
      <c r="B3473" s="63" t="n"/>
      <c r="C3473" s="64" t="n"/>
      <c r="D3473" s="167" t="n"/>
      <c r="E3473" s="63" t="n"/>
      <c r="F3473" s="63" t="n"/>
    </row>
    <row r="3474">
      <c r="A3474" s="166" t="n"/>
      <c r="B3474" s="63" t="n"/>
      <c r="C3474" s="64" t="n"/>
      <c r="D3474" s="167" t="n"/>
      <c r="E3474" s="63" t="n"/>
      <c r="F3474" s="63" t="n"/>
    </row>
    <row r="3475">
      <c r="A3475" s="166" t="n"/>
      <c r="B3475" s="63" t="n"/>
      <c r="C3475" s="64" t="n"/>
      <c r="D3475" s="167" t="n"/>
      <c r="E3475" s="63" t="n"/>
      <c r="F3475" s="63" t="n"/>
    </row>
    <row r="3476">
      <c r="A3476" s="166" t="n"/>
      <c r="B3476" s="63" t="n"/>
      <c r="C3476" s="64" t="n"/>
      <c r="D3476" s="167" t="n"/>
      <c r="E3476" s="63" t="n"/>
      <c r="F3476" s="63" t="n"/>
    </row>
    <row r="3477">
      <c r="A3477" s="166" t="n"/>
      <c r="B3477" s="63" t="n"/>
      <c r="C3477" s="64" t="n"/>
      <c r="D3477" s="167" t="n"/>
      <c r="E3477" s="63" t="n"/>
      <c r="F3477" s="63" t="n"/>
    </row>
    <row r="3478">
      <c r="A3478" s="166" t="n"/>
      <c r="B3478" s="63" t="n"/>
      <c r="C3478" s="64" t="n"/>
      <c r="D3478" s="167" t="n"/>
      <c r="E3478" s="63" t="n"/>
      <c r="F3478" s="63" t="n"/>
    </row>
    <row r="3479">
      <c r="A3479" s="166" t="n"/>
      <c r="B3479" s="63" t="n"/>
      <c r="C3479" s="64" t="n"/>
      <c r="D3479" s="167" t="n"/>
      <c r="E3479" s="63" t="n"/>
      <c r="F3479" s="63" t="n"/>
    </row>
    <row r="3480">
      <c r="A3480" s="166" t="n"/>
      <c r="B3480" s="63" t="n"/>
      <c r="C3480" s="64" t="n"/>
      <c r="D3480" s="167" t="n"/>
      <c r="E3480" s="63" t="n"/>
      <c r="F3480" s="63" t="n"/>
    </row>
    <row r="3481">
      <c r="A3481" s="166" t="n"/>
      <c r="B3481" s="63" t="n"/>
      <c r="C3481" s="64" t="n"/>
      <c r="D3481" s="167" t="n"/>
      <c r="E3481" s="63" t="n"/>
      <c r="F3481" s="63" t="n"/>
    </row>
    <row r="3482">
      <c r="A3482" s="166" t="n"/>
      <c r="B3482" s="63" t="n"/>
      <c r="C3482" s="64" t="n"/>
      <c r="D3482" s="167" t="n"/>
      <c r="E3482" s="63" t="n"/>
      <c r="F3482" s="63" t="n"/>
    </row>
    <row r="3483">
      <c r="A3483" s="166" t="n"/>
      <c r="B3483" s="63" t="n"/>
      <c r="C3483" s="64" t="n"/>
      <c r="D3483" s="167" t="n"/>
      <c r="E3483" s="63" t="n"/>
      <c r="F3483" s="63" t="n"/>
    </row>
    <row r="3484">
      <c r="A3484" s="166" t="n"/>
      <c r="B3484" s="63" t="n"/>
      <c r="C3484" s="64" t="n"/>
      <c r="D3484" s="167" t="n"/>
      <c r="E3484" s="63" t="n"/>
      <c r="F3484" s="63" t="n"/>
    </row>
    <row r="3485">
      <c r="A3485" s="166" t="n"/>
      <c r="B3485" s="63" t="n"/>
      <c r="C3485" s="64" t="n"/>
      <c r="D3485" s="167" t="n"/>
      <c r="E3485" s="63" t="n"/>
      <c r="F3485" s="63" t="n"/>
    </row>
    <row r="3486">
      <c r="A3486" s="166" t="n"/>
      <c r="B3486" s="63" t="n"/>
      <c r="C3486" s="64" t="n"/>
      <c r="D3486" s="167" t="n"/>
      <c r="E3486" s="63" t="n"/>
      <c r="F3486" s="63" t="n"/>
    </row>
    <row r="3487">
      <c r="A3487" s="166" t="n"/>
      <c r="B3487" s="63" t="n"/>
      <c r="C3487" s="64" t="n"/>
      <c r="D3487" s="167" t="n"/>
      <c r="E3487" s="63" t="n"/>
      <c r="F3487" s="63" t="n"/>
    </row>
    <row r="3488">
      <c r="A3488" s="166" t="n"/>
      <c r="B3488" s="63" t="n"/>
      <c r="C3488" s="64" t="n"/>
      <c r="D3488" s="167" t="n"/>
      <c r="E3488" s="63" t="n"/>
      <c r="F3488" s="63" t="n"/>
    </row>
    <row r="3489">
      <c r="A3489" s="166" t="n"/>
      <c r="B3489" s="63" t="n"/>
      <c r="C3489" s="64" t="n"/>
      <c r="D3489" s="167" t="n"/>
      <c r="E3489" s="63" t="n"/>
      <c r="F3489" s="63" t="n"/>
    </row>
    <row r="3490">
      <c r="A3490" s="166" t="n"/>
      <c r="B3490" s="63" t="n"/>
      <c r="C3490" s="64" t="n"/>
      <c r="D3490" s="167" t="n"/>
      <c r="E3490" s="63" t="n"/>
      <c r="F3490" s="63" t="n"/>
    </row>
    <row r="3491">
      <c r="A3491" s="166" t="n"/>
      <c r="B3491" s="63" t="n"/>
      <c r="C3491" s="64" t="n"/>
      <c r="D3491" s="167" t="n"/>
      <c r="E3491" s="63" t="n"/>
      <c r="F3491" s="63" t="n"/>
    </row>
    <row r="3492">
      <c r="A3492" s="166" t="n"/>
      <c r="B3492" s="63" t="n"/>
      <c r="C3492" s="64" t="n"/>
      <c r="D3492" s="167" t="n"/>
      <c r="E3492" s="63" t="n"/>
      <c r="F3492" s="63" t="n"/>
    </row>
    <row r="3493">
      <c r="A3493" s="166" t="n"/>
      <c r="B3493" s="63" t="n"/>
      <c r="C3493" s="64" t="n"/>
      <c r="D3493" s="167" t="n"/>
      <c r="E3493" s="63" t="n"/>
      <c r="F3493" s="63" t="n"/>
    </row>
    <row r="3494">
      <c r="A3494" s="166" t="n"/>
      <c r="B3494" s="63" t="n"/>
      <c r="C3494" s="64" t="n"/>
      <c r="D3494" s="167" t="n"/>
      <c r="E3494" s="63" t="n"/>
      <c r="F3494" s="63" t="n"/>
    </row>
    <row r="3495">
      <c r="A3495" s="166" t="n"/>
      <c r="B3495" s="63" t="n"/>
      <c r="C3495" s="64" t="n"/>
      <c r="D3495" s="167" t="n"/>
      <c r="E3495" s="63" t="n"/>
      <c r="F3495" s="63" t="n"/>
    </row>
    <row r="3496">
      <c r="A3496" s="166" t="n"/>
      <c r="B3496" s="63" t="n"/>
      <c r="C3496" s="64" t="n"/>
      <c r="D3496" s="167" t="n"/>
      <c r="E3496" s="63" t="n"/>
      <c r="F3496" s="63" t="n"/>
    </row>
    <row r="3497">
      <c r="A3497" s="166" t="n"/>
      <c r="B3497" s="63" t="n"/>
      <c r="C3497" s="64" t="n"/>
      <c r="D3497" s="167" t="n"/>
      <c r="E3497" s="63" t="n"/>
      <c r="F3497" s="63" t="n"/>
    </row>
    <row r="3498">
      <c r="A3498" s="166" t="n"/>
      <c r="B3498" s="63" t="n"/>
      <c r="C3498" s="64" t="n"/>
      <c r="D3498" s="167" t="n"/>
      <c r="E3498" s="63" t="n"/>
      <c r="F3498" s="63" t="n"/>
    </row>
    <row r="3499">
      <c r="A3499" s="166" t="n"/>
      <c r="B3499" s="63" t="n"/>
      <c r="C3499" s="64" t="n"/>
      <c r="D3499" s="167" t="n"/>
      <c r="E3499" s="63" t="n"/>
      <c r="F3499" s="63" t="n"/>
    </row>
    <row r="3500">
      <c r="A3500" s="166" t="n"/>
      <c r="B3500" s="63" t="n"/>
      <c r="C3500" s="64" t="n"/>
      <c r="D3500" s="167" t="n"/>
      <c r="E3500" s="63" t="n"/>
      <c r="F3500" s="63" t="n"/>
    </row>
    <row r="3501">
      <c r="A3501" s="166" t="n"/>
      <c r="B3501" s="63" t="n"/>
      <c r="C3501" s="64" t="n"/>
      <c r="D3501" s="167" t="n"/>
      <c r="E3501" s="63" t="n"/>
      <c r="F3501" s="63" t="n"/>
    </row>
    <row r="3502">
      <c r="A3502" s="166" t="n"/>
      <c r="B3502" s="63" t="n"/>
      <c r="C3502" s="64" t="n"/>
      <c r="D3502" s="167" t="n"/>
      <c r="E3502" s="63" t="n"/>
      <c r="F3502" s="63" t="n"/>
    </row>
    <row r="3503">
      <c r="A3503" s="166" t="n"/>
      <c r="B3503" s="63" t="n"/>
      <c r="C3503" s="64" t="n"/>
      <c r="D3503" s="167" t="n"/>
      <c r="E3503" s="63" t="n"/>
      <c r="F3503" s="63" t="n"/>
    </row>
    <row r="3504">
      <c r="A3504" s="166" t="n"/>
      <c r="B3504" s="63" t="n"/>
      <c r="C3504" s="64" t="n"/>
      <c r="D3504" s="167" t="n"/>
      <c r="E3504" s="63" t="n"/>
      <c r="F3504" s="63" t="n"/>
    </row>
    <row r="3505">
      <c r="A3505" s="166" t="n"/>
      <c r="B3505" s="63" t="n"/>
      <c r="C3505" s="64" t="n"/>
      <c r="D3505" s="167" t="n"/>
      <c r="E3505" s="63" t="n"/>
      <c r="F3505" s="63" t="n"/>
    </row>
    <row r="3506">
      <c r="A3506" s="166" t="n"/>
      <c r="B3506" s="63" t="n"/>
      <c r="C3506" s="64" t="n"/>
      <c r="D3506" s="167" t="n"/>
      <c r="E3506" s="63" t="n"/>
      <c r="F3506" s="63" t="n"/>
    </row>
    <row r="3507">
      <c r="A3507" s="166" t="n"/>
      <c r="B3507" s="63" t="n"/>
      <c r="C3507" s="64" t="n"/>
      <c r="D3507" s="167" t="n"/>
      <c r="E3507" s="63" t="n"/>
      <c r="F3507" s="63" t="n"/>
    </row>
    <row r="3508">
      <c r="A3508" s="166" t="n"/>
      <c r="B3508" s="63" t="n"/>
      <c r="C3508" s="64" t="n"/>
      <c r="D3508" s="167" t="n"/>
      <c r="E3508" s="63" t="n"/>
      <c r="F3508" s="63" t="n"/>
    </row>
    <row r="3509">
      <c r="A3509" s="166" t="n"/>
      <c r="B3509" s="63" t="n"/>
      <c r="C3509" s="64" t="n"/>
      <c r="D3509" s="167" t="n"/>
      <c r="E3509" s="63" t="n"/>
      <c r="F3509" s="63" t="n"/>
    </row>
    <row r="3510">
      <c r="A3510" s="166" t="n"/>
      <c r="B3510" s="63" t="n"/>
      <c r="C3510" s="64" t="n"/>
      <c r="D3510" s="167" t="n"/>
      <c r="E3510" s="63" t="n"/>
      <c r="F3510" s="63" t="n"/>
    </row>
    <row r="3511">
      <c r="A3511" s="166" t="n"/>
      <c r="B3511" s="63" t="n"/>
      <c r="C3511" s="64" t="n"/>
      <c r="D3511" s="167" t="n"/>
      <c r="E3511" s="63" t="n"/>
      <c r="F3511" s="63" t="n"/>
    </row>
    <row r="3512">
      <c r="A3512" s="166" t="n"/>
      <c r="B3512" s="63" t="n"/>
      <c r="C3512" s="64" t="n"/>
      <c r="D3512" s="167" t="n"/>
      <c r="E3512" s="63" t="n"/>
      <c r="F3512" s="63" t="n"/>
    </row>
    <row r="3513">
      <c r="A3513" s="166" t="n"/>
      <c r="B3513" s="63" t="n"/>
      <c r="C3513" s="64" t="n"/>
      <c r="D3513" s="167" t="n"/>
      <c r="E3513" s="63" t="n"/>
      <c r="F3513" s="63" t="n"/>
    </row>
    <row r="3514">
      <c r="A3514" s="166" t="n"/>
      <c r="B3514" s="63" t="n"/>
      <c r="C3514" s="64" t="n"/>
      <c r="D3514" s="167" t="n"/>
      <c r="E3514" s="63" t="n"/>
      <c r="F3514" s="63" t="n"/>
    </row>
    <row r="3515">
      <c r="A3515" s="166" t="n"/>
      <c r="B3515" s="63" t="n"/>
      <c r="C3515" s="64" t="n"/>
      <c r="D3515" s="167" t="n"/>
      <c r="E3515" s="63" t="n"/>
      <c r="F3515" s="63" t="n"/>
    </row>
    <row r="3516">
      <c r="A3516" s="166" t="n"/>
      <c r="B3516" s="63" t="n"/>
      <c r="C3516" s="64" t="n"/>
      <c r="D3516" s="167" t="n"/>
      <c r="E3516" s="63" t="n"/>
      <c r="F3516" s="63" t="n"/>
    </row>
    <row r="3517">
      <c r="A3517" s="166" t="n"/>
      <c r="B3517" s="63" t="n"/>
      <c r="C3517" s="64" t="n"/>
      <c r="D3517" s="167" t="n"/>
      <c r="E3517" s="63" t="n"/>
      <c r="F3517" s="63" t="n"/>
    </row>
    <row r="3518">
      <c r="A3518" s="166" t="n"/>
      <c r="B3518" s="63" t="n"/>
      <c r="C3518" s="64" t="n"/>
      <c r="D3518" s="167" t="n"/>
      <c r="E3518" s="63" t="n"/>
      <c r="F3518" s="63" t="n"/>
    </row>
    <row r="3519">
      <c r="A3519" s="166" t="n"/>
      <c r="B3519" s="63" t="n"/>
      <c r="C3519" s="64" t="n"/>
      <c r="D3519" s="167" t="n"/>
      <c r="E3519" s="63" t="n"/>
      <c r="F3519" s="63" t="n"/>
    </row>
    <row r="3520">
      <c r="A3520" s="166" t="n"/>
      <c r="B3520" s="63" t="n"/>
      <c r="C3520" s="64" t="n"/>
      <c r="D3520" s="167" t="n"/>
      <c r="E3520" s="63" t="n"/>
      <c r="F3520" s="63" t="n"/>
    </row>
    <row r="3521">
      <c r="A3521" s="166" t="n"/>
      <c r="B3521" s="63" t="n"/>
      <c r="C3521" s="64" t="n"/>
      <c r="D3521" s="167" t="n"/>
      <c r="E3521" s="63" t="n"/>
      <c r="F3521" s="63" t="n"/>
    </row>
    <row r="3522">
      <c r="A3522" s="166" t="n"/>
      <c r="B3522" s="63" t="n"/>
      <c r="C3522" s="64" t="n"/>
      <c r="D3522" s="167" t="n"/>
      <c r="E3522" s="63" t="n"/>
      <c r="F3522" s="63" t="n"/>
    </row>
    <row r="3523">
      <c r="A3523" s="166" t="n"/>
      <c r="B3523" s="63" t="n"/>
      <c r="C3523" s="64" t="n"/>
      <c r="D3523" s="167" t="n"/>
      <c r="E3523" s="63" t="n"/>
      <c r="F3523" s="63" t="n"/>
    </row>
    <row r="3524">
      <c r="A3524" s="166" t="n"/>
      <c r="B3524" s="63" t="n"/>
      <c r="C3524" s="64" t="n"/>
      <c r="D3524" s="167" t="n"/>
      <c r="E3524" s="63" t="n"/>
      <c r="F3524" s="63" t="n"/>
    </row>
    <row r="3525">
      <c r="A3525" s="166" t="n"/>
      <c r="B3525" s="63" t="n"/>
      <c r="C3525" s="64" t="n"/>
      <c r="D3525" s="167" t="n"/>
      <c r="E3525" s="63" t="n"/>
      <c r="F3525" s="63" t="n"/>
    </row>
    <row r="3526">
      <c r="A3526" s="166" t="n"/>
      <c r="B3526" s="63" t="n"/>
      <c r="C3526" s="64" t="n"/>
      <c r="D3526" s="167" t="n"/>
      <c r="E3526" s="63" t="n"/>
      <c r="F3526" s="63" t="n"/>
    </row>
    <row r="3527">
      <c r="A3527" s="166" t="n"/>
      <c r="B3527" s="63" t="n"/>
      <c r="C3527" s="64" t="n"/>
      <c r="D3527" s="167" t="n"/>
      <c r="E3527" s="63" t="n"/>
      <c r="F3527" s="63" t="n"/>
    </row>
    <row r="3528">
      <c r="A3528" s="166" t="n"/>
      <c r="B3528" s="63" t="n"/>
      <c r="C3528" s="64" t="n"/>
      <c r="D3528" s="167" t="n"/>
      <c r="E3528" s="63" t="n"/>
      <c r="F3528" s="63" t="n"/>
    </row>
    <row r="3529">
      <c r="A3529" s="166" t="n"/>
      <c r="B3529" s="63" t="n"/>
      <c r="C3529" s="64" t="n"/>
      <c r="D3529" s="167" t="n"/>
      <c r="E3529" s="63" t="n"/>
      <c r="F3529" s="63" t="n"/>
    </row>
    <row r="3530">
      <c r="A3530" s="166" t="n"/>
      <c r="B3530" s="63" t="n"/>
      <c r="C3530" s="64" t="n"/>
      <c r="D3530" s="167" t="n"/>
      <c r="E3530" s="63" t="n"/>
      <c r="F3530" s="63" t="n"/>
    </row>
    <row r="3531">
      <c r="A3531" s="166" t="n"/>
      <c r="B3531" s="63" t="n"/>
      <c r="C3531" s="64" t="n"/>
      <c r="D3531" s="167" t="n"/>
      <c r="E3531" s="63" t="n"/>
      <c r="F3531" s="63" t="n"/>
    </row>
    <row r="3532">
      <c r="A3532" s="166" t="n"/>
      <c r="B3532" s="63" t="n"/>
      <c r="C3532" s="64" t="n"/>
      <c r="D3532" s="167" t="n"/>
      <c r="E3532" s="63" t="n"/>
      <c r="F3532" s="63" t="n"/>
    </row>
    <row r="3533">
      <c r="A3533" s="166" t="n"/>
      <c r="B3533" s="63" t="n"/>
      <c r="C3533" s="64" t="n"/>
      <c r="D3533" s="167" t="n"/>
      <c r="E3533" s="63" t="n"/>
      <c r="F3533" s="63" t="n"/>
    </row>
    <row r="3534">
      <c r="A3534" s="166" t="n"/>
      <c r="B3534" s="63" t="n"/>
      <c r="C3534" s="64" t="n"/>
      <c r="D3534" s="167" t="n"/>
      <c r="E3534" s="63" t="n"/>
      <c r="F3534" s="63" t="n"/>
    </row>
    <row r="3535">
      <c r="A3535" s="166" t="n"/>
      <c r="B3535" s="63" t="n"/>
      <c r="C3535" s="64" t="n"/>
      <c r="D3535" s="167" t="n"/>
      <c r="E3535" s="63" t="n"/>
      <c r="F3535" s="63" t="n"/>
    </row>
    <row r="3536">
      <c r="A3536" s="166" t="n"/>
      <c r="B3536" s="63" t="n"/>
      <c r="C3536" s="64" t="n"/>
      <c r="D3536" s="167" t="n"/>
      <c r="E3536" s="63" t="n"/>
      <c r="F3536" s="63" t="n"/>
    </row>
    <row r="3537">
      <c r="A3537" s="166" t="n"/>
      <c r="B3537" s="63" t="n"/>
      <c r="C3537" s="64" t="n"/>
      <c r="D3537" s="167" t="n"/>
      <c r="E3537" s="63" t="n"/>
      <c r="F3537" s="63" t="n"/>
    </row>
    <row r="3538">
      <c r="A3538" s="166" t="n"/>
      <c r="B3538" s="63" t="n"/>
      <c r="C3538" s="64" t="n"/>
      <c r="D3538" s="167" t="n"/>
      <c r="E3538" s="63" t="n"/>
      <c r="F3538" s="63" t="n"/>
    </row>
    <row r="3539">
      <c r="A3539" s="166" t="n"/>
      <c r="B3539" s="63" t="n"/>
      <c r="C3539" s="64" t="n"/>
      <c r="D3539" s="167" t="n"/>
      <c r="E3539" s="63" t="n"/>
      <c r="F3539" s="63" t="n"/>
    </row>
    <row r="3540">
      <c r="A3540" s="166" t="n"/>
      <c r="B3540" s="63" t="n"/>
      <c r="C3540" s="64" t="n"/>
      <c r="D3540" s="167" t="n"/>
      <c r="E3540" s="63" t="n"/>
      <c r="F3540" s="63" t="n"/>
    </row>
    <row r="3541">
      <c r="A3541" s="166" t="n"/>
      <c r="B3541" s="63" t="n"/>
      <c r="C3541" s="64" t="n"/>
      <c r="D3541" s="167" t="n"/>
      <c r="E3541" s="63" t="n"/>
      <c r="F3541" s="63" t="n"/>
    </row>
    <row r="3542">
      <c r="A3542" s="166" t="n"/>
      <c r="B3542" s="63" t="n"/>
      <c r="C3542" s="64" t="n"/>
      <c r="D3542" s="167" t="n"/>
      <c r="E3542" s="63" t="n"/>
      <c r="F3542" s="63" t="n"/>
    </row>
    <row r="3543">
      <c r="A3543" s="166" t="n"/>
      <c r="B3543" s="63" t="n"/>
      <c r="C3543" s="64" t="n"/>
      <c r="D3543" s="167" t="n"/>
      <c r="E3543" s="63" t="n"/>
      <c r="F3543" s="63" t="n"/>
    </row>
    <row r="3544">
      <c r="A3544" s="166" t="n"/>
      <c r="B3544" s="63" t="n"/>
      <c r="C3544" s="64" t="n"/>
      <c r="D3544" s="167" t="n"/>
      <c r="E3544" s="63" t="n"/>
      <c r="F3544" s="63" t="n"/>
    </row>
    <row r="3545">
      <c r="A3545" s="166" t="n"/>
      <c r="B3545" s="63" t="n"/>
      <c r="C3545" s="64" t="n"/>
      <c r="D3545" s="167" t="n"/>
      <c r="E3545" s="63" t="n"/>
      <c r="F3545" s="63" t="n"/>
    </row>
    <row r="3546">
      <c r="A3546" s="166" t="n"/>
      <c r="B3546" s="63" t="n"/>
      <c r="C3546" s="64" t="n"/>
      <c r="D3546" s="167" t="n"/>
      <c r="E3546" s="63" t="n"/>
      <c r="F3546" s="63" t="n"/>
    </row>
    <row r="3547">
      <c r="A3547" s="166" t="n"/>
      <c r="B3547" s="63" t="n"/>
      <c r="C3547" s="64" t="n"/>
      <c r="D3547" s="167" t="n"/>
      <c r="E3547" s="63" t="n"/>
      <c r="F3547" s="63" t="n"/>
    </row>
    <row r="3548">
      <c r="A3548" s="166" t="n"/>
      <c r="B3548" s="63" t="n"/>
      <c r="C3548" s="64" t="n"/>
      <c r="D3548" s="167" t="n"/>
      <c r="E3548" s="63" t="n"/>
      <c r="F3548" s="63" t="n"/>
    </row>
    <row r="3549">
      <c r="A3549" s="166" t="n"/>
      <c r="B3549" s="63" t="n"/>
      <c r="C3549" s="64" t="n"/>
      <c r="D3549" s="167" t="n"/>
      <c r="E3549" s="63" t="n"/>
      <c r="F3549" s="63" t="n"/>
    </row>
    <row r="3550">
      <c r="A3550" s="166" t="n"/>
      <c r="B3550" s="63" t="n"/>
      <c r="C3550" s="64" t="n"/>
      <c r="D3550" s="167" t="n"/>
      <c r="E3550" s="63" t="n"/>
      <c r="F3550" s="63" t="n"/>
    </row>
    <row r="3551">
      <c r="A3551" s="166" t="n"/>
      <c r="B3551" s="63" t="n"/>
      <c r="C3551" s="64" t="n"/>
      <c r="D3551" s="167" t="n"/>
      <c r="E3551" s="63" t="n"/>
      <c r="F3551" s="63" t="n"/>
    </row>
    <row r="3552">
      <c r="A3552" s="166" t="n"/>
      <c r="B3552" s="63" t="n"/>
      <c r="C3552" s="64" t="n"/>
      <c r="D3552" s="167" t="n"/>
      <c r="E3552" s="63" t="n"/>
      <c r="F3552" s="63" t="n"/>
    </row>
    <row r="3553">
      <c r="A3553" s="166" t="n"/>
      <c r="B3553" s="63" t="n"/>
      <c r="C3553" s="64" t="n"/>
      <c r="D3553" s="167" t="n"/>
      <c r="E3553" s="63" t="n"/>
      <c r="F3553" s="63" t="n"/>
    </row>
    <row r="3554">
      <c r="A3554" s="166" t="n"/>
      <c r="B3554" s="63" t="n"/>
      <c r="C3554" s="64" t="n"/>
      <c r="D3554" s="167" t="n"/>
      <c r="E3554" s="63" t="n"/>
      <c r="F3554" s="63" t="n"/>
    </row>
    <row r="3555">
      <c r="A3555" s="166" t="n"/>
      <c r="B3555" s="63" t="n"/>
      <c r="C3555" s="64" t="n"/>
      <c r="D3555" s="167" t="n"/>
      <c r="E3555" s="63" t="n"/>
      <c r="F3555" s="63" t="n"/>
    </row>
    <row r="3556">
      <c r="A3556" s="166" t="n"/>
      <c r="B3556" s="63" t="n"/>
      <c r="C3556" s="64" t="n"/>
      <c r="D3556" s="167" t="n"/>
      <c r="E3556" s="63" t="n"/>
      <c r="F3556" s="63" t="n"/>
    </row>
    <row r="3557">
      <c r="A3557" s="166" t="n"/>
      <c r="B3557" s="63" t="n"/>
      <c r="C3557" s="64" t="n"/>
      <c r="D3557" s="167" t="n"/>
      <c r="E3557" s="63" t="n"/>
      <c r="F3557" s="63" t="n"/>
    </row>
    <row r="3558">
      <c r="A3558" s="166" t="n"/>
      <c r="B3558" s="63" t="n"/>
      <c r="C3558" s="64" t="n"/>
      <c r="D3558" s="167" t="n"/>
      <c r="E3558" s="63" t="n"/>
      <c r="F3558" s="63" t="n"/>
    </row>
    <row r="3559">
      <c r="A3559" s="166" t="n"/>
      <c r="B3559" s="63" t="n"/>
      <c r="C3559" s="64" t="n"/>
      <c r="D3559" s="167" t="n"/>
      <c r="E3559" s="63" t="n"/>
      <c r="F3559" s="63" t="n"/>
    </row>
    <row r="3560">
      <c r="A3560" s="166" t="n"/>
      <c r="B3560" s="63" t="n"/>
      <c r="C3560" s="64" t="n"/>
      <c r="D3560" s="167" t="n"/>
      <c r="E3560" s="63" t="n"/>
      <c r="F3560" s="63" t="n"/>
    </row>
    <row r="3561">
      <c r="A3561" s="166" t="n"/>
      <c r="B3561" s="63" t="n"/>
      <c r="C3561" s="64" t="n"/>
      <c r="D3561" s="167" t="n"/>
      <c r="E3561" s="63" t="n"/>
      <c r="F3561" s="63" t="n"/>
    </row>
    <row r="3562">
      <c r="A3562" s="166" t="n"/>
      <c r="B3562" s="63" t="n"/>
      <c r="C3562" s="64" t="n"/>
      <c r="D3562" s="167" t="n"/>
      <c r="E3562" s="63" t="n"/>
      <c r="F3562" s="63" t="n"/>
    </row>
    <row r="3563">
      <c r="A3563" s="166" t="n"/>
      <c r="B3563" s="63" t="n"/>
      <c r="C3563" s="64" t="n"/>
      <c r="D3563" s="167" t="n"/>
      <c r="E3563" s="63" t="n"/>
      <c r="F3563" s="63" t="n"/>
    </row>
    <row r="3564">
      <c r="A3564" s="166" t="n"/>
      <c r="B3564" s="63" t="n"/>
      <c r="C3564" s="64" t="n"/>
      <c r="D3564" s="167" t="n"/>
      <c r="E3564" s="63" t="n"/>
      <c r="F3564" s="63" t="n"/>
    </row>
    <row r="3565">
      <c r="A3565" s="166" t="n"/>
      <c r="B3565" s="63" t="n"/>
      <c r="C3565" s="64" t="n"/>
      <c r="D3565" s="167" t="n"/>
      <c r="E3565" s="63" t="n"/>
      <c r="F3565" s="63" t="n"/>
    </row>
    <row r="3566">
      <c r="A3566" s="166" t="n"/>
      <c r="B3566" s="63" t="n"/>
      <c r="C3566" s="64" t="n"/>
      <c r="D3566" s="167" t="n"/>
      <c r="E3566" s="63" t="n"/>
      <c r="F3566" s="63" t="n"/>
    </row>
    <row r="3567">
      <c r="A3567" s="166" t="n"/>
      <c r="B3567" s="63" t="n"/>
      <c r="C3567" s="64" t="n"/>
      <c r="D3567" s="167" t="n"/>
      <c r="E3567" s="63" t="n"/>
      <c r="F3567" s="63" t="n"/>
    </row>
    <row r="3568">
      <c r="A3568" s="166" t="n"/>
      <c r="B3568" s="63" t="n"/>
      <c r="C3568" s="64" t="n"/>
      <c r="D3568" s="167" t="n"/>
      <c r="E3568" s="63" t="n"/>
      <c r="F3568" s="63" t="n"/>
    </row>
    <row r="3569">
      <c r="A3569" s="166" t="n"/>
      <c r="B3569" s="63" t="n"/>
      <c r="C3569" s="64" t="n"/>
      <c r="D3569" s="167" t="n"/>
      <c r="E3569" s="63" t="n"/>
      <c r="F3569" s="63" t="n"/>
    </row>
    <row r="3570">
      <c r="A3570" s="166" t="n"/>
      <c r="B3570" s="63" t="n"/>
      <c r="C3570" s="64" t="n"/>
      <c r="D3570" s="167" t="n"/>
      <c r="E3570" s="63" t="n"/>
      <c r="F3570" s="63" t="n"/>
    </row>
    <row r="3571">
      <c r="A3571" s="166" t="n"/>
      <c r="B3571" s="63" t="n"/>
      <c r="C3571" s="64" t="n"/>
      <c r="D3571" s="167" t="n"/>
      <c r="E3571" s="63" t="n"/>
      <c r="F3571" s="63" t="n"/>
    </row>
    <row r="3572">
      <c r="A3572" s="166" t="n"/>
      <c r="B3572" s="63" t="n"/>
      <c r="C3572" s="64" t="n"/>
      <c r="D3572" s="167" t="n"/>
      <c r="E3572" s="63" t="n"/>
      <c r="F3572" s="63" t="n"/>
    </row>
    <row r="3573">
      <c r="A3573" s="166" t="n"/>
      <c r="B3573" s="63" t="n"/>
      <c r="C3573" s="64" t="n"/>
      <c r="D3573" s="167" t="n"/>
      <c r="E3573" s="63" t="n"/>
      <c r="F3573" s="63" t="n"/>
    </row>
    <row r="3574">
      <c r="A3574" s="166" t="n"/>
      <c r="B3574" s="63" t="n"/>
      <c r="C3574" s="64" t="n"/>
      <c r="D3574" s="167" t="n"/>
      <c r="E3574" s="63" t="n"/>
      <c r="F3574" s="63" t="n"/>
    </row>
    <row r="3575">
      <c r="A3575" s="166" t="n"/>
      <c r="B3575" s="63" t="n"/>
      <c r="C3575" s="64" t="n"/>
      <c r="D3575" s="167" t="n"/>
      <c r="E3575" s="63" t="n"/>
      <c r="F3575" s="63" t="n"/>
    </row>
    <row r="3576">
      <c r="A3576" s="166" t="n"/>
      <c r="B3576" s="63" t="n"/>
      <c r="C3576" s="64" t="n"/>
      <c r="D3576" s="167" t="n"/>
      <c r="E3576" s="63" t="n"/>
      <c r="F3576" s="63" t="n"/>
    </row>
    <row r="3577">
      <c r="A3577" s="166" t="n"/>
      <c r="B3577" s="63" t="n"/>
      <c r="C3577" s="64" t="n"/>
      <c r="D3577" s="167" t="n"/>
      <c r="E3577" s="63" t="n"/>
      <c r="F3577" s="63" t="n"/>
    </row>
    <row r="3578">
      <c r="A3578" s="166" t="n"/>
      <c r="B3578" s="63" t="n"/>
      <c r="C3578" s="64" t="n"/>
      <c r="D3578" s="167" t="n"/>
      <c r="E3578" s="63" t="n"/>
      <c r="F3578" s="63" t="n"/>
    </row>
    <row r="3579">
      <c r="A3579" s="166" t="n"/>
      <c r="B3579" s="63" t="n"/>
      <c r="C3579" s="64" t="n"/>
      <c r="D3579" s="167" t="n"/>
      <c r="E3579" s="63" t="n"/>
      <c r="F3579" s="63" t="n"/>
    </row>
    <row r="3580">
      <c r="A3580" s="166" t="n"/>
      <c r="B3580" s="63" t="n"/>
      <c r="C3580" s="64" t="n"/>
      <c r="D3580" s="167" t="n"/>
      <c r="E3580" s="63" t="n"/>
      <c r="F3580" s="63" t="n"/>
    </row>
    <row r="3581">
      <c r="A3581" s="166" t="n"/>
      <c r="B3581" s="63" t="n"/>
      <c r="C3581" s="64" t="n"/>
      <c r="D3581" s="167" t="n"/>
      <c r="E3581" s="63" t="n"/>
      <c r="F3581" s="63" t="n"/>
    </row>
    <row r="3582">
      <c r="A3582" s="166" t="n"/>
      <c r="B3582" s="63" t="n"/>
      <c r="C3582" s="64" t="n"/>
      <c r="D3582" s="167" t="n"/>
      <c r="E3582" s="63" t="n"/>
      <c r="F3582" s="63" t="n"/>
    </row>
    <row r="3583">
      <c r="A3583" s="166" t="n"/>
      <c r="B3583" s="63" t="n"/>
      <c r="C3583" s="64" t="n"/>
      <c r="D3583" s="167" t="n"/>
      <c r="E3583" s="63" t="n"/>
      <c r="F3583" s="63" t="n"/>
    </row>
    <row r="3584">
      <c r="A3584" s="166" t="n"/>
      <c r="B3584" s="63" t="n"/>
      <c r="C3584" s="64" t="n"/>
      <c r="D3584" s="167" t="n"/>
      <c r="E3584" s="63" t="n"/>
      <c r="F3584" s="63" t="n"/>
    </row>
    <row r="3585">
      <c r="A3585" s="166" t="n"/>
      <c r="B3585" s="63" t="n"/>
      <c r="C3585" s="64" t="n"/>
      <c r="D3585" s="167" t="n"/>
      <c r="E3585" s="63" t="n"/>
      <c r="F3585" s="63" t="n"/>
    </row>
    <row r="3586">
      <c r="A3586" s="166" t="n"/>
      <c r="B3586" s="63" t="n"/>
      <c r="C3586" s="64" t="n"/>
      <c r="D3586" s="167" t="n"/>
      <c r="E3586" s="63" t="n"/>
      <c r="F3586" s="63" t="n"/>
    </row>
    <row r="3587">
      <c r="A3587" s="166" t="n"/>
      <c r="B3587" s="63" t="n"/>
      <c r="C3587" s="64" t="n"/>
      <c r="D3587" s="167" t="n"/>
      <c r="E3587" s="63" t="n"/>
      <c r="F3587" s="63" t="n"/>
    </row>
    <row r="3588">
      <c r="A3588" s="166" t="n"/>
      <c r="B3588" s="63" t="n"/>
      <c r="C3588" s="64" t="n"/>
      <c r="D3588" s="167" t="n"/>
      <c r="E3588" s="63" t="n"/>
      <c r="F3588" s="63" t="n"/>
    </row>
    <row r="3589">
      <c r="A3589" s="166" t="n"/>
      <c r="B3589" s="63" t="n"/>
      <c r="C3589" s="64" t="n"/>
      <c r="D3589" s="167" t="n"/>
      <c r="E3589" s="63" t="n"/>
      <c r="F3589" s="63" t="n"/>
    </row>
    <row r="3590">
      <c r="A3590" s="166" t="n"/>
      <c r="B3590" s="63" t="n"/>
      <c r="C3590" s="64" t="n"/>
      <c r="D3590" s="167" t="n"/>
      <c r="E3590" s="63" t="n"/>
      <c r="F3590" s="63" t="n"/>
    </row>
    <row r="3591">
      <c r="A3591" s="166" t="n"/>
      <c r="B3591" s="63" t="n"/>
      <c r="C3591" s="64" t="n"/>
      <c r="D3591" s="167" t="n"/>
      <c r="E3591" s="63" t="n"/>
      <c r="F3591" s="63" t="n"/>
    </row>
    <row r="3592">
      <c r="A3592" s="166" t="n"/>
      <c r="B3592" s="63" t="n"/>
      <c r="C3592" s="64" t="n"/>
      <c r="D3592" s="167" t="n"/>
      <c r="E3592" s="63" t="n"/>
      <c r="F3592" s="63" t="n"/>
    </row>
    <row r="3593">
      <c r="A3593" s="166" t="n"/>
      <c r="B3593" s="63" t="n"/>
      <c r="C3593" s="64" t="n"/>
      <c r="D3593" s="167" t="n"/>
      <c r="E3593" s="63" t="n"/>
      <c r="F3593" s="63" t="n"/>
    </row>
    <row r="3594">
      <c r="A3594" s="166" t="n"/>
      <c r="B3594" s="63" t="n"/>
      <c r="C3594" s="64" t="n"/>
      <c r="D3594" s="167" t="n"/>
      <c r="E3594" s="63" t="n"/>
      <c r="F3594" s="63" t="n"/>
    </row>
    <row r="3595">
      <c r="A3595" s="166" t="n"/>
      <c r="B3595" s="63" t="n"/>
      <c r="C3595" s="64" t="n"/>
      <c r="D3595" s="167" t="n"/>
      <c r="E3595" s="63" t="n"/>
      <c r="F3595" s="63" t="n"/>
    </row>
    <row r="3596">
      <c r="A3596" s="166" t="n"/>
      <c r="B3596" s="63" t="n"/>
      <c r="C3596" s="64" t="n"/>
      <c r="D3596" s="167" t="n"/>
      <c r="E3596" s="63" t="n"/>
      <c r="F3596" s="63" t="n"/>
    </row>
    <row r="3597">
      <c r="A3597" s="166" t="n"/>
      <c r="B3597" s="63" t="n"/>
      <c r="C3597" s="64" t="n"/>
      <c r="D3597" s="167" t="n"/>
      <c r="E3597" s="63" t="n"/>
      <c r="F3597" s="63" t="n"/>
    </row>
    <row r="3598">
      <c r="A3598" s="166" t="n"/>
      <c r="B3598" s="63" t="n"/>
      <c r="C3598" s="64" t="n"/>
      <c r="D3598" s="167" t="n"/>
      <c r="E3598" s="63" t="n"/>
      <c r="F3598" s="63" t="n"/>
    </row>
    <row r="3599">
      <c r="A3599" s="166" t="n"/>
      <c r="B3599" s="63" t="n"/>
      <c r="C3599" s="64" t="n"/>
      <c r="D3599" s="167" t="n"/>
      <c r="E3599" s="63" t="n"/>
      <c r="F3599" s="63" t="n"/>
    </row>
    <row r="3600">
      <c r="A3600" s="166" t="n"/>
      <c r="B3600" s="63" t="n"/>
      <c r="C3600" s="64" t="n"/>
      <c r="D3600" s="167" t="n"/>
      <c r="E3600" s="63" t="n"/>
      <c r="F3600" s="63" t="n"/>
    </row>
    <row r="3601">
      <c r="A3601" s="166" t="n"/>
      <c r="B3601" s="63" t="n"/>
      <c r="C3601" s="64" t="n"/>
      <c r="D3601" s="167" t="n"/>
      <c r="E3601" s="63" t="n"/>
      <c r="F3601" s="63" t="n"/>
    </row>
    <row r="3602">
      <c r="A3602" s="166" t="n"/>
      <c r="B3602" s="63" t="n"/>
      <c r="C3602" s="64" t="n"/>
      <c r="D3602" s="167" t="n"/>
      <c r="E3602" s="63" t="n"/>
      <c r="F3602" s="63" t="n"/>
    </row>
    <row r="3603">
      <c r="A3603" s="166" t="n"/>
      <c r="B3603" s="63" t="n"/>
      <c r="C3603" s="64" t="n"/>
      <c r="D3603" s="167" t="n"/>
      <c r="E3603" s="63" t="n"/>
      <c r="F3603" s="63" t="n"/>
    </row>
    <row r="3604">
      <c r="A3604" s="166" t="n"/>
      <c r="B3604" s="63" t="n"/>
      <c r="C3604" s="64" t="n"/>
      <c r="D3604" s="167" t="n"/>
      <c r="E3604" s="63" t="n"/>
      <c r="F3604" s="63" t="n"/>
    </row>
    <row r="3605">
      <c r="A3605" s="166" t="n"/>
      <c r="B3605" s="63" t="n"/>
      <c r="C3605" s="64" t="n"/>
      <c r="D3605" s="167" t="n"/>
      <c r="E3605" s="63" t="n"/>
      <c r="F3605" s="63" t="n"/>
    </row>
    <row r="3606">
      <c r="A3606" s="166" t="n"/>
      <c r="B3606" s="63" t="n"/>
      <c r="C3606" s="64" t="n"/>
      <c r="D3606" s="167" t="n"/>
      <c r="E3606" s="63" t="n"/>
      <c r="F3606" s="63" t="n"/>
    </row>
    <row r="3607">
      <c r="A3607" s="166" t="n"/>
      <c r="B3607" s="63" t="n"/>
      <c r="C3607" s="64" t="n"/>
      <c r="D3607" s="167" t="n"/>
      <c r="E3607" s="63" t="n"/>
      <c r="F3607" s="63" t="n"/>
    </row>
    <row r="3608">
      <c r="A3608" s="166" t="n"/>
      <c r="B3608" s="63" t="n"/>
      <c r="C3608" s="64" t="n"/>
      <c r="D3608" s="167" t="n"/>
      <c r="E3608" s="63" t="n"/>
      <c r="F3608" s="63" t="n"/>
    </row>
    <row r="3609">
      <c r="A3609" s="166" t="n"/>
      <c r="B3609" s="63" t="n"/>
      <c r="C3609" s="64" t="n"/>
      <c r="D3609" s="167" t="n"/>
      <c r="E3609" s="63" t="n"/>
      <c r="F3609" s="63" t="n"/>
    </row>
    <row r="3610">
      <c r="A3610" s="166" t="n"/>
      <c r="B3610" s="63" t="n"/>
      <c r="C3610" s="64" t="n"/>
      <c r="D3610" s="167" t="n"/>
      <c r="E3610" s="63" t="n"/>
      <c r="F3610" s="63" t="n"/>
    </row>
    <row r="3611">
      <c r="A3611" s="166" t="n"/>
      <c r="B3611" s="63" t="n"/>
      <c r="C3611" s="64" t="n"/>
      <c r="D3611" s="167" t="n"/>
      <c r="E3611" s="63" t="n"/>
      <c r="F3611" s="63" t="n"/>
    </row>
    <row r="3612">
      <c r="A3612" s="166" t="n"/>
      <c r="B3612" s="63" t="n"/>
      <c r="C3612" s="64" t="n"/>
      <c r="D3612" s="167" t="n"/>
      <c r="E3612" s="63" t="n"/>
      <c r="F3612" s="63" t="n"/>
    </row>
    <row r="3613">
      <c r="A3613" s="166" t="n"/>
      <c r="B3613" s="63" t="n"/>
      <c r="C3613" s="64" t="n"/>
      <c r="D3613" s="167" t="n"/>
      <c r="E3613" s="63" t="n"/>
      <c r="F3613" s="63" t="n"/>
    </row>
    <row r="3614">
      <c r="A3614" s="166" t="n"/>
      <c r="B3614" s="63" t="n"/>
      <c r="C3614" s="64" t="n"/>
      <c r="D3614" s="167" t="n"/>
      <c r="E3614" s="63" t="n"/>
      <c r="F3614" s="63" t="n"/>
    </row>
    <row r="3615">
      <c r="A3615" s="166" t="n"/>
      <c r="B3615" s="63" t="n"/>
      <c r="C3615" s="64" t="n"/>
      <c r="D3615" s="167" t="n"/>
      <c r="E3615" s="63" t="n"/>
      <c r="F3615" s="63" t="n"/>
    </row>
    <row r="3616">
      <c r="A3616" s="166" t="n"/>
      <c r="B3616" s="63" t="n"/>
      <c r="C3616" s="64" t="n"/>
      <c r="D3616" s="167" t="n"/>
      <c r="E3616" s="63" t="n"/>
      <c r="F3616" s="63" t="n"/>
    </row>
    <row r="3617">
      <c r="A3617" s="166" t="n"/>
      <c r="B3617" s="63" t="n"/>
      <c r="C3617" s="64" t="n"/>
      <c r="D3617" s="167" t="n"/>
      <c r="E3617" s="63" t="n"/>
      <c r="F3617" s="63" t="n"/>
    </row>
    <row r="3618">
      <c r="A3618" s="166" t="n"/>
      <c r="B3618" s="63" t="n"/>
      <c r="C3618" s="64" t="n"/>
      <c r="D3618" s="167" t="n"/>
      <c r="E3618" s="63" t="n"/>
      <c r="F3618" s="63" t="n"/>
    </row>
    <row r="3619">
      <c r="A3619" s="166" t="n"/>
      <c r="B3619" s="63" t="n"/>
      <c r="C3619" s="64" t="n"/>
      <c r="D3619" s="167" t="n"/>
      <c r="E3619" s="63" t="n"/>
      <c r="F3619" s="63" t="n"/>
    </row>
    <row r="3620">
      <c r="A3620" s="166" t="n"/>
      <c r="B3620" s="63" t="n"/>
      <c r="C3620" s="64" t="n"/>
      <c r="D3620" s="167" t="n"/>
      <c r="E3620" s="63" t="n"/>
      <c r="F3620" s="63" t="n"/>
    </row>
    <row r="3621">
      <c r="A3621" s="166" t="n"/>
      <c r="B3621" s="63" t="n"/>
      <c r="C3621" s="64" t="n"/>
      <c r="D3621" s="167" t="n"/>
      <c r="E3621" s="63" t="n"/>
      <c r="F3621" s="63" t="n"/>
    </row>
    <row r="3622">
      <c r="A3622" s="166" t="n"/>
      <c r="B3622" s="63" t="n"/>
      <c r="C3622" s="64" t="n"/>
      <c r="D3622" s="167" t="n"/>
      <c r="E3622" s="63" t="n"/>
      <c r="F3622" s="63" t="n"/>
    </row>
    <row r="3623">
      <c r="A3623" s="166" t="n"/>
      <c r="B3623" s="63" t="n"/>
      <c r="C3623" s="64" t="n"/>
      <c r="D3623" s="167" t="n"/>
      <c r="E3623" s="63" t="n"/>
      <c r="F3623" s="63" t="n"/>
    </row>
    <row r="3624">
      <c r="A3624" s="166" t="n"/>
      <c r="B3624" s="63" t="n"/>
      <c r="C3624" s="64" t="n"/>
      <c r="D3624" s="167" t="n"/>
      <c r="E3624" s="63" t="n"/>
      <c r="F3624" s="63" t="n"/>
    </row>
    <row r="3625">
      <c r="A3625" s="166" t="n"/>
      <c r="B3625" s="63" t="n"/>
      <c r="C3625" s="64" t="n"/>
      <c r="D3625" s="167" t="n"/>
      <c r="E3625" s="63" t="n"/>
      <c r="F3625" s="63" t="n"/>
    </row>
    <row r="3626">
      <c r="A3626" s="166" t="n"/>
      <c r="B3626" s="63" t="n"/>
      <c r="C3626" s="64" t="n"/>
      <c r="D3626" s="167" t="n"/>
      <c r="E3626" s="63" t="n"/>
      <c r="F3626" s="63" t="n"/>
    </row>
    <row r="3627">
      <c r="A3627" s="166" t="n"/>
      <c r="B3627" s="63" t="n"/>
      <c r="C3627" s="64" t="n"/>
      <c r="D3627" s="167" t="n"/>
      <c r="E3627" s="63" t="n"/>
      <c r="F3627" s="63" t="n"/>
    </row>
    <row r="3628">
      <c r="A3628" s="166" t="n"/>
      <c r="B3628" s="63" t="n"/>
      <c r="C3628" s="64" t="n"/>
      <c r="D3628" s="167" t="n"/>
      <c r="E3628" s="63" t="n"/>
      <c r="F3628" s="63" t="n"/>
    </row>
    <row r="3629">
      <c r="A3629" s="166" t="n"/>
      <c r="B3629" s="63" t="n"/>
      <c r="C3629" s="64" t="n"/>
      <c r="D3629" s="167" t="n"/>
      <c r="E3629" s="63" t="n"/>
      <c r="F3629" s="63" t="n"/>
    </row>
    <row r="3630">
      <c r="A3630" s="166" t="n"/>
      <c r="B3630" s="63" t="n"/>
      <c r="C3630" s="64" t="n"/>
      <c r="D3630" s="167" t="n"/>
      <c r="E3630" s="63" t="n"/>
      <c r="F3630" s="63" t="n"/>
    </row>
    <row r="3631">
      <c r="A3631" s="166" t="n"/>
      <c r="B3631" s="63" t="n"/>
      <c r="C3631" s="64" t="n"/>
      <c r="D3631" s="167" t="n"/>
      <c r="E3631" s="63" t="n"/>
      <c r="F3631" s="63" t="n"/>
    </row>
    <row r="3632">
      <c r="A3632" s="166" t="n"/>
      <c r="B3632" s="63" t="n"/>
      <c r="C3632" s="64" t="n"/>
      <c r="D3632" s="167" t="n"/>
      <c r="E3632" s="63" t="n"/>
      <c r="F3632" s="63" t="n"/>
    </row>
    <row r="3633">
      <c r="A3633" s="166" t="n"/>
      <c r="B3633" s="63" t="n"/>
      <c r="C3633" s="64" t="n"/>
      <c r="D3633" s="167" t="n"/>
      <c r="E3633" s="63" t="n"/>
      <c r="F3633" s="63" t="n"/>
    </row>
    <row r="3634">
      <c r="A3634" s="166" t="n"/>
      <c r="B3634" s="63" t="n"/>
      <c r="C3634" s="64" t="n"/>
      <c r="D3634" s="167" t="n"/>
      <c r="E3634" s="63" t="n"/>
      <c r="F3634" s="63" t="n"/>
    </row>
    <row r="3635">
      <c r="A3635" s="166" t="n"/>
      <c r="B3635" s="63" t="n"/>
      <c r="C3635" s="64" t="n"/>
      <c r="D3635" s="167" t="n"/>
      <c r="E3635" s="63" t="n"/>
      <c r="F3635" s="63" t="n"/>
    </row>
    <row r="3636">
      <c r="A3636" s="166" t="n"/>
      <c r="B3636" s="63" t="n"/>
      <c r="C3636" s="64" t="n"/>
      <c r="D3636" s="167" t="n"/>
      <c r="E3636" s="63" t="n"/>
      <c r="F3636" s="63" t="n"/>
    </row>
    <row r="3637">
      <c r="A3637" s="166" t="n"/>
      <c r="B3637" s="63" t="n"/>
      <c r="C3637" s="64" t="n"/>
      <c r="D3637" s="167" t="n"/>
      <c r="E3637" s="63" t="n"/>
      <c r="F3637" s="63" t="n"/>
    </row>
    <row r="3638">
      <c r="A3638" s="166" t="n"/>
      <c r="B3638" s="63" t="n"/>
      <c r="C3638" s="64" t="n"/>
      <c r="D3638" s="167" t="n"/>
      <c r="E3638" s="63" t="n"/>
      <c r="F3638" s="63" t="n"/>
    </row>
    <row r="3639">
      <c r="A3639" s="166" t="n"/>
      <c r="B3639" s="63" t="n"/>
      <c r="C3639" s="64" t="n"/>
      <c r="D3639" s="167" t="n"/>
      <c r="E3639" s="63" t="n"/>
      <c r="F3639" s="63" t="n"/>
    </row>
    <row r="3640">
      <c r="A3640" s="166" t="n"/>
      <c r="B3640" s="63" t="n"/>
      <c r="C3640" s="64" t="n"/>
      <c r="D3640" s="167" t="n"/>
      <c r="E3640" s="63" t="n"/>
      <c r="F3640" s="63" t="n"/>
    </row>
    <row r="3641">
      <c r="A3641" s="166" t="n"/>
      <c r="B3641" s="63" t="n"/>
      <c r="C3641" s="64" t="n"/>
      <c r="D3641" s="167" t="n"/>
      <c r="E3641" s="63" t="n"/>
      <c r="F3641" s="63" t="n"/>
    </row>
    <row r="3642">
      <c r="A3642" s="166" t="n"/>
      <c r="B3642" s="63" t="n"/>
      <c r="C3642" s="64" t="n"/>
      <c r="D3642" s="167" t="n"/>
      <c r="E3642" s="63" t="n"/>
      <c r="F3642" s="63" t="n"/>
    </row>
    <row r="3643">
      <c r="A3643" s="166" t="n"/>
      <c r="B3643" s="63" t="n"/>
      <c r="C3643" s="64" t="n"/>
      <c r="D3643" s="167" t="n"/>
      <c r="E3643" s="63" t="n"/>
      <c r="F3643" s="63" t="n"/>
    </row>
    <row r="3644">
      <c r="A3644" s="166" t="n"/>
      <c r="B3644" s="63" t="n"/>
      <c r="C3644" s="64" t="n"/>
      <c r="D3644" s="167" t="n"/>
      <c r="E3644" s="63" t="n"/>
      <c r="F3644" s="63" t="n"/>
    </row>
    <row r="3645">
      <c r="A3645" s="166" t="n"/>
      <c r="B3645" s="63" t="n"/>
      <c r="C3645" s="64" t="n"/>
      <c r="D3645" s="167" t="n"/>
      <c r="E3645" s="63" t="n"/>
      <c r="F3645" s="63" t="n"/>
    </row>
    <row r="3646">
      <c r="A3646" s="166" t="n"/>
      <c r="B3646" s="63" t="n"/>
      <c r="C3646" s="64" t="n"/>
      <c r="D3646" s="167" t="n"/>
      <c r="E3646" s="63" t="n"/>
      <c r="F3646" s="63" t="n"/>
    </row>
    <row r="3647">
      <c r="A3647" s="166" t="n"/>
      <c r="B3647" s="63" t="n"/>
      <c r="C3647" s="64" t="n"/>
      <c r="D3647" s="167" t="n"/>
      <c r="E3647" s="63" t="n"/>
      <c r="F3647" s="63" t="n"/>
    </row>
    <row r="3648">
      <c r="A3648" s="166" t="n"/>
      <c r="B3648" s="63" t="n"/>
      <c r="C3648" s="64" t="n"/>
      <c r="D3648" s="167" t="n"/>
      <c r="E3648" s="63" t="n"/>
      <c r="F3648" s="63" t="n"/>
    </row>
    <row r="3649">
      <c r="A3649" s="166" t="n"/>
      <c r="B3649" s="63" t="n"/>
      <c r="C3649" s="64" t="n"/>
      <c r="D3649" s="167" t="n"/>
      <c r="E3649" s="63" t="n"/>
      <c r="F3649" s="63" t="n"/>
    </row>
    <row r="3650">
      <c r="A3650" s="166" t="n"/>
      <c r="B3650" s="63" t="n"/>
      <c r="C3650" s="64" t="n"/>
      <c r="D3650" s="167" t="n"/>
      <c r="E3650" s="63" t="n"/>
      <c r="F3650" s="63" t="n"/>
    </row>
    <row r="3651">
      <c r="A3651" s="166" t="n"/>
      <c r="B3651" s="63" t="n"/>
      <c r="C3651" s="64" t="n"/>
      <c r="D3651" s="167" t="n"/>
      <c r="E3651" s="63" t="n"/>
      <c r="F3651" s="63" t="n"/>
    </row>
    <row r="3652">
      <c r="A3652" s="166" t="n"/>
      <c r="B3652" s="63" t="n"/>
      <c r="C3652" s="64" t="n"/>
      <c r="D3652" s="167" t="n"/>
      <c r="E3652" s="63" t="n"/>
      <c r="F3652" s="63" t="n"/>
    </row>
    <row r="3653">
      <c r="A3653" s="166" t="n"/>
      <c r="B3653" s="63" t="n"/>
      <c r="C3653" s="64" t="n"/>
      <c r="D3653" s="167" t="n"/>
      <c r="E3653" s="63" t="n"/>
      <c r="F3653" s="63" t="n"/>
    </row>
    <row r="3654">
      <c r="A3654" s="166" t="n"/>
      <c r="B3654" s="63" t="n"/>
      <c r="C3654" s="64" t="n"/>
      <c r="D3654" s="167" t="n"/>
      <c r="E3654" s="63" t="n"/>
      <c r="F3654" s="63" t="n"/>
    </row>
    <row r="3655">
      <c r="A3655" s="166" t="n"/>
      <c r="B3655" s="63" t="n"/>
      <c r="C3655" s="64" t="n"/>
      <c r="D3655" s="167" t="n"/>
      <c r="E3655" s="63" t="n"/>
      <c r="F3655" s="63" t="n"/>
    </row>
    <row r="3656">
      <c r="A3656" s="166" t="n"/>
      <c r="B3656" s="63" t="n"/>
      <c r="C3656" s="64" t="n"/>
      <c r="D3656" s="167" t="n"/>
      <c r="E3656" s="63" t="n"/>
      <c r="F3656" s="63" t="n"/>
    </row>
    <row r="3657">
      <c r="A3657" s="166" t="n"/>
      <c r="B3657" s="63" t="n"/>
      <c r="C3657" s="64" t="n"/>
      <c r="D3657" s="167" t="n"/>
      <c r="E3657" s="63" t="n"/>
      <c r="F3657" s="63" t="n"/>
    </row>
    <row r="3658">
      <c r="A3658" s="166" t="n"/>
      <c r="B3658" s="63" t="n"/>
      <c r="C3658" s="64" t="n"/>
      <c r="D3658" s="167" t="n"/>
      <c r="E3658" s="63" t="n"/>
      <c r="F3658" s="63" t="n"/>
    </row>
    <row r="3659">
      <c r="A3659" s="166" t="n"/>
      <c r="B3659" s="63" t="n"/>
      <c r="C3659" s="64" t="n"/>
      <c r="D3659" s="167" t="n"/>
      <c r="E3659" s="63" t="n"/>
      <c r="F3659" s="63" t="n"/>
    </row>
    <row r="3660">
      <c r="A3660" s="166" t="n"/>
      <c r="B3660" s="63" t="n"/>
      <c r="C3660" s="64" t="n"/>
      <c r="D3660" s="167" t="n"/>
      <c r="E3660" s="63" t="n"/>
      <c r="F3660" s="63" t="n"/>
    </row>
    <row r="3661">
      <c r="A3661" s="166" t="n"/>
      <c r="B3661" s="63" t="n"/>
      <c r="C3661" s="64" t="n"/>
      <c r="D3661" s="167" t="n"/>
      <c r="E3661" s="63" t="n"/>
      <c r="F3661" s="63" t="n"/>
    </row>
    <row r="3662">
      <c r="A3662" s="166" t="n"/>
      <c r="B3662" s="63" t="n"/>
      <c r="C3662" s="64" t="n"/>
      <c r="D3662" s="167" t="n"/>
      <c r="E3662" s="63" t="n"/>
      <c r="F3662" s="63" t="n"/>
    </row>
    <row r="3663">
      <c r="A3663" s="166" t="n"/>
      <c r="B3663" s="63" t="n"/>
      <c r="C3663" s="64" t="n"/>
      <c r="D3663" s="167" t="n"/>
      <c r="E3663" s="63" t="n"/>
      <c r="F3663" s="63" t="n"/>
    </row>
    <row r="3664">
      <c r="A3664" s="166" t="n"/>
      <c r="B3664" s="63" t="n"/>
      <c r="C3664" s="64" t="n"/>
      <c r="D3664" s="167" t="n"/>
      <c r="E3664" s="63" t="n"/>
      <c r="F3664" s="63" t="n"/>
    </row>
    <row r="3665">
      <c r="A3665" s="166" t="n"/>
      <c r="B3665" s="63" t="n"/>
      <c r="C3665" s="64" t="n"/>
      <c r="D3665" s="167" t="n"/>
      <c r="E3665" s="63" t="n"/>
      <c r="F3665" s="63" t="n"/>
    </row>
    <row r="3666">
      <c r="A3666" s="166" t="n"/>
      <c r="B3666" s="63" t="n"/>
      <c r="C3666" s="64" t="n"/>
      <c r="D3666" s="167" t="n"/>
      <c r="E3666" s="63" t="n"/>
      <c r="F3666" s="63" t="n"/>
    </row>
    <row r="3667">
      <c r="A3667" s="166" t="n"/>
      <c r="B3667" s="63" t="n"/>
      <c r="C3667" s="64" t="n"/>
      <c r="D3667" s="167" t="n"/>
      <c r="E3667" s="63" t="n"/>
      <c r="F3667" s="63" t="n"/>
    </row>
    <row r="3668">
      <c r="A3668" s="166" t="n"/>
      <c r="B3668" s="63" t="n"/>
      <c r="C3668" s="64" t="n"/>
      <c r="D3668" s="167" t="n"/>
      <c r="E3668" s="63" t="n"/>
      <c r="F3668" s="63" t="n"/>
    </row>
    <row r="3669">
      <c r="A3669" s="166" t="n"/>
      <c r="B3669" s="63" t="n"/>
      <c r="C3669" s="64" t="n"/>
      <c r="D3669" s="167" t="n"/>
      <c r="E3669" s="63" t="n"/>
      <c r="F3669" s="63" t="n"/>
    </row>
    <row r="3670">
      <c r="A3670" s="166" t="n"/>
      <c r="B3670" s="63" t="n"/>
      <c r="C3670" s="64" t="n"/>
      <c r="D3670" s="167" t="n"/>
      <c r="E3670" s="63" t="n"/>
      <c r="F3670" s="63" t="n"/>
    </row>
    <row r="3671">
      <c r="A3671" s="166" t="n"/>
      <c r="B3671" s="63" t="n"/>
      <c r="C3671" s="64" t="n"/>
      <c r="D3671" s="167" t="n"/>
      <c r="E3671" s="63" t="n"/>
      <c r="F3671" s="63" t="n"/>
    </row>
    <row r="3672">
      <c r="A3672" s="166" t="n"/>
      <c r="B3672" s="63" t="n"/>
      <c r="C3672" s="64" t="n"/>
      <c r="D3672" s="167" t="n"/>
      <c r="E3672" s="63" t="n"/>
      <c r="F3672" s="63" t="n"/>
    </row>
    <row r="3673">
      <c r="A3673" s="166" t="n"/>
      <c r="B3673" s="63" t="n"/>
      <c r="C3673" s="64" t="n"/>
      <c r="D3673" s="167" t="n"/>
      <c r="E3673" s="63" t="n"/>
      <c r="F3673" s="63" t="n"/>
    </row>
    <row r="3674">
      <c r="A3674" s="166" t="n"/>
      <c r="B3674" s="63" t="n"/>
      <c r="C3674" s="64" t="n"/>
      <c r="D3674" s="167" t="n"/>
      <c r="E3674" s="63" t="n"/>
      <c r="F3674" s="63" t="n"/>
    </row>
    <row r="3675">
      <c r="A3675" s="166" t="n"/>
      <c r="B3675" s="63" t="n"/>
      <c r="C3675" s="64" t="n"/>
      <c r="D3675" s="167" t="n"/>
      <c r="E3675" s="63" t="n"/>
      <c r="F3675" s="63" t="n"/>
    </row>
    <row r="3676">
      <c r="A3676" s="166" t="n"/>
      <c r="B3676" s="63" t="n"/>
      <c r="C3676" s="64" t="n"/>
      <c r="D3676" s="167" t="n"/>
      <c r="E3676" s="63" t="n"/>
      <c r="F3676" s="63" t="n"/>
    </row>
    <row r="3677">
      <c r="A3677" s="166" t="n"/>
      <c r="B3677" s="63" t="n"/>
      <c r="C3677" s="64" t="n"/>
      <c r="D3677" s="167" t="n"/>
      <c r="E3677" s="63" t="n"/>
      <c r="F3677" s="63" t="n"/>
    </row>
    <row r="3678">
      <c r="A3678" s="166" t="n"/>
      <c r="B3678" s="63" t="n"/>
      <c r="C3678" s="64" t="n"/>
      <c r="D3678" s="167" t="n"/>
      <c r="E3678" s="63" t="n"/>
      <c r="F3678" s="63" t="n"/>
    </row>
    <row r="3679">
      <c r="A3679" s="166" t="n"/>
      <c r="B3679" s="63" t="n"/>
      <c r="C3679" s="64" t="n"/>
      <c r="D3679" s="167" t="n"/>
      <c r="E3679" s="63" t="n"/>
      <c r="F3679" s="63" t="n"/>
    </row>
    <row r="3680">
      <c r="A3680" s="166" t="n"/>
      <c r="B3680" s="63" t="n"/>
      <c r="C3680" s="64" t="n"/>
      <c r="D3680" s="167" t="n"/>
      <c r="E3680" s="63" t="n"/>
      <c r="F3680" s="63" t="n"/>
    </row>
    <row r="3681">
      <c r="A3681" s="166" t="n"/>
      <c r="B3681" s="63" t="n"/>
      <c r="C3681" s="64" t="n"/>
      <c r="D3681" s="167" t="n"/>
      <c r="E3681" s="63" t="n"/>
      <c r="F3681" s="63" t="n"/>
    </row>
    <row r="3682">
      <c r="A3682" s="166" t="n"/>
      <c r="B3682" s="63" t="n"/>
      <c r="C3682" s="64" t="n"/>
      <c r="D3682" s="167" t="n"/>
      <c r="E3682" s="63" t="n"/>
      <c r="F3682" s="63" t="n"/>
    </row>
    <row r="3683">
      <c r="A3683" s="166" t="n"/>
      <c r="B3683" s="63" t="n"/>
      <c r="C3683" s="64" t="n"/>
      <c r="D3683" s="167" t="n"/>
      <c r="E3683" s="63" t="n"/>
      <c r="F3683" s="63" t="n"/>
    </row>
    <row r="3684">
      <c r="A3684" s="166" t="n"/>
      <c r="B3684" s="63" t="n"/>
      <c r="C3684" s="64" t="n"/>
      <c r="D3684" s="167" t="n"/>
      <c r="E3684" s="63" t="n"/>
      <c r="F3684" s="63" t="n"/>
    </row>
    <row r="3685">
      <c r="A3685" s="166" t="n"/>
      <c r="B3685" s="63" t="n"/>
      <c r="C3685" s="64" t="n"/>
      <c r="D3685" s="167" t="n"/>
      <c r="E3685" s="63" t="n"/>
      <c r="F3685" s="63" t="n"/>
    </row>
    <row r="3686">
      <c r="A3686" s="166" t="n"/>
      <c r="B3686" s="63" t="n"/>
      <c r="C3686" s="64" t="n"/>
      <c r="D3686" s="167" t="n"/>
      <c r="E3686" s="63" t="n"/>
      <c r="F3686" s="63" t="n"/>
    </row>
    <row r="3687">
      <c r="A3687" s="166" t="n"/>
      <c r="B3687" s="63" t="n"/>
      <c r="C3687" s="64" t="n"/>
      <c r="D3687" s="167" t="n"/>
      <c r="E3687" s="63" t="n"/>
      <c r="F3687" s="63" t="n"/>
    </row>
    <row r="3688">
      <c r="A3688" s="166" t="n"/>
      <c r="B3688" s="63" t="n"/>
      <c r="C3688" s="64" t="n"/>
      <c r="D3688" s="167" t="n"/>
      <c r="E3688" s="63" t="n"/>
      <c r="F3688" s="63" t="n"/>
    </row>
    <row r="3689">
      <c r="A3689" s="166" t="n"/>
      <c r="B3689" s="63" t="n"/>
      <c r="C3689" s="64" t="n"/>
      <c r="D3689" s="167" t="n"/>
      <c r="E3689" s="63" t="n"/>
      <c r="F3689" s="63" t="n"/>
    </row>
    <row r="3690">
      <c r="A3690" s="166" t="n"/>
      <c r="B3690" s="63" t="n"/>
      <c r="C3690" s="64" t="n"/>
      <c r="D3690" s="167" t="n"/>
      <c r="E3690" s="63" t="n"/>
      <c r="F3690" s="63" t="n"/>
    </row>
    <row r="3691">
      <c r="A3691" s="166" t="n"/>
      <c r="B3691" s="63" t="n"/>
      <c r="C3691" s="64" t="n"/>
      <c r="D3691" s="167" t="n"/>
      <c r="E3691" s="63" t="n"/>
      <c r="F3691" s="63" t="n"/>
    </row>
    <row r="3692">
      <c r="A3692" s="166" t="n"/>
      <c r="B3692" s="63" t="n"/>
      <c r="C3692" s="64" t="n"/>
      <c r="D3692" s="167" t="n"/>
      <c r="E3692" s="63" t="n"/>
      <c r="F3692" s="63" t="n"/>
    </row>
    <row r="3693">
      <c r="A3693" s="166" t="n"/>
      <c r="B3693" s="63" t="n"/>
      <c r="C3693" s="64" t="n"/>
      <c r="D3693" s="167" t="n"/>
      <c r="E3693" s="63" t="n"/>
      <c r="F3693" s="63" t="n"/>
    </row>
    <row r="3694">
      <c r="A3694" s="166" t="n"/>
      <c r="B3694" s="63" t="n"/>
      <c r="C3694" s="64" t="n"/>
      <c r="D3694" s="167" t="n"/>
      <c r="E3694" s="63" t="n"/>
      <c r="F3694" s="63" t="n"/>
    </row>
    <row r="3695">
      <c r="A3695" s="166" t="n"/>
      <c r="B3695" s="63" t="n"/>
      <c r="C3695" s="64" t="n"/>
      <c r="D3695" s="167" t="n"/>
      <c r="E3695" s="63" t="n"/>
      <c r="F3695" s="63" t="n"/>
    </row>
    <row r="3696">
      <c r="A3696" s="166" t="n"/>
      <c r="B3696" s="63" t="n"/>
      <c r="C3696" s="64" t="n"/>
      <c r="D3696" s="167" t="n"/>
      <c r="E3696" s="63" t="n"/>
      <c r="F3696" s="63" t="n"/>
    </row>
    <row r="3697">
      <c r="A3697" s="166" t="n"/>
      <c r="B3697" s="63" t="n"/>
      <c r="C3697" s="64" t="n"/>
      <c r="D3697" s="167" t="n"/>
      <c r="E3697" s="63" t="n"/>
      <c r="F3697" s="63" t="n"/>
    </row>
    <row r="3698">
      <c r="A3698" s="166" t="n"/>
      <c r="B3698" s="63" t="n"/>
      <c r="C3698" s="64" t="n"/>
      <c r="D3698" s="167" t="n"/>
      <c r="E3698" s="63" t="n"/>
      <c r="F3698" s="63" t="n"/>
    </row>
    <row r="3699">
      <c r="A3699" s="166" t="n"/>
      <c r="B3699" s="63" t="n"/>
      <c r="C3699" s="64" t="n"/>
      <c r="D3699" s="167" t="n"/>
      <c r="E3699" s="63" t="n"/>
      <c r="F3699" s="63" t="n"/>
    </row>
    <row r="3700">
      <c r="A3700" s="166" t="n"/>
      <c r="B3700" s="63" t="n"/>
      <c r="C3700" s="64" t="n"/>
      <c r="D3700" s="167" t="n"/>
      <c r="E3700" s="63" t="n"/>
      <c r="F3700" s="63" t="n"/>
    </row>
    <row r="3701">
      <c r="A3701" s="166" t="n"/>
      <c r="B3701" s="63" t="n"/>
      <c r="C3701" s="64" t="n"/>
      <c r="D3701" s="167" t="n"/>
      <c r="E3701" s="63" t="n"/>
      <c r="F3701" s="63" t="n"/>
    </row>
    <row r="3702">
      <c r="A3702" s="166" t="n"/>
      <c r="B3702" s="63" t="n"/>
      <c r="C3702" s="64" t="n"/>
      <c r="D3702" s="167" t="n"/>
      <c r="E3702" s="63" t="n"/>
      <c r="F3702" s="63" t="n"/>
    </row>
    <row r="3703">
      <c r="A3703" s="166" t="n"/>
      <c r="B3703" s="63" t="n"/>
      <c r="C3703" s="64" t="n"/>
      <c r="D3703" s="167" t="n"/>
      <c r="E3703" s="63" t="n"/>
      <c r="F3703" s="63" t="n"/>
    </row>
    <row r="3704">
      <c r="A3704" s="166" t="n"/>
      <c r="B3704" s="63" t="n"/>
      <c r="C3704" s="64" t="n"/>
      <c r="D3704" s="167" t="n"/>
      <c r="E3704" s="63" t="n"/>
      <c r="F3704" s="63" t="n"/>
    </row>
    <row r="3705">
      <c r="A3705" s="166" t="n"/>
      <c r="B3705" s="63" t="n"/>
      <c r="C3705" s="64" t="n"/>
      <c r="D3705" s="167" t="n"/>
      <c r="E3705" s="63" t="n"/>
      <c r="F3705" s="63" t="n"/>
    </row>
    <row r="3706">
      <c r="A3706" s="166" t="n"/>
      <c r="B3706" s="63" t="n"/>
      <c r="C3706" s="64" t="n"/>
      <c r="D3706" s="167" t="n"/>
      <c r="E3706" s="63" t="n"/>
      <c r="F3706" s="63" t="n"/>
    </row>
    <row r="3707">
      <c r="A3707" s="166" t="n"/>
      <c r="B3707" s="63" t="n"/>
      <c r="C3707" s="64" t="n"/>
      <c r="D3707" s="167" t="n"/>
      <c r="E3707" s="63" t="n"/>
      <c r="F3707" s="63" t="n"/>
    </row>
    <row r="3708">
      <c r="A3708" s="166" t="n"/>
      <c r="B3708" s="63" t="n"/>
      <c r="C3708" s="64" t="n"/>
      <c r="D3708" s="167" t="n"/>
      <c r="E3708" s="63" t="n"/>
      <c r="F3708" s="63" t="n"/>
    </row>
    <row r="3709">
      <c r="A3709" s="166" t="n"/>
      <c r="B3709" s="63" t="n"/>
      <c r="C3709" s="64" t="n"/>
      <c r="D3709" s="167" t="n"/>
      <c r="E3709" s="63" t="n"/>
      <c r="F3709" s="63" t="n"/>
    </row>
    <row r="3710">
      <c r="A3710" s="166" t="n"/>
      <c r="B3710" s="63" t="n"/>
      <c r="C3710" s="64" t="n"/>
      <c r="D3710" s="167" t="n"/>
      <c r="E3710" s="63" t="n"/>
      <c r="F3710" s="63" t="n"/>
    </row>
    <row r="3711">
      <c r="A3711" s="166" t="n"/>
      <c r="B3711" s="63" t="n"/>
      <c r="C3711" s="64" t="n"/>
      <c r="D3711" s="167" t="n"/>
      <c r="E3711" s="63" t="n"/>
      <c r="F3711" s="63" t="n"/>
    </row>
    <row r="3712">
      <c r="A3712" s="166" t="n"/>
      <c r="B3712" s="63" t="n"/>
      <c r="C3712" s="64" t="n"/>
      <c r="D3712" s="167" t="n"/>
      <c r="E3712" s="63" t="n"/>
      <c r="F3712" s="63" t="n"/>
    </row>
    <row r="3713">
      <c r="A3713" s="166" t="n"/>
      <c r="B3713" s="63" t="n"/>
      <c r="C3713" s="64" t="n"/>
      <c r="D3713" s="167" t="n"/>
      <c r="E3713" s="63" t="n"/>
      <c r="F3713" s="63" t="n"/>
    </row>
    <row r="3714">
      <c r="A3714" s="166" t="n"/>
      <c r="B3714" s="63" t="n"/>
      <c r="C3714" s="64" t="n"/>
      <c r="D3714" s="167" t="n"/>
      <c r="E3714" s="63" t="n"/>
      <c r="F3714" s="63" t="n"/>
    </row>
    <row r="3715">
      <c r="A3715" s="166" t="n"/>
      <c r="B3715" s="63" t="n"/>
      <c r="C3715" s="64" t="n"/>
      <c r="D3715" s="167" t="n"/>
      <c r="E3715" s="63" t="n"/>
      <c r="F3715" s="63" t="n"/>
    </row>
    <row r="3716">
      <c r="A3716" s="166" t="n"/>
      <c r="B3716" s="63" t="n"/>
      <c r="C3716" s="64" t="n"/>
      <c r="D3716" s="167" t="n"/>
      <c r="E3716" s="63" t="n"/>
      <c r="F3716" s="63" t="n"/>
    </row>
    <row r="3717">
      <c r="A3717" s="166" t="n"/>
      <c r="B3717" s="63" t="n"/>
      <c r="C3717" s="64" t="n"/>
      <c r="D3717" s="167" t="n"/>
      <c r="E3717" s="63" t="n"/>
      <c r="F3717" s="63" t="n"/>
    </row>
    <row r="3718">
      <c r="A3718" s="166" t="n"/>
      <c r="B3718" s="63" t="n"/>
      <c r="C3718" s="64" t="n"/>
      <c r="D3718" s="167" t="n"/>
      <c r="E3718" s="63" t="n"/>
      <c r="F3718" s="63" t="n"/>
    </row>
    <row r="3719">
      <c r="A3719" s="166" t="n"/>
      <c r="B3719" s="63" t="n"/>
      <c r="C3719" s="64" t="n"/>
      <c r="D3719" s="167" t="n"/>
      <c r="E3719" s="63" t="n"/>
      <c r="F3719" s="63" t="n"/>
    </row>
    <row r="3720">
      <c r="A3720" s="166" t="n"/>
      <c r="B3720" s="63" t="n"/>
      <c r="C3720" s="64" t="n"/>
      <c r="D3720" s="167" t="n"/>
      <c r="E3720" s="63" t="n"/>
      <c r="F3720" s="63" t="n"/>
    </row>
    <row r="3721">
      <c r="A3721" s="166" t="n"/>
      <c r="B3721" s="63" t="n"/>
      <c r="C3721" s="64" t="n"/>
      <c r="D3721" s="167" t="n"/>
      <c r="E3721" s="63" t="n"/>
      <c r="F3721" s="63" t="n"/>
    </row>
    <row r="3722">
      <c r="A3722" s="166" t="n"/>
      <c r="B3722" s="63" t="n"/>
      <c r="C3722" s="64" t="n"/>
      <c r="D3722" s="167" t="n"/>
      <c r="E3722" s="63" t="n"/>
      <c r="F3722" s="63" t="n"/>
    </row>
    <row r="3723">
      <c r="A3723" s="166" t="n"/>
      <c r="B3723" s="63" t="n"/>
      <c r="C3723" s="64" t="n"/>
      <c r="D3723" s="167" t="n"/>
      <c r="E3723" s="63" t="n"/>
      <c r="F3723" s="63" t="n"/>
    </row>
    <row r="3724">
      <c r="A3724" s="166" t="n"/>
      <c r="B3724" s="63" t="n"/>
      <c r="C3724" s="64" t="n"/>
      <c r="D3724" s="167" t="n"/>
      <c r="E3724" s="63" t="n"/>
      <c r="F3724" s="63" t="n"/>
    </row>
    <row r="3725">
      <c r="A3725" s="166" t="n"/>
      <c r="B3725" s="63" t="n"/>
      <c r="C3725" s="64" t="n"/>
      <c r="D3725" s="167" t="n"/>
      <c r="E3725" s="63" t="n"/>
      <c r="F3725" s="63" t="n"/>
    </row>
    <row r="3726">
      <c r="A3726" s="166" t="n"/>
      <c r="B3726" s="63" t="n"/>
      <c r="C3726" s="64" t="n"/>
      <c r="D3726" s="167" t="n"/>
      <c r="E3726" s="63" t="n"/>
      <c r="F3726" s="63" t="n"/>
    </row>
    <row r="3727">
      <c r="A3727" s="166" t="n"/>
      <c r="B3727" s="63" t="n"/>
      <c r="C3727" s="64" t="n"/>
      <c r="D3727" s="167" t="n"/>
      <c r="E3727" s="63" t="n"/>
      <c r="F3727" s="63" t="n"/>
    </row>
    <row r="3728">
      <c r="A3728" s="166" t="n"/>
      <c r="B3728" s="63" t="n"/>
      <c r="C3728" s="64" t="n"/>
      <c r="D3728" s="167" t="n"/>
      <c r="E3728" s="63" t="n"/>
      <c r="F3728" s="63" t="n"/>
    </row>
    <row r="3729">
      <c r="A3729" s="166" t="n"/>
      <c r="B3729" s="63" t="n"/>
      <c r="C3729" s="64" t="n"/>
      <c r="D3729" s="167" t="n"/>
      <c r="E3729" s="63" t="n"/>
      <c r="F3729" s="63" t="n"/>
    </row>
    <row r="3730">
      <c r="A3730" s="166" t="n"/>
      <c r="B3730" s="63" t="n"/>
      <c r="C3730" s="64" t="n"/>
      <c r="D3730" s="167" t="n"/>
      <c r="E3730" s="63" t="n"/>
      <c r="F3730" s="63" t="n"/>
    </row>
    <row r="3731">
      <c r="A3731" s="166" t="n"/>
      <c r="B3731" s="63" t="n"/>
      <c r="C3731" s="64" t="n"/>
      <c r="D3731" s="167" t="n"/>
      <c r="E3731" s="63" t="n"/>
      <c r="F3731" s="63" t="n"/>
    </row>
    <row r="3732">
      <c r="A3732" s="166" t="n"/>
      <c r="B3732" s="63" t="n"/>
      <c r="C3732" s="64" t="n"/>
      <c r="D3732" s="167" t="n"/>
      <c r="E3732" s="63" t="n"/>
      <c r="F3732" s="63" t="n"/>
    </row>
    <row r="3733">
      <c r="A3733" s="166" t="n"/>
      <c r="B3733" s="63" t="n"/>
      <c r="C3733" s="64" t="n"/>
      <c r="D3733" s="167" t="n"/>
      <c r="E3733" s="63" t="n"/>
      <c r="F3733" s="63" t="n"/>
    </row>
    <row r="3734">
      <c r="A3734" s="166" t="n"/>
      <c r="B3734" s="63" t="n"/>
      <c r="C3734" s="64" t="n"/>
      <c r="D3734" s="167" t="n"/>
      <c r="E3734" s="63" t="n"/>
      <c r="F3734" s="63" t="n"/>
    </row>
    <row r="3735">
      <c r="A3735" s="166" t="n"/>
      <c r="B3735" s="63" t="n"/>
      <c r="C3735" s="64" t="n"/>
      <c r="D3735" s="167" t="n"/>
      <c r="E3735" s="63" t="n"/>
      <c r="F3735" s="63" t="n"/>
    </row>
    <row r="3736">
      <c r="A3736" s="166" t="n"/>
      <c r="B3736" s="63" t="n"/>
      <c r="C3736" s="64" t="n"/>
      <c r="D3736" s="167" t="n"/>
      <c r="E3736" s="63" t="n"/>
      <c r="F3736" s="63" t="n"/>
    </row>
    <row r="3737">
      <c r="A3737" s="166" t="n"/>
      <c r="B3737" s="63" t="n"/>
      <c r="C3737" s="64" t="n"/>
      <c r="D3737" s="167" t="n"/>
      <c r="E3737" s="63" t="n"/>
      <c r="F3737" s="63" t="n"/>
    </row>
    <row r="3738">
      <c r="A3738" s="166" t="n"/>
      <c r="B3738" s="63" t="n"/>
      <c r="C3738" s="64" t="n"/>
      <c r="D3738" s="167" t="n"/>
      <c r="E3738" s="63" t="n"/>
      <c r="F3738" s="63" t="n"/>
    </row>
    <row r="3739">
      <c r="A3739" s="166" t="n"/>
      <c r="B3739" s="63" t="n"/>
      <c r="C3739" s="64" t="n"/>
      <c r="D3739" s="167" t="n"/>
      <c r="E3739" s="63" t="n"/>
      <c r="F3739" s="63" t="n"/>
    </row>
    <row r="3740">
      <c r="A3740" s="166" t="n"/>
      <c r="B3740" s="63" t="n"/>
      <c r="C3740" s="64" t="n"/>
      <c r="D3740" s="167" t="n"/>
      <c r="E3740" s="63" t="n"/>
      <c r="F3740" s="63" t="n"/>
    </row>
    <row r="3741">
      <c r="A3741" s="166" t="n"/>
      <c r="B3741" s="63" t="n"/>
      <c r="C3741" s="64" t="n"/>
      <c r="D3741" s="167" t="n"/>
      <c r="E3741" s="63" t="n"/>
      <c r="F3741" s="63" t="n"/>
    </row>
    <row r="3742">
      <c r="A3742" s="166" t="n"/>
      <c r="B3742" s="63" t="n"/>
      <c r="C3742" s="64" t="n"/>
      <c r="D3742" s="167" t="n"/>
      <c r="E3742" s="63" t="n"/>
      <c r="F3742" s="63" t="n"/>
    </row>
    <row r="3743">
      <c r="A3743" s="166" t="n"/>
      <c r="B3743" s="63" t="n"/>
      <c r="C3743" s="64" t="n"/>
      <c r="D3743" s="167" t="n"/>
      <c r="E3743" s="63" t="n"/>
      <c r="F3743" s="63" t="n"/>
    </row>
    <row r="3744">
      <c r="A3744" s="166" t="n"/>
      <c r="B3744" s="63" t="n"/>
      <c r="C3744" s="64" t="n"/>
      <c r="D3744" s="167" t="n"/>
      <c r="E3744" s="63" t="n"/>
      <c r="F3744" s="63" t="n"/>
    </row>
    <row r="3745">
      <c r="A3745" s="166" t="n"/>
      <c r="B3745" s="63" t="n"/>
      <c r="C3745" s="64" t="n"/>
      <c r="D3745" s="167" t="n"/>
      <c r="E3745" s="63" t="n"/>
      <c r="F3745" s="63" t="n"/>
    </row>
    <row r="3746">
      <c r="A3746" s="166" t="n"/>
      <c r="B3746" s="63" t="n"/>
      <c r="C3746" s="64" t="n"/>
      <c r="D3746" s="167" t="n"/>
      <c r="E3746" s="63" t="n"/>
      <c r="F3746" s="63" t="n"/>
    </row>
    <row r="3747">
      <c r="A3747" s="166" t="n"/>
      <c r="B3747" s="63" t="n"/>
      <c r="C3747" s="64" t="n"/>
      <c r="D3747" s="167" t="n"/>
      <c r="E3747" s="63" t="n"/>
      <c r="F3747" s="63" t="n"/>
    </row>
    <row r="3748">
      <c r="A3748" s="166" t="n"/>
      <c r="B3748" s="63" t="n"/>
      <c r="C3748" s="64" t="n"/>
      <c r="D3748" s="167" t="n"/>
      <c r="E3748" s="63" t="n"/>
      <c r="F3748" s="63" t="n"/>
    </row>
    <row r="3749">
      <c r="A3749" s="166" t="n"/>
      <c r="B3749" s="63" t="n"/>
      <c r="C3749" s="64" t="n"/>
      <c r="D3749" s="167" t="n"/>
      <c r="E3749" s="63" t="n"/>
      <c r="F3749" s="63" t="n"/>
    </row>
    <row r="3750">
      <c r="A3750" s="166" t="n"/>
      <c r="B3750" s="63" t="n"/>
      <c r="C3750" s="64" t="n"/>
      <c r="D3750" s="167" t="n"/>
      <c r="E3750" s="63" t="n"/>
      <c r="F3750" s="63" t="n"/>
    </row>
    <row r="3751">
      <c r="A3751" s="166" t="n"/>
      <c r="B3751" s="63" t="n"/>
      <c r="C3751" s="64" t="n"/>
      <c r="D3751" s="167" t="n"/>
      <c r="E3751" s="63" t="n"/>
      <c r="F3751" s="63" t="n"/>
    </row>
    <row r="3752">
      <c r="A3752" s="166" t="n"/>
      <c r="B3752" s="63" t="n"/>
      <c r="C3752" s="64" t="n"/>
      <c r="D3752" s="167" t="n"/>
      <c r="E3752" s="63" t="n"/>
      <c r="F3752" s="63" t="n"/>
    </row>
    <row r="3753">
      <c r="A3753" s="166" t="n"/>
      <c r="B3753" s="63" t="n"/>
      <c r="C3753" s="64" t="n"/>
      <c r="D3753" s="167" t="n"/>
      <c r="E3753" s="63" t="n"/>
      <c r="F3753" s="63" t="n"/>
    </row>
    <row r="3754">
      <c r="A3754" s="166" t="n"/>
      <c r="B3754" s="63" t="n"/>
      <c r="C3754" s="64" t="n"/>
      <c r="D3754" s="167" t="n"/>
      <c r="E3754" s="63" t="n"/>
      <c r="F3754" s="63" t="n"/>
    </row>
    <row r="3755">
      <c r="A3755" s="166" t="n"/>
      <c r="B3755" s="63" t="n"/>
      <c r="C3755" s="64" t="n"/>
      <c r="D3755" s="167" t="n"/>
      <c r="E3755" s="63" t="n"/>
      <c r="F3755" s="63" t="n"/>
    </row>
    <row r="3756">
      <c r="A3756" s="166" t="n"/>
      <c r="B3756" s="63" t="n"/>
      <c r="C3756" s="64" t="n"/>
      <c r="D3756" s="167" t="n"/>
      <c r="E3756" s="63" t="n"/>
      <c r="F3756" s="63" t="n"/>
    </row>
    <row r="3757">
      <c r="A3757" s="166" t="n"/>
      <c r="B3757" s="63" t="n"/>
      <c r="C3757" s="64" t="n"/>
      <c r="D3757" s="167" t="n"/>
      <c r="E3757" s="63" t="n"/>
      <c r="F3757" s="63" t="n"/>
    </row>
    <row r="3758">
      <c r="A3758" s="166" t="n"/>
      <c r="B3758" s="63" t="n"/>
      <c r="C3758" s="64" t="n"/>
      <c r="D3758" s="167" t="n"/>
      <c r="E3758" s="63" t="n"/>
      <c r="F3758" s="63" t="n"/>
    </row>
    <row r="3759">
      <c r="A3759" s="166" t="n"/>
      <c r="B3759" s="63" t="n"/>
      <c r="C3759" s="64" t="n"/>
      <c r="D3759" s="167" t="n"/>
      <c r="E3759" s="63" t="n"/>
      <c r="F3759" s="63" t="n"/>
    </row>
    <row r="3760">
      <c r="A3760" s="166" t="n"/>
      <c r="B3760" s="63" t="n"/>
      <c r="C3760" s="64" t="n"/>
      <c r="D3760" s="167" t="n"/>
      <c r="E3760" s="63" t="n"/>
      <c r="F3760" s="63" t="n"/>
    </row>
    <row r="3761">
      <c r="A3761" s="166" t="n"/>
      <c r="B3761" s="63" t="n"/>
      <c r="C3761" s="64" t="n"/>
      <c r="D3761" s="167" t="n"/>
      <c r="E3761" s="63" t="n"/>
      <c r="F3761" s="63" t="n"/>
    </row>
    <row r="3762">
      <c r="A3762" s="166" t="n"/>
      <c r="B3762" s="63" t="n"/>
      <c r="C3762" s="64" t="n"/>
      <c r="D3762" s="167" t="n"/>
      <c r="E3762" s="63" t="n"/>
      <c r="F3762" s="63" t="n"/>
    </row>
    <row r="3763">
      <c r="A3763" s="166" t="n"/>
      <c r="B3763" s="63" t="n"/>
      <c r="C3763" s="64" t="n"/>
      <c r="D3763" s="167" t="n"/>
      <c r="E3763" s="63" t="n"/>
      <c r="F3763" s="63" t="n"/>
    </row>
    <row r="3764">
      <c r="A3764" s="166" t="n"/>
      <c r="B3764" s="63" t="n"/>
      <c r="C3764" s="64" t="n"/>
      <c r="D3764" s="167" t="n"/>
      <c r="E3764" s="63" t="n"/>
      <c r="F3764" s="63" t="n"/>
    </row>
    <row r="3765">
      <c r="A3765" s="166" t="n"/>
      <c r="B3765" s="63" t="n"/>
      <c r="C3765" s="64" t="n"/>
      <c r="D3765" s="167" t="n"/>
      <c r="E3765" s="63" t="n"/>
      <c r="F3765" s="63" t="n"/>
    </row>
    <row r="3766">
      <c r="A3766" s="166" t="n"/>
      <c r="B3766" s="63" t="n"/>
      <c r="C3766" s="64" t="n"/>
      <c r="D3766" s="167" t="n"/>
      <c r="E3766" s="63" t="n"/>
      <c r="F3766" s="63" t="n"/>
    </row>
    <row r="3767">
      <c r="A3767" s="166" t="n"/>
      <c r="B3767" s="63" t="n"/>
      <c r="C3767" s="64" t="n"/>
      <c r="D3767" s="167" t="n"/>
      <c r="E3767" s="63" t="n"/>
      <c r="F3767" s="63" t="n"/>
    </row>
    <row r="3768">
      <c r="A3768" s="166" t="n"/>
      <c r="B3768" s="63" t="n"/>
      <c r="C3768" s="64" t="n"/>
      <c r="D3768" s="167" t="n"/>
      <c r="E3768" s="63" t="n"/>
      <c r="F3768" s="63" t="n"/>
    </row>
    <row r="3769">
      <c r="A3769" s="166" t="n"/>
      <c r="B3769" s="63" t="n"/>
      <c r="C3769" s="64" t="n"/>
      <c r="D3769" s="167" t="n"/>
      <c r="E3769" s="63" t="n"/>
      <c r="F3769" s="63" t="n"/>
    </row>
    <row r="3770">
      <c r="A3770" s="166" t="n"/>
      <c r="B3770" s="63" t="n"/>
      <c r="C3770" s="64" t="n"/>
      <c r="D3770" s="167" t="n"/>
      <c r="E3770" s="63" t="n"/>
      <c r="F3770" s="63" t="n"/>
    </row>
    <row r="3771">
      <c r="A3771" s="166" t="n"/>
      <c r="B3771" s="63" t="n"/>
      <c r="C3771" s="64" t="n"/>
      <c r="D3771" s="167" t="n"/>
      <c r="E3771" s="63" t="n"/>
      <c r="F3771" s="63" t="n"/>
    </row>
    <row r="3772">
      <c r="A3772" s="166" t="n"/>
      <c r="B3772" s="63" t="n"/>
      <c r="C3772" s="64" t="n"/>
      <c r="D3772" s="167" t="n"/>
      <c r="E3772" s="63" t="n"/>
      <c r="F3772" s="63" t="n"/>
    </row>
    <row r="3773">
      <c r="A3773" s="166" t="n"/>
      <c r="B3773" s="63" t="n"/>
      <c r="C3773" s="64" t="n"/>
      <c r="D3773" s="167" t="n"/>
      <c r="E3773" s="63" t="n"/>
      <c r="F3773" s="63" t="n"/>
    </row>
    <row r="3774">
      <c r="A3774" s="166" t="n"/>
      <c r="B3774" s="63" t="n"/>
      <c r="C3774" s="64" t="n"/>
      <c r="D3774" s="167" t="n"/>
      <c r="E3774" s="63" t="n"/>
      <c r="F3774" s="63" t="n"/>
    </row>
    <row r="3775">
      <c r="A3775" s="166" t="n"/>
      <c r="B3775" s="63" t="n"/>
      <c r="C3775" s="64" t="n"/>
      <c r="D3775" s="167" t="n"/>
      <c r="E3775" s="63" t="n"/>
      <c r="F3775" s="63" t="n"/>
    </row>
    <row r="3776">
      <c r="A3776" s="166" t="n"/>
      <c r="B3776" s="63" t="n"/>
      <c r="C3776" s="64" t="n"/>
      <c r="D3776" s="167" t="n"/>
      <c r="E3776" s="63" t="n"/>
      <c r="F3776" s="63" t="n"/>
    </row>
    <row r="3777">
      <c r="A3777" s="166" t="n"/>
      <c r="B3777" s="63" t="n"/>
      <c r="C3777" s="64" t="n"/>
      <c r="D3777" s="167" t="n"/>
      <c r="E3777" s="63" t="n"/>
      <c r="F3777" s="63" t="n"/>
    </row>
    <row r="3778">
      <c r="A3778" s="166" t="n"/>
      <c r="B3778" s="63" t="n"/>
      <c r="C3778" s="64" t="n"/>
      <c r="D3778" s="167" t="n"/>
      <c r="E3778" s="63" t="n"/>
      <c r="F3778" s="63" t="n"/>
    </row>
    <row r="3779">
      <c r="A3779" s="166" t="n"/>
      <c r="B3779" s="63" t="n"/>
      <c r="C3779" s="64" t="n"/>
      <c r="D3779" s="167" t="n"/>
      <c r="E3779" s="63" t="n"/>
      <c r="F3779" s="63" t="n"/>
    </row>
    <row r="3780">
      <c r="A3780" s="166" t="n"/>
      <c r="B3780" s="63" t="n"/>
      <c r="C3780" s="64" t="n"/>
      <c r="D3780" s="167" t="n"/>
      <c r="E3780" s="63" t="n"/>
      <c r="F3780" s="63" t="n"/>
    </row>
    <row r="3781">
      <c r="A3781" s="166" t="n"/>
      <c r="B3781" s="63" t="n"/>
      <c r="C3781" s="64" t="n"/>
      <c r="D3781" s="167" t="n"/>
      <c r="E3781" s="63" t="n"/>
      <c r="F3781" s="63" t="n"/>
    </row>
    <row r="3782">
      <c r="A3782" s="166" t="n"/>
      <c r="B3782" s="63" t="n"/>
      <c r="C3782" s="64" t="n"/>
      <c r="D3782" s="167" t="n"/>
      <c r="E3782" s="63" t="n"/>
      <c r="F3782" s="63" t="n"/>
    </row>
    <row r="3783">
      <c r="A3783" s="166" t="n"/>
      <c r="B3783" s="63" t="n"/>
      <c r="C3783" s="64" t="n"/>
      <c r="D3783" s="167" t="n"/>
      <c r="E3783" s="63" t="n"/>
      <c r="F3783" s="63" t="n"/>
    </row>
    <row r="3784">
      <c r="A3784" s="166" t="n"/>
      <c r="B3784" s="63" t="n"/>
      <c r="C3784" s="64" t="n"/>
      <c r="D3784" s="167" t="n"/>
      <c r="E3784" s="63" t="n"/>
      <c r="F3784" s="63" t="n"/>
    </row>
    <row r="3785">
      <c r="A3785" s="166" t="n"/>
      <c r="B3785" s="63" t="n"/>
      <c r="C3785" s="64" t="n"/>
      <c r="D3785" s="167" t="n"/>
      <c r="E3785" s="63" t="n"/>
      <c r="F3785" s="63" t="n"/>
    </row>
    <row r="3786">
      <c r="A3786" s="166" t="n"/>
      <c r="B3786" s="63" t="n"/>
      <c r="C3786" s="64" t="n"/>
      <c r="D3786" s="167" t="n"/>
      <c r="E3786" s="63" t="n"/>
      <c r="F3786" s="63" t="n"/>
    </row>
    <row r="3787">
      <c r="A3787" s="166" t="n"/>
      <c r="B3787" s="63" t="n"/>
      <c r="C3787" s="64" t="n"/>
      <c r="D3787" s="167" t="n"/>
      <c r="E3787" s="63" t="n"/>
      <c r="F3787" s="63" t="n"/>
    </row>
    <row r="3788">
      <c r="A3788" s="166" t="n"/>
      <c r="B3788" s="63" t="n"/>
      <c r="C3788" s="64" t="n"/>
      <c r="D3788" s="167" t="n"/>
      <c r="E3788" s="63" t="n"/>
      <c r="F3788" s="63" t="n"/>
    </row>
    <row r="3789">
      <c r="A3789" s="166" t="n"/>
      <c r="B3789" s="63" t="n"/>
      <c r="C3789" s="64" t="n"/>
      <c r="D3789" s="167" t="n"/>
      <c r="E3789" s="63" t="n"/>
      <c r="F3789" s="63" t="n"/>
    </row>
    <row r="3790">
      <c r="A3790" s="166" t="n"/>
      <c r="B3790" s="63" t="n"/>
      <c r="C3790" s="64" t="n"/>
      <c r="D3790" s="167" t="n"/>
      <c r="E3790" s="63" t="n"/>
      <c r="F3790" s="63" t="n"/>
    </row>
    <row r="3791">
      <c r="A3791" s="166" t="n"/>
      <c r="B3791" s="63" t="n"/>
      <c r="C3791" s="64" t="n"/>
      <c r="D3791" s="167" t="n"/>
      <c r="E3791" s="63" t="n"/>
      <c r="F3791" s="63" t="n"/>
    </row>
    <row r="3792">
      <c r="A3792" s="166" t="n"/>
      <c r="B3792" s="63" t="n"/>
      <c r="C3792" s="64" t="n"/>
      <c r="D3792" s="167" t="n"/>
      <c r="E3792" s="63" t="n"/>
      <c r="F3792" s="63" t="n"/>
    </row>
    <row r="3793">
      <c r="A3793" s="166" t="n"/>
      <c r="B3793" s="63" t="n"/>
      <c r="C3793" s="64" t="n"/>
      <c r="D3793" s="167" t="n"/>
      <c r="E3793" s="63" t="n"/>
      <c r="F3793" s="63" t="n"/>
    </row>
    <row r="3794">
      <c r="A3794" s="166" t="n"/>
      <c r="B3794" s="63" t="n"/>
      <c r="C3794" s="64" t="n"/>
      <c r="D3794" s="167" t="n"/>
      <c r="E3794" s="63" t="n"/>
      <c r="F3794" s="63" t="n"/>
    </row>
    <row r="3795">
      <c r="A3795" s="166" t="n"/>
      <c r="B3795" s="63" t="n"/>
      <c r="C3795" s="64" t="n"/>
      <c r="D3795" s="167" t="n"/>
      <c r="E3795" s="63" t="n"/>
      <c r="F3795" s="63" t="n"/>
    </row>
    <row r="3796">
      <c r="A3796" s="166" t="n"/>
      <c r="B3796" s="63" t="n"/>
      <c r="C3796" s="64" t="n"/>
      <c r="D3796" s="167" t="n"/>
      <c r="E3796" s="63" t="n"/>
      <c r="F3796" s="63" t="n"/>
    </row>
    <row r="3797">
      <c r="A3797" s="166" t="n"/>
      <c r="B3797" s="63" t="n"/>
      <c r="C3797" s="64" t="n"/>
      <c r="D3797" s="167" t="n"/>
      <c r="E3797" s="63" t="n"/>
      <c r="F3797" s="63" t="n"/>
    </row>
    <row r="3798">
      <c r="A3798" s="166" t="n"/>
      <c r="B3798" s="63" t="n"/>
      <c r="C3798" s="64" t="n"/>
      <c r="D3798" s="167" t="n"/>
      <c r="E3798" s="63" t="n"/>
      <c r="F3798" s="63" t="n"/>
    </row>
    <row r="3799">
      <c r="A3799" s="166" t="n"/>
      <c r="B3799" s="63" t="n"/>
      <c r="C3799" s="64" t="n"/>
      <c r="D3799" s="167" t="n"/>
      <c r="E3799" s="63" t="n"/>
      <c r="F3799" s="63" t="n"/>
    </row>
    <row r="3800">
      <c r="A3800" s="166" t="n"/>
      <c r="B3800" s="63" t="n"/>
      <c r="C3800" s="64" t="n"/>
      <c r="D3800" s="167" t="n"/>
      <c r="E3800" s="63" t="n"/>
      <c r="F3800" s="63" t="n"/>
    </row>
    <row r="3801">
      <c r="A3801" s="166" t="n"/>
      <c r="B3801" s="63" t="n"/>
      <c r="C3801" s="64" t="n"/>
      <c r="D3801" s="167" t="n"/>
      <c r="E3801" s="63" t="n"/>
      <c r="F3801" s="63" t="n"/>
    </row>
    <row r="3802">
      <c r="A3802" s="166" t="n"/>
      <c r="B3802" s="63" t="n"/>
      <c r="C3802" s="64" t="n"/>
      <c r="D3802" s="167" t="n"/>
      <c r="E3802" s="63" t="n"/>
      <c r="F3802" s="63" t="n"/>
    </row>
    <row r="3803">
      <c r="A3803" s="166" t="n"/>
      <c r="B3803" s="63" t="n"/>
      <c r="C3803" s="64" t="n"/>
      <c r="D3803" s="167" t="n"/>
      <c r="E3803" s="63" t="n"/>
      <c r="F3803" s="63" t="n"/>
    </row>
    <row r="3804">
      <c r="A3804" s="166" t="n"/>
      <c r="B3804" s="63" t="n"/>
      <c r="C3804" s="64" t="n"/>
      <c r="D3804" s="167" t="n"/>
      <c r="E3804" s="63" t="n"/>
      <c r="F3804" s="63" t="n"/>
    </row>
    <row r="3805">
      <c r="A3805" s="166" t="n"/>
      <c r="B3805" s="63" t="n"/>
      <c r="C3805" s="64" t="n"/>
      <c r="D3805" s="167" t="n"/>
      <c r="E3805" s="63" t="n"/>
      <c r="F3805" s="63" t="n"/>
    </row>
    <row r="3806">
      <c r="A3806" s="166" t="n"/>
      <c r="B3806" s="63" t="n"/>
      <c r="C3806" s="64" t="n"/>
      <c r="D3806" s="167" t="n"/>
      <c r="E3806" s="63" t="n"/>
      <c r="F3806" s="63" t="n"/>
    </row>
    <row r="3807">
      <c r="A3807" s="166" t="n"/>
      <c r="B3807" s="63" t="n"/>
      <c r="C3807" s="64" t="n"/>
      <c r="D3807" s="167" t="n"/>
      <c r="E3807" s="63" t="n"/>
      <c r="F3807" s="63" t="n"/>
    </row>
    <row r="3808">
      <c r="A3808" s="166" t="n"/>
      <c r="B3808" s="63" t="n"/>
      <c r="C3808" s="64" t="n"/>
      <c r="D3808" s="167" t="n"/>
      <c r="E3808" s="63" t="n"/>
      <c r="F3808" s="63" t="n"/>
    </row>
    <row r="3809">
      <c r="A3809" s="166" t="n"/>
      <c r="B3809" s="63" t="n"/>
      <c r="C3809" s="64" t="n"/>
      <c r="D3809" s="167" t="n"/>
      <c r="E3809" s="63" t="n"/>
      <c r="F3809" s="63" t="n"/>
    </row>
    <row r="3810">
      <c r="A3810" s="166" t="n"/>
      <c r="B3810" s="63" t="n"/>
      <c r="C3810" s="64" t="n"/>
      <c r="D3810" s="167" t="n"/>
      <c r="E3810" s="63" t="n"/>
      <c r="F3810" s="63" t="n"/>
    </row>
    <row r="3811">
      <c r="A3811" s="166" t="n"/>
      <c r="B3811" s="63" t="n"/>
      <c r="C3811" s="64" t="n"/>
      <c r="D3811" s="167" t="n"/>
      <c r="E3811" s="63" t="n"/>
      <c r="F3811" s="63" t="n"/>
    </row>
    <row r="3812">
      <c r="A3812" s="166" t="n"/>
      <c r="B3812" s="63" t="n"/>
      <c r="C3812" s="64" t="n"/>
      <c r="D3812" s="167" t="n"/>
      <c r="E3812" s="63" t="n"/>
      <c r="F3812" s="63" t="n"/>
    </row>
    <row r="3813">
      <c r="A3813" s="166" t="n"/>
      <c r="B3813" s="63" t="n"/>
      <c r="C3813" s="64" t="n"/>
      <c r="D3813" s="167" t="n"/>
      <c r="E3813" s="63" t="n"/>
      <c r="F3813" s="63" t="n"/>
    </row>
    <row r="3814">
      <c r="A3814" s="166" t="n"/>
      <c r="B3814" s="63" t="n"/>
      <c r="C3814" s="64" t="n"/>
      <c r="D3814" s="167" t="n"/>
      <c r="E3814" s="63" t="n"/>
      <c r="F3814" s="63" t="n"/>
    </row>
    <row r="3815">
      <c r="A3815" s="166" t="n"/>
      <c r="B3815" s="63" t="n"/>
      <c r="C3815" s="64" t="n"/>
      <c r="D3815" s="167" t="n"/>
      <c r="E3815" s="63" t="n"/>
      <c r="F3815" s="63" t="n"/>
    </row>
    <row r="3816">
      <c r="A3816" s="166" t="n"/>
      <c r="B3816" s="63" t="n"/>
      <c r="C3816" s="64" t="n"/>
      <c r="D3816" s="167" t="n"/>
      <c r="E3816" s="63" t="n"/>
      <c r="F3816" s="63" t="n"/>
    </row>
    <row r="3817">
      <c r="A3817" s="166" t="n"/>
      <c r="B3817" s="63" t="n"/>
      <c r="C3817" s="64" t="n"/>
      <c r="D3817" s="167" t="n"/>
      <c r="E3817" s="63" t="n"/>
      <c r="F3817" s="63" t="n"/>
    </row>
    <row r="3818">
      <c r="A3818" s="166" t="n"/>
      <c r="B3818" s="63" t="n"/>
      <c r="C3818" s="64" t="n"/>
      <c r="D3818" s="167" t="n"/>
      <c r="E3818" s="63" t="n"/>
      <c r="F3818" s="63" t="n"/>
    </row>
    <row r="3819">
      <c r="A3819" s="166" t="n"/>
      <c r="B3819" s="63" t="n"/>
      <c r="C3819" s="64" t="n"/>
      <c r="D3819" s="167" t="n"/>
      <c r="E3819" s="63" t="n"/>
      <c r="F3819" s="63" t="n"/>
    </row>
    <row r="3820">
      <c r="A3820" s="166" t="n"/>
      <c r="B3820" s="63" t="n"/>
      <c r="C3820" s="64" t="n"/>
      <c r="D3820" s="167" t="n"/>
      <c r="E3820" s="63" t="n"/>
      <c r="F3820" s="63" t="n"/>
    </row>
    <row r="3821">
      <c r="A3821" s="166" t="n"/>
      <c r="B3821" s="63" t="n"/>
      <c r="C3821" s="64" t="n"/>
      <c r="D3821" s="167" t="n"/>
      <c r="E3821" s="63" t="n"/>
      <c r="F3821" s="63" t="n"/>
    </row>
    <row r="3822">
      <c r="A3822" s="166" t="n"/>
      <c r="B3822" s="63" t="n"/>
      <c r="C3822" s="64" t="n"/>
      <c r="D3822" s="167" t="n"/>
      <c r="E3822" s="63" t="n"/>
      <c r="F3822" s="63" t="n"/>
    </row>
    <row r="3823">
      <c r="A3823" s="166" t="n"/>
      <c r="B3823" s="63" t="n"/>
      <c r="C3823" s="64" t="n"/>
      <c r="D3823" s="167" t="n"/>
      <c r="E3823" s="63" t="n"/>
      <c r="F3823" s="63" t="n"/>
    </row>
    <row r="3824">
      <c r="A3824" s="166" t="n"/>
      <c r="B3824" s="63" t="n"/>
      <c r="C3824" s="64" t="n"/>
      <c r="D3824" s="167" t="n"/>
      <c r="E3824" s="63" t="n"/>
      <c r="F3824" s="63" t="n"/>
    </row>
    <row r="3825">
      <c r="A3825" s="166" t="n"/>
      <c r="B3825" s="63" t="n"/>
      <c r="C3825" s="64" t="n"/>
      <c r="D3825" s="167" t="n"/>
      <c r="E3825" s="63" t="n"/>
      <c r="F3825" s="63" t="n"/>
    </row>
    <row r="3826">
      <c r="A3826" s="166" t="n"/>
      <c r="B3826" s="63" t="n"/>
      <c r="C3826" s="64" t="n"/>
      <c r="D3826" s="167" t="n"/>
      <c r="E3826" s="63" t="n"/>
      <c r="F3826" s="63" t="n"/>
    </row>
    <row r="3827">
      <c r="A3827" s="166" t="n"/>
      <c r="B3827" s="63" t="n"/>
      <c r="C3827" s="64" t="n"/>
      <c r="D3827" s="167" t="n"/>
      <c r="E3827" s="63" t="n"/>
      <c r="F3827" s="63" t="n"/>
    </row>
    <row r="3828">
      <c r="A3828" s="166" t="n"/>
      <c r="B3828" s="63" t="n"/>
      <c r="C3828" s="64" t="n"/>
      <c r="D3828" s="167" t="n"/>
      <c r="E3828" s="63" t="n"/>
      <c r="F3828" s="63" t="n"/>
    </row>
    <row r="3829">
      <c r="A3829" s="166" t="n"/>
      <c r="B3829" s="63" t="n"/>
      <c r="C3829" s="64" t="n"/>
      <c r="D3829" s="167" t="n"/>
      <c r="E3829" s="63" t="n"/>
      <c r="F3829" s="63" t="n"/>
    </row>
    <row r="3830">
      <c r="A3830" s="166" t="n"/>
      <c r="B3830" s="63" t="n"/>
      <c r="C3830" s="64" t="n"/>
      <c r="D3830" s="167" t="n"/>
      <c r="E3830" s="63" t="n"/>
      <c r="F3830" s="63" t="n"/>
    </row>
    <row r="3831">
      <c r="A3831" s="166" t="n"/>
      <c r="B3831" s="63" t="n"/>
      <c r="C3831" s="64" t="n"/>
      <c r="D3831" s="167" t="n"/>
      <c r="E3831" s="63" t="n"/>
      <c r="F3831" s="63" t="n"/>
    </row>
    <row r="3832">
      <c r="A3832" s="166" t="n"/>
      <c r="B3832" s="63" t="n"/>
      <c r="C3832" s="64" t="n"/>
      <c r="D3832" s="167" t="n"/>
      <c r="E3832" s="63" t="n"/>
      <c r="F3832" s="63" t="n"/>
    </row>
    <row r="3833">
      <c r="A3833" s="166" t="n"/>
      <c r="B3833" s="63" t="n"/>
      <c r="C3833" s="64" t="n"/>
      <c r="D3833" s="167" t="n"/>
      <c r="E3833" s="63" t="n"/>
      <c r="F3833" s="63" t="n"/>
    </row>
    <row r="3834">
      <c r="A3834" s="166" t="n"/>
      <c r="B3834" s="63" t="n"/>
      <c r="C3834" s="64" t="n"/>
      <c r="D3834" s="167" t="n"/>
      <c r="E3834" s="63" t="n"/>
      <c r="F3834" s="63" t="n"/>
    </row>
    <row r="3835">
      <c r="A3835" s="166" t="n"/>
      <c r="B3835" s="63" t="n"/>
      <c r="C3835" s="64" t="n"/>
      <c r="D3835" s="167" t="n"/>
      <c r="E3835" s="63" t="n"/>
      <c r="F3835" s="63" t="n"/>
    </row>
    <row r="3836">
      <c r="A3836" s="166" t="n"/>
      <c r="B3836" s="63" t="n"/>
      <c r="C3836" s="64" t="n"/>
      <c r="D3836" s="167" t="n"/>
      <c r="E3836" s="63" t="n"/>
      <c r="F3836" s="63" t="n"/>
    </row>
    <row r="3837">
      <c r="A3837" s="166" t="n"/>
      <c r="B3837" s="63" t="n"/>
      <c r="C3837" s="64" t="n"/>
      <c r="D3837" s="167" t="n"/>
      <c r="E3837" s="63" t="n"/>
      <c r="F3837" s="63" t="n"/>
    </row>
    <row r="3838">
      <c r="A3838" s="166" t="n"/>
      <c r="B3838" s="63" t="n"/>
      <c r="C3838" s="64" t="n"/>
      <c r="D3838" s="167" t="n"/>
      <c r="E3838" s="63" t="n"/>
      <c r="F3838" s="63" t="n"/>
    </row>
    <row r="3839">
      <c r="A3839" s="166" t="n"/>
      <c r="B3839" s="63" t="n"/>
      <c r="C3839" s="64" t="n"/>
      <c r="D3839" s="167" t="n"/>
      <c r="E3839" s="63" t="n"/>
      <c r="F3839" s="63" t="n"/>
    </row>
    <row r="3840">
      <c r="A3840" s="166" t="n"/>
      <c r="B3840" s="63" t="n"/>
      <c r="C3840" s="64" t="n"/>
      <c r="D3840" s="167" t="n"/>
      <c r="E3840" s="63" t="n"/>
      <c r="F3840" s="63" t="n"/>
    </row>
    <row r="3841">
      <c r="A3841" s="166" t="n"/>
      <c r="B3841" s="63" t="n"/>
      <c r="C3841" s="64" t="n"/>
      <c r="D3841" s="167" t="n"/>
      <c r="E3841" s="63" t="n"/>
      <c r="F3841" s="63" t="n"/>
    </row>
    <row r="3842">
      <c r="A3842" s="166" t="n"/>
      <c r="B3842" s="63" t="n"/>
      <c r="C3842" s="64" t="n"/>
      <c r="D3842" s="167" t="n"/>
      <c r="E3842" s="63" t="n"/>
      <c r="F3842" s="63" t="n"/>
    </row>
    <row r="3843">
      <c r="A3843" s="166" t="n"/>
      <c r="B3843" s="63" t="n"/>
      <c r="C3843" s="64" t="n"/>
      <c r="D3843" s="167" t="n"/>
      <c r="E3843" s="63" t="n"/>
      <c r="F3843" s="63" t="n"/>
    </row>
    <row r="3844">
      <c r="A3844" s="166" t="n"/>
      <c r="B3844" s="63" t="n"/>
      <c r="C3844" s="64" t="n"/>
      <c r="D3844" s="167" t="n"/>
      <c r="E3844" s="63" t="n"/>
      <c r="F3844" s="63" t="n"/>
    </row>
    <row r="3845">
      <c r="A3845" s="166" t="n"/>
      <c r="B3845" s="63" t="n"/>
      <c r="C3845" s="64" t="n"/>
      <c r="D3845" s="167" t="n"/>
      <c r="E3845" s="63" t="n"/>
      <c r="F3845" s="63" t="n"/>
    </row>
    <row r="3846">
      <c r="A3846" s="166" t="n"/>
      <c r="B3846" s="63" t="n"/>
      <c r="C3846" s="64" t="n"/>
      <c r="D3846" s="167" t="n"/>
      <c r="E3846" s="63" t="n"/>
      <c r="F3846" s="63" t="n"/>
    </row>
    <row r="3847">
      <c r="A3847" s="166" t="n"/>
      <c r="B3847" s="63" t="n"/>
      <c r="C3847" s="64" t="n"/>
      <c r="D3847" s="167" t="n"/>
      <c r="E3847" s="63" t="n"/>
      <c r="F3847" s="63" t="n"/>
    </row>
    <row r="3848">
      <c r="A3848" s="166" t="n"/>
      <c r="B3848" s="63" t="n"/>
      <c r="C3848" s="64" t="n"/>
      <c r="D3848" s="167" t="n"/>
      <c r="E3848" s="63" t="n"/>
      <c r="F3848" s="63" t="n"/>
    </row>
    <row r="3849">
      <c r="A3849" s="166" t="n"/>
      <c r="B3849" s="63" t="n"/>
      <c r="C3849" s="64" t="n"/>
      <c r="D3849" s="167" t="n"/>
      <c r="E3849" s="63" t="n"/>
      <c r="F3849" s="63" t="n"/>
    </row>
    <row r="3850">
      <c r="A3850" s="166" t="n"/>
      <c r="B3850" s="63" t="n"/>
      <c r="C3850" s="64" t="n"/>
      <c r="D3850" s="167" t="n"/>
      <c r="E3850" s="63" t="n"/>
      <c r="F3850" s="63" t="n"/>
    </row>
    <row r="3851">
      <c r="A3851" s="166" t="n"/>
      <c r="B3851" s="63" t="n"/>
      <c r="C3851" s="64" t="n"/>
      <c r="D3851" s="167" t="n"/>
      <c r="E3851" s="63" t="n"/>
      <c r="F3851" s="63" t="n"/>
    </row>
    <row r="3852">
      <c r="A3852" s="166" t="n"/>
      <c r="B3852" s="63" t="n"/>
      <c r="C3852" s="64" t="n"/>
      <c r="D3852" s="167" t="n"/>
      <c r="E3852" s="63" t="n"/>
      <c r="F3852" s="63" t="n"/>
    </row>
    <row r="3853">
      <c r="A3853" s="166" t="n"/>
      <c r="B3853" s="63" t="n"/>
      <c r="C3853" s="64" t="n"/>
      <c r="D3853" s="167" t="n"/>
      <c r="E3853" s="63" t="n"/>
      <c r="F3853" s="63" t="n"/>
    </row>
    <row r="3854">
      <c r="A3854" s="166" t="n"/>
      <c r="B3854" s="63" t="n"/>
      <c r="C3854" s="64" t="n"/>
      <c r="D3854" s="167" t="n"/>
      <c r="E3854" s="63" t="n"/>
      <c r="F3854" s="63" t="n"/>
    </row>
    <row r="3855">
      <c r="A3855" s="166" t="n"/>
      <c r="B3855" s="63" t="n"/>
      <c r="C3855" s="64" t="n"/>
      <c r="D3855" s="167" t="n"/>
      <c r="E3855" s="63" t="n"/>
      <c r="F3855" s="63" t="n"/>
    </row>
    <row r="3856">
      <c r="A3856" s="166" t="n"/>
      <c r="B3856" s="63" t="n"/>
      <c r="C3856" s="64" t="n"/>
      <c r="D3856" s="167" t="n"/>
      <c r="E3856" s="63" t="n"/>
      <c r="F3856" s="63" t="n"/>
    </row>
    <row r="3857">
      <c r="A3857" s="166" t="n"/>
      <c r="B3857" s="63" t="n"/>
      <c r="C3857" s="64" t="n"/>
      <c r="D3857" s="167" t="n"/>
      <c r="E3857" s="63" t="n"/>
      <c r="F3857" s="63" t="n"/>
    </row>
    <row r="3858">
      <c r="A3858" s="166" t="n"/>
      <c r="B3858" s="63" t="n"/>
      <c r="C3858" s="64" t="n"/>
      <c r="D3858" s="167" t="n"/>
      <c r="E3858" s="63" t="n"/>
      <c r="F3858" s="63" t="n"/>
    </row>
    <row r="3859">
      <c r="A3859" s="166" t="n"/>
      <c r="B3859" s="63" t="n"/>
      <c r="C3859" s="64" t="n"/>
      <c r="D3859" s="167" t="n"/>
      <c r="E3859" s="63" t="n"/>
      <c r="F3859" s="63" t="n"/>
    </row>
    <row r="3860">
      <c r="A3860" s="166" t="n"/>
      <c r="B3860" s="63" t="n"/>
      <c r="C3860" s="64" t="n"/>
      <c r="D3860" s="167" t="n"/>
      <c r="E3860" s="63" t="n"/>
      <c r="F3860" s="63" t="n"/>
    </row>
    <row r="3861">
      <c r="A3861" s="166" t="n"/>
      <c r="B3861" s="63" t="n"/>
      <c r="C3861" s="64" t="n"/>
      <c r="D3861" s="167" t="n"/>
      <c r="E3861" s="63" t="n"/>
      <c r="F3861" s="63" t="n"/>
    </row>
    <row r="3862">
      <c r="A3862" s="166" t="n"/>
      <c r="B3862" s="63" t="n"/>
      <c r="C3862" s="64" t="n"/>
      <c r="D3862" s="167" t="n"/>
      <c r="E3862" s="63" t="n"/>
      <c r="F3862" s="63" t="n"/>
    </row>
    <row r="3863">
      <c r="A3863" s="166" t="n"/>
      <c r="B3863" s="63" t="n"/>
      <c r="C3863" s="64" t="n"/>
      <c r="D3863" s="167" t="n"/>
      <c r="E3863" s="63" t="n"/>
      <c r="F3863" s="63" t="n"/>
    </row>
    <row r="3864">
      <c r="A3864" s="166" t="n"/>
      <c r="B3864" s="63" t="n"/>
      <c r="C3864" s="64" t="n"/>
      <c r="D3864" s="167" t="n"/>
      <c r="E3864" s="63" t="n"/>
      <c r="F3864" s="63" t="n"/>
    </row>
    <row r="3865">
      <c r="A3865" s="166" t="n"/>
      <c r="B3865" s="63" t="n"/>
      <c r="C3865" s="64" t="n"/>
      <c r="D3865" s="167" t="n"/>
      <c r="E3865" s="63" t="n"/>
      <c r="F3865" s="63" t="n"/>
    </row>
    <row r="3866">
      <c r="A3866" s="166" t="n"/>
      <c r="B3866" s="63" t="n"/>
      <c r="C3866" s="64" t="n"/>
      <c r="D3866" s="167" t="n"/>
      <c r="E3866" s="63" t="n"/>
      <c r="F3866" s="63" t="n"/>
    </row>
    <row r="3867">
      <c r="A3867" s="166" t="n"/>
      <c r="B3867" s="63" t="n"/>
      <c r="C3867" s="64" t="n"/>
      <c r="D3867" s="167" t="n"/>
      <c r="E3867" s="63" t="n"/>
      <c r="F3867" s="63" t="n"/>
    </row>
    <row r="3868">
      <c r="A3868" s="166" t="n"/>
      <c r="B3868" s="63" t="n"/>
      <c r="C3868" s="64" t="n"/>
      <c r="D3868" s="167" t="n"/>
      <c r="E3868" s="63" t="n"/>
      <c r="F3868" s="63" t="n"/>
    </row>
    <row r="3869">
      <c r="A3869" s="166" t="n"/>
      <c r="B3869" s="63" t="n"/>
      <c r="C3869" s="64" t="n"/>
      <c r="D3869" s="167" t="n"/>
      <c r="E3869" s="63" t="n"/>
      <c r="F3869" s="63" t="n"/>
    </row>
    <row r="3870">
      <c r="A3870" s="166" t="n"/>
      <c r="B3870" s="63" t="n"/>
      <c r="C3870" s="64" t="n"/>
      <c r="D3870" s="167" t="n"/>
      <c r="E3870" s="63" t="n"/>
      <c r="F3870" s="63" t="n"/>
    </row>
    <row r="3871">
      <c r="A3871" s="166" t="n"/>
      <c r="B3871" s="63" t="n"/>
      <c r="C3871" s="64" t="n"/>
      <c r="D3871" s="167" t="n"/>
      <c r="E3871" s="63" t="n"/>
      <c r="F3871" s="63" t="n"/>
    </row>
    <row r="3872">
      <c r="A3872" s="166" t="n"/>
      <c r="B3872" s="63" t="n"/>
      <c r="C3872" s="64" t="n"/>
      <c r="D3872" s="167" t="n"/>
      <c r="E3872" s="63" t="n"/>
      <c r="F3872" s="63" t="n"/>
    </row>
    <row r="3873">
      <c r="A3873" s="166" t="n"/>
      <c r="B3873" s="63" t="n"/>
      <c r="C3873" s="64" t="n"/>
      <c r="D3873" s="167" t="n"/>
      <c r="E3873" s="63" t="n"/>
      <c r="F3873" s="63" t="n"/>
    </row>
    <row r="3874">
      <c r="A3874" s="166" t="n"/>
      <c r="B3874" s="63" t="n"/>
      <c r="C3874" s="64" t="n"/>
      <c r="D3874" s="167" t="n"/>
      <c r="E3874" s="63" t="n"/>
      <c r="F3874" s="63" t="n"/>
    </row>
    <row r="3875">
      <c r="A3875" s="166" t="n"/>
      <c r="B3875" s="63" t="n"/>
      <c r="C3875" s="64" t="n"/>
      <c r="D3875" s="167" t="n"/>
      <c r="E3875" s="63" t="n"/>
      <c r="F3875" s="63" t="n"/>
    </row>
    <row r="3876">
      <c r="A3876" s="166" t="n"/>
      <c r="B3876" s="63" t="n"/>
      <c r="C3876" s="64" t="n"/>
      <c r="D3876" s="167" t="n"/>
      <c r="E3876" s="63" t="n"/>
      <c r="F3876" s="63" t="n"/>
    </row>
    <row r="3877">
      <c r="A3877" s="166" t="n"/>
      <c r="B3877" s="63" t="n"/>
      <c r="C3877" s="64" t="n"/>
      <c r="D3877" s="167" t="n"/>
      <c r="E3877" s="63" t="n"/>
      <c r="F3877" s="63" t="n"/>
    </row>
    <row r="3878">
      <c r="A3878" s="166" t="n"/>
      <c r="B3878" s="63" t="n"/>
      <c r="C3878" s="64" t="n"/>
      <c r="D3878" s="167" t="n"/>
      <c r="E3878" s="63" t="n"/>
      <c r="F3878" s="63" t="n"/>
    </row>
    <row r="3879">
      <c r="A3879" s="166" t="n"/>
      <c r="B3879" s="63" t="n"/>
      <c r="C3879" s="64" t="n"/>
      <c r="D3879" s="167" t="n"/>
      <c r="E3879" s="63" t="n"/>
      <c r="F3879" s="63" t="n"/>
    </row>
    <row r="3880">
      <c r="A3880" s="166" t="n"/>
      <c r="B3880" s="63" t="n"/>
      <c r="C3880" s="64" t="n"/>
      <c r="D3880" s="167" t="n"/>
      <c r="E3880" s="63" t="n"/>
      <c r="F3880" s="63" t="n"/>
    </row>
    <row r="3881">
      <c r="A3881" s="166" t="n"/>
      <c r="B3881" s="63" t="n"/>
      <c r="C3881" s="64" t="n"/>
      <c r="D3881" s="167" t="n"/>
      <c r="E3881" s="63" t="n"/>
      <c r="F3881" s="63" t="n"/>
    </row>
    <row r="3882">
      <c r="A3882" s="166" t="n"/>
      <c r="B3882" s="63" t="n"/>
      <c r="C3882" s="64" t="n"/>
      <c r="D3882" s="167" t="n"/>
      <c r="E3882" s="63" t="n"/>
      <c r="F3882" s="63" t="n"/>
    </row>
    <row r="3883">
      <c r="A3883" s="166" t="n"/>
      <c r="B3883" s="63" t="n"/>
      <c r="C3883" s="64" t="n"/>
      <c r="D3883" s="167" t="n"/>
      <c r="E3883" s="63" t="n"/>
      <c r="F3883" s="63" t="n"/>
    </row>
    <row r="3884">
      <c r="A3884" s="166" t="n"/>
      <c r="B3884" s="63" t="n"/>
      <c r="C3884" s="64" t="n"/>
      <c r="D3884" s="167" t="n"/>
      <c r="E3884" s="63" t="n"/>
      <c r="F3884" s="63" t="n"/>
    </row>
    <row r="3885">
      <c r="A3885" s="166" t="n"/>
      <c r="B3885" s="63" t="n"/>
      <c r="C3885" s="64" t="n"/>
      <c r="D3885" s="167" t="n"/>
      <c r="E3885" s="63" t="n"/>
      <c r="F3885" s="63" t="n"/>
    </row>
    <row r="3886">
      <c r="A3886" s="166" t="n"/>
      <c r="B3886" s="63" t="n"/>
      <c r="C3886" s="64" t="n"/>
      <c r="D3886" s="167" t="n"/>
      <c r="E3886" s="63" t="n"/>
      <c r="F3886" s="63" t="n"/>
    </row>
    <row r="3887">
      <c r="A3887" s="166" t="n"/>
      <c r="B3887" s="63" t="n"/>
      <c r="C3887" s="64" t="n"/>
      <c r="D3887" s="167" t="n"/>
      <c r="E3887" s="63" t="n"/>
      <c r="F3887" s="63" t="n"/>
    </row>
    <row r="3888">
      <c r="A3888" s="166" t="n"/>
      <c r="B3888" s="63" t="n"/>
      <c r="C3888" s="64" t="n"/>
      <c r="D3888" s="167" t="n"/>
      <c r="E3888" s="63" t="n"/>
      <c r="F3888" s="63" t="n"/>
    </row>
    <row r="3889">
      <c r="A3889" s="166" t="n"/>
      <c r="B3889" s="63" t="n"/>
      <c r="C3889" s="64" t="n"/>
      <c r="D3889" s="167" t="n"/>
      <c r="E3889" s="63" t="n"/>
      <c r="F3889" s="63" t="n"/>
    </row>
    <row r="3890">
      <c r="A3890" s="166" t="n"/>
      <c r="B3890" s="63" t="n"/>
      <c r="C3890" s="64" t="n"/>
      <c r="D3890" s="167" t="n"/>
      <c r="E3890" s="63" t="n"/>
      <c r="F3890" s="63" t="n"/>
    </row>
    <row r="3891">
      <c r="A3891" s="166" t="n"/>
      <c r="B3891" s="63" t="n"/>
      <c r="C3891" s="64" t="n"/>
      <c r="D3891" s="167" t="n"/>
      <c r="E3891" s="63" t="n"/>
      <c r="F3891" s="63" t="n"/>
    </row>
    <row r="3892">
      <c r="A3892" s="166" t="n"/>
      <c r="B3892" s="63" t="n"/>
      <c r="C3892" s="64" t="n"/>
      <c r="D3892" s="167" t="n"/>
      <c r="E3892" s="63" t="n"/>
      <c r="F3892" s="63" t="n"/>
    </row>
    <row r="3893">
      <c r="A3893" s="166" t="n"/>
      <c r="B3893" s="63" t="n"/>
      <c r="C3893" s="64" t="n"/>
      <c r="D3893" s="167" t="n"/>
      <c r="E3893" s="63" t="n"/>
      <c r="F3893" s="63" t="n"/>
    </row>
    <row r="3894">
      <c r="A3894" s="166" t="n"/>
      <c r="B3894" s="63" t="n"/>
      <c r="C3894" s="64" t="n"/>
      <c r="D3894" s="167" t="n"/>
      <c r="E3894" s="63" t="n"/>
      <c r="F3894" s="63" t="n"/>
    </row>
    <row r="3895">
      <c r="A3895" s="166" t="n"/>
      <c r="B3895" s="63" t="n"/>
      <c r="C3895" s="64" t="n"/>
      <c r="D3895" s="167" t="n"/>
      <c r="E3895" s="63" t="n"/>
      <c r="F3895" s="63" t="n"/>
    </row>
    <row r="3896">
      <c r="A3896" s="166" t="n"/>
      <c r="B3896" s="63" t="n"/>
      <c r="C3896" s="64" t="n"/>
      <c r="D3896" s="167" t="n"/>
      <c r="E3896" s="63" t="n"/>
      <c r="F3896" s="63" t="n"/>
    </row>
    <row r="3897">
      <c r="A3897" s="166" t="n"/>
      <c r="B3897" s="63" t="n"/>
      <c r="C3897" s="64" t="n"/>
      <c r="D3897" s="167" t="n"/>
      <c r="E3897" s="63" t="n"/>
      <c r="F3897" s="63" t="n"/>
    </row>
    <row r="3898">
      <c r="A3898" s="166" t="n"/>
      <c r="B3898" s="63" t="n"/>
      <c r="C3898" s="64" t="n"/>
      <c r="D3898" s="167" t="n"/>
      <c r="E3898" s="63" t="n"/>
      <c r="F3898" s="63" t="n"/>
    </row>
    <row r="3899">
      <c r="A3899" s="166" t="n"/>
      <c r="B3899" s="63" t="n"/>
      <c r="C3899" s="64" t="n"/>
      <c r="D3899" s="167" t="n"/>
      <c r="E3899" s="63" t="n"/>
      <c r="F3899" s="63" t="n"/>
    </row>
    <row r="3900">
      <c r="A3900" s="166" t="n"/>
      <c r="B3900" s="63" t="n"/>
      <c r="C3900" s="64" t="n"/>
      <c r="D3900" s="167" t="n"/>
      <c r="E3900" s="63" t="n"/>
      <c r="F3900" s="63" t="n"/>
    </row>
    <row r="3901">
      <c r="A3901" s="166" t="n"/>
      <c r="B3901" s="63" t="n"/>
      <c r="C3901" s="64" t="n"/>
      <c r="D3901" s="167" t="n"/>
      <c r="E3901" s="63" t="n"/>
      <c r="F3901" s="63" t="n"/>
    </row>
    <row r="3902">
      <c r="A3902" s="166" t="n"/>
      <c r="B3902" s="63" t="n"/>
      <c r="C3902" s="64" t="n"/>
      <c r="D3902" s="167" t="n"/>
      <c r="E3902" s="63" t="n"/>
      <c r="F3902" s="63" t="n"/>
    </row>
    <row r="3903">
      <c r="A3903" s="166" t="n"/>
      <c r="B3903" s="63" t="n"/>
      <c r="C3903" s="64" t="n"/>
      <c r="D3903" s="167" t="n"/>
      <c r="E3903" s="63" t="n"/>
      <c r="F3903" s="63" t="n"/>
    </row>
    <row r="3904">
      <c r="A3904" s="166" t="n"/>
      <c r="B3904" s="63" t="n"/>
      <c r="C3904" s="64" t="n"/>
      <c r="D3904" s="167" t="n"/>
      <c r="E3904" s="63" t="n"/>
      <c r="F3904" s="63" t="n"/>
    </row>
    <row r="3905">
      <c r="A3905" s="166" t="n"/>
      <c r="B3905" s="63" t="n"/>
      <c r="C3905" s="64" t="n"/>
      <c r="D3905" s="167" t="n"/>
      <c r="E3905" s="63" t="n"/>
      <c r="F3905" s="63" t="n"/>
    </row>
    <row r="3906">
      <c r="A3906" s="166" t="n"/>
      <c r="B3906" s="63" t="n"/>
      <c r="C3906" s="64" t="n"/>
      <c r="D3906" s="167" t="n"/>
      <c r="E3906" s="63" t="n"/>
      <c r="F3906" s="63" t="n"/>
    </row>
    <row r="3907">
      <c r="A3907" s="166" t="n"/>
      <c r="B3907" s="63" t="n"/>
      <c r="C3907" s="64" t="n"/>
      <c r="D3907" s="167" t="n"/>
      <c r="E3907" s="63" t="n"/>
      <c r="F3907" s="63" t="n"/>
    </row>
    <row r="3908">
      <c r="A3908" s="166" t="n"/>
      <c r="B3908" s="63" t="n"/>
      <c r="C3908" s="64" t="n"/>
      <c r="D3908" s="167" t="n"/>
      <c r="E3908" s="63" t="n"/>
      <c r="F3908" s="63" t="n"/>
    </row>
    <row r="3909">
      <c r="A3909" s="166" t="n"/>
      <c r="B3909" s="63" t="n"/>
      <c r="C3909" s="64" t="n"/>
      <c r="D3909" s="167" t="n"/>
      <c r="E3909" s="63" t="n"/>
      <c r="F3909" s="63" t="n"/>
    </row>
    <row r="3910">
      <c r="A3910" s="166" t="n"/>
      <c r="B3910" s="63" t="n"/>
      <c r="C3910" s="64" t="n"/>
      <c r="D3910" s="167" t="n"/>
      <c r="E3910" s="63" t="n"/>
      <c r="F3910" s="63" t="n"/>
    </row>
    <row r="3911">
      <c r="A3911" s="166" t="n"/>
      <c r="B3911" s="63" t="n"/>
      <c r="C3911" s="64" t="n"/>
      <c r="D3911" s="167" t="n"/>
      <c r="E3911" s="63" t="n"/>
      <c r="F3911" s="63" t="n"/>
    </row>
    <row r="3912">
      <c r="A3912" s="166" t="n"/>
      <c r="B3912" s="63" t="n"/>
      <c r="C3912" s="64" t="n"/>
      <c r="D3912" s="167" t="n"/>
      <c r="E3912" s="63" t="n"/>
      <c r="F3912" s="63" t="n"/>
    </row>
    <row r="3913">
      <c r="A3913" s="166" t="n"/>
      <c r="B3913" s="63" t="n"/>
      <c r="C3913" s="64" t="n"/>
      <c r="D3913" s="167" t="n"/>
      <c r="E3913" s="63" t="n"/>
      <c r="F3913" s="63" t="n"/>
    </row>
    <row r="3914">
      <c r="A3914" s="166" t="n"/>
      <c r="B3914" s="63" t="n"/>
      <c r="C3914" s="64" t="n"/>
      <c r="D3914" s="167" t="n"/>
      <c r="E3914" s="63" t="n"/>
      <c r="F3914" s="63" t="n"/>
    </row>
    <row r="3915">
      <c r="A3915" s="166" t="n"/>
      <c r="B3915" s="63" t="n"/>
      <c r="C3915" s="64" t="n"/>
      <c r="D3915" s="167" t="n"/>
      <c r="E3915" s="63" t="n"/>
      <c r="F3915" s="63" t="n"/>
    </row>
    <row r="3916">
      <c r="A3916" s="166" t="n"/>
      <c r="B3916" s="63" t="n"/>
      <c r="C3916" s="64" t="n"/>
      <c r="D3916" s="167" t="n"/>
      <c r="E3916" s="63" t="n"/>
      <c r="F3916" s="63" t="n"/>
    </row>
    <row r="3917">
      <c r="A3917" s="166" t="n"/>
      <c r="B3917" s="63" t="n"/>
      <c r="C3917" s="64" t="n"/>
      <c r="D3917" s="167" t="n"/>
      <c r="E3917" s="63" t="n"/>
      <c r="F3917" s="63" t="n"/>
    </row>
    <row r="3918">
      <c r="A3918" s="166" t="n"/>
      <c r="B3918" s="63" t="n"/>
      <c r="C3918" s="64" t="n"/>
      <c r="D3918" s="167" t="n"/>
      <c r="E3918" s="63" t="n"/>
      <c r="F3918" s="63" t="n"/>
    </row>
    <row r="3919">
      <c r="A3919" s="166" t="n"/>
      <c r="B3919" s="63" t="n"/>
      <c r="C3919" s="64" t="n"/>
      <c r="D3919" s="167" t="n"/>
      <c r="E3919" s="63" t="n"/>
      <c r="F3919" s="63" t="n"/>
    </row>
    <row r="3920">
      <c r="A3920" s="166" t="n"/>
      <c r="B3920" s="63" t="n"/>
      <c r="C3920" s="64" t="n"/>
      <c r="D3920" s="167" t="n"/>
      <c r="E3920" s="63" t="n"/>
      <c r="F3920" s="63" t="n"/>
    </row>
    <row r="3921">
      <c r="A3921" s="166" t="n"/>
      <c r="B3921" s="63" t="n"/>
      <c r="C3921" s="64" t="n"/>
      <c r="D3921" s="167" t="n"/>
      <c r="E3921" s="63" t="n"/>
      <c r="F3921" s="63" t="n"/>
    </row>
    <row r="3922">
      <c r="A3922" s="166" t="n"/>
      <c r="B3922" s="63" t="n"/>
      <c r="C3922" s="64" t="n"/>
      <c r="D3922" s="167" t="n"/>
      <c r="E3922" s="63" t="n"/>
      <c r="F3922" s="63" t="n"/>
    </row>
    <row r="3923">
      <c r="A3923" s="166" t="n"/>
      <c r="B3923" s="63" t="n"/>
      <c r="C3923" s="64" t="n"/>
      <c r="D3923" s="167" t="n"/>
      <c r="E3923" s="63" t="n"/>
      <c r="F3923" s="63" t="n"/>
    </row>
    <row r="3924">
      <c r="A3924" s="166" t="n"/>
      <c r="B3924" s="63" t="n"/>
      <c r="C3924" s="64" t="n"/>
      <c r="D3924" s="167" t="n"/>
      <c r="E3924" s="63" t="n"/>
      <c r="F3924" s="63" t="n"/>
    </row>
    <row r="3925">
      <c r="A3925" s="166" t="n"/>
      <c r="B3925" s="63" t="n"/>
      <c r="C3925" s="64" t="n"/>
      <c r="D3925" s="167" t="n"/>
      <c r="E3925" s="63" t="n"/>
      <c r="F3925" s="63" t="n"/>
    </row>
    <row r="3926">
      <c r="A3926" s="166" t="n"/>
      <c r="B3926" s="63" t="n"/>
      <c r="C3926" s="64" t="n"/>
      <c r="D3926" s="167" t="n"/>
      <c r="E3926" s="63" t="n"/>
      <c r="F3926" s="63" t="n"/>
    </row>
    <row r="3927">
      <c r="A3927" s="166" t="n"/>
      <c r="B3927" s="63" t="n"/>
      <c r="C3927" s="64" t="n"/>
      <c r="D3927" s="167" t="n"/>
      <c r="E3927" s="63" t="n"/>
      <c r="F3927" s="63" t="n"/>
    </row>
    <row r="3928">
      <c r="A3928" s="166" t="n"/>
      <c r="B3928" s="63" t="n"/>
      <c r="C3928" s="64" t="n"/>
      <c r="D3928" s="167" t="n"/>
      <c r="E3928" s="63" t="n"/>
      <c r="F3928" s="63" t="n"/>
    </row>
    <row r="3929">
      <c r="A3929" s="166" t="n"/>
      <c r="B3929" s="63" t="n"/>
      <c r="C3929" s="64" t="n"/>
      <c r="D3929" s="167" t="n"/>
      <c r="E3929" s="63" t="n"/>
      <c r="F3929" s="63" t="n"/>
    </row>
    <row r="3930">
      <c r="A3930" s="166" t="n"/>
      <c r="B3930" s="63" t="n"/>
      <c r="C3930" s="64" t="n"/>
      <c r="D3930" s="167" t="n"/>
      <c r="E3930" s="63" t="n"/>
      <c r="F3930" s="63" t="n"/>
    </row>
    <row r="3931">
      <c r="A3931" s="166" t="n"/>
      <c r="B3931" s="63" t="n"/>
      <c r="C3931" s="64" t="n"/>
      <c r="D3931" s="167" t="n"/>
      <c r="E3931" s="63" t="n"/>
      <c r="F3931" s="63" t="n"/>
    </row>
    <row r="3932">
      <c r="A3932" s="166" t="n"/>
      <c r="B3932" s="63" t="n"/>
      <c r="C3932" s="64" t="n"/>
      <c r="D3932" s="167" t="n"/>
      <c r="E3932" s="63" t="n"/>
      <c r="F3932" s="63" t="n"/>
    </row>
    <row r="3933">
      <c r="A3933" s="166" t="n"/>
      <c r="B3933" s="63" t="n"/>
      <c r="C3933" s="64" t="n"/>
      <c r="D3933" s="167" t="n"/>
      <c r="E3933" s="63" t="n"/>
      <c r="F3933" s="63" t="n"/>
    </row>
    <row r="3934">
      <c r="A3934" s="166" t="n"/>
      <c r="B3934" s="63" t="n"/>
      <c r="C3934" s="64" t="n"/>
      <c r="D3934" s="167" t="n"/>
      <c r="E3934" s="63" t="n"/>
      <c r="F3934" s="63" t="n"/>
    </row>
    <row r="3935">
      <c r="A3935" s="166" t="n"/>
      <c r="B3935" s="63" t="n"/>
      <c r="C3935" s="64" t="n"/>
      <c r="D3935" s="167" t="n"/>
      <c r="E3935" s="63" t="n"/>
      <c r="F3935" s="63" t="n"/>
    </row>
    <row r="3936">
      <c r="A3936" s="166" t="n"/>
      <c r="B3936" s="63" t="n"/>
      <c r="C3936" s="64" t="n"/>
      <c r="D3936" s="167" t="n"/>
      <c r="E3936" s="63" t="n"/>
      <c r="F3936" s="63" t="n"/>
    </row>
    <row r="3937">
      <c r="A3937" s="166" t="n"/>
      <c r="B3937" s="63" t="n"/>
      <c r="C3937" s="64" t="n"/>
      <c r="D3937" s="167" t="n"/>
      <c r="E3937" s="63" t="n"/>
      <c r="F3937" s="63" t="n"/>
    </row>
    <row r="3938">
      <c r="A3938" s="166" t="n"/>
      <c r="B3938" s="63" t="n"/>
      <c r="C3938" s="64" t="n"/>
      <c r="D3938" s="167" t="n"/>
      <c r="E3938" s="63" t="n"/>
      <c r="F3938" s="63" t="n"/>
    </row>
    <row r="3939">
      <c r="A3939" s="166" t="n"/>
      <c r="B3939" s="63" t="n"/>
      <c r="C3939" s="64" t="n"/>
      <c r="D3939" s="167" t="n"/>
      <c r="E3939" s="63" t="n"/>
      <c r="F3939" s="63" t="n"/>
    </row>
    <row r="3940">
      <c r="A3940" s="166" t="n"/>
      <c r="B3940" s="63" t="n"/>
      <c r="C3940" s="64" t="n"/>
      <c r="D3940" s="167" t="n"/>
      <c r="E3940" s="63" t="n"/>
      <c r="F3940" s="63" t="n"/>
    </row>
    <row r="3941">
      <c r="A3941" s="166" t="n"/>
      <c r="B3941" s="63" t="n"/>
      <c r="C3941" s="64" t="n"/>
      <c r="D3941" s="167" t="n"/>
      <c r="E3941" s="63" t="n"/>
      <c r="F3941" s="63" t="n"/>
    </row>
    <row r="3942">
      <c r="A3942" s="166" t="n"/>
      <c r="B3942" s="63" t="n"/>
      <c r="C3942" s="64" t="n"/>
      <c r="D3942" s="167" t="n"/>
      <c r="E3942" s="63" t="n"/>
      <c r="F3942" s="63" t="n"/>
    </row>
    <row r="3943">
      <c r="A3943" s="166" t="n"/>
      <c r="B3943" s="63" t="n"/>
      <c r="C3943" s="64" t="n"/>
      <c r="D3943" s="167" t="n"/>
      <c r="E3943" s="63" t="n"/>
      <c r="F3943" s="63" t="n"/>
    </row>
    <row r="3944">
      <c r="A3944" s="166" t="n"/>
      <c r="B3944" s="63" t="n"/>
      <c r="C3944" s="64" t="n"/>
      <c r="D3944" s="167" t="n"/>
      <c r="E3944" s="63" t="n"/>
      <c r="F3944" s="63" t="n"/>
    </row>
    <row r="3945">
      <c r="A3945" s="166" t="n"/>
      <c r="B3945" s="63" t="n"/>
      <c r="C3945" s="64" t="n"/>
      <c r="D3945" s="167" t="n"/>
      <c r="E3945" s="63" t="n"/>
      <c r="F3945" s="63" t="n"/>
    </row>
    <row r="3946">
      <c r="A3946" s="166" t="n"/>
      <c r="B3946" s="63" t="n"/>
      <c r="C3946" s="64" t="n"/>
      <c r="D3946" s="167" t="n"/>
      <c r="E3946" s="63" t="n"/>
      <c r="F3946" s="63" t="n"/>
    </row>
    <row r="3947">
      <c r="A3947" s="166" t="n"/>
      <c r="B3947" s="63" t="n"/>
      <c r="C3947" s="64" t="n"/>
      <c r="D3947" s="167" t="n"/>
      <c r="E3947" s="63" t="n"/>
      <c r="F3947" s="63" t="n"/>
    </row>
    <row r="3948">
      <c r="A3948" s="166" t="n"/>
      <c r="B3948" s="63" t="n"/>
      <c r="C3948" s="64" t="n"/>
      <c r="D3948" s="167" t="n"/>
      <c r="E3948" s="63" t="n"/>
      <c r="F3948" s="63" t="n"/>
    </row>
    <row r="3949">
      <c r="A3949" s="166" t="n"/>
      <c r="B3949" s="63" t="n"/>
      <c r="C3949" s="64" t="n"/>
      <c r="D3949" s="167" t="n"/>
      <c r="E3949" s="63" t="n"/>
      <c r="F3949" s="63" t="n"/>
    </row>
    <row r="3950">
      <c r="A3950" s="166" t="n"/>
      <c r="B3950" s="63" t="n"/>
      <c r="C3950" s="64" t="n"/>
      <c r="D3950" s="167" t="n"/>
      <c r="E3950" s="63" t="n"/>
      <c r="F3950" s="63" t="n"/>
    </row>
    <row r="3951">
      <c r="A3951" s="166" t="n"/>
      <c r="B3951" s="63" t="n"/>
      <c r="C3951" s="64" t="n"/>
      <c r="D3951" s="167" t="n"/>
      <c r="E3951" s="63" t="n"/>
      <c r="F3951" s="63" t="n"/>
    </row>
    <row r="3952">
      <c r="A3952" s="166" t="n"/>
      <c r="B3952" s="63" t="n"/>
      <c r="C3952" s="64" t="n"/>
      <c r="D3952" s="167" t="n"/>
      <c r="E3952" s="63" t="n"/>
      <c r="F3952" s="63" t="n"/>
    </row>
    <row r="3953">
      <c r="A3953" s="166" t="n"/>
      <c r="B3953" s="63" t="n"/>
      <c r="C3953" s="64" t="n"/>
      <c r="D3953" s="167" t="n"/>
      <c r="E3953" s="63" t="n"/>
      <c r="F3953" s="63" t="n"/>
    </row>
    <row r="3954">
      <c r="A3954" s="166" t="n"/>
      <c r="B3954" s="63" t="n"/>
      <c r="C3954" s="64" t="n"/>
      <c r="D3954" s="167" t="n"/>
      <c r="E3954" s="63" t="n"/>
      <c r="F3954" s="63" t="n"/>
    </row>
    <row r="3955">
      <c r="A3955" s="166" t="n"/>
      <c r="B3955" s="63" t="n"/>
      <c r="C3955" s="64" t="n"/>
      <c r="D3955" s="167" t="n"/>
      <c r="E3955" s="63" t="n"/>
      <c r="F3955" s="63" t="n"/>
    </row>
    <row r="3956">
      <c r="A3956" s="166" t="n"/>
      <c r="B3956" s="63" t="n"/>
      <c r="C3956" s="64" t="n"/>
      <c r="D3956" s="167" t="n"/>
      <c r="E3956" s="63" t="n"/>
      <c r="F3956" s="63" t="n"/>
    </row>
    <row r="3957">
      <c r="A3957" s="166" t="n"/>
      <c r="B3957" s="63" t="n"/>
      <c r="C3957" s="64" t="n"/>
      <c r="D3957" s="167" t="n"/>
      <c r="E3957" s="63" t="n"/>
      <c r="F3957" s="63" t="n"/>
    </row>
    <row r="3958">
      <c r="A3958" s="166" t="n"/>
      <c r="B3958" s="63" t="n"/>
      <c r="C3958" s="64" t="n"/>
      <c r="D3958" s="167" t="n"/>
      <c r="E3958" s="63" t="n"/>
      <c r="F3958" s="63" t="n"/>
    </row>
    <row r="3959">
      <c r="A3959" s="166" t="n"/>
      <c r="B3959" s="63" t="n"/>
      <c r="C3959" s="64" t="n"/>
      <c r="D3959" s="167" t="n"/>
      <c r="E3959" s="63" t="n"/>
      <c r="F3959" s="63" t="n"/>
    </row>
    <row r="3960">
      <c r="A3960" s="166" t="n"/>
      <c r="B3960" s="63" t="n"/>
      <c r="C3960" s="64" t="n"/>
      <c r="D3960" s="167" t="n"/>
      <c r="E3960" s="63" t="n"/>
      <c r="F3960" s="63" t="n"/>
    </row>
    <row r="3961">
      <c r="A3961" s="166" t="n"/>
      <c r="B3961" s="63" t="n"/>
      <c r="C3961" s="64" t="n"/>
      <c r="D3961" s="167" t="n"/>
      <c r="E3961" s="63" t="n"/>
      <c r="F3961" s="63" t="n"/>
    </row>
    <row r="3962">
      <c r="A3962" s="166" t="n"/>
      <c r="B3962" s="63" t="n"/>
      <c r="C3962" s="64" t="n"/>
      <c r="D3962" s="167" t="n"/>
      <c r="E3962" s="63" t="n"/>
      <c r="F3962" s="63" t="n"/>
    </row>
    <row r="3963">
      <c r="A3963" s="166" t="n"/>
      <c r="B3963" s="63" t="n"/>
      <c r="C3963" s="64" t="n"/>
      <c r="D3963" s="167" t="n"/>
      <c r="E3963" s="63" t="n"/>
      <c r="F3963" s="63" t="n"/>
    </row>
    <row r="3964">
      <c r="A3964" s="166" t="n"/>
      <c r="B3964" s="63" t="n"/>
      <c r="C3964" s="64" t="n"/>
      <c r="D3964" s="167" t="n"/>
      <c r="E3964" s="63" t="n"/>
      <c r="F3964" s="63" t="n"/>
    </row>
    <row r="3965">
      <c r="A3965" s="166" t="n"/>
      <c r="B3965" s="63" t="n"/>
      <c r="C3965" s="64" t="n"/>
      <c r="D3965" s="167" t="n"/>
      <c r="E3965" s="63" t="n"/>
      <c r="F3965" s="63" t="n"/>
    </row>
    <row r="3966">
      <c r="A3966" s="166" t="n"/>
      <c r="B3966" s="63" t="n"/>
      <c r="C3966" s="64" t="n"/>
      <c r="D3966" s="167" t="n"/>
      <c r="E3966" s="63" t="n"/>
      <c r="F3966" s="63" t="n"/>
    </row>
    <row r="3967">
      <c r="A3967" s="166" t="n"/>
      <c r="B3967" s="63" t="n"/>
      <c r="C3967" s="64" t="n"/>
      <c r="D3967" s="167" t="n"/>
      <c r="E3967" s="63" t="n"/>
      <c r="F3967" s="63" t="n"/>
    </row>
    <row r="3968">
      <c r="A3968" s="166" t="n"/>
      <c r="B3968" s="63" t="n"/>
      <c r="C3968" s="64" t="n"/>
      <c r="D3968" s="167" t="n"/>
      <c r="E3968" s="63" t="n"/>
      <c r="F3968" s="63" t="n"/>
    </row>
    <row r="3969">
      <c r="A3969" s="166" t="n"/>
      <c r="B3969" s="63" t="n"/>
      <c r="C3969" s="64" t="n"/>
      <c r="D3969" s="167" t="n"/>
      <c r="E3969" s="63" t="n"/>
      <c r="F3969" s="63" t="n"/>
    </row>
    <row r="3970">
      <c r="A3970" s="166" t="n"/>
      <c r="B3970" s="63" t="n"/>
      <c r="C3970" s="64" t="n"/>
      <c r="D3970" s="167" t="n"/>
      <c r="E3970" s="63" t="n"/>
      <c r="F3970" s="63" t="n"/>
    </row>
    <row r="3971">
      <c r="A3971" s="166" t="n"/>
      <c r="B3971" s="63" t="n"/>
      <c r="C3971" s="64" t="n"/>
      <c r="D3971" s="167" t="n"/>
      <c r="E3971" s="63" t="n"/>
      <c r="F3971" s="63" t="n"/>
    </row>
    <row r="3972">
      <c r="A3972" s="166" t="n"/>
      <c r="B3972" s="63" t="n"/>
      <c r="C3972" s="64" t="n"/>
      <c r="D3972" s="167" t="n"/>
      <c r="E3972" s="63" t="n"/>
      <c r="F3972" s="63" t="n"/>
    </row>
    <row r="3973">
      <c r="A3973" s="166" t="n"/>
      <c r="B3973" s="63" t="n"/>
      <c r="C3973" s="64" t="n"/>
      <c r="D3973" s="167" t="n"/>
      <c r="E3973" s="63" t="n"/>
      <c r="F3973" s="63" t="n"/>
    </row>
    <row r="3974">
      <c r="A3974" s="166" t="n"/>
      <c r="B3974" s="63" t="n"/>
      <c r="C3974" s="64" t="n"/>
      <c r="D3974" s="167" t="n"/>
      <c r="E3974" s="63" t="n"/>
      <c r="F3974" s="63" t="n"/>
    </row>
    <row r="3975">
      <c r="A3975" s="166" t="n"/>
      <c r="B3975" s="63" t="n"/>
      <c r="C3975" s="64" t="n"/>
      <c r="D3975" s="167" t="n"/>
      <c r="E3975" s="63" t="n"/>
      <c r="F3975" s="63" t="n"/>
    </row>
    <row r="3976">
      <c r="A3976" s="166" t="n"/>
      <c r="B3976" s="63" t="n"/>
      <c r="C3976" s="64" t="n"/>
      <c r="D3976" s="167" t="n"/>
      <c r="E3976" s="63" t="n"/>
      <c r="F3976" s="63" t="n"/>
    </row>
    <row r="3977">
      <c r="A3977" s="166" t="n"/>
      <c r="B3977" s="63" t="n"/>
      <c r="C3977" s="64" t="n"/>
      <c r="D3977" s="167" t="n"/>
      <c r="E3977" s="63" t="n"/>
      <c r="F3977" s="63" t="n"/>
    </row>
    <row r="3978">
      <c r="A3978" s="166" t="n"/>
      <c r="B3978" s="63" t="n"/>
      <c r="C3978" s="64" t="n"/>
      <c r="D3978" s="167" t="n"/>
      <c r="E3978" s="63" t="n"/>
      <c r="F3978" s="63" t="n"/>
    </row>
    <row r="3979">
      <c r="A3979" s="166" t="n"/>
      <c r="B3979" s="63" t="n"/>
      <c r="C3979" s="64" t="n"/>
      <c r="D3979" s="167" t="n"/>
      <c r="E3979" s="63" t="n"/>
      <c r="F3979" s="63" t="n"/>
    </row>
    <row r="3980">
      <c r="A3980" s="166" t="n"/>
      <c r="B3980" s="63" t="n"/>
      <c r="C3980" s="64" t="n"/>
      <c r="D3980" s="167" t="n"/>
      <c r="E3980" s="63" t="n"/>
      <c r="F3980" s="63" t="n"/>
    </row>
    <row r="3981">
      <c r="A3981" s="166" t="n"/>
      <c r="B3981" s="63" t="n"/>
      <c r="C3981" s="64" t="n"/>
      <c r="D3981" s="167" t="n"/>
      <c r="E3981" s="63" t="n"/>
      <c r="F3981" s="63" t="n"/>
    </row>
    <row r="3982">
      <c r="A3982" s="166" t="n"/>
      <c r="B3982" s="63" t="n"/>
      <c r="C3982" s="64" t="n"/>
      <c r="D3982" s="167" t="n"/>
      <c r="E3982" s="63" t="n"/>
      <c r="F3982" s="63" t="n"/>
    </row>
    <row r="3983">
      <c r="A3983" s="166" t="n"/>
      <c r="B3983" s="63" t="n"/>
      <c r="C3983" s="64" t="n"/>
      <c r="D3983" s="167" t="n"/>
      <c r="E3983" s="63" t="n"/>
      <c r="F3983" s="63" t="n"/>
    </row>
    <row r="3984">
      <c r="A3984" s="166" t="n"/>
      <c r="B3984" s="63" t="n"/>
      <c r="C3984" s="64" t="n"/>
      <c r="D3984" s="167" t="n"/>
      <c r="E3984" s="63" t="n"/>
      <c r="F3984" s="63" t="n"/>
    </row>
    <row r="3985">
      <c r="A3985" s="166" t="n"/>
      <c r="B3985" s="63" t="n"/>
      <c r="C3985" s="64" t="n"/>
      <c r="D3985" s="167" t="n"/>
      <c r="E3985" s="63" t="n"/>
      <c r="F3985" s="63" t="n"/>
    </row>
    <row r="3986">
      <c r="A3986" s="166" t="n"/>
      <c r="B3986" s="63" t="n"/>
      <c r="C3986" s="64" t="n"/>
      <c r="D3986" s="167" t="n"/>
      <c r="E3986" s="63" t="n"/>
      <c r="F3986" s="63" t="n"/>
    </row>
    <row r="3987">
      <c r="A3987" s="166" t="n"/>
      <c r="B3987" s="63" t="n"/>
      <c r="C3987" s="64" t="n"/>
      <c r="D3987" s="167" t="n"/>
      <c r="E3987" s="63" t="n"/>
      <c r="F3987" s="63" t="n"/>
    </row>
    <row r="3988">
      <c r="A3988" s="166" t="n"/>
      <c r="B3988" s="63" t="n"/>
      <c r="C3988" s="64" t="n"/>
      <c r="D3988" s="167" t="n"/>
      <c r="E3988" s="63" t="n"/>
      <c r="F3988" s="63" t="n"/>
    </row>
    <row r="3989">
      <c r="A3989" s="166" t="n"/>
      <c r="B3989" s="63" t="n"/>
      <c r="C3989" s="64" t="n"/>
      <c r="D3989" s="167" t="n"/>
      <c r="E3989" s="63" t="n"/>
      <c r="F3989" s="63" t="n"/>
    </row>
    <row r="3990">
      <c r="A3990" s="166" t="n"/>
      <c r="B3990" s="63" t="n"/>
      <c r="C3990" s="64" t="n"/>
      <c r="D3990" s="167" t="n"/>
      <c r="E3990" s="63" t="n"/>
      <c r="F3990" s="63" t="n"/>
    </row>
    <row r="3991">
      <c r="A3991" s="166" t="n"/>
      <c r="B3991" s="63" t="n"/>
      <c r="C3991" s="64" t="n"/>
      <c r="D3991" s="167" t="n"/>
      <c r="E3991" s="63" t="n"/>
      <c r="F3991" s="63" t="n"/>
    </row>
    <row r="3992">
      <c r="A3992" s="166" t="n"/>
      <c r="B3992" s="63" t="n"/>
      <c r="C3992" s="64" t="n"/>
      <c r="D3992" s="167" t="n"/>
      <c r="E3992" s="63" t="n"/>
      <c r="F3992" s="63" t="n"/>
    </row>
    <row r="3993">
      <c r="A3993" s="166" t="n"/>
      <c r="B3993" s="63" t="n"/>
      <c r="C3993" s="64" t="n"/>
      <c r="D3993" s="167" t="n"/>
      <c r="E3993" s="63" t="n"/>
      <c r="F3993" s="63" t="n"/>
    </row>
    <row r="3994">
      <c r="A3994" s="166" t="n"/>
      <c r="B3994" s="63" t="n"/>
      <c r="C3994" s="64" t="n"/>
      <c r="D3994" s="167" t="n"/>
      <c r="E3994" s="63" t="n"/>
      <c r="F3994" s="63" t="n"/>
    </row>
    <row r="3995">
      <c r="A3995" s="166" t="n"/>
      <c r="B3995" s="63" t="n"/>
      <c r="C3995" s="64" t="n"/>
      <c r="D3995" s="167" t="n"/>
      <c r="E3995" s="63" t="n"/>
      <c r="F3995" s="63" t="n"/>
    </row>
    <row r="3996">
      <c r="A3996" s="166" t="n"/>
      <c r="B3996" s="63" t="n"/>
      <c r="C3996" s="64" t="n"/>
      <c r="D3996" s="167" t="n"/>
      <c r="E3996" s="63" t="n"/>
      <c r="F3996" s="63" t="n"/>
    </row>
    <row r="3997">
      <c r="A3997" s="166" t="n"/>
      <c r="B3997" s="63" t="n"/>
      <c r="C3997" s="64" t="n"/>
      <c r="D3997" s="167" t="n"/>
      <c r="E3997" s="63" t="n"/>
      <c r="F3997" s="63" t="n"/>
    </row>
    <row r="3998">
      <c r="A3998" s="166" t="n"/>
      <c r="B3998" s="63" t="n"/>
      <c r="C3998" s="64" t="n"/>
      <c r="D3998" s="167" t="n"/>
      <c r="E3998" s="63" t="n"/>
      <c r="F3998" s="63" t="n"/>
    </row>
    <row r="3999">
      <c r="A3999" s="166" t="n"/>
      <c r="B3999" s="63" t="n"/>
      <c r="C3999" s="64" t="n"/>
      <c r="D3999" s="167" t="n"/>
      <c r="E3999" s="63" t="n"/>
      <c r="F3999" s="63" t="n"/>
    </row>
    <row r="4000">
      <c r="A4000" s="166" t="n"/>
      <c r="B4000" s="63" t="n"/>
      <c r="C4000" s="64" t="n"/>
      <c r="D4000" s="167" t="n"/>
      <c r="E4000" s="63" t="n"/>
      <c r="F4000" s="63" t="n"/>
    </row>
    <row r="4001">
      <c r="A4001" s="166" t="n"/>
      <c r="B4001" s="63" t="n"/>
      <c r="C4001" s="64" t="n"/>
      <c r="D4001" s="167" t="n"/>
      <c r="E4001" s="63" t="n"/>
      <c r="F4001" s="63" t="n"/>
    </row>
    <row r="4002">
      <c r="A4002" s="166" t="n"/>
      <c r="B4002" s="63" t="n"/>
      <c r="C4002" s="64" t="n"/>
      <c r="D4002" s="167" t="n"/>
      <c r="E4002" s="63" t="n"/>
      <c r="F4002" s="63" t="n"/>
    </row>
    <row r="4003">
      <c r="A4003" s="166" t="n"/>
      <c r="B4003" s="63" t="n"/>
      <c r="C4003" s="64" t="n"/>
      <c r="D4003" s="167" t="n"/>
      <c r="E4003" s="63" t="n"/>
      <c r="F4003" s="63" t="n"/>
    </row>
    <row r="4004">
      <c r="A4004" s="166" t="n"/>
      <c r="B4004" s="63" t="n"/>
      <c r="C4004" s="64" t="n"/>
      <c r="D4004" s="167" t="n"/>
      <c r="E4004" s="63" t="n"/>
      <c r="F4004" s="63" t="n"/>
    </row>
    <row r="4005">
      <c r="A4005" s="166" t="n"/>
      <c r="B4005" s="63" t="n"/>
      <c r="C4005" s="64" t="n"/>
      <c r="D4005" s="167" t="n"/>
      <c r="E4005" s="63" t="n"/>
      <c r="F4005" s="63" t="n"/>
    </row>
    <row r="4006">
      <c r="A4006" s="166" t="n"/>
      <c r="B4006" s="63" t="n"/>
      <c r="C4006" s="64" t="n"/>
      <c r="D4006" s="167" t="n"/>
      <c r="E4006" s="63" t="n"/>
      <c r="F4006" s="63" t="n"/>
    </row>
    <row r="4007">
      <c r="A4007" s="166" t="n"/>
      <c r="B4007" s="63" t="n"/>
      <c r="C4007" s="64" t="n"/>
      <c r="D4007" s="167" t="n"/>
      <c r="E4007" s="63" t="n"/>
      <c r="F4007" s="63" t="n"/>
    </row>
    <row r="4008">
      <c r="A4008" s="166" t="n"/>
      <c r="B4008" s="63" t="n"/>
      <c r="C4008" s="64" t="n"/>
      <c r="D4008" s="167" t="n"/>
      <c r="E4008" s="63" t="n"/>
      <c r="F4008" s="63" t="n"/>
    </row>
    <row r="4009">
      <c r="A4009" s="166" t="n"/>
      <c r="B4009" s="63" t="n"/>
      <c r="C4009" s="64" t="n"/>
      <c r="D4009" s="167" t="n"/>
      <c r="E4009" s="63" t="n"/>
      <c r="F4009" s="63" t="n"/>
    </row>
    <row r="4010">
      <c r="A4010" s="166" t="n"/>
      <c r="B4010" s="63" t="n"/>
      <c r="C4010" s="64" t="n"/>
      <c r="D4010" s="167" t="n"/>
      <c r="E4010" s="63" t="n"/>
      <c r="F4010" s="63" t="n"/>
    </row>
    <row r="4011">
      <c r="A4011" s="166" t="n"/>
      <c r="B4011" s="63" t="n"/>
      <c r="C4011" s="64" t="n"/>
      <c r="D4011" s="167" t="n"/>
      <c r="E4011" s="63" t="n"/>
      <c r="F4011" s="63" t="n"/>
    </row>
    <row r="4012">
      <c r="A4012" s="166" t="n"/>
      <c r="B4012" s="63" t="n"/>
      <c r="C4012" s="64" t="n"/>
      <c r="D4012" s="167" t="n"/>
      <c r="E4012" s="63" t="n"/>
      <c r="F4012" s="63" t="n"/>
    </row>
    <row r="4013">
      <c r="A4013" s="166" t="n"/>
      <c r="B4013" s="63" t="n"/>
      <c r="C4013" s="64" t="n"/>
      <c r="D4013" s="167" t="n"/>
      <c r="E4013" s="63" t="n"/>
      <c r="F4013" s="63" t="n"/>
    </row>
    <row r="4014">
      <c r="A4014" s="166" t="n"/>
      <c r="B4014" s="63" t="n"/>
      <c r="C4014" s="64" t="n"/>
      <c r="D4014" s="167" t="n"/>
      <c r="E4014" s="63" t="n"/>
      <c r="F4014" s="63" t="n"/>
    </row>
    <row r="4015">
      <c r="A4015" s="166" t="n"/>
      <c r="B4015" s="63" t="n"/>
      <c r="C4015" s="64" t="n"/>
      <c r="D4015" s="167" t="n"/>
      <c r="E4015" s="63" t="n"/>
      <c r="F4015" s="63" t="n"/>
    </row>
    <row r="4016">
      <c r="A4016" s="166" t="n"/>
      <c r="B4016" s="63" t="n"/>
      <c r="C4016" s="64" t="n"/>
      <c r="D4016" s="167" t="n"/>
      <c r="E4016" s="63" t="n"/>
      <c r="F4016" s="63" t="n"/>
    </row>
    <row r="4017">
      <c r="A4017" s="166" t="n"/>
      <c r="B4017" s="63" t="n"/>
      <c r="C4017" s="64" t="n"/>
      <c r="D4017" s="167" t="n"/>
      <c r="E4017" s="63" t="n"/>
      <c r="F4017" s="63" t="n"/>
    </row>
    <row r="4018">
      <c r="A4018" s="166" t="n"/>
      <c r="B4018" s="63" t="n"/>
      <c r="C4018" s="64" t="n"/>
      <c r="D4018" s="167" t="n"/>
      <c r="E4018" s="63" t="n"/>
      <c r="F4018" s="63" t="n"/>
    </row>
    <row r="4019">
      <c r="A4019" s="166" t="n"/>
      <c r="B4019" s="63" t="n"/>
      <c r="C4019" s="64" t="n"/>
      <c r="D4019" s="167" t="n"/>
      <c r="E4019" s="63" t="n"/>
      <c r="F4019" s="63" t="n"/>
    </row>
    <row r="4020">
      <c r="A4020" s="166" t="n"/>
      <c r="B4020" s="63" t="n"/>
      <c r="C4020" s="64" t="n"/>
      <c r="D4020" s="167" t="n"/>
      <c r="E4020" s="63" t="n"/>
      <c r="F4020" s="63" t="n"/>
    </row>
    <row r="4021">
      <c r="A4021" s="166" t="n"/>
      <c r="B4021" s="63" t="n"/>
      <c r="C4021" s="64" t="n"/>
      <c r="D4021" s="167" t="n"/>
      <c r="E4021" s="63" t="n"/>
      <c r="F4021" s="63" t="n"/>
    </row>
    <row r="4022">
      <c r="A4022" s="166" t="n"/>
      <c r="B4022" s="63" t="n"/>
      <c r="C4022" s="64" t="n"/>
      <c r="D4022" s="167" t="n"/>
      <c r="E4022" s="63" t="n"/>
      <c r="F4022" s="63" t="n"/>
    </row>
    <row r="4023">
      <c r="A4023" s="166" t="n"/>
      <c r="B4023" s="63" t="n"/>
      <c r="C4023" s="64" t="n"/>
      <c r="D4023" s="167" t="n"/>
      <c r="E4023" s="63" t="n"/>
      <c r="F4023" s="63" t="n"/>
    </row>
    <row r="4024">
      <c r="A4024" s="166" t="n"/>
      <c r="B4024" s="63" t="n"/>
      <c r="C4024" s="64" t="n"/>
      <c r="D4024" s="167" t="n"/>
      <c r="E4024" s="63" t="n"/>
      <c r="F4024" s="63" t="n"/>
    </row>
    <row r="4025">
      <c r="A4025" s="166" t="n"/>
      <c r="B4025" s="63" t="n"/>
      <c r="C4025" s="64" t="n"/>
      <c r="D4025" s="167" t="n"/>
      <c r="E4025" s="63" t="n"/>
      <c r="F4025" s="63" t="n"/>
    </row>
    <row r="4026">
      <c r="A4026" s="166" t="n"/>
      <c r="B4026" s="63" t="n"/>
      <c r="C4026" s="64" t="n"/>
      <c r="D4026" s="167" t="n"/>
      <c r="E4026" s="63" t="n"/>
      <c r="F4026" s="63" t="n"/>
    </row>
    <row r="4027">
      <c r="A4027" s="166" t="n"/>
      <c r="B4027" s="63" t="n"/>
      <c r="C4027" s="64" t="n"/>
      <c r="D4027" s="167" t="n"/>
      <c r="E4027" s="63" t="n"/>
      <c r="F4027" s="63" t="n"/>
    </row>
    <row r="4028">
      <c r="A4028" s="166" t="n"/>
      <c r="B4028" s="63" t="n"/>
      <c r="C4028" s="64" t="n"/>
      <c r="D4028" s="167" t="n"/>
      <c r="E4028" s="63" t="n"/>
      <c r="F4028" s="63" t="n"/>
    </row>
    <row r="4029">
      <c r="A4029" s="166" t="n"/>
      <c r="B4029" s="63" t="n"/>
      <c r="C4029" s="64" t="n"/>
      <c r="D4029" s="167" t="n"/>
      <c r="E4029" s="63" t="n"/>
      <c r="F4029" s="63" t="n"/>
    </row>
    <row r="4030">
      <c r="A4030" s="166" t="n"/>
      <c r="B4030" s="63" t="n"/>
      <c r="C4030" s="64" t="n"/>
      <c r="D4030" s="167" t="n"/>
      <c r="E4030" s="63" t="n"/>
      <c r="F4030" s="63" t="n"/>
    </row>
    <row r="4031">
      <c r="A4031" s="166" t="n"/>
      <c r="B4031" s="63" t="n"/>
      <c r="C4031" s="64" t="n"/>
      <c r="D4031" s="167" t="n"/>
      <c r="E4031" s="63" t="n"/>
      <c r="F4031" s="63" t="n"/>
    </row>
    <row r="4032">
      <c r="A4032" s="166" t="n"/>
      <c r="B4032" s="63" t="n"/>
      <c r="C4032" s="64" t="n"/>
      <c r="D4032" s="167" t="n"/>
      <c r="E4032" s="63" t="n"/>
      <c r="F4032" s="63" t="n"/>
    </row>
    <row r="4033">
      <c r="A4033" s="166" t="n"/>
      <c r="B4033" s="63" t="n"/>
      <c r="C4033" s="64" t="n"/>
      <c r="D4033" s="167" t="n"/>
      <c r="E4033" s="63" t="n"/>
      <c r="F4033" s="63" t="n"/>
    </row>
    <row r="4034">
      <c r="A4034" s="166" t="n"/>
      <c r="B4034" s="63" t="n"/>
      <c r="C4034" s="64" t="n"/>
      <c r="D4034" s="167" t="n"/>
      <c r="E4034" s="63" t="n"/>
      <c r="F4034" s="63" t="n"/>
    </row>
    <row r="4035">
      <c r="A4035" s="166" t="n"/>
      <c r="B4035" s="63" t="n"/>
      <c r="C4035" s="64" t="n"/>
      <c r="D4035" s="167" t="n"/>
      <c r="E4035" s="63" t="n"/>
      <c r="F4035" s="63" t="n"/>
    </row>
    <row r="4036">
      <c r="A4036" s="166" t="n"/>
      <c r="B4036" s="63" t="n"/>
      <c r="C4036" s="64" t="n"/>
      <c r="D4036" s="167" t="n"/>
      <c r="E4036" s="63" t="n"/>
      <c r="F4036" s="63" t="n"/>
    </row>
    <row r="4037">
      <c r="A4037" s="166" t="n"/>
      <c r="B4037" s="63" t="n"/>
      <c r="C4037" s="64" t="n"/>
      <c r="D4037" s="167" t="n"/>
      <c r="E4037" s="63" t="n"/>
      <c r="F4037" s="63" t="n"/>
    </row>
    <row r="4038">
      <c r="A4038" s="166" t="n"/>
      <c r="B4038" s="63" t="n"/>
      <c r="C4038" s="64" t="n"/>
      <c r="D4038" s="167" t="n"/>
      <c r="E4038" s="63" t="n"/>
      <c r="F4038" s="63" t="n"/>
    </row>
    <row r="4039">
      <c r="A4039" s="166" t="n"/>
      <c r="B4039" s="63" t="n"/>
      <c r="C4039" s="64" t="n"/>
      <c r="D4039" s="167" t="n"/>
      <c r="E4039" s="63" t="n"/>
      <c r="F4039" s="63" t="n"/>
    </row>
    <row r="4040">
      <c r="A4040" s="166" t="n"/>
      <c r="B4040" s="63" t="n"/>
      <c r="C4040" s="64" t="n"/>
      <c r="D4040" s="167" t="n"/>
      <c r="E4040" s="63" t="n"/>
      <c r="F4040" s="63" t="n"/>
    </row>
    <row r="4041">
      <c r="A4041" s="166" t="n"/>
      <c r="B4041" s="63" t="n"/>
      <c r="C4041" s="64" t="n"/>
      <c r="D4041" s="167" t="n"/>
      <c r="E4041" s="63" t="n"/>
      <c r="F4041" s="63" t="n"/>
    </row>
    <row r="4042">
      <c r="A4042" s="166" t="n"/>
      <c r="B4042" s="63" t="n"/>
      <c r="C4042" s="64" t="n"/>
      <c r="D4042" s="167" t="n"/>
      <c r="E4042" s="63" t="n"/>
      <c r="F4042" s="63" t="n"/>
    </row>
    <row r="4043">
      <c r="A4043" s="166" t="n"/>
      <c r="B4043" s="63" t="n"/>
      <c r="C4043" s="64" t="n"/>
      <c r="D4043" s="167" t="n"/>
      <c r="E4043" s="63" t="n"/>
      <c r="F4043" s="63" t="n"/>
    </row>
    <row r="4044">
      <c r="A4044" s="166" t="n"/>
      <c r="B4044" s="63" t="n"/>
      <c r="C4044" s="64" t="n"/>
      <c r="D4044" s="167" t="n"/>
      <c r="E4044" s="63" t="n"/>
      <c r="F4044" s="63" t="n"/>
    </row>
    <row r="4045">
      <c r="A4045" s="166" t="n"/>
      <c r="B4045" s="63" t="n"/>
      <c r="C4045" s="64" t="n"/>
      <c r="D4045" s="167" t="n"/>
      <c r="E4045" s="63" t="n"/>
      <c r="F4045" s="63" t="n"/>
    </row>
    <row r="4046">
      <c r="A4046" s="166" t="n"/>
      <c r="B4046" s="63" t="n"/>
      <c r="C4046" s="64" t="n"/>
      <c r="D4046" s="167" t="n"/>
      <c r="E4046" s="63" t="n"/>
      <c r="F4046" s="63" t="n"/>
    </row>
    <row r="4047">
      <c r="A4047" s="166" t="n"/>
      <c r="B4047" s="63" t="n"/>
      <c r="C4047" s="64" t="n"/>
      <c r="D4047" s="167" t="n"/>
      <c r="E4047" s="63" t="n"/>
      <c r="F4047" s="63" t="n"/>
    </row>
    <row r="4048">
      <c r="A4048" s="166" t="n"/>
      <c r="B4048" s="63" t="n"/>
      <c r="C4048" s="64" t="n"/>
      <c r="D4048" s="167" t="n"/>
      <c r="E4048" s="63" t="n"/>
      <c r="F4048" s="63" t="n"/>
    </row>
    <row r="4049">
      <c r="A4049" s="166" t="n"/>
      <c r="B4049" s="63" t="n"/>
      <c r="C4049" s="64" t="n"/>
      <c r="D4049" s="167" t="n"/>
      <c r="E4049" s="63" t="n"/>
      <c r="F4049" s="63" t="n"/>
    </row>
    <row r="4050">
      <c r="A4050" s="166" t="n"/>
      <c r="B4050" s="63" t="n"/>
      <c r="C4050" s="64" t="n"/>
      <c r="D4050" s="167" t="n"/>
      <c r="E4050" s="63" t="n"/>
      <c r="F4050" s="63" t="n"/>
    </row>
    <row r="4051">
      <c r="A4051" s="166" t="n"/>
      <c r="B4051" s="63" t="n"/>
      <c r="C4051" s="64" t="n"/>
      <c r="D4051" s="167" t="n"/>
      <c r="E4051" s="63" t="n"/>
      <c r="F4051" s="63" t="n"/>
    </row>
    <row r="4052">
      <c r="A4052" s="166" t="n"/>
      <c r="B4052" s="63" t="n"/>
      <c r="C4052" s="64" t="n"/>
      <c r="D4052" s="167" t="n"/>
      <c r="E4052" s="63" t="n"/>
      <c r="F4052" s="63" t="n"/>
    </row>
    <row r="4053">
      <c r="A4053" s="166" t="n"/>
      <c r="B4053" s="63" t="n"/>
      <c r="C4053" s="64" t="n"/>
      <c r="D4053" s="167" t="n"/>
      <c r="E4053" s="63" t="n"/>
      <c r="F4053" s="63" t="n"/>
    </row>
    <row r="4054">
      <c r="A4054" s="166" t="n"/>
      <c r="B4054" s="63" t="n"/>
      <c r="C4054" s="64" t="n"/>
      <c r="D4054" s="167" t="n"/>
      <c r="E4054" s="63" t="n"/>
      <c r="F4054" s="63" t="n"/>
    </row>
    <row r="4055">
      <c r="A4055" s="166" t="n"/>
      <c r="B4055" s="63" t="n"/>
      <c r="C4055" s="64" t="n"/>
      <c r="D4055" s="167" t="n"/>
      <c r="E4055" s="63" t="n"/>
      <c r="F4055" s="63" t="n"/>
    </row>
    <row r="4056">
      <c r="A4056" s="166" t="n"/>
      <c r="B4056" s="63" t="n"/>
      <c r="C4056" s="64" t="n"/>
      <c r="D4056" s="167" t="n"/>
      <c r="E4056" s="63" t="n"/>
      <c r="F4056" s="63" t="n"/>
    </row>
    <row r="4057">
      <c r="A4057" s="166" t="n"/>
      <c r="B4057" s="63" t="n"/>
      <c r="C4057" s="64" t="n"/>
      <c r="D4057" s="167" t="n"/>
      <c r="E4057" s="63" t="n"/>
      <c r="F4057" s="63" t="n"/>
    </row>
    <row r="4058">
      <c r="A4058" s="166" t="n"/>
      <c r="B4058" s="63" t="n"/>
      <c r="C4058" s="64" t="n"/>
      <c r="D4058" s="167" t="n"/>
      <c r="E4058" s="63" t="n"/>
      <c r="F4058" s="63" t="n"/>
    </row>
    <row r="4059">
      <c r="A4059" s="166" t="n"/>
      <c r="B4059" s="63" t="n"/>
      <c r="C4059" s="64" t="n"/>
      <c r="D4059" s="167" t="n"/>
      <c r="E4059" s="63" t="n"/>
      <c r="F4059" s="63" t="n"/>
    </row>
    <row r="4060">
      <c r="A4060" s="166" t="n"/>
      <c r="B4060" s="63" t="n"/>
      <c r="C4060" s="64" t="n"/>
      <c r="D4060" s="167" t="n"/>
      <c r="E4060" s="63" t="n"/>
      <c r="F4060" s="63" t="n"/>
    </row>
    <row r="4061">
      <c r="A4061" s="166" t="n"/>
      <c r="B4061" s="63" t="n"/>
      <c r="C4061" s="64" t="n"/>
      <c r="D4061" s="167" t="n"/>
      <c r="E4061" s="63" t="n"/>
      <c r="F4061" s="63" t="n"/>
    </row>
    <row r="4062">
      <c r="A4062" s="166" t="n"/>
      <c r="B4062" s="63" t="n"/>
      <c r="C4062" s="64" t="n"/>
      <c r="D4062" s="167" t="n"/>
      <c r="E4062" s="63" t="n"/>
      <c r="F4062" s="63" t="n"/>
    </row>
    <row r="4063">
      <c r="A4063" s="166" t="n"/>
      <c r="B4063" s="63" t="n"/>
      <c r="C4063" s="64" t="n"/>
      <c r="D4063" s="167" t="n"/>
      <c r="E4063" s="63" t="n"/>
      <c r="F4063" s="63" t="n"/>
    </row>
    <row r="4064">
      <c r="A4064" s="166" t="n"/>
      <c r="B4064" s="63" t="n"/>
      <c r="C4064" s="64" t="n"/>
      <c r="D4064" s="167" t="n"/>
      <c r="E4064" s="63" t="n"/>
      <c r="F4064" s="63" t="n"/>
    </row>
    <row r="4065">
      <c r="A4065" s="166" t="n"/>
      <c r="B4065" s="63" t="n"/>
      <c r="C4065" s="64" t="n"/>
      <c r="D4065" s="167" t="n"/>
      <c r="E4065" s="63" t="n"/>
      <c r="F4065" s="63" t="n"/>
    </row>
    <row r="4066">
      <c r="A4066" s="166" t="n"/>
      <c r="B4066" s="63" t="n"/>
      <c r="C4066" s="64" t="n"/>
      <c r="D4066" s="167" t="n"/>
      <c r="E4066" s="63" t="n"/>
      <c r="F4066" s="63" t="n"/>
    </row>
    <row r="4067">
      <c r="A4067" s="166" t="n"/>
      <c r="B4067" s="63" t="n"/>
      <c r="C4067" s="64" t="n"/>
      <c r="D4067" s="167" t="n"/>
      <c r="E4067" s="63" t="n"/>
      <c r="F4067" s="63" t="n"/>
    </row>
    <row r="4068">
      <c r="A4068" s="166" t="n"/>
      <c r="B4068" s="63" t="n"/>
      <c r="C4068" s="64" t="n"/>
      <c r="D4068" s="167" t="n"/>
      <c r="E4068" s="63" t="n"/>
      <c r="F4068" s="63" t="n"/>
    </row>
    <row r="4069">
      <c r="A4069" s="166" t="n"/>
      <c r="B4069" s="63" t="n"/>
      <c r="C4069" s="64" t="n"/>
      <c r="D4069" s="167" t="n"/>
      <c r="E4069" s="63" t="n"/>
      <c r="F4069" s="63" t="n"/>
    </row>
    <row r="4070">
      <c r="A4070" s="166" t="n"/>
      <c r="B4070" s="63" t="n"/>
      <c r="C4070" s="64" t="n"/>
      <c r="D4070" s="167" t="n"/>
      <c r="E4070" s="63" t="n"/>
      <c r="F4070" s="63" t="n"/>
    </row>
    <row r="4071">
      <c r="A4071" s="166" t="n"/>
      <c r="B4071" s="63" t="n"/>
      <c r="C4071" s="64" t="n"/>
      <c r="D4071" s="167" t="n"/>
      <c r="E4071" s="63" t="n"/>
      <c r="F4071" s="63" t="n"/>
    </row>
    <row r="4072">
      <c r="A4072" s="166" t="n"/>
      <c r="B4072" s="63" t="n"/>
      <c r="C4072" s="64" t="n"/>
      <c r="D4072" s="167" t="n"/>
      <c r="E4072" s="63" t="n"/>
      <c r="F4072" s="63" t="n"/>
    </row>
    <row r="4073">
      <c r="A4073" s="166" t="n"/>
      <c r="B4073" s="63" t="n"/>
      <c r="C4073" s="64" t="n"/>
      <c r="D4073" s="167" t="n"/>
      <c r="E4073" s="63" t="n"/>
      <c r="F4073" s="63" t="n"/>
    </row>
    <row r="4074">
      <c r="A4074" s="166" t="n"/>
      <c r="B4074" s="63" t="n"/>
      <c r="C4074" s="64" t="n"/>
      <c r="D4074" s="167" t="n"/>
      <c r="E4074" s="63" t="n"/>
      <c r="F4074" s="63" t="n"/>
    </row>
    <row r="4075">
      <c r="A4075" s="166" t="n"/>
      <c r="B4075" s="63" t="n"/>
      <c r="C4075" s="64" t="n"/>
      <c r="D4075" s="167" t="n"/>
      <c r="E4075" s="63" t="n"/>
      <c r="F4075" s="63" t="n"/>
    </row>
    <row r="4076">
      <c r="A4076" s="166" t="n"/>
      <c r="B4076" s="63" t="n"/>
      <c r="C4076" s="64" t="n"/>
      <c r="D4076" s="167" t="n"/>
      <c r="E4076" s="63" t="n"/>
      <c r="F4076" s="63" t="n"/>
    </row>
    <row r="4077">
      <c r="A4077" s="166" t="n"/>
      <c r="B4077" s="63" t="n"/>
      <c r="C4077" s="64" t="n"/>
      <c r="D4077" s="167" t="n"/>
      <c r="E4077" s="63" t="n"/>
      <c r="F4077" s="63" t="n"/>
    </row>
    <row r="4078">
      <c r="A4078" s="166" t="n"/>
      <c r="B4078" s="63" t="n"/>
      <c r="C4078" s="64" t="n"/>
      <c r="D4078" s="167" t="n"/>
      <c r="E4078" s="63" t="n"/>
      <c r="F4078" s="63" t="n"/>
    </row>
    <row r="4079">
      <c r="A4079" s="166" t="n"/>
      <c r="B4079" s="63" t="n"/>
      <c r="C4079" s="64" t="n"/>
      <c r="D4079" s="167" t="n"/>
      <c r="E4079" s="63" t="n"/>
      <c r="F4079" s="63" t="n"/>
    </row>
    <row r="4080">
      <c r="A4080" s="166" t="n"/>
      <c r="B4080" s="63" t="n"/>
      <c r="C4080" s="64" t="n"/>
      <c r="D4080" s="167" t="n"/>
      <c r="E4080" s="63" t="n"/>
      <c r="F4080" s="63" t="n"/>
    </row>
    <row r="4081">
      <c r="A4081" s="166" t="n"/>
      <c r="B4081" s="63" t="n"/>
      <c r="C4081" s="64" t="n"/>
      <c r="D4081" s="167" t="n"/>
      <c r="E4081" s="63" t="n"/>
      <c r="F4081" s="63" t="n"/>
    </row>
    <row r="4082">
      <c r="A4082" s="166" t="n"/>
      <c r="B4082" s="63" t="n"/>
      <c r="C4082" s="64" t="n"/>
      <c r="D4082" s="167" t="n"/>
      <c r="E4082" s="63" t="n"/>
      <c r="F4082" s="63" t="n"/>
    </row>
    <row r="4083">
      <c r="A4083" s="166" t="n"/>
      <c r="B4083" s="63" t="n"/>
      <c r="C4083" s="64" t="n"/>
      <c r="D4083" s="167" t="n"/>
      <c r="E4083" s="63" t="n"/>
      <c r="F4083" s="63" t="n"/>
    </row>
    <row r="4084">
      <c r="A4084" s="166" t="n"/>
      <c r="B4084" s="63" t="n"/>
      <c r="C4084" s="64" t="n"/>
      <c r="D4084" s="167" t="n"/>
      <c r="E4084" s="63" t="n"/>
      <c r="F4084" s="63" t="n"/>
    </row>
    <row r="4085">
      <c r="A4085" s="166" t="n"/>
      <c r="B4085" s="63" t="n"/>
      <c r="C4085" s="64" t="n"/>
      <c r="D4085" s="167" t="n"/>
      <c r="E4085" s="63" t="n"/>
      <c r="F4085" s="63" t="n"/>
    </row>
    <row r="4086">
      <c r="A4086" s="166" t="n"/>
      <c r="B4086" s="63" t="n"/>
      <c r="C4086" s="64" t="n"/>
      <c r="D4086" s="167" t="n"/>
      <c r="E4086" s="63" t="n"/>
      <c r="F4086" s="63" t="n"/>
    </row>
    <row r="4087">
      <c r="A4087" s="166" t="n"/>
      <c r="B4087" s="63" t="n"/>
      <c r="C4087" s="64" t="n"/>
      <c r="D4087" s="167" t="n"/>
      <c r="E4087" s="63" t="n"/>
      <c r="F4087" s="63" t="n"/>
    </row>
    <row r="4088">
      <c r="A4088" s="166" t="n"/>
      <c r="B4088" s="63" t="n"/>
      <c r="C4088" s="64" t="n"/>
      <c r="D4088" s="167" t="n"/>
      <c r="E4088" s="63" t="n"/>
      <c r="F4088" s="63" t="n"/>
    </row>
    <row r="4089">
      <c r="A4089" s="166" t="n"/>
      <c r="B4089" s="63" t="n"/>
      <c r="C4089" s="64" t="n"/>
      <c r="D4089" s="167" t="n"/>
      <c r="E4089" s="63" t="n"/>
      <c r="F4089" s="63" t="n"/>
    </row>
    <row r="4090">
      <c r="A4090" s="166" t="n"/>
      <c r="B4090" s="63" t="n"/>
      <c r="C4090" s="64" t="n"/>
      <c r="D4090" s="167" t="n"/>
      <c r="E4090" s="63" t="n"/>
      <c r="F4090" s="63" t="n"/>
    </row>
    <row r="4091">
      <c r="A4091" s="166" t="n"/>
      <c r="B4091" s="63" t="n"/>
      <c r="C4091" s="64" t="n"/>
      <c r="D4091" s="167" t="n"/>
      <c r="E4091" s="63" t="n"/>
      <c r="F4091" s="63" t="n"/>
    </row>
    <row r="4092">
      <c r="A4092" s="166" t="n"/>
      <c r="B4092" s="63" t="n"/>
      <c r="C4092" s="64" t="n"/>
      <c r="D4092" s="167" t="n"/>
      <c r="E4092" s="63" t="n"/>
      <c r="F4092" s="63" t="n"/>
    </row>
    <row r="4093">
      <c r="A4093" s="166" t="n"/>
      <c r="B4093" s="63" t="n"/>
      <c r="C4093" s="64" t="n"/>
      <c r="D4093" s="167" t="n"/>
      <c r="E4093" s="63" t="n"/>
      <c r="F4093" s="63" t="n"/>
    </row>
    <row r="4094">
      <c r="A4094" s="166" t="n"/>
      <c r="B4094" s="63" t="n"/>
      <c r="C4094" s="64" t="n"/>
      <c r="D4094" s="167" t="n"/>
      <c r="E4094" s="63" t="n"/>
      <c r="F4094" s="63" t="n"/>
    </row>
    <row r="4095">
      <c r="A4095" s="166" t="n"/>
      <c r="B4095" s="63" t="n"/>
      <c r="C4095" s="64" t="n"/>
      <c r="D4095" s="167" t="n"/>
      <c r="E4095" s="63" t="n"/>
      <c r="F4095" s="63" t="n"/>
    </row>
    <row r="4096">
      <c r="A4096" s="166" t="n"/>
      <c r="B4096" s="63" t="n"/>
      <c r="C4096" s="64" t="n"/>
      <c r="D4096" s="167" t="n"/>
      <c r="E4096" s="63" t="n"/>
      <c r="F4096" s="63" t="n"/>
    </row>
    <row r="4097">
      <c r="A4097" s="166" t="n"/>
      <c r="B4097" s="63" t="n"/>
      <c r="C4097" s="64" t="n"/>
      <c r="D4097" s="167" t="n"/>
      <c r="E4097" s="63" t="n"/>
      <c r="F4097" s="63" t="n"/>
    </row>
    <row r="4098">
      <c r="A4098" s="166" t="n"/>
      <c r="B4098" s="63" t="n"/>
      <c r="C4098" s="64" t="n"/>
      <c r="D4098" s="167" t="n"/>
      <c r="E4098" s="63" t="n"/>
      <c r="F4098" s="63" t="n"/>
    </row>
    <row r="4099">
      <c r="A4099" s="166" t="n"/>
      <c r="B4099" s="63" t="n"/>
      <c r="C4099" s="64" t="n"/>
      <c r="D4099" s="167" t="n"/>
      <c r="E4099" s="63" t="n"/>
      <c r="F4099" s="63" t="n"/>
    </row>
    <row r="4100">
      <c r="A4100" s="166" t="n"/>
      <c r="B4100" s="63" t="n"/>
      <c r="C4100" s="64" t="n"/>
      <c r="D4100" s="167" t="n"/>
      <c r="E4100" s="63" t="n"/>
      <c r="F4100" s="63" t="n"/>
    </row>
    <row r="4101">
      <c r="A4101" s="166" t="n"/>
      <c r="B4101" s="63" t="n"/>
      <c r="C4101" s="64" t="n"/>
      <c r="D4101" s="167" t="n"/>
      <c r="E4101" s="63" t="n"/>
      <c r="F4101" s="63" t="n"/>
    </row>
    <row r="4102">
      <c r="A4102" s="166" t="n"/>
      <c r="B4102" s="63" t="n"/>
      <c r="C4102" s="64" t="n"/>
      <c r="D4102" s="167" t="n"/>
      <c r="E4102" s="63" t="n"/>
      <c r="F4102" s="63" t="n"/>
    </row>
    <row r="4103">
      <c r="A4103" s="166" t="n"/>
      <c r="B4103" s="63" t="n"/>
      <c r="C4103" s="64" t="n"/>
      <c r="D4103" s="167" t="n"/>
      <c r="E4103" s="63" t="n"/>
      <c r="F4103" s="63" t="n"/>
    </row>
    <row r="4104">
      <c r="A4104" s="166" t="n"/>
      <c r="B4104" s="63" t="n"/>
      <c r="C4104" s="64" t="n"/>
      <c r="D4104" s="167" t="n"/>
      <c r="E4104" s="63" t="n"/>
      <c r="F4104" s="63" t="n"/>
    </row>
    <row r="4105">
      <c r="A4105" s="166" t="n"/>
      <c r="B4105" s="63" t="n"/>
      <c r="C4105" s="64" t="n"/>
      <c r="D4105" s="167" t="n"/>
      <c r="E4105" s="63" t="n"/>
      <c r="F4105" s="63" t="n"/>
    </row>
    <row r="4106">
      <c r="A4106" s="166" t="n"/>
      <c r="B4106" s="63" t="n"/>
      <c r="C4106" s="64" t="n"/>
      <c r="D4106" s="167" t="n"/>
      <c r="E4106" s="63" t="n"/>
      <c r="F4106" s="63" t="n"/>
    </row>
    <row r="4107">
      <c r="A4107" s="166" t="n"/>
      <c r="B4107" s="63" t="n"/>
      <c r="C4107" s="64" t="n"/>
      <c r="D4107" s="167" t="n"/>
      <c r="E4107" s="63" t="n"/>
      <c r="F4107" s="63" t="n"/>
    </row>
    <row r="4108">
      <c r="A4108" s="166" t="n"/>
      <c r="B4108" s="63" t="n"/>
      <c r="C4108" s="64" t="n"/>
      <c r="D4108" s="167" t="n"/>
      <c r="E4108" s="63" t="n"/>
      <c r="F4108" s="63" t="n"/>
    </row>
    <row r="4109">
      <c r="A4109" s="166" t="n"/>
      <c r="B4109" s="63" t="n"/>
      <c r="C4109" s="64" t="n"/>
      <c r="D4109" s="167" t="n"/>
      <c r="E4109" s="63" t="n"/>
      <c r="F4109" s="63" t="n"/>
    </row>
    <row r="4110">
      <c r="A4110" s="166" t="n"/>
      <c r="B4110" s="63" t="n"/>
      <c r="C4110" s="64" t="n"/>
      <c r="D4110" s="167" t="n"/>
      <c r="E4110" s="63" t="n"/>
      <c r="F4110" s="63" t="n"/>
    </row>
    <row r="4111">
      <c r="A4111" s="166" t="n"/>
      <c r="B4111" s="63" t="n"/>
      <c r="C4111" s="64" t="n"/>
      <c r="D4111" s="167" t="n"/>
      <c r="E4111" s="63" t="n"/>
      <c r="F4111" s="63" t="n"/>
    </row>
    <row r="4112">
      <c r="A4112" s="166" t="n"/>
      <c r="B4112" s="63" t="n"/>
      <c r="C4112" s="64" t="n"/>
      <c r="D4112" s="167" t="n"/>
      <c r="E4112" s="63" t="n"/>
      <c r="F4112" s="63" t="n"/>
    </row>
    <row r="4113">
      <c r="A4113" s="166" t="n"/>
      <c r="B4113" s="63" t="n"/>
      <c r="C4113" s="64" t="n"/>
      <c r="D4113" s="167" t="n"/>
      <c r="E4113" s="63" t="n"/>
      <c r="F4113" s="63" t="n"/>
    </row>
    <row r="4114">
      <c r="A4114" s="166" t="n"/>
      <c r="B4114" s="63" t="n"/>
      <c r="C4114" s="64" t="n"/>
      <c r="D4114" s="167" t="n"/>
      <c r="E4114" s="63" t="n"/>
      <c r="F4114" s="63" t="n"/>
    </row>
    <row r="4115">
      <c r="A4115" s="166" t="n"/>
      <c r="B4115" s="63" t="n"/>
      <c r="C4115" s="64" t="n"/>
      <c r="D4115" s="167" t="n"/>
      <c r="E4115" s="63" t="n"/>
      <c r="F4115" s="63" t="n"/>
    </row>
    <row r="4116">
      <c r="A4116" s="166" t="n"/>
      <c r="B4116" s="63" t="n"/>
      <c r="C4116" s="64" t="n"/>
      <c r="D4116" s="167" t="n"/>
      <c r="E4116" s="63" t="n"/>
      <c r="F4116" s="63" t="n"/>
    </row>
    <row r="4117">
      <c r="A4117" s="166" t="n"/>
      <c r="B4117" s="63" t="n"/>
      <c r="C4117" s="64" t="n"/>
      <c r="D4117" s="167" t="n"/>
      <c r="E4117" s="63" t="n"/>
      <c r="F4117" s="63" t="n"/>
    </row>
    <row r="4118">
      <c r="A4118" s="166" t="n"/>
      <c r="B4118" s="63" t="n"/>
      <c r="C4118" s="64" t="n"/>
      <c r="D4118" s="167" t="n"/>
      <c r="E4118" s="63" t="n"/>
      <c r="F4118" s="63" t="n"/>
    </row>
    <row r="4119">
      <c r="A4119" s="166" t="n"/>
      <c r="B4119" s="63" t="n"/>
      <c r="C4119" s="64" t="n"/>
      <c r="D4119" s="167" t="n"/>
      <c r="E4119" s="63" t="n"/>
      <c r="F4119" s="63" t="n"/>
    </row>
    <row r="4120">
      <c r="A4120" s="166" t="n"/>
      <c r="B4120" s="63" t="n"/>
      <c r="C4120" s="64" t="n"/>
      <c r="D4120" s="167" t="n"/>
      <c r="E4120" s="63" t="n"/>
      <c r="F4120" s="63" t="n"/>
    </row>
    <row r="4121">
      <c r="A4121" s="166" t="n"/>
      <c r="B4121" s="63" t="n"/>
      <c r="C4121" s="64" t="n"/>
      <c r="D4121" s="167" t="n"/>
      <c r="E4121" s="63" t="n"/>
      <c r="F4121" s="63" t="n"/>
    </row>
    <row r="4122">
      <c r="A4122" s="166" t="n"/>
      <c r="B4122" s="63" t="n"/>
      <c r="C4122" s="64" t="n"/>
      <c r="D4122" s="167" t="n"/>
      <c r="E4122" s="63" t="n"/>
      <c r="F4122" s="63" t="n"/>
    </row>
    <row r="4123">
      <c r="A4123" s="166" t="n"/>
      <c r="B4123" s="63" t="n"/>
      <c r="C4123" s="64" t="n"/>
      <c r="D4123" s="167" t="n"/>
      <c r="E4123" s="63" t="n"/>
      <c r="F4123" s="63" t="n"/>
    </row>
    <row r="4124">
      <c r="A4124" s="166" t="n"/>
      <c r="B4124" s="63" t="n"/>
      <c r="C4124" s="64" t="n"/>
      <c r="D4124" s="167" t="n"/>
      <c r="E4124" s="63" t="n"/>
      <c r="F4124" s="63" t="n"/>
    </row>
    <row r="4125">
      <c r="A4125" s="166" t="n"/>
      <c r="B4125" s="63" t="n"/>
      <c r="C4125" s="64" t="n"/>
      <c r="D4125" s="167" t="n"/>
      <c r="E4125" s="63" t="n"/>
      <c r="F4125" s="63" t="n"/>
    </row>
    <row r="4126">
      <c r="A4126" s="166" t="n"/>
      <c r="B4126" s="63" t="n"/>
      <c r="C4126" s="64" t="n"/>
      <c r="D4126" s="167" t="n"/>
      <c r="E4126" s="63" t="n"/>
      <c r="F4126" s="63" t="n"/>
    </row>
    <row r="4127">
      <c r="A4127" s="166" t="n"/>
      <c r="B4127" s="63" t="n"/>
      <c r="C4127" s="64" t="n"/>
      <c r="D4127" s="167" t="n"/>
      <c r="E4127" s="63" t="n"/>
      <c r="F4127" s="63" t="n"/>
    </row>
    <row r="4128">
      <c r="A4128" s="166" t="n"/>
      <c r="B4128" s="63" t="n"/>
      <c r="C4128" s="64" t="n"/>
      <c r="D4128" s="167" t="n"/>
      <c r="E4128" s="63" t="n"/>
      <c r="F4128" s="63" t="n"/>
    </row>
    <row r="4129">
      <c r="A4129" s="166" t="n"/>
      <c r="B4129" s="63" t="n"/>
      <c r="C4129" s="64" t="n"/>
      <c r="D4129" s="167" t="n"/>
      <c r="E4129" s="63" t="n"/>
      <c r="F4129" s="63" t="n"/>
    </row>
    <row r="4130">
      <c r="A4130" s="166" t="n"/>
      <c r="B4130" s="63" t="n"/>
      <c r="C4130" s="64" t="n"/>
      <c r="D4130" s="167" t="n"/>
      <c r="E4130" s="63" t="n"/>
      <c r="F4130" s="63" t="n"/>
    </row>
    <row r="4131">
      <c r="A4131" s="166" t="n"/>
      <c r="B4131" s="63" t="n"/>
      <c r="C4131" s="64" t="n"/>
      <c r="D4131" s="167" t="n"/>
      <c r="E4131" s="63" t="n"/>
      <c r="F4131" s="63" t="n"/>
    </row>
    <row r="4132">
      <c r="A4132" s="166" t="n"/>
      <c r="B4132" s="63" t="n"/>
      <c r="C4132" s="64" t="n"/>
      <c r="D4132" s="167" t="n"/>
      <c r="E4132" s="63" t="n"/>
      <c r="F4132" s="63" t="n"/>
    </row>
    <row r="4133">
      <c r="A4133" s="166" t="n"/>
      <c r="B4133" s="63" t="n"/>
      <c r="C4133" s="64" t="n"/>
      <c r="D4133" s="167" t="n"/>
      <c r="E4133" s="63" t="n"/>
      <c r="F4133" s="63" t="n"/>
    </row>
    <row r="4134">
      <c r="A4134" s="166" t="n"/>
      <c r="B4134" s="63" t="n"/>
      <c r="C4134" s="64" t="n"/>
      <c r="D4134" s="167" t="n"/>
      <c r="E4134" s="63" t="n"/>
      <c r="F4134" s="63" t="n"/>
    </row>
    <row r="4135">
      <c r="A4135" s="166" t="n"/>
      <c r="B4135" s="63" t="n"/>
      <c r="C4135" s="64" t="n"/>
      <c r="D4135" s="167" t="n"/>
      <c r="E4135" s="63" t="n"/>
      <c r="F4135" s="63" t="n"/>
    </row>
    <row r="4136">
      <c r="A4136" s="166" t="n"/>
      <c r="B4136" s="63" t="n"/>
      <c r="C4136" s="64" t="n"/>
      <c r="D4136" s="167" t="n"/>
      <c r="E4136" s="63" t="n"/>
      <c r="F4136" s="63" t="n"/>
    </row>
    <row r="4137">
      <c r="A4137" s="166" t="n"/>
      <c r="B4137" s="63" t="n"/>
      <c r="C4137" s="64" t="n"/>
      <c r="D4137" s="167" t="n"/>
      <c r="E4137" s="63" t="n"/>
      <c r="F4137" s="63" t="n"/>
    </row>
    <row r="4138">
      <c r="A4138" s="166" t="n"/>
      <c r="B4138" s="63" t="n"/>
      <c r="C4138" s="64" t="n"/>
      <c r="D4138" s="167" t="n"/>
      <c r="E4138" s="63" t="n"/>
      <c r="F4138" s="63" t="n"/>
    </row>
    <row r="4139">
      <c r="A4139" s="166" t="n"/>
      <c r="B4139" s="63" t="n"/>
      <c r="C4139" s="64" t="n"/>
      <c r="D4139" s="167" t="n"/>
      <c r="E4139" s="63" t="n"/>
      <c r="F4139" s="63" t="n"/>
    </row>
    <row r="4140">
      <c r="A4140" s="166" t="n"/>
      <c r="B4140" s="63" t="n"/>
      <c r="C4140" s="64" t="n"/>
      <c r="D4140" s="167" t="n"/>
      <c r="E4140" s="63" t="n"/>
      <c r="F4140" s="63" t="n"/>
    </row>
    <row r="4141">
      <c r="A4141" s="166" t="n"/>
      <c r="B4141" s="63" t="n"/>
      <c r="C4141" s="64" t="n"/>
      <c r="D4141" s="167" t="n"/>
      <c r="E4141" s="63" t="n"/>
      <c r="F4141" s="63" t="n"/>
    </row>
    <row r="4142">
      <c r="A4142" s="166" t="n"/>
      <c r="B4142" s="63" t="n"/>
      <c r="C4142" s="64" t="n"/>
      <c r="D4142" s="167" t="n"/>
      <c r="E4142" s="63" t="n"/>
      <c r="F4142" s="63" t="n"/>
    </row>
    <row r="4143">
      <c r="A4143" s="166" t="n"/>
      <c r="B4143" s="63" t="n"/>
      <c r="C4143" s="64" t="n"/>
      <c r="D4143" s="167" t="n"/>
      <c r="E4143" s="63" t="n"/>
      <c r="F4143" s="63" t="n"/>
    </row>
    <row r="4144">
      <c r="A4144" s="166" t="n"/>
      <c r="B4144" s="63" t="n"/>
      <c r="C4144" s="64" t="n"/>
      <c r="D4144" s="167" t="n"/>
      <c r="E4144" s="63" t="n"/>
      <c r="F4144" s="63" t="n"/>
    </row>
    <row r="4145">
      <c r="A4145" s="166" t="n"/>
      <c r="B4145" s="63" t="n"/>
      <c r="C4145" s="64" t="n"/>
      <c r="D4145" s="167" t="n"/>
      <c r="E4145" s="63" t="n"/>
      <c r="F4145" s="63" t="n"/>
    </row>
    <row r="4146">
      <c r="A4146" s="166" t="n"/>
      <c r="B4146" s="63" t="n"/>
      <c r="C4146" s="64" t="n"/>
      <c r="D4146" s="167" t="n"/>
      <c r="E4146" s="63" t="n"/>
      <c r="F4146" s="63" t="n"/>
    </row>
    <row r="4147">
      <c r="A4147" s="166" t="n"/>
      <c r="B4147" s="63" t="n"/>
      <c r="C4147" s="64" t="n"/>
      <c r="D4147" s="167" t="n"/>
      <c r="E4147" s="63" t="n"/>
      <c r="F4147" s="63" t="n"/>
    </row>
    <row r="4148">
      <c r="A4148" s="166" t="n"/>
      <c r="B4148" s="63" t="n"/>
      <c r="C4148" s="64" t="n"/>
      <c r="D4148" s="167" t="n"/>
      <c r="E4148" s="63" t="n"/>
      <c r="F4148" s="63" t="n"/>
    </row>
    <row r="4149">
      <c r="A4149" s="166" t="n"/>
      <c r="B4149" s="63" t="n"/>
      <c r="C4149" s="64" t="n"/>
      <c r="D4149" s="167" t="n"/>
      <c r="E4149" s="63" t="n"/>
      <c r="F4149" s="63" t="n"/>
    </row>
    <row r="4150">
      <c r="A4150" s="166" t="n"/>
      <c r="B4150" s="63" t="n"/>
      <c r="C4150" s="64" t="n"/>
      <c r="D4150" s="167" t="n"/>
      <c r="E4150" s="63" t="n"/>
      <c r="F4150" s="63" t="n"/>
    </row>
    <row r="4151">
      <c r="A4151" s="166" t="n"/>
      <c r="B4151" s="63" t="n"/>
      <c r="C4151" s="64" t="n"/>
      <c r="D4151" s="167" t="n"/>
      <c r="E4151" s="63" t="n"/>
      <c r="F4151" s="63" t="n"/>
    </row>
    <row r="4152">
      <c r="A4152" s="166" t="n"/>
      <c r="B4152" s="63" t="n"/>
      <c r="C4152" s="64" t="n"/>
      <c r="D4152" s="167" t="n"/>
      <c r="E4152" s="63" t="n"/>
      <c r="F4152" s="63" t="n"/>
    </row>
    <row r="4153">
      <c r="A4153" s="166" t="n"/>
      <c r="B4153" s="63" t="n"/>
      <c r="C4153" s="64" t="n"/>
      <c r="D4153" s="167" t="n"/>
      <c r="E4153" s="63" t="n"/>
      <c r="F4153" s="63" t="n"/>
    </row>
    <row r="4154">
      <c r="A4154" s="166" t="n"/>
      <c r="B4154" s="63" t="n"/>
      <c r="C4154" s="64" t="n"/>
      <c r="D4154" s="167" t="n"/>
      <c r="E4154" s="63" t="n"/>
      <c r="F4154" s="63" t="n"/>
    </row>
    <row r="4155">
      <c r="A4155" s="166" t="n"/>
      <c r="B4155" s="63" t="n"/>
      <c r="C4155" s="64" t="n"/>
      <c r="D4155" s="167" t="n"/>
      <c r="E4155" s="63" t="n"/>
      <c r="F4155" s="63" t="n"/>
    </row>
    <row r="4156">
      <c r="A4156" s="166" t="n"/>
      <c r="B4156" s="63" t="n"/>
      <c r="C4156" s="64" t="n"/>
      <c r="D4156" s="167" t="n"/>
      <c r="E4156" s="63" t="n"/>
      <c r="F4156" s="63" t="n"/>
    </row>
    <row r="4157">
      <c r="A4157" s="166" t="n"/>
      <c r="B4157" s="63" t="n"/>
      <c r="C4157" s="64" t="n"/>
      <c r="D4157" s="167" t="n"/>
      <c r="E4157" s="63" t="n"/>
      <c r="F4157" s="63" t="n"/>
    </row>
    <row r="4158">
      <c r="A4158" s="166" t="n"/>
      <c r="B4158" s="63" t="n"/>
      <c r="C4158" s="64" t="n"/>
      <c r="D4158" s="167" t="n"/>
      <c r="E4158" s="63" t="n"/>
      <c r="F4158" s="63" t="n"/>
    </row>
    <row r="4159">
      <c r="A4159" s="166" t="n"/>
      <c r="B4159" s="63" t="n"/>
      <c r="C4159" s="64" t="n"/>
      <c r="D4159" s="167" t="n"/>
      <c r="E4159" s="63" t="n"/>
      <c r="F4159" s="63" t="n"/>
    </row>
    <row r="4160">
      <c r="A4160" s="166" t="n"/>
      <c r="B4160" s="63" t="n"/>
      <c r="C4160" s="64" t="n"/>
      <c r="D4160" s="167" t="n"/>
      <c r="E4160" s="63" t="n"/>
      <c r="F4160" s="63" t="n"/>
    </row>
    <row r="4161">
      <c r="A4161" s="166" t="n"/>
      <c r="B4161" s="63" t="n"/>
      <c r="C4161" s="64" t="n"/>
      <c r="D4161" s="167" t="n"/>
      <c r="E4161" s="63" t="n"/>
      <c r="F4161" s="63" t="n"/>
    </row>
    <row r="4162">
      <c r="A4162" s="166" t="n"/>
      <c r="B4162" s="63" t="n"/>
      <c r="C4162" s="64" t="n"/>
      <c r="D4162" s="167" t="n"/>
      <c r="E4162" s="63" t="n"/>
      <c r="F4162" s="63" t="n"/>
    </row>
    <row r="4163">
      <c r="A4163" s="166" t="n"/>
      <c r="B4163" s="63" t="n"/>
      <c r="C4163" s="64" t="n"/>
      <c r="D4163" s="167" t="n"/>
      <c r="E4163" s="63" t="n"/>
      <c r="F4163" s="63" t="n"/>
    </row>
    <row r="4164">
      <c r="A4164" s="166" t="n"/>
      <c r="B4164" s="63" t="n"/>
      <c r="C4164" s="64" t="n"/>
      <c r="D4164" s="167" t="n"/>
      <c r="E4164" s="63" t="n"/>
      <c r="F4164" s="63" t="n"/>
    </row>
    <row r="4165">
      <c r="A4165" s="166" t="n"/>
      <c r="B4165" s="63" t="n"/>
      <c r="C4165" s="64" t="n"/>
      <c r="D4165" s="167" t="n"/>
      <c r="E4165" s="63" t="n"/>
      <c r="F4165" s="63" t="n"/>
    </row>
    <row r="4166">
      <c r="A4166" s="166" t="n"/>
      <c r="B4166" s="63" t="n"/>
      <c r="C4166" s="64" t="n"/>
      <c r="D4166" s="167" t="n"/>
      <c r="E4166" s="63" t="n"/>
      <c r="F4166" s="63" t="n"/>
    </row>
    <row r="4167">
      <c r="A4167" s="166" t="n"/>
      <c r="B4167" s="63" t="n"/>
      <c r="C4167" s="64" t="n"/>
      <c r="D4167" s="167" t="n"/>
      <c r="E4167" s="63" t="n"/>
      <c r="F4167" s="63" t="n"/>
    </row>
    <row r="4168">
      <c r="A4168" s="166" t="n"/>
      <c r="B4168" s="63" t="n"/>
      <c r="C4168" s="64" t="n"/>
      <c r="D4168" s="167" t="n"/>
      <c r="E4168" s="63" t="n"/>
      <c r="F4168" s="63" t="n"/>
    </row>
    <row r="4169">
      <c r="A4169" s="166" t="n"/>
      <c r="B4169" s="63" t="n"/>
      <c r="C4169" s="64" t="n"/>
      <c r="D4169" s="167" t="n"/>
      <c r="E4169" s="63" t="n"/>
      <c r="F4169" s="63" t="n"/>
    </row>
    <row r="4170">
      <c r="A4170" s="166" t="n"/>
      <c r="B4170" s="63" t="n"/>
      <c r="C4170" s="64" t="n"/>
      <c r="D4170" s="167" t="n"/>
      <c r="E4170" s="63" t="n"/>
      <c r="F4170" s="63" t="n"/>
    </row>
    <row r="4171">
      <c r="A4171" s="166" t="n"/>
      <c r="B4171" s="63" t="n"/>
      <c r="C4171" s="64" t="n"/>
      <c r="D4171" s="167" t="n"/>
      <c r="E4171" s="63" t="n"/>
      <c r="F4171" s="63" t="n"/>
    </row>
    <row r="4172">
      <c r="A4172" s="166" t="n"/>
      <c r="B4172" s="63" t="n"/>
      <c r="C4172" s="64" t="n"/>
      <c r="D4172" s="167" t="n"/>
      <c r="E4172" s="63" t="n"/>
      <c r="F4172" s="63" t="n"/>
    </row>
    <row r="4173">
      <c r="A4173" s="166" t="n"/>
      <c r="B4173" s="63" t="n"/>
      <c r="C4173" s="64" t="n"/>
      <c r="D4173" s="167" t="n"/>
      <c r="E4173" s="63" t="n"/>
      <c r="F4173" s="63" t="n"/>
    </row>
    <row r="4174">
      <c r="A4174" s="166" t="n"/>
      <c r="B4174" s="63" t="n"/>
      <c r="C4174" s="64" t="n"/>
      <c r="D4174" s="167" t="n"/>
      <c r="E4174" s="63" t="n"/>
      <c r="F4174" s="63" t="n"/>
    </row>
    <row r="4175">
      <c r="A4175" s="166" t="n"/>
      <c r="B4175" s="63" t="n"/>
      <c r="C4175" s="64" t="n"/>
      <c r="D4175" s="167" t="n"/>
      <c r="E4175" s="63" t="n"/>
      <c r="F4175" s="63" t="n"/>
    </row>
    <row r="4176">
      <c r="A4176" s="166" t="n"/>
      <c r="B4176" s="63" t="n"/>
      <c r="C4176" s="64" t="n"/>
      <c r="D4176" s="167" t="n"/>
      <c r="E4176" s="63" t="n"/>
      <c r="F4176" s="63" t="n"/>
    </row>
    <row r="4177">
      <c r="A4177" s="166" t="n"/>
      <c r="B4177" s="63" t="n"/>
      <c r="C4177" s="64" t="n"/>
      <c r="D4177" s="167" t="n"/>
      <c r="E4177" s="63" t="n"/>
      <c r="F4177" s="63" t="n"/>
    </row>
    <row r="4178">
      <c r="A4178" s="166" t="n"/>
      <c r="B4178" s="63" t="n"/>
      <c r="C4178" s="64" t="n"/>
      <c r="D4178" s="167" t="n"/>
      <c r="E4178" s="63" t="n"/>
      <c r="F4178" s="63" t="n"/>
    </row>
    <row r="4179">
      <c r="A4179" s="166" t="n"/>
      <c r="B4179" s="63" t="n"/>
      <c r="C4179" s="64" t="n"/>
      <c r="D4179" s="167" t="n"/>
      <c r="E4179" s="63" t="n"/>
      <c r="F4179" s="63" t="n"/>
    </row>
    <row r="4180">
      <c r="A4180" s="166" t="n"/>
      <c r="B4180" s="63" t="n"/>
      <c r="C4180" s="64" t="n"/>
      <c r="D4180" s="167" t="n"/>
      <c r="E4180" s="63" t="n"/>
      <c r="F4180" s="63" t="n"/>
    </row>
    <row r="4181">
      <c r="A4181" s="166" t="n"/>
      <c r="B4181" s="63" t="n"/>
      <c r="C4181" s="64" t="n"/>
      <c r="D4181" s="167" t="n"/>
      <c r="E4181" s="63" t="n"/>
      <c r="F4181" s="63" t="n"/>
    </row>
    <row r="4182">
      <c r="A4182" s="166" t="n"/>
      <c r="B4182" s="63" t="n"/>
      <c r="C4182" s="64" t="n"/>
      <c r="D4182" s="167" t="n"/>
      <c r="E4182" s="63" t="n"/>
      <c r="F4182" s="63" t="n"/>
    </row>
    <row r="4183">
      <c r="A4183" s="166" t="n"/>
      <c r="B4183" s="63" t="n"/>
      <c r="C4183" s="64" t="n"/>
      <c r="D4183" s="167" t="n"/>
      <c r="E4183" s="63" t="n"/>
      <c r="F4183" s="63" t="n"/>
    </row>
    <row r="4184">
      <c r="A4184" s="166" t="n"/>
      <c r="B4184" s="63" t="n"/>
      <c r="C4184" s="64" t="n"/>
      <c r="D4184" s="167" t="n"/>
      <c r="E4184" s="63" t="n"/>
      <c r="F4184" s="63" t="n"/>
    </row>
    <row r="4185">
      <c r="A4185" s="166" t="n"/>
      <c r="B4185" s="63" t="n"/>
      <c r="C4185" s="64" t="n"/>
      <c r="D4185" s="167" t="n"/>
      <c r="E4185" s="63" t="n"/>
      <c r="F4185" s="63" t="n"/>
    </row>
    <row r="4186">
      <c r="A4186" s="166" t="n"/>
      <c r="B4186" s="63" t="n"/>
      <c r="C4186" s="64" t="n"/>
      <c r="D4186" s="167" t="n"/>
      <c r="E4186" s="63" t="n"/>
      <c r="F4186" s="63" t="n"/>
    </row>
    <row r="4187">
      <c r="A4187" s="166" t="n"/>
      <c r="B4187" s="63" t="n"/>
      <c r="C4187" s="64" t="n"/>
      <c r="D4187" s="167" t="n"/>
      <c r="E4187" s="63" t="n"/>
      <c r="F4187" s="63" t="n"/>
    </row>
    <row r="4188">
      <c r="A4188" s="166" t="n"/>
      <c r="B4188" s="63" t="n"/>
      <c r="C4188" s="64" t="n"/>
      <c r="D4188" s="167" t="n"/>
      <c r="E4188" s="63" t="n"/>
      <c r="F4188" s="63" t="n"/>
    </row>
    <row r="4189">
      <c r="A4189" s="166" t="n"/>
      <c r="B4189" s="63" t="n"/>
      <c r="C4189" s="64" t="n"/>
      <c r="D4189" s="167" t="n"/>
      <c r="E4189" s="63" t="n"/>
      <c r="F4189" s="63" t="n"/>
    </row>
    <row r="4190">
      <c r="A4190" s="166" t="n"/>
      <c r="B4190" s="63" t="n"/>
      <c r="C4190" s="64" t="n"/>
      <c r="D4190" s="167" t="n"/>
      <c r="E4190" s="63" t="n"/>
      <c r="F4190" s="63" t="n"/>
    </row>
    <row r="4191">
      <c r="A4191" s="166" t="n"/>
      <c r="B4191" s="63" t="n"/>
      <c r="C4191" s="64" t="n"/>
      <c r="D4191" s="167" t="n"/>
      <c r="E4191" s="63" t="n"/>
      <c r="F4191" s="63" t="n"/>
    </row>
    <row r="4192">
      <c r="A4192" s="166" t="n"/>
      <c r="B4192" s="63" t="n"/>
      <c r="C4192" s="64" t="n"/>
      <c r="D4192" s="167" t="n"/>
      <c r="E4192" s="63" t="n"/>
      <c r="F4192" s="63" t="n"/>
    </row>
    <row r="4193">
      <c r="A4193" s="166" t="n"/>
      <c r="B4193" s="63" t="n"/>
      <c r="C4193" s="64" t="n"/>
      <c r="D4193" s="167" t="n"/>
      <c r="E4193" s="63" t="n"/>
      <c r="F4193" s="63" t="n"/>
    </row>
    <row r="4194">
      <c r="A4194" s="166" t="n"/>
      <c r="B4194" s="63" t="n"/>
      <c r="C4194" s="64" t="n"/>
      <c r="D4194" s="167" t="n"/>
      <c r="E4194" s="63" t="n"/>
      <c r="F4194" s="63" t="n"/>
    </row>
    <row r="4195">
      <c r="A4195" s="166" t="n"/>
      <c r="B4195" s="63" t="n"/>
      <c r="C4195" s="64" t="n"/>
      <c r="D4195" s="167" t="n"/>
      <c r="E4195" s="63" t="n"/>
      <c r="F4195" s="63" t="n"/>
    </row>
    <row r="4196">
      <c r="A4196" s="166" t="n"/>
      <c r="B4196" s="63" t="n"/>
      <c r="C4196" s="64" t="n"/>
      <c r="D4196" s="167" t="n"/>
      <c r="E4196" s="63" t="n"/>
      <c r="F4196" s="63" t="n"/>
    </row>
    <row r="4197">
      <c r="A4197" s="166" t="n"/>
      <c r="B4197" s="63" t="n"/>
      <c r="C4197" s="64" t="n"/>
      <c r="D4197" s="167" t="n"/>
      <c r="E4197" s="63" t="n"/>
      <c r="F4197" s="63" t="n"/>
    </row>
    <row r="4198">
      <c r="A4198" s="166" t="n"/>
      <c r="B4198" s="63" t="n"/>
      <c r="C4198" s="64" t="n"/>
      <c r="D4198" s="167" t="n"/>
      <c r="E4198" s="63" t="n"/>
      <c r="F4198" s="63" t="n"/>
    </row>
    <row r="4199">
      <c r="A4199" s="166" t="n"/>
      <c r="B4199" s="63" t="n"/>
      <c r="C4199" s="64" t="n"/>
      <c r="D4199" s="167" t="n"/>
      <c r="E4199" s="63" t="n"/>
      <c r="F4199" s="63" t="n"/>
    </row>
    <row r="4200">
      <c r="A4200" s="166" t="n"/>
      <c r="B4200" s="63" t="n"/>
      <c r="C4200" s="64" t="n"/>
      <c r="D4200" s="167" t="n"/>
      <c r="E4200" s="63" t="n"/>
      <c r="F4200" s="63" t="n"/>
    </row>
    <row r="4201">
      <c r="A4201" s="166" t="n"/>
      <c r="B4201" s="63" t="n"/>
      <c r="C4201" s="64" t="n"/>
      <c r="D4201" s="167" t="n"/>
      <c r="E4201" s="63" t="n"/>
      <c r="F4201" s="63" t="n"/>
    </row>
    <row r="4202">
      <c r="A4202" s="166" t="n"/>
      <c r="B4202" s="63" t="n"/>
      <c r="C4202" s="64" t="n"/>
      <c r="D4202" s="167" t="n"/>
      <c r="E4202" s="63" t="n"/>
      <c r="F4202" s="63" t="n"/>
    </row>
    <row r="4203">
      <c r="A4203" s="166" t="n"/>
      <c r="B4203" s="63" t="n"/>
      <c r="C4203" s="64" t="n"/>
      <c r="D4203" s="167" t="n"/>
      <c r="E4203" s="63" t="n"/>
      <c r="F4203" s="63" t="n"/>
    </row>
    <row r="4204">
      <c r="A4204" s="166" t="n"/>
      <c r="B4204" s="63" t="n"/>
      <c r="C4204" s="64" t="n"/>
      <c r="D4204" s="167" t="n"/>
      <c r="E4204" s="63" t="n"/>
      <c r="F4204" s="63" t="n"/>
    </row>
    <row r="4205">
      <c r="A4205" s="166" t="n"/>
      <c r="B4205" s="63" t="n"/>
      <c r="C4205" s="64" t="n"/>
      <c r="D4205" s="167" t="n"/>
      <c r="E4205" s="63" t="n"/>
      <c r="F4205" s="63" t="n"/>
    </row>
    <row r="4206">
      <c r="A4206" s="166" t="n"/>
      <c r="B4206" s="63" t="n"/>
      <c r="C4206" s="64" t="n"/>
      <c r="D4206" s="167" t="n"/>
      <c r="E4206" s="63" t="n"/>
      <c r="F4206" s="63" t="n"/>
    </row>
    <row r="4207">
      <c r="A4207" s="166" t="n"/>
      <c r="B4207" s="63" t="n"/>
      <c r="C4207" s="64" t="n"/>
      <c r="D4207" s="167" t="n"/>
      <c r="E4207" s="63" t="n"/>
      <c r="F4207" s="63" t="n"/>
    </row>
    <row r="4208">
      <c r="A4208" s="166" t="n"/>
      <c r="B4208" s="63" t="n"/>
      <c r="C4208" s="64" t="n"/>
      <c r="D4208" s="167" t="n"/>
      <c r="E4208" s="63" t="n"/>
      <c r="F4208" s="63" t="n"/>
    </row>
    <row r="4209">
      <c r="A4209" s="166" t="n"/>
      <c r="B4209" s="63" t="n"/>
      <c r="C4209" s="64" t="n"/>
      <c r="D4209" s="167" t="n"/>
      <c r="E4209" s="63" t="n"/>
      <c r="F4209" s="63" t="n"/>
    </row>
    <row r="4210">
      <c r="A4210" s="166" t="n"/>
      <c r="B4210" s="63" t="n"/>
      <c r="C4210" s="64" t="n"/>
      <c r="D4210" s="167" t="n"/>
      <c r="E4210" s="63" t="n"/>
      <c r="F4210" s="63" t="n"/>
    </row>
    <row r="4211">
      <c r="A4211" s="166" t="n"/>
      <c r="B4211" s="63" t="n"/>
      <c r="C4211" s="64" t="n"/>
      <c r="D4211" s="167" t="n"/>
      <c r="E4211" s="63" t="n"/>
      <c r="F4211" s="63" t="n"/>
    </row>
    <row r="4212">
      <c r="A4212" s="166" t="n"/>
      <c r="B4212" s="63" t="n"/>
      <c r="C4212" s="64" t="n"/>
      <c r="D4212" s="167" t="n"/>
      <c r="E4212" s="63" t="n"/>
      <c r="F4212" s="63" t="n"/>
    </row>
    <row r="4213">
      <c r="A4213" s="166" t="n"/>
      <c r="B4213" s="63" t="n"/>
      <c r="C4213" s="64" t="n"/>
      <c r="D4213" s="167" t="n"/>
      <c r="E4213" s="63" t="n"/>
      <c r="F4213" s="63" t="n"/>
    </row>
    <row r="4214">
      <c r="A4214" s="166" t="n"/>
      <c r="B4214" s="63" t="n"/>
      <c r="C4214" s="64" t="n"/>
      <c r="D4214" s="167" t="n"/>
      <c r="E4214" s="63" t="n"/>
      <c r="F4214" s="63" t="n"/>
    </row>
    <row r="4215">
      <c r="A4215" s="166" t="n"/>
      <c r="B4215" s="63" t="n"/>
      <c r="C4215" s="64" t="n"/>
      <c r="D4215" s="167" t="n"/>
      <c r="E4215" s="63" t="n"/>
      <c r="F4215" s="63" t="n"/>
    </row>
    <row r="4216">
      <c r="A4216" s="166" t="n"/>
      <c r="B4216" s="63" t="n"/>
      <c r="C4216" s="64" t="n"/>
      <c r="D4216" s="167" t="n"/>
      <c r="E4216" s="63" t="n"/>
      <c r="F4216" s="63" t="n"/>
    </row>
    <row r="4217">
      <c r="A4217" s="166" t="n"/>
      <c r="B4217" s="63" t="n"/>
      <c r="C4217" s="64" t="n"/>
      <c r="D4217" s="167" t="n"/>
      <c r="E4217" s="63" t="n"/>
      <c r="F4217" s="63" t="n"/>
    </row>
    <row r="4218">
      <c r="A4218" s="166" t="n"/>
      <c r="B4218" s="63" t="n"/>
      <c r="C4218" s="64" t="n"/>
      <c r="D4218" s="167" t="n"/>
      <c r="E4218" s="63" t="n"/>
      <c r="F4218" s="63" t="n"/>
    </row>
    <row r="4219">
      <c r="A4219" s="166" t="n"/>
      <c r="B4219" s="63" t="n"/>
      <c r="C4219" s="64" t="n"/>
      <c r="D4219" s="167" t="n"/>
      <c r="E4219" s="63" t="n"/>
      <c r="F4219" s="63" t="n"/>
    </row>
    <row r="4220">
      <c r="A4220" s="166" t="n"/>
      <c r="B4220" s="63" t="n"/>
      <c r="C4220" s="64" t="n"/>
      <c r="D4220" s="167" t="n"/>
      <c r="E4220" s="63" t="n"/>
      <c r="F4220" s="63" t="n"/>
    </row>
    <row r="4221">
      <c r="A4221" s="166" t="n"/>
      <c r="B4221" s="63" t="n"/>
      <c r="C4221" s="64" t="n"/>
      <c r="D4221" s="167" t="n"/>
      <c r="E4221" s="63" t="n"/>
      <c r="F4221" s="63" t="n"/>
    </row>
    <row r="4222">
      <c r="A4222" s="166" t="n"/>
      <c r="B4222" s="63" t="n"/>
      <c r="C4222" s="64" t="n"/>
      <c r="D4222" s="167" t="n"/>
      <c r="E4222" s="63" t="n"/>
      <c r="F4222" s="63" t="n"/>
    </row>
    <row r="4223">
      <c r="A4223" s="166" t="n"/>
      <c r="B4223" s="63" t="n"/>
      <c r="C4223" s="64" t="n"/>
      <c r="D4223" s="167" t="n"/>
      <c r="E4223" s="63" t="n"/>
      <c r="F4223" s="63" t="n"/>
    </row>
    <row r="4224">
      <c r="A4224" s="166" t="n"/>
      <c r="B4224" s="63" t="n"/>
      <c r="C4224" s="64" t="n"/>
      <c r="D4224" s="167" t="n"/>
      <c r="E4224" s="63" t="n"/>
      <c r="F4224" s="63" t="n"/>
    </row>
    <row r="4225">
      <c r="A4225" s="166" t="n"/>
      <c r="B4225" s="63" t="n"/>
      <c r="C4225" s="64" t="n"/>
      <c r="D4225" s="167" t="n"/>
      <c r="E4225" s="63" t="n"/>
      <c r="F4225" s="63" t="n"/>
    </row>
    <row r="4226">
      <c r="A4226" s="166" t="n"/>
      <c r="B4226" s="63" t="n"/>
      <c r="C4226" s="64" t="n"/>
      <c r="D4226" s="167" t="n"/>
      <c r="E4226" s="63" t="n"/>
      <c r="F4226" s="63" t="n"/>
    </row>
    <row r="4227">
      <c r="A4227" s="166" t="n"/>
      <c r="B4227" s="63" t="n"/>
      <c r="C4227" s="64" t="n"/>
      <c r="D4227" s="167" t="n"/>
      <c r="E4227" s="63" t="n"/>
      <c r="F4227" s="63" t="n"/>
    </row>
    <row r="4228">
      <c r="A4228" s="166" t="n"/>
      <c r="B4228" s="63" t="n"/>
      <c r="C4228" s="64" t="n"/>
      <c r="D4228" s="167" t="n"/>
      <c r="E4228" s="63" t="n"/>
      <c r="F4228" s="63" t="n"/>
    </row>
    <row r="4229">
      <c r="A4229" s="166" t="n"/>
      <c r="B4229" s="63" t="n"/>
      <c r="C4229" s="64" t="n"/>
      <c r="D4229" s="167" t="n"/>
      <c r="E4229" s="63" t="n"/>
      <c r="F4229" s="63" t="n"/>
    </row>
    <row r="4230">
      <c r="A4230" s="166" t="n"/>
      <c r="B4230" s="63" t="n"/>
      <c r="C4230" s="64" t="n"/>
      <c r="D4230" s="167" t="n"/>
      <c r="E4230" s="63" t="n"/>
      <c r="F4230" s="63" t="n"/>
    </row>
    <row r="4231">
      <c r="A4231" s="166" t="n"/>
      <c r="B4231" s="63" t="n"/>
      <c r="C4231" s="64" t="n"/>
      <c r="D4231" s="167" t="n"/>
      <c r="E4231" s="63" t="n"/>
      <c r="F4231" s="63" t="n"/>
    </row>
    <row r="4232">
      <c r="A4232" s="166" t="n"/>
      <c r="B4232" s="63" t="n"/>
      <c r="C4232" s="64" t="n"/>
      <c r="D4232" s="167" t="n"/>
      <c r="E4232" s="63" t="n"/>
      <c r="F4232" s="63" t="n"/>
    </row>
    <row r="4233">
      <c r="A4233" s="166" t="n"/>
      <c r="B4233" s="63" t="n"/>
      <c r="C4233" s="64" t="n"/>
      <c r="D4233" s="167" t="n"/>
      <c r="E4233" s="63" t="n"/>
      <c r="F4233" s="63" t="n"/>
    </row>
    <row r="4234">
      <c r="A4234" s="166" t="n"/>
      <c r="B4234" s="63" t="n"/>
      <c r="C4234" s="64" t="n"/>
      <c r="D4234" s="167" t="n"/>
      <c r="E4234" s="63" t="n"/>
      <c r="F4234" s="63" t="n"/>
    </row>
    <row r="4235">
      <c r="A4235" s="166" t="n"/>
      <c r="B4235" s="63" t="n"/>
      <c r="C4235" s="64" t="n"/>
      <c r="D4235" s="167" t="n"/>
      <c r="E4235" s="63" t="n"/>
      <c r="F4235" s="63" t="n"/>
    </row>
    <row r="4236">
      <c r="A4236" s="166" t="n"/>
      <c r="B4236" s="63" t="n"/>
      <c r="C4236" s="64" t="n"/>
      <c r="D4236" s="167" t="n"/>
      <c r="E4236" s="63" t="n"/>
      <c r="F4236" s="63" t="n"/>
    </row>
    <row r="4237">
      <c r="A4237" s="166" t="n"/>
      <c r="B4237" s="63" t="n"/>
      <c r="C4237" s="64" t="n"/>
      <c r="D4237" s="167" t="n"/>
      <c r="E4237" s="63" t="n"/>
      <c r="F4237" s="63" t="n"/>
    </row>
    <row r="4238">
      <c r="A4238" s="166" t="n"/>
      <c r="B4238" s="63" t="n"/>
      <c r="C4238" s="64" t="n"/>
      <c r="D4238" s="167" t="n"/>
      <c r="E4238" s="63" t="n"/>
      <c r="F4238" s="63" t="n"/>
    </row>
    <row r="4239">
      <c r="A4239" s="166" t="n"/>
      <c r="B4239" s="63" t="n"/>
      <c r="C4239" s="64" t="n"/>
      <c r="D4239" s="167" t="n"/>
      <c r="E4239" s="63" t="n"/>
      <c r="F4239" s="63" t="n"/>
    </row>
    <row r="4240">
      <c r="A4240" s="166" t="n"/>
      <c r="B4240" s="63" t="n"/>
      <c r="C4240" s="64" t="n"/>
      <c r="D4240" s="167" t="n"/>
      <c r="E4240" s="63" t="n"/>
      <c r="F4240" s="63" t="n"/>
    </row>
    <row r="4241">
      <c r="A4241" s="166" t="n"/>
      <c r="B4241" s="63" t="n"/>
      <c r="C4241" s="64" t="n"/>
      <c r="D4241" s="167" t="n"/>
      <c r="E4241" s="63" t="n"/>
      <c r="F4241" s="63" t="n"/>
    </row>
    <row r="4242">
      <c r="A4242" s="166" t="n"/>
      <c r="B4242" s="63" t="n"/>
      <c r="C4242" s="64" t="n"/>
      <c r="D4242" s="167" t="n"/>
      <c r="E4242" s="63" t="n"/>
      <c r="F4242" s="63" t="n"/>
    </row>
    <row r="4243">
      <c r="A4243" s="166" t="n"/>
      <c r="B4243" s="63" t="n"/>
      <c r="C4243" s="64" t="n"/>
      <c r="D4243" s="167" t="n"/>
      <c r="E4243" s="63" t="n"/>
      <c r="F4243" s="63" t="n"/>
    </row>
    <row r="4244">
      <c r="A4244" s="166" t="n"/>
      <c r="B4244" s="63" t="n"/>
      <c r="C4244" s="64" t="n"/>
      <c r="D4244" s="167" t="n"/>
      <c r="E4244" s="63" t="n"/>
      <c r="F4244" s="63" t="n"/>
    </row>
    <row r="4245">
      <c r="A4245" s="166" t="n"/>
      <c r="B4245" s="63" t="n"/>
      <c r="C4245" s="64" t="n"/>
      <c r="D4245" s="167" t="n"/>
      <c r="E4245" s="63" t="n"/>
      <c r="F4245" s="63" t="n"/>
    </row>
    <row r="4246">
      <c r="A4246" s="166" t="n"/>
      <c r="B4246" s="63" t="n"/>
      <c r="C4246" s="64" t="n"/>
      <c r="D4246" s="167" t="n"/>
      <c r="E4246" s="63" t="n"/>
      <c r="F4246" s="63" t="n"/>
    </row>
    <row r="4247">
      <c r="A4247" s="166" t="n"/>
      <c r="B4247" s="63" t="n"/>
      <c r="C4247" s="64" t="n"/>
      <c r="D4247" s="167" t="n"/>
      <c r="E4247" s="63" t="n"/>
      <c r="F4247" s="63" t="n"/>
    </row>
    <row r="4248">
      <c r="A4248" s="166" t="n"/>
      <c r="B4248" s="63" t="n"/>
      <c r="C4248" s="64" t="n"/>
      <c r="D4248" s="167" t="n"/>
      <c r="E4248" s="63" t="n"/>
      <c r="F4248" s="63" t="n"/>
    </row>
    <row r="4249">
      <c r="A4249" s="166" t="n"/>
      <c r="B4249" s="63" t="n"/>
      <c r="C4249" s="64" t="n"/>
      <c r="D4249" s="167" t="n"/>
      <c r="E4249" s="63" t="n"/>
      <c r="F4249" s="63" t="n"/>
    </row>
    <row r="4250">
      <c r="A4250" s="166" t="n"/>
      <c r="B4250" s="63" t="n"/>
      <c r="C4250" s="64" t="n"/>
      <c r="D4250" s="167" t="n"/>
      <c r="E4250" s="63" t="n"/>
      <c r="F4250" s="63" t="n"/>
    </row>
    <row r="4251">
      <c r="A4251" s="166" t="n"/>
      <c r="B4251" s="63" t="n"/>
      <c r="C4251" s="64" t="n"/>
      <c r="D4251" s="167" t="n"/>
      <c r="E4251" s="63" t="n"/>
      <c r="F4251" s="63" t="n"/>
    </row>
    <row r="4252">
      <c r="A4252" s="166" t="n"/>
      <c r="B4252" s="63" t="n"/>
      <c r="C4252" s="64" t="n"/>
      <c r="D4252" s="167" t="n"/>
      <c r="E4252" s="63" t="n"/>
      <c r="F4252" s="63" t="n"/>
    </row>
    <row r="4253">
      <c r="A4253" s="166" t="n"/>
      <c r="B4253" s="63" t="n"/>
      <c r="C4253" s="64" t="n"/>
      <c r="D4253" s="167" t="n"/>
      <c r="E4253" s="63" t="n"/>
      <c r="F4253" s="63" t="n"/>
    </row>
    <row r="4254">
      <c r="A4254" s="166" t="n"/>
      <c r="B4254" s="63" t="n"/>
      <c r="C4254" s="64" t="n"/>
      <c r="D4254" s="167" t="n"/>
      <c r="E4254" s="63" t="n"/>
      <c r="F4254" s="63" t="n"/>
    </row>
    <row r="4255">
      <c r="A4255" s="166" t="n"/>
      <c r="B4255" s="63" t="n"/>
      <c r="C4255" s="64" t="n"/>
      <c r="D4255" s="167" t="n"/>
      <c r="E4255" s="63" t="n"/>
      <c r="F4255" s="63" t="n"/>
    </row>
    <row r="4256">
      <c r="A4256" s="166" t="n"/>
      <c r="B4256" s="63" t="n"/>
      <c r="C4256" s="64" t="n"/>
      <c r="D4256" s="167" t="n"/>
      <c r="E4256" s="63" t="n"/>
      <c r="F4256" s="63" t="n"/>
    </row>
    <row r="4257">
      <c r="A4257" s="166" t="n"/>
      <c r="B4257" s="63" t="n"/>
      <c r="C4257" s="64" t="n"/>
      <c r="D4257" s="167" t="n"/>
      <c r="E4257" s="63" t="n"/>
      <c r="F4257" s="63" t="n"/>
    </row>
    <row r="4258">
      <c r="A4258" s="166" t="n"/>
      <c r="B4258" s="63" t="n"/>
      <c r="C4258" s="64" t="n"/>
      <c r="D4258" s="167" t="n"/>
      <c r="E4258" s="63" t="n"/>
      <c r="F4258" s="63" t="n"/>
    </row>
    <row r="4259">
      <c r="A4259" s="166" t="n"/>
      <c r="B4259" s="63" t="n"/>
      <c r="C4259" s="64" t="n"/>
      <c r="D4259" s="167" t="n"/>
      <c r="E4259" s="63" t="n"/>
      <c r="F4259" s="63" t="n"/>
    </row>
    <row r="4260">
      <c r="A4260" s="166" t="n"/>
      <c r="B4260" s="63" t="n"/>
      <c r="C4260" s="64" t="n"/>
      <c r="D4260" s="167" t="n"/>
      <c r="E4260" s="63" t="n"/>
      <c r="F4260" s="63" t="n"/>
    </row>
    <row r="4261">
      <c r="A4261" s="166" t="n"/>
      <c r="B4261" s="63" t="n"/>
      <c r="C4261" s="64" t="n"/>
      <c r="D4261" s="167" t="n"/>
      <c r="E4261" s="63" t="n"/>
      <c r="F4261" s="63" t="n"/>
    </row>
    <row r="4262">
      <c r="A4262" s="166" t="n"/>
      <c r="B4262" s="63" t="n"/>
      <c r="C4262" s="64" t="n"/>
      <c r="D4262" s="167" t="n"/>
      <c r="E4262" s="63" t="n"/>
      <c r="F4262" s="63" t="n"/>
    </row>
    <row r="4263">
      <c r="A4263" s="166" t="n"/>
      <c r="B4263" s="63" t="n"/>
      <c r="C4263" s="64" t="n"/>
      <c r="D4263" s="167" t="n"/>
      <c r="E4263" s="63" t="n"/>
      <c r="F4263" s="63" t="n"/>
    </row>
    <row r="4264">
      <c r="A4264" s="166" t="n"/>
      <c r="B4264" s="63" t="n"/>
      <c r="C4264" s="64" t="n"/>
      <c r="D4264" s="167" t="n"/>
      <c r="E4264" s="63" t="n"/>
      <c r="F4264" s="63" t="n"/>
    </row>
    <row r="4265">
      <c r="A4265" s="166" t="n"/>
      <c r="B4265" s="63" t="n"/>
      <c r="C4265" s="64" t="n"/>
      <c r="D4265" s="167" t="n"/>
      <c r="E4265" s="63" t="n"/>
      <c r="F4265" s="63" t="n"/>
    </row>
    <row r="4266">
      <c r="A4266" s="166" t="n"/>
      <c r="B4266" s="63" t="n"/>
      <c r="C4266" s="64" t="n"/>
      <c r="D4266" s="167" t="n"/>
      <c r="E4266" s="63" t="n"/>
      <c r="F4266" s="63" t="n"/>
    </row>
    <row r="4267">
      <c r="A4267" s="166" t="n"/>
      <c r="B4267" s="63" t="n"/>
      <c r="C4267" s="64" t="n"/>
      <c r="D4267" s="167" t="n"/>
      <c r="E4267" s="63" t="n"/>
      <c r="F4267" s="63" t="n"/>
    </row>
    <row r="4268">
      <c r="A4268" s="166" t="n"/>
      <c r="B4268" s="63" t="n"/>
      <c r="C4268" s="64" t="n"/>
      <c r="D4268" s="167" t="n"/>
      <c r="E4268" s="63" t="n"/>
      <c r="F4268" s="63" t="n"/>
    </row>
    <row r="4269">
      <c r="A4269" s="166" t="n"/>
      <c r="B4269" s="63" t="n"/>
      <c r="C4269" s="64" t="n"/>
      <c r="D4269" s="167" t="n"/>
      <c r="E4269" s="63" t="n"/>
      <c r="F4269" s="63" t="n"/>
    </row>
    <row r="4270">
      <c r="A4270" s="166" t="n"/>
      <c r="B4270" s="63" t="n"/>
      <c r="C4270" s="64" t="n"/>
      <c r="D4270" s="167" t="n"/>
      <c r="E4270" s="63" t="n"/>
      <c r="F4270" s="63" t="n"/>
    </row>
    <row r="4271">
      <c r="A4271" s="166" t="n"/>
      <c r="B4271" s="63" t="n"/>
      <c r="C4271" s="64" t="n"/>
      <c r="D4271" s="167" t="n"/>
      <c r="E4271" s="63" t="n"/>
      <c r="F4271" s="63" t="n"/>
    </row>
    <row r="4272">
      <c r="A4272" s="166" t="n"/>
      <c r="B4272" s="63" t="n"/>
      <c r="C4272" s="64" t="n"/>
      <c r="D4272" s="167" t="n"/>
      <c r="E4272" s="63" t="n"/>
      <c r="F4272" s="63" t="n"/>
    </row>
    <row r="4273">
      <c r="A4273" s="166" t="n"/>
      <c r="B4273" s="63" t="n"/>
      <c r="C4273" s="64" t="n"/>
      <c r="D4273" s="167" t="n"/>
      <c r="E4273" s="63" t="n"/>
      <c r="F4273" s="63" t="n"/>
    </row>
    <row r="4274">
      <c r="A4274" s="166" t="n"/>
      <c r="B4274" s="63" t="n"/>
      <c r="C4274" s="64" t="n"/>
      <c r="D4274" s="167" t="n"/>
      <c r="E4274" s="63" t="n"/>
      <c r="F4274" s="63" t="n"/>
    </row>
    <row r="4275">
      <c r="A4275" s="166" t="n"/>
      <c r="B4275" s="63" t="n"/>
      <c r="C4275" s="64" t="n"/>
      <c r="D4275" s="167" t="n"/>
      <c r="E4275" s="63" t="n"/>
      <c r="F4275" s="63" t="n"/>
    </row>
    <row r="4276">
      <c r="A4276" s="166" t="n"/>
      <c r="B4276" s="63" t="n"/>
      <c r="C4276" s="64" t="n"/>
      <c r="D4276" s="167" t="n"/>
      <c r="E4276" s="63" t="n"/>
      <c r="F4276" s="63" t="n"/>
    </row>
    <row r="4277">
      <c r="A4277" s="166" t="n"/>
      <c r="B4277" s="63" t="n"/>
      <c r="C4277" s="64" t="n"/>
      <c r="D4277" s="167" t="n"/>
      <c r="E4277" s="63" t="n"/>
      <c r="F4277" s="63" t="n"/>
    </row>
    <row r="4278">
      <c r="A4278" s="166" t="n"/>
      <c r="B4278" s="63" t="n"/>
      <c r="C4278" s="64" t="n"/>
      <c r="D4278" s="167" t="n"/>
      <c r="E4278" s="63" t="n"/>
      <c r="F4278" s="63" t="n"/>
    </row>
    <row r="4279">
      <c r="A4279" s="166" t="n"/>
      <c r="B4279" s="63" t="n"/>
      <c r="C4279" s="64" t="n"/>
      <c r="D4279" s="167" t="n"/>
      <c r="E4279" s="63" t="n"/>
      <c r="F4279" s="63" t="n"/>
    </row>
    <row r="4280">
      <c r="A4280" s="166" t="n"/>
      <c r="B4280" s="63" t="n"/>
      <c r="C4280" s="64" t="n"/>
      <c r="D4280" s="167" t="n"/>
      <c r="E4280" s="63" t="n"/>
      <c r="F4280" s="63" t="n"/>
    </row>
    <row r="4281">
      <c r="A4281" s="166" t="n"/>
      <c r="B4281" s="63" t="n"/>
      <c r="C4281" s="64" t="n"/>
      <c r="D4281" s="167" t="n"/>
      <c r="E4281" s="63" t="n"/>
      <c r="F4281" s="63" t="n"/>
    </row>
    <row r="4282">
      <c r="A4282" s="166" t="n"/>
      <c r="B4282" s="63" t="n"/>
      <c r="C4282" s="64" t="n"/>
      <c r="D4282" s="167" t="n"/>
      <c r="E4282" s="63" t="n"/>
      <c r="F4282" s="63" t="n"/>
    </row>
    <row r="4283">
      <c r="A4283" s="166" t="n"/>
      <c r="B4283" s="63" t="n"/>
      <c r="C4283" s="64" t="n"/>
      <c r="D4283" s="167" t="n"/>
      <c r="E4283" s="63" t="n"/>
      <c r="F4283" s="63" t="n"/>
    </row>
    <row r="4284">
      <c r="A4284" s="166" t="n"/>
      <c r="B4284" s="63" t="n"/>
      <c r="C4284" s="64" t="n"/>
      <c r="D4284" s="167" t="n"/>
      <c r="E4284" s="63" t="n"/>
      <c r="F4284" s="63" t="n"/>
    </row>
    <row r="4285">
      <c r="A4285" s="166" t="n"/>
      <c r="B4285" s="63" t="n"/>
      <c r="C4285" s="64" t="n"/>
      <c r="D4285" s="167" t="n"/>
      <c r="E4285" s="63" t="n"/>
      <c r="F4285" s="63" t="n"/>
    </row>
    <row r="4286">
      <c r="A4286" s="166" t="n"/>
      <c r="B4286" s="63" t="n"/>
      <c r="C4286" s="64" t="n"/>
      <c r="D4286" s="167" t="n"/>
      <c r="E4286" s="63" t="n"/>
      <c r="F4286" s="63" t="n"/>
    </row>
    <row r="4287">
      <c r="A4287" s="166" t="n"/>
      <c r="B4287" s="63" t="n"/>
      <c r="C4287" s="64" t="n"/>
      <c r="D4287" s="167" t="n"/>
      <c r="E4287" s="63" t="n"/>
      <c r="F4287" s="63" t="n"/>
    </row>
    <row r="4288">
      <c r="A4288" s="166" t="n"/>
      <c r="B4288" s="63" t="n"/>
      <c r="C4288" s="64" t="n"/>
      <c r="D4288" s="167" t="n"/>
      <c r="E4288" s="63" t="n"/>
      <c r="F4288" s="63" t="n"/>
    </row>
    <row r="4289">
      <c r="A4289" s="166" t="n"/>
      <c r="B4289" s="63" t="n"/>
      <c r="C4289" s="64" t="n"/>
      <c r="D4289" s="167" t="n"/>
      <c r="E4289" s="63" t="n"/>
      <c r="F4289" s="63" t="n"/>
    </row>
    <row r="4290">
      <c r="A4290" s="166" t="n"/>
      <c r="B4290" s="63" t="n"/>
      <c r="C4290" s="64" t="n"/>
      <c r="D4290" s="167" t="n"/>
      <c r="E4290" s="63" t="n"/>
      <c r="F4290" s="63" t="n"/>
    </row>
    <row r="4291">
      <c r="A4291" s="166" t="n"/>
      <c r="B4291" s="63" t="n"/>
      <c r="C4291" s="64" t="n"/>
      <c r="D4291" s="167" t="n"/>
      <c r="E4291" s="63" t="n"/>
      <c r="F4291" s="63" t="n"/>
    </row>
    <row r="4292">
      <c r="A4292" s="166" t="n"/>
      <c r="B4292" s="63" t="n"/>
      <c r="C4292" s="64" t="n"/>
      <c r="D4292" s="167" t="n"/>
      <c r="E4292" s="63" t="n"/>
      <c r="F4292" s="63" t="n"/>
    </row>
    <row r="4293">
      <c r="A4293" s="166" t="n"/>
      <c r="B4293" s="63" t="n"/>
      <c r="C4293" s="64" t="n"/>
      <c r="D4293" s="167" t="n"/>
      <c r="E4293" s="63" t="n"/>
      <c r="F4293" s="63" t="n"/>
    </row>
    <row r="4294">
      <c r="A4294" s="166" t="n"/>
      <c r="B4294" s="63" t="n"/>
      <c r="C4294" s="64" t="n"/>
      <c r="D4294" s="167" t="n"/>
      <c r="E4294" s="63" t="n"/>
      <c r="F4294" s="63" t="n"/>
    </row>
    <row r="4295">
      <c r="A4295" s="166" t="n"/>
      <c r="B4295" s="63" t="n"/>
      <c r="C4295" s="64" t="n"/>
      <c r="D4295" s="167" t="n"/>
      <c r="E4295" s="63" t="n"/>
      <c r="F4295" s="63" t="n"/>
    </row>
    <row r="4296">
      <c r="A4296" s="166" t="n"/>
      <c r="B4296" s="63" t="n"/>
      <c r="C4296" s="64" t="n"/>
      <c r="D4296" s="167" t="n"/>
      <c r="E4296" s="63" t="n"/>
      <c r="F4296" s="63" t="n"/>
    </row>
    <row r="4297">
      <c r="A4297" s="166" t="n"/>
      <c r="B4297" s="63" t="n"/>
      <c r="C4297" s="64" t="n"/>
      <c r="D4297" s="167" t="n"/>
      <c r="E4297" s="63" t="n"/>
      <c r="F4297" s="63" t="n"/>
    </row>
    <row r="4298">
      <c r="A4298" s="166" t="n"/>
      <c r="B4298" s="63" t="n"/>
      <c r="C4298" s="64" t="n"/>
      <c r="D4298" s="167" t="n"/>
      <c r="E4298" s="63" t="n"/>
      <c r="F4298" s="63" t="n"/>
    </row>
    <row r="4299">
      <c r="A4299" s="166" t="n"/>
      <c r="B4299" s="63" t="n"/>
      <c r="C4299" s="64" t="n"/>
      <c r="D4299" s="167" t="n"/>
      <c r="E4299" s="63" t="n"/>
      <c r="F4299" s="63" t="n"/>
    </row>
    <row r="4300">
      <c r="A4300" s="166" t="n"/>
      <c r="B4300" s="63" t="n"/>
      <c r="C4300" s="64" t="n"/>
      <c r="D4300" s="167" t="n"/>
      <c r="E4300" s="63" t="n"/>
      <c r="F4300" s="63" t="n"/>
    </row>
    <row r="4301">
      <c r="A4301" s="166" t="n"/>
      <c r="B4301" s="63" t="n"/>
      <c r="C4301" s="64" t="n"/>
      <c r="D4301" s="167" t="n"/>
      <c r="E4301" s="63" t="n"/>
      <c r="F4301" s="63" t="n"/>
    </row>
    <row r="4302">
      <c r="A4302" s="166" t="n"/>
      <c r="B4302" s="63" t="n"/>
      <c r="C4302" s="64" t="n"/>
      <c r="D4302" s="167" t="n"/>
      <c r="E4302" s="63" t="n"/>
      <c r="F4302" s="63" t="n"/>
    </row>
    <row r="4303">
      <c r="A4303" s="166" t="n"/>
      <c r="B4303" s="63" t="n"/>
      <c r="C4303" s="64" t="n"/>
      <c r="D4303" s="167" t="n"/>
      <c r="E4303" s="63" t="n"/>
      <c r="F4303" s="63" t="n"/>
    </row>
    <row r="4304">
      <c r="A4304" s="166" t="n"/>
      <c r="B4304" s="63" t="n"/>
      <c r="C4304" s="64" t="n"/>
      <c r="D4304" s="167" t="n"/>
      <c r="E4304" s="63" t="n"/>
      <c r="F4304" s="63" t="n"/>
    </row>
    <row r="4305">
      <c r="A4305" s="166" t="n"/>
      <c r="B4305" s="63" t="n"/>
      <c r="C4305" s="64" t="n"/>
      <c r="D4305" s="167" t="n"/>
      <c r="E4305" s="63" t="n"/>
      <c r="F4305" s="63" t="n"/>
    </row>
    <row r="4306">
      <c r="A4306" s="166" t="n"/>
      <c r="B4306" s="63" t="n"/>
      <c r="C4306" s="64" t="n"/>
      <c r="D4306" s="167" t="n"/>
      <c r="E4306" s="63" t="n"/>
      <c r="F4306" s="63" t="n"/>
    </row>
    <row r="4307">
      <c r="A4307" s="166" t="n"/>
      <c r="B4307" s="63" t="n"/>
      <c r="C4307" s="64" t="n"/>
      <c r="D4307" s="167" t="n"/>
      <c r="E4307" s="63" t="n"/>
      <c r="F4307" s="63" t="n"/>
    </row>
    <row r="4308">
      <c r="A4308" s="166" t="n"/>
      <c r="B4308" s="63" t="n"/>
      <c r="C4308" s="64" t="n"/>
      <c r="D4308" s="167" t="n"/>
      <c r="E4308" s="63" t="n"/>
      <c r="F4308" s="63" t="n"/>
    </row>
    <row r="4309">
      <c r="A4309" s="166" t="n"/>
      <c r="B4309" s="63" t="n"/>
      <c r="C4309" s="64" t="n"/>
      <c r="D4309" s="167" t="n"/>
      <c r="E4309" s="63" t="n"/>
      <c r="F4309" s="63" t="n"/>
    </row>
    <row r="4310">
      <c r="A4310" s="166" t="n"/>
      <c r="B4310" s="63" t="n"/>
      <c r="C4310" s="64" t="n"/>
      <c r="D4310" s="167" t="n"/>
      <c r="E4310" s="63" t="n"/>
      <c r="F4310" s="63" t="n"/>
    </row>
    <row r="4311">
      <c r="A4311" s="166" t="n"/>
      <c r="B4311" s="63" t="n"/>
      <c r="C4311" s="64" t="n"/>
      <c r="D4311" s="167" t="n"/>
      <c r="E4311" s="63" t="n"/>
      <c r="F4311" s="63" t="n"/>
    </row>
    <row r="4312">
      <c r="A4312" s="166" t="n"/>
      <c r="B4312" s="63" t="n"/>
      <c r="C4312" s="64" t="n"/>
      <c r="D4312" s="167" t="n"/>
      <c r="E4312" s="63" t="n"/>
      <c r="F4312" s="63" t="n"/>
    </row>
    <row r="4313">
      <c r="A4313" s="166" t="n"/>
      <c r="B4313" s="63" t="n"/>
      <c r="C4313" s="64" t="n"/>
      <c r="D4313" s="167" t="n"/>
      <c r="E4313" s="63" t="n"/>
      <c r="F4313" s="63" t="n"/>
    </row>
    <row r="4314">
      <c r="A4314" s="166" t="n"/>
      <c r="B4314" s="63" t="n"/>
      <c r="C4314" s="64" t="n"/>
      <c r="D4314" s="167" t="n"/>
      <c r="E4314" s="63" t="n"/>
      <c r="F4314" s="63" t="n"/>
    </row>
    <row r="4315">
      <c r="A4315" s="166" t="n"/>
      <c r="B4315" s="63" t="n"/>
      <c r="C4315" s="64" t="n"/>
      <c r="D4315" s="167" t="n"/>
      <c r="E4315" s="63" t="n"/>
      <c r="F4315" s="63" t="n"/>
    </row>
    <row r="4316">
      <c r="A4316" s="166" t="n"/>
      <c r="B4316" s="63" t="n"/>
      <c r="C4316" s="64" t="n"/>
      <c r="D4316" s="167" t="n"/>
      <c r="E4316" s="63" t="n"/>
      <c r="F4316" s="63" t="n"/>
    </row>
    <row r="4317">
      <c r="A4317" s="166" t="n"/>
      <c r="B4317" s="63" t="n"/>
      <c r="C4317" s="64" t="n"/>
      <c r="D4317" s="167" t="n"/>
      <c r="E4317" s="63" t="n"/>
      <c r="F4317" s="63" t="n"/>
    </row>
    <row r="4318">
      <c r="A4318" s="166" t="n"/>
      <c r="B4318" s="63" t="n"/>
      <c r="C4318" s="64" t="n"/>
      <c r="D4318" s="167" t="n"/>
      <c r="E4318" s="63" t="n"/>
      <c r="F4318" s="63" t="n"/>
    </row>
    <row r="4319">
      <c r="A4319" s="166" t="n"/>
      <c r="B4319" s="63" t="n"/>
      <c r="C4319" s="64" t="n"/>
      <c r="D4319" s="167" t="n"/>
      <c r="E4319" s="63" t="n"/>
      <c r="F4319" s="63" t="n"/>
    </row>
    <row r="4320">
      <c r="A4320" s="166" t="n"/>
      <c r="B4320" s="63" t="n"/>
      <c r="C4320" s="64" t="n"/>
      <c r="D4320" s="167" t="n"/>
      <c r="E4320" s="63" t="n"/>
      <c r="F4320" s="63" t="n"/>
    </row>
    <row r="4321">
      <c r="A4321" s="166" t="n"/>
      <c r="B4321" s="63" t="n"/>
      <c r="C4321" s="64" t="n"/>
      <c r="D4321" s="167" t="n"/>
      <c r="E4321" s="63" t="n"/>
      <c r="F4321" s="63" t="n"/>
    </row>
    <row r="4322">
      <c r="A4322" s="166" t="n"/>
      <c r="B4322" s="63" t="n"/>
      <c r="C4322" s="64" t="n"/>
      <c r="D4322" s="167" t="n"/>
      <c r="E4322" s="63" t="n"/>
      <c r="F4322" s="63" t="n"/>
    </row>
    <row r="4323">
      <c r="A4323" s="166" t="n"/>
      <c r="B4323" s="63" t="n"/>
      <c r="C4323" s="64" t="n"/>
      <c r="D4323" s="167" t="n"/>
      <c r="E4323" s="63" t="n"/>
      <c r="F4323" s="63" t="n"/>
    </row>
    <row r="4324">
      <c r="A4324" s="166" t="n"/>
      <c r="B4324" s="63" t="n"/>
      <c r="C4324" s="64" t="n"/>
      <c r="D4324" s="167" t="n"/>
      <c r="E4324" s="63" t="n"/>
      <c r="F4324" s="63" t="n"/>
    </row>
    <row r="4325">
      <c r="A4325" s="166" t="n"/>
      <c r="B4325" s="63" t="n"/>
      <c r="C4325" s="64" t="n"/>
      <c r="D4325" s="167" t="n"/>
      <c r="E4325" s="63" t="n"/>
      <c r="F4325" s="63" t="n"/>
    </row>
    <row r="4326">
      <c r="A4326" s="166" t="n"/>
      <c r="B4326" s="63" t="n"/>
      <c r="C4326" s="64" t="n"/>
      <c r="D4326" s="167" t="n"/>
      <c r="E4326" s="63" t="n"/>
      <c r="F4326" s="63" t="n"/>
    </row>
    <row r="4327">
      <c r="A4327" s="166" t="n"/>
      <c r="B4327" s="63" t="n"/>
      <c r="C4327" s="64" t="n"/>
      <c r="D4327" s="167" t="n"/>
      <c r="E4327" s="63" t="n"/>
      <c r="F4327" s="63" t="n"/>
    </row>
    <row r="4328">
      <c r="A4328" s="166" t="n"/>
      <c r="B4328" s="63" t="n"/>
      <c r="C4328" s="64" t="n"/>
      <c r="D4328" s="167" t="n"/>
      <c r="E4328" s="63" t="n"/>
      <c r="F4328" s="63" t="n"/>
    </row>
    <row r="4329">
      <c r="A4329" s="166" t="n"/>
      <c r="B4329" s="63" t="n"/>
      <c r="C4329" s="64" t="n"/>
      <c r="D4329" s="167" t="n"/>
      <c r="E4329" s="63" t="n"/>
      <c r="F4329" s="63" t="n"/>
    </row>
    <row r="4330">
      <c r="A4330" s="166" t="n"/>
      <c r="B4330" s="63" t="n"/>
      <c r="C4330" s="64" t="n"/>
      <c r="D4330" s="167" t="n"/>
      <c r="E4330" s="63" t="n"/>
      <c r="F4330" s="63" t="n"/>
    </row>
    <row r="4331">
      <c r="A4331" s="166" t="n"/>
      <c r="B4331" s="63" t="n"/>
      <c r="C4331" s="64" t="n"/>
      <c r="D4331" s="167" t="n"/>
      <c r="E4331" s="63" t="n"/>
      <c r="F4331" s="63" t="n"/>
    </row>
    <row r="4332">
      <c r="A4332" s="166" t="n"/>
      <c r="B4332" s="63" t="n"/>
      <c r="C4332" s="64" t="n"/>
      <c r="D4332" s="167" t="n"/>
      <c r="E4332" s="63" t="n"/>
      <c r="F4332" s="63" t="n"/>
    </row>
    <row r="4333">
      <c r="A4333" s="166" t="n"/>
      <c r="B4333" s="63" t="n"/>
      <c r="C4333" s="64" t="n"/>
      <c r="D4333" s="167" t="n"/>
      <c r="E4333" s="63" t="n"/>
      <c r="F4333" s="63" t="n"/>
    </row>
    <row r="4334">
      <c r="A4334" s="166" t="n"/>
      <c r="B4334" s="63" t="n"/>
      <c r="C4334" s="64" t="n"/>
      <c r="D4334" s="167" t="n"/>
      <c r="E4334" s="63" t="n"/>
      <c r="F4334" s="63" t="n"/>
    </row>
    <row r="4335">
      <c r="A4335" s="166" t="n"/>
      <c r="B4335" s="63" t="n"/>
      <c r="C4335" s="64" t="n"/>
      <c r="D4335" s="167" t="n"/>
      <c r="E4335" s="63" t="n"/>
      <c r="F4335" s="63" t="n"/>
    </row>
    <row r="4336">
      <c r="A4336" s="166" t="n"/>
      <c r="B4336" s="63" t="n"/>
      <c r="C4336" s="64" t="n"/>
      <c r="D4336" s="167" t="n"/>
      <c r="E4336" s="63" t="n"/>
      <c r="F4336" s="63" t="n"/>
    </row>
    <row r="4337">
      <c r="A4337" s="166" t="n"/>
      <c r="B4337" s="63" t="n"/>
      <c r="C4337" s="64" t="n"/>
      <c r="D4337" s="167" t="n"/>
      <c r="E4337" s="63" t="n"/>
      <c r="F4337" s="63" t="n"/>
    </row>
    <row r="4338">
      <c r="A4338" s="166" t="n"/>
      <c r="B4338" s="63" t="n"/>
      <c r="C4338" s="64" t="n"/>
      <c r="D4338" s="167" t="n"/>
      <c r="E4338" s="63" t="n"/>
      <c r="F4338" s="63" t="n"/>
    </row>
    <row r="4339">
      <c r="A4339" s="166" t="n"/>
      <c r="B4339" s="63" t="n"/>
      <c r="C4339" s="64" t="n"/>
      <c r="D4339" s="167" t="n"/>
      <c r="E4339" s="63" t="n"/>
      <c r="F4339" s="63" t="n"/>
    </row>
    <row r="4340">
      <c r="A4340" s="166" t="n"/>
      <c r="B4340" s="63" t="n"/>
      <c r="C4340" s="64" t="n"/>
      <c r="D4340" s="167" t="n"/>
      <c r="E4340" s="63" t="n"/>
      <c r="F4340" s="63" t="n"/>
    </row>
    <row r="4341">
      <c r="A4341" s="166" t="n"/>
      <c r="B4341" s="63" t="n"/>
      <c r="C4341" s="64" t="n"/>
      <c r="D4341" s="167" t="n"/>
      <c r="E4341" s="63" t="n"/>
      <c r="F4341" s="63" t="n"/>
    </row>
    <row r="4342">
      <c r="A4342" s="166" t="n"/>
      <c r="B4342" s="63" t="n"/>
      <c r="C4342" s="64" t="n"/>
      <c r="D4342" s="167" t="n"/>
      <c r="E4342" s="63" t="n"/>
      <c r="F4342" s="63" t="n"/>
    </row>
    <row r="4343">
      <c r="A4343" s="166" t="n"/>
      <c r="B4343" s="63" t="n"/>
      <c r="C4343" s="64" t="n"/>
      <c r="D4343" s="167" t="n"/>
      <c r="E4343" s="63" t="n"/>
      <c r="F4343" s="63" t="n"/>
    </row>
    <row r="4344">
      <c r="A4344" s="166" t="n"/>
      <c r="B4344" s="63" t="n"/>
      <c r="C4344" s="64" t="n"/>
      <c r="D4344" s="167" t="n"/>
      <c r="E4344" s="63" t="n"/>
      <c r="F4344" s="63" t="n"/>
    </row>
    <row r="4345">
      <c r="A4345" s="166" t="n"/>
      <c r="B4345" s="63" t="n"/>
      <c r="C4345" s="64" t="n"/>
      <c r="D4345" s="167" t="n"/>
      <c r="E4345" s="63" t="n"/>
      <c r="F4345" s="63" t="n"/>
    </row>
    <row r="4346">
      <c r="A4346" s="166" t="n"/>
      <c r="B4346" s="63" t="n"/>
      <c r="C4346" s="64" t="n"/>
      <c r="D4346" s="167" t="n"/>
      <c r="E4346" s="63" t="n"/>
      <c r="F4346" s="63" t="n"/>
    </row>
    <row r="4347">
      <c r="A4347" s="166" t="n"/>
      <c r="B4347" s="63" t="n"/>
      <c r="C4347" s="64" t="n"/>
      <c r="D4347" s="167" t="n"/>
      <c r="E4347" s="63" t="n"/>
      <c r="F4347" s="63" t="n"/>
    </row>
    <row r="4348">
      <c r="A4348" s="166" t="n"/>
      <c r="B4348" s="63" t="n"/>
      <c r="C4348" s="64" t="n"/>
      <c r="D4348" s="167" t="n"/>
      <c r="E4348" s="63" t="n"/>
      <c r="F4348" s="63" t="n"/>
    </row>
    <row r="4349">
      <c r="A4349" s="166" t="n"/>
      <c r="B4349" s="63" t="n"/>
      <c r="C4349" s="64" t="n"/>
      <c r="D4349" s="167" t="n"/>
      <c r="E4349" s="63" t="n"/>
      <c r="F4349" s="63" t="n"/>
    </row>
    <row r="4350">
      <c r="A4350" s="166" t="n"/>
      <c r="B4350" s="63" t="n"/>
      <c r="C4350" s="64" t="n"/>
      <c r="D4350" s="167" t="n"/>
      <c r="E4350" s="63" t="n"/>
      <c r="F4350" s="63" t="n"/>
    </row>
    <row r="4351">
      <c r="A4351" s="166" t="n"/>
      <c r="B4351" s="63" t="n"/>
      <c r="C4351" s="64" t="n"/>
      <c r="D4351" s="167" t="n"/>
      <c r="E4351" s="63" t="n"/>
      <c r="F4351" s="63" t="n"/>
    </row>
    <row r="4352">
      <c r="A4352" s="166" t="n"/>
      <c r="B4352" s="63" t="n"/>
      <c r="C4352" s="64" t="n"/>
      <c r="D4352" s="167" t="n"/>
      <c r="E4352" s="63" t="n"/>
      <c r="F4352" s="63" t="n"/>
    </row>
    <row r="4353">
      <c r="A4353" s="166" t="n"/>
      <c r="B4353" s="63" t="n"/>
      <c r="C4353" s="64" t="n"/>
      <c r="D4353" s="167" t="n"/>
      <c r="E4353" s="63" t="n"/>
      <c r="F4353" s="63" t="n"/>
    </row>
    <row r="4354">
      <c r="A4354" s="166" t="n"/>
      <c r="B4354" s="63" t="n"/>
      <c r="C4354" s="64" t="n"/>
      <c r="D4354" s="167" t="n"/>
      <c r="E4354" s="63" t="n"/>
      <c r="F4354" s="63" t="n"/>
    </row>
    <row r="4355">
      <c r="A4355" s="166" t="n"/>
      <c r="B4355" s="63" t="n"/>
      <c r="C4355" s="64" t="n"/>
      <c r="D4355" s="167" t="n"/>
      <c r="E4355" s="63" t="n"/>
      <c r="F4355" s="63" t="n"/>
    </row>
    <row r="4356">
      <c r="A4356" s="166" t="n"/>
      <c r="B4356" s="63" t="n"/>
      <c r="C4356" s="64" t="n"/>
      <c r="D4356" s="167" t="n"/>
      <c r="E4356" s="63" t="n"/>
      <c r="F4356" s="63" t="n"/>
    </row>
    <row r="4357">
      <c r="A4357" s="166" t="n"/>
      <c r="B4357" s="63" t="n"/>
      <c r="C4357" s="64" t="n"/>
      <c r="D4357" s="167" t="n"/>
      <c r="E4357" s="63" t="n"/>
      <c r="F4357" s="63" t="n"/>
    </row>
    <row r="4358">
      <c r="A4358" s="166" t="n"/>
      <c r="B4358" s="63" t="n"/>
      <c r="C4358" s="64" t="n"/>
      <c r="D4358" s="167" t="n"/>
      <c r="E4358" s="63" t="n"/>
      <c r="F4358" s="63" t="n"/>
    </row>
    <row r="4359">
      <c r="A4359" s="166" t="n"/>
      <c r="B4359" s="63" t="n"/>
      <c r="C4359" s="64" t="n"/>
      <c r="D4359" s="167" t="n"/>
      <c r="E4359" s="63" t="n"/>
      <c r="F4359" s="63" t="n"/>
    </row>
    <row r="4360">
      <c r="A4360" s="166" t="n"/>
      <c r="B4360" s="63" t="n"/>
      <c r="C4360" s="64" t="n"/>
      <c r="D4360" s="167" t="n"/>
      <c r="E4360" s="63" t="n"/>
      <c r="F4360" s="63" t="n"/>
    </row>
    <row r="4361">
      <c r="A4361" s="166" t="n"/>
      <c r="B4361" s="63" t="n"/>
      <c r="C4361" s="64" t="n"/>
      <c r="D4361" s="167" t="n"/>
      <c r="E4361" s="63" t="n"/>
      <c r="F4361" s="63" t="n"/>
    </row>
    <row r="4362">
      <c r="A4362" s="166" t="n"/>
      <c r="B4362" s="63" t="n"/>
      <c r="C4362" s="64" t="n"/>
      <c r="D4362" s="167" t="n"/>
      <c r="E4362" s="63" t="n"/>
      <c r="F4362" s="63" t="n"/>
    </row>
    <row r="4363">
      <c r="A4363" s="166" t="n"/>
      <c r="B4363" s="63" t="n"/>
      <c r="C4363" s="64" t="n"/>
      <c r="D4363" s="167" t="n"/>
      <c r="E4363" s="63" t="n"/>
      <c r="F4363" s="63" t="n"/>
    </row>
    <row r="4364">
      <c r="A4364" s="166" t="n"/>
      <c r="B4364" s="63" t="n"/>
      <c r="C4364" s="64" t="n"/>
      <c r="D4364" s="167" t="n"/>
      <c r="E4364" s="63" t="n"/>
      <c r="F4364" s="63" t="n"/>
    </row>
    <row r="4365">
      <c r="A4365" s="166" t="n"/>
      <c r="B4365" s="63" t="n"/>
      <c r="C4365" s="64" t="n"/>
      <c r="D4365" s="167" t="n"/>
      <c r="E4365" s="63" t="n"/>
      <c r="F4365" s="63" t="n"/>
    </row>
    <row r="4366">
      <c r="A4366" s="166" t="n"/>
      <c r="B4366" s="63" t="n"/>
      <c r="C4366" s="64" t="n"/>
      <c r="D4366" s="167" t="n"/>
      <c r="E4366" s="63" t="n"/>
      <c r="F4366" s="63" t="n"/>
    </row>
    <row r="4367">
      <c r="A4367" s="166" t="n"/>
      <c r="B4367" s="63" t="n"/>
      <c r="C4367" s="64" t="n"/>
      <c r="D4367" s="167" t="n"/>
      <c r="E4367" s="63" t="n"/>
      <c r="F4367" s="63" t="n"/>
    </row>
    <row r="4368">
      <c r="A4368" s="166" t="n"/>
      <c r="B4368" s="63" t="n"/>
      <c r="C4368" s="64" t="n"/>
      <c r="D4368" s="167" t="n"/>
      <c r="E4368" s="63" t="n"/>
      <c r="F4368" s="63" t="n"/>
    </row>
    <row r="4369">
      <c r="A4369" s="166" t="n"/>
      <c r="B4369" s="63" t="n"/>
      <c r="C4369" s="64" t="n"/>
      <c r="D4369" s="167" t="n"/>
      <c r="E4369" s="63" t="n"/>
      <c r="F4369" s="63" t="n"/>
    </row>
    <row r="4370">
      <c r="A4370" s="166" t="n"/>
      <c r="B4370" s="63" t="n"/>
      <c r="C4370" s="64" t="n"/>
      <c r="D4370" s="167" t="n"/>
      <c r="E4370" s="63" t="n"/>
      <c r="F4370" s="63" t="n"/>
    </row>
    <row r="4371">
      <c r="A4371" s="166" t="n"/>
      <c r="B4371" s="63" t="n"/>
      <c r="C4371" s="64" t="n"/>
      <c r="D4371" s="167" t="n"/>
      <c r="E4371" s="63" t="n"/>
      <c r="F4371" s="63" t="n"/>
    </row>
    <row r="4372">
      <c r="A4372" s="166" t="n"/>
      <c r="B4372" s="63" t="n"/>
      <c r="C4372" s="64" t="n"/>
      <c r="D4372" s="167" t="n"/>
      <c r="E4372" s="63" t="n"/>
      <c r="F4372" s="63" t="n"/>
    </row>
    <row r="4373">
      <c r="A4373" s="166" t="n"/>
      <c r="B4373" s="63" t="n"/>
      <c r="C4373" s="64" t="n"/>
      <c r="D4373" s="167" t="n"/>
      <c r="E4373" s="63" t="n"/>
      <c r="F4373" s="63" t="n"/>
    </row>
    <row r="4374">
      <c r="A4374" s="166" t="n"/>
      <c r="B4374" s="63" t="n"/>
      <c r="C4374" s="64" t="n"/>
      <c r="D4374" s="167" t="n"/>
      <c r="E4374" s="63" t="n"/>
      <c r="F4374" s="63" t="n"/>
    </row>
    <row r="4375">
      <c r="A4375" s="166" t="n"/>
      <c r="B4375" s="63" t="n"/>
      <c r="C4375" s="64" t="n"/>
      <c r="D4375" s="167" t="n"/>
      <c r="E4375" s="63" t="n"/>
      <c r="F4375" s="63" t="n"/>
    </row>
    <row r="4376">
      <c r="A4376" s="166" t="n"/>
      <c r="B4376" s="63" t="n"/>
      <c r="C4376" s="64" t="n"/>
      <c r="D4376" s="167" t="n"/>
      <c r="E4376" s="63" t="n"/>
      <c r="F4376" s="63" t="n"/>
    </row>
    <row r="4377">
      <c r="A4377" s="166" t="n"/>
      <c r="B4377" s="63" t="n"/>
      <c r="C4377" s="64" t="n"/>
      <c r="D4377" s="167" t="n"/>
      <c r="E4377" s="63" t="n"/>
      <c r="F4377" s="63" t="n"/>
    </row>
    <row r="4378">
      <c r="A4378" s="166" t="n"/>
      <c r="B4378" s="63" t="n"/>
      <c r="C4378" s="64" t="n"/>
      <c r="D4378" s="167" t="n"/>
      <c r="E4378" s="63" t="n"/>
      <c r="F4378" s="63" t="n"/>
    </row>
    <row r="4379">
      <c r="A4379" s="166" t="n"/>
      <c r="B4379" s="63" t="n"/>
      <c r="C4379" s="64" t="n"/>
      <c r="D4379" s="167" t="n"/>
      <c r="E4379" s="63" t="n"/>
      <c r="F4379" s="63" t="n"/>
    </row>
    <row r="4380">
      <c r="A4380" s="166" t="n"/>
      <c r="B4380" s="63" t="n"/>
      <c r="C4380" s="64" t="n"/>
      <c r="D4380" s="167" t="n"/>
      <c r="E4380" s="63" t="n"/>
      <c r="F4380" s="63" t="n"/>
    </row>
    <row r="4381">
      <c r="A4381" s="166" t="n"/>
      <c r="B4381" s="63" t="n"/>
      <c r="C4381" s="64" t="n"/>
      <c r="D4381" s="167" t="n"/>
      <c r="E4381" s="63" t="n"/>
      <c r="F4381" s="63" t="n"/>
    </row>
    <row r="4382">
      <c r="A4382" s="166" t="n"/>
      <c r="B4382" s="63" t="n"/>
      <c r="C4382" s="64" t="n"/>
      <c r="D4382" s="167" t="n"/>
      <c r="E4382" s="63" t="n"/>
      <c r="F4382" s="63" t="n"/>
    </row>
    <row r="4383">
      <c r="A4383" s="166" t="n"/>
      <c r="B4383" s="63" t="n"/>
      <c r="C4383" s="64" t="n"/>
      <c r="D4383" s="167" t="n"/>
      <c r="E4383" s="63" t="n"/>
      <c r="F4383" s="63" t="n"/>
    </row>
    <row r="4384">
      <c r="A4384" s="166" t="n"/>
      <c r="B4384" s="63" t="n"/>
      <c r="C4384" s="64" t="n"/>
      <c r="D4384" s="167" t="n"/>
      <c r="E4384" s="63" t="n"/>
      <c r="F4384" s="63" t="n"/>
    </row>
    <row r="4385">
      <c r="A4385" s="166" t="n"/>
      <c r="B4385" s="63" t="n"/>
      <c r="C4385" s="64" t="n"/>
      <c r="D4385" s="167" t="n"/>
      <c r="E4385" s="63" t="n"/>
      <c r="F4385" s="63" t="n"/>
    </row>
    <row r="4386">
      <c r="A4386" s="166" t="n"/>
      <c r="B4386" s="63" t="n"/>
      <c r="C4386" s="64" t="n"/>
      <c r="D4386" s="167" t="n"/>
      <c r="E4386" s="63" t="n"/>
      <c r="F4386" s="63" t="n"/>
    </row>
    <row r="4387">
      <c r="A4387" s="166" t="n"/>
      <c r="B4387" s="63" t="n"/>
      <c r="C4387" s="64" t="n"/>
      <c r="D4387" s="167" t="n"/>
      <c r="E4387" s="63" t="n"/>
      <c r="F4387" s="63" t="n"/>
    </row>
    <row r="4388">
      <c r="A4388" s="166" t="n"/>
      <c r="B4388" s="63" t="n"/>
      <c r="C4388" s="64" t="n"/>
      <c r="D4388" s="167" t="n"/>
      <c r="E4388" s="63" t="n"/>
      <c r="F4388" s="63" t="n"/>
    </row>
    <row r="4389">
      <c r="A4389" s="166" t="n"/>
      <c r="B4389" s="63" t="n"/>
      <c r="C4389" s="64" t="n"/>
      <c r="D4389" s="167" t="n"/>
      <c r="E4389" s="63" t="n"/>
      <c r="F4389" s="63" t="n"/>
    </row>
    <row r="4390">
      <c r="A4390" s="166" t="n"/>
      <c r="B4390" s="63" t="n"/>
      <c r="C4390" s="64" t="n"/>
      <c r="D4390" s="167" t="n"/>
      <c r="E4390" s="63" t="n"/>
      <c r="F4390" s="63" t="n"/>
    </row>
    <row r="4391">
      <c r="A4391" s="166" t="n"/>
      <c r="B4391" s="63" t="n"/>
      <c r="C4391" s="64" t="n"/>
      <c r="D4391" s="167" t="n"/>
      <c r="E4391" s="63" t="n"/>
      <c r="F4391" s="63" t="n"/>
    </row>
    <row r="4392">
      <c r="A4392" s="166" t="n"/>
      <c r="B4392" s="63" t="n"/>
      <c r="C4392" s="64" t="n"/>
      <c r="D4392" s="167" t="n"/>
      <c r="E4392" s="63" t="n"/>
      <c r="F4392" s="63" t="n"/>
    </row>
    <row r="4393">
      <c r="A4393" s="166" t="n"/>
      <c r="B4393" s="63" t="n"/>
      <c r="C4393" s="64" t="n"/>
      <c r="D4393" s="167" t="n"/>
      <c r="E4393" s="63" t="n"/>
      <c r="F4393" s="63" t="n"/>
    </row>
    <row r="4394">
      <c r="A4394" s="166" t="n"/>
      <c r="B4394" s="63" t="n"/>
      <c r="C4394" s="64" t="n"/>
      <c r="D4394" s="167" t="n"/>
      <c r="E4394" s="63" t="n"/>
      <c r="F4394" s="63" t="n"/>
    </row>
    <row r="4395">
      <c r="A4395" s="166" t="n"/>
      <c r="B4395" s="63" t="n"/>
      <c r="C4395" s="64" t="n"/>
      <c r="D4395" s="167" t="n"/>
      <c r="E4395" s="63" t="n"/>
      <c r="F4395" s="63" t="n"/>
    </row>
    <row r="4396">
      <c r="A4396" s="166" t="n"/>
      <c r="B4396" s="63" t="n"/>
      <c r="C4396" s="64" t="n"/>
      <c r="D4396" s="167" t="n"/>
      <c r="E4396" s="63" t="n"/>
      <c r="F4396" s="63" t="n"/>
    </row>
    <row r="4397">
      <c r="A4397" s="166" t="n"/>
      <c r="B4397" s="63" t="n"/>
      <c r="C4397" s="64" t="n"/>
      <c r="D4397" s="167" t="n"/>
      <c r="E4397" s="63" t="n"/>
      <c r="F4397" s="63" t="n"/>
    </row>
    <row r="4398">
      <c r="A4398" s="166" t="n"/>
      <c r="B4398" s="63" t="n"/>
      <c r="C4398" s="64" t="n"/>
      <c r="D4398" s="167" t="n"/>
      <c r="E4398" s="63" t="n"/>
      <c r="F4398" s="63" t="n"/>
    </row>
    <row r="4399">
      <c r="A4399" s="166" t="n"/>
      <c r="B4399" s="63" t="n"/>
      <c r="C4399" s="64" t="n"/>
      <c r="D4399" s="167" t="n"/>
      <c r="E4399" s="63" t="n"/>
      <c r="F4399" s="63" t="n"/>
    </row>
    <row r="4400">
      <c r="A4400" s="166" t="n"/>
      <c r="B4400" s="63" t="n"/>
      <c r="C4400" s="64" t="n"/>
      <c r="D4400" s="167" t="n"/>
      <c r="E4400" s="63" t="n"/>
      <c r="F4400" s="63" t="n"/>
    </row>
    <row r="4401">
      <c r="A4401" s="166" t="n"/>
      <c r="B4401" s="63" t="n"/>
      <c r="C4401" s="64" t="n"/>
      <c r="D4401" s="167" t="n"/>
      <c r="E4401" s="63" t="n"/>
      <c r="F4401" s="63" t="n"/>
    </row>
    <row r="4402">
      <c r="A4402" s="166" t="n"/>
      <c r="B4402" s="63" t="n"/>
      <c r="C4402" s="64" t="n"/>
      <c r="D4402" s="167" t="n"/>
      <c r="E4402" s="63" t="n"/>
      <c r="F4402" s="63" t="n"/>
    </row>
    <row r="4403">
      <c r="A4403" s="166" t="n"/>
      <c r="B4403" s="63" t="n"/>
      <c r="C4403" s="64" t="n"/>
      <c r="D4403" s="167" t="n"/>
      <c r="E4403" s="63" t="n"/>
      <c r="F4403" s="63" t="n"/>
    </row>
    <row r="4404">
      <c r="A4404" s="166" t="n"/>
      <c r="B4404" s="63" t="n"/>
      <c r="C4404" s="64" t="n"/>
      <c r="D4404" s="167" t="n"/>
      <c r="E4404" s="63" t="n"/>
      <c r="F4404" s="63" t="n"/>
    </row>
    <row r="4405">
      <c r="A4405" s="166" t="n"/>
      <c r="B4405" s="63" t="n"/>
      <c r="C4405" s="64" t="n"/>
      <c r="D4405" s="167" t="n"/>
      <c r="E4405" s="63" t="n"/>
      <c r="F4405" s="63" t="n"/>
    </row>
    <row r="4406">
      <c r="A4406" s="166" t="n"/>
      <c r="B4406" s="63" t="n"/>
      <c r="C4406" s="64" t="n"/>
      <c r="D4406" s="167" t="n"/>
      <c r="E4406" s="63" t="n"/>
      <c r="F4406" s="63" t="n"/>
    </row>
    <row r="4407">
      <c r="A4407" s="166" t="n"/>
      <c r="B4407" s="63" t="n"/>
      <c r="C4407" s="64" t="n"/>
      <c r="D4407" s="167" t="n"/>
      <c r="E4407" s="63" t="n"/>
      <c r="F4407" s="63" t="n"/>
    </row>
    <row r="4408">
      <c r="A4408" s="166" t="n"/>
      <c r="B4408" s="63" t="n"/>
      <c r="C4408" s="64" t="n"/>
      <c r="D4408" s="167" t="n"/>
      <c r="E4408" s="63" t="n"/>
      <c r="F4408" s="63" t="n"/>
    </row>
    <row r="4409">
      <c r="A4409" s="166" t="n"/>
      <c r="B4409" s="63" t="n"/>
      <c r="C4409" s="64" t="n"/>
      <c r="D4409" s="167" t="n"/>
      <c r="E4409" s="63" t="n"/>
      <c r="F4409" s="63" t="n"/>
    </row>
    <row r="4410">
      <c r="A4410" s="166" t="n"/>
      <c r="B4410" s="63" t="n"/>
      <c r="C4410" s="64" t="n"/>
      <c r="D4410" s="167" t="n"/>
      <c r="E4410" s="63" t="n"/>
      <c r="F4410" s="63" t="n"/>
    </row>
    <row r="4411">
      <c r="A4411" s="166" t="n"/>
      <c r="B4411" s="63" t="n"/>
      <c r="C4411" s="64" t="n"/>
      <c r="D4411" s="167" t="n"/>
      <c r="E4411" s="63" t="n"/>
      <c r="F4411" s="63" t="n"/>
    </row>
    <row r="4412">
      <c r="A4412" s="166" t="n"/>
      <c r="B4412" s="63" t="n"/>
      <c r="C4412" s="64" t="n"/>
      <c r="D4412" s="167" t="n"/>
      <c r="E4412" s="63" t="n"/>
      <c r="F4412" s="63" t="n"/>
    </row>
    <row r="4413">
      <c r="A4413" s="166" t="n"/>
      <c r="B4413" s="63" t="n"/>
      <c r="C4413" s="64" t="n"/>
      <c r="D4413" s="167" t="n"/>
      <c r="E4413" s="63" t="n"/>
      <c r="F4413" s="63" t="n"/>
    </row>
    <row r="4414">
      <c r="A4414" s="166" t="n"/>
      <c r="B4414" s="63" t="n"/>
      <c r="C4414" s="64" t="n"/>
      <c r="D4414" s="167" t="n"/>
      <c r="E4414" s="63" t="n"/>
      <c r="F4414" s="63" t="n"/>
    </row>
    <row r="4415">
      <c r="A4415" s="166" t="n"/>
      <c r="B4415" s="63" t="n"/>
      <c r="C4415" s="64" t="n"/>
      <c r="D4415" s="167" t="n"/>
      <c r="E4415" s="63" t="n"/>
      <c r="F4415" s="63" t="n"/>
    </row>
    <row r="4416">
      <c r="A4416" s="166" t="n"/>
      <c r="B4416" s="63" t="n"/>
      <c r="C4416" s="64" t="n"/>
      <c r="D4416" s="167" t="n"/>
      <c r="E4416" s="63" t="n"/>
      <c r="F4416" s="63" t="n"/>
    </row>
    <row r="4417">
      <c r="A4417" s="166" t="n"/>
      <c r="B4417" s="63" t="n"/>
      <c r="C4417" s="64" t="n"/>
      <c r="D4417" s="167" t="n"/>
      <c r="E4417" s="63" t="n"/>
      <c r="F4417" s="63" t="n"/>
    </row>
    <row r="4418">
      <c r="A4418" s="166" t="n"/>
      <c r="B4418" s="63" t="n"/>
      <c r="C4418" s="64" t="n"/>
      <c r="D4418" s="167" t="n"/>
      <c r="E4418" s="63" t="n"/>
      <c r="F4418" s="63" t="n"/>
    </row>
    <row r="4419">
      <c r="A4419" s="166" t="n"/>
      <c r="B4419" s="63" t="n"/>
      <c r="C4419" s="64" t="n"/>
      <c r="D4419" s="167" t="n"/>
      <c r="E4419" s="63" t="n"/>
      <c r="F4419" s="63" t="n"/>
    </row>
    <row r="4420">
      <c r="A4420" s="166" t="n"/>
      <c r="B4420" s="63" t="n"/>
      <c r="C4420" s="64" t="n"/>
      <c r="D4420" s="167" t="n"/>
      <c r="E4420" s="63" t="n"/>
      <c r="F4420" s="63" t="n"/>
    </row>
    <row r="4421">
      <c r="A4421" s="166" t="n"/>
      <c r="B4421" s="63" t="n"/>
      <c r="C4421" s="64" t="n"/>
      <c r="D4421" s="167" t="n"/>
      <c r="E4421" s="63" t="n"/>
      <c r="F4421" s="63" t="n"/>
    </row>
    <row r="4422">
      <c r="A4422" s="166" t="n"/>
      <c r="B4422" s="63" t="n"/>
      <c r="C4422" s="64" t="n"/>
      <c r="D4422" s="167" t="n"/>
      <c r="E4422" s="63" t="n"/>
      <c r="F4422" s="63" t="n"/>
    </row>
    <row r="4423">
      <c r="A4423" s="166" t="n"/>
      <c r="B4423" s="63" t="n"/>
      <c r="C4423" s="64" t="n"/>
      <c r="D4423" s="167" t="n"/>
      <c r="E4423" s="63" t="n"/>
      <c r="F4423" s="63" t="n"/>
    </row>
    <row r="4424">
      <c r="A4424" s="166" t="n"/>
      <c r="B4424" s="63" t="n"/>
      <c r="C4424" s="64" t="n"/>
      <c r="D4424" s="167" t="n"/>
      <c r="E4424" s="63" t="n"/>
      <c r="F4424" s="63" t="n"/>
    </row>
    <row r="4425">
      <c r="A4425" s="166" t="n"/>
      <c r="B4425" s="63" t="n"/>
      <c r="C4425" s="64" t="n"/>
      <c r="D4425" s="167" t="n"/>
      <c r="E4425" s="63" t="n"/>
      <c r="F4425" s="63" t="n"/>
    </row>
    <row r="4426">
      <c r="A4426" s="166" t="n"/>
      <c r="B4426" s="63" t="n"/>
      <c r="C4426" s="64" t="n"/>
      <c r="D4426" s="167" t="n"/>
      <c r="E4426" s="63" t="n"/>
      <c r="F4426" s="63" t="n"/>
    </row>
    <row r="4427">
      <c r="A4427" s="166" t="n"/>
      <c r="B4427" s="63" t="n"/>
      <c r="C4427" s="64" t="n"/>
      <c r="D4427" s="167" t="n"/>
      <c r="E4427" s="63" t="n"/>
      <c r="F4427" s="63" t="n"/>
    </row>
    <row r="4428">
      <c r="A4428" s="166" t="n"/>
      <c r="B4428" s="63" t="n"/>
      <c r="C4428" s="64" t="n"/>
      <c r="D4428" s="167" t="n"/>
      <c r="E4428" s="63" t="n"/>
      <c r="F4428" s="63" t="n"/>
    </row>
    <row r="4429">
      <c r="A4429" s="166" t="n"/>
      <c r="B4429" s="63" t="n"/>
      <c r="C4429" s="64" t="n"/>
      <c r="D4429" s="167" t="n"/>
      <c r="E4429" s="63" t="n"/>
      <c r="F4429" s="63" t="n"/>
    </row>
    <row r="4430">
      <c r="A4430" s="166" t="n"/>
      <c r="B4430" s="63" t="n"/>
      <c r="C4430" s="64" t="n"/>
      <c r="D4430" s="167" t="n"/>
      <c r="E4430" s="63" t="n"/>
      <c r="F4430" s="63" t="n"/>
    </row>
    <row r="4431">
      <c r="A4431" s="166" t="n"/>
      <c r="B4431" s="63" t="n"/>
      <c r="C4431" s="64" t="n"/>
      <c r="D4431" s="167" t="n"/>
      <c r="E4431" s="63" t="n"/>
      <c r="F4431" s="63" t="n"/>
    </row>
    <row r="4432">
      <c r="A4432" s="166" t="n"/>
      <c r="B4432" s="63" t="n"/>
      <c r="C4432" s="64" t="n"/>
      <c r="D4432" s="167" t="n"/>
      <c r="E4432" s="63" t="n"/>
      <c r="F4432" s="63" t="n"/>
    </row>
    <row r="4433">
      <c r="A4433" s="166" t="n"/>
      <c r="B4433" s="63" t="n"/>
      <c r="C4433" s="64" t="n"/>
      <c r="D4433" s="167" t="n"/>
      <c r="E4433" s="63" t="n"/>
      <c r="F4433" s="63" t="n"/>
    </row>
    <row r="4434">
      <c r="A4434" s="166" t="n"/>
      <c r="B4434" s="63" t="n"/>
      <c r="C4434" s="64" t="n"/>
      <c r="D4434" s="167" t="n"/>
      <c r="E4434" s="63" t="n"/>
      <c r="F4434" s="63" t="n"/>
    </row>
    <row r="4435">
      <c r="A4435" s="166" t="n"/>
      <c r="B4435" s="63" t="n"/>
      <c r="C4435" s="64" t="n"/>
      <c r="D4435" s="167" t="n"/>
      <c r="E4435" s="63" t="n"/>
      <c r="F4435" s="63" t="n"/>
    </row>
    <row r="4436">
      <c r="A4436" s="166" t="n"/>
      <c r="B4436" s="63" t="n"/>
      <c r="C4436" s="64" t="n"/>
      <c r="D4436" s="167" t="n"/>
      <c r="E4436" s="63" t="n"/>
      <c r="F4436" s="63" t="n"/>
    </row>
    <row r="4437">
      <c r="A4437" s="166" t="n"/>
      <c r="B4437" s="63" t="n"/>
      <c r="C4437" s="64" t="n"/>
      <c r="D4437" s="167" t="n"/>
      <c r="E4437" s="63" t="n"/>
      <c r="F4437" s="63" t="n"/>
    </row>
    <row r="4438">
      <c r="A4438" s="166" t="n"/>
      <c r="B4438" s="63" t="n"/>
      <c r="C4438" s="64" t="n"/>
      <c r="D4438" s="167" t="n"/>
      <c r="E4438" s="63" t="n"/>
      <c r="F4438" s="63" t="n"/>
    </row>
    <row r="4439">
      <c r="A4439" s="166" t="n"/>
      <c r="B4439" s="63" t="n"/>
      <c r="C4439" s="64" t="n"/>
      <c r="D4439" s="167" t="n"/>
      <c r="E4439" s="63" t="n"/>
      <c r="F4439" s="63" t="n"/>
    </row>
    <row r="4440">
      <c r="A4440" s="166" t="n"/>
      <c r="B4440" s="63" t="n"/>
      <c r="C4440" s="64" t="n"/>
      <c r="D4440" s="167" t="n"/>
      <c r="E4440" s="63" t="n"/>
      <c r="F4440" s="63" t="n"/>
    </row>
    <row r="4441">
      <c r="A4441" s="166" t="n"/>
      <c r="B4441" s="63" t="n"/>
      <c r="C4441" s="64" t="n"/>
      <c r="D4441" s="167" t="n"/>
      <c r="E4441" s="63" t="n"/>
      <c r="F4441" s="63" t="n"/>
    </row>
    <row r="4442">
      <c r="A4442" s="166" t="n"/>
      <c r="B4442" s="63" t="n"/>
      <c r="C4442" s="64" t="n"/>
      <c r="D4442" s="167" t="n"/>
      <c r="E4442" s="63" t="n"/>
      <c r="F4442" s="63" t="n"/>
    </row>
    <row r="4443">
      <c r="A4443" s="166" t="n"/>
      <c r="B4443" s="63" t="n"/>
      <c r="C4443" s="64" t="n"/>
      <c r="D4443" s="167" t="n"/>
      <c r="E4443" s="63" t="n"/>
      <c r="F4443" s="63" t="n"/>
    </row>
    <row r="4444">
      <c r="A4444" s="166" t="n"/>
      <c r="B4444" s="63" t="n"/>
      <c r="C4444" s="64" t="n"/>
      <c r="D4444" s="167" t="n"/>
      <c r="E4444" s="63" t="n"/>
      <c r="F4444" s="63" t="n"/>
    </row>
    <row r="4445">
      <c r="A4445" s="166" t="n"/>
      <c r="B4445" s="63" t="n"/>
      <c r="C4445" s="64" t="n"/>
      <c r="D4445" s="167" t="n"/>
      <c r="E4445" s="63" t="n"/>
      <c r="F4445" s="63" t="n"/>
    </row>
    <row r="4446">
      <c r="A4446" s="166" t="n"/>
      <c r="B4446" s="63" t="n"/>
      <c r="C4446" s="64" t="n"/>
      <c r="D4446" s="167" t="n"/>
      <c r="E4446" s="63" t="n"/>
      <c r="F4446" s="63" t="n"/>
    </row>
    <row r="4447">
      <c r="A4447" s="166" t="n"/>
      <c r="B4447" s="63" t="n"/>
      <c r="C4447" s="64" t="n"/>
      <c r="D4447" s="167" t="n"/>
      <c r="E4447" s="63" t="n"/>
      <c r="F4447" s="63" t="n"/>
    </row>
    <row r="4448">
      <c r="A4448" s="166" t="n"/>
      <c r="B4448" s="63" t="n"/>
      <c r="C4448" s="64" t="n"/>
      <c r="D4448" s="167" t="n"/>
      <c r="E4448" s="63" t="n"/>
      <c r="F4448" s="63" t="n"/>
    </row>
    <row r="4449">
      <c r="A4449" s="166" t="n"/>
      <c r="B4449" s="63" t="n"/>
      <c r="C4449" s="64" t="n"/>
      <c r="D4449" s="167" t="n"/>
      <c r="E4449" s="63" t="n"/>
      <c r="F4449" s="63" t="n"/>
    </row>
    <row r="4450">
      <c r="A4450" s="166" t="n"/>
      <c r="B4450" s="63" t="n"/>
      <c r="C4450" s="64" t="n"/>
      <c r="D4450" s="167" t="n"/>
      <c r="E4450" s="63" t="n"/>
      <c r="F4450" s="63" t="n"/>
    </row>
    <row r="4451">
      <c r="A4451" s="166" t="n"/>
      <c r="B4451" s="63" t="n"/>
      <c r="C4451" s="64" t="n"/>
      <c r="D4451" s="167" t="n"/>
      <c r="E4451" s="63" t="n"/>
      <c r="F4451" s="63" t="n"/>
    </row>
    <row r="4452">
      <c r="A4452" s="166" t="n"/>
      <c r="B4452" s="63" t="n"/>
      <c r="C4452" s="64" t="n"/>
      <c r="D4452" s="167" t="n"/>
      <c r="E4452" s="63" t="n"/>
      <c r="F4452" s="63" t="n"/>
    </row>
    <row r="4453">
      <c r="A4453" s="166" t="n"/>
      <c r="B4453" s="63" t="n"/>
      <c r="C4453" s="64" t="n"/>
      <c r="D4453" s="167" t="n"/>
      <c r="E4453" s="63" t="n"/>
      <c r="F4453" s="63" t="n"/>
    </row>
    <row r="4454">
      <c r="A4454" s="166" t="n"/>
      <c r="B4454" s="63" t="n"/>
      <c r="C4454" s="64" t="n"/>
      <c r="D4454" s="167" t="n"/>
      <c r="E4454" s="63" t="n"/>
      <c r="F4454" s="63" t="n"/>
    </row>
    <row r="4455">
      <c r="A4455" s="166" t="n"/>
      <c r="B4455" s="63" t="n"/>
      <c r="C4455" s="64" t="n"/>
      <c r="D4455" s="167" t="n"/>
      <c r="E4455" s="63" t="n"/>
      <c r="F4455" s="63" t="n"/>
    </row>
    <row r="4456">
      <c r="A4456" s="166" t="n"/>
      <c r="B4456" s="63" t="n"/>
      <c r="C4456" s="64" t="n"/>
      <c r="D4456" s="167" t="n"/>
      <c r="E4456" s="63" t="n"/>
      <c r="F4456" s="63" t="n"/>
    </row>
    <row r="4457">
      <c r="A4457" s="166" t="n"/>
      <c r="B4457" s="63" t="n"/>
      <c r="C4457" s="64" t="n"/>
      <c r="D4457" s="167" t="n"/>
      <c r="E4457" s="63" t="n"/>
      <c r="F4457" s="63" t="n"/>
    </row>
    <row r="4458">
      <c r="A4458" s="166" t="n"/>
      <c r="B4458" s="63" t="n"/>
      <c r="C4458" s="64" t="n"/>
      <c r="D4458" s="167" t="n"/>
      <c r="E4458" s="63" t="n"/>
      <c r="F4458" s="63" t="n"/>
    </row>
    <row r="4459">
      <c r="A4459" s="166" t="n"/>
      <c r="B4459" s="63" t="n"/>
      <c r="C4459" s="64" t="n"/>
      <c r="D4459" s="167" t="n"/>
      <c r="E4459" s="63" t="n"/>
      <c r="F4459" s="63" t="n"/>
    </row>
    <row r="4460">
      <c r="A4460" s="166" t="n"/>
      <c r="B4460" s="63" t="n"/>
      <c r="C4460" s="64" t="n"/>
      <c r="D4460" s="167" t="n"/>
      <c r="E4460" s="63" t="n"/>
      <c r="F4460" s="63" t="n"/>
    </row>
    <row r="4461">
      <c r="A4461" s="166" t="n"/>
      <c r="B4461" s="63" t="n"/>
      <c r="C4461" s="64" t="n"/>
      <c r="D4461" s="167" t="n"/>
      <c r="E4461" s="63" t="n"/>
      <c r="F4461" s="63" t="n"/>
    </row>
    <row r="4462">
      <c r="A4462" s="166" t="n"/>
      <c r="B4462" s="63" t="n"/>
      <c r="C4462" s="64" t="n"/>
      <c r="D4462" s="167" t="n"/>
      <c r="E4462" s="63" t="n"/>
      <c r="F4462" s="63" t="n"/>
    </row>
    <row r="4463">
      <c r="A4463" s="166" t="n"/>
      <c r="B4463" s="63" t="n"/>
      <c r="C4463" s="64" t="n"/>
      <c r="D4463" s="167" t="n"/>
      <c r="E4463" s="63" t="n"/>
      <c r="F4463" s="63" t="n"/>
    </row>
    <row r="4464">
      <c r="A4464" s="166" t="n"/>
      <c r="B4464" s="63" t="n"/>
      <c r="C4464" s="64" t="n"/>
      <c r="D4464" s="167" t="n"/>
      <c r="E4464" s="63" t="n"/>
      <c r="F4464" s="63" t="n"/>
    </row>
    <row r="4465">
      <c r="A4465" s="166" t="n"/>
      <c r="B4465" s="63" t="n"/>
      <c r="C4465" s="64" t="n"/>
      <c r="D4465" s="167" t="n"/>
      <c r="E4465" s="63" t="n"/>
      <c r="F4465" s="63" t="n"/>
    </row>
    <row r="4466">
      <c r="A4466" s="166" t="n"/>
      <c r="B4466" s="63" t="n"/>
      <c r="C4466" s="64" t="n"/>
      <c r="D4466" s="167" t="n"/>
      <c r="E4466" s="63" t="n"/>
      <c r="F4466" s="63" t="n"/>
    </row>
    <row r="4467">
      <c r="A4467" s="166" t="n"/>
      <c r="B4467" s="63" t="n"/>
      <c r="C4467" s="64" t="n"/>
      <c r="D4467" s="167" t="n"/>
      <c r="E4467" s="63" t="n"/>
      <c r="F4467" s="63" t="n"/>
    </row>
    <row r="4468">
      <c r="A4468" s="166" t="n"/>
      <c r="B4468" s="63" t="n"/>
      <c r="C4468" s="64" t="n"/>
      <c r="D4468" s="167" t="n"/>
      <c r="E4468" s="63" t="n"/>
      <c r="F4468" s="63" t="n"/>
    </row>
    <row r="4469">
      <c r="A4469" s="166" t="n"/>
      <c r="B4469" s="63" t="n"/>
      <c r="C4469" s="64" t="n"/>
      <c r="D4469" s="167" t="n"/>
      <c r="E4469" s="63" t="n"/>
      <c r="F4469" s="63" t="n"/>
    </row>
    <row r="4470">
      <c r="A4470" s="166" t="n"/>
      <c r="B4470" s="63" t="n"/>
      <c r="C4470" s="64" t="n"/>
      <c r="D4470" s="167" t="n"/>
      <c r="E4470" s="63" t="n"/>
      <c r="F4470" s="63" t="n"/>
    </row>
    <row r="4471">
      <c r="A4471" s="166" t="n"/>
      <c r="B4471" s="63" t="n"/>
      <c r="C4471" s="64" t="n"/>
      <c r="D4471" s="167" t="n"/>
      <c r="E4471" s="63" t="n"/>
      <c r="F4471" s="63" t="n"/>
    </row>
    <row r="4472">
      <c r="A4472" s="166" t="n"/>
      <c r="B4472" s="63" t="n"/>
      <c r="C4472" s="64" t="n"/>
      <c r="D4472" s="167" t="n"/>
      <c r="E4472" s="63" t="n"/>
      <c r="F4472" s="63" t="n"/>
    </row>
    <row r="4473">
      <c r="A4473" s="166" t="n"/>
      <c r="B4473" s="63" t="n"/>
      <c r="C4473" s="64" t="n"/>
      <c r="D4473" s="167" t="n"/>
      <c r="E4473" s="63" t="n"/>
      <c r="F4473" s="63" t="n"/>
    </row>
    <row r="4474">
      <c r="A4474" s="166" t="n"/>
      <c r="B4474" s="63" t="n"/>
      <c r="C4474" s="64" t="n"/>
      <c r="D4474" s="167" t="n"/>
      <c r="E4474" s="63" t="n"/>
      <c r="F4474" s="63" t="n"/>
    </row>
    <row r="4475">
      <c r="A4475" s="166" t="n"/>
      <c r="B4475" s="63" t="n"/>
      <c r="C4475" s="64" t="n"/>
      <c r="D4475" s="167" t="n"/>
      <c r="E4475" s="63" t="n"/>
      <c r="F4475" s="63" t="n"/>
    </row>
    <row r="4476">
      <c r="A4476" s="166" t="n"/>
      <c r="B4476" s="63" t="n"/>
      <c r="C4476" s="64" t="n"/>
      <c r="D4476" s="167" t="n"/>
      <c r="E4476" s="63" t="n"/>
      <c r="F4476" s="63" t="n"/>
    </row>
    <row r="4477">
      <c r="A4477" s="166" t="n"/>
      <c r="B4477" s="63" t="n"/>
      <c r="C4477" s="64" t="n"/>
      <c r="D4477" s="167" t="n"/>
      <c r="E4477" s="63" t="n"/>
      <c r="F4477" s="63" t="n"/>
    </row>
    <row r="4478">
      <c r="A4478" s="166" t="n"/>
      <c r="B4478" s="63" t="n"/>
      <c r="C4478" s="64" t="n"/>
      <c r="D4478" s="167" t="n"/>
      <c r="E4478" s="63" t="n"/>
      <c r="F4478" s="63" t="n"/>
    </row>
    <row r="4479">
      <c r="A4479" s="166" t="n"/>
      <c r="B4479" s="63" t="n"/>
      <c r="C4479" s="64" t="n"/>
      <c r="D4479" s="167" t="n"/>
      <c r="E4479" s="63" t="n"/>
      <c r="F4479" s="63" t="n"/>
    </row>
    <row r="4480">
      <c r="A4480" s="166" t="n"/>
      <c r="B4480" s="63" t="n"/>
      <c r="C4480" s="64" t="n"/>
      <c r="D4480" s="167" t="n"/>
      <c r="E4480" s="63" t="n"/>
      <c r="F4480" s="63" t="n"/>
    </row>
    <row r="4481">
      <c r="A4481" s="166" t="n"/>
      <c r="B4481" s="63" t="n"/>
      <c r="C4481" s="64" t="n"/>
      <c r="D4481" s="167" t="n"/>
      <c r="E4481" s="63" t="n"/>
      <c r="F4481" s="63" t="n"/>
    </row>
    <row r="4482">
      <c r="A4482" s="166" t="n"/>
      <c r="B4482" s="63" t="n"/>
      <c r="C4482" s="64" t="n"/>
      <c r="D4482" s="167" t="n"/>
      <c r="E4482" s="63" t="n"/>
      <c r="F4482" s="63" t="n"/>
    </row>
    <row r="4483">
      <c r="A4483" s="166" t="n"/>
      <c r="B4483" s="63" t="n"/>
      <c r="C4483" s="64" t="n"/>
      <c r="D4483" s="167" t="n"/>
      <c r="E4483" s="63" t="n"/>
      <c r="F4483" s="63" t="n"/>
    </row>
    <row r="4484">
      <c r="A4484" s="166" t="n"/>
      <c r="B4484" s="63" t="n"/>
      <c r="C4484" s="64" t="n"/>
      <c r="D4484" s="167" t="n"/>
      <c r="E4484" s="63" t="n"/>
      <c r="F4484" s="63" t="n"/>
    </row>
    <row r="4485">
      <c r="A4485" s="166" t="n"/>
      <c r="B4485" s="63" t="n"/>
      <c r="C4485" s="64" t="n"/>
      <c r="D4485" s="167" t="n"/>
      <c r="E4485" s="63" t="n"/>
      <c r="F4485" s="63" t="n"/>
    </row>
    <row r="4486">
      <c r="A4486" s="166" t="n"/>
      <c r="B4486" s="63" t="n"/>
      <c r="C4486" s="64" t="n"/>
      <c r="D4486" s="167" t="n"/>
      <c r="E4486" s="63" t="n"/>
      <c r="F4486" s="63" t="n"/>
    </row>
    <row r="4487">
      <c r="A4487" s="166" t="n"/>
      <c r="B4487" s="63" t="n"/>
      <c r="C4487" s="64" t="n"/>
      <c r="D4487" s="167" t="n"/>
      <c r="E4487" s="63" t="n"/>
      <c r="F4487" s="63" t="n"/>
    </row>
    <row r="4488">
      <c r="A4488" s="166" t="n"/>
      <c r="B4488" s="63" t="n"/>
      <c r="C4488" s="64" t="n"/>
      <c r="D4488" s="167" t="n"/>
      <c r="E4488" s="63" t="n"/>
      <c r="F4488" s="63" t="n"/>
    </row>
    <row r="4489">
      <c r="A4489" s="166" t="n"/>
      <c r="B4489" s="63" t="n"/>
      <c r="C4489" s="64" t="n"/>
      <c r="D4489" s="167" t="n"/>
      <c r="E4489" s="63" t="n"/>
      <c r="F4489" s="63" t="n"/>
    </row>
    <row r="4490">
      <c r="A4490" s="166" t="n"/>
      <c r="B4490" s="63" t="n"/>
      <c r="C4490" s="64" t="n"/>
      <c r="D4490" s="167" t="n"/>
      <c r="E4490" s="63" t="n"/>
      <c r="F4490" s="63" t="n"/>
    </row>
    <row r="4491">
      <c r="A4491" s="166" t="n"/>
      <c r="B4491" s="63" t="n"/>
      <c r="C4491" s="64" t="n"/>
      <c r="D4491" s="167" t="n"/>
      <c r="E4491" s="63" t="n"/>
      <c r="F4491" s="63" t="n"/>
    </row>
    <row r="4492">
      <c r="A4492" s="166" t="n"/>
      <c r="B4492" s="63" t="n"/>
      <c r="C4492" s="64" t="n"/>
      <c r="D4492" s="167" t="n"/>
      <c r="E4492" s="63" t="n"/>
      <c r="F4492" s="63" t="n"/>
    </row>
    <row r="4493">
      <c r="A4493" s="166" t="n"/>
      <c r="B4493" s="63" t="n"/>
      <c r="C4493" s="64" t="n"/>
      <c r="D4493" s="167" t="n"/>
      <c r="E4493" s="63" t="n"/>
      <c r="F4493" s="63" t="n"/>
    </row>
    <row r="4494">
      <c r="A4494" s="166" t="n"/>
      <c r="B4494" s="63" t="n"/>
      <c r="C4494" s="64" t="n"/>
      <c r="D4494" s="167" t="n"/>
      <c r="E4494" s="63" t="n"/>
      <c r="F4494" s="63" t="n"/>
    </row>
    <row r="4495">
      <c r="A4495" s="166" t="n"/>
      <c r="B4495" s="63" t="n"/>
      <c r="C4495" s="64" t="n"/>
      <c r="D4495" s="167" t="n"/>
      <c r="E4495" s="63" t="n"/>
      <c r="F4495" s="63" t="n"/>
    </row>
    <row r="4496">
      <c r="A4496" s="166" t="n"/>
      <c r="B4496" s="63" t="n"/>
      <c r="C4496" s="64" t="n"/>
      <c r="D4496" s="167" t="n"/>
      <c r="E4496" s="63" t="n"/>
      <c r="F4496" s="63" t="n"/>
    </row>
    <row r="4497">
      <c r="A4497" s="166" t="n"/>
      <c r="B4497" s="63" t="n"/>
      <c r="C4497" s="64" t="n"/>
      <c r="D4497" s="167" t="n"/>
      <c r="E4497" s="63" t="n"/>
      <c r="F4497" s="63" t="n"/>
    </row>
    <row r="4498">
      <c r="A4498" s="166" t="n"/>
      <c r="B4498" s="63" t="n"/>
      <c r="C4498" s="64" t="n"/>
      <c r="D4498" s="167" t="n"/>
      <c r="E4498" s="63" t="n"/>
      <c r="F4498" s="63" t="n"/>
    </row>
    <row r="4499">
      <c r="A4499" s="166" t="n"/>
      <c r="B4499" s="63" t="n"/>
      <c r="C4499" s="64" t="n"/>
      <c r="D4499" s="167" t="n"/>
      <c r="E4499" s="63" t="n"/>
      <c r="F4499" s="63" t="n"/>
    </row>
    <row r="4500">
      <c r="A4500" s="166" t="n"/>
      <c r="B4500" s="63" t="n"/>
      <c r="C4500" s="64" t="n"/>
      <c r="D4500" s="167" t="n"/>
      <c r="E4500" s="63" t="n"/>
      <c r="F4500" s="63" t="n"/>
    </row>
    <row r="4501">
      <c r="A4501" s="166" t="n"/>
      <c r="B4501" s="63" t="n"/>
      <c r="C4501" s="64" t="n"/>
      <c r="D4501" s="167" t="n"/>
      <c r="E4501" s="63" t="n"/>
      <c r="F4501" s="63" t="n"/>
    </row>
    <row r="4502">
      <c r="A4502" s="166" t="n"/>
      <c r="B4502" s="63" t="n"/>
      <c r="C4502" s="64" t="n"/>
      <c r="D4502" s="167" t="n"/>
      <c r="E4502" s="63" t="n"/>
      <c r="F4502" s="63" t="n"/>
    </row>
    <row r="4503">
      <c r="A4503" s="166" t="n"/>
      <c r="B4503" s="63" t="n"/>
      <c r="C4503" s="64" t="n"/>
      <c r="D4503" s="167" t="n"/>
      <c r="E4503" s="63" t="n"/>
      <c r="F4503" s="63" t="n"/>
    </row>
    <row r="4504">
      <c r="A4504" s="166" t="n"/>
      <c r="B4504" s="63" t="n"/>
      <c r="C4504" s="64" t="n"/>
      <c r="D4504" s="167" t="n"/>
      <c r="E4504" s="63" t="n"/>
      <c r="F4504" s="63" t="n"/>
    </row>
    <row r="4505">
      <c r="A4505" s="166" t="n"/>
      <c r="B4505" s="63" t="n"/>
      <c r="C4505" s="64" t="n"/>
      <c r="D4505" s="167" t="n"/>
      <c r="E4505" s="63" t="n"/>
      <c r="F4505" s="63" t="n"/>
    </row>
    <row r="4506">
      <c r="A4506" s="166" t="n"/>
      <c r="B4506" s="63" t="n"/>
      <c r="C4506" s="64" t="n"/>
      <c r="D4506" s="167" t="n"/>
      <c r="E4506" s="63" t="n"/>
      <c r="F4506" s="63" t="n"/>
    </row>
    <row r="4507">
      <c r="A4507" s="166" t="n"/>
      <c r="B4507" s="63" t="n"/>
      <c r="C4507" s="64" t="n"/>
      <c r="D4507" s="167" t="n"/>
      <c r="E4507" s="63" t="n"/>
      <c r="F4507" s="63" t="n"/>
    </row>
    <row r="4508">
      <c r="A4508" s="166" t="n"/>
      <c r="B4508" s="63" t="n"/>
      <c r="C4508" s="64" t="n"/>
      <c r="D4508" s="167" t="n"/>
      <c r="E4508" s="63" t="n"/>
      <c r="F4508" s="63" t="n"/>
    </row>
    <row r="4509">
      <c r="A4509" s="166" t="n"/>
      <c r="B4509" s="63" t="n"/>
      <c r="C4509" s="64" t="n"/>
      <c r="D4509" s="167" t="n"/>
      <c r="E4509" s="63" t="n"/>
      <c r="F4509" s="63" t="n"/>
    </row>
    <row r="4510">
      <c r="A4510" s="166" t="n"/>
      <c r="B4510" s="63" t="n"/>
      <c r="C4510" s="64" t="n"/>
      <c r="D4510" s="167" t="n"/>
      <c r="E4510" s="63" t="n"/>
      <c r="F4510" s="63" t="n"/>
    </row>
    <row r="4511">
      <c r="A4511" s="166" t="n"/>
      <c r="B4511" s="63" t="n"/>
      <c r="C4511" s="64" t="n"/>
      <c r="D4511" s="167" t="n"/>
      <c r="E4511" s="63" t="n"/>
      <c r="F4511" s="63" t="n"/>
    </row>
    <row r="4512">
      <c r="A4512" s="166" t="n"/>
      <c r="B4512" s="63" t="n"/>
      <c r="C4512" s="64" t="n"/>
      <c r="D4512" s="167" t="n"/>
      <c r="E4512" s="63" t="n"/>
      <c r="F4512" s="63" t="n"/>
    </row>
    <row r="4513">
      <c r="A4513" s="166" t="n"/>
      <c r="B4513" s="63" t="n"/>
      <c r="C4513" s="64" t="n"/>
      <c r="D4513" s="167" t="n"/>
      <c r="E4513" s="63" t="n"/>
      <c r="F4513" s="63" t="n"/>
    </row>
    <row r="4514">
      <c r="A4514" s="166" t="n"/>
      <c r="B4514" s="63" t="n"/>
      <c r="C4514" s="64" t="n"/>
      <c r="D4514" s="167" t="n"/>
      <c r="E4514" s="63" t="n"/>
      <c r="F4514" s="63" t="n"/>
    </row>
    <row r="4515">
      <c r="A4515" s="166" t="n"/>
      <c r="B4515" s="63" t="n"/>
      <c r="C4515" s="64" t="n"/>
      <c r="D4515" s="167" t="n"/>
      <c r="E4515" s="63" t="n"/>
      <c r="F4515" s="63" t="n"/>
    </row>
    <row r="4516">
      <c r="A4516" s="166" t="n"/>
      <c r="B4516" s="63" t="n"/>
      <c r="C4516" s="64" t="n"/>
      <c r="D4516" s="167" t="n"/>
      <c r="E4516" s="63" t="n"/>
      <c r="F4516" s="63" t="n"/>
    </row>
    <row r="4517">
      <c r="A4517" s="166" t="n"/>
      <c r="B4517" s="63" t="n"/>
      <c r="C4517" s="64" t="n"/>
      <c r="D4517" s="167" t="n"/>
      <c r="E4517" s="63" t="n"/>
      <c r="F4517" s="63" t="n"/>
    </row>
    <row r="4518">
      <c r="A4518" s="166" t="n"/>
      <c r="B4518" s="63" t="n"/>
      <c r="C4518" s="64" t="n"/>
      <c r="D4518" s="167" t="n"/>
      <c r="E4518" s="63" t="n"/>
      <c r="F4518" s="63" t="n"/>
    </row>
    <row r="4519">
      <c r="A4519" s="166" t="n"/>
      <c r="B4519" s="63" t="n"/>
      <c r="C4519" s="64" t="n"/>
      <c r="D4519" s="167" t="n"/>
      <c r="E4519" s="63" t="n"/>
      <c r="F4519" s="63" t="n"/>
    </row>
    <row r="4520">
      <c r="A4520" s="166" t="n"/>
      <c r="B4520" s="63" t="n"/>
      <c r="C4520" s="64" t="n"/>
      <c r="D4520" s="167" t="n"/>
      <c r="E4520" s="63" t="n"/>
      <c r="F4520" s="63" t="n"/>
    </row>
    <row r="4521">
      <c r="A4521" s="166" t="n"/>
      <c r="B4521" s="63" t="n"/>
      <c r="C4521" s="64" t="n"/>
      <c r="D4521" s="167" t="n"/>
      <c r="E4521" s="63" t="n"/>
      <c r="F4521" s="63" t="n"/>
    </row>
    <row r="4522">
      <c r="A4522" s="166" t="n"/>
      <c r="B4522" s="63" t="n"/>
      <c r="C4522" s="64" t="n"/>
      <c r="D4522" s="167" t="n"/>
      <c r="E4522" s="63" t="n"/>
      <c r="F4522" s="63" t="n"/>
    </row>
    <row r="4523">
      <c r="A4523" s="166" t="n"/>
      <c r="B4523" s="63" t="n"/>
      <c r="C4523" s="64" t="n"/>
      <c r="D4523" s="167" t="n"/>
      <c r="E4523" s="63" t="n"/>
      <c r="F4523" s="63" t="n"/>
    </row>
    <row r="4524">
      <c r="A4524" s="166" t="n"/>
      <c r="B4524" s="63" t="n"/>
      <c r="C4524" s="64" t="n"/>
      <c r="D4524" s="167" t="n"/>
      <c r="E4524" s="63" t="n"/>
      <c r="F4524" s="63" t="n"/>
    </row>
    <row r="4525">
      <c r="A4525" s="166" t="n"/>
      <c r="B4525" s="63" t="n"/>
      <c r="C4525" s="64" t="n"/>
      <c r="D4525" s="167" t="n"/>
      <c r="E4525" s="63" t="n"/>
      <c r="F4525" s="63" t="n"/>
    </row>
    <row r="4526">
      <c r="A4526" s="166" t="n"/>
      <c r="B4526" s="63" t="n"/>
      <c r="C4526" s="64" t="n"/>
      <c r="D4526" s="167" t="n"/>
      <c r="E4526" s="63" t="n"/>
      <c r="F4526" s="63" t="n"/>
    </row>
    <row r="4527">
      <c r="A4527" s="166" t="n"/>
      <c r="B4527" s="63" t="n"/>
      <c r="C4527" s="64" t="n"/>
      <c r="D4527" s="167" t="n"/>
      <c r="E4527" s="63" t="n"/>
      <c r="F4527" s="63" t="n"/>
    </row>
    <row r="4528">
      <c r="A4528" s="166" t="n"/>
      <c r="B4528" s="63" t="n"/>
      <c r="C4528" s="64" t="n"/>
      <c r="D4528" s="167" t="n"/>
      <c r="E4528" s="63" t="n"/>
      <c r="F4528" s="63" t="n"/>
    </row>
    <row r="4529">
      <c r="A4529" s="166" t="n"/>
      <c r="B4529" s="63" t="n"/>
      <c r="C4529" s="64" t="n"/>
      <c r="D4529" s="167" t="n"/>
      <c r="E4529" s="63" t="n"/>
      <c r="F4529" s="63" t="n"/>
    </row>
    <row r="4530">
      <c r="A4530" s="166" t="n"/>
      <c r="B4530" s="63" t="n"/>
      <c r="C4530" s="64" t="n"/>
      <c r="D4530" s="167" t="n"/>
      <c r="E4530" s="63" t="n"/>
      <c r="F4530" s="63" t="n"/>
    </row>
    <row r="4531">
      <c r="A4531" s="166" t="n"/>
      <c r="B4531" s="63" t="n"/>
      <c r="C4531" s="64" t="n"/>
      <c r="D4531" s="167" t="n"/>
      <c r="E4531" s="63" t="n"/>
      <c r="F4531" s="63" t="n"/>
    </row>
    <row r="4532">
      <c r="A4532" s="166" t="n"/>
      <c r="B4532" s="63" t="n"/>
      <c r="C4532" s="64" t="n"/>
      <c r="D4532" s="167" t="n"/>
      <c r="E4532" s="63" t="n"/>
      <c r="F4532" s="63" t="n"/>
    </row>
    <row r="4533">
      <c r="A4533" s="166" t="n"/>
      <c r="B4533" s="63" t="n"/>
      <c r="C4533" s="64" t="n"/>
      <c r="D4533" s="167" t="n"/>
      <c r="E4533" s="63" t="n"/>
      <c r="F4533" s="63" t="n"/>
    </row>
    <row r="4534">
      <c r="A4534" s="166" t="n"/>
      <c r="B4534" s="63" t="n"/>
      <c r="C4534" s="64" t="n"/>
      <c r="D4534" s="167" t="n"/>
      <c r="E4534" s="63" t="n"/>
      <c r="F4534" s="63" t="n"/>
    </row>
    <row r="4535">
      <c r="A4535" s="166" t="n"/>
      <c r="B4535" s="63" t="n"/>
      <c r="C4535" s="64" t="n"/>
      <c r="D4535" s="167" t="n"/>
      <c r="E4535" s="63" t="n"/>
      <c r="F4535" s="63" t="n"/>
    </row>
    <row r="4536">
      <c r="A4536" s="166" t="n"/>
      <c r="B4536" s="63" t="n"/>
      <c r="C4536" s="64" t="n"/>
      <c r="D4536" s="167" t="n"/>
      <c r="E4536" s="63" t="n"/>
      <c r="F4536" s="63" t="n"/>
    </row>
    <row r="4537">
      <c r="A4537" s="166" t="n"/>
      <c r="B4537" s="63" t="n"/>
      <c r="C4537" s="64" t="n"/>
      <c r="D4537" s="167" t="n"/>
      <c r="E4537" s="63" t="n"/>
      <c r="F4537" s="63" t="n"/>
    </row>
    <row r="4538">
      <c r="A4538" s="166" t="n"/>
      <c r="B4538" s="63" t="n"/>
      <c r="C4538" s="64" t="n"/>
      <c r="D4538" s="167" t="n"/>
      <c r="E4538" s="63" t="n"/>
      <c r="F4538" s="63" t="n"/>
    </row>
    <row r="4539">
      <c r="A4539" s="166" t="n"/>
      <c r="B4539" s="63" t="n"/>
      <c r="C4539" s="64" t="n"/>
      <c r="D4539" s="167" t="n"/>
      <c r="E4539" s="63" t="n"/>
      <c r="F4539" s="63" t="n"/>
    </row>
    <row r="4540">
      <c r="A4540" s="166" t="n"/>
      <c r="B4540" s="63" t="n"/>
      <c r="C4540" s="64" t="n"/>
      <c r="D4540" s="167" t="n"/>
      <c r="E4540" s="63" t="n"/>
      <c r="F4540" s="63" t="n"/>
    </row>
    <row r="4541">
      <c r="A4541" s="166" t="n"/>
      <c r="B4541" s="63" t="n"/>
      <c r="C4541" s="64" t="n"/>
      <c r="D4541" s="167" t="n"/>
      <c r="E4541" s="63" t="n"/>
      <c r="F4541" s="63" t="n"/>
    </row>
    <row r="4542">
      <c r="A4542" s="166" t="n"/>
      <c r="B4542" s="63" t="n"/>
      <c r="C4542" s="64" t="n"/>
      <c r="D4542" s="167" t="n"/>
      <c r="E4542" s="63" t="n"/>
      <c r="F4542" s="63" t="n"/>
    </row>
    <row r="4543">
      <c r="A4543" s="166" t="n"/>
      <c r="B4543" s="63" t="n"/>
      <c r="C4543" s="64" t="n"/>
      <c r="D4543" s="167" t="n"/>
      <c r="E4543" s="63" t="n"/>
      <c r="F4543" s="63" t="n"/>
    </row>
    <row r="4544">
      <c r="A4544" s="166" t="n"/>
      <c r="B4544" s="63" t="n"/>
      <c r="C4544" s="64" t="n"/>
      <c r="D4544" s="167" t="n"/>
      <c r="E4544" s="63" t="n"/>
      <c r="F4544" s="63" t="n"/>
    </row>
    <row r="4545">
      <c r="A4545" s="166" t="n"/>
      <c r="B4545" s="63" t="n"/>
      <c r="C4545" s="64" t="n"/>
      <c r="D4545" s="167" t="n"/>
      <c r="E4545" s="63" t="n"/>
      <c r="F4545" s="63" t="n"/>
    </row>
    <row r="4546">
      <c r="A4546" s="166" t="n"/>
      <c r="B4546" s="63" t="n"/>
      <c r="C4546" s="64" t="n"/>
      <c r="D4546" s="167" t="n"/>
      <c r="E4546" s="63" t="n"/>
      <c r="F4546" s="63" t="n"/>
    </row>
    <row r="4547">
      <c r="A4547" s="166" t="n"/>
      <c r="B4547" s="63" t="n"/>
      <c r="C4547" s="64" t="n"/>
      <c r="D4547" s="167" t="n"/>
      <c r="E4547" s="63" t="n"/>
      <c r="F4547" s="63" t="n"/>
    </row>
    <row r="4548">
      <c r="A4548" s="166" t="n"/>
      <c r="B4548" s="63" t="n"/>
      <c r="C4548" s="64" t="n"/>
      <c r="D4548" s="167" t="n"/>
      <c r="E4548" s="63" t="n"/>
      <c r="F4548" s="63" t="n"/>
    </row>
    <row r="4549">
      <c r="A4549" s="166" t="n"/>
      <c r="B4549" s="63" t="n"/>
      <c r="C4549" s="64" t="n"/>
      <c r="D4549" s="167" t="n"/>
      <c r="E4549" s="63" t="n"/>
      <c r="F4549" s="63" t="n"/>
    </row>
    <row r="4550">
      <c r="A4550" s="166" t="n"/>
      <c r="B4550" s="63" t="n"/>
      <c r="C4550" s="64" t="n"/>
      <c r="D4550" s="167" t="n"/>
      <c r="E4550" s="63" t="n"/>
      <c r="F4550" s="63" t="n"/>
    </row>
    <row r="4551">
      <c r="A4551" s="166" t="n"/>
      <c r="B4551" s="63" t="n"/>
      <c r="C4551" s="64" t="n"/>
      <c r="D4551" s="167" t="n"/>
      <c r="E4551" s="63" t="n"/>
      <c r="F4551" s="63" t="n"/>
    </row>
    <row r="4552">
      <c r="A4552" s="166" t="n"/>
      <c r="B4552" s="63" t="n"/>
      <c r="C4552" s="64" t="n"/>
      <c r="D4552" s="167" t="n"/>
      <c r="E4552" s="63" t="n"/>
      <c r="F4552" s="63" t="n"/>
    </row>
    <row r="4553">
      <c r="A4553" s="166" t="n"/>
      <c r="B4553" s="63" t="n"/>
      <c r="C4553" s="64" t="n"/>
      <c r="D4553" s="167" t="n"/>
      <c r="E4553" s="63" t="n"/>
      <c r="F4553" s="63" t="n"/>
    </row>
    <row r="4554">
      <c r="A4554" s="166" t="n"/>
      <c r="B4554" s="63" t="n"/>
      <c r="C4554" s="64" t="n"/>
      <c r="D4554" s="167" t="n"/>
      <c r="E4554" s="63" t="n"/>
      <c r="F4554" s="63" t="n"/>
    </row>
    <row r="4555">
      <c r="A4555" s="166" t="n"/>
      <c r="B4555" s="63" t="n"/>
      <c r="C4555" s="64" t="n"/>
      <c r="D4555" s="167" t="n"/>
      <c r="E4555" s="63" t="n"/>
      <c r="F4555" s="63" t="n"/>
    </row>
    <row r="4556">
      <c r="A4556" s="166" t="n"/>
      <c r="B4556" s="63" t="n"/>
      <c r="C4556" s="64" t="n"/>
      <c r="D4556" s="167" t="n"/>
      <c r="E4556" s="63" t="n"/>
      <c r="F4556" s="63" t="n"/>
    </row>
    <row r="4557">
      <c r="A4557" s="166" t="n"/>
      <c r="B4557" s="63" t="n"/>
      <c r="C4557" s="64" t="n"/>
      <c r="D4557" s="167" t="n"/>
      <c r="E4557" s="63" t="n"/>
      <c r="F4557" s="63" t="n"/>
    </row>
    <row r="4558">
      <c r="A4558" s="166" t="n"/>
      <c r="B4558" s="63" t="n"/>
      <c r="C4558" s="64" t="n"/>
      <c r="D4558" s="167" t="n"/>
      <c r="E4558" s="63" t="n"/>
      <c r="F4558" s="63" t="n"/>
    </row>
    <row r="4559">
      <c r="A4559" s="166" t="n"/>
      <c r="B4559" s="63" t="n"/>
      <c r="C4559" s="64" t="n"/>
      <c r="D4559" s="167" t="n"/>
      <c r="E4559" s="63" t="n"/>
      <c r="F4559" s="63" t="n"/>
    </row>
    <row r="4560">
      <c r="A4560" s="166" t="n"/>
      <c r="B4560" s="63" t="n"/>
      <c r="C4560" s="64" t="n"/>
      <c r="D4560" s="167" t="n"/>
      <c r="E4560" s="63" t="n"/>
      <c r="F4560" s="63" t="n"/>
    </row>
    <row r="4561">
      <c r="A4561" s="166" t="n"/>
      <c r="B4561" s="63" t="n"/>
      <c r="C4561" s="64" t="n"/>
      <c r="D4561" s="167" t="n"/>
      <c r="E4561" s="63" t="n"/>
      <c r="F4561" s="63" t="n"/>
    </row>
    <row r="4562">
      <c r="A4562" s="166" t="n"/>
      <c r="B4562" s="63" t="n"/>
      <c r="C4562" s="64" t="n"/>
      <c r="D4562" s="167" t="n"/>
      <c r="E4562" s="63" t="n"/>
      <c r="F4562" s="63" t="n"/>
    </row>
    <row r="4563">
      <c r="A4563" s="166" t="n"/>
      <c r="B4563" s="63" t="n"/>
      <c r="C4563" s="64" t="n"/>
      <c r="D4563" s="167" t="n"/>
      <c r="E4563" s="63" t="n"/>
      <c r="F4563" s="63" t="n"/>
    </row>
    <row r="4564">
      <c r="A4564" s="166" t="n"/>
      <c r="B4564" s="63" t="n"/>
      <c r="C4564" s="64" t="n"/>
      <c r="D4564" s="167" t="n"/>
      <c r="E4564" s="63" t="n"/>
      <c r="F4564" s="63" t="n"/>
    </row>
    <row r="4565">
      <c r="A4565" s="166" t="n"/>
      <c r="B4565" s="63" t="n"/>
      <c r="C4565" s="64" t="n"/>
      <c r="D4565" s="167" t="n"/>
      <c r="E4565" s="63" t="n"/>
      <c r="F4565" s="63" t="n"/>
    </row>
    <row r="4566">
      <c r="A4566" s="166" t="n"/>
      <c r="B4566" s="63" t="n"/>
      <c r="C4566" s="64" t="n"/>
      <c r="D4566" s="167" t="n"/>
      <c r="E4566" s="63" t="n"/>
      <c r="F4566" s="63" t="n"/>
    </row>
    <row r="4567">
      <c r="A4567" s="166" t="n"/>
      <c r="B4567" s="63" t="n"/>
      <c r="C4567" s="64" t="n"/>
      <c r="D4567" s="167" t="n"/>
      <c r="E4567" s="63" t="n"/>
      <c r="F4567" s="63" t="n"/>
    </row>
    <row r="4568">
      <c r="A4568" s="166" t="n"/>
      <c r="B4568" s="63" t="n"/>
      <c r="C4568" s="64" t="n"/>
      <c r="D4568" s="167" t="n"/>
      <c r="E4568" s="63" t="n"/>
      <c r="F4568" s="63" t="n"/>
    </row>
    <row r="4569">
      <c r="A4569" s="166" t="n"/>
      <c r="B4569" s="63" t="n"/>
      <c r="C4569" s="64" t="n"/>
      <c r="D4569" s="167" t="n"/>
      <c r="E4569" s="63" t="n"/>
      <c r="F4569" s="63" t="n"/>
    </row>
    <row r="4570">
      <c r="A4570" s="166" t="n"/>
      <c r="B4570" s="63" t="n"/>
      <c r="C4570" s="64" t="n"/>
      <c r="D4570" s="167" t="n"/>
      <c r="E4570" s="63" t="n"/>
      <c r="F4570" s="63" t="n"/>
    </row>
    <row r="4571">
      <c r="A4571" s="166" t="n"/>
      <c r="B4571" s="63" t="n"/>
      <c r="C4571" s="64" t="n"/>
      <c r="D4571" s="167" t="n"/>
      <c r="E4571" s="63" t="n"/>
      <c r="F4571" s="63" t="n"/>
    </row>
    <row r="4572">
      <c r="A4572" s="166" t="n"/>
      <c r="B4572" s="63" t="n"/>
      <c r="C4572" s="64" t="n"/>
      <c r="D4572" s="167" t="n"/>
      <c r="E4572" s="63" t="n"/>
      <c r="F4572" s="63" t="n"/>
    </row>
    <row r="4573">
      <c r="A4573" s="166" t="n"/>
      <c r="B4573" s="63" t="n"/>
      <c r="C4573" s="64" t="n"/>
      <c r="D4573" s="167" t="n"/>
      <c r="E4573" s="63" t="n"/>
      <c r="F4573" s="63" t="n"/>
    </row>
    <row r="4574">
      <c r="A4574" s="166" t="n"/>
      <c r="B4574" s="63" t="n"/>
      <c r="C4574" s="64" t="n"/>
      <c r="D4574" s="167" t="n"/>
      <c r="E4574" s="63" t="n"/>
      <c r="F4574" s="63" t="n"/>
    </row>
    <row r="4575">
      <c r="A4575" s="166" t="n"/>
      <c r="B4575" s="63" t="n"/>
      <c r="C4575" s="64" t="n"/>
      <c r="D4575" s="167" t="n"/>
      <c r="E4575" s="63" t="n"/>
      <c r="F4575" s="63" t="n"/>
    </row>
    <row r="4576">
      <c r="A4576" s="166" t="n"/>
      <c r="B4576" s="63" t="n"/>
      <c r="C4576" s="64" t="n"/>
      <c r="D4576" s="167" t="n"/>
      <c r="E4576" s="63" t="n"/>
      <c r="F4576" s="63" t="n"/>
    </row>
    <row r="4577">
      <c r="A4577" s="166" t="n"/>
      <c r="B4577" s="63" t="n"/>
      <c r="C4577" s="64" t="n"/>
      <c r="D4577" s="167" t="n"/>
      <c r="E4577" s="63" t="n"/>
      <c r="F4577" s="63" t="n"/>
    </row>
    <row r="4578">
      <c r="A4578" s="166" t="n"/>
      <c r="B4578" s="63" t="n"/>
      <c r="C4578" s="64" t="n"/>
      <c r="D4578" s="167" t="n"/>
      <c r="E4578" s="63" t="n"/>
      <c r="F4578" s="63" t="n"/>
    </row>
    <row r="4579">
      <c r="A4579" s="166" t="n"/>
      <c r="B4579" s="63" t="n"/>
      <c r="C4579" s="64" t="n"/>
      <c r="D4579" s="167" t="n"/>
      <c r="E4579" s="63" t="n"/>
      <c r="F4579" s="63" t="n"/>
    </row>
    <row r="4580">
      <c r="A4580" s="166" t="n"/>
      <c r="B4580" s="63" t="n"/>
      <c r="C4580" s="64" t="n"/>
      <c r="D4580" s="167" t="n"/>
      <c r="E4580" s="63" t="n"/>
      <c r="F4580" s="63" t="n"/>
    </row>
    <row r="4581">
      <c r="A4581" s="166" t="n"/>
      <c r="B4581" s="63" t="n"/>
      <c r="C4581" s="64" t="n"/>
      <c r="D4581" s="167" t="n"/>
      <c r="E4581" s="63" t="n"/>
      <c r="F4581" s="63" t="n"/>
    </row>
    <row r="4582">
      <c r="A4582" s="166" t="n"/>
      <c r="B4582" s="63" t="n"/>
      <c r="C4582" s="64" t="n"/>
      <c r="D4582" s="167" t="n"/>
      <c r="E4582" s="63" t="n"/>
      <c r="F4582" s="63" t="n"/>
    </row>
    <row r="4583">
      <c r="A4583" s="166" t="n"/>
      <c r="B4583" s="63" t="n"/>
      <c r="C4583" s="64" t="n"/>
      <c r="D4583" s="167" t="n"/>
      <c r="E4583" s="63" t="n"/>
      <c r="F4583" s="63" t="n"/>
    </row>
    <row r="4584">
      <c r="A4584" s="166" t="n"/>
      <c r="B4584" s="63" t="n"/>
      <c r="C4584" s="64" t="n"/>
      <c r="D4584" s="167" t="n"/>
      <c r="E4584" s="63" t="n"/>
      <c r="F4584" s="63" t="n"/>
    </row>
    <row r="4585">
      <c r="A4585" s="166" t="n"/>
      <c r="B4585" s="63" t="n"/>
      <c r="C4585" s="64" t="n"/>
      <c r="D4585" s="167" t="n"/>
      <c r="E4585" s="63" t="n"/>
      <c r="F4585" s="63" t="n"/>
    </row>
    <row r="4586">
      <c r="A4586" s="166" t="n"/>
      <c r="B4586" s="63" t="n"/>
      <c r="C4586" s="64" t="n"/>
      <c r="D4586" s="167" t="n"/>
      <c r="E4586" s="63" t="n"/>
      <c r="F4586" s="63" t="n"/>
    </row>
    <row r="4587">
      <c r="A4587" s="166" t="n"/>
      <c r="B4587" s="63" t="n"/>
      <c r="C4587" s="64" t="n"/>
      <c r="D4587" s="167" t="n"/>
      <c r="E4587" s="63" t="n"/>
      <c r="F4587" s="63" t="n"/>
    </row>
    <row r="4588">
      <c r="A4588" s="166" t="n"/>
      <c r="B4588" s="63" t="n"/>
      <c r="C4588" s="64" t="n"/>
      <c r="D4588" s="167" t="n"/>
      <c r="E4588" s="63" t="n"/>
      <c r="F4588" s="63" t="n"/>
    </row>
    <row r="4589">
      <c r="A4589" s="166" t="n"/>
      <c r="B4589" s="63" t="n"/>
      <c r="C4589" s="64" t="n"/>
      <c r="D4589" s="167" t="n"/>
      <c r="E4589" s="63" t="n"/>
      <c r="F4589" s="63" t="n"/>
    </row>
    <row r="4590">
      <c r="A4590" s="166" t="n"/>
      <c r="B4590" s="63" t="n"/>
      <c r="C4590" s="64" t="n"/>
      <c r="D4590" s="167" t="n"/>
      <c r="E4590" s="63" t="n"/>
      <c r="F4590" s="63" t="n"/>
    </row>
    <row r="4591">
      <c r="A4591" s="166" t="n"/>
      <c r="B4591" s="63" t="n"/>
      <c r="C4591" s="64" t="n"/>
      <c r="D4591" s="167" t="n"/>
      <c r="E4591" s="63" t="n"/>
      <c r="F4591" s="63" t="n"/>
    </row>
    <row r="4592">
      <c r="A4592" s="166" t="n"/>
      <c r="B4592" s="63" t="n"/>
      <c r="C4592" s="64" t="n"/>
      <c r="D4592" s="167" t="n"/>
      <c r="E4592" s="63" t="n"/>
      <c r="F4592" s="63" t="n"/>
    </row>
    <row r="4593">
      <c r="A4593" s="166" t="n"/>
      <c r="B4593" s="63" t="n"/>
      <c r="C4593" s="64" t="n"/>
      <c r="D4593" s="167" t="n"/>
      <c r="E4593" s="63" t="n"/>
      <c r="F4593" s="63" t="n"/>
    </row>
    <row r="4594">
      <c r="A4594" s="166" t="n"/>
      <c r="B4594" s="63" t="n"/>
      <c r="C4594" s="64" t="n"/>
      <c r="D4594" s="167" t="n"/>
      <c r="E4594" s="63" t="n"/>
      <c r="F4594" s="63" t="n"/>
    </row>
    <row r="4595">
      <c r="A4595" s="166" t="n"/>
      <c r="B4595" s="63" t="n"/>
      <c r="C4595" s="64" t="n"/>
      <c r="D4595" s="167" t="n"/>
      <c r="E4595" s="63" t="n"/>
      <c r="F4595" s="63" t="n"/>
    </row>
    <row r="4596">
      <c r="A4596" s="166" t="n"/>
      <c r="B4596" s="63" t="n"/>
      <c r="C4596" s="64" t="n"/>
      <c r="D4596" s="167" t="n"/>
      <c r="E4596" s="63" t="n"/>
      <c r="F4596" s="63" t="n"/>
    </row>
    <row r="4597">
      <c r="A4597" s="166" t="n"/>
      <c r="B4597" s="63" t="n"/>
      <c r="C4597" s="64" t="n"/>
      <c r="D4597" s="167" t="n"/>
      <c r="E4597" s="63" t="n"/>
      <c r="F4597" s="63" t="n"/>
    </row>
    <row r="4598">
      <c r="A4598" s="166" t="n"/>
      <c r="B4598" s="63" t="n"/>
      <c r="C4598" s="64" t="n"/>
      <c r="D4598" s="167" t="n"/>
      <c r="E4598" s="63" t="n"/>
      <c r="F4598" s="63" t="n"/>
    </row>
    <row r="4599">
      <c r="A4599" s="166" t="n"/>
      <c r="B4599" s="63" t="n"/>
      <c r="C4599" s="64" t="n"/>
      <c r="D4599" s="167" t="n"/>
      <c r="E4599" s="63" t="n"/>
      <c r="F4599" s="63" t="n"/>
    </row>
    <row r="4600">
      <c r="A4600" s="166" t="n"/>
      <c r="B4600" s="63" t="n"/>
      <c r="C4600" s="64" t="n"/>
      <c r="D4600" s="167" t="n"/>
      <c r="E4600" s="63" t="n"/>
      <c r="F4600" s="63" t="n"/>
    </row>
    <row r="4601">
      <c r="A4601" s="166" t="n"/>
      <c r="B4601" s="63" t="n"/>
      <c r="C4601" s="64" t="n"/>
      <c r="D4601" s="167" t="n"/>
      <c r="E4601" s="63" t="n"/>
      <c r="F4601" s="63" t="n"/>
    </row>
    <row r="4602">
      <c r="A4602" s="166" t="n"/>
      <c r="B4602" s="63" t="n"/>
      <c r="C4602" s="64" t="n"/>
      <c r="D4602" s="167" t="n"/>
      <c r="E4602" s="63" t="n"/>
      <c r="F4602" s="63" t="n"/>
    </row>
    <row r="4603">
      <c r="A4603" s="166" t="n"/>
      <c r="B4603" s="63" t="n"/>
      <c r="C4603" s="64" t="n"/>
      <c r="D4603" s="167" t="n"/>
      <c r="E4603" s="63" t="n"/>
      <c r="F4603" s="63" t="n"/>
    </row>
    <row r="4604">
      <c r="A4604" s="166" t="n"/>
      <c r="B4604" s="63" t="n"/>
      <c r="C4604" s="64" t="n"/>
      <c r="D4604" s="167" t="n"/>
      <c r="E4604" s="63" t="n"/>
      <c r="F4604" s="63" t="n"/>
    </row>
    <row r="4605">
      <c r="A4605" s="166" t="n"/>
      <c r="B4605" s="63" t="n"/>
      <c r="C4605" s="64" t="n"/>
      <c r="D4605" s="167" t="n"/>
      <c r="E4605" s="63" t="n"/>
      <c r="F4605" s="63" t="n"/>
    </row>
    <row r="4606">
      <c r="A4606" s="166" t="n"/>
      <c r="B4606" s="63" t="n"/>
      <c r="C4606" s="64" t="n"/>
      <c r="D4606" s="167" t="n"/>
      <c r="E4606" s="63" t="n"/>
      <c r="F4606" s="63" t="n"/>
    </row>
    <row r="4607">
      <c r="A4607" s="166" t="n"/>
      <c r="B4607" s="63" t="n"/>
      <c r="C4607" s="64" t="n"/>
      <c r="D4607" s="167" t="n"/>
      <c r="E4607" s="63" t="n"/>
      <c r="F4607" s="63" t="n"/>
    </row>
    <row r="4608">
      <c r="A4608" s="166" t="n"/>
      <c r="B4608" s="63" t="n"/>
      <c r="C4608" s="64" t="n"/>
      <c r="D4608" s="167" t="n"/>
      <c r="E4608" s="63" t="n"/>
      <c r="F4608" s="63" t="n"/>
    </row>
    <row r="4609">
      <c r="A4609" s="166" t="n"/>
      <c r="B4609" s="63" t="n"/>
      <c r="C4609" s="64" t="n"/>
      <c r="D4609" s="167" t="n"/>
      <c r="E4609" s="63" t="n"/>
      <c r="F4609" s="63" t="n"/>
    </row>
    <row r="4610">
      <c r="A4610" s="166" t="n"/>
      <c r="B4610" s="63" t="n"/>
      <c r="C4610" s="64" t="n"/>
      <c r="D4610" s="167" t="n"/>
      <c r="E4610" s="63" t="n"/>
      <c r="F4610" s="63" t="n"/>
    </row>
    <row r="4611">
      <c r="A4611" s="166" t="n"/>
      <c r="B4611" s="63" t="n"/>
      <c r="C4611" s="64" t="n"/>
      <c r="D4611" s="167" t="n"/>
      <c r="E4611" s="63" t="n"/>
      <c r="F4611" s="63" t="n"/>
    </row>
    <row r="4612">
      <c r="A4612" s="166" t="n"/>
      <c r="B4612" s="63" t="n"/>
      <c r="C4612" s="64" t="n"/>
      <c r="D4612" s="167" t="n"/>
      <c r="E4612" s="63" t="n"/>
      <c r="F4612" s="63" t="n"/>
    </row>
    <row r="4613">
      <c r="A4613" s="166" t="n"/>
      <c r="B4613" s="63" t="n"/>
      <c r="C4613" s="64" t="n"/>
      <c r="D4613" s="167" t="n"/>
      <c r="E4613" s="63" t="n"/>
      <c r="F4613" s="63" t="n"/>
    </row>
    <row r="4614">
      <c r="A4614" s="166" t="n"/>
      <c r="B4614" s="63" t="n"/>
      <c r="C4614" s="64" t="n"/>
      <c r="D4614" s="167" t="n"/>
      <c r="E4614" s="63" t="n"/>
      <c r="F4614" s="63" t="n"/>
    </row>
    <row r="4615">
      <c r="A4615" s="166" t="n"/>
      <c r="B4615" s="63" t="n"/>
      <c r="C4615" s="64" t="n"/>
      <c r="D4615" s="167" t="n"/>
      <c r="E4615" s="63" t="n"/>
      <c r="F4615" s="63" t="n"/>
    </row>
    <row r="4616">
      <c r="A4616" s="166" t="n"/>
      <c r="B4616" s="63" t="n"/>
      <c r="C4616" s="64" t="n"/>
      <c r="D4616" s="167" t="n"/>
      <c r="E4616" s="63" t="n"/>
      <c r="F4616" s="63" t="n"/>
    </row>
    <row r="4617">
      <c r="A4617" s="166" t="n"/>
      <c r="B4617" s="63" t="n"/>
      <c r="C4617" s="64" t="n"/>
      <c r="D4617" s="167" t="n"/>
      <c r="E4617" s="63" t="n"/>
      <c r="F4617" s="63" t="n"/>
    </row>
    <row r="4618">
      <c r="A4618" s="166" t="n"/>
      <c r="B4618" s="63" t="n"/>
      <c r="C4618" s="64" t="n"/>
      <c r="D4618" s="167" t="n"/>
      <c r="E4618" s="63" t="n"/>
      <c r="F4618" s="63" t="n"/>
    </row>
    <row r="4619">
      <c r="A4619" s="166" t="n"/>
      <c r="B4619" s="63" t="n"/>
      <c r="C4619" s="64" t="n"/>
      <c r="D4619" s="167" t="n"/>
      <c r="E4619" s="63" t="n"/>
      <c r="F4619" s="63" t="n"/>
    </row>
    <row r="4620">
      <c r="A4620" s="166" t="n"/>
      <c r="B4620" s="63" t="n"/>
      <c r="C4620" s="64" t="n"/>
      <c r="D4620" s="167" t="n"/>
      <c r="E4620" s="63" t="n"/>
      <c r="F4620" s="63" t="n"/>
    </row>
    <row r="4621">
      <c r="A4621" s="166" t="n"/>
      <c r="B4621" s="63" t="n"/>
      <c r="C4621" s="64" t="n"/>
      <c r="D4621" s="167" t="n"/>
      <c r="E4621" s="63" t="n"/>
      <c r="F4621" s="63" t="n"/>
    </row>
    <row r="4622">
      <c r="A4622" s="166" t="n"/>
      <c r="B4622" s="63" t="n"/>
      <c r="C4622" s="64" t="n"/>
      <c r="D4622" s="167" t="n"/>
      <c r="E4622" s="63" t="n"/>
      <c r="F4622" s="63" t="n"/>
    </row>
    <row r="4623">
      <c r="A4623" s="166" t="n"/>
      <c r="B4623" s="63" t="n"/>
      <c r="C4623" s="64" t="n"/>
      <c r="D4623" s="167" t="n"/>
      <c r="E4623" s="63" t="n"/>
      <c r="F4623" s="63" t="n"/>
    </row>
    <row r="4624">
      <c r="A4624" s="166" t="n"/>
      <c r="B4624" s="63" t="n"/>
      <c r="C4624" s="64" t="n"/>
      <c r="D4624" s="167" t="n"/>
      <c r="E4624" s="63" t="n"/>
      <c r="F4624" s="63" t="n"/>
    </row>
    <row r="4625">
      <c r="A4625" s="166" t="n"/>
      <c r="B4625" s="63" t="n"/>
      <c r="C4625" s="64" t="n"/>
      <c r="D4625" s="167" t="n"/>
      <c r="E4625" s="63" t="n"/>
      <c r="F4625" s="63" t="n"/>
    </row>
    <row r="4626">
      <c r="A4626" s="166" t="n"/>
      <c r="B4626" s="63" t="n"/>
      <c r="C4626" s="64" t="n"/>
      <c r="D4626" s="167" t="n"/>
      <c r="E4626" s="63" t="n"/>
      <c r="F4626" s="63" t="n"/>
    </row>
    <row r="4627">
      <c r="A4627" s="166" t="n"/>
      <c r="B4627" s="63" t="n"/>
      <c r="C4627" s="64" t="n"/>
      <c r="D4627" s="167" t="n"/>
      <c r="E4627" s="63" t="n"/>
      <c r="F4627" s="63" t="n"/>
    </row>
    <row r="4628">
      <c r="A4628" s="166" t="n"/>
      <c r="B4628" s="63" t="n"/>
      <c r="C4628" s="64" t="n"/>
      <c r="D4628" s="167" t="n"/>
      <c r="E4628" s="63" t="n"/>
      <c r="F4628" s="63" t="n"/>
    </row>
    <row r="4629">
      <c r="A4629" s="166" t="n"/>
      <c r="B4629" s="63" t="n"/>
      <c r="C4629" s="64" t="n"/>
      <c r="D4629" s="167" t="n"/>
      <c r="E4629" s="63" t="n"/>
      <c r="F4629" s="63" t="n"/>
    </row>
    <row r="4630">
      <c r="A4630" s="166" t="n"/>
      <c r="B4630" s="63" t="n"/>
      <c r="C4630" s="64" t="n"/>
      <c r="D4630" s="167" t="n"/>
      <c r="E4630" s="63" t="n"/>
      <c r="F4630" s="63" t="n"/>
    </row>
    <row r="4631">
      <c r="A4631" s="166" t="n"/>
      <c r="B4631" s="63" t="n"/>
      <c r="C4631" s="64" t="n"/>
      <c r="D4631" s="167" t="n"/>
      <c r="E4631" s="63" t="n"/>
      <c r="F4631" s="63" t="n"/>
    </row>
    <row r="4632">
      <c r="A4632" s="166" t="n"/>
      <c r="B4632" s="63" t="n"/>
      <c r="C4632" s="64" t="n"/>
      <c r="D4632" s="167" t="n"/>
      <c r="E4632" s="63" t="n"/>
      <c r="F4632" s="63" t="n"/>
    </row>
    <row r="4633">
      <c r="A4633" s="166" t="n"/>
      <c r="B4633" s="63" t="n"/>
      <c r="C4633" s="64" t="n"/>
      <c r="D4633" s="167" t="n"/>
      <c r="E4633" s="63" t="n"/>
      <c r="F4633" s="63" t="n"/>
    </row>
    <row r="4634">
      <c r="A4634" s="166" t="n"/>
      <c r="B4634" s="63" t="n"/>
      <c r="C4634" s="64" t="n"/>
      <c r="D4634" s="167" t="n"/>
      <c r="E4634" s="63" t="n"/>
      <c r="F4634" s="63" t="n"/>
    </row>
    <row r="4635">
      <c r="A4635" s="166" t="n"/>
      <c r="B4635" s="63" t="n"/>
      <c r="C4635" s="64" t="n"/>
      <c r="D4635" s="167" t="n"/>
      <c r="E4635" s="63" t="n"/>
      <c r="F4635" s="63" t="n"/>
    </row>
    <row r="4636">
      <c r="A4636" s="166" t="n"/>
      <c r="B4636" s="63" t="n"/>
      <c r="C4636" s="64" t="n"/>
      <c r="D4636" s="167" t="n"/>
      <c r="E4636" s="63" t="n"/>
      <c r="F4636" s="63" t="n"/>
    </row>
    <row r="4637">
      <c r="A4637" s="166" t="n"/>
      <c r="B4637" s="63" t="n"/>
      <c r="C4637" s="64" t="n"/>
      <c r="D4637" s="167" t="n"/>
      <c r="E4637" s="63" t="n"/>
      <c r="F4637" s="63" t="n"/>
    </row>
    <row r="4638">
      <c r="A4638" s="166" t="n"/>
      <c r="B4638" s="63" t="n"/>
      <c r="C4638" s="64" t="n"/>
      <c r="D4638" s="167" t="n"/>
      <c r="E4638" s="63" t="n"/>
      <c r="F4638" s="63" t="n"/>
    </row>
    <row r="4639">
      <c r="A4639" s="166" t="n"/>
      <c r="B4639" s="63" t="n"/>
      <c r="C4639" s="64" t="n"/>
      <c r="D4639" s="167" t="n"/>
      <c r="E4639" s="63" t="n"/>
      <c r="F4639" s="63" t="n"/>
    </row>
    <row r="4640">
      <c r="A4640" s="166" t="n"/>
      <c r="B4640" s="63" t="n"/>
      <c r="C4640" s="64" t="n"/>
      <c r="D4640" s="167" t="n"/>
      <c r="E4640" s="63" t="n"/>
      <c r="F4640" s="63" t="n"/>
    </row>
    <row r="4641">
      <c r="A4641" s="166" t="n"/>
      <c r="B4641" s="63" t="n"/>
      <c r="C4641" s="64" t="n"/>
      <c r="D4641" s="167" t="n"/>
      <c r="E4641" s="63" t="n"/>
      <c r="F4641" s="63" t="n"/>
    </row>
    <row r="4642">
      <c r="A4642" s="166" t="n"/>
      <c r="B4642" s="63" t="n"/>
      <c r="C4642" s="64" t="n"/>
      <c r="D4642" s="167" t="n"/>
      <c r="E4642" s="63" t="n"/>
      <c r="F4642" s="63" t="n"/>
    </row>
    <row r="4643">
      <c r="A4643" s="166" t="n"/>
      <c r="B4643" s="63" t="n"/>
      <c r="C4643" s="64" t="n"/>
      <c r="D4643" s="167" t="n"/>
      <c r="E4643" s="63" t="n"/>
      <c r="F4643" s="63" t="n"/>
    </row>
    <row r="4644">
      <c r="A4644" s="166" t="n"/>
      <c r="B4644" s="63" t="n"/>
      <c r="C4644" s="64" t="n"/>
      <c r="D4644" s="167" t="n"/>
      <c r="E4644" s="63" t="n"/>
      <c r="F4644" s="63" t="n"/>
    </row>
    <row r="4645">
      <c r="A4645" s="166" t="n"/>
      <c r="B4645" s="63" t="n"/>
      <c r="C4645" s="64" t="n"/>
      <c r="D4645" s="167" t="n"/>
      <c r="E4645" s="63" t="n"/>
      <c r="F4645" s="63" t="n"/>
    </row>
    <row r="4646">
      <c r="A4646" s="166" t="n"/>
      <c r="B4646" s="63" t="n"/>
      <c r="C4646" s="64" t="n"/>
      <c r="D4646" s="167" t="n"/>
      <c r="E4646" s="63" t="n"/>
      <c r="F4646" s="63" t="n"/>
    </row>
    <row r="4647">
      <c r="A4647" s="166" t="n"/>
      <c r="B4647" s="63" t="n"/>
      <c r="C4647" s="64" t="n"/>
      <c r="D4647" s="167" t="n"/>
      <c r="E4647" s="63" t="n"/>
      <c r="F4647" s="63" t="n"/>
    </row>
    <row r="4648">
      <c r="A4648" s="166" t="n"/>
      <c r="B4648" s="63" t="n"/>
      <c r="C4648" s="64" t="n"/>
      <c r="D4648" s="167" t="n"/>
      <c r="E4648" s="63" t="n"/>
      <c r="F4648" s="63" t="n"/>
    </row>
    <row r="4649">
      <c r="A4649" s="166" t="n"/>
      <c r="B4649" s="63" t="n"/>
      <c r="C4649" s="64" t="n"/>
      <c r="D4649" s="167" t="n"/>
      <c r="E4649" s="63" t="n"/>
      <c r="F4649" s="63" t="n"/>
    </row>
    <row r="4650">
      <c r="A4650" s="166" t="n"/>
      <c r="B4650" s="63" t="n"/>
      <c r="C4650" s="64" t="n"/>
      <c r="D4650" s="167" t="n"/>
      <c r="E4650" s="63" t="n"/>
      <c r="F4650" s="63" t="n"/>
    </row>
    <row r="4651">
      <c r="A4651" s="166" t="n"/>
      <c r="B4651" s="63" t="n"/>
      <c r="C4651" s="64" t="n"/>
      <c r="D4651" s="167" t="n"/>
      <c r="E4651" s="63" t="n"/>
      <c r="F4651" s="63" t="n"/>
    </row>
    <row r="4652">
      <c r="A4652" s="166" t="n"/>
      <c r="B4652" s="63" t="n"/>
      <c r="C4652" s="64" t="n"/>
      <c r="D4652" s="167" t="n"/>
      <c r="E4652" s="63" t="n"/>
      <c r="F4652" s="63" t="n"/>
    </row>
    <row r="4653">
      <c r="A4653" s="166" t="n"/>
      <c r="B4653" s="63" t="n"/>
      <c r="C4653" s="64" t="n"/>
      <c r="D4653" s="167" t="n"/>
      <c r="E4653" s="63" t="n"/>
      <c r="F4653" s="63" t="n"/>
    </row>
    <row r="4654">
      <c r="A4654" s="166" t="n"/>
      <c r="B4654" s="63" t="n"/>
      <c r="C4654" s="64" t="n"/>
      <c r="D4654" s="167" t="n"/>
      <c r="E4654" s="63" t="n"/>
      <c r="F4654" s="63" t="n"/>
    </row>
    <row r="4655">
      <c r="A4655" s="166" t="n"/>
      <c r="B4655" s="63" t="n"/>
      <c r="C4655" s="64" t="n"/>
      <c r="D4655" s="167" t="n"/>
      <c r="E4655" s="63" t="n"/>
      <c r="F4655" s="63" t="n"/>
    </row>
    <row r="4656">
      <c r="A4656" s="166" t="n"/>
      <c r="B4656" s="63" t="n"/>
      <c r="C4656" s="64" t="n"/>
      <c r="D4656" s="167" t="n"/>
      <c r="E4656" s="63" t="n"/>
      <c r="F4656" s="63" t="n"/>
    </row>
    <row r="4657">
      <c r="A4657" s="166" t="n"/>
      <c r="B4657" s="63" t="n"/>
      <c r="C4657" s="64" t="n"/>
      <c r="D4657" s="167" t="n"/>
      <c r="E4657" s="63" t="n"/>
      <c r="F4657" s="63" t="n"/>
    </row>
    <row r="4658">
      <c r="A4658" s="166" t="n"/>
      <c r="B4658" s="63" t="n"/>
      <c r="C4658" s="64" t="n"/>
      <c r="D4658" s="167" t="n"/>
      <c r="E4658" s="63" t="n"/>
      <c r="F4658" s="63" t="n"/>
    </row>
    <row r="4659">
      <c r="A4659" s="166" t="n"/>
      <c r="B4659" s="63" t="n"/>
      <c r="C4659" s="64" t="n"/>
      <c r="D4659" s="167" t="n"/>
      <c r="E4659" s="63" t="n"/>
      <c r="F4659" s="63" t="n"/>
    </row>
    <row r="4660">
      <c r="A4660" s="166" t="n"/>
      <c r="B4660" s="63" t="n"/>
      <c r="C4660" s="64" t="n"/>
      <c r="D4660" s="167" t="n"/>
      <c r="E4660" s="63" t="n"/>
      <c r="F4660" s="63" t="n"/>
    </row>
    <row r="4661">
      <c r="A4661" s="166" t="n"/>
      <c r="B4661" s="63" t="n"/>
      <c r="C4661" s="64" t="n"/>
      <c r="D4661" s="167" t="n"/>
      <c r="E4661" s="63" t="n"/>
      <c r="F4661" s="63" t="n"/>
    </row>
    <row r="4662">
      <c r="A4662" s="166" t="n"/>
      <c r="B4662" s="63" t="n"/>
      <c r="C4662" s="64" t="n"/>
      <c r="D4662" s="167" t="n"/>
      <c r="E4662" s="63" t="n"/>
      <c r="F4662" s="63" t="n"/>
    </row>
    <row r="4663">
      <c r="A4663" s="166" t="n"/>
      <c r="B4663" s="63" t="n"/>
      <c r="C4663" s="64" t="n"/>
      <c r="D4663" s="167" t="n"/>
      <c r="E4663" s="63" t="n"/>
      <c r="F4663" s="63" t="n"/>
    </row>
    <row r="4664">
      <c r="A4664" s="166" t="n"/>
      <c r="B4664" s="63" t="n"/>
      <c r="C4664" s="64" t="n"/>
      <c r="D4664" s="167" t="n"/>
      <c r="E4664" s="63" t="n"/>
      <c r="F4664" s="63" t="n"/>
    </row>
    <row r="4665">
      <c r="A4665" s="166" t="n"/>
      <c r="B4665" s="63" t="n"/>
      <c r="C4665" s="64" t="n"/>
      <c r="D4665" s="167" t="n"/>
      <c r="E4665" s="63" t="n"/>
      <c r="F4665" s="63" t="n"/>
    </row>
    <row r="4666">
      <c r="A4666" s="166" t="n"/>
      <c r="B4666" s="63" t="n"/>
      <c r="C4666" s="64" t="n"/>
      <c r="D4666" s="167" t="n"/>
      <c r="E4666" s="63" t="n"/>
      <c r="F4666" s="63" t="n"/>
    </row>
    <row r="4667">
      <c r="A4667" s="166" t="n"/>
      <c r="B4667" s="63" t="n"/>
      <c r="C4667" s="64" t="n"/>
      <c r="D4667" s="167" t="n"/>
      <c r="E4667" s="63" t="n"/>
      <c r="F4667" s="63" t="n"/>
    </row>
    <row r="4668">
      <c r="A4668" s="166" t="n"/>
      <c r="B4668" s="63" t="n"/>
      <c r="C4668" s="64" t="n"/>
      <c r="D4668" s="167" t="n"/>
      <c r="E4668" s="63" t="n"/>
      <c r="F4668" s="63" t="n"/>
    </row>
    <row r="4669">
      <c r="A4669" s="166" t="n"/>
      <c r="B4669" s="63" t="n"/>
      <c r="C4669" s="64" t="n"/>
      <c r="D4669" s="167" t="n"/>
      <c r="E4669" s="63" t="n"/>
      <c r="F4669" s="63" t="n"/>
    </row>
    <row r="4670">
      <c r="A4670" s="166" t="n"/>
      <c r="B4670" s="63" t="n"/>
      <c r="C4670" s="64" t="n"/>
      <c r="D4670" s="167" t="n"/>
      <c r="E4670" s="63" t="n"/>
      <c r="F4670" s="63" t="n"/>
    </row>
    <row r="4671">
      <c r="A4671" s="166" t="n"/>
      <c r="B4671" s="63" t="n"/>
      <c r="C4671" s="64" t="n"/>
      <c r="D4671" s="167" t="n"/>
      <c r="E4671" s="63" t="n"/>
      <c r="F4671" s="63" t="n"/>
    </row>
    <row r="4672">
      <c r="A4672" s="166" t="n"/>
      <c r="B4672" s="63" t="n"/>
      <c r="C4672" s="64" t="n"/>
      <c r="D4672" s="167" t="n"/>
      <c r="E4672" s="63" t="n"/>
      <c r="F4672" s="63" t="n"/>
    </row>
    <row r="4673">
      <c r="A4673" s="166" t="n"/>
      <c r="B4673" s="63" t="n"/>
      <c r="C4673" s="64" t="n"/>
      <c r="D4673" s="167" t="n"/>
      <c r="E4673" s="63" t="n"/>
      <c r="F4673" s="63" t="n"/>
    </row>
    <row r="4674">
      <c r="A4674" s="166" t="n"/>
      <c r="B4674" s="63" t="n"/>
      <c r="C4674" s="64" t="n"/>
      <c r="D4674" s="167" t="n"/>
      <c r="E4674" s="63" t="n"/>
      <c r="F4674" s="63" t="n"/>
    </row>
    <row r="4675">
      <c r="A4675" s="166" t="n"/>
      <c r="B4675" s="63" t="n"/>
      <c r="C4675" s="64" t="n"/>
      <c r="D4675" s="167" t="n"/>
      <c r="E4675" s="63" t="n"/>
      <c r="F4675" s="63" t="n"/>
    </row>
    <row r="4676">
      <c r="A4676" s="166" t="n"/>
      <c r="B4676" s="63" t="n"/>
      <c r="C4676" s="64" t="n"/>
      <c r="D4676" s="167" t="n"/>
      <c r="E4676" s="63" t="n"/>
      <c r="F4676" s="63" t="n"/>
    </row>
    <row r="4677">
      <c r="A4677" s="166" t="n"/>
      <c r="B4677" s="63" t="n"/>
      <c r="C4677" s="64" t="n"/>
      <c r="D4677" s="167" t="n"/>
      <c r="E4677" s="63" t="n"/>
      <c r="F4677" s="63" t="n"/>
    </row>
    <row r="4678">
      <c r="A4678" s="166" t="n"/>
      <c r="B4678" s="63" t="n"/>
      <c r="C4678" s="64" t="n"/>
      <c r="D4678" s="167" t="n"/>
      <c r="E4678" s="63" t="n"/>
      <c r="F4678" s="63" t="n"/>
    </row>
    <row r="4679">
      <c r="A4679" s="166" t="n"/>
      <c r="B4679" s="63" t="n"/>
      <c r="C4679" s="64" t="n"/>
      <c r="D4679" s="167" t="n"/>
      <c r="E4679" s="63" t="n"/>
      <c r="F4679" s="63" t="n"/>
    </row>
    <row r="4680">
      <c r="A4680" s="166" t="n"/>
      <c r="B4680" s="63" t="n"/>
      <c r="C4680" s="64" t="n"/>
      <c r="D4680" s="167" t="n"/>
      <c r="E4680" s="63" t="n"/>
      <c r="F4680" s="63" t="n"/>
    </row>
    <row r="4681">
      <c r="A4681" s="166" t="n"/>
      <c r="B4681" s="63" t="n"/>
      <c r="C4681" s="64" t="n"/>
      <c r="D4681" s="167" t="n"/>
      <c r="E4681" s="63" t="n"/>
      <c r="F4681" s="63" t="n"/>
    </row>
    <row r="4682">
      <c r="A4682" s="166" t="n"/>
      <c r="B4682" s="63" t="n"/>
      <c r="C4682" s="64" t="n"/>
      <c r="D4682" s="167" t="n"/>
      <c r="E4682" s="63" t="n"/>
      <c r="F4682" s="63" t="n"/>
    </row>
    <row r="4683">
      <c r="A4683" s="166" t="n"/>
      <c r="B4683" s="63" t="n"/>
      <c r="C4683" s="64" t="n"/>
      <c r="D4683" s="167" t="n"/>
      <c r="E4683" s="63" t="n"/>
      <c r="F4683" s="63" t="n"/>
    </row>
    <row r="4684">
      <c r="A4684" s="166" t="n"/>
      <c r="B4684" s="63" t="n"/>
      <c r="C4684" s="64" t="n"/>
      <c r="D4684" s="167" t="n"/>
      <c r="E4684" s="63" t="n"/>
      <c r="F4684" s="63" t="n"/>
    </row>
    <row r="4685">
      <c r="A4685" s="166" t="n"/>
      <c r="B4685" s="63" t="n"/>
      <c r="C4685" s="64" t="n"/>
      <c r="D4685" s="167" t="n"/>
      <c r="E4685" s="63" t="n"/>
      <c r="F4685" s="63" t="n"/>
    </row>
    <row r="4686">
      <c r="A4686" s="166" t="n"/>
      <c r="B4686" s="63" t="n"/>
      <c r="C4686" s="64" t="n"/>
      <c r="D4686" s="167" t="n"/>
      <c r="E4686" s="63" t="n"/>
      <c r="F4686" s="63" t="n"/>
    </row>
    <row r="4687">
      <c r="A4687" s="166" t="n"/>
      <c r="B4687" s="63" t="n"/>
      <c r="C4687" s="64" t="n"/>
      <c r="D4687" s="167" t="n"/>
      <c r="E4687" s="63" t="n"/>
      <c r="F4687" s="63" t="n"/>
    </row>
    <row r="4688">
      <c r="A4688" s="166" t="n"/>
      <c r="B4688" s="63" t="n"/>
      <c r="C4688" s="64" t="n"/>
      <c r="D4688" s="167" t="n"/>
      <c r="E4688" s="63" t="n"/>
      <c r="F4688" s="63" t="n"/>
    </row>
    <row r="4689">
      <c r="A4689" s="166" t="n"/>
      <c r="B4689" s="63" t="n"/>
      <c r="C4689" s="64" t="n"/>
      <c r="D4689" s="167" t="n"/>
      <c r="E4689" s="63" t="n"/>
      <c r="F4689" s="63" t="n"/>
    </row>
    <row r="4690">
      <c r="A4690" s="166" t="n"/>
      <c r="B4690" s="63" t="n"/>
      <c r="C4690" s="64" t="n"/>
      <c r="D4690" s="167" t="n"/>
      <c r="E4690" s="63" t="n"/>
      <c r="F4690" s="63" t="n"/>
    </row>
    <row r="4691">
      <c r="A4691" s="166" t="n"/>
      <c r="B4691" s="63" t="n"/>
      <c r="C4691" s="64" t="n"/>
      <c r="D4691" s="167" t="n"/>
      <c r="E4691" s="63" t="n"/>
      <c r="F4691" s="63" t="n"/>
    </row>
    <row r="4692">
      <c r="A4692" s="166" t="n"/>
      <c r="B4692" s="63" t="n"/>
      <c r="C4692" s="64" t="n"/>
      <c r="D4692" s="167" t="n"/>
      <c r="E4692" s="63" t="n"/>
      <c r="F4692" s="63" t="n"/>
    </row>
    <row r="4693">
      <c r="A4693" s="166" t="n"/>
      <c r="B4693" s="63" t="n"/>
      <c r="C4693" s="64" t="n"/>
      <c r="D4693" s="167" t="n"/>
      <c r="E4693" s="63" t="n"/>
      <c r="F4693" s="63" t="n"/>
    </row>
    <row r="4694">
      <c r="A4694" s="166" t="n"/>
      <c r="B4694" s="63" t="n"/>
      <c r="C4694" s="64" t="n"/>
      <c r="D4694" s="167" t="n"/>
      <c r="E4694" s="63" t="n"/>
      <c r="F4694" s="63" t="n"/>
    </row>
    <row r="4695">
      <c r="A4695" s="166" t="n"/>
      <c r="B4695" s="63" t="n"/>
      <c r="C4695" s="64" t="n"/>
      <c r="D4695" s="167" t="n"/>
      <c r="E4695" s="63" t="n"/>
      <c r="F4695" s="63" t="n"/>
    </row>
    <row r="4696">
      <c r="A4696" s="166" t="n"/>
      <c r="B4696" s="63" t="n"/>
      <c r="C4696" s="64" t="n"/>
      <c r="D4696" s="167" t="n"/>
      <c r="E4696" s="63" t="n"/>
      <c r="F4696" s="63" t="n"/>
    </row>
    <row r="4697">
      <c r="A4697" s="166" t="n"/>
      <c r="B4697" s="63" t="n"/>
      <c r="C4697" s="64" t="n"/>
      <c r="D4697" s="167" t="n"/>
      <c r="E4697" s="63" t="n"/>
      <c r="F4697" s="63" t="n"/>
    </row>
    <row r="4698">
      <c r="A4698" s="166" t="n"/>
      <c r="B4698" s="63" t="n"/>
      <c r="C4698" s="64" t="n"/>
      <c r="D4698" s="167" t="n"/>
      <c r="E4698" s="63" t="n"/>
      <c r="F4698" s="63" t="n"/>
    </row>
    <row r="4699">
      <c r="A4699" s="166" t="n"/>
      <c r="B4699" s="63" t="n"/>
      <c r="C4699" s="64" t="n"/>
      <c r="D4699" s="167" t="n"/>
      <c r="E4699" s="63" t="n"/>
      <c r="F4699" s="63" t="n"/>
    </row>
    <row r="4700">
      <c r="A4700" s="166" t="n"/>
      <c r="B4700" s="63" t="n"/>
      <c r="C4700" s="64" t="n"/>
      <c r="D4700" s="167" t="n"/>
      <c r="E4700" s="63" t="n"/>
      <c r="F4700" s="63" t="n"/>
    </row>
    <row r="4701">
      <c r="A4701" s="166" t="n"/>
      <c r="B4701" s="63" t="n"/>
      <c r="C4701" s="64" t="n"/>
      <c r="D4701" s="167" t="n"/>
      <c r="E4701" s="63" t="n"/>
      <c r="F4701" s="63" t="n"/>
    </row>
    <row r="4702">
      <c r="A4702" s="166" t="n"/>
      <c r="B4702" s="63" t="n"/>
      <c r="C4702" s="64" t="n"/>
      <c r="D4702" s="167" t="n"/>
      <c r="E4702" s="63" t="n"/>
      <c r="F4702" s="63" t="n"/>
    </row>
    <row r="4703">
      <c r="A4703" s="166" t="n"/>
      <c r="B4703" s="63" t="n"/>
      <c r="C4703" s="64" t="n"/>
      <c r="D4703" s="167" t="n"/>
      <c r="E4703" s="63" t="n"/>
      <c r="F4703" s="63" t="n"/>
    </row>
    <row r="4704">
      <c r="A4704" s="166" t="n"/>
      <c r="B4704" s="63" t="n"/>
      <c r="C4704" s="64" t="n"/>
      <c r="D4704" s="167" t="n"/>
      <c r="E4704" s="63" t="n"/>
      <c r="F4704" s="63" t="n"/>
    </row>
    <row r="4705">
      <c r="A4705" s="166" t="n"/>
      <c r="B4705" s="63" t="n"/>
      <c r="C4705" s="64" t="n"/>
      <c r="D4705" s="167" t="n"/>
      <c r="E4705" s="63" t="n"/>
      <c r="F4705" s="63" t="n"/>
    </row>
    <row r="4706">
      <c r="A4706" s="166" t="n"/>
      <c r="B4706" s="63" t="n"/>
      <c r="C4706" s="64" t="n"/>
      <c r="D4706" s="167" t="n"/>
      <c r="E4706" s="63" t="n"/>
      <c r="F4706" s="63" t="n"/>
    </row>
    <row r="4707">
      <c r="A4707" s="166" t="n"/>
      <c r="B4707" s="63" t="n"/>
      <c r="C4707" s="64" t="n"/>
      <c r="D4707" s="167" t="n"/>
      <c r="E4707" s="63" t="n"/>
      <c r="F4707" s="63" t="n"/>
    </row>
    <row r="4708">
      <c r="A4708" s="166" t="n"/>
      <c r="B4708" s="63" t="n"/>
      <c r="C4708" s="64" t="n"/>
      <c r="D4708" s="167" t="n"/>
      <c r="E4708" s="63" t="n"/>
      <c r="F4708" s="63" t="n"/>
    </row>
    <row r="4709">
      <c r="A4709" s="166" t="n"/>
      <c r="B4709" s="63" t="n"/>
      <c r="C4709" s="64" t="n"/>
      <c r="D4709" s="167" t="n"/>
      <c r="E4709" s="63" t="n"/>
      <c r="F4709" s="63" t="n"/>
    </row>
    <row r="4710">
      <c r="A4710" s="166" t="n"/>
      <c r="B4710" s="63" t="n"/>
      <c r="C4710" s="64" t="n"/>
      <c r="D4710" s="167" t="n"/>
      <c r="E4710" s="63" t="n"/>
      <c r="F4710" s="63" t="n"/>
    </row>
    <row r="4711">
      <c r="A4711" s="166" t="n"/>
      <c r="B4711" s="63" t="n"/>
      <c r="C4711" s="64" t="n"/>
      <c r="D4711" s="167" t="n"/>
      <c r="E4711" s="63" t="n"/>
      <c r="F4711" s="63" t="n"/>
    </row>
    <row r="4712">
      <c r="A4712" s="166" t="n"/>
      <c r="B4712" s="63" t="n"/>
      <c r="C4712" s="64" t="n"/>
      <c r="D4712" s="167" t="n"/>
      <c r="E4712" s="63" t="n"/>
      <c r="F4712" s="63" t="n"/>
    </row>
    <row r="4713">
      <c r="A4713" s="166" t="n"/>
      <c r="B4713" s="63" t="n"/>
      <c r="C4713" s="64" t="n"/>
      <c r="D4713" s="167" t="n"/>
      <c r="E4713" s="63" t="n"/>
      <c r="F4713" s="63" t="n"/>
    </row>
    <row r="4714">
      <c r="A4714" s="166" t="n"/>
      <c r="B4714" s="63" t="n"/>
      <c r="C4714" s="64" t="n"/>
      <c r="D4714" s="167" t="n"/>
      <c r="E4714" s="63" t="n"/>
      <c r="F4714" s="63" t="n"/>
    </row>
    <row r="4715">
      <c r="A4715" s="166" t="n"/>
      <c r="B4715" s="63" t="n"/>
      <c r="C4715" s="64" t="n"/>
      <c r="D4715" s="167" t="n"/>
      <c r="E4715" s="63" t="n"/>
      <c r="F4715" s="63" t="n"/>
    </row>
    <row r="4716">
      <c r="A4716" s="166" t="n"/>
      <c r="B4716" s="63" t="n"/>
      <c r="C4716" s="64" t="n"/>
      <c r="D4716" s="167" t="n"/>
      <c r="E4716" s="63" t="n"/>
      <c r="F4716" s="63" t="n"/>
    </row>
    <row r="4717">
      <c r="A4717" s="166" t="n"/>
      <c r="B4717" s="63" t="n"/>
      <c r="C4717" s="64" t="n"/>
      <c r="D4717" s="167" t="n"/>
      <c r="E4717" s="63" t="n"/>
      <c r="F4717" s="63" t="n"/>
    </row>
    <row r="4718">
      <c r="A4718" s="166" t="n"/>
      <c r="B4718" s="63" t="n"/>
      <c r="C4718" s="64" t="n"/>
      <c r="D4718" s="167" t="n"/>
      <c r="E4718" s="63" t="n"/>
      <c r="F4718" s="63" t="n"/>
    </row>
    <row r="4719">
      <c r="A4719" s="166" t="n"/>
      <c r="B4719" s="63" t="n"/>
      <c r="C4719" s="64" t="n"/>
      <c r="D4719" s="167" t="n"/>
      <c r="E4719" s="63" t="n"/>
      <c r="F4719" s="63" t="n"/>
    </row>
    <row r="4720">
      <c r="A4720" s="166" t="n"/>
      <c r="B4720" s="63" t="n"/>
      <c r="C4720" s="64" t="n"/>
      <c r="D4720" s="167" t="n"/>
      <c r="E4720" s="63" t="n"/>
      <c r="F4720" s="63" t="n"/>
    </row>
    <row r="4721">
      <c r="A4721" s="166" t="n"/>
      <c r="B4721" s="63" t="n"/>
      <c r="C4721" s="64" t="n"/>
      <c r="D4721" s="167" t="n"/>
      <c r="E4721" s="63" t="n"/>
      <c r="F4721" s="63" t="n"/>
    </row>
    <row r="4722">
      <c r="A4722" s="166" t="n"/>
      <c r="B4722" s="63" t="n"/>
      <c r="C4722" s="64" t="n"/>
      <c r="D4722" s="167" t="n"/>
      <c r="E4722" s="63" t="n"/>
      <c r="F4722" s="63" t="n"/>
    </row>
    <row r="4723">
      <c r="A4723" s="166" t="n"/>
      <c r="B4723" s="63" t="n"/>
      <c r="C4723" s="64" t="n"/>
      <c r="D4723" s="167" t="n"/>
      <c r="E4723" s="63" t="n"/>
      <c r="F4723" s="63" t="n"/>
    </row>
    <row r="4724">
      <c r="A4724" s="166" t="n"/>
      <c r="B4724" s="63" t="n"/>
      <c r="C4724" s="64" t="n"/>
      <c r="D4724" s="167" t="n"/>
      <c r="E4724" s="63" t="n"/>
      <c r="F4724" s="63" t="n"/>
    </row>
    <row r="4725">
      <c r="A4725" s="166" t="n"/>
      <c r="B4725" s="63" t="n"/>
      <c r="C4725" s="64" t="n"/>
      <c r="D4725" s="167" t="n"/>
      <c r="E4725" s="63" t="n"/>
      <c r="F4725" s="63" t="n"/>
    </row>
    <row r="4726">
      <c r="A4726" s="166" t="n"/>
      <c r="B4726" s="63" t="n"/>
      <c r="C4726" s="64" t="n"/>
      <c r="D4726" s="167" t="n"/>
      <c r="E4726" s="63" t="n"/>
      <c r="F4726" s="63" t="n"/>
    </row>
    <row r="4727">
      <c r="A4727" s="166" t="n"/>
      <c r="B4727" s="63" t="n"/>
      <c r="C4727" s="64" t="n"/>
      <c r="D4727" s="167" t="n"/>
      <c r="E4727" s="63" t="n"/>
      <c r="F4727" s="63" t="n"/>
    </row>
    <row r="4728">
      <c r="A4728" s="166" t="n"/>
      <c r="B4728" s="63" t="n"/>
      <c r="C4728" s="64" t="n"/>
      <c r="D4728" s="167" t="n"/>
      <c r="E4728" s="63" t="n"/>
      <c r="F4728" s="63" t="n"/>
    </row>
    <row r="4729">
      <c r="A4729" s="166" t="n"/>
      <c r="B4729" s="63" t="n"/>
      <c r="C4729" s="64" t="n"/>
      <c r="D4729" s="167" t="n"/>
      <c r="E4729" s="63" t="n"/>
      <c r="F4729" s="63" t="n"/>
    </row>
    <row r="4730">
      <c r="A4730" s="166" t="n"/>
      <c r="B4730" s="63" t="n"/>
      <c r="C4730" s="64" t="n"/>
      <c r="D4730" s="167" t="n"/>
      <c r="E4730" s="63" t="n"/>
      <c r="F4730" s="63" t="n"/>
    </row>
    <row r="4731">
      <c r="A4731" s="166" t="n"/>
      <c r="B4731" s="63" t="n"/>
      <c r="C4731" s="64" t="n"/>
      <c r="D4731" s="167" t="n"/>
      <c r="E4731" s="63" t="n"/>
      <c r="F4731" s="63" t="n"/>
    </row>
    <row r="4732">
      <c r="A4732" s="166" t="n"/>
      <c r="B4732" s="63" t="n"/>
      <c r="C4732" s="64" t="n"/>
      <c r="D4732" s="167" t="n"/>
      <c r="E4732" s="63" t="n"/>
      <c r="F4732" s="63" t="n"/>
    </row>
    <row r="4733">
      <c r="A4733" s="166" t="n"/>
      <c r="B4733" s="63" t="n"/>
      <c r="C4733" s="64" t="n"/>
      <c r="D4733" s="167" t="n"/>
      <c r="E4733" s="63" t="n"/>
      <c r="F4733" s="63" t="n"/>
    </row>
    <row r="4734">
      <c r="A4734" s="166" t="n"/>
      <c r="B4734" s="63" t="n"/>
      <c r="C4734" s="64" t="n"/>
      <c r="D4734" s="167" t="n"/>
      <c r="E4734" s="63" t="n"/>
      <c r="F4734" s="63" t="n"/>
    </row>
    <row r="4735">
      <c r="A4735" s="166" t="n"/>
      <c r="B4735" s="63" t="n"/>
      <c r="C4735" s="64" t="n"/>
      <c r="D4735" s="167" t="n"/>
      <c r="E4735" s="63" t="n"/>
      <c r="F4735" s="63" t="n"/>
    </row>
    <row r="4736">
      <c r="A4736" s="166" t="n"/>
      <c r="B4736" s="63" t="n"/>
      <c r="C4736" s="64" t="n"/>
      <c r="D4736" s="167" t="n"/>
      <c r="E4736" s="63" t="n"/>
      <c r="F4736" s="63" t="n"/>
    </row>
    <row r="4737">
      <c r="A4737" s="166" t="n"/>
      <c r="B4737" s="63" t="n"/>
      <c r="C4737" s="64" t="n"/>
      <c r="D4737" s="167" t="n"/>
      <c r="E4737" s="63" t="n"/>
      <c r="F4737" s="63" t="n"/>
    </row>
    <row r="4738">
      <c r="A4738" s="166" t="n"/>
      <c r="B4738" s="63" t="n"/>
      <c r="C4738" s="64" t="n"/>
      <c r="D4738" s="167" t="n"/>
      <c r="E4738" s="63" t="n"/>
      <c r="F4738" s="63" t="n"/>
    </row>
    <row r="4739">
      <c r="A4739" s="166" t="n"/>
      <c r="B4739" s="63" t="n"/>
      <c r="C4739" s="64" t="n"/>
      <c r="D4739" s="167" t="n"/>
      <c r="E4739" s="63" t="n"/>
      <c r="F4739" s="63" t="n"/>
    </row>
    <row r="4740">
      <c r="A4740" s="166" t="n"/>
      <c r="B4740" s="63" t="n"/>
      <c r="C4740" s="64" t="n"/>
      <c r="D4740" s="167" t="n"/>
      <c r="E4740" s="63" t="n"/>
      <c r="F4740" s="63" t="n"/>
    </row>
    <row r="4741">
      <c r="A4741" s="166" t="n"/>
      <c r="B4741" s="63" t="n"/>
      <c r="C4741" s="64" t="n"/>
      <c r="D4741" s="167" t="n"/>
      <c r="E4741" s="63" t="n"/>
      <c r="F4741" s="63" t="n"/>
    </row>
    <row r="4742">
      <c r="A4742" s="166" t="n"/>
      <c r="B4742" s="63" t="n"/>
      <c r="C4742" s="64" t="n"/>
      <c r="D4742" s="167" t="n"/>
      <c r="E4742" s="63" t="n"/>
      <c r="F4742" s="63" t="n"/>
    </row>
    <row r="4743">
      <c r="A4743" s="166" t="n"/>
      <c r="B4743" s="63" t="n"/>
      <c r="C4743" s="64" t="n"/>
      <c r="D4743" s="167" t="n"/>
      <c r="E4743" s="63" t="n"/>
      <c r="F4743" s="63" t="n"/>
    </row>
    <row r="4744">
      <c r="A4744" s="166" t="n"/>
      <c r="B4744" s="63" t="n"/>
      <c r="C4744" s="64" t="n"/>
      <c r="D4744" s="167" t="n"/>
      <c r="E4744" s="63" t="n"/>
      <c r="F4744" s="63" t="n"/>
    </row>
    <row r="4745">
      <c r="A4745" s="166" t="n"/>
      <c r="B4745" s="63" t="n"/>
      <c r="C4745" s="64" t="n"/>
      <c r="D4745" s="167" t="n"/>
      <c r="E4745" s="63" t="n"/>
      <c r="F4745" s="63" t="n"/>
    </row>
    <row r="4746">
      <c r="A4746" s="166" t="n"/>
      <c r="B4746" s="63" t="n"/>
      <c r="C4746" s="64" t="n"/>
      <c r="D4746" s="167" t="n"/>
      <c r="E4746" s="63" t="n"/>
      <c r="F4746" s="63" t="n"/>
    </row>
    <row r="4747">
      <c r="A4747" s="166" t="n"/>
      <c r="B4747" s="63" t="n"/>
      <c r="C4747" s="64" t="n"/>
      <c r="D4747" s="167" t="n"/>
      <c r="E4747" s="63" t="n"/>
      <c r="F4747" s="63" t="n"/>
    </row>
    <row r="4748">
      <c r="A4748" s="166" t="n"/>
      <c r="B4748" s="63" t="n"/>
      <c r="C4748" s="64" t="n"/>
      <c r="D4748" s="167" t="n"/>
      <c r="E4748" s="63" t="n"/>
      <c r="F4748" s="63" t="n"/>
    </row>
    <row r="4749">
      <c r="A4749" s="166" t="n"/>
      <c r="B4749" s="63" t="n"/>
      <c r="C4749" s="64" t="n"/>
      <c r="D4749" s="167" t="n"/>
      <c r="E4749" s="63" t="n"/>
      <c r="F4749" s="63" t="n"/>
    </row>
    <row r="4750">
      <c r="A4750" s="166" t="n"/>
      <c r="B4750" s="63" t="n"/>
      <c r="C4750" s="64" t="n"/>
      <c r="D4750" s="167" t="n"/>
      <c r="E4750" s="63" t="n"/>
      <c r="F4750" s="63" t="n"/>
    </row>
    <row r="4751">
      <c r="A4751" s="166" t="n"/>
      <c r="B4751" s="63" t="n"/>
      <c r="C4751" s="64" t="n"/>
      <c r="D4751" s="167" t="n"/>
      <c r="E4751" s="63" t="n"/>
      <c r="F4751" s="63" t="n"/>
    </row>
    <row r="4752">
      <c r="A4752" s="166" t="n"/>
      <c r="B4752" s="63" t="n"/>
      <c r="C4752" s="64" t="n"/>
      <c r="D4752" s="167" t="n"/>
      <c r="E4752" s="63" t="n"/>
      <c r="F4752" s="63" t="n"/>
    </row>
    <row r="4753">
      <c r="A4753" s="166" t="n"/>
      <c r="B4753" s="63" t="n"/>
      <c r="C4753" s="64" t="n"/>
      <c r="D4753" s="167" t="n"/>
      <c r="E4753" s="63" t="n"/>
      <c r="F4753" s="63" t="n"/>
    </row>
    <row r="4754">
      <c r="A4754" s="166" t="n"/>
      <c r="B4754" s="63" t="n"/>
      <c r="C4754" s="64" t="n"/>
      <c r="D4754" s="167" t="n"/>
      <c r="E4754" s="63" t="n"/>
      <c r="F4754" s="63" t="n"/>
    </row>
    <row r="4755">
      <c r="A4755" s="166" t="n"/>
      <c r="B4755" s="63" t="n"/>
      <c r="C4755" s="64" t="n"/>
      <c r="D4755" s="167" t="n"/>
      <c r="E4755" s="63" t="n"/>
      <c r="F4755" s="63" t="n"/>
    </row>
    <row r="4756">
      <c r="A4756" s="166" t="n"/>
      <c r="B4756" s="63" t="n"/>
      <c r="C4756" s="64" t="n"/>
      <c r="D4756" s="167" t="n"/>
      <c r="E4756" s="63" t="n"/>
      <c r="F4756" s="63" t="n"/>
    </row>
    <row r="4757">
      <c r="A4757" s="166" t="n"/>
      <c r="B4757" s="63" t="n"/>
      <c r="C4757" s="64" t="n"/>
      <c r="D4757" s="167" t="n"/>
      <c r="E4757" s="63" t="n"/>
      <c r="F4757" s="63" t="n"/>
    </row>
    <row r="4758">
      <c r="A4758" s="166" t="n"/>
      <c r="B4758" s="63" t="n"/>
      <c r="C4758" s="64" t="n"/>
      <c r="D4758" s="167" t="n"/>
      <c r="E4758" s="63" t="n"/>
      <c r="F4758" s="63" t="n"/>
    </row>
    <row r="4759">
      <c r="A4759" s="166" t="n"/>
      <c r="B4759" s="63" t="n"/>
      <c r="C4759" s="64" t="n"/>
      <c r="D4759" s="167" t="n"/>
      <c r="E4759" s="63" t="n"/>
      <c r="F4759" s="63" t="n"/>
    </row>
    <row r="4760">
      <c r="A4760" s="166" t="n"/>
      <c r="B4760" s="63" t="n"/>
      <c r="C4760" s="64" t="n"/>
      <c r="D4760" s="167" t="n"/>
      <c r="E4760" s="63" t="n"/>
      <c r="F4760" s="63" t="n"/>
    </row>
    <row r="4761">
      <c r="A4761" s="166" t="n"/>
      <c r="B4761" s="63" t="n"/>
      <c r="C4761" s="64" t="n"/>
      <c r="D4761" s="167" t="n"/>
      <c r="E4761" s="63" t="n"/>
      <c r="F4761" s="63" t="n"/>
    </row>
    <row r="4762">
      <c r="A4762" s="166" t="n"/>
      <c r="B4762" s="63" t="n"/>
      <c r="C4762" s="64" t="n"/>
      <c r="D4762" s="167" t="n"/>
      <c r="E4762" s="63" t="n"/>
      <c r="F4762" s="63" t="n"/>
    </row>
    <row r="4763">
      <c r="A4763" s="166" t="n"/>
      <c r="B4763" s="63" t="n"/>
      <c r="C4763" s="64" t="n"/>
      <c r="D4763" s="167" t="n"/>
      <c r="E4763" s="63" t="n"/>
      <c r="F4763" s="63" t="n"/>
    </row>
    <row r="4764">
      <c r="A4764" s="166" t="n"/>
      <c r="B4764" s="63" t="n"/>
      <c r="C4764" s="64" t="n"/>
      <c r="D4764" s="167" t="n"/>
      <c r="E4764" s="63" t="n"/>
      <c r="F4764" s="63" t="n"/>
    </row>
    <row r="4765">
      <c r="A4765" s="166" t="n"/>
      <c r="B4765" s="63" t="n"/>
      <c r="C4765" s="64" t="n"/>
      <c r="D4765" s="167" t="n"/>
      <c r="E4765" s="63" t="n"/>
      <c r="F4765" s="63" t="n"/>
    </row>
    <row r="4766">
      <c r="A4766" s="166" t="n"/>
      <c r="B4766" s="63" t="n"/>
      <c r="C4766" s="64" t="n"/>
      <c r="D4766" s="167" t="n"/>
      <c r="E4766" s="63" t="n"/>
      <c r="F4766" s="63" t="n"/>
    </row>
    <row r="4767">
      <c r="A4767" s="166" t="n"/>
      <c r="B4767" s="63" t="n"/>
      <c r="C4767" s="64" t="n"/>
      <c r="D4767" s="167" t="n"/>
      <c r="E4767" s="63" t="n"/>
      <c r="F4767" s="63" t="n"/>
    </row>
    <row r="4768">
      <c r="A4768" s="166" t="n"/>
      <c r="B4768" s="63" t="n"/>
      <c r="C4768" s="64" t="n"/>
      <c r="D4768" s="167" t="n"/>
      <c r="E4768" s="63" t="n"/>
      <c r="F4768" s="63" t="n"/>
    </row>
    <row r="4769">
      <c r="A4769" s="166" t="n"/>
      <c r="B4769" s="63" t="n"/>
      <c r="C4769" s="64" t="n"/>
      <c r="D4769" s="167" t="n"/>
      <c r="E4769" s="63" t="n"/>
      <c r="F4769" s="63" t="n"/>
    </row>
    <row r="4770">
      <c r="A4770" s="166" t="n"/>
      <c r="B4770" s="63" t="n"/>
      <c r="C4770" s="64" t="n"/>
      <c r="D4770" s="167" t="n"/>
      <c r="E4770" s="63" t="n"/>
      <c r="F4770" s="63" t="n"/>
    </row>
    <row r="4771">
      <c r="A4771" s="166" t="n"/>
      <c r="B4771" s="63" t="n"/>
      <c r="C4771" s="64" t="n"/>
      <c r="D4771" s="167" t="n"/>
      <c r="E4771" s="63" t="n"/>
      <c r="F4771" s="63" t="n"/>
    </row>
    <row r="4772">
      <c r="A4772" s="166" t="n"/>
      <c r="B4772" s="63" t="n"/>
      <c r="C4772" s="64" t="n"/>
      <c r="D4772" s="167" t="n"/>
      <c r="E4772" s="63" t="n"/>
      <c r="F4772" s="63" t="n"/>
    </row>
    <row r="4773">
      <c r="A4773" s="166" t="n"/>
      <c r="B4773" s="63" t="n"/>
      <c r="C4773" s="64" t="n"/>
      <c r="D4773" s="167" t="n"/>
      <c r="E4773" s="63" t="n"/>
      <c r="F4773" s="63" t="n"/>
    </row>
    <row r="4774">
      <c r="A4774" s="166" t="n"/>
      <c r="B4774" s="63" t="n"/>
      <c r="C4774" s="64" t="n"/>
      <c r="D4774" s="167" t="n"/>
      <c r="E4774" s="63" t="n"/>
      <c r="F4774" s="63" t="n"/>
    </row>
    <row r="4775">
      <c r="A4775" s="166" t="n"/>
      <c r="B4775" s="63" t="n"/>
      <c r="C4775" s="64" t="n"/>
      <c r="D4775" s="167" t="n"/>
      <c r="E4775" s="63" t="n"/>
      <c r="F4775" s="63" t="n"/>
    </row>
    <row r="4776">
      <c r="A4776" s="166" t="n"/>
      <c r="B4776" s="63" t="n"/>
      <c r="C4776" s="64" t="n"/>
      <c r="D4776" s="167" t="n"/>
      <c r="E4776" s="63" t="n"/>
      <c r="F4776" s="63" t="n"/>
    </row>
    <row r="4777">
      <c r="A4777" s="166" t="n"/>
      <c r="B4777" s="63" t="n"/>
      <c r="C4777" s="64" t="n"/>
      <c r="D4777" s="167" t="n"/>
      <c r="E4777" s="63" t="n"/>
      <c r="F4777" s="63" t="n"/>
    </row>
    <row r="4778">
      <c r="A4778" s="166" t="n"/>
      <c r="B4778" s="63" t="n"/>
      <c r="C4778" s="64" t="n"/>
      <c r="D4778" s="167" t="n"/>
      <c r="E4778" s="63" t="n"/>
      <c r="F4778" s="63" t="n"/>
    </row>
    <row r="4779">
      <c r="A4779" s="166" t="n"/>
      <c r="B4779" s="63" t="n"/>
      <c r="C4779" s="64" t="n"/>
      <c r="D4779" s="167" t="n"/>
      <c r="E4779" s="63" t="n"/>
      <c r="F4779" s="63" t="n"/>
    </row>
    <row r="4780">
      <c r="A4780" s="166" t="n"/>
      <c r="B4780" s="63" t="n"/>
      <c r="C4780" s="64" t="n"/>
      <c r="D4780" s="167" t="n"/>
      <c r="E4780" s="63" t="n"/>
      <c r="F4780" s="63" t="n"/>
    </row>
    <row r="4781">
      <c r="A4781" s="166" t="n"/>
      <c r="B4781" s="63" t="n"/>
      <c r="C4781" s="64" t="n"/>
      <c r="D4781" s="167" t="n"/>
      <c r="E4781" s="63" t="n"/>
      <c r="F4781" s="63" t="n"/>
    </row>
    <row r="4782">
      <c r="A4782" s="166" t="n"/>
      <c r="B4782" s="63" t="n"/>
      <c r="C4782" s="64" t="n"/>
      <c r="D4782" s="167" t="n"/>
      <c r="E4782" s="63" t="n"/>
      <c r="F4782" s="63" t="n"/>
    </row>
    <row r="4783">
      <c r="A4783" s="166" t="n"/>
      <c r="B4783" s="63" t="n"/>
      <c r="C4783" s="64" t="n"/>
      <c r="D4783" s="167" t="n"/>
      <c r="E4783" s="63" t="n"/>
      <c r="F4783" s="63" t="n"/>
    </row>
    <row r="4784">
      <c r="A4784" s="166" t="n"/>
      <c r="B4784" s="63" t="n"/>
      <c r="C4784" s="64" t="n"/>
      <c r="D4784" s="167" t="n"/>
      <c r="E4784" s="63" t="n"/>
      <c r="F4784" s="63" t="n"/>
    </row>
    <row r="4785">
      <c r="A4785" s="166" t="n"/>
      <c r="B4785" s="63" t="n"/>
      <c r="C4785" s="64" t="n"/>
      <c r="D4785" s="167" t="n"/>
      <c r="E4785" s="63" t="n"/>
      <c r="F4785" s="63" t="n"/>
    </row>
    <row r="4786">
      <c r="A4786" s="166" t="n"/>
      <c r="B4786" s="63" t="n"/>
      <c r="C4786" s="64" t="n"/>
      <c r="D4786" s="167" t="n"/>
      <c r="E4786" s="63" t="n"/>
      <c r="F4786" s="63" t="n"/>
    </row>
    <row r="4787">
      <c r="A4787" s="166" t="n"/>
      <c r="B4787" s="63" t="n"/>
      <c r="C4787" s="64" t="n"/>
      <c r="D4787" s="167" t="n"/>
      <c r="E4787" s="63" t="n"/>
      <c r="F4787" s="63" t="n"/>
    </row>
    <row r="4788">
      <c r="A4788" s="166" t="n"/>
      <c r="B4788" s="63" t="n"/>
      <c r="C4788" s="64" t="n"/>
      <c r="D4788" s="167" t="n"/>
      <c r="E4788" s="63" t="n"/>
      <c r="F4788" s="63" t="n"/>
    </row>
    <row r="4789">
      <c r="A4789" s="166" t="n"/>
      <c r="B4789" s="63" t="n"/>
      <c r="C4789" s="64" t="n"/>
      <c r="D4789" s="167" t="n"/>
      <c r="E4789" s="63" t="n"/>
      <c r="F4789" s="63" t="n"/>
    </row>
    <row r="4790">
      <c r="A4790" s="166" t="n"/>
      <c r="B4790" s="63" t="n"/>
      <c r="C4790" s="64" t="n"/>
      <c r="D4790" s="167" t="n"/>
      <c r="E4790" s="63" t="n"/>
      <c r="F4790" s="63" t="n"/>
    </row>
    <row r="4791">
      <c r="A4791" s="166" t="n"/>
      <c r="B4791" s="63" t="n"/>
      <c r="C4791" s="64" t="n"/>
      <c r="D4791" s="167" t="n"/>
      <c r="E4791" s="63" t="n"/>
      <c r="F4791" s="63" t="n"/>
    </row>
    <row r="4792">
      <c r="A4792" s="166" t="n"/>
      <c r="B4792" s="63" t="n"/>
      <c r="C4792" s="64" t="n"/>
      <c r="D4792" s="167" t="n"/>
      <c r="E4792" s="63" t="n"/>
      <c r="F4792" s="63" t="n"/>
    </row>
    <row r="4793">
      <c r="A4793" s="166" t="n"/>
      <c r="B4793" s="63" t="n"/>
      <c r="C4793" s="64" t="n"/>
      <c r="D4793" s="167" t="n"/>
      <c r="E4793" s="63" t="n"/>
      <c r="F4793" s="63" t="n"/>
    </row>
    <row r="4794">
      <c r="A4794" s="166" t="n"/>
      <c r="B4794" s="63" t="n"/>
      <c r="C4794" s="64" t="n"/>
      <c r="D4794" s="167" t="n"/>
      <c r="E4794" s="63" t="n"/>
      <c r="F4794" s="63" t="n"/>
    </row>
    <row r="4795">
      <c r="A4795" s="166" t="n"/>
      <c r="B4795" s="63" t="n"/>
      <c r="C4795" s="64" t="n"/>
      <c r="D4795" s="167" t="n"/>
      <c r="E4795" s="63" t="n"/>
      <c r="F4795" s="63" t="n"/>
    </row>
    <row r="4796">
      <c r="A4796" s="166" t="n"/>
      <c r="B4796" s="63" t="n"/>
      <c r="C4796" s="64" t="n"/>
      <c r="D4796" s="167" t="n"/>
      <c r="E4796" s="63" t="n"/>
      <c r="F4796" s="63" t="n"/>
    </row>
    <row r="4797">
      <c r="A4797" s="166" t="n"/>
      <c r="B4797" s="63" t="n"/>
      <c r="C4797" s="64" t="n"/>
      <c r="D4797" s="167" t="n"/>
      <c r="E4797" s="63" t="n"/>
      <c r="F4797" s="63" t="n"/>
    </row>
    <row r="4798">
      <c r="A4798" s="166" t="n"/>
      <c r="B4798" s="63" t="n"/>
      <c r="C4798" s="64" t="n"/>
      <c r="D4798" s="167" t="n"/>
      <c r="E4798" s="63" t="n"/>
      <c r="F4798" s="63" t="n"/>
    </row>
    <row r="4799">
      <c r="A4799" s="166" t="n"/>
      <c r="B4799" s="63" t="n"/>
      <c r="C4799" s="64" t="n"/>
      <c r="D4799" s="167" t="n"/>
      <c r="E4799" s="63" t="n"/>
      <c r="F4799" s="63" t="n"/>
    </row>
    <row r="4800">
      <c r="A4800" s="166" t="n"/>
      <c r="B4800" s="63" t="n"/>
      <c r="C4800" s="64" t="n"/>
      <c r="D4800" s="167" t="n"/>
      <c r="E4800" s="63" t="n"/>
      <c r="F4800" s="63" t="n"/>
    </row>
    <row r="4801">
      <c r="A4801" s="166" t="n"/>
      <c r="B4801" s="63" t="n"/>
      <c r="C4801" s="64" t="n"/>
      <c r="D4801" s="167" t="n"/>
      <c r="E4801" s="63" t="n"/>
      <c r="F4801" s="63" t="n"/>
    </row>
    <row r="4802">
      <c r="A4802" s="166" t="n"/>
      <c r="B4802" s="63" t="n"/>
      <c r="C4802" s="64" t="n"/>
      <c r="D4802" s="167" t="n"/>
      <c r="E4802" s="63" t="n"/>
      <c r="F4802" s="63" t="n"/>
    </row>
    <row r="4803">
      <c r="A4803" s="166" t="n"/>
      <c r="B4803" s="63" t="n"/>
      <c r="C4803" s="64" t="n"/>
      <c r="D4803" s="167" t="n"/>
      <c r="E4803" s="63" t="n"/>
      <c r="F4803" s="63" t="n"/>
    </row>
    <row r="4804">
      <c r="A4804" s="166" t="n"/>
      <c r="B4804" s="63" t="n"/>
      <c r="C4804" s="64" t="n"/>
      <c r="D4804" s="167" t="n"/>
      <c r="E4804" s="63" t="n"/>
      <c r="F4804" s="63" t="n"/>
    </row>
    <row r="4805">
      <c r="A4805" s="166" t="n"/>
      <c r="B4805" s="63" t="n"/>
      <c r="C4805" s="64" t="n"/>
      <c r="D4805" s="167" t="n"/>
      <c r="E4805" s="63" t="n"/>
      <c r="F4805" s="63" t="n"/>
    </row>
    <row r="4806">
      <c r="A4806" s="166" t="n"/>
      <c r="B4806" s="63" t="n"/>
      <c r="C4806" s="64" t="n"/>
      <c r="D4806" s="167" t="n"/>
      <c r="E4806" s="63" t="n"/>
      <c r="F4806" s="63" t="n"/>
    </row>
    <row r="4807">
      <c r="A4807" s="166" t="n"/>
      <c r="B4807" s="63" t="n"/>
      <c r="C4807" s="64" t="n"/>
      <c r="D4807" s="167" t="n"/>
      <c r="E4807" s="63" t="n"/>
      <c r="F4807" s="63" t="n"/>
    </row>
    <row r="4808">
      <c r="A4808" s="166" t="n"/>
      <c r="B4808" s="63" t="n"/>
      <c r="C4808" s="64" t="n"/>
      <c r="D4808" s="167" t="n"/>
      <c r="E4808" s="63" t="n"/>
      <c r="F4808" s="63" t="n"/>
    </row>
    <row r="4809">
      <c r="A4809" s="166" t="n"/>
      <c r="B4809" s="63" t="n"/>
      <c r="C4809" s="64" t="n"/>
      <c r="D4809" s="167" t="n"/>
      <c r="E4809" s="63" t="n"/>
      <c r="F4809" s="63" t="n"/>
    </row>
    <row r="4810">
      <c r="A4810" s="166" t="n"/>
      <c r="B4810" s="63" t="n"/>
      <c r="C4810" s="64" t="n"/>
      <c r="D4810" s="167" t="n"/>
      <c r="E4810" s="63" t="n"/>
      <c r="F4810" s="63" t="n"/>
    </row>
    <row r="4811">
      <c r="A4811" s="166" t="n"/>
      <c r="B4811" s="63" t="n"/>
      <c r="C4811" s="64" t="n"/>
      <c r="D4811" s="167" t="n"/>
      <c r="E4811" s="63" t="n"/>
      <c r="F4811" s="63" t="n"/>
    </row>
    <row r="4812">
      <c r="A4812" s="166" t="n"/>
      <c r="B4812" s="63" t="n"/>
      <c r="C4812" s="64" t="n"/>
      <c r="D4812" s="167" t="n"/>
      <c r="E4812" s="63" t="n"/>
      <c r="F4812" s="63" t="n"/>
    </row>
    <row r="4813">
      <c r="A4813" s="166" t="n"/>
      <c r="B4813" s="63" t="n"/>
      <c r="C4813" s="64" t="n"/>
      <c r="D4813" s="167" t="n"/>
      <c r="E4813" s="63" t="n"/>
      <c r="F4813" s="63" t="n"/>
    </row>
    <row r="4814">
      <c r="A4814" s="166" t="n"/>
      <c r="B4814" s="63" t="n"/>
      <c r="C4814" s="64" t="n"/>
      <c r="D4814" s="167" t="n"/>
      <c r="E4814" s="63" t="n"/>
      <c r="F4814" s="63" t="n"/>
    </row>
    <row r="4815">
      <c r="A4815" s="166" t="n"/>
      <c r="B4815" s="63" t="n"/>
      <c r="C4815" s="64" t="n"/>
      <c r="D4815" s="167" t="n"/>
      <c r="E4815" s="63" t="n"/>
      <c r="F4815" s="63" t="n"/>
    </row>
    <row r="4816">
      <c r="A4816" s="166" t="n"/>
      <c r="B4816" s="63" t="n"/>
      <c r="C4816" s="64" t="n"/>
      <c r="D4816" s="167" t="n"/>
      <c r="E4816" s="63" t="n"/>
      <c r="F4816" s="63" t="n"/>
    </row>
    <row r="4817">
      <c r="A4817" s="166" t="n"/>
      <c r="B4817" s="63" t="n"/>
      <c r="C4817" s="64" t="n"/>
      <c r="D4817" s="167" t="n"/>
      <c r="E4817" s="63" t="n"/>
      <c r="F4817" s="63" t="n"/>
    </row>
    <row r="4818">
      <c r="A4818" s="166" t="n"/>
      <c r="B4818" s="63" t="n"/>
      <c r="C4818" s="64" t="n"/>
      <c r="D4818" s="167" t="n"/>
      <c r="E4818" s="63" t="n"/>
      <c r="F4818" s="63" t="n"/>
    </row>
    <row r="4819">
      <c r="A4819" s="166" t="n"/>
      <c r="B4819" s="63" t="n"/>
      <c r="C4819" s="64" t="n"/>
      <c r="D4819" s="167" t="n"/>
      <c r="E4819" s="63" t="n"/>
      <c r="F4819" s="63" t="n"/>
    </row>
    <row r="4820">
      <c r="A4820" s="166" t="n"/>
      <c r="B4820" s="63" t="n"/>
      <c r="C4820" s="64" t="n"/>
      <c r="D4820" s="167" t="n"/>
      <c r="E4820" s="63" t="n"/>
      <c r="F4820" s="63" t="n"/>
    </row>
    <row r="4821">
      <c r="A4821" s="166" t="n"/>
      <c r="B4821" s="63" t="n"/>
      <c r="C4821" s="64" t="n"/>
      <c r="D4821" s="167" t="n"/>
      <c r="E4821" s="63" t="n"/>
      <c r="F4821" s="63" t="n"/>
    </row>
    <row r="4822">
      <c r="A4822" s="166" t="n"/>
      <c r="B4822" s="63" t="n"/>
      <c r="C4822" s="64" t="n"/>
      <c r="D4822" s="167" t="n"/>
      <c r="E4822" s="63" t="n"/>
      <c r="F4822" s="63" t="n"/>
    </row>
    <row r="4823">
      <c r="A4823" s="166" t="n"/>
      <c r="B4823" s="63" t="n"/>
      <c r="C4823" s="64" t="n"/>
      <c r="D4823" s="167" t="n"/>
      <c r="E4823" s="63" t="n"/>
      <c r="F4823" s="63" t="n"/>
    </row>
    <row r="4824">
      <c r="A4824" s="166" t="n"/>
      <c r="B4824" s="63" t="n"/>
      <c r="C4824" s="64" t="n"/>
      <c r="D4824" s="167" t="n"/>
      <c r="E4824" s="63" t="n"/>
      <c r="F4824" s="63" t="n"/>
    </row>
    <row r="4825">
      <c r="A4825" s="166" t="n"/>
      <c r="B4825" s="63" t="n"/>
      <c r="C4825" s="64" t="n"/>
      <c r="D4825" s="167" t="n"/>
      <c r="E4825" s="63" t="n"/>
      <c r="F4825" s="63" t="n"/>
    </row>
    <row r="4826">
      <c r="A4826" s="166" t="n"/>
      <c r="B4826" s="63" t="n"/>
      <c r="C4826" s="64" t="n"/>
      <c r="D4826" s="167" t="n"/>
      <c r="E4826" s="63" t="n"/>
      <c r="F4826" s="63" t="n"/>
    </row>
    <row r="4827">
      <c r="A4827" s="166" t="n"/>
      <c r="B4827" s="63" t="n"/>
      <c r="C4827" s="64" t="n"/>
      <c r="D4827" s="167" t="n"/>
      <c r="E4827" s="63" t="n"/>
      <c r="F4827" s="63" t="n"/>
    </row>
    <row r="4828">
      <c r="A4828" s="166" t="n"/>
      <c r="B4828" s="63" t="n"/>
      <c r="C4828" s="64" t="n"/>
      <c r="D4828" s="167" t="n"/>
      <c r="E4828" s="63" t="n"/>
      <c r="F4828" s="63" t="n"/>
    </row>
    <row r="4829">
      <c r="A4829" s="166" t="n"/>
      <c r="B4829" s="63" t="n"/>
      <c r="C4829" s="64" t="n"/>
      <c r="D4829" s="167" t="n"/>
      <c r="E4829" s="63" t="n"/>
      <c r="F4829" s="63" t="n"/>
    </row>
    <row r="4830">
      <c r="A4830" s="166" t="n"/>
      <c r="B4830" s="63" t="n"/>
      <c r="C4830" s="64" t="n"/>
      <c r="D4830" s="167" t="n"/>
      <c r="E4830" s="63" t="n"/>
      <c r="F4830" s="63" t="n"/>
    </row>
    <row r="4831">
      <c r="A4831" s="166" t="n"/>
      <c r="B4831" s="63" t="n"/>
      <c r="C4831" s="64" t="n"/>
      <c r="D4831" s="167" t="n"/>
      <c r="E4831" s="63" t="n"/>
      <c r="F4831" s="63" t="n"/>
    </row>
    <row r="4832">
      <c r="A4832" s="166" t="n"/>
      <c r="B4832" s="63" t="n"/>
      <c r="C4832" s="64" t="n"/>
      <c r="D4832" s="167" t="n"/>
      <c r="E4832" s="63" t="n"/>
      <c r="F4832" s="63" t="n"/>
    </row>
    <row r="4833">
      <c r="A4833" s="166" t="n"/>
      <c r="B4833" s="63" t="n"/>
      <c r="C4833" s="64" t="n"/>
      <c r="D4833" s="167" t="n"/>
      <c r="E4833" s="63" t="n"/>
      <c r="F4833" s="63" t="n"/>
    </row>
    <row r="4834">
      <c r="A4834" s="166" t="n"/>
      <c r="B4834" s="63" t="n"/>
      <c r="C4834" s="64" t="n"/>
      <c r="D4834" s="167" t="n"/>
      <c r="E4834" s="63" t="n"/>
      <c r="F4834" s="63" t="n"/>
    </row>
    <row r="4835">
      <c r="A4835" s="166" t="n"/>
      <c r="B4835" s="63" t="n"/>
      <c r="C4835" s="64" t="n"/>
      <c r="D4835" s="167" t="n"/>
      <c r="E4835" s="63" t="n"/>
      <c r="F4835" s="63" t="n"/>
    </row>
    <row r="4836">
      <c r="A4836" s="166" t="n"/>
      <c r="B4836" s="63" t="n"/>
      <c r="C4836" s="64" t="n"/>
      <c r="D4836" s="167" t="n"/>
      <c r="E4836" s="63" t="n"/>
      <c r="F4836" s="63" t="n"/>
    </row>
    <row r="4837">
      <c r="A4837" s="166" t="n"/>
      <c r="B4837" s="63" t="n"/>
      <c r="C4837" s="64" t="n"/>
      <c r="D4837" s="167" t="n"/>
      <c r="E4837" s="63" t="n"/>
      <c r="F4837" s="63" t="n"/>
    </row>
    <row r="4838">
      <c r="A4838" s="166" t="n"/>
      <c r="B4838" s="63" t="n"/>
      <c r="C4838" s="64" t="n"/>
      <c r="D4838" s="167" t="n"/>
      <c r="E4838" s="63" t="n"/>
      <c r="F4838" s="63" t="n"/>
    </row>
    <row r="4839">
      <c r="A4839" s="166" t="n"/>
      <c r="B4839" s="63" t="n"/>
      <c r="C4839" s="64" t="n"/>
      <c r="D4839" s="167" t="n"/>
      <c r="E4839" s="63" t="n"/>
      <c r="F4839" s="63" t="n"/>
    </row>
    <row r="4840">
      <c r="A4840" s="166" t="n"/>
      <c r="B4840" s="63" t="n"/>
      <c r="C4840" s="64" t="n"/>
      <c r="D4840" s="167" t="n"/>
      <c r="E4840" s="63" t="n"/>
      <c r="F4840" s="63" t="n"/>
    </row>
    <row r="4841">
      <c r="A4841" s="166" t="n"/>
      <c r="B4841" s="63" t="n"/>
      <c r="C4841" s="64" t="n"/>
      <c r="D4841" s="167" t="n"/>
      <c r="E4841" s="63" t="n"/>
      <c r="F4841" s="63" t="n"/>
    </row>
    <row r="4842">
      <c r="A4842" s="166" t="n"/>
      <c r="B4842" s="63" t="n"/>
      <c r="C4842" s="64" t="n"/>
      <c r="D4842" s="167" t="n"/>
      <c r="E4842" s="63" t="n"/>
      <c r="F4842" s="63" t="n"/>
    </row>
    <row r="4843">
      <c r="A4843" s="166" t="n"/>
      <c r="B4843" s="63" t="n"/>
      <c r="C4843" s="64" t="n"/>
      <c r="D4843" s="167" t="n"/>
      <c r="E4843" s="63" t="n"/>
      <c r="F4843" s="63" t="n"/>
    </row>
    <row r="4844">
      <c r="A4844" s="166" t="n"/>
      <c r="B4844" s="63" t="n"/>
      <c r="C4844" s="64" t="n"/>
      <c r="D4844" s="167" t="n"/>
      <c r="E4844" s="63" t="n"/>
      <c r="F4844" s="63" t="n"/>
    </row>
    <row r="4845">
      <c r="A4845" s="166" t="n"/>
      <c r="B4845" s="63" t="n"/>
      <c r="C4845" s="64" t="n"/>
      <c r="D4845" s="167" t="n"/>
      <c r="E4845" s="63" t="n"/>
      <c r="F4845" s="63" t="n"/>
    </row>
    <row r="4846">
      <c r="A4846" s="166" t="n"/>
      <c r="B4846" s="63" t="n"/>
      <c r="C4846" s="64" t="n"/>
      <c r="D4846" s="167" t="n"/>
      <c r="E4846" s="63" t="n"/>
      <c r="F4846" s="63" t="n"/>
    </row>
    <row r="4847">
      <c r="A4847" s="166" t="n"/>
      <c r="B4847" s="63" t="n"/>
      <c r="C4847" s="64" t="n"/>
      <c r="D4847" s="167" t="n"/>
      <c r="E4847" s="63" t="n"/>
      <c r="F4847" s="63" t="n"/>
    </row>
    <row r="4848">
      <c r="A4848" s="166" t="n"/>
      <c r="B4848" s="63" t="n"/>
      <c r="C4848" s="64" t="n"/>
      <c r="D4848" s="167" t="n"/>
      <c r="E4848" s="63" t="n"/>
      <c r="F4848" s="63" t="n"/>
    </row>
    <row r="4849">
      <c r="A4849" s="166" t="n"/>
      <c r="B4849" s="63" t="n"/>
      <c r="C4849" s="64" t="n"/>
      <c r="D4849" s="167" t="n"/>
      <c r="E4849" s="63" t="n"/>
      <c r="F4849" s="63" t="n"/>
    </row>
    <row r="4850">
      <c r="A4850" s="166" t="n"/>
      <c r="B4850" s="63" t="n"/>
      <c r="C4850" s="64" t="n"/>
      <c r="D4850" s="167" t="n"/>
      <c r="E4850" s="63" t="n"/>
      <c r="F4850" s="63" t="n"/>
    </row>
    <row r="4851">
      <c r="A4851" s="166" t="n"/>
      <c r="B4851" s="63" t="n"/>
      <c r="C4851" s="64" t="n"/>
      <c r="D4851" s="167" t="n"/>
      <c r="E4851" s="63" t="n"/>
      <c r="F4851" s="63" t="n"/>
    </row>
    <row r="4852">
      <c r="A4852" s="166" t="n"/>
      <c r="B4852" s="63" t="n"/>
      <c r="C4852" s="64" t="n"/>
      <c r="D4852" s="167" t="n"/>
      <c r="E4852" s="63" t="n"/>
      <c r="F4852" s="63" t="n"/>
    </row>
    <row r="4853">
      <c r="A4853" s="166" t="n"/>
      <c r="B4853" s="63" t="n"/>
      <c r="C4853" s="64" t="n"/>
      <c r="D4853" s="167" t="n"/>
      <c r="E4853" s="63" t="n"/>
      <c r="F4853" s="63" t="n"/>
    </row>
    <row r="4854">
      <c r="A4854" s="166" t="n"/>
      <c r="B4854" s="63" t="n"/>
      <c r="C4854" s="64" t="n"/>
      <c r="D4854" s="167" t="n"/>
      <c r="E4854" s="63" t="n"/>
      <c r="F4854" s="63" t="n"/>
    </row>
    <row r="4855">
      <c r="A4855" s="166" t="n"/>
      <c r="B4855" s="63" t="n"/>
      <c r="C4855" s="64" t="n"/>
      <c r="D4855" s="167" t="n"/>
      <c r="E4855" s="63" t="n"/>
      <c r="F4855" s="63" t="n"/>
    </row>
    <row r="4856">
      <c r="A4856" s="166" t="n"/>
      <c r="B4856" s="63" t="n"/>
      <c r="C4856" s="64" t="n"/>
      <c r="D4856" s="167" t="n"/>
      <c r="E4856" s="63" t="n"/>
      <c r="F4856" s="63" t="n"/>
    </row>
    <row r="4857">
      <c r="A4857" s="166" t="n"/>
      <c r="B4857" s="63" t="n"/>
      <c r="C4857" s="64" t="n"/>
      <c r="D4857" s="167" t="n"/>
      <c r="E4857" s="63" t="n"/>
      <c r="F4857" s="63" t="n"/>
    </row>
    <row r="4858">
      <c r="A4858" s="166" t="n"/>
      <c r="B4858" s="63" t="n"/>
      <c r="C4858" s="64" t="n"/>
      <c r="D4858" s="167" t="n"/>
      <c r="E4858" s="63" t="n"/>
      <c r="F4858" s="63" t="n"/>
    </row>
    <row r="4859">
      <c r="A4859" s="166" t="n"/>
      <c r="B4859" s="63" t="n"/>
      <c r="C4859" s="64" t="n"/>
      <c r="D4859" s="167" t="n"/>
      <c r="E4859" s="63" t="n"/>
      <c r="F4859" s="63" t="n"/>
    </row>
    <row r="4860">
      <c r="A4860" s="166" t="n"/>
      <c r="B4860" s="63" t="n"/>
      <c r="C4860" s="64" t="n"/>
      <c r="D4860" s="167" t="n"/>
      <c r="E4860" s="63" t="n"/>
      <c r="F4860" s="63" t="n"/>
    </row>
    <row r="4861">
      <c r="A4861" s="166" t="n"/>
      <c r="B4861" s="63" t="n"/>
      <c r="C4861" s="64" t="n"/>
      <c r="D4861" s="167" t="n"/>
      <c r="E4861" s="63" t="n"/>
      <c r="F4861" s="63" t="n"/>
    </row>
    <row r="4862">
      <c r="A4862" s="166" t="n"/>
      <c r="B4862" s="63" t="n"/>
      <c r="C4862" s="64" t="n"/>
      <c r="D4862" s="167" t="n"/>
      <c r="E4862" s="63" t="n"/>
      <c r="F4862" s="63" t="n"/>
    </row>
    <row r="4863">
      <c r="A4863" s="166" t="n"/>
      <c r="B4863" s="63" t="n"/>
      <c r="C4863" s="64" t="n"/>
      <c r="D4863" s="167" t="n"/>
      <c r="E4863" s="63" t="n"/>
      <c r="F4863" s="63" t="n"/>
    </row>
    <row r="4864">
      <c r="A4864" s="166" t="n"/>
      <c r="B4864" s="63" t="n"/>
      <c r="C4864" s="64" t="n"/>
      <c r="D4864" s="167" t="n"/>
      <c r="E4864" s="63" t="n"/>
      <c r="F4864" s="63" t="n"/>
    </row>
    <row r="4865">
      <c r="A4865" s="166" t="n"/>
      <c r="B4865" s="63" t="n"/>
      <c r="C4865" s="64" t="n"/>
      <c r="D4865" s="167" t="n"/>
      <c r="E4865" s="63" t="n"/>
      <c r="F4865" s="63" t="n"/>
    </row>
    <row r="4866">
      <c r="A4866" s="166" t="n"/>
      <c r="B4866" s="63" t="n"/>
      <c r="C4866" s="64" t="n"/>
      <c r="D4866" s="167" t="n"/>
      <c r="E4866" s="63" t="n"/>
      <c r="F4866" s="63" t="n"/>
    </row>
    <row r="4867">
      <c r="A4867" s="166" t="n"/>
      <c r="B4867" s="63" t="n"/>
      <c r="C4867" s="64" t="n"/>
      <c r="D4867" s="167" t="n"/>
      <c r="E4867" s="63" t="n"/>
      <c r="F4867" s="63" t="n"/>
    </row>
    <row r="4868">
      <c r="A4868" s="166" t="n"/>
      <c r="B4868" s="63" t="n"/>
      <c r="C4868" s="64" t="n"/>
      <c r="D4868" s="167" t="n"/>
      <c r="E4868" s="63" t="n"/>
      <c r="F4868" s="63" t="n"/>
    </row>
    <row r="4869">
      <c r="A4869" s="166" t="n"/>
      <c r="B4869" s="63" t="n"/>
      <c r="C4869" s="64" t="n"/>
      <c r="D4869" s="167" t="n"/>
      <c r="E4869" s="63" t="n"/>
      <c r="F4869" s="63" t="n"/>
    </row>
    <row r="4870">
      <c r="A4870" s="166" t="n"/>
      <c r="B4870" s="63" t="n"/>
      <c r="C4870" s="64" t="n"/>
      <c r="D4870" s="167" t="n"/>
      <c r="E4870" s="63" t="n"/>
      <c r="F4870" s="63" t="n"/>
    </row>
    <row r="4871">
      <c r="A4871" s="166" t="n"/>
      <c r="B4871" s="63" t="n"/>
      <c r="C4871" s="64" t="n"/>
      <c r="D4871" s="167" t="n"/>
      <c r="E4871" s="63" t="n"/>
      <c r="F4871" s="63" t="n"/>
    </row>
    <row r="4872">
      <c r="A4872" s="166" t="n"/>
      <c r="B4872" s="63" t="n"/>
      <c r="C4872" s="64" t="n"/>
      <c r="D4872" s="167" t="n"/>
      <c r="E4872" s="63" t="n"/>
      <c r="F4872" s="63" t="n"/>
    </row>
    <row r="4873">
      <c r="A4873" s="166" t="n"/>
      <c r="B4873" s="63" t="n"/>
      <c r="C4873" s="64" t="n"/>
      <c r="D4873" s="167" t="n"/>
      <c r="E4873" s="63" t="n"/>
      <c r="F4873" s="63" t="n"/>
    </row>
    <row r="4874">
      <c r="A4874" s="166" t="n"/>
      <c r="B4874" s="63" t="n"/>
      <c r="C4874" s="64" t="n"/>
      <c r="D4874" s="167" t="n"/>
      <c r="E4874" s="63" t="n"/>
      <c r="F4874" s="63" t="n"/>
    </row>
    <row r="4875">
      <c r="A4875" s="166" t="n"/>
      <c r="B4875" s="63" t="n"/>
      <c r="C4875" s="64" t="n"/>
      <c r="D4875" s="167" t="n"/>
      <c r="E4875" s="63" t="n"/>
      <c r="F4875" s="63" t="n"/>
    </row>
    <row r="4876">
      <c r="A4876" s="166" t="n"/>
      <c r="B4876" s="63" t="n"/>
      <c r="C4876" s="64" t="n"/>
      <c r="D4876" s="167" t="n"/>
      <c r="E4876" s="63" t="n"/>
      <c r="F4876" s="63" t="n"/>
    </row>
    <row r="4877">
      <c r="A4877" s="166" t="n"/>
      <c r="B4877" s="63" t="n"/>
      <c r="C4877" s="64" t="n"/>
      <c r="D4877" s="167" t="n"/>
      <c r="E4877" s="63" t="n"/>
      <c r="F4877" s="63" t="n"/>
    </row>
    <row r="4878">
      <c r="A4878" s="166" t="n"/>
      <c r="B4878" s="63" t="n"/>
      <c r="C4878" s="64" t="n"/>
      <c r="D4878" s="167" t="n"/>
      <c r="E4878" s="63" t="n"/>
      <c r="F4878" s="63" t="n"/>
    </row>
    <row r="4879">
      <c r="A4879" s="166" t="n"/>
      <c r="B4879" s="63" t="n"/>
      <c r="C4879" s="64" t="n"/>
      <c r="D4879" s="167" t="n"/>
      <c r="E4879" s="63" t="n"/>
      <c r="F4879" s="63" t="n"/>
    </row>
    <row r="4880">
      <c r="A4880" s="166" t="n"/>
      <c r="B4880" s="63" t="n"/>
      <c r="C4880" s="64" t="n"/>
      <c r="D4880" s="167" t="n"/>
      <c r="E4880" s="63" t="n"/>
      <c r="F4880" s="63" t="n"/>
    </row>
    <row r="4881">
      <c r="A4881" s="166" t="n"/>
      <c r="B4881" s="63" t="n"/>
      <c r="C4881" s="64" t="n"/>
      <c r="D4881" s="167" t="n"/>
      <c r="E4881" s="63" t="n"/>
      <c r="F4881" s="63" t="n"/>
    </row>
    <row r="4882">
      <c r="A4882" s="166" t="n"/>
      <c r="B4882" s="63" t="n"/>
      <c r="C4882" s="64" t="n"/>
      <c r="D4882" s="167" t="n"/>
      <c r="E4882" s="63" t="n"/>
      <c r="F4882" s="63" t="n"/>
    </row>
    <row r="4883">
      <c r="A4883" s="166" t="n"/>
      <c r="B4883" s="63" t="n"/>
      <c r="C4883" s="64" t="n"/>
      <c r="D4883" s="167" t="n"/>
      <c r="E4883" s="63" t="n"/>
      <c r="F4883" s="63" t="n"/>
    </row>
    <row r="4884">
      <c r="A4884" s="166" t="n"/>
      <c r="B4884" s="63" t="n"/>
      <c r="C4884" s="64" t="n"/>
      <c r="D4884" s="167" t="n"/>
      <c r="E4884" s="63" t="n"/>
      <c r="F4884" s="63" t="n"/>
    </row>
    <row r="4885">
      <c r="A4885" s="166" t="n"/>
      <c r="B4885" s="63" t="n"/>
      <c r="C4885" s="64" t="n"/>
      <c r="D4885" s="167" t="n"/>
      <c r="E4885" s="63" t="n"/>
      <c r="F4885" s="63" t="n"/>
    </row>
    <row r="4886">
      <c r="A4886" s="166" t="n"/>
      <c r="B4886" s="63" t="n"/>
      <c r="C4886" s="64" t="n"/>
      <c r="D4886" s="167" t="n"/>
      <c r="E4886" s="63" t="n"/>
      <c r="F4886" s="63" t="n"/>
    </row>
    <row r="4887">
      <c r="A4887" s="166" t="n"/>
      <c r="B4887" s="63" t="n"/>
      <c r="C4887" s="64" t="n"/>
      <c r="D4887" s="167" t="n"/>
      <c r="E4887" s="63" t="n"/>
      <c r="F4887" s="63" t="n"/>
    </row>
    <row r="4888">
      <c r="A4888" s="166" t="n"/>
      <c r="B4888" s="63" t="n"/>
      <c r="C4888" s="64" t="n"/>
      <c r="D4888" s="167" t="n"/>
      <c r="E4888" s="63" t="n"/>
      <c r="F4888" s="63" t="n"/>
    </row>
    <row r="4889">
      <c r="A4889" s="166" t="n"/>
      <c r="B4889" s="63" t="n"/>
      <c r="C4889" s="64" t="n"/>
      <c r="D4889" s="167" t="n"/>
      <c r="E4889" s="63" t="n"/>
      <c r="F4889" s="63" t="n"/>
    </row>
    <row r="4890">
      <c r="A4890" s="166" t="n"/>
      <c r="B4890" s="63" t="n"/>
      <c r="C4890" s="64" t="n"/>
      <c r="D4890" s="167" t="n"/>
      <c r="E4890" s="63" t="n"/>
      <c r="F4890" s="63" t="n"/>
    </row>
    <row r="4891">
      <c r="A4891" s="166" t="n"/>
      <c r="B4891" s="63" t="n"/>
      <c r="C4891" s="64" t="n"/>
      <c r="D4891" s="167" t="n"/>
      <c r="E4891" s="63" t="n"/>
      <c r="F4891" s="63" t="n"/>
    </row>
    <row r="4892">
      <c r="A4892" s="166" t="n"/>
      <c r="B4892" s="63" t="n"/>
      <c r="C4892" s="64" t="n"/>
      <c r="D4892" s="167" t="n"/>
      <c r="E4892" s="63" t="n"/>
      <c r="F4892" s="63" t="n"/>
    </row>
    <row r="4893">
      <c r="A4893" s="166" t="n"/>
      <c r="B4893" s="63" t="n"/>
      <c r="C4893" s="64" t="n"/>
      <c r="D4893" s="167" t="n"/>
      <c r="E4893" s="63" t="n"/>
      <c r="F4893" s="63" t="n"/>
    </row>
    <row r="4894">
      <c r="A4894" s="166" t="n"/>
      <c r="B4894" s="63" t="n"/>
      <c r="C4894" s="64" t="n"/>
      <c r="D4894" s="167" t="n"/>
      <c r="E4894" s="63" t="n"/>
      <c r="F4894" s="63" t="n"/>
    </row>
    <row r="4895">
      <c r="A4895" s="166" t="n"/>
      <c r="B4895" s="63" t="n"/>
      <c r="C4895" s="64" t="n"/>
      <c r="D4895" s="167" t="n"/>
      <c r="E4895" s="63" t="n"/>
      <c r="F4895" s="63" t="n"/>
    </row>
    <row r="4896">
      <c r="A4896" s="166" t="n"/>
      <c r="B4896" s="63" t="n"/>
      <c r="C4896" s="64" t="n"/>
      <c r="D4896" s="167" t="n"/>
      <c r="E4896" s="63" t="n"/>
      <c r="F4896" s="63" t="n"/>
    </row>
    <row r="4897">
      <c r="A4897" s="166" t="n"/>
      <c r="B4897" s="63" t="n"/>
      <c r="C4897" s="64" t="n"/>
      <c r="D4897" s="167" t="n"/>
      <c r="E4897" s="63" t="n"/>
      <c r="F4897" s="63" t="n"/>
    </row>
    <row r="4898">
      <c r="A4898" s="166" t="n"/>
      <c r="B4898" s="63" t="n"/>
      <c r="C4898" s="64" t="n"/>
      <c r="D4898" s="167" t="n"/>
      <c r="E4898" s="63" t="n"/>
      <c r="F4898" s="63" t="n"/>
    </row>
    <row r="4899">
      <c r="A4899" s="166" t="n"/>
      <c r="B4899" s="63" t="n"/>
      <c r="C4899" s="64" t="n"/>
      <c r="D4899" s="167" t="n"/>
      <c r="E4899" s="63" t="n"/>
      <c r="F4899" s="63" t="n"/>
    </row>
    <row r="4900">
      <c r="A4900" s="166" t="n"/>
      <c r="B4900" s="63" t="n"/>
      <c r="C4900" s="64" t="n"/>
      <c r="D4900" s="167" t="n"/>
      <c r="E4900" s="63" t="n"/>
      <c r="F4900" s="63" t="n"/>
    </row>
    <row r="4901">
      <c r="A4901" s="166" t="n"/>
      <c r="B4901" s="63" t="n"/>
      <c r="C4901" s="64" t="n"/>
      <c r="D4901" s="167" t="n"/>
      <c r="E4901" s="63" t="n"/>
      <c r="F4901" s="63" t="n"/>
    </row>
    <row r="4902">
      <c r="A4902" s="166" t="n"/>
      <c r="B4902" s="63" t="n"/>
      <c r="C4902" s="64" t="n"/>
      <c r="D4902" s="167" t="n"/>
      <c r="E4902" s="63" t="n"/>
      <c r="F4902" s="63" t="n"/>
    </row>
    <row r="4903">
      <c r="A4903" s="166" t="n"/>
      <c r="B4903" s="63" t="n"/>
      <c r="C4903" s="64" t="n"/>
      <c r="D4903" s="167" t="n"/>
      <c r="E4903" s="63" t="n"/>
      <c r="F4903" s="63" t="n"/>
    </row>
    <row r="4904">
      <c r="A4904" s="166" t="n"/>
      <c r="B4904" s="63" t="n"/>
      <c r="C4904" s="64" t="n"/>
      <c r="D4904" s="167" t="n"/>
      <c r="E4904" s="63" t="n"/>
      <c r="F4904" s="63" t="n"/>
    </row>
    <row r="4905">
      <c r="A4905" s="166" t="n"/>
      <c r="B4905" s="63" t="n"/>
      <c r="C4905" s="64" t="n"/>
      <c r="D4905" s="167" t="n"/>
      <c r="E4905" s="63" t="n"/>
      <c r="F4905" s="63" t="n"/>
    </row>
    <row r="4906">
      <c r="A4906" s="166" t="n"/>
      <c r="B4906" s="63" t="n"/>
      <c r="C4906" s="64" t="n"/>
      <c r="D4906" s="167" t="n"/>
      <c r="E4906" s="63" t="n"/>
      <c r="F4906" s="63" t="n"/>
    </row>
    <row r="4907">
      <c r="A4907" s="166" t="n"/>
      <c r="B4907" s="63" t="n"/>
      <c r="C4907" s="64" t="n"/>
      <c r="D4907" s="167" t="n"/>
      <c r="E4907" s="63" t="n"/>
      <c r="F4907" s="63" t="n"/>
    </row>
    <row r="4908">
      <c r="A4908" s="166" t="n"/>
      <c r="B4908" s="63" t="n"/>
      <c r="C4908" s="64" t="n"/>
      <c r="D4908" s="167" t="n"/>
      <c r="E4908" s="63" t="n"/>
      <c r="F4908" s="63" t="n"/>
    </row>
    <row r="4909">
      <c r="A4909" s="166" t="n"/>
      <c r="B4909" s="63" t="n"/>
      <c r="C4909" s="64" t="n"/>
      <c r="D4909" s="167" t="n"/>
      <c r="E4909" s="63" t="n"/>
      <c r="F4909" s="63" t="n"/>
    </row>
    <row r="4910">
      <c r="A4910" s="166" t="n"/>
      <c r="B4910" s="63" t="n"/>
      <c r="C4910" s="64" t="n"/>
      <c r="D4910" s="167" t="n"/>
      <c r="E4910" s="63" t="n"/>
      <c r="F4910" s="63" t="n"/>
    </row>
    <row r="4911">
      <c r="A4911" s="166" t="n"/>
      <c r="B4911" s="63" t="n"/>
      <c r="C4911" s="64" t="n"/>
      <c r="D4911" s="167" t="n"/>
      <c r="E4911" s="63" t="n"/>
      <c r="F4911" s="63" t="n"/>
    </row>
    <row r="4912">
      <c r="A4912" s="166" t="n"/>
      <c r="B4912" s="63" t="n"/>
      <c r="C4912" s="64" t="n"/>
      <c r="D4912" s="167" t="n"/>
      <c r="E4912" s="63" t="n"/>
      <c r="F4912" s="63" t="n"/>
    </row>
    <row r="4913">
      <c r="A4913" s="166" t="n"/>
      <c r="B4913" s="63" t="n"/>
      <c r="C4913" s="64" t="n"/>
      <c r="D4913" s="167" t="n"/>
      <c r="E4913" s="63" t="n"/>
      <c r="F4913" s="63" t="n"/>
    </row>
    <row r="4914">
      <c r="A4914" s="166" t="n"/>
      <c r="B4914" s="63" t="n"/>
      <c r="C4914" s="64" t="n"/>
      <c r="D4914" s="167" t="n"/>
      <c r="E4914" s="63" t="n"/>
      <c r="F4914" s="63" t="n"/>
    </row>
    <row r="4915">
      <c r="A4915" s="166" t="n"/>
      <c r="B4915" s="63" t="n"/>
      <c r="C4915" s="64" t="n"/>
      <c r="D4915" s="167" t="n"/>
      <c r="E4915" s="63" t="n"/>
      <c r="F4915" s="63" t="n"/>
    </row>
    <row r="4916">
      <c r="A4916" s="166" t="n"/>
      <c r="B4916" s="63" t="n"/>
      <c r="C4916" s="64" t="n"/>
      <c r="D4916" s="167" t="n"/>
      <c r="E4916" s="63" t="n"/>
      <c r="F4916" s="63" t="n"/>
    </row>
    <row r="4917">
      <c r="A4917" s="166" t="n"/>
      <c r="B4917" s="63" t="n"/>
      <c r="C4917" s="64" t="n"/>
      <c r="D4917" s="167" t="n"/>
      <c r="E4917" s="63" t="n"/>
      <c r="F4917" s="63" t="n"/>
    </row>
    <row r="4918">
      <c r="A4918" s="166" t="n"/>
      <c r="B4918" s="63" t="n"/>
      <c r="C4918" s="64" t="n"/>
      <c r="D4918" s="167" t="n"/>
      <c r="E4918" s="63" t="n"/>
      <c r="F4918" s="63" t="n"/>
    </row>
    <row r="4919">
      <c r="A4919" s="166" t="n"/>
      <c r="B4919" s="63" t="n"/>
      <c r="C4919" s="64" t="n"/>
      <c r="D4919" s="167" t="n"/>
      <c r="E4919" s="63" t="n"/>
      <c r="F4919" s="63" t="n"/>
    </row>
    <row r="4920">
      <c r="A4920" s="166" t="n"/>
      <c r="B4920" s="63" t="n"/>
      <c r="C4920" s="64" t="n"/>
      <c r="D4920" s="167" t="n"/>
      <c r="E4920" s="63" t="n"/>
      <c r="F4920" s="63" t="n"/>
    </row>
    <row r="4921">
      <c r="A4921" s="166" t="n"/>
      <c r="B4921" s="63" t="n"/>
      <c r="C4921" s="64" t="n"/>
      <c r="D4921" s="167" t="n"/>
      <c r="E4921" s="63" t="n"/>
      <c r="F4921" s="63" t="n"/>
    </row>
    <row r="4922">
      <c r="A4922" s="166" t="n"/>
      <c r="B4922" s="63" t="n"/>
      <c r="C4922" s="64" t="n"/>
      <c r="D4922" s="167" t="n"/>
      <c r="E4922" s="63" t="n"/>
      <c r="F4922" s="63" t="n"/>
    </row>
    <row r="4923">
      <c r="A4923" s="166" t="n"/>
      <c r="B4923" s="63" t="n"/>
      <c r="C4923" s="64" t="n"/>
      <c r="D4923" s="167" t="n"/>
      <c r="E4923" s="63" t="n"/>
      <c r="F4923" s="63" t="n"/>
    </row>
    <row r="4924">
      <c r="A4924" s="166" t="n"/>
      <c r="B4924" s="63" t="n"/>
      <c r="C4924" s="64" t="n"/>
      <c r="D4924" s="167" t="n"/>
      <c r="E4924" s="63" t="n"/>
      <c r="F4924" s="63" t="n"/>
    </row>
    <row r="4925">
      <c r="A4925" s="166" t="n"/>
      <c r="B4925" s="63" t="n"/>
      <c r="C4925" s="64" t="n"/>
      <c r="D4925" s="167" t="n"/>
      <c r="E4925" s="63" t="n"/>
      <c r="F4925" s="63" t="n"/>
    </row>
    <row r="4926">
      <c r="A4926" s="166" t="n"/>
      <c r="B4926" s="63" t="n"/>
      <c r="C4926" s="64" t="n"/>
      <c r="D4926" s="167" t="n"/>
      <c r="E4926" s="63" t="n"/>
      <c r="F4926" s="63" t="n"/>
    </row>
    <row r="4927">
      <c r="A4927" s="166" t="n"/>
      <c r="B4927" s="63" t="n"/>
      <c r="C4927" s="64" t="n"/>
      <c r="D4927" s="167" t="n"/>
      <c r="E4927" s="63" t="n"/>
      <c r="F4927" s="63" t="n"/>
    </row>
    <row r="4928">
      <c r="A4928" s="166" t="n"/>
      <c r="B4928" s="63" t="n"/>
      <c r="C4928" s="64" t="n"/>
      <c r="D4928" s="167" t="n"/>
      <c r="E4928" s="63" t="n"/>
      <c r="F4928" s="63" t="n"/>
    </row>
    <row r="4929">
      <c r="A4929" s="166" t="n"/>
      <c r="B4929" s="63" t="n"/>
      <c r="C4929" s="64" t="n"/>
      <c r="D4929" s="167" t="n"/>
      <c r="E4929" s="63" t="n"/>
      <c r="F4929" s="63" t="n"/>
    </row>
    <row r="4930">
      <c r="A4930" s="166" t="n"/>
      <c r="B4930" s="63" t="n"/>
      <c r="C4930" s="64" t="n"/>
      <c r="D4930" s="167" t="n"/>
      <c r="E4930" s="63" t="n"/>
      <c r="F4930" s="63" t="n"/>
    </row>
    <row r="4931">
      <c r="A4931" s="166" t="n"/>
      <c r="B4931" s="63" t="n"/>
      <c r="C4931" s="64" t="n"/>
      <c r="D4931" s="167" t="n"/>
      <c r="E4931" s="63" t="n"/>
      <c r="F4931" s="63" t="n"/>
    </row>
    <row r="4932">
      <c r="A4932" s="166" t="n"/>
      <c r="B4932" s="63" t="n"/>
      <c r="C4932" s="64" t="n"/>
      <c r="D4932" s="167" t="n"/>
      <c r="E4932" s="63" t="n"/>
      <c r="F4932" s="63" t="n"/>
    </row>
    <row r="4933">
      <c r="A4933" s="166" t="n"/>
      <c r="B4933" s="63" t="n"/>
      <c r="C4933" s="64" t="n"/>
      <c r="D4933" s="167" t="n"/>
      <c r="E4933" s="63" t="n"/>
      <c r="F4933" s="63" t="n"/>
    </row>
    <row r="4934">
      <c r="A4934" s="166" t="n"/>
      <c r="B4934" s="63" t="n"/>
      <c r="C4934" s="64" t="n"/>
      <c r="D4934" s="167" t="n"/>
      <c r="E4934" s="63" t="n"/>
      <c r="F4934" s="63" t="n"/>
    </row>
    <row r="4935">
      <c r="A4935" s="166" t="n"/>
      <c r="B4935" s="63" t="n"/>
      <c r="C4935" s="64" t="n"/>
      <c r="D4935" s="167" t="n"/>
      <c r="E4935" s="63" t="n"/>
      <c r="F4935" s="63" t="n"/>
    </row>
    <row r="4936">
      <c r="A4936" s="166" t="n"/>
      <c r="B4936" s="63" t="n"/>
      <c r="C4936" s="64" t="n"/>
      <c r="D4936" s="167" t="n"/>
      <c r="E4936" s="63" t="n"/>
      <c r="F4936" s="63" t="n"/>
    </row>
    <row r="4937">
      <c r="A4937" s="166" t="n"/>
      <c r="B4937" s="63" t="n"/>
      <c r="C4937" s="64" t="n"/>
      <c r="D4937" s="167" t="n"/>
      <c r="E4937" s="63" t="n"/>
      <c r="F4937" s="63" t="n"/>
    </row>
    <row r="4938">
      <c r="A4938" s="166" t="n"/>
      <c r="B4938" s="63" t="n"/>
      <c r="C4938" s="64" t="n"/>
      <c r="D4938" s="167" t="n"/>
      <c r="E4938" s="63" t="n"/>
      <c r="F4938" s="63" t="n"/>
    </row>
    <row r="4939">
      <c r="A4939" s="166" t="n"/>
      <c r="B4939" s="63" t="n"/>
      <c r="C4939" s="64" t="n"/>
      <c r="D4939" s="167" t="n"/>
      <c r="E4939" s="63" t="n"/>
      <c r="F4939" s="63" t="n"/>
    </row>
    <row r="4940">
      <c r="A4940" s="166" t="n"/>
      <c r="B4940" s="63" t="n"/>
      <c r="C4940" s="64" t="n"/>
      <c r="D4940" s="167" t="n"/>
      <c r="E4940" s="63" t="n"/>
      <c r="F4940" s="63" t="n"/>
    </row>
    <row r="4941">
      <c r="A4941" s="166" t="n"/>
      <c r="B4941" s="63" t="n"/>
      <c r="C4941" s="64" t="n"/>
      <c r="D4941" s="167" t="n"/>
      <c r="E4941" s="63" t="n"/>
      <c r="F4941" s="63" t="n"/>
    </row>
    <row r="4942">
      <c r="A4942" s="166" t="n"/>
      <c r="B4942" s="63" t="n"/>
      <c r="C4942" s="64" t="n"/>
      <c r="D4942" s="167" t="n"/>
      <c r="E4942" s="63" t="n"/>
      <c r="F4942" s="63" t="n"/>
    </row>
    <row r="4943">
      <c r="A4943" s="166" t="n"/>
      <c r="B4943" s="63" t="n"/>
      <c r="C4943" s="64" t="n"/>
      <c r="D4943" s="167" t="n"/>
      <c r="E4943" s="63" t="n"/>
      <c r="F4943" s="63" t="n"/>
    </row>
    <row r="4944">
      <c r="A4944" s="166" t="n"/>
      <c r="B4944" s="63" t="n"/>
      <c r="C4944" s="64" t="n"/>
      <c r="D4944" s="167" t="n"/>
      <c r="E4944" s="63" t="n"/>
      <c r="F4944" s="63" t="n"/>
    </row>
    <row r="4945">
      <c r="A4945" s="166" t="n"/>
      <c r="B4945" s="63" t="n"/>
      <c r="C4945" s="64" t="n"/>
      <c r="D4945" s="167" t="n"/>
      <c r="E4945" s="63" t="n"/>
      <c r="F4945" s="63" t="n"/>
    </row>
    <row r="4946">
      <c r="A4946" s="166" t="n"/>
      <c r="B4946" s="63" t="n"/>
      <c r="C4946" s="64" t="n"/>
      <c r="D4946" s="167" t="n"/>
      <c r="E4946" s="63" t="n"/>
      <c r="F4946" s="63" t="n"/>
    </row>
    <row r="4947">
      <c r="A4947" s="166" t="n"/>
      <c r="B4947" s="63" t="n"/>
      <c r="C4947" s="64" t="n"/>
      <c r="D4947" s="167" t="n"/>
      <c r="E4947" s="63" t="n"/>
      <c r="F4947" s="63" t="n"/>
    </row>
    <row r="4948">
      <c r="A4948" s="166" t="n"/>
      <c r="B4948" s="63" t="n"/>
      <c r="C4948" s="64" t="n"/>
      <c r="D4948" s="167" t="n"/>
      <c r="E4948" s="63" t="n"/>
      <c r="F4948" s="63" t="n"/>
    </row>
    <row r="4949">
      <c r="A4949" s="166" t="n"/>
      <c r="B4949" s="63" t="n"/>
      <c r="C4949" s="64" t="n"/>
      <c r="D4949" s="167" t="n"/>
      <c r="E4949" s="63" t="n"/>
      <c r="F4949" s="63" t="n"/>
    </row>
    <row r="4950">
      <c r="A4950" s="166" t="n"/>
      <c r="B4950" s="63" t="n"/>
      <c r="C4950" s="64" t="n"/>
      <c r="D4950" s="167" t="n"/>
      <c r="E4950" s="63" t="n"/>
      <c r="F4950" s="63" t="n"/>
    </row>
    <row r="4951">
      <c r="A4951" s="166" t="n"/>
      <c r="B4951" s="63" t="n"/>
      <c r="C4951" s="64" t="n"/>
      <c r="D4951" s="167" t="n"/>
      <c r="E4951" s="63" t="n"/>
      <c r="F4951" s="63" t="n"/>
    </row>
    <row r="4952">
      <c r="A4952" s="166" t="n"/>
      <c r="B4952" s="63" t="n"/>
      <c r="C4952" s="64" t="n"/>
      <c r="D4952" s="167" t="n"/>
      <c r="E4952" s="63" t="n"/>
      <c r="F4952" s="63" t="n"/>
    </row>
    <row r="4953">
      <c r="A4953" s="166" t="n"/>
      <c r="B4953" s="63" t="n"/>
      <c r="C4953" s="64" t="n"/>
      <c r="D4953" s="167" t="n"/>
      <c r="E4953" s="63" t="n"/>
      <c r="F4953" s="63" t="n"/>
    </row>
    <row r="4954">
      <c r="A4954" s="166" t="n"/>
      <c r="B4954" s="63" t="n"/>
      <c r="C4954" s="64" t="n"/>
      <c r="D4954" s="167" t="n"/>
      <c r="E4954" s="63" t="n"/>
      <c r="F4954" s="63" t="n"/>
    </row>
    <row r="4955">
      <c r="A4955" s="166" t="n"/>
      <c r="B4955" s="63" t="n"/>
      <c r="C4955" s="64" t="n"/>
      <c r="D4955" s="167" t="n"/>
      <c r="E4955" s="63" t="n"/>
      <c r="F4955" s="63" t="n"/>
    </row>
    <row r="4956">
      <c r="A4956" s="166" t="n"/>
      <c r="B4956" s="63" t="n"/>
      <c r="C4956" s="64" t="n"/>
      <c r="D4956" s="167" t="n"/>
      <c r="E4956" s="63" t="n"/>
      <c r="F4956" s="63" t="n"/>
    </row>
    <row r="4957">
      <c r="A4957" s="166" t="n"/>
      <c r="B4957" s="63" t="n"/>
      <c r="C4957" s="64" t="n"/>
      <c r="D4957" s="167" t="n"/>
      <c r="E4957" s="63" t="n"/>
      <c r="F4957" s="63" t="n"/>
    </row>
    <row r="4958">
      <c r="A4958" s="166" t="n"/>
      <c r="B4958" s="63" t="n"/>
      <c r="C4958" s="64" t="n"/>
      <c r="D4958" s="167" t="n"/>
      <c r="E4958" s="63" t="n"/>
      <c r="F4958" s="63" t="n"/>
    </row>
    <row r="4959">
      <c r="A4959" s="166" t="n"/>
      <c r="B4959" s="63" t="n"/>
      <c r="C4959" s="64" t="n"/>
      <c r="D4959" s="167" t="n"/>
      <c r="E4959" s="63" t="n"/>
      <c r="F4959" s="63" t="n"/>
    </row>
    <row r="4960">
      <c r="A4960" s="166" t="n"/>
      <c r="B4960" s="63" t="n"/>
      <c r="C4960" s="64" t="n"/>
      <c r="D4960" s="167" t="n"/>
      <c r="E4960" s="63" t="n"/>
      <c r="F4960" s="63" t="n"/>
    </row>
    <row r="4961">
      <c r="A4961" s="166" t="n"/>
      <c r="B4961" s="63" t="n"/>
      <c r="C4961" s="64" t="n"/>
      <c r="D4961" s="167" t="n"/>
      <c r="E4961" s="63" t="n"/>
      <c r="F4961" s="63" t="n"/>
    </row>
    <row r="4962">
      <c r="A4962" s="166" t="n"/>
      <c r="B4962" s="63" t="n"/>
      <c r="C4962" s="64" t="n"/>
      <c r="D4962" s="167" t="n"/>
      <c r="E4962" s="63" t="n"/>
      <c r="F4962" s="63" t="n"/>
    </row>
    <row r="4963">
      <c r="A4963" s="166" t="n"/>
      <c r="B4963" s="63" t="n"/>
      <c r="C4963" s="64" t="n"/>
      <c r="D4963" s="167" t="n"/>
      <c r="E4963" s="63" t="n"/>
      <c r="F4963" s="63" t="n"/>
    </row>
    <row r="4964">
      <c r="A4964" s="166" t="n"/>
      <c r="B4964" s="63" t="n"/>
      <c r="C4964" s="64" t="n"/>
      <c r="D4964" s="167" t="n"/>
      <c r="E4964" s="63" t="n"/>
      <c r="F4964" s="63" t="n"/>
    </row>
    <row r="4965">
      <c r="A4965" s="166" t="n"/>
      <c r="B4965" s="63" t="n"/>
      <c r="C4965" s="64" t="n"/>
      <c r="D4965" s="167" t="n"/>
      <c r="E4965" s="63" t="n"/>
      <c r="F4965" s="63" t="n"/>
    </row>
    <row r="4966">
      <c r="A4966" s="166" t="n"/>
      <c r="B4966" s="63" t="n"/>
      <c r="C4966" s="64" t="n"/>
      <c r="D4966" s="167" t="n"/>
      <c r="E4966" s="63" t="n"/>
      <c r="F4966" s="63" t="n"/>
    </row>
    <row r="4967">
      <c r="A4967" s="166" t="n"/>
      <c r="B4967" s="63" t="n"/>
      <c r="C4967" s="64" t="n"/>
      <c r="D4967" s="167" t="n"/>
      <c r="E4967" s="63" t="n"/>
      <c r="F4967" s="63" t="n"/>
    </row>
    <row r="4968">
      <c r="A4968" s="166" t="n"/>
      <c r="B4968" s="63" t="n"/>
      <c r="C4968" s="64" t="n"/>
      <c r="D4968" s="167" t="n"/>
      <c r="E4968" s="63" t="n"/>
      <c r="F4968" s="63" t="n"/>
    </row>
    <row r="4969">
      <c r="A4969" s="166" t="n"/>
      <c r="B4969" s="63" t="n"/>
      <c r="C4969" s="64" t="n"/>
      <c r="D4969" s="167" t="n"/>
      <c r="E4969" s="63" t="n"/>
      <c r="F4969" s="63" t="n"/>
    </row>
    <row r="4970">
      <c r="A4970" s="166" t="n"/>
      <c r="B4970" s="63" t="n"/>
      <c r="C4970" s="64" t="n"/>
      <c r="D4970" s="167" t="n"/>
      <c r="E4970" s="63" t="n"/>
      <c r="F4970" s="63" t="n"/>
    </row>
    <row r="4971">
      <c r="A4971" s="166" t="n"/>
      <c r="B4971" s="63" t="n"/>
      <c r="C4971" s="64" t="n"/>
      <c r="D4971" s="167" t="n"/>
      <c r="E4971" s="63" t="n"/>
      <c r="F4971" s="63" t="n"/>
    </row>
    <row r="4972">
      <c r="A4972" s="166" t="n"/>
      <c r="B4972" s="63" t="n"/>
      <c r="C4972" s="64" t="n"/>
      <c r="D4972" s="167" t="n"/>
      <c r="E4972" s="63" t="n"/>
      <c r="F4972" s="63" t="n"/>
    </row>
    <row r="4973">
      <c r="A4973" s="166" t="n"/>
      <c r="B4973" s="63" t="n"/>
      <c r="C4973" s="64" t="n"/>
      <c r="D4973" s="167" t="n"/>
      <c r="E4973" s="63" t="n"/>
      <c r="F4973" s="63" t="n"/>
    </row>
    <row r="4974">
      <c r="A4974" s="166" t="n"/>
      <c r="B4974" s="63" t="n"/>
      <c r="C4974" s="64" t="n"/>
      <c r="D4974" s="167" t="n"/>
      <c r="E4974" s="63" t="n"/>
      <c r="F4974" s="63" t="n"/>
    </row>
    <row r="4975">
      <c r="A4975" s="166" t="n"/>
      <c r="B4975" s="63" t="n"/>
      <c r="C4975" s="64" t="n"/>
      <c r="D4975" s="167" t="n"/>
      <c r="E4975" s="63" t="n"/>
      <c r="F4975" s="63" t="n"/>
    </row>
    <row r="4976">
      <c r="A4976" s="166" t="n"/>
      <c r="B4976" s="63" t="n"/>
      <c r="C4976" s="64" t="n"/>
      <c r="D4976" s="167" t="n"/>
      <c r="E4976" s="63" t="n"/>
      <c r="F4976" s="63" t="n"/>
    </row>
    <row r="4977">
      <c r="A4977" s="166" t="n"/>
      <c r="B4977" s="63" t="n"/>
      <c r="C4977" s="64" t="n"/>
      <c r="D4977" s="167" t="n"/>
      <c r="E4977" s="63" t="n"/>
      <c r="F4977" s="63" t="n"/>
    </row>
    <row r="4978">
      <c r="A4978" s="166" t="n"/>
      <c r="B4978" s="63" t="n"/>
      <c r="C4978" s="64" t="n"/>
      <c r="D4978" s="167" t="n"/>
      <c r="E4978" s="63" t="n"/>
      <c r="F4978" s="63" t="n"/>
    </row>
    <row r="4979">
      <c r="A4979" s="166" t="n"/>
      <c r="B4979" s="63" t="n"/>
      <c r="C4979" s="64" t="n"/>
      <c r="D4979" s="167" t="n"/>
      <c r="E4979" s="63" t="n"/>
      <c r="F4979" s="63" t="n"/>
    </row>
    <row r="4980">
      <c r="A4980" s="166" t="n"/>
      <c r="B4980" s="63" t="n"/>
      <c r="C4980" s="64" t="n"/>
      <c r="D4980" s="167" t="n"/>
      <c r="E4980" s="63" t="n"/>
      <c r="F4980" s="63" t="n"/>
    </row>
    <row r="4981">
      <c r="A4981" s="166" t="n"/>
      <c r="B4981" s="63" t="n"/>
      <c r="C4981" s="64" t="n"/>
      <c r="D4981" s="167" t="n"/>
      <c r="E4981" s="63" t="n"/>
      <c r="F4981" s="63" t="n"/>
    </row>
    <row r="4982">
      <c r="A4982" s="166" t="n"/>
      <c r="B4982" s="63" t="n"/>
      <c r="C4982" s="64" t="n"/>
      <c r="D4982" s="167" t="n"/>
      <c r="E4982" s="63" t="n"/>
      <c r="F4982" s="63" t="n"/>
    </row>
    <row r="4983">
      <c r="A4983" s="166" t="n"/>
      <c r="B4983" s="63" t="n"/>
      <c r="C4983" s="64" t="n"/>
      <c r="D4983" s="167" t="n"/>
      <c r="E4983" s="63" t="n"/>
      <c r="F4983" s="63" t="n"/>
    </row>
    <row r="4984">
      <c r="A4984" s="166" t="n"/>
      <c r="B4984" s="63" t="n"/>
      <c r="C4984" s="64" t="n"/>
      <c r="D4984" s="167" t="n"/>
      <c r="E4984" s="63" t="n"/>
      <c r="F4984" s="63" t="n"/>
    </row>
    <row r="4985">
      <c r="A4985" s="166" t="n"/>
      <c r="B4985" s="63" t="n"/>
      <c r="C4985" s="64" t="n"/>
      <c r="D4985" s="167" t="n"/>
      <c r="E4985" s="63" t="n"/>
      <c r="F4985" s="63" t="n"/>
    </row>
    <row r="4986">
      <c r="A4986" s="166" t="n"/>
      <c r="B4986" s="63" t="n"/>
      <c r="C4986" s="64" t="n"/>
      <c r="D4986" s="167" t="n"/>
      <c r="E4986" s="63" t="n"/>
      <c r="F4986" s="63" t="n"/>
    </row>
    <row r="4987">
      <c r="A4987" s="166" t="n"/>
      <c r="B4987" s="63" t="n"/>
      <c r="C4987" s="64" t="n"/>
      <c r="D4987" s="167" t="n"/>
      <c r="E4987" s="63" t="n"/>
      <c r="F4987" s="63" t="n"/>
    </row>
    <row r="4988">
      <c r="A4988" s="166" t="n"/>
      <c r="B4988" s="63" t="n"/>
      <c r="C4988" s="64" t="n"/>
      <c r="D4988" s="167" t="n"/>
      <c r="E4988" s="63" t="n"/>
      <c r="F4988" s="63" t="n"/>
    </row>
    <row r="4989">
      <c r="A4989" s="166" t="n"/>
      <c r="B4989" s="63" t="n"/>
      <c r="C4989" s="64" t="n"/>
      <c r="D4989" s="167" t="n"/>
      <c r="E4989" s="63" t="n"/>
      <c r="F4989" s="63" t="n"/>
    </row>
    <row r="4990">
      <c r="A4990" s="166" t="n"/>
      <c r="B4990" s="63" t="n"/>
      <c r="C4990" s="64" t="n"/>
      <c r="D4990" s="167" t="n"/>
      <c r="E4990" s="63" t="n"/>
      <c r="F4990" s="63" t="n"/>
    </row>
    <row r="4991">
      <c r="A4991" s="166" t="n"/>
      <c r="B4991" s="63" t="n"/>
      <c r="C4991" s="64" t="n"/>
      <c r="D4991" s="167" t="n"/>
      <c r="E4991" s="63" t="n"/>
      <c r="F4991" s="63" t="n"/>
    </row>
    <row r="4992">
      <c r="A4992" s="166" t="n"/>
      <c r="B4992" s="63" t="n"/>
      <c r="C4992" s="64" t="n"/>
      <c r="D4992" s="167" t="n"/>
      <c r="E4992" s="63" t="n"/>
      <c r="F4992" s="63" t="n"/>
    </row>
    <row r="4993">
      <c r="A4993" s="166" t="n"/>
      <c r="B4993" s="63" t="n"/>
      <c r="C4993" s="64" t="n"/>
      <c r="D4993" s="167" t="n"/>
      <c r="E4993" s="63" t="n"/>
      <c r="F4993" s="63" t="n"/>
    </row>
    <row r="4994">
      <c r="A4994" s="166" t="n"/>
      <c r="B4994" s="63" t="n"/>
      <c r="C4994" s="64" t="n"/>
      <c r="D4994" s="167" t="n"/>
      <c r="E4994" s="63" t="n"/>
      <c r="F4994" s="63" t="n"/>
    </row>
    <row r="4995">
      <c r="A4995" s="166" t="n"/>
      <c r="B4995" s="63" t="n"/>
      <c r="C4995" s="64" t="n"/>
      <c r="D4995" s="167" t="n"/>
      <c r="E4995" s="63" t="n"/>
      <c r="F4995" s="63" t="n"/>
    </row>
    <row r="4996">
      <c r="A4996" s="166" t="n"/>
      <c r="B4996" s="63" t="n"/>
      <c r="C4996" s="64" t="n"/>
      <c r="D4996" s="167" t="n"/>
      <c r="E4996" s="63" t="n"/>
      <c r="F4996" s="63" t="n"/>
    </row>
    <row r="4997">
      <c r="A4997" s="166" t="n"/>
      <c r="B4997" s="63" t="n"/>
      <c r="C4997" s="64" t="n"/>
      <c r="D4997" s="167" t="n"/>
      <c r="E4997" s="63" t="n"/>
      <c r="F4997" s="63" t="n"/>
    </row>
    <row r="4998">
      <c r="A4998" s="166" t="n"/>
      <c r="B4998" s="63" t="n"/>
      <c r="C4998" s="64" t="n"/>
      <c r="D4998" s="167" t="n"/>
      <c r="E4998" s="63" t="n"/>
      <c r="F4998" s="63" t="n"/>
    </row>
    <row r="4999">
      <c r="A4999" s="166" t="n"/>
      <c r="B4999" s="63" t="n"/>
      <c r="C4999" s="64" t="n"/>
      <c r="D4999" s="167" t="n"/>
      <c r="E4999" s="63" t="n"/>
      <c r="F4999" s="63" t="n"/>
    </row>
    <row r="5000">
      <c r="A5000" s="166" t="n"/>
      <c r="B5000" s="63" t="n"/>
      <c r="C5000" s="64" t="n"/>
      <c r="D5000" s="167" t="n"/>
      <c r="E5000" s="63" t="n"/>
      <c r="F5000" s="63" t="n"/>
    </row>
    <row r="5001">
      <c r="A5001" s="166" t="n"/>
      <c r="B5001" s="63" t="n"/>
      <c r="C5001" s="64" t="n"/>
      <c r="D5001" s="167" t="n"/>
      <c r="E5001" s="63" t="n"/>
      <c r="F5001" s="63" t="n"/>
    </row>
    <row r="5002">
      <c r="A5002" s="166" t="n"/>
      <c r="B5002" s="63" t="n"/>
      <c r="C5002" s="64" t="n"/>
      <c r="D5002" s="167" t="n"/>
      <c r="E5002" s="63" t="n"/>
      <c r="F5002" s="63" t="n"/>
    </row>
    <row r="5003">
      <c r="A5003" s="166" t="n"/>
      <c r="B5003" s="63" t="n"/>
      <c r="C5003" s="64" t="n"/>
      <c r="D5003" s="167" t="n"/>
      <c r="E5003" s="63" t="n"/>
      <c r="F5003" s="63" t="n"/>
    </row>
    <row r="5004">
      <c r="A5004" s="166" t="n"/>
      <c r="B5004" s="63" t="n"/>
      <c r="C5004" s="64" t="n"/>
      <c r="D5004" s="167" t="n"/>
      <c r="E5004" s="63" t="n"/>
      <c r="F5004" s="63" t="n"/>
    </row>
    <row r="5005">
      <c r="A5005" s="166" t="n"/>
      <c r="B5005" s="63" t="n"/>
      <c r="C5005" s="64" t="n"/>
      <c r="D5005" s="167" t="n"/>
      <c r="E5005" s="63" t="n"/>
      <c r="F5005" s="63" t="n"/>
    </row>
    <row r="5006">
      <c r="A5006" s="166" t="n"/>
      <c r="B5006" s="63" t="n"/>
      <c r="C5006" s="64" t="n"/>
      <c r="D5006" s="167" t="n"/>
      <c r="E5006" s="63" t="n"/>
      <c r="F5006" s="63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conditionalFormatting sqref="B7:B5006">
    <cfRule type="expression" priority="1" dxfId="2">
      <formula>AND($B7&lt;&gt;"",COUNTIF('Carton Stock'!$B$8:$B$47,$B7)=0)</formula>
    </cfRule>
  </conditionalFormatting>
  <dataValidations count="4">
    <dataValidation sqref="A7:A5006" showDropDown="0" showInputMessage="0" showErrorMessage="1" allowBlank="1" error="Enter a date, e.g. 30/10/2026." type="date" operator="greaterThanOrEqual">
      <formula1>DATE(2000,1,1)</formula1>
    </dataValidation>
    <dataValidation sqref="B7:B5006" showDropDown="0" showInputMessage="0" showErrorMessage="1" allowBlank="1" error="Pick a carton from the list. New cartons are added on Carton Stock first." type="list">
      <formula1>CartonList</formula1>
    </dataValidation>
    <dataValidation sqref="C7:C5006" showDropDown="0" showInputMessage="0" showErrorMessage="1" allowBlank="1" error="Cartons received: a whole number, 0 or more." type="whole" operator="greaterThanOrEqual">
      <formula1>0</formula1>
    </dataValidation>
    <dataValidation sqref="D7:D5006" showDropDown="0" showInputMessage="0" showErrorMessage="1" allowBlank="1" error="Adjustment: a whole number of cartons, minus for damaged, plus for found." type="whole" operator="between">
      <formula1>-1000000</formula1>
      <formula2>1000000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26" customWidth="1" min="4" max="4"/>
    <col width="11" customWidth="1" min="5" max="5"/>
    <col width="13" customWidth="1" min="6" max="6"/>
    <col width="11" customWidth="1" min="7" max="7"/>
    <col width="12" customWidth="1" min="8" max="8"/>
    <col width="12" customWidth="1" min="9" max="9"/>
    <col width="2" customWidth="1" min="14" max="14"/>
    <col width="3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18" customHeight="1">
      <c r="A1" s="2" t="inlineStr">
        <is>
          <t>PREMIER EXPORTS INTERNATIONAL</t>
        </is>
      </c>
    </row>
    <row r="2">
      <c r="A2" s="4" t="inlineStr">
        <is>
          <t>PACKING — WHICH CARTON EACH PRODUCT GOES INTO</t>
        </is>
      </c>
    </row>
    <row r="4">
      <c r="A4" s="7" t="inlineStr">
        <is>
          <t>Set once per product: the carton it is packed in, and how many units — slabs, or kilos for products counted in kilos — fill one carton. Products come from Stock by themselves.</t>
        </is>
      </c>
    </row>
    <row r="5">
      <c r="A5" s="7" t="inlineStr">
        <is>
          <t>Cartons Used = Production since Count ÷ Packed per Carton, rounded up: a part-filled carton is a carton used.</t>
        </is>
      </c>
    </row>
    <row r="7" ht="30" customHeight="1">
      <c r="A7" s="23" t="inlineStr">
        <is>
          <t>Brand</t>
        </is>
      </c>
      <c r="B7" s="23" t="inlineStr">
        <is>
          <t>Product</t>
        </is>
      </c>
      <c r="C7" s="23" t="inlineStr">
        <is>
          <t>Unit</t>
        </is>
      </c>
      <c r="D7" s="23" t="inlineStr">
        <is>
          <t>Carton (pick from list)</t>
        </is>
      </c>
      <c r="E7" s="23" t="inlineStr">
        <is>
          <t>Packed per Carton</t>
        </is>
      </c>
      <c r="F7" s="23" t="inlineStr">
        <is>
          <t>Production since Count</t>
        </is>
      </c>
      <c r="G7" s="23" t="inlineStr">
        <is>
          <t>Cartons Used</t>
        </is>
      </c>
      <c r="H7" s="23" t="inlineStr">
        <is>
          <t>Today's Production</t>
        </is>
      </c>
      <c r="I7" s="23" t="inlineStr">
        <is>
          <t>Cartons Used Today</t>
        </is>
      </c>
      <c r="O7" s="25" t="inlineStr">
        <is>
          <t>Key (do not edit)</t>
        </is>
      </c>
      <c r="P7" s="25" t="inlineStr">
        <is>
          <t>Production, last 30 days</t>
        </is>
      </c>
      <c r="Q7" s="25" t="inlineStr">
        <is>
          <t>Cartons, last 30 days</t>
        </is>
      </c>
      <c r="R7" s="25" t="inlineStr">
        <is>
          <t>Packed, no carton</t>
        </is>
      </c>
      <c r="S7" s="25" t="inlineStr">
        <is>
          <t>Carton not on list</t>
        </is>
      </c>
      <c r="T7" s="25" t="inlineStr">
        <is>
          <t>No carton set</t>
        </is>
      </c>
    </row>
    <row r="8" ht="15" customHeight="1">
      <c r="A8" s="9">
        <f>IF(Stock!$A8="","",Stock!$A8)</f>
        <v/>
      </c>
      <c r="B8" s="9">
        <f>IF(Stock!$A8="","",Stock!$B8)</f>
        <v/>
      </c>
      <c r="C8" s="9">
        <f>IF(Stock!$A8="","",IF(Stock!$C8="","",Stock!$C8))</f>
        <v/>
      </c>
      <c r="D8" s="152" t="inlineStr">
        <is>
          <t>Blue Dolphin carton</t>
        </is>
      </c>
      <c r="E8" s="168" t="n">
        <v>10</v>
      </c>
      <c r="F8" s="12">
        <f>IF($A8="","",IF(Stock!$E$3&lt;'Carton Stock'!$E$4,0,SUMIFS('Daily Entry'!$C$7:$C$10003,'Daily Entry'!$B$7:$B$10003,$O8,'Daily Entry'!$A$7:$A$10003,"&gt;="&amp;'Carton Stock'!$E$4,'Daily Entry'!$A$7:$A$10003,"&lt;="&amp;Stock!$E$3)))</f>
        <v/>
      </c>
      <c r="G8" s="156">
        <f>IF(OR($A8="",$D8="",N($E8)&lt;=0),"",ROUNDUP($F8/$E8,0))</f>
        <v/>
      </c>
      <c r="H8" s="11">
        <f>IF($A8="","",IF(Stock!$E$3&lt;'Carton Stock'!$E$4,0,SUMIFS('Daily Entry'!$C$7:$C$10003,'Daily Entry'!$B$7:$B$10003,$O8,'Daily Entry'!$A$7:$A$10003,Stock!$E$3)))</f>
        <v/>
      </c>
      <c r="I8" s="11">
        <f>IF($G8="","",$G8-ROUNDUP(($F8-$H8)/$E8,0))</f>
        <v/>
      </c>
      <c r="O8" s="131">
        <f>IF(Stock!$A8="","",Stock!$O8)</f>
        <v/>
      </c>
      <c r="P8" s="169">
        <f>IF($A8="",0,SUMIFS('Daily Entry'!$C$7:$C$10003,'Daily Entry'!$B$7:$B$10003,$O8,'Daily Entry'!$A$7:$A$10003,"&gt;="&amp;MAX('Carton Stock'!$E$4,Stock!$E$3-29),'Daily Entry'!$A$7:$A$10003,"&lt;="&amp;Stock!$E$3))</f>
        <v/>
      </c>
      <c r="Q8" s="159">
        <f>IF(OR($A8="",$D8="",N($E8)&lt;=0),0,$P8/$E8)</f>
        <v/>
      </c>
      <c r="R8" s="151">
        <f>IF(AND($A8&lt;&gt;"",N($F8)&gt;0,OR($D8="",N($E8)&lt;=0)),1,0)</f>
        <v/>
      </c>
      <c r="S8" s="151">
        <f>IF(AND($A8&lt;&gt;"",$D8&lt;&gt;""),IF(COUNTIF('Carton Stock'!$B$8:$B$47,$D8)=0,1,0),0)</f>
        <v/>
      </c>
      <c r="T8" s="151">
        <f>IF(AND($A8&lt;&gt;"",OR($D8="",N($E8)&lt;=0)),1,0)</f>
        <v/>
      </c>
    </row>
    <row r="9" ht="15" customHeight="1">
      <c r="A9" s="9">
        <f>IF(Stock!$A9="","",Stock!$A9)</f>
        <v/>
      </c>
      <c r="B9" s="9">
        <f>IF(Stock!$A9="","",Stock!$B9)</f>
        <v/>
      </c>
      <c r="C9" s="9">
        <f>IF(Stock!$A9="","",IF(Stock!$C9="","",Stock!$C9))</f>
        <v/>
      </c>
      <c r="D9" s="152" t="inlineStr">
        <is>
          <t>Blue Dolphin carton</t>
        </is>
      </c>
      <c r="E9" s="168" t="n">
        <v>10</v>
      </c>
      <c r="F9" s="12">
        <f>IF($A9="","",IF(Stock!$E$3&lt;'Carton Stock'!$E$4,0,SUMIFS('Daily Entry'!$C$7:$C$10003,'Daily Entry'!$B$7:$B$10003,$O9,'Daily Entry'!$A$7:$A$10003,"&gt;="&amp;'Carton Stock'!$E$4,'Daily Entry'!$A$7:$A$10003,"&lt;="&amp;Stock!$E$3)))</f>
        <v/>
      </c>
      <c r="G9" s="156">
        <f>IF(OR($A9="",$D9="",N($E9)&lt;=0),"",ROUNDUP($F9/$E9,0))</f>
        <v/>
      </c>
      <c r="H9" s="11">
        <f>IF($A9="","",IF(Stock!$E$3&lt;'Carton Stock'!$E$4,0,SUMIFS('Daily Entry'!$C$7:$C$10003,'Daily Entry'!$B$7:$B$10003,$O9,'Daily Entry'!$A$7:$A$10003,Stock!$E$3)))</f>
        <v/>
      </c>
      <c r="I9" s="11">
        <f>IF($G9="","",$G9-ROUNDUP(($F9-$H9)/$E9,0))</f>
        <v/>
      </c>
      <c r="O9" s="131">
        <f>IF(Stock!$A9="","",Stock!$O9)</f>
        <v/>
      </c>
      <c r="P9" s="169">
        <f>IF($A9="",0,SUMIFS('Daily Entry'!$C$7:$C$10003,'Daily Entry'!$B$7:$B$10003,$O9,'Daily Entry'!$A$7:$A$10003,"&gt;="&amp;MAX('Carton Stock'!$E$4,Stock!$E$3-29),'Daily Entry'!$A$7:$A$10003,"&lt;="&amp;Stock!$E$3))</f>
        <v/>
      </c>
      <c r="Q9" s="159">
        <f>IF(OR($A9="",$D9="",N($E9)&lt;=0),0,$P9/$E9)</f>
        <v/>
      </c>
      <c r="R9" s="151">
        <f>IF(AND($A9&lt;&gt;"",N($F9)&gt;0,OR($D9="",N($E9)&lt;=0)),1,0)</f>
        <v/>
      </c>
      <c r="S9" s="151">
        <f>IF(AND($A9&lt;&gt;"",$D9&lt;&gt;""),IF(COUNTIF('Carton Stock'!$B$8:$B$47,$D9)=0,1,0),0)</f>
        <v/>
      </c>
      <c r="T9" s="151">
        <f>IF(AND($A9&lt;&gt;"",OR($D9="",N($E9)&lt;=0)),1,0)</f>
        <v/>
      </c>
    </row>
    <row r="10" ht="15" customHeight="1">
      <c r="A10" s="9">
        <f>IF(Stock!$A10="","",Stock!$A10)</f>
        <v/>
      </c>
      <c r="B10" s="9">
        <f>IF(Stock!$A10="","",Stock!$B10)</f>
        <v/>
      </c>
      <c r="C10" s="9">
        <f>IF(Stock!$A10="","",IF(Stock!$C10="","",Stock!$C10))</f>
        <v/>
      </c>
      <c r="D10" s="152" t="inlineStr">
        <is>
          <t>Blue Dolphin carton</t>
        </is>
      </c>
      <c r="E10" s="168" t="n">
        <v>10</v>
      </c>
      <c r="F10" s="12">
        <f>IF($A10="","",IF(Stock!$E$3&lt;'Carton Stock'!$E$4,0,SUMIFS('Daily Entry'!$C$7:$C$10003,'Daily Entry'!$B$7:$B$10003,$O10,'Daily Entry'!$A$7:$A$10003,"&gt;="&amp;'Carton Stock'!$E$4,'Daily Entry'!$A$7:$A$10003,"&lt;="&amp;Stock!$E$3)))</f>
        <v/>
      </c>
      <c r="G10" s="156">
        <f>IF(OR($A10="",$D10="",N($E10)&lt;=0),"",ROUNDUP($F10/$E10,0))</f>
        <v/>
      </c>
      <c r="H10" s="11">
        <f>IF($A10="","",IF(Stock!$E$3&lt;'Carton Stock'!$E$4,0,SUMIFS('Daily Entry'!$C$7:$C$10003,'Daily Entry'!$B$7:$B$10003,$O10,'Daily Entry'!$A$7:$A$10003,Stock!$E$3)))</f>
        <v/>
      </c>
      <c r="I10" s="11">
        <f>IF($G10="","",$G10-ROUNDUP(($F10-$H10)/$E10,0))</f>
        <v/>
      </c>
      <c r="O10" s="131">
        <f>IF(Stock!$A10="","",Stock!$O10)</f>
        <v/>
      </c>
      <c r="P10" s="169">
        <f>IF($A10="",0,SUMIFS('Daily Entry'!$C$7:$C$10003,'Daily Entry'!$B$7:$B$10003,$O10,'Daily Entry'!$A$7:$A$10003,"&gt;="&amp;MAX('Carton Stock'!$E$4,Stock!$E$3-29),'Daily Entry'!$A$7:$A$10003,"&lt;="&amp;Stock!$E$3))</f>
        <v/>
      </c>
      <c r="Q10" s="159">
        <f>IF(OR($A10="",$D10="",N($E10)&lt;=0),0,$P10/$E10)</f>
        <v/>
      </c>
      <c r="R10" s="151">
        <f>IF(AND($A10&lt;&gt;"",N($F10)&gt;0,OR($D10="",N($E10)&lt;=0)),1,0)</f>
        <v/>
      </c>
      <c r="S10" s="151">
        <f>IF(AND($A10&lt;&gt;"",$D10&lt;&gt;""),IF(COUNTIF('Carton Stock'!$B$8:$B$47,$D10)=0,1,0),0)</f>
        <v/>
      </c>
      <c r="T10" s="151">
        <f>IF(AND($A10&lt;&gt;"",OR($D10="",N($E10)&lt;=0)),1,0)</f>
        <v/>
      </c>
    </row>
    <row r="11" ht="15" customHeight="1">
      <c r="A11" s="9">
        <f>IF(Stock!$A11="","",Stock!$A11)</f>
        <v/>
      </c>
      <c r="B11" s="9">
        <f>IF(Stock!$A11="","",Stock!$B11)</f>
        <v/>
      </c>
      <c r="C11" s="9">
        <f>IF(Stock!$A11="","",IF(Stock!$C11="","",Stock!$C11))</f>
        <v/>
      </c>
      <c r="D11" s="152" t="inlineStr">
        <is>
          <t>Blue Dolphin carton</t>
        </is>
      </c>
      <c r="E11" s="168" t="n">
        <v>10</v>
      </c>
      <c r="F11" s="12">
        <f>IF($A11="","",IF(Stock!$E$3&lt;'Carton Stock'!$E$4,0,SUMIFS('Daily Entry'!$C$7:$C$10003,'Daily Entry'!$B$7:$B$10003,$O11,'Daily Entry'!$A$7:$A$10003,"&gt;="&amp;'Carton Stock'!$E$4,'Daily Entry'!$A$7:$A$10003,"&lt;="&amp;Stock!$E$3)))</f>
        <v/>
      </c>
      <c r="G11" s="156">
        <f>IF(OR($A11="",$D11="",N($E11)&lt;=0),"",ROUNDUP($F11/$E11,0))</f>
        <v/>
      </c>
      <c r="H11" s="11">
        <f>IF($A11="","",IF(Stock!$E$3&lt;'Carton Stock'!$E$4,0,SUMIFS('Daily Entry'!$C$7:$C$10003,'Daily Entry'!$B$7:$B$10003,$O11,'Daily Entry'!$A$7:$A$10003,Stock!$E$3)))</f>
        <v/>
      </c>
      <c r="I11" s="11">
        <f>IF($G11="","",$G11-ROUNDUP(($F11-$H11)/$E11,0))</f>
        <v/>
      </c>
      <c r="O11" s="131">
        <f>IF(Stock!$A11="","",Stock!$O11)</f>
        <v/>
      </c>
      <c r="P11" s="169">
        <f>IF($A11="",0,SUMIFS('Daily Entry'!$C$7:$C$10003,'Daily Entry'!$B$7:$B$10003,$O11,'Daily Entry'!$A$7:$A$10003,"&gt;="&amp;MAX('Carton Stock'!$E$4,Stock!$E$3-29),'Daily Entry'!$A$7:$A$10003,"&lt;="&amp;Stock!$E$3))</f>
        <v/>
      </c>
      <c r="Q11" s="159">
        <f>IF(OR($A11="",$D11="",N($E11)&lt;=0),0,$P11/$E11)</f>
        <v/>
      </c>
      <c r="R11" s="151">
        <f>IF(AND($A11&lt;&gt;"",N($F11)&gt;0,OR($D11="",N($E11)&lt;=0)),1,0)</f>
        <v/>
      </c>
      <c r="S11" s="151">
        <f>IF(AND($A11&lt;&gt;"",$D11&lt;&gt;""),IF(COUNTIF('Carton Stock'!$B$8:$B$47,$D11)=0,1,0),0)</f>
        <v/>
      </c>
      <c r="T11" s="151">
        <f>IF(AND($A11&lt;&gt;"",OR($D11="",N($E11)&lt;=0)),1,0)</f>
        <v/>
      </c>
    </row>
    <row r="12" ht="15" customHeight="1">
      <c r="A12" s="9">
        <f>IF(Stock!$A12="","",Stock!$A12)</f>
        <v/>
      </c>
      <c r="B12" s="9">
        <f>IF(Stock!$A12="","",Stock!$B12)</f>
        <v/>
      </c>
      <c r="C12" s="9">
        <f>IF(Stock!$A12="","",IF(Stock!$C12="","",Stock!$C12))</f>
        <v/>
      </c>
      <c r="D12" s="152" t="inlineStr">
        <is>
          <t>Blue Dolphin carton</t>
        </is>
      </c>
      <c r="E12" s="168" t="n">
        <v>10</v>
      </c>
      <c r="F12" s="12">
        <f>IF($A12="","",IF(Stock!$E$3&lt;'Carton Stock'!$E$4,0,SUMIFS('Daily Entry'!$C$7:$C$10003,'Daily Entry'!$B$7:$B$10003,$O12,'Daily Entry'!$A$7:$A$10003,"&gt;="&amp;'Carton Stock'!$E$4,'Daily Entry'!$A$7:$A$10003,"&lt;="&amp;Stock!$E$3)))</f>
        <v/>
      </c>
      <c r="G12" s="156">
        <f>IF(OR($A12="",$D12="",N($E12)&lt;=0),"",ROUNDUP($F12/$E12,0))</f>
        <v/>
      </c>
      <c r="H12" s="11">
        <f>IF($A12="","",IF(Stock!$E$3&lt;'Carton Stock'!$E$4,0,SUMIFS('Daily Entry'!$C$7:$C$10003,'Daily Entry'!$B$7:$B$10003,$O12,'Daily Entry'!$A$7:$A$10003,Stock!$E$3)))</f>
        <v/>
      </c>
      <c r="I12" s="11">
        <f>IF($G12="","",$G12-ROUNDUP(($F12-$H12)/$E12,0))</f>
        <v/>
      </c>
      <c r="O12" s="131">
        <f>IF(Stock!$A12="","",Stock!$O12)</f>
        <v/>
      </c>
      <c r="P12" s="169">
        <f>IF($A12="",0,SUMIFS('Daily Entry'!$C$7:$C$10003,'Daily Entry'!$B$7:$B$10003,$O12,'Daily Entry'!$A$7:$A$10003,"&gt;="&amp;MAX('Carton Stock'!$E$4,Stock!$E$3-29),'Daily Entry'!$A$7:$A$10003,"&lt;="&amp;Stock!$E$3))</f>
        <v/>
      </c>
      <c r="Q12" s="159">
        <f>IF(OR($A12="",$D12="",N($E12)&lt;=0),0,$P12/$E12)</f>
        <v/>
      </c>
      <c r="R12" s="151">
        <f>IF(AND($A12&lt;&gt;"",N($F12)&gt;0,OR($D12="",N($E12)&lt;=0)),1,0)</f>
        <v/>
      </c>
      <c r="S12" s="151">
        <f>IF(AND($A12&lt;&gt;"",$D12&lt;&gt;""),IF(COUNTIF('Carton Stock'!$B$8:$B$47,$D12)=0,1,0),0)</f>
        <v/>
      </c>
      <c r="T12" s="151">
        <f>IF(AND($A12&lt;&gt;"",OR($D12="",N($E12)&lt;=0)),1,0)</f>
        <v/>
      </c>
    </row>
    <row r="13" ht="15" customHeight="1">
      <c r="A13" s="9">
        <f>IF(Stock!$A13="","",Stock!$A13)</f>
        <v/>
      </c>
      <c r="B13" s="9">
        <f>IF(Stock!$A13="","",Stock!$B13)</f>
        <v/>
      </c>
      <c r="C13" s="9">
        <f>IF(Stock!$A13="","",IF(Stock!$C13="","",Stock!$C13))</f>
        <v/>
      </c>
      <c r="D13" s="152" t="inlineStr">
        <is>
          <t>Blue Dolphin carton</t>
        </is>
      </c>
      <c r="E13" s="168" t="n">
        <v>10</v>
      </c>
      <c r="F13" s="12">
        <f>IF($A13="","",IF(Stock!$E$3&lt;'Carton Stock'!$E$4,0,SUMIFS('Daily Entry'!$C$7:$C$10003,'Daily Entry'!$B$7:$B$10003,$O13,'Daily Entry'!$A$7:$A$10003,"&gt;="&amp;'Carton Stock'!$E$4,'Daily Entry'!$A$7:$A$10003,"&lt;="&amp;Stock!$E$3)))</f>
        <v/>
      </c>
      <c r="G13" s="156">
        <f>IF(OR($A13="",$D13="",N($E13)&lt;=0),"",ROUNDUP($F13/$E13,0))</f>
        <v/>
      </c>
      <c r="H13" s="11">
        <f>IF($A13="","",IF(Stock!$E$3&lt;'Carton Stock'!$E$4,0,SUMIFS('Daily Entry'!$C$7:$C$10003,'Daily Entry'!$B$7:$B$10003,$O13,'Daily Entry'!$A$7:$A$10003,Stock!$E$3)))</f>
        <v/>
      </c>
      <c r="I13" s="11">
        <f>IF($G13="","",$G13-ROUNDUP(($F13-$H13)/$E13,0))</f>
        <v/>
      </c>
      <c r="O13" s="131">
        <f>IF(Stock!$A13="","",Stock!$O13)</f>
        <v/>
      </c>
      <c r="P13" s="169">
        <f>IF($A13="",0,SUMIFS('Daily Entry'!$C$7:$C$10003,'Daily Entry'!$B$7:$B$10003,$O13,'Daily Entry'!$A$7:$A$10003,"&gt;="&amp;MAX('Carton Stock'!$E$4,Stock!$E$3-29),'Daily Entry'!$A$7:$A$10003,"&lt;="&amp;Stock!$E$3))</f>
        <v/>
      </c>
      <c r="Q13" s="159">
        <f>IF(OR($A13="",$D13="",N($E13)&lt;=0),0,$P13/$E13)</f>
        <v/>
      </c>
      <c r="R13" s="151">
        <f>IF(AND($A13&lt;&gt;"",N($F13)&gt;0,OR($D13="",N($E13)&lt;=0)),1,0)</f>
        <v/>
      </c>
      <c r="S13" s="151">
        <f>IF(AND($A13&lt;&gt;"",$D13&lt;&gt;""),IF(COUNTIF('Carton Stock'!$B$8:$B$47,$D13)=0,1,0),0)</f>
        <v/>
      </c>
      <c r="T13" s="151">
        <f>IF(AND($A13&lt;&gt;"",OR($D13="",N($E13)&lt;=0)),1,0)</f>
        <v/>
      </c>
    </row>
    <row r="14" ht="15" customHeight="1">
      <c r="A14" s="9">
        <f>IF(Stock!$A14="","",Stock!$A14)</f>
        <v/>
      </c>
      <c r="B14" s="9">
        <f>IF(Stock!$A14="","",Stock!$B14)</f>
        <v/>
      </c>
      <c r="C14" s="9">
        <f>IF(Stock!$A14="","",IF(Stock!$C14="","",Stock!$C14))</f>
        <v/>
      </c>
      <c r="D14" s="152" t="inlineStr">
        <is>
          <t>Blue Dolphin carton</t>
        </is>
      </c>
      <c r="E14" s="168" t="n">
        <v>10</v>
      </c>
      <c r="F14" s="12">
        <f>IF($A14="","",IF(Stock!$E$3&lt;'Carton Stock'!$E$4,0,SUMIFS('Daily Entry'!$C$7:$C$10003,'Daily Entry'!$B$7:$B$10003,$O14,'Daily Entry'!$A$7:$A$10003,"&gt;="&amp;'Carton Stock'!$E$4,'Daily Entry'!$A$7:$A$10003,"&lt;="&amp;Stock!$E$3)))</f>
        <v/>
      </c>
      <c r="G14" s="156">
        <f>IF(OR($A14="",$D14="",N($E14)&lt;=0),"",ROUNDUP($F14/$E14,0))</f>
        <v/>
      </c>
      <c r="H14" s="11">
        <f>IF($A14="","",IF(Stock!$E$3&lt;'Carton Stock'!$E$4,0,SUMIFS('Daily Entry'!$C$7:$C$10003,'Daily Entry'!$B$7:$B$10003,$O14,'Daily Entry'!$A$7:$A$10003,Stock!$E$3)))</f>
        <v/>
      </c>
      <c r="I14" s="11">
        <f>IF($G14="","",$G14-ROUNDUP(($F14-$H14)/$E14,0))</f>
        <v/>
      </c>
      <c r="O14" s="131">
        <f>IF(Stock!$A14="","",Stock!$O14)</f>
        <v/>
      </c>
      <c r="P14" s="169">
        <f>IF($A14="",0,SUMIFS('Daily Entry'!$C$7:$C$10003,'Daily Entry'!$B$7:$B$10003,$O14,'Daily Entry'!$A$7:$A$10003,"&gt;="&amp;MAX('Carton Stock'!$E$4,Stock!$E$3-29),'Daily Entry'!$A$7:$A$10003,"&lt;="&amp;Stock!$E$3))</f>
        <v/>
      </c>
      <c r="Q14" s="159">
        <f>IF(OR($A14="",$D14="",N($E14)&lt;=0),0,$P14/$E14)</f>
        <v/>
      </c>
      <c r="R14" s="151">
        <f>IF(AND($A14&lt;&gt;"",N($F14)&gt;0,OR($D14="",N($E14)&lt;=0)),1,0)</f>
        <v/>
      </c>
      <c r="S14" s="151">
        <f>IF(AND($A14&lt;&gt;"",$D14&lt;&gt;""),IF(COUNTIF('Carton Stock'!$B$8:$B$47,$D14)=0,1,0),0)</f>
        <v/>
      </c>
      <c r="T14" s="151">
        <f>IF(AND($A14&lt;&gt;"",OR($D14="",N($E14)&lt;=0)),1,0)</f>
        <v/>
      </c>
    </row>
    <row r="15" ht="15" customHeight="1">
      <c r="A15" s="9">
        <f>IF(Stock!$A15="","",Stock!$A15)</f>
        <v/>
      </c>
      <c r="B15" s="9">
        <f>IF(Stock!$A15="","",Stock!$B15)</f>
        <v/>
      </c>
      <c r="C15" s="9">
        <f>IF(Stock!$A15="","",IF(Stock!$C15="","",Stock!$C15))</f>
        <v/>
      </c>
      <c r="D15" s="152" t="inlineStr">
        <is>
          <t>Blue Dolphin carton</t>
        </is>
      </c>
      <c r="E15" s="168" t="n">
        <v>10</v>
      </c>
      <c r="F15" s="12">
        <f>IF($A15="","",IF(Stock!$E$3&lt;'Carton Stock'!$E$4,0,SUMIFS('Daily Entry'!$C$7:$C$10003,'Daily Entry'!$B$7:$B$10003,$O15,'Daily Entry'!$A$7:$A$10003,"&gt;="&amp;'Carton Stock'!$E$4,'Daily Entry'!$A$7:$A$10003,"&lt;="&amp;Stock!$E$3)))</f>
        <v/>
      </c>
      <c r="G15" s="156">
        <f>IF(OR($A15="",$D15="",N($E15)&lt;=0),"",ROUNDUP($F15/$E15,0))</f>
        <v/>
      </c>
      <c r="H15" s="11">
        <f>IF($A15="","",IF(Stock!$E$3&lt;'Carton Stock'!$E$4,0,SUMIFS('Daily Entry'!$C$7:$C$10003,'Daily Entry'!$B$7:$B$10003,$O15,'Daily Entry'!$A$7:$A$10003,Stock!$E$3)))</f>
        <v/>
      </c>
      <c r="I15" s="11">
        <f>IF($G15="","",$G15-ROUNDUP(($F15-$H15)/$E15,0))</f>
        <v/>
      </c>
      <c r="O15" s="131">
        <f>IF(Stock!$A15="","",Stock!$O15)</f>
        <v/>
      </c>
      <c r="P15" s="169">
        <f>IF($A15="",0,SUMIFS('Daily Entry'!$C$7:$C$10003,'Daily Entry'!$B$7:$B$10003,$O15,'Daily Entry'!$A$7:$A$10003,"&gt;="&amp;MAX('Carton Stock'!$E$4,Stock!$E$3-29),'Daily Entry'!$A$7:$A$10003,"&lt;="&amp;Stock!$E$3))</f>
        <v/>
      </c>
      <c r="Q15" s="159">
        <f>IF(OR($A15="",$D15="",N($E15)&lt;=0),0,$P15/$E15)</f>
        <v/>
      </c>
      <c r="R15" s="151">
        <f>IF(AND($A15&lt;&gt;"",N($F15)&gt;0,OR($D15="",N($E15)&lt;=0)),1,0)</f>
        <v/>
      </c>
      <c r="S15" s="151">
        <f>IF(AND($A15&lt;&gt;"",$D15&lt;&gt;""),IF(COUNTIF('Carton Stock'!$B$8:$B$47,$D15)=0,1,0),0)</f>
        <v/>
      </c>
      <c r="T15" s="151">
        <f>IF(AND($A15&lt;&gt;"",OR($D15="",N($E15)&lt;=0)),1,0)</f>
        <v/>
      </c>
    </row>
    <row r="16" ht="15" customHeight="1">
      <c r="A16" s="9">
        <f>IF(Stock!$A16="","",Stock!$A16)</f>
        <v/>
      </c>
      <c r="B16" s="9">
        <f>IF(Stock!$A16="","",Stock!$B16)</f>
        <v/>
      </c>
      <c r="C16" s="9">
        <f>IF(Stock!$A16="","",IF(Stock!$C16="","",Stock!$C16))</f>
        <v/>
      </c>
      <c r="D16" s="152" t="inlineStr">
        <is>
          <t>Primus Japan carton</t>
        </is>
      </c>
      <c r="E16" s="168" t="n">
        <v>10</v>
      </c>
      <c r="F16" s="12">
        <f>IF($A16="","",IF(Stock!$E$3&lt;'Carton Stock'!$E$4,0,SUMIFS('Daily Entry'!$C$7:$C$10003,'Daily Entry'!$B$7:$B$10003,$O16,'Daily Entry'!$A$7:$A$10003,"&gt;="&amp;'Carton Stock'!$E$4,'Daily Entry'!$A$7:$A$10003,"&lt;="&amp;Stock!$E$3)))</f>
        <v/>
      </c>
      <c r="G16" s="156">
        <f>IF(OR($A16="",$D16="",N($E16)&lt;=0),"",ROUNDUP($F16/$E16,0))</f>
        <v/>
      </c>
      <c r="H16" s="11">
        <f>IF($A16="","",IF(Stock!$E$3&lt;'Carton Stock'!$E$4,0,SUMIFS('Daily Entry'!$C$7:$C$10003,'Daily Entry'!$B$7:$B$10003,$O16,'Daily Entry'!$A$7:$A$10003,Stock!$E$3)))</f>
        <v/>
      </c>
      <c r="I16" s="11">
        <f>IF($G16="","",$G16-ROUNDUP(($F16-$H16)/$E16,0))</f>
        <v/>
      </c>
      <c r="O16" s="131">
        <f>IF(Stock!$A16="","",Stock!$O16)</f>
        <v/>
      </c>
      <c r="P16" s="169">
        <f>IF($A16="",0,SUMIFS('Daily Entry'!$C$7:$C$10003,'Daily Entry'!$B$7:$B$10003,$O16,'Daily Entry'!$A$7:$A$10003,"&gt;="&amp;MAX('Carton Stock'!$E$4,Stock!$E$3-29),'Daily Entry'!$A$7:$A$10003,"&lt;="&amp;Stock!$E$3))</f>
        <v/>
      </c>
      <c r="Q16" s="159">
        <f>IF(OR($A16="",$D16="",N($E16)&lt;=0),0,$P16/$E16)</f>
        <v/>
      </c>
      <c r="R16" s="151">
        <f>IF(AND($A16&lt;&gt;"",N($F16)&gt;0,OR($D16="",N($E16)&lt;=0)),1,0)</f>
        <v/>
      </c>
      <c r="S16" s="151">
        <f>IF(AND($A16&lt;&gt;"",$D16&lt;&gt;""),IF(COUNTIF('Carton Stock'!$B$8:$B$47,$D16)=0,1,0),0)</f>
        <v/>
      </c>
      <c r="T16" s="151">
        <f>IF(AND($A16&lt;&gt;"",OR($D16="",N($E16)&lt;=0)),1,0)</f>
        <v/>
      </c>
    </row>
    <row r="17" ht="15" customHeight="1">
      <c r="A17" s="9">
        <f>IF(Stock!$A17="","",Stock!$A17)</f>
        <v/>
      </c>
      <c r="B17" s="9">
        <f>IF(Stock!$A17="","",Stock!$B17)</f>
        <v/>
      </c>
      <c r="C17" s="9">
        <f>IF(Stock!$A17="","",IF(Stock!$C17="","",Stock!$C17))</f>
        <v/>
      </c>
      <c r="D17" s="152" t="inlineStr">
        <is>
          <t>Primus Japan carton</t>
        </is>
      </c>
      <c r="E17" s="168" t="n">
        <v>10</v>
      </c>
      <c r="F17" s="12">
        <f>IF($A17="","",IF(Stock!$E$3&lt;'Carton Stock'!$E$4,0,SUMIFS('Daily Entry'!$C$7:$C$10003,'Daily Entry'!$B$7:$B$10003,$O17,'Daily Entry'!$A$7:$A$10003,"&gt;="&amp;'Carton Stock'!$E$4,'Daily Entry'!$A$7:$A$10003,"&lt;="&amp;Stock!$E$3)))</f>
        <v/>
      </c>
      <c r="G17" s="156">
        <f>IF(OR($A17="",$D17="",N($E17)&lt;=0),"",ROUNDUP($F17/$E17,0))</f>
        <v/>
      </c>
      <c r="H17" s="11">
        <f>IF($A17="","",IF(Stock!$E$3&lt;'Carton Stock'!$E$4,0,SUMIFS('Daily Entry'!$C$7:$C$10003,'Daily Entry'!$B$7:$B$10003,$O17,'Daily Entry'!$A$7:$A$10003,Stock!$E$3)))</f>
        <v/>
      </c>
      <c r="I17" s="11">
        <f>IF($G17="","",$G17-ROUNDUP(($F17-$H17)/$E17,0))</f>
        <v/>
      </c>
      <c r="O17" s="131">
        <f>IF(Stock!$A17="","",Stock!$O17)</f>
        <v/>
      </c>
      <c r="P17" s="169">
        <f>IF($A17="",0,SUMIFS('Daily Entry'!$C$7:$C$10003,'Daily Entry'!$B$7:$B$10003,$O17,'Daily Entry'!$A$7:$A$10003,"&gt;="&amp;MAX('Carton Stock'!$E$4,Stock!$E$3-29),'Daily Entry'!$A$7:$A$10003,"&lt;="&amp;Stock!$E$3))</f>
        <v/>
      </c>
      <c r="Q17" s="159">
        <f>IF(OR($A17="",$D17="",N($E17)&lt;=0),0,$P17/$E17)</f>
        <v/>
      </c>
      <c r="R17" s="151">
        <f>IF(AND($A17&lt;&gt;"",N($F17)&gt;0,OR($D17="",N($E17)&lt;=0)),1,0)</f>
        <v/>
      </c>
      <c r="S17" s="151">
        <f>IF(AND($A17&lt;&gt;"",$D17&lt;&gt;""),IF(COUNTIF('Carton Stock'!$B$8:$B$47,$D17)=0,1,0),0)</f>
        <v/>
      </c>
      <c r="T17" s="151">
        <f>IF(AND($A17&lt;&gt;"",OR($D17="",N($E17)&lt;=0)),1,0)</f>
        <v/>
      </c>
    </row>
    <row r="18" ht="15" customHeight="1">
      <c r="A18" s="9">
        <f>IF(Stock!$A18="","",Stock!$A18)</f>
        <v/>
      </c>
      <c r="B18" s="9">
        <f>IF(Stock!$A18="","",Stock!$B18)</f>
        <v/>
      </c>
      <c r="C18" s="9">
        <f>IF(Stock!$A18="","",IF(Stock!$C18="","",Stock!$C18))</f>
        <v/>
      </c>
      <c r="D18" s="152" t="inlineStr">
        <is>
          <t>Primus Japan carton</t>
        </is>
      </c>
      <c r="E18" s="168" t="n">
        <v>10</v>
      </c>
      <c r="F18" s="12">
        <f>IF($A18="","",IF(Stock!$E$3&lt;'Carton Stock'!$E$4,0,SUMIFS('Daily Entry'!$C$7:$C$10003,'Daily Entry'!$B$7:$B$10003,$O18,'Daily Entry'!$A$7:$A$10003,"&gt;="&amp;'Carton Stock'!$E$4,'Daily Entry'!$A$7:$A$10003,"&lt;="&amp;Stock!$E$3)))</f>
        <v/>
      </c>
      <c r="G18" s="156">
        <f>IF(OR($A18="",$D18="",N($E18)&lt;=0),"",ROUNDUP($F18/$E18,0))</f>
        <v/>
      </c>
      <c r="H18" s="11">
        <f>IF($A18="","",IF(Stock!$E$3&lt;'Carton Stock'!$E$4,0,SUMIFS('Daily Entry'!$C$7:$C$10003,'Daily Entry'!$B$7:$B$10003,$O18,'Daily Entry'!$A$7:$A$10003,Stock!$E$3)))</f>
        <v/>
      </c>
      <c r="I18" s="11">
        <f>IF($G18="","",$G18-ROUNDUP(($F18-$H18)/$E18,0))</f>
        <v/>
      </c>
      <c r="O18" s="131">
        <f>IF(Stock!$A18="","",Stock!$O18)</f>
        <v/>
      </c>
      <c r="P18" s="169">
        <f>IF($A18="",0,SUMIFS('Daily Entry'!$C$7:$C$10003,'Daily Entry'!$B$7:$B$10003,$O18,'Daily Entry'!$A$7:$A$10003,"&gt;="&amp;MAX('Carton Stock'!$E$4,Stock!$E$3-29),'Daily Entry'!$A$7:$A$10003,"&lt;="&amp;Stock!$E$3))</f>
        <v/>
      </c>
      <c r="Q18" s="159">
        <f>IF(OR($A18="",$D18="",N($E18)&lt;=0),0,$P18/$E18)</f>
        <v/>
      </c>
      <c r="R18" s="151">
        <f>IF(AND($A18&lt;&gt;"",N($F18)&gt;0,OR($D18="",N($E18)&lt;=0)),1,0)</f>
        <v/>
      </c>
      <c r="S18" s="151">
        <f>IF(AND($A18&lt;&gt;"",$D18&lt;&gt;""),IF(COUNTIF('Carton Stock'!$B$8:$B$47,$D18)=0,1,0),0)</f>
        <v/>
      </c>
      <c r="T18" s="151">
        <f>IF(AND($A18&lt;&gt;"",OR($D18="",N($E18)&lt;=0)),1,0)</f>
        <v/>
      </c>
    </row>
    <row r="19" ht="15" customHeight="1">
      <c r="A19" s="9">
        <f>IF(Stock!$A19="","",Stock!$A19)</f>
        <v/>
      </c>
      <c r="B19" s="9">
        <f>IF(Stock!$A19="","",Stock!$B19)</f>
        <v/>
      </c>
      <c r="C19" s="9">
        <f>IF(Stock!$A19="","",IF(Stock!$C19="","",Stock!$C19))</f>
        <v/>
      </c>
      <c r="D19" s="152" t="inlineStr">
        <is>
          <t>Primus Japan carton</t>
        </is>
      </c>
      <c r="E19" s="168" t="n">
        <v>10</v>
      </c>
      <c r="F19" s="12">
        <f>IF($A19="","",IF(Stock!$E$3&lt;'Carton Stock'!$E$4,0,SUMIFS('Daily Entry'!$C$7:$C$10003,'Daily Entry'!$B$7:$B$10003,$O19,'Daily Entry'!$A$7:$A$10003,"&gt;="&amp;'Carton Stock'!$E$4,'Daily Entry'!$A$7:$A$10003,"&lt;="&amp;Stock!$E$3)))</f>
        <v/>
      </c>
      <c r="G19" s="156">
        <f>IF(OR($A19="",$D19="",N($E19)&lt;=0),"",ROUNDUP($F19/$E19,0))</f>
        <v/>
      </c>
      <c r="H19" s="11">
        <f>IF($A19="","",IF(Stock!$E$3&lt;'Carton Stock'!$E$4,0,SUMIFS('Daily Entry'!$C$7:$C$10003,'Daily Entry'!$B$7:$B$10003,$O19,'Daily Entry'!$A$7:$A$10003,Stock!$E$3)))</f>
        <v/>
      </c>
      <c r="I19" s="11">
        <f>IF($G19="","",$G19-ROUNDUP(($F19-$H19)/$E19,0))</f>
        <v/>
      </c>
      <c r="O19" s="131">
        <f>IF(Stock!$A19="","",Stock!$O19)</f>
        <v/>
      </c>
      <c r="P19" s="169">
        <f>IF($A19="",0,SUMIFS('Daily Entry'!$C$7:$C$10003,'Daily Entry'!$B$7:$B$10003,$O19,'Daily Entry'!$A$7:$A$10003,"&gt;="&amp;MAX('Carton Stock'!$E$4,Stock!$E$3-29),'Daily Entry'!$A$7:$A$10003,"&lt;="&amp;Stock!$E$3))</f>
        <v/>
      </c>
      <c r="Q19" s="159">
        <f>IF(OR($A19="",$D19="",N($E19)&lt;=0),0,$P19/$E19)</f>
        <v/>
      </c>
      <c r="R19" s="151">
        <f>IF(AND($A19&lt;&gt;"",N($F19)&gt;0,OR($D19="",N($E19)&lt;=0)),1,0)</f>
        <v/>
      </c>
      <c r="S19" s="151">
        <f>IF(AND($A19&lt;&gt;"",$D19&lt;&gt;""),IF(COUNTIF('Carton Stock'!$B$8:$B$47,$D19)=0,1,0),0)</f>
        <v/>
      </c>
      <c r="T19" s="151">
        <f>IF(AND($A19&lt;&gt;"",OR($D19="",N($E19)&lt;=0)),1,0)</f>
        <v/>
      </c>
    </row>
    <row r="20" ht="15" customHeight="1">
      <c r="A20" s="9">
        <f>IF(Stock!$A20="","",Stock!$A20)</f>
        <v/>
      </c>
      <c r="B20" s="9">
        <f>IF(Stock!$A20="","",Stock!$B20)</f>
        <v/>
      </c>
      <c r="C20" s="9">
        <f>IF(Stock!$A20="","",IF(Stock!$C20="","",Stock!$C20))</f>
        <v/>
      </c>
      <c r="D20" s="152" t="inlineStr">
        <is>
          <t>Primus Japan carton</t>
        </is>
      </c>
      <c r="E20" s="168" t="n">
        <v>10</v>
      </c>
      <c r="F20" s="12">
        <f>IF($A20="","",IF(Stock!$E$3&lt;'Carton Stock'!$E$4,0,SUMIFS('Daily Entry'!$C$7:$C$10003,'Daily Entry'!$B$7:$B$10003,$O20,'Daily Entry'!$A$7:$A$10003,"&gt;="&amp;'Carton Stock'!$E$4,'Daily Entry'!$A$7:$A$10003,"&lt;="&amp;Stock!$E$3)))</f>
        <v/>
      </c>
      <c r="G20" s="156">
        <f>IF(OR($A20="",$D20="",N($E20)&lt;=0),"",ROUNDUP($F20/$E20,0))</f>
        <v/>
      </c>
      <c r="H20" s="11">
        <f>IF($A20="","",IF(Stock!$E$3&lt;'Carton Stock'!$E$4,0,SUMIFS('Daily Entry'!$C$7:$C$10003,'Daily Entry'!$B$7:$B$10003,$O20,'Daily Entry'!$A$7:$A$10003,Stock!$E$3)))</f>
        <v/>
      </c>
      <c r="I20" s="11">
        <f>IF($G20="","",$G20-ROUNDUP(($F20-$H20)/$E20,0))</f>
        <v/>
      </c>
      <c r="O20" s="131">
        <f>IF(Stock!$A20="","",Stock!$O20)</f>
        <v/>
      </c>
      <c r="P20" s="169">
        <f>IF($A20="",0,SUMIFS('Daily Entry'!$C$7:$C$10003,'Daily Entry'!$B$7:$B$10003,$O20,'Daily Entry'!$A$7:$A$10003,"&gt;="&amp;MAX('Carton Stock'!$E$4,Stock!$E$3-29),'Daily Entry'!$A$7:$A$10003,"&lt;="&amp;Stock!$E$3))</f>
        <v/>
      </c>
      <c r="Q20" s="159">
        <f>IF(OR($A20="",$D20="",N($E20)&lt;=0),0,$P20/$E20)</f>
        <v/>
      </c>
      <c r="R20" s="151">
        <f>IF(AND($A20&lt;&gt;"",N($F20)&gt;0,OR($D20="",N($E20)&lt;=0)),1,0)</f>
        <v/>
      </c>
      <c r="S20" s="151">
        <f>IF(AND($A20&lt;&gt;"",$D20&lt;&gt;""),IF(COUNTIF('Carton Stock'!$B$8:$B$47,$D20)=0,1,0),0)</f>
        <v/>
      </c>
      <c r="T20" s="151">
        <f>IF(AND($A20&lt;&gt;"",OR($D20="",N($E20)&lt;=0)),1,0)</f>
        <v/>
      </c>
    </row>
    <row r="21" ht="15" customHeight="1">
      <c r="A21" s="9">
        <f>IF(Stock!$A21="","",Stock!$A21)</f>
        <v/>
      </c>
      <c r="B21" s="9">
        <f>IF(Stock!$A21="","",Stock!$B21)</f>
        <v/>
      </c>
      <c r="C21" s="9">
        <f>IF(Stock!$A21="","",IF(Stock!$C21="","",Stock!$C21))</f>
        <v/>
      </c>
      <c r="D21" s="152" t="inlineStr">
        <is>
          <t>Primus Japan carton</t>
        </is>
      </c>
      <c r="E21" s="168" t="n">
        <v>10</v>
      </c>
      <c r="F21" s="12">
        <f>IF($A21="","",IF(Stock!$E$3&lt;'Carton Stock'!$E$4,0,SUMIFS('Daily Entry'!$C$7:$C$10003,'Daily Entry'!$B$7:$B$10003,$O21,'Daily Entry'!$A$7:$A$10003,"&gt;="&amp;'Carton Stock'!$E$4,'Daily Entry'!$A$7:$A$10003,"&lt;="&amp;Stock!$E$3)))</f>
        <v/>
      </c>
      <c r="G21" s="156">
        <f>IF(OR($A21="",$D21="",N($E21)&lt;=0),"",ROUNDUP($F21/$E21,0))</f>
        <v/>
      </c>
      <c r="H21" s="11">
        <f>IF($A21="","",IF(Stock!$E$3&lt;'Carton Stock'!$E$4,0,SUMIFS('Daily Entry'!$C$7:$C$10003,'Daily Entry'!$B$7:$B$10003,$O21,'Daily Entry'!$A$7:$A$10003,Stock!$E$3)))</f>
        <v/>
      </c>
      <c r="I21" s="11">
        <f>IF($G21="","",$G21-ROUNDUP(($F21-$H21)/$E21,0))</f>
        <v/>
      </c>
      <c r="O21" s="131">
        <f>IF(Stock!$A21="","",Stock!$O21)</f>
        <v/>
      </c>
      <c r="P21" s="169">
        <f>IF($A21="",0,SUMIFS('Daily Entry'!$C$7:$C$10003,'Daily Entry'!$B$7:$B$10003,$O21,'Daily Entry'!$A$7:$A$10003,"&gt;="&amp;MAX('Carton Stock'!$E$4,Stock!$E$3-29),'Daily Entry'!$A$7:$A$10003,"&lt;="&amp;Stock!$E$3))</f>
        <v/>
      </c>
      <c r="Q21" s="159">
        <f>IF(OR($A21="",$D21="",N($E21)&lt;=0),0,$P21/$E21)</f>
        <v/>
      </c>
      <c r="R21" s="151">
        <f>IF(AND($A21&lt;&gt;"",N($F21)&gt;0,OR($D21="",N($E21)&lt;=0)),1,0)</f>
        <v/>
      </c>
      <c r="S21" s="151">
        <f>IF(AND($A21&lt;&gt;"",$D21&lt;&gt;""),IF(COUNTIF('Carton Stock'!$B$8:$B$47,$D21)=0,1,0),0)</f>
        <v/>
      </c>
      <c r="T21" s="151">
        <f>IF(AND($A21&lt;&gt;"",OR($D21="",N($E21)&lt;=0)),1,0)</f>
        <v/>
      </c>
    </row>
    <row r="22" ht="15" customHeight="1">
      <c r="A22" s="9">
        <f>IF(Stock!$A22="","",Stock!$A22)</f>
        <v/>
      </c>
      <c r="B22" s="9">
        <f>IF(Stock!$A22="","",Stock!$B22)</f>
        <v/>
      </c>
      <c r="C22" s="9">
        <f>IF(Stock!$A22="","",IF(Stock!$C22="","",Stock!$C22))</f>
        <v/>
      </c>
      <c r="D22" s="152" t="inlineStr">
        <is>
          <t>Primus Japan carton</t>
        </is>
      </c>
      <c r="E22" s="168" t="n">
        <v>10</v>
      </c>
      <c r="F22" s="12">
        <f>IF($A22="","",IF(Stock!$E$3&lt;'Carton Stock'!$E$4,0,SUMIFS('Daily Entry'!$C$7:$C$10003,'Daily Entry'!$B$7:$B$10003,$O22,'Daily Entry'!$A$7:$A$10003,"&gt;="&amp;'Carton Stock'!$E$4,'Daily Entry'!$A$7:$A$10003,"&lt;="&amp;Stock!$E$3)))</f>
        <v/>
      </c>
      <c r="G22" s="156">
        <f>IF(OR($A22="",$D22="",N($E22)&lt;=0),"",ROUNDUP($F22/$E22,0))</f>
        <v/>
      </c>
      <c r="H22" s="11">
        <f>IF($A22="","",IF(Stock!$E$3&lt;'Carton Stock'!$E$4,0,SUMIFS('Daily Entry'!$C$7:$C$10003,'Daily Entry'!$B$7:$B$10003,$O22,'Daily Entry'!$A$7:$A$10003,Stock!$E$3)))</f>
        <v/>
      </c>
      <c r="I22" s="11">
        <f>IF($G22="","",$G22-ROUNDUP(($F22-$H22)/$E22,0))</f>
        <v/>
      </c>
      <c r="O22" s="131">
        <f>IF(Stock!$A22="","",Stock!$O22)</f>
        <v/>
      </c>
      <c r="P22" s="169">
        <f>IF($A22="",0,SUMIFS('Daily Entry'!$C$7:$C$10003,'Daily Entry'!$B$7:$B$10003,$O22,'Daily Entry'!$A$7:$A$10003,"&gt;="&amp;MAX('Carton Stock'!$E$4,Stock!$E$3-29),'Daily Entry'!$A$7:$A$10003,"&lt;="&amp;Stock!$E$3))</f>
        <v/>
      </c>
      <c r="Q22" s="159">
        <f>IF(OR($A22="",$D22="",N($E22)&lt;=0),0,$P22/$E22)</f>
        <v/>
      </c>
      <c r="R22" s="151">
        <f>IF(AND($A22&lt;&gt;"",N($F22)&gt;0,OR($D22="",N($E22)&lt;=0)),1,0)</f>
        <v/>
      </c>
      <c r="S22" s="151">
        <f>IF(AND($A22&lt;&gt;"",$D22&lt;&gt;""),IF(COUNTIF('Carton Stock'!$B$8:$B$47,$D22)=0,1,0),0)</f>
        <v/>
      </c>
      <c r="T22" s="151">
        <f>IF(AND($A22&lt;&gt;"",OR($D22="",N($E22)&lt;=0)),1,0)</f>
        <v/>
      </c>
    </row>
    <row r="23" ht="15" customHeight="1">
      <c r="A23" s="9">
        <f>IF(Stock!$A23="","",Stock!$A23)</f>
        <v/>
      </c>
      <c r="B23" s="9">
        <f>IF(Stock!$A23="","",Stock!$B23)</f>
        <v/>
      </c>
      <c r="C23" s="9">
        <f>IF(Stock!$A23="","",IF(Stock!$C23="","",Stock!$C23))</f>
        <v/>
      </c>
      <c r="D23" s="152" t="inlineStr">
        <is>
          <t>Primus Japan carton</t>
        </is>
      </c>
      <c r="E23" s="168" t="n">
        <v>10</v>
      </c>
      <c r="F23" s="12">
        <f>IF($A23="","",IF(Stock!$E$3&lt;'Carton Stock'!$E$4,0,SUMIFS('Daily Entry'!$C$7:$C$10003,'Daily Entry'!$B$7:$B$10003,$O23,'Daily Entry'!$A$7:$A$10003,"&gt;="&amp;'Carton Stock'!$E$4,'Daily Entry'!$A$7:$A$10003,"&lt;="&amp;Stock!$E$3)))</f>
        <v/>
      </c>
      <c r="G23" s="156">
        <f>IF(OR($A23="",$D23="",N($E23)&lt;=0),"",ROUNDUP($F23/$E23,0))</f>
        <v/>
      </c>
      <c r="H23" s="11">
        <f>IF($A23="","",IF(Stock!$E$3&lt;'Carton Stock'!$E$4,0,SUMIFS('Daily Entry'!$C$7:$C$10003,'Daily Entry'!$B$7:$B$10003,$O23,'Daily Entry'!$A$7:$A$10003,Stock!$E$3)))</f>
        <v/>
      </c>
      <c r="I23" s="11">
        <f>IF($G23="","",$G23-ROUNDUP(($F23-$H23)/$E23,0))</f>
        <v/>
      </c>
      <c r="O23" s="131">
        <f>IF(Stock!$A23="","",Stock!$O23)</f>
        <v/>
      </c>
      <c r="P23" s="169">
        <f>IF($A23="",0,SUMIFS('Daily Entry'!$C$7:$C$10003,'Daily Entry'!$B$7:$B$10003,$O23,'Daily Entry'!$A$7:$A$10003,"&gt;="&amp;MAX('Carton Stock'!$E$4,Stock!$E$3-29),'Daily Entry'!$A$7:$A$10003,"&lt;="&amp;Stock!$E$3))</f>
        <v/>
      </c>
      <c r="Q23" s="159">
        <f>IF(OR($A23="",$D23="",N($E23)&lt;=0),0,$P23/$E23)</f>
        <v/>
      </c>
      <c r="R23" s="151">
        <f>IF(AND($A23&lt;&gt;"",N($F23)&gt;0,OR($D23="",N($E23)&lt;=0)),1,0)</f>
        <v/>
      </c>
      <c r="S23" s="151">
        <f>IF(AND($A23&lt;&gt;"",$D23&lt;&gt;""),IF(COUNTIF('Carton Stock'!$B$8:$B$47,$D23)=0,1,0),0)</f>
        <v/>
      </c>
      <c r="T23" s="151">
        <f>IF(AND($A23&lt;&gt;"",OR($D23="",N($E23)&lt;=0)),1,0)</f>
        <v/>
      </c>
    </row>
    <row r="24" ht="15" customHeight="1">
      <c r="A24" s="9">
        <f>IF(Stock!$A24="","",Stock!$A24)</f>
        <v/>
      </c>
      <c r="B24" s="9">
        <f>IF(Stock!$A24="","",Stock!$B24)</f>
        <v/>
      </c>
      <c r="C24" s="9">
        <f>IF(Stock!$A24="","",IF(Stock!$C24="","",Stock!$C24))</f>
        <v/>
      </c>
      <c r="D24" s="152" t="inlineStr">
        <is>
          <t>Primus Japan carton</t>
        </is>
      </c>
      <c r="E24" s="168" t="n">
        <v>10</v>
      </c>
      <c r="F24" s="12">
        <f>IF($A24="","",IF(Stock!$E$3&lt;'Carton Stock'!$E$4,0,SUMIFS('Daily Entry'!$C$7:$C$10003,'Daily Entry'!$B$7:$B$10003,$O24,'Daily Entry'!$A$7:$A$10003,"&gt;="&amp;'Carton Stock'!$E$4,'Daily Entry'!$A$7:$A$10003,"&lt;="&amp;Stock!$E$3)))</f>
        <v/>
      </c>
      <c r="G24" s="156">
        <f>IF(OR($A24="",$D24="",N($E24)&lt;=0),"",ROUNDUP($F24/$E24,0))</f>
        <v/>
      </c>
      <c r="H24" s="11">
        <f>IF($A24="","",IF(Stock!$E$3&lt;'Carton Stock'!$E$4,0,SUMIFS('Daily Entry'!$C$7:$C$10003,'Daily Entry'!$B$7:$B$10003,$O24,'Daily Entry'!$A$7:$A$10003,Stock!$E$3)))</f>
        <v/>
      </c>
      <c r="I24" s="11">
        <f>IF($G24="","",$G24-ROUNDUP(($F24-$H24)/$E24,0))</f>
        <v/>
      </c>
      <c r="O24" s="131">
        <f>IF(Stock!$A24="","",Stock!$O24)</f>
        <v/>
      </c>
      <c r="P24" s="169">
        <f>IF($A24="",0,SUMIFS('Daily Entry'!$C$7:$C$10003,'Daily Entry'!$B$7:$B$10003,$O24,'Daily Entry'!$A$7:$A$10003,"&gt;="&amp;MAX('Carton Stock'!$E$4,Stock!$E$3-29),'Daily Entry'!$A$7:$A$10003,"&lt;="&amp;Stock!$E$3))</f>
        <v/>
      </c>
      <c r="Q24" s="159">
        <f>IF(OR($A24="",$D24="",N($E24)&lt;=0),0,$P24/$E24)</f>
        <v/>
      </c>
      <c r="R24" s="151">
        <f>IF(AND($A24&lt;&gt;"",N($F24)&gt;0,OR($D24="",N($E24)&lt;=0)),1,0)</f>
        <v/>
      </c>
      <c r="S24" s="151">
        <f>IF(AND($A24&lt;&gt;"",$D24&lt;&gt;""),IF(COUNTIF('Carton Stock'!$B$8:$B$47,$D24)=0,1,0),0)</f>
        <v/>
      </c>
      <c r="T24" s="151">
        <f>IF(AND($A24&lt;&gt;"",OR($D24="",N($E24)&lt;=0)),1,0)</f>
        <v/>
      </c>
    </row>
    <row r="25" ht="15" customHeight="1">
      <c r="A25" s="9">
        <f>IF(Stock!$A25="","",Stock!$A25)</f>
        <v/>
      </c>
      <c r="B25" s="9">
        <f>IF(Stock!$A25="","",Stock!$B25)</f>
        <v/>
      </c>
      <c r="C25" s="9">
        <f>IF(Stock!$A25="","",IF(Stock!$C25="","",Stock!$C25))</f>
        <v/>
      </c>
      <c r="D25" s="152" t="inlineStr">
        <is>
          <t>Primus Japan carton</t>
        </is>
      </c>
      <c r="E25" s="168" t="n">
        <v>10</v>
      </c>
      <c r="F25" s="12">
        <f>IF($A25="","",IF(Stock!$E$3&lt;'Carton Stock'!$E$4,0,SUMIFS('Daily Entry'!$C$7:$C$10003,'Daily Entry'!$B$7:$B$10003,$O25,'Daily Entry'!$A$7:$A$10003,"&gt;="&amp;'Carton Stock'!$E$4,'Daily Entry'!$A$7:$A$10003,"&lt;="&amp;Stock!$E$3)))</f>
        <v/>
      </c>
      <c r="G25" s="156">
        <f>IF(OR($A25="",$D25="",N($E25)&lt;=0),"",ROUNDUP($F25/$E25,0))</f>
        <v/>
      </c>
      <c r="H25" s="11">
        <f>IF($A25="","",IF(Stock!$E$3&lt;'Carton Stock'!$E$4,0,SUMIFS('Daily Entry'!$C$7:$C$10003,'Daily Entry'!$B$7:$B$10003,$O25,'Daily Entry'!$A$7:$A$10003,Stock!$E$3)))</f>
        <v/>
      </c>
      <c r="I25" s="11">
        <f>IF($G25="","",$G25-ROUNDUP(($F25-$H25)/$E25,0))</f>
        <v/>
      </c>
      <c r="O25" s="131">
        <f>IF(Stock!$A25="","",Stock!$O25)</f>
        <v/>
      </c>
      <c r="P25" s="169">
        <f>IF($A25="",0,SUMIFS('Daily Entry'!$C$7:$C$10003,'Daily Entry'!$B$7:$B$10003,$O25,'Daily Entry'!$A$7:$A$10003,"&gt;="&amp;MAX('Carton Stock'!$E$4,Stock!$E$3-29),'Daily Entry'!$A$7:$A$10003,"&lt;="&amp;Stock!$E$3))</f>
        <v/>
      </c>
      <c r="Q25" s="159">
        <f>IF(OR($A25="",$D25="",N($E25)&lt;=0),0,$P25/$E25)</f>
        <v/>
      </c>
      <c r="R25" s="151">
        <f>IF(AND($A25&lt;&gt;"",N($F25)&gt;0,OR($D25="",N($E25)&lt;=0)),1,0)</f>
        <v/>
      </c>
      <c r="S25" s="151">
        <f>IF(AND($A25&lt;&gt;"",$D25&lt;&gt;""),IF(COUNTIF('Carton Stock'!$B$8:$B$47,$D25)=0,1,0),0)</f>
        <v/>
      </c>
      <c r="T25" s="151">
        <f>IF(AND($A25&lt;&gt;"",OR($D25="",N($E25)&lt;=0)),1,0)</f>
        <v/>
      </c>
    </row>
    <row r="26" ht="15" customHeight="1">
      <c r="A26" s="9">
        <f>IF(Stock!$A26="","",Stock!$A26)</f>
        <v/>
      </c>
      <c r="B26" s="9">
        <f>IF(Stock!$A26="","",Stock!$B26)</f>
        <v/>
      </c>
      <c r="C26" s="9">
        <f>IF(Stock!$A26="","",IF(Stock!$C26="","",Stock!$C26))</f>
        <v/>
      </c>
      <c r="D26" s="152" t="inlineStr">
        <is>
          <t>Primus Japan carton</t>
        </is>
      </c>
      <c r="E26" s="168" t="n">
        <v>10</v>
      </c>
      <c r="F26" s="12">
        <f>IF($A26="","",IF(Stock!$E$3&lt;'Carton Stock'!$E$4,0,SUMIFS('Daily Entry'!$C$7:$C$10003,'Daily Entry'!$B$7:$B$10003,$O26,'Daily Entry'!$A$7:$A$10003,"&gt;="&amp;'Carton Stock'!$E$4,'Daily Entry'!$A$7:$A$10003,"&lt;="&amp;Stock!$E$3)))</f>
        <v/>
      </c>
      <c r="G26" s="156">
        <f>IF(OR($A26="",$D26="",N($E26)&lt;=0),"",ROUNDUP($F26/$E26,0))</f>
        <v/>
      </c>
      <c r="H26" s="11">
        <f>IF($A26="","",IF(Stock!$E$3&lt;'Carton Stock'!$E$4,0,SUMIFS('Daily Entry'!$C$7:$C$10003,'Daily Entry'!$B$7:$B$10003,$O26,'Daily Entry'!$A$7:$A$10003,Stock!$E$3)))</f>
        <v/>
      </c>
      <c r="I26" s="11">
        <f>IF($G26="","",$G26-ROUNDUP(($F26-$H26)/$E26,0))</f>
        <v/>
      </c>
      <c r="O26" s="131">
        <f>IF(Stock!$A26="","",Stock!$O26)</f>
        <v/>
      </c>
      <c r="P26" s="169">
        <f>IF($A26="",0,SUMIFS('Daily Entry'!$C$7:$C$10003,'Daily Entry'!$B$7:$B$10003,$O26,'Daily Entry'!$A$7:$A$10003,"&gt;="&amp;MAX('Carton Stock'!$E$4,Stock!$E$3-29),'Daily Entry'!$A$7:$A$10003,"&lt;="&amp;Stock!$E$3))</f>
        <v/>
      </c>
      <c r="Q26" s="159">
        <f>IF(OR($A26="",$D26="",N($E26)&lt;=0),0,$P26/$E26)</f>
        <v/>
      </c>
      <c r="R26" s="151">
        <f>IF(AND($A26&lt;&gt;"",N($F26)&gt;0,OR($D26="",N($E26)&lt;=0)),1,0)</f>
        <v/>
      </c>
      <c r="S26" s="151">
        <f>IF(AND($A26&lt;&gt;"",$D26&lt;&gt;""),IF(COUNTIF('Carton Stock'!$B$8:$B$47,$D26)=0,1,0),0)</f>
        <v/>
      </c>
      <c r="T26" s="151">
        <f>IF(AND($A26&lt;&gt;"",OR($D26="",N($E26)&lt;=0)),1,0)</f>
        <v/>
      </c>
    </row>
    <row r="27" ht="15" customHeight="1">
      <c r="A27" s="9">
        <f>IF(Stock!$A27="","",Stock!$A27)</f>
        <v/>
      </c>
      <c r="B27" s="9">
        <f>IF(Stock!$A27="","",Stock!$B27)</f>
        <v/>
      </c>
      <c r="C27" s="9">
        <f>IF(Stock!$A27="","",IF(Stock!$C27="","",Stock!$C27))</f>
        <v/>
      </c>
      <c r="D27" s="152" t="inlineStr">
        <is>
          <t>Primus Japan carton</t>
        </is>
      </c>
      <c r="E27" s="168" t="n">
        <v>10</v>
      </c>
      <c r="F27" s="12">
        <f>IF($A27="","",IF(Stock!$E$3&lt;'Carton Stock'!$E$4,0,SUMIFS('Daily Entry'!$C$7:$C$10003,'Daily Entry'!$B$7:$B$10003,$O27,'Daily Entry'!$A$7:$A$10003,"&gt;="&amp;'Carton Stock'!$E$4,'Daily Entry'!$A$7:$A$10003,"&lt;="&amp;Stock!$E$3)))</f>
        <v/>
      </c>
      <c r="G27" s="156">
        <f>IF(OR($A27="",$D27="",N($E27)&lt;=0),"",ROUNDUP($F27/$E27,0))</f>
        <v/>
      </c>
      <c r="H27" s="11">
        <f>IF($A27="","",IF(Stock!$E$3&lt;'Carton Stock'!$E$4,0,SUMIFS('Daily Entry'!$C$7:$C$10003,'Daily Entry'!$B$7:$B$10003,$O27,'Daily Entry'!$A$7:$A$10003,Stock!$E$3)))</f>
        <v/>
      </c>
      <c r="I27" s="11">
        <f>IF($G27="","",$G27-ROUNDUP(($F27-$H27)/$E27,0))</f>
        <v/>
      </c>
      <c r="O27" s="131">
        <f>IF(Stock!$A27="","",Stock!$O27)</f>
        <v/>
      </c>
      <c r="P27" s="169">
        <f>IF($A27="",0,SUMIFS('Daily Entry'!$C$7:$C$10003,'Daily Entry'!$B$7:$B$10003,$O27,'Daily Entry'!$A$7:$A$10003,"&gt;="&amp;MAX('Carton Stock'!$E$4,Stock!$E$3-29),'Daily Entry'!$A$7:$A$10003,"&lt;="&amp;Stock!$E$3))</f>
        <v/>
      </c>
      <c r="Q27" s="159">
        <f>IF(OR($A27="",$D27="",N($E27)&lt;=0),0,$P27/$E27)</f>
        <v/>
      </c>
      <c r="R27" s="151">
        <f>IF(AND($A27&lt;&gt;"",N($F27)&gt;0,OR($D27="",N($E27)&lt;=0)),1,0)</f>
        <v/>
      </c>
      <c r="S27" s="151">
        <f>IF(AND($A27&lt;&gt;"",$D27&lt;&gt;""),IF(COUNTIF('Carton Stock'!$B$8:$B$47,$D27)=0,1,0),0)</f>
        <v/>
      </c>
      <c r="T27" s="151">
        <f>IF(AND($A27&lt;&gt;"",OR($D27="",N($E27)&lt;=0)),1,0)</f>
        <v/>
      </c>
    </row>
    <row r="28" ht="15" customHeight="1">
      <c r="A28" s="9">
        <f>IF(Stock!$A28="","",Stock!$A28)</f>
        <v/>
      </c>
      <c r="B28" s="9">
        <f>IF(Stock!$A28="","",Stock!$B28)</f>
        <v/>
      </c>
      <c r="C28" s="9">
        <f>IF(Stock!$A28="","",IF(Stock!$C28="","",Stock!$C28))</f>
        <v/>
      </c>
      <c r="D28" s="152" t="inlineStr">
        <is>
          <t>Primus Japan carton</t>
        </is>
      </c>
      <c r="E28" s="168" t="n">
        <v>10</v>
      </c>
      <c r="F28" s="12">
        <f>IF($A28="","",IF(Stock!$E$3&lt;'Carton Stock'!$E$4,0,SUMIFS('Daily Entry'!$C$7:$C$10003,'Daily Entry'!$B$7:$B$10003,$O28,'Daily Entry'!$A$7:$A$10003,"&gt;="&amp;'Carton Stock'!$E$4,'Daily Entry'!$A$7:$A$10003,"&lt;="&amp;Stock!$E$3)))</f>
        <v/>
      </c>
      <c r="G28" s="156">
        <f>IF(OR($A28="",$D28="",N($E28)&lt;=0),"",ROUNDUP($F28/$E28,0))</f>
        <v/>
      </c>
      <c r="H28" s="11">
        <f>IF($A28="","",IF(Stock!$E$3&lt;'Carton Stock'!$E$4,0,SUMIFS('Daily Entry'!$C$7:$C$10003,'Daily Entry'!$B$7:$B$10003,$O28,'Daily Entry'!$A$7:$A$10003,Stock!$E$3)))</f>
        <v/>
      </c>
      <c r="I28" s="11">
        <f>IF($G28="","",$G28-ROUNDUP(($F28-$H28)/$E28,0))</f>
        <v/>
      </c>
      <c r="O28" s="131">
        <f>IF(Stock!$A28="","",Stock!$O28)</f>
        <v/>
      </c>
      <c r="P28" s="169">
        <f>IF($A28="",0,SUMIFS('Daily Entry'!$C$7:$C$10003,'Daily Entry'!$B$7:$B$10003,$O28,'Daily Entry'!$A$7:$A$10003,"&gt;="&amp;MAX('Carton Stock'!$E$4,Stock!$E$3-29),'Daily Entry'!$A$7:$A$10003,"&lt;="&amp;Stock!$E$3))</f>
        <v/>
      </c>
      <c r="Q28" s="159">
        <f>IF(OR($A28="",$D28="",N($E28)&lt;=0),0,$P28/$E28)</f>
        <v/>
      </c>
      <c r="R28" s="151">
        <f>IF(AND($A28&lt;&gt;"",N($F28)&gt;0,OR($D28="",N($E28)&lt;=0)),1,0)</f>
        <v/>
      </c>
      <c r="S28" s="151">
        <f>IF(AND($A28&lt;&gt;"",$D28&lt;&gt;""),IF(COUNTIF('Carton Stock'!$B$8:$B$47,$D28)=0,1,0),0)</f>
        <v/>
      </c>
      <c r="T28" s="151">
        <f>IF(AND($A28&lt;&gt;"",OR($D28="",N($E28)&lt;=0)),1,0)</f>
        <v/>
      </c>
    </row>
    <row r="29" ht="15" customHeight="1">
      <c r="A29" s="9">
        <f>IF(Stock!$A29="","",Stock!$A29)</f>
        <v/>
      </c>
      <c r="B29" s="9">
        <f>IF(Stock!$A29="","",Stock!$B29)</f>
        <v/>
      </c>
      <c r="C29" s="9">
        <f>IF(Stock!$A29="","",IF(Stock!$C29="","",Stock!$C29))</f>
        <v/>
      </c>
      <c r="D29" s="152" t="inlineStr">
        <is>
          <t>Primus Japan carton</t>
        </is>
      </c>
      <c r="E29" s="168" t="n">
        <v>10</v>
      </c>
      <c r="F29" s="12">
        <f>IF($A29="","",IF(Stock!$E$3&lt;'Carton Stock'!$E$4,0,SUMIFS('Daily Entry'!$C$7:$C$10003,'Daily Entry'!$B$7:$B$10003,$O29,'Daily Entry'!$A$7:$A$10003,"&gt;="&amp;'Carton Stock'!$E$4,'Daily Entry'!$A$7:$A$10003,"&lt;="&amp;Stock!$E$3)))</f>
        <v/>
      </c>
      <c r="G29" s="156">
        <f>IF(OR($A29="",$D29="",N($E29)&lt;=0),"",ROUNDUP($F29/$E29,0))</f>
        <v/>
      </c>
      <c r="H29" s="11">
        <f>IF($A29="","",IF(Stock!$E$3&lt;'Carton Stock'!$E$4,0,SUMIFS('Daily Entry'!$C$7:$C$10003,'Daily Entry'!$B$7:$B$10003,$O29,'Daily Entry'!$A$7:$A$10003,Stock!$E$3)))</f>
        <v/>
      </c>
      <c r="I29" s="11">
        <f>IF($G29="","",$G29-ROUNDUP(($F29-$H29)/$E29,0))</f>
        <v/>
      </c>
      <c r="O29" s="131">
        <f>IF(Stock!$A29="","",Stock!$O29)</f>
        <v/>
      </c>
      <c r="P29" s="169">
        <f>IF($A29="",0,SUMIFS('Daily Entry'!$C$7:$C$10003,'Daily Entry'!$B$7:$B$10003,$O29,'Daily Entry'!$A$7:$A$10003,"&gt;="&amp;MAX('Carton Stock'!$E$4,Stock!$E$3-29),'Daily Entry'!$A$7:$A$10003,"&lt;="&amp;Stock!$E$3))</f>
        <v/>
      </c>
      <c r="Q29" s="159">
        <f>IF(OR($A29="",$D29="",N($E29)&lt;=0),0,$P29/$E29)</f>
        <v/>
      </c>
      <c r="R29" s="151">
        <f>IF(AND($A29&lt;&gt;"",N($F29)&gt;0,OR($D29="",N($E29)&lt;=0)),1,0)</f>
        <v/>
      </c>
      <c r="S29" s="151">
        <f>IF(AND($A29&lt;&gt;"",$D29&lt;&gt;""),IF(COUNTIF('Carton Stock'!$B$8:$B$47,$D29)=0,1,0),0)</f>
        <v/>
      </c>
      <c r="T29" s="151">
        <f>IF(AND($A29&lt;&gt;"",OR($D29="",N($E29)&lt;=0)),1,0)</f>
        <v/>
      </c>
    </row>
    <row r="30" ht="15" customHeight="1">
      <c r="A30" s="9">
        <f>IF(Stock!$A30="","",Stock!$A30)</f>
        <v/>
      </c>
      <c r="B30" s="9">
        <f>IF(Stock!$A30="","",Stock!$B30)</f>
        <v/>
      </c>
      <c r="C30" s="9">
        <f>IF(Stock!$A30="","",IF(Stock!$C30="","",Stock!$C30))</f>
        <v/>
      </c>
      <c r="D30" s="152" t="inlineStr">
        <is>
          <t>Primus Japan carton</t>
        </is>
      </c>
      <c r="E30" s="168" t="n">
        <v>10</v>
      </c>
      <c r="F30" s="12">
        <f>IF($A30="","",IF(Stock!$E$3&lt;'Carton Stock'!$E$4,0,SUMIFS('Daily Entry'!$C$7:$C$10003,'Daily Entry'!$B$7:$B$10003,$O30,'Daily Entry'!$A$7:$A$10003,"&gt;="&amp;'Carton Stock'!$E$4,'Daily Entry'!$A$7:$A$10003,"&lt;="&amp;Stock!$E$3)))</f>
        <v/>
      </c>
      <c r="G30" s="156">
        <f>IF(OR($A30="",$D30="",N($E30)&lt;=0),"",ROUNDUP($F30/$E30,0))</f>
        <v/>
      </c>
      <c r="H30" s="11">
        <f>IF($A30="","",IF(Stock!$E$3&lt;'Carton Stock'!$E$4,0,SUMIFS('Daily Entry'!$C$7:$C$10003,'Daily Entry'!$B$7:$B$10003,$O30,'Daily Entry'!$A$7:$A$10003,Stock!$E$3)))</f>
        <v/>
      </c>
      <c r="I30" s="11">
        <f>IF($G30="","",$G30-ROUNDUP(($F30-$H30)/$E30,0))</f>
        <v/>
      </c>
      <c r="O30" s="131">
        <f>IF(Stock!$A30="","",Stock!$O30)</f>
        <v/>
      </c>
      <c r="P30" s="169">
        <f>IF($A30="",0,SUMIFS('Daily Entry'!$C$7:$C$10003,'Daily Entry'!$B$7:$B$10003,$O30,'Daily Entry'!$A$7:$A$10003,"&gt;="&amp;MAX('Carton Stock'!$E$4,Stock!$E$3-29),'Daily Entry'!$A$7:$A$10003,"&lt;="&amp;Stock!$E$3))</f>
        <v/>
      </c>
      <c r="Q30" s="159">
        <f>IF(OR($A30="",$D30="",N($E30)&lt;=0),0,$P30/$E30)</f>
        <v/>
      </c>
      <c r="R30" s="151">
        <f>IF(AND($A30&lt;&gt;"",N($F30)&gt;0,OR($D30="",N($E30)&lt;=0)),1,0)</f>
        <v/>
      </c>
      <c r="S30" s="151">
        <f>IF(AND($A30&lt;&gt;"",$D30&lt;&gt;""),IF(COUNTIF('Carton Stock'!$B$8:$B$47,$D30)=0,1,0),0)</f>
        <v/>
      </c>
      <c r="T30" s="151">
        <f>IF(AND($A30&lt;&gt;"",OR($D30="",N($E30)&lt;=0)),1,0)</f>
        <v/>
      </c>
    </row>
    <row r="31" ht="15" customHeight="1">
      <c r="A31" s="9">
        <f>IF(Stock!$A31="","",Stock!$A31)</f>
        <v/>
      </c>
      <c r="B31" s="9">
        <f>IF(Stock!$A31="","",Stock!$B31)</f>
        <v/>
      </c>
      <c r="C31" s="9">
        <f>IF(Stock!$A31="","",IF(Stock!$C31="","",Stock!$C31))</f>
        <v/>
      </c>
      <c r="D31" s="152" t="inlineStr">
        <is>
          <t>Primus Japan carton</t>
        </is>
      </c>
      <c r="E31" s="168" t="n">
        <v>10</v>
      </c>
      <c r="F31" s="12">
        <f>IF($A31="","",IF(Stock!$E$3&lt;'Carton Stock'!$E$4,0,SUMIFS('Daily Entry'!$C$7:$C$10003,'Daily Entry'!$B$7:$B$10003,$O31,'Daily Entry'!$A$7:$A$10003,"&gt;="&amp;'Carton Stock'!$E$4,'Daily Entry'!$A$7:$A$10003,"&lt;="&amp;Stock!$E$3)))</f>
        <v/>
      </c>
      <c r="G31" s="156">
        <f>IF(OR($A31="",$D31="",N($E31)&lt;=0),"",ROUNDUP($F31/$E31,0))</f>
        <v/>
      </c>
      <c r="H31" s="11">
        <f>IF($A31="","",IF(Stock!$E$3&lt;'Carton Stock'!$E$4,0,SUMIFS('Daily Entry'!$C$7:$C$10003,'Daily Entry'!$B$7:$B$10003,$O31,'Daily Entry'!$A$7:$A$10003,Stock!$E$3)))</f>
        <v/>
      </c>
      <c r="I31" s="11">
        <f>IF($G31="","",$G31-ROUNDUP(($F31-$H31)/$E31,0))</f>
        <v/>
      </c>
      <c r="O31" s="131">
        <f>IF(Stock!$A31="","",Stock!$O31)</f>
        <v/>
      </c>
      <c r="P31" s="169">
        <f>IF($A31="",0,SUMIFS('Daily Entry'!$C$7:$C$10003,'Daily Entry'!$B$7:$B$10003,$O31,'Daily Entry'!$A$7:$A$10003,"&gt;="&amp;MAX('Carton Stock'!$E$4,Stock!$E$3-29),'Daily Entry'!$A$7:$A$10003,"&lt;="&amp;Stock!$E$3))</f>
        <v/>
      </c>
      <c r="Q31" s="159">
        <f>IF(OR($A31="",$D31="",N($E31)&lt;=0),0,$P31/$E31)</f>
        <v/>
      </c>
      <c r="R31" s="151">
        <f>IF(AND($A31&lt;&gt;"",N($F31)&gt;0,OR($D31="",N($E31)&lt;=0)),1,0)</f>
        <v/>
      </c>
      <c r="S31" s="151">
        <f>IF(AND($A31&lt;&gt;"",$D31&lt;&gt;""),IF(COUNTIF('Carton Stock'!$B$8:$B$47,$D31)=0,1,0),0)</f>
        <v/>
      </c>
      <c r="T31" s="151">
        <f>IF(AND($A31&lt;&gt;"",OR($D31="",N($E31)&lt;=0)),1,0)</f>
        <v/>
      </c>
    </row>
    <row r="32" ht="15" customHeight="1">
      <c r="A32" s="9">
        <f>IF(Stock!$A32="","",Stock!$A32)</f>
        <v/>
      </c>
      <c r="B32" s="9">
        <f>IF(Stock!$A32="","",Stock!$B32)</f>
        <v/>
      </c>
      <c r="C32" s="9">
        <f>IF(Stock!$A32="","",IF(Stock!$C32="","",Stock!$C32))</f>
        <v/>
      </c>
      <c r="D32" s="152" t="inlineStr">
        <is>
          <t>Primus Japan carton</t>
        </is>
      </c>
      <c r="E32" s="168" t="n">
        <v>10</v>
      </c>
      <c r="F32" s="12">
        <f>IF($A32="","",IF(Stock!$E$3&lt;'Carton Stock'!$E$4,0,SUMIFS('Daily Entry'!$C$7:$C$10003,'Daily Entry'!$B$7:$B$10003,$O32,'Daily Entry'!$A$7:$A$10003,"&gt;="&amp;'Carton Stock'!$E$4,'Daily Entry'!$A$7:$A$10003,"&lt;="&amp;Stock!$E$3)))</f>
        <v/>
      </c>
      <c r="G32" s="156">
        <f>IF(OR($A32="",$D32="",N($E32)&lt;=0),"",ROUNDUP($F32/$E32,0))</f>
        <v/>
      </c>
      <c r="H32" s="11">
        <f>IF($A32="","",IF(Stock!$E$3&lt;'Carton Stock'!$E$4,0,SUMIFS('Daily Entry'!$C$7:$C$10003,'Daily Entry'!$B$7:$B$10003,$O32,'Daily Entry'!$A$7:$A$10003,Stock!$E$3)))</f>
        <v/>
      </c>
      <c r="I32" s="11">
        <f>IF($G32="","",$G32-ROUNDUP(($F32-$H32)/$E32,0))</f>
        <v/>
      </c>
      <c r="O32" s="131">
        <f>IF(Stock!$A32="","",Stock!$O32)</f>
        <v/>
      </c>
      <c r="P32" s="169">
        <f>IF($A32="",0,SUMIFS('Daily Entry'!$C$7:$C$10003,'Daily Entry'!$B$7:$B$10003,$O32,'Daily Entry'!$A$7:$A$10003,"&gt;="&amp;MAX('Carton Stock'!$E$4,Stock!$E$3-29),'Daily Entry'!$A$7:$A$10003,"&lt;="&amp;Stock!$E$3))</f>
        <v/>
      </c>
      <c r="Q32" s="159">
        <f>IF(OR($A32="",$D32="",N($E32)&lt;=0),0,$P32/$E32)</f>
        <v/>
      </c>
      <c r="R32" s="151">
        <f>IF(AND($A32&lt;&gt;"",N($F32)&gt;0,OR($D32="",N($E32)&lt;=0)),1,0)</f>
        <v/>
      </c>
      <c r="S32" s="151">
        <f>IF(AND($A32&lt;&gt;"",$D32&lt;&gt;""),IF(COUNTIF('Carton Stock'!$B$8:$B$47,$D32)=0,1,0),0)</f>
        <v/>
      </c>
      <c r="T32" s="151">
        <f>IF(AND($A32&lt;&gt;"",OR($D32="",N($E32)&lt;=0)),1,0)</f>
        <v/>
      </c>
    </row>
    <row r="33" ht="15" customHeight="1">
      <c r="A33" s="9">
        <f>IF(Stock!$A33="","",Stock!$A33)</f>
        <v/>
      </c>
      <c r="B33" s="9">
        <f>IF(Stock!$A33="","",Stock!$B33)</f>
        <v/>
      </c>
      <c r="C33" s="9">
        <f>IF(Stock!$A33="","",IF(Stock!$C33="","",Stock!$C33))</f>
        <v/>
      </c>
      <c r="D33" s="152" t="inlineStr">
        <is>
          <t>Primus Japan carton</t>
        </is>
      </c>
      <c r="E33" s="168" t="n">
        <v>10</v>
      </c>
      <c r="F33" s="12">
        <f>IF($A33="","",IF(Stock!$E$3&lt;'Carton Stock'!$E$4,0,SUMIFS('Daily Entry'!$C$7:$C$10003,'Daily Entry'!$B$7:$B$10003,$O33,'Daily Entry'!$A$7:$A$10003,"&gt;="&amp;'Carton Stock'!$E$4,'Daily Entry'!$A$7:$A$10003,"&lt;="&amp;Stock!$E$3)))</f>
        <v/>
      </c>
      <c r="G33" s="156">
        <f>IF(OR($A33="",$D33="",N($E33)&lt;=0),"",ROUNDUP($F33/$E33,0))</f>
        <v/>
      </c>
      <c r="H33" s="11">
        <f>IF($A33="","",IF(Stock!$E$3&lt;'Carton Stock'!$E$4,0,SUMIFS('Daily Entry'!$C$7:$C$10003,'Daily Entry'!$B$7:$B$10003,$O33,'Daily Entry'!$A$7:$A$10003,Stock!$E$3)))</f>
        <v/>
      </c>
      <c r="I33" s="11">
        <f>IF($G33="","",$G33-ROUNDUP(($F33-$H33)/$E33,0))</f>
        <v/>
      </c>
      <c r="O33" s="131">
        <f>IF(Stock!$A33="","",Stock!$O33)</f>
        <v/>
      </c>
      <c r="P33" s="169">
        <f>IF($A33="",0,SUMIFS('Daily Entry'!$C$7:$C$10003,'Daily Entry'!$B$7:$B$10003,$O33,'Daily Entry'!$A$7:$A$10003,"&gt;="&amp;MAX('Carton Stock'!$E$4,Stock!$E$3-29),'Daily Entry'!$A$7:$A$10003,"&lt;="&amp;Stock!$E$3))</f>
        <v/>
      </c>
      <c r="Q33" s="159">
        <f>IF(OR($A33="",$D33="",N($E33)&lt;=0),0,$P33/$E33)</f>
        <v/>
      </c>
      <c r="R33" s="151">
        <f>IF(AND($A33&lt;&gt;"",N($F33)&gt;0,OR($D33="",N($E33)&lt;=0)),1,0)</f>
        <v/>
      </c>
      <c r="S33" s="151">
        <f>IF(AND($A33&lt;&gt;"",$D33&lt;&gt;""),IF(COUNTIF('Carton Stock'!$B$8:$B$47,$D33)=0,1,0),0)</f>
        <v/>
      </c>
      <c r="T33" s="151">
        <f>IF(AND($A33&lt;&gt;"",OR($D33="",N($E33)&lt;=0)),1,0)</f>
        <v/>
      </c>
    </row>
    <row r="34" ht="15" customHeight="1">
      <c r="A34" s="9">
        <f>IF(Stock!$A34="","",Stock!$A34)</f>
        <v/>
      </c>
      <c r="B34" s="9">
        <f>IF(Stock!$A34="","",Stock!$B34)</f>
        <v/>
      </c>
      <c r="C34" s="9">
        <f>IF(Stock!$A34="","",IF(Stock!$C34="","",Stock!$C34))</f>
        <v/>
      </c>
      <c r="D34" s="152" t="inlineStr">
        <is>
          <t>Primus Japan carton</t>
        </is>
      </c>
      <c r="E34" s="168" t="n">
        <v>10</v>
      </c>
      <c r="F34" s="12">
        <f>IF($A34="","",IF(Stock!$E$3&lt;'Carton Stock'!$E$4,0,SUMIFS('Daily Entry'!$C$7:$C$10003,'Daily Entry'!$B$7:$B$10003,$O34,'Daily Entry'!$A$7:$A$10003,"&gt;="&amp;'Carton Stock'!$E$4,'Daily Entry'!$A$7:$A$10003,"&lt;="&amp;Stock!$E$3)))</f>
        <v/>
      </c>
      <c r="G34" s="156">
        <f>IF(OR($A34="",$D34="",N($E34)&lt;=0),"",ROUNDUP($F34/$E34,0))</f>
        <v/>
      </c>
      <c r="H34" s="11">
        <f>IF($A34="","",IF(Stock!$E$3&lt;'Carton Stock'!$E$4,0,SUMIFS('Daily Entry'!$C$7:$C$10003,'Daily Entry'!$B$7:$B$10003,$O34,'Daily Entry'!$A$7:$A$10003,Stock!$E$3)))</f>
        <v/>
      </c>
      <c r="I34" s="11">
        <f>IF($G34="","",$G34-ROUNDUP(($F34-$H34)/$E34,0))</f>
        <v/>
      </c>
      <c r="O34" s="131">
        <f>IF(Stock!$A34="","",Stock!$O34)</f>
        <v/>
      </c>
      <c r="P34" s="169">
        <f>IF($A34="",0,SUMIFS('Daily Entry'!$C$7:$C$10003,'Daily Entry'!$B$7:$B$10003,$O34,'Daily Entry'!$A$7:$A$10003,"&gt;="&amp;MAX('Carton Stock'!$E$4,Stock!$E$3-29),'Daily Entry'!$A$7:$A$10003,"&lt;="&amp;Stock!$E$3))</f>
        <v/>
      </c>
      <c r="Q34" s="159">
        <f>IF(OR($A34="",$D34="",N($E34)&lt;=0),0,$P34/$E34)</f>
        <v/>
      </c>
      <c r="R34" s="151">
        <f>IF(AND($A34&lt;&gt;"",N($F34)&gt;0,OR($D34="",N($E34)&lt;=0)),1,0)</f>
        <v/>
      </c>
      <c r="S34" s="151">
        <f>IF(AND($A34&lt;&gt;"",$D34&lt;&gt;""),IF(COUNTIF('Carton Stock'!$B$8:$B$47,$D34)=0,1,0),0)</f>
        <v/>
      </c>
      <c r="T34" s="151">
        <f>IF(AND($A34&lt;&gt;"",OR($D34="",N($E34)&lt;=0)),1,0)</f>
        <v/>
      </c>
    </row>
    <row r="35" ht="15" customHeight="1">
      <c r="A35" s="9">
        <f>IF(Stock!$A35="","",Stock!$A35)</f>
        <v/>
      </c>
      <c r="B35" s="9">
        <f>IF(Stock!$A35="","",Stock!$B35)</f>
        <v/>
      </c>
      <c r="C35" s="9">
        <f>IF(Stock!$A35="","",IF(Stock!$C35="","",Stock!$C35))</f>
        <v/>
      </c>
      <c r="D35" s="152" t="inlineStr">
        <is>
          <t>Primus EU carton</t>
        </is>
      </c>
      <c r="E35" s="168" t="n">
        <v>10</v>
      </c>
      <c r="F35" s="12">
        <f>IF($A35="","",IF(Stock!$E$3&lt;'Carton Stock'!$E$4,0,SUMIFS('Daily Entry'!$C$7:$C$10003,'Daily Entry'!$B$7:$B$10003,$O35,'Daily Entry'!$A$7:$A$10003,"&gt;="&amp;'Carton Stock'!$E$4,'Daily Entry'!$A$7:$A$10003,"&lt;="&amp;Stock!$E$3)))</f>
        <v/>
      </c>
      <c r="G35" s="156">
        <f>IF(OR($A35="",$D35="",N($E35)&lt;=0),"",ROUNDUP($F35/$E35,0))</f>
        <v/>
      </c>
      <c r="H35" s="11">
        <f>IF($A35="","",IF(Stock!$E$3&lt;'Carton Stock'!$E$4,0,SUMIFS('Daily Entry'!$C$7:$C$10003,'Daily Entry'!$B$7:$B$10003,$O35,'Daily Entry'!$A$7:$A$10003,Stock!$E$3)))</f>
        <v/>
      </c>
      <c r="I35" s="11">
        <f>IF($G35="","",$G35-ROUNDUP(($F35-$H35)/$E35,0))</f>
        <v/>
      </c>
      <c r="O35" s="131">
        <f>IF(Stock!$A35="","",Stock!$O35)</f>
        <v/>
      </c>
      <c r="P35" s="169">
        <f>IF($A35="",0,SUMIFS('Daily Entry'!$C$7:$C$10003,'Daily Entry'!$B$7:$B$10003,$O35,'Daily Entry'!$A$7:$A$10003,"&gt;="&amp;MAX('Carton Stock'!$E$4,Stock!$E$3-29),'Daily Entry'!$A$7:$A$10003,"&lt;="&amp;Stock!$E$3))</f>
        <v/>
      </c>
      <c r="Q35" s="159">
        <f>IF(OR($A35="",$D35="",N($E35)&lt;=0),0,$P35/$E35)</f>
        <v/>
      </c>
      <c r="R35" s="151">
        <f>IF(AND($A35&lt;&gt;"",N($F35)&gt;0,OR($D35="",N($E35)&lt;=0)),1,0)</f>
        <v/>
      </c>
      <c r="S35" s="151">
        <f>IF(AND($A35&lt;&gt;"",$D35&lt;&gt;""),IF(COUNTIF('Carton Stock'!$B$8:$B$47,$D35)=0,1,0),0)</f>
        <v/>
      </c>
      <c r="T35" s="151">
        <f>IF(AND($A35&lt;&gt;"",OR($D35="",N($E35)&lt;=0)),1,0)</f>
        <v/>
      </c>
    </row>
    <row r="36" ht="15" customHeight="1">
      <c r="A36" s="9">
        <f>IF(Stock!$A36="","",Stock!$A36)</f>
        <v/>
      </c>
      <c r="B36" s="9">
        <f>IF(Stock!$A36="","",Stock!$B36)</f>
        <v/>
      </c>
      <c r="C36" s="9">
        <f>IF(Stock!$A36="","",IF(Stock!$C36="","",Stock!$C36))</f>
        <v/>
      </c>
      <c r="D36" s="152" t="inlineStr">
        <is>
          <t>Primus EU carton</t>
        </is>
      </c>
      <c r="E36" s="168" t="n">
        <v>10</v>
      </c>
      <c r="F36" s="12">
        <f>IF($A36="","",IF(Stock!$E$3&lt;'Carton Stock'!$E$4,0,SUMIFS('Daily Entry'!$C$7:$C$10003,'Daily Entry'!$B$7:$B$10003,$O36,'Daily Entry'!$A$7:$A$10003,"&gt;="&amp;'Carton Stock'!$E$4,'Daily Entry'!$A$7:$A$10003,"&lt;="&amp;Stock!$E$3)))</f>
        <v/>
      </c>
      <c r="G36" s="156">
        <f>IF(OR($A36="",$D36="",N($E36)&lt;=0),"",ROUNDUP($F36/$E36,0))</f>
        <v/>
      </c>
      <c r="H36" s="11">
        <f>IF($A36="","",IF(Stock!$E$3&lt;'Carton Stock'!$E$4,0,SUMIFS('Daily Entry'!$C$7:$C$10003,'Daily Entry'!$B$7:$B$10003,$O36,'Daily Entry'!$A$7:$A$10003,Stock!$E$3)))</f>
        <v/>
      </c>
      <c r="I36" s="11">
        <f>IF($G36="","",$G36-ROUNDUP(($F36-$H36)/$E36,0))</f>
        <v/>
      </c>
      <c r="O36" s="131">
        <f>IF(Stock!$A36="","",Stock!$O36)</f>
        <v/>
      </c>
      <c r="P36" s="169">
        <f>IF($A36="",0,SUMIFS('Daily Entry'!$C$7:$C$10003,'Daily Entry'!$B$7:$B$10003,$O36,'Daily Entry'!$A$7:$A$10003,"&gt;="&amp;MAX('Carton Stock'!$E$4,Stock!$E$3-29),'Daily Entry'!$A$7:$A$10003,"&lt;="&amp;Stock!$E$3))</f>
        <v/>
      </c>
      <c r="Q36" s="159">
        <f>IF(OR($A36="",$D36="",N($E36)&lt;=0),0,$P36/$E36)</f>
        <v/>
      </c>
      <c r="R36" s="151">
        <f>IF(AND($A36&lt;&gt;"",N($F36)&gt;0,OR($D36="",N($E36)&lt;=0)),1,0)</f>
        <v/>
      </c>
      <c r="S36" s="151">
        <f>IF(AND($A36&lt;&gt;"",$D36&lt;&gt;""),IF(COUNTIF('Carton Stock'!$B$8:$B$47,$D36)=0,1,0),0)</f>
        <v/>
      </c>
      <c r="T36" s="151">
        <f>IF(AND($A36&lt;&gt;"",OR($D36="",N($E36)&lt;=0)),1,0)</f>
        <v/>
      </c>
    </row>
    <row r="37" ht="15" customHeight="1">
      <c r="A37" s="9">
        <f>IF(Stock!$A37="","",Stock!$A37)</f>
        <v/>
      </c>
      <c r="B37" s="9">
        <f>IF(Stock!$A37="","",Stock!$B37)</f>
        <v/>
      </c>
      <c r="C37" s="9">
        <f>IF(Stock!$A37="","",IF(Stock!$C37="","",Stock!$C37))</f>
        <v/>
      </c>
      <c r="D37" s="152" t="inlineStr">
        <is>
          <t>Primus EU carton</t>
        </is>
      </c>
      <c r="E37" s="168" t="n">
        <v>10</v>
      </c>
      <c r="F37" s="12">
        <f>IF($A37="","",IF(Stock!$E$3&lt;'Carton Stock'!$E$4,0,SUMIFS('Daily Entry'!$C$7:$C$10003,'Daily Entry'!$B$7:$B$10003,$O37,'Daily Entry'!$A$7:$A$10003,"&gt;="&amp;'Carton Stock'!$E$4,'Daily Entry'!$A$7:$A$10003,"&lt;="&amp;Stock!$E$3)))</f>
        <v/>
      </c>
      <c r="G37" s="156">
        <f>IF(OR($A37="",$D37="",N($E37)&lt;=0),"",ROUNDUP($F37/$E37,0))</f>
        <v/>
      </c>
      <c r="H37" s="11">
        <f>IF($A37="","",IF(Stock!$E$3&lt;'Carton Stock'!$E$4,0,SUMIFS('Daily Entry'!$C$7:$C$10003,'Daily Entry'!$B$7:$B$10003,$O37,'Daily Entry'!$A$7:$A$10003,Stock!$E$3)))</f>
        <v/>
      </c>
      <c r="I37" s="11">
        <f>IF($G37="","",$G37-ROUNDUP(($F37-$H37)/$E37,0))</f>
        <v/>
      </c>
      <c r="O37" s="131">
        <f>IF(Stock!$A37="","",Stock!$O37)</f>
        <v/>
      </c>
      <c r="P37" s="169">
        <f>IF($A37="",0,SUMIFS('Daily Entry'!$C$7:$C$10003,'Daily Entry'!$B$7:$B$10003,$O37,'Daily Entry'!$A$7:$A$10003,"&gt;="&amp;MAX('Carton Stock'!$E$4,Stock!$E$3-29),'Daily Entry'!$A$7:$A$10003,"&lt;="&amp;Stock!$E$3))</f>
        <v/>
      </c>
      <c r="Q37" s="159">
        <f>IF(OR($A37="",$D37="",N($E37)&lt;=0),0,$P37/$E37)</f>
        <v/>
      </c>
      <c r="R37" s="151">
        <f>IF(AND($A37&lt;&gt;"",N($F37)&gt;0,OR($D37="",N($E37)&lt;=0)),1,0)</f>
        <v/>
      </c>
      <c r="S37" s="151">
        <f>IF(AND($A37&lt;&gt;"",$D37&lt;&gt;""),IF(COUNTIF('Carton Stock'!$B$8:$B$47,$D37)=0,1,0),0)</f>
        <v/>
      </c>
      <c r="T37" s="151">
        <f>IF(AND($A37&lt;&gt;"",OR($D37="",N($E37)&lt;=0)),1,0)</f>
        <v/>
      </c>
    </row>
    <row r="38" ht="15" customHeight="1">
      <c r="A38" s="9">
        <f>IF(Stock!$A38="","",Stock!$A38)</f>
        <v/>
      </c>
      <c r="B38" s="9">
        <f>IF(Stock!$A38="","",Stock!$B38)</f>
        <v/>
      </c>
      <c r="C38" s="9">
        <f>IF(Stock!$A38="","",IF(Stock!$C38="","",Stock!$C38))</f>
        <v/>
      </c>
      <c r="D38" s="152" t="inlineStr">
        <is>
          <t>Primus EU carton</t>
        </is>
      </c>
      <c r="E38" s="168" t="n">
        <v>10</v>
      </c>
      <c r="F38" s="12">
        <f>IF($A38="","",IF(Stock!$E$3&lt;'Carton Stock'!$E$4,0,SUMIFS('Daily Entry'!$C$7:$C$10003,'Daily Entry'!$B$7:$B$10003,$O38,'Daily Entry'!$A$7:$A$10003,"&gt;="&amp;'Carton Stock'!$E$4,'Daily Entry'!$A$7:$A$10003,"&lt;="&amp;Stock!$E$3)))</f>
        <v/>
      </c>
      <c r="G38" s="156">
        <f>IF(OR($A38="",$D38="",N($E38)&lt;=0),"",ROUNDUP($F38/$E38,0))</f>
        <v/>
      </c>
      <c r="H38" s="11">
        <f>IF($A38="","",IF(Stock!$E$3&lt;'Carton Stock'!$E$4,0,SUMIFS('Daily Entry'!$C$7:$C$10003,'Daily Entry'!$B$7:$B$10003,$O38,'Daily Entry'!$A$7:$A$10003,Stock!$E$3)))</f>
        <v/>
      </c>
      <c r="I38" s="11">
        <f>IF($G38="","",$G38-ROUNDUP(($F38-$H38)/$E38,0))</f>
        <v/>
      </c>
      <c r="O38" s="131">
        <f>IF(Stock!$A38="","",Stock!$O38)</f>
        <v/>
      </c>
      <c r="P38" s="169">
        <f>IF($A38="",0,SUMIFS('Daily Entry'!$C$7:$C$10003,'Daily Entry'!$B$7:$B$10003,$O38,'Daily Entry'!$A$7:$A$10003,"&gt;="&amp;MAX('Carton Stock'!$E$4,Stock!$E$3-29),'Daily Entry'!$A$7:$A$10003,"&lt;="&amp;Stock!$E$3))</f>
        <v/>
      </c>
      <c r="Q38" s="159">
        <f>IF(OR($A38="",$D38="",N($E38)&lt;=0),0,$P38/$E38)</f>
        <v/>
      </c>
      <c r="R38" s="151">
        <f>IF(AND($A38&lt;&gt;"",N($F38)&gt;0,OR($D38="",N($E38)&lt;=0)),1,0)</f>
        <v/>
      </c>
      <c r="S38" s="151">
        <f>IF(AND($A38&lt;&gt;"",$D38&lt;&gt;""),IF(COUNTIF('Carton Stock'!$B$8:$B$47,$D38)=0,1,0),0)</f>
        <v/>
      </c>
      <c r="T38" s="151">
        <f>IF(AND($A38&lt;&gt;"",OR($D38="",N($E38)&lt;=0)),1,0)</f>
        <v/>
      </c>
    </row>
    <row r="39" ht="15" customHeight="1">
      <c r="A39" s="9">
        <f>IF(Stock!$A39="","",Stock!$A39)</f>
        <v/>
      </c>
      <c r="B39" s="9">
        <f>IF(Stock!$A39="","",Stock!$B39)</f>
        <v/>
      </c>
      <c r="C39" s="9">
        <f>IF(Stock!$A39="","",IF(Stock!$C39="","",Stock!$C39))</f>
        <v/>
      </c>
      <c r="D39" s="152" t="inlineStr">
        <is>
          <t>Primus EU carton</t>
        </is>
      </c>
      <c r="E39" s="168" t="n">
        <v>10</v>
      </c>
      <c r="F39" s="12">
        <f>IF($A39="","",IF(Stock!$E$3&lt;'Carton Stock'!$E$4,0,SUMIFS('Daily Entry'!$C$7:$C$10003,'Daily Entry'!$B$7:$B$10003,$O39,'Daily Entry'!$A$7:$A$10003,"&gt;="&amp;'Carton Stock'!$E$4,'Daily Entry'!$A$7:$A$10003,"&lt;="&amp;Stock!$E$3)))</f>
        <v/>
      </c>
      <c r="G39" s="156">
        <f>IF(OR($A39="",$D39="",N($E39)&lt;=0),"",ROUNDUP($F39/$E39,0))</f>
        <v/>
      </c>
      <c r="H39" s="11">
        <f>IF($A39="","",IF(Stock!$E$3&lt;'Carton Stock'!$E$4,0,SUMIFS('Daily Entry'!$C$7:$C$10003,'Daily Entry'!$B$7:$B$10003,$O39,'Daily Entry'!$A$7:$A$10003,Stock!$E$3)))</f>
        <v/>
      </c>
      <c r="I39" s="11">
        <f>IF($G39="","",$G39-ROUNDUP(($F39-$H39)/$E39,0))</f>
        <v/>
      </c>
      <c r="O39" s="131">
        <f>IF(Stock!$A39="","",Stock!$O39)</f>
        <v/>
      </c>
      <c r="P39" s="169">
        <f>IF($A39="",0,SUMIFS('Daily Entry'!$C$7:$C$10003,'Daily Entry'!$B$7:$B$10003,$O39,'Daily Entry'!$A$7:$A$10003,"&gt;="&amp;MAX('Carton Stock'!$E$4,Stock!$E$3-29),'Daily Entry'!$A$7:$A$10003,"&lt;="&amp;Stock!$E$3))</f>
        <v/>
      </c>
      <c r="Q39" s="159">
        <f>IF(OR($A39="",$D39="",N($E39)&lt;=0),0,$P39/$E39)</f>
        <v/>
      </c>
      <c r="R39" s="151">
        <f>IF(AND($A39&lt;&gt;"",N($F39)&gt;0,OR($D39="",N($E39)&lt;=0)),1,0)</f>
        <v/>
      </c>
      <c r="S39" s="151">
        <f>IF(AND($A39&lt;&gt;"",$D39&lt;&gt;""),IF(COUNTIF('Carton Stock'!$B$8:$B$47,$D39)=0,1,0),0)</f>
        <v/>
      </c>
      <c r="T39" s="151">
        <f>IF(AND($A39&lt;&gt;"",OR($D39="",N($E39)&lt;=0)),1,0)</f>
        <v/>
      </c>
    </row>
    <row r="40" ht="15" customHeight="1">
      <c r="A40" s="9">
        <f>IF(Stock!$A40="","",Stock!$A40)</f>
        <v/>
      </c>
      <c r="B40" s="9">
        <f>IF(Stock!$A40="","",Stock!$B40)</f>
        <v/>
      </c>
      <c r="C40" s="9">
        <f>IF(Stock!$A40="","",IF(Stock!$C40="","",Stock!$C40))</f>
        <v/>
      </c>
      <c r="D40" s="152" t="inlineStr">
        <is>
          <t>Primus EU carton</t>
        </is>
      </c>
      <c r="E40" s="168" t="n">
        <v>10</v>
      </c>
      <c r="F40" s="12">
        <f>IF($A40="","",IF(Stock!$E$3&lt;'Carton Stock'!$E$4,0,SUMIFS('Daily Entry'!$C$7:$C$10003,'Daily Entry'!$B$7:$B$10003,$O40,'Daily Entry'!$A$7:$A$10003,"&gt;="&amp;'Carton Stock'!$E$4,'Daily Entry'!$A$7:$A$10003,"&lt;="&amp;Stock!$E$3)))</f>
        <v/>
      </c>
      <c r="G40" s="156">
        <f>IF(OR($A40="",$D40="",N($E40)&lt;=0),"",ROUNDUP($F40/$E40,0))</f>
        <v/>
      </c>
      <c r="H40" s="11">
        <f>IF($A40="","",IF(Stock!$E$3&lt;'Carton Stock'!$E$4,0,SUMIFS('Daily Entry'!$C$7:$C$10003,'Daily Entry'!$B$7:$B$10003,$O40,'Daily Entry'!$A$7:$A$10003,Stock!$E$3)))</f>
        <v/>
      </c>
      <c r="I40" s="11">
        <f>IF($G40="","",$G40-ROUNDUP(($F40-$H40)/$E40,0))</f>
        <v/>
      </c>
      <c r="O40" s="131">
        <f>IF(Stock!$A40="","",Stock!$O40)</f>
        <v/>
      </c>
      <c r="P40" s="169">
        <f>IF($A40="",0,SUMIFS('Daily Entry'!$C$7:$C$10003,'Daily Entry'!$B$7:$B$10003,$O40,'Daily Entry'!$A$7:$A$10003,"&gt;="&amp;MAX('Carton Stock'!$E$4,Stock!$E$3-29),'Daily Entry'!$A$7:$A$10003,"&lt;="&amp;Stock!$E$3))</f>
        <v/>
      </c>
      <c r="Q40" s="159">
        <f>IF(OR($A40="",$D40="",N($E40)&lt;=0),0,$P40/$E40)</f>
        <v/>
      </c>
      <c r="R40" s="151">
        <f>IF(AND($A40&lt;&gt;"",N($F40)&gt;0,OR($D40="",N($E40)&lt;=0)),1,0)</f>
        <v/>
      </c>
      <c r="S40" s="151">
        <f>IF(AND($A40&lt;&gt;"",$D40&lt;&gt;""),IF(COUNTIF('Carton Stock'!$B$8:$B$47,$D40)=0,1,0),0)</f>
        <v/>
      </c>
      <c r="T40" s="151">
        <f>IF(AND($A40&lt;&gt;"",OR($D40="",N($E40)&lt;=0)),1,0)</f>
        <v/>
      </c>
    </row>
    <row r="41" ht="15" customHeight="1">
      <c r="A41" s="9">
        <f>IF(Stock!$A41="","",Stock!$A41)</f>
        <v/>
      </c>
      <c r="B41" s="9">
        <f>IF(Stock!$A41="","",Stock!$B41)</f>
        <v/>
      </c>
      <c r="C41" s="9">
        <f>IF(Stock!$A41="","",IF(Stock!$C41="","",Stock!$C41))</f>
        <v/>
      </c>
      <c r="D41" s="152" t="inlineStr">
        <is>
          <t>Primus EU carton</t>
        </is>
      </c>
      <c r="E41" s="168" t="n">
        <v>10</v>
      </c>
      <c r="F41" s="12">
        <f>IF($A41="","",IF(Stock!$E$3&lt;'Carton Stock'!$E$4,0,SUMIFS('Daily Entry'!$C$7:$C$10003,'Daily Entry'!$B$7:$B$10003,$O41,'Daily Entry'!$A$7:$A$10003,"&gt;="&amp;'Carton Stock'!$E$4,'Daily Entry'!$A$7:$A$10003,"&lt;="&amp;Stock!$E$3)))</f>
        <v/>
      </c>
      <c r="G41" s="156">
        <f>IF(OR($A41="",$D41="",N($E41)&lt;=0),"",ROUNDUP($F41/$E41,0))</f>
        <v/>
      </c>
      <c r="H41" s="11">
        <f>IF($A41="","",IF(Stock!$E$3&lt;'Carton Stock'!$E$4,0,SUMIFS('Daily Entry'!$C$7:$C$10003,'Daily Entry'!$B$7:$B$10003,$O41,'Daily Entry'!$A$7:$A$10003,Stock!$E$3)))</f>
        <v/>
      </c>
      <c r="I41" s="11">
        <f>IF($G41="","",$G41-ROUNDUP(($F41-$H41)/$E41,0))</f>
        <v/>
      </c>
      <c r="O41" s="131">
        <f>IF(Stock!$A41="","",Stock!$O41)</f>
        <v/>
      </c>
      <c r="P41" s="169">
        <f>IF($A41="",0,SUMIFS('Daily Entry'!$C$7:$C$10003,'Daily Entry'!$B$7:$B$10003,$O41,'Daily Entry'!$A$7:$A$10003,"&gt;="&amp;MAX('Carton Stock'!$E$4,Stock!$E$3-29),'Daily Entry'!$A$7:$A$10003,"&lt;="&amp;Stock!$E$3))</f>
        <v/>
      </c>
      <c r="Q41" s="159">
        <f>IF(OR($A41="",$D41="",N($E41)&lt;=0),0,$P41/$E41)</f>
        <v/>
      </c>
      <c r="R41" s="151">
        <f>IF(AND($A41&lt;&gt;"",N($F41)&gt;0,OR($D41="",N($E41)&lt;=0)),1,0)</f>
        <v/>
      </c>
      <c r="S41" s="151">
        <f>IF(AND($A41&lt;&gt;"",$D41&lt;&gt;""),IF(COUNTIF('Carton Stock'!$B$8:$B$47,$D41)=0,1,0),0)</f>
        <v/>
      </c>
      <c r="T41" s="151">
        <f>IF(AND($A41&lt;&gt;"",OR($D41="",N($E41)&lt;=0)),1,0)</f>
        <v/>
      </c>
    </row>
    <row r="42" ht="15" customHeight="1">
      <c r="A42" s="9">
        <f>IF(Stock!$A42="","",Stock!$A42)</f>
        <v/>
      </c>
      <c r="B42" s="9">
        <f>IF(Stock!$A42="","",Stock!$B42)</f>
        <v/>
      </c>
      <c r="C42" s="9">
        <f>IF(Stock!$A42="","",IF(Stock!$C42="","",Stock!$C42))</f>
        <v/>
      </c>
      <c r="D42" s="152" t="inlineStr">
        <is>
          <t>Primus EU carton</t>
        </is>
      </c>
      <c r="E42" s="168" t="n">
        <v>10</v>
      </c>
      <c r="F42" s="12">
        <f>IF($A42="","",IF(Stock!$E$3&lt;'Carton Stock'!$E$4,0,SUMIFS('Daily Entry'!$C$7:$C$10003,'Daily Entry'!$B$7:$B$10003,$O42,'Daily Entry'!$A$7:$A$10003,"&gt;="&amp;'Carton Stock'!$E$4,'Daily Entry'!$A$7:$A$10003,"&lt;="&amp;Stock!$E$3)))</f>
        <v/>
      </c>
      <c r="G42" s="156">
        <f>IF(OR($A42="",$D42="",N($E42)&lt;=0),"",ROUNDUP($F42/$E42,0))</f>
        <v/>
      </c>
      <c r="H42" s="11">
        <f>IF($A42="","",IF(Stock!$E$3&lt;'Carton Stock'!$E$4,0,SUMIFS('Daily Entry'!$C$7:$C$10003,'Daily Entry'!$B$7:$B$10003,$O42,'Daily Entry'!$A$7:$A$10003,Stock!$E$3)))</f>
        <v/>
      </c>
      <c r="I42" s="11">
        <f>IF($G42="","",$G42-ROUNDUP(($F42-$H42)/$E42,0))</f>
        <v/>
      </c>
      <c r="O42" s="131">
        <f>IF(Stock!$A42="","",Stock!$O42)</f>
        <v/>
      </c>
      <c r="P42" s="169">
        <f>IF($A42="",0,SUMIFS('Daily Entry'!$C$7:$C$10003,'Daily Entry'!$B$7:$B$10003,$O42,'Daily Entry'!$A$7:$A$10003,"&gt;="&amp;MAX('Carton Stock'!$E$4,Stock!$E$3-29),'Daily Entry'!$A$7:$A$10003,"&lt;="&amp;Stock!$E$3))</f>
        <v/>
      </c>
      <c r="Q42" s="159">
        <f>IF(OR($A42="",$D42="",N($E42)&lt;=0),0,$P42/$E42)</f>
        <v/>
      </c>
      <c r="R42" s="151">
        <f>IF(AND($A42&lt;&gt;"",N($F42)&gt;0,OR($D42="",N($E42)&lt;=0)),1,0)</f>
        <v/>
      </c>
      <c r="S42" s="151">
        <f>IF(AND($A42&lt;&gt;"",$D42&lt;&gt;""),IF(COUNTIF('Carton Stock'!$B$8:$B$47,$D42)=0,1,0),0)</f>
        <v/>
      </c>
      <c r="T42" s="151">
        <f>IF(AND($A42&lt;&gt;"",OR($D42="",N($E42)&lt;=0)),1,0)</f>
        <v/>
      </c>
    </row>
    <row r="43" ht="15" customHeight="1">
      <c r="A43" s="9">
        <f>IF(Stock!$A43="","",Stock!$A43)</f>
        <v/>
      </c>
      <c r="B43" s="9">
        <f>IF(Stock!$A43="","",Stock!$B43)</f>
        <v/>
      </c>
      <c r="C43" s="9">
        <f>IF(Stock!$A43="","",IF(Stock!$C43="","",Stock!$C43))</f>
        <v/>
      </c>
      <c r="D43" s="152" t="inlineStr">
        <is>
          <t>AMF Brand carton</t>
        </is>
      </c>
      <c r="E43" s="168" t="n">
        <v>10</v>
      </c>
      <c r="F43" s="12">
        <f>IF($A43="","",IF(Stock!$E$3&lt;'Carton Stock'!$E$4,0,SUMIFS('Daily Entry'!$C$7:$C$10003,'Daily Entry'!$B$7:$B$10003,$O43,'Daily Entry'!$A$7:$A$10003,"&gt;="&amp;'Carton Stock'!$E$4,'Daily Entry'!$A$7:$A$10003,"&lt;="&amp;Stock!$E$3)))</f>
        <v/>
      </c>
      <c r="G43" s="156">
        <f>IF(OR($A43="",$D43="",N($E43)&lt;=0),"",ROUNDUP($F43/$E43,0))</f>
        <v/>
      </c>
      <c r="H43" s="11">
        <f>IF($A43="","",IF(Stock!$E$3&lt;'Carton Stock'!$E$4,0,SUMIFS('Daily Entry'!$C$7:$C$10003,'Daily Entry'!$B$7:$B$10003,$O43,'Daily Entry'!$A$7:$A$10003,Stock!$E$3)))</f>
        <v/>
      </c>
      <c r="I43" s="11">
        <f>IF($G43="","",$G43-ROUNDUP(($F43-$H43)/$E43,0))</f>
        <v/>
      </c>
      <c r="O43" s="131">
        <f>IF(Stock!$A43="","",Stock!$O43)</f>
        <v/>
      </c>
      <c r="P43" s="169">
        <f>IF($A43="",0,SUMIFS('Daily Entry'!$C$7:$C$10003,'Daily Entry'!$B$7:$B$10003,$O43,'Daily Entry'!$A$7:$A$10003,"&gt;="&amp;MAX('Carton Stock'!$E$4,Stock!$E$3-29),'Daily Entry'!$A$7:$A$10003,"&lt;="&amp;Stock!$E$3))</f>
        <v/>
      </c>
      <c r="Q43" s="159">
        <f>IF(OR($A43="",$D43="",N($E43)&lt;=0),0,$P43/$E43)</f>
        <v/>
      </c>
      <c r="R43" s="151">
        <f>IF(AND($A43&lt;&gt;"",N($F43)&gt;0,OR($D43="",N($E43)&lt;=0)),1,0)</f>
        <v/>
      </c>
      <c r="S43" s="151">
        <f>IF(AND($A43&lt;&gt;"",$D43&lt;&gt;""),IF(COUNTIF('Carton Stock'!$B$8:$B$47,$D43)=0,1,0),0)</f>
        <v/>
      </c>
      <c r="T43" s="151">
        <f>IF(AND($A43&lt;&gt;"",OR($D43="",N($E43)&lt;=0)),1,0)</f>
        <v/>
      </c>
    </row>
    <row r="44" ht="15" customHeight="1">
      <c r="A44" s="9">
        <f>IF(Stock!$A44="","",Stock!$A44)</f>
        <v/>
      </c>
      <c r="B44" s="9">
        <f>IF(Stock!$A44="","",Stock!$B44)</f>
        <v/>
      </c>
      <c r="C44" s="9">
        <f>IF(Stock!$A44="","",IF(Stock!$C44="","",Stock!$C44))</f>
        <v/>
      </c>
      <c r="D44" s="152" t="inlineStr">
        <is>
          <t>AMF Brand carton</t>
        </is>
      </c>
      <c r="E44" s="168" t="n">
        <v>10</v>
      </c>
      <c r="F44" s="12">
        <f>IF($A44="","",IF(Stock!$E$3&lt;'Carton Stock'!$E$4,0,SUMIFS('Daily Entry'!$C$7:$C$10003,'Daily Entry'!$B$7:$B$10003,$O44,'Daily Entry'!$A$7:$A$10003,"&gt;="&amp;'Carton Stock'!$E$4,'Daily Entry'!$A$7:$A$10003,"&lt;="&amp;Stock!$E$3)))</f>
        <v/>
      </c>
      <c r="G44" s="156">
        <f>IF(OR($A44="",$D44="",N($E44)&lt;=0),"",ROUNDUP($F44/$E44,0))</f>
        <v/>
      </c>
      <c r="H44" s="11">
        <f>IF($A44="","",IF(Stock!$E$3&lt;'Carton Stock'!$E$4,0,SUMIFS('Daily Entry'!$C$7:$C$10003,'Daily Entry'!$B$7:$B$10003,$O44,'Daily Entry'!$A$7:$A$10003,Stock!$E$3)))</f>
        <v/>
      </c>
      <c r="I44" s="11">
        <f>IF($G44="","",$G44-ROUNDUP(($F44-$H44)/$E44,0))</f>
        <v/>
      </c>
      <c r="O44" s="131">
        <f>IF(Stock!$A44="","",Stock!$O44)</f>
        <v/>
      </c>
      <c r="P44" s="169">
        <f>IF($A44="",0,SUMIFS('Daily Entry'!$C$7:$C$10003,'Daily Entry'!$B$7:$B$10003,$O44,'Daily Entry'!$A$7:$A$10003,"&gt;="&amp;MAX('Carton Stock'!$E$4,Stock!$E$3-29),'Daily Entry'!$A$7:$A$10003,"&lt;="&amp;Stock!$E$3))</f>
        <v/>
      </c>
      <c r="Q44" s="159">
        <f>IF(OR($A44="",$D44="",N($E44)&lt;=0),0,$P44/$E44)</f>
        <v/>
      </c>
      <c r="R44" s="151">
        <f>IF(AND($A44&lt;&gt;"",N($F44)&gt;0,OR($D44="",N($E44)&lt;=0)),1,0)</f>
        <v/>
      </c>
      <c r="S44" s="151">
        <f>IF(AND($A44&lt;&gt;"",$D44&lt;&gt;""),IF(COUNTIF('Carton Stock'!$B$8:$B$47,$D44)=0,1,0),0)</f>
        <v/>
      </c>
      <c r="T44" s="151">
        <f>IF(AND($A44&lt;&gt;"",OR($D44="",N($E44)&lt;=0)),1,0)</f>
        <v/>
      </c>
    </row>
    <row r="45" ht="15" customHeight="1">
      <c r="A45" s="9">
        <f>IF(Stock!$A45="","",Stock!$A45)</f>
        <v/>
      </c>
      <c r="B45" s="9">
        <f>IF(Stock!$A45="","",Stock!$B45)</f>
        <v/>
      </c>
      <c r="C45" s="9">
        <f>IF(Stock!$A45="","",IF(Stock!$C45="","",Stock!$C45))</f>
        <v/>
      </c>
      <c r="D45" s="152" t="inlineStr">
        <is>
          <t>AMF Brand carton</t>
        </is>
      </c>
      <c r="E45" s="168" t="n">
        <v>10</v>
      </c>
      <c r="F45" s="12">
        <f>IF($A45="","",IF(Stock!$E$3&lt;'Carton Stock'!$E$4,0,SUMIFS('Daily Entry'!$C$7:$C$10003,'Daily Entry'!$B$7:$B$10003,$O45,'Daily Entry'!$A$7:$A$10003,"&gt;="&amp;'Carton Stock'!$E$4,'Daily Entry'!$A$7:$A$10003,"&lt;="&amp;Stock!$E$3)))</f>
        <v/>
      </c>
      <c r="G45" s="156">
        <f>IF(OR($A45="",$D45="",N($E45)&lt;=0),"",ROUNDUP($F45/$E45,0))</f>
        <v/>
      </c>
      <c r="H45" s="11">
        <f>IF($A45="","",IF(Stock!$E$3&lt;'Carton Stock'!$E$4,0,SUMIFS('Daily Entry'!$C$7:$C$10003,'Daily Entry'!$B$7:$B$10003,$O45,'Daily Entry'!$A$7:$A$10003,Stock!$E$3)))</f>
        <v/>
      </c>
      <c r="I45" s="11">
        <f>IF($G45="","",$G45-ROUNDUP(($F45-$H45)/$E45,0))</f>
        <v/>
      </c>
      <c r="O45" s="131">
        <f>IF(Stock!$A45="","",Stock!$O45)</f>
        <v/>
      </c>
      <c r="P45" s="169">
        <f>IF($A45="",0,SUMIFS('Daily Entry'!$C$7:$C$10003,'Daily Entry'!$B$7:$B$10003,$O45,'Daily Entry'!$A$7:$A$10003,"&gt;="&amp;MAX('Carton Stock'!$E$4,Stock!$E$3-29),'Daily Entry'!$A$7:$A$10003,"&lt;="&amp;Stock!$E$3))</f>
        <v/>
      </c>
      <c r="Q45" s="159">
        <f>IF(OR($A45="",$D45="",N($E45)&lt;=0),0,$P45/$E45)</f>
        <v/>
      </c>
      <c r="R45" s="151">
        <f>IF(AND($A45&lt;&gt;"",N($F45)&gt;0,OR($D45="",N($E45)&lt;=0)),1,0)</f>
        <v/>
      </c>
      <c r="S45" s="151">
        <f>IF(AND($A45&lt;&gt;"",$D45&lt;&gt;""),IF(COUNTIF('Carton Stock'!$B$8:$B$47,$D45)=0,1,0),0)</f>
        <v/>
      </c>
      <c r="T45" s="151">
        <f>IF(AND($A45&lt;&gt;"",OR($D45="",N($E45)&lt;=0)),1,0)</f>
        <v/>
      </c>
    </row>
    <row r="46" ht="15" customHeight="1">
      <c r="A46" s="9">
        <f>IF(Stock!$A46="","",Stock!$A46)</f>
        <v/>
      </c>
      <c r="B46" s="9">
        <f>IF(Stock!$A46="","",Stock!$B46)</f>
        <v/>
      </c>
      <c r="C46" s="9">
        <f>IF(Stock!$A46="","",IF(Stock!$C46="","",Stock!$C46))</f>
        <v/>
      </c>
      <c r="D46" s="152" t="inlineStr">
        <is>
          <t>AMF Brand carton</t>
        </is>
      </c>
      <c r="E46" s="168" t="n">
        <v>10</v>
      </c>
      <c r="F46" s="12">
        <f>IF($A46="","",IF(Stock!$E$3&lt;'Carton Stock'!$E$4,0,SUMIFS('Daily Entry'!$C$7:$C$10003,'Daily Entry'!$B$7:$B$10003,$O46,'Daily Entry'!$A$7:$A$10003,"&gt;="&amp;'Carton Stock'!$E$4,'Daily Entry'!$A$7:$A$10003,"&lt;="&amp;Stock!$E$3)))</f>
        <v/>
      </c>
      <c r="G46" s="156">
        <f>IF(OR($A46="",$D46="",N($E46)&lt;=0),"",ROUNDUP($F46/$E46,0))</f>
        <v/>
      </c>
      <c r="H46" s="11">
        <f>IF($A46="","",IF(Stock!$E$3&lt;'Carton Stock'!$E$4,0,SUMIFS('Daily Entry'!$C$7:$C$10003,'Daily Entry'!$B$7:$B$10003,$O46,'Daily Entry'!$A$7:$A$10003,Stock!$E$3)))</f>
        <v/>
      </c>
      <c r="I46" s="11">
        <f>IF($G46="","",$G46-ROUNDUP(($F46-$H46)/$E46,0))</f>
        <v/>
      </c>
      <c r="O46" s="131">
        <f>IF(Stock!$A46="","",Stock!$O46)</f>
        <v/>
      </c>
      <c r="P46" s="169">
        <f>IF($A46="",0,SUMIFS('Daily Entry'!$C$7:$C$10003,'Daily Entry'!$B$7:$B$10003,$O46,'Daily Entry'!$A$7:$A$10003,"&gt;="&amp;MAX('Carton Stock'!$E$4,Stock!$E$3-29),'Daily Entry'!$A$7:$A$10003,"&lt;="&amp;Stock!$E$3))</f>
        <v/>
      </c>
      <c r="Q46" s="159">
        <f>IF(OR($A46="",$D46="",N($E46)&lt;=0),0,$P46/$E46)</f>
        <v/>
      </c>
      <c r="R46" s="151">
        <f>IF(AND($A46&lt;&gt;"",N($F46)&gt;0,OR($D46="",N($E46)&lt;=0)),1,0)</f>
        <v/>
      </c>
      <c r="S46" s="151">
        <f>IF(AND($A46&lt;&gt;"",$D46&lt;&gt;""),IF(COUNTIF('Carton Stock'!$B$8:$B$47,$D46)=0,1,0),0)</f>
        <v/>
      </c>
      <c r="T46" s="151">
        <f>IF(AND($A46&lt;&gt;"",OR($D46="",N($E46)&lt;=0)),1,0)</f>
        <v/>
      </c>
    </row>
    <row r="47" ht="15" customHeight="1">
      <c r="A47" s="9">
        <f>IF(Stock!$A47="","",Stock!$A47)</f>
        <v/>
      </c>
      <c r="B47" s="9">
        <f>IF(Stock!$A47="","",Stock!$B47)</f>
        <v/>
      </c>
      <c r="C47" s="9">
        <f>IF(Stock!$A47="","",IF(Stock!$C47="","",Stock!$C47))</f>
        <v/>
      </c>
      <c r="D47" s="152" t="inlineStr">
        <is>
          <t>AMF Brand carton</t>
        </is>
      </c>
      <c r="E47" s="168" t="n">
        <v>10</v>
      </c>
      <c r="F47" s="12">
        <f>IF($A47="","",IF(Stock!$E$3&lt;'Carton Stock'!$E$4,0,SUMIFS('Daily Entry'!$C$7:$C$10003,'Daily Entry'!$B$7:$B$10003,$O47,'Daily Entry'!$A$7:$A$10003,"&gt;="&amp;'Carton Stock'!$E$4,'Daily Entry'!$A$7:$A$10003,"&lt;="&amp;Stock!$E$3)))</f>
        <v/>
      </c>
      <c r="G47" s="156">
        <f>IF(OR($A47="",$D47="",N($E47)&lt;=0),"",ROUNDUP($F47/$E47,0))</f>
        <v/>
      </c>
      <c r="H47" s="11">
        <f>IF($A47="","",IF(Stock!$E$3&lt;'Carton Stock'!$E$4,0,SUMIFS('Daily Entry'!$C$7:$C$10003,'Daily Entry'!$B$7:$B$10003,$O47,'Daily Entry'!$A$7:$A$10003,Stock!$E$3)))</f>
        <v/>
      </c>
      <c r="I47" s="11">
        <f>IF($G47="","",$G47-ROUNDUP(($F47-$H47)/$E47,0))</f>
        <v/>
      </c>
      <c r="O47" s="131">
        <f>IF(Stock!$A47="","",Stock!$O47)</f>
        <v/>
      </c>
      <c r="P47" s="169">
        <f>IF($A47="",0,SUMIFS('Daily Entry'!$C$7:$C$10003,'Daily Entry'!$B$7:$B$10003,$O47,'Daily Entry'!$A$7:$A$10003,"&gt;="&amp;MAX('Carton Stock'!$E$4,Stock!$E$3-29),'Daily Entry'!$A$7:$A$10003,"&lt;="&amp;Stock!$E$3))</f>
        <v/>
      </c>
      <c r="Q47" s="159">
        <f>IF(OR($A47="",$D47="",N($E47)&lt;=0),0,$P47/$E47)</f>
        <v/>
      </c>
      <c r="R47" s="151">
        <f>IF(AND($A47&lt;&gt;"",N($F47)&gt;0,OR($D47="",N($E47)&lt;=0)),1,0)</f>
        <v/>
      </c>
      <c r="S47" s="151">
        <f>IF(AND($A47&lt;&gt;"",$D47&lt;&gt;""),IF(COUNTIF('Carton Stock'!$B$8:$B$47,$D47)=0,1,0),0)</f>
        <v/>
      </c>
      <c r="T47" s="151">
        <f>IF(AND($A47&lt;&gt;"",OR($D47="",N($E47)&lt;=0)),1,0)</f>
        <v/>
      </c>
    </row>
    <row r="48" ht="15" customHeight="1">
      <c r="A48" s="9">
        <f>IF(Stock!$A48="","",Stock!$A48)</f>
        <v/>
      </c>
      <c r="B48" s="9">
        <f>IF(Stock!$A48="","",Stock!$B48)</f>
        <v/>
      </c>
      <c r="C48" s="9">
        <f>IF(Stock!$A48="","",IF(Stock!$C48="","",Stock!$C48))</f>
        <v/>
      </c>
      <c r="D48" s="152" t="inlineStr">
        <is>
          <t>AMF Brand carton</t>
        </is>
      </c>
      <c r="E48" s="168" t="n">
        <v>10</v>
      </c>
      <c r="F48" s="12">
        <f>IF($A48="","",IF(Stock!$E$3&lt;'Carton Stock'!$E$4,0,SUMIFS('Daily Entry'!$C$7:$C$10003,'Daily Entry'!$B$7:$B$10003,$O48,'Daily Entry'!$A$7:$A$10003,"&gt;="&amp;'Carton Stock'!$E$4,'Daily Entry'!$A$7:$A$10003,"&lt;="&amp;Stock!$E$3)))</f>
        <v/>
      </c>
      <c r="G48" s="156">
        <f>IF(OR($A48="",$D48="",N($E48)&lt;=0),"",ROUNDUP($F48/$E48,0))</f>
        <v/>
      </c>
      <c r="H48" s="11">
        <f>IF($A48="","",IF(Stock!$E$3&lt;'Carton Stock'!$E$4,0,SUMIFS('Daily Entry'!$C$7:$C$10003,'Daily Entry'!$B$7:$B$10003,$O48,'Daily Entry'!$A$7:$A$10003,Stock!$E$3)))</f>
        <v/>
      </c>
      <c r="I48" s="11">
        <f>IF($G48="","",$G48-ROUNDUP(($F48-$H48)/$E48,0))</f>
        <v/>
      </c>
      <c r="O48" s="131">
        <f>IF(Stock!$A48="","",Stock!$O48)</f>
        <v/>
      </c>
      <c r="P48" s="169">
        <f>IF($A48="",0,SUMIFS('Daily Entry'!$C$7:$C$10003,'Daily Entry'!$B$7:$B$10003,$O48,'Daily Entry'!$A$7:$A$10003,"&gt;="&amp;MAX('Carton Stock'!$E$4,Stock!$E$3-29),'Daily Entry'!$A$7:$A$10003,"&lt;="&amp;Stock!$E$3))</f>
        <v/>
      </c>
      <c r="Q48" s="159">
        <f>IF(OR($A48="",$D48="",N($E48)&lt;=0),0,$P48/$E48)</f>
        <v/>
      </c>
      <c r="R48" s="151">
        <f>IF(AND($A48&lt;&gt;"",N($F48)&gt;0,OR($D48="",N($E48)&lt;=0)),1,0)</f>
        <v/>
      </c>
      <c r="S48" s="151">
        <f>IF(AND($A48&lt;&gt;"",$D48&lt;&gt;""),IF(COUNTIF('Carton Stock'!$B$8:$B$47,$D48)=0,1,0),0)</f>
        <v/>
      </c>
      <c r="T48" s="151">
        <f>IF(AND($A48&lt;&gt;"",OR($D48="",N($E48)&lt;=0)),1,0)</f>
        <v/>
      </c>
    </row>
    <row r="49" ht="15" customHeight="1">
      <c r="A49" s="9">
        <f>IF(Stock!$A49="","",Stock!$A49)</f>
        <v/>
      </c>
      <c r="B49" s="9">
        <f>IF(Stock!$A49="","",Stock!$B49)</f>
        <v/>
      </c>
      <c r="C49" s="9">
        <f>IF(Stock!$A49="","",IF(Stock!$C49="","",Stock!$C49))</f>
        <v/>
      </c>
      <c r="D49" s="152" t="inlineStr">
        <is>
          <t>AMF Brand carton</t>
        </is>
      </c>
      <c r="E49" s="168" t="n">
        <v>10</v>
      </c>
      <c r="F49" s="12">
        <f>IF($A49="","",IF(Stock!$E$3&lt;'Carton Stock'!$E$4,0,SUMIFS('Daily Entry'!$C$7:$C$10003,'Daily Entry'!$B$7:$B$10003,$O49,'Daily Entry'!$A$7:$A$10003,"&gt;="&amp;'Carton Stock'!$E$4,'Daily Entry'!$A$7:$A$10003,"&lt;="&amp;Stock!$E$3)))</f>
        <v/>
      </c>
      <c r="G49" s="156">
        <f>IF(OR($A49="",$D49="",N($E49)&lt;=0),"",ROUNDUP($F49/$E49,0))</f>
        <v/>
      </c>
      <c r="H49" s="11">
        <f>IF($A49="","",IF(Stock!$E$3&lt;'Carton Stock'!$E$4,0,SUMIFS('Daily Entry'!$C$7:$C$10003,'Daily Entry'!$B$7:$B$10003,$O49,'Daily Entry'!$A$7:$A$10003,Stock!$E$3)))</f>
        <v/>
      </c>
      <c r="I49" s="11">
        <f>IF($G49="","",$G49-ROUNDUP(($F49-$H49)/$E49,0))</f>
        <v/>
      </c>
      <c r="O49" s="131">
        <f>IF(Stock!$A49="","",Stock!$O49)</f>
        <v/>
      </c>
      <c r="P49" s="169">
        <f>IF($A49="",0,SUMIFS('Daily Entry'!$C$7:$C$10003,'Daily Entry'!$B$7:$B$10003,$O49,'Daily Entry'!$A$7:$A$10003,"&gt;="&amp;MAX('Carton Stock'!$E$4,Stock!$E$3-29),'Daily Entry'!$A$7:$A$10003,"&lt;="&amp;Stock!$E$3))</f>
        <v/>
      </c>
      <c r="Q49" s="159">
        <f>IF(OR($A49="",$D49="",N($E49)&lt;=0),0,$P49/$E49)</f>
        <v/>
      </c>
      <c r="R49" s="151">
        <f>IF(AND($A49&lt;&gt;"",N($F49)&gt;0,OR($D49="",N($E49)&lt;=0)),1,0)</f>
        <v/>
      </c>
      <c r="S49" s="151">
        <f>IF(AND($A49&lt;&gt;"",$D49&lt;&gt;""),IF(COUNTIF('Carton Stock'!$B$8:$B$47,$D49)=0,1,0),0)</f>
        <v/>
      </c>
      <c r="T49" s="151">
        <f>IF(AND($A49&lt;&gt;"",OR($D49="",N($E49)&lt;=0)),1,0)</f>
        <v/>
      </c>
    </row>
    <row r="50" ht="15" customHeight="1">
      <c r="A50" s="9">
        <f>IF(Stock!$A50="","",Stock!$A50)</f>
        <v/>
      </c>
      <c r="B50" s="9">
        <f>IF(Stock!$A50="","",Stock!$B50)</f>
        <v/>
      </c>
      <c r="C50" s="9">
        <f>IF(Stock!$A50="","",IF(Stock!$C50="","",Stock!$C50))</f>
        <v/>
      </c>
      <c r="D50" s="152" t="inlineStr">
        <is>
          <t>AMF Brand carton</t>
        </is>
      </c>
      <c r="E50" s="168" t="n">
        <v>10</v>
      </c>
      <c r="F50" s="12">
        <f>IF($A50="","",IF(Stock!$E$3&lt;'Carton Stock'!$E$4,0,SUMIFS('Daily Entry'!$C$7:$C$10003,'Daily Entry'!$B$7:$B$10003,$O50,'Daily Entry'!$A$7:$A$10003,"&gt;="&amp;'Carton Stock'!$E$4,'Daily Entry'!$A$7:$A$10003,"&lt;="&amp;Stock!$E$3)))</f>
        <v/>
      </c>
      <c r="G50" s="156">
        <f>IF(OR($A50="",$D50="",N($E50)&lt;=0),"",ROUNDUP($F50/$E50,0))</f>
        <v/>
      </c>
      <c r="H50" s="11">
        <f>IF($A50="","",IF(Stock!$E$3&lt;'Carton Stock'!$E$4,0,SUMIFS('Daily Entry'!$C$7:$C$10003,'Daily Entry'!$B$7:$B$10003,$O50,'Daily Entry'!$A$7:$A$10003,Stock!$E$3)))</f>
        <v/>
      </c>
      <c r="I50" s="11">
        <f>IF($G50="","",$G50-ROUNDUP(($F50-$H50)/$E50,0))</f>
        <v/>
      </c>
      <c r="O50" s="131">
        <f>IF(Stock!$A50="","",Stock!$O50)</f>
        <v/>
      </c>
      <c r="P50" s="169">
        <f>IF($A50="",0,SUMIFS('Daily Entry'!$C$7:$C$10003,'Daily Entry'!$B$7:$B$10003,$O50,'Daily Entry'!$A$7:$A$10003,"&gt;="&amp;MAX('Carton Stock'!$E$4,Stock!$E$3-29),'Daily Entry'!$A$7:$A$10003,"&lt;="&amp;Stock!$E$3))</f>
        <v/>
      </c>
      <c r="Q50" s="159">
        <f>IF(OR($A50="",$D50="",N($E50)&lt;=0),0,$P50/$E50)</f>
        <v/>
      </c>
      <c r="R50" s="151">
        <f>IF(AND($A50&lt;&gt;"",N($F50)&gt;0,OR($D50="",N($E50)&lt;=0)),1,0)</f>
        <v/>
      </c>
      <c r="S50" s="151">
        <f>IF(AND($A50&lt;&gt;"",$D50&lt;&gt;""),IF(COUNTIF('Carton Stock'!$B$8:$B$47,$D50)=0,1,0),0)</f>
        <v/>
      </c>
      <c r="T50" s="151">
        <f>IF(AND($A50&lt;&gt;"",OR($D50="",N($E50)&lt;=0)),1,0)</f>
        <v/>
      </c>
    </row>
    <row r="51" ht="15" customHeight="1">
      <c r="A51" s="9">
        <f>IF(Stock!$A51="","",Stock!$A51)</f>
        <v/>
      </c>
      <c r="B51" s="9">
        <f>IF(Stock!$A51="","",Stock!$B51)</f>
        <v/>
      </c>
      <c r="C51" s="9">
        <f>IF(Stock!$A51="","",IF(Stock!$C51="","",Stock!$C51))</f>
        <v/>
      </c>
      <c r="D51" s="152" t="inlineStr">
        <is>
          <t>THT Brand carton</t>
        </is>
      </c>
      <c r="E51" s="168" t="n">
        <v>10</v>
      </c>
      <c r="F51" s="12">
        <f>IF($A51="","",IF(Stock!$E$3&lt;'Carton Stock'!$E$4,0,SUMIFS('Daily Entry'!$C$7:$C$10003,'Daily Entry'!$B$7:$B$10003,$O51,'Daily Entry'!$A$7:$A$10003,"&gt;="&amp;'Carton Stock'!$E$4,'Daily Entry'!$A$7:$A$10003,"&lt;="&amp;Stock!$E$3)))</f>
        <v/>
      </c>
      <c r="G51" s="156">
        <f>IF(OR($A51="",$D51="",N($E51)&lt;=0),"",ROUNDUP($F51/$E51,0))</f>
        <v/>
      </c>
      <c r="H51" s="11">
        <f>IF($A51="","",IF(Stock!$E$3&lt;'Carton Stock'!$E$4,0,SUMIFS('Daily Entry'!$C$7:$C$10003,'Daily Entry'!$B$7:$B$10003,$O51,'Daily Entry'!$A$7:$A$10003,Stock!$E$3)))</f>
        <v/>
      </c>
      <c r="I51" s="11">
        <f>IF($G51="","",$G51-ROUNDUP(($F51-$H51)/$E51,0))</f>
        <v/>
      </c>
      <c r="O51" s="131">
        <f>IF(Stock!$A51="","",Stock!$O51)</f>
        <v/>
      </c>
      <c r="P51" s="169">
        <f>IF($A51="",0,SUMIFS('Daily Entry'!$C$7:$C$10003,'Daily Entry'!$B$7:$B$10003,$O51,'Daily Entry'!$A$7:$A$10003,"&gt;="&amp;MAX('Carton Stock'!$E$4,Stock!$E$3-29),'Daily Entry'!$A$7:$A$10003,"&lt;="&amp;Stock!$E$3))</f>
        <v/>
      </c>
      <c r="Q51" s="159">
        <f>IF(OR($A51="",$D51="",N($E51)&lt;=0),0,$P51/$E51)</f>
        <v/>
      </c>
      <c r="R51" s="151">
        <f>IF(AND($A51&lt;&gt;"",N($F51)&gt;0,OR($D51="",N($E51)&lt;=0)),1,0)</f>
        <v/>
      </c>
      <c r="S51" s="151">
        <f>IF(AND($A51&lt;&gt;"",$D51&lt;&gt;""),IF(COUNTIF('Carton Stock'!$B$8:$B$47,$D51)=0,1,0),0)</f>
        <v/>
      </c>
      <c r="T51" s="151">
        <f>IF(AND($A51&lt;&gt;"",OR($D51="",N($E51)&lt;=0)),1,0)</f>
        <v/>
      </c>
    </row>
    <row r="52" ht="15" customHeight="1">
      <c r="A52" s="9">
        <f>IF(Stock!$A52="","",Stock!$A52)</f>
        <v/>
      </c>
      <c r="B52" s="9">
        <f>IF(Stock!$A52="","",Stock!$B52)</f>
        <v/>
      </c>
      <c r="C52" s="9">
        <f>IF(Stock!$A52="","",IF(Stock!$C52="","",Stock!$C52))</f>
        <v/>
      </c>
      <c r="D52" s="152" t="inlineStr">
        <is>
          <t>THT Brand carton</t>
        </is>
      </c>
      <c r="E52" s="168" t="n">
        <v>10</v>
      </c>
      <c r="F52" s="12">
        <f>IF($A52="","",IF(Stock!$E$3&lt;'Carton Stock'!$E$4,0,SUMIFS('Daily Entry'!$C$7:$C$10003,'Daily Entry'!$B$7:$B$10003,$O52,'Daily Entry'!$A$7:$A$10003,"&gt;="&amp;'Carton Stock'!$E$4,'Daily Entry'!$A$7:$A$10003,"&lt;="&amp;Stock!$E$3)))</f>
        <v/>
      </c>
      <c r="G52" s="156">
        <f>IF(OR($A52="",$D52="",N($E52)&lt;=0),"",ROUNDUP($F52/$E52,0))</f>
        <v/>
      </c>
      <c r="H52" s="11">
        <f>IF($A52="","",IF(Stock!$E$3&lt;'Carton Stock'!$E$4,0,SUMIFS('Daily Entry'!$C$7:$C$10003,'Daily Entry'!$B$7:$B$10003,$O52,'Daily Entry'!$A$7:$A$10003,Stock!$E$3)))</f>
        <v/>
      </c>
      <c r="I52" s="11">
        <f>IF($G52="","",$G52-ROUNDUP(($F52-$H52)/$E52,0))</f>
        <v/>
      </c>
      <c r="O52" s="131">
        <f>IF(Stock!$A52="","",Stock!$O52)</f>
        <v/>
      </c>
      <c r="P52" s="169">
        <f>IF($A52="",0,SUMIFS('Daily Entry'!$C$7:$C$10003,'Daily Entry'!$B$7:$B$10003,$O52,'Daily Entry'!$A$7:$A$10003,"&gt;="&amp;MAX('Carton Stock'!$E$4,Stock!$E$3-29),'Daily Entry'!$A$7:$A$10003,"&lt;="&amp;Stock!$E$3))</f>
        <v/>
      </c>
      <c r="Q52" s="159">
        <f>IF(OR($A52="",$D52="",N($E52)&lt;=0),0,$P52/$E52)</f>
        <v/>
      </c>
      <c r="R52" s="151">
        <f>IF(AND($A52&lt;&gt;"",N($F52)&gt;0,OR($D52="",N($E52)&lt;=0)),1,0)</f>
        <v/>
      </c>
      <c r="S52" s="151">
        <f>IF(AND($A52&lt;&gt;"",$D52&lt;&gt;""),IF(COUNTIF('Carton Stock'!$B$8:$B$47,$D52)=0,1,0),0)</f>
        <v/>
      </c>
      <c r="T52" s="151">
        <f>IF(AND($A52&lt;&gt;"",OR($D52="",N($E52)&lt;=0)),1,0)</f>
        <v/>
      </c>
    </row>
    <row r="53" ht="15" customHeight="1">
      <c r="A53" s="9">
        <f>IF(Stock!$A53="","",Stock!$A53)</f>
        <v/>
      </c>
      <c r="B53" s="9">
        <f>IF(Stock!$A53="","",Stock!$B53)</f>
        <v/>
      </c>
      <c r="C53" s="9">
        <f>IF(Stock!$A53="","",IF(Stock!$C53="","",Stock!$C53))</f>
        <v/>
      </c>
      <c r="D53" s="152" t="inlineStr">
        <is>
          <t>THT Brand carton</t>
        </is>
      </c>
      <c r="E53" s="168" t="n">
        <v>10</v>
      </c>
      <c r="F53" s="12">
        <f>IF($A53="","",IF(Stock!$E$3&lt;'Carton Stock'!$E$4,0,SUMIFS('Daily Entry'!$C$7:$C$10003,'Daily Entry'!$B$7:$B$10003,$O53,'Daily Entry'!$A$7:$A$10003,"&gt;="&amp;'Carton Stock'!$E$4,'Daily Entry'!$A$7:$A$10003,"&lt;="&amp;Stock!$E$3)))</f>
        <v/>
      </c>
      <c r="G53" s="156">
        <f>IF(OR($A53="",$D53="",N($E53)&lt;=0),"",ROUNDUP($F53/$E53,0))</f>
        <v/>
      </c>
      <c r="H53" s="11">
        <f>IF($A53="","",IF(Stock!$E$3&lt;'Carton Stock'!$E$4,0,SUMIFS('Daily Entry'!$C$7:$C$10003,'Daily Entry'!$B$7:$B$10003,$O53,'Daily Entry'!$A$7:$A$10003,Stock!$E$3)))</f>
        <v/>
      </c>
      <c r="I53" s="11">
        <f>IF($G53="","",$G53-ROUNDUP(($F53-$H53)/$E53,0))</f>
        <v/>
      </c>
      <c r="O53" s="131">
        <f>IF(Stock!$A53="","",Stock!$O53)</f>
        <v/>
      </c>
      <c r="P53" s="169">
        <f>IF($A53="",0,SUMIFS('Daily Entry'!$C$7:$C$10003,'Daily Entry'!$B$7:$B$10003,$O53,'Daily Entry'!$A$7:$A$10003,"&gt;="&amp;MAX('Carton Stock'!$E$4,Stock!$E$3-29),'Daily Entry'!$A$7:$A$10003,"&lt;="&amp;Stock!$E$3))</f>
        <v/>
      </c>
      <c r="Q53" s="159">
        <f>IF(OR($A53="",$D53="",N($E53)&lt;=0),0,$P53/$E53)</f>
        <v/>
      </c>
      <c r="R53" s="151">
        <f>IF(AND($A53&lt;&gt;"",N($F53)&gt;0,OR($D53="",N($E53)&lt;=0)),1,0)</f>
        <v/>
      </c>
      <c r="S53" s="151">
        <f>IF(AND($A53&lt;&gt;"",$D53&lt;&gt;""),IF(COUNTIF('Carton Stock'!$B$8:$B$47,$D53)=0,1,0),0)</f>
        <v/>
      </c>
      <c r="T53" s="151">
        <f>IF(AND($A53&lt;&gt;"",OR($D53="",N($E53)&lt;=0)),1,0)</f>
        <v/>
      </c>
    </row>
    <row r="54" ht="15" customHeight="1">
      <c r="A54" s="9">
        <f>IF(Stock!$A54="","",Stock!$A54)</f>
        <v/>
      </c>
      <c r="B54" s="9">
        <f>IF(Stock!$A54="","",Stock!$B54)</f>
        <v/>
      </c>
      <c r="C54" s="9">
        <f>IF(Stock!$A54="","",IF(Stock!$C54="","",Stock!$C54))</f>
        <v/>
      </c>
      <c r="D54" s="152" t="inlineStr">
        <is>
          <t>China carton</t>
        </is>
      </c>
      <c r="E54" s="168" t="n">
        <v>10</v>
      </c>
      <c r="F54" s="12">
        <f>IF($A54="","",IF(Stock!$E$3&lt;'Carton Stock'!$E$4,0,SUMIFS('Daily Entry'!$C$7:$C$10003,'Daily Entry'!$B$7:$B$10003,$O54,'Daily Entry'!$A$7:$A$10003,"&gt;="&amp;'Carton Stock'!$E$4,'Daily Entry'!$A$7:$A$10003,"&lt;="&amp;Stock!$E$3)))</f>
        <v/>
      </c>
      <c r="G54" s="156">
        <f>IF(OR($A54="",$D54="",N($E54)&lt;=0),"",ROUNDUP($F54/$E54,0))</f>
        <v/>
      </c>
      <c r="H54" s="11">
        <f>IF($A54="","",IF(Stock!$E$3&lt;'Carton Stock'!$E$4,0,SUMIFS('Daily Entry'!$C$7:$C$10003,'Daily Entry'!$B$7:$B$10003,$O54,'Daily Entry'!$A$7:$A$10003,Stock!$E$3)))</f>
        <v/>
      </c>
      <c r="I54" s="11">
        <f>IF($G54="","",$G54-ROUNDUP(($F54-$H54)/$E54,0))</f>
        <v/>
      </c>
      <c r="O54" s="131">
        <f>IF(Stock!$A54="","",Stock!$O54)</f>
        <v/>
      </c>
      <c r="P54" s="169">
        <f>IF($A54="",0,SUMIFS('Daily Entry'!$C$7:$C$10003,'Daily Entry'!$B$7:$B$10003,$O54,'Daily Entry'!$A$7:$A$10003,"&gt;="&amp;MAX('Carton Stock'!$E$4,Stock!$E$3-29),'Daily Entry'!$A$7:$A$10003,"&lt;="&amp;Stock!$E$3))</f>
        <v/>
      </c>
      <c r="Q54" s="159">
        <f>IF(OR($A54="",$D54="",N($E54)&lt;=0),0,$P54/$E54)</f>
        <v/>
      </c>
      <c r="R54" s="151">
        <f>IF(AND($A54&lt;&gt;"",N($F54)&gt;0,OR($D54="",N($E54)&lt;=0)),1,0)</f>
        <v/>
      </c>
      <c r="S54" s="151">
        <f>IF(AND($A54&lt;&gt;"",$D54&lt;&gt;""),IF(COUNTIF('Carton Stock'!$B$8:$B$47,$D54)=0,1,0),0)</f>
        <v/>
      </c>
      <c r="T54" s="151">
        <f>IF(AND($A54&lt;&gt;"",OR($D54="",N($E54)&lt;=0)),1,0)</f>
        <v/>
      </c>
    </row>
    <row r="55" ht="15" customHeight="1">
      <c r="A55" s="9">
        <f>IF(Stock!$A55="","",Stock!$A55)</f>
        <v/>
      </c>
      <c r="B55" s="9">
        <f>IF(Stock!$A55="","",Stock!$B55)</f>
        <v/>
      </c>
      <c r="C55" s="9">
        <f>IF(Stock!$A55="","",IF(Stock!$C55="","",Stock!$C55))</f>
        <v/>
      </c>
      <c r="D55" s="152" t="inlineStr">
        <is>
          <t>China carton</t>
        </is>
      </c>
      <c r="E55" s="168" t="n">
        <v>10</v>
      </c>
      <c r="F55" s="12">
        <f>IF($A55="","",IF(Stock!$E$3&lt;'Carton Stock'!$E$4,0,SUMIFS('Daily Entry'!$C$7:$C$10003,'Daily Entry'!$B$7:$B$10003,$O55,'Daily Entry'!$A$7:$A$10003,"&gt;="&amp;'Carton Stock'!$E$4,'Daily Entry'!$A$7:$A$10003,"&lt;="&amp;Stock!$E$3)))</f>
        <v/>
      </c>
      <c r="G55" s="156">
        <f>IF(OR($A55="",$D55="",N($E55)&lt;=0),"",ROUNDUP($F55/$E55,0))</f>
        <v/>
      </c>
      <c r="H55" s="11">
        <f>IF($A55="","",IF(Stock!$E$3&lt;'Carton Stock'!$E$4,0,SUMIFS('Daily Entry'!$C$7:$C$10003,'Daily Entry'!$B$7:$B$10003,$O55,'Daily Entry'!$A$7:$A$10003,Stock!$E$3)))</f>
        <v/>
      </c>
      <c r="I55" s="11">
        <f>IF($G55="","",$G55-ROUNDUP(($F55-$H55)/$E55,0))</f>
        <v/>
      </c>
      <c r="O55" s="131">
        <f>IF(Stock!$A55="","",Stock!$O55)</f>
        <v/>
      </c>
      <c r="P55" s="169">
        <f>IF($A55="",0,SUMIFS('Daily Entry'!$C$7:$C$10003,'Daily Entry'!$B$7:$B$10003,$O55,'Daily Entry'!$A$7:$A$10003,"&gt;="&amp;MAX('Carton Stock'!$E$4,Stock!$E$3-29),'Daily Entry'!$A$7:$A$10003,"&lt;="&amp;Stock!$E$3))</f>
        <v/>
      </c>
      <c r="Q55" s="159">
        <f>IF(OR($A55="",$D55="",N($E55)&lt;=0),0,$P55/$E55)</f>
        <v/>
      </c>
      <c r="R55" s="151">
        <f>IF(AND($A55&lt;&gt;"",N($F55)&gt;0,OR($D55="",N($E55)&lt;=0)),1,0)</f>
        <v/>
      </c>
      <c r="S55" s="151">
        <f>IF(AND($A55&lt;&gt;"",$D55&lt;&gt;""),IF(COUNTIF('Carton Stock'!$B$8:$B$47,$D55)=0,1,0),0)</f>
        <v/>
      </c>
      <c r="T55" s="151">
        <f>IF(AND($A55&lt;&gt;"",OR($D55="",N($E55)&lt;=0)),1,0)</f>
        <v/>
      </c>
    </row>
    <row r="56" ht="15" customHeight="1">
      <c r="A56" s="9">
        <f>IF(Stock!$A56="","",Stock!$A56)</f>
        <v/>
      </c>
      <c r="B56" s="9">
        <f>IF(Stock!$A56="","",Stock!$B56)</f>
        <v/>
      </c>
      <c r="C56" s="9">
        <f>IF(Stock!$A56="","",IF(Stock!$C56="","",Stock!$C56))</f>
        <v/>
      </c>
      <c r="D56" s="152" t="inlineStr">
        <is>
          <t>China carton</t>
        </is>
      </c>
      <c r="E56" s="168" t="n">
        <v>10</v>
      </c>
      <c r="F56" s="12">
        <f>IF($A56="","",IF(Stock!$E$3&lt;'Carton Stock'!$E$4,0,SUMIFS('Daily Entry'!$C$7:$C$10003,'Daily Entry'!$B$7:$B$10003,$O56,'Daily Entry'!$A$7:$A$10003,"&gt;="&amp;'Carton Stock'!$E$4,'Daily Entry'!$A$7:$A$10003,"&lt;="&amp;Stock!$E$3)))</f>
        <v/>
      </c>
      <c r="G56" s="156">
        <f>IF(OR($A56="",$D56="",N($E56)&lt;=0),"",ROUNDUP($F56/$E56,0))</f>
        <v/>
      </c>
      <c r="H56" s="11">
        <f>IF($A56="","",IF(Stock!$E$3&lt;'Carton Stock'!$E$4,0,SUMIFS('Daily Entry'!$C$7:$C$10003,'Daily Entry'!$B$7:$B$10003,$O56,'Daily Entry'!$A$7:$A$10003,Stock!$E$3)))</f>
        <v/>
      </c>
      <c r="I56" s="11">
        <f>IF($G56="","",$G56-ROUNDUP(($F56-$H56)/$E56,0))</f>
        <v/>
      </c>
      <c r="O56" s="131">
        <f>IF(Stock!$A56="","",Stock!$O56)</f>
        <v/>
      </c>
      <c r="P56" s="169">
        <f>IF($A56="",0,SUMIFS('Daily Entry'!$C$7:$C$10003,'Daily Entry'!$B$7:$B$10003,$O56,'Daily Entry'!$A$7:$A$10003,"&gt;="&amp;MAX('Carton Stock'!$E$4,Stock!$E$3-29),'Daily Entry'!$A$7:$A$10003,"&lt;="&amp;Stock!$E$3))</f>
        <v/>
      </c>
      <c r="Q56" s="159">
        <f>IF(OR($A56="",$D56="",N($E56)&lt;=0),0,$P56/$E56)</f>
        <v/>
      </c>
      <c r="R56" s="151">
        <f>IF(AND($A56&lt;&gt;"",N($F56)&gt;0,OR($D56="",N($E56)&lt;=0)),1,0)</f>
        <v/>
      </c>
      <c r="S56" s="151">
        <f>IF(AND($A56&lt;&gt;"",$D56&lt;&gt;""),IF(COUNTIF('Carton Stock'!$B$8:$B$47,$D56)=0,1,0),0)</f>
        <v/>
      </c>
      <c r="T56" s="151">
        <f>IF(AND($A56&lt;&gt;"",OR($D56="",N($E56)&lt;=0)),1,0)</f>
        <v/>
      </c>
    </row>
    <row r="57" ht="15" customHeight="1">
      <c r="A57" s="9">
        <f>IF(Stock!$A57="","",Stock!$A57)</f>
        <v/>
      </c>
      <c r="B57" s="9">
        <f>IF(Stock!$A57="","",Stock!$B57)</f>
        <v/>
      </c>
      <c r="C57" s="9">
        <f>IF(Stock!$A57="","",IF(Stock!$C57="","",Stock!$C57))</f>
        <v/>
      </c>
      <c r="D57" s="152" t="inlineStr">
        <is>
          <t>China carton</t>
        </is>
      </c>
      <c r="E57" s="168" t="n">
        <v>10</v>
      </c>
      <c r="F57" s="12">
        <f>IF($A57="","",IF(Stock!$E$3&lt;'Carton Stock'!$E$4,0,SUMIFS('Daily Entry'!$C$7:$C$10003,'Daily Entry'!$B$7:$B$10003,$O57,'Daily Entry'!$A$7:$A$10003,"&gt;="&amp;'Carton Stock'!$E$4,'Daily Entry'!$A$7:$A$10003,"&lt;="&amp;Stock!$E$3)))</f>
        <v/>
      </c>
      <c r="G57" s="156">
        <f>IF(OR($A57="",$D57="",N($E57)&lt;=0),"",ROUNDUP($F57/$E57,0))</f>
        <v/>
      </c>
      <c r="H57" s="11">
        <f>IF($A57="","",IF(Stock!$E$3&lt;'Carton Stock'!$E$4,0,SUMIFS('Daily Entry'!$C$7:$C$10003,'Daily Entry'!$B$7:$B$10003,$O57,'Daily Entry'!$A$7:$A$10003,Stock!$E$3)))</f>
        <v/>
      </c>
      <c r="I57" s="11">
        <f>IF($G57="","",$G57-ROUNDUP(($F57-$H57)/$E57,0))</f>
        <v/>
      </c>
      <c r="O57" s="131">
        <f>IF(Stock!$A57="","",Stock!$O57)</f>
        <v/>
      </c>
      <c r="P57" s="169">
        <f>IF($A57="",0,SUMIFS('Daily Entry'!$C$7:$C$10003,'Daily Entry'!$B$7:$B$10003,$O57,'Daily Entry'!$A$7:$A$10003,"&gt;="&amp;MAX('Carton Stock'!$E$4,Stock!$E$3-29),'Daily Entry'!$A$7:$A$10003,"&lt;="&amp;Stock!$E$3))</f>
        <v/>
      </c>
      <c r="Q57" s="159">
        <f>IF(OR($A57="",$D57="",N($E57)&lt;=0),0,$P57/$E57)</f>
        <v/>
      </c>
      <c r="R57" s="151">
        <f>IF(AND($A57&lt;&gt;"",N($F57)&gt;0,OR($D57="",N($E57)&lt;=0)),1,0)</f>
        <v/>
      </c>
      <c r="S57" s="151">
        <f>IF(AND($A57&lt;&gt;"",$D57&lt;&gt;""),IF(COUNTIF('Carton Stock'!$B$8:$B$47,$D57)=0,1,0),0)</f>
        <v/>
      </c>
      <c r="T57" s="151">
        <f>IF(AND($A57&lt;&gt;"",OR($D57="",N($E57)&lt;=0)),1,0)</f>
        <v/>
      </c>
    </row>
    <row r="58" ht="15" customHeight="1">
      <c r="A58" s="9">
        <f>IF(Stock!$A58="","",Stock!$A58)</f>
        <v/>
      </c>
      <c r="B58" s="9">
        <f>IF(Stock!$A58="","",Stock!$B58)</f>
        <v/>
      </c>
      <c r="C58" s="9">
        <f>IF(Stock!$A58="","",IF(Stock!$C58="","",Stock!$C58))</f>
        <v/>
      </c>
      <c r="D58" s="152" t="inlineStr">
        <is>
          <t>Deep Sea carton</t>
        </is>
      </c>
      <c r="E58" s="168" t="n">
        <v>10</v>
      </c>
      <c r="F58" s="12">
        <f>IF($A58="","",IF(Stock!$E$3&lt;'Carton Stock'!$E$4,0,SUMIFS('Daily Entry'!$C$7:$C$10003,'Daily Entry'!$B$7:$B$10003,$O58,'Daily Entry'!$A$7:$A$10003,"&gt;="&amp;'Carton Stock'!$E$4,'Daily Entry'!$A$7:$A$10003,"&lt;="&amp;Stock!$E$3)))</f>
        <v/>
      </c>
      <c r="G58" s="156">
        <f>IF(OR($A58="",$D58="",N($E58)&lt;=0),"",ROUNDUP($F58/$E58,0))</f>
        <v/>
      </c>
      <c r="H58" s="11">
        <f>IF($A58="","",IF(Stock!$E$3&lt;'Carton Stock'!$E$4,0,SUMIFS('Daily Entry'!$C$7:$C$10003,'Daily Entry'!$B$7:$B$10003,$O58,'Daily Entry'!$A$7:$A$10003,Stock!$E$3)))</f>
        <v/>
      </c>
      <c r="I58" s="11">
        <f>IF($G58="","",$G58-ROUNDUP(($F58-$H58)/$E58,0))</f>
        <v/>
      </c>
      <c r="O58" s="131">
        <f>IF(Stock!$A58="","",Stock!$O58)</f>
        <v/>
      </c>
      <c r="P58" s="169">
        <f>IF($A58="",0,SUMIFS('Daily Entry'!$C$7:$C$10003,'Daily Entry'!$B$7:$B$10003,$O58,'Daily Entry'!$A$7:$A$10003,"&gt;="&amp;MAX('Carton Stock'!$E$4,Stock!$E$3-29),'Daily Entry'!$A$7:$A$10003,"&lt;="&amp;Stock!$E$3))</f>
        <v/>
      </c>
      <c r="Q58" s="159">
        <f>IF(OR($A58="",$D58="",N($E58)&lt;=0),0,$P58/$E58)</f>
        <v/>
      </c>
      <c r="R58" s="151">
        <f>IF(AND($A58&lt;&gt;"",N($F58)&gt;0,OR($D58="",N($E58)&lt;=0)),1,0)</f>
        <v/>
      </c>
      <c r="S58" s="151">
        <f>IF(AND($A58&lt;&gt;"",$D58&lt;&gt;""),IF(COUNTIF('Carton Stock'!$B$8:$B$47,$D58)=0,1,0),0)</f>
        <v/>
      </c>
      <c r="T58" s="151">
        <f>IF(AND($A58&lt;&gt;"",OR($D58="",N($E58)&lt;=0)),1,0)</f>
        <v/>
      </c>
    </row>
    <row r="59" ht="15" customHeight="1">
      <c r="A59" s="9">
        <f>IF(Stock!$A59="","",Stock!$A59)</f>
        <v/>
      </c>
      <c r="B59" s="9">
        <f>IF(Stock!$A59="","",Stock!$B59)</f>
        <v/>
      </c>
      <c r="C59" s="9">
        <f>IF(Stock!$A59="","",IF(Stock!$C59="","",Stock!$C59))</f>
        <v/>
      </c>
      <c r="D59" s="152" t="inlineStr">
        <is>
          <t>Shrimp Whole carton</t>
        </is>
      </c>
      <c r="E59" s="168" t="n">
        <v>10</v>
      </c>
      <c r="F59" s="12">
        <f>IF($A59="","",IF(Stock!$E$3&lt;'Carton Stock'!$E$4,0,SUMIFS('Daily Entry'!$C$7:$C$10003,'Daily Entry'!$B$7:$B$10003,$O59,'Daily Entry'!$A$7:$A$10003,"&gt;="&amp;'Carton Stock'!$E$4,'Daily Entry'!$A$7:$A$10003,"&lt;="&amp;Stock!$E$3)))</f>
        <v/>
      </c>
      <c r="G59" s="156">
        <f>IF(OR($A59="",$D59="",N($E59)&lt;=0),"",ROUNDUP($F59/$E59,0))</f>
        <v/>
      </c>
      <c r="H59" s="11">
        <f>IF($A59="","",IF(Stock!$E$3&lt;'Carton Stock'!$E$4,0,SUMIFS('Daily Entry'!$C$7:$C$10003,'Daily Entry'!$B$7:$B$10003,$O59,'Daily Entry'!$A$7:$A$10003,Stock!$E$3)))</f>
        <v/>
      </c>
      <c r="I59" s="11">
        <f>IF($G59="","",$G59-ROUNDUP(($F59-$H59)/$E59,0))</f>
        <v/>
      </c>
      <c r="O59" s="131">
        <f>IF(Stock!$A59="","",Stock!$O59)</f>
        <v/>
      </c>
      <c r="P59" s="169">
        <f>IF($A59="",0,SUMIFS('Daily Entry'!$C$7:$C$10003,'Daily Entry'!$B$7:$B$10003,$O59,'Daily Entry'!$A$7:$A$10003,"&gt;="&amp;MAX('Carton Stock'!$E$4,Stock!$E$3-29),'Daily Entry'!$A$7:$A$10003,"&lt;="&amp;Stock!$E$3))</f>
        <v/>
      </c>
      <c r="Q59" s="159">
        <f>IF(OR($A59="",$D59="",N($E59)&lt;=0),0,$P59/$E59)</f>
        <v/>
      </c>
      <c r="R59" s="151">
        <f>IF(AND($A59&lt;&gt;"",N($F59)&gt;0,OR($D59="",N($E59)&lt;=0)),1,0)</f>
        <v/>
      </c>
      <c r="S59" s="151">
        <f>IF(AND($A59&lt;&gt;"",$D59&lt;&gt;""),IF(COUNTIF('Carton Stock'!$B$8:$B$47,$D59)=0,1,0),0)</f>
        <v/>
      </c>
      <c r="T59" s="151">
        <f>IF(AND($A59&lt;&gt;"",OR($D59="",N($E59)&lt;=0)),1,0)</f>
        <v/>
      </c>
    </row>
    <row r="60" ht="15" customHeight="1">
      <c r="A60" s="9">
        <f>IF(Stock!$A60="","",Stock!$A60)</f>
        <v/>
      </c>
      <c r="B60" s="9">
        <f>IF(Stock!$A60="","",Stock!$B60)</f>
        <v/>
      </c>
      <c r="C60" s="9">
        <f>IF(Stock!$A60="","",IF(Stock!$C60="","",Stock!$C60))</f>
        <v/>
      </c>
      <c r="D60" s="152" t="inlineStr">
        <is>
          <t>Tuna carton</t>
        </is>
      </c>
      <c r="E60" s="168" t="n"/>
      <c r="F60" s="12">
        <f>IF($A60="","",IF(Stock!$E$3&lt;'Carton Stock'!$E$4,0,SUMIFS('Daily Entry'!$C$7:$C$10003,'Daily Entry'!$B$7:$B$10003,$O60,'Daily Entry'!$A$7:$A$10003,"&gt;="&amp;'Carton Stock'!$E$4,'Daily Entry'!$A$7:$A$10003,"&lt;="&amp;Stock!$E$3)))</f>
        <v/>
      </c>
      <c r="G60" s="156">
        <f>IF(OR($A60="",$D60="",N($E60)&lt;=0),"",ROUNDUP($F60/$E60,0))</f>
        <v/>
      </c>
      <c r="H60" s="11">
        <f>IF($A60="","",IF(Stock!$E$3&lt;'Carton Stock'!$E$4,0,SUMIFS('Daily Entry'!$C$7:$C$10003,'Daily Entry'!$B$7:$B$10003,$O60,'Daily Entry'!$A$7:$A$10003,Stock!$E$3)))</f>
        <v/>
      </c>
      <c r="I60" s="11">
        <f>IF($G60="","",$G60-ROUNDUP(($F60-$H60)/$E60,0))</f>
        <v/>
      </c>
      <c r="O60" s="131">
        <f>IF(Stock!$A60="","",Stock!$O60)</f>
        <v/>
      </c>
      <c r="P60" s="169">
        <f>IF($A60="",0,SUMIFS('Daily Entry'!$C$7:$C$10003,'Daily Entry'!$B$7:$B$10003,$O60,'Daily Entry'!$A$7:$A$10003,"&gt;="&amp;MAX('Carton Stock'!$E$4,Stock!$E$3-29),'Daily Entry'!$A$7:$A$10003,"&lt;="&amp;Stock!$E$3))</f>
        <v/>
      </c>
      <c r="Q60" s="159">
        <f>IF(OR($A60="",$D60="",N($E60)&lt;=0),0,$P60/$E60)</f>
        <v/>
      </c>
      <c r="R60" s="151">
        <f>IF(AND($A60&lt;&gt;"",N($F60)&gt;0,OR($D60="",N($E60)&lt;=0)),1,0)</f>
        <v/>
      </c>
      <c r="S60" s="151">
        <f>IF(AND($A60&lt;&gt;"",$D60&lt;&gt;""),IF(COUNTIF('Carton Stock'!$B$8:$B$47,$D60)=0,1,0),0)</f>
        <v/>
      </c>
      <c r="T60" s="151">
        <f>IF(AND($A60&lt;&gt;"",OR($D60="",N($E60)&lt;=0)),1,0)</f>
        <v/>
      </c>
    </row>
    <row r="61" ht="15" customHeight="1">
      <c r="A61" s="9">
        <f>IF(Stock!$A61="","",Stock!$A61)</f>
        <v/>
      </c>
      <c r="B61" s="9">
        <f>IF(Stock!$A61="","",Stock!$B61)</f>
        <v/>
      </c>
      <c r="C61" s="9">
        <f>IF(Stock!$A61="","",IF(Stock!$C61="","",Stock!$C61))</f>
        <v/>
      </c>
      <c r="D61" s="152" t="inlineStr">
        <is>
          <t>Tuna carton</t>
        </is>
      </c>
      <c r="E61" s="168" t="n"/>
      <c r="F61" s="12">
        <f>IF($A61="","",IF(Stock!$E$3&lt;'Carton Stock'!$E$4,0,SUMIFS('Daily Entry'!$C$7:$C$10003,'Daily Entry'!$B$7:$B$10003,$O61,'Daily Entry'!$A$7:$A$10003,"&gt;="&amp;'Carton Stock'!$E$4,'Daily Entry'!$A$7:$A$10003,"&lt;="&amp;Stock!$E$3)))</f>
        <v/>
      </c>
      <c r="G61" s="156">
        <f>IF(OR($A61="",$D61="",N($E61)&lt;=0),"",ROUNDUP($F61/$E61,0))</f>
        <v/>
      </c>
      <c r="H61" s="11">
        <f>IF($A61="","",IF(Stock!$E$3&lt;'Carton Stock'!$E$4,0,SUMIFS('Daily Entry'!$C$7:$C$10003,'Daily Entry'!$B$7:$B$10003,$O61,'Daily Entry'!$A$7:$A$10003,Stock!$E$3)))</f>
        <v/>
      </c>
      <c r="I61" s="11">
        <f>IF($G61="","",$G61-ROUNDUP(($F61-$H61)/$E61,0))</f>
        <v/>
      </c>
      <c r="O61" s="131">
        <f>IF(Stock!$A61="","",Stock!$O61)</f>
        <v/>
      </c>
      <c r="P61" s="169">
        <f>IF($A61="",0,SUMIFS('Daily Entry'!$C$7:$C$10003,'Daily Entry'!$B$7:$B$10003,$O61,'Daily Entry'!$A$7:$A$10003,"&gt;="&amp;MAX('Carton Stock'!$E$4,Stock!$E$3-29),'Daily Entry'!$A$7:$A$10003,"&lt;="&amp;Stock!$E$3))</f>
        <v/>
      </c>
      <c r="Q61" s="159">
        <f>IF(OR($A61="",$D61="",N($E61)&lt;=0),0,$P61/$E61)</f>
        <v/>
      </c>
      <c r="R61" s="151">
        <f>IF(AND($A61&lt;&gt;"",N($F61)&gt;0,OR($D61="",N($E61)&lt;=0)),1,0)</f>
        <v/>
      </c>
      <c r="S61" s="151">
        <f>IF(AND($A61&lt;&gt;"",$D61&lt;&gt;""),IF(COUNTIF('Carton Stock'!$B$8:$B$47,$D61)=0,1,0),0)</f>
        <v/>
      </c>
      <c r="T61" s="151">
        <f>IF(AND($A61&lt;&gt;"",OR($D61="",N($E61)&lt;=0)),1,0)</f>
        <v/>
      </c>
    </row>
    <row r="62" ht="15" customHeight="1">
      <c r="A62" s="9">
        <f>IF(Stock!$A62="","",Stock!$A62)</f>
        <v/>
      </c>
      <c r="B62" s="9">
        <f>IF(Stock!$A62="","",Stock!$B62)</f>
        <v/>
      </c>
      <c r="C62" s="9">
        <f>IF(Stock!$A62="","",IF(Stock!$C62="","",Stock!$C62))</f>
        <v/>
      </c>
      <c r="D62" s="152" t="inlineStr">
        <is>
          <t>Tuna carton</t>
        </is>
      </c>
      <c r="E62" s="168" t="n"/>
      <c r="F62" s="12">
        <f>IF($A62="","",IF(Stock!$E$3&lt;'Carton Stock'!$E$4,0,SUMIFS('Daily Entry'!$C$7:$C$10003,'Daily Entry'!$B$7:$B$10003,$O62,'Daily Entry'!$A$7:$A$10003,"&gt;="&amp;'Carton Stock'!$E$4,'Daily Entry'!$A$7:$A$10003,"&lt;="&amp;Stock!$E$3)))</f>
        <v/>
      </c>
      <c r="G62" s="156">
        <f>IF(OR($A62="",$D62="",N($E62)&lt;=0),"",ROUNDUP($F62/$E62,0))</f>
        <v/>
      </c>
      <c r="H62" s="11">
        <f>IF($A62="","",IF(Stock!$E$3&lt;'Carton Stock'!$E$4,0,SUMIFS('Daily Entry'!$C$7:$C$10003,'Daily Entry'!$B$7:$B$10003,$O62,'Daily Entry'!$A$7:$A$10003,Stock!$E$3)))</f>
        <v/>
      </c>
      <c r="I62" s="11">
        <f>IF($G62="","",$G62-ROUNDUP(($F62-$H62)/$E62,0))</f>
        <v/>
      </c>
      <c r="O62" s="131">
        <f>IF(Stock!$A62="","",Stock!$O62)</f>
        <v/>
      </c>
      <c r="P62" s="169">
        <f>IF($A62="",0,SUMIFS('Daily Entry'!$C$7:$C$10003,'Daily Entry'!$B$7:$B$10003,$O62,'Daily Entry'!$A$7:$A$10003,"&gt;="&amp;MAX('Carton Stock'!$E$4,Stock!$E$3-29),'Daily Entry'!$A$7:$A$10003,"&lt;="&amp;Stock!$E$3))</f>
        <v/>
      </c>
      <c r="Q62" s="159">
        <f>IF(OR($A62="",$D62="",N($E62)&lt;=0),0,$P62/$E62)</f>
        <v/>
      </c>
      <c r="R62" s="151">
        <f>IF(AND($A62&lt;&gt;"",N($F62)&gt;0,OR($D62="",N($E62)&lt;=0)),1,0)</f>
        <v/>
      </c>
      <c r="S62" s="151">
        <f>IF(AND($A62&lt;&gt;"",$D62&lt;&gt;""),IF(COUNTIF('Carton Stock'!$B$8:$B$47,$D62)=0,1,0),0)</f>
        <v/>
      </c>
      <c r="T62" s="151">
        <f>IF(AND($A62&lt;&gt;"",OR($D62="",N($E62)&lt;=0)),1,0)</f>
        <v/>
      </c>
    </row>
    <row r="63" ht="15" customHeight="1">
      <c r="A63" s="9">
        <f>IF(Stock!$A63="","",Stock!$A63)</f>
        <v/>
      </c>
      <c r="B63" s="9">
        <f>IF(Stock!$A63="","",Stock!$B63)</f>
        <v/>
      </c>
      <c r="C63" s="9">
        <f>IF(Stock!$A63="","",IF(Stock!$C63="","",Stock!$C63))</f>
        <v/>
      </c>
      <c r="D63" s="152" t="inlineStr">
        <is>
          <t>Tuna carton</t>
        </is>
      </c>
      <c r="E63" s="168" t="n"/>
      <c r="F63" s="12">
        <f>IF($A63="","",IF(Stock!$E$3&lt;'Carton Stock'!$E$4,0,SUMIFS('Daily Entry'!$C$7:$C$10003,'Daily Entry'!$B$7:$B$10003,$O63,'Daily Entry'!$A$7:$A$10003,"&gt;="&amp;'Carton Stock'!$E$4,'Daily Entry'!$A$7:$A$10003,"&lt;="&amp;Stock!$E$3)))</f>
        <v/>
      </c>
      <c r="G63" s="156">
        <f>IF(OR($A63="",$D63="",N($E63)&lt;=0),"",ROUNDUP($F63/$E63,0))</f>
        <v/>
      </c>
      <c r="H63" s="11">
        <f>IF($A63="","",IF(Stock!$E$3&lt;'Carton Stock'!$E$4,0,SUMIFS('Daily Entry'!$C$7:$C$10003,'Daily Entry'!$B$7:$B$10003,$O63,'Daily Entry'!$A$7:$A$10003,Stock!$E$3)))</f>
        <v/>
      </c>
      <c r="I63" s="11">
        <f>IF($G63="","",$G63-ROUNDUP(($F63-$H63)/$E63,0))</f>
        <v/>
      </c>
      <c r="O63" s="131">
        <f>IF(Stock!$A63="","",Stock!$O63)</f>
        <v/>
      </c>
      <c r="P63" s="169">
        <f>IF($A63="",0,SUMIFS('Daily Entry'!$C$7:$C$10003,'Daily Entry'!$B$7:$B$10003,$O63,'Daily Entry'!$A$7:$A$10003,"&gt;="&amp;MAX('Carton Stock'!$E$4,Stock!$E$3-29),'Daily Entry'!$A$7:$A$10003,"&lt;="&amp;Stock!$E$3))</f>
        <v/>
      </c>
      <c r="Q63" s="159">
        <f>IF(OR($A63="",$D63="",N($E63)&lt;=0),0,$P63/$E63)</f>
        <v/>
      </c>
      <c r="R63" s="151">
        <f>IF(AND($A63&lt;&gt;"",N($F63)&gt;0,OR($D63="",N($E63)&lt;=0)),1,0)</f>
        <v/>
      </c>
      <c r="S63" s="151">
        <f>IF(AND($A63&lt;&gt;"",$D63&lt;&gt;""),IF(COUNTIF('Carton Stock'!$B$8:$B$47,$D63)=0,1,0),0)</f>
        <v/>
      </c>
      <c r="T63" s="151">
        <f>IF(AND($A63&lt;&gt;"",OR($D63="",N($E63)&lt;=0)),1,0)</f>
        <v/>
      </c>
    </row>
    <row r="64" ht="15" customHeight="1">
      <c r="A64" s="9">
        <f>IF(Stock!$A64="","",Stock!$A64)</f>
        <v/>
      </c>
      <c r="B64" s="9">
        <f>IF(Stock!$A64="","",Stock!$B64)</f>
        <v/>
      </c>
      <c r="C64" s="9">
        <f>IF(Stock!$A64="","",IF(Stock!$C64="","",Stock!$C64))</f>
        <v/>
      </c>
      <c r="D64" s="152" t="inlineStr">
        <is>
          <t>Tuna carton</t>
        </is>
      </c>
      <c r="E64" s="168" t="n"/>
      <c r="F64" s="12">
        <f>IF($A64="","",IF(Stock!$E$3&lt;'Carton Stock'!$E$4,0,SUMIFS('Daily Entry'!$C$7:$C$10003,'Daily Entry'!$B$7:$B$10003,$O64,'Daily Entry'!$A$7:$A$10003,"&gt;="&amp;'Carton Stock'!$E$4,'Daily Entry'!$A$7:$A$10003,"&lt;="&amp;Stock!$E$3)))</f>
        <v/>
      </c>
      <c r="G64" s="156">
        <f>IF(OR($A64="",$D64="",N($E64)&lt;=0),"",ROUNDUP($F64/$E64,0))</f>
        <v/>
      </c>
      <c r="H64" s="11">
        <f>IF($A64="","",IF(Stock!$E$3&lt;'Carton Stock'!$E$4,0,SUMIFS('Daily Entry'!$C$7:$C$10003,'Daily Entry'!$B$7:$B$10003,$O64,'Daily Entry'!$A$7:$A$10003,Stock!$E$3)))</f>
        <v/>
      </c>
      <c r="I64" s="11">
        <f>IF($G64="","",$G64-ROUNDUP(($F64-$H64)/$E64,0))</f>
        <v/>
      </c>
      <c r="O64" s="131">
        <f>IF(Stock!$A64="","",Stock!$O64)</f>
        <v/>
      </c>
      <c r="P64" s="169">
        <f>IF($A64="",0,SUMIFS('Daily Entry'!$C$7:$C$10003,'Daily Entry'!$B$7:$B$10003,$O64,'Daily Entry'!$A$7:$A$10003,"&gt;="&amp;MAX('Carton Stock'!$E$4,Stock!$E$3-29),'Daily Entry'!$A$7:$A$10003,"&lt;="&amp;Stock!$E$3))</f>
        <v/>
      </c>
      <c r="Q64" s="159">
        <f>IF(OR($A64="",$D64="",N($E64)&lt;=0),0,$P64/$E64)</f>
        <v/>
      </c>
      <c r="R64" s="151">
        <f>IF(AND($A64&lt;&gt;"",N($F64)&gt;0,OR($D64="",N($E64)&lt;=0)),1,0)</f>
        <v/>
      </c>
      <c r="S64" s="151">
        <f>IF(AND($A64&lt;&gt;"",$D64&lt;&gt;""),IF(COUNTIF('Carton Stock'!$B$8:$B$47,$D64)=0,1,0),0)</f>
        <v/>
      </c>
      <c r="T64" s="151">
        <f>IF(AND($A64&lt;&gt;"",OR($D64="",N($E64)&lt;=0)),1,0)</f>
        <v/>
      </c>
    </row>
    <row r="65" ht="15" customHeight="1">
      <c r="A65" s="9">
        <f>IF(Stock!$A65="","",Stock!$A65)</f>
        <v/>
      </c>
      <c r="B65" s="9">
        <f>IF(Stock!$A65="","",Stock!$B65)</f>
        <v/>
      </c>
      <c r="C65" s="9">
        <f>IF(Stock!$A65="","",IF(Stock!$C65="","",Stock!$C65))</f>
        <v/>
      </c>
      <c r="D65" s="152" t="inlineStr">
        <is>
          <t>Tuna carton</t>
        </is>
      </c>
      <c r="E65" s="168" t="n"/>
      <c r="F65" s="12">
        <f>IF($A65="","",IF(Stock!$E$3&lt;'Carton Stock'!$E$4,0,SUMIFS('Daily Entry'!$C$7:$C$10003,'Daily Entry'!$B$7:$B$10003,$O65,'Daily Entry'!$A$7:$A$10003,"&gt;="&amp;'Carton Stock'!$E$4,'Daily Entry'!$A$7:$A$10003,"&lt;="&amp;Stock!$E$3)))</f>
        <v/>
      </c>
      <c r="G65" s="156">
        <f>IF(OR($A65="",$D65="",N($E65)&lt;=0),"",ROUNDUP($F65/$E65,0))</f>
        <v/>
      </c>
      <c r="H65" s="11">
        <f>IF($A65="","",IF(Stock!$E$3&lt;'Carton Stock'!$E$4,0,SUMIFS('Daily Entry'!$C$7:$C$10003,'Daily Entry'!$B$7:$B$10003,$O65,'Daily Entry'!$A$7:$A$10003,Stock!$E$3)))</f>
        <v/>
      </c>
      <c r="I65" s="11">
        <f>IF($G65="","",$G65-ROUNDUP(($F65-$H65)/$E65,0))</f>
        <v/>
      </c>
      <c r="O65" s="131">
        <f>IF(Stock!$A65="","",Stock!$O65)</f>
        <v/>
      </c>
      <c r="P65" s="169">
        <f>IF($A65="",0,SUMIFS('Daily Entry'!$C$7:$C$10003,'Daily Entry'!$B$7:$B$10003,$O65,'Daily Entry'!$A$7:$A$10003,"&gt;="&amp;MAX('Carton Stock'!$E$4,Stock!$E$3-29),'Daily Entry'!$A$7:$A$10003,"&lt;="&amp;Stock!$E$3))</f>
        <v/>
      </c>
      <c r="Q65" s="159">
        <f>IF(OR($A65="",$D65="",N($E65)&lt;=0),0,$P65/$E65)</f>
        <v/>
      </c>
      <c r="R65" s="151">
        <f>IF(AND($A65&lt;&gt;"",N($F65)&gt;0,OR($D65="",N($E65)&lt;=0)),1,0)</f>
        <v/>
      </c>
      <c r="S65" s="151">
        <f>IF(AND($A65&lt;&gt;"",$D65&lt;&gt;""),IF(COUNTIF('Carton Stock'!$B$8:$B$47,$D65)=0,1,0),0)</f>
        <v/>
      </c>
      <c r="T65" s="151">
        <f>IF(AND($A65&lt;&gt;"",OR($D65="",N($E65)&lt;=0)),1,0)</f>
        <v/>
      </c>
    </row>
    <row r="66" ht="15" customHeight="1">
      <c r="A66" s="9">
        <f>IF(Stock!$A66="","",Stock!$A66)</f>
        <v/>
      </c>
      <c r="B66" s="9">
        <f>IF(Stock!$A66="","",Stock!$B66)</f>
        <v/>
      </c>
      <c r="C66" s="9">
        <f>IF(Stock!$A66="","",IF(Stock!$C66="","",Stock!$C66))</f>
        <v/>
      </c>
      <c r="D66" s="152" t="inlineStr">
        <is>
          <t>Mackerel carton</t>
        </is>
      </c>
      <c r="E66" s="168" t="n"/>
      <c r="F66" s="12">
        <f>IF($A66="","",IF(Stock!$E$3&lt;'Carton Stock'!$E$4,0,SUMIFS('Daily Entry'!$C$7:$C$10003,'Daily Entry'!$B$7:$B$10003,$O66,'Daily Entry'!$A$7:$A$10003,"&gt;="&amp;'Carton Stock'!$E$4,'Daily Entry'!$A$7:$A$10003,"&lt;="&amp;Stock!$E$3)))</f>
        <v/>
      </c>
      <c r="G66" s="156">
        <f>IF(OR($A66="",$D66="",N($E66)&lt;=0),"",ROUNDUP($F66/$E66,0))</f>
        <v/>
      </c>
      <c r="H66" s="11">
        <f>IF($A66="","",IF(Stock!$E$3&lt;'Carton Stock'!$E$4,0,SUMIFS('Daily Entry'!$C$7:$C$10003,'Daily Entry'!$B$7:$B$10003,$O66,'Daily Entry'!$A$7:$A$10003,Stock!$E$3)))</f>
        <v/>
      </c>
      <c r="I66" s="11">
        <f>IF($G66="","",$G66-ROUNDUP(($F66-$H66)/$E66,0))</f>
        <v/>
      </c>
      <c r="O66" s="131">
        <f>IF(Stock!$A66="","",Stock!$O66)</f>
        <v/>
      </c>
      <c r="P66" s="169">
        <f>IF($A66="",0,SUMIFS('Daily Entry'!$C$7:$C$10003,'Daily Entry'!$B$7:$B$10003,$O66,'Daily Entry'!$A$7:$A$10003,"&gt;="&amp;MAX('Carton Stock'!$E$4,Stock!$E$3-29),'Daily Entry'!$A$7:$A$10003,"&lt;="&amp;Stock!$E$3))</f>
        <v/>
      </c>
      <c r="Q66" s="159">
        <f>IF(OR($A66="",$D66="",N($E66)&lt;=0),0,$P66/$E66)</f>
        <v/>
      </c>
      <c r="R66" s="151">
        <f>IF(AND($A66&lt;&gt;"",N($F66)&gt;0,OR($D66="",N($E66)&lt;=0)),1,0)</f>
        <v/>
      </c>
      <c r="S66" s="151">
        <f>IF(AND($A66&lt;&gt;"",$D66&lt;&gt;""),IF(COUNTIF('Carton Stock'!$B$8:$B$47,$D66)=0,1,0),0)</f>
        <v/>
      </c>
      <c r="T66" s="151">
        <f>IF(AND($A66&lt;&gt;"",OR($D66="",N($E66)&lt;=0)),1,0)</f>
        <v/>
      </c>
    </row>
    <row r="67" ht="15" customHeight="1">
      <c r="A67" s="9">
        <f>IF(Stock!$A67="","",Stock!$A67)</f>
        <v/>
      </c>
      <c r="B67" s="9">
        <f>IF(Stock!$A67="","",Stock!$B67)</f>
        <v/>
      </c>
      <c r="C67" s="9">
        <f>IF(Stock!$A67="","",IF(Stock!$C67="","",Stock!$C67))</f>
        <v/>
      </c>
      <c r="D67" s="152" t="inlineStr">
        <is>
          <t>Mackerel carton</t>
        </is>
      </c>
      <c r="E67" s="168" t="n"/>
      <c r="F67" s="12">
        <f>IF($A67="","",IF(Stock!$E$3&lt;'Carton Stock'!$E$4,0,SUMIFS('Daily Entry'!$C$7:$C$10003,'Daily Entry'!$B$7:$B$10003,$O67,'Daily Entry'!$A$7:$A$10003,"&gt;="&amp;'Carton Stock'!$E$4,'Daily Entry'!$A$7:$A$10003,"&lt;="&amp;Stock!$E$3)))</f>
        <v/>
      </c>
      <c r="G67" s="156">
        <f>IF(OR($A67="",$D67="",N($E67)&lt;=0),"",ROUNDUP($F67/$E67,0))</f>
        <v/>
      </c>
      <c r="H67" s="11">
        <f>IF($A67="","",IF(Stock!$E$3&lt;'Carton Stock'!$E$4,0,SUMIFS('Daily Entry'!$C$7:$C$10003,'Daily Entry'!$B$7:$B$10003,$O67,'Daily Entry'!$A$7:$A$10003,Stock!$E$3)))</f>
        <v/>
      </c>
      <c r="I67" s="11">
        <f>IF($G67="","",$G67-ROUNDUP(($F67-$H67)/$E67,0))</f>
        <v/>
      </c>
      <c r="O67" s="131">
        <f>IF(Stock!$A67="","",Stock!$O67)</f>
        <v/>
      </c>
      <c r="P67" s="169">
        <f>IF($A67="",0,SUMIFS('Daily Entry'!$C$7:$C$10003,'Daily Entry'!$B$7:$B$10003,$O67,'Daily Entry'!$A$7:$A$10003,"&gt;="&amp;MAX('Carton Stock'!$E$4,Stock!$E$3-29),'Daily Entry'!$A$7:$A$10003,"&lt;="&amp;Stock!$E$3))</f>
        <v/>
      </c>
      <c r="Q67" s="159">
        <f>IF(OR($A67="",$D67="",N($E67)&lt;=0),0,$P67/$E67)</f>
        <v/>
      </c>
      <c r="R67" s="151">
        <f>IF(AND($A67&lt;&gt;"",N($F67)&gt;0,OR($D67="",N($E67)&lt;=0)),1,0)</f>
        <v/>
      </c>
      <c r="S67" s="151">
        <f>IF(AND($A67&lt;&gt;"",$D67&lt;&gt;""),IF(COUNTIF('Carton Stock'!$B$8:$B$47,$D67)=0,1,0),0)</f>
        <v/>
      </c>
      <c r="T67" s="151">
        <f>IF(AND($A67&lt;&gt;"",OR($D67="",N($E67)&lt;=0)),1,0)</f>
        <v/>
      </c>
    </row>
    <row r="68" ht="15" customHeight="1">
      <c r="A68" s="9">
        <f>IF(Stock!$A68="","",Stock!$A68)</f>
        <v/>
      </c>
      <c r="B68" s="9">
        <f>IF(Stock!$A68="","",Stock!$B68)</f>
        <v/>
      </c>
      <c r="C68" s="9">
        <f>IF(Stock!$A68="","",IF(Stock!$C68="","",Stock!$C68))</f>
        <v/>
      </c>
      <c r="D68" s="152" t="inlineStr">
        <is>
          <t>Mackerel carton</t>
        </is>
      </c>
      <c r="E68" s="168" t="n"/>
      <c r="F68" s="12">
        <f>IF($A68="","",IF(Stock!$E$3&lt;'Carton Stock'!$E$4,0,SUMIFS('Daily Entry'!$C$7:$C$10003,'Daily Entry'!$B$7:$B$10003,$O68,'Daily Entry'!$A$7:$A$10003,"&gt;="&amp;'Carton Stock'!$E$4,'Daily Entry'!$A$7:$A$10003,"&lt;="&amp;Stock!$E$3)))</f>
        <v/>
      </c>
      <c r="G68" s="156">
        <f>IF(OR($A68="",$D68="",N($E68)&lt;=0),"",ROUNDUP($F68/$E68,0))</f>
        <v/>
      </c>
      <c r="H68" s="11">
        <f>IF($A68="","",IF(Stock!$E$3&lt;'Carton Stock'!$E$4,0,SUMIFS('Daily Entry'!$C$7:$C$10003,'Daily Entry'!$B$7:$B$10003,$O68,'Daily Entry'!$A$7:$A$10003,Stock!$E$3)))</f>
        <v/>
      </c>
      <c r="I68" s="11">
        <f>IF($G68="","",$G68-ROUNDUP(($F68-$H68)/$E68,0))</f>
        <v/>
      </c>
      <c r="O68" s="131">
        <f>IF(Stock!$A68="","",Stock!$O68)</f>
        <v/>
      </c>
      <c r="P68" s="169">
        <f>IF($A68="",0,SUMIFS('Daily Entry'!$C$7:$C$10003,'Daily Entry'!$B$7:$B$10003,$O68,'Daily Entry'!$A$7:$A$10003,"&gt;="&amp;MAX('Carton Stock'!$E$4,Stock!$E$3-29),'Daily Entry'!$A$7:$A$10003,"&lt;="&amp;Stock!$E$3))</f>
        <v/>
      </c>
      <c r="Q68" s="159">
        <f>IF(OR($A68="",$D68="",N($E68)&lt;=0),0,$P68/$E68)</f>
        <v/>
      </c>
      <c r="R68" s="151">
        <f>IF(AND($A68&lt;&gt;"",N($F68)&gt;0,OR($D68="",N($E68)&lt;=0)),1,0)</f>
        <v/>
      </c>
      <c r="S68" s="151">
        <f>IF(AND($A68&lt;&gt;"",$D68&lt;&gt;""),IF(COUNTIF('Carton Stock'!$B$8:$B$47,$D68)=0,1,0),0)</f>
        <v/>
      </c>
      <c r="T68" s="151">
        <f>IF(AND($A68&lt;&gt;"",OR($D68="",N($E68)&lt;=0)),1,0)</f>
        <v/>
      </c>
    </row>
    <row r="69" ht="15" customHeight="1">
      <c r="A69" s="9">
        <f>IF(Stock!$A69="","",Stock!$A69)</f>
        <v/>
      </c>
      <c r="B69" s="9">
        <f>IF(Stock!$A69="","",Stock!$B69)</f>
        <v/>
      </c>
      <c r="C69" s="9">
        <f>IF(Stock!$A69="","",IF(Stock!$C69="","",Stock!$C69))</f>
        <v/>
      </c>
      <c r="D69" s="152" t="inlineStr">
        <is>
          <t>Mackerel carton</t>
        </is>
      </c>
      <c r="E69" s="168" t="n"/>
      <c r="F69" s="12">
        <f>IF($A69="","",IF(Stock!$E$3&lt;'Carton Stock'!$E$4,0,SUMIFS('Daily Entry'!$C$7:$C$10003,'Daily Entry'!$B$7:$B$10003,$O69,'Daily Entry'!$A$7:$A$10003,"&gt;="&amp;'Carton Stock'!$E$4,'Daily Entry'!$A$7:$A$10003,"&lt;="&amp;Stock!$E$3)))</f>
        <v/>
      </c>
      <c r="G69" s="156">
        <f>IF(OR($A69="",$D69="",N($E69)&lt;=0),"",ROUNDUP($F69/$E69,0))</f>
        <v/>
      </c>
      <c r="H69" s="11">
        <f>IF($A69="","",IF(Stock!$E$3&lt;'Carton Stock'!$E$4,0,SUMIFS('Daily Entry'!$C$7:$C$10003,'Daily Entry'!$B$7:$B$10003,$O69,'Daily Entry'!$A$7:$A$10003,Stock!$E$3)))</f>
        <v/>
      </c>
      <c r="I69" s="11">
        <f>IF($G69="","",$G69-ROUNDUP(($F69-$H69)/$E69,0))</f>
        <v/>
      </c>
      <c r="O69" s="131">
        <f>IF(Stock!$A69="","",Stock!$O69)</f>
        <v/>
      </c>
      <c r="P69" s="169">
        <f>IF($A69="",0,SUMIFS('Daily Entry'!$C$7:$C$10003,'Daily Entry'!$B$7:$B$10003,$O69,'Daily Entry'!$A$7:$A$10003,"&gt;="&amp;MAX('Carton Stock'!$E$4,Stock!$E$3-29),'Daily Entry'!$A$7:$A$10003,"&lt;="&amp;Stock!$E$3))</f>
        <v/>
      </c>
      <c r="Q69" s="159">
        <f>IF(OR($A69="",$D69="",N($E69)&lt;=0),0,$P69/$E69)</f>
        <v/>
      </c>
      <c r="R69" s="151">
        <f>IF(AND($A69&lt;&gt;"",N($F69)&gt;0,OR($D69="",N($E69)&lt;=0)),1,0)</f>
        <v/>
      </c>
      <c r="S69" s="151">
        <f>IF(AND($A69&lt;&gt;"",$D69&lt;&gt;""),IF(COUNTIF('Carton Stock'!$B$8:$B$47,$D69)=0,1,0),0)</f>
        <v/>
      </c>
      <c r="T69" s="151">
        <f>IF(AND($A69&lt;&gt;"",OR($D69="",N($E69)&lt;=0)),1,0)</f>
        <v/>
      </c>
    </row>
    <row r="70" ht="15" customHeight="1">
      <c r="A70" s="9">
        <f>IF(Stock!$A70="","",Stock!$A70)</f>
        <v/>
      </c>
      <c r="B70" s="9">
        <f>IF(Stock!$A70="","",Stock!$B70)</f>
        <v/>
      </c>
      <c r="C70" s="9">
        <f>IF(Stock!$A70="","",IF(Stock!$C70="","",Stock!$C70))</f>
        <v/>
      </c>
      <c r="D70" s="152" t="inlineStr">
        <is>
          <t>Mackerel carton</t>
        </is>
      </c>
      <c r="E70" s="168" t="n"/>
      <c r="F70" s="12">
        <f>IF($A70="","",IF(Stock!$E$3&lt;'Carton Stock'!$E$4,0,SUMIFS('Daily Entry'!$C$7:$C$10003,'Daily Entry'!$B$7:$B$10003,$O70,'Daily Entry'!$A$7:$A$10003,"&gt;="&amp;'Carton Stock'!$E$4,'Daily Entry'!$A$7:$A$10003,"&lt;="&amp;Stock!$E$3)))</f>
        <v/>
      </c>
      <c r="G70" s="156">
        <f>IF(OR($A70="",$D70="",N($E70)&lt;=0),"",ROUNDUP($F70/$E70,0))</f>
        <v/>
      </c>
      <c r="H70" s="11">
        <f>IF($A70="","",IF(Stock!$E$3&lt;'Carton Stock'!$E$4,0,SUMIFS('Daily Entry'!$C$7:$C$10003,'Daily Entry'!$B$7:$B$10003,$O70,'Daily Entry'!$A$7:$A$10003,Stock!$E$3)))</f>
        <v/>
      </c>
      <c r="I70" s="11">
        <f>IF($G70="","",$G70-ROUNDUP(($F70-$H70)/$E70,0))</f>
        <v/>
      </c>
      <c r="O70" s="131">
        <f>IF(Stock!$A70="","",Stock!$O70)</f>
        <v/>
      </c>
      <c r="P70" s="169">
        <f>IF($A70="",0,SUMIFS('Daily Entry'!$C$7:$C$10003,'Daily Entry'!$B$7:$B$10003,$O70,'Daily Entry'!$A$7:$A$10003,"&gt;="&amp;MAX('Carton Stock'!$E$4,Stock!$E$3-29),'Daily Entry'!$A$7:$A$10003,"&lt;="&amp;Stock!$E$3))</f>
        <v/>
      </c>
      <c r="Q70" s="159">
        <f>IF(OR($A70="",$D70="",N($E70)&lt;=0),0,$P70/$E70)</f>
        <v/>
      </c>
      <c r="R70" s="151">
        <f>IF(AND($A70&lt;&gt;"",N($F70)&gt;0,OR($D70="",N($E70)&lt;=0)),1,0)</f>
        <v/>
      </c>
      <c r="S70" s="151">
        <f>IF(AND($A70&lt;&gt;"",$D70&lt;&gt;""),IF(COUNTIF('Carton Stock'!$B$8:$B$47,$D70)=0,1,0),0)</f>
        <v/>
      </c>
      <c r="T70" s="151">
        <f>IF(AND($A70&lt;&gt;"",OR($D70="",N($E70)&lt;=0)),1,0)</f>
        <v/>
      </c>
    </row>
    <row r="71" ht="15" customHeight="1">
      <c r="A71" s="9">
        <f>IF(Stock!$A71="","",Stock!$A71)</f>
        <v/>
      </c>
      <c r="B71" s="9">
        <f>IF(Stock!$A71="","",Stock!$B71)</f>
        <v/>
      </c>
      <c r="C71" s="9">
        <f>IF(Stock!$A71="","",IF(Stock!$C71="","",Stock!$C71))</f>
        <v/>
      </c>
      <c r="D71" s="152" t="inlineStr">
        <is>
          <t>Mackerel carton</t>
        </is>
      </c>
      <c r="E71" s="168" t="n"/>
      <c r="F71" s="12">
        <f>IF($A71="","",IF(Stock!$E$3&lt;'Carton Stock'!$E$4,0,SUMIFS('Daily Entry'!$C$7:$C$10003,'Daily Entry'!$B$7:$B$10003,$O71,'Daily Entry'!$A$7:$A$10003,"&gt;="&amp;'Carton Stock'!$E$4,'Daily Entry'!$A$7:$A$10003,"&lt;="&amp;Stock!$E$3)))</f>
        <v/>
      </c>
      <c r="G71" s="156">
        <f>IF(OR($A71="",$D71="",N($E71)&lt;=0),"",ROUNDUP($F71/$E71,0))</f>
        <v/>
      </c>
      <c r="H71" s="11">
        <f>IF($A71="","",IF(Stock!$E$3&lt;'Carton Stock'!$E$4,0,SUMIFS('Daily Entry'!$C$7:$C$10003,'Daily Entry'!$B$7:$B$10003,$O71,'Daily Entry'!$A$7:$A$10003,Stock!$E$3)))</f>
        <v/>
      </c>
      <c r="I71" s="11">
        <f>IF($G71="","",$G71-ROUNDUP(($F71-$H71)/$E71,0))</f>
        <v/>
      </c>
      <c r="O71" s="131">
        <f>IF(Stock!$A71="","",Stock!$O71)</f>
        <v/>
      </c>
      <c r="P71" s="169">
        <f>IF($A71="",0,SUMIFS('Daily Entry'!$C$7:$C$10003,'Daily Entry'!$B$7:$B$10003,$O71,'Daily Entry'!$A$7:$A$10003,"&gt;="&amp;MAX('Carton Stock'!$E$4,Stock!$E$3-29),'Daily Entry'!$A$7:$A$10003,"&lt;="&amp;Stock!$E$3))</f>
        <v/>
      </c>
      <c r="Q71" s="159">
        <f>IF(OR($A71="",$D71="",N($E71)&lt;=0),0,$P71/$E71)</f>
        <v/>
      </c>
      <c r="R71" s="151">
        <f>IF(AND($A71&lt;&gt;"",N($F71)&gt;0,OR($D71="",N($E71)&lt;=0)),1,0)</f>
        <v/>
      </c>
      <c r="S71" s="151">
        <f>IF(AND($A71&lt;&gt;"",$D71&lt;&gt;""),IF(COUNTIF('Carton Stock'!$B$8:$B$47,$D71)=0,1,0),0)</f>
        <v/>
      </c>
      <c r="T71" s="151">
        <f>IF(AND($A71&lt;&gt;"",OR($D71="",N($E71)&lt;=0)),1,0)</f>
        <v/>
      </c>
    </row>
    <row r="72" ht="15" customHeight="1">
      <c r="A72" s="9">
        <f>IF(Stock!$A72="","",Stock!$A72)</f>
        <v/>
      </c>
      <c r="B72" s="9">
        <f>IF(Stock!$A72="","",Stock!$B72)</f>
        <v/>
      </c>
      <c r="C72" s="9">
        <f>IF(Stock!$A72="","",IF(Stock!$C72="","",Stock!$C72))</f>
        <v/>
      </c>
      <c r="D72" s="152" t="inlineStr">
        <is>
          <t>Mackerel carton</t>
        </is>
      </c>
      <c r="E72" s="168" t="n"/>
      <c r="F72" s="12">
        <f>IF($A72="","",IF(Stock!$E$3&lt;'Carton Stock'!$E$4,0,SUMIFS('Daily Entry'!$C$7:$C$10003,'Daily Entry'!$B$7:$B$10003,$O72,'Daily Entry'!$A$7:$A$10003,"&gt;="&amp;'Carton Stock'!$E$4,'Daily Entry'!$A$7:$A$10003,"&lt;="&amp;Stock!$E$3)))</f>
        <v/>
      </c>
      <c r="G72" s="156">
        <f>IF(OR($A72="",$D72="",N($E72)&lt;=0),"",ROUNDUP($F72/$E72,0))</f>
        <v/>
      </c>
      <c r="H72" s="11">
        <f>IF($A72="","",IF(Stock!$E$3&lt;'Carton Stock'!$E$4,0,SUMIFS('Daily Entry'!$C$7:$C$10003,'Daily Entry'!$B$7:$B$10003,$O72,'Daily Entry'!$A$7:$A$10003,Stock!$E$3)))</f>
        <v/>
      </c>
      <c r="I72" s="11">
        <f>IF($G72="","",$G72-ROUNDUP(($F72-$H72)/$E72,0))</f>
        <v/>
      </c>
      <c r="O72" s="131">
        <f>IF(Stock!$A72="","",Stock!$O72)</f>
        <v/>
      </c>
      <c r="P72" s="169">
        <f>IF($A72="",0,SUMIFS('Daily Entry'!$C$7:$C$10003,'Daily Entry'!$B$7:$B$10003,$O72,'Daily Entry'!$A$7:$A$10003,"&gt;="&amp;MAX('Carton Stock'!$E$4,Stock!$E$3-29),'Daily Entry'!$A$7:$A$10003,"&lt;="&amp;Stock!$E$3))</f>
        <v/>
      </c>
      <c r="Q72" s="159">
        <f>IF(OR($A72="",$D72="",N($E72)&lt;=0),0,$P72/$E72)</f>
        <v/>
      </c>
      <c r="R72" s="151">
        <f>IF(AND($A72&lt;&gt;"",N($F72)&gt;0,OR($D72="",N($E72)&lt;=0)),1,0)</f>
        <v/>
      </c>
      <c r="S72" s="151">
        <f>IF(AND($A72&lt;&gt;"",$D72&lt;&gt;""),IF(COUNTIF('Carton Stock'!$B$8:$B$47,$D72)=0,1,0),0)</f>
        <v/>
      </c>
      <c r="T72" s="151">
        <f>IF(AND($A72&lt;&gt;"",OR($D72="",N($E72)&lt;=0)),1,0)</f>
        <v/>
      </c>
    </row>
    <row r="73" ht="15" customHeight="1">
      <c r="A73" s="9">
        <f>IF(Stock!$A73="","",Stock!$A73)</f>
        <v/>
      </c>
      <c r="B73" s="9">
        <f>IF(Stock!$A73="","",Stock!$B73)</f>
        <v/>
      </c>
      <c r="C73" s="9">
        <f>IF(Stock!$A73="","",IF(Stock!$C73="","",Stock!$C73))</f>
        <v/>
      </c>
      <c r="D73" s="152" t="inlineStr">
        <is>
          <t>Mackerel carton</t>
        </is>
      </c>
      <c r="E73" s="168" t="n"/>
      <c r="F73" s="12">
        <f>IF($A73="","",IF(Stock!$E$3&lt;'Carton Stock'!$E$4,0,SUMIFS('Daily Entry'!$C$7:$C$10003,'Daily Entry'!$B$7:$B$10003,$O73,'Daily Entry'!$A$7:$A$10003,"&gt;="&amp;'Carton Stock'!$E$4,'Daily Entry'!$A$7:$A$10003,"&lt;="&amp;Stock!$E$3)))</f>
        <v/>
      </c>
      <c r="G73" s="156">
        <f>IF(OR($A73="",$D73="",N($E73)&lt;=0),"",ROUNDUP($F73/$E73,0))</f>
        <v/>
      </c>
      <c r="H73" s="11">
        <f>IF($A73="","",IF(Stock!$E$3&lt;'Carton Stock'!$E$4,0,SUMIFS('Daily Entry'!$C$7:$C$10003,'Daily Entry'!$B$7:$B$10003,$O73,'Daily Entry'!$A$7:$A$10003,Stock!$E$3)))</f>
        <v/>
      </c>
      <c r="I73" s="11">
        <f>IF($G73="","",$G73-ROUNDUP(($F73-$H73)/$E73,0))</f>
        <v/>
      </c>
      <c r="O73" s="131">
        <f>IF(Stock!$A73="","",Stock!$O73)</f>
        <v/>
      </c>
      <c r="P73" s="169">
        <f>IF($A73="",0,SUMIFS('Daily Entry'!$C$7:$C$10003,'Daily Entry'!$B$7:$B$10003,$O73,'Daily Entry'!$A$7:$A$10003,"&gt;="&amp;MAX('Carton Stock'!$E$4,Stock!$E$3-29),'Daily Entry'!$A$7:$A$10003,"&lt;="&amp;Stock!$E$3))</f>
        <v/>
      </c>
      <c r="Q73" s="159">
        <f>IF(OR($A73="",$D73="",N($E73)&lt;=0),0,$P73/$E73)</f>
        <v/>
      </c>
      <c r="R73" s="151">
        <f>IF(AND($A73&lt;&gt;"",N($F73)&gt;0,OR($D73="",N($E73)&lt;=0)),1,0)</f>
        <v/>
      </c>
      <c r="S73" s="151">
        <f>IF(AND($A73&lt;&gt;"",$D73&lt;&gt;""),IF(COUNTIF('Carton Stock'!$B$8:$B$47,$D73)=0,1,0),0)</f>
        <v/>
      </c>
      <c r="T73" s="151">
        <f>IF(AND($A73&lt;&gt;"",OR($D73="",N($E73)&lt;=0)),1,0)</f>
        <v/>
      </c>
    </row>
    <row r="74" ht="15" customHeight="1">
      <c r="A74" s="9">
        <f>IF(Stock!$A74="","",Stock!$A74)</f>
        <v/>
      </c>
      <c r="B74" s="9">
        <f>IF(Stock!$A74="","",Stock!$B74)</f>
        <v/>
      </c>
      <c r="C74" s="9">
        <f>IF(Stock!$A74="","",IF(Stock!$C74="","",Stock!$C74))</f>
        <v/>
      </c>
      <c r="D74" s="152" t="inlineStr">
        <is>
          <t>Cuttlefish carton</t>
        </is>
      </c>
      <c r="E74" s="168" t="n"/>
      <c r="F74" s="12">
        <f>IF($A74="","",IF(Stock!$E$3&lt;'Carton Stock'!$E$4,0,SUMIFS('Daily Entry'!$C$7:$C$10003,'Daily Entry'!$B$7:$B$10003,$O74,'Daily Entry'!$A$7:$A$10003,"&gt;="&amp;'Carton Stock'!$E$4,'Daily Entry'!$A$7:$A$10003,"&lt;="&amp;Stock!$E$3)))</f>
        <v/>
      </c>
      <c r="G74" s="156">
        <f>IF(OR($A74="",$D74="",N($E74)&lt;=0),"",ROUNDUP($F74/$E74,0))</f>
        <v/>
      </c>
      <c r="H74" s="11">
        <f>IF($A74="","",IF(Stock!$E$3&lt;'Carton Stock'!$E$4,0,SUMIFS('Daily Entry'!$C$7:$C$10003,'Daily Entry'!$B$7:$B$10003,$O74,'Daily Entry'!$A$7:$A$10003,Stock!$E$3)))</f>
        <v/>
      </c>
      <c r="I74" s="11">
        <f>IF($G74="","",$G74-ROUNDUP(($F74-$H74)/$E74,0))</f>
        <v/>
      </c>
      <c r="O74" s="131">
        <f>IF(Stock!$A74="","",Stock!$O74)</f>
        <v/>
      </c>
      <c r="P74" s="169">
        <f>IF($A74="",0,SUMIFS('Daily Entry'!$C$7:$C$10003,'Daily Entry'!$B$7:$B$10003,$O74,'Daily Entry'!$A$7:$A$10003,"&gt;="&amp;MAX('Carton Stock'!$E$4,Stock!$E$3-29),'Daily Entry'!$A$7:$A$10003,"&lt;="&amp;Stock!$E$3))</f>
        <v/>
      </c>
      <c r="Q74" s="159">
        <f>IF(OR($A74="",$D74="",N($E74)&lt;=0),0,$P74/$E74)</f>
        <v/>
      </c>
      <c r="R74" s="151">
        <f>IF(AND($A74&lt;&gt;"",N($F74)&gt;0,OR($D74="",N($E74)&lt;=0)),1,0)</f>
        <v/>
      </c>
      <c r="S74" s="151">
        <f>IF(AND($A74&lt;&gt;"",$D74&lt;&gt;""),IF(COUNTIF('Carton Stock'!$B$8:$B$47,$D74)=0,1,0),0)</f>
        <v/>
      </c>
      <c r="T74" s="151">
        <f>IF(AND($A74&lt;&gt;"",OR($D74="",N($E74)&lt;=0)),1,0)</f>
        <v/>
      </c>
    </row>
    <row r="75" ht="15" customHeight="1">
      <c r="A75" s="9">
        <f>IF(Stock!$A75="","",Stock!$A75)</f>
        <v/>
      </c>
      <c r="B75" s="9">
        <f>IF(Stock!$A75="","",Stock!$B75)</f>
        <v/>
      </c>
      <c r="C75" s="9">
        <f>IF(Stock!$A75="","",IF(Stock!$C75="","",Stock!$C75))</f>
        <v/>
      </c>
      <c r="D75" s="152" t="inlineStr">
        <is>
          <t>Cuttlefish carton</t>
        </is>
      </c>
      <c r="E75" s="168" t="n"/>
      <c r="F75" s="12">
        <f>IF($A75="","",IF(Stock!$E$3&lt;'Carton Stock'!$E$4,0,SUMIFS('Daily Entry'!$C$7:$C$10003,'Daily Entry'!$B$7:$B$10003,$O75,'Daily Entry'!$A$7:$A$10003,"&gt;="&amp;'Carton Stock'!$E$4,'Daily Entry'!$A$7:$A$10003,"&lt;="&amp;Stock!$E$3)))</f>
        <v/>
      </c>
      <c r="G75" s="156">
        <f>IF(OR($A75="",$D75="",N($E75)&lt;=0),"",ROUNDUP($F75/$E75,0))</f>
        <v/>
      </c>
      <c r="H75" s="11">
        <f>IF($A75="","",IF(Stock!$E$3&lt;'Carton Stock'!$E$4,0,SUMIFS('Daily Entry'!$C$7:$C$10003,'Daily Entry'!$B$7:$B$10003,$O75,'Daily Entry'!$A$7:$A$10003,Stock!$E$3)))</f>
        <v/>
      </c>
      <c r="I75" s="11">
        <f>IF($G75="","",$G75-ROUNDUP(($F75-$H75)/$E75,0))</f>
        <v/>
      </c>
      <c r="O75" s="131">
        <f>IF(Stock!$A75="","",Stock!$O75)</f>
        <v/>
      </c>
      <c r="P75" s="169">
        <f>IF($A75="",0,SUMIFS('Daily Entry'!$C$7:$C$10003,'Daily Entry'!$B$7:$B$10003,$O75,'Daily Entry'!$A$7:$A$10003,"&gt;="&amp;MAX('Carton Stock'!$E$4,Stock!$E$3-29),'Daily Entry'!$A$7:$A$10003,"&lt;="&amp;Stock!$E$3))</f>
        <v/>
      </c>
      <c r="Q75" s="159">
        <f>IF(OR($A75="",$D75="",N($E75)&lt;=0),0,$P75/$E75)</f>
        <v/>
      </c>
      <c r="R75" s="151">
        <f>IF(AND($A75&lt;&gt;"",N($F75)&gt;0,OR($D75="",N($E75)&lt;=0)),1,0)</f>
        <v/>
      </c>
      <c r="S75" s="151">
        <f>IF(AND($A75&lt;&gt;"",$D75&lt;&gt;""),IF(COUNTIF('Carton Stock'!$B$8:$B$47,$D75)=0,1,0),0)</f>
        <v/>
      </c>
      <c r="T75" s="151">
        <f>IF(AND($A75&lt;&gt;"",OR($D75="",N($E75)&lt;=0)),1,0)</f>
        <v/>
      </c>
    </row>
    <row r="76" ht="15" customHeight="1">
      <c r="A76" s="9">
        <f>IF(Stock!$A76="","",Stock!$A76)</f>
        <v/>
      </c>
      <c r="B76" s="9">
        <f>IF(Stock!$A76="","",Stock!$B76)</f>
        <v/>
      </c>
      <c r="C76" s="9">
        <f>IF(Stock!$A76="","",IF(Stock!$C76="","",Stock!$C76))</f>
        <v/>
      </c>
      <c r="D76" s="152" t="inlineStr">
        <is>
          <t>Cuttlefish carton</t>
        </is>
      </c>
      <c r="E76" s="168" t="n"/>
      <c r="F76" s="12">
        <f>IF($A76="","",IF(Stock!$E$3&lt;'Carton Stock'!$E$4,0,SUMIFS('Daily Entry'!$C$7:$C$10003,'Daily Entry'!$B$7:$B$10003,$O76,'Daily Entry'!$A$7:$A$10003,"&gt;="&amp;'Carton Stock'!$E$4,'Daily Entry'!$A$7:$A$10003,"&lt;="&amp;Stock!$E$3)))</f>
        <v/>
      </c>
      <c r="G76" s="156">
        <f>IF(OR($A76="",$D76="",N($E76)&lt;=0),"",ROUNDUP($F76/$E76,0))</f>
        <v/>
      </c>
      <c r="H76" s="11">
        <f>IF($A76="","",IF(Stock!$E$3&lt;'Carton Stock'!$E$4,0,SUMIFS('Daily Entry'!$C$7:$C$10003,'Daily Entry'!$B$7:$B$10003,$O76,'Daily Entry'!$A$7:$A$10003,Stock!$E$3)))</f>
        <v/>
      </c>
      <c r="I76" s="11">
        <f>IF($G76="","",$G76-ROUNDUP(($F76-$H76)/$E76,0))</f>
        <v/>
      </c>
      <c r="O76" s="131">
        <f>IF(Stock!$A76="","",Stock!$O76)</f>
        <v/>
      </c>
      <c r="P76" s="169">
        <f>IF($A76="",0,SUMIFS('Daily Entry'!$C$7:$C$10003,'Daily Entry'!$B$7:$B$10003,$O76,'Daily Entry'!$A$7:$A$10003,"&gt;="&amp;MAX('Carton Stock'!$E$4,Stock!$E$3-29),'Daily Entry'!$A$7:$A$10003,"&lt;="&amp;Stock!$E$3))</f>
        <v/>
      </c>
      <c r="Q76" s="159">
        <f>IF(OR($A76="",$D76="",N($E76)&lt;=0),0,$P76/$E76)</f>
        <v/>
      </c>
      <c r="R76" s="151">
        <f>IF(AND($A76&lt;&gt;"",N($F76)&gt;0,OR($D76="",N($E76)&lt;=0)),1,0)</f>
        <v/>
      </c>
      <c r="S76" s="151">
        <f>IF(AND($A76&lt;&gt;"",$D76&lt;&gt;""),IF(COUNTIF('Carton Stock'!$B$8:$B$47,$D76)=0,1,0),0)</f>
        <v/>
      </c>
      <c r="T76" s="151">
        <f>IF(AND($A76&lt;&gt;"",OR($D76="",N($E76)&lt;=0)),1,0)</f>
        <v/>
      </c>
    </row>
    <row r="77" ht="15" customHeight="1">
      <c r="A77" s="9">
        <f>IF(Stock!$A77="","",Stock!$A77)</f>
        <v/>
      </c>
      <c r="B77" s="9">
        <f>IF(Stock!$A77="","",Stock!$B77)</f>
        <v/>
      </c>
      <c r="C77" s="9">
        <f>IF(Stock!$A77="","",IF(Stock!$C77="","",Stock!$C77))</f>
        <v/>
      </c>
      <c r="D77" s="152" t="inlineStr">
        <is>
          <t>Cuttlefish carton</t>
        </is>
      </c>
      <c r="E77" s="168" t="n"/>
      <c r="F77" s="12">
        <f>IF($A77="","",IF(Stock!$E$3&lt;'Carton Stock'!$E$4,0,SUMIFS('Daily Entry'!$C$7:$C$10003,'Daily Entry'!$B$7:$B$10003,$O77,'Daily Entry'!$A$7:$A$10003,"&gt;="&amp;'Carton Stock'!$E$4,'Daily Entry'!$A$7:$A$10003,"&lt;="&amp;Stock!$E$3)))</f>
        <v/>
      </c>
      <c r="G77" s="156">
        <f>IF(OR($A77="",$D77="",N($E77)&lt;=0),"",ROUNDUP($F77/$E77,0))</f>
        <v/>
      </c>
      <c r="H77" s="11">
        <f>IF($A77="","",IF(Stock!$E$3&lt;'Carton Stock'!$E$4,0,SUMIFS('Daily Entry'!$C$7:$C$10003,'Daily Entry'!$B$7:$B$10003,$O77,'Daily Entry'!$A$7:$A$10003,Stock!$E$3)))</f>
        <v/>
      </c>
      <c r="I77" s="11">
        <f>IF($G77="","",$G77-ROUNDUP(($F77-$H77)/$E77,0))</f>
        <v/>
      </c>
      <c r="O77" s="131">
        <f>IF(Stock!$A77="","",Stock!$O77)</f>
        <v/>
      </c>
      <c r="P77" s="169">
        <f>IF($A77="",0,SUMIFS('Daily Entry'!$C$7:$C$10003,'Daily Entry'!$B$7:$B$10003,$O77,'Daily Entry'!$A$7:$A$10003,"&gt;="&amp;MAX('Carton Stock'!$E$4,Stock!$E$3-29),'Daily Entry'!$A$7:$A$10003,"&lt;="&amp;Stock!$E$3))</f>
        <v/>
      </c>
      <c r="Q77" s="159">
        <f>IF(OR($A77="",$D77="",N($E77)&lt;=0),0,$P77/$E77)</f>
        <v/>
      </c>
      <c r="R77" s="151">
        <f>IF(AND($A77&lt;&gt;"",N($F77)&gt;0,OR($D77="",N($E77)&lt;=0)),1,0)</f>
        <v/>
      </c>
      <c r="S77" s="151">
        <f>IF(AND($A77&lt;&gt;"",$D77&lt;&gt;""),IF(COUNTIF('Carton Stock'!$B$8:$B$47,$D77)=0,1,0),0)</f>
        <v/>
      </c>
      <c r="T77" s="151">
        <f>IF(AND($A77&lt;&gt;"",OR($D77="",N($E77)&lt;=0)),1,0)</f>
        <v/>
      </c>
    </row>
    <row r="78" ht="15" customHeight="1">
      <c r="A78" s="9">
        <f>IF(Stock!$A78="","",Stock!$A78)</f>
        <v/>
      </c>
      <c r="B78" s="9">
        <f>IF(Stock!$A78="","",Stock!$B78)</f>
        <v/>
      </c>
      <c r="C78" s="9">
        <f>IF(Stock!$A78="","",IF(Stock!$C78="","",Stock!$C78))</f>
        <v/>
      </c>
      <c r="D78" s="152" t="inlineStr">
        <is>
          <t>Cuttlefish carton</t>
        </is>
      </c>
      <c r="E78" s="168" t="n"/>
      <c r="F78" s="12">
        <f>IF($A78="","",IF(Stock!$E$3&lt;'Carton Stock'!$E$4,0,SUMIFS('Daily Entry'!$C$7:$C$10003,'Daily Entry'!$B$7:$B$10003,$O78,'Daily Entry'!$A$7:$A$10003,"&gt;="&amp;'Carton Stock'!$E$4,'Daily Entry'!$A$7:$A$10003,"&lt;="&amp;Stock!$E$3)))</f>
        <v/>
      </c>
      <c r="G78" s="156">
        <f>IF(OR($A78="",$D78="",N($E78)&lt;=0),"",ROUNDUP($F78/$E78,0))</f>
        <v/>
      </c>
      <c r="H78" s="11">
        <f>IF($A78="","",IF(Stock!$E$3&lt;'Carton Stock'!$E$4,0,SUMIFS('Daily Entry'!$C$7:$C$10003,'Daily Entry'!$B$7:$B$10003,$O78,'Daily Entry'!$A$7:$A$10003,Stock!$E$3)))</f>
        <v/>
      </c>
      <c r="I78" s="11">
        <f>IF($G78="","",$G78-ROUNDUP(($F78-$H78)/$E78,0))</f>
        <v/>
      </c>
      <c r="O78" s="131">
        <f>IF(Stock!$A78="","",Stock!$O78)</f>
        <v/>
      </c>
      <c r="P78" s="169">
        <f>IF($A78="",0,SUMIFS('Daily Entry'!$C$7:$C$10003,'Daily Entry'!$B$7:$B$10003,$O78,'Daily Entry'!$A$7:$A$10003,"&gt;="&amp;MAX('Carton Stock'!$E$4,Stock!$E$3-29),'Daily Entry'!$A$7:$A$10003,"&lt;="&amp;Stock!$E$3))</f>
        <v/>
      </c>
      <c r="Q78" s="159">
        <f>IF(OR($A78="",$D78="",N($E78)&lt;=0),0,$P78/$E78)</f>
        <v/>
      </c>
      <c r="R78" s="151">
        <f>IF(AND($A78&lt;&gt;"",N($F78)&gt;0,OR($D78="",N($E78)&lt;=0)),1,0)</f>
        <v/>
      </c>
      <c r="S78" s="151">
        <f>IF(AND($A78&lt;&gt;"",$D78&lt;&gt;""),IF(COUNTIF('Carton Stock'!$B$8:$B$47,$D78)=0,1,0),0)</f>
        <v/>
      </c>
      <c r="T78" s="151">
        <f>IF(AND($A78&lt;&gt;"",OR($D78="",N($E78)&lt;=0)),1,0)</f>
        <v/>
      </c>
    </row>
    <row r="79" ht="15" customHeight="1">
      <c r="A79" s="9">
        <f>IF(Stock!$A79="","",Stock!$A79)</f>
        <v/>
      </c>
      <c r="B79" s="9">
        <f>IF(Stock!$A79="","",Stock!$B79)</f>
        <v/>
      </c>
      <c r="C79" s="9">
        <f>IF(Stock!$A79="","",IF(Stock!$C79="","",Stock!$C79))</f>
        <v/>
      </c>
      <c r="D79" s="152" t="inlineStr">
        <is>
          <t>Cuttlefish carton</t>
        </is>
      </c>
      <c r="E79" s="168" t="n"/>
      <c r="F79" s="12">
        <f>IF($A79="","",IF(Stock!$E$3&lt;'Carton Stock'!$E$4,0,SUMIFS('Daily Entry'!$C$7:$C$10003,'Daily Entry'!$B$7:$B$10003,$O79,'Daily Entry'!$A$7:$A$10003,"&gt;="&amp;'Carton Stock'!$E$4,'Daily Entry'!$A$7:$A$10003,"&lt;="&amp;Stock!$E$3)))</f>
        <v/>
      </c>
      <c r="G79" s="156">
        <f>IF(OR($A79="",$D79="",N($E79)&lt;=0),"",ROUNDUP($F79/$E79,0))</f>
        <v/>
      </c>
      <c r="H79" s="11">
        <f>IF($A79="","",IF(Stock!$E$3&lt;'Carton Stock'!$E$4,0,SUMIFS('Daily Entry'!$C$7:$C$10003,'Daily Entry'!$B$7:$B$10003,$O79,'Daily Entry'!$A$7:$A$10003,Stock!$E$3)))</f>
        <v/>
      </c>
      <c r="I79" s="11">
        <f>IF($G79="","",$G79-ROUNDUP(($F79-$H79)/$E79,0))</f>
        <v/>
      </c>
      <c r="O79" s="131">
        <f>IF(Stock!$A79="","",Stock!$O79)</f>
        <v/>
      </c>
      <c r="P79" s="169">
        <f>IF($A79="",0,SUMIFS('Daily Entry'!$C$7:$C$10003,'Daily Entry'!$B$7:$B$10003,$O79,'Daily Entry'!$A$7:$A$10003,"&gt;="&amp;MAX('Carton Stock'!$E$4,Stock!$E$3-29),'Daily Entry'!$A$7:$A$10003,"&lt;="&amp;Stock!$E$3))</f>
        <v/>
      </c>
      <c r="Q79" s="159">
        <f>IF(OR($A79="",$D79="",N($E79)&lt;=0),0,$P79/$E79)</f>
        <v/>
      </c>
      <c r="R79" s="151">
        <f>IF(AND($A79&lt;&gt;"",N($F79)&gt;0,OR($D79="",N($E79)&lt;=0)),1,0)</f>
        <v/>
      </c>
      <c r="S79" s="151">
        <f>IF(AND($A79&lt;&gt;"",$D79&lt;&gt;""),IF(COUNTIF('Carton Stock'!$B$8:$B$47,$D79)=0,1,0),0)</f>
        <v/>
      </c>
      <c r="T79" s="151">
        <f>IF(AND($A79&lt;&gt;"",OR($D79="",N($E79)&lt;=0)),1,0)</f>
        <v/>
      </c>
    </row>
    <row r="80" ht="15" customHeight="1">
      <c r="A80" s="9">
        <f>IF(Stock!$A80="","",Stock!$A80)</f>
        <v/>
      </c>
      <c r="B80" s="9">
        <f>IF(Stock!$A80="","",Stock!$B80)</f>
        <v/>
      </c>
      <c r="C80" s="9">
        <f>IF(Stock!$A80="","",IF(Stock!$C80="","",Stock!$C80))</f>
        <v/>
      </c>
      <c r="D80" s="152" t="inlineStr">
        <is>
          <t>White Squid carton</t>
        </is>
      </c>
      <c r="E80" s="168" t="n"/>
      <c r="F80" s="12">
        <f>IF($A80="","",IF(Stock!$E$3&lt;'Carton Stock'!$E$4,0,SUMIFS('Daily Entry'!$C$7:$C$10003,'Daily Entry'!$B$7:$B$10003,$O80,'Daily Entry'!$A$7:$A$10003,"&gt;="&amp;'Carton Stock'!$E$4,'Daily Entry'!$A$7:$A$10003,"&lt;="&amp;Stock!$E$3)))</f>
        <v/>
      </c>
      <c r="G80" s="156">
        <f>IF(OR($A80="",$D80="",N($E80)&lt;=0),"",ROUNDUP($F80/$E80,0))</f>
        <v/>
      </c>
      <c r="H80" s="11">
        <f>IF($A80="","",IF(Stock!$E$3&lt;'Carton Stock'!$E$4,0,SUMIFS('Daily Entry'!$C$7:$C$10003,'Daily Entry'!$B$7:$B$10003,$O80,'Daily Entry'!$A$7:$A$10003,Stock!$E$3)))</f>
        <v/>
      </c>
      <c r="I80" s="11">
        <f>IF($G80="","",$G80-ROUNDUP(($F80-$H80)/$E80,0))</f>
        <v/>
      </c>
      <c r="O80" s="131">
        <f>IF(Stock!$A80="","",Stock!$O80)</f>
        <v/>
      </c>
      <c r="P80" s="169">
        <f>IF($A80="",0,SUMIFS('Daily Entry'!$C$7:$C$10003,'Daily Entry'!$B$7:$B$10003,$O80,'Daily Entry'!$A$7:$A$10003,"&gt;="&amp;MAX('Carton Stock'!$E$4,Stock!$E$3-29),'Daily Entry'!$A$7:$A$10003,"&lt;="&amp;Stock!$E$3))</f>
        <v/>
      </c>
      <c r="Q80" s="159">
        <f>IF(OR($A80="",$D80="",N($E80)&lt;=0),0,$P80/$E80)</f>
        <v/>
      </c>
      <c r="R80" s="151">
        <f>IF(AND($A80&lt;&gt;"",N($F80)&gt;0,OR($D80="",N($E80)&lt;=0)),1,0)</f>
        <v/>
      </c>
      <c r="S80" s="151">
        <f>IF(AND($A80&lt;&gt;"",$D80&lt;&gt;""),IF(COUNTIF('Carton Stock'!$B$8:$B$47,$D80)=0,1,0),0)</f>
        <v/>
      </c>
      <c r="T80" s="151">
        <f>IF(AND($A80&lt;&gt;"",OR($D80="",N($E80)&lt;=0)),1,0)</f>
        <v/>
      </c>
    </row>
    <row r="81" ht="15" customHeight="1">
      <c r="A81" s="9">
        <f>IF(Stock!$A81="","",Stock!$A81)</f>
        <v/>
      </c>
      <c r="B81" s="9">
        <f>IF(Stock!$A81="","",Stock!$B81)</f>
        <v/>
      </c>
      <c r="C81" s="9">
        <f>IF(Stock!$A81="","",IF(Stock!$C81="","",Stock!$C81))</f>
        <v/>
      </c>
      <c r="D81" s="152" t="inlineStr">
        <is>
          <t>White Squid carton</t>
        </is>
      </c>
      <c r="E81" s="168" t="n"/>
      <c r="F81" s="12">
        <f>IF($A81="","",IF(Stock!$E$3&lt;'Carton Stock'!$E$4,0,SUMIFS('Daily Entry'!$C$7:$C$10003,'Daily Entry'!$B$7:$B$10003,$O81,'Daily Entry'!$A$7:$A$10003,"&gt;="&amp;'Carton Stock'!$E$4,'Daily Entry'!$A$7:$A$10003,"&lt;="&amp;Stock!$E$3)))</f>
        <v/>
      </c>
      <c r="G81" s="156">
        <f>IF(OR($A81="",$D81="",N($E81)&lt;=0),"",ROUNDUP($F81/$E81,0))</f>
        <v/>
      </c>
      <c r="H81" s="11">
        <f>IF($A81="","",IF(Stock!$E$3&lt;'Carton Stock'!$E$4,0,SUMIFS('Daily Entry'!$C$7:$C$10003,'Daily Entry'!$B$7:$B$10003,$O81,'Daily Entry'!$A$7:$A$10003,Stock!$E$3)))</f>
        <v/>
      </c>
      <c r="I81" s="11">
        <f>IF($G81="","",$G81-ROUNDUP(($F81-$H81)/$E81,0))</f>
        <v/>
      </c>
      <c r="O81" s="131">
        <f>IF(Stock!$A81="","",Stock!$O81)</f>
        <v/>
      </c>
      <c r="P81" s="169">
        <f>IF($A81="",0,SUMIFS('Daily Entry'!$C$7:$C$10003,'Daily Entry'!$B$7:$B$10003,$O81,'Daily Entry'!$A$7:$A$10003,"&gt;="&amp;MAX('Carton Stock'!$E$4,Stock!$E$3-29),'Daily Entry'!$A$7:$A$10003,"&lt;="&amp;Stock!$E$3))</f>
        <v/>
      </c>
      <c r="Q81" s="159">
        <f>IF(OR($A81="",$D81="",N($E81)&lt;=0),0,$P81/$E81)</f>
        <v/>
      </c>
      <c r="R81" s="151">
        <f>IF(AND($A81&lt;&gt;"",N($F81)&gt;0,OR($D81="",N($E81)&lt;=0)),1,0)</f>
        <v/>
      </c>
      <c r="S81" s="151">
        <f>IF(AND($A81&lt;&gt;"",$D81&lt;&gt;""),IF(COUNTIF('Carton Stock'!$B$8:$B$47,$D81)=0,1,0),0)</f>
        <v/>
      </c>
      <c r="T81" s="151">
        <f>IF(AND($A81&lt;&gt;"",OR($D81="",N($E81)&lt;=0)),1,0)</f>
        <v/>
      </c>
    </row>
    <row r="82" ht="15" customHeight="1">
      <c r="A82" s="9">
        <f>IF(Stock!$A82="","",Stock!$A82)</f>
        <v/>
      </c>
      <c r="B82" s="9">
        <f>IF(Stock!$A82="","",Stock!$B82)</f>
        <v/>
      </c>
      <c r="C82" s="9">
        <f>IF(Stock!$A82="","",IF(Stock!$C82="","",Stock!$C82))</f>
        <v/>
      </c>
      <c r="D82" s="152" t="inlineStr">
        <is>
          <t>White Squid carton</t>
        </is>
      </c>
      <c r="E82" s="168" t="n"/>
      <c r="F82" s="12">
        <f>IF($A82="","",IF(Stock!$E$3&lt;'Carton Stock'!$E$4,0,SUMIFS('Daily Entry'!$C$7:$C$10003,'Daily Entry'!$B$7:$B$10003,$O82,'Daily Entry'!$A$7:$A$10003,"&gt;="&amp;'Carton Stock'!$E$4,'Daily Entry'!$A$7:$A$10003,"&lt;="&amp;Stock!$E$3)))</f>
        <v/>
      </c>
      <c r="G82" s="156">
        <f>IF(OR($A82="",$D82="",N($E82)&lt;=0),"",ROUNDUP($F82/$E82,0))</f>
        <v/>
      </c>
      <c r="H82" s="11">
        <f>IF($A82="","",IF(Stock!$E$3&lt;'Carton Stock'!$E$4,0,SUMIFS('Daily Entry'!$C$7:$C$10003,'Daily Entry'!$B$7:$B$10003,$O82,'Daily Entry'!$A$7:$A$10003,Stock!$E$3)))</f>
        <v/>
      </c>
      <c r="I82" s="11">
        <f>IF($G82="","",$G82-ROUNDUP(($F82-$H82)/$E82,0))</f>
        <v/>
      </c>
      <c r="O82" s="131">
        <f>IF(Stock!$A82="","",Stock!$O82)</f>
        <v/>
      </c>
      <c r="P82" s="169">
        <f>IF($A82="",0,SUMIFS('Daily Entry'!$C$7:$C$10003,'Daily Entry'!$B$7:$B$10003,$O82,'Daily Entry'!$A$7:$A$10003,"&gt;="&amp;MAX('Carton Stock'!$E$4,Stock!$E$3-29),'Daily Entry'!$A$7:$A$10003,"&lt;="&amp;Stock!$E$3))</f>
        <v/>
      </c>
      <c r="Q82" s="159">
        <f>IF(OR($A82="",$D82="",N($E82)&lt;=0),0,$P82/$E82)</f>
        <v/>
      </c>
      <c r="R82" s="151">
        <f>IF(AND($A82&lt;&gt;"",N($F82)&gt;0,OR($D82="",N($E82)&lt;=0)),1,0)</f>
        <v/>
      </c>
      <c r="S82" s="151">
        <f>IF(AND($A82&lt;&gt;"",$D82&lt;&gt;""),IF(COUNTIF('Carton Stock'!$B$8:$B$47,$D82)=0,1,0),0)</f>
        <v/>
      </c>
      <c r="T82" s="151">
        <f>IF(AND($A82&lt;&gt;"",OR($D82="",N($E82)&lt;=0)),1,0)</f>
        <v/>
      </c>
    </row>
    <row r="83" ht="15" customHeight="1">
      <c r="A83" s="9">
        <f>IF(Stock!$A83="","",Stock!$A83)</f>
        <v/>
      </c>
      <c r="B83" s="9">
        <f>IF(Stock!$A83="","",Stock!$B83)</f>
        <v/>
      </c>
      <c r="C83" s="9">
        <f>IF(Stock!$A83="","",IF(Stock!$C83="","",Stock!$C83))</f>
        <v/>
      </c>
      <c r="D83" s="152" t="inlineStr">
        <is>
          <t>White Squid carton</t>
        </is>
      </c>
      <c r="E83" s="168" t="n"/>
      <c r="F83" s="12">
        <f>IF($A83="","",IF(Stock!$E$3&lt;'Carton Stock'!$E$4,0,SUMIFS('Daily Entry'!$C$7:$C$10003,'Daily Entry'!$B$7:$B$10003,$O83,'Daily Entry'!$A$7:$A$10003,"&gt;="&amp;'Carton Stock'!$E$4,'Daily Entry'!$A$7:$A$10003,"&lt;="&amp;Stock!$E$3)))</f>
        <v/>
      </c>
      <c r="G83" s="156">
        <f>IF(OR($A83="",$D83="",N($E83)&lt;=0),"",ROUNDUP($F83/$E83,0))</f>
        <v/>
      </c>
      <c r="H83" s="11">
        <f>IF($A83="","",IF(Stock!$E$3&lt;'Carton Stock'!$E$4,0,SUMIFS('Daily Entry'!$C$7:$C$10003,'Daily Entry'!$B$7:$B$10003,$O83,'Daily Entry'!$A$7:$A$10003,Stock!$E$3)))</f>
        <v/>
      </c>
      <c r="I83" s="11">
        <f>IF($G83="","",$G83-ROUNDUP(($F83-$H83)/$E83,0))</f>
        <v/>
      </c>
      <c r="O83" s="131">
        <f>IF(Stock!$A83="","",Stock!$O83)</f>
        <v/>
      </c>
      <c r="P83" s="169">
        <f>IF($A83="",0,SUMIFS('Daily Entry'!$C$7:$C$10003,'Daily Entry'!$B$7:$B$10003,$O83,'Daily Entry'!$A$7:$A$10003,"&gt;="&amp;MAX('Carton Stock'!$E$4,Stock!$E$3-29),'Daily Entry'!$A$7:$A$10003,"&lt;="&amp;Stock!$E$3))</f>
        <v/>
      </c>
      <c r="Q83" s="159">
        <f>IF(OR($A83="",$D83="",N($E83)&lt;=0),0,$P83/$E83)</f>
        <v/>
      </c>
      <c r="R83" s="151">
        <f>IF(AND($A83&lt;&gt;"",N($F83)&gt;0,OR($D83="",N($E83)&lt;=0)),1,0)</f>
        <v/>
      </c>
      <c r="S83" s="151">
        <f>IF(AND($A83&lt;&gt;"",$D83&lt;&gt;""),IF(COUNTIF('Carton Stock'!$B$8:$B$47,$D83)=0,1,0),0)</f>
        <v/>
      </c>
      <c r="T83" s="151">
        <f>IF(AND($A83&lt;&gt;"",OR($D83="",N($E83)&lt;=0)),1,0)</f>
        <v/>
      </c>
    </row>
    <row r="84" ht="15" customHeight="1">
      <c r="A84" s="9">
        <f>IF(Stock!$A84="","",Stock!$A84)</f>
        <v/>
      </c>
      <c r="B84" s="9">
        <f>IF(Stock!$A84="","",Stock!$B84)</f>
        <v/>
      </c>
      <c r="C84" s="9">
        <f>IF(Stock!$A84="","",IF(Stock!$C84="","",Stock!$C84))</f>
        <v/>
      </c>
      <c r="D84" s="152" t="inlineStr">
        <is>
          <t>White Squid carton</t>
        </is>
      </c>
      <c r="E84" s="168" t="n"/>
      <c r="F84" s="12">
        <f>IF($A84="","",IF(Stock!$E$3&lt;'Carton Stock'!$E$4,0,SUMIFS('Daily Entry'!$C$7:$C$10003,'Daily Entry'!$B$7:$B$10003,$O84,'Daily Entry'!$A$7:$A$10003,"&gt;="&amp;'Carton Stock'!$E$4,'Daily Entry'!$A$7:$A$10003,"&lt;="&amp;Stock!$E$3)))</f>
        <v/>
      </c>
      <c r="G84" s="156">
        <f>IF(OR($A84="",$D84="",N($E84)&lt;=0),"",ROUNDUP($F84/$E84,0))</f>
        <v/>
      </c>
      <c r="H84" s="11">
        <f>IF($A84="","",IF(Stock!$E$3&lt;'Carton Stock'!$E$4,0,SUMIFS('Daily Entry'!$C$7:$C$10003,'Daily Entry'!$B$7:$B$10003,$O84,'Daily Entry'!$A$7:$A$10003,Stock!$E$3)))</f>
        <v/>
      </c>
      <c r="I84" s="11">
        <f>IF($G84="","",$G84-ROUNDUP(($F84-$H84)/$E84,0))</f>
        <v/>
      </c>
      <c r="O84" s="131">
        <f>IF(Stock!$A84="","",Stock!$O84)</f>
        <v/>
      </c>
      <c r="P84" s="169">
        <f>IF($A84="",0,SUMIFS('Daily Entry'!$C$7:$C$10003,'Daily Entry'!$B$7:$B$10003,$O84,'Daily Entry'!$A$7:$A$10003,"&gt;="&amp;MAX('Carton Stock'!$E$4,Stock!$E$3-29),'Daily Entry'!$A$7:$A$10003,"&lt;="&amp;Stock!$E$3))</f>
        <v/>
      </c>
      <c r="Q84" s="159">
        <f>IF(OR($A84="",$D84="",N($E84)&lt;=0),0,$P84/$E84)</f>
        <v/>
      </c>
      <c r="R84" s="151">
        <f>IF(AND($A84&lt;&gt;"",N($F84)&gt;0,OR($D84="",N($E84)&lt;=0)),1,0)</f>
        <v/>
      </c>
      <c r="S84" s="151">
        <f>IF(AND($A84&lt;&gt;"",$D84&lt;&gt;""),IF(COUNTIF('Carton Stock'!$B$8:$B$47,$D84)=0,1,0),0)</f>
        <v/>
      </c>
      <c r="T84" s="151">
        <f>IF(AND($A84&lt;&gt;"",OR($D84="",N($E84)&lt;=0)),1,0)</f>
        <v/>
      </c>
    </row>
    <row r="85" ht="15" customHeight="1">
      <c r="A85" s="9">
        <f>IF(Stock!$A85="","",Stock!$A85)</f>
        <v/>
      </c>
      <c r="B85" s="9">
        <f>IF(Stock!$A85="","",Stock!$B85)</f>
        <v/>
      </c>
      <c r="C85" s="9">
        <f>IF(Stock!$A85="","",IF(Stock!$C85="","",Stock!$C85))</f>
        <v/>
      </c>
      <c r="D85" s="152" t="inlineStr">
        <is>
          <t>White Squid carton</t>
        </is>
      </c>
      <c r="E85" s="168" t="n"/>
      <c r="F85" s="12">
        <f>IF($A85="","",IF(Stock!$E$3&lt;'Carton Stock'!$E$4,0,SUMIFS('Daily Entry'!$C$7:$C$10003,'Daily Entry'!$B$7:$B$10003,$O85,'Daily Entry'!$A$7:$A$10003,"&gt;="&amp;'Carton Stock'!$E$4,'Daily Entry'!$A$7:$A$10003,"&lt;="&amp;Stock!$E$3)))</f>
        <v/>
      </c>
      <c r="G85" s="156">
        <f>IF(OR($A85="",$D85="",N($E85)&lt;=0),"",ROUNDUP($F85/$E85,0))</f>
        <v/>
      </c>
      <c r="H85" s="11">
        <f>IF($A85="","",IF(Stock!$E$3&lt;'Carton Stock'!$E$4,0,SUMIFS('Daily Entry'!$C$7:$C$10003,'Daily Entry'!$B$7:$B$10003,$O85,'Daily Entry'!$A$7:$A$10003,Stock!$E$3)))</f>
        <v/>
      </c>
      <c r="I85" s="11">
        <f>IF($G85="","",$G85-ROUNDUP(($F85-$H85)/$E85,0))</f>
        <v/>
      </c>
      <c r="O85" s="131">
        <f>IF(Stock!$A85="","",Stock!$O85)</f>
        <v/>
      </c>
      <c r="P85" s="169">
        <f>IF($A85="",0,SUMIFS('Daily Entry'!$C$7:$C$10003,'Daily Entry'!$B$7:$B$10003,$O85,'Daily Entry'!$A$7:$A$10003,"&gt;="&amp;MAX('Carton Stock'!$E$4,Stock!$E$3-29),'Daily Entry'!$A$7:$A$10003,"&lt;="&amp;Stock!$E$3))</f>
        <v/>
      </c>
      <c r="Q85" s="159">
        <f>IF(OR($A85="",$D85="",N($E85)&lt;=0),0,$P85/$E85)</f>
        <v/>
      </c>
      <c r="R85" s="151">
        <f>IF(AND($A85&lt;&gt;"",N($F85)&gt;0,OR($D85="",N($E85)&lt;=0)),1,0)</f>
        <v/>
      </c>
      <c r="S85" s="151">
        <f>IF(AND($A85&lt;&gt;"",$D85&lt;&gt;""),IF(COUNTIF('Carton Stock'!$B$8:$B$47,$D85)=0,1,0),0)</f>
        <v/>
      </c>
      <c r="T85" s="151">
        <f>IF(AND($A85&lt;&gt;"",OR($D85="",N($E85)&lt;=0)),1,0)</f>
        <v/>
      </c>
    </row>
    <row r="86" ht="15" customHeight="1">
      <c r="A86" s="9">
        <f>IF(Stock!$A86="","",Stock!$A86)</f>
        <v/>
      </c>
      <c r="B86" s="9">
        <f>IF(Stock!$A86="","",Stock!$B86)</f>
        <v/>
      </c>
      <c r="C86" s="9">
        <f>IF(Stock!$A86="","",IF(Stock!$C86="","",Stock!$C86))</f>
        <v/>
      </c>
      <c r="D86" s="152" t="inlineStr">
        <is>
          <t>White Squid carton</t>
        </is>
      </c>
      <c r="E86" s="168" t="n"/>
      <c r="F86" s="12">
        <f>IF($A86="","",IF(Stock!$E$3&lt;'Carton Stock'!$E$4,0,SUMIFS('Daily Entry'!$C$7:$C$10003,'Daily Entry'!$B$7:$B$10003,$O86,'Daily Entry'!$A$7:$A$10003,"&gt;="&amp;'Carton Stock'!$E$4,'Daily Entry'!$A$7:$A$10003,"&lt;="&amp;Stock!$E$3)))</f>
        <v/>
      </c>
      <c r="G86" s="156">
        <f>IF(OR($A86="",$D86="",N($E86)&lt;=0),"",ROUNDUP($F86/$E86,0))</f>
        <v/>
      </c>
      <c r="H86" s="11">
        <f>IF($A86="","",IF(Stock!$E$3&lt;'Carton Stock'!$E$4,0,SUMIFS('Daily Entry'!$C$7:$C$10003,'Daily Entry'!$B$7:$B$10003,$O86,'Daily Entry'!$A$7:$A$10003,Stock!$E$3)))</f>
        <v/>
      </c>
      <c r="I86" s="11">
        <f>IF($G86="","",$G86-ROUNDUP(($F86-$H86)/$E86,0))</f>
        <v/>
      </c>
      <c r="O86" s="131">
        <f>IF(Stock!$A86="","",Stock!$O86)</f>
        <v/>
      </c>
      <c r="P86" s="169">
        <f>IF($A86="",0,SUMIFS('Daily Entry'!$C$7:$C$10003,'Daily Entry'!$B$7:$B$10003,$O86,'Daily Entry'!$A$7:$A$10003,"&gt;="&amp;MAX('Carton Stock'!$E$4,Stock!$E$3-29),'Daily Entry'!$A$7:$A$10003,"&lt;="&amp;Stock!$E$3))</f>
        <v/>
      </c>
      <c r="Q86" s="159">
        <f>IF(OR($A86="",$D86="",N($E86)&lt;=0),0,$P86/$E86)</f>
        <v/>
      </c>
      <c r="R86" s="151">
        <f>IF(AND($A86&lt;&gt;"",N($F86)&gt;0,OR($D86="",N($E86)&lt;=0)),1,0)</f>
        <v/>
      </c>
      <c r="S86" s="151">
        <f>IF(AND($A86&lt;&gt;"",$D86&lt;&gt;""),IF(COUNTIF('Carton Stock'!$B$8:$B$47,$D86)=0,1,0),0)</f>
        <v/>
      </c>
      <c r="T86" s="151">
        <f>IF(AND($A86&lt;&gt;"",OR($D86="",N($E86)&lt;=0)),1,0)</f>
        <v/>
      </c>
    </row>
    <row r="87" ht="15" customHeight="1">
      <c r="A87" s="9">
        <f>IF(Stock!$A87="","",Stock!$A87)</f>
        <v/>
      </c>
      <c r="B87" s="9">
        <f>IF(Stock!$A87="","",Stock!$B87)</f>
        <v/>
      </c>
      <c r="C87" s="9">
        <f>IF(Stock!$A87="","",IF(Stock!$C87="","",Stock!$C87))</f>
        <v/>
      </c>
      <c r="D87" s="152" t="inlineStr">
        <is>
          <t>White Squid carton</t>
        </is>
      </c>
      <c r="E87" s="168" t="n"/>
      <c r="F87" s="12">
        <f>IF($A87="","",IF(Stock!$E$3&lt;'Carton Stock'!$E$4,0,SUMIFS('Daily Entry'!$C$7:$C$10003,'Daily Entry'!$B$7:$B$10003,$O87,'Daily Entry'!$A$7:$A$10003,"&gt;="&amp;'Carton Stock'!$E$4,'Daily Entry'!$A$7:$A$10003,"&lt;="&amp;Stock!$E$3)))</f>
        <v/>
      </c>
      <c r="G87" s="156">
        <f>IF(OR($A87="",$D87="",N($E87)&lt;=0),"",ROUNDUP($F87/$E87,0))</f>
        <v/>
      </c>
      <c r="H87" s="11">
        <f>IF($A87="","",IF(Stock!$E$3&lt;'Carton Stock'!$E$4,0,SUMIFS('Daily Entry'!$C$7:$C$10003,'Daily Entry'!$B$7:$B$10003,$O87,'Daily Entry'!$A$7:$A$10003,Stock!$E$3)))</f>
        <v/>
      </c>
      <c r="I87" s="11">
        <f>IF($G87="","",$G87-ROUNDUP(($F87-$H87)/$E87,0))</f>
        <v/>
      </c>
      <c r="O87" s="131">
        <f>IF(Stock!$A87="","",Stock!$O87)</f>
        <v/>
      </c>
      <c r="P87" s="169">
        <f>IF($A87="",0,SUMIFS('Daily Entry'!$C$7:$C$10003,'Daily Entry'!$B$7:$B$10003,$O87,'Daily Entry'!$A$7:$A$10003,"&gt;="&amp;MAX('Carton Stock'!$E$4,Stock!$E$3-29),'Daily Entry'!$A$7:$A$10003,"&lt;="&amp;Stock!$E$3))</f>
        <v/>
      </c>
      <c r="Q87" s="159">
        <f>IF(OR($A87="",$D87="",N($E87)&lt;=0),0,$P87/$E87)</f>
        <v/>
      </c>
      <c r="R87" s="151">
        <f>IF(AND($A87&lt;&gt;"",N($F87)&gt;0,OR($D87="",N($E87)&lt;=0)),1,0)</f>
        <v/>
      </c>
      <c r="S87" s="151">
        <f>IF(AND($A87&lt;&gt;"",$D87&lt;&gt;""),IF(COUNTIF('Carton Stock'!$B$8:$B$47,$D87)=0,1,0),0)</f>
        <v/>
      </c>
      <c r="T87" s="151">
        <f>IF(AND($A87&lt;&gt;"",OR($D87="",N($E87)&lt;=0)),1,0)</f>
        <v/>
      </c>
    </row>
    <row r="88" ht="15" customHeight="1">
      <c r="A88" s="9">
        <f>IF(Stock!$A88="","",Stock!$A88)</f>
        <v/>
      </c>
      <c r="B88" s="9">
        <f>IF(Stock!$A88="","",Stock!$B88)</f>
        <v/>
      </c>
      <c r="C88" s="9">
        <f>IF(Stock!$A88="","",IF(Stock!$C88="","",Stock!$C88))</f>
        <v/>
      </c>
      <c r="D88" s="152" t="inlineStr">
        <is>
          <t>Semi Needle Squid carton</t>
        </is>
      </c>
      <c r="E88" s="168" t="n"/>
      <c r="F88" s="12">
        <f>IF($A88="","",IF(Stock!$E$3&lt;'Carton Stock'!$E$4,0,SUMIFS('Daily Entry'!$C$7:$C$10003,'Daily Entry'!$B$7:$B$10003,$O88,'Daily Entry'!$A$7:$A$10003,"&gt;="&amp;'Carton Stock'!$E$4,'Daily Entry'!$A$7:$A$10003,"&lt;="&amp;Stock!$E$3)))</f>
        <v/>
      </c>
      <c r="G88" s="156">
        <f>IF(OR($A88="",$D88="",N($E88)&lt;=0),"",ROUNDUP($F88/$E88,0))</f>
        <v/>
      </c>
      <c r="H88" s="11">
        <f>IF($A88="","",IF(Stock!$E$3&lt;'Carton Stock'!$E$4,0,SUMIFS('Daily Entry'!$C$7:$C$10003,'Daily Entry'!$B$7:$B$10003,$O88,'Daily Entry'!$A$7:$A$10003,Stock!$E$3)))</f>
        <v/>
      </c>
      <c r="I88" s="11">
        <f>IF($G88="","",$G88-ROUNDUP(($F88-$H88)/$E88,0))</f>
        <v/>
      </c>
      <c r="O88" s="131">
        <f>IF(Stock!$A88="","",Stock!$O88)</f>
        <v/>
      </c>
      <c r="P88" s="169">
        <f>IF($A88="",0,SUMIFS('Daily Entry'!$C$7:$C$10003,'Daily Entry'!$B$7:$B$10003,$O88,'Daily Entry'!$A$7:$A$10003,"&gt;="&amp;MAX('Carton Stock'!$E$4,Stock!$E$3-29),'Daily Entry'!$A$7:$A$10003,"&lt;="&amp;Stock!$E$3))</f>
        <v/>
      </c>
      <c r="Q88" s="159">
        <f>IF(OR($A88="",$D88="",N($E88)&lt;=0),0,$P88/$E88)</f>
        <v/>
      </c>
      <c r="R88" s="151">
        <f>IF(AND($A88&lt;&gt;"",N($F88)&gt;0,OR($D88="",N($E88)&lt;=0)),1,0)</f>
        <v/>
      </c>
      <c r="S88" s="151">
        <f>IF(AND($A88&lt;&gt;"",$D88&lt;&gt;""),IF(COUNTIF('Carton Stock'!$B$8:$B$47,$D88)=0,1,0),0)</f>
        <v/>
      </c>
      <c r="T88" s="151">
        <f>IF(AND($A88&lt;&gt;"",OR($D88="",N($E88)&lt;=0)),1,0)</f>
        <v/>
      </c>
    </row>
    <row r="89" ht="15" customHeight="1">
      <c r="A89" s="9">
        <f>IF(Stock!$A89="","",Stock!$A89)</f>
        <v/>
      </c>
      <c r="B89" s="9">
        <f>IF(Stock!$A89="","",Stock!$B89)</f>
        <v/>
      </c>
      <c r="C89" s="9">
        <f>IF(Stock!$A89="","",IF(Stock!$C89="","",Stock!$C89))</f>
        <v/>
      </c>
      <c r="D89" s="152" t="inlineStr">
        <is>
          <t>Semi Needle Squid carton</t>
        </is>
      </c>
      <c r="E89" s="168" t="n"/>
      <c r="F89" s="12">
        <f>IF($A89="","",IF(Stock!$E$3&lt;'Carton Stock'!$E$4,0,SUMIFS('Daily Entry'!$C$7:$C$10003,'Daily Entry'!$B$7:$B$10003,$O89,'Daily Entry'!$A$7:$A$10003,"&gt;="&amp;'Carton Stock'!$E$4,'Daily Entry'!$A$7:$A$10003,"&lt;="&amp;Stock!$E$3)))</f>
        <v/>
      </c>
      <c r="G89" s="156">
        <f>IF(OR($A89="",$D89="",N($E89)&lt;=0),"",ROUNDUP($F89/$E89,0))</f>
        <v/>
      </c>
      <c r="H89" s="11">
        <f>IF($A89="","",IF(Stock!$E$3&lt;'Carton Stock'!$E$4,0,SUMIFS('Daily Entry'!$C$7:$C$10003,'Daily Entry'!$B$7:$B$10003,$O89,'Daily Entry'!$A$7:$A$10003,Stock!$E$3)))</f>
        <v/>
      </c>
      <c r="I89" s="11">
        <f>IF($G89="","",$G89-ROUNDUP(($F89-$H89)/$E89,0))</f>
        <v/>
      </c>
      <c r="O89" s="131">
        <f>IF(Stock!$A89="","",Stock!$O89)</f>
        <v/>
      </c>
      <c r="P89" s="169">
        <f>IF($A89="",0,SUMIFS('Daily Entry'!$C$7:$C$10003,'Daily Entry'!$B$7:$B$10003,$O89,'Daily Entry'!$A$7:$A$10003,"&gt;="&amp;MAX('Carton Stock'!$E$4,Stock!$E$3-29),'Daily Entry'!$A$7:$A$10003,"&lt;="&amp;Stock!$E$3))</f>
        <v/>
      </c>
      <c r="Q89" s="159">
        <f>IF(OR($A89="",$D89="",N($E89)&lt;=0),0,$P89/$E89)</f>
        <v/>
      </c>
      <c r="R89" s="151">
        <f>IF(AND($A89&lt;&gt;"",N($F89)&gt;0,OR($D89="",N($E89)&lt;=0)),1,0)</f>
        <v/>
      </c>
      <c r="S89" s="151">
        <f>IF(AND($A89&lt;&gt;"",$D89&lt;&gt;""),IF(COUNTIF('Carton Stock'!$B$8:$B$47,$D89)=0,1,0),0)</f>
        <v/>
      </c>
      <c r="T89" s="151">
        <f>IF(AND($A89&lt;&gt;"",OR($D89="",N($E89)&lt;=0)),1,0)</f>
        <v/>
      </c>
    </row>
    <row r="90" ht="15" customHeight="1">
      <c r="A90" s="9">
        <f>IF(Stock!$A90="","",Stock!$A90)</f>
        <v/>
      </c>
      <c r="B90" s="9">
        <f>IF(Stock!$A90="","",Stock!$B90)</f>
        <v/>
      </c>
      <c r="C90" s="9">
        <f>IF(Stock!$A90="","",IF(Stock!$C90="","",Stock!$C90))</f>
        <v/>
      </c>
      <c r="D90" s="152" t="inlineStr">
        <is>
          <t>Semi Needle Squid carton</t>
        </is>
      </c>
      <c r="E90" s="168" t="n"/>
      <c r="F90" s="12">
        <f>IF($A90="","",IF(Stock!$E$3&lt;'Carton Stock'!$E$4,0,SUMIFS('Daily Entry'!$C$7:$C$10003,'Daily Entry'!$B$7:$B$10003,$O90,'Daily Entry'!$A$7:$A$10003,"&gt;="&amp;'Carton Stock'!$E$4,'Daily Entry'!$A$7:$A$10003,"&lt;="&amp;Stock!$E$3)))</f>
        <v/>
      </c>
      <c r="G90" s="156">
        <f>IF(OR($A90="",$D90="",N($E90)&lt;=0),"",ROUNDUP($F90/$E90,0))</f>
        <v/>
      </c>
      <c r="H90" s="11">
        <f>IF($A90="","",IF(Stock!$E$3&lt;'Carton Stock'!$E$4,0,SUMIFS('Daily Entry'!$C$7:$C$10003,'Daily Entry'!$B$7:$B$10003,$O90,'Daily Entry'!$A$7:$A$10003,Stock!$E$3)))</f>
        <v/>
      </c>
      <c r="I90" s="11">
        <f>IF($G90="","",$G90-ROUNDUP(($F90-$H90)/$E90,0))</f>
        <v/>
      </c>
      <c r="O90" s="131">
        <f>IF(Stock!$A90="","",Stock!$O90)</f>
        <v/>
      </c>
      <c r="P90" s="169">
        <f>IF($A90="",0,SUMIFS('Daily Entry'!$C$7:$C$10003,'Daily Entry'!$B$7:$B$10003,$O90,'Daily Entry'!$A$7:$A$10003,"&gt;="&amp;MAX('Carton Stock'!$E$4,Stock!$E$3-29),'Daily Entry'!$A$7:$A$10003,"&lt;="&amp;Stock!$E$3))</f>
        <v/>
      </c>
      <c r="Q90" s="159">
        <f>IF(OR($A90="",$D90="",N($E90)&lt;=0),0,$P90/$E90)</f>
        <v/>
      </c>
      <c r="R90" s="151">
        <f>IF(AND($A90&lt;&gt;"",N($F90)&gt;0,OR($D90="",N($E90)&lt;=0)),1,0)</f>
        <v/>
      </c>
      <c r="S90" s="151">
        <f>IF(AND($A90&lt;&gt;"",$D90&lt;&gt;""),IF(COUNTIF('Carton Stock'!$B$8:$B$47,$D90)=0,1,0),0)</f>
        <v/>
      </c>
      <c r="T90" s="151">
        <f>IF(AND($A90&lt;&gt;"",OR($D90="",N($E90)&lt;=0)),1,0)</f>
        <v/>
      </c>
    </row>
    <row r="91" ht="15" customHeight="1">
      <c r="A91" s="9">
        <f>IF(Stock!$A91="","",Stock!$A91)</f>
        <v/>
      </c>
      <c r="B91" s="9">
        <f>IF(Stock!$A91="","",Stock!$B91)</f>
        <v/>
      </c>
      <c r="C91" s="9">
        <f>IF(Stock!$A91="","",IF(Stock!$C91="","",Stock!$C91))</f>
        <v/>
      </c>
      <c r="D91" s="152" t="inlineStr">
        <is>
          <t>Semi Needle Squid carton</t>
        </is>
      </c>
      <c r="E91" s="168" t="n"/>
      <c r="F91" s="12">
        <f>IF($A91="","",IF(Stock!$E$3&lt;'Carton Stock'!$E$4,0,SUMIFS('Daily Entry'!$C$7:$C$10003,'Daily Entry'!$B$7:$B$10003,$O91,'Daily Entry'!$A$7:$A$10003,"&gt;="&amp;'Carton Stock'!$E$4,'Daily Entry'!$A$7:$A$10003,"&lt;="&amp;Stock!$E$3)))</f>
        <v/>
      </c>
      <c r="G91" s="156">
        <f>IF(OR($A91="",$D91="",N($E91)&lt;=0),"",ROUNDUP($F91/$E91,0))</f>
        <v/>
      </c>
      <c r="H91" s="11">
        <f>IF($A91="","",IF(Stock!$E$3&lt;'Carton Stock'!$E$4,0,SUMIFS('Daily Entry'!$C$7:$C$10003,'Daily Entry'!$B$7:$B$10003,$O91,'Daily Entry'!$A$7:$A$10003,Stock!$E$3)))</f>
        <v/>
      </c>
      <c r="I91" s="11">
        <f>IF($G91="","",$G91-ROUNDUP(($F91-$H91)/$E91,0))</f>
        <v/>
      </c>
      <c r="O91" s="131">
        <f>IF(Stock!$A91="","",Stock!$O91)</f>
        <v/>
      </c>
      <c r="P91" s="169">
        <f>IF($A91="",0,SUMIFS('Daily Entry'!$C$7:$C$10003,'Daily Entry'!$B$7:$B$10003,$O91,'Daily Entry'!$A$7:$A$10003,"&gt;="&amp;MAX('Carton Stock'!$E$4,Stock!$E$3-29),'Daily Entry'!$A$7:$A$10003,"&lt;="&amp;Stock!$E$3))</f>
        <v/>
      </c>
      <c r="Q91" s="159">
        <f>IF(OR($A91="",$D91="",N($E91)&lt;=0),0,$P91/$E91)</f>
        <v/>
      </c>
      <c r="R91" s="151">
        <f>IF(AND($A91&lt;&gt;"",N($F91)&gt;0,OR($D91="",N($E91)&lt;=0)),1,0)</f>
        <v/>
      </c>
      <c r="S91" s="151">
        <f>IF(AND($A91&lt;&gt;"",$D91&lt;&gt;""),IF(COUNTIF('Carton Stock'!$B$8:$B$47,$D91)=0,1,0),0)</f>
        <v/>
      </c>
      <c r="T91" s="151">
        <f>IF(AND($A91&lt;&gt;"",OR($D91="",N($E91)&lt;=0)),1,0)</f>
        <v/>
      </c>
    </row>
    <row r="92" ht="15" customHeight="1">
      <c r="A92" s="9">
        <f>IF(Stock!$A92="","",Stock!$A92)</f>
        <v/>
      </c>
      <c r="B92" s="9">
        <f>IF(Stock!$A92="","",Stock!$B92)</f>
        <v/>
      </c>
      <c r="C92" s="9">
        <f>IF(Stock!$A92="","",IF(Stock!$C92="","",Stock!$C92))</f>
        <v/>
      </c>
      <c r="D92" s="152" t="inlineStr">
        <is>
          <t>Semi Needle Squid carton</t>
        </is>
      </c>
      <c r="E92" s="168" t="n"/>
      <c r="F92" s="12">
        <f>IF($A92="","",IF(Stock!$E$3&lt;'Carton Stock'!$E$4,0,SUMIFS('Daily Entry'!$C$7:$C$10003,'Daily Entry'!$B$7:$B$10003,$O92,'Daily Entry'!$A$7:$A$10003,"&gt;="&amp;'Carton Stock'!$E$4,'Daily Entry'!$A$7:$A$10003,"&lt;="&amp;Stock!$E$3)))</f>
        <v/>
      </c>
      <c r="G92" s="156">
        <f>IF(OR($A92="",$D92="",N($E92)&lt;=0),"",ROUNDUP($F92/$E92,0))</f>
        <v/>
      </c>
      <c r="H92" s="11">
        <f>IF($A92="","",IF(Stock!$E$3&lt;'Carton Stock'!$E$4,0,SUMIFS('Daily Entry'!$C$7:$C$10003,'Daily Entry'!$B$7:$B$10003,$O92,'Daily Entry'!$A$7:$A$10003,Stock!$E$3)))</f>
        <v/>
      </c>
      <c r="I92" s="11">
        <f>IF($G92="","",$G92-ROUNDUP(($F92-$H92)/$E92,0))</f>
        <v/>
      </c>
      <c r="O92" s="131">
        <f>IF(Stock!$A92="","",Stock!$O92)</f>
        <v/>
      </c>
      <c r="P92" s="169">
        <f>IF($A92="",0,SUMIFS('Daily Entry'!$C$7:$C$10003,'Daily Entry'!$B$7:$B$10003,$O92,'Daily Entry'!$A$7:$A$10003,"&gt;="&amp;MAX('Carton Stock'!$E$4,Stock!$E$3-29),'Daily Entry'!$A$7:$A$10003,"&lt;="&amp;Stock!$E$3))</f>
        <v/>
      </c>
      <c r="Q92" s="159">
        <f>IF(OR($A92="",$D92="",N($E92)&lt;=0),0,$P92/$E92)</f>
        <v/>
      </c>
      <c r="R92" s="151">
        <f>IF(AND($A92&lt;&gt;"",N($F92)&gt;0,OR($D92="",N($E92)&lt;=0)),1,0)</f>
        <v/>
      </c>
      <c r="S92" s="151">
        <f>IF(AND($A92&lt;&gt;"",$D92&lt;&gt;""),IF(COUNTIF('Carton Stock'!$B$8:$B$47,$D92)=0,1,0),0)</f>
        <v/>
      </c>
      <c r="T92" s="151">
        <f>IF(AND($A92&lt;&gt;"",OR($D92="",N($E92)&lt;=0)),1,0)</f>
        <v/>
      </c>
    </row>
    <row r="93" ht="15" customHeight="1">
      <c r="A93" s="9">
        <f>IF(Stock!$A93="","",Stock!$A93)</f>
        <v/>
      </c>
      <c r="B93" s="9">
        <f>IF(Stock!$A93="","",Stock!$B93)</f>
        <v/>
      </c>
      <c r="C93" s="9">
        <f>IF(Stock!$A93="","",IF(Stock!$C93="","",Stock!$C93))</f>
        <v/>
      </c>
      <c r="D93" s="152" t="inlineStr">
        <is>
          <t>Semi Needle Squid carton</t>
        </is>
      </c>
      <c r="E93" s="168" t="n"/>
      <c r="F93" s="12">
        <f>IF($A93="","",IF(Stock!$E$3&lt;'Carton Stock'!$E$4,0,SUMIFS('Daily Entry'!$C$7:$C$10003,'Daily Entry'!$B$7:$B$10003,$O93,'Daily Entry'!$A$7:$A$10003,"&gt;="&amp;'Carton Stock'!$E$4,'Daily Entry'!$A$7:$A$10003,"&lt;="&amp;Stock!$E$3)))</f>
        <v/>
      </c>
      <c r="G93" s="156">
        <f>IF(OR($A93="",$D93="",N($E93)&lt;=0),"",ROUNDUP($F93/$E93,0))</f>
        <v/>
      </c>
      <c r="H93" s="11">
        <f>IF($A93="","",IF(Stock!$E$3&lt;'Carton Stock'!$E$4,0,SUMIFS('Daily Entry'!$C$7:$C$10003,'Daily Entry'!$B$7:$B$10003,$O93,'Daily Entry'!$A$7:$A$10003,Stock!$E$3)))</f>
        <v/>
      </c>
      <c r="I93" s="11">
        <f>IF($G93="","",$G93-ROUNDUP(($F93-$H93)/$E93,0))</f>
        <v/>
      </c>
      <c r="O93" s="131">
        <f>IF(Stock!$A93="","",Stock!$O93)</f>
        <v/>
      </c>
      <c r="P93" s="169">
        <f>IF($A93="",0,SUMIFS('Daily Entry'!$C$7:$C$10003,'Daily Entry'!$B$7:$B$10003,$O93,'Daily Entry'!$A$7:$A$10003,"&gt;="&amp;MAX('Carton Stock'!$E$4,Stock!$E$3-29),'Daily Entry'!$A$7:$A$10003,"&lt;="&amp;Stock!$E$3))</f>
        <v/>
      </c>
      <c r="Q93" s="159">
        <f>IF(OR($A93="",$D93="",N($E93)&lt;=0),0,$P93/$E93)</f>
        <v/>
      </c>
      <c r="R93" s="151">
        <f>IF(AND($A93&lt;&gt;"",N($F93)&gt;0,OR($D93="",N($E93)&lt;=0)),1,0)</f>
        <v/>
      </c>
      <c r="S93" s="151">
        <f>IF(AND($A93&lt;&gt;"",$D93&lt;&gt;""),IF(COUNTIF('Carton Stock'!$B$8:$B$47,$D93)=0,1,0),0)</f>
        <v/>
      </c>
      <c r="T93" s="151">
        <f>IF(AND($A93&lt;&gt;"",OR($D93="",N($E93)&lt;=0)),1,0)</f>
        <v/>
      </c>
    </row>
    <row r="94" ht="15" customHeight="1">
      <c r="A94" s="9">
        <f>IF(Stock!$A94="","",Stock!$A94)</f>
        <v/>
      </c>
      <c r="B94" s="9">
        <f>IF(Stock!$A94="","",Stock!$B94)</f>
        <v/>
      </c>
      <c r="C94" s="9">
        <f>IF(Stock!$A94="","",IF(Stock!$C94="","",Stock!$C94))</f>
        <v/>
      </c>
      <c r="D94" s="152" t="inlineStr">
        <is>
          <t>Semi Needle Squid carton</t>
        </is>
      </c>
      <c r="E94" s="168" t="n"/>
      <c r="F94" s="12">
        <f>IF($A94="","",IF(Stock!$E$3&lt;'Carton Stock'!$E$4,0,SUMIFS('Daily Entry'!$C$7:$C$10003,'Daily Entry'!$B$7:$B$10003,$O94,'Daily Entry'!$A$7:$A$10003,"&gt;="&amp;'Carton Stock'!$E$4,'Daily Entry'!$A$7:$A$10003,"&lt;="&amp;Stock!$E$3)))</f>
        <v/>
      </c>
      <c r="G94" s="156">
        <f>IF(OR($A94="",$D94="",N($E94)&lt;=0),"",ROUNDUP($F94/$E94,0))</f>
        <v/>
      </c>
      <c r="H94" s="11">
        <f>IF($A94="","",IF(Stock!$E$3&lt;'Carton Stock'!$E$4,0,SUMIFS('Daily Entry'!$C$7:$C$10003,'Daily Entry'!$B$7:$B$10003,$O94,'Daily Entry'!$A$7:$A$10003,Stock!$E$3)))</f>
        <v/>
      </c>
      <c r="I94" s="11">
        <f>IF($G94="","",$G94-ROUNDUP(($F94-$H94)/$E94,0))</f>
        <v/>
      </c>
      <c r="O94" s="131">
        <f>IF(Stock!$A94="","",Stock!$O94)</f>
        <v/>
      </c>
      <c r="P94" s="169">
        <f>IF($A94="",0,SUMIFS('Daily Entry'!$C$7:$C$10003,'Daily Entry'!$B$7:$B$10003,$O94,'Daily Entry'!$A$7:$A$10003,"&gt;="&amp;MAX('Carton Stock'!$E$4,Stock!$E$3-29),'Daily Entry'!$A$7:$A$10003,"&lt;="&amp;Stock!$E$3))</f>
        <v/>
      </c>
      <c r="Q94" s="159">
        <f>IF(OR($A94="",$D94="",N($E94)&lt;=0),0,$P94/$E94)</f>
        <v/>
      </c>
      <c r="R94" s="151">
        <f>IF(AND($A94&lt;&gt;"",N($F94)&gt;0,OR($D94="",N($E94)&lt;=0)),1,0)</f>
        <v/>
      </c>
      <c r="S94" s="151">
        <f>IF(AND($A94&lt;&gt;"",$D94&lt;&gt;""),IF(COUNTIF('Carton Stock'!$B$8:$B$47,$D94)=0,1,0),0)</f>
        <v/>
      </c>
      <c r="T94" s="151">
        <f>IF(AND($A94&lt;&gt;"",OR($D94="",N($E94)&lt;=0)),1,0)</f>
        <v/>
      </c>
    </row>
    <row r="95" ht="15" customHeight="1">
      <c r="A95" s="9">
        <f>IF(Stock!$A95="","",Stock!$A95)</f>
        <v/>
      </c>
      <c r="B95" s="9">
        <f>IF(Stock!$A95="","",Stock!$B95)</f>
        <v/>
      </c>
      <c r="C95" s="9">
        <f>IF(Stock!$A95="","",IF(Stock!$C95="","",Stock!$C95))</f>
        <v/>
      </c>
      <c r="D95" s="152" t="inlineStr">
        <is>
          <t>Semi Needle Squid carton</t>
        </is>
      </c>
      <c r="E95" s="168" t="n"/>
      <c r="F95" s="12">
        <f>IF($A95="","",IF(Stock!$E$3&lt;'Carton Stock'!$E$4,0,SUMIFS('Daily Entry'!$C$7:$C$10003,'Daily Entry'!$B$7:$B$10003,$O95,'Daily Entry'!$A$7:$A$10003,"&gt;="&amp;'Carton Stock'!$E$4,'Daily Entry'!$A$7:$A$10003,"&lt;="&amp;Stock!$E$3)))</f>
        <v/>
      </c>
      <c r="G95" s="156">
        <f>IF(OR($A95="",$D95="",N($E95)&lt;=0),"",ROUNDUP($F95/$E95,0))</f>
        <v/>
      </c>
      <c r="H95" s="11">
        <f>IF($A95="","",IF(Stock!$E$3&lt;'Carton Stock'!$E$4,0,SUMIFS('Daily Entry'!$C$7:$C$10003,'Daily Entry'!$B$7:$B$10003,$O95,'Daily Entry'!$A$7:$A$10003,Stock!$E$3)))</f>
        <v/>
      </c>
      <c r="I95" s="11">
        <f>IF($G95="","",$G95-ROUNDUP(($F95-$H95)/$E95,0))</f>
        <v/>
      </c>
      <c r="O95" s="131">
        <f>IF(Stock!$A95="","",Stock!$O95)</f>
        <v/>
      </c>
      <c r="P95" s="169">
        <f>IF($A95="",0,SUMIFS('Daily Entry'!$C$7:$C$10003,'Daily Entry'!$B$7:$B$10003,$O95,'Daily Entry'!$A$7:$A$10003,"&gt;="&amp;MAX('Carton Stock'!$E$4,Stock!$E$3-29),'Daily Entry'!$A$7:$A$10003,"&lt;="&amp;Stock!$E$3))</f>
        <v/>
      </c>
      <c r="Q95" s="159">
        <f>IF(OR($A95="",$D95="",N($E95)&lt;=0),0,$P95/$E95)</f>
        <v/>
      </c>
      <c r="R95" s="151">
        <f>IF(AND($A95&lt;&gt;"",N($F95)&gt;0,OR($D95="",N($E95)&lt;=0)),1,0)</f>
        <v/>
      </c>
      <c r="S95" s="151">
        <f>IF(AND($A95&lt;&gt;"",$D95&lt;&gt;""),IF(COUNTIF('Carton Stock'!$B$8:$B$47,$D95)=0,1,0),0)</f>
        <v/>
      </c>
      <c r="T95" s="151">
        <f>IF(AND($A95&lt;&gt;"",OR($D95="",N($E95)&lt;=0)),1,0)</f>
        <v/>
      </c>
    </row>
    <row r="96" ht="15" customHeight="1">
      <c r="A96" s="9">
        <f>IF(Stock!$A96="","",Stock!$A96)</f>
        <v/>
      </c>
      <c r="B96" s="9">
        <f>IF(Stock!$A96="","",Stock!$B96)</f>
        <v/>
      </c>
      <c r="C96" s="9">
        <f>IF(Stock!$A96="","",IF(Stock!$C96="","",Stock!$C96))</f>
        <v/>
      </c>
      <c r="D96" s="152" t="n"/>
      <c r="E96" s="168" t="n"/>
      <c r="F96" s="12">
        <f>IF($A96="","",IF(Stock!$E$3&lt;'Carton Stock'!$E$4,0,SUMIFS('Daily Entry'!$C$7:$C$10003,'Daily Entry'!$B$7:$B$10003,$O96,'Daily Entry'!$A$7:$A$10003,"&gt;="&amp;'Carton Stock'!$E$4,'Daily Entry'!$A$7:$A$10003,"&lt;="&amp;Stock!$E$3)))</f>
        <v/>
      </c>
      <c r="G96" s="156">
        <f>IF(OR($A96="",$D96="",N($E96)&lt;=0),"",ROUNDUP($F96/$E96,0))</f>
        <v/>
      </c>
      <c r="H96" s="11">
        <f>IF($A96="","",IF(Stock!$E$3&lt;'Carton Stock'!$E$4,0,SUMIFS('Daily Entry'!$C$7:$C$10003,'Daily Entry'!$B$7:$B$10003,$O96,'Daily Entry'!$A$7:$A$10003,Stock!$E$3)))</f>
        <v/>
      </c>
      <c r="I96" s="11">
        <f>IF($G96="","",$G96-ROUNDUP(($F96-$H96)/$E96,0))</f>
        <v/>
      </c>
      <c r="O96" s="131">
        <f>IF(Stock!$A96="","",Stock!$O96)</f>
        <v/>
      </c>
      <c r="P96" s="169">
        <f>IF($A96="",0,SUMIFS('Daily Entry'!$C$7:$C$10003,'Daily Entry'!$B$7:$B$10003,$O96,'Daily Entry'!$A$7:$A$10003,"&gt;="&amp;MAX('Carton Stock'!$E$4,Stock!$E$3-29),'Daily Entry'!$A$7:$A$10003,"&lt;="&amp;Stock!$E$3))</f>
        <v/>
      </c>
      <c r="Q96" s="159">
        <f>IF(OR($A96="",$D96="",N($E96)&lt;=0),0,$P96/$E96)</f>
        <v/>
      </c>
      <c r="R96" s="151">
        <f>IF(AND($A96&lt;&gt;"",N($F96)&gt;0,OR($D96="",N($E96)&lt;=0)),1,0)</f>
        <v/>
      </c>
      <c r="S96" s="151">
        <f>IF(AND($A96&lt;&gt;"",$D96&lt;&gt;""),IF(COUNTIF('Carton Stock'!$B$8:$B$47,$D96)=0,1,0),0)</f>
        <v/>
      </c>
      <c r="T96" s="151">
        <f>IF(AND($A96&lt;&gt;"",OR($D96="",N($E96)&lt;=0)),1,0)</f>
        <v/>
      </c>
    </row>
    <row r="97" ht="15" customHeight="1">
      <c r="A97" s="9">
        <f>IF(Stock!$A97="","",Stock!$A97)</f>
        <v/>
      </c>
      <c r="B97" s="9">
        <f>IF(Stock!$A97="","",Stock!$B97)</f>
        <v/>
      </c>
      <c r="C97" s="9">
        <f>IF(Stock!$A97="","",IF(Stock!$C97="","",Stock!$C97))</f>
        <v/>
      </c>
      <c r="D97" s="152" t="n"/>
      <c r="E97" s="168" t="n"/>
      <c r="F97" s="12">
        <f>IF($A97="","",IF(Stock!$E$3&lt;'Carton Stock'!$E$4,0,SUMIFS('Daily Entry'!$C$7:$C$10003,'Daily Entry'!$B$7:$B$10003,$O97,'Daily Entry'!$A$7:$A$10003,"&gt;="&amp;'Carton Stock'!$E$4,'Daily Entry'!$A$7:$A$10003,"&lt;="&amp;Stock!$E$3)))</f>
        <v/>
      </c>
      <c r="G97" s="156">
        <f>IF(OR($A97="",$D97="",N($E97)&lt;=0),"",ROUNDUP($F97/$E97,0))</f>
        <v/>
      </c>
      <c r="H97" s="11">
        <f>IF($A97="","",IF(Stock!$E$3&lt;'Carton Stock'!$E$4,0,SUMIFS('Daily Entry'!$C$7:$C$10003,'Daily Entry'!$B$7:$B$10003,$O97,'Daily Entry'!$A$7:$A$10003,Stock!$E$3)))</f>
        <v/>
      </c>
      <c r="I97" s="11">
        <f>IF($G97="","",$G97-ROUNDUP(($F97-$H97)/$E97,0))</f>
        <v/>
      </c>
      <c r="O97" s="131">
        <f>IF(Stock!$A97="","",Stock!$O97)</f>
        <v/>
      </c>
      <c r="P97" s="169">
        <f>IF($A97="",0,SUMIFS('Daily Entry'!$C$7:$C$10003,'Daily Entry'!$B$7:$B$10003,$O97,'Daily Entry'!$A$7:$A$10003,"&gt;="&amp;MAX('Carton Stock'!$E$4,Stock!$E$3-29),'Daily Entry'!$A$7:$A$10003,"&lt;="&amp;Stock!$E$3))</f>
        <v/>
      </c>
      <c r="Q97" s="159">
        <f>IF(OR($A97="",$D97="",N($E97)&lt;=0),0,$P97/$E97)</f>
        <v/>
      </c>
      <c r="R97" s="151">
        <f>IF(AND($A97&lt;&gt;"",N($F97)&gt;0,OR($D97="",N($E97)&lt;=0)),1,0)</f>
        <v/>
      </c>
      <c r="S97" s="151">
        <f>IF(AND($A97&lt;&gt;"",$D97&lt;&gt;""),IF(COUNTIF('Carton Stock'!$B$8:$B$47,$D97)=0,1,0),0)</f>
        <v/>
      </c>
      <c r="T97" s="151">
        <f>IF(AND($A97&lt;&gt;"",OR($D97="",N($E97)&lt;=0)),1,0)</f>
        <v/>
      </c>
    </row>
    <row r="98" ht="15" customHeight="1">
      <c r="A98" s="9">
        <f>IF(Stock!$A98="","",Stock!$A98)</f>
        <v/>
      </c>
      <c r="B98" s="9">
        <f>IF(Stock!$A98="","",Stock!$B98)</f>
        <v/>
      </c>
      <c r="C98" s="9">
        <f>IF(Stock!$A98="","",IF(Stock!$C98="","",Stock!$C98))</f>
        <v/>
      </c>
      <c r="D98" s="152" t="n"/>
      <c r="E98" s="168" t="n"/>
      <c r="F98" s="12">
        <f>IF($A98="","",IF(Stock!$E$3&lt;'Carton Stock'!$E$4,0,SUMIFS('Daily Entry'!$C$7:$C$10003,'Daily Entry'!$B$7:$B$10003,$O98,'Daily Entry'!$A$7:$A$10003,"&gt;="&amp;'Carton Stock'!$E$4,'Daily Entry'!$A$7:$A$10003,"&lt;="&amp;Stock!$E$3)))</f>
        <v/>
      </c>
      <c r="G98" s="156">
        <f>IF(OR($A98="",$D98="",N($E98)&lt;=0),"",ROUNDUP($F98/$E98,0))</f>
        <v/>
      </c>
      <c r="H98" s="11">
        <f>IF($A98="","",IF(Stock!$E$3&lt;'Carton Stock'!$E$4,0,SUMIFS('Daily Entry'!$C$7:$C$10003,'Daily Entry'!$B$7:$B$10003,$O98,'Daily Entry'!$A$7:$A$10003,Stock!$E$3)))</f>
        <v/>
      </c>
      <c r="I98" s="11">
        <f>IF($G98="","",$G98-ROUNDUP(($F98-$H98)/$E98,0))</f>
        <v/>
      </c>
      <c r="O98" s="131">
        <f>IF(Stock!$A98="","",Stock!$O98)</f>
        <v/>
      </c>
      <c r="P98" s="169">
        <f>IF($A98="",0,SUMIFS('Daily Entry'!$C$7:$C$10003,'Daily Entry'!$B$7:$B$10003,$O98,'Daily Entry'!$A$7:$A$10003,"&gt;="&amp;MAX('Carton Stock'!$E$4,Stock!$E$3-29),'Daily Entry'!$A$7:$A$10003,"&lt;="&amp;Stock!$E$3))</f>
        <v/>
      </c>
      <c r="Q98" s="159">
        <f>IF(OR($A98="",$D98="",N($E98)&lt;=0),0,$P98/$E98)</f>
        <v/>
      </c>
      <c r="R98" s="151">
        <f>IF(AND($A98&lt;&gt;"",N($F98)&gt;0,OR($D98="",N($E98)&lt;=0)),1,0)</f>
        <v/>
      </c>
      <c r="S98" s="151">
        <f>IF(AND($A98&lt;&gt;"",$D98&lt;&gt;""),IF(COUNTIF('Carton Stock'!$B$8:$B$47,$D98)=0,1,0),0)</f>
        <v/>
      </c>
      <c r="T98" s="151">
        <f>IF(AND($A98&lt;&gt;"",OR($D98="",N($E98)&lt;=0)),1,0)</f>
        <v/>
      </c>
    </row>
    <row r="99" ht="15" customHeight="1">
      <c r="A99" s="9">
        <f>IF(Stock!$A99="","",Stock!$A99)</f>
        <v/>
      </c>
      <c r="B99" s="9">
        <f>IF(Stock!$A99="","",Stock!$B99)</f>
        <v/>
      </c>
      <c r="C99" s="9">
        <f>IF(Stock!$A99="","",IF(Stock!$C99="","",Stock!$C99))</f>
        <v/>
      </c>
      <c r="D99" s="152" t="n"/>
      <c r="E99" s="168" t="n"/>
      <c r="F99" s="12">
        <f>IF($A99="","",IF(Stock!$E$3&lt;'Carton Stock'!$E$4,0,SUMIFS('Daily Entry'!$C$7:$C$10003,'Daily Entry'!$B$7:$B$10003,$O99,'Daily Entry'!$A$7:$A$10003,"&gt;="&amp;'Carton Stock'!$E$4,'Daily Entry'!$A$7:$A$10003,"&lt;="&amp;Stock!$E$3)))</f>
        <v/>
      </c>
      <c r="G99" s="156">
        <f>IF(OR($A99="",$D99="",N($E99)&lt;=0),"",ROUNDUP($F99/$E99,0))</f>
        <v/>
      </c>
      <c r="H99" s="11">
        <f>IF($A99="","",IF(Stock!$E$3&lt;'Carton Stock'!$E$4,0,SUMIFS('Daily Entry'!$C$7:$C$10003,'Daily Entry'!$B$7:$B$10003,$O99,'Daily Entry'!$A$7:$A$10003,Stock!$E$3)))</f>
        <v/>
      </c>
      <c r="I99" s="11">
        <f>IF($G99="","",$G99-ROUNDUP(($F99-$H99)/$E99,0))</f>
        <v/>
      </c>
      <c r="O99" s="131">
        <f>IF(Stock!$A99="","",Stock!$O99)</f>
        <v/>
      </c>
      <c r="P99" s="169">
        <f>IF($A99="",0,SUMIFS('Daily Entry'!$C$7:$C$10003,'Daily Entry'!$B$7:$B$10003,$O99,'Daily Entry'!$A$7:$A$10003,"&gt;="&amp;MAX('Carton Stock'!$E$4,Stock!$E$3-29),'Daily Entry'!$A$7:$A$10003,"&lt;="&amp;Stock!$E$3))</f>
        <v/>
      </c>
      <c r="Q99" s="159">
        <f>IF(OR($A99="",$D99="",N($E99)&lt;=0),0,$P99/$E99)</f>
        <v/>
      </c>
      <c r="R99" s="151">
        <f>IF(AND($A99&lt;&gt;"",N($F99)&gt;0,OR($D99="",N($E99)&lt;=0)),1,0)</f>
        <v/>
      </c>
      <c r="S99" s="151">
        <f>IF(AND($A99&lt;&gt;"",$D99&lt;&gt;""),IF(COUNTIF('Carton Stock'!$B$8:$B$47,$D99)=0,1,0),0)</f>
        <v/>
      </c>
      <c r="T99" s="151">
        <f>IF(AND($A99&lt;&gt;"",OR($D99="",N($E99)&lt;=0)),1,0)</f>
        <v/>
      </c>
    </row>
    <row r="100" ht="15" customHeight="1">
      <c r="A100" s="9">
        <f>IF(Stock!$A100="","",Stock!$A100)</f>
        <v/>
      </c>
      <c r="B100" s="9">
        <f>IF(Stock!$A100="","",Stock!$B100)</f>
        <v/>
      </c>
      <c r="C100" s="9">
        <f>IF(Stock!$A100="","",IF(Stock!$C100="","",Stock!$C100))</f>
        <v/>
      </c>
      <c r="D100" s="152" t="n"/>
      <c r="E100" s="168" t="n"/>
      <c r="F100" s="12">
        <f>IF($A100="","",IF(Stock!$E$3&lt;'Carton Stock'!$E$4,0,SUMIFS('Daily Entry'!$C$7:$C$10003,'Daily Entry'!$B$7:$B$10003,$O100,'Daily Entry'!$A$7:$A$10003,"&gt;="&amp;'Carton Stock'!$E$4,'Daily Entry'!$A$7:$A$10003,"&lt;="&amp;Stock!$E$3)))</f>
        <v/>
      </c>
      <c r="G100" s="156">
        <f>IF(OR($A100="",$D100="",N($E100)&lt;=0),"",ROUNDUP($F100/$E100,0))</f>
        <v/>
      </c>
      <c r="H100" s="11">
        <f>IF($A100="","",IF(Stock!$E$3&lt;'Carton Stock'!$E$4,0,SUMIFS('Daily Entry'!$C$7:$C$10003,'Daily Entry'!$B$7:$B$10003,$O100,'Daily Entry'!$A$7:$A$10003,Stock!$E$3)))</f>
        <v/>
      </c>
      <c r="I100" s="11">
        <f>IF($G100="","",$G100-ROUNDUP(($F100-$H100)/$E100,0))</f>
        <v/>
      </c>
      <c r="O100" s="131">
        <f>IF(Stock!$A100="","",Stock!$O100)</f>
        <v/>
      </c>
      <c r="P100" s="169">
        <f>IF($A100="",0,SUMIFS('Daily Entry'!$C$7:$C$10003,'Daily Entry'!$B$7:$B$10003,$O100,'Daily Entry'!$A$7:$A$10003,"&gt;="&amp;MAX('Carton Stock'!$E$4,Stock!$E$3-29),'Daily Entry'!$A$7:$A$10003,"&lt;="&amp;Stock!$E$3))</f>
        <v/>
      </c>
      <c r="Q100" s="159">
        <f>IF(OR($A100="",$D100="",N($E100)&lt;=0),0,$P100/$E100)</f>
        <v/>
      </c>
      <c r="R100" s="151">
        <f>IF(AND($A100&lt;&gt;"",N($F100)&gt;0,OR($D100="",N($E100)&lt;=0)),1,0)</f>
        <v/>
      </c>
      <c r="S100" s="151">
        <f>IF(AND($A100&lt;&gt;"",$D100&lt;&gt;""),IF(COUNTIF('Carton Stock'!$B$8:$B$47,$D100)=0,1,0),0)</f>
        <v/>
      </c>
      <c r="T100" s="151">
        <f>IF(AND($A100&lt;&gt;"",OR($D100="",N($E100)&lt;=0)),1,0)</f>
        <v/>
      </c>
    </row>
    <row r="101" ht="15" customHeight="1">
      <c r="A101" s="9">
        <f>IF(Stock!$A101="","",Stock!$A101)</f>
        <v/>
      </c>
      <c r="B101" s="9">
        <f>IF(Stock!$A101="","",Stock!$B101)</f>
        <v/>
      </c>
      <c r="C101" s="9">
        <f>IF(Stock!$A101="","",IF(Stock!$C101="","",Stock!$C101))</f>
        <v/>
      </c>
      <c r="D101" s="152" t="n"/>
      <c r="E101" s="168" t="n"/>
      <c r="F101" s="12">
        <f>IF($A101="","",IF(Stock!$E$3&lt;'Carton Stock'!$E$4,0,SUMIFS('Daily Entry'!$C$7:$C$10003,'Daily Entry'!$B$7:$B$10003,$O101,'Daily Entry'!$A$7:$A$10003,"&gt;="&amp;'Carton Stock'!$E$4,'Daily Entry'!$A$7:$A$10003,"&lt;="&amp;Stock!$E$3)))</f>
        <v/>
      </c>
      <c r="G101" s="156">
        <f>IF(OR($A101="",$D101="",N($E101)&lt;=0),"",ROUNDUP($F101/$E101,0))</f>
        <v/>
      </c>
      <c r="H101" s="11">
        <f>IF($A101="","",IF(Stock!$E$3&lt;'Carton Stock'!$E$4,0,SUMIFS('Daily Entry'!$C$7:$C$10003,'Daily Entry'!$B$7:$B$10003,$O101,'Daily Entry'!$A$7:$A$10003,Stock!$E$3)))</f>
        <v/>
      </c>
      <c r="I101" s="11">
        <f>IF($G101="","",$G101-ROUNDUP(($F101-$H101)/$E101,0))</f>
        <v/>
      </c>
      <c r="O101" s="131">
        <f>IF(Stock!$A101="","",Stock!$O101)</f>
        <v/>
      </c>
      <c r="P101" s="169">
        <f>IF($A101="",0,SUMIFS('Daily Entry'!$C$7:$C$10003,'Daily Entry'!$B$7:$B$10003,$O101,'Daily Entry'!$A$7:$A$10003,"&gt;="&amp;MAX('Carton Stock'!$E$4,Stock!$E$3-29),'Daily Entry'!$A$7:$A$10003,"&lt;="&amp;Stock!$E$3))</f>
        <v/>
      </c>
      <c r="Q101" s="159">
        <f>IF(OR($A101="",$D101="",N($E101)&lt;=0),0,$P101/$E101)</f>
        <v/>
      </c>
      <c r="R101" s="151">
        <f>IF(AND($A101&lt;&gt;"",N($F101)&gt;0,OR($D101="",N($E101)&lt;=0)),1,0)</f>
        <v/>
      </c>
      <c r="S101" s="151">
        <f>IF(AND($A101&lt;&gt;"",$D101&lt;&gt;""),IF(COUNTIF('Carton Stock'!$B$8:$B$47,$D101)=0,1,0),0)</f>
        <v/>
      </c>
      <c r="T101" s="151">
        <f>IF(AND($A101&lt;&gt;"",OR($D101="",N($E101)&lt;=0)),1,0)</f>
        <v/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/>
  <autoFilter ref="A7:I101"/>
  <conditionalFormatting sqref="D8:E101">
    <cfRule type="expression" priority="1" dxfId="2">
      <formula>AND($A8&lt;&gt;"",D8="")</formula>
    </cfRule>
  </conditionalFormatting>
  <conditionalFormatting sqref="D8:D101">
    <cfRule type="expression" priority="2" dxfId="1">
      <formula>$S8=1</formula>
    </cfRule>
  </conditionalFormatting>
  <dataValidations count="2">
    <dataValidation sqref="D8:D101" showDropDown="0" showInputMessage="0" showErrorMessage="1" allowBlank="1" error="Pick a carton from the list. New cartons are added on Carton Stock first." type="list">
      <formula1>CartonList</formula1>
    </dataValidation>
    <dataValidation sqref="E8:E101" showDropDown="0" showInputMessage="0" showErrorMessage="1" allowBlank="1" error="Units in one carton: slabs, or kilos for products counted in kilos." type="decimal" operator="greaterThan">
      <formula1>0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2026-08-22T11:14:05Z</dcterms:created>
  <dcterms:modified xsi:type="dcterms:W3CDTF">2026-10-30T07:03:23Z</dcterms:modified>
  <cp:revision>0</cp:revision>
</cp:coreProperties>
</file>