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 workbookPassword="DF10" lockStructure="1"/>
  <bookViews>
    <workbookView showHorizontalScroll="true" showVerticalScroll="true" showSheetTabs="true" xWindow="0" yWindow="0" windowWidth="16384" windowHeight="8192" tabRatio="500" firstSheet="0" activeTab="4"/>
  </bookViews>
  <sheets>
    <sheet name="Read me" sheetId="1" state="visible" r:id="rId3"/>
    <sheet name="Stock" sheetId="2" state="visible" r:id="rId4"/>
    <sheet name="Daily Entry" sheetId="3" state="visible" r:id="rId5"/>
    <sheet name="Summary" sheetId="4" state="visible" r:id="rId6"/>
    <sheet name="Daily Report" sheetId="5" state="visible" r:id="rId7"/>
  </sheets>
  <definedNames>
    <definedName function="false" hidden="false" localSheetId="2" name="_xlnm.Print_Titles" vbProcedure="false">'Daily Entry'!$6:$6</definedName>
    <definedName function="false" hidden="true" localSheetId="2" name="_xlnm._FilterDatabase" vbProcedure="false">'Daily Entry'!$A$6:$E$250</definedName>
    <definedName function="false" hidden="false" localSheetId="4" name="_xlnm.Print_Area" vbProcedure="false">'Daily Report'!$A$1:$F$56</definedName>
    <definedName function="false" hidden="false" localSheetId="0" name="_xlnm.Print_Area" vbProcedure="false">'Read me'!$A$1:$B$45</definedName>
    <definedName function="false" hidden="false" localSheetId="1" name="_xlnm.Print_Area" vbProcedure="false">Stock!$A$1:$M$118</definedName>
    <definedName function="false" hidden="false" localSheetId="1" name="_xlnm.Print_Titles" vbProcedure="false">Stock!$7:$7</definedName>
    <definedName function="false" hidden="true" localSheetId="1" name="_xlnm._FilterDatabase" vbProcedure="false">Stock!$A$7:$M$114</definedName>
    <definedName function="false" hidden="false" localSheetId="3" name="_xlnm.Print_Area" vbProcedure="false">Summary!$A$1:$G$203</definedName>
    <definedName function="false" hidden="false" localSheetId="3" name="_xlnm.Print_Titles" vbProcedure="false">Summary!$1:$2</definedName>
    <definedName function="false" hidden="false" name="Products" vbProcedure="false">OFFSET(Stock!$O$8,0,0,MAX(1,COUNTA(Stock!$A$8:$A$114)),1)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7" authorId="0">
      <text>
        <r>
          <rPr>
            <sz val="10"/>
            <rFont val="Arial"/>
            <family val="2"/>
          </rPr>
          <t xml:space="preserve">Kilos in one unit of this product.
  2   a 2 kg slab (the shrimp brands)
  1   the balance is already in kilos (tuna, mackerel)
  other  slab weights that vary by buyer — set per product.
Leave it blank and the row is not valued; the count of unset rows
is shown under the table and on the Daily Report.</t>
        </r>
      </text>
    </comment>
  </commentList>
</comments>
</file>

<file path=xl/sharedStrings.xml><?xml version="1.0" encoding="utf-8"?>
<sst xmlns="http://schemas.openxmlformats.org/spreadsheetml/2006/main" count="526" uniqueCount="201">
  <si>
    <t xml:space="preserve">PREMIER EXPORTS INTERNATIONAL</t>
  </si>
  <si>
    <t xml:space="preserve">STOCK REGISTER — HOW IT WORKS</t>
  </si>
  <si>
    <t xml:space="preserve">Every day, in one minute</t>
  </si>
  <si>
    <t xml:space="preserve">1.  On 'Daily Entry' add one row per product that moved — date, product from the</t>
  </si>
  <si>
    <t xml:space="preserve">    dropdown, and the quantity in that product's own unit.</t>
  </si>
  <si>
    <t xml:space="preserve">2.  On 'Stock' set the Statement date and the US$ → ₹ rate for today.</t>
  </si>
  <si>
    <t xml:space="preserve">3.  Open 'Daily Report' — it has already rebuilt itself.</t>
  </si>
  <si>
    <t xml:space="preserve">4.  File ▸ Export ▸ Create PDF/XPS, "Selected sheet" — that is the directors' copy.</t>
  </si>
  <si>
    <t xml:space="preserve">Units: slabs and kilos are not the same thing</t>
  </si>
  <si>
    <t xml:space="preserve">Every product carries a Unit and a Kg / Unit on the Stock sheet.</t>
  </si>
  <si>
    <t xml:space="preserve">    Slab, 2       the shrimp brands — Blue Dolphin, Primus, AMF, THT, China, Deep Sea</t>
  </si>
  <si>
    <t xml:space="preserve">    Kg, 1         tuna and mackerel, where the balance is already in kilos</t>
  </si>
  <si>
    <t xml:space="preserve">    Slab, other   squid, cuttlefish and shrimp whole, whose slab weight varies by buyer</t>
  </si>
  <si>
    <t xml:space="preserve">Because a slab and a kilo cannot be added together, every total in this workbook is</t>
  </si>
  <si>
    <t xml:space="preserve">taken in kilos: Closing Kg = Closing Balance × Kg / Unit.</t>
  </si>
  <si>
    <t xml:space="preserve">A product with no Kg / Unit is shaded pink and left out of the totals, and the count</t>
  </si>
  <si>
    <t xml:space="preserve">of such rows is shown on Stock, Summary and the Daily Report until you fill it in.</t>
  </si>
  <si>
    <t xml:space="preserve">How the stock is valued</t>
  </si>
  <si>
    <t xml:space="preserve">Rate / Kg is the export price per kilo, in US dollars.</t>
  </si>
  <si>
    <t xml:space="preserve">Stock Value (₹) = Closing Kg × Rate / Kg (US$) × the US$ → ₹ rate in E4.</t>
  </si>
  <si>
    <t xml:space="preserve">The exchange rate lives in that one cell, so changing it revalues everything at once.</t>
  </si>
  <si>
    <t xml:space="preserve">Why you never re-type an opening balance</t>
  </si>
  <si>
    <t xml:space="preserve">Opening Balance is a fixed baseline, not a daily figure. Closing Balance = Opening</t>
  </si>
  <si>
    <t xml:space="preserve">+ production to date − shipment to date, counted from every row on 'Daily Entry'.</t>
  </si>
  <si>
    <t xml:space="preserve">What can be typed into — everything else is locked</t>
  </si>
  <si>
    <t xml:space="preserve">'Daily Entry' — the whole grid.</t>
  </si>
  <si>
    <t xml:space="preserve">'Stock' — Statement date, exchange rate, Unit, Kg / Unit and Rate / Kg.</t>
  </si>
  <si>
    <t xml:space="preserve">Every other cell is protected, and formatting is locked, so widths, fonts, colours</t>
  </si>
  <si>
    <t xml:space="preserve">and number formats cannot be changed by accident. The owner holds the password.</t>
  </si>
  <si>
    <t xml:space="preserve">Adding a product or a brand</t>
  </si>
  <si>
    <t xml:space="preserve">'Stock' keeps 25 blank rows under the last product. Type Brand, Product, Unit,</t>
  </si>
  <si>
    <t xml:space="preserve">Kg / Unit and Opening Balance into the first blank row — no unprotecting needed.</t>
  </si>
  <si>
    <t xml:space="preserve">For a new brand, also type its name into a blank brand band on 'Summary' and into a</t>
  </si>
  <si>
    <t xml:space="preserve">blank row on the Daily Report's brand table. Until you do, a red line on both says</t>
  </si>
  <si>
    <t xml:space="preserve">the totals understate the stock. Both clear themselves.</t>
  </si>
  <si>
    <t xml:space="preserve">Dates must be real dates</t>
  </si>
  <si>
    <t xml:space="preserve">Type 22/08/2026, not text. A date stored as text never matches the Statement date.</t>
  </si>
  <si>
    <t xml:space="preserve">STOCK REGISTER — LIVE POSITION</t>
  </si>
  <si>
    <t xml:space="preserve">Statement date</t>
  </si>
  <si>
    <t xml:space="preserve">← today; drives the two "today" columns and the Daily Report</t>
  </si>
  <si>
    <t xml:space="preserve">US$ → ₹ exchange rate</t>
  </si>
  <si>
    <t xml:space="preserve">← rupees per US dollar; converts the per-kilo export rates</t>
  </si>
  <si>
    <t xml:space="preserve">Balances are counted in each product's own Unit. Only kilos are comparable across products, so every total is taken in kilos.</t>
  </si>
  <si>
    <t xml:space="preserve">Brand</t>
  </si>
  <si>
    <t xml:space="preserve">Product</t>
  </si>
  <si>
    <t xml:space="preserve">Unit</t>
  </si>
  <si>
    <t xml:space="preserve">Kg / Unit</t>
  </si>
  <si>
    <t xml:space="preserve">Opening Balance</t>
  </si>
  <si>
    <t xml:space="preserve">Today's Production</t>
  </si>
  <si>
    <t xml:space="preserve">Today's Shipment</t>
  </si>
  <si>
    <t xml:space="preserve">Production to Date</t>
  </si>
  <si>
    <t xml:space="preserve">Shipment to Date</t>
  </si>
  <si>
    <t xml:space="preserve">Closing Balance</t>
  </si>
  <si>
    <t xml:space="preserve">Closing Kg</t>
  </si>
  <si>
    <t xml:space="preserve">Rate / Kg (US$)</t>
  </si>
  <si>
    <t xml:space="preserve">Stock Value (₹)</t>
  </si>
  <si>
    <t xml:space="preserve">Key (do not edit)</t>
  </si>
  <si>
    <t xml:space="preserve">Moved today</t>
  </si>
  <si>
    <t xml:space="preserve">Rank</t>
  </si>
  <si>
    <t xml:space="preserve">Brand seq</t>
  </si>
  <si>
    <t xml:space="preserve">Opening kg</t>
  </si>
  <si>
    <t xml:space="preserve">Prod kg today</t>
  </si>
  <si>
    <t xml:space="preserve">Ship kg today</t>
  </si>
  <si>
    <t xml:space="preserve">Prod kg to date</t>
  </si>
  <si>
    <t xml:space="preserve">Ship kg to date</t>
  </si>
  <si>
    <t xml:space="preserve">Needs Kg/Unit</t>
  </si>
  <si>
    <t xml:space="preserve">Duplicate key</t>
  </si>
  <si>
    <t xml:space="preserve">Blue Dolphin</t>
  </si>
  <si>
    <t xml:space="preserve">PD PVN 100/200</t>
  </si>
  <si>
    <t xml:space="preserve">Slab</t>
  </si>
  <si>
    <t xml:space="preserve">PD KKD 100/200</t>
  </si>
  <si>
    <t xml:space="preserve">PD PVN 200/300</t>
  </si>
  <si>
    <t xml:space="preserve">PD KKD 200/300</t>
  </si>
  <si>
    <t xml:space="preserve">PUD PVN 200/300</t>
  </si>
  <si>
    <t xml:space="preserve">PUD KKD 200/300</t>
  </si>
  <si>
    <t xml:space="preserve">PUD PVN 300/500</t>
  </si>
  <si>
    <t xml:space="preserve">PUD KKD 300/500</t>
  </si>
  <si>
    <t xml:space="preserve">Primus Japan</t>
  </si>
  <si>
    <t xml:space="preserve">PUD KZN 40/60</t>
  </si>
  <si>
    <t xml:space="preserve">PUD KZN 60/80</t>
  </si>
  <si>
    <t xml:space="preserve">PUD PVN 80/120</t>
  </si>
  <si>
    <t xml:space="preserve">PUD KZN 80/120</t>
  </si>
  <si>
    <t xml:space="preserve">PUD NRN 80/120</t>
  </si>
  <si>
    <t xml:space="preserve">PUD PVN 100/200</t>
  </si>
  <si>
    <t xml:space="preserve">PUD KKD 100/200</t>
  </si>
  <si>
    <t xml:space="preserve">PUD KZN 100/200</t>
  </si>
  <si>
    <t xml:space="preserve">PUD NRN 100/200</t>
  </si>
  <si>
    <t xml:space="preserve">PUD KZN 200/300</t>
  </si>
  <si>
    <t xml:space="preserve">PUD NRN 200/300</t>
  </si>
  <si>
    <t xml:space="preserve">Primus EU</t>
  </si>
  <si>
    <t xml:space="preserve">PUD 20/40</t>
  </si>
  <si>
    <t xml:space="preserve">PUD 40/60</t>
  </si>
  <si>
    <t xml:space="preserve">PUD 60/80</t>
  </si>
  <si>
    <t xml:space="preserve">PUD 80/120</t>
  </si>
  <si>
    <t xml:space="preserve">PUD 100/200</t>
  </si>
  <si>
    <t xml:space="preserve">PUD 200/300</t>
  </si>
  <si>
    <t xml:space="preserve">PUD 300/500</t>
  </si>
  <si>
    <t xml:space="preserve">BKN</t>
  </si>
  <si>
    <t xml:space="preserve">AMF Brand</t>
  </si>
  <si>
    <t xml:space="preserve">THT Brand</t>
  </si>
  <si>
    <t xml:space="preserve">China</t>
  </si>
  <si>
    <t xml:space="preserve">PUD PVN 500/800</t>
  </si>
  <si>
    <t xml:space="preserve">PUD KKD 500/800</t>
  </si>
  <si>
    <t xml:space="preserve">Deep Sea</t>
  </si>
  <si>
    <t xml:space="preserve">Shrimp Whole</t>
  </si>
  <si>
    <t xml:space="preserve">HOSO PVN 4-7</t>
  </si>
  <si>
    <t xml:space="preserve">Tuna</t>
  </si>
  <si>
    <t xml:space="preserve">SKIPJACK 1/2</t>
  </si>
  <si>
    <t xml:space="preserve">Kg</t>
  </si>
  <si>
    <t xml:space="preserve">SKIPJACK 2/4</t>
  </si>
  <si>
    <t xml:space="preserve">SKIPJACK 4/10</t>
  </si>
  <si>
    <t xml:space="preserve">YELLOW FIN 1/2</t>
  </si>
  <si>
    <t xml:space="preserve">YELLOW FIN 2/4</t>
  </si>
  <si>
    <t xml:space="preserve">YELLOW FIN 4/10</t>
  </si>
  <si>
    <t xml:space="preserve">Mackerel</t>
  </si>
  <si>
    <t xml:space="preserve">WHOLE 2/4</t>
  </si>
  <si>
    <t xml:space="preserve">WHOLE 4/6</t>
  </si>
  <si>
    <t xml:space="preserve">WHOLE 6/8</t>
  </si>
  <si>
    <t xml:space="preserve">WHOLE 8/10</t>
  </si>
  <si>
    <t xml:space="preserve">WHOLE 10/12</t>
  </si>
  <si>
    <t xml:space="preserve">WHOLE 12/15</t>
  </si>
  <si>
    <t xml:space="preserve">WHOLE 15/20</t>
  </si>
  <si>
    <t xml:space="preserve">Cuttlefish</t>
  </si>
  <si>
    <t xml:space="preserve">CFWC U/1 10%</t>
  </si>
  <si>
    <t xml:space="preserve">CFWC 1/2 10%</t>
  </si>
  <si>
    <t xml:space="preserve">CFWC 2/4 10%</t>
  </si>
  <si>
    <t xml:space="preserve">CFWC 5/7 10%</t>
  </si>
  <si>
    <t xml:space="preserve">CFWC 8/12 10%</t>
  </si>
  <si>
    <t xml:space="preserve">CFWC 13/20 10%</t>
  </si>
  <si>
    <t xml:space="preserve">White Squid</t>
  </si>
  <si>
    <t xml:space="preserve">SQW U/3 10%</t>
  </si>
  <si>
    <t xml:space="preserve">SQW 3/6 10%</t>
  </si>
  <si>
    <t xml:space="preserve">SQW 6/10 10%</t>
  </si>
  <si>
    <t xml:space="preserve">SQW 10/20 10%</t>
  </si>
  <si>
    <t xml:space="preserve">SQW 20/40 10%</t>
  </si>
  <si>
    <t xml:space="preserve">SQWC U/5 25%</t>
  </si>
  <si>
    <t xml:space="preserve">SQWC U/10 25%</t>
  </si>
  <si>
    <t xml:space="preserve">SQWC 10/20 25%</t>
  </si>
  <si>
    <t xml:space="preserve">Semi Needle Squid</t>
  </si>
  <si>
    <t xml:space="preserve">SKIN-ON RINGS 3/6 25%</t>
  </si>
  <si>
    <t xml:space="preserve">SKIN-ON RINGS 6/10 25%</t>
  </si>
  <si>
    <t xml:space="preserve">SKIN-ON RINGS 10/20 25%</t>
  </si>
  <si>
    <t xml:space="preserve">SKIN-ON TENTACLES 25%</t>
  </si>
  <si>
    <t xml:space="preserve">GRAND TOTAL (kg)</t>
  </si>
  <si>
    <t xml:space="preserve">Balances are in each product's own unit, so only the kilo column totals. Stock Value (₹) = Closing Kg × Rate / Kg (US$) × the exchange rate.</t>
  </si>
  <si>
    <t xml:space="preserve">DAILY ENTRY — ADD ONE ROW PER PRODUCT THAT MOVED</t>
  </si>
  <si>
    <t xml:space="preserve">After production, add a row below: date, product from the dropdown, and the quantity in that product's own unit — slabs for the shrimp brands, kilos for tuna and mackerel. Never delete past rows.</t>
  </si>
  <si>
    <t xml:space="preserve">Rows that will not reach Stock:</t>
  </si>
  <si>
    <t xml:space="preserve">← must stay at 0; anything else is a mistyped product</t>
  </si>
  <si>
    <t xml:space="preserve">Date</t>
  </si>
  <si>
    <t xml:space="preserve">Item (pick from list)</t>
  </si>
  <si>
    <t xml:space="preserve">Production (in product unit)</t>
  </si>
  <si>
    <t xml:space="preserve">Shipment (in product unit)</t>
  </si>
  <si>
    <t xml:space="preserve">Note</t>
  </si>
  <si>
    <t xml:space="preserve">Blue Dolphin - PD PVN 100/200</t>
  </si>
  <si>
    <t xml:space="preserve">Blue Dolphin - PD KKD 100/200</t>
  </si>
  <si>
    <t xml:space="preserve">Blue Dolphin - PUD PVN 200/300</t>
  </si>
  <si>
    <t xml:space="preserve">Primus Japan - PUD KZN 40/60</t>
  </si>
  <si>
    <t xml:space="preserve">Primus Japan - PUD KZN 60/80</t>
  </si>
  <si>
    <t xml:space="preserve">Primus Japan - PUD KZN 80/120</t>
  </si>
  <si>
    <t xml:space="preserve">Primus Japan - PUD NRN 80/120</t>
  </si>
  <si>
    <t xml:space="preserve">Primus Japan - PUD KZN 100/200</t>
  </si>
  <si>
    <t xml:space="preserve">Primus Japan - PUD KZN 200/300</t>
  </si>
  <si>
    <t xml:space="preserve">Primus Japan - PUD PVN 300/500</t>
  </si>
  <si>
    <t xml:space="preserve">Primus Japan - PUD KKD 300/500</t>
  </si>
  <si>
    <t xml:space="preserve">Primus EU - BKN</t>
  </si>
  <si>
    <t xml:space="preserve">THT Brand - PUD PVN 80/120</t>
  </si>
  <si>
    <t xml:space="preserve">THT Brand - PUD PVN 100/200</t>
  </si>
  <si>
    <t xml:space="preserve">Blue Dolphin - PUD PVN 300/500</t>
  </si>
  <si>
    <t xml:space="preserve">Blue Dolphin - PUD KKD 200/300</t>
  </si>
  <si>
    <t xml:space="preserve">Blue Dolphin - PUD KKD 300/500</t>
  </si>
  <si>
    <t xml:space="preserve">VALUATION BY BRAND</t>
  </si>
  <si>
    <t xml:space="preserve">Closing Stock</t>
  </si>
  <si>
    <t xml:space="preserve">Stock Value</t>
  </si>
  <si>
    <t xml:space="preserve">Stock Value (US$)</t>
  </si>
  <si>
    <t xml:space="preserve">kilos, across every product</t>
  </si>
  <si>
    <t xml:space="preserve">at the per-kilo export prices</t>
  </si>
  <si>
    <t xml:space="preserve">the same stock in dollars</t>
  </si>
  <si>
    <t xml:space="preserve">GRAND TOTAL</t>
  </si>
  <si>
    <t xml:space="preserve">Every figure is read from 'Stock', so this can never disagree with it.</t>
  </si>
  <si>
    <t xml:space="preserve">Premier Exports International</t>
  </si>
  <si>
    <t xml:space="preserve">AP X/453, NH-66 Highway, Chandiroor P.O.,</t>
  </si>
  <si>
    <t xml:space="preserve">Aroor, Alappuzha, Kerala - 688 537, India</t>
  </si>
  <si>
    <t xml:space="preserve">GSTIN 32AADFP3158P1ZZ</t>
  </si>
  <si>
    <t xml:space="preserve">DAILY STOCK REPORT</t>
  </si>
  <si>
    <t xml:space="preserve">PURCHASE &amp; PROCESSING · PRODUCTION</t>
  </si>
  <si>
    <t xml:space="preserve">STATEMENT DATE</t>
  </si>
  <si>
    <t xml:space="preserve">OPENING (KG)</t>
  </si>
  <si>
    <t xml:space="preserve">PRODUCED TODAY (KG)</t>
  </si>
  <si>
    <t xml:space="preserve">SHIPPED TODAY (KG)</t>
  </si>
  <si>
    <t xml:space="preserve">CLOSING (KG)</t>
  </si>
  <si>
    <t xml:space="preserve">POSITION BY BRAND</t>
  </si>
  <si>
    <t xml:space="preserve">Today's Production (kg)</t>
  </si>
  <si>
    <t xml:space="preserve">Today's Shipment (kg)</t>
  </si>
  <si>
    <t xml:space="preserve">Products</t>
  </si>
  <si>
    <t xml:space="preserve">TODAY'S MOVEMENTS</t>
  </si>
  <si>
    <t xml:space="preserve">Production</t>
  </si>
  <si>
    <t xml:space="preserve">Shipment</t>
  </si>
  <si>
    <t xml:space="preserve">TOTAL MOVED TODAY</t>
  </si>
  <si>
    <t xml:space="preserve">kg</t>
  </si>
  <si>
    <t xml:space="preserve">Prepared from the stock register. Balances are in each product's own unit; totals are in kilos. Value = Closing Kg × Rate / Kg (US$) × exchange rate.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</si>
</sst>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/yyyy"/>
    <numFmt numFmtId="166" formatCode="&quot;₹ &quot;#,##0.00"/>
    <numFmt numFmtId="167" formatCode="#,##0.###"/>
    <numFmt numFmtId="168" formatCode="[&gt;=10000000]##\,##\,##\,##0;[&gt;=100000]##\,##\,##0;#,##0"/>
    <numFmt numFmtId="169" formatCode="#,##0;\-#,##0;\–"/>
    <numFmt numFmtId="170" formatCode="[&gt;=100000]##\,##\,##0.0;#,##0.0"/>
    <numFmt numFmtId="171" formatCode="&quot;$ &quot;#,##0.00"/>
    <numFmt numFmtId="172" formatCode="[&gt;=10000000]&quot;₹ &quot;##\,##\,##\,##0.00;[&gt;=100000]&quot;₹ &quot;##\,##\,##0.00;&quot;₹ &quot;#,##0.00"/>
    <numFmt numFmtId="173" formatCode="General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65E7A"/>
      <name val="Arial"/>
      <family val="0"/>
      <charset val="1"/>
    </font>
    <font>
      <b val="true"/>
      <sz val="10"/>
      <color rgb="FF5E7C8B"/>
      <name val="Arial"/>
      <family val="0"/>
      <charset val="1"/>
    </font>
    <font>
      <b val="true"/>
      <sz val="10"/>
      <color rgb="FF065E7A"/>
      <name val="Arial"/>
      <family val="0"/>
      <charset val="1"/>
    </font>
    <font>
      <sz val="10"/>
      <color rgb="FF0B2C3A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B2C3A"/>
      <name val="Arial"/>
      <family val="0"/>
      <charset val="1"/>
    </font>
    <font>
      <i val="true"/>
      <sz val="9"/>
      <color rgb="FF5E7C8B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5E7C8B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E7C8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B3261E"/>
      <name val="Arial"/>
      <family val="0"/>
      <charset val="1"/>
    </font>
    <font>
      <sz val="10"/>
      <name val="Arial"/>
      <family val="2"/>
    </font>
    <font>
      <b val="true"/>
      <sz val="15"/>
      <color rgb="FF065E7A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9"/>
      <color rgb="FF0B2C3A"/>
      <name val="Arial"/>
      <family val="0"/>
      <charset val="1"/>
    </font>
    <font>
      <b val="true"/>
      <sz val="9"/>
      <color rgb="FF0B2C3A"/>
      <name val="Arial"/>
      <family val="0"/>
      <charset val="1"/>
    </font>
    <font>
      <sz val="8"/>
      <color rgb="FF5E7C8B"/>
      <name val="Arial"/>
      <family val="0"/>
      <charset val="1"/>
    </font>
    <font>
      <sz val="17"/>
      <color rgb="FF00A2D3"/>
      <name val="Arial"/>
      <family val="0"/>
      <charset val="1"/>
    </font>
    <font>
      <b val="true"/>
      <sz val="17"/>
      <color rgb="FF0B2C3A"/>
      <name val="Arial"/>
      <family val="0"/>
      <charset val="1"/>
    </font>
    <font>
      <b val="true"/>
      <sz val="13"/>
      <color rgb="FF065E7A"/>
      <name val="Arial"/>
      <family val="0"/>
      <charset val="1"/>
    </font>
    <font>
      <b val="true"/>
      <sz val="8"/>
      <color rgb="FF5E7C8B"/>
      <name val="Arial"/>
      <family val="0"/>
      <charset val="1"/>
    </font>
    <font>
      <b val="true"/>
      <sz val="8"/>
      <color rgb="FFCFE8F2"/>
      <name val="Arial"/>
      <family val="0"/>
      <charset val="1"/>
    </font>
    <font>
      <b val="true"/>
      <sz val="13"/>
      <color rgb="FF0B2C3A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9"/>
      <color rgb="FFB3261E"/>
      <name val="Arial"/>
      <family val="0"/>
      <charset val="1"/>
    </font>
    <font>
      <b val="true"/>
      <sz val="9"/>
      <color rgb="FF065E7A"/>
      <name val="Arial"/>
      <family val="0"/>
      <charset val="1"/>
    </font>
    <font>
      <b val="true"/>
      <sz val="8"/>
      <color rgb="FFB3261E"/>
      <name val="Arial"/>
      <family val="0"/>
      <charset val="1"/>
    </font>
    <font>
      <i val="true"/>
      <sz val="8"/>
      <color rgb="FF5E7C8B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65E7A"/>
        <bgColor rgb="FF008080"/>
      </patternFill>
    </fill>
    <fill>
      <patternFill patternType="solid">
        <fgColor rgb="FFFFFFFF"/>
        <bgColor rgb="FFF2F8FB"/>
      </patternFill>
    </fill>
    <fill>
      <patternFill patternType="solid">
        <fgColor rgb="FFD9D9D9"/>
        <bgColor rgb="FFCBDFE8"/>
      </patternFill>
    </fill>
    <fill>
      <patternFill patternType="solid">
        <fgColor rgb="FFF2F8FB"/>
        <bgColor rgb="FFE7F3F9"/>
      </patternFill>
    </fill>
    <fill>
      <patternFill patternType="solid">
        <fgColor rgb="FFE7F3F9"/>
        <bgColor rgb="FFF2F8FB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>
        <color rgb="FFCBDFE8"/>
      </left>
      <right style="thin">
        <color rgb="FFCBDFE8"/>
      </right>
      <top style="thin">
        <color rgb="FFCBDFE8"/>
      </top>
      <bottom style="thin">
        <color rgb="FFCBDFE8"/>
      </bottom>
      <diagonal/>
    </border>
    <border diagonalUp="false" diagonalDown="false">
      <left/>
      <right/>
      <top style="thin">
        <color rgb="FFCBDFE8"/>
      </top>
      <bottom style="thin">
        <color rgb="FFCBDFE8"/>
      </bottom>
      <diagonal/>
    </border>
    <border diagonalUp="false" diagonalDown="false">
      <left style="thin">
        <color rgb="FFCBDFE8"/>
      </left>
      <right style="thin">
        <color rgb="FFCBDFE8"/>
      </right>
      <top style="medium">
        <color rgb="FF065E7A"/>
      </top>
      <bottom style="thin">
        <color rgb="FFCBDFE8"/>
      </bottom>
      <diagonal/>
    </border>
    <border diagonalUp="false" diagonalDown="false">
      <left/>
      <right/>
      <top/>
      <bottom style="medium">
        <color rgb="FF00A2D3"/>
      </bottom>
      <diagonal/>
    </border>
    <border diagonalUp="false" diagonalDown="false">
      <left style="thin">
        <color rgb="FFCBDFE8"/>
      </left>
      <right style="thin">
        <color rgb="FFCBDFE8"/>
      </right>
      <top style="thin">
        <color rgb="FFCBDFE8"/>
      </top>
      <bottom/>
      <diagonal/>
    </border>
    <border diagonalUp="false" diagonalDown="false">
      <left style="thin">
        <color rgb="FFCBDFE8"/>
      </left>
      <right style="thin">
        <color rgb="FFCBDFE8"/>
      </right>
      <top/>
      <bottom style="thin">
        <color rgb="FFCBDFE8"/>
      </bottom>
      <diagonal/>
    </border>
    <border diagonalUp="false" diagonalDown="false">
      <left/>
      <right/>
      <top style="thin">
        <color rgb="FFCBDFE8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2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14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14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7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9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4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9" fontId="14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0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2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2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2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7" fillId="6" borderId="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8" fillId="3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29" fillId="6" borderId="6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2" fontId="30" fillId="3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1" xfId="0" applyFont="fals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0" hidden="0"/>
    </xf>
    <xf numFmtId="164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0" hidden="0"/>
    </xf>
    <xf numFmtId="169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0" hidden="0"/>
    </xf>
    <xf numFmtId="164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0" hidden="0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065E7A"/>
          <bgColor rgb="FF000000"/>
        </patternFill>
      </fill>
    </dxf>
    <dxf>
      <fill>
        <patternFill patternType="solid">
          <fgColor rgb="FFF2F8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B2C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ont>
        <name val="Arial"/>
        <charset val="1"/>
        <family val="0"/>
        <b val="1"/>
        <color rgb="FFB3261E"/>
        <sz val="10"/>
      </font>
      <fill>
        <patternFill>
          <bgColor rgb="FFF8D7DA"/>
        </patternFill>
      </fill>
    </dxf>
    <dxf>
      <fill>
        <patternFill>
          <bgColor rgb="FFFDE7E9"/>
        </patternFill>
      </fill>
    </dxf>
    <dxf/>
    <dxf>
      <border diagonalUp="false" diagonalDown="false">
        <left style="thin">
          <color rgb="FFCBDFE8"/>
        </left>
        <right style="thin">
          <color rgb="FFCBDFE8"/>
        </right>
        <top style="thin">
          <color rgb="FFCBDFE8"/>
        </top>
        <bottom style="thin">
          <color rgb="FFCBDFE8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65E7A"/>
      <rgbColor rgb="FFD9D9D9"/>
      <rgbColor rgb="FF808080"/>
      <rgbColor rgb="FF9999FF"/>
      <rgbColor rgb="FF993366"/>
      <rgbColor rgb="FFF2F8FB"/>
      <rgbColor rgb="FFE7F3F9"/>
      <rgbColor rgb="FF660066"/>
      <rgbColor rgb="FFFF8080"/>
      <rgbColor rgb="FF0066CC"/>
      <rgbColor rgb="FFCBDF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A2D3"/>
      <rgbColor rgb="FFCFE8F2"/>
      <rgbColor rgb="FFCCFFCC"/>
      <rgbColor rgb="FFFDE7E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E7C8B"/>
      <rgbColor rgb="FF969696"/>
      <rgbColor rgb="FF0B2C3A"/>
      <rgbColor rgb="FF339966"/>
      <rgbColor rgb="FF003300"/>
      <rgbColor rgb="FF333300"/>
      <rgbColor rgb="FFB326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495000</xdr:colOff>
      <xdr:row>0</xdr:row>
      <xdr:rowOff>399600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495000" cy="3996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 t="s">
        <v>11</v>
      </c>
    </row>
    <row r="15" customFormat="false" ht="15" hidden="false" customHeight="false" outlineLevel="0" collapsed="false">
      <c r="B15" s="4" t="s">
        <v>12</v>
      </c>
    </row>
    <row r="16" customFormat="false" ht="15" hidden="false" customHeight="false" outlineLevel="0" collapsed="false">
      <c r="B16" s="4" t="s">
        <v>13</v>
      </c>
    </row>
    <row r="17" customFormat="false" ht="15" hidden="false" customHeight="false" outlineLevel="0" collapsed="false">
      <c r="B17" s="4" t="s">
        <v>14</v>
      </c>
    </row>
    <row r="18" customFormat="false" ht="15" hidden="false" customHeight="false" outlineLevel="0" collapsed="false">
      <c r="B18" s="4" t="s">
        <v>15</v>
      </c>
    </row>
    <row r="19" customFormat="false" ht="15" hidden="false" customHeight="false" outlineLevel="0" collapsed="false">
      <c r="B19" s="4" t="s">
        <v>16</v>
      </c>
    </row>
    <row r="20" customFormat="false" ht="15" hidden="false" customHeight="false" outlineLevel="0" collapsed="false">
      <c r="B20" s="4"/>
    </row>
    <row r="21" customFormat="false" ht="15" hidden="false" customHeight="false" outlineLevel="0" collapsed="false">
      <c r="B21" s="3" t="s">
        <v>17</v>
      </c>
    </row>
    <row r="22" customFormat="false" ht="15" hidden="false" customHeight="false" outlineLevel="0" collapsed="false">
      <c r="B22" s="4" t="s">
        <v>18</v>
      </c>
    </row>
    <row r="23" customFormat="false" ht="15" hidden="false" customHeight="false" outlineLevel="0" collapsed="false">
      <c r="B23" s="4" t="s">
        <v>19</v>
      </c>
    </row>
    <row r="24" customFormat="false" ht="15" hidden="false" customHeight="false" outlineLevel="0" collapsed="false">
      <c r="B24" s="4" t="s">
        <v>20</v>
      </c>
    </row>
    <row r="25" customFormat="false" ht="15" hidden="false" customHeight="false" outlineLevel="0" collapsed="false">
      <c r="B25" s="4"/>
    </row>
    <row r="26" customFormat="false" ht="15" hidden="false" customHeight="false" outlineLevel="0" collapsed="false">
      <c r="B26" s="3" t="s">
        <v>21</v>
      </c>
    </row>
    <row r="27" customFormat="false" ht="15" hidden="false" customHeight="false" outlineLevel="0" collapsed="false">
      <c r="B27" s="4" t="s">
        <v>22</v>
      </c>
    </row>
    <row r="28" customFormat="false" ht="15" hidden="false" customHeight="false" outlineLevel="0" collapsed="false">
      <c r="B28" s="4" t="s">
        <v>23</v>
      </c>
    </row>
    <row r="29" customFormat="false" ht="15" hidden="false" customHeight="false" outlineLevel="0" collapsed="false">
      <c r="B29" s="4"/>
    </row>
    <row r="30" customFormat="false" ht="15" hidden="false" customHeight="false" outlineLevel="0" collapsed="false">
      <c r="B30" s="3" t="s">
        <v>24</v>
      </c>
    </row>
    <row r="31" customFormat="false" ht="15" hidden="false" customHeight="false" outlineLevel="0" collapsed="false">
      <c r="B31" s="5" t="s">
        <v>25</v>
      </c>
    </row>
    <row r="32" customFormat="false" ht="15" hidden="false" customHeight="false" outlineLevel="0" collapsed="false">
      <c r="B32" s="6" t="s">
        <v>26</v>
      </c>
    </row>
    <row r="33" customFormat="false" ht="15" hidden="false" customHeight="false" outlineLevel="0" collapsed="false">
      <c r="B33" s="4" t="s">
        <v>27</v>
      </c>
    </row>
    <row r="34" customFormat="false" ht="15" hidden="false" customHeight="false" outlineLevel="0" collapsed="false">
      <c r="B34" s="4" t="s">
        <v>28</v>
      </c>
    </row>
    <row r="35" customFormat="false" ht="15" hidden="false" customHeight="false" outlineLevel="0" collapsed="false">
      <c r="B35" s="4"/>
    </row>
    <row r="36" customFormat="false" ht="15" hidden="false" customHeight="false" outlineLevel="0" collapsed="false">
      <c r="B36" s="3" t="s">
        <v>29</v>
      </c>
    </row>
    <row r="37" customFormat="false" ht="15" hidden="false" customHeight="false" outlineLevel="0" collapsed="false">
      <c r="B37" s="4" t="s">
        <v>30</v>
      </c>
    </row>
    <row r="38" customFormat="false" ht="15" hidden="false" customHeight="false" outlineLevel="0" collapsed="false">
      <c r="B38" s="4" t="s">
        <v>31</v>
      </c>
    </row>
    <row r="39" customFormat="false" ht="15" hidden="false" customHeight="false" outlineLevel="0" collapsed="false">
      <c r="B39" s="4" t="s">
        <v>32</v>
      </c>
    </row>
    <row r="40" customFormat="false" ht="15" hidden="false" customHeight="false" outlineLevel="0" collapsed="false">
      <c r="B40" s="4" t="s">
        <v>33</v>
      </c>
    </row>
    <row r="41" customFormat="false" ht="15" hidden="false" customHeight="false" outlineLevel="0" collapsed="false">
      <c r="B41" s="4" t="s">
        <v>34</v>
      </c>
    </row>
    <row r="42" customFormat="false" ht="15" hidden="false" customHeight="false" outlineLevel="0" collapsed="false">
      <c r="B42" s="4"/>
    </row>
    <row r="43" customFormat="false" ht="15" hidden="false" customHeight="false" outlineLevel="0" collapsed="false">
      <c r="B43" s="3" t="s">
        <v>35</v>
      </c>
    </row>
    <row r="44" customFormat="false" ht="15" hidden="false" customHeight="false" outlineLevel="0" collapsed="false">
      <c r="B44" s="4" t="s">
        <v>36</v>
      </c>
    </row>
  </sheetData>
  <sheetProtection sheet="true" password="df10" objects="true" scenarios="true" autoFilter="false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1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4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9" min="6" style="0" width="12"/>
    <col collapsed="false" customWidth="true" hidden="false" outlineLevel="0" max="10" min="10" style="0" width="13"/>
    <col collapsed="false" customWidth="true" hidden="false" outlineLevel="0" max="12" min="11" style="0" width="12"/>
    <col collapsed="false" customWidth="true" hidden="false" outlineLevel="0" max="13" min="13" style="0" width="16"/>
    <col collapsed="false" customWidth="true" hidden="false" outlineLevel="0" max="14" min="14" style="0" width="2"/>
    <col collapsed="false" customWidth="true" hidden="false" outlineLevel="0" max="15" min="15" style="0" width="32"/>
    <col collapsed="false" customWidth="true" hidden="false" outlineLevel="0" max="16" min="16" style="0" width="11"/>
    <col collapsed="false" customWidth="true" hidden="false" outlineLevel="0" max="17" min="17" style="0" width="6"/>
    <col collapsed="false" customWidth="true" hidden="false" outlineLevel="0" max="18" min="18" style="0" width="24"/>
    <col collapsed="false" customWidth="true" hidden="false" outlineLevel="0" max="19" min="19" style="0" width="11"/>
    <col collapsed="false" customWidth="true" hidden="false" outlineLevel="0" max="25" min="20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37</v>
      </c>
    </row>
    <row r="3" customFormat="false" ht="15" hidden="false" customHeight="false" outlineLevel="0" collapsed="false">
      <c r="A3" s="7" t="s">
        <v>38</v>
      </c>
      <c r="E3" s="8" t="n">
        <v>46255</v>
      </c>
      <c r="F3" s="9" t="s">
        <v>39</v>
      </c>
    </row>
    <row r="4" customFormat="false" ht="15" hidden="false" customHeight="false" outlineLevel="0" collapsed="false">
      <c r="A4" s="7" t="s">
        <v>40</v>
      </c>
      <c r="E4" s="10" t="n">
        <v>95</v>
      </c>
      <c r="F4" s="9" t="s">
        <v>41</v>
      </c>
    </row>
    <row r="5" customFormat="false" ht="15" hidden="false" customHeight="false" outlineLevel="0" collapsed="false">
      <c r="A5" s="9" t="s">
        <v>42</v>
      </c>
    </row>
    <row r="7" customFormat="false" ht="30" hidden="false" customHeight="true" outlineLevel="0" collapsed="false">
      <c r="A7" s="11" t="s">
        <v>43</v>
      </c>
      <c r="B7" s="11" t="s">
        <v>44</v>
      </c>
      <c r="C7" s="12" t="s">
        <v>45</v>
      </c>
      <c r="D7" s="12" t="s">
        <v>46</v>
      </c>
      <c r="E7" s="12" t="s">
        <v>47</v>
      </c>
      <c r="F7" s="12" t="s">
        <v>48</v>
      </c>
      <c r="G7" s="12" t="s">
        <v>49</v>
      </c>
      <c r="H7" s="12" t="s">
        <v>50</v>
      </c>
      <c r="I7" s="12" t="s">
        <v>51</v>
      </c>
      <c r="J7" s="12" t="s">
        <v>52</v>
      </c>
      <c r="K7" s="12" t="s">
        <v>53</v>
      </c>
      <c r="L7" s="12" t="s">
        <v>54</v>
      </c>
      <c r="M7" s="12" t="s">
        <v>55</v>
      </c>
      <c r="N7" s="13"/>
      <c r="O7" s="14" t="s">
        <v>56</v>
      </c>
      <c r="P7" s="14" t="s">
        <v>57</v>
      </c>
      <c r="Q7" s="14" t="s">
        <v>58</v>
      </c>
      <c r="R7" s="14" t="s">
        <v>59</v>
      </c>
      <c r="S7" s="14" t="s">
        <v>60</v>
      </c>
      <c r="T7" s="14" t="s">
        <v>61</v>
      </c>
      <c r="U7" s="14" t="s">
        <v>62</v>
      </c>
      <c r="V7" s="14" t="s">
        <v>63</v>
      </c>
      <c r="W7" s="14" t="s">
        <v>64</v>
      </c>
      <c r="X7" s="14" t="s">
        <v>65</v>
      </c>
      <c r="Y7" s="14" t="s">
        <v>66</v>
      </c>
    </row>
    <row r="8" customFormat="false" ht="15" hidden="false" customHeight="false" outlineLevel="0" collapsed="false">
      <c r="A8" s="15" t="s">
        <v>67</v>
      </c>
      <c r="B8" s="15" t="s">
        <v>68</v>
      </c>
      <c r="C8" s="16" t="s">
        <v>69</v>
      </c>
      <c r="D8" s="17" t="n">
        <v>2</v>
      </c>
      <c r="E8" s="18" t="n">
        <v>11459</v>
      </c>
      <c r="F8" s="19" t="n">
        <f aca="false">IF($A8="","",SUMIFS('Daily Entry'!$C$7:$C$5000,'Daily Entry'!$B$7:$B$5000,$O8,'Daily Entry'!$A$7:$A$5000,$E$3))</f>
        <v>1123</v>
      </c>
      <c r="G8" s="19" t="n">
        <f aca="false">IF($A8="","",SUMIFS('Daily Entry'!$D$7:$D$5000,'Daily Entry'!$B$7:$B$5000,$O8,'Daily Entry'!$A$7:$A$5000,$E$3))</f>
        <v>5770</v>
      </c>
      <c r="H8" s="20" t="n">
        <f aca="false">IF($A8="","",SUMIFS('Daily Entry'!$C$7:$C$5000,'Daily Entry'!$B$7:$B$5000,$O8))</f>
        <v>2191</v>
      </c>
      <c r="I8" s="20" t="n">
        <f aca="false">IF($A8="","",SUMIFS('Daily Entry'!$D$7:$D$5000,'Daily Entry'!$B$7:$B$5000,$O8))</f>
        <v>5770</v>
      </c>
      <c r="J8" s="21" t="n">
        <f aca="false">IF($A8="","",$E8+$H8-$I8)</f>
        <v>7880</v>
      </c>
      <c r="K8" s="22" t="n">
        <f aca="false">IF(OR($A8="",$D8=""),"",$J8*$D8)</f>
        <v>15760</v>
      </c>
      <c r="L8" s="23" t="n">
        <v>7</v>
      </c>
      <c r="M8" s="24" t="n">
        <f aca="false">IF(OR($A8="",$D8="",$L8="",$E$4=""),"",$K8*$L8*$E$4)</f>
        <v>10480400</v>
      </c>
      <c r="O8" s="25" t="str">
        <f aca="false">IF($A8="","",$A8&amp;" - "&amp;$B8)</f>
        <v>Blue Dolphin - PD PVN 100/200</v>
      </c>
      <c r="P8" s="25" t="n">
        <f aca="false">IF($A8="",0,IF(OR($F8&lt;&gt;0,$G8&lt;&gt;0),1,0))</f>
        <v>1</v>
      </c>
      <c r="Q8" s="25" t="n">
        <f aca="false">IF($P8=1,SUM($P$8:$P8),"")</f>
        <v>1</v>
      </c>
      <c r="R8" s="25" t="str">
        <f aca="false">IF($A8="","",$A8&amp;"#"&amp;COUNTIF($A$8:$A8,$A8))</f>
        <v>Blue Dolphin#1</v>
      </c>
      <c r="S8" s="25" t="n">
        <f aca="false">IF(OR($A8="",$D8=""),0,$E8*$D8)</f>
        <v>22918</v>
      </c>
      <c r="T8" s="25" t="n">
        <f aca="false">IF(OR($A8="",$D8=""),0,$F8*$D8)</f>
        <v>2246</v>
      </c>
      <c r="U8" s="25" t="n">
        <f aca="false">IF(OR($A8="",$D8=""),0,$G8*$D8)</f>
        <v>11540</v>
      </c>
      <c r="V8" s="25" t="n">
        <f aca="false">IF(OR($A8="",$D8=""),0,$H8*$D8)</f>
        <v>4382</v>
      </c>
      <c r="W8" s="25" t="n">
        <f aca="false">IF(OR($A8="",$D8=""),0,$I8*$D8)</f>
        <v>11540</v>
      </c>
      <c r="X8" s="25" t="n">
        <f aca="false">IF(AND($A8&lt;&gt;"",$D8=""),1,0)</f>
        <v>0</v>
      </c>
      <c r="Y8" s="25" t="n">
        <f aca="false">IF($A8="",0,IF(COUNTIF($O$8:$O$114,$O8)&gt;1,1,0))</f>
        <v>0</v>
      </c>
    </row>
    <row r="9" customFormat="false" ht="15" hidden="false" customHeight="false" outlineLevel="0" collapsed="false">
      <c r="A9" s="26" t="s">
        <v>67</v>
      </c>
      <c r="B9" s="26" t="s">
        <v>70</v>
      </c>
      <c r="C9" s="16" t="s">
        <v>69</v>
      </c>
      <c r="D9" s="17" t="n">
        <v>2</v>
      </c>
      <c r="E9" s="18" t="n">
        <v>517</v>
      </c>
      <c r="F9" s="27" t="n">
        <f aca="false">IF($A9="","",SUMIFS('Daily Entry'!$C$7:$C$5000,'Daily Entry'!$B$7:$B$5000,$O9,'Daily Entry'!$A$7:$A$5000,$E$3))</f>
        <v>59</v>
      </c>
      <c r="G9" s="27" t="n">
        <f aca="false">IF($A9="","",SUMIFS('Daily Entry'!$D$7:$D$5000,'Daily Entry'!$B$7:$B$5000,$O9,'Daily Entry'!$A$7:$A$5000,$E$3))</f>
        <v>0</v>
      </c>
      <c r="H9" s="28" t="n">
        <f aca="false">IF($A9="","",SUMIFS('Daily Entry'!$C$7:$C$5000,'Daily Entry'!$B$7:$B$5000,$O9))</f>
        <v>124</v>
      </c>
      <c r="I9" s="28" t="n">
        <f aca="false">IF($A9="","",SUMIFS('Daily Entry'!$D$7:$D$5000,'Daily Entry'!$B$7:$B$5000,$O9))</f>
        <v>0</v>
      </c>
      <c r="J9" s="29" t="n">
        <f aca="false">IF($A9="","",$E9+$H9-$I9)</f>
        <v>641</v>
      </c>
      <c r="K9" s="30" t="n">
        <f aca="false">IF(OR($A9="",$D9=""),"",$J9*$D9)</f>
        <v>1282</v>
      </c>
      <c r="L9" s="23"/>
      <c r="M9" s="31" t="str">
        <f aca="false">IF(OR($A9="",$D9="",$L9="",$E$4=""),"",$K9*$L9*$E$4)</f>
        <v/>
      </c>
      <c r="O9" s="25" t="str">
        <f aca="false">IF($A9="","",$A9&amp;" - "&amp;$B9)</f>
        <v>Blue Dolphin - PD KKD 100/200</v>
      </c>
      <c r="P9" s="25" t="n">
        <f aca="false">IF($A9="",0,IF(OR($F9&lt;&gt;0,$G9&lt;&gt;0),1,0))</f>
        <v>1</v>
      </c>
      <c r="Q9" s="25" t="n">
        <f aca="false">IF($P9=1,SUM($P$8:$P9),"")</f>
        <v>2</v>
      </c>
      <c r="R9" s="25" t="str">
        <f aca="false">IF($A9="","",$A9&amp;"#"&amp;COUNTIF($A$8:$A9,$A9))</f>
        <v>Blue Dolphin#2</v>
      </c>
      <c r="S9" s="25" t="n">
        <f aca="false">IF(OR($A9="",$D9=""),0,$E9*$D9)</f>
        <v>1034</v>
      </c>
      <c r="T9" s="25" t="n">
        <f aca="false">IF(OR($A9="",$D9=""),0,$F9*$D9)</f>
        <v>118</v>
      </c>
      <c r="U9" s="25" t="n">
        <f aca="false">IF(OR($A9="",$D9=""),0,$G9*$D9)</f>
        <v>0</v>
      </c>
      <c r="V9" s="25" t="n">
        <f aca="false">IF(OR($A9="",$D9=""),0,$H9*$D9)</f>
        <v>248</v>
      </c>
      <c r="W9" s="25" t="n">
        <f aca="false">IF(OR($A9="",$D9=""),0,$I9*$D9)</f>
        <v>0</v>
      </c>
      <c r="X9" s="25" t="n">
        <f aca="false">IF(AND($A9&lt;&gt;"",$D9=""),1,0)</f>
        <v>0</v>
      </c>
      <c r="Y9" s="25" t="n">
        <f aca="false">IF($A9="",0,IF(COUNTIF($O$8:$O$114,$O9)&gt;1,1,0))</f>
        <v>0</v>
      </c>
    </row>
    <row r="10" customFormat="false" ht="15" hidden="false" customHeight="false" outlineLevel="0" collapsed="false">
      <c r="A10" s="15" t="s">
        <v>67</v>
      </c>
      <c r="B10" s="15" t="s">
        <v>71</v>
      </c>
      <c r="C10" s="16" t="s">
        <v>69</v>
      </c>
      <c r="D10" s="17" t="n">
        <v>2</v>
      </c>
      <c r="E10" s="18" t="n">
        <v>2357</v>
      </c>
      <c r="F10" s="19" t="n">
        <f aca="false">IF($A10="","",SUMIFS('Daily Entry'!$C$7:$C$5000,'Daily Entry'!$B$7:$B$5000,$O10,'Daily Entry'!$A$7:$A$5000,$E$3))</f>
        <v>0</v>
      </c>
      <c r="G10" s="19" t="n">
        <f aca="false">IF($A10="","",SUMIFS('Daily Entry'!$D$7:$D$5000,'Daily Entry'!$B$7:$B$5000,$O10,'Daily Entry'!$A$7:$A$5000,$E$3))</f>
        <v>0</v>
      </c>
      <c r="H10" s="20" t="n">
        <f aca="false">IF($A10="","",SUMIFS('Daily Entry'!$C$7:$C$5000,'Daily Entry'!$B$7:$B$5000,$O10))</f>
        <v>0</v>
      </c>
      <c r="I10" s="20" t="n">
        <f aca="false">IF($A10="","",SUMIFS('Daily Entry'!$D$7:$D$5000,'Daily Entry'!$B$7:$B$5000,$O10))</f>
        <v>0</v>
      </c>
      <c r="J10" s="21" t="n">
        <f aca="false">IF($A10="","",$E10+$H10-$I10)</f>
        <v>2357</v>
      </c>
      <c r="K10" s="22" t="n">
        <f aca="false">IF(OR($A10="",$D10=""),"",$J10*$D10)</f>
        <v>4714</v>
      </c>
      <c r="L10" s="23"/>
      <c r="M10" s="24" t="str">
        <f aca="false">IF(OR($A10="",$D10="",$L10="",$E$4=""),"",$K10*$L10*$E$4)</f>
        <v/>
      </c>
      <c r="O10" s="25" t="str">
        <f aca="false">IF($A10="","",$A10&amp;" - "&amp;$B10)</f>
        <v>Blue Dolphin - PD PVN 200/300</v>
      </c>
      <c r="P10" s="25" t="n">
        <f aca="false">IF($A10="",0,IF(OR($F10&lt;&gt;0,$G10&lt;&gt;0),1,0))</f>
        <v>0</v>
      </c>
      <c r="Q10" s="25" t="str">
        <f aca="false">IF($P10=1,SUM($P$8:$P10),"")</f>
        <v/>
      </c>
      <c r="R10" s="25" t="str">
        <f aca="false">IF($A10="","",$A10&amp;"#"&amp;COUNTIF($A$8:$A10,$A10))</f>
        <v>Blue Dolphin#3</v>
      </c>
      <c r="S10" s="25" t="n">
        <f aca="false">IF(OR($A10="",$D10=""),0,$E10*$D10)</f>
        <v>4714</v>
      </c>
      <c r="T10" s="25" t="n">
        <f aca="false">IF(OR($A10="",$D10=""),0,$F10*$D10)</f>
        <v>0</v>
      </c>
      <c r="U10" s="25" t="n">
        <f aca="false">IF(OR($A10="",$D10=""),0,$G10*$D10)</f>
        <v>0</v>
      </c>
      <c r="V10" s="25" t="n">
        <f aca="false">IF(OR($A10="",$D10=""),0,$H10*$D10)</f>
        <v>0</v>
      </c>
      <c r="W10" s="25" t="n">
        <f aca="false">IF(OR($A10="",$D10=""),0,$I10*$D10)</f>
        <v>0</v>
      </c>
      <c r="X10" s="25" t="n">
        <f aca="false">IF(AND($A10&lt;&gt;"",$D10=""),1,0)</f>
        <v>0</v>
      </c>
      <c r="Y10" s="25" t="n">
        <f aca="false">IF($A10="",0,IF(COUNTIF($O$8:$O$114,$O10)&gt;1,1,0))</f>
        <v>0</v>
      </c>
    </row>
    <row r="11" customFormat="false" ht="15" hidden="false" customHeight="false" outlineLevel="0" collapsed="false">
      <c r="A11" s="26" t="s">
        <v>67</v>
      </c>
      <c r="B11" s="26" t="s">
        <v>72</v>
      </c>
      <c r="C11" s="16" t="s">
        <v>69</v>
      </c>
      <c r="D11" s="17" t="n">
        <v>2</v>
      </c>
      <c r="E11" s="18" t="n">
        <v>0</v>
      </c>
      <c r="F11" s="27" t="n">
        <f aca="false">IF($A11="","",SUMIFS('Daily Entry'!$C$7:$C$5000,'Daily Entry'!$B$7:$B$5000,$O11,'Daily Entry'!$A$7:$A$5000,$E$3))</f>
        <v>0</v>
      </c>
      <c r="G11" s="27" t="n">
        <f aca="false">IF($A11="","",SUMIFS('Daily Entry'!$D$7:$D$5000,'Daily Entry'!$B$7:$B$5000,$O11,'Daily Entry'!$A$7:$A$5000,$E$3))</f>
        <v>0</v>
      </c>
      <c r="H11" s="28" t="n">
        <f aca="false">IF($A11="","",SUMIFS('Daily Entry'!$C$7:$C$5000,'Daily Entry'!$B$7:$B$5000,$O11))</f>
        <v>0</v>
      </c>
      <c r="I11" s="28" t="n">
        <f aca="false">IF($A11="","",SUMIFS('Daily Entry'!$D$7:$D$5000,'Daily Entry'!$B$7:$B$5000,$O11))</f>
        <v>0</v>
      </c>
      <c r="J11" s="29" t="n">
        <f aca="false">IF($A11="","",$E11+$H11-$I11)</f>
        <v>0</v>
      </c>
      <c r="K11" s="30" t="n">
        <f aca="false">IF(OR($A11="",$D11=""),"",$J11*$D11)</f>
        <v>0</v>
      </c>
      <c r="L11" s="23"/>
      <c r="M11" s="31" t="str">
        <f aca="false">IF(OR($A11="",$D11="",$L11="",$E$4=""),"",$K11*$L11*$E$4)</f>
        <v/>
      </c>
      <c r="O11" s="25" t="str">
        <f aca="false">IF($A11="","",$A11&amp;" - "&amp;$B11)</f>
        <v>Blue Dolphin - PD KKD 200/300</v>
      </c>
      <c r="P11" s="25" t="n">
        <f aca="false">IF($A11="",0,IF(OR($F11&lt;&gt;0,$G11&lt;&gt;0),1,0))</f>
        <v>0</v>
      </c>
      <c r="Q11" s="25" t="str">
        <f aca="false">IF($P11=1,SUM($P$8:$P11),"")</f>
        <v/>
      </c>
      <c r="R11" s="25" t="str">
        <f aca="false">IF($A11="","",$A11&amp;"#"&amp;COUNTIF($A$8:$A11,$A11))</f>
        <v>Blue Dolphin#4</v>
      </c>
      <c r="S11" s="25" t="n">
        <f aca="false">IF(OR($A11="",$D11=""),0,$E11*$D11)</f>
        <v>0</v>
      </c>
      <c r="T11" s="25" t="n">
        <f aca="false">IF(OR($A11="",$D11=""),0,$F11*$D11)</f>
        <v>0</v>
      </c>
      <c r="U11" s="25" t="n">
        <f aca="false">IF(OR($A11="",$D11=""),0,$G11*$D11)</f>
        <v>0</v>
      </c>
      <c r="V11" s="25" t="n">
        <f aca="false">IF(OR($A11="",$D11=""),0,$H11*$D11)</f>
        <v>0</v>
      </c>
      <c r="W11" s="25" t="n">
        <f aca="false">IF(OR($A11="",$D11=""),0,$I11*$D11)</f>
        <v>0</v>
      </c>
      <c r="X11" s="25" t="n">
        <f aca="false">IF(AND($A11&lt;&gt;"",$D11=""),1,0)</f>
        <v>0</v>
      </c>
      <c r="Y11" s="25" t="n">
        <f aca="false">IF($A11="",0,IF(COUNTIF($O$8:$O$114,$O11)&gt;1,1,0))</f>
        <v>0</v>
      </c>
    </row>
    <row r="12" customFormat="false" ht="15" hidden="false" customHeight="false" outlineLevel="0" collapsed="false">
      <c r="A12" s="15" t="s">
        <v>67</v>
      </c>
      <c r="B12" s="15" t="s">
        <v>73</v>
      </c>
      <c r="C12" s="16" t="s">
        <v>69</v>
      </c>
      <c r="D12" s="17" t="n">
        <v>2</v>
      </c>
      <c r="E12" s="18" t="n">
        <v>2262</v>
      </c>
      <c r="F12" s="19" t="n">
        <f aca="false">IF($A12="","",SUMIFS('Daily Entry'!$C$7:$C$5000,'Daily Entry'!$B$7:$B$5000,$O12,'Daily Entry'!$A$7:$A$5000,$E$3))</f>
        <v>245</v>
      </c>
      <c r="G12" s="19" t="n">
        <f aca="false">IF($A12="","",SUMIFS('Daily Entry'!$D$7:$D$5000,'Daily Entry'!$B$7:$B$5000,$O12,'Daily Entry'!$A$7:$A$5000,$E$3))</f>
        <v>1200</v>
      </c>
      <c r="H12" s="20" t="n">
        <f aca="false">IF($A12="","",SUMIFS('Daily Entry'!$C$7:$C$5000,'Daily Entry'!$B$7:$B$5000,$O12))</f>
        <v>512</v>
      </c>
      <c r="I12" s="20" t="n">
        <f aca="false">IF($A12="","",SUMIFS('Daily Entry'!$D$7:$D$5000,'Daily Entry'!$B$7:$B$5000,$O12))</f>
        <v>1200</v>
      </c>
      <c r="J12" s="21" t="n">
        <f aca="false">IF($A12="","",$E12+$H12-$I12)</f>
        <v>1574</v>
      </c>
      <c r="K12" s="22" t="n">
        <f aca="false">IF(OR($A12="",$D12=""),"",$J12*$D12)</f>
        <v>3148</v>
      </c>
      <c r="L12" s="23"/>
      <c r="M12" s="24" t="str">
        <f aca="false">IF(OR($A12="",$D12="",$L12="",$E$4=""),"",$K12*$L12*$E$4)</f>
        <v/>
      </c>
      <c r="O12" s="25" t="str">
        <f aca="false">IF($A12="","",$A12&amp;" - "&amp;$B12)</f>
        <v>Blue Dolphin - PUD PVN 200/300</v>
      </c>
      <c r="P12" s="25" t="n">
        <f aca="false">IF($A12="",0,IF(OR($F12&lt;&gt;0,$G12&lt;&gt;0),1,0))</f>
        <v>1</v>
      </c>
      <c r="Q12" s="25" t="n">
        <f aca="false">IF($P12=1,SUM($P$8:$P12),"")</f>
        <v>3</v>
      </c>
      <c r="R12" s="25" t="str">
        <f aca="false">IF($A12="","",$A12&amp;"#"&amp;COUNTIF($A$8:$A12,$A12))</f>
        <v>Blue Dolphin#5</v>
      </c>
      <c r="S12" s="25" t="n">
        <f aca="false">IF(OR($A12="",$D12=""),0,$E12*$D12)</f>
        <v>4524</v>
      </c>
      <c r="T12" s="25" t="n">
        <f aca="false">IF(OR($A12="",$D12=""),0,$F12*$D12)</f>
        <v>490</v>
      </c>
      <c r="U12" s="25" t="n">
        <f aca="false">IF(OR($A12="",$D12=""),0,$G12*$D12)</f>
        <v>2400</v>
      </c>
      <c r="V12" s="25" t="n">
        <f aca="false">IF(OR($A12="",$D12=""),0,$H12*$D12)</f>
        <v>1024</v>
      </c>
      <c r="W12" s="25" t="n">
        <f aca="false">IF(OR($A12="",$D12=""),0,$I12*$D12)</f>
        <v>2400</v>
      </c>
      <c r="X12" s="25" t="n">
        <f aca="false">IF(AND($A12&lt;&gt;"",$D12=""),1,0)</f>
        <v>0</v>
      </c>
      <c r="Y12" s="25" t="n">
        <f aca="false">IF($A12="",0,IF(COUNTIF($O$8:$O$114,$O12)&gt;1,1,0))</f>
        <v>0</v>
      </c>
    </row>
    <row r="13" customFormat="false" ht="15" hidden="false" customHeight="false" outlineLevel="0" collapsed="false">
      <c r="A13" s="26" t="s">
        <v>67</v>
      </c>
      <c r="B13" s="26" t="s">
        <v>74</v>
      </c>
      <c r="C13" s="16" t="s">
        <v>69</v>
      </c>
      <c r="D13" s="17" t="n">
        <v>2</v>
      </c>
      <c r="E13" s="18" t="n">
        <v>2835</v>
      </c>
      <c r="F13" s="27" t="n">
        <f aca="false">IF($A13="","",SUMIFS('Daily Entry'!$C$7:$C$5000,'Daily Entry'!$B$7:$B$5000,$O13,'Daily Entry'!$A$7:$A$5000,$E$3))</f>
        <v>0</v>
      </c>
      <c r="G13" s="27" t="n">
        <f aca="false">IF($A13="","",SUMIFS('Daily Entry'!$D$7:$D$5000,'Daily Entry'!$B$7:$B$5000,$O13,'Daily Entry'!$A$7:$A$5000,$E$3))</f>
        <v>1200</v>
      </c>
      <c r="H13" s="28" t="n">
        <f aca="false">IF($A13="","",SUMIFS('Daily Entry'!$C$7:$C$5000,'Daily Entry'!$B$7:$B$5000,$O13))</f>
        <v>0</v>
      </c>
      <c r="I13" s="28" t="n">
        <f aca="false">IF($A13="","",SUMIFS('Daily Entry'!$D$7:$D$5000,'Daily Entry'!$B$7:$B$5000,$O13))</f>
        <v>1200</v>
      </c>
      <c r="J13" s="29" t="n">
        <f aca="false">IF($A13="","",$E13+$H13-$I13)</f>
        <v>1635</v>
      </c>
      <c r="K13" s="30" t="n">
        <f aca="false">IF(OR($A13="",$D13=""),"",$J13*$D13)</f>
        <v>3270</v>
      </c>
      <c r="L13" s="23"/>
      <c r="M13" s="31" t="str">
        <f aca="false">IF(OR($A13="",$D13="",$L13="",$E$4=""),"",$K13*$L13*$E$4)</f>
        <v/>
      </c>
      <c r="O13" s="25" t="str">
        <f aca="false">IF($A13="","",$A13&amp;" - "&amp;$B13)</f>
        <v>Blue Dolphin - PUD KKD 200/300</v>
      </c>
      <c r="P13" s="25" t="n">
        <f aca="false">IF($A13="",0,IF(OR($F13&lt;&gt;0,$G13&lt;&gt;0),1,0))</f>
        <v>1</v>
      </c>
      <c r="Q13" s="25" t="n">
        <f aca="false">IF($P13=1,SUM($P$8:$P13),"")</f>
        <v>4</v>
      </c>
      <c r="R13" s="25" t="str">
        <f aca="false">IF($A13="","",$A13&amp;"#"&amp;COUNTIF($A$8:$A13,$A13))</f>
        <v>Blue Dolphin#6</v>
      </c>
      <c r="S13" s="25" t="n">
        <f aca="false">IF(OR($A13="",$D13=""),0,$E13*$D13)</f>
        <v>5670</v>
      </c>
      <c r="T13" s="25" t="n">
        <f aca="false">IF(OR($A13="",$D13=""),0,$F13*$D13)</f>
        <v>0</v>
      </c>
      <c r="U13" s="25" t="n">
        <f aca="false">IF(OR($A13="",$D13=""),0,$G13*$D13)</f>
        <v>2400</v>
      </c>
      <c r="V13" s="25" t="n">
        <f aca="false">IF(OR($A13="",$D13=""),0,$H13*$D13)</f>
        <v>0</v>
      </c>
      <c r="W13" s="25" t="n">
        <f aca="false">IF(OR($A13="",$D13=""),0,$I13*$D13)</f>
        <v>2400</v>
      </c>
      <c r="X13" s="25" t="n">
        <f aca="false">IF(AND($A13&lt;&gt;"",$D13=""),1,0)</f>
        <v>0</v>
      </c>
      <c r="Y13" s="25" t="n">
        <f aca="false">IF($A13="",0,IF(COUNTIF($O$8:$O$114,$O13)&gt;1,1,0))</f>
        <v>0</v>
      </c>
    </row>
    <row r="14" customFormat="false" ht="15" hidden="false" customHeight="false" outlineLevel="0" collapsed="false">
      <c r="A14" s="15" t="s">
        <v>67</v>
      </c>
      <c r="B14" s="15" t="s">
        <v>75</v>
      </c>
      <c r="C14" s="16" t="s">
        <v>69</v>
      </c>
      <c r="D14" s="17" t="n">
        <v>2</v>
      </c>
      <c r="E14" s="18" t="n">
        <v>1673</v>
      </c>
      <c r="F14" s="19" t="n">
        <f aca="false">IF($A14="","",SUMIFS('Daily Entry'!$C$7:$C$5000,'Daily Entry'!$B$7:$B$5000,$O14,'Daily Entry'!$A$7:$A$5000,$E$3))</f>
        <v>63</v>
      </c>
      <c r="G14" s="19" t="n">
        <f aca="false">IF($A14="","",SUMIFS('Daily Entry'!$D$7:$D$5000,'Daily Entry'!$B$7:$B$5000,$O14,'Daily Entry'!$A$7:$A$5000,$E$3))</f>
        <v>660</v>
      </c>
      <c r="H14" s="20" t="n">
        <f aca="false">IF($A14="","",SUMIFS('Daily Entry'!$C$7:$C$5000,'Daily Entry'!$B$7:$B$5000,$O14))</f>
        <v>63</v>
      </c>
      <c r="I14" s="20" t="n">
        <f aca="false">IF($A14="","",SUMIFS('Daily Entry'!$D$7:$D$5000,'Daily Entry'!$B$7:$B$5000,$O14))</f>
        <v>660</v>
      </c>
      <c r="J14" s="21" t="n">
        <f aca="false">IF($A14="","",$E14+$H14-$I14)</f>
        <v>1076</v>
      </c>
      <c r="K14" s="22" t="n">
        <f aca="false">IF(OR($A14="",$D14=""),"",$J14*$D14)</f>
        <v>2152</v>
      </c>
      <c r="L14" s="23"/>
      <c r="M14" s="24" t="str">
        <f aca="false">IF(OR($A14="",$D14="",$L14="",$E$4=""),"",$K14*$L14*$E$4)</f>
        <v/>
      </c>
      <c r="O14" s="25" t="str">
        <f aca="false">IF($A14="","",$A14&amp;" - "&amp;$B14)</f>
        <v>Blue Dolphin - PUD PVN 300/500</v>
      </c>
      <c r="P14" s="25" t="n">
        <f aca="false">IF($A14="",0,IF(OR($F14&lt;&gt;0,$G14&lt;&gt;0),1,0))</f>
        <v>1</v>
      </c>
      <c r="Q14" s="25" t="n">
        <f aca="false">IF($P14=1,SUM($P$8:$P14),"")</f>
        <v>5</v>
      </c>
      <c r="R14" s="25" t="str">
        <f aca="false">IF($A14="","",$A14&amp;"#"&amp;COUNTIF($A$8:$A14,$A14))</f>
        <v>Blue Dolphin#7</v>
      </c>
      <c r="S14" s="25" t="n">
        <f aca="false">IF(OR($A14="",$D14=""),0,$E14*$D14)</f>
        <v>3346</v>
      </c>
      <c r="T14" s="25" t="n">
        <f aca="false">IF(OR($A14="",$D14=""),0,$F14*$D14)</f>
        <v>126</v>
      </c>
      <c r="U14" s="25" t="n">
        <f aca="false">IF(OR($A14="",$D14=""),0,$G14*$D14)</f>
        <v>1320</v>
      </c>
      <c r="V14" s="25" t="n">
        <f aca="false">IF(OR($A14="",$D14=""),0,$H14*$D14)</f>
        <v>126</v>
      </c>
      <c r="W14" s="25" t="n">
        <f aca="false">IF(OR($A14="",$D14=""),0,$I14*$D14)</f>
        <v>1320</v>
      </c>
      <c r="X14" s="25" t="n">
        <f aca="false">IF(AND($A14&lt;&gt;"",$D14=""),1,0)</f>
        <v>0</v>
      </c>
      <c r="Y14" s="25" t="n">
        <f aca="false">IF($A14="",0,IF(COUNTIF($O$8:$O$114,$O14)&gt;1,1,0))</f>
        <v>0</v>
      </c>
    </row>
    <row r="15" customFormat="false" ht="15" hidden="false" customHeight="false" outlineLevel="0" collapsed="false">
      <c r="A15" s="26" t="s">
        <v>67</v>
      </c>
      <c r="B15" s="26" t="s">
        <v>76</v>
      </c>
      <c r="C15" s="16" t="s">
        <v>69</v>
      </c>
      <c r="D15" s="17" t="n">
        <v>2</v>
      </c>
      <c r="E15" s="18" t="n">
        <v>7542</v>
      </c>
      <c r="F15" s="27" t="n">
        <f aca="false">IF($A15="","",SUMIFS('Daily Entry'!$C$7:$C$5000,'Daily Entry'!$B$7:$B$5000,$O15,'Daily Entry'!$A$7:$A$5000,$E$3))</f>
        <v>0</v>
      </c>
      <c r="G15" s="27" t="n">
        <f aca="false">IF($A15="","",SUMIFS('Daily Entry'!$D$7:$D$5000,'Daily Entry'!$B$7:$B$5000,$O15,'Daily Entry'!$A$7:$A$5000,$E$3))</f>
        <v>1170</v>
      </c>
      <c r="H15" s="28" t="n">
        <f aca="false">IF($A15="","",SUMIFS('Daily Entry'!$C$7:$C$5000,'Daily Entry'!$B$7:$B$5000,$O15))</f>
        <v>0</v>
      </c>
      <c r="I15" s="28" t="n">
        <f aca="false">IF($A15="","",SUMIFS('Daily Entry'!$D$7:$D$5000,'Daily Entry'!$B$7:$B$5000,$O15))</f>
        <v>1170</v>
      </c>
      <c r="J15" s="29" t="n">
        <f aca="false">IF($A15="","",$E15+$H15-$I15)</f>
        <v>6372</v>
      </c>
      <c r="K15" s="30" t="n">
        <f aca="false">IF(OR($A15="",$D15=""),"",$J15*$D15)</f>
        <v>12744</v>
      </c>
      <c r="L15" s="23"/>
      <c r="M15" s="31" t="str">
        <f aca="false">IF(OR($A15="",$D15="",$L15="",$E$4=""),"",$K15*$L15*$E$4)</f>
        <v/>
      </c>
      <c r="O15" s="25" t="str">
        <f aca="false">IF($A15="","",$A15&amp;" - "&amp;$B15)</f>
        <v>Blue Dolphin - PUD KKD 300/500</v>
      </c>
      <c r="P15" s="25" t="n">
        <f aca="false">IF($A15="",0,IF(OR($F15&lt;&gt;0,$G15&lt;&gt;0),1,0))</f>
        <v>1</v>
      </c>
      <c r="Q15" s="25" t="n">
        <f aca="false">IF($P15=1,SUM($P$8:$P15),"")</f>
        <v>6</v>
      </c>
      <c r="R15" s="25" t="str">
        <f aca="false">IF($A15="","",$A15&amp;"#"&amp;COUNTIF($A$8:$A15,$A15))</f>
        <v>Blue Dolphin#8</v>
      </c>
      <c r="S15" s="25" t="n">
        <f aca="false">IF(OR($A15="",$D15=""),0,$E15*$D15)</f>
        <v>15084</v>
      </c>
      <c r="T15" s="25" t="n">
        <f aca="false">IF(OR($A15="",$D15=""),0,$F15*$D15)</f>
        <v>0</v>
      </c>
      <c r="U15" s="25" t="n">
        <f aca="false">IF(OR($A15="",$D15=""),0,$G15*$D15)</f>
        <v>2340</v>
      </c>
      <c r="V15" s="25" t="n">
        <f aca="false">IF(OR($A15="",$D15=""),0,$H15*$D15)</f>
        <v>0</v>
      </c>
      <c r="W15" s="25" t="n">
        <f aca="false">IF(OR($A15="",$D15=""),0,$I15*$D15)</f>
        <v>2340</v>
      </c>
      <c r="X15" s="25" t="n">
        <f aca="false">IF(AND($A15&lt;&gt;"",$D15=""),1,0)</f>
        <v>0</v>
      </c>
      <c r="Y15" s="25" t="n">
        <f aca="false">IF($A15="",0,IF(COUNTIF($O$8:$O$114,$O15)&gt;1,1,0))</f>
        <v>0</v>
      </c>
    </row>
    <row r="16" customFormat="false" ht="15" hidden="false" customHeight="false" outlineLevel="0" collapsed="false">
      <c r="A16" s="15" t="s">
        <v>77</v>
      </c>
      <c r="B16" s="15" t="s">
        <v>68</v>
      </c>
      <c r="C16" s="16" t="s">
        <v>69</v>
      </c>
      <c r="D16" s="17" t="n">
        <v>2</v>
      </c>
      <c r="E16" s="18" t="n">
        <v>0</v>
      </c>
      <c r="F16" s="19" t="n">
        <f aca="false">IF($A16="","",SUMIFS('Daily Entry'!$C$7:$C$5000,'Daily Entry'!$B$7:$B$5000,$O16,'Daily Entry'!$A$7:$A$5000,$E$3))</f>
        <v>0</v>
      </c>
      <c r="G16" s="19" t="n">
        <f aca="false">IF($A16="","",SUMIFS('Daily Entry'!$D$7:$D$5000,'Daily Entry'!$B$7:$B$5000,$O16,'Daily Entry'!$A$7:$A$5000,$E$3))</f>
        <v>0</v>
      </c>
      <c r="H16" s="20" t="n">
        <f aca="false">IF($A16="","",SUMIFS('Daily Entry'!$C$7:$C$5000,'Daily Entry'!$B$7:$B$5000,$O16))</f>
        <v>0</v>
      </c>
      <c r="I16" s="20" t="n">
        <f aca="false">IF($A16="","",SUMIFS('Daily Entry'!$D$7:$D$5000,'Daily Entry'!$B$7:$B$5000,$O16))</f>
        <v>0</v>
      </c>
      <c r="J16" s="21" t="n">
        <f aca="false">IF($A16="","",$E16+$H16-$I16)</f>
        <v>0</v>
      </c>
      <c r="K16" s="22" t="n">
        <f aca="false">IF(OR($A16="",$D16=""),"",$J16*$D16)</f>
        <v>0</v>
      </c>
      <c r="L16" s="23"/>
      <c r="M16" s="24" t="str">
        <f aca="false">IF(OR($A16="",$D16="",$L16="",$E$4=""),"",$K16*$L16*$E$4)</f>
        <v/>
      </c>
      <c r="O16" s="25" t="str">
        <f aca="false">IF($A16="","",$A16&amp;" - "&amp;$B16)</f>
        <v>Primus Japan - PD PVN 100/200</v>
      </c>
      <c r="P16" s="25" t="n">
        <f aca="false">IF($A16="",0,IF(OR($F16&lt;&gt;0,$G16&lt;&gt;0),1,0))</f>
        <v>0</v>
      </c>
      <c r="Q16" s="25" t="str">
        <f aca="false">IF($P16=1,SUM($P$8:$P16),"")</f>
        <v/>
      </c>
      <c r="R16" s="25" t="str">
        <f aca="false">IF($A16="","",$A16&amp;"#"&amp;COUNTIF($A$8:$A16,$A16))</f>
        <v>Primus Japan#1</v>
      </c>
      <c r="S16" s="25" t="n">
        <f aca="false">IF(OR($A16="",$D16=""),0,$E16*$D16)</f>
        <v>0</v>
      </c>
      <c r="T16" s="25" t="n">
        <f aca="false">IF(OR($A16="",$D16=""),0,$F16*$D16)</f>
        <v>0</v>
      </c>
      <c r="U16" s="25" t="n">
        <f aca="false">IF(OR($A16="",$D16=""),0,$G16*$D16)</f>
        <v>0</v>
      </c>
      <c r="V16" s="25" t="n">
        <f aca="false">IF(OR($A16="",$D16=""),0,$H16*$D16)</f>
        <v>0</v>
      </c>
      <c r="W16" s="25" t="n">
        <f aca="false">IF(OR($A16="",$D16=""),0,$I16*$D16)</f>
        <v>0</v>
      </c>
      <c r="X16" s="25" t="n">
        <f aca="false">IF(AND($A16&lt;&gt;"",$D16=""),1,0)</f>
        <v>0</v>
      </c>
      <c r="Y16" s="25" t="n">
        <f aca="false">IF($A16="",0,IF(COUNTIF($O$8:$O$114,$O16)&gt;1,1,0))</f>
        <v>0</v>
      </c>
    </row>
    <row r="17" customFormat="false" ht="15" hidden="false" customHeight="false" outlineLevel="0" collapsed="false">
      <c r="A17" s="26" t="s">
        <v>77</v>
      </c>
      <c r="B17" s="26" t="s">
        <v>70</v>
      </c>
      <c r="C17" s="16" t="s">
        <v>69</v>
      </c>
      <c r="D17" s="17" t="n">
        <v>2</v>
      </c>
      <c r="E17" s="18" t="n">
        <v>0</v>
      </c>
      <c r="F17" s="27" t="n">
        <f aca="false">IF($A17="","",SUMIFS('Daily Entry'!$C$7:$C$5000,'Daily Entry'!$B$7:$B$5000,$O17,'Daily Entry'!$A$7:$A$5000,$E$3))</f>
        <v>0</v>
      </c>
      <c r="G17" s="27" t="n">
        <f aca="false">IF($A17="","",SUMIFS('Daily Entry'!$D$7:$D$5000,'Daily Entry'!$B$7:$B$5000,$O17,'Daily Entry'!$A$7:$A$5000,$E$3))</f>
        <v>0</v>
      </c>
      <c r="H17" s="28" t="n">
        <f aca="false">IF($A17="","",SUMIFS('Daily Entry'!$C$7:$C$5000,'Daily Entry'!$B$7:$B$5000,$O17))</f>
        <v>0</v>
      </c>
      <c r="I17" s="28" t="n">
        <f aca="false">IF($A17="","",SUMIFS('Daily Entry'!$D$7:$D$5000,'Daily Entry'!$B$7:$B$5000,$O17))</f>
        <v>0</v>
      </c>
      <c r="J17" s="29" t="n">
        <f aca="false">IF($A17="","",$E17+$H17-$I17)</f>
        <v>0</v>
      </c>
      <c r="K17" s="30" t="n">
        <f aca="false">IF(OR($A17="",$D17=""),"",$J17*$D17)</f>
        <v>0</v>
      </c>
      <c r="L17" s="23"/>
      <c r="M17" s="31" t="str">
        <f aca="false">IF(OR($A17="",$D17="",$L17="",$E$4=""),"",$K17*$L17*$E$4)</f>
        <v/>
      </c>
      <c r="O17" s="25" t="str">
        <f aca="false">IF($A17="","",$A17&amp;" - "&amp;$B17)</f>
        <v>Primus Japan - PD KKD 100/200</v>
      </c>
      <c r="P17" s="25" t="n">
        <f aca="false">IF($A17="",0,IF(OR($F17&lt;&gt;0,$G17&lt;&gt;0),1,0))</f>
        <v>0</v>
      </c>
      <c r="Q17" s="25" t="str">
        <f aca="false">IF($P17=1,SUM($P$8:$P17),"")</f>
        <v/>
      </c>
      <c r="R17" s="25" t="str">
        <f aca="false">IF($A17="","",$A17&amp;"#"&amp;COUNTIF($A$8:$A17,$A17))</f>
        <v>Primus Japan#2</v>
      </c>
      <c r="S17" s="25" t="n">
        <f aca="false">IF(OR($A17="",$D17=""),0,$E17*$D17)</f>
        <v>0</v>
      </c>
      <c r="T17" s="25" t="n">
        <f aca="false">IF(OR($A17="",$D17=""),0,$F17*$D17)</f>
        <v>0</v>
      </c>
      <c r="U17" s="25" t="n">
        <f aca="false">IF(OR($A17="",$D17=""),0,$G17*$D17)</f>
        <v>0</v>
      </c>
      <c r="V17" s="25" t="n">
        <f aca="false">IF(OR($A17="",$D17=""),0,$H17*$D17)</f>
        <v>0</v>
      </c>
      <c r="W17" s="25" t="n">
        <f aca="false">IF(OR($A17="",$D17=""),0,$I17*$D17)</f>
        <v>0</v>
      </c>
      <c r="X17" s="25" t="n">
        <f aca="false">IF(AND($A17&lt;&gt;"",$D17=""),1,0)</f>
        <v>0</v>
      </c>
      <c r="Y17" s="25" t="n">
        <f aca="false">IF($A17="",0,IF(COUNTIF($O$8:$O$114,$O17)&gt;1,1,0))</f>
        <v>0</v>
      </c>
    </row>
    <row r="18" customFormat="false" ht="15" hidden="false" customHeight="false" outlineLevel="0" collapsed="false">
      <c r="A18" s="15" t="s">
        <v>77</v>
      </c>
      <c r="B18" s="15" t="s">
        <v>71</v>
      </c>
      <c r="C18" s="16" t="s">
        <v>69</v>
      </c>
      <c r="D18" s="17" t="n">
        <v>2</v>
      </c>
      <c r="E18" s="18" t="n">
        <v>0</v>
      </c>
      <c r="F18" s="19" t="n">
        <f aca="false">IF($A18="","",SUMIFS('Daily Entry'!$C$7:$C$5000,'Daily Entry'!$B$7:$B$5000,$O18,'Daily Entry'!$A$7:$A$5000,$E$3))</f>
        <v>0</v>
      </c>
      <c r="G18" s="19" t="n">
        <f aca="false">IF($A18="","",SUMIFS('Daily Entry'!$D$7:$D$5000,'Daily Entry'!$B$7:$B$5000,$O18,'Daily Entry'!$A$7:$A$5000,$E$3))</f>
        <v>0</v>
      </c>
      <c r="H18" s="20" t="n">
        <f aca="false">IF($A18="","",SUMIFS('Daily Entry'!$C$7:$C$5000,'Daily Entry'!$B$7:$B$5000,$O18))</f>
        <v>0</v>
      </c>
      <c r="I18" s="20" t="n">
        <f aca="false">IF($A18="","",SUMIFS('Daily Entry'!$D$7:$D$5000,'Daily Entry'!$B$7:$B$5000,$O18))</f>
        <v>0</v>
      </c>
      <c r="J18" s="21" t="n">
        <f aca="false">IF($A18="","",$E18+$H18-$I18)</f>
        <v>0</v>
      </c>
      <c r="K18" s="22" t="n">
        <f aca="false">IF(OR($A18="",$D18=""),"",$J18*$D18)</f>
        <v>0</v>
      </c>
      <c r="L18" s="23"/>
      <c r="M18" s="24" t="str">
        <f aca="false">IF(OR($A18="",$D18="",$L18="",$E$4=""),"",$K18*$L18*$E$4)</f>
        <v/>
      </c>
      <c r="O18" s="25" t="str">
        <f aca="false">IF($A18="","",$A18&amp;" - "&amp;$B18)</f>
        <v>Primus Japan - PD PVN 200/300</v>
      </c>
      <c r="P18" s="25" t="n">
        <f aca="false">IF($A18="",0,IF(OR($F18&lt;&gt;0,$G18&lt;&gt;0),1,0))</f>
        <v>0</v>
      </c>
      <c r="Q18" s="25" t="str">
        <f aca="false">IF($P18=1,SUM($P$8:$P18),"")</f>
        <v/>
      </c>
      <c r="R18" s="25" t="str">
        <f aca="false">IF($A18="","",$A18&amp;"#"&amp;COUNTIF($A$8:$A18,$A18))</f>
        <v>Primus Japan#3</v>
      </c>
      <c r="S18" s="25" t="n">
        <f aca="false">IF(OR($A18="",$D18=""),0,$E18*$D18)</f>
        <v>0</v>
      </c>
      <c r="T18" s="25" t="n">
        <f aca="false">IF(OR($A18="",$D18=""),0,$F18*$D18)</f>
        <v>0</v>
      </c>
      <c r="U18" s="25" t="n">
        <f aca="false">IF(OR($A18="",$D18=""),0,$G18*$D18)</f>
        <v>0</v>
      </c>
      <c r="V18" s="25" t="n">
        <f aca="false">IF(OR($A18="",$D18=""),0,$H18*$D18)</f>
        <v>0</v>
      </c>
      <c r="W18" s="25" t="n">
        <f aca="false">IF(OR($A18="",$D18=""),0,$I18*$D18)</f>
        <v>0</v>
      </c>
      <c r="X18" s="25" t="n">
        <f aca="false">IF(AND($A18&lt;&gt;"",$D18=""),1,0)</f>
        <v>0</v>
      </c>
      <c r="Y18" s="25" t="n">
        <f aca="false">IF($A18="",0,IF(COUNTIF($O$8:$O$114,$O18)&gt;1,1,0))</f>
        <v>0</v>
      </c>
    </row>
    <row r="19" customFormat="false" ht="15" hidden="false" customHeight="false" outlineLevel="0" collapsed="false">
      <c r="A19" s="26" t="s">
        <v>77</v>
      </c>
      <c r="B19" s="26" t="s">
        <v>72</v>
      </c>
      <c r="C19" s="16" t="s">
        <v>69</v>
      </c>
      <c r="D19" s="17" t="n">
        <v>2</v>
      </c>
      <c r="E19" s="18" t="n">
        <v>0</v>
      </c>
      <c r="F19" s="27" t="n">
        <f aca="false">IF($A19="","",SUMIFS('Daily Entry'!$C$7:$C$5000,'Daily Entry'!$B$7:$B$5000,$O19,'Daily Entry'!$A$7:$A$5000,$E$3))</f>
        <v>0</v>
      </c>
      <c r="G19" s="27" t="n">
        <f aca="false">IF($A19="","",SUMIFS('Daily Entry'!$D$7:$D$5000,'Daily Entry'!$B$7:$B$5000,$O19,'Daily Entry'!$A$7:$A$5000,$E$3))</f>
        <v>0</v>
      </c>
      <c r="H19" s="28" t="n">
        <f aca="false">IF($A19="","",SUMIFS('Daily Entry'!$C$7:$C$5000,'Daily Entry'!$B$7:$B$5000,$O19))</f>
        <v>0</v>
      </c>
      <c r="I19" s="28" t="n">
        <f aca="false">IF($A19="","",SUMIFS('Daily Entry'!$D$7:$D$5000,'Daily Entry'!$B$7:$B$5000,$O19))</f>
        <v>0</v>
      </c>
      <c r="J19" s="29" t="n">
        <f aca="false">IF($A19="","",$E19+$H19-$I19)</f>
        <v>0</v>
      </c>
      <c r="K19" s="30" t="n">
        <f aca="false">IF(OR($A19="",$D19=""),"",$J19*$D19)</f>
        <v>0</v>
      </c>
      <c r="L19" s="23"/>
      <c r="M19" s="31" t="str">
        <f aca="false">IF(OR($A19="",$D19="",$L19="",$E$4=""),"",$K19*$L19*$E$4)</f>
        <v/>
      </c>
      <c r="O19" s="25" t="str">
        <f aca="false">IF($A19="","",$A19&amp;" - "&amp;$B19)</f>
        <v>Primus Japan - PD KKD 200/300</v>
      </c>
      <c r="P19" s="25" t="n">
        <f aca="false">IF($A19="",0,IF(OR($F19&lt;&gt;0,$G19&lt;&gt;0),1,0))</f>
        <v>0</v>
      </c>
      <c r="Q19" s="25" t="str">
        <f aca="false">IF($P19=1,SUM($P$8:$P19),"")</f>
        <v/>
      </c>
      <c r="R19" s="25" t="str">
        <f aca="false">IF($A19="","",$A19&amp;"#"&amp;COUNTIF($A$8:$A19,$A19))</f>
        <v>Primus Japan#4</v>
      </c>
      <c r="S19" s="25" t="n">
        <f aca="false">IF(OR($A19="",$D19=""),0,$E19*$D19)</f>
        <v>0</v>
      </c>
      <c r="T19" s="25" t="n">
        <f aca="false">IF(OR($A19="",$D19=""),0,$F19*$D19)</f>
        <v>0</v>
      </c>
      <c r="U19" s="25" t="n">
        <f aca="false">IF(OR($A19="",$D19=""),0,$G19*$D19)</f>
        <v>0</v>
      </c>
      <c r="V19" s="25" t="n">
        <f aca="false">IF(OR($A19="",$D19=""),0,$H19*$D19)</f>
        <v>0</v>
      </c>
      <c r="W19" s="25" t="n">
        <f aca="false">IF(OR($A19="",$D19=""),0,$I19*$D19)</f>
        <v>0</v>
      </c>
      <c r="X19" s="25" t="n">
        <f aca="false">IF(AND($A19&lt;&gt;"",$D19=""),1,0)</f>
        <v>0</v>
      </c>
      <c r="Y19" s="25" t="n">
        <f aca="false">IF($A19="",0,IF(COUNTIF($O$8:$O$114,$O19)&gt;1,1,0))</f>
        <v>0</v>
      </c>
    </row>
    <row r="20" customFormat="false" ht="15" hidden="false" customHeight="false" outlineLevel="0" collapsed="false">
      <c r="A20" s="15" t="s">
        <v>77</v>
      </c>
      <c r="B20" s="15" t="s">
        <v>78</v>
      </c>
      <c r="C20" s="16" t="s">
        <v>69</v>
      </c>
      <c r="D20" s="17" t="n">
        <v>2</v>
      </c>
      <c r="E20" s="18" t="n">
        <v>64</v>
      </c>
      <c r="F20" s="19" t="n">
        <f aca="false">IF($A20="","",SUMIFS('Daily Entry'!$C$7:$C$5000,'Daily Entry'!$B$7:$B$5000,$O20,'Daily Entry'!$A$7:$A$5000,$E$3))</f>
        <v>0</v>
      </c>
      <c r="G20" s="19" t="n">
        <f aca="false">IF($A20="","",SUMIFS('Daily Entry'!$D$7:$D$5000,'Daily Entry'!$B$7:$B$5000,$O20,'Daily Entry'!$A$7:$A$5000,$E$3))</f>
        <v>0</v>
      </c>
      <c r="H20" s="20" t="n">
        <f aca="false">IF($A20="","",SUMIFS('Daily Entry'!$C$7:$C$5000,'Daily Entry'!$B$7:$B$5000,$O20))</f>
        <v>29</v>
      </c>
      <c r="I20" s="20" t="n">
        <f aca="false">IF($A20="","",SUMIFS('Daily Entry'!$D$7:$D$5000,'Daily Entry'!$B$7:$B$5000,$O20))</f>
        <v>0</v>
      </c>
      <c r="J20" s="21" t="n">
        <f aca="false">IF($A20="","",$E20+$H20-$I20)</f>
        <v>93</v>
      </c>
      <c r="K20" s="22" t="n">
        <f aca="false">IF(OR($A20="",$D20=""),"",$J20*$D20)</f>
        <v>186</v>
      </c>
      <c r="L20" s="23"/>
      <c r="M20" s="24" t="str">
        <f aca="false">IF(OR($A20="",$D20="",$L20="",$E$4=""),"",$K20*$L20*$E$4)</f>
        <v/>
      </c>
      <c r="O20" s="25" t="str">
        <f aca="false">IF($A20="","",$A20&amp;" - "&amp;$B20)</f>
        <v>Primus Japan - PUD KZN 40/60</v>
      </c>
      <c r="P20" s="25" t="n">
        <f aca="false">IF($A20="",0,IF(OR($F20&lt;&gt;0,$G20&lt;&gt;0),1,0))</f>
        <v>0</v>
      </c>
      <c r="Q20" s="25" t="str">
        <f aca="false">IF($P20=1,SUM($P$8:$P20),"")</f>
        <v/>
      </c>
      <c r="R20" s="25" t="str">
        <f aca="false">IF($A20="","",$A20&amp;"#"&amp;COUNTIF($A$8:$A20,$A20))</f>
        <v>Primus Japan#5</v>
      </c>
      <c r="S20" s="25" t="n">
        <f aca="false">IF(OR($A20="",$D20=""),0,$E20*$D20)</f>
        <v>128</v>
      </c>
      <c r="T20" s="25" t="n">
        <f aca="false">IF(OR($A20="",$D20=""),0,$F20*$D20)</f>
        <v>0</v>
      </c>
      <c r="U20" s="25" t="n">
        <f aca="false">IF(OR($A20="",$D20=""),0,$G20*$D20)</f>
        <v>0</v>
      </c>
      <c r="V20" s="25" t="n">
        <f aca="false">IF(OR($A20="",$D20=""),0,$H20*$D20)</f>
        <v>58</v>
      </c>
      <c r="W20" s="25" t="n">
        <f aca="false">IF(OR($A20="",$D20=""),0,$I20*$D20)</f>
        <v>0</v>
      </c>
      <c r="X20" s="25" t="n">
        <f aca="false">IF(AND($A20&lt;&gt;"",$D20=""),1,0)</f>
        <v>0</v>
      </c>
      <c r="Y20" s="25" t="n">
        <f aca="false">IF($A20="",0,IF(COUNTIF($O$8:$O$114,$O20)&gt;1,1,0))</f>
        <v>0</v>
      </c>
    </row>
    <row r="21" customFormat="false" ht="15" hidden="false" customHeight="false" outlineLevel="0" collapsed="false">
      <c r="A21" s="26" t="s">
        <v>77</v>
      </c>
      <c r="B21" s="26" t="s">
        <v>79</v>
      </c>
      <c r="C21" s="16" t="s">
        <v>69</v>
      </c>
      <c r="D21" s="17" t="n">
        <v>2</v>
      </c>
      <c r="E21" s="18" t="n">
        <v>191</v>
      </c>
      <c r="F21" s="27" t="n">
        <f aca="false">IF($A21="","",SUMIFS('Daily Entry'!$C$7:$C$5000,'Daily Entry'!$B$7:$B$5000,$O21,'Daily Entry'!$A$7:$A$5000,$E$3))</f>
        <v>0</v>
      </c>
      <c r="G21" s="27" t="n">
        <f aca="false">IF($A21="","",SUMIFS('Daily Entry'!$D$7:$D$5000,'Daily Entry'!$B$7:$B$5000,$O21,'Daily Entry'!$A$7:$A$5000,$E$3))</f>
        <v>0</v>
      </c>
      <c r="H21" s="28" t="n">
        <f aca="false">IF($A21="","",SUMIFS('Daily Entry'!$C$7:$C$5000,'Daily Entry'!$B$7:$B$5000,$O21))</f>
        <v>39</v>
      </c>
      <c r="I21" s="28" t="n">
        <f aca="false">IF($A21="","",SUMIFS('Daily Entry'!$D$7:$D$5000,'Daily Entry'!$B$7:$B$5000,$O21))</f>
        <v>0</v>
      </c>
      <c r="J21" s="29" t="n">
        <f aca="false">IF($A21="","",$E21+$H21-$I21)</f>
        <v>230</v>
      </c>
      <c r="K21" s="30" t="n">
        <f aca="false">IF(OR($A21="",$D21=""),"",$J21*$D21)</f>
        <v>460</v>
      </c>
      <c r="L21" s="23"/>
      <c r="M21" s="31" t="str">
        <f aca="false">IF(OR($A21="",$D21="",$L21="",$E$4=""),"",$K21*$L21*$E$4)</f>
        <v/>
      </c>
      <c r="O21" s="25" t="str">
        <f aca="false">IF($A21="","",$A21&amp;" - "&amp;$B21)</f>
        <v>Primus Japan - PUD KZN 60/80</v>
      </c>
      <c r="P21" s="25" t="n">
        <f aca="false">IF($A21="",0,IF(OR($F21&lt;&gt;0,$G21&lt;&gt;0),1,0))</f>
        <v>0</v>
      </c>
      <c r="Q21" s="25" t="str">
        <f aca="false">IF($P21=1,SUM($P$8:$P21),"")</f>
        <v/>
      </c>
      <c r="R21" s="25" t="str">
        <f aca="false">IF($A21="","",$A21&amp;"#"&amp;COUNTIF($A$8:$A21,$A21))</f>
        <v>Primus Japan#6</v>
      </c>
      <c r="S21" s="25" t="n">
        <f aca="false">IF(OR($A21="",$D21=""),0,$E21*$D21)</f>
        <v>382</v>
      </c>
      <c r="T21" s="25" t="n">
        <f aca="false">IF(OR($A21="",$D21=""),0,$F21*$D21)</f>
        <v>0</v>
      </c>
      <c r="U21" s="25" t="n">
        <f aca="false">IF(OR($A21="",$D21=""),0,$G21*$D21)</f>
        <v>0</v>
      </c>
      <c r="V21" s="25" t="n">
        <f aca="false">IF(OR($A21="",$D21=""),0,$H21*$D21)</f>
        <v>78</v>
      </c>
      <c r="W21" s="25" t="n">
        <f aca="false">IF(OR($A21="",$D21=""),0,$I21*$D21)</f>
        <v>0</v>
      </c>
      <c r="X21" s="25" t="n">
        <f aca="false">IF(AND($A21&lt;&gt;"",$D21=""),1,0)</f>
        <v>0</v>
      </c>
      <c r="Y21" s="25" t="n">
        <f aca="false">IF($A21="",0,IF(COUNTIF($O$8:$O$114,$O21)&gt;1,1,0))</f>
        <v>0</v>
      </c>
    </row>
    <row r="22" customFormat="false" ht="15" hidden="false" customHeight="false" outlineLevel="0" collapsed="false">
      <c r="A22" s="15" t="s">
        <v>77</v>
      </c>
      <c r="B22" s="15" t="s">
        <v>80</v>
      </c>
      <c r="C22" s="16" t="s">
        <v>69</v>
      </c>
      <c r="D22" s="17" t="n">
        <v>2</v>
      </c>
      <c r="E22" s="18" t="n">
        <v>16849</v>
      </c>
      <c r="F22" s="19" t="n">
        <f aca="false">IF($A22="","",SUMIFS('Daily Entry'!$C$7:$C$5000,'Daily Entry'!$B$7:$B$5000,$O22,'Daily Entry'!$A$7:$A$5000,$E$3))</f>
        <v>0</v>
      </c>
      <c r="G22" s="19" t="n">
        <f aca="false">IF($A22="","",SUMIFS('Daily Entry'!$D$7:$D$5000,'Daily Entry'!$B$7:$B$5000,$O22,'Daily Entry'!$A$7:$A$5000,$E$3))</f>
        <v>0</v>
      </c>
      <c r="H22" s="20" t="n">
        <f aca="false">IF($A22="","",SUMIFS('Daily Entry'!$C$7:$C$5000,'Daily Entry'!$B$7:$B$5000,$O22))</f>
        <v>0</v>
      </c>
      <c r="I22" s="20" t="n">
        <f aca="false">IF($A22="","",SUMIFS('Daily Entry'!$D$7:$D$5000,'Daily Entry'!$B$7:$B$5000,$O22))</f>
        <v>0</v>
      </c>
      <c r="J22" s="21" t="n">
        <f aca="false">IF($A22="","",$E22+$H22-$I22)</f>
        <v>16849</v>
      </c>
      <c r="K22" s="22" t="n">
        <f aca="false">IF(OR($A22="",$D22=""),"",$J22*$D22)</f>
        <v>33698</v>
      </c>
      <c r="L22" s="23"/>
      <c r="M22" s="24" t="str">
        <f aca="false">IF(OR($A22="",$D22="",$L22="",$E$4=""),"",$K22*$L22*$E$4)</f>
        <v/>
      </c>
      <c r="O22" s="25" t="str">
        <f aca="false">IF($A22="","",$A22&amp;" - "&amp;$B22)</f>
        <v>Primus Japan - PUD PVN 80/120</v>
      </c>
      <c r="P22" s="25" t="n">
        <f aca="false">IF($A22="",0,IF(OR($F22&lt;&gt;0,$G22&lt;&gt;0),1,0))</f>
        <v>0</v>
      </c>
      <c r="Q22" s="25" t="str">
        <f aca="false">IF($P22=1,SUM($P$8:$P22),"")</f>
        <v/>
      </c>
      <c r="R22" s="25" t="str">
        <f aca="false">IF($A22="","",$A22&amp;"#"&amp;COUNTIF($A$8:$A22,$A22))</f>
        <v>Primus Japan#7</v>
      </c>
      <c r="S22" s="25" t="n">
        <f aca="false">IF(OR($A22="",$D22=""),0,$E22*$D22)</f>
        <v>33698</v>
      </c>
      <c r="T22" s="25" t="n">
        <f aca="false">IF(OR($A22="",$D22=""),0,$F22*$D22)</f>
        <v>0</v>
      </c>
      <c r="U22" s="25" t="n">
        <f aca="false">IF(OR($A22="",$D22=""),0,$G22*$D22)</f>
        <v>0</v>
      </c>
      <c r="V22" s="25" t="n">
        <f aca="false">IF(OR($A22="",$D22=""),0,$H22*$D22)</f>
        <v>0</v>
      </c>
      <c r="W22" s="25" t="n">
        <f aca="false">IF(OR($A22="",$D22=""),0,$I22*$D22)</f>
        <v>0</v>
      </c>
      <c r="X22" s="25" t="n">
        <f aca="false">IF(AND($A22&lt;&gt;"",$D22=""),1,0)</f>
        <v>0</v>
      </c>
      <c r="Y22" s="25" t="n">
        <f aca="false">IF($A22="",0,IF(COUNTIF($O$8:$O$114,$O22)&gt;1,1,0))</f>
        <v>0</v>
      </c>
    </row>
    <row r="23" customFormat="false" ht="15" hidden="false" customHeight="false" outlineLevel="0" collapsed="false">
      <c r="A23" s="26" t="s">
        <v>77</v>
      </c>
      <c r="B23" s="26" t="s">
        <v>81</v>
      </c>
      <c r="C23" s="16" t="s">
        <v>69</v>
      </c>
      <c r="D23" s="17" t="n">
        <v>2</v>
      </c>
      <c r="E23" s="18" t="n">
        <v>466</v>
      </c>
      <c r="F23" s="27" t="n">
        <f aca="false">IF($A23="","",SUMIFS('Daily Entry'!$C$7:$C$5000,'Daily Entry'!$B$7:$B$5000,$O23,'Daily Entry'!$A$7:$A$5000,$E$3))</f>
        <v>1</v>
      </c>
      <c r="G23" s="27" t="n">
        <f aca="false">IF($A23="","",SUMIFS('Daily Entry'!$D$7:$D$5000,'Daily Entry'!$B$7:$B$5000,$O23,'Daily Entry'!$A$7:$A$5000,$E$3))</f>
        <v>0</v>
      </c>
      <c r="H23" s="28" t="n">
        <f aca="false">IF($A23="","",SUMIFS('Daily Entry'!$C$7:$C$5000,'Daily Entry'!$B$7:$B$5000,$O23))</f>
        <v>51</v>
      </c>
      <c r="I23" s="28" t="n">
        <f aca="false">IF($A23="","",SUMIFS('Daily Entry'!$D$7:$D$5000,'Daily Entry'!$B$7:$B$5000,$O23))</f>
        <v>0</v>
      </c>
      <c r="J23" s="29" t="n">
        <f aca="false">IF($A23="","",$E23+$H23-$I23)</f>
        <v>517</v>
      </c>
      <c r="K23" s="30" t="n">
        <f aca="false">IF(OR($A23="",$D23=""),"",$J23*$D23)</f>
        <v>1034</v>
      </c>
      <c r="L23" s="23"/>
      <c r="M23" s="31" t="str">
        <f aca="false">IF(OR($A23="",$D23="",$L23="",$E$4=""),"",$K23*$L23*$E$4)</f>
        <v/>
      </c>
      <c r="O23" s="25" t="str">
        <f aca="false">IF($A23="","",$A23&amp;" - "&amp;$B23)</f>
        <v>Primus Japan - PUD KZN 80/120</v>
      </c>
      <c r="P23" s="25" t="n">
        <f aca="false">IF($A23="",0,IF(OR($F23&lt;&gt;0,$G23&lt;&gt;0),1,0))</f>
        <v>1</v>
      </c>
      <c r="Q23" s="25" t="n">
        <f aca="false">IF($P23=1,SUM($P$8:$P23),"")</f>
        <v>7</v>
      </c>
      <c r="R23" s="25" t="str">
        <f aca="false">IF($A23="","",$A23&amp;"#"&amp;COUNTIF($A$8:$A23,$A23))</f>
        <v>Primus Japan#8</v>
      </c>
      <c r="S23" s="25" t="n">
        <f aca="false">IF(OR($A23="",$D23=""),0,$E23*$D23)</f>
        <v>932</v>
      </c>
      <c r="T23" s="25" t="n">
        <f aca="false">IF(OR($A23="",$D23=""),0,$F23*$D23)</f>
        <v>2</v>
      </c>
      <c r="U23" s="25" t="n">
        <f aca="false">IF(OR($A23="",$D23=""),0,$G23*$D23)</f>
        <v>0</v>
      </c>
      <c r="V23" s="25" t="n">
        <f aca="false">IF(OR($A23="",$D23=""),0,$H23*$D23)</f>
        <v>102</v>
      </c>
      <c r="W23" s="25" t="n">
        <f aca="false">IF(OR($A23="",$D23=""),0,$I23*$D23)</f>
        <v>0</v>
      </c>
      <c r="X23" s="25" t="n">
        <f aca="false">IF(AND($A23&lt;&gt;"",$D23=""),1,0)</f>
        <v>0</v>
      </c>
      <c r="Y23" s="25" t="n">
        <f aca="false">IF($A23="",0,IF(COUNTIF($O$8:$O$114,$O23)&gt;1,1,0))</f>
        <v>0</v>
      </c>
    </row>
    <row r="24" customFormat="false" ht="15" hidden="false" customHeight="false" outlineLevel="0" collapsed="false">
      <c r="A24" s="15" t="s">
        <v>77</v>
      </c>
      <c r="B24" s="15" t="s">
        <v>82</v>
      </c>
      <c r="C24" s="16" t="s">
        <v>69</v>
      </c>
      <c r="D24" s="17" t="n">
        <v>2</v>
      </c>
      <c r="E24" s="18" t="n">
        <v>69</v>
      </c>
      <c r="F24" s="19" t="n">
        <f aca="false">IF($A24="","",SUMIFS('Daily Entry'!$C$7:$C$5000,'Daily Entry'!$B$7:$B$5000,$O24,'Daily Entry'!$A$7:$A$5000,$E$3))</f>
        <v>0</v>
      </c>
      <c r="G24" s="19" t="n">
        <f aca="false">IF($A24="","",SUMIFS('Daily Entry'!$D$7:$D$5000,'Daily Entry'!$B$7:$B$5000,$O24,'Daily Entry'!$A$7:$A$5000,$E$3))</f>
        <v>0</v>
      </c>
      <c r="H24" s="20" t="n">
        <f aca="false">IF($A24="","",SUMIFS('Daily Entry'!$C$7:$C$5000,'Daily Entry'!$B$7:$B$5000,$O24))</f>
        <v>3</v>
      </c>
      <c r="I24" s="20" t="n">
        <f aca="false">IF($A24="","",SUMIFS('Daily Entry'!$D$7:$D$5000,'Daily Entry'!$B$7:$B$5000,$O24))</f>
        <v>0</v>
      </c>
      <c r="J24" s="21" t="n">
        <f aca="false">IF($A24="","",$E24+$H24-$I24)</f>
        <v>72</v>
      </c>
      <c r="K24" s="22" t="n">
        <f aca="false">IF(OR($A24="",$D24=""),"",$J24*$D24)</f>
        <v>144</v>
      </c>
      <c r="L24" s="23"/>
      <c r="M24" s="24" t="str">
        <f aca="false">IF(OR($A24="",$D24="",$L24="",$E$4=""),"",$K24*$L24*$E$4)</f>
        <v/>
      </c>
      <c r="O24" s="25" t="str">
        <f aca="false">IF($A24="","",$A24&amp;" - "&amp;$B24)</f>
        <v>Primus Japan - PUD NRN 80/120</v>
      </c>
      <c r="P24" s="25" t="n">
        <f aca="false">IF($A24="",0,IF(OR($F24&lt;&gt;0,$G24&lt;&gt;0),1,0))</f>
        <v>0</v>
      </c>
      <c r="Q24" s="25" t="str">
        <f aca="false">IF($P24=1,SUM($P$8:$P24),"")</f>
        <v/>
      </c>
      <c r="R24" s="25" t="str">
        <f aca="false">IF($A24="","",$A24&amp;"#"&amp;COUNTIF($A$8:$A24,$A24))</f>
        <v>Primus Japan#9</v>
      </c>
      <c r="S24" s="25" t="n">
        <f aca="false">IF(OR($A24="",$D24=""),0,$E24*$D24)</f>
        <v>138</v>
      </c>
      <c r="T24" s="25" t="n">
        <f aca="false">IF(OR($A24="",$D24=""),0,$F24*$D24)</f>
        <v>0</v>
      </c>
      <c r="U24" s="25" t="n">
        <f aca="false">IF(OR($A24="",$D24=""),0,$G24*$D24)</f>
        <v>0</v>
      </c>
      <c r="V24" s="25" t="n">
        <f aca="false">IF(OR($A24="",$D24=""),0,$H24*$D24)</f>
        <v>6</v>
      </c>
      <c r="W24" s="25" t="n">
        <f aca="false">IF(OR($A24="",$D24=""),0,$I24*$D24)</f>
        <v>0</v>
      </c>
      <c r="X24" s="25" t="n">
        <f aca="false">IF(AND($A24&lt;&gt;"",$D24=""),1,0)</f>
        <v>0</v>
      </c>
      <c r="Y24" s="25" t="n">
        <f aca="false">IF($A24="",0,IF(COUNTIF($O$8:$O$114,$O24)&gt;1,1,0))</f>
        <v>0</v>
      </c>
    </row>
    <row r="25" customFormat="false" ht="15" hidden="false" customHeight="false" outlineLevel="0" collapsed="false">
      <c r="A25" s="26" t="s">
        <v>77</v>
      </c>
      <c r="B25" s="26" t="s">
        <v>83</v>
      </c>
      <c r="C25" s="16" t="s">
        <v>69</v>
      </c>
      <c r="D25" s="17" t="n">
        <v>2</v>
      </c>
      <c r="E25" s="18" t="n">
        <v>2617</v>
      </c>
      <c r="F25" s="27" t="n">
        <f aca="false">IF($A25="","",SUMIFS('Daily Entry'!$C$7:$C$5000,'Daily Entry'!$B$7:$B$5000,$O25,'Daily Entry'!$A$7:$A$5000,$E$3))</f>
        <v>0</v>
      </c>
      <c r="G25" s="27" t="n">
        <f aca="false">IF($A25="","",SUMIFS('Daily Entry'!$D$7:$D$5000,'Daily Entry'!$B$7:$B$5000,$O25,'Daily Entry'!$A$7:$A$5000,$E$3))</f>
        <v>0</v>
      </c>
      <c r="H25" s="28" t="n">
        <f aca="false">IF($A25="","",SUMIFS('Daily Entry'!$C$7:$C$5000,'Daily Entry'!$B$7:$B$5000,$O25))</f>
        <v>0</v>
      </c>
      <c r="I25" s="28" t="n">
        <f aca="false">IF($A25="","",SUMIFS('Daily Entry'!$D$7:$D$5000,'Daily Entry'!$B$7:$B$5000,$O25))</f>
        <v>0</v>
      </c>
      <c r="J25" s="29" t="n">
        <f aca="false">IF($A25="","",$E25+$H25-$I25)</f>
        <v>2617</v>
      </c>
      <c r="K25" s="30" t="n">
        <f aca="false">IF(OR($A25="",$D25=""),"",$J25*$D25)</f>
        <v>5234</v>
      </c>
      <c r="L25" s="23"/>
      <c r="M25" s="31" t="str">
        <f aca="false">IF(OR($A25="",$D25="",$L25="",$E$4=""),"",$K25*$L25*$E$4)</f>
        <v/>
      </c>
      <c r="O25" s="25" t="str">
        <f aca="false">IF($A25="","",$A25&amp;" - "&amp;$B25)</f>
        <v>Primus Japan - PUD PVN 100/200</v>
      </c>
      <c r="P25" s="25" t="n">
        <f aca="false">IF($A25="",0,IF(OR($F25&lt;&gt;0,$G25&lt;&gt;0),1,0))</f>
        <v>0</v>
      </c>
      <c r="Q25" s="25" t="str">
        <f aca="false">IF($P25=1,SUM($P$8:$P25),"")</f>
        <v/>
      </c>
      <c r="R25" s="25" t="str">
        <f aca="false">IF($A25="","",$A25&amp;"#"&amp;COUNTIF($A$8:$A25,$A25))</f>
        <v>Primus Japan#10</v>
      </c>
      <c r="S25" s="25" t="n">
        <f aca="false">IF(OR($A25="",$D25=""),0,$E25*$D25)</f>
        <v>5234</v>
      </c>
      <c r="T25" s="25" t="n">
        <f aca="false">IF(OR($A25="",$D25=""),0,$F25*$D25)</f>
        <v>0</v>
      </c>
      <c r="U25" s="25" t="n">
        <f aca="false">IF(OR($A25="",$D25=""),0,$G25*$D25)</f>
        <v>0</v>
      </c>
      <c r="V25" s="25" t="n">
        <f aca="false">IF(OR($A25="",$D25=""),0,$H25*$D25)</f>
        <v>0</v>
      </c>
      <c r="W25" s="25" t="n">
        <f aca="false">IF(OR($A25="",$D25=""),0,$I25*$D25)</f>
        <v>0</v>
      </c>
      <c r="X25" s="25" t="n">
        <f aca="false">IF(AND($A25&lt;&gt;"",$D25=""),1,0)</f>
        <v>0</v>
      </c>
      <c r="Y25" s="25" t="n">
        <f aca="false">IF($A25="",0,IF(COUNTIF($O$8:$O$114,$O25)&gt;1,1,0))</f>
        <v>0</v>
      </c>
    </row>
    <row r="26" customFormat="false" ht="15" hidden="false" customHeight="false" outlineLevel="0" collapsed="false">
      <c r="A26" s="15" t="s">
        <v>77</v>
      </c>
      <c r="B26" s="15" t="s">
        <v>84</v>
      </c>
      <c r="C26" s="16" t="s">
        <v>69</v>
      </c>
      <c r="D26" s="17" t="n">
        <v>2</v>
      </c>
      <c r="E26" s="18" t="n">
        <v>0</v>
      </c>
      <c r="F26" s="19" t="n">
        <f aca="false">IF($A26="","",SUMIFS('Daily Entry'!$C$7:$C$5000,'Daily Entry'!$B$7:$B$5000,$O26,'Daily Entry'!$A$7:$A$5000,$E$3))</f>
        <v>0</v>
      </c>
      <c r="G26" s="19" t="n">
        <f aca="false">IF($A26="","",SUMIFS('Daily Entry'!$D$7:$D$5000,'Daily Entry'!$B$7:$B$5000,$O26,'Daily Entry'!$A$7:$A$5000,$E$3))</f>
        <v>0</v>
      </c>
      <c r="H26" s="20" t="n">
        <f aca="false">IF($A26="","",SUMIFS('Daily Entry'!$C$7:$C$5000,'Daily Entry'!$B$7:$B$5000,$O26))</f>
        <v>0</v>
      </c>
      <c r="I26" s="20" t="n">
        <f aca="false">IF($A26="","",SUMIFS('Daily Entry'!$D$7:$D$5000,'Daily Entry'!$B$7:$B$5000,$O26))</f>
        <v>0</v>
      </c>
      <c r="J26" s="21" t="n">
        <f aca="false">IF($A26="","",$E26+$H26-$I26)</f>
        <v>0</v>
      </c>
      <c r="K26" s="22" t="n">
        <f aca="false">IF(OR($A26="",$D26=""),"",$J26*$D26)</f>
        <v>0</v>
      </c>
      <c r="L26" s="23"/>
      <c r="M26" s="24" t="str">
        <f aca="false">IF(OR($A26="",$D26="",$L26="",$E$4=""),"",$K26*$L26*$E$4)</f>
        <v/>
      </c>
      <c r="O26" s="25" t="str">
        <f aca="false">IF($A26="","",$A26&amp;" - "&amp;$B26)</f>
        <v>Primus Japan - PUD KKD 100/200</v>
      </c>
      <c r="P26" s="25" t="n">
        <f aca="false">IF($A26="",0,IF(OR($F26&lt;&gt;0,$G26&lt;&gt;0),1,0))</f>
        <v>0</v>
      </c>
      <c r="Q26" s="25" t="str">
        <f aca="false">IF($P26=1,SUM($P$8:$P26),"")</f>
        <v/>
      </c>
      <c r="R26" s="25" t="str">
        <f aca="false">IF($A26="","",$A26&amp;"#"&amp;COUNTIF($A$8:$A26,$A26))</f>
        <v>Primus Japan#11</v>
      </c>
      <c r="S26" s="25" t="n">
        <f aca="false">IF(OR($A26="",$D26=""),0,$E26*$D26)</f>
        <v>0</v>
      </c>
      <c r="T26" s="25" t="n">
        <f aca="false">IF(OR($A26="",$D26=""),0,$F26*$D26)</f>
        <v>0</v>
      </c>
      <c r="U26" s="25" t="n">
        <f aca="false">IF(OR($A26="",$D26=""),0,$G26*$D26)</f>
        <v>0</v>
      </c>
      <c r="V26" s="25" t="n">
        <f aca="false">IF(OR($A26="",$D26=""),0,$H26*$D26)</f>
        <v>0</v>
      </c>
      <c r="W26" s="25" t="n">
        <f aca="false">IF(OR($A26="",$D26=""),0,$I26*$D26)</f>
        <v>0</v>
      </c>
      <c r="X26" s="25" t="n">
        <f aca="false">IF(AND($A26&lt;&gt;"",$D26=""),1,0)</f>
        <v>0</v>
      </c>
      <c r="Y26" s="25" t="n">
        <f aca="false">IF($A26="",0,IF(COUNTIF($O$8:$O$114,$O26)&gt;1,1,0))</f>
        <v>0</v>
      </c>
    </row>
    <row r="27" customFormat="false" ht="15" hidden="false" customHeight="false" outlineLevel="0" collapsed="false">
      <c r="A27" s="26" t="s">
        <v>77</v>
      </c>
      <c r="B27" s="26" t="s">
        <v>85</v>
      </c>
      <c r="C27" s="16" t="s">
        <v>69</v>
      </c>
      <c r="D27" s="17" t="n">
        <v>2</v>
      </c>
      <c r="E27" s="18" t="n">
        <v>4209</v>
      </c>
      <c r="F27" s="27" t="n">
        <f aca="false">IF($A27="","",SUMIFS('Daily Entry'!$C$7:$C$5000,'Daily Entry'!$B$7:$B$5000,$O27,'Daily Entry'!$A$7:$A$5000,$E$3))</f>
        <v>15</v>
      </c>
      <c r="G27" s="27" t="n">
        <f aca="false">IF($A27="","",SUMIFS('Daily Entry'!$D$7:$D$5000,'Daily Entry'!$B$7:$B$5000,$O27,'Daily Entry'!$A$7:$A$5000,$E$3))</f>
        <v>0</v>
      </c>
      <c r="H27" s="28" t="n">
        <f aca="false">IF($A27="","",SUMIFS('Daily Entry'!$C$7:$C$5000,'Daily Entry'!$B$7:$B$5000,$O27))</f>
        <v>65</v>
      </c>
      <c r="I27" s="28" t="n">
        <f aca="false">IF($A27="","",SUMIFS('Daily Entry'!$D$7:$D$5000,'Daily Entry'!$B$7:$B$5000,$O27))</f>
        <v>0</v>
      </c>
      <c r="J27" s="29" t="n">
        <f aca="false">IF($A27="","",$E27+$H27-$I27)</f>
        <v>4274</v>
      </c>
      <c r="K27" s="30" t="n">
        <f aca="false">IF(OR($A27="",$D27=""),"",$J27*$D27)</f>
        <v>8548</v>
      </c>
      <c r="L27" s="23"/>
      <c r="M27" s="31" t="str">
        <f aca="false">IF(OR($A27="",$D27="",$L27="",$E$4=""),"",$K27*$L27*$E$4)</f>
        <v/>
      </c>
      <c r="O27" s="25" t="str">
        <f aca="false">IF($A27="","",$A27&amp;" - "&amp;$B27)</f>
        <v>Primus Japan - PUD KZN 100/200</v>
      </c>
      <c r="P27" s="25" t="n">
        <f aca="false">IF($A27="",0,IF(OR($F27&lt;&gt;0,$G27&lt;&gt;0),1,0))</f>
        <v>1</v>
      </c>
      <c r="Q27" s="25" t="n">
        <f aca="false">IF($P27=1,SUM($P$8:$P27),"")</f>
        <v>8</v>
      </c>
      <c r="R27" s="25" t="str">
        <f aca="false">IF($A27="","",$A27&amp;"#"&amp;COUNTIF($A$8:$A27,$A27))</f>
        <v>Primus Japan#12</v>
      </c>
      <c r="S27" s="25" t="n">
        <f aca="false">IF(OR($A27="",$D27=""),0,$E27*$D27)</f>
        <v>8418</v>
      </c>
      <c r="T27" s="25" t="n">
        <f aca="false">IF(OR($A27="",$D27=""),0,$F27*$D27)</f>
        <v>30</v>
      </c>
      <c r="U27" s="25" t="n">
        <f aca="false">IF(OR($A27="",$D27=""),0,$G27*$D27)</f>
        <v>0</v>
      </c>
      <c r="V27" s="25" t="n">
        <f aca="false">IF(OR($A27="",$D27=""),0,$H27*$D27)</f>
        <v>130</v>
      </c>
      <c r="W27" s="25" t="n">
        <f aca="false">IF(OR($A27="",$D27=""),0,$I27*$D27)</f>
        <v>0</v>
      </c>
      <c r="X27" s="25" t="n">
        <f aca="false">IF(AND($A27&lt;&gt;"",$D27=""),1,0)</f>
        <v>0</v>
      </c>
      <c r="Y27" s="25" t="n">
        <f aca="false">IF($A27="",0,IF(COUNTIF($O$8:$O$114,$O27)&gt;1,1,0))</f>
        <v>0</v>
      </c>
    </row>
    <row r="28" customFormat="false" ht="15" hidden="false" customHeight="false" outlineLevel="0" collapsed="false">
      <c r="A28" s="15" t="s">
        <v>77</v>
      </c>
      <c r="B28" s="15" t="s">
        <v>86</v>
      </c>
      <c r="C28" s="16" t="s">
        <v>69</v>
      </c>
      <c r="D28" s="17" t="n">
        <v>2</v>
      </c>
      <c r="E28" s="18" t="n">
        <v>13</v>
      </c>
      <c r="F28" s="19" t="n">
        <f aca="false">IF($A28="","",SUMIFS('Daily Entry'!$C$7:$C$5000,'Daily Entry'!$B$7:$B$5000,$O28,'Daily Entry'!$A$7:$A$5000,$E$3))</f>
        <v>0</v>
      </c>
      <c r="G28" s="19" t="n">
        <f aca="false">IF($A28="","",SUMIFS('Daily Entry'!$D$7:$D$5000,'Daily Entry'!$B$7:$B$5000,$O28,'Daily Entry'!$A$7:$A$5000,$E$3))</f>
        <v>0</v>
      </c>
      <c r="H28" s="20" t="n">
        <f aca="false">IF($A28="","",SUMIFS('Daily Entry'!$C$7:$C$5000,'Daily Entry'!$B$7:$B$5000,$O28))</f>
        <v>0</v>
      </c>
      <c r="I28" s="20" t="n">
        <f aca="false">IF($A28="","",SUMIFS('Daily Entry'!$D$7:$D$5000,'Daily Entry'!$B$7:$B$5000,$O28))</f>
        <v>0</v>
      </c>
      <c r="J28" s="21" t="n">
        <f aca="false">IF($A28="","",$E28+$H28-$I28)</f>
        <v>13</v>
      </c>
      <c r="K28" s="22" t="n">
        <f aca="false">IF(OR($A28="",$D28=""),"",$J28*$D28)</f>
        <v>26</v>
      </c>
      <c r="L28" s="23"/>
      <c r="M28" s="24" t="str">
        <f aca="false">IF(OR($A28="",$D28="",$L28="",$E$4=""),"",$K28*$L28*$E$4)</f>
        <v/>
      </c>
      <c r="O28" s="25" t="str">
        <f aca="false">IF($A28="","",$A28&amp;" - "&amp;$B28)</f>
        <v>Primus Japan - PUD NRN 100/200</v>
      </c>
      <c r="P28" s="25" t="n">
        <f aca="false">IF($A28="",0,IF(OR($F28&lt;&gt;0,$G28&lt;&gt;0),1,0))</f>
        <v>0</v>
      </c>
      <c r="Q28" s="25" t="str">
        <f aca="false">IF($P28=1,SUM($P$8:$P28),"")</f>
        <v/>
      </c>
      <c r="R28" s="25" t="str">
        <f aca="false">IF($A28="","",$A28&amp;"#"&amp;COUNTIF($A$8:$A28,$A28))</f>
        <v>Primus Japan#13</v>
      </c>
      <c r="S28" s="25" t="n">
        <f aca="false">IF(OR($A28="",$D28=""),0,$E28*$D28)</f>
        <v>26</v>
      </c>
      <c r="T28" s="25" t="n">
        <f aca="false">IF(OR($A28="",$D28=""),0,$F28*$D28)</f>
        <v>0</v>
      </c>
      <c r="U28" s="25" t="n">
        <f aca="false">IF(OR($A28="",$D28=""),0,$G28*$D28)</f>
        <v>0</v>
      </c>
      <c r="V28" s="25" t="n">
        <f aca="false">IF(OR($A28="",$D28=""),0,$H28*$D28)</f>
        <v>0</v>
      </c>
      <c r="W28" s="25" t="n">
        <f aca="false">IF(OR($A28="",$D28=""),0,$I28*$D28)</f>
        <v>0</v>
      </c>
      <c r="X28" s="25" t="n">
        <f aca="false">IF(AND($A28&lt;&gt;"",$D28=""),1,0)</f>
        <v>0</v>
      </c>
      <c r="Y28" s="25" t="n">
        <f aca="false">IF($A28="",0,IF(COUNTIF($O$8:$O$114,$O28)&gt;1,1,0))</f>
        <v>0</v>
      </c>
    </row>
    <row r="29" customFormat="false" ht="15" hidden="false" customHeight="false" outlineLevel="0" collapsed="false">
      <c r="A29" s="26" t="s">
        <v>77</v>
      </c>
      <c r="B29" s="26" t="s">
        <v>73</v>
      </c>
      <c r="C29" s="16" t="s">
        <v>69</v>
      </c>
      <c r="D29" s="17" t="n">
        <v>2</v>
      </c>
      <c r="E29" s="18" t="n">
        <v>0</v>
      </c>
      <c r="F29" s="27" t="n">
        <f aca="false">IF($A29="","",SUMIFS('Daily Entry'!$C$7:$C$5000,'Daily Entry'!$B$7:$B$5000,$O29,'Daily Entry'!$A$7:$A$5000,$E$3))</f>
        <v>0</v>
      </c>
      <c r="G29" s="27" t="n">
        <f aca="false">IF($A29="","",SUMIFS('Daily Entry'!$D$7:$D$5000,'Daily Entry'!$B$7:$B$5000,$O29,'Daily Entry'!$A$7:$A$5000,$E$3))</f>
        <v>0</v>
      </c>
      <c r="H29" s="28" t="n">
        <f aca="false">IF($A29="","",SUMIFS('Daily Entry'!$C$7:$C$5000,'Daily Entry'!$B$7:$B$5000,$O29))</f>
        <v>0</v>
      </c>
      <c r="I29" s="28" t="n">
        <f aca="false">IF($A29="","",SUMIFS('Daily Entry'!$D$7:$D$5000,'Daily Entry'!$B$7:$B$5000,$O29))</f>
        <v>0</v>
      </c>
      <c r="J29" s="29" t="n">
        <f aca="false">IF($A29="","",$E29+$H29-$I29)</f>
        <v>0</v>
      </c>
      <c r="K29" s="30" t="n">
        <f aca="false">IF(OR($A29="",$D29=""),"",$J29*$D29)</f>
        <v>0</v>
      </c>
      <c r="L29" s="23"/>
      <c r="M29" s="31" t="str">
        <f aca="false">IF(OR($A29="",$D29="",$L29="",$E$4=""),"",$K29*$L29*$E$4)</f>
        <v/>
      </c>
      <c r="O29" s="25" t="str">
        <f aca="false">IF($A29="","",$A29&amp;" - "&amp;$B29)</f>
        <v>Primus Japan - PUD PVN 200/300</v>
      </c>
      <c r="P29" s="25" t="n">
        <f aca="false">IF($A29="",0,IF(OR($F29&lt;&gt;0,$G29&lt;&gt;0),1,0))</f>
        <v>0</v>
      </c>
      <c r="Q29" s="25" t="str">
        <f aca="false">IF($P29=1,SUM($P$8:$P29),"")</f>
        <v/>
      </c>
      <c r="R29" s="25" t="str">
        <f aca="false">IF($A29="","",$A29&amp;"#"&amp;COUNTIF($A$8:$A29,$A29))</f>
        <v>Primus Japan#14</v>
      </c>
      <c r="S29" s="25" t="n">
        <f aca="false">IF(OR($A29="",$D29=""),0,$E29*$D29)</f>
        <v>0</v>
      </c>
      <c r="T29" s="25" t="n">
        <f aca="false">IF(OR($A29="",$D29=""),0,$F29*$D29)</f>
        <v>0</v>
      </c>
      <c r="U29" s="25" t="n">
        <f aca="false">IF(OR($A29="",$D29=""),0,$G29*$D29)</f>
        <v>0</v>
      </c>
      <c r="V29" s="25" t="n">
        <f aca="false">IF(OR($A29="",$D29=""),0,$H29*$D29)</f>
        <v>0</v>
      </c>
      <c r="W29" s="25" t="n">
        <f aca="false">IF(OR($A29="",$D29=""),0,$I29*$D29)</f>
        <v>0</v>
      </c>
      <c r="X29" s="25" t="n">
        <f aca="false">IF(AND($A29&lt;&gt;"",$D29=""),1,0)</f>
        <v>0</v>
      </c>
      <c r="Y29" s="25" t="n">
        <f aca="false">IF($A29="",0,IF(COUNTIF($O$8:$O$114,$O29)&gt;1,1,0))</f>
        <v>0</v>
      </c>
    </row>
    <row r="30" customFormat="false" ht="15" hidden="false" customHeight="false" outlineLevel="0" collapsed="false">
      <c r="A30" s="15" t="s">
        <v>77</v>
      </c>
      <c r="B30" s="15" t="s">
        <v>74</v>
      </c>
      <c r="C30" s="16" t="s">
        <v>69</v>
      </c>
      <c r="D30" s="17" t="n">
        <v>2</v>
      </c>
      <c r="E30" s="18" t="n">
        <v>2757</v>
      </c>
      <c r="F30" s="19" t="n">
        <f aca="false">IF($A30="","",SUMIFS('Daily Entry'!$C$7:$C$5000,'Daily Entry'!$B$7:$B$5000,$O30,'Daily Entry'!$A$7:$A$5000,$E$3))</f>
        <v>0</v>
      </c>
      <c r="G30" s="19" t="n">
        <f aca="false">IF($A30="","",SUMIFS('Daily Entry'!$D$7:$D$5000,'Daily Entry'!$B$7:$B$5000,$O30,'Daily Entry'!$A$7:$A$5000,$E$3))</f>
        <v>0</v>
      </c>
      <c r="H30" s="20" t="n">
        <f aca="false">IF($A30="","",SUMIFS('Daily Entry'!$C$7:$C$5000,'Daily Entry'!$B$7:$B$5000,$O30))</f>
        <v>0</v>
      </c>
      <c r="I30" s="20" t="n">
        <f aca="false">IF($A30="","",SUMIFS('Daily Entry'!$D$7:$D$5000,'Daily Entry'!$B$7:$B$5000,$O30))</f>
        <v>0</v>
      </c>
      <c r="J30" s="21" t="n">
        <f aca="false">IF($A30="","",$E30+$H30-$I30)</f>
        <v>2757</v>
      </c>
      <c r="K30" s="22" t="n">
        <f aca="false">IF(OR($A30="",$D30=""),"",$J30*$D30)</f>
        <v>5514</v>
      </c>
      <c r="L30" s="23"/>
      <c r="M30" s="24" t="str">
        <f aca="false">IF(OR($A30="",$D30="",$L30="",$E$4=""),"",$K30*$L30*$E$4)</f>
        <v/>
      </c>
      <c r="O30" s="25" t="str">
        <f aca="false">IF($A30="","",$A30&amp;" - "&amp;$B30)</f>
        <v>Primus Japan - PUD KKD 200/300</v>
      </c>
      <c r="P30" s="25" t="n">
        <f aca="false">IF($A30="",0,IF(OR($F30&lt;&gt;0,$G30&lt;&gt;0),1,0))</f>
        <v>0</v>
      </c>
      <c r="Q30" s="25" t="str">
        <f aca="false">IF($P30=1,SUM($P$8:$P30),"")</f>
        <v/>
      </c>
      <c r="R30" s="25" t="str">
        <f aca="false">IF($A30="","",$A30&amp;"#"&amp;COUNTIF($A$8:$A30,$A30))</f>
        <v>Primus Japan#15</v>
      </c>
      <c r="S30" s="25" t="n">
        <f aca="false">IF(OR($A30="",$D30=""),0,$E30*$D30)</f>
        <v>5514</v>
      </c>
      <c r="T30" s="25" t="n">
        <f aca="false">IF(OR($A30="",$D30=""),0,$F30*$D30)</f>
        <v>0</v>
      </c>
      <c r="U30" s="25" t="n">
        <f aca="false">IF(OR($A30="",$D30=""),0,$G30*$D30)</f>
        <v>0</v>
      </c>
      <c r="V30" s="25" t="n">
        <f aca="false">IF(OR($A30="",$D30=""),0,$H30*$D30)</f>
        <v>0</v>
      </c>
      <c r="W30" s="25" t="n">
        <f aca="false">IF(OR($A30="",$D30=""),0,$I30*$D30)</f>
        <v>0</v>
      </c>
      <c r="X30" s="25" t="n">
        <f aca="false">IF(AND($A30&lt;&gt;"",$D30=""),1,0)</f>
        <v>0</v>
      </c>
      <c r="Y30" s="25" t="n">
        <f aca="false">IF($A30="",0,IF(COUNTIF($O$8:$O$114,$O30)&gt;1,1,0))</f>
        <v>0</v>
      </c>
    </row>
    <row r="31" customFormat="false" ht="15" hidden="false" customHeight="false" outlineLevel="0" collapsed="false">
      <c r="A31" s="26" t="s">
        <v>77</v>
      </c>
      <c r="B31" s="26" t="s">
        <v>87</v>
      </c>
      <c r="C31" s="16" t="s">
        <v>69</v>
      </c>
      <c r="D31" s="17" t="n">
        <v>2</v>
      </c>
      <c r="E31" s="18" t="n">
        <v>1080</v>
      </c>
      <c r="F31" s="27" t="n">
        <f aca="false">IF($A31="","",SUMIFS('Daily Entry'!$C$7:$C$5000,'Daily Entry'!$B$7:$B$5000,$O31,'Daily Entry'!$A$7:$A$5000,$E$3))</f>
        <v>5</v>
      </c>
      <c r="G31" s="27" t="n">
        <f aca="false">IF($A31="","",SUMIFS('Daily Entry'!$D$7:$D$5000,'Daily Entry'!$B$7:$B$5000,$O31,'Daily Entry'!$A$7:$A$5000,$E$3))</f>
        <v>0</v>
      </c>
      <c r="H31" s="28" t="n">
        <f aca="false">IF($A31="","",SUMIFS('Daily Entry'!$C$7:$C$5000,'Daily Entry'!$B$7:$B$5000,$O31))</f>
        <v>38</v>
      </c>
      <c r="I31" s="28" t="n">
        <f aca="false">IF($A31="","",SUMIFS('Daily Entry'!$D$7:$D$5000,'Daily Entry'!$B$7:$B$5000,$O31))</f>
        <v>0</v>
      </c>
      <c r="J31" s="29" t="n">
        <f aca="false">IF($A31="","",$E31+$H31-$I31)</f>
        <v>1118</v>
      </c>
      <c r="K31" s="30" t="n">
        <f aca="false">IF(OR($A31="",$D31=""),"",$J31*$D31)</f>
        <v>2236</v>
      </c>
      <c r="L31" s="23"/>
      <c r="M31" s="31" t="str">
        <f aca="false">IF(OR($A31="",$D31="",$L31="",$E$4=""),"",$K31*$L31*$E$4)</f>
        <v/>
      </c>
      <c r="O31" s="25" t="str">
        <f aca="false">IF($A31="","",$A31&amp;" - "&amp;$B31)</f>
        <v>Primus Japan - PUD KZN 200/300</v>
      </c>
      <c r="P31" s="25" t="n">
        <f aca="false">IF($A31="",0,IF(OR($F31&lt;&gt;0,$G31&lt;&gt;0),1,0))</f>
        <v>1</v>
      </c>
      <c r="Q31" s="25" t="n">
        <f aca="false">IF($P31=1,SUM($P$8:$P31),"")</f>
        <v>9</v>
      </c>
      <c r="R31" s="25" t="str">
        <f aca="false">IF($A31="","",$A31&amp;"#"&amp;COUNTIF($A$8:$A31,$A31))</f>
        <v>Primus Japan#16</v>
      </c>
      <c r="S31" s="25" t="n">
        <f aca="false">IF(OR($A31="",$D31=""),0,$E31*$D31)</f>
        <v>2160</v>
      </c>
      <c r="T31" s="25" t="n">
        <f aca="false">IF(OR($A31="",$D31=""),0,$F31*$D31)</f>
        <v>10</v>
      </c>
      <c r="U31" s="25" t="n">
        <f aca="false">IF(OR($A31="",$D31=""),0,$G31*$D31)</f>
        <v>0</v>
      </c>
      <c r="V31" s="25" t="n">
        <f aca="false">IF(OR($A31="",$D31=""),0,$H31*$D31)</f>
        <v>76</v>
      </c>
      <c r="W31" s="25" t="n">
        <f aca="false">IF(OR($A31="",$D31=""),0,$I31*$D31)</f>
        <v>0</v>
      </c>
      <c r="X31" s="25" t="n">
        <f aca="false">IF(AND($A31&lt;&gt;"",$D31=""),1,0)</f>
        <v>0</v>
      </c>
      <c r="Y31" s="25" t="n">
        <f aca="false">IF($A31="",0,IF(COUNTIF($O$8:$O$114,$O31)&gt;1,1,0))</f>
        <v>0</v>
      </c>
    </row>
    <row r="32" customFormat="false" ht="15" hidden="false" customHeight="false" outlineLevel="0" collapsed="false">
      <c r="A32" s="15" t="s">
        <v>77</v>
      </c>
      <c r="B32" s="15" t="s">
        <v>88</v>
      </c>
      <c r="C32" s="16" t="s">
        <v>69</v>
      </c>
      <c r="D32" s="17" t="n">
        <v>2</v>
      </c>
      <c r="E32" s="18" t="n">
        <v>0</v>
      </c>
      <c r="F32" s="19" t="n">
        <f aca="false">IF($A32="","",SUMIFS('Daily Entry'!$C$7:$C$5000,'Daily Entry'!$B$7:$B$5000,$O32,'Daily Entry'!$A$7:$A$5000,$E$3))</f>
        <v>0</v>
      </c>
      <c r="G32" s="19" t="n">
        <f aca="false">IF($A32="","",SUMIFS('Daily Entry'!$D$7:$D$5000,'Daily Entry'!$B$7:$B$5000,$O32,'Daily Entry'!$A$7:$A$5000,$E$3))</f>
        <v>0</v>
      </c>
      <c r="H32" s="20" t="n">
        <f aca="false">IF($A32="","",SUMIFS('Daily Entry'!$C$7:$C$5000,'Daily Entry'!$B$7:$B$5000,$O32))</f>
        <v>0</v>
      </c>
      <c r="I32" s="20" t="n">
        <f aca="false">IF($A32="","",SUMIFS('Daily Entry'!$D$7:$D$5000,'Daily Entry'!$B$7:$B$5000,$O32))</f>
        <v>0</v>
      </c>
      <c r="J32" s="21" t="n">
        <f aca="false">IF($A32="","",$E32+$H32-$I32)</f>
        <v>0</v>
      </c>
      <c r="K32" s="22" t="n">
        <f aca="false">IF(OR($A32="",$D32=""),"",$J32*$D32)</f>
        <v>0</v>
      </c>
      <c r="L32" s="23"/>
      <c r="M32" s="24" t="str">
        <f aca="false">IF(OR($A32="",$D32="",$L32="",$E$4=""),"",$K32*$L32*$E$4)</f>
        <v/>
      </c>
      <c r="O32" s="25" t="str">
        <f aca="false">IF($A32="","",$A32&amp;" - "&amp;$B32)</f>
        <v>Primus Japan - PUD NRN 200/300</v>
      </c>
      <c r="P32" s="25" t="n">
        <f aca="false">IF($A32="",0,IF(OR($F32&lt;&gt;0,$G32&lt;&gt;0),1,0))</f>
        <v>0</v>
      </c>
      <c r="Q32" s="25" t="str">
        <f aca="false">IF($P32=1,SUM($P$8:$P32),"")</f>
        <v/>
      </c>
      <c r="R32" s="25" t="str">
        <f aca="false">IF($A32="","",$A32&amp;"#"&amp;COUNTIF($A$8:$A32,$A32))</f>
        <v>Primus Japan#17</v>
      </c>
      <c r="S32" s="25" t="n">
        <f aca="false">IF(OR($A32="",$D32=""),0,$E32*$D32)</f>
        <v>0</v>
      </c>
      <c r="T32" s="25" t="n">
        <f aca="false">IF(OR($A32="",$D32=""),0,$F32*$D32)</f>
        <v>0</v>
      </c>
      <c r="U32" s="25" t="n">
        <f aca="false">IF(OR($A32="",$D32=""),0,$G32*$D32)</f>
        <v>0</v>
      </c>
      <c r="V32" s="25" t="n">
        <f aca="false">IF(OR($A32="",$D32=""),0,$H32*$D32)</f>
        <v>0</v>
      </c>
      <c r="W32" s="25" t="n">
        <f aca="false">IF(OR($A32="",$D32=""),0,$I32*$D32)</f>
        <v>0</v>
      </c>
      <c r="X32" s="25" t="n">
        <f aca="false">IF(AND($A32&lt;&gt;"",$D32=""),1,0)</f>
        <v>0</v>
      </c>
      <c r="Y32" s="25" t="n">
        <f aca="false">IF($A32="",0,IF(COUNTIF($O$8:$O$114,$O32)&gt;1,1,0))</f>
        <v>0</v>
      </c>
    </row>
    <row r="33" customFormat="false" ht="15" hidden="false" customHeight="false" outlineLevel="0" collapsed="false">
      <c r="A33" s="26" t="s">
        <v>77</v>
      </c>
      <c r="B33" s="26" t="s">
        <v>75</v>
      </c>
      <c r="C33" s="16" t="s">
        <v>69</v>
      </c>
      <c r="D33" s="17" t="n">
        <v>2</v>
      </c>
      <c r="E33" s="18" t="n">
        <v>421</v>
      </c>
      <c r="F33" s="27" t="n">
        <f aca="false">IF($A33="","",SUMIFS('Daily Entry'!$C$7:$C$5000,'Daily Entry'!$B$7:$B$5000,$O33,'Daily Entry'!$A$7:$A$5000,$E$3))</f>
        <v>0</v>
      </c>
      <c r="G33" s="27" t="n">
        <f aca="false">IF($A33="","",SUMIFS('Daily Entry'!$D$7:$D$5000,'Daily Entry'!$B$7:$B$5000,$O33,'Daily Entry'!$A$7:$A$5000,$E$3))</f>
        <v>0</v>
      </c>
      <c r="H33" s="28" t="n">
        <f aca="false">IF($A33="","",SUMIFS('Daily Entry'!$C$7:$C$5000,'Daily Entry'!$B$7:$B$5000,$O33))</f>
        <v>156</v>
      </c>
      <c r="I33" s="28" t="n">
        <f aca="false">IF($A33="","",SUMIFS('Daily Entry'!$D$7:$D$5000,'Daily Entry'!$B$7:$B$5000,$O33))</f>
        <v>0</v>
      </c>
      <c r="J33" s="29" t="n">
        <f aca="false">IF($A33="","",$E33+$H33-$I33)</f>
        <v>577</v>
      </c>
      <c r="K33" s="30" t="n">
        <f aca="false">IF(OR($A33="",$D33=""),"",$J33*$D33)</f>
        <v>1154</v>
      </c>
      <c r="L33" s="23"/>
      <c r="M33" s="31" t="str">
        <f aca="false">IF(OR($A33="",$D33="",$L33="",$E$4=""),"",$K33*$L33*$E$4)</f>
        <v/>
      </c>
      <c r="O33" s="25" t="str">
        <f aca="false">IF($A33="","",$A33&amp;" - "&amp;$B33)</f>
        <v>Primus Japan - PUD PVN 300/500</v>
      </c>
      <c r="P33" s="25" t="n">
        <f aca="false">IF($A33="",0,IF(OR($F33&lt;&gt;0,$G33&lt;&gt;0),1,0))</f>
        <v>0</v>
      </c>
      <c r="Q33" s="25" t="str">
        <f aca="false">IF($P33=1,SUM($P$8:$P33),"")</f>
        <v/>
      </c>
      <c r="R33" s="25" t="str">
        <f aca="false">IF($A33="","",$A33&amp;"#"&amp;COUNTIF($A$8:$A33,$A33))</f>
        <v>Primus Japan#18</v>
      </c>
      <c r="S33" s="25" t="n">
        <f aca="false">IF(OR($A33="",$D33=""),0,$E33*$D33)</f>
        <v>842</v>
      </c>
      <c r="T33" s="25" t="n">
        <f aca="false">IF(OR($A33="",$D33=""),0,$F33*$D33)</f>
        <v>0</v>
      </c>
      <c r="U33" s="25" t="n">
        <f aca="false">IF(OR($A33="",$D33=""),0,$G33*$D33)</f>
        <v>0</v>
      </c>
      <c r="V33" s="25" t="n">
        <f aca="false">IF(OR($A33="",$D33=""),0,$H33*$D33)</f>
        <v>312</v>
      </c>
      <c r="W33" s="25" t="n">
        <f aca="false">IF(OR($A33="",$D33=""),0,$I33*$D33)</f>
        <v>0</v>
      </c>
      <c r="X33" s="25" t="n">
        <f aca="false">IF(AND($A33&lt;&gt;"",$D33=""),1,0)</f>
        <v>0</v>
      </c>
      <c r="Y33" s="25" t="n">
        <f aca="false">IF($A33="",0,IF(COUNTIF($O$8:$O$114,$O33)&gt;1,1,0))</f>
        <v>0</v>
      </c>
    </row>
    <row r="34" customFormat="false" ht="15" hidden="false" customHeight="false" outlineLevel="0" collapsed="false">
      <c r="A34" s="15" t="s">
        <v>77</v>
      </c>
      <c r="B34" s="15" t="s">
        <v>76</v>
      </c>
      <c r="C34" s="16" t="s">
        <v>69</v>
      </c>
      <c r="D34" s="17" t="n">
        <v>2</v>
      </c>
      <c r="E34" s="18" t="n">
        <v>580</v>
      </c>
      <c r="F34" s="19" t="n">
        <f aca="false">IF($A34="","",SUMIFS('Daily Entry'!$C$7:$C$5000,'Daily Entry'!$B$7:$B$5000,$O34,'Daily Entry'!$A$7:$A$5000,$E$3))</f>
        <v>648</v>
      </c>
      <c r="G34" s="19" t="n">
        <f aca="false">IF($A34="","",SUMIFS('Daily Entry'!$D$7:$D$5000,'Daily Entry'!$B$7:$B$5000,$O34,'Daily Entry'!$A$7:$A$5000,$E$3))</f>
        <v>0</v>
      </c>
      <c r="H34" s="20" t="n">
        <f aca="false">IF($A34="","",SUMIFS('Daily Entry'!$C$7:$C$5000,'Daily Entry'!$B$7:$B$5000,$O34))</f>
        <v>1244</v>
      </c>
      <c r="I34" s="20" t="n">
        <f aca="false">IF($A34="","",SUMIFS('Daily Entry'!$D$7:$D$5000,'Daily Entry'!$B$7:$B$5000,$O34))</f>
        <v>0</v>
      </c>
      <c r="J34" s="21" t="n">
        <f aca="false">IF($A34="","",$E34+$H34-$I34)</f>
        <v>1824</v>
      </c>
      <c r="K34" s="22" t="n">
        <f aca="false">IF(OR($A34="",$D34=""),"",$J34*$D34)</f>
        <v>3648</v>
      </c>
      <c r="L34" s="23"/>
      <c r="M34" s="24" t="str">
        <f aca="false">IF(OR($A34="",$D34="",$L34="",$E$4=""),"",$K34*$L34*$E$4)</f>
        <v/>
      </c>
      <c r="O34" s="25" t="str">
        <f aca="false">IF($A34="","",$A34&amp;" - "&amp;$B34)</f>
        <v>Primus Japan - PUD KKD 300/500</v>
      </c>
      <c r="P34" s="25" t="n">
        <f aca="false">IF($A34="",0,IF(OR($F34&lt;&gt;0,$G34&lt;&gt;0),1,0))</f>
        <v>1</v>
      </c>
      <c r="Q34" s="25" t="n">
        <f aca="false">IF($P34=1,SUM($P$8:$P34),"")</f>
        <v>10</v>
      </c>
      <c r="R34" s="25" t="str">
        <f aca="false">IF($A34="","",$A34&amp;"#"&amp;COUNTIF($A$8:$A34,$A34))</f>
        <v>Primus Japan#19</v>
      </c>
      <c r="S34" s="25" t="n">
        <f aca="false">IF(OR($A34="",$D34=""),0,$E34*$D34)</f>
        <v>1160</v>
      </c>
      <c r="T34" s="25" t="n">
        <f aca="false">IF(OR($A34="",$D34=""),0,$F34*$D34)</f>
        <v>1296</v>
      </c>
      <c r="U34" s="25" t="n">
        <f aca="false">IF(OR($A34="",$D34=""),0,$G34*$D34)</f>
        <v>0</v>
      </c>
      <c r="V34" s="25" t="n">
        <f aca="false">IF(OR($A34="",$D34=""),0,$H34*$D34)</f>
        <v>2488</v>
      </c>
      <c r="W34" s="25" t="n">
        <f aca="false">IF(OR($A34="",$D34=""),0,$I34*$D34)</f>
        <v>0</v>
      </c>
      <c r="X34" s="25" t="n">
        <f aca="false">IF(AND($A34&lt;&gt;"",$D34=""),1,0)</f>
        <v>0</v>
      </c>
      <c r="Y34" s="25" t="n">
        <f aca="false">IF($A34="",0,IF(COUNTIF($O$8:$O$114,$O34)&gt;1,1,0))</f>
        <v>0</v>
      </c>
    </row>
    <row r="35" customFormat="false" ht="15" hidden="false" customHeight="false" outlineLevel="0" collapsed="false">
      <c r="A35" s="26" t="s">
        <v>89</v>
      </c>
      <c r="B35" s="26" t="s">
        <v>90</v>
      </c>
      <c r="C35" s="16" t="s">
        <v>69</v>
      </c>
      <c r="D35" s="17" t="n">
        <v>2</v>
      </c>
      <c r="E35" s="18" t="n">
        <v>185</v>
      </c>
      <c r="F35" s="27" t="n">
        <f aca="false">IF($A35="","",SUMIFS('Daily Entry'!$C$7:$C$5000,'Daily Entry'!$B$7:$B$5000,$O35,'Daily Entry'!$A$7:$A$5000,$E$3))</f>
        <v>0</v>
      </c>
      <c r="G35" s="27" t="n">
        <f aca="false">IF($A35="","",SUMIFS('Daily Entry'!$D$7:$D$5000,'Daily Entry'!$B$7:$B$5000,$O35,'Daily Entry'!$A$7:$A$5000,$E$3))</f>
        <v>0</v>
      </c>
      <c r="H35" s="28" t="n">
        <f aca="false">IF($A35="","",SUMIFS('Daily Entry'!$C$7:$C$5000,'Daily Entry'!$B$7:$B$5000,$O35))</f>
        <v>0</v>
      </c>
      <c r="I35" s="28" t="n">
        <f aca="false">IF($A35="","",SUMIFS('Daily Entry'!$D$7:$D$5000,'Daily Entry'!$B$7:$B$5000,$O35))</f>
        <v>0</v>
      </c>
      <c r="J35" s="29" t="n">
        <f aca="false">IF($A35="","",$E35+$H35-$I35)</f>
        <v>185</v>
      </c>
      <c r="K35" s="30" t="n">
        <f aca="false">IF(OR($A35="",$D35=""),"",$J35*$D35)</f>
        <v>370</v>
      </c>
      <c r="L35" s="23"/>
      <c r="M35" s="31" t="str">
        <f aca="false">IF(OR($A35="",$D35="",$L35="",$E$4=""),"",$K35*$L35*$E$4)</f>
        <v/>
      </c>
      <c r="O35" s="25" t="str">
        <f aca="false">IF($A35="","",$A35&amp;" - "&amp;$B35)</f>
        <v>Primus EU - PUD 20/40</v>
      </c>
      <c r="P35" s="25" t="n">
        <f aca="false">IF($A35="",0,IF(OR($F35&lt;&gt;0,$G35&lt;&gt;0),1,0))</f>
        <v>0</v>
      </c>
      <c r="Q35" s="25" t="str">
        <f aca="false">IF($P35=1,SUM($P$8:$P35),"")</f>
        <v/>
      </c>
      <c r="R35" s="25" t="str">
        <f aca="false">IF($A35="","",$A35&amp;"#"&amp;COUNTIF($A$8:$A35,$A35))</f>
        <v>Primus EU#1</v>
      </c>
      <c r="S35" s="25" t="n">
        <f aca="false">IF(OR($A35="",$D35=""),0,$E35*$D35)</f>
        <v>370</v>
      </c>
      <c r="T35" s="25" t="n">
        <f aca="false">IF(OR($A35="",$D35=""),0,$F35*$D35)</f>
        <v>0</v>
      </c>
      <c r="U35" s="25" t="n">
        <f aca="false">IF(OR($A35="",$D35=""),0,$G35*$D35)</f>
        <v>0</v>
      </c>
      <c r="V35" s="25" t="n">
        <f aca="false">IF(OR($A35="",$D35=""),0,$H35*$D35)</f>
        <v>0</v>
      </c>
      <c r="W35" s="25" t="n">
        <f aca="false">IF(OR($A35="",$D35=""),0,$I35*$D35)</f>
        <v>0</v>
      </c>
      <c r="X35" s="25" t="n">
        <f aca="false">IF(AND($A35&lt;&gt;"",$D35=""),1,0)</f>
        <v>0</v>
      </c>
      <c r="Y35" s="25" t="n">
        <f aca="false">IF($A35="",0,IF(COUNTIF($O$8:$O$114,$O35)&gt;1,1,0))</f>
        <v>0</v>
      </c>
    </row>
    <row r="36" customFormat="false" ht="15" hidden="false" customHeight="false" outlineLevel="0" collapsed="false">
      <c r="A36" s="15" t="s">
        <v>89</v>
      </c>
      <c r="B36" s="15" t="s">
        <v>91</v>
      </c>
      <c r="C36" s="16" t="s">
        <v>69</v>
      </c>
      <c r="D36" s="17" t="n">
        <v>2</v>
      </c>
      <c r="E36" s="18" t="n">
        <v>368</v>
      </c>
      <c r="F36" s="19" t="n">
        <f aca="false">IF($A36="","",SUMIFS('Daily Entry'!$C$7:$C$5000,'Daily Entry'!$B$7:$B$5000,$O36,'Daily Entry'!$A$7:$A$5000,$E$3))</f>
        <v>0</v>
      </c>
      <c r="G36" s="19" t="n">
        <f aca="false">IF($A36="","",SUMIFS('Daily Entry'!$D$7:$D$5000,'Daily Entry'!$B$7:$B$5000,$O36,'Daily Entry'!$A$7:$A$5000,$E$3))</f>
        <v>0</v>
      </c>
      <c r="H36" s="20" t="n">
        <f aca="false">IF($A36="","",SUMIFS('Daily Entry'!$C$7:$C$5000,'Daily Entry'!$B$7:$B$5000,$O36))</f>
        <v>0</v>
      </c>
      <c r="I36" s="20" t="n">
        <f aca="false">IF($A36="","",SUMIFS('Daily Entry'!$D$7:$D$5000,'Daily Entry'!$B$7:$B$5000,$O36))</f>
        <v>0</v>
      </c>
      <c r="J36" s="21" t="n">
        <f aca="false">IF($A36="","",$E36+$H36-$I36)</f>
        <v>368</v>
      </c>
      <c r="K36" s="22" t="n">
        <f aca="false">IF(OR($A36="",$D36=""),"",$J36*$D36)</f>
        <v>736</v>
      </c>
      <c r="L36" s="23"/>
      <c r="M36" s="24" t="str">
        <f aca="false">IF(OR($A36="",$D36="",$L36="",$E$4=""),"",$K36*$L36*$E$4)</f>
        <v/>
      </c>
      <c r="O36" s="25" t="str">
        <f aca="false">IF($A36="","",$A36&amp;" - "&amp;$B36)</f>
        <v>Primus EU - PUD 40/60</v>
      </c>
      <c r="P36" s="25" t="n">
        <f aca="false">IF($A36="",0,IF(OR($F36&lt;&gt;0,$G36&lt;&gt;0),1,0))</f>
        <v>0</v>
      </c>
      <c r="Q36" s="25" t="str">
        <f aca="false">IF($P36=1,SUM($P$8:$P36),"")</f>
        <v/>
      </c>
      <c r="R36" s="25" t="str">
        <f aca="false">IF($A36="","",$A36&amp;"#"&amp;COUNTIF($A$8:$A36,$A36))</f>
        <v>Primus EU#2</v>
      </c>
      <c r="S36" s="25" t="n">
        <f aca="false">IF(OR($A36="",$D36=""),0,$E36*$D36)</f>
        <v>736</v>
      </c>
      <c r="T36" s="25" t="n">
        <f aca="false">IF(OR($A36="",$D36=""),0,$F36*$D36)</f>
        <v>0</v>
      </c>
      <c r="U36" s="25" t="n">
        <f aca="false">IF(OR($A36="",$D36=""),0,$G36*$D36)</f>
        <v>0</v>
      </c>
      <c r="V36" s="25" t="n">
        <f aca="false">IF(OR($A36="",$D36=""),0,$H36*$D36)</f>
        <v>0</v>
      </c>
      <c r="W36" s="25" t="n">
        <f aca="false">IF(OR($A36="",$D36=""),0,$I36*$D36)</f>
        <v>0</v>
      </c>
      <c r="X36" s="25" t="n">
        <f aca="false">IF(AND($A36&lt;&gt;"",$D36=""),1,0)</f>
        <v>0</v>
      </c>
      <c r="Y36" s="25" t="n">
        <f aca="false">IF($A36="",0,IF(COUNTIF($O$8:$O$114,$O36)&gt;1,1,0))</f>
        <v>0</v>
      </c>
    </row>
    <row r="37" customFormat="false" ht="15" hidden="false" customHeight="false" outlineLevel="0" collapsed="false">
      <c r="A37" s="26" t="s">
        <v>89</v>
      </c>
      <c r="B37" s="26" t="s">
        <v>92</v>
      </c>
      <c r="C37" s="16" t="s">
        <v>69</v>
      </c>
      <c r="D37" s="17" t="n">
        <v>2</v>
      </c>
      <c r="E37" s="18" t="n">
        <v>380</v>
      </c>
      <c r="F37" s="27" t="n">
        <f aca="false">IF($A37="","",SUMIFS('Daily Entry'!$C$7:$C$5000,'Daily Entry'!$B$7:$B$5000,$O37,'Daily Entry'!$A$7:$A$5000,$E$3))</f>
        <v>0</v>
      </c>
      <c r="G37" s="27" t="n">
        <f aca="false">IF($A37="","",SUMIFS('Daily Entry'!$D$7:$D$5000,'Daily Entry'!$B$7:$B$5000,$O37,'Daily Entry'!$A$7:$A$5000,$E$3))</f>
        <v>0</v>
      </c>
      <c r="H37" s="28" t="n">
        <f aca="false">IF($A37="","",SUMIFS('Daily Entry'!$C$7:$C$5000,'Daily Entry'!$B$7:$B$5000,$O37))</f>
        <v>0</v>
      </c>
      <c r="I37" s="28" t="n">
        <f aca="false">IF($A37="","",SUMIFS('Daily Entry'!$D$7:$D$5000,'Daily Entry'!$B$7:$B$5000,$O37))</f>
        <v>0</v>
      </c>
      <c r="J37" s="29" t="n">
        <f aca="false">IF($A37="","",$E37+$H37-$I37)</f>
        <v>380</v>
      </c>
      <c r="K37" s="30" t="n">
        <f aca="false">IF(OR($A37="",$D37=""),"",$J37*$D37)</f>
        <v>760</v>
      </c>
      <c r="L37" s="23"/>
      <c r="M37" s="31" t="str">
        <f aca="false">IF(OR($A37="",$D37="",$L37="",$E$4=""),"",$K37*$L37*$E$4)</f>
        <v/>
      </c>
      <c r="O37" s="25" t="str">
        <f aca="false">IF($A37="","",$A37&amp;" - "&amp;$B37)</f>
        <v>Primus EU - PUD 60/80</v>
      </c>
      <c r="P37" s="25" t="n">
        <f aca="false">IF($A37="",0,IF(OR($F37&lt;&gt;0,$G37&lt;&gt;0),1,0))</f>
        <v>0</v>
      </c>
      <c r="Q37" s="25" t="str">
        <f aca="false">IF($P37=1,SUM($P$8:$P37),"")</f>
        <v/>
      </c>
      <c r="R37" s="25" t="str">
        <f aca="false">IF($A37="","",$A37&amp;"#"&amp;COUNTIF($A$8:$A37,$A37))</f>
        <v>Primus EU#3</v>
      </c>
      <c r="S37" s="25" t="n">
        <f aca="false">IF(OR($A37="",$D37=""),0,$E37*$D37)</f>
        <v>760</v>
      </c>
      <c r="T37" s="25" t="n">
        <f aca="false">IF(OR($A37="",$D37=""),0,$F37*$D37)</f>
        <v>0</v>
      </c>
      <c r="U37" s="25" t="n">
        <f aca="false">IF(OR($A37="",$D37=""),0,$G37*$D37)</f>
        <v>0</v>
      </c>
      <c r="V37" s="25" t="n">
        <f aca="false">IF(OR($A37="",$D37=""),0,$H37*$D37)</f>
        <v>0</v>
      </c>
      <c r="W37" s="25" t="n">
        <f aca="false">IF(OR($A37="",$D37=""),0,$I37*$D37)</f>
        <v>0</v>
      </c>
      <c r="X37" s="25" t="n">
        <f aca="false">IF(AND($A37&lt;&gt;"",$D37=""),1,0)</f>
        <v>0</v>
      </c>
      <c r="Y37" s="25" t="n">
        <f aca="false">IF($A37="",0,IF(COUNTIF($O$8:$O$114,$O37)&gt;1,1,0))</f>
        <v>0</v>
      </c>
    </row>
    <row r="38" customFormat="false" ht="15" hidden="false" customHeight="false" outlineLevel="0" collapsed="false">
      <c r="A38" s="15" t="s">
        <v>89</v>
      </c>
      <c r="B38" s="15" t="s">
        <v>93</v>
      </c>
      <c r="C38" s="16" t="s">
        <v>69</v>
      </c>
      <c r="D38" s="17" t="n">
        <v>2</v>
      </c>
      <c r="E38" s="18" t="n">
        <v>1151</v>
      </c>
      <c r="F38" s="19" t="n">
        <f aca="false">IF($A38="","",SUMIFS('Daily Entry'!$C$7:$C$5000,'Daily Entry'!$B$7:$B$5000,$O38,'Daily Entry'!$A$7:$A$5000,$E$3))</f>
        <v>0</v>
      </c>
      <c r="G38" s="19" t="n">
        <f aca="false">IF($A38="","",SUMIFS('Daily Entry'!$D$7:$D$5000,'Daily Entry'!$B$7:$B$5000,$O38,'Daily Entry'!$A$7:$A$5000,$E$3))</f>
        <v>0</v>
      </c>
      <c r="H38" s="20" t="n">
        <f aca="false">IF($A38="","",SUMIFS('Daily Entry'!$C$7:$C$5000,'Daily Entry'!$B$7:$B$5000,$O38))</f>
        <v>0</v>
      </c>
      <c r="I38" s="20" t="n">
        <f aca="false">IF($A38="","",SUMIFS('Daily Entry'!$D$7:$D$5000,'Daily Entry'!$B$7:$B$5000,$O38))</f>
        <v>0</v>
      </c>
      <c r="J38" s="21" t="n">
        <f aca="false">IF($A38="","",$E38+$H38-$I38)</f>
        <v>1151</v>
      </c>
      <c r="K38" s="22" t="n">
        <f aca="false">IF(OR($A38="",$D38=""),"",$J38*$D38)</f>
        <v>2302</v>
      </c>
      <c r="L38" s="23"/>
      <c r="M38" s="24" t="str">
        <f aca="false">IF(OR($A38="",$D38="",$L38="",$E$4=""),"",$K38*$L38*$E$4)</f>
        <v/>
      </c>
      <c r="O38" s="25" t="str">
        <f aca="false">IF($A38="","",$A38&amp;" - "&amp;$B38)</f>
        <v>Primus EU - PUD 80/120</v>
      </c>
      <c r="P38" s="25" t="n">
        <f aca="false">IF($A38="",0,IF(OR($F38&lt;&gt;0,$G38&lt;&gt;0),1,0))</f>
        <v>0</v>
      </c>
      <c r="Q38" s="25" t="str">
        <f aca="false">IF($P38=1,SUM($P$8:$P38),"")</f>
        <v/>
      </c>
      <c r="R38" s="25" t="str">
        <f aca="false">IF($A38="","",$A38&amp;"#"&amp;COUNTIF($A$8:$A38,$A38))</f>
        <v>Primus EU#4</v>
      </c>
      <c r="S38" s="25" t="n">
        <f aca="false">IF(OR($A38="",$D38=""),0,$E38*$D38)</f>
        <v>2302</v>
      </c>
      <c r="T38" s="25" t="n">
        <f aca="false">IF(OR($A38="",$D38=""),0,$F38*$D38)</f>
        <v>0</v>
      </c>
      <c r="U38" s="25" t="n">
        <f aca="false">IF(OR($A38="",$D38=""),0,$G38*$D38)</f>
        <v>0</v>
      </c>
      <c r="V38" s="25" t="n">
        <f aca="false">IF(OR($A38="",$D38=""),0,$H38*$D38)</f>
        <v>0</v>
      </c>
      <c r="W38" s="25" t="n">
        <f aca="false">IF(OR($A38="",$D38=""),0,$I38*$D38)</f>
        <v>0</v>
      </c>
      <c r="X38" s="25" t="n">
        <f aca="false">IF(AND($A38&lt;&gt;"",$D38=""),1,0)</f>
        <v>0</v>
      </c>
      <c r="Y38" s="25" t="n">
        <f aca="false">IF($A38="",0,IF(COUNTIF($O$8:$O$114,$O38)&gt;1,1,0))</f>
        <v>0</v>
      </c>
    </row>
    <row r="39" customFormat="false" ht="15" hidden="false" customHeight="false" outlineLevel="0" collapsed="false">
      <c r="A39" s="26" t="s">
        <v>89</v>
      </c>
      <c r="B39" s="26" t="s">
        <v>94</v>
      </c>
      <c r="C39" s="16" t="s">
        <v>69</v>
      </c>
      <c r="D39" s="17" t="n">
        <v>2</v>
      </c>
      <c r="E39" s="18" t="n">
        <v>3797</v>
      </c>
      <c r="F39" s="27" t="n">
        <f aca="false">IF($A39="","",SUMIFS('Daily Entry'!$C$7:$C$5000,'Daily Entry'!$B$7:$B$5000,$O39,'Daily Entry'!$A$7:$A$5000,$E$3))</f>
        <v>0</v>
      </c>
      <c r="G39" s="27" t="n">
        <f aca="false">IF($A39="","",SUMIFS('Daily Entry'!$D$7:$D$5000,'Daily Entry'!$B$7:$B$5000,$O39,'Daily Entry'!$A$7:$A$5000,$E$3))</f>
        <v>0</v>
      </c>
      <c r="H39" s="28" t="n">
        <f aca="false">IF($A39="","",SUMIFS('Daily Entry'!$C$7:$C$5000,'Daily Entry'!$B$7:$B$5000,$O39))</f>
        <v>0</v>
      </c>
      <c r="I39" s="28" t="n">
        <f aca="false">IF($A39="","",SUMIFS('Daily Entry'!$D$7:$D$5000,'Daily Entry'!$B$7:$B$5000,$O39))</f>
        <v>0</v>
      </c>
      <c r="J39" s="29" t="n">
        <f aca="false">IF($A39="","",$E39+$H39-$I39)</f>
        <v>3797</v>
      </c>
      <c r="K39" s="30" t="n">
        <f aca="false">IF(OR($A39="",$D39=""),"",$J39*$D39)</f>
        <v>7594</v>
      </c>
      <c r="L39" s="23"/>
      <c r="M39" s="31" t="str">
        <f aca="false">IF(OR($A39="",$D39="",$L39="",$E$4=""),"",$K39*$L39*$E$4)</f>
        <v/>
      </c>
      <c r="O39" s="25" t="str">
        <f aca="false">IF($A39="","",$A39&amp;" - "&amp;$B39)</f>
        <v>Primus EU - PUD 100/200</v>
      </c>
      <c r="P39" s="25" t="n">
        <f aca="false">IF($A39="",0,IF(OR($F39&lt;&gt;0,$G39&lt;&gt;0),1,0))</f>
        <v>0</v>
      </c>
      <c r="Q39" s="25" t="str">
        <f aca="false">IF($P39=1,SUM($P$8:$P39),"")</f>
        <v/>
      </c>
      <c r="R39" s="25" t="str">
        <f aca="false">IF($A39="","",$A39&amp;"#"&amp;COUNTIF($A$8:$A39,$A39))</f>
        <v>Primus EU#5</v>
      </c>
      <c r="S39" s="25" t="n">
        <f aca="false">IF(OR($A39="",$D39=""),0,$E39*$D39)</f>
        <v>7594</v>
      </c>
      <c r="T39" s="25" t="n">
        <f aca="false">IF(OR($A39="",$D39=""),0,$F39*$D39)</f>
        <v>0</v>
      </c>
      <c r="U39" s="25" t="n">
        <f aca="false">IF(OR($A39="",$D39=""),0,$G39*$D39)</f>
        <v>0</v>
      </c>
      <c r="V39" s="25" t="n">
        <f aca="false">IF(OR($A39="",$D39=""),0,$H39*$D39)</f>
        <v>0</v>
      </c>
      <c r="W39" s="25" t="n">
        <f aca="false">IF(OR($A39="",$D39=""),0,$I39*$D39)</f>
        <v>0</v>
      </c>
      <c r="X39" s="25" t="n">
        <f aca="false">IF(AND($A39&lt;&gt;"",$D39=""),1,0)</f>
        <v>0</v>
      </c>
      <c r="Y39" s="25" t="n">
        <f aca="false">IF($A39="",0,IF(COUNTIF($O$8:$O$114,$O39)&gt;1,1,0))</f>
        <v>0</v>
      </c>
    </row>
    <row r="40" customFormat="false" ht="15" hidden="false" customHeight="false" outlineLevel="0" collapsed="false">
      <c r="A40" s="15" t="s">
        <v>89</v>
      </c>
      <c r="B40" s="15" t="s">
        <v>95</v>
      </c>
      <c r="C40" s="16" t="s">
        <v>69</v>
      </c>
      <c r="D40" s="17" t="n">
        <v>2</v>
      </c>
      <c r="E40" s="18" t="n">
        <v>4118</v>
      </c>
      <c r="F40" s="19" t="n">
        <f aca="false">IF($A40="","",SUMIFS('Daily Entry'!$C$7:$C$5000,'Daily Entry'!$B$7:$B$5000,$O40,'Daily Entry'!$A$7:$A$5000,$E$3))</f>
        <v>0</v>
      </c>
      <c r="G40" s="19" t="n">
        <f aca="false">IF($A40="","",SUMIFS('Daily Entry'!$D$7:$D$5000,'Daily Entry'!$B$7:$B$5000,$O40,'Daily Entry'!$A$7:$A$5000,$E$3))</f>
        <v>0</v>
      </c>
      <c r="H40" s="20" t="n">
        <f aca="false">IF($A40="","",SUMIFS('Daily Entry'!$C$7:$C$5000,'Daily Entry'!$B$7:$B$5000,$O40))</f>
        <v>0</v>
      </c>
      <c r="I40" s="20" t="n">
        <f aca="false">IF($A40="","",SUMIFS('Daily Entry'!$D$7:$D$5000,'Daily Entry'!$B$7:$B$5000,$O40))</f>
        <v>0</v>
      </c>
      <c r="J40" s="21" t="n">
        <f aca="false">IF($A40="","",$E40+$H40-$I40)</f>
        <v>4118</v>
      </c>
      <c r="K40" s="22" t="n">
        <f aca="false">IF(OR($A40="",$D40=""),"",$J40*$D40)</f>
        <v>8236</v>
      </c>
      <c r="L40" s="23"/>
      <c r="M40" s="24" t="str">
        <f aca="false">IF(OR($A40="",$D40="",$L40="",$E$4=""),"",$K40*$L40*$E$4)</f>
        <v/>
      </c>
      <c r="O40" s="25" t="str">
        <f aca="false">IF($A40="","",$A40&amp;" - "&amp;$B40)</f>
        <v>Primus EU - PUD 200/300</v>
      </c>
      <c r="P40" s="25" t="n">
        <f aca="false">IF($A40="",0,IF(OR($F40&lt;&gt;0,$G40&lt;&gt;0),1,0))</f>
        <v>0</v>
      </c>
      <c r="Q40" s="25" t="str">
        <f aca="false">IF($P40=1,SUM($P$8:$P40),"")</f>
        <v/>
      </c>
      <c r="R40" s="25" t="str">
        <f aca="false">IF($A40="","",$A40&amp;"#"&amp;COUNTIF($A$8:$A40,$A40))</f>
        <v>Primus EU#6</v>
      </c>
      <c r="S40" s="25" t="n">
        <f aca="false">IF(OR($A40="",$D40=""),0,$E40*$D40)</f>
        <v>8236</v>
      </c>
      <c r="T40" s="25" t="n">
        <f aca="false">IF(OR($A40="",$D40=""),0,$F40*$D40)</f>
        <v>0</v>
      </c>
      <c r="U40" s="25" t="n">
        <f aca="false">IF(OR($A40="",$D40=""),0,$G40*$D40)</f>
        <v>0</v>
      </c>
      <c r="V40" s="25" t="n">
        <f aca="false">IF(OR($A40="",$D40=""),0,$H40*$D40)</f>
        <v>0</v>
      </c>
      <c r="W40" s="25" t="n">
        <f aca="false">IF(OR($A40="",$D40=""),0,$I40*$D40)</f>
        <v>0</v>
      </c>
      <c r="X40" s="25" t="n">
        <f aca="false">IF(AND($A40&lt;&gt;"",$D40=""),1,0)</f>
        <v>0</v>
      </c>
      <c r="Y40" s="25" t="n">
        <f aca="false">IF($A40="",0,IF(COUNTIF($O$8:$O$114,$O40)&gt;1,1,0))</f>
        <v>0</v>
      </c>
    </row>
    <row r="41" customFormat="false" ht="15" hidden="false" customHeight="false" outlineLevel="0" collapsed="false">
      <c r="A41" s="26" t="s">
        <v>89</v>
      </c>
      <c r="B41" s="26" t="s">
        <v>96</v>
      </c>
      <c r="C41" s="16" t="s">
        <v>69</v>
      </c>
      <c r="D41" s="17" t="n">
        <v>2</v>
      </c>
      <c r="E41" s="18" t="n">
        <v>1490</v>
      </c>
      <c r="F41" s="27" t="n">
        <f aca="false">IF($A41="","",SUMIFS('Daily Entry'!$C$7:$C$5000,'Daily Entry'!$B$7:$B$5000,$O41,'Daily Entry'!$A$7:$A$5000,$E$3))</f>
        <v>0</v>
      </c>
      <c r="G41" s="27" t="n">
        <f aca="false">IF($A41="","",SUMIFS('Daily Entry'!$D$7:$D$5000,'Daily Entry'!$B$7:$B$5000,$O41,'Daily Entry'!$A$7:$A$5000,$E$3))</f>
        <v>0</v>
      </c>
      <c r="H41" s="28" t="n">
        <f aca="false">IF($A41="","",SUMIFS('Daily Entry'!$C$7:$C$5000,'Daily Entry'!$B$7:$B$5000,$O41))</f>
        <v>0</v>
      </c>
      <c r="I41" s="28" t="n">
        <f aca="false">IF($A41="","",SUMIFS('Daily Entry'!$D$7:$D$5000,'Daily Entry'!$B$7:$B$5000,$O41))</f>
        <v>0</v>
      </c>
      <c r="J41" s="29" t="n">
        <f aca="false">IF($A41="","",$E41+$H41-$I41)</f>
        <v>1490</v>
      </c>
      <c r="K41" s="30" t="n">
        <f aca="false">IF(OR($A41="",$D41=""),"",$J41*$D41)</f>
        <v>2980</v>
      </c>
      <c r="L41" s="23"/>
      <c r="M41" s="31" t="str">
        <f aca="false">IF(OR($A41="",$D41="",$L41="",$E$4=""),"",$K41*$L41*$E$4)</f>
        <v/>
      </c>
      <c r="O41" s="25" t="str">
        <f aca="false">IF($A41="","",$A41&amp;" - "&amp;$B41)</f>
        <v>Primus EU - PUD 300/500</v>
      </c>
      <c r="P41" s="25" t="n">
        <f aca="false">IF($A41="",0,IF(OR($F41&lt;&gt;0,$G41&lt;&gt;0),1,0))</f>
        <v>0</v>
      </c>
      <c r="Q41" s="25" t="str">
        <f aca="false">IF($P41=1,SUM($P$8:$P41),"")</f>
        <v/>
      </c>
      <c r="R41" s="25" t="str">
        <f aca="false">IF($A41="","",$A41&amp;"#"&amp;COUNTIF($A$8:$A41,$A41))</f>
        <v>Primus EU#7</v>
      </c>
      <c r="S41" s="25" t="n">
        <f aca="false">IF(OR($A41="",$D41=""),0,$E41*$D41)</f>
        <v>2980</v>
      </c>
      <c r="T41" s="25" t="n">
        <f aca="false">IF(OR($A41="",$D41=""),0,$F41*$D41)</f>
        <v>0</v>
      </c>
      <c r="U41" s="25" t="n">
        <f aca="false">IF(OR($A41="",$D41=""),0,$G41*$D41)</f>
        <v>0</v>
      </c>
      <c r="V41" s="25" t="n">
        <f aca="false">IF(OR($A41="",$D41=""),0,$H41*$D41)</f>
        <v>0</v>
      </c>
      <c r="W41" s="25" t="n">
        <f aca="false">IF(OR($A41="",$D41=""),0,$I41*$D41)</f>
        <v>0</v>
      </c>
      <c r="X41" s="25" t="n">
        <f aca="false">IF(AND($A41&lt;&gt;"",$D41=""),1,0)</f>
        <v>0</v>
      </c>
      <c r="Y41" s="25" t="n">
        <f aca="false">IF($A41="",0,IF(COUNTIF($O$8:$O$114,$O41)&gt;1,1,0))</f>
        <v>0</v>
      </c>
    </row>
    <row r="42" customFormat="false" ht="15" hidden="false" customHeight="false" outlineLevel="0" collapsed="false">
      <c r="A42" s="15" t="s">
        <v>89</v>
      </c>
      <c r="B42" s="15" t="s">
        <v>97</v>
      </c>
      <c r="C42" s="16" t="s">
        <v>69</v>
      </c>
      <c r="D42" s="17" t="n">
        <v>2</v>
      </c>
      <c r="E42" s="18" t="n">
        <v>15130</v>
      </c>
      <c r="F42" s="19" t="n">
        <f aca="false">IF($A42="","",SUMIFS('Daily Entry'!$C$7:$C$5000,'Daily Entry'!$B$7:$B$5000,$O42,'Daily Entry'!$A$7:$A$5000,$E$3))</f>
        <v>31</v>
      </c>
      <c r="G42" s="19" t="n">
        <f aca="false">IF($A42="","",SUMIFS('Daily Entry'!$D$7:$D$5000,'Daily Entry'!$B$7:$B$5000,$O42,'Daily Entry'!$A$7:$A$5000,$E$3))</f>
        <v>0</v>
      </c>
      <c r="H42" s="20" t="n">
        <f aca="false">IF($A42="","",SUMIFS('Daily Entry'!$C$7:$C$5000,'Daily Entry'!$B$7:$B$5000,$O42))</f>
        <v>83</v>
      </c>
      <c r="I42" s="20" t="n">
        <f aca="false">IF($A42="","",SUMIFS('Daily Entry'!$D$7:$D$5000,'Daily Entry'!$B$7:$B$5000,$O42))</f>
        <v>0</v>
      </c>
      <c r="J42" s="21" t="n">
        <f aca="false">IF($A42="","",$E42+$H42-$I42)</f>
        <v>15213</v>
      </c>
      <c r="K42" s="22" t="n">
        <f aca="false">IF(OR($A42="",$D42=""),"",$J42*$D42)</f>
        <v>30426</v>
      </c>
      <c r="L42" s="23"/>
      <c r="M42" s="24" t="str">
        <f aca="false">IF(OR($A42="",$D42="",$L42="",$E$4=""),"",$K42*$L42*$E$4)</f>
        <v/>
      </c>
      <c r="O42" s="25" t="str">
        <f aca="false">IF($A42="","",$A42&amp;" - "&amp;$B42)</f>
        <v>Primus EU - BKN</v>
      </c>
      <c r="P42" s="25" t="n">
        <f aca="false">IF($A42="",0,IF(OR($F42&lt;&gt;0,$G42&lt;&gt;0),1,0))</f>
        <v>1</v>
      </c>
      <c r="Q42" s="25" t="n">
        <f aca="false">IF($P42=1,SUM($P$8:$P42),"")</f>
        <v>11</v>
      </c>
      <c r="R42" s="25" t="str">
        <f aca="false">IF($A42="","",$A42&amp;"#"&amp;COUNTIF($A$8:$A42,$A42))</f>
        <v>Primus EU#8</v>
      </c>
      <c r="S42" s="25" t="n">
        <f aca="false">IF(OR($A42="",$D42=""),0,$E42*$D42)</f>
        <v>30260</v>
      </c>
      <c r="T42" s="25" t="n">
        <f aca="false">IF(OR($A42="",$D42=""),0,$F42*$D42)</f>
        <v>62</v>
      </c>
      <c r="U42" s="25" t="n">
        <f aca="false">IF(OR($A42="",$D42=""),0,$G42*$D42)</f>
        <v>0</v>
      </c>
      <c r="V42" s="25" t="n">
        <f aca="false">IF(OR($A42="",$D42=""),0,$H42*$D42)</f>
        <v>166</v>
      </c>
      <c r="W42" s="25" t="n">
        <f aca="false">IF(OR($A42="",$D42=""),0,$I42*$D42)</f>
        <v>0</v>
      </c>
      <c r="X42" s="25" t="n">
        <f aca="false">IF(AND($A42&lt;&gt;"",$D42=""),1,0)</f>
        <v>0</v>
      </c>
      <c r="Y42" s="25" t="n">
        <f aca="false">IF($A42="",0,IF(COUNTIF($O$8:$O$114,$O42)&gt;1,1,0))</f>
        <v>0</v>
      </c>
    </row>
    <row r="43" customFormat="false" ht="15" hidden="false" customHeight="false" outlineLevel="0" collapsed="false">
      <c r="A43" s="26" t="s">
        <v>98</v>
      </c>
      <c r="B43" s="26" t="s">
        <v>68</v>
      </c>
      <c r="C43" s="16" t="s">
        <v>69</v>
      </c>
      <c r="D43" s="17" t="n">
        <v>2</v>
      </c>
      <c r="E43" s="18" t="n">
        <v>0</v>
      </c>
      <c r="F43" s="27" t="n">
        <f aca="false">IF($A43="","",SUMIFS('Daily Entry'!$C$7:$C$5000,'Daily Entry'!$B$7:$B$5000,$O43,'Daily Entry'!$A$7:$A$5000,$E$3))</f>
        <v>0</v>
      </c>
      <c r="G43" s="27" t="n">
        <f aca="false">IF($A43="","",SUMIFS('Daily Entry'!$D$7:$D$5000,'Daily Entry'!$B$7:$B$5000,$O43,'Daily Entry'!$A$7:$A$5000,$E$3))</f>
        <v>0</v>
      </c>
      <c r="H43" s="28" t="n">
        <f aca="false">IF($A43="","",SUMIFS('Daily Entry'!$C$7:$C$5000,'Daily Entry'!$B$7:$B$5000,$O43))</f>
        <v>0</v>
      </c>
      <c r="I43" s="28" t="n">
        <f aca="false">IF($A43="","",SUMIFS('Daily Entry'!$D$7:$D$5000,'Daily Entry'!$B$7:$B$5000,$O43))</f>
        <v>0</v>
      </c>
      <c r="J43" s="29" t="n">
        <f aca="false">IF($A43="","",$E43+$H43-$I43)</f>
        <v>0</v>
      </c>
      <c r="K43" s="30" t="n">
        <f aca="false">IF(OR($A43="",$D43=""),"",$J43*$D43)</f>
        <v>0</v>
      </c>
      <c r="L43" s="23"/>
      <c r="M43" s="31" t="str">
        <f aca="false">IF(OR($A43="",$D43="",$L43="",$E$4=""),"",$K43*$L43*$E$4)</f>
        <v/>
      </c>
      <c r="O43" s="25" t="str">
        <f aca="false">IF($A43="","",$A43&amp;" - "&amp;$B43)</f>
        <v>AMF Brand - PD PVN 100/200</v>
      </c>
      <c r="P43" s="25" t="n">
        <f aca="false">IF($A43="",0,IF(OR($F43&lt;&gt;0,$G43&lt;&gt;0),1,0))</f>
        <v>0</v>
      </c>
      <c r="Q43" s="25" t="str">
        <f aca="false">IF($P43=1,SUM($P$8:$P43),"")</f>
        <v/>
      </c>
      <c r="R43" s="25" t="str">
        <f aca="false">IF($A43="","",$A43&amp;"#"&amp;COUNTIF($A$8:$A43,$A43))</f>
        <v>AMF Brand#1</v>
      </c>
      <c r="S43" s="25" t="n">
        <f aca="false">IF(OR($A43="",$D43=""),0,$E43*$D43)</f>
        <v>0</v>
      </c>
      <c r="T43" s="25" t="n">
        <f aca="false">IF(OR($A43="",$D43=""),0,$F43*$D43)</f>
        <v>0</v>
      </c>
      <c r="U43" s="25" t="n">
        <f aca="false">IF(OR($A43="",$D43=""),0,$G43*$D43)</f>
        <v>0</v>
      </c>
      <c r="V43" s="25" t="n">
        <f aca="false">IF(OR($A43="",$D43=""),0,$H43*$D43)</f>
        <v>0</v>
      </c>
      <c r="W43" s="25" t="n">
        <f aca="false">IF(OR($A43="",$D43=""),0,$I43*$D43)</f>
        <v>0</v>
      </c>
      <c r="X43" s="25" t="n">
        <f aca="false">IF(AND($A43&lt;&gt;"",$D43=""),1,0)</f>
        <v>0</v>
      </c>
      <c r="Y43" s="25" t="n">
        <f aca="false">IF($A43="",0,IF(COUNTIF($O$8:$O$114,$O43)&gt;1,1,0))</f>
        <v>0</v>
      </c>
    </row>
    <row r="44" customFormat="false" ht="15" hidden="false" customHeight="false" outlineLevel="0" collapsed="false">
      <c r="A44" s="15" t="s">
        <v>98</v>
      </c>
      <c r="B44" s="15" t="s">
        <v>70</v>
      </c>
      <c r="C44" s="16" t="s">
        <v>69</v>
      </c>
      <c r="D44" s="17" t="n">
        <v>2</v>
      </c>
      <c r="E44" s="18" t="n">
        <v>0</v>
      </c>
      <c r="F44" s="19" t="n">
        <f aca="false">IF($A44="","",SUMIFS('Daily Entry'!$C$7:$C$5000,'Daily Entry'!$B$7:$B$5000,$O44,'Daily Entry'!$A$7:$A$5000,$E$3))</f>
        <v>0</v>
      </c>
      <c r="G44" s="19" t="n">
        <f aca="false">IF($A44="","",SUMIFS('Daily Entry'!$D$7:$D$5000,'Daily Entry'!$B$7:$B$5000,$O44,'Daily Entry'!$A$7:$A$5000,$E$3))</f>
        <v>0</v>
      </c>
      <c r="H44" s="20" t="n">
        <f aca="false">IF($A44="","",SUMIFS('Daily Entry'!$C$7:$C$5000,'Daily Entry'!$B$7:$B$5000,$O44))</f>
        <v>0</v>
      </c>
      <c r="I44" s="20" t="n">
        <f aca="false">IF($A44="","",SUMIFS('Daily Entry'!$D$7:$D$5000,'Daily Entry'!$B$7:$B$5000,$O44))</f>
        <v>0</v>
      </c>
      <c r="J44" s="21" t="n">
        <f aca="false">IF($A44="","",$E44+$H44-$I44)</f>
        <v>0</v>
      </c>
      <c r="K44" s="22" t="n">
        <f aca="false">IF(OR($A44="",$D44=""),"",$J44*$D44)</f>
        <v>0</v>
      </c>
      <c r="L44" s="23"/>
      <c r="M44" s="24" t="str">
        <f aca="false">IF(OR($A44="",$D44="",$L44="",$E$4=""),"",$K44*$L44*$E$4)</f>
        <v/>
      </c>
      <c r="O44" s="25" t="str">
        <f aca="false">IF($A44="","",$A44&amp;" - "&amp;$B44)</f>
        <v>AMF Brand - PD KKD 100/200</v>
      </c>
      <c r="P44" s="25" t="n">
        <f aca="false">IF($A44="",0,IF(OR($F44&lt;&gt;0,$G44&lt;&gt;0),1,0))</f>
        <v>0</v>
      </c>
      <c r="Q44" s="25" t="str">
        <f aca="false">IF($P44=1,SUM($P$8:$P44),"")</f>
        <v/>
      </c>
      <c r="R44" s="25" t="str">
        <f aca="false">IF($A44="","",$A44&amp;"#"&amp;COUNTIF($A$8:$A44,$A44))</f>
        <v>AMF Brand#2</v>
      </c>
      <c r="S44" s="25" t="n">
        <f aca="false">IF(OR($A44="",$D44=""),0,$E44*$D44)</f>
        <v>0</v>
      </c>
      <c r="T44" s="25" t="n">
        <f aca="false">IF(OR($A44="",$D44=""),0,$F44*$D44)</f>
        <v>0</v>
      </c>
      <c r="U44" s="25" t="n">
        <f aca="false">IF(OR($A44="",$D44=""),0,$G44*$D44)</f>
        <v>0</v>
      </c>
      <c r="V44" s="25" t="n">
        <f aca="false">IF(OR($A44="",$D44=""),0,$H44*$D44)</f>
        <v>0</v>
      </c>
      <c r="W44" s="25" t="n">
        <f aca="false">IF(OR($A44="",$D44=""),0,$I44*$D44)</f>
        <v>0</v>
      </c>
      <c r="X44" s="25" t="n">
        <f aca="false">IF(AND($A44&lt;&gt;"",$D44=""),1,0)</f>
        <v>0</v>
      </c>
      <c r="Y44" s="25" t="n">
        <f aca="false">IF($A44="",0,IF(COUNTIF($O$8:$O$114,$O44)&gt;1,1,0))</f>
        <v>0</v>
      </c>
    </row>
    <row r="45" customFormat="false" ht="15" hidden="false" customHeight="false" outlineLevel="0" collapsed="false">
      <c r="A45" s="26" t="s">
        <v>98</v>
      </c>
      <c r="B45" s="26" t="s">
        <v>71</v>
      </c>
      <c r="C45" s="16" t="s">
        <v>69</v>
      </c>
      <c r="D45" s="17" t="n">
        <v>2</v>
      </c>
      <c r="E45" s="18" t="n">
        <v>0</v>
      </c>
      <c r="F45" s="27" t="n">
        <f aca="false">IF($A45="","",SUMIFS('Daily Entry'!$C$7:$C$5000,'Daily Entry'!$B$7:$B$5000,$O45,'Daily Entry'!$A$7:$A$5000,$E$3))</f>
        <v>0</v>
      </c>
      <c r="G45" s="27" t="n">
        <f aca="false">IF($A45="","",SUMIFS('Daily Entry'!$D$7:$D$5000,'Daily Entry'!$B$7:$B$5000,$O45,'Daily Entry'!$A$7:$A$5000,$E$3))</f>
        <v>0</v>
      </c>
      <c r="H45" s="28" t="n">
        <f aca="false">IF($A45="","",SUMIFS('Daily Entry'!$C$7:$C$5000,'Daily Entry'!$B$7:$B$5000,$O45))</f>
        <v>0</v>
      </c>
      <c r="I45" s="28" t="n">
        <f aca="false">IF($A45="","",SUMIFS('Daily Entry'!$D$7:$D$5000,'Daily Entry'!$B$7:$B$5000,$O45))</f>
        <v>0</v>
      </c>
      <c r="J45" s="29" t="n">
        <f aca="false">IF($A45="","",$E45+$H45-$I45)</f>
        <v>0</v>
      </c>
      <c r="K45" s="30" t="n">
        <f aca="false">IF(OR($A45="",$D45=""),"",$J45*$D45)</f>
        <v>0</v>
      </c>
      <c r="L45" s="23"/>
      <c r="M45" s="31" t="str">
        <f aca="false">IF(OR($A45="",$D45="",$L45="",$E$4=""),"",$K45*$L45*$E$4)</f>
        <v/>
      </c>
      <c r="O45" s="25" t="str">
        <f aca="false">IF($A45="","",$A45&amp;" - "&amp;$B45)</f>
        <v>AMF Brand - PD PVN 200/300</v>
      </c>
      <c r="P45" s="25" t="n">
        <f aca="false">IF($A45="",0,IF(OR($F45&lt;&gt;0,$G45&lt;&gt;0),1,0))</f>
        <v>0</v>
      </c>
      <c r="Q45" s="25" t="str">
        <f aca="false">IF($P45=1,SUM($P$8:$P45),"")</f>
        <v/>
      </c>
      <c r="R45" s="25" t="str">
        <f aca="false">IF($A45="","",$A45&amp;"#"&amp;COUNTIF($A$8:$A45,$A45))</f>
        <v>AMF Brand#3</v>
      </c>
      <c r="S45" s="25" t="n">
        <f aca="false">IF(OR($A45="",$D45=""),0,$E45*$D45)</f>
        <v>0</v>
      </c>
      <c r="T45" s="25" t="n">
        <f aca="false">IF(OR($A45="",$D45=""),0,$F45*$D45)</f>
        <v>0</v>
      </c>
      <c r="U45" s="25" t="n">
        <f aca="false">IF(OR($A45="",$D45=""),0,$G45*$D45)</f>
        <v>0</v>
      </c>
      <c r="V45" s="25" t="n">
        <f aca="false">IF(OR($A45="",$D45=""),0,$H45*$D45)</f>
        <v>0</v>
      </c>
      <c r="W45" s="25" t="n">
        <f aca="false">IF(OR($A45="",$D45=""),0,$I45*$D45)</f>
        <v>0</v>
      </c>
      <c r="X45" s="25" t="n">
        <f aca="false">IF(AND($A45&lt;&gt;"",$D45=""),1,0)</f>
        <v>0</v>
      </c>
      <c r="Y45" s="25" t="n">
        <f aca="false">IF($A45="",0,IF(COUNTIF($O$8:$O$114,$O45)&gt;1,1,0))</f>
        <v>0</v>
      </c>
    </row>
    <row r="46" customFormat="false" ht="15" hidden="false" customHeight="false" outlineLevel="0" collapsed="false">
      <c r="A46" s="15" t="s">
        <v>98</v>
      </c>
      <c r="B46" s="15" t="s">
        <v>73</v>
      </c>
      <c r="C46" s="16" t="s">
        <v>69</v>
      </c>
      <c r="D46" s="17" t="n">
        <v>2</v>
      </c>
      <c r="E46" s="18" t="n">
        <v>1516</v>
      </c>
      <c r="F46" s="19" t="n">
        <f aca="false">IF($A46="","",SUMIFS('Daily Entry'!$C$7:$C$5000,'Daily Entry'!$B$7:$B$5000,$O46,'Daily Entry'!$A$7:$A$5000,$E$3))</f>
        <v>0</v>
      </c>
      <c r="G46" s="19" t="n">
        <f aca="false">IF($A46="","",SUMIFS('Daily Entry'!$D$7:$D$5000,'Daily Entry'!$B$7:$B$5000,$O46,'Daily Entry'!$A$7:$A$5000,$E$3))</f>
        <v>0</v>
      </c>
      <c r="H46" s="20" t="n">
        <f aca="false">IF($A46="","",SUMIFS('Daily Entry'!$C$7:$C$5000,'Daily Entry'!$B$7:$B$5000,$O46))</f>
        <v>0</v>
      </c>
      <c r="I46" s="20" t="n">
        <f aca="false">IF($A46="","",SUMIFS('Daily Entry'!$D$7:$D$5000,'Daily Entry'!$B$7:$B$5000,$O46))</f>
        <v>0</v>
      </c>
      <c r="J46" s="21" t="n">
        <f aca="false">IF($A46="","",$E46+$H46-$I46)</f>
        <v>1516</v>
      </c>
      <c r="K46" s="22" t="n">
        <f aca="false">IF(OR($A46="",$D46=""),"",$J46*$D46)</f>
        <v>3032</v>
      </c>
      <c r="L46" s="23"/>
      <c r="M46" s="24" t="str">
        <f aca="false">IF(OR($A46="",$D46="",$L46="",$E$4=""),"",$K46*$L46*$E$4)</f>
        <v/>
      </c>
      <c r="O46" s="25" t="str">
        <f aca="false">IF($A46="","",$A46&amp;" - "&amp;$B46)</f>
        <v>AMF Brand - PUD PVN 200/300</v>
      </c>
      <c r="P46" s="25" t="n">
        <f aca="false">IF($A46="",0,IF(OR($F46&lt;&gt;0,$G46&lt;&gt;0),1,0))</f>
        <v>0</v>
      </c>
      <c r="Q46" s="25" t="str">
        <f aca="false">IF($P46=1,SUM($P$8:$P46),"")</f>
        <v/>
      </c>
      <c r="R46" s="25" t="str">
        <f aca="false">IF($A46="","",$A46&amp;"#"&amp;COUNTIF($A$8:$A46,$A46))</f>
        <v>AMF Brand#4</v>
      </c>
      <c r="S46" s="25" t="n">
        <f aca="false">IF(OR($A46="",$D46=""),0,$E46*$D46)</f>
        <v>3032</v>
      </c>
      <c r="T46" s="25" t="n">
        <f aca="false">IF(OR($A46="",$D46=""),0,$F46*$D46)</f>
        <v>0</v>
      </c>
      <c r="U46" s="25" t="n">
        <f aca="false">IF(OR($A46="",$D46=""),0,$G46*$D46)</f>
        <v>0</v>
      </c>
      <c r="V46" s="25" t="n">
        <f aca="false">IF(OR($A46="",$D46=""),0,$H46*$D46)</f>
        <v>0</v>
      </c>
      <c r="W46" s="25" t="n">
        <f aca="false">IF(OR($A46="",$D46=""),0,$I46*$D46)</f>
        <v>0</v>
      </c>
      <c r="X46" s="25" t="n">
        <f aca="false">IF(AND($A46&lt;&gt;"",$D46=""),1,0)</f>
        <v>0</v>
      </c>
      <c r="Y46" s="25" t="n">
        <f aca="false">IF($A46="",0,IF(COUNTIF($O$8:$O$114,$O46)&gt;1,1,0))</f>
        <v>0</v>
      </c>
    </row>
    <row r="47" customFormat="false" ht="15" hidden="false" customHeight="false" outlineLevel="0" collapsed="false">
      <c r="A47" s="26" t="s">
        <v>98</v>
      </c>
      <c r="B47" s="26" t="s">
        <v>74</v>
      </c>
      <c r="C47" s="16" t="s">
        <v>69</v>
      </c>
      <c r="D47" s="17" t="n">
        <v>2</v>
      </c>
      <c r="E47" s="18" t="n">
        <v>0</v>
      </c>
      <c r="F47" s="27" t="n">
        <f aca="false">IF($A47="","",SUMIFS('Daily Entry'!$C$7:$C$5000,'Daily Entry'!$B$7:$B$5000,$O47,'Daily Entry'!$A$7:$A$5000,$E$3))</f>
        <v>0</v>
      </c>
      <c r="G47" s="27" t="n">
        <f aca="false">IF($A47="","",SUMIFS('Daily Entry'!$D$7:$D$5000,'Daily Entry'!$B$7:$B$5000,$O47,'Daily Entry'!$A$7:$A$5000,$E$3))</f>
        <v>0</v>
      </c>
      <c r="H47" s="28" t="n">
        <f aca="false">IF($A47="","",SUMIFS('Daily Entry'!$C$7:$C$5000,'Daily Entry'!$B$7:$B$5000,$O47))</f>
        <v>0</v>
      </c>
      <c r="I47" s="28" t="n">
        <f aca="false">IF($A47="","",SUMIFS('Daily Entry'!$D$7:$D$5000,'Daily Entry'!$B$7:$B$5000,$O47))</f>
        <v>0</v>
      </c>
      <c r="J47" s="29" t="n">
        <f aca="false">IF($A47="","",$E47+$H47-$I47)</f>
        <v>0</v>
      </c>
      <c r="K47" s="30" t="n">
        <f aca="false">IF(OR($A47="",$D47=""),"",$J47*$D47)</f>
        <v>0</v>
      </c>
      <c r="L47" s="23"/>
      <c r="M47" s="31" t="str">
        <f aca="false">IF(OR($A47="",$D47="",$L47="",$E$4=""),"",$K47*$L47*$E$4)</f>
        <v/>
      </c>
      <c r="O47" s="25" t="str">
        <f aca="false">IF($A47="","",$A47&amp;" - "&amp;$B47)</f>
        <v>AMF Brand - PUD KKD 200/300</v>
      </c>
      <c r="P47" s="25" t="n">
        <f aca="false">IF($A47="",0,IF(OR($F47&lt;&gt;0,$G47&lt;&gt;0),1,0))</f>
        <v>0</v>
      </c>
      <c r="Q47" s="25" t="str">
        <f aca="false">IF($P47=1,SUM($P$8:$P47),"")</f>
        <v/>
      </c>
      <c r="R47" s="25" t="str">
        <f aca="false">IF($A47="","",$A47&amp;"#"&amp;COUNTIF($A$8:$A47,$A47))</f>
        <v>AMF Brand#5</v>
      </c>
      <c r="S47" s="25" t="n">
        <f aca="false">IF(OR($A47="",$D47=""),0,$E47*$D47)</f>
        <v>0</v>
      </c>
      <c r="T47" s="25" t="n">
        <f aca="false">IF(OR($A47="",$D47=""),0,$F47*$D47)</f>
        <v>0</v>
      </c>
      <c r="U47" s="25" t="n">
        <f aca="false">IF(OR($A47="",$D47=""),0,$G47*$D47)</f>
        <v>0</v>
      </c>
      <c r="V47" s="25" t="n">
        <f aca="false">IF(OR($A47="",$D47=""),0,$H47*$D47)</f>
        <v>0</v>
      </c>
      <c r="W47" s="25" t="n">
        <f aca="false">IF(OR($A47="",$D47=""),0,$I47*$D47)</f>
        <v>0</v>
      </c>
      <c r="X47" s="25" t="n">
        <f aca="false">IF(AND($A47&lt;&gt;"",$D47=""),1,0)</f>
        <v>0</v>
      </c>
      <c r="Y47" s="25" t="n">
        <f aca="false">IF($A47="",0,IF(COUNTIF($O$8:$O$114,$O47)&gt;1,1,0))</f>
        <v>0</v>
      </c>
    </row>
    <row r="48" customFormat="false" ht="15" hidden="false" customHeight="false" outlineLevel="0" collapsed="false">
      <c r="A48" s="15" t="s">
        <v>98</v>
      </c>
      <c r="B48" s="15" t="s">
        <v>75</v>
      </c>
      <c r="C48" s="16" t="s">
        <v>69</v>
      </c>
      <c r="D48" s="17" t="n">
        <v>2</v>
      </c>
      <c r="E48" s="18" t="n">
        <v>18</v>
      </c>
      <c r="F48" s="19" t="n">
        <f aca="false">IF($A48="","",SUMIFS('Daily Entry'!$C$7:$C$5000,'Daily Entry'!$B$7:$B$5000,$O48,'Daily Entry'!$A$7:$A$5000,$E$3))</f>
        <v>0</v>
      </c>
      <c r="G48" s="19" t="n">
        <f aca="false">IF($A48="","",SUMIFS('Daily Entry'!$D$7:$D$5000,'Daily Entry'!$B$7:$B$5000,$O48,'Daily Entry'!$A$7:$A$5000,$E$3))</f>
        <v>0</v>
      </c>
      <c r="H48" s="20" t="n">
        <f aca="false">IF($A48="","",SUMIFS('Daily Entry'!$C$7:$C$5000,'Daily Entry'!$B$7:$B$5000,$O48))</f>
        <v>0</v>
      </c>
      <c r="I48" s="20" t="n">
        <f aca="false">IF($A48="","",SUMIFS('Daily Entry'!$D$7:$D$5000,'Daily Entry'!$B$7:$B$5000,$O48))</f>
        <v>0</v>
      </c>
      <c r="J48" s="21" t="n">
        <f aca="false">IF($A48="","",$E48+$H48-$I48)</f>
        <v>18</v>
      </c>
      <c r="K48" s="22" t="n">
        <f aca="false">IF(OR($A48="",$D48=""),"",$J48*$D48)</f>
        <v>36</v>
      </c>
      <c r="L48" s="23"/>
      <c r="M48" s="24" t="str">
        <f aca="false">IF(OR($A48="",$D48="",$L48="",$E$4=""),"",$K48*$L48*$E$4)</f>
        <v/>
      </c>
      <c r="O48" s="25" t="str">
        <f aca="false">IF($A48="","",$A48&amp;" - "&amp;$B48)</f>
        <v>AMF Brand - PUD PVN 300/500</v>
      </c>
      <c r="P48" s="25" t="n">
        <f aca="false">IF($A48="",0,IF(OR($F48&lt;&gt;0,$G48&lt;&gt;0),1,0))</f>
        <v>0</v>
      </c>
      <c r="Q48" s="25" t="str">
        <f aca="false">IF($P48=1,SUM($P$8:$P48),"")</f>
        <v/>
      </c>
      <c r="R48" s="25" t="str">
        <f aca="false">IF($A48="","",$A48&amp;"#"&amp;COUNTIF($A$8:$A48,$A48))</f>
        <v>AMF Brand#6</v>
      </c>
      <c r="S48" s="25" t="n">
        <f aca="false">IF(OR($A48="",$D48=""),0,$E48*$D48)</f>
        <v>36</v>
      </c>
      <c r="T48" s="25" t="n">
        <f aca="false">IF(OR($A48="",$D48=""),0,$F48*$D48)</f>
        <v>0</v>
      </c>
      <c r="U48" s="25" t="n">
        <f aca="false">IF(OR($A48="",$D48=""),0,$G48*$D48)</f>
        <v>0</v>
      </c>
      <c r="V48" s="25" t="n">
        <f aca="false">IF(OR($A48="",$D48=""),0,$H48*$D48)</f>
        <v>0</v>
      </c>
      <c r="W48" s="25" t="n">
        <f aca="false">IF(OR($A48="",$D48=""),0,$I48*$D48)</f>
        <v>0</v>
      </c>
      <c r="X48" s="25" t="n">
        <f aca="false">IF(AND($A48&lt;&gt;"",$D48=""),1,0)</f>
        <v>0</v>
      </c>
      <c r="Y48" s="25" t="n">
        <f aca="false">IF($A48="",0,IF(COUNTIF($O$8:$O$114,$O48)&gt;1,1,0))</f>
        <v>0</v>
      </c>
    </row>
    <row r="49" customFormat="false" ht="15" hidden="false" customHeight="false" outlineLevel="0" collapsed="false">
      <c r="A49" s="26" t="s">
        <v>98</v>
      </c>
      <c r="B49" s="26" t="s">
        <v>76</v>
      </c>
      <c r="C49" s="16" t="s">
        <v>69</v>
      </c>
      <c r="D49" s="17" t="n">
        <v>2</v>
      </c>
      <c r="E49" s="18" t="n">
        <v>0</v>
      </c>
      <c r="F49" s="27" t="n">
        <f aca="false">IF($A49="","",SUMIFS('Daily Entry'!$C$7:$C$5000,'Daily Entry'!$B$7:$B$5000,$O49,'Daily Entry'!$A$7:$A$5000,$E$3))</f>
        <v>0</v>
      </c>
      <c r="G49" s="27" t="n">
        <f aca="false">IF($A49="","",SUMIFS('Daily Entry'!$D$7:$D$5000,'Daily Entry'!$B$7:$B$5000,$O49,'Daily Entry'!$A$7:$A$5000,$E$3))</f>
        <v>0</v>
      </c>
      <c r="H49" s="28" t="n">
        <f aca="false">IF($A49="","",SUMIFS('Daily Entry'!$C$7:$C$5000,'Daily Entry'!$B$7:$B$5000,$O49))</f>
        <v>0</v>
      </c>
      <c r="I49" s="28" t="n">
        <f aca="false">IF($A49="","",SUMIFS('Daily Entry'!$D$7:$D$5000,'Daily Entry'!$B$7:$B$5000,$O49))</f>
        <v>0</v>
      </c>
      <c r="J49" s="29" t="n">
        <f aca="false">IF($A49="","",$E49+$H49-$I49)</f>
        <v>0</v>
      </c>
      <c r="K49" s="30" t="n">
        <f aca="false">IF(OR($A49="",$D49=""),"",$J49*$D49)</f>
        <v>0</v>
      </c>
      <c r="L49" s="23"/>
      <c r="M49" s="31" t="str">
        <f aca="false">IF(OR($A49="",$D49="",$L49="",$E$4=""),"",$K49*$L49*$E$4)</f>
        <v/>
      </c>
      <c r="O49" s="25" t="str">
        <f aca="false">IF($A49="","",$A49&amp;" - "&amp;$B49)</f>
        <v>AMF Brand - PUD KKD 300/500</v>
      </c>
      <c r="P49" s="25" t="n">
        <f aca="false">IF($A49="",0,IF(OR($F49&lt;&gt;0,$G49&lt;&gt;0),1,0))</f>
        <v>0</v>
      </c>
      <c r="Q49" s="25" t="str">
        <f aca="false">IF($P49=1,SUM($P$8:$P49),"")</f>
        <v/>
      </c>
      <c r="R49" s="25" t="str">
        <f aca="false">IF($A49="","",$A49&amp;"#"&amp;COUNTIF($A$8:$A49,$A49))</f>
        <v>AMF Brand#7</v>
      </c>
      <c r="S49" s="25" t="n">
        <f aca="false">IF(OR($A49="",$D49=""),0,$E49*$D49)</f>
        <v>0</v>
      </c>
      <c r="T49" s="25" t="n">
        <f aca="false">IF(OR($A49="",$D49=""),0,$F49*$D49)</f>
        <v>0</v>
      </c>
      <c r="U49" s="25" t="n">
        <f aca="false">IF(OR($A49="",$D49=""),0,$G49*$D49)</f>
        <v>0</v>
      </c>
      <c r="V49" s="25" t="n">
        <f aca="false">IF(OR($A49="",$D49=""),0,$H49*$D49)</f>
        <v>0</v>
      </c>
      <c r="W49" s="25" t="n">
        <f aca="false">IF(OR($A49="",$D49=""),0,$I49*$D49)</f>
        <v>0</v>
      </c>
      <c r="X49" s="25" t="n">
        <f aca="false">IF(AND($A49&lt;&gt;"",$D49=""),1,0)</f>
        <v>0</v>
      </c>
      <c r="Y49" s="25" t="n">
        <f aca="false">IF($A49="",0,IF(COUNTIF($O$8:$O$114,$O49)&gt;1,1,0))</f>
        <v>0</v>
      </c>
    </row>
    <row r="50" customFormat="false" ht="15" hidden="false" customHeight="false" outlineLevel="0" collapsed="false">
      <c r="A50" s="15" t="s">
        <v>99</v>
      </c>
      <c r="B50" s="15" t="s">
        <v>80</v>
      </c>
      <c r="C50" s="16" t="s">
        <v>69</v>
      </c>
      <c r="D50" s="17" t="n">
        <v>2</v>
      </c>
      <c r="E50" s="18" t="n">
        <v>1389</v>
      </c>
      <c r="F50" s="19" t="n">
        <f aca="false">IF($A50="","",SUMIFS('Daily Entry'!$C$7:$C$5000,'Daily Entry'!$B$7:$B$5000,$O50,'Daily Entry'!$A$7:$A$5000,$E$3))</f>
        <v>1042</v>
      </c>
      <c r="G50" s="19" t="n">
        <f aca="false">IF($A50="","",SUMIFS('Daily Entry'!$D$7:$D$5000,'Daily Entry'!$B$7:$B$5000,$O50,'Daily Entry'!$A$7:$A$5000,$E$3))</f>
        <v>0</v>
      </c>
      <c r="H50" s="20" t="n">
        <f aca="false">IF($A50="","",SUMIFS('Daily Entry'!$C$7:$C$5000,'Daily Entry'!$B$7:$B$5000,$O50))</f>
        <v>2914</v>
      </c>
      <c r="I50" s="20" t="n">
        <f aca="false">IF($A50="","",SUMIFS('Daily Entry'!$D$7:$D$5000,'Daily Entry'!$B$7:$B$5000,$O50))</f>
        <v>0</v>
      </c>
      <c r="J50" s="21" t="n">
        <f aca="false">IF($A50="","",$E50+$H50-$I50)</f>
        <v>4303</v>
      </c>
      <c r="K50" s="22" t="n">
        <f aca="false">IF(OR($A50="",$D50=""),"",$J50*$D50)</f>
        <v>8606</v>
      </c>
      <c r="L50" s="23"/>
      <c r="M50" s="24" t="str">
        <f aca="false">IF(OR($A50="",$D50="",$L50="",$E$4=""),"",$K50*$L50*$E$4)</f>
        <v/>
      </c>
      <c r="O50" s="25" t="str">
        <f aca="false">IF($A50="","",$A50&amp;" - "&amp;$B50)</f>
        <v>THT Brand - PUD PVN 80/120</v>
      </c>
      <c r="P50" s="25" t="n">
        <f aca="false">IF($A50="",0,IF(OR($F50&lt;&gt;0,$G50&lt;&gt;0),1,0))</f>
        <v>1</v>
      </c>
      <c r="Q50" s="25" t="n">
        <f aca="false">IF($P50=1,SUM($P$8:$P50),"")</f>
        <v>12</v>
      </c>
      <c r="R50" s="25" t="str">
        <f aca="false">IF($A50="","",$A50&amp;"#"&amp;COUNTIF($A$8:$A50,$A50))</f>
        <v>THT Brand#1</v>
      </c>
      <c r="S50" s="25" t="n">
        <f aca="false">IF(OR($A50="",$D50=""),0,$E50*$D50)</f>
        <v>2778</v>
      </c>
      <c r="T50" s="25" t="n">
        <f aca="false">IF(OR($A50="",$D50=""),0,$F50*$D50)</f>
        <v>2084</v>
      </c>
      <c r="U50" s="25" t="n">
        <f aca="false">IF(OR($A50="",$D50=""),0,$G50*$D50)</f>
        <v>0</v>
      </c>
      <c r="V50" s="25" t="n">
        <f aca="false">IF(OR($A50="",$D50=""),0,$H50*$D50)</f>
        <v>5828</v>
      </c>
      <c r="W50" s="25" t="n">
        <f aca="false">IF(OR($A50="",$D50=""),0,$I50*$D50)</f>
        <v>0</v>
      </c>
      <c r="X50" s="25" t="n">
        <f aca="false">IF(AND($A50&lt;&gt;"",$D50=""),1,0)</f>
        <v>0</v>
      </c>
      <c r="Y50" s="25" t="n">
        <f aca="false">IF($A50="",0,IF(COUNTIF($O$8:$O$114,$O50)&gt;1,1,0))</f>
        <v>0</v>
      </c>
    </row>
    <row r="51" customFormat="false" ht="15" hidden="false" customHeight="false" outlineLevel="0" collapsed="false">
      <c r="A51" s="26" t="s">
        <v>99</v>
      </c>
      <c r="B51" s="26" t="s">
        <v>83</v>
      </c>
      <c r="C51" s="16" t="s">
        <v>69</v>
      </c>
      <c r="D51" s="17" t="n">
        <v>2</v>
      </c>
      <c r="E51" s="18" t="n">
        <v>7055</v>
      </c>
      <c r="F51" s="27" t="n">
        <f aca="false">IF($A51="","",SUMIFS('Daily Entry'!$C$7:$C$5000,'Daily Entry'!$B$7:$B$5000,$O51,'Daily Entry'!$A$7:$A$5000,$E$3))</f>
        <v>1769</v>
      </c>
      <c r="G51" s="27" t="n">
        <f aca="false">IF($A51="","",SUMIFS('Daily Entry'!$D$7:$D$5000,'Daily Entry'!$B$7:$B$5000,$O51,'Daily Entry'!$A$7:$A$5000,$E$3))</f>
        <v>0</v>
      </c>
      <c r="H51" s="28" t="n">
        <f aca="false">IF($A51="","",SUMIFS('Daily Entry'!$C$7:$C$5000,'Daily Entry'!$B$7:$B$5000,$O51))</f>
        <v>2369</v>
      </c>
      <c r="I51" s="28" t="n">
        <f aca="false">IF($A51="","",SUMIFS('Daily Entry'!$D$7:$D$5000,'Daily Entry'!$B$7:$B$5000,$O51))</f>
        <v>0</v>
      </c>
      <c r="J51" s="29" t="n">
        <f aca="false">IF($A51="","",$E51+$H51-$I51)</f>
        <v>9424</v>
      </c>
      <c r="K51" s="30" t="n">
        <f aca="false">IF(OR($A51="",$D51=""),"",$J51*$D51)</f>
        <v>18848</v>
      </c>
      <c r="L51" s="23"/>
      <c r="M51" s="31" t="str">
        <f aca="false">IF(OR($A51="",$D51="",$L51="",$E$4=""),"",$K51*$L51*$E$4)</f>
        <v/>
      </c>
      <c r="O51" s="25" t="str">
        <f aca="false">IF($A51="","",$A51&amp;" - "&amp;$B51)</f>
        <v>THT Brand - PUD PVN 100/200</v>
      </c>
      <c r="P51" s="25" t="n">
        <f aca="false">IF($A51="",0,IF(OR($F51&lt;&gt;0,$G51&lt;&gt;0),1,0))</f>
        <v>1</v>
      </c>
      <c r="Q51" s="25" t="n">
        <f aca="false">IF($P51=1,SUM($P$8:$P51),"")</f>
        <v>13</v>
      </c>
      <c r="R51" s="25" t="str">
        <f aca="false">IF($A51="","",$A51&amp;"#"&amp;COUNTIF($A$8:$A51,$A51))</f>
        <v>THT Brand#2</v>
      </c>
      <c r="S51" s="25" t="n">
        <f aca="false">IF(OR($A51="",$D51=""),0,$E51*$D51)</f>
        <v>14110</v>
      </c>
      <c r="T51" s="25" t="n">
        <f aca="false">IF(OR($A51="",$D51=""),0,$F51*$D51)</f>
        <v>3538</v>
      </c>
      <c r="U51" s="25" t="n">
        <f aca="false">IF(OR($A51="",$D51=""),0,$G51*$D51)</f>
        <v>0</v>
      </c>
      <c r="V51" s="25" t="n">
        <f aca="false">IF(OR($A51="",$D51=""),0,$H51*$D51)</f>
        <v>4738</v>
      </c>
      <c r="W51" s="25" t="n">
        <f aca="false">IF(OR($A51="",$D51=""),0,$I51*$D51)</f>
        <v>0</v>
      </c>
      <c r="X51" s="25" t="n">
        <f aca="false">IF(AND($A51&lt;&gt;"",$D51=""),1,0)</f>
        <v>0</v>
      </c>
      <c r="Y51" s="25" t="n">
        <f aca="false">IF($A51="",0,IF(COUNTIF($O$8:$O$114,$O51)&gt;1,1,0))</f>
        <v>0</v>
      </c>
    </row>
    <row r="52" customFormat="false" ht="15" hidden="false" customHeight="false" outlineLevel="0" collapsed="false">
      <c r="A52" s="15" t="s">
        <v>99</v>
      </c>
      <c r="B52" s="15" t="s">
        <v>73</v>
      </c>
      <c r="C52" s="16" t="s">
        <v>69</v>
      </c>
      <c r="D52" s="17" t="n">
        <v>2</v>
      </c>
      <c r="E52" s="18" t="n">
        <v>4682</v>
      </c>
      <c r="F52" s="19" t="n">
        <f aca="false">IF($A52="","",SUMIFS('Daily Entry'!$C$7:$C$5000,'Daily Entry'!$B$7:$B$5000,$O52,'Daily Entry'!$A$7:$A$5000,$E$3))</f>
        <v>0</v>
      </c>
      <c r="G52" s="19" t="n">
        <f aca="false">IF($A52="","",SUMIFS('Daily Entry'!$D$7:$D$5000,'Daily Entry'!$B$7:$B$5000,$O52,'Daily Entry'!$A$7:$A$5000,$E$3))</f>
        <v>0</v>
      </c>
      <c r="H52" s="20" t="n">
        <f aca="false">IF($A52="","",SUMIFS('Daily Entry'!$C$7:$C$5000,'Daily Entry'!$B$7:$B$5000,$O52))</f>
        <v>0</v>
      </c>
      <c r="I52" s="20" t="n">
        <f aca="false">IF($A52="","",SUMIFS('Daily Entry'!$D$7:$D$5000,'Daily Entry'!$B$7:$B$5000,$O52))</f>
        <v>0</v>
      </c>
      <c r="J52" s="21" t="n">
        <f aca="false">IF($A52="","",$E52+$H52-$I52)</f>
        <v>4682</v>
      </c>
      <c r="K52" s="22" t="n">
        <f aca="false">IF(OR($A52="",$D52=""),"",$J52*$D52)</f>
        <v>9364</v>
      </c>
      <c r="L52" s="23"/>
      <c r="M52" s="24" t="str">
        <f aca="false">IF(OR($A52="",$D52="",$L52="",$E$4=""),"",$K52*$L52*$E$4)</f>
        <v/>
      </c>
      <c r="O52" s="25" t="str">
        <f aca="false">IF($A52="","",$A52&amp;" - "&amp;$B52)</f>
        <v>THT Brand - PUD PVN 200/300</v>
      </c>
      <c r="P52" s="25" t="n">
        <f aca="false">IF($A52="",0,IF(OR($F52&lt;&gt;0,$G52&lt;&gt;0),1,0))</f>
        <v>0</v>
      </c>
      <c r="Q52" s="25" t="str">
        <f aca="false">IF($P52=1,SUM($P$8:$P52),"")</f>
        <v/>
      </c>
      <c r="R52" s="25" t="str">
        <f aca="false">IF($A52="","",$A52&amp;"#"&amp;COUNTIF($A$8:$A52,$A52))</f>
        <v>THT Brand#3</v>
      </c>
      <c r="S52" s="25" t="n">
        <f aca="false">IF(OR($A52="",$D52=""),0,$E52*$D52)</f>
        <v>9364</v>
      </c>
      <c r="T52" s="25" t="n">
        <f aca="false">IF(OR($A52="",$D52=""),0,$F52*$D52)</f>
        <v>0</v>
      </c>
      <c r="U52" s="25" t="n">
        <f aca="false">IF(OR($A52="",$D52=""),0,$G52*$D52)</f>
        <v>0</v>
      </c>
      <c r="V52" s="25" t="n">
        <f aca="false">IF(OR($A52="",$D52=""),0,$H52*$D52)</f>
        <v>0</v>
      </c>
      <c r="W52" s="25" t="n">
        <f aca="false">IF(OR($A52="",$D52=""),0,$I52*$D52)</f>
        <v>0</v>
      </c>
      <c r="X52" s="25" t="n">
        <f aca="false">IF(AND($A52&lt;&gt;"",$D52=""),1,0)</f>
        <v>0</v>
      </c>
      <c r="Y52" s="25" t="n">
        <f aca="false">IF($A52="",0,IF(COUNTIF($O$8:$O$114,$O52)&gt;1,1,0))</f>
        <v>0</v>
      </c>
    </row>
    <row r="53" customFormat="false" ht="15" hidden="false" customHeight="false" outlineLevel="0" collapsed="false">
      <c r="A53" s="26" t="s">
        <v>100</v>
      </c>
      <c r="B53" s="26" t="s">
        <v>75</v>
      </c>
      <c r="C53" s="16" t="s">
        <v>69</v>
      </c>
      <c r="D53" s="17" t="n">
        <v>2</v>
      </c>
      <c r="E53" s="18" t="n">
        <v>451</v>
      </c>
      <c r="F53" s="27" t="n">
        <f aca="false">IF($A53="","",SUMIFS('Daily Entry'!$C$7:$C$5000,'Daily Entry'!$B$7:$B$5000,$O53,'Daily Entry'!$A$7:$A$5000,$E$3))</f>
        <v>0</v>
      </c>
      <c r="G53" s="27" t="n">
        <f aca="false">IF($A53="","",SUMIFS('Daily Entry'!$D$7:$D$5000,'Daily Entry'!$B$7:$B$5000,$O53,'Daily Entry'!$A$7:$A$5000,$E$3))</f>
        <v>0</v>
      </c>
      <c r="H53" s="28" t="n">
        <f aca="false">IF($A53="","",SUMIFS('Daily Entry'!$C$7:$C$5000,'Daily Entry'!$B$7:$B$5000,$O53))</f>
        <v>0</v>
      </c>
      <c r="I53" s="28" t="n">
        <f aca="false">IF($A53="","",SUMIFS('Daily Entry'!$D$7:$D$5000,'Daily Entry'!$B$7:$B$5000,$O53))</f>
        <v>0</v>
      </c>
      <c r="J53" s="29" t="n">
        <f aca="false">IF($A53="","",$E53+$H53-$I53)</f>
        <v>451</v>
      </c>
      <c r="K53" s="30" t="n">
        <f aca="false">IF(OR($A53="",$D53=""),"",$J53*$D53)</f>
        <v>902</v>
      </c>
      <c r="L53" s="23"/>
      <c r="M53" s="31" t="str">
        <f aca="false">IF(OR($A53="",$D53="",$L53="",$E$4=""),"",$K53*$L53*$E$4)</f>
        <v/>
      </c>
      <c r="O53" s="25" t="str">
        <f aca="false">IF($A53="","",$A53&amp;" - "&amp;$B53)</f>
        <v>China - PUD PVN 300/500</v>
      </c>
      <c r="P53" s="25" t="n">
        <f aca="false">IF($A53="",0,IF(OR($F53&lt;&gt;0,$G53&lt;&gt;0),1,0))</f>
        <v>0</v>
      </c>
      <c r="Q53" s="25" t="str">
        <f aca="false">IF($P53=1,SUM($P$8:$P53),"")</f>
        <v/>
      </c>
      <c r="R53" s="25" t="str">
        <f aca="false">IF($A53="","",$A53&amp;"#"&amp;COUNTIF($A$8:$A53,$A53))</f>
        <v>China#1</v>
      </c>
      <c r="S53" s="25" t="n">
        <f aca="false">IF(OR($A53="",$D53=""),0,$E53*$D53)</f>
        <v>902</v>
      </c>
      <c r="T53" s="25" t="n">
        <f aca="false">IF(OR($A53="",$D53=""),0,$F53*$D53)</f>
        <v>0</v>
      </c>
      <c r="U53" s="25" t="n">
        <f aca="false">IF(OR($A53="",$D53=""),0,$G53*$D53)</f>
        <v>0</v>
      </c>
      <c r="V53" s="25" t="n">
        <f aca="false">IF(OR($A53="",$D53=""),0,$H53*$D53)</f>
        <v>0</v>
      </c>
      <c r="W53" s="25" t="n">
        <f aca="false">IF(OR($A53="",$D53=""),0,$I53*$D53)</f>
        <v>0</v>
      </c>
      <c r="X53" s="25" t="n">
        <f aca="false">IF(AND($A53&lt;&gt;"",$D53=""),1,0)</f>
        <v>0</v>
      </c>
      <c r="Y53" s="25" t="n">
        <f aca="false">IF($A53="",0,IF(COUNTIF($O$8:$O$114,$O53)&gt;1,1,0))</f>
        <v>0</v>
      </c>
    </row>
    <row r="54" customFormat="false" ht="15" hidden="false" customHeight="false" outlineLevel="0" collapsed="false">
      <c r="A54" s="15" t="s">
        <v>100</v>
      </c>
      <c r="B54" s="15" t="s">
        <v>76</v>
      </c>
      <c r="C54" s="16" t="s">
        <v>69</v>
      </c>
      <c r="D54" s="17" t="n">
        <v>2</v>
      </c>
      <c r="E54" s="18" t="n">
        <v>188</v>
      </c>
      <c r="F54" s="19" t="n">
        <f aca="false">IF($A54="","",SUMIFS('Daily Entry'!$C$7:$C$5000,'Daily Entry'!$B$7:$B$5000,$O54,'Daily Entry'!$A$7:$A$5000,$E$3))</f>
        <v>0</v>
      </c>
      <c r="G54" s="19" t="n">
        <f aca="false">IF($A54="","",SUMIFS('Daily Entry'!$D$7:$D$5000,'Daily Entry'!$B$7:$B$5000,$O54,'Daily Entry'!$A$7:$A$5000,$E$3))</f>
        <v>0</v>
      </c>
      <c r="H54" s="20" t="n">
        <f aca="false">IF($A54="","",SUMIFS('Daily Entry'!$C$7:$C$5000,'Daily Entry'!$B$7:$B$5000,$O54))</f>
        <v>0</v>
      </c>
      <c r="I54" s="20" t="n">
        <f aca="false">IF($A54="","",SUMIFS('Daily Entry'!$D$7:$D$5000,'Daily Entry'!$B$7:$B$5000,$O54))</f>
        <v>0</v>
      </c>
      <c r="J54" s="21" t="n">
        <f aca="false">IF($A54="","",$E54+$H54-$I54)</f>
        <v>188</v>
      </c>
      <c r="K54" s="22" t="n">
        <f aca="false">IF(OR($A54="",$D54=""),"",$J54*$D54)</f>
        <v>376</v>
      </c>
      <c r="L54" s="23"/>
      <c r="M54" s="24" t="str">
        <f aca="false">IF(OR($A54="",$D54="",$L54="",$E$4=""),"",$K54*$L54*$E$4)</f>
        <v/>
      </c>
      <c r="O54" s="25" t="str">
        <f aca="false">IF($A54="","",$A54&amp;" - "&amp;$B54)</f>
        <v>China - PUD KKD 300/500</v>
      </c>
      <c r="P54" s="25" t="n">
        <f aca="false">IF($A54="",0,IF(OR($F54&lt;&gt;0,$G54&lt;&gt;0),1,0))</f>
        <v>0</v>
      </c>
      <c r="Q54" s="25" t="str">
        <f aca="false">IF($P54=1,SUM($P$8:$P54),"")</f>
        <v/>
      </c>
      <c r="R54" s="25" t="str">
        <f aca="false">IF($A54="","",$A54&amp;"#"&amp;COUNTIF($A$8:$A54,$A54))</f>
        <v>China#2</v>
      </c>
      <c r="S54" s="25" t="n">
        <f aca="false">IF(OR($A54="",$D54=""),0,$E54*$D54)</f>
        <v>376</v>
      </c>
      <c r="T54" s="25" t="n">
        <f aca="false">IF(OR($A54="",$D54=""),0,$F54*$D54)</f>
        <v>0</v>
      </c>
      <c r="U54" s="25" t="n">
        <f aca="false">IF(OR($A54="",$D54=""),0,$G54*$D54)</f>
        <v>0</v>
      </c>
      <c r="V54" s="25" t="n">
        <f aca="false">IF(OR($A54="",$D54=""),0,$H54*$D54)</f>
        <v>0</v>
      </c>
      <c r="W54" s="25" t="n">
        <f aca="false">IF(OR($A54="",$D54=""),0,$I54*$D54)</f>
        <v>0</v>
      </c>
      <c r="X54" s="25" t="n">
        <f aca="false">IF(AND($A54&lt;&gt;"",$D54=""),1,0)</f>
        <v>0</v>
      </c>
      <c r="Y54" s="25" t="n">
        <f aca="false">IF($A54="",0,IF(COUNTIF($O$8:$O$114,$O54)&gt;1,1,0))</f>
        <v>0</v>
      </c>
    </row>
    <row r="55" customFormat="false" ht="15" hidden="false" customHeight="false" outlineLevel="0" collapsed="false">
      <c r="A55" s="26" t="s">
        <v>100</v>
      </c>
      <c r="B55" s="26" t="s">
        <v>101</v>
      </c>
      <c r="C55" s="16" t="s">
        <v>69</v>
      </c>
      <c r="D55" s="17" t="n">
        <v>2</v>
      </c>
      <c r="E55" s="18" t="n">
        <v>401</v>
      </c>
      <c r="F55" s="27" t="n">
        <f aca="false">IF($A55="","",SUMIFS('Daily Entry'!$C$7:$C$5000,'Daily Entry'!$B$7:$B$5000,$O55,'Daily Entry'!$A$7:$A$5000,$E$3))</f>
        <v>0</v>
      </c>
      <c r="G55" s="27" t="n">
        <f aca="false">IF($A55="","",SUMIFS('Daily Entry'!$D$7:$D$5000,'Daily Entry'!$B$7:$B$5000,$O55,'Daily Entry'!$A$7:$A$5000,$E$3))</f>
        <v>0</v>
      </c>
      <c r="H55" s="28" t="n">
        <f aca="false">IF($A55="","",SUMIFS('Daily Entry'!$C$7:$C$5000,'Daily Entry'!$B$7:$B$5000,$O55))</f>
        <v>0</v>
      </c>
      <c r="I55" s="28" t="n">
        <f aca="false">IF($A55="","",SUMIFS('Daily Entry'!$D$7:$D$5000,'Daily Entry'!$B$7:$B$5000,$O55))</f>
        <v>0</v>
      </c>
      <c r="J55" s="29" t="n">
        <f aca="false">IF($A55="","",$E55+$H55-$I55)</f>
        <v>401</v>
      </c>
      <c r="K55" s="30" t="n">
        <f aca="false">IF(OR($A55="",$D55=""),"",$J55*$D55)</f>
        <v>802</v>
      </c>
      <c r="L55" s="23"/>
      <c r="M55" s="31" t="str">
        <f aca="false">IF(OR($A55="",$D55="",$L55="",$E$4=""),"",$K55*$L55*$E$4)</f>
        <v/>
      </c>
      <c r="O55" s="25" t="str">
        <f aca="false">IF($A55="","",$A55&amp;" - "&amp;$B55)</f>
        <v>China - PUD PVN 500/800</v>
      </c>
      <c r="P55" s="25" t="n">
        <f aca="false">IF($A55="",0,IF(OR($F55&lt;&gt;0,$G55&lt;&gt;0),1,0))</f>
        <v>0</v>
      </c>
      <c r="Q55" s="25" t="str">
        <f aca="false">IF($P55=1,SUM($P$8:$P55),"")</f>
        <v/>
      </c>
      <c r="R55" s="25" t="str">
        <f aca="false">IF($A55="","",$A55&amp;"#"&amp;COUNTIF($A$8:$A55,$A55))</f>
        <v>China#3</v>
      </c>
      <c r="S55" s="25" t="n">
        <f aca="false">IF(OR($A55="",$D55=""),0,$E55*$D55)</f>
        <v>802</v>
      </c>
      <c r="T55" s="25" t="n">
        <f aca="false">IF(OR($A55="",$D55=""),0,$F55*$D55)</f>
        <v>0</v>
      </c>
      <c r="U55" s="25" t="n">
        <f aca="false">IF(OR($A55="",$D55=""),0,$G55*$D55)</f>
        <v>0</v>
      </c>
      <c r="V55" s="25" t="n">
        <f aca="false">IF(OR($A55="",$D55=""),0,$H55*$D55)</f>
        <v>0</v>
      </c>
      <c r="W55" s="25" t="n">
        <f aca="false">IF(OR($A55="",$D55=""),0,$I55*$D55)</f>
        <v>0</v>
      </c>
      <c r="X55" s="25" t="n">
        <f aca="false">IF(AND($A55&lt;&gt;"",$D55=""),1,0)</f>
        <v>0</v>
      </c>
      <c r="Y55" s="25" t="n">
        <f aca="false">IF($A55="",0,IF(COUNTIF($O$8:$O$114,$O55)&gt;1,1,0))</f>
        <v>0</v>
      </c>
    </row>
    <row r="56" customFormat="false" ht="15" hidden="false" customHeight="false" outlineLevel="0" collapsed="false">
      <c r="A56" s="15" t="s">
        <v>100</v>
      </c>
      <c r="B56" s="15" t="s">
        <v>102</v>
      </c>
      <c r="C56" s="16" t="s">
        <v>69</v>
      </c>
      <c r="D56" s="17" t="n">
        <v>2</v>
      </c>
      <c r="E56" s="18" t="n">
        <v>1920</v>
      </c>
      <c r="F56" s="19" t="n">
        <f aca="false">IF($A56="","",SUMIFS('Daily Entry'!$C$7:$C$5000,'Daily Entry'!$B$7:$B$5000,$O56,'Daily Entry'!$A$7:$A$5000,$E$3))</f>
        <v>0</v>
      </c>
      <c r="G56" s="19" t="n">
        <f aca="false">IF($A56="","",SUMIFS('Daily Entry'!$D$7:$D$5000,'Daily Entry'!$B$7:$B$5000,$O56,'Daily Entry'!$A$7:$A$5000,$E$3))</f>
        <v>0</v>
      </c>
      <c r="H56" s="20" t="n">
        <f aca="false">IF($A56="","",SUMIFS('Daily Entry'!$C$7:$C$5000,'Daily Entry'!$B$7:$B$5000,$O56))</f>
        <v>0</v>
      </c>
      <c r="I56" s="20" t="n">
        <f aca="false">IF($A56="","",SUMIFS('Daily Entry'!$D$7:$D$5000,'Daily Entry'!$B$7:$B$5000,$O56))</f>
        <v>0</v>
      </c>
      <c r="J56" s="21" t="n">
        <f aca="false">IF($A56="","",$E56+$H56-$I56)</f>
        <v>1920</v>
      </c>
      <c r="K56" s="22" t="n">
        <f aca="false">IF(OR($A56="",$D56=""),"",$J56*$D56)</f>
        <v>3840</v>
      </c>
      <c r="L56" s="23"/>
      <c r="M56" s="24" t="str">
        <f aca="false">IF(OR($A56="",$D56="",$L56="",$E$4=""),"",$K56*$L56*$E$4)</f>
        <v/>
      </c>
      <c r="O56" s="25" t="str">
        <f aca="false">IF($A56="","",$A56&amp;" - "&amp;$B56)</f>
        <v>China - PUD KKD 500/800</v>
      </c>
      <c r="P56" s="25" t="n">
        <f aca="false">IF($A56="",0,IF(OR($F56&lt;&gt;0,$G56&lt;&gt;0),1,0))</f>
        <v>0</v>
      </c>
      <c r="Q56" s="25" t="str">
        <f aca="false">IF($P56=1,SUM($P$8:$P56),"")</f>
        <v/>
      </c>
      <c r="R56" s="25" t="str">
        <f aca="false">IF($A56="","",$A56&amp;"#"&amp;COUNTIF($A$8:$A56,$A56))</f>
        <v>China#4</v>
      </c>
      <c r="S56" s="25" t="n">
        <f aca="false">IF(OR($A56="",$D56=""),0,$E56*$D56)</f>
        <v>3840</v>
      </c>
      <c r="T56" s="25" t="n">
        <f aca="false">IF(OR($A56="",$D56=""),0,$F56*$D56)</f>
        <v>0</v>
      </c>
      <c r="U56" s="25" t="n">
        <f aca="false">IF(OR($A56="",$D56=""),0,$G56*$D56)</f>
        <v>0</v>
      </c>
      <c r="V56" s="25" t="n">
        <f aca="false">IF(OR($A56="",$D56=""),0,$H56*$D56)</f>
        <v>0</v>
      </c>
      <c r="W56" s="25" t="n">
        <f aca="false">IF(OR($A56="",$D56=""),0,$I56*$D56)</f>
        <v>0</v>
      </c>
      <c r="X56" s="25" t="n">
        <f aca="false">IF(AND($A56&lt;&gt;"",$D56=""),1,0)</f>
        <v>0</v>
      </c>
      <c r="Y56" s="25" t="n">
        <f aca="false">IF($A56="",0,IF(COUNTIF($O$8:$O$114,$O56)&gt;1,1,0))</f>
        <v>0</v>
      </c>
    </row>
    <row r="57" customFormat="false" ht="15" hidden="false" customHeight="false" outlineLevel="0" collapsed="false">
      <c r="A57" s="26" t="s">
        <v>103</v>
      </c>
      <c r="B57" s="26" t="s">
        <v>96</v>
      </c>
      <c r="C57" s="16" t="s">
        <v>69</v>
      </c>
      <c r="D57" s="17" t="n">
        <v>2</v>
      </c>
      <c r="E57" s="18" t="n">
        <v>670</v>
      </c>
      <c r="F57" s="27" t="n">
        <f aca="false">IF($A57="","",SUMIFS('Daily Entry'!$C$7:$C$5000,'Daily Entry'!$B$7:$B$5000,$O57,'Daily Entry'!$A$7:$A$5000,$E$3))</f>
        <v>0</v>
      </c>
      <c r="G57" s="27" t="n">
        <f aca="false">IF($A57="","",SUMIFS('Daily Entry'!$D$7:$D$5000,'Daily Entry'!$B$7:$B$5000,$O57,'Daily Entry'!$A$7:$A$5000,$E$3))</f>
        <v>0</v>
      </c>
      <c r="H57" s="28" t="n">
        <f aca="false">IF($A57="","",SUMIFS('Daily Entry'!$C$7:$C$5000,'Daily Entry'!$B$7:$B$5000,$O57))</f>
        <v>0</v>
      </c>
      <c r="I57" s="28" t="n">
        <f aca="false">IF($A57="","",SUMIFS('Daily Entry'!$D$7:$D$5000,'Daily Entry'!$B$7:$B$5000,$O57))</f>
        <v>0</v>
      </c>
      <c r="J57" s="29" t="n">
        <f aca="false">IF($A57="","",$E57+$H57-$I57)</f>
        <v>670</v>
      </c>
      <c r="K57" s="30" t="n">
        <f aca="false">IF(OR($A57="",$D57=""),"",$J57*$D57)</f>
        <v>1340</v>
      </c>
      <c r="L57" s="23"/>
      <c r="M57" s="31" t="str">
        <f aca="false">IF(OR($A57="",$D57="",$L57="",$E$4=""),"",$K57*$L57*$E$4)</f>
        <v/>
      </c>
      <c r="O57" s="25" t="str">
        <f aca="false">IF($A57="","",$A57&amp;" - "&amp;$B57)</f>
        <v>Deep Sea - PUD 300/500</v>
      </c>
      <c r="P57" s="25" t="n">
        <f aca="false">IF($A57="",0,IF(OR($F57&lt;&gt;0,$G57&lt;&gt;0),1,0))</f>
        <v>0</v>
      </c>
      <c r="Q57" s="25" t="str">
        <f aca="false">IF($P57=1,SUM($P$8:$P57),"")</f>
        <v/>
      </c>
      <c r="R57" s="25" t="str">
        <f aca="false">IF($A57="","",$A57&amp;"#"&amp;COUNTIF($A$8:$A57,$A57))</f>
        <v>Deep Sea#1</v>
      </c>
      <c r="S57" s="25" t="n">
        <f aca="false">IF(OR($A57="",$D57=""),0,$E57*$D57)</f>
        <v>1340</v>
      </c>
      <c r="T57" s="25" t="n">
        <f aca="false">IF(OR($A57="",$D57=""),0,$F57*$D57)</f>
        <v>0</v>
      </c>
      <c r="U57" s="25" t="n">
        <f aca="false">IF(OR($A57="",$D57=""),0,$G57*$D57)</f>
        <v>0</v>
      </c>
      <c r="V57" s="25" t="n">
        <f aca="false">IF(OR($A57="",$D57=""),0,$H57*$D57)</f>
        <v>0</v>
      </c>
      <c r="W57" s="25" t="n">
        <f aca="false">IF(OR($A57="",$D57=""),0,$I57*$D57)</f>
        <v>0</v>
      </c>
      <c r="X57" s="25" t="n">
        <f aca="false">IF(AND($A57&lt;&gt;"",$D57=""),1,0)</f>
        <v>0</v>
      </c>
      <c r="Y57" s="25" t="n">
        <f aca="false">IF($A57="",0,IF(COUNTIF($O$8:$O$114,$O57)&gt;1,1,0))</f>
        <v>0</v>
      </c>
    </row>
    <row r="58" customFormat="false" ht="15" hidden="false" customHeight="false" outlineLevel="0" collapsed="false">
      <c r="A58" s="15" t="s">
        <v>104</v>
      </c>
      <c r="B58" s="15" t="s">
        <v>105</v>
      </c>
      <c r="C58" s="16" t="s">
        <v>69</v>
      </c>
      <c r="D58" s="17"/>
      <c r="E58" s="18" t="n">
        <v>0</v>
      </c>
      <c r="F58" s="19" t="n">
        <f aca="false">IF($A58="","",SUMIFS('Daily Entry'!$C$7:$C$5000,'Daily Entry'!$B$7:$B$5000,$O58,'Daily Entry'!$A$7:$A$5000,$E$3))</f>
        <v>0</v>
      </c>
      <c r="G58" s="19" t="n">
        <f aca="false">IF($A58="","",SUMIFS('Daily Entry'!$D$7:$D$5000,'Daily Entry'!$B$7:$B$5000,$O58,'Daily Entry'!$A$7:$A$5000,$E$3))</f>
        <v>0</v>
      </c>
      <c r="H58" s="20" t="n">
        <f aca="false">IF($A58="","",SUMIFS('Daily Entry'!$C$7:$C$5000,'Daily Entry'!$B$7:$B$5000,$O58))</f>
        <v>0</v>
      </c>
      <c r="I58" s="20" t="n">
        <f aca="false">IF($A58="","",SUMIFS('Daily Entry'!$D$7:$D$5000,'Daily Entry'!$B$7:$B$5000,$O58))</f>
        <v>0</v>
      </c>
      <c r="J58" s="21" t="n">
        <f aca="false">IF($A58="","",$E58+$H58-$I58)</f>
        <v>0</v>
      </c>
      <c r="K58" s="22" t="str">
        <f aca="false">IF(OR($A58="",$D58=""),"",$J58*$D58)</f>
        <v/>
      </c>
      <c r="L58" s="23"/>
      <c r="M58" s="24" t="str">
        <f aca="false">IF(OR($A58="",$D58="",$L58="",$E$4=""),"",$K58*$L58*$E$4)</f>
        <v/>
      </c>
      <c r="O58" s="25" t="str">
        <f aca="false">IF($A58="","",$A58&amp;" - "&amp;$B58)</f>
        <v>Shrimp Whole - HOSO PVN 4-7</v>
      </c>
      <c r="P58" s="25" t="n">
        <f aca="false">IF($A58="",0,IF(OR($F58&lt;&gt;0,$G58&lt;&gt;0),1,0))</f>
        <v>0</v>
      </c>
      <c r="Q58" s="25" t="str">
        <f aca="false">IF($P58=1,SUM($P$8:$P58),"")</f>
        <v/>
      </c>
      <c r="R58" s="25" t="str">
        <f aca="false">IF($A58="","",$A58&amp;"#"&amp;COUNTIF($A$8:$A58,$A58))</f>
        <v>Shrimp Whole#1</v>
      </c>
      <c r="S58" s="25" t="n">
        <f aca="false">IF(OR($A58="",$D58=""),0,$E58*$D58)</f>
        <v>0</v>
      </c>
      <c r="T58" s="25" t="n">
        <f aca="false">IF(OR($A58="",$D58=""),0,$F58*$D58)</f>
        <v>0</v>
      </c>
      <c r="U58" s="25" t="n">
        <f aca="false">IF(OR($A58="",$D58=""),0,$G58*$D58)</f>
        <v>0</v>
      </c>
      <c r="V58" s="25" t="n">
        <f aca="false">IF(OR($A58="",$D58=""),0,$H58*$D58)</f>
        <v>0</v>
      </c>
      <c r="W58" s="25" t="n">
        <f aca="false">IF(OR($A58="",$D58=""),0,$I58*$D58)</f>
        <v>0</v>
      </c>
      <c r="X58" s="25" t="n">
        <f aca="false">IF(AND($A58&lt;&gt;"",$D58=""),1,0)</f>
        <v>1</v>
      </c>
      <c r="Y58" s="25" t="n">
        <f aca="false">IF($A58="",0,IF(COUNTIF($O$8:$O$114,$O58)&gt;1,1,0))</f>
        <v>0</v>
      </c>
    </row>
    <row r="59" customFormat="false" ht="15" hidden="false" customHeight="false" outlineLevel="0" collapsed="false">
      <c r="A59" s="26" t="s">
        <v>106</v>
      </c>
      <c r="B59" s="26" t="s">
        <v>107</v>
      </c>
      <c r="C59" s="16" t="s">
        <v>108</v>
      </c>
      <c r="D59" s="17" t="n">
        <v>1</v>
      </c>
      <c r="E59" s="18" t="n">
        <v>0</v>
      </c>
      <c r="F59" s="27" t="n">
        <f aca="false">IF($A59="","",SUMIFS('Daily Entry'!$C$7:$C$5000,'Daily Entry'!$B$7:$B$5000,$O59,'Daily Entry'!$A$7:$A$5000,$E$3))</f>
        <v>0</v>
      </c>
      <c r="G59" s="27" t="n">
        <f aca="false">IF($A59="","",SUMIFS('Daily Entry'!$D$7:$D$5000,'Daily Entry'!$B$7:$B$5000,$O59,'Daily Entry'!$A$7:$A$5000,$E$3))</f>
        <v>0</v>
      </c>
      <c r="H59" s="28" t="n">
        <f aca="false">IF($A59="","",SUMIFS('Daily Entry'!$C$7:$C$5000,'Daily Entry'!$B$7:$B$5000,$O59))</f>
        <v>0</v>
      </c>
      <c r="I59" s="28" t="n">
        <f aca="false">IF($A59="","",SUMIFS('Daily Entry'!$D$7:$D$5000,'Daily Entry'!$B$7:$B$5000,$O59))</f>
        <v>0</v>
      </c>
      <c r="J59" s="29" t="n">
        <f aca="false">IF($A59="","",$E59+$H59-$I59)</f>
        <v>0</v>
      </c>
      <c r="K59" s="30" t="n">
        <f aca="false">IF(OR($A59="",$D59=""),"",$J59*$D59)</f>
        <v>0</v>
      </c>
      <c r="L59" s="23"/>
      <c r="M59" s="31" t="str">
        <f aca="false">IF(OR($A59="",$D59="",$L59="",$E$4=""),"",$K59*$L59*$E$4)</f>
        <v/>
      </c>
      <c r="O59" s="25" t="str">
        <f aca="false">IF($A59="","",$A59&amp;" - "&amp;$B59)</f>
        <v>Tuna - SKIPJACK 1/2</v>
      </c>
      <c r="P59" s="25" t="n">
        <f aca="false">IF($A59="",0,IF(OR($F59&lt;&gt;0,$G59&lt;&gt;0),1,0))</f>
        <v>0</v>
      </c>
      <c r="Q59" s="25" t="str">
        <f aca="false">IF($P59=1,SUM($P$8:$P59),"")</f>
        <v/>
      </c>
      <c r="R59" s="25" t="str">
        <f aca="false">IF($A59="","",$A59&amp;"#"&amp;COUNTIF($A$8:$A59,$A59))</f>
        <v>Tuna#1</v>
      </c>
      <c r="S59" s="25" t="n">
        <f aca="false">IF(OR($A59="",$D59=""),0,$E59*$D59)</f>
        <v>0</v>
      </c>
      <c r="T59" s="25" t="n">
        <f aca="false">IF(OR($A59="",$D59=""),0,$F59*$D59)</f>
        <v>0</v>
      </c>
      <c r="U59" s="25" t="n">
        <f aca="false">IF(OR($A59="",$D59=""),0,$G59*$D59)</f>
        <v>0</v>
      </c>
      <c r="V59" s="25" t="n">
        <f aca="false">IF(OR($A59="",$D59=""),0,$H59*$D59)</f>
        <v>0</v>
      </c>
      <c r="W59" s="25" t="n">
        <f aca="false">IF(OR($A59="",$D59=""),0,$I59*$D59)</f>
        <v>0</v>
      </c>
      <c r="X59" s="25" t="n">
        <f aca="false">IF(AND($A59&lt;&gt;"",$D59=""),1,0)</f>
        <v>0</v>
      </c>
      <c r="Y59" s="25" t="n">
        <f aca="false">IF($A59="",0,IF(COUNTIF($O$8:$O$114,$O59)&gt;1,1,0))</f>
        <v>0</v>
      </c>
    </row>
    <row r="60" customFormat="false" ht="15" hidden="false" customHeight="false" outlineLevel="0" collapsed="false">
      <c r="A60" s="15" t="s">
        <v>106</v>
      </c>
      <c r="B60" s="15" t="s">
        <v>109</v>
      </c>
      <c r="C60" s="16" t="s">
        <v>108</v>
      </c>
      <c r="D60" s="17" t="n">
        <v>1</v>
      </c>
      <c r="E60" s="18" t="n">
        <v>14946.5</v>
      </c>
      <c r="F60" s="19" t="n">
        <f aca="false">IF($A60="","",SUMIFS('Daily Entry'!$C$7:$C$5000,'Daily Entry'!$B$7:$B$5000,$O60,'Daily Entry'!$A$7:$A$5000,$E$3))</f>
        <v>0</v>
      </c>
      <c r="G60" s="19" t="n">
        <f aca="false">IF($A60="","",SUMIFS('Daily Entry'!$D$7:$D$5000,'Daily Entry'!$B$7:$B$5000,$O60,'Daily Entry'!$A$7:$A$5000,$E$3))</f>
        <v>0</v>
      </c>
      <c r="H60" s="20" t="n">
        <f aca="false">IF($A60="","",SUMIFS('Daily Entry'!$C$7:$C$5000,'Daily Entry'!$B$7:$B$5000,$O60))</f>
        <v>0</v>
      </c>
      <c r="I60" s="20" t="n">
        <f aca="false">IF($A60="","",SUMIFS('Daily Entry'!$D$7:$D$5000,'Daily Entry'!$B$7:$B$5000,$O60))</f>
        <v>0</v>
      </c>
      <c r="J60" s="21" t="n">
        <f aca="false">IF($A60="","",$E60+$H60-$I60)</f>
        <v>14946.5</v>
      </c>
      <c r="K60" s="22" t="n">
        <f aca="false">IF(OR($A60="",$D60=""),"",$J60*$D60)</f>
        <v>14946.5</v>
      </c>
      <c r="L60" s="23"/>
      <c r="M60" s="24" t="str">
        <f aca="false">IF(OR($A60="",$D60="",$L60="",$E$4=""),"",$K60*$L60*$E$4)</f>
        <v/>
      </c>
      <c r="O60" s="25" t="str">
        <f aca="false">IF($A60="","",$A60&amp;" - "&amp;$B60)</f>
        <v>Tuna - SKIPJACK 2/4</v>
      </c>
      <c r="P60" s="25" t="n">
        <f aca="false">IF($A60="",0,IF(OR($F60&lt;&gt;0,$G60&lt;&gt;0),1,0))</f>
        <v>0</v>
      </c>
      <c r="Q60" s="25" t="str">
        <f aca="false">IF($P60=1,SUM($P$8:$P60),"")</f>
        <v/>
      </c>
      <c r="R60" s="25" t="str">
        <f aca="false">IF($A60="","",$A60&amp;"#"&amp;COUNTIF($A$8:$A60,$A60))</f>
        <v>Tuna#2</v>
      </c>
      <c r="S60" s="25" t="n">
        <f aca="false">IF(OR($A60="",$D60=""),0,$E60*$D60)</f>
        <v>14946.5</v>
      </c>
      <c r="T60" s="25" t="n">
        <f aca="false">IF(OR($A60="",$D60=""),0,$F60*$D60)</f>
        <v>0</v>
      </c>
      <c r="U60" s="25" t="n">
        <f aca="false">IF(OR($A60="",$D60=""),0,$G60*$D60)</f>
        <v>0</v>
      </c>
      <c r="V60" s="25" t="n">
        <f aca="false">IF(OR($A60="",$D60=""),0,$H60*$D60)</f>
        <v>0</v>
      </c>
      <c r="W60" s="25" t="n">
        <f aca="false">IF(OR($A60="",$D60=""),0,$I60*$D60)</f>
        <v>0</v>
      </c>
      <c r="X60" s="25" t="n">
        <f aca="false">IF(AND($A60&lt;&gt;"",$D60=""),1,0)</f>
        <v>0</v>
      </c>
      <c r="Y60" s="25" t="n">
        <f aca="false">IF($A60="",0,IF(COUNTIF($O$8:$O$114,$O60)&gt;1,1,0))</f>
        <v>0</v>
      </c>
    </row>
    <row r="61" customFormat="false" ht="15" hidden="false" customHeight="false" outlineLevel="0" collapsed="false">
      <c r="A61" s="26" t="s">
        <v>106</v>
      </c>
      <c r="B61" s="26" t="s">
        <v>110</v>
      </c>
      <c r="C61" s="16" t="s">
        <v>108</v>
      </c>
      <c r="D61" s="17" t="n">
        <v>1</v>
      </c>
      <c r="E61" s="18" t="n">
        <v>913.5</v>
      </c>
      <c r="F61" s="27" t="n">
        <f aca="false">IF($A61="","",SUMIFS('Daily Entry'!$C$7:$C$5000,'Daily Entry'!$B$7:$B$5000,$O61,'Daily Entry'!$A$7:$A$5000,$E$3))</f>
        <v>0</v>
      </c>
      <c r="G61" s="27" t="n">
        <f aca="false">IF($A61="","",SUMIFS('Daily Entry'!$D$7:$D$5000,'Daily Entry'!$B$7:$B$5000,$O61,'Daily Entry'!$A$7:$A$5000,$E$3))</f>
        <v>0</v>
      </c>
      <c r="H61" s="28" t="n">
        <f aca="false">IF($A61="","",SUMIFS('Daily Entry'!$C$7:$C$5000,'Daily Entry'!$B$7:$B$5000,$O61))</f>
        <v>0</v>
      </c>
      <c r="I61" s="28" t="n">
        <f aca="false">IF($A61="","",SUMIFS('Daily Entry'!$D$7:$D$5000,'Daily Entry'!$B$7:$B$5000,$O61))</f>
        <v>0</v>
      </c>
      <c r="J61" s="29" t="n">
        <f aca="false">IF($A61="","",$E61+$H61-$I61)</f>
        <v>913.5</v>
      </c>
      <c r="K61" s="30" t="n">
        <f aca="false">IF(OR($A61="",$D61=""),"",$J61*$D61)</f>
        <v>913.5</v>
      </c>
      <c r="L61" s="23"/>
      <c r="M61" s="31" t="str">
        <f aca="false">IF(OR($A61="",$D61="",$L61="",$E$4=""),"",$K61*$L61*$E$4)</f>
        <v/>
      </c>
      <c r="O61" s="25" t="str">
        <f aca="false">IF($A61="","",$A61&amp;" - "&amp;$B61)</f>
        <v>Tuna - SKIPJACK 4/10</v>
      </c>
      <c r="P61" s="25" t="n">
        <f aca="false">IF($A61="",0,IF(OR($F61&lt;&gt;0,$G61&lt;&gt;0),1,0))</f>
        <v>0</v>
      </c>
      <c r="Q61" s="25" t="str">
        <f aca="false">IF($P61=1,SUM($P$8:$P61),"")</f>
        <v/>
      </c>
      <c r="R61" s="25" t="str">
        <f aca="false">IF($A61="","",$A61&amp;"#"&amp;COUNTIF($A$8:$A61,$A61))</f>
        <v>Tuna#3</v>
      </c>
      <c r="S61" s="25" t="n">
        <f aca="false">IF(OR($A61="",$D61=""),0,$E61*$D61)</f>
        <v>913.5</v>
      </c>
      <c r="T61" s="25" t="n">
        <f aca="false">IF(OR($A61="",$D61=""),0,$F61*$D61)</f>
        <v>0</v>
      </c>
      <c r="U61" s="25" t="n">
        <f aca="false">IF(OR($A61="",$D61=""),0,$G61*$D61)</f>
        <v>0</v>
      </c>
      <c r="V61" s="25" t="n">
        <f aca="false">IF(OR($A61="",$D61=""),0,$H61*$D61)</f>
        <v>0</v>
      </c>
      <c r="W61" s="25" t="n">
        <f aca="false">IF(OR($A61="",$D61=""),0,$I61*$D61)</f>
        <v>0</v>
      </c>
      <c r="X61" s="25" t="n">
        <f aca="false">IF(AND($A61&lt;&gt;"",$D61=""),1,0)</f>
        <v>0</v>
      </c>
      <c r="Y61" s="25" t="n">
        <f aca="false">IF($A61="",0,IF(COUNTIF($O$8:$O$114,$O61)&gt;1,1,0))</f>
        <v>0</v>
      </c>
    </row>
    <row r="62" customFormat="false" ht="15" hidden="false" customHeight="false" outlineLevel="0" collapsed="false">
      <c r="A62" s="15" t="s">
        <v>106</v>
      </c>
      <c r="B62" s="15" t="s">
        <v>111</v>
      </c>
      <c r="C62" s="16" t="s">
        <v>108</v>
      </c>
      <c r="D62" s="17" t="n">
        <v>1</v>
      </c>
      <c r="E62" s="18" t="n">
        <v>0</v>
      </c>
      <c r="F62" s="19" t="n">
        <f aca="false">IF($A62="","",SUMIFS('Daily Entry'!$C$7:$C$5000,'Daily Entry'!$B$7:$B$5000,$O62,'Daily Entry'!$A$7:$A$5000,$E$3))</f>
        <v>0</v>
      </c>
      <c r="G62" s="19" t="n">
        <f aca="false">IF($A62="","",SUMIFS('Daily Entry'!$D$7:$D$5000,'Daily Entry'!$B$7:$B$5000,$O62,'Daily Entry'!$A$7:$A$5000,$E$3))</f>
        <v>0</v>
      </c>
      <c r="H62" s="20" t="n">
        <f aca="false">IF($A62="","",SUMIFS('Daily Entry'!$C$7:$C$5000,'Daily Entry'!$B$7:$B$5000,$O62))</f>
        <v>0</v>
      </c>
      <c r="I62" s="20" t="n">
        <f aca="false">IF($A62="","",SUMIFS('Daily Entry'!$D$7:$D$5000,'Daily Entry'!$B$7:$B$5000,$O62))</f>
        <v>0</v>
      </c>
      <c r="J62" s="21" t="n">
        <f aca="false">IF($A62="","",$E62+$H62-$I62)</f>
        <v>0</v>
      </c>
      <c r="K62" s="22" t="n">
        <f aca="false">IF(OR($A62="",$D62=""),"",$J62*$D62)</f>
        <v>0</v>
      </c>
      <c r="L62" s="23"/>
      <c r="M62" s="24" t="str">
        <f aca="false">IF(OR($A62="",$D62="",$L62="",$E$4=""),"",$K62*$L62*$E$4)</f>
        <v/>
      </c>
      <c r="O62" s="25" t="str">
        <f aca="false">IF($A62="","",$A62&amp;" - "&amp;$B62)</f>
        <v>Tuna - YELLOW FIN 1/2</v>
      </c>
      <c r="P62" s="25" t="n">
        <f aca="false">IF($A62="",0,IF(OR($F62&lt;&gt;0,$G62&lt;&gt;0),1,0))</f>
        <v>0</v>
      </c>
      <c r="Q62" s="25" t="str">
        <f aca="false">IF($P62=1,SUM($P$8:$P62),"")</f>
        <v/>
      </c>
      <c r="R62" s="25" t="str">
        <f aca="false">IF($A62="","",$A62&amp;"#"&amp;COUNTIF($A$8:$A62,$A62))</f>
        <v>Tuna#4</v>
      </c>
      <c r="S62" s="25" t="n">
        <f aca="false">IF(OR($A62="",$D62=""),0,$E62*$D62)</f>
        <v>0</v>
      </c>
      <c r="T62" s="25" t="n">
        <f aca="false">IF(OR($A62="",$D62=""),0,$F62*$D62)</f>
        <v>0</v>
      </c>
      <c r="U62" s="25" t="n">
        <f aca="false">IF(OR($A62="",$D62=""),0,$G62*$D62)</f>
        <v>0</v>
      </c>
      <c r="V62" s="25" t="n">
        <f aca="false">IF(OR($A62="",$D62=""),0,$H62*$D62)</f>
        <v>0</v>
      </c>
      <c r="W62" s="25" t="n">
        <f aca="false">IF(OR($A62="",$D62=""),0,$I62*$D62)</f>
        <v>0</v>
      </c>
      <c r="X62" s="25" t="n">
        <f aca="false">IF(AND($A62&lt;&gt;"",$D62=""),1,0)</f>
        <v>0</v>
      </c>
      <c r="Y62" s="25" t="n">
        <f aca="false">IF($A62="",0,IF(COUNTIF($O$8:$O$114,$O62)&gt;1,1,0))</f>
        <v>0</v>
      </c>
    </row>
    <row r="63" customFormat="false" ht="15" hidden="false" customHeight="false" outlineLevel="0" collapsed="false">
      <c r="A63" s="26" t="s">
        <v>106</v>
      </c>
      <c r="B63" s="26" t="s">
        <v>112</v>
      </c>
      <c r="C63" s="16" t="s">
        <v>108</v>
      </c>
      <c r="D63" s="17" t="n">
        <v>1</v>
      </c>
      <c r="E63" s="18" t="n">
        <v>32</v>
      </c>
      <c r="F63" s="27" t="n">
        <f aca="false">IF($A63="","",SUMIFS('Daily Entry'!$C$7:$C$5000,'Daily Entry'!$B$7:$B$5000,$O63,'Daily Entry'!$A$7:$A$5000,$E$3))</f>
        <v>0</v>
      </c>
      <c r="G63" s="27" t="n">
        <f aca="false">IF($A63="","",SUMIFS('Daily Entry'!$D$7:$D$5000,'Daily Entry'!$B$7:$B$5000,$O63,'Daily Entry'!$A$7:$A$5000,$E$3))</f>
        <v>0</v>
      </c>
      <c r="H63" s="28" t="n">
        <f aca="false">IF($A63="","",SUMIFS('Daily Entry'!$C$7:$C$5000,'Daily Entry'!$B$7:$B$5000,$O63))</f>
        <v>0</v>
      </c>
      <c r="I63" s="28" t="n">
        <f aca="false">IF($A63="","",SUMIFS('Daily Entry'!$D$7:$D$5000,'Daily Entry'!$B$7:$B$5000,$O63))</f>
        <v>0</v>
      </c>
      <c r="J63" s="29" t="n">
        <f aca="false">IF($A63="","",$E63+$H63-$I63)</f>
        <v>32</v>
      </c>
      <c r="K63" s="30" t="n">
        <f aca="false">IF(OR($A63="",$D63=""),"",$J63*$D63)</f>
        <v>32</v>
      </c>
      <c r="L63" s="23"/>
      <c r="M63" s="31" t="str">
        <f aca="false">IF(OR($A63="",$D63="",$L63="",$E$4=""),"",$K63*$L63*$E$4)</f>
        <v/>
      </c>
      <c r="O63" s="25" t="str">
        <f aca="false">IF($A63="","",$A63&amp;" - "&amp;$B63)</f>
        <v>Tuna - YELLOW FIN 2/4</v>
      </c>
      <c r="P63" s="25" t="n">
        <f aca="false">IF($A63="",0,IF(OR($F63&lt;&gt;0,$G63&lt;&gt;0),1,0))</f>
        <v>0</v>
      </c>
      <c r="Q63" s="25" t="str">
        <f aca="false">IF($P63=1,SUM($P$8:$P63),"")</f>
        <v/>
      </c>
      <c r="R63" s="25" t="str">
        <f aca="false">IF($A63="","",$A63&amp;"#"&amp;COUNTIF($A$8:$A63,$A63))</f>
        <v>Tuna#5</v>
      </c>
      <c r="S63" s="25" t="n">
        <f aca="false">IF(OR($A63="",$D63=""),0,$E63*$D63)</f>
        <v>32</v>
      </c>
      <c r="T63" s="25" t="n">
        <f aca="false">IF(OR($A63="",$D63=""),0,$F63*$D63)</f>
        <v>0</v>
      </c>
      <c r="U63" s="25" t="n">
        <f aca="false">IF(OR($A63="",$D63=""),0,$G63*$D63)</f>
        <v>0</v>
      </c>
      <c r="V63" s="25" t="n">
        <f aca="false">IF(OR($A63="",$D63=""),0,$H63*$D63)</f>
        <v>0</v>
      </c>
      <c r="W63" s="25" t="n">
        <f aca="false">IF(OR($A63="",$D63=""),0,$I63*$D63)</f>
        <v>0</v>
      </c>
      <c r="X63" s="25" t="n">
        <f aca="false">IF(AND($A63&lt;&gt;"",$D63=""),1,0)</f>
        <v>0</v>
      </c>
      <c r="Y63" s="25" t="n">
        <f aca="false">IF($A63="",0,IF(COUNTIF($O$8:$O$114,$O63)&gt;1,1,0))</f>
        <v>0</v>
      </c>
    </row>
    <row r="64" customFormat="false" ht="15" hidden="false" customHeight="false" outlineLevel="0" collapsed="false">
      <c r="A64" s="15" t="s">
        <v>106</v>
      </c>
      <c r="B64" s="15" t="s">
        <v>113</v>
      </c>
      <c r="C64" s="16" t="s">
        <v>108</v>
      </c>
      <c r="D64" s="17" t="n">
        <v>1</v>
      </c>
      <c r="E64" s="18" t="n">
        <v>1138</v>
      </c>
      <c r="F64" s="19" t="n">
        <f aca="false">IF($A64="","",SUMIFS('Daily Entry'!$C$7:$C$5000,'Daily Entry'!$B$7:$B$5000,$O64,'Daily Entry'!$A$7:$A$5000,$E$3))</f>
        <v>0</v>
      </c>
      <c r="G64" s="19" t="n">
        <f aca="false">IF($A64="","",SUMIFS('Daily Entry'!$D$7:$D$5000,'Daily Entry'!$B$7:$B$5000,$O64,'Daily Entry'!$A$7:$A$5000,$E$3))</f>
        <v>0</v>
      </c>
      <c r="H64" s="20" t="n">
        <f aca="false">IF($A64="","",SUMIFS('Daily Entry'!$C$7:$C$5000,'Daily Entry'!$B$7:$B$5000,$O64))</f>
        <v>0</v>
      </c>
      <c r="I64" s="20" t="n">
        <f aca="false">IF($A64="","",SUMIFS('Daily Entry'!$D$7:$D$5000,'Daily Entry'!$B$7:$B$5000,$O64))</f>
        <v>0</v>
      </c>
      <c r="J64" s="21" t="n">
        <f aca="false">IF($A64="","",$E64+$H64-$I64)</f>
        <v>1138</v>
      </c>
      <c r="K64" s="22" t="n">
        <f aca="false">IF(OR($A64="",$D64=""),"",$J64*$D64)</f>
        <v>1138</v>
      </c>
      <c r="L64" s="23"/>
      <c r="M64" s="24" t="str">
        <f aca="false">IF(OR($A64="",$D64="",$L64="",$E$4=""),"",$K64*$L64*$E$4)</f>
        <v/>
      </c>
      <c r="O64" s="25" t="str">
        <f aca="false">IF($A64="","",$A64&amp;" - "&amp;$B64)</f>
        <v>Tuna - YELLOW FIN 4/10</v>
      </c>
      <c r="P64" s="25" t="n">
        <f aca="false">IF($A64="",0,IF(OR($F64&lt;&gt;0,$G64&lt;&gt;0),1,0))</f>
        <v>0</v>
      </c>
      <c r="Q64" s="25" t="str">
        <f aca="false">IF($P64=1,SUM($P$8:$P64),"")</f>
        <v/>
      </c>
      <c r="R64" s="25" t="str">
        <f aca="false">IF($A64="","",$A64&amp;"#"&amp;COUNTIF($A$8:$A64,$A64))</f>
        <v>Tuna#6</v>
      </c>
      <c r="S64" s="25" t="n">
        <f aca="false">IF(OR($A64="",$D64=""),0,$E64*$D64)</f>
        <v>1138</v>
      </c>
      <c r="T64" s="25" t="n">
        <f aca="false">IF(OR($A64="",$D64=""),0,$F64*$D64)</f>
        <v>0</v>
      </c>
      <c r="U64" s="25" t="n">
        <f aca="false">IF(OR($A64="",$D64=""),0,$G64*$D64)</f>
        <v>0</v>
      </c>
      <c r="V64" s="25" t="n">
        <f aca="false">IF(OR($A64="",$D64=""),0,$H64*$D64)</f>
        <v>0</v>
      </c>
      <c r="W64" s="25" t="n">
        <f aca="false">IF(OR($A64="",$D64=""),0,$I64*$D64)</f>
        <v>0</v>
      </c>
      <c r="X64" s="25" t="n">
        <f aca="false">IF(AND($A64&lt;&gt;"",$D64=""),1,0)</f>
        <v>0</v>
      </c>
      <c r="Y64" s="25" t="n">
        <f aca="false">IF($A64="",0,IF(COUNTIF($O$8:$O$114,$O64)&gt;1,1,0))</f>
        <v>0</v>
      </c>
    </row>
    <row r="65" customFormat="false" ht="15" hidden="false" customHeight="false" outlineLevel="0" collapsed="false">
      <c r="A65" s="26" t="s">
        <v>114</v>
      </c>
      <c r="B65" s="26" t="s">
        <v>115</v>
      </c>
      <c r="C65" s="16" t="s">
        <v>108</v>
      </c>
      <c r="D65" s="17" t="n">
        <v>1</v>
      </c>
      <c r="E65" s="18" t="n">
        <v>0</v>
      </c>
      <c r="F65" s="27" t="n">
        <f aca="false">IF($A65="","",SUMIFS('Daily Entry'!$C$7:$C$5000,'Daily Entry'!$B$7:$B$5000,$O65,'Daily Entry'!$A$7:$A$5000,$E$3))</f>
        <v>0</v>
      </c>
      <c r="G65" s="27" t="n">
        <f aca="false">IF($A65="","",SUMIFS('Daily Entry'!$D$7:$D$5000,'Daily Entry'!$B$7:$B$5000,$O65,'Daily Entry'!$A$7:$A$5000,$E$3))</f>
        <v>0</v>
      </c>
      <c r="H65" s="28" t="n">
        <f aca="false">IF($A65="","",SUMIFS('Daily Entry'!$C$7:$C$5000,'Daily Entry'!$B$7:$B$5000,$O65))</f>
        <v>0</v>
      </c>
      <c r="I65" s="28" t="n">
        <f aca="false">IF($A65="","",SUMIFS('Daily Entry'!$D$7:$D$5000,'Daily Entry'!$B$7:$B$5000,$O65))</f>
        <v>0</v>
      </c>
      <c r="J65" s="29" t="n">
        <f aca="false">IF($A65="","",$E65+$H65-$I65)</f>
        <v>0</v>
      </c>
      <c r="K65" s="30" t="n">
        <f aca="false">IF(OR($A65="",$D65=""),"",$J65*$D65)</f>
        <v>0</v>
      </c>
      <c r="L65" s="23"/>
      <c r="M65" s="31" t="str">
        <f aca="false">IF(OR($A65="",$D65="",$L65="",$E$4=""),"",$K65*$L65*$E$4)</f>
        <v/>
      </c>
      <c r="O65" s="25" t="str">
        <f aca="false">IF($A65="","",$A65&amp;" - "&amp;$B65)</f>
        <v>Mackerel - WHOLE 2/4</v>
      </c>
      <c r="P65" s="25" t="n">
        <f aca="false">IF($A65="",0,IF(OR($F65&lt;&gt;0,$G65&lt;&gt;0),1,0))</f>
        <v>0</v>
      </c>
      <c r="Q65" s="25" t="str">
        <f aca="false">IF($P65=1,SUM($P$8:$P65),"")</f>
        <v/>
      </c>
      <c r="R65" s="25" t="str">
        <f aca="false">IF($A65="","",$A65&amp;"#"&amp;COUNTIF($A$8:$A65,$A65))</f>
        <v>Mackerel#1</v>
      </c>
      <c r="S65" s="25" t="n">
        <f aca="false">IF(OR($A65="",$D65=""),0,$E65*$D65)</f>
        <v>0</v>
      </c>
      <c r="T65" s="25" t="n">
        <f aca="false">IF(OR($A65="",$D65=""),0,$F65*$D65)</f>
        <v>0</v>
      </c>
      <c r="U65" s="25" t="n">
        <f aca="false">IF(OR($A65="",$D65=""),0,$G65*$D65)</f>
        <v>0</v>
      </c>
      <c r="V65" s="25" t="n">
        <f aca="false">IF(OR($A65="",$D65=""),0,$H65*$D65)</f>
        <v>0</v>
      </c>
      <c r="W65" s="25" t="n">
        <f aca="false">IF(OR($A65="",$D65=""),0,$I65*$D65)</f>
        <v>0</v>
      </c>
      <c r="X65" s="25" t="n">
        <f aca="false">IF(AND($A65&lt;&gt;"",$D65=""),1,0)</f>
        <v>0</v>
      </c>
      <c r="Y65" s="25" t="n">
        <f aca="false">IF($A65="",0,IF(COUNTIF($O$8:$O$114,$O65)&gt;1,1,0))</f>
        <v>0</v>
      </c>
    </row>
    <row r="66" customFormat="false" ht="15" hidden="false" customHeight="false" outlineLevel="0" collapsed="false">
      <c r="A66" s="15" t="s">
        <v>114</v>
      </c>
      <c r="B66" s="15" t="s">
        <v>116</v>
      </c>
      <c r="C66" s="16" t="s">
        <v>108</v>
      </c>
      <c r="D66" s="17" t="n">
        <v>1</v>
      </c>
      <c r="E66" s="18" t="n">
        <v>0</v>
      </c>
      <c r="F66" s="19" t="n">
        <f aca="false">IF($A66="","",SUMIFS('Daily Entry'!$C$7:$C$5000,'Daily Entry'!$B$7:$B$5000,$O66,'Daily Entry'!$A$7:$A$5000,$E$3))</f>
        <v>0</v>
      </c>
      <c r="G66" s="19" t="n">
        <f aca="false">IF($A66="","",SUMIFS('Daily Entry'!$D$7:$D$5000,'Daily Entry'!$B$7:$B$5000,$O66,'Daily Entry'!$A$7:$A$5000,$E$3))</f>
        <v>0</v>
      </c>
      <c r="H66" s="20" t="n">
        <f aca="false">IF($A66="","",SUMIFS('Daily Entry'!$C$7:$C$5000,'Daily Entry'!$B$7:$B$5000,$O66))</f>
        <v>0</v>
      </c>
      <c r="I66" s="20" t="n">
        <f aca="false">IF($A66="","",SUMIFS('Daily Entry'!$D$7:$D$5000,'Daily Entry'!$B$7:$B$5000,$O66))</f>
        <v>0</v>
      </c>
      <c r="J66" s="21" t="n">
        <f aca="false">IF($A66="","",$E66+$H66-$I66)</f>
        <v>0</v>
      </c>
      <c r="K66" s="22" t="n">
        <f aca="false">IF(OR($A66="",$D66=""),"",$J66*$D66)</f>
        <v>0</v>
      </c>
      <c r="L66" s="23"/>
      <c r="M66" s="24" t="str">
        <f aca="false">IF(OR($A66="",$D66="",$L66="",$E$4=""),"",$K66*$L66*$E$4)</f>
        <v/>
      </c>
      <c r="O66" s="25" t="str">
        <f aca="false">IF($A66="","",$A66&amp;" - "&amp;$B66)</f>
        <v>Mackerel - WHOLE 4/6</v>
      </c>
      <c r="P66" s="25" t="n">
        <f aca="false">IF($A66="",0,IF(OR($F66&lt;&gt;0,$G66&lt;&gt;0),1,0))</f>
        <v>0</v>
      </c>
      <c r="Q66" s="25" t="str">
        <f aca="false">IF($P66=1,SUM($P$8:$P66),"")</f>
        <v/>
      </c>
      <c r="R66" s="25" t="str">
        <f aca="false">IF($A66="","",$A66&amp;"#"&amp;COUNTIF($A$8:$A66,$A66))</f>
        <v>Mackerel#2</v>
      </c>
      <c r="S66" s="25" t="n">
        <f aca="false">IF(OR($A66="",$D66=""),0,$E66*$D66)</f>
        <v>0</v>
      </c>
      <c r="T66" s="25" t="n">
        <f aca="false">IF(OR($A66="",$D66=""),0,$F66*$D66)</f>
        <v>0</v>
      </c>
      <c r="U66" s="25" t="n">
        <f aca="false">IF(OR($A66="",$D66=""),0,$G66*$D66)</f>
        <v>0</v>
      </c>
      <c r="V66" s="25" t="n">
        <f aca="false">IF(OR($A66="",$D66=""),0,$H66*$D66)</f>
        <v>0</v>
      </c>
      <c r="W66" s="25" t="n">
        <f aca="false">IF(OR($A66="",$D66=""),0,$I66*$D66)</f>
        <v>0</v>
      </c>
      <c r="X66" s="25" t="n">
        <f aca="false">IF(AND($A66&lt;&gt;"",$D66=""),1,0)</f>
        <v>0</v>
      </c>
      <c r="Y66" s="25" t="n">
        <f aca="false">IF($A66="",0,IF(COUNTIF($O$8:$O$114,$O66)&gt;1,1,0))</f>
        <v>0</v>
      </c>
    </row>
    <row r="67" customFormat="false" ht="15" hidden="false" customHeight="false" outlineLevel="0" collapsed="false">
      <c r="A67" s="26" t="s">
        <v>114</v>
      </c>
      <c r="B67" s="26" t="s">
        <v>117</v>
      </c>
      <c r="C67" s="16" t="s">
        <v>108</v>
      </c>
      <c r="D67" s="17" t="n">
        <v>1</v>
      </c>
      <c r="E67" s="18" t="n">
        <v>0</v>
      </c>
      <c r="F67" s="27" t="n">
        <f aca="false">IF($A67="","",SUMIFS('Daily Entry'!$C$7:$C$5000,'Daily Entry'!$B$7:$B$5000,$O67,'Daily Entry'!$A$7:$A$5000,$E$3))</f>
        <v>0</v>
      </c>
      <c r="G67" s="27" t="n">
        <f aca="false">IF($A67="","",SUMIFS('Daily Entry'!$D$7:$D$5000,'Daily Entry'!$B$7:$B$5000,$O67,'Daily Entry'!$A$7:$A$5000,$E$3))</f>
        <v>0</v>
      </c>
      <c r="H67" s="28" t="n">
        <f aca="false">IF($A67="","",SUMIFS('Daily Entry'!$C$7:$C$5000,'Daily Entry'!$B$7:$B$5000,$O67))</f>
        <v>0</v>
      </c>
      <c r="I67" s="28" t="n">
        <f aca="false">IF($A67="","",SUMIFS('Daily Entry'!$D$7:$D$5000,'Daily Entry'!$B$7:$B$5000,$O67))</f>
        <v>0</v>
      </c>
      <c r="J67" s="29" t="n">
        <f aca="false">IF($A67="","",$E67+$H67-$I67)</f>
        <v>0</v>
      </c>
      <c r="K67" s="30" t="n">
        <f aca="false">IF(OR($A67="",$D67=""),"",$J67*$D67)</f>
        <v>0</v>
      </c>
      <c r="L67" s="23"/>
      <c r="M67" s="31" t="str">
        <f aca="false">IF(OR($A67="",$D67="",$L67="",$E$4=""),"",$K67*$L67*$E$4)</f>
        <v/>
      </c>
      <c r="O67" s="25" t="str">
        <f aca="false">IF($A67="","",$A67&amp;" - "&amp;$B67)</f>
        <v>Mackerel - WHOLE 6/8</v>
      </c>
      <c r="P67" s="25" t="n">
        <f aca="false">IF($A67="",0,IF(OR($F67&lt;&gt;0,$G67&lt;&gt;0),1,0))</f>
        <v>0</v>
      </c>
      <c r="Q67" s="25" t="str">
        <f aca="false">IF($P67=1,SUM($P$8:$P67),"")</f>
        <v/>
      </c>
      <c r="R67" s="25" t="str">
        <f aca="false">IF($A67="","",$A67&amp;"#"&amp;COUNTIF($A$8:$A67,$A67))</f>
        <v>Mackerel#3</v>
      </c>
      <c r="S67" s="25" t="n">
        <f aca="false">IF(OR($A67="",$D67=""),0,$E67*$D67)</f>
        <v>0</v>
      </c>
      <c r="T67" s="25" t="n">
        <f aca="false">IF(OR($A67="",$D67=""),0,$F67*$D67)</f>
        <v>0</v>
      </c>
      <c r="U67" s="25" t="n">
        <f aca="false">IF(OR($A67="",$D67=""),0,$G67*$D67)</f>
        <v>0</v>
      </c>
      <c r="V67" s="25" t="n">
        <f aca="false">IF(OR($A67="",$D67=""),0,$H67*$D67)</f>
        <v>0</v>
      </c>
      <c r="W67" s="25" t="n">
        <f aca="false">IF(OR($A67="",$D67=""),0,$I67*$D67)</f>
        <v>0</v>
      </c>
      <c r="X67" s="25" t="n">
        <f aca="false">IF(AND($A67&lt;&gt;"",$D67=""),1,0)</f>
        <v>0</v>
      </c>
      <c r="Y67" s="25" t="n">
        <f aca="false">IF($A67="",0,IF(COUNTIF($O$8:$O$114,$O67)&gt;1,1,0))</f>
        <v>0</v>
      </c>
    </row>
    <row r="68" customFormat="false" ht="15" hidden="false" customHeight="false" outlineLevel="0" collapsed="false">
      <c r="A68" s="15" t="s">
        <v>114</v>
      </c>
      <c r="B68" s="15" t="s">
        <v>118</v>
      </c>
      <c r="C68" s="16" t="s">
        <v>108</v>
      </c>
      <c r="D68" s="17" t="n">
        <v>1</v>
      </c>
      <c r="E68" s="18" t="n">
        <v>0</v>
      </c>
      <c r="F68" s="19" t="n">
        <f aca="false">IF($A68="","",SUMIFS('Daily Entry'!$C$7:$C$5000,'Daily Entry'!$B$7:$B$5000,$O68,'Daily Entry'!$A$7:$A$5000,$E$3))</f>
        <v>0</v>
      </c>
      <c r="G68" s="19" t="n">
        <f aca="false">IF($A68="","",SUMIFS('Daily Entry'!$D$7:$D$5000,'Daily Entry'!$B$7:$B$5000,$O68,'Daily Entry'!$A$7:$A$5000,$E$3))</f>
        <v>0</v>
      </c>
      <c r="H68" s="20" t="n">
        <f aca="false">IF($A68="","",SUMIFS('Daily Entry'!$C$7:$C$5000,'Daily Entry'!$B$7:$B$5000,$O68))</f>
        <v>0</v>
      </c>
      <c r="I68" s="20" t="n">
        <f aca="false">IF($A68="","",SUMIFS('Daily Entry'!$D$7:$D$5000,'Daily Entry'!$B$7:$B$5000,$O68))</f>
        <v>0</v>
      </c>
      <c r="J68" s="21" t="n">
        <f aca="false">IF($A68="","",$E68+$H68-$I68)</f>
        <v>0</v>
      </c>
      <c r="K68" s="22" t="n">
        <f aca="false">IF(OR($A68="",$D68=""),"",$J68*$D68)</f>
        <v>0</v>
      </c>
      <c r="L68" s="23"/>
      <c r="M68" s="24" t="str">
        <f aca="false">IF(OR($A68="",$D68="",$L68="",$E$4=""),"",$K68*$L68*$E$4)</f>
        <v/>
      </c>
      <c r="O68" s="25" t="str">
        <f aca="false">IF($A68="","",$A68&amp;" - "&amp;$B68)</f>
        <v>Mackerel - WHOLE 8/10</v>
      </c>
      <c r="P68" s="25" t="n">
        <f aca="false">IF($A68="",0,IF(OR($F68&lt;&gt;0,$G68&lt;&gt;0),1,0))</f>
        <v>0</v>
      </c>
      <c r="Q68" s="25" t="str">
        <f aca="false">IF($P68=1,SUM($P$8:$P68),"")</f>
        <v/>
      </c>
      <c r="R68" s="25" t="str">
        <f aca="false">IF($A68="","",$A68&amp;"#"&amp;COUNTIF($A$8:$A68,$A68))</f>
        <v>Mackerel#4</v>
      </c>
      <c r="S68" s="25" t="n">
        <f aca="false">IF(OR($A68="",$D68=""),0,$E68*$D68)</f>
        <v>0</v>
      </c>
      <c r="T68" s="25" t="n">
        <f aca="false">IF(OR($A68="",$D68=""),0,$F68*$D68)</f>
        <v>0</v>
      </c>
      <c r="U68" s="25" t="n">
        <f aca="false">IF(OR($A68="",$D68=""),0,$G68*$D68)</f>
        <v>0</v>
      </c>
      <c r="V68" s="25" t="n">
        <f aca="false">IF(OR($A68="",$D68=""),0,$H68*$D68)</f>
        <v>0</v>
      </c>
      <c r="W68" s="25" t="n">
        <f aca="false">IF(OR($A68="",$D68=""),0,$I68*$D68)</f>
        <v>0</v>
      </c>
      <c r="X68" s="25" t="n">
        <f aca="false">IF(AND($A68&lt;&gt;"",$D68=""),1,0)</f>
        <v>0</v>
      </c>
      <c r="Y68" s="25" t="n">
        <f aca="false">IF($A68="",0,IF(COUNTIF($O$8:$O$114,$O68)&gt;1,1,0))</f>
        <v>0</v>
      </c>
    </row>
    <row r="69" customFormat="false" ht="15" hidden="false" customHeight="false" outlineLevel="0" collapsed="false">
      <c r="A69" s="26" t="s">
        <v>114</v>
      </c>
      <c r="B69" s="26" t="s">
        <v>119</v>
      </c>
      <c r="C69" s="16" t="s">
        <v>108</v>
      </c>
      <c r="D69" s="17" t="n">
        <v>1</v>
      </c>
      <c r="E69" s="18" t="n">
        <v>0</v>
      </c>
      <c r="F69" s="27" t="n">
        <f aca="false">IF($A69="","",SUMIFS('Daily Entry'!$C$7:$C$5000,'Daily Entry'!$B$7:$B$5000,$O69,'Daily Entry'!$A$7:$A$5000,$E$3))</f>
        <v>0</v>
      </c>
      <c r="G69" s="27" t="n">
        <f aca="false">IF($A69="","",SUMIFS('Daily Entry'!$D$7:$D$5000,'Daily Entry'!$B$7:$B$5000,$O69,'Daily Entry'!$A$7:$A$5000,$E$3))</f>
        <v>0</v>
      </c>
      <c r="H69" s="28" t="n">
        <f aca="false">IF($A69="","",SUMIFS('Daily Entry'!$C$7:$C$5000,'Daily Entry'!$B$7:$B$5000,$O69))</f>
        <v>0</v>
      </c>
      <c r="I69" s="28" t="n">
        <f aca="false">IF($A69="","",SUMIFS('Daily Entry'!$D$7:$D$5000,'Daily Entry'!$B$7:$B$5000,$O69))</f>
        <v>0</v>
      </c>
      <c r="J69" s="29" t="n">
        <f aca="false">IF($A69="","",$E69+$H69-$I69)</f>
        <v>0</v>
      </c>
      <c r="K69" s="30" t="n">
        <f aca="false">IF(OR($A69="",$D69=""),"",$J69*$D69)</f>
        <v>0</v>
      </c>
      <c r="L69" s="23"/>
      <c r="M69" s="31" t="str">
        <f aca="false">IF(OR($A69="",$D69="",$L69="",$E$4=""),"",$K69*$L69*$E$4)</f>
        <v/>
      </c>
      <c r="O69" s="25" t="str">
        <f aca="false">IF($A69="","",$A69&amp;" - "&amp;$B69)</f>
        <v>Mackerel - WHOLE 10/12</v>
      </c>
      <c r="P69" s="25" t="n">
        <f aca="false">IF($A69="",0,IF(OR($F69&lt;&gt;0,$G69&lt;&gt;0),1,0))</f>
        <v>0</v>
      </c>
      <c r="Q69" s="25" t="str">
        <f aca="false">IF($P69=1,SUM($P$8:$P69),"")</f>
        <v/>
      </c>
      <c r="R69" s="25" t="str">
        <f aca="false">IF($A69="","",$A69&amp;"#"&amp;COUNTIF($A$8:$A69,$A69))</f>
        <v>Mackerel#5</v>
      </c>
      <c r="S69" s="25" t="n">
        <f aca="false">IF(OR($A69="",$D69=""),0,$E69*$D69)</f>
        <v>0</v>
      </c>
      <c r="T69" s="25" t="n">
        <f aca="false">IF(OR($A69="",$D69=""),0,$F69*$D69)</f>
        <v>0</v>
      </c>
      <c r="U69" s="25" t="n">
        <f aca="false">IF(OR($A69="",$D69=""),0,$G69*$D69)</f>
        <v>0</v>
      </c>
      <c r="V69" s="25" t="n">
        <f aca="false">IF(OR($A69="",$D69=""),0,$H69*$D69)</f>
        <v>0</v>
      </c>
      <c r="W69" s="25" t="n">
        <f aca="false">IF(OR($A69="",$D69=""),0,$I69*$D69)</f>
        <v>0</v>
      </c>
      <c r="X69" s="25" t="n">
        <f aca="false">IF(AND($A69&lt;&gt;"",$D69=""),1,0)</f>
        <v>0</v>
      </c>
      <c r="Y69" s="25" t="n">
        <f aca="false">IF($A69="",0,IF(COUNTIF($O$8:$O$114,$O69)&gt;1,1,0))</f>
        <v>0</v>
      </c>
    </row>
    <row r="70" customFormat="false" ht="15" hidden="false" customHeight="false" outlineLevel="0" collapsed="false">
      <c r="A70" s="15" t="s">
        <v>114</v>
      </c>
      <c r="B70" s="15" t="s">
        <v>120</v>
      </c>
      <c r="C70" s="16" t="s">
        <v>108</v>
      </c>
      <c r="D70" s="17" t="n">
        <v>1</v>
      </c>
      <c r="E70" s="18" t="n">
        <v>0</v>
      </c>
      <c r="F70" s="19" t="n">
        <f aca="false">IF($A70="","",SUMIFS('Daily Entry'!$C$7:$C$5000,'Daily Entry'!$B$7:$B$5000,$O70,'Daily Entry'!$A$7:$A$5000,$E$3))</f>
        <v>0</v>
      </c>
      <c r="G70" s="19" t="n">
        <f aca="false">IF($A70="","",SUMIFS('Daily Entry'!$D$7:$D$5000,'Daily Entry'!$B$7:$B$5000,$O70,'Daily Entry'!$A$7:$A$5000,$E$3))</f>
        <v>0</v>
      </c>
      <c r="H70" s="20" t="n">
        <f aca="false">IF($A70="","",SUMIFS('Daily Entry'!$C$7:$C$5000,'Daily Entry'!$B$7:$B$5000,$O70))</f>
        <v>0</v>
      </c>
      <c r="I70" s="20" t="n">
        <f aca="false">IF($A70="","",SUMIFS('Daily Entry'!$D$7:$D$5000,'Daily Entry'!$B$7:$B$5000,$O70))</f>
        <v>0</v>
      </c>
      <c r="J70" s="21" t="n">
        <f aca="false">IF($A70="","",$E70+$H70-$I70)</f>
        <v>0</v>
      </c>
      <c r="K70" s="22" t="n">
        <f aca="false">IF(OR($A70="",$D70=""),"",$J70*$D70)</f>
        <v>0</v>
      </c>
      <c r="L70" s="23"/>
      <c r="M70" s="24" t="str">
        <f aca="false">IF(OR($A70="",$D70="",$L70="",$E$4=""),"",$K70*$L70*$E$4)</f>
        <v/>
      </c>
      <c r="O70" s="25" t="str">
        <f aca="false">IF($A70="","",$A70&amp;" - "&amp;$B70)</f>
        <v>Mackerel - WHOLE 12/15</v>
      </c>
      <c r="P70" s="25" t="n">
        <f aca="false">IF($A70="",0,IF(OR($F70&lt;&gt;0,$G70&lt;&gt;0),1,0))</f>
        <v>0</v>
      </c>
      <c r="Q70" s="25" t="str">
        <f aca="false">IF($P70=1,SUM($P$8:$P70),"")</f>
        <v/>
      </c>
      <c r="R70" s="25" t="str">
        <f aca="false">IF($A70="","",$A70&amp;"#"&amp;COUNTIF($A$8:$A70,$A70))</f>
        <v>Mackerel#6</v>
      </c>
      <c r="S70" s="25" t="n">
        <f aca="false">IF(OR($A70="",$D70=""),0,$E70*$D70)</f>
        <v>0</v>
      </c>
      <c r="T70" s="25" t="n">
        <f aca="false">IF(OR($A70="",$D70=""),0,$F70*$D70)</f>
        <v>0</v>
      </c>
      <c r="U70" s="25" t="n">
        <f aca="false">IF(OR($A70="",$D70=""),0,$G70*$D70)</f>
        <v>0</v>
      </c>
      <c r="V70" s="25" t="n">
        <f aca="false">IF(OR($A70="",$D70=""),0,$H70*$D70)</f>
        <v>0</v>
      </c>
      <c r="W70" s="25" t="n">
        <f aca="false">IF(OR($A70="",$D70=""),0,$I70*$D70)</f>
        <v>0</v>
      </c>
      <c r="X70" s="25" t="n">
        <f aca="false">IF(AND($A70&lt;&gt;"",$D70=""),1,0)</f>
        <v>0</v>
      </c>
      <c r="Y70" s="25" t="n">
        <f aca="false">IF($A70="",0,IF(COUNTIF($O$8:$O$114,$O70)&gt;1,1,0))</f>
        <v>0</v>
      </c>
    </row>
    <row r="71" customFormat="false" ht="15" hidden="false" customHeight="false" outlineLevel="0" collapsed="false">
      <c r="A71" s="26" t="s">
        <v>114</v>
      </c>
      <c r="B71" s="26" t="s">
        <v>121</v>
      </c>
      <c r="C71" s="16" t="s">
        <v>108</v>
      </c>
      <c r="D71" s="17" t="n">
        <v>1</v>
      </c>
      <c r="E71" s="18" t="n">
        <v>0</v>
      </c>
      <c r="F71" s="27" t="n">
        <f aca="false">IF($A71="","",SUMIFS('Daily Entry'!$C$7:$C$5000,'Daily Entry'!$B$7:$B$5000,$O71,'Daily Entry'!$A$7:$A$5000,$E$3))</f>
        <v>0</v>
      </c>
      <c r="G71" s="27" t="n">
        <f aca="false">IF($A71="","",SUMIFS('Daily Entry'!$D$7:$D$5000,'Daily Entry'!$B$7:$B$5000,$O71,'Daily Entry'!$A$7:$A$5000,$E$3))</f>
        <v>0</v>
      </c>
      <c r="H71" s="28" t="n">
        <f aca="false">IF($A71="","",SUMIFS('Daily Entry'!$C$7:$C$5000,'Daily Entry'!$B$7:$B$5000,$O71))</f>
        <v>0</v>
      </c>
      <c r="I71" s="28" t="n">
        <f aca="false">IF($A71="","",SUMIFS('Daily Entry'!$D$7:$D$5000,'Daily Entry'!$B$7:$B$5000,$O71))</f>
        <v>0</v>
      </c>
      <c r="J71" s="29" t="n">
        <f aca="false">IF($A71="","",$E71+$H71-$I71)</f>
        <v>0</v>
      </c>
      <c r="K71" s="30" t="n">
        <f aca="false">IF(OR($A71="",$D71=""),"",$J71*$D71)</f>
        <v>0</v>
      </c>
      <c r="L71" s="23"/>
      <c r="M71" s="31" t="str">
        <f aca="false">IF(OR($A71="",$D71="",$L71="",$E$4=""),"",$K71*$L71*$E$4)</f>
        <v/>
      </c>
      <c r="O71" s="25" t="str">
        <f aca="false">IF($A71="","",$A71&amp;" - "&amp;$B71)</f>
        <v>Mackerel - WHOLE 15/20</v>
      </c>
      <c r="P71" s="25" t="n">
        <f aca="false">IF($A71="",0,IF(OR($F71&lt;&gt;0,$G71&lt;&gt;0),1,0))</f>
        <v>0</v>
      </c>
      <c r="Q71" s="25" t="str">
        <f aca="false">IF($P71=1,SUM($P$8:$P71),"")</f>
        <v/>
      </c>
      <c r="R71" s="25" t="str">
        <f aca="false">IF($A71="","",$A71&amp;"#"&amp;COUNTIF($A$8:$A71,$A71))</f>
        <v>Mackerel#7</v>
      </c>
      <c r="S71" s="25" t="n">
        <f aca="false">IF(OR($A71="",$D71=""),0,$E71*$D71)</f>
        <v>0</v>
      </c>
      <c r="T71" s="25" t="n">
        <f aca="false">IF(OR($A71="",$D71=""),0,$F71*$D71)</f>
        <v>0</v>
      </c>
      <c r="U71" s="25" t="n">
        <f aca="false">IF(OR($A71="",$D71=""),0,$G71*$D71)</f>
        <v>0</v>
      </c>
      <c r="V71" s="25" t="n">
        <f aca="false">IF(OR($A71="",$D71=""),0,$H71*$D71)</f>
        <v>0</v>
      </c>
      <c r="W71" s="25" t="n">
        <f aca="false">IF(OR($A71="",$D71=""),0,$I71*$D71)</f>
        <v>0</v>
      </c>
      <c r="X71" s="25" t="n">
        <f aca="false">IF(AND($A71&lt;&gt;"",$D71=""),1,0)</f>
        <v>0</v>
      </c>
      <c r="Y71" s="25" t="n">
        <f aca="false">IF($A71="",0,IF(COUNTIF($O$8:$O$114,$O71)&gt;1,1,0))</f>
        <v>0</v>
      </c>
    </row>
    <row r="72" customFormat="false" ht="15" hidden="false" customHeight="false" outlineLevel="0" collapsed="false">
      <c r="A72" s="15" t="s">
        <v>122</v>
      </c>
      <c r="B72" s="15" t="s">
        <v>123</v>
      </c>
      <c r="C72" s="16" t="s">
        <v>69</v>
      </c>
      <c r="D72" s="17"/>
      <c r="E72" s="18" t="n">
        <v>0</v>
      </c>
      <c r="F72" s="19" t="n">
        <f aca="false">IF($A72="","",SUMIFS('Daily Entry'!$C$7:$C$5000,'Daily Entry'!$B$7:$B$5000,$O72,'Daily Entry'!$A$7:$A$5000,$E$3))</f>
        <v>0</v>
      </c>
      <c r="G72" s="19" t="n">
        <f aca="false">IF($A72="","",SUMIFS('Daily Entry'!$D$7:$D$5000,'Daily Entry'!$B$7:$B$5000,$O72,'Daily Entry'!$A$7:$A$5000,$E$3))</f>
        <v>0</v>
      </c>
      <c r="H72" s="20" t="n">
        <f aca="false">IF($A72="","",SUMIFS('Daily Entry'!$C$7:$C$5000,'Daily Entry'!$B$7:$B$5000,$O72))</f>
        <v>0</v>
      </c>
      <c r="I72" s="20" t="n">
        <f aca="false">IF($A72="","",SUMIFS('Daily Entry'!$D$7:$D$5000,'Daily Entry'!$B$7:$B$5000,$O72))</f>
        <v>0</v>
      </c>
      <c r="J72" s="21" t="n">
        <f aca="false">IF($A72="","",$E72+$H72-$I72)</f>
        <v>0</v>
      </c>
      <c r="K72" s="22" t="str">
        <f aca="false">IF(OR($A72="",$D72=""),"",$J72*$D72)</f>
        <v/>
      </c>
      <c r="L72" s="23"/>
      <c r="M72" s="24" t="str">
        <f aca="false">IF(OR($A72="",$D72="",$L72="",$E$4=""),"",$K72*$L72*$E$4)</f>
        <v/>
      </c>
      <c r="O72" s="25" t="str">
        <f aca="false">IF($A72="","",$A72&amp;" - "&amp;$B72)</f>
        <v>Cuttlefish - CFWC U/1 10%</v>
      </c>
      <c r="P72" s="25" t="n">
        <f aca="false">IF($A72="",0,IF(OR($F72&lt;&gt;0,$G72&lt;&gt;0),1,0))</f>
        <v>0</v>
      </c>
      <c r="Q72" s="25" t="str">
        <f aca="false">IF($P72=1,SUM($P$8:$P72),"")</f>
        <v/>
      </c>
      <c r="R72" s="25" t="str">
        <f aca="false">IF($A72="","",$A72&amp;"#"&amp;COUNTIF($A$8:$A72,$A72))</f>
        <v>Cuttlefish#1</v>
      </c>
      <c r="S72" s="25" t="n">
        <f aca="false">IF(OR($A72="",$D72=""),0,$E72*$D72)</f>
        <v>0</v>
      </c>
      <c r="T72" s="25" t="n">
        <f aca="false">IF(OR($A72="",$D72=""),0,$F72*$D72)</f>
        <v>0</v>
      </c>
      <c r="U72" s="25" t="n">
        <f aca="false">IF(OR($A72="",$D72=""),0,$G72*$D72)</f>
        <v>0</v>
      </c>
      <c r="V72" s="25" t="n">
        <f aca="false">IF(OR($A72="",$D72=""),0,$H72*$D72)</f>
        <v>0</v>
      </c>
      <c r="W72" s="25" t="n">
        <f aca="false">IF(OR($A72="",$D72=""),0,$I72*$D72)</f>
        <v>0</v>
      </c>
      <c r="X72" s="25" t="n">
        <f aca="false">IF(AND($A72&lt;&gt;"",$D72=""),1,0)</f>
        <v>1</v>
      </c>
      <c r="Y72" s="25" t="n">
        <f aca="false">IF($A72="",0,IF(COUNTIF($O$8:$O$114,$O72)&gt;1,1,0))</f>
        <v>0</v>
      </c>
    </row>
    <row r="73" customFormat="false" ht="15" hidden="false" customHeight="false" outlineLevel="0" collapsed="false">
      <c r="A73" s="26" t="s">
        <v>122</v>
      </c>
      <c r="B73" s="26" t="s">
        <v>124</v>
      </c>
      <c r="C73" s="16" t="s">
        <v>69</v>
      </c>
      <c r="D73" s="17"/>
      <c r="E73" s="18" t="n">
        <v>0</v>
      </c>
      <c r="F73" s="27" t="n">
        <f aca="false">IF($A73="","",SUMIFS('Daily Entry'!$C$7:$C$5000,'Daily Entry'!$B$7:$B$5000,$O73,'Daily Entry'!$A$7:$A$5000,$E$3))</f>
        <v>0</v>
      </c>
      <c r="G73" s="27" t="n">
        <f aca="false">IF($A73="","",SUMIFS('Daily Entry'!$D$7:$D$5000,'Daily Entry'!$B$7:$B$5000,$O73,'Daily Entry'!$A$7:$A$5000,$E$3))</f>
        <v>0</v>
      </c>
      <c r="H73" s="28" t="n">
        <f aca="false">IF($A73="","",SUMIFS('Daily Entry'!$C$7:$C$5000,'Daily Entry'!$B$7:$B$5000,$O73))</f>
        <v>0</v>
      </c>
      <c r="I73" s="28" t="n">
        <f aca="false">IF($A73="","",SUMIFS('Daily Entry'!$D$7:$D$5000,'Daily Entry'!$B$7:$B$5000,$O73))</f>
        <v>0</v>
      </c>
      <c r="J73" s="29" t="n">
        <f aca="false">IF($A73="","",$E73+$H73-$I73)</f>
        <v>0</v>
      </c>
      <c r="K73" s="30" t="str">
        <f aca="false">IF(OR($A73="",$D73=""),"",$J73*$D73)</f>
        <v/>
      </c>
      <c r="L73" s="23"/>
      <c r="M73" s="31" t="str">
        <f aca="false">IF(OR($A73="",$D73="",$L73="",$E$4=""),"",$K73*$L73*$E$4)</f>
        <v/>
      </c>
      <c r="O73" s="25" t="str">
        <f aca="false">IF($A73="","",$A73&amp;" - "&amp;$B73)</f>
        <v>Cuttlefish - CFWC 1/2 10%</v>
      </c>
      <c r="P73" s="25" t="n">
        <f aca="false">IF($A73="",0,IF(OR($F73&lt;&gt;0,$G73&lt;&gt;0),1,0))</f>
        <v>0</v>
      </c>
      <c r="Q73" s="25" t="str">
        <f aca="false">IF($P73=1,SUM($P$8:$P73),"")</f>
        <v/>
      </c>
      <c r="R73" s="25" t="str">
        <f aca="false">IF($A73="","",$A73&amp;"#"&amp;COUNTIF($A$8:$A73,$A73))</f>
        <v>Cuttlefish#2</v>
      </c>
      <c r="S73" s="25" t="n">
        <f aca="false">IF(OR($A73="",$D73=""),0,$E73*$D73)</f>
        <v>0</v>
      </c>
      <c r="T73" s="25" t="n">
        <f aca="false">IF(OR($A73="",$D73=""),0,$F73*$D73)</f>
        <v>0</v>
      </c>
      <c r="U73" s="25" t="n">
        <f aca="false">IF(OR($A73="",$D73=""),0,$G73*$D73)</f>
        <v>0</v>
      </c>
      <c r="V73" s="25" t="n">
        <f aca="false">IF(OR($A73="",$D73=""),0,$H73*$D73)</f>
        <v>0</v>
      </c>
      <c r="W73" s="25" t="n">
        <f aca="false">IF(OR($A73="",$D73=""),0,$I73*$D73)</f>
        <v>0</v>
      </c>
      <c r="X73" s="25" t="n">
        <f aca="false">IF(AND($A73&lt;&gt;"",$D73=""),1,0)</f>
        <v>1</v>
      </c>
      <c r="Y73" s="25" t="n">
        <f aca="false">IF($A73="",0,IF(COUNTIF($O$8:$O$114,$O73)&gt;1,1,0))</f>
        <v>0</v>
      </c>
    </row>
    <row r="74" customFormat="false" ht="15" hidden="false" customHeight="false" outlineLevel="0" collapsed="false">
      <c r="A74" s="15" t="s">
        <v>122</v>
      </c>
      <c r="B74" s="15" t="s">
        <v>125</v>
      </c>
      <c r="C74" s="16" t="s">
        <v>69</v>
      </c>
      <c r="D74" s="17"/>
      <c r="E74" s="18" t="n">
        <v>0</v>
      </c>
      <c r="F74" s="19" t="n">
        <f aca="false">IF($A74="","",SUMIFS('Daily Entry'!$C$7:$C$5000,'Daily Entry'!$B$7:$B$5000,$O74,'Daily Entry'!$A$7:$A$5000,$E$3))</f>
        <v>0</v>
      </c>
      <c r="G74" s="19" t="n">
        <f aca="false">IF($A74="","",SUMIFS('Daily Entry'!$D$7:$D$5000,'Daily Entry'!$B$7:$B$5000,$O74,'Daily Entry'!$A$7:$A$5000,$E$3))</f>
        <v>0</v>
      </c>
      <c r="H74" s="20" t="n">
        <f aca="false">IF($A74="","",SUMIFS('Daily Entry'!$C$7:$C$5000,'Daily Entry'!$B$7:$B$5000,$O74))</f>
        <v>0</v>
      </c>
      <c r="I74" s="20" t="n">
        <f aca="false">IF($A74="","",SUMIFS('Daily Entry'!$D$7:$D$5000,'Daily Entry'!$B$7:$B$5000,$O74))</f>
        <v>0</v>
      </c>
      <c r="J74" s="21" t="n">
        <f aca="false">IF($A74="","",$E74+$H74-$I74)</f>
        <v>0</v>
      </c>
      <c r="K74" s="22" t="str">
        <f aca="false">IF(OR($A74="",$D74=""),"",$J74*$D74)</f>
        <v/>
      </c>
      <c r="L74" s="23"/>
      <c r="M74" s="24" t="str">
        <f aca="false">IF(OR($A74="",$D74="",$L74="",$E$4=""),"",$K74*$L74*$E$4)</f>
        <v/>
      </c>
      <c r="O74" s="25" t="str">
        <f aca="false">IF($A74="","",$A74&amp;" - "&amp;$B74)</f>
        <v>Cuttlefish - CFWC 2/4 10%</v>
      </c>
      <c r="P74" s="25" t="n">
        <f aca="false">IF($A74="",0,IF(OR($F74&lt;&gt;0,$G74&lt;&gt;0),1,0))</f>
        <v>0</v>
      </c>
      <c r="Q74" s="25" t="str">
        <f aca="false">IF($P74=1,SUM($P$8:$P74),"")</f>
        <v/>
      </c>
      <c r="R74" s="25" t="str">
        <f aca="false">IF($A74="","",$A74&amp;"#"&amp;COUNTIF($A$8:$A74,$A74))</f>
        <v>Cuttlefish#3</v>
      </c>
      <c r="S74" s="25" t="n">
        <f aca="false">IF(OR($A74="",$D74=""),0,$E74*$D74)</f>
        <v>0</v>
      </c>
      <c r="T74" s="25" t="n">
        <f aca="false">IF(OR($A74="",$D74=""),0,$F74*$D74)</f>
        <v>0</v>
      </c>
      <c r="U74" s="25" t="n">
        <f aca="false">IF(OR($A74="",$D74=""),0,$G74*$D74)</f>
        <v>0</v>
      </c>
      <c r="V74" s="25" t="n">
        <f aca="false">IF(OR($A74="",$D74=""),0,$H74*$D74)</f>
        <v>0</v>
      </c>
      <c r="W74" s="25" t="n">
        <f aca="false">IF(OR($A74="",$D74=""),0,$I74*$D74)</f>
        <v>0</v>
      </c>
      <c r="X74" s="25" t="n">
        <f aca="false">IF(AND($A74&lt;&gt;"",$D74=""),1,0)</f>
        <v>1</v>
      </c>
      <c r="Y74" s="25" t="n">
        <f aca="false">IF($A74="",0,IF(COUNTIF($O$8:$O$114,$O74)&gt;1,1,0))</f>
        <v>0</v>
      </c>
    </row>
    <row r="75" customFormat="false" ht="15" hidden="false" customHeight="false" outlineLevel="0" collapsed="false">
      <c r="A75" s="26" t="s">
        <v>122</v>
      </c>
      <c r="B75" s="26" t="s">
        <v>126</v>
      </c>
      <c r="C75" s="16" t="s">
        <v>69</v>
      </c>
      <c r="D75" s="17"/>
      <c r="E75" s="18" t="n">
        <v>0</v>
      </c>
      <c r="F75" s="27" t="n">
        <f aca="false">IF($A75="","",SUMIFS('Daily Entry'!$C$7:$C$5000,'Daily Entry'!$B$7:$B$5000,$O75,'Daily Entry'!$A$7:$A$5000,$E$3))</f>
        <v>0</v>
      </c>
      <c r="G75" s="27" t="n">
        <f aca="false">IF($A75="","",SUMIFS('Daily Entry'!$D$7:$D$5000,'Daily Entry'!$B$7:$B$5000,$O75,'Daily Entry'!$A$7:$A$5000,$E$3))</f>
        <v>0</v>
      </c>
      <c r="H75" s="28" t="n">
        <f aca="false">IF($A75="","",SUMIFS('Daily Entry'!$C$7:$C$5000,'Daily Entry'!$B$7:$B$5000,$O75))</f>
        <v>0</v>
      </c>
      <c r="I75" s="28" t="n">
        <f aca="false">IF($A75="","",SUMIFS('Daily Entry'!$D$7:$D$5000,'Daily Entry'!$B$7:$B$5000,$O75))</f>
        <v>0</v>
      </c>
      <c r="J75" s="29" t="n">
        <f aca="false">IF($A75="","",$E75+$H75-$I75)</f>
        <v>0</v>
      </c>
      <c r="K75" s="30" t="str">
        <f aca="false">IF(OR($A75="",$D75=""),"",$J75*$D75)</f>
        <v/>
      </c>
      <c r="L75" s="23"/>
      <c r="M75" s="31" t="str">
        <f aca="false">IF(OR($A75="",$D75="",$L75="",$E$4=""),"",$K75*$L75*$E$4)</f>
        <v/>
      </c>
      <c r="O75" s="25" t="str">
        <f aca="false">IF($A75="","",$A75&amp;" - "&amp;$B75)</f>
        <v>Cuttlefish - CFWC 5/7 10%</v>
      </c>
      <c r="P75" s="25" t="n">
        <f aca="false">IF($A75="",0,IF(OR($F75&lt;&gt;0,$G75&lt;&gt;0),1,0))</f>
        <v>0</v>
      </c>
      <c r="Q75" s="25" t="str">
        <f aca="false">IF($P75=1,SUM($P$8:$P75),"")</f>
        <v/>
      </c>
      <c r="R75" s="25" t="str">
        <f aca="false">IF($A75="","",$A75&amp;"#"&amp;COUNTIF($A$8:$A75,$A75))</f>
        <v>Cuttlefish#4</v>
      </c>
      <c r="S75" s="25" t="n">
        <f aca="false">IF(OR($A75="",$D75=""),0,$E75*$D75)</f>
        <v>0</v>
      </c>
      <c r="T75" s="25" t="n">
        <f aca="false">IF(OR($A75="",$D75=""),0,$F75*$D75)</f>
        <v>0</v>
      </c>
      <c r="U75" s="25" t="n">
        <f aca="false">IF(OR($A75="",$D75=""),0,$G75*$D75)</f>
        <v>0</v>
      </c>
      <c r="V75" s="25" t="n">
        <f aca="false">IF(OR($A75="",$D75=""),0,$H75*$D75)</f>
        <v>0</v>
      </c>
      <c r="W75" s="25" t="n">
        <f aca="false">IF(OR($A75="",$D75=""),0,$I75*$D75)</f>
        <v>0</v>
      </c>
      <c r="X75" s="25" t="n">
        <f aca="false">IF(AND($A75&lt;&gt;"",$D75=""),1,0)</f>
        <v>1</v>
      </c>
      <c r="Y75" s="25" t="n">
        <f aca="false">IF($A75="",0,IF(COUNTIF($O$8:$O$114,$O75)&gt;1,1,0))</f>
        <v>0</v>
      </c>
    </row>
    <row r="76" customFormat="false" ht="15" hidden="false" customHeight="false" outlineLevel="0" collapsed="false">
      <c r="A76" s="15" t="s">
        <v>122</v>
      </c>
      <c r="B76" s="15" t="s">
        <v>127</v>
      </c>
      <c r="C76" s="16" t="s">
        <v>69</v>
      </c>
      <c r="D76" s="17"/>
      <c r="E76" s="18" t="n">
        <v>0</v>
      </c>
      <c r="F76" s="19" t="n">
        <f aca="false">IF($A76="","",SUMIFS('Daily Entry'!$C$7:$C$5000,'Daily Entry'!$B$7:$B$5000,$O76,'Daily Entry'!$A$7:$A$5000,$E$3))</f>
        <v>0</v>
      </c>
      <c r="G76" s="19" t="n">
        <f aca="false">IF($A76="","",SUMIFS('Daily Entry'!$D$7:$D$5000,'Daily Entry'!$B$7:$B$5000,$O76,'Daily Entry'!$A$7:$A$5000,$E$3))</f>
        <v>0</v>
      </c>
      <c r="H76" s="20" t="n">
        <f aca="false">IF($A76="","",SUMIFS('Daily Entry'!$C$7:$C$5000,'Daily Entry'!$B$7:$B$5000,$O76))</f>
        <v>0</v>
      </c>
      <c r="I76" s="20" t="n">
        <f aca="false">IF($A76="","",SUMIFS('Daily Entry'!$D$7:$D$5000,'Daily Entry'!$B$7:$B$5000,$O76))</f>
        <v>0</v>
      </c>
      <c r="J76" s="21" t="n">
        <f aca="false">IF($A76="","",$E76+$H76-$I76)</f>
        <v>0</v>
      </c>
      <c r="K76" s="22" t="str">
        <f aca="false">IF(OR($A76="",$D76=""),"",$J76*$D76)</f>
        <v/>
      </c>
      <c r="L76" s="23"/>
      <c r="M76" s="24" t="str">
        <f aca="false">IF(OR($A76="",$D76="",$L76="",$E$4=""),"",$K76*$L76*$E$4)</f>
        <v/>
      </c>
      <c r="O76" s="25" t="str">
        <f aca="false">IF($A76="","",$A76&amp;" - "&amp;$B76)</f>
        <v>Cuttlefish - CFWC 8/12 10%</v>
      </c>
      <c r="P76" s="25" t="n">
        <f aca="false">IF($A76="",0,IF(OR($F76&lt;&gt;0,$G76&lt;&gt;0),1,0))</f>
        <v>0</v>
      </c>
      <c r="Q76" s="25" t="str">
        <f aca="false">IF($P76=1,SUM($P$8:$P76),"")</f>
        <v/>
      </c>
      <c r="R76" s="25" t="str">
        <f aca="false">IF($A76="","",$A76&amp;"#"&amp;COUNTIF($A$8:$A76,$A76))</f>
        <v>Cuttlefish#5</v>
      </c>
      <c r="S76" s="25" t="n">
        <f aca="false">IF(OR($A76="",$D76=""),0,$E76*$D76)</f>
        <v>0</v>
      </c>
      <c r="T76" s="25" t="n">
        <f aca="false">IF(OR($A76="",$D76=""),0,$F76*$D76)</f>
        <v>0</v>
      </c>
      <c r="U76" s="25" t="n">
        <f aca="false">IF(OR($A76="",$D76=""),0,$G76*$D76)</f>
        <v>0</v>
      </c>
      <c r="V76" s="25" t="n">
        <f aca="false">IF(OR($A76="",$D76=""),0,$H76*$D76)</f>
        <v>0</v>
      </c>
      <c r="W76" s="25" t="n">
        <f aca="false">IF(OR($A76="",$D76=""),0,$I76*$D76)</f>
        <v>0</v>
      </c>
      <c r="X76" s="25" t="n">
        <f aca="false">IF(AND($A76&lt;&gt;"",$D76=""),1,0)</f>
        <v>1</v>
      </c>
      <c r="Y76" s="25" t="n">
        <f aca="false">IF($A76="",0,IF(COUNTIF($O$8:$O$114,$O76)&gt;1,1,0))</f>
        <v>0</v>
      </c>
    </row>
    <row r="77" customFormat="false" ht="15" hidden="false" customHeight="false" outlineLevel="0" collapsed="false">
      <c r="A77" s="26" t="s">
        <v>122</v>
      </c>
      <c r="B77" s="26" t="s">
        <v>128</v>
      </c>
      <c r="C77" s="16" t="s">
        <v>69</v>
      </c>
      <c r="D77" s="17"/>
      <c r="E77" s="18" t="n">
        <v>0</v>
      </c>
      <c r="F77" s="27" t="n">
        <f aca="false">IF($A77="","",SUMIFS('Daily Entry'!$C$7:$C$5000,'Daily Entry'!$B$7:$B$5000,$O77,'Daily Entry'!$A$7:$A$5000,$E$3))</f>
        <v>0</v>
      </c>
      <c r="G77" s="27" t="n">
        <f aca="false">IF($A77="","",SUMIFS('Daily Entry'!$D$7:$D$5000,'Daily Entry'!$B$7:$B$5000,$O77,'Daily Entry'!$A$7:$A$5000,$E$3))</f>
        <v>0</v>
      </c>
      <c r="H77" s="28" t="n">
        <f aca="false">IF($A77="","",SUMIFS('Daily Entry'!$C$7:$C$5000,'Daily Entry'!$B$7:$B$5000,$O77))</f>
        <v>0</v>
      </c>
      <c r="I77" s="28" t="n">
        <f aca="false">IF($A77="","",SUMIFS('Daily Entry'!$D$7:$D$5000,'Daily Entry'!$B$7:$B$5000,$O77))</f>
        <v>0</v>
      </c>
      <c r="J77" s="29" t="n">
        <f aca="false">IF($A77="","",$E77+$H77-$I77)</f>
        <v>0</v>
      </c>
      <c r="K77" s="30" t="str">
        <f aca="false">IF(OR($A77="",$D77=""),"",$J77*$D77)</f>
        <v/>
      </c>
      <c r="L77" s="23"/>
      <c r="M77" s="31" t="str">
        <f aca="false">IF(OR($A77="",$D77="",$L77="",$E$4=""),"",$K77*$L77*$E$4)</f>
        <v/>
      </c>
      <c r="O77" s="25" t="str">
        <f aca="false">IF($A77="","",$A77&amp;" - "&amp;$B77)</f>
        <v>Cuttlefish - CFWC 13/20 10%</v>
      </c>
      <c r="P77" s="25" t="n">
        <f aca="false">IF($A77="",0,IF(OR($F77&lt;&gt;0,$G77&lt;&gt;0),1,0))</f>
        <v>0</v>
      </c>
      <c r="Q77" s="25" t="str">
        <f aca="false">IF($P77=1,SUM($P$8:$P77),"")</f>
        <v/>
      </c>
      <c r="R77" s="25" t="str">
        <f aca="false">IF($A77="","",$A77&amp;"#"&amp;COUNTIF($A$8:$A77,$A77))</f>
        <v>Cuttlefish#6</v>
      </c>
      <c r="S77" s="25" t="n">
        <f aca="false">IF(OR($A77="",$D77=""),0,$E77*$D77)</f>
        <v>0</v>
      </c>
      <c r="T77" s="25" t="n">
        <f aca="false">IF(OR($A77="",$D77=""),0,$F77*$D77)</f>
        <v>0</v>
      </c>
      <c r="U77" s="25" t="n">
        <f aca="false">IF(OR($A77="",$D77=""),0,$G77*$D77)</f>
        <v>0</v>
      </c>
      <c r="V77" s="25" t="n">
        <f aca="false">IF(OR($A77="",$D77=""),0,$H77*$D77)</f>
        <v>0</v>
      </c>
      <c r="W77" s="25" t="n">
        <f aca="false">IF(OR($A77="",$D77=""),0,$I77*$D77)</f>
        <v>0</v>
      </c>
      <c r="X77" s="25" t="n">
        <f aca="false">IF(AND($A77&lt;&gt;"",$D77=""),1,0)</f>
        <v>1</v>
      </c>
      <c r="Y77" s="25" t="n">
        <f aca="false">IF($A77="",0,IF(COUNTIF($O$8:$O$114,$O77)&gt;1,1,0))</f>
        <v>0</v>
      </c>
    </row>
    <row r="78" customFormat="false" ht="15" hidden="false" customHeight="false" outlineLevel="0" collapsed="false">
      <c r="A78" s="15" t="s">
        <v>129</v>
      </c>
      <c r="B78" s="15" t="s">
        <v>130</v>
      </c>
      <c r="C78" s="16" t="s">
        <v>69</v>
      </c>
      <c r="D78" s="17"/>
      <c r="E78" s="18" t="n">
        <v>0</v>
      </c>
      <c r="F78" s="19" t="n">
        <f aca="false">IF($A78="","",SUMIFS('Daily Entry'!$C$7:$C$5000,'Daily Entry'!$B$7:$B$5000,$O78,'Daily Entry'!$A$7:$A$5000,$E$3))</f>
        <v>0</v>
      </c>
      <c r="G78" s="19" t="n">
        <f aca="false">IF($A78="","",SUMIFS('Daily Entry'!$D$7:$D$5000,'Daily Entry'!$B$7:$B$5000,$O78,'Daily Entry'!$A$7:$A$5000,$E$3))</f>
        <v>0</v>
      </c>
      <c r="H78" s="20" t="n">
        <f aca="false">IF($A78="","",SUMIFS('Daily Entry'!$C$7:$C$5000,'Daily Entry'!$B$7:$B$5000,$O78))</f>
        <v>0</v>
      </c>
      <c r="I78" s="20" t="n">
        <f aca="false">IF($A78="","",SUMIFS('Daily Entry'!$D$7:$D$5000,'Daily Entry'!$B$7:$B$5000,$O78))</f>
        <v>0</v>
      </c>
      <c r="J78" s="21" t="n">
        <f aca="false">IF($A78="","",$E78+$H78-$I78)</f>
        <v>0</v>
      </c>
      <c r="K78" s="22" t="str">
        <f aca="false">IF(OR($A78="",$D78=""),"",$J78*$D78)</f>
        <v/>
      </c>
      <c r="L78" s="23"/>
      <c r="M78" s="24" t="str">
        <f aca="false">IF(OR($A78="",$D78="",$L78="",$E$4=""),"",$K78*$L78*$E$4)</f>
        <v/>
      </c>
      <c r="O78" s="25" t="str">
        <f aca="false">IF($A78="","",$A78&amp;" - "&amp;$B78)</f>
        <v>White Squid - SQW U/3 10%</v>
      </c>
      <c r="P78" s="25" t="n">
        <f aca="false">IF($A78="",0,IF(OR($F78&lt;&gt;0,$G78&lt;&gt;0),1,0))</f>
        <v>0</v>
      </c>
      <c r="Q78" s="25" t="str">
        <f aca="false">IF($P78=1,SUM($P$8:$P78),"")</f>
        <v/>
      </c>
      <c r="R78" s="25" t="str">
        <f aca="false">IF($A78="","",$A78&amp;"#"&amp;COUNTIF($A$8:$A78,$A78))</f>
        <v>White Squid#1</v>
      </c>
      <c r="S78" s="25" t="n">
        <f aca="false">IF(OR($A78="",$D78=""),0,$E78*$D78)</f>
        <v>0</v>
      </c>
      <c r="T78" s="25" t="n">
        <f aca="false">IF(OR($A78="",$D78=""),0,$F78*$D78)</f>
        <v>0</v>
      </c>
      <c r="U78" s="25" t="n">
        <f aca="false">IF(OR($A78="",$D78=""),0,$G78*$D78)</f>
        <v>0</v>
      </c>
      <c r="V78" s="25" t="n">
        <f aca="false">IF(OR($A78="",$D78=""),0,$H78*$D78)</f>
        <v>0</v>
      </c>
      <c r="W78" s="25" t="n">
        <f aca="false">IF(OR($A78="",$D78=""),0,$I78*$D78)</f>
        <v>0</v>
      </c>
      <c r="X78" s="25" t="n">
        <f aca="false">IF(AND($A78&lt;&gt;"",$D78=""),1,0)</f>
        <v>1</v>
      </c>
      <c r="Y78" s="25" t="n">
        <f aca="false">IF($A78="",0,IF(COUNTIF($O$8:$O$114,$O78)&gt;1,1,0))</f>
        <v>0</v>
      </c>
    </row>
    <row r="79" customFormat="false" ht="15" hidden="false" customHeight="false" outlineLevel="0" collapsed="false">
      <c r="A79" s="26" t="s">
        <v>129</v>
      </c>
      <c r="B79" s="26" t="s">
        <v>131</v>
      </c>
      <c r="C79" s="16" t="s">
        <v>69</v>
      </c>
      <c r="D79" s="17"/>
      <c r="E79" s="18" t="n">
        <v>0</v>
      </c>
      <c r="F79" s="27" t="n">
        <f aca="false">IF($A79="","",SUMIFS('Daily Entry'!$C$7:$C$5000,'Daily Entry'!$B$7:$B$5000,$O79,'Daily Entry'!$A$7:$A$5000,$E$3))</f>
        <v>0</v>
      </c>
      <c r="G79" s="27" t="n">
        <f aca="false">IF($A79="","",SUMIFS('Daily Entry'!$D$7:$D$5000,'Daily Entry'!$B$7:$B$5000,$O79,'Daily Entry'!$A$7:$A$5000,$E$3))</f>
        <v>0</v>
      </c>
      <c r="H79" s="28" t="n">
        <f aca="false">IF($A79="","",SUMIFS('Daily Entry'!$C$7:$C$5000,'Daily Entry'!$B$7:$B$5000,$O79))</f>
        <v>0</v>
      </c>
      <c r="I79" s="28" t="n">
        <f aca="false">IF($A79="","",SUMIFS('Daily Entry'!$D$7:$D$5000,'Daily Entry'!$B$7:$B$5000,$O79))</f>
        <v>0</v>
      </c>
      <c r="J79" s="29" t="n">
        <f aca="false">IF($A79="","",$E79+$H79-$I79)</f>
        <v>0</v>
      </c>
      <c r="K79" s="30" t="str">
        <f aca="false">IF(OR($A79="",$D79=""),"",$J79*$D79)</f>
        <v/>
      </c>
      <c r="L79" s="23"/>
      <c r="M79" s="31" t="str">
        <f aca="false">IF(OR($A79="",$D79="",$L79="",$E$4=""),"",$K79*$L79*$E$4)</f>
        <v/>
      </c>
      <c r="O79" s="25" t="str">
        <f aca="false">IF($A79="","",$A79&amp;" - "&amp;$B79)</f>
        <v>White Squid - SQW 3/6 10%</v>
      </c>
      <c r="P79" s="25" t="n">
        <f aca="false">IF($A79="",0,IF(OR($F79&lt;&gt;0,$G79&lt;&gt;0),1,0))</f>
        <v>0</v>
      </c>
      <c r="Q79" s="25" t="str">
        <f aca="false">IF($P79=1,SUM($P$8:$P79),"")</f>
        <v/>
      </c>
      <c r="R79" s="25" t="str">
        <f aca="false">IF($A79="","",$A79&amp;"#"&amp;COUNTIF($A$8:$A79,$A79))</f>
        <v>White Squid#2</v>
      </c>
      <c r="S79" s="25" t="n">
        <f aca="false">IF(OR($A79="",$D79=""),0,$E79*$D79)</f>
        <v>0</v>
      </c>
      <c r="T79" s="25" t="n">
        <f aca="false">IF(OR($A79="",$D79=""),0,$F79*$D79)</f>
        <v>0</v>
      </c>
      <c r="U79" s="25" t="n">
        <f aca="false">IF(OR($A79="",$D79=""),0,$G79*$D79)</f>
        <v>0</v>
      </c>
      <c r="V79" s="25" t="n">
        <f aca="false">IF(OR($A79="",$D79=""),0,$H79*$D79)</f>
        <v>0</v>
      </c>
      <c r="W79" s="25" t="n">
        <f aca="false">IF(OR($A79="",$D79=""),0,$I79*$D79)</f>
        <v>0</v>
      </c>
      <c r="X79" s="25" t="n">
        <f aca="false">IF(AND($A79&lt;&gt;"",$D79=""),1,0)</f>
        <v>1</v>
      </c>
      <c r="Y79" s="25" t="n">
        <f aca="false">IF($A79="",0,IF(COUNTIF($O$8:$O$114,$O79)&gt;1,1,0))</f>
        <v>0</v>
      </c>
    </row>
    <row r="80" customFormat="false" ht="15" hidden="false" customHeight="false" outlineLevel="0" collapsed="false">
      <c r="A80" s="15" t="s">
        <v>129</v>
      </c>
      <c r="B80" s="15" t="s">
        <v>132</v>
      </c>
      <c r="C80" s="16" t="s">
        <v>69</v>
      </c>
      <c r="D80" s="17"/>
      <c r="E80" s="18" t="n">
        <v>0</v>
      </c>
      <c r="F80" s="19" t="n">
        <f aca="false">IF($A80="","",SUMIFS('Daily Entry'!$C$7:$C$5000,'Daily Entry'!$B$7:$B$5000,$O80,'Daily Entry'!$A$7:$A$5000,$E$3))</f>
        <v>0</v>
      </c>
      <c r="G80" s="19" t="n">
        <f aca="false">IF($A80="","",SUMIFS('Daily Entry'!$D$7:$D$5000,'Daily Entry'!$B$7:$B$5000,$O80,'Daily Entry'!$A$7:$A$5000,$E$3))</f>
        <v>0</v>
      </c>
      <c r="H80" s="20" t="n">
        <f aca="false">IF($A80="","",SUMIFS('Daily Entry'!$C$7:$C$5000,'Daily Entry'!$B$7:$B$5000,$O80))</f>
        <v>0</v>
      </c>
      <c r="I80" s="20" t="n">
        <f aca="false">IF($A80="","",SUMIFS('Daily Entry'!$D$7:$D$5000,'Daily Entry'!$B$7:$B$5000,$O80))</f>
        <v>0</v>
      </c>
      <c r="J80" s="21" t="n">
        <f aca="false">IF($A80="","",$E80+$H80-$I80)</f>
        <v>0</v>
      </c>
      <c r="K80" s="22" t="str">
        <f aca="false">IF(OR($A80="",$D80=""),"",$J80*$D80)</f>
        <v/>
      </c>
      <c r="L80" s="23"/>
      <c r="M80" s="24" t="str">
        <f aca="false">IF(OR($A80="",$D80="",$L80="",$E$4=""),"",$K80*$L80*$E$4)</f>
        <v/>
      </c>
      <c r="O80" s="25" t="str">
        <f aca="false">IF($A80="","",$A80&amp;" - "&amp;$B80)</f>
        <v>White Squid - SQW 6/10 10%</v>
      </c>
      <c r="P80" s="25" t="n">
        <f aca="false">IF($A80="",0,IF(OR($F80&lt;&gt;0,$G80&lt;&gt;0),1,0))</f>
        <v>0</v>
      </c>
      <c r="Q80" s="25" t="str">
        <f aca="false">IF($P80=1,SUM($P$8:$P80),"")</f>
        <v/>
      </c>
      <c r="R80" s="25" t="str">
        <f aca="false">IF($A80="","",$A80&amp;"#"&amp;COUNTIF($A$8:$A80,$A80))</f>
        <v>White Squid#3</v>
      </c>
      <c r="S80" s="25" t="n">
        <f aca="false">IF(OR($A80="",$D80=""),0,$E80*$D80)</f>
        <v>0</v>
      </c>
      <c r="T80" s="25" t="n">
        <f aca="false">IF(OR($A80="",$D80=""),0,$F80*$D80)</f>
        <v>0</v>
      </c>
      <c r="U80" s="25" t="n">
        <f aca="false">IF(OR($A80="",$D80=""),0,$G80*$D80)</f>
        <v>0</v>
      </c>
      <c r="V80" s="25" t="n">
        <f aca="false">IF(OR($A80="",$D80=""),0,$H80*$D80)</f>
        <v>0</v>
      </c>
      <c r="W80" s="25" t="n">
        <f aca="false">IF(OR($A80="",$D80=""),0,$I80*$D80)</f>
        <v>0</v>
      </c>
      <c r="X80" s="25" t="n">
        <f aca="false">IF(AND($A80&lt;&gt;"",$D80=""),1,0)</f>
        <v>1</v>
      </c>
      <c r="Y80" s="25" t="n">
        <f aca="false">IF($A80="",0,IF(COUNTIF($O$8:$O$114,$O80)&gt;1,1,0))</f>
        <v>0</v>
      </c>
    </row>
    <row r="81" customFormat="false" ht="15" hidden="false" customHeight="false" outlineLevel="0" collapsed="false">
      <c r="A81" s="26" t="s">
        <v>129</v>
      </c>
      <c r="B81" s="26" t="s">
        <v>133</v>
      </c>
      <c r="C81" s="16" t="s">
        <v>69</v>
      </c>
      <c r="D81" s="17"/>
      <c r="E81" s="18" t="n">
        <v>0</v>
      </c>
      <c r="F81" s="27" t="n">
        <f aca="false">IF($A81="","",SUMIFS('Daily Entry'!$C$7:$C$5000,'Daily Entry'!$B$7:$B$5000,$O81,'Daily Entry'!$A$7:$A$5000,$E$3))</f>
        <v>0</v>
      </c>
      <c r="G81" s="27" t="n">
        <f aca="false">IF($A81="","",SUMIFS('Daily Entry'!$D$7:$D$5000,'Daily Entry'!$B$7:$B$5000,$O81,'Daily Entry'!$A$7:$A$5000,$E$3))</f>
        <v>0</v>
      </c>
      <c r="H81" s="28" t="n">
        <f aca="false">IF($A81="","",SUMIFS('Daily Entry'!$C$7:$C$5000,'Daily Entry'!$B$7:$B$5000,$O81))</f>
        <v>0</v>
      </c>
      <c r="I81" s="28" t="n">
        <f aca="false">IF($A81="","",SUMIFS('Daily Entry'!$D$7:$D$5000,'Daily Entry'!$B$7:$B$5000,$O81))</f>
        <v>0</v>
      </c>
      <c r="J81" s="29" t="n">
        <f aca="false">IF($A81="","",$E81+$H81-$I81)</f>
        <v>0</v>
      </c>
      <c r="K81" s="30" t="str">
        <f aca="false">IF(OR($A81="",$D81=""),"",$J81*$D81)</f>
        <v/>
      </c>
      <c r="L81" s="23"/>
      <c r="M81" s="31" t="str">
        <f aca="false">IF(OR($A81="",$D81="",$L81="",$E$4=""),"",$K81*$L81*$E$4)</f>
        <v/>
      </c>
      <c r="O81" s="25" t="str">
        <f aca="false">IF($A81="","",$A81&amp;" - "&amp;$B81)</f>
        <v>White Squid - SQW 10/20 10%</v>
      </c>
      <c r="P81" s="25" t="n">
        <f aca="false">IF($A81="",0,IF(OR($F81&lt;&gt;0,$G81&lt;&gt;0),1,0))</f>
        <v>0</v>
      </c>
      <c r="Q81" s="25" t="str">
        <f aca="false">IF($P81=1,SUM($P$8:$P81),"")</f>
        <v/>
      </c>
      <c r="R81" s="25" t="str">
        <f aca="false">IF($A81="","",$A81&amp;"#"&amp;COUNTIF($A$8:$A81,$A81))</f>
        <v>White Squid#4</v>
      </c>
      <c r="S81" s="25" t="n">
        <f aca="false">IF(OR($A81="",$D81=""),0,$E81*$D81)</f>
        <v>0</v>
      </c>
      <c r="T81" s="25" t="n">
        <f aca="false">IF(OR($A81="",$D81=""),0,$F81*$D81)</f>
        <v>0</v>
      </c>
      <c r="U81" s="25" t="n">
        <f aca="false">IF(OR($A81="",$D81=""),0,$G81*$D81)</f>
        <v>0</v>
      </c>
      <c r="V81" s="25" t="n">
        <f aca="false">IF(OR($A81="",$D81=""),0,$H81*$D81)</f>
        <v>0</v>
      </c>
      <c r="W81" s="25" t="n">
        <f aca="false">IF(OR($A81="",$D81=""),0,$I81*$D81)</f>
        <v>0</v>
      </c>
      <c r="X81" s="25" t="n">
        <f aca="false">IF(AND($A81&lt;&gt;"",$D81=""),1,0)</f>
        <v>1</v>
      </c>
      <c r="Y81" s="25" t="n">
        <f aca="false">IF($A81="",0,IF(COUNTIF($O$8:$O$114,$O81)&gt;1,1,0))</f>
        <v>0</v>
      </c>
    </row>
    <row r="82" customFormat="false" ht="15" hidden="false" customHeight="false" outlineLevel="0" collapsed="false">
      <c r="A82" s="15" t="s">
        <v>129</v>
      </c>
      <c r="B82" s="15" t="s">
        <v>134</v>
      </c>
      <c r="C82" s="16" t="s">
        <v>69</v>
      </c>
      <c r="D82" s="17"/>
      <c r="E82" s="18" t="n">
        <v>0</v>
      </c>
      <c r="F82" s="19" t="n">
        <f aca="false">IF($A82="","",SUMIFS('Daily Entry'!$C$7:$C$5000,'Daily Entry'!$B$7:$B$5000,$O82,'Daily Entry'!$A$7:$A$5000,$E$3))</f>
        <v>0</v>
      </c>
      <c r="G82" s="19" t="n">
        <f aca="false">IF($A82="","",SUMIFS('Daily Entry'!$D$7:$D$5000,'Daily Entry'!$B$7:$B$5000,$O82,'Daily Entry'!$A$7:$A$5000,$E$3))</f>
        <v>0</v>
      </c>
      <c r="H82" s="20" t="n">
        <f aca="false">IF($A82="","",SUMIFS('Daily Entry'!$C$7:$C$5000,'Daily Entry'!$B$7:$B$5000,$O82))</f>
        <v>0</v>
      </c>
      <c r="I82" s="20" t="n">
        <f aca="false">IF($A82="","",SUMIFS('Daily Entry'!$D$7:$D$5000,'Daily Entry'!$B$7:$B$5000,$O82))</f>
        <v>0</v>
      </c>
      <c r="J82" s="21" t="n">
        <f aca="false">IF($A82="","",$E82+$H82-$I82)</f>
        <v>0</v>
      </c>
      <c r="K82" s="22" t="str">
        <f aca="false">IF(OR($A82="",$D82=""),"",$J82*$D82)</f>
        <v/>
      </c>
      <c r="L82" s="23"/>
      <c r="M82" s="24" t="str">
        <f aca="false">IF(OR($A82="",$D82="",$L82="",$E$4=""),"",$K82*$L82*$E$4)</f>
        <v/>
      </c>
      <c r="O82" s="25" t="str">
        <f aca="false">IF($A82="","",$A82&amp;" - "&amp;$B82)</f>
        <v>White Squid - SQW 20/40 10%</v>
      </c>
      <c r="P82" s="25" t="n">
        <f aca="false">IF($A82="",0,IF(OR($F82&lt;&gt;0,$G82&lt;&gt;0),1,0))</f>
        <v>0</v>
      </c>
      <c r="Q82" s="25" t="str">
        <f aca="false">IF($P82=1,SUM($P$8:$P82),"")</f>
        <v/>
      </c>
      <c r="R82" s="25" t="str">
        <f aca="false">IF($A82="","",$A82&amp;"#"&amp;COUNTIF($A$8:$A82,$A82))</f>
        <v>White Squid#5</v>
      </c>
      <c r="S82" s="25" t="n">
        <f aca="false">IF(OR($A82="",$D82=""),0,$E82*$D82)</f>
        <v>0</v>
      </c>
      <c r="T82" s="25" t="n">
        <f aca="false">IF(OR($A82="",$D82=""),0,$F82*$D82)</f>
        <v>0</v>
      </c>
      <c r="U82" s="25" t="n">
        <f aca="false">IF(OR($A82="",$D82=""),0,$G82*$D82)</f>
        <v>0</v>
      </c>
      <c r="V82" s="25" t="n">
        <f aca="false">IF(OR($A82="",$D82=""),0,$H82*$D82)</f>
        <v>0</v>
      </c>
      <c r="W82" s="25" t="n">
        <f aca="false">IF(OR($A82="",$D82=""),0,$I82*$D82)</f>
        <v>0</v>
      </c>
      <c r="X82" s="25" t="n">
        <f aca="false">IF(AND($A82&lt;&gt;"",$D82=""),1,0)</f>
        <v>1</v>
      </c>
      <c r="Y82" s="25" t="n">
        <f aca="false">IF($A82="",0,IF(COUNTIF($O$8:$O$114,$O82)&gt;1,1,0))</f>
        <v>0</v>
      </c>
    </row>
    <row r="83" customFormat="false" ht="15" hidden="false" customHeight="false" outlineLevel="0" collapsed="false">
      <c r="A83" s="26" t="s">
        <v>129</v>
      </c>
      <c r="B83" s="26" t="s">
        <v>135</v>
      </c>
      <c r="C83" s="16" t="s">
        <v>69</v>
      </c>
      <c r="D83" s="17"/>
      <c r="E83" s="18" t="n">
        <v>0</v>
      </c>
      <c r="F83" s="27" t="n">
        <f aca="false">IF($A83="","",SUMIFS('Daily Entry'!$C$7:$C$5000,'Daily Entry'!$B$7:$B$5000,$O83,'Daily Entry'!$A$7:$A$5000,$E$3))</f>
        <v>0</v>
      </c>
      <c r="G83" s="27" t="n">
        <f aca="false">IF($A83="","",SUMIFS('Daily Entry'!$D$7:$D$5000,'Daily Entry'!$B$7:$B$5000,$O83,'Daily Entry'!$A$7:$A$5000,$E$3))</f>
        <v>0</v>
      </c>
      <c r="H83" s="28" t="n">
        <f aca="false">IF($A83="","",SUMIFS('Daily Entry'!$C$7:$C$5000,'Daily Entry'!$B$7:$B$5000,$O83))</f>
        <v>0</v>
      </c>
      <c r="I83" s="28" t="n">
        <f aca="false">IF($A83="","",SUMIFS('Daily Entry'!$D$7:$D$5000,'Daily Entry'!$B$7:$B$5000,$O83))</f>
        <v>0</v>
      </c>
      <c r="J83" s="29" t="n">
        <f aca="false">IF($A83="","",$E83+$H83-$I83)</f>
        <v>0</v>
      </c>
      <c r="K83" s="30" t="str">
        <f aca="false">IF(OR($A83="",$D83=""),"",$J83*$D83)</f>
        <v/>
      </c>
      <c r="L83" s="23"/>
      <c r="M83" s="31" t="str">
        <f aca="false">IF(OR($A83="",$D83="",$L83="",$E$4=""),"",$K83*$L83*$E$4)</f>
        <v/>
      </c>
      <c r="O83" s="25" t="str">
        <f aca="false">IF($A83="","",$A83&amp;" - "&amp;$B83)</f>
        <v>White Squid - SQWC U/5 25%</v>
      </c>
      <c r="P83" s="25" t="n">
        <f aca="false">IF($A83="",0,IF(OR($F83&lt;&gt;0,$G83&lt;&gt;0),1,0))</f>
        <v>0</v>
      </c>
      <c r="Q83" s="25" t="str">
        <f aca="false">IF($P83=1,SUM($P$8:$P83),"")</f>
        <v/>
      </c>
      <c r="R83" s="25" t="str">
        <f aca="false">IF($A83="","",$A83&amp;"#"&amp;COUNTIF($A$8:$A83,$A83))</f>
        <v>White Squid#6</v>
      </c>
      <c r="S83" s="25" t="n">
        <f aca="false">IF(OR($A83="",$D83=""),0,$E83*$D83)</f>
        <v>0</v>
      </c>
      <c r="T83" s="25" t="n">
        <f aca="false">IF(OR($A83="",$D83=""),0,$F83*$D83)</f>
        <v>0</v>
      </c>
      <c r="U83" s="25" t="n">
        <f aca="false">IF(OR($A83="",$D83=""),0,$G83*$D83)</f>
        <v>0</v>
      </c>
      <c r="V83" s="25" t="n">
        <f aca="false">IF(OR($A83="",$D83=""),0,$H83*$D83)</f>
        <v>0</v>
      </c>
      <c r="W83" s="25" t="n">
        <f aca="false">IF(OR($A83="",$D83=""),0,$I83*$D83)</f>
        <v>0</v>
      </c>
      <c r="X83" s="25" t="n">
        <f aca="false">IF(AND($A83&lt;&gt;"",$D83=""),1,0)</f>
        <v>1</v>
      </c>
      <c r="Y83" s="25" t="n">
        <f aca="false">IF($A83="",0,IF(COUNTIF($O$8:$O$114,$O83)&gt;1,1,0))</f>
        <v>0</v>
      </c>
    </row>
    <row r="84" customFormat="false" ht="15" hidden="false" customHeight="false" outlineLevel="0" collapsed="false">
      <c r="A84" s="15" t="s">
        <v>129</v>
      </c>
      <c r="B84" s="15" t="s">
        <v>136</v>
      </c>
      <c r="C84" s="16" t="s">
        <v>69</v>
      </c>
      <c r="D84" s="17"/>
      <c r="E84" s="18" t="n">
        <v>0</v>
      </c>
      <c r="F84" s="19" t="n">
        <f aca="false">IF($A84="","",SUMIFS('Daily Entry'!$C$7:$C$5000,'Daily Entry'!$B$7:$B$5000,$O84,'Daily Entry'!$A$7:$A$5000,$E$3))</f>
        <v>0</v>
      </c>
      <c r="G84" s="19" t="n">
        <f aca="false">IF($A84="","",SUMIFS('Daily Entry'!$D$7:$D$5000,'Daily Entry'!$B$7:$B$5000,$O84,'Daily Entry'!$A$7:$A$5000,$E$3))</f>
        <v>0</v>
      </c>
      <c r="H84" s="20" t="n">
        <f aca="false">IF($A84="","",SUMIFS('Daily Entry'!$C$7:$C$5000,'Daily Entry'!$B$7:$B$5000,$O84))</f>
        <v>0</v>
      </c>
      <c r="I84" s="20" t="n">
        <f aca="false">IF($A84="","",SUMIFS('Daily Entry'!$D$7:$D$5000,'Daily Entry'!$B$7:$B$5000,$O84))</f>
        <v>0</v>
      </c>
      <c r="J84" s="21" t="n">
        <f aca="false">IF($A84="","",$E84+$H84-$I84)</f>
        <v>0</v>
      </c>
      <c r="K84" s="22" t="str">
        <f aca="false">IF(OR($A84="",$D84=""),"",$J84*$D84)</f>
        <v/>
      </c>
      <c r="L84" s="23"/>
      <c r="M84" s="24" t="str">
        <f aca="false">IF(OR($A84="",$D84="",$L84="",$E$4=""),"",$K84*$L84*$E$4)</f>
        <v/>
      </c>
      <c r="O84" s="25" t="str">
        <f aca="false">IF($A84="","",$A84&amp;" - "&amp;$B84)</f>
        <v>White Squid - SQWC U/10 25%</v>
      </c>
      <c r="P84" s="25" t="n">
        <f aca="false">IF($A84="",0,IF(OR($F84&lt;&gt;0,$G84&lt;&gt;0),1,0))</f>
        <v>0</v>
      </c>
      <c r="Q84" s="25" t="str">
        <f aca="false">IF($P84=1,SUM($P$8:$P84),"")</f>
        <v/>
      </c>
      <c r="R84" s="25" t="str">
        <f aca="false">IF($A84="","",$A84&amp;"#"&amp;COUNTIF($A$8:$A84,$A84))</f>
        <v>White Squid#7</v>
      </c>
      <c r="S84" s="25" t="n">
        <f aca="false">IF(OR($A84="",$D84=""),0,$E84*$D84)</f>
        <v>0</v>
      </c>
      <c r="T84" s="25" t="n">
        <f aca="false">IF(OR($A84="",$D84=""),0,$F84*$D84)</f>
        <v>0</v>
      </c>
      <c r="U84" s="25" t="n">
        <f aca="false">IF(OR($A84="",$D84=""),0,$G84*$D84)</f>
        <v>0</v>
      </c>
      <c r="V84" s="25" t="n">
        <f aca="false">IF(OR($A84="",$D84=""),0,$H84*$D84)</f>
        <v>0</v>
      </c>
      <c r="W84" s="25" t="n">
        <f aca="false">IF(OR($A84="",$D84=""),0,$I84*$D84)</f>
        <v>0</v>
      </c>
      <c r="X84" s="25" t="n">
        <f aca="false">IF(AND($A84&lt;&gt;"",$D84=""),1,0)</f>
        <v>1</v>
      </c>
      <c r="Y84" s="25" t="n">
        <f aca="false">IF($A84="",0,IF(COUNTIF($O$8:$O$114,$O84)&gt;1,1,0))</f>
        <v>0</v>
      </c>
    </row>
    <row r="85" customFormat="false" ht="15" hidden="false" customHeight="false" outlineLevel="0" collapsed="false">
      <c r="A85" s="26" t="s">
        <v>129</v>
      </c>
      <c r="B85" s="26" t="s">
        <v>137</v>
      </c>
      <c r="C85" s="16" t="s">
        <v>69</v>
      </c>
      <c r="D85" s="17"/>
      <c r="E85" s="18" t="n">
        <v>0</v>
      </c>
      <c r="F85" s="27" t="n">
        <f aca="false">IF($A85="","",SUMIFS('Daily Entry'!$C$7:$C$5000,'Daily Entry'!$B$7:$B$5000,$O85,'Daily Entry'!$A$7:$A$5000,$E$3))</f>
        <v>0</v>
      </c>
      <c r="G85" s="27" t="n">
        <f aca="false">IF($A85="","",SUMIFS('Daily Entry'!$D$7:$D$5000,'Daily Entry'!$B$7:$B$5000,$O85,'Daily Entry'!$A$7:$A$5000,$E$3))</f>
        <v>0</v>
      </c>
      <c r="H85" s="28" t="n">
        <f aca="false">IF($A85="","",SUMIFS('Daily Entry'!$C$7:$C$5000,'Daily Entry'!$B$7:$B$5000,$O85))</f>
        <v>0</v>
      </c>
      <c r="I85" s="28" t="n">
        <f aca="false">IF($A85="","",SUMIFS('Daily Entry'!$D$7:$D$5000,'Daily Entry'!$B$7:$B$5000,$O85))</f>
        <v>0</v>
      </c>
      <c r="J85" s="29" t="n">
        <f aca="false">IF($A85="","",$E85+$H85-$I85)</f>
        <v>0</v>
      </c>
      <c r="K85" s="30" t="str">
        <f aca="false">IF(OR($A85="",$D85=""),"",$J85*$D85)</f>
        <v/>
      </c>
      <c r="L85" s="23"/>
      <c r="M85" s="31" t="str">
        <f aca="false">IF(OR($A85="",$D85="",$L85="",$E$4=""),"",$K85*$L85*$E$4)</f>
        <v/>
      </c>
      <c r="O85" s="25" t="str">
        <f aca="false">IF($A85="","",$A85&amp;" - "&amp;$B85)</f>
        <v>White Squid - SQWC 10/20 25%</v>
      </c>
      <c r="P85" s="25" t="n">
        <f aca="false">IF($A85="",0,IF(OR($F85&lt;&gt;0,$G85&lt;&gt;0),1,0))</f>
        <v>0</v>
      </c>
      <c r="Q85" s="25" t="str">
        <f aca="false">IF($P85=1,SUM($P$8:$P85),"")</f>
        <v/>
      </c>
      <c r="R85" s="25" t="str">
        <f aca="false">IF($A85="","",$A85&amp;"#"&amp;COUNTIF($A$8:$A85,$A85))</f>
        <v>White Squid#8</v>
      </c>
      <c r="S85" s="25" t="n">
        <f aca="false">IF(OR($A85="",$D85=""),0,$E85*$D85)</f>
        <v>0</v>
      </c>
      <c r="T85" s="25" t="n">
        <f aca="false">IF(OR($A85="",$D85=""),0,$F85*$D85)</f>
        <v>0</v>
      </c>
      <c r="U85" s="25" t="n">
        <f aca="false">IF(OR($A85="",$D85=""),0,$G85*$D85)</f>
        <v>0</v>
      </c>
      <c r="V85" s="25" t="n">
        <f aca="false">IF(OR($A85="",$D85=""),0,$H85*$D85)</f>
        <v>0</v>
      </c>
      <c r="W85" s="25" t="n">
        <f aca="false">IF(OR($A85="",$D85=""),0,$I85*$D85)</f>
        <v>0</v>
      </c>
      <c r="X85" s="25" t="n">
        <f aca="false">IF(AND($A85&lt;&gt;"",$D85=""),1,0)</f>
        <v>1</v>
      </c>
      <c r="Y85" s="25" t="n">
        <f aca="false">IF($A85="",0,IF(COUNTIF($O$8:$O$114,$O85)&gt;1,1,0))</f>
        <v>0</v>
      </c>
    </row>
    <row r="86" customFormat="false" ht="15" hidden="false" customHeight="false" outlineLevel="0" collapsed="false">
      <c r="A86" s="15" t="s">
        <v>138</v>
      </c>
      <c r="B86" s="15" t="s">
        <v>139</v>
      </c>
      <c r="C86" s="16" t="s">
        <v>69</v>
      </c>
      <c r="D86" s="17"/>
      <c r="E86" s="18" t="n">
        <v>0</v>
      </c>
      <c r="F86" s="19" t="n">
        <f aca="false">IF($A86="","",SUMIFS('Daily Entry'!$C$7:$C$5000,'Daily Entry'!$B$7:$B$5000,$O86,'Daily Entry'!$A$7:$A$5000,$E$3))</f>
        <v>0</v>
      </c>
      <c r="G86" s="19" t="n">
        <f aca="false">IF($A86="","",SUMIFS('Daily Entry'!$D$7:$D$5000,'Daily Entry'!$B$7:$B$5000,$O86,'Daily Entry'!$A$7:$A$5000,$E$3))</f>
        <v>0</v>
      </c>
      <c r="H86" s="20" t="n">
        <f aca="false">IF($A86="","",SUMIFS('Daily Entry'!$C$7:$C$5000,'Daily Entry'!$B$7:$B$5000,$O86))</f>
        <v>0</v>
      </c>
      <c r="I86" s="20" t="n">
        <f aca="false">IF($A86="","",SUMIFS('Daily Entry'!$D$7:$D$5000,'Daily Entry'!$B$7:$B$5000,$O86))</f>
        <v>0</v>
      </c>
      <c r="J86" s="21" t="n">
        <f aca="false">IF($A86="","",$E86+$H86-$I86)</f>
        <v>0</v>
      </c>
      <c r="K86" s="22" t="str">
        <f aca="false">IF(OR($A86="",$D86=""),"",$J86*$D86)</f>
        <v/>
      </c>
      <c r="L86" s="23"/>
      <c r="M86" s="24" t="str">
        <f aca="false">IF(OR($A86="",$D86="",$L86="",$E$4=""),"",$K86*$L86*$E$4)</f>
        <v/>
      </c>
      <c r="O86" s="25" t="str">
        <f aca="false">IF($A86="","",$A86&amp;" - "&amp;$B86)</f>
        <v>Semi Needle Squid - SKIN-ON RINGS 3/6 25%</v>
      </c>
      <c r="P86" s="25" t="n">
        <f aca="false">IF($A86="",0,IF(OR($F86&lt;&gt;0,$G86&lt;&gt;0),1,0))</f>
        <v>0</v>
      </c>
      <c r="Q86" s="25" t="str">
        <f aca="false">IF($P86=1,SUM($P$8:$P86),"")</f>
        <v/>
      </c>
      <c r="R86" s="25" t="str">
        <f aca="false">IF($A86="","",$A86&amp;"#"&amp;COUNTIF($A$8:$A86,$A86))</f>
        <v>Semi Needle Squid#1</v>
      </c>
      <c r="S86" s="25" t="n">
        <f aca="false">IF(OR($A86="",$D86=""),0,$E86*$D86)</f>
        <v>0</v>
      </c>
      <c r="T86" s="25" t="n">
        <f aca="false">IF(OR($A86="",$D86=""),0,$F86*$D86)</f>
        <v>0</v>
      </c>
      <c r="U86" s="25" t="n">
        <f aca="false">IF(OR($A86="",$D86=""),0,$G86*$D86)</f>
        <v>0</v>
      </c>
      <c r="V86" s="25" t="n">
        <f aca="false">IF(OR($A86="",$D86=""),0,$H86*$D86)</f>
        <v>0</v>
      </c>
      <c r="W86" s="25" t="n">
        <f aca="false">IF(OR($A86="",$D86=""),0,$I86*$D86)</f>
        <v>0</v>
      </c>
      <c r="X86" s="25" t="n">
        <f aca="false">IF(AND($A86&lt;&gt;"",$D86=""),1,0)</f>
        <v>1</v>
      </c>
      <c r="Y86" s="25" t="n">
        <f aca="false">IF($A86="",0,IF(COUNTIF($O$8:$O$114,$O86)&gt;1,1,0))</f>
        <v>0</v>
      </c>
    </row>
    <row r="87" customFormat="false" ht="15" hidden="false" customHeight="false" outlineLevel="0" collapsed="false">
      <c r="A87" s="26" t="s">
        <v>138</v>
      </c>
      <c r="B87" s="26" t="s">
        <v>140</v>
      </c>
      <c r="C87" s="16" t="s">
        <v>69</v>
      </c>
      <c r="D87" s="17"/>
      <c r="E87" s="18" t="n">
        <v>0</v>
      </c>
      <c r="F87" s="27" t="n">
        <f aca="false">IF($A87="","",SUMIFS('Daily Entry'!$C$7:$C$5000,'Daily Entry'!$B$7:$B$5000,$O87,'Daily Entry'!$A$7:$A$5000,$E$3))</f>
        <v>0</v>
      </c>
      <c r="G87" s="27" t="n">
        <f aca="false">IF($A87="","",SUMIFS('Daily Entry'!$D$7:$D$5000,'Daily Entry'!$B$7:$B$5000,$O87,'Daily Entry'!$A$7:$A$5000,$E$3))</f>
        <v>0</v>
      </c>
      <c r="H87" s="28" t="n">
        <f aca="false">IF($A87="","",SUMIFS('Daily Entry'!$C$7:$C$5000,'Daily Entry'!$B$7:$B$5000,$O87))</f>
        <v>0</v>
      </c>
      <c r="I87" s="28" t="n">
        <f aca="false">IF($A87="","",SUMIFS('Daily Entry'!$D$7:$D$5000,'Daily Entry'!$B$7:$B$5000,$O87))</f>
        <v>0</v>
      </c>
      <c r="J87" s="29" t="n">
        <f aca="false">IF($A87="","",$E87+$H87-$I87)</f>
        <v>0</v>
      </c>
      <c r="K87" s="30" t="str">
        <f aca="false">IF(OR($A87="",$D87=""),"",$J87*$D87)</f>
        <v/>
      </c>
      <c r="L87" s="23"/>
      <c r="M87" s="31" t="str">
        <f aca="false">IF(OR($A87="",$D87="",$L87="",$E$4=""),"",$K87*$L87*$E$4)</f>
        <v/>
      </c>
      <c r="O87" s="25" t="str">
        <f aca="false">IF($A87="","",$A87&amp;" - "&amp;$B87)</f>
        <v>Semi Needle Squid - SKIN-ON RINGS 6/10 25%</v>
      </c>
      <c r="P87" s="25" t="n">
        <f aca="false">IF($A87="",0,IF(OR($F87&lt;&gt;0,$G87&lt;&gt;0),1,0))</f>
        <v>0</v>
      </c>
      <c r="Q87" s="25" t="str">
        <f aca="false">IF($P87=1,SUM($P$8:$P87),"")</f>
        <v/>
      </c>
      <c r="R87" s="25" t="str">
        <f aca="false">IF($A87="","",$A87&amp;"#"&amp;COUNTIF($A$8:$A87,$A87))</f>
        <v>Semi Needle Squid#2</v>
      </c>
      <c r="S87" s="25" t="n">
        <f aca="false">IF(OR($A87="",$D87=""),0,$E87*$D87)</f>
        <v>0</v>
      </c>
      <c r="T87" s="25" t="n">
        <f aca="false">IF(OR($A87="",$D87=""),0,$F87*$D87)</f>
        <v>0</v>
      </c>
      <c r="U87" s="25" t="n">
        <f aca="false">IF(OR($A87="",$D87=""),0,$G87*$D87)</f>
        <v>0</v>
      </c>
      <c r="V87" s="25" t="n">
        <f aca="false">IF(OR($A87="",$D87=""),0,$H87*$D87)</f>
        <v>0</v>
      </c>
      <c r="W87" s="25" t="n">
        <f aca="false">IF(OR($A87="",$D87=""),0,$I87*$D87)</f>
        <v>0</v>
      </c>
      <c r="X87" s="25" t="n">
        <f aca="false">IF(AND($A87&lt;&gt;"",$D87=""),1,0)</f>
        <v>1</v>
      </c>
      <c r="Y87" s="25" t="n">
        <f aca="false">IF($A87="",0,IF(COUNTIF($O$8:$O$114,$O87)&gt;1,1,0))</f>
        <v>0</v>
      </c>
    </row>
    <row r="88" customFormat="false" ht="15" hidden="false" customHeight="false" outlineLevel="0" collapsed="false">
      <c r="A88" s="15" t="s">
        <v>138</v>
      </c>
      <c r="B88" s="15" t="s">
        <v>141</v>
      </c>
      <c r="C88" s="16" t="s">
        <v>69</v>
      </c>
      <c r="D88" s="17"/>
      <c r="E88" s="18" t="n">
        <v>0</v>
      </c>
      <c r="F88" s="19" t="n">
        <f aca="false">IF($A88="","",SUMIFS('Daily Entry'!$C$7:$C$5000,'Daily Entry'!$B$7:$B$5000,$O88,'Daily Entry'!$A$7:$A$5000,$E$3))</f>
        <v>0</v>
      </c>
      <c r="G88" s="19" t="n">
        <f aca="false">IF($A88="","",SUMIFS('Daily Entry'!$D$7:$D$5000,'Daily Entry'!$B$7:$B$5000,$O88,'Daily Entry'!$A$7:$A$5000,$E$3))</f>
        <v>0</v>
      </c>
      <c r="H88" s="20" t="n">
        <f aca="false">IF($A88="","",SUMIFS('Daily Entry'!$C$7:$C$5000,'Daily Entry'!$B$7:$B$5000,$O88))</f>
        <v>0</v>
      </c>
      <c r="I88" s="20" t="n">
        <f aca="false">IF($A88="","",SUMIFS('Daily Entry'!$D$7:$D$5000,'Daily Entry'!$B$7:$B$5000,$O88))</f>
        <v>0</v>
      </c>
      <c r="J88" s="21" t="n">
        <f aca="false">IF($A88="","",$E88+$H88-$I88)</f>
        <v>0</v>
      </c>
      <c r="K88" s="22" t="str">
        <f aca="false">IF(OR($A88="",$D88=""),"",$J88*$D88)</f>
        <v/>
      </c>
      <c r="L88" s="23"/>
      <c r="M88" s="24" t="str">
        <f aca="false">IF(OR($A88="",$D88="",$L88="",$E$4=""),"",$K88*$L88*$E$4)</f>
        <v/>
      </c>
      <c r="O88" s="25" t="str">
        <f aca="false">IF($A88="","",$A88&amp;" - "&amp;$B88)</f>
        <v>Semi Needle Squid - SKIN-ON RINGS 10/20 25%</v>
      </c>
      <c r="P88" s="25" t="n">
        <f aca="false">IF($A88="",0,IF(OR($F88&lt;&gt;0,$G88&lt;&gt;0),1,0))</f>
        <v>0</v>
      </c>
      <c r="Q88" s="25" t="str">
        <f aca="false">IF($P88=1,SUM($P$8:$P88),"")</f>
        <v/>
      </c>
      <c r="R88" s="25" t="str">
        <f aca="false">IF($A88="","",$A88&amp;"#"&amp;COUNTIF($A$8:$A88,$A88))</f>
        <v>Semi Needle Squid#3</v>
      </c>
      <c r="S88" s="25" t="n">
        <f aca="false">IF(OR($A88="",$D88=""),0,$E88*$D88)</f>
        <v>0</v>
      </c>
      <c r="T88" s="25" t="n">
        <f aca="false">IF(OR($A88="",$D88=""),0,$F88*$D88)</f>
        <v>0</v>
      </c>
      <c r="U88" s="25" t="n">
        <f aca="false">IF(OR($A88="",$D88=""),0,$G88*$D88)</f>
        <v>0</v>
      </c>
      <c r="V88" s="25" t="n">
        <f aca="false">IF(OR($A88="",$D88=""),0,$H88*$D88)</f>
        <v>0</v>
      </c>
      <c r="W88" s="25" t="n">
        <f aca="false">IF(OR($A88="",$D88=""),0,$I88*$D88)</f>
        <v>0</v>
      </c>
      <c r="X88" s="25" t="n">
        <f aca="false">IF(AND($A88&lt;&gt;"",$D88=""),1,0)</f>
        <v>1</v>
      </c>
      <c r="Y88" s="25" t="n">
        <f aca="false">IF($A88="",0,IF(COUNTIF($O$8:$O$114,$O88)&gt;1,1,0))</f>
        <v>0</v>
      </c>
    </row>
    <row r="89" customFormat="false" ht="15" hidden="false" customHeight="false" outlineLevel="0" collapsed="false">
      <c r="A89" s="26" t="s">
        <v>138</v>
      </c>
      <c r="B89" s="26" t="s">
        <v>142</v>
      </c>
      <c r="C89" s="16" t="s">
        <v>69</v>
      </c>
      <c r="D89" s="17"/>
      <c r="E89" s="18" t="n">
        <v>0</v>
      </c>
      <c r="F89" s="27" t="n">
        <f aca="false">IF($A89="","",SUMIFS('Daily Entry'!$C$7:$C$5000,'Daily Entry'!$B$7:$B$5000,$O89,'Daily Entry'!$A$7:$A$5000,$E$3))</f>
        <v>0</v>
      </c>
      <c r="G89" s="27" t="n">
        <f aca="false">IF($A89="","",SUMIFS('Daily Entry'!$D$7:$D$5000,'Daily Entry'!$B$7:$B$5000,$O89,'Daily Entry'!$A$7:$A$5000,$E$3))</f>
        <v>0</v>
      </c>
      <c r="H89" s="28" t="n">
        <f aca="false">IF($A89="","",SUMIFS('Daily Entry'!$C$7:$C$5000,'Daily Entry'!$B$7:$B$5000,$O89))</f>
        <v>0</v>
      </c>
      <c r="I89" s="28" t="n">
        <f aca="false">IF($A89="","",SUMIFS('Daily Entry'!$D$7:$D$5000,'Daily Entry'!$B$7:$B$5000,$O89))</f>
        <v>0</v>
      </c>
      <c r="J89" s="29" t="n">
        <f aca="false">IF($A89="","",$E89+$H89-$I89)</f>
        <v>0</v>
      </c>
      <c r="K89" s="30" t="str">
        <f aca="false">IF(OR($A89="",$D89=""),"",$J89*$D89)</f>
        <v/>
      </c>
      <c r="L89" s="23"/>
      <c r="M89" s="31" t="str">
        <f aca="false">IF(OR($A89="",$D89="",$L89="",$E$4=""),"",$K89*$L89*$E$4)</f>
        <v/>
      </c>
      <c r="O89" s="25" t="str">
        <f aca="false">IF($A89="","",$A89&amp;" - "&amp;$B89)</f>
        <v>Semi Needle Squid - SKIN-ON TENTACLES 25%</v>
      </c>
      <c r="P89" s="25" t="n">
        <f aca="false">IF($A89="",0,IF(OR($F89&lt;&gt;0,$G89&lt;&gt;0),1,0))</f>
        <v>0</v>
      </c>
      <c r="Q89" s="25" t="str">
        <f aca="false">IF($P89=1,SUM($P$8:$P89),"")</f>
        <v/>
      </c>
      <c r="R89" s="25" t="str">
        <f aca="false">IF($A89="","",$A89&amp;"#"&amp;COUNTIF($A$8:$A89,$A89))</f>
        <v>Semi Needle Squid#4</v>
      </c>
      <c r="S89" s="25" t="n">
        <f aca="false">IF(OR($A89="",$D89=""),0,$E89*$D89)</f>
        <v>0</v>
      </c>
      <c r="T89" s="25" t="n">
        <f aca="false">IF(OR($A89="",$D89=""),0,$F89*$D89)</f>
        <v>0</v>
      </c>
      <c r="U89" s="25" t="n">
        <f aca="false">IF(OR($A89="",$D89=""),0,$G89*$D89)</f>
        <v>0</v>
      </c>
      <c r="V89" s="25" t="n">
        <f aca="false">IF(OR($A89="",$D89=""),0,$H89*$D89)</f>
        <v>0</v>
      </c>
      <c r="W89" s="25" t="n">
        <f aca="false">IF(OR($A89="",$D89=""),0,$I89*$D89)</f>
        <v>0</v>
      </c>
      <c r="X89" s="25" t="n">
        <f aca="false">IF(AND($A89&lt;&gt;"",$D89=""),1,0)</f>
        <v>1</v>
      </c>
      <c r="Y89" s="25" t="n">
        <f aca="false">IF($A89="",0,IF(COUNTIF($O$8:$O$114,$O89)&gt;1,1,0))</f>
        <v>0</v>
      </c>
    </row>
    <row r="90" customFormat="false" ht="15" hidden="false" customHeight="false" outlineLevel="0" collapsed="false">
      <c r="A90" s="32"/>
      <c r="B90" s="32"/>
      <c r="C90" s="16"/>
      <c r="D90" s="17"/>
      <c r="E90" s="33"/>
      <c r="F90" s="19" t="str">
        <f aca="false">IF($A90="","",SUMIFS('Daily Entry'!$C$7:$C$5000,'Daily Entry'!$B$7:$B$5000,$O90,'Daily Entry'!$A$7:$A$5000,$E$3))</f>
        <v/>
      </c>
      <c r="G90" s="19" t="str">
        <f aca="false">IF($A90="","",SUMIFS('Daily Entry'!$D$7:$D$5000,'Daily Entry'!$B$7:$B$5000,$O90,'Daily Entry'!$A$7:$A$5000,$E$3))</f>
        <v/>
      </c>
      <c r="H90" s="20" t="str">
        <f aca="false">IF($A90="","",SUMIFS('Daily Entry'!$C$7:$C$5000,'Daily Entry'!$B$7:$B$5000,$O90))</f>
        <v/>
      </c>
      <c r="I90" s="20" t="str">
        <f aca="false">IF($A90="","",SUMIFS('Daily Entry'!$D$7:$D$5000,'Daily Entry'!$B$7:$B$5000,$O90))</f>
        <v/>
      </c>
      <c r="J90" s="21" t="str">
        <f aca="false">IF($A90="","",$E90+$H90-$I90)</f>
        <v/>
      </c>
      <c r="K90" s="22" t="str">
        <f aca="false">IF(OR($A90="",$D90=""),"",$J90*$D90)</f>
        <v/>
      </c>
      <c r="L90" s="23"/>
      <c r="M90" s="24" t="str">
        <f aca="false">IF(OR($A90="",$D90="",$L90="",$E$4=""),"",$K90*$L90*$E$4)</f>
        <v/>
      </c>
      <c r="O90" s="25" t="str">
        <f aca="false">IF($A90="","",$A90&amp;" - "&amp;$B90)</f>
        <v/>
      </c>
      <c r="P90" s="25" t="n">
        <f aca="false">IF($A90="",0,IF(OR($F90&lt;&gt;0,$G90&lt;&gt;0),1,0))</f>
        <v>0</v>
      </c>
      <c r="Q90" s="25" t="str">
        <f aca="false">IF($P90=1,SUM($P$8:$P90),"")</f>
        <v/>
      </c>
      <c r="R90" s="25" t="str">
        <f aca="false">IF($A90="","",$A90&amp;"#"&amp;COUNTIF($A$8:$A90,$A90))</f>
        <v/>
      </c>
      <c r="S90" s="25" t="n">
        <f aca="false">IF(OR($A90="",$D90=""),0,$E90*$D90)</f>
        <v>0</v>
      </c>
      <c r="T90" s="25" t="n">
        <f aca="false">IF(OR($A90="",$D90=""),0,$F90*$D90)</f>
        <v>0</v>
      </c>
      <c r="U90" s="25" t="n">
        <f aca="false">IF(OR($A90="",$D90=""),0,$G90*$D90)</f>
        <v>0</v>
      </c>
      <c r="V90" s="25" t="n">
        <f aca="false">IF(OR($A90="",$D90=""),0,$H90*$D90)</f>
        <v>0</v>
      </c>
      <c r="W90" s="25" t="n">
        <f aca="false">IF(OR($A90="",$D90=""),0,$I90*$D90)</f>
        <v>0</v>
      </c>
      <c r="X90" s="25" t="n">
        <f aca="false">IF(AND($A90&lt;&gt;"",$D90=""),1,0)</f>
        <v>0</v>
      </c>
      <c r="Y90" s="25" t="n">
        <f aca="false">IF($A90="",0,IF(COUNTIF($O$8:$O$114,$O90)&gt;1,1,0))</f>
        <v>0</v>
      </c>
    </row>
    <row r="91" customFormat="false" ht="15" hidden="false" customHeight="false" outlineLevel="0" collapsed="false">
      <c r="A91" s="34"/>
      <c r="B91" s="34"/>
      <c r="C91" s="16"/>
      <c r="D91" s="17"/>
      <c r="E91" s="33"/>
      <c r="F91" s="27" t="str">
        <f aca="false">IF($A91="","",SUMIFS('Daily Entry'!$C$7:$C$5000,'Daily Entry'!$B$7:$B$5000,$O91,'Daily Entry'!$A$7:$A$5000,$E$3))</f>
        <v/>
      </c>
      <c r="G91" s="27" t="str">
        <f aca="false">IF($A91="","",SUMIFS('Daily Entry'!$D$7:$D$5000,'Daily Entry'!$B$7:$B$5000,$O91,'Daily Entry'!$A$7:$A$5000,$E$3))</f>
        <v/>
      </c>
      <c r="H91" s="28" t="str">
        <f aca="false">IF($A91="","",SUMIFS('Daily Entry'!$C$7:$C$5000,'Daily Entry'!$B$7:$B$5000,$O91))</f>
        <v/>
      </c>
      <c r="I91" s="28" t="str">
        <f aca="false">IF($A91="","",SUMIFS('Daily Entry'!$D$7:$D$5000,'Daily Entry'!$B$7:$B$5000,$O91))</f>
        <v/>
      </c>
      <c r="J91" s="29" t="str">
        <f aca="false">IF($A91="","",$E91+$H91-$I91)</f>
        <v/>
      </c>
      <c r="K91" s="30" t="str">
        <f aca="false">IF(OR($A91="",$D91=""),"",$J91*$D91)</f>
        <v/>
      </c>
      <c r="L91" s="23"/>
      <c r="M91" s="31" t="str">
        <f aca="false">IF(OR($A91="",$D91="",$L91="",$E$4=""),"",$K91*$L91*$E$4)</f>
        <v/>
      </c>
      <c r="O91" s="25" t="str">
        <f aca="false">IF($A91="","",$A91&amp;" - "&amp;$B91)</f>
        <v/>
      </c>
      <c r="P91" s="25" t="n">
        <f aca="false">IF($A91="",0,IF(OR($F91&lt;&gt;0,$G91&lt;&gt;0),1,0))</f>
        <v>0</v>
      </c>
      <c r="Q91" s="25" t="str">
        <f aca="false">IF($P91=1,SUM($P$8:$P91),"")</f>
        <v/>
      </c>
      <c r="R91" s="25" t="str">
        <f aca="false">IF($A91="","",$A91&amp;"#"&amp;COUNTIF($A$8:$A91,$A91))</f>
        <v/>
      </c>
      <c r="S91" s="25" t="n">
        <f aca="false">IF(OR($A91="",$D91=""),0,$E91*$D91)</f>
        <v>0</v>
      </c>
      <c r="T91" s="25" t="n">
        <f aca="false">IF(OR($A91="",$D91=""),0,$F91*$D91)</f>
        <v>0</v>
      </c>
      <c r="U91" s="25" t="n">
        <f aca="false">IF(OR($A91="",$D91=""),0,$G91*$D91)</f>
        <v>0</v>
      </c>
      <c r="V91" s="25" t="n">
        <f aca="false">IF(OR($A91="",$D91=""),0,$H91*$D91)</f>
        <v>0</v>
      </c>
      <c r="W91" s="25" t="n">
        <f aca="false">IF(OR($A91="",$D91=""),0,$I91*$D91)</f>
        <v>0</v>
      </c>
      <c r="X91" s="25" t="n">
        <f aca="false">IF(AND($A91&lt;&gt;"",$D91=""),1,0)</f>
        <v>0</v>
      </c>
      <c r="Y91" s="25" t="n">
        <f aca="false">IF($A91="",0,IF(COUNTIF($O$8:$O$114,$O91)&gt;1,1,0))</f>
        <v>0</v>
      </c>
    </row>
    <row r="92" customFormat="false" ht="15" hidden="false" customHeight="false" outlineLevel="0" collapsed="false">
      <c r="A92" s="32"/>
      <c r="B92" s="32"/>
      <c r="C92" s="16"/>
      <c r="D92" s="17"/>
      <c r="E92" s="33"/>
      <c r="F92" s="19" t="str">
        <f aca="false">IF($A92="","",SUMIFS('Daily Entry'!$C$7:$C$5000,'Daily Entry'!$B$7:$B$5000,$O92,'Daily Entry'!$A$7:$A$5000,$E$3))</f>
        <v/>
      </c>
      <c r="G92" s="19" t="str">
        <f aca="false">IF($A92="","",SUMIFS('Daily Entry'!$D$7:$D$5000,'Daily Entry'!$B$7:$B$5000,$O92,'Daily Entry'!$A$7:$A$5000,$E$3))</f>
        <v/>
      </c>
      <c r="H92" s="20" t="str">
        <f aca="false">IF($A92="","",SUMIFS('Daily Entry'!$C$7:$C$5000,'Daily Entry'!$B$7:$B$5000,$O92))</f>
        <v/>
      </c>
      <c r="I92" s="20" t="str">
        <f aca="false">IF($A92="","",SUMIFS('Daily Entry'!$D$7:$D$5000,'Daily Entry'!$B$7:$B$5000,$O92))</f>
        <v/>
      </c>
      <c r="J92" s="21" t="str">
        <f aca="false">IF($A92="","",$E92+$H92-$I92)</f>
        <v/>
      </c>
      <c r="K92" s="22" t="str">
        <f aca="false">IF(OR($A92="",$D92=""),"",$J92*$D92)</f>
        <v/>
      </c>
      <c r="L92" s="23"/>
      <c r="M92" s="24" t="str">
        <f aca="false">IF(OR($A92="",$D92="",$L92="",$E$4=""),"",$K92*$L92*$E$4)</f>
        <v/>
      </c>
      <c r="O92" s="25" t="str">
        <f aca="false">IF($A92="","",$A92&amp;" - "&amp;$B92)</f>
        <v/>
      </c>
      <c r="P92" s="25" t="n">
        <f aca="false">IF($A92="",0,IF(OR($F92&lt;&gt;0,$G92&lt;&gt;0),1,0))</f>
        <v>0</v>
      </c>
      <c r="Q92" s="25" t="str">
        <f aca="false">IF($P92=1,SUM($P$8:$P92),"")</f>
        <v/>
      </c>
      <c r="R92" s="25" t="str">
        <f aca="false">IF($A92="","",$A92&amp;"#"&amp;COUNTIF($A$8:$A92,$A92))</f>
        <v/>
      </c>
      <c r="S92" s="25" t="n">
        <f aca="false">IF(OR($A92="",$D92=""),0,$E92*$D92)</f>
        <v>0</v>
      </c>
      <c r="T92" s="25" t="n">
        <f aca="false">IF(OR($A92="",$D92=""),0,$F92*$D92)</f>
        <v>0</v>
      </c>
      <c r="U92" s="25" t="n">
        <f aca="false">IF(OR($A92="",$D92=""),0,$G92*$D92)</f>
        <v>0</v>
      </c>
      <c r="V92" s="25" t="n">
        <f aca="false">IF(OR($A92="",$D92=""),0,$H92*$D92)</f>
        <v>0</v>
      </c>
      <c r="W92" s="25" t="n">
        <f aca="false">IF(OR($A92="",$D92=""),0,$I92*$D92)</f>
        <v>0</v>
      </c>
      <c r="X92" s="25" t="n">
        <f aca="false">IF(AND($A92&lt;&gt;"",$D92=""),1,0)</f>
        <v>0</v>
      </c>
      <c r="Y92" s="25" t="n">
        <f aca="false">IF($A92="",0,IF(COUNTIF($O$8:$O$114,$O92)&gt;1,1,0))</f>
        <v>0</v>
      </c>
    </row>
    <row r="93" customFormat="false" ht="15" hidden="false" customHeight="false" outlineLevel="0" collapsed="false">
      <c r="A93" s="34"/>
      <c r="B93" s="34"/>
      <c r="C93" s="16"/>
      <c r="D93" s="17"/>
      <c r="E93" s="33"/>
      <c r="F93" s="27" t="str">
        <f aca="false">IF($A93="","",SUMIFS('Daily Entry'!$C$7:$C$5000,'Daily Entry'!$B$7:$B$5000,$O93,'Daily Entry'!$A$7:$A$5000,$E$3))</f>
        <v/>
      </c>
      <c r="G93" s="27" t="str">
        <f aca="false">IF($A93="","",SUMIFS('Daily Entry'!$D$7:$D$5000,'Daily Entry'!$B$7:$B$5000,$O93,'Daily Entry'!$A$7:$A$5000,$E$3))</f>
        <v/>
      </c>
      <c r="H93" s="28" t="str">
        <f aca="false">IF($A93="","",SUMIFS('Daily Entry'!$C$7:$C$5000,'Daily Entry'!$B$7:$B$5000,$O93))</f>
        <v/>
      </c>
      <c r="I93" s="28" t="str">
        <f aca="false">IF($A93="","",SUMIFS('Daily Entry'!$D$7:$D$5000,'Daily Entry'!$B$7:$B$5000,$O93))</f>
        <v/>
      </c>
      <c r="J93" s="29" t="str">
        <f aca="false">IF($A93="","",$E93+$H93-$I93)</f>
        <v/>
      </c>
      <c r="K93" s="30" t="str">
        <f aca="false">IF(OR($A93="",$D93=""),"",$J93*$D93)</f>
        <v/>
      </c>
      <c r="L93" s="23"/>
      <c r="M93" s="31" t="str">
        <f aca="false">IF(OR($A93="",$D93="",$L93="",$E$4=""),"",$K93*$L93*$E$4)</f>
        <v/>
      </c>
      <c r="O93" s="25" t="str">
        <f aca="false">IF($A93="","",$A93&amp;" - "&amp;$B93)</f>
        <v/>
      </c>
      <c r="P93" s="25" t="n">
        <f aca="false">IF($A93="",0,IF(OR($F93&lt;&gt;0,$G93&lt;&gt;0),1,0))</f>
        <v>0</v>
      </c>
      <c r="Q93" s="25" t="str">
        <f aca="false">IF($P93=1,SUM($P$8:$P93),"")</f>
        <v/>
      </c>
      <c r="R93" s="25" t="str">
        <f aca="false">IF($A93="","",$A93&amp;"#"&amp;COUNTIF($A$8:$A93,$A93))</f>
        <v/>
      </c>
      <c r="S93" s="25" t="n">
        <f aca="false">IF(OR($A93="",$D93=""),0,$E93*$D93)</f>
        <v>0</v>
      </c>
      <c r="T93" s="25" t="n">
        <f aca="false">IF(OR($A93="",$D93=""),0,$F93*$D93)</f>
        <v>0</v>
      </c>
      <c r="U93" s="25" t="n">
        <f aca="false">IF(OR($A93="",$D93=""),0,$G93*$D93)</f>
        <v>0</v>
      </c>
      <c r="V93" s="25" t="n">
        <f aca="false">IF(OR($A93="",$D93=""),0,$H93*$D93)</f>
        <v>0</v>
      </c>
      <c r="W93" s="25" t="n">
        <f aca="false">IF(OR($A93="",$D93=""),0,$I93*$D93)</f>
        <v>0</v>
      </c>
      <c r="X93" s="25" t="n">
        <f aca="false">IF(AND($A93&lt;&gt;"",$D93=""),1,0)</f>
        <v>0</v>
      </c>
      <c r="Y93" s="25" t="n">
        <f aca="false">IF($A93="",0,IF(COUNTIF($O$8:$O$114,$O93)&gt;1,1,0))</f>
        <v>0</v>
      </c>
    </row>
    <row r="94" customFormat="false" ht="15" hidden="false" customHeight="false" outlineLevel="0" collapsed="false">
      <c r="A94" s="32"/>
      <c r="B94" s="32"/>
      <c r="C94" s="16"/>
      <c r="D94" s="17"/>
      <c r="E94" s="33"/>
      <c r="F94" s="19" t="str">
        <f aca="false">IF($A94="","",SUMIFS('Daily Entry'!$C$7:$C$5000,'Daily Entry'!$B$7:$B$5000,$O94,'Daily Entry'!$A$7:$A$5000,$E$3))</f>
        <v/>
      </c>
      <c r="G94" s="19" t="str">
        <f aca="false">IF($A94="","",SUMIFS('Daily Entry'!$D$7:$D$5000,'Daily Entry'!$B$7:$B$5000,$O94,'Daily Entry'!$A$7:$A$5000,$E$3))</f>
        <v/>
      </c>
      <c r="H94" s="20" t="str">
        <f aca="false">IF($A94="","",SUMIFS('Daily Entry'!$C$7:$C$5000,'Daily Entry'!$B$7:$B$5000,$O94))</f>
        <v/>
      </c>
      <c r="I94" s="20" t="str">
        <f aca="false">IF($A94="","",SUMIFS('Daily Entry'!$D$7:$D$5000,'Daily Entry'!$B$7:$B$5000,$O94))</f>
        <v/>
      </c>
      <c r="J94" s="21" t="str">
        <f aca="false">IF($A94="","",$E94+$H94-$I94)</f>
        <v/>
      </c>
      <c r="K94" s="22" t="str">
        <f aca="false">IF(OR($A94="",$D94=""),"",$J94*$D94)</f>
        <v/>
      </c>
      <c r="L94" s="23"/>
      <c r="M94" s="24" t="str">
        <f aca="false">IF(OR($A94="",$D94="",$L94="",$E$4=""),"",$K94*$L94*$E$4)</f>
        <v/>
      </c>
      <c r="O94" s="25" t="str">
        <f aca="false">IF($A94="","",$A94&amp;" - "&amp;$B94)</f>
        <v/>
      </c>
      <c r="P94" s="25" t="n">
        <f aca="false">IF($A94="",0,IF(OR($F94&lt;&gt;0,$G94&lt;&gt;0),1,0))</f>
        <v>0</v>
      </c>
      <c r="Q94" s="25" t="str">
        <f aca="false">IF($P94=1,SUM($P$8:$P94),"")</f>
        <v/>
      </c>
      <c r="R94" s="25" t="str">
        <f aca="false">IF($A94="","",$A94&amp;"#"&amp;COUNTIF($A$8:$A94,$A94))</f>
        <v/>
      </c>
      <c r="S94" s="25" t="n">
        <f aca="false">IF(OR($A94="",$D94=""),0,$E94*$D94)</f>
        <v>0</v>
      </c>
      <c r="T94" s="25" t="n">
        <f aca="false">IF(OR($A94="",$D94=""),0,$F94*$D94)</f>
        <v>0</v>
      </c>
      <c r="U94" s="25" t="n">
        <f aca="false">IF(OR($A94="",$D94=""),0,$G94*$D94)</f>
        <v>0</v>
      </c>
      <c r="V94" s="25" t="n">
        <f aca="false">IF(OR($A94="",$D94=""),0,$H94*$D94)</f>
        <v>0</v>
      </c>
      <c r="W94" s="25" t="n">
        <f aca="false">IF(OR($A94="",$D94=""),0,$I94*$D94)</f>
        <v>0</v>
      </c>
      <c r="X94" s="25" t="n">
        <f aca="false">IF(AND($A94&lt;&gt;"",$D94=""),1,0)</f>
        <v>0</v>
      </c>
      <c r="Y94" s="25" t="n">
        <f aca="false">IF($A94="",0,IF(COUNTIF($O$8:$O$114,$O94)&gt;1,1,0))</f>
        <v>0</v>
      </c>
    </row>
    <row r="95" customFormat="false" ht="15" hidden="false" customHeight="false" outlineLevel="0" collapsed="false">
      <c r="A95" s="34"/>
      <c r="B95" s="34"/>
      <c r="C95" s="16"/>
      <c r="D95" s="17"/>
      <c r="E95" s="33"/>
      <c r="F95" s="27" t="str">
        <f aca="false">IF($A95="","",SUMIFS('Daily Entry'!$C$7:$C$5000,'Daily Entry'!$B$7:$B$5000,$O95,'Daily Entry'!$A$7:$A$5000,$E$3))</f>
        <v/>
      </c>
      <c r="G95" s="27" t="str">
        <f aca="false">IF($A95="","",SUMIFS('Daily Entry'!$D$7:$D$5000,'Daily Entry'!$B$7:$B$5000,$O95,'Daily Entry'!$A$7:$A$5000,$E$3))</f>
        <v/>
      </c>
      <c r="H95" s="28" t="str">
        <f aca="false">IF($A95="","",SUMIFS('Daily Entry'!$C$7:$C$5000,'Daily Entry'!$B$7:$B$5000,$O95))</f>
        <v/>
      </c>
      <c r="I95" s="28" t="str">
        <f aca="false">IF($A95="","",SUMIFS('Daily Entry'!$D$7:$D$5000,'Daily Entry'!$B$7:$B$5000,$O95))</f>
        <v/>
      </c>
      <c r="J95" s="29" t="str">
        <f aca="false">IF($A95="","",$E95+$H95-$I95)</f>
        <v/>
      </c>
      <c r="K95" s="30" t="str">
        <f aca="false">IF(OR($A95="",$D95=""),"",$J95*$D95)</f>
        <v/>
      </c>
      <c r="L95" s="23"/>
      <c r="M95" s="31" t="str">
        <f aca="false">IF(OR($A95="",$D95="",$L95="",$E$4=""),"",$K95*$L95*$E$4)</f>
        <v/>
      </c>
      <c r="O95" s="25" t="str">
        <f aca="false">IF($A95="","",$A95&amp;" - "&amp;$B95)</f>
        <v/>
      </c>
      <c r="P95" s="25" t="n">
        <f aca="false">IF($A95="",0,IF(OR($F95&lt;&gt;0,$G95&lt;&gt;0),1,0))</f>
        <v>0</v>
      </c>
      <c r="Q95" s="25" t="str">
        <f aca="false">IF($P95=1,SUM($P$8:$P95),"")</f>
        <v/>
      </c>
      <c r="R95" s="25" t="str">
        <f aca="false">IF($A95="","",$A95&amp;"#"&amp;COUNTIF($A$8:$A95,$A95))</f>
        <v/>
      </c>
      <c r="S95" s="25" t="n">
        <f aca="false">IF(OR($A95="",$D95=""),0,$E95*$D95)</f>
        <v>0</v>
      </c>
      <c r="T95" s="25" t="n">
        <f aca="false">IF(OR($A95="",$D95=""),0,$F95*$D95)</f>
        <v>0</v>
      </c>
      <c r="U95" s="25" t="n">
        <f aca="false">IF(OR($A95="",$D95=""),0,$G95*$D95)</f>
        <v>0</v>
      </c>
      <c r="V95" s="25" t="n">
        <f aca="false">IF(OR($A95="",$D95=""),0,$H95*$D95)</f>
        <v>0</v>
      </c>
      <c r="W95" s="25" t="n">
        <f aca="false">IF(OR($A95="",$D95=""),0,$I95*$D95)</f>
        <v>0</v>
      </c>
      <c r="X95" s="25" t="n">
        <f aca="false">IF(AND($A95&lt;&gt;"",$D95=""),1,0)</f>
        <v>0</v>
      </c>
      <c r="Y95" s="25" t="n">
        <f aca="false">IF($A95="",0,IF(COUNTIF($O$8:$O$114,$O95)&gt;1,1,0))</f>
        <v>0</v>
      </c>
    </row>
    <row r="96" customFormat="false" ht="15" hidden="false" customHeight="false" outlineLevel="0" collapsed="false">
      <c r="A96" s="32"/>
      <c r="B96" s="32"/>
      <c r="C96" s="16"/>
      <c r="D96" s="17"/>
      <c r="E96" s="33"/>
      <c r="F96" s="19" t="str">
        <f aca="false">IF($A96="","",SUMIFS('Daily Entry'!$C$7:$C$5000,'Daily Entry'!$B$7:$B$5000,$O96,'Daily Entry'!$A$7:$A$5000,$E$3))</f>
        <v/>
      </c>
      <c r="G96" s="19" t="str">
        <f aca="false">IF($A96="","",SUMIFS('Daily Entry'!$D$7:$D$5000,'Daily Entry'!$B$7:$B$5000,$O96,'Daily Entry'!$A$7:$A$5000,$E$3))</f>
        <v/>
      </c>
      <c r="H96" s="20" t="str">
        <f aca="false">IF($A96="","",SUMIFS('Daily Entry'!$C$7:$C$5000,'Daily Entry'!$B$7:$B$5000,$O96))</f>
        <v/>
      </c>
      <c r="I96" s="20" t="str">
        <f aca="false">IF($A96="","",SUMIFS('Daily Entry'!$D$7:$D$5000,'Daily Entry'!$B$7:$B$5000,$O96))</f>
        <v/>
      </c>
      <c r="J96" s="21" t="str">
        <f aca="false">IF($A96="","",$E96+$H96-$I96)</f>
        <v/>
      </c>
      <c r="K96" s="22" t="str">
        <f aca="false">IF(OR($A96="",$D96=""),"",$J96*$D96)</f>
        <v/>
      </c>
      <c r="L96" s="23"/>
      <c r="M96" s="24" t="str">
        <f aca="false">IF(OR($A96="",$D96="",$L96="",$E$4=""),"",$K96*$L96*$E$4)</f>
        <v/>
      </c>
      <c r="O96" s="25" t="str">
        <f aca="false">IF($A96="","",$A96&amp;" - "&amp;$B96)</f>
        <v/>
      </c>
      <c r="P96" s="25" t="n">
        <f aca="false">IF($A96="",0,IF(OR($F96&lt;&gt;0,$G96&lt;&gt;0),1,0))</f>
        <v>0</v>
      </c>
      <c r="Q96" s="25" t="str">
        <f aca="false">IF($P96=1,SUM($P$8:$P96),"")</f>
        <v/>
      </c>
      <c r="R96" s="25" t="str">
        <f aca="false">IF($A96="","",$A96&amp;"#"&amp;COUNTIF($A$8:$A96,$A96))</f>
        <v/>
      </c>
      <c r="S96" s="25" t="n">
        <f aca="false">IF(OR($A96="",$D96=""),0,$E96*$D96)</f>
        <v>0</v>
      </c>
      <c r="T96" s="25" t="n">
        <f aca="false">IF(OR($A96="",$D96=""),0,$F96*$D96)</f>
        <v>0</v>
      </c>
      <c r="U96" s="25" t="n">
        <f aca="false">IF(OR($A96="",$D96=""),0,$G96*$D96)</f>
        <v>0</v>
      </c>
      <c r="V96" s="25" t="n">
        <f aca="false">IF(OR($A96="",$D96=""),0,$H96*$D96)</f>
        <v>0</v>
      </c>
      <c r="W96" s="25" t="n">
        <f aca="false">IF(OR($A96="",$D96=""),0,$I96*$D96)</f>
        <v>0</v>
      </c>
      <c r="X96" s="25" t="n">
        <f aca="false">IF(AND($A96&lt;&gt;"",$D96=""),1,0)</f>
        <v>0</v>
      </c>
      <c r="Y96" s="25" t="n">
        <f aca="false">IF($A96="",0,IF(COUNTIF($O$8:$O$114,$O96)&gt;1,1,0))</f>
        <v>0</v>
      </c>
    </row>
    <row r="97" customFormat="false" ht="15" hidden="false" customHeight="false" outlineLevel="0" collapsed="false">
      <c r="A97" s="34"/>
      <c r="B97" s="34"/>
      <c r="C97" s="16"/>
      <c r="D97" s="17"/>
      <c r="E97" s="33"/>
      <c r="F97" s="27" t="str">
        <f aca="false">IF($A97="","",SUMIFS('Daily Entry'!$C$7:$C$5000,'Daily Entry'!$B$7:$B$5000,$O97,'Daily Entry'!$A$7:$A$5000,$E$3))</f>
        <v/>
      </c>
      <c r="G97" s="27" t="str">
        <f aca="false">IF($A97="","",SUMIFS('Daily Entry'!$D$7:$D$5000,'Daily Entry'!$B$7:$B$5000,$O97,'Daily Entry'!$A$7:$A$5000,$E$3))</f>
        <v/>
      </c>
      <c r="H97" s="28" t="str">
        <f aca="false">IF($A97="","",SUMIFS('Daily Entry'!$C$7:$C$5000,'Daily Entry'!$B$7:$B$5000,$O97))</f>
        <v/>
      </c>
      <c r="I97" s="28" t="str">
        <f aca="false">IF($A97="","",SUMIFS('Daily Entry'!$D$7:$D$5000,'Daily Entry'!$B$7:$B$5000,$O97))</f>
        <v/>
      </c>
      <c r="J97" s="29" t="str">
        <f aca="false">IF($A97="","",$E97+$H97-$I97)</f>
        <v/>
      </c>
      <c r="K97" s="30" t="str">
        <f aca="false">IF(OR($A97="",$D97=""),"",$J97*$D97)</f>
        <v/>
      </c>
      <c r="L97" s="23"/>
      <c r="M97" s="31" t="str">
        <f aca="false">IF(OR($A97="",$D97="",$L97="",$E$4=""),"",$K97*$L97*$E$4)</f>
        <v/>
      </c>
      <c r="O97" s="25" t="str">
        <f aca="false">IF($A97="","",$A97&amp;" - "&amp;$B97)</f>
        <v/>
      </c>
      <c r="P97" s="25" t="n">
        <f aca="false">IF($A97="",0,IF(OR($F97&lt;&gt;0,$G97&lt;&gt;0),1,0))</f>
        <v>0</v>
      </c>
      <c r="Q97" s="25" t="str">
        <f aca="false">IF($P97=1,SUM($P$8:$P97),"")</f>
        <v/>
      </c>
      <c r="R97" s="25" t="str">
        <f aca="false">IF($A97="","",$A97&amp;"#"&amp;COUNTIF($A$8:$A97,$A97))</f>
        <v/>
      </c>
      <c r="S97" s="25" t="n">
        <f aca="false">IF(OR($A97="",$D97=""),0,$E97*$D97)</f>
        <v>0</v>
      </c>
      <c r="T97" s="25" t="n">
        <f aca="false">IF(OR($A97="",$D97=""),0,$F97*$D97)</f>
        <v>0</v>
      </c>
      <c r="U97" s="25" t="n">
        <f aca="false">IF(OR($A97="",$D97=""),0,$G97*$D97)</f>
        <v>0</v>
      </c>
      <c r="V97" s="25" t="n">
        <f aca="false">IF(OR($A97="",$D97=""),0,$H97*$D97)</f>
        <v>0</v>
      </c>
      <c r="W97" s="25" t="n">
        <f aca="false">IF(OR($A97="",$D97=""),0,$I97*$D97)</f>
        <v>0</v>
      </c>
      <c r="X97" s="25" t="n">
        <f aca="false">IF(AND($A97&lt;&gt;"",$D97=""),1,0)</f>
        <v>0</v>
      </c>
      <c r="Y97" s="25" t="n">
        <f aca="false">IF($A97="",0,IF(COUNTIF($O$8:$O$114,$O97)&gt;1,1,0))</f>
        <v>0</v>
      </c>
    </row>
    <row r="98" customFormat="false" ht="15" hidden="false" customHeight="false" outlineLevel="0" collapsed="false">
      <c r="A98" s="32"/>
      <c r="B98" s="32"/>
      <c r="C98" s="16"/>
      <c r="D98" s="17"/>
      <c r="E98" s="33"/>
      <c r="F98" s="19" t="str">
        <f aca="false">IF($A98="","",SUMIFS('Daily Entry'!$C$7:$C$5000,'Daily Entry'!$B$7:$B$5000,$O98,'Daily Entry'!$A$7:$A$5000,$E$3))</f>
        <v/>
      </c>
      <c r="G98" s="19" t="str">
        <f aca="false">IF($A98="","",SUMIFS('Daily Entry'!$D$7:$D$5000,'Daily Entry'!$B$7:$B$5000,$O98,'Daily Entry'!$A$7:$A$5000,$E$3))</f>
        <v/>
      </c>
      <c r="H98" s="20" t="str">
        <f aca="false">IF($A98="","",SUMIFS('Daily Entry'!$C$7:$C$5000,'Daily Entry'!$B$7:$B$5000,$O98))</f>
        <v/>
      </c>
      <c r="I98" s="20" t="str">
        <f aca="false">IF($A98="","",SUMIFS('Daily Entry'!$D$7:$D$5000,'Daily Entry'!$B$7:$B$5000,$O98))</f>
        <v/>
      </c>
      <c r="J98" s="21" t="str">
        <f aca="false">IF($A98="","",$E98+$H98-$I98)</f>
        <v/>
      </c>
      <c r="K98" s="22" t="str">
        <f aca="false">IF(OR($A98="",$D98=""),"",$J98*$D98)</f>
        <v/>
      </c>
      <c r="L98" s="23"/>
      <c r="M98" s="24" t="str">
        <f aca="false">IF(OR($A98="",$D98="",$L98="",$E$4=""),"",$K98*$L98*$E$4)</f>
        <v/>
      </c>
      <c r="O98" s="25" t="str">
        <f aca="false">IF($A98="","",$A98&amp;" - "&amp;$B98)</f>
        <v/>
      </c>
      <c r="P98" s="25" t="n">
        <f aca="false">IF($A98="",0,IF(OR($F98&lt;&gt;0,$G98&lt;&gt;0),1,0))</f>
        <v>0</v>
      </c>
      <c r="Q98" s="25" t="str">
        <f aca="false">IF($P98=1,SUM($P$8:$P98),"")</f>
        <v/>
      </c>
      <c r="R98" s="25" t="str">
        <f aca="false">IF($A98="","",$A98&amp;"#"&amp;COUNTIF($A$8:$A98,$A98))</f>
        <v/>
      </c>
      <c r="S98" s="25" t="n">
        <f aca="false">IF(OR($A98="",$D98=""),0,$E98*$D98)</f>
        <v>0</v>
      </c>
      <c r="T98" s="25" t="n">
        <f aca="false">IF(OR($A98="",$D98=""),0,$F98*$D98)</f>
        <v>0</v>
      </c>
      <c r="U98" s="25" t="n">
        <f aca="false">IF(OR($A98="",$D98=""),0,$G98*$D98)</f>
        <v>0</v>
      </c>
      <c r="V98" s="25" t="n">
        <f aca="false">IF(OR($A98="",$D98=""),0,$H98*$D98)</f>
        <v>0</v>
      </c>
      <c r="W98" s="25" t="n">
        <f aca="false">IF(OR($A98="",$D98=""),0,$I98*$D98)</f>
        <v>0</v>
      </c>
      <c r="X98" s="25" t="n">
        <f aca="false">IF(AND($A98&lt;&gt;"",$D98=""),1,0)</f>
        <v>0</v>
      </c>
      <c r="Y98" s="25" t="n">
        <f aca="false">IF($A98="",0,IF(COUNTIF($O$8:$O$114,$O98)&gt;1,1,0))</f>
        <v>0</v>
      </c>
    </row>
    <row r="99" customFormat="false" ht="15" hidden="false" customHeight="false" outlineLevel="0" collapsed="false">
      <c r="A99" s="34"/>
      <c r="B99" s="34"/>
      <c r="C99" s="16"/>
      <c r="D99" s="17"/>
      <c r="E99" s="33"/>
      <c r="F99" s="27" t="str">
        <f aca="false">IF($A99="","",SUMIFS('Daily Entry'!$C$7:$C$5000,'Daily Entry'!$B$7:$B$5000,$O99,'Daily Entry'!$A$7:$A$5000,$E$3))</f>
        <v/>
      </c>
      <c r="G99" s="27" t="str">
        <f aca="false">IF($A99="","",SUMIFS('Daily Entry'!$D$7:$D$5000,'Daily Entry'!$B$7:$B$5000,$O99,'Daily Entry'!$A$7:$A$5000,$E$3))</f>
        <v/>
      </c>
      <c r="H99" s="28" t="str">
        <f aca="false">IF($A99="","",SUMIFS('Daily Entry'!$C$7:$C$5000,'Daily Entry'!$B$7:$B$5000,$O99))</f>
        <v/>
      </c>
      <c r="I99" s="28" t="str">
        <f aca="false">IF($A99="","",SUMIFS('Daily Entry'!$D$7:$D$5000,'Daily Entry'!$B$7:$B$5000,$O99))</f>
        <v/>
      </c>
      <c r="J99" s="29" t="str">
        <f aca="false">IF($A99="","",$E99+$H99-$I99)</f>
        <v/>
      </c>
      <c r="K99" s="30" t="str">
        <f aca="false">IF(OR($A99="",$D99=""),"",$J99*$D99)</f>
        <v/>
      </c>
      <c r="L99" s="23"/>
      <c r="M99" s="31" t="str">
        <f aca="false">IF(OR($A99="",$D99="",$L99="",$E$4=""),"",$K99*$L99*$E$4)</f>
        <v/>
      </c>
      <c r="O99" s="25" t="str">
        <f aca="false">IF($A99="","",$A99&amp;" - "&amp;$B99)</f>
        <v/>
      </c>
      <c r="P99" s="25" t="n">
        <f aca="false">IF($A99="",0,IF(OR($F99&lt;&gt;0,$G99&lt;&gt;0),1,0))</f>
        <v>0</v>
      </c>
      <c r="Q99" s="25" t="str">
        <f aca="false">IF($P99=1,SUM($P$8:$P99),"")</f>
        <v/>
      </c>
      <c r="R99" s="25" t="str">
        <f aca="false">IF($A99="","",$A99&amp;"#"&amp;COUNTIF($A$8:$A99,$A99))</f>
        <v/>
      </c>
      <c r="S99" s="25" t="n">
        <f aca="false">IF(OR($A99="",$D99=""),0,$E99*$D99)</f>
        <v>0</v>
      </c>
      <c r="T99" s="25" t="n">
        <f aca="false">IF(OR($A99="",$D99=""),0,$F99*$D99)</f>
        <v>0</v>
      </c>
      <c r="U99" s="25" t="n">
        <f aca="false">IF(OR($A99="",$D99=""),0,$G99*$D99)</f>
        <v>0</v>
      </c>
      <c r="V99" s="25" t="n">
        <f aca="false">IF(OR($A99="",$D99=""),0,$H99*$D99)</f>
        <v>0</v>
      </c>
      <c r="W99" s="25" t="n">
        <f aca="false">IF(OR($A99="",$D99=""),0,$I99*$D99)</f>
        <v>0</v>
      </c>
      <c r="X99" s="25" t="n">
        <f aca="false">IF(AND($A99&lt;&gt;"",$D99=""),1,0)</f>
        <v>0</v>
      </c>
      <c r="Y99" s="25" t="n">
        <f aca="false">IF($A99="",0,IF(COUNTIF($O$8:$O$114,$O99)&gt;1,1,0))</f>
        <v>0</v>
      </c>
    </row>
    <row r="100" customFormat="false" ht="15" hidden="false" customHeight="false" outlineLevel="0" collapsed="false">
      <c r="A100" s="32"/>
      <c r="B100" s="32"/>
      <c r="C100" s="16"/>
      <c r="D100" s="17"/>
      <c r="E100" s="33"/>
      <c r="F100" s="19" t="str">
        <f aca="false">IF($A100="","",SUMIFS('Daily Entry'!$C$7:$C$5000,'Daily Entry'!$B$7:$B$5000,$O100,'Daily Entry'!$A$7:$A$5000,$E$3))</f>
        <v/>
      </c>
      <c r="G100" s="19" t="str">
        <f aca="false">IF($A100="","",SUMIFS('Daily Entry'!$D$7:$D$5000,'Daily Entry'!$B$7:$B$5000,$O100,'Daily Entry'!$A$7:$A$5000,$E$3))</f>
        <v/>
      </c>
      <c r="H100" s="20" t="str">
        <f aca="false">IF($A100="","",SUMIFS('Daily Entry'!$C$7:$C$5000,'Daily Entry'!$B$7:$B$5000,$O100))</f>
        <v/>
      </c>
      <c r="I100" s="20" t="str">
        <f aca="false">IF($A100="","",SUMIFS('Daily Entry'!$D$7:$D$5000,'Daily Entry'!$B$7:$B$5000,$O100))</f>
        <v/>
      </c>
      <c r="J100" s="21" t="str">
        <f aca="false">IF($A100="","",$E100+$H100-$I100)</f>
        <v/>
      </c>
      <c r="K100" s="22" t="str">
        <f aca="false">IF(OR($A100="",$D100=""),"",$J100*$D100)</f>
        <v/>
      </c>
      <c r="L100" s="23"/>
      <c r="M100" s="24" t="str">
        <f aca="false">IF(OR($A100="",$D100="",$L100="",$E$4=""),"",$K100*$L100*$E$4)</f>
        <v/>
      </c>
      <c r="O100" s="25" t="str">
        <f aca="false">IF($A100="","",$A100&amp;" - "&amp;$B100)</f>
        <v/>
      </c>
      <c r="P100" s="25" t="n">
        <f aca="false">IF($A100="",0,IF(OR($F100&lt;&gt;0,$G100&lt;&gt;0),1,0))</f>
        <v>0</v>
      </c>
      <c r="Q100" s="25" t="str">
        <f aca="false">IF($P100=1,SUM($P$8:$P100),"")</f>
        <v/>
      </c>
      <c r="R100" s="25" t="str">
        <f aca="false">IF($A100="","",$A100&amp;"#"&amp;COUNTIF($A$8:$A100,$A100))</f>
        <v/>
      </c>
      <c r="S100" s="25" t="n">
        <f aca="false">IF(OR($A100="",$D100=""),0,$E100*$D100)</f>
        <v>0</v>
      </c>
      <c r="T100" s="25" t="n">
        <f aca="false">IF(OR($A100="",$D100=""),0,$F100*$D100)</f>
        <v>0</v>
      </c>
      <c r="U100" s="25" t="n">
        <f aca="false">IF(OR($A100="",$D100=""),0,$G100*$D100)</f>
        <v>0</v>
      </c>
      <c r="V100" s="25" t="n">
        <f aca="false">IF(OR($A100="",$D100=""),0,$H100*$D100)</f>
        <v>0</v>
      </c>
      <c r="W100" s="25" t="n">
        <f aca="false">IF(OR($A100="",$D100=""),0,$I100*$D100)</f>
        <v>0</v>
      </c>
      <c r="X100" s="25" t="n">
        <f aca="false">IF(AND($A100&lt;&gt;"",$D100=""),1,0)</f>
        <v>0</v>
      </c>
      <c r="Y100" s="25" t="n">
        <f aca="false">IF($A100="",0,IF(COUNTIF($O$8:$O$114,$O100)&gt;1,1,0))</f>
        <v>0</v>
      </c>
    </row>
    <row r="101" customFormat="false" ht="15" hidden="false" customHeight="false" outlineLevel="0" collapsed="false">
      <c r="A101" s="34"/>
      <c r="B101" s="34"/>
      <c r="C101" s="16"/>
      <c r="D101" s="17"/>
      <c r="E101" s="33"/>
      <c r="F101" s="27" t="str">
        <f aca="false">IF($A101="","",SUMIFS('Daily Entry'!$C$7:$C$5000,'Daily Entry'!$B$7:$B$5000,$O101,'Daily Entry'!$A$7:$A$5000,$E$3))</f>
        <v/>
      </c>
      <c r="G101" s="27" t="str">
        <f aca="false">IF($A101="","",SUMIFS('Daily Entry'!$D$7:$D$5000,'Daily Entry'!$B$7:$B$5000,$O101,'Daily Entry'!$A$7:$A$5000,$E$3))</f>
        <v/>
      </c>
      <c r="H101" s="28" t="str">
        <f aca="false">IF($A101="","",SUMIFS('Daily Entry'!$C$7:$C$5000,'Daily Entry'!$B$7:$B$5000,$O101))</f>
        <v/>
      </c>
      <c r="I101" s="28" t="str">
        <f aca="false">IF($A101="","",SUMIFS('Daily Entry'!$D$7:$D$5000,'Daily Entry'!$B$7:$B$5000,$O101))</f>
        <v/>
      </c>
      <c r="J101" s="29" t="str">
        <f aca="false">IF($A101="","",$E101+$H101-$I101)</f>
        <v/>
      </c>
      <c r="K101" s="30" t="str">
        <f aca="false">IF(OR($A101="",$D101=""),"",$J101*$D101)</f>
        <v/>
      </c>
      <c r="L101" s="23"/>
      <c r="M101" s="31" t="str">
        <f aca="false">IF(OR($A101="",$D101="",$L101="",$E$4=""),"",$K101*$L101*$E$4)</f>
        <v/>
      </c>
      <c r="O101" s="25" t="str">
        <f aca="false">IF($A101="","",$A101&amp;" - "&amp;$B101)</f>
        <v/>
      </c>
      <c r="P101" s="25" t="n">
        <f aca="false">IF($A101="",0,IF(OR($F101&lt;&gt;0,$G101&lt;&gt;0),1,0))</f>
        <v>0</v>
      </c>
      <c r="Q101" s="25" t="str">
        <f aca="false">IF($P101=1,SUM($P$8:$P101),"")</f>
        <v/>
      </c>
      <c r="R101" s="25" t="str">
        <f aca="false">IF($A101="","",$A101&amp;"#"&amp;COUNTIF($A$8:$A101,$A101))</f>
        <v/>
      </c>
      <c r="S101" s="25" t="n">
        <f aca="false">IF(OR($A101="",$D101=""),0,$E101*$D101)</f>
        <v>0</v>
      </c>
      <c r="T101" s="25" t="n">
        <f aca="false">IF(OR($A101="",$D101=""),0,$F101*$D101)</f>
        <v>0</v>
      </c>
      <c r="U101" s="25" t="n">
        <f aca="false">IF(OR($A101="",$D101=""),0,$G101*$D101)</f>
        <v>0</v>
      </c>
      <c r="V101" s="25" t="n">
        <f aca="false">IF(OR($A101="",$D101=""),0,$H101*$D101)</f>
        <v>0</v>
      </c>
      <c r="W101" s="25" t="n">
        <f aca="false">IF(OR($A101="",$D101=""),0,$I101*$D101)</f>
        <v>0</v>
      </c>
      <c r="X101" s="25" t="n">
        <f aca="false">IF(AND($A101&lt;&gt;"",$D101=""),1,0)</f>
        <v>0</v>
      </c>
      <c r="Y101" s="25" t="n">
        <f aca="false">IF($A101="",0,IF(COUNTIF($O$8:$O$114,$O101)&gt;1,1,0))</f>
        <v>0</v>
      </c>
    </row>
    <row r="102" customFormat="false" ht="15" hidden="false" customHeight="false" outlineLevel="0" collapsed="false">
      <c r="A102" s="32"/>
      <c r="B102" s="32"/>
      <c r="C102" s="16"/>
      <c r="D102" s="17"/>
      <c r="E102" s="33"/>
      <c r="F102" s="19" t="str">
        <f aca="false">IF($A102="","",SUMIFS('Daily Entry'!$C$7:$C$5000,'Daily Entry'!$B$7:$B$5000,$O102,'Daily Entry'!$A$7:$A$5000,$E$3))</f>
        <v/>
      </c>
      <c r="G102" s="19" t="str">
        <f aca="false">IF($A102="","",SUMIFS('Daily Entry'!$D$7:$D$5000,'Daily Entry'!$B$7:$B$5000,$O102,'Daily Entry'!$A$7:$A$5000,$E$3))</f>
        <v/>
      </c>
      <c r="H102" s="20" t="str">
        <f aca="false">IF($A102="","",SUMIFS('Daily Entry'!$C$7:$C$5000,'Daily Entry'!$B$7:$B$5000,$O102))</f>
        <v/>
      </c>
      <c r="I102" s="20" t="str">
        <f aca="false">IF($A102="","",SUMIFS('Daily Entry'!$D$7:$D$5000,'Daily Entry'!$B$7:$B$5000,$O102))</f>
        <v/>
      </c>
      <c r="J102" s="21" t="str">
        <f aca="false">IF($A102="","",$E102+$H102-$I102)</f>
        <v/>
      </c>
      <c r="K102" s="22" t="str">
        <f aca="false">IF(OR($A102="",$D102=""),"",$J102*$D102)</f>
        <v/>
      </c>
      <c r="L102" s="23"/>
      <c r="M102" s="24" t="str">
        <f aca="false">IF(OR($A102="",$D102="",$L102="",$E$4=""),"",$K102*$L102*$E$4)</f>
        <v/>
      </c>
      <c r="O102" s="25" t="str">
        <f aca="false">IF($A102="","",$A102&amp;" - "&amp;$B102)</f>
        <v/>
      </c>
      <c r="P102" s="25" t="n">
        <f aca="false">IF($A102="",0,IF(OR($F102&lt;&gt;0,$G102&lt;&gt;0),1,0))</f>
        <v>0</v>
      </c>
      <c r="Q102" s="25" t="str">
        <f aca="false">IF($P102=1,SUM($P$8:$P102),"")</f>
        <v/>
      </c>
      <c r="R102" s="25" t="str">
        <f aca="false">IF($A102="","",$A102&amp;"#"&amp;COUNTIF($A$8:$A102,$A102))</f>
        <v/>
      </c>
      <c r="S102" s="25" t="n">
        <f aca="false">IF(OR($A102="",$D102=""),0,$E102*$D102)</f>
        <v>0</v>
      </c>
      <c r="T102" s="25" t="n">
        <f aca="false">IF(OR($A102="",$D102=""),0,$F102*$D102)</f>
        <v>0</v>
      </c>
      <c r="U102" s="25" t="n">
        <f aca="false">IF(OR($A102="",$D102=""),0,$G102*$D102)</f>
        <v>0</v>
      </c>
      <c r="V102" s="25" t="n">
        <f aca="false">IF(OR($A102="",$D102=""),0,$H102*$D102)</f>
        <v>0</v>
      </c>
      <c r="W102" s="25" t="n">
        <f aca="false">IF(OR($A102="",$D102=""),0,$I102*$D102)</f>
        <v>0</v>
      </c>
      <c r="X102" s="25" t="n">
        <f aca="false">IF(AND($A102&lt;&gt;"",$D102=""),1,0)</f>
        <v>0</v>
      </c>
      <c r="Y102" s="25" t="n">
        <f aca="false">IF($A102="",0,IF(COUNTIF($O$8:$O$114,$O102)&gt;1,1,0))</f>
        <v>0</v>
      </c>
    </row>
    <row r="103" customFormat="false" ht="15" hidden="false" customHeight="false" outlineLevel="0" collapsed="false">
      <c r="A103" s="34"/>
      <c r="B103" s="34"/>
      <c r="C103" s="16"/>
      <c r="D103" s="17"/>
      <c r="E103" s="33"/>
      <c r="F103" s="27" t="str">
        <f aca="false">IF($A103="","",SUMIFS('Daily Entry'!$C$7:$C$5000,'Daily Entry'!$B$7:$B$5000,$O103,'Daily Entry'!$A$7:$A$5000,$E$3))</f>
        <v/>
      </c>
      <c r="G103" s="27" t="str">
        <f aca="false">IF($A103="","",SUMIFS('Daily Entry'!$D$7:$D$5000,'Daily Entry'!$B$7:$B$5000,$O103,'Daily Entry'!$A$7:$A$5000,$E$3))</f>
        <v/>
      </c>
      <c r="H103" s="28" t="str">
        <f aca="false">IF($A103="","",SUMIFS('Daily Entry'!$C$7:$C$5000,'Daily Entry'!$B$7:$B$5000,$O103))</f>
        <v/>
      </c>
      <c r="I103" s="28" t="str">
        <f aca="false">IF($A103="","",SUMIFS('Daily Entry'!$D$7:$D$5000,'Daily Entry'!$B$7:$B$5000,$O103))</f>
        <v/>
      </c>
      <c r="J103" s="29" t="str">
        <f aca="false">IF($A103="","",$E103+$H103-$I103)</f>
        <v/>
      </c>
      <c r="K103" s="30" t="str">
        <f aca="false">IF(OR($A103="",$D103=""),"",$J103*$D103)</f>
        <v/>
      </c>
      <c r="L103" s="23"/>
      <c r="M103" s="31" t="str">
        <f aca="false">IF(OR($A103="",$D103="",$L103="",$E$4=""),"",$K103*$L103*$E$4)</f>
        <v/>
      </c>
      <c r="O103" s="25" t="str">
        <f aca="false">IF($A103="","",$A103&amp;" - "&amp;$B103)</f>
        <v/>
      </c>
      <c r="P103" s="25" t="n">
        <f aca="false">IF($A103="",0,IF(OR($F103&lt;&gt;0,$G103&lt;&gt;0),1,0))</f>
        <v>0</v>
      </c>
      <c r="Q103" s="25" t="str">
        <f aca="false">IF($P103=1,SUM($P$8:$P103),"")</f>
        <v/>
      </c>
      <c r="R103" s="25" t="str">
        <f aca="false">IF($A103="","",$A103&amp;"#"&amp;COUNTIF($A$8:$A103,$A103))</f>
        <v/>
      </c>
      <c r="S103" s="25" t="n">
        <f aca="false">IF(OR($A103="",$D103=""),0,$E103*$D103)</f>
        <v>0</v>
      </c>
      <c r="T103" s="25" t="n">
        <f aca="false">IF(OR($A103="",$D103=""),0,$F103*$D103)</f>
        <v>0</v>
      </c>
      <c r="U103" s="25" t="n">
        <f aca="false">IF(OR($A103="",$D103=""),0,$G103*$D103)</f>
        <v>0</v>
      </c>
      <c r="V103" s="25" t="n">
        <f aca="false">IF(OR($A103="",$D103=""),0,$H103*$D103)</f>
        <v>0</v>
      </c>
      <c r="W103" s="25" t="n">
        <f aca="false">IF(OR($A103="",$D103=""),0,$I103*$D103)</f>
        <v>0</v>
      </c>
      <c r="X103" s="25" t="n">
        <f aca="false">IF(AND($A103&lt;&gt;"",$D103=""),1,0)</f>
        <v>0</v>
      </c>
      <c r="Y103" s="25" t="n">
        <f aca="false">IF($A103="",0,IF(COUNTIF($O$8:$O$114,$O103)&gt;1,1,0))</f>
        <v>0</v>
      </c>
    </row>
    <row r="104" customFormat="false" ht="15" hidden="false" customHeight="false" outlineLevel="0" collapsed="false">
      <c r="A104" s="32"/>
      <c r="B104" s="32"/>
      <c r="C104" s="16"/>
      <c r="D104" s="17"/>
      <c r="E104" s="33"/>
      <c r="F104" s="19" t="str">
        <f aca="false">IF($A104="","",SUMIFS('Daily Entry'!$C$7:$C$5000,'Daily Entry'!$B$7:$B$5000,$O104,'Daily Entry'!$A$7:$A$5000,$E$3))</f>
        <v/>
      </c>
      <c r="G104" s="19" t="str">
        <f aca="false">IF($A104="","",SUMIFS('Daily Entry'!$D$7:$D$5000,'Daily Entry'!$B$7:$B$5000,$O104,'Daily Entry'!$A$7:$A$5000,$E$3))</f>
        <v/>
      </c>
      <c r="H104" s="20" t="str">
        <f aca="false">IF($A104="","",SUMIFS('Daily Entry'!$C$7:$C$5000,'Daily Entry'!$B$7:$B$5000,$O104))</f>
        <v/>
      </c>
      <c r="I104" s="20" t="str">
        <f aca="false">IF($A104="","",SUMIFS('Daily Entry'!$D$7:$D$5000,'Daily Entry'!$B$7:$B$5000,$O104))</f>
        <v/>
      </c>
      <c r="J104" s="21" t="str">
        <f aca="false">IF($A104="","",$E104+$H104-$I104)</f>
        <v/>
      </c>
      <c r="K104" s="22" t="str">
        <f aca="false">IF(OR($A104="",$D104=""),"",$J104*$D104)</f>
        <v/>
      </c>
      <c r="L104" s="23"/>
      <c r="M104" s="24" t="str">
        <f aca="false">IF(OR($A104="",$D104="",$L104="",$E$4=""),"",$K104*$L104*$E$4)</f>
        <v/>
      </c>
      <c r="O104" s="25" t="str">
        <f aca="false">IF($A104="","",$A104&amp;" - "&amp;$B104)</f>
        <v/>
      </c>
      <c r="P104" s="25" t="n">
        <f aca="false">IF($A104="",0,IF(OR($F104&lt;&gt;0,$G104&lt;&gt;0),1,0))</f>
        <v>0</v>
      </c>
      <c r="Q104" s="25" t="str">
        <f aca="false">IF($P104=1,SUM($P$8:$P104),"")</f>
        <v/>
      </c>
      <c r="R104" s="25" t="str">
        <f aca="false">IF($A104="","",$A104&amp;"#"&amp;COUNTIF($A$8:$A104,$A104))</f>
        <v/>
      </c>
      <c r="S104" s="25" t="n">
        <f aca="false">IF(OR($A104="",$D104=""),0,$E104*$D104)</f>
        <v>0</v>
      </c>
      <c r="T104" s="25" t="n">
        <f aca="false">IF(OR($A104="",$D104=""),0,$F104*$D104)</f>
        <v>0</v>
      </c>
      <c r="U104" s="25" t="n">
        <f aca="false">IF(OR($A104="",$D104=""),0,$G104*$D104)</f>
        <v>0</v>
      </c>
      <c r="V104" s="25" t="n">
        <f aca="false">IF(OR($A104="",$D104=""),0,$H104*$D104)</f>
        <v>0</v>
      </c>
      <c r="W104" s="25" t="n">
        <f aca="false">IF(OR($A104="",$D104=""),0,$I104*$D104)</f>
        <v>0</v>
      </c>
      <c r="X104" s="25" t="n">
        <f aca="false">IF(AND($A104&lt;&gt;"",$D104=""),1,0)</f>
        <v>0</v>
      </c>
      <c r="Y104" s="25" t="n">
        <f aca="false">IF($A104="",0,IF(COUNTIF($O$8:$O$114,$O104)&gt;1,1,0))</f>
        <v>0</v>
      </c>
    </row>
    <row r="105" customFormat="false" ht="15" hidden="false" customHeight="false" outlineLevel="0" collapsed="false">
      <c r="A105" s="34"/>
      <c r="B105" s="34"/>
      <c r="C105" s="16"/>
      <c r="D105" s="17"/>
      <c r="E105" s="33"/>
      <c r="F105" s="27" t="str">
        <f aca="false">IF($A105="","",SUMIFS('Daily Entry'!$C$7:$C$5000,'Daily Entry'!$B$7:$B$5000,$O105,'Daily Entry'!$A$7:$A$5000,$E$3))</f>
        <v/>
      </c>
      <c r="G105" s="27" t="str">
        <f aca="false">IF($A105="","",SUMIFS('Daily Entry'!$D$7:$D$5000,'Daily Entry'!$B$7:$B$5000,$O105,'Daily Entry'!$A$7:$A$5000,$E$3))</f>
        <v/>
      </c>
      <c r="H105" s="28" t="str">
        <f aca="false">IF($A105="","",SUMIFS('Daily Entry'!$C$7:$C$5000,'Daily Entry'!$B$7:$B$5000,$O105))</f>
        <v/>
      </c>
      <c r="I105" s="28" t="str">
        <f aca="false">IF($A105="","",SUMIFS('Daily Entry'!$D$7:$D$5000,'Daily Entry'!$B$7:$B$5000,$O105))</f>
        <v/>
      </c>
      <c r="J105" s="29" t="str">
        <f aca="false">IF($A105="","",$E105+$H105-$I105)</f>
        <v/>
      </c>
      <c r="K105" s="30" t="str">
        <f aca="false">IF(OR($A105="",$D105=""),"",$J105*$D105)</f>
        <v/>
      </c>
      <c r="L105" s="23"/>
      <c r="M105" s="31" t="str">
        <f aca="false">IF(OR($A105="",$D105="",$L105="",$E$4=""),"",$K105*$L105*$E$4)</f>
        <v/>
      </c>
      <c r="O105" s="25" t="str">
        <f aca="false">IF($A105="","",$A105&amp;" - "&amp;$B105)</f>
        <v/>
      </c>
      <c r="P105" s="25" t="n">
        <f aca="false">IF($A105="",0,IF(OR($F105&lt;&gt;0,$G105&lt;&gt;0),1,0))</f>
        <v>0</v>
      </c>
      <c r="Q105" s="25" t="str">
        <f aca="false">IF($P105=1,SUM($P$8:$P105),"")</f>
        <v/>
      </c>
      <c r="R105" s="25" t="str">
        <f aca="false">IF($A105="","",$A105&amp;"#"&amp;COUNTIF($A$8:$A105,$A105))</f>
        <v/>
      </c>
      <c r="S105" s="25" t="n">
        <f aca="false">IF(OR($A105="",$D105=""),0,$E105*$D105)</f>
        <v>0</v>
      </c>
      <c r="T105" s="25" t="n">
        <f aca="false">IF(OR($A105="",$D105=""),0,$F105*$D105)</f>
        <v>0</v>
      </c>
      <c r="U105" s="25" t="n">
        <f aca="false">IF(OR($A105="",$D105=""),0,$G105*$D105)</f>
        <v>0</v>
      </c>
      <c r="V105" s="25" t="n">
        <f aca="false">IF(OR($A105="",$D105=""),0,$H105*$D105)</f>
        <v>0</v>
      </c>
      <c r="W105" s="25" t="n">
        <f aca="false">IF(OR($A105="",$D105=""),0,$I105*$D105)</f>
        <v>0</v>
      </c>
      <c r="X105" s="25" t="n">
        <f aca="false">IF(AND($A105&lt;&gt;"",$D105=""),1,0)</f>
        <v>0</v>
      </c>
      <c r="Y105" s="25" t="n">
        <f aca="false">IF($A105="",0,IF(COUNTIF($O$8:$O$114,$O105)&gt;1,1,0))</f>
        <v>0</v>
      </c>
    </row>
    <row r="106" customFormat="false" ht="15" hidden="false" customHeight="false" outlineLevel="0" collapsed="false">
      <c r="A106" s="32"/>
      <c r="B106" s="32"/>
      <c r="C106" s="16"/>
      <c r="D106" s="17"/>
      <c r="E106" s="33"/>
      <c r="F106" s="19" t="str">
        <f aca="false">IF($A106="","",SUMIFS('Daily Entry'!$C$7:$C$5000,'Daily Entry'!$B$7:$B$5000,$O106,'Daily Entry'!$A$7:$A$5000,$E$3))</f>
        <v/>
      </c>
      <c r="G106" s="19" t="str">
        <f aca="false">IF($A106="","",SUMIFS('Daily Entry'!$D$7:$D$5000,'Daily Entry'!$B$7:$B$5000,$O106,'Daily Entry'!$A$7:$A$5000,$E$3))</f>
        <v/>
      </c>
      <c r="H106" s="20" t="str">
        <f aca="false">IF($A106="","",SUMIFS('Daily Entry'!$C$7:$C$5000,'Daily Entry'!$B$7:$B$5000,$O106))</f>
        <v/>
      </c>
      <c r="I106" s="20" t="str">
        <f aca="false">IF($A106="","",SUMIFS('Daily Entry'!$D$7:$D$5000,'Daily Entry'!$B$7:$B$5000,$O106))</f>
        <v/>
      </c>
      <c r="J106" s="21" t="str">
        <f aca="false">IF($A106="","",$E106+$H106-$I106)</f>
        <v/>
      </c>
      <c r="K106" s="22" t="str">
        <f aca="false">IF(OR($A106="",$D106=""),"",$J106*$D106)</f>
        <v/>
      </c>
      <c r="L106" s="23"/>
      <c r="M106" s="24" t="str">
        <f aca="false">IF(OR($A106="",$D106="",$L106="",$E$4=""),"",$K106*$L106*$E$4)</f>
        <v/>
      </c>
      <c r="O106" s="25" t="str">
        <f aca="false">IF($A106="","",$A106&amp;" - "&amp;$B106)</f>
        <v/>
      </c>
      <c r="P106" s="25" t="n">
        <f aca="false">IF($A106="",0,IF(OR($F106&lt;&gt;0,$G106&lt;&gt;0),1,0))</f>
        <v>0</v>
      </c>
      <c r="Q106" s="25" t="str">
        <f aca="false">IF($P106=1,SUM($P$8:$P106),"")</f>
        <v/>
      </c>
      <c r="R106" s="25" t="str">
        <f aca="false">IF($A106="","",$A106&amp;"#"&amp;COUNTIF($A$8:$A106,$A106))</f>
        <v/>
      </c>
      <c r="S106" s="25" t="n">
        <f aca="false">IF(OR($A106="",$D106=""),0,$E106*$D106)</f>
        <v>0</v>
      </c>
      <c r="T106" s="25" t="n">
        <f aca="false">IF(OR($A106="",$D106=""),0,$F106*$D106)</f>
        <v>0</v>
      </c>
      <c r="U106" s="25" t="n">
        <f aca="false">IF(OR($A106="",$D106=""),0,$G106*$D106)</f>
        <v>0</v>
      </c>
      <c r="V106" s="25" t="n">
        <f aca="false">IF(OR($A106="",$D106=""),0,$H106*$D106)</f>
        <v>0</v>
      </c>
      <c r="W106" s="25" t="n">
        <f aca="false">IF(OR($A106="",$D106=""),0,$I106*$D106)</f>
        <v>0</v>
      </c>
      <c r="X106" s="25" t="n">
        <f aca="false">IF(AND($A106&lt;&gt;"",$D106=""),1,0)</f>
        <v>0</v>
      </c>
      <c r="Y106" s="25" t="n">
        <f aca="false">IF($A106="",0,IF(COUNTIF($O$8:$O$114,$O106)&gt;1,1,0))</f>
        <v>0</v>
      </c>
    </row>
    <row r="107" customFormat="false" ht="15" hidden="false" customHeight="false" outlineLevel="0" collapsed="false">
      <c r="A107" s="34"/>
      <c r="B107" s="34"/>
      <c r="C107" s="16"/>
      <c r="D107" s="17"/>
      <c r="E107" s="33"/>
      <c r="F107" s="27" t="str">
        <f aca="false">IF($A107="","",SUMIFS('Daily Entry'!$C$7:$C$5000,'Daily Entry'!$B$7:$B$5000,$O107,'Daily Entry'!$A$7:$A$5000,$E$3))</f>
        <v/>
      </c>
      <c r="G107" s="27" t="str">
        <f aca="false">IF($A107="","",SUMIFS('Daily Entry'!$D$7:$D$5000,'Daily Entry'!$B$7:$B$5000,$O107,'Daily Entry'!$A$7:$A$5000,$E$3))</f>
        <v/>
      </c>
      <c r="H107" s="28" t="str">
        <f aca="false">IF($A107="","",SUMIFS('Daily Entry'!$C$7:$C$5000,'Daily Entry'!$B$7:$B$5000,$O107))</f>
        <v/>
      </c>
      <c r="I107" s="28" t="str">
        <f aca="false">IF($A107="","",SUMIFS('Daily Entry'!$D$7:$D$5000,'Daily Entry'!$B$7:$B$5000,$O107))</f>
        <v/>
      </c>
      <c r="J107" s="29" t="str">
        <f aca="false">IF($A107="","",$E107+$H107-$I107)</f>
        <v/>
      </c>
      <c r="K107" s="30" t="str">
        <f aca="false">IF(OR($A107="",$D107=""),"",$J107*$D107)</f>
        <v/>
      </c>
      <c r="L107" s="23"/>
      <c r="M107" s="31" t="str">
        <f aca="false">IF(OR($A107="",$D107="",$L107="",$E$4=""),"",$K107*$L107*$E$4)</f>
        <v/>
      </c>
      <c r="O107" s="25" t="str">
        <f aca="false">IF($A107="","",$A107&amp;" - "&amp;$B107)</f>
        <v/>
      </c>
      <c r="P107" s="25" t="n">
        <f aca="false">IF($A107="",0,IF(OR($F107&lt;&gt;0,$G107&lt;&gt;0),1,0))</f>
        <v>0</v>
      </c>
      <c r="Q107" s="25" t="str">
        <f aca="false">IF($P107=1,SUM($P$8:$P107),"")</f>
        <v/>
      </c>
      <c r="R107" s="25" t="str">
        <f aca="false">IF($A107="","",$A107&amp;"#"&amp;COUNTIF($A$8:$A107,$A107))</f>
        <v/>
      </c>
      <c r="S107" s="25" t="n">
        <f aca="false">IF(OR($A107="",$D107=""),0,$E107*$D107)</f>
        <v>0</v>
      </c>
      <c r="T107" s="25" t="n">
        <f aca="false">IF(OR($A107="",$D107=""),0,$F107*$D107)</f>
        <v>0</v>
      </c>
      <c r="U107" s="25" t="n">
        <f aca="false">IF(OR($A107="",$D107=""),0,$G107*$D107)</f>
        <v>0</v>
      </c>
      <c r="V107" s="25" t="n">
        <f aca="false">IF(OR($A107="",$D107=""),0,$H107*$D107)</f>
        <v>0</v>
      </c>
      <c r="W107" s="25" t="n">
        <f aca="false">IF(OR($A107="",$D107=""),0,$I107*$D107)</f>
        <v>0</v>
      </c>
      <c r="X107" s="25" t="n">
        <f aca="false">IF(AND($A107&lt;&gt;"",$D107=""),1,0)</f>
        <v>0</v>
      </c>
      <c r="Y107" s="25" t="n">
        <f aca="false">IF($A107="",0,IF(COUNTIF($O$8:$O$114,$O107)&gt;1,1,0))</f>
        <v>0</v>
      </c>
    </row>
    <row r="108" customFormat="false" ht="15" hidden="false" customHeight="false" outlineLevel="0" collapsed="false">
      <c r="A108" s="32"/>
      <c r="B108" s="32"/>
      <c r="C108" s="16"/>
      <c r="D108" s="17"/>
      <c r="E108" s="33"/>
      <c r="F108" s="19" t="str">
        <f aca="false">IF($A108="","",SUMIFS('Daily Entry'!$C$7:$C$5000,'Daily Entry'!$B$7:$B$5000,$O108,'Daily Entry'!$A$7:$A$5000,$E$3))</f>
        <v/>
      </c>
      <c r="G108" s="19" t="str">
        <f aca="false">IF($A108="","",SUMIFS('Daily Entry'!$D$7:$D$5000,'Daily Entry'!$B$7:$B$5000,$O108,'Daily Entry'!$A$7:$A$5000,$E$3))</f>
        <v/>
      </c>
      <c r="H108" s="20" t="str">
        <f aca="false">IF($A108="","",SUMIFS('Daily Entry'!$C$7:$C$5000,'Daily Entry'!$B$7:$B$5000,$O108))</f>
        <v/>
      </c>
      <c r="I108" s="20" t="str">
        <f aca="false">IF($A108="","",SUMIFS('Daily Entry'!$D$7:$D$5000,'Daily Entry'!$B$7:$B$5000,$O108))</f>
        <v/>
      </c>
      <c r="J108" s="21" t="str">
        <f aca="false">IF($A108="","",$E108+$H108-$I108)</f>
        <v/>
      </c>
      <c r="K108" s="22" t="str">
        <f aca="false">IF(OR($A108="",$D108=""),"",$J108*$D108)</f>
        <v/>
      </c>
      <c r="L108" s="23"/>
      <c r="M108" s="24" t="str">
        <f aca="false">IF(OR($A108="",$D108="",$L108="",$E$4=""),"",$K108*$L108*$E$4)</f>
        <v/>
      </c>
      <c r="O108" s="25" t="str">
        <f aca="false">IF($A108="","",$A108&amp;" - "&amp;$B108)</f>
        <v/>
      </c>
      <c r="P108" s="25" t="n">
        <f aca="false">IF($A108="",0,IF(OR($F108&lt;&gt;0,$G108&lt;&gt;0),1,0))</f>
        <v>0</v>
      </c>
      <c r="Q108" s="25" t="str">
        <f aca="false">IF($P108=1,SUM($P$8:$P108),"")</f>
        <v/>
      </c>
      <c r="R108" s="25" t="str">
        <f aca="false">IF($A108="","",$A108&amp;"#"&amp;COUNTIF($A$8:$A108,$A108))</f>
        <v/>
      </c>
      <c r="S108" s="25" t="n">
        <f aca="false">IF(OR($A108="",$D108=""),0,$E108*$D108)</f>
        <v>0</v>
      </c>
      <c r="T108" s="25" t="n">
        <f aca="false">IF(OR($A108="",$D108=""),0,$F108*$D108)</f>
        <v>0</v>
      </c>
      <c r="U108" s="25" t="n">
        <f aca="false">IF(OR($A108="",$D108=""),0,$G108*$D108)</f>
        <v>0</v>
      </c>
      <c r="V108" s="25" t="n">
        <f aca="false">IF(OR($A108="",$D108=""),0,$H108*$D108)</f>
        <v>0</v>
      </c>
      <c r="W108" s="25" t="n">
        <f aca="false">IF(OR($A108="",$D108=""),0,$I108*$D108)</f>
        <v>0</v>
      </c>
      <c r="X108" s="25" t="n">
        <f aca="false">IF(AND($A108&lt;&gt;"",$D108=""),1,0)</f>
        <v>0</v>
      </c>
      <c r="Y108" s="25" t="n">
        <f aca="false">IF($A108="",0,IF(COUNTIF($O$8:$O$114,$O108)&gt;1,1,0))</f>
        <v>0</v>
      </c>
    </row>
    <row r="109" customFormat="false" ht="15" hidden="false" customHeight="false" outlineLevel="0" collapsed="false">
      <c r="A109" s="34"/>
      <c r="B109" s="34"/>
      <c r="C109" s="16"/>
      <c r="D109" s="17"/>
      <c r="E109" s="33"/>
      <c r="F109" s="27" t="str">
        <f aca="false">IF($A109="","",SUMIFS('Daily Entry'!$C$7:$C$5000,'Daily Entry'!$B$7:$B$5000,$O109,'Daily Entry'!$A$7:$A$5000,$E$3))</f>
        <v/>
      </c>
      <c r="G109" s="27" t="str">
        <f aca="false">IF($A109="","",SUMIFS('Daily Entry'!$D$7:$D$5000,'Daily Entry'!$B$7:$B$5000,$O109,'Daily Entry'!$A$7:$A$5000,$E$3))</f>
        <v/>
      </c>
      <c r="H109" s="28" t="str">
        <f aca="false">IF($A109="","",SUMIFS('Daily Entry'!$C$7:$C$5000,'Daily Entry'!$B$7:$B$5000,$O109))</f>
        <v/>
      </c>
      <c r="I109" s="28" t="str">
        <f aca="false">IF($A109="","",SUMIFS('Daily Entry'!$D$7:$D$5000,'Daily Entry'!$B$7:$B$5000,$O109))</f>
        <v/>
      </c>
      <c r="J109" s="29" t="str">
        <f aca="false">IF($A109="","",$E109+$H109-$I109)</f>
        <v/>
      </c>
      <c r="K109" s="30" t="str">
        <f aca="false">IF(OR($A109="",$D109=""),"",$J109*$D109)</f>
        <v/>
      </c>
      <c r="L109" s="23"/>
      <c r="M109" s="31" t="str">
        <f aca="false">IF(OR($A109="",$D109="",$L109="",$E$4=""),"",$K109*$L109*$E$4)</f>
        <v/>
      </c>
      <c r="O109" s="25" t="str">
        <f aca="false">IF($A109="","",$A109&amp;" - "&amp;$B109)</f>
        <v/>
      </c>
      <c r="P109" s="25" t="n">
        <f aca="false">IF($A109="",0,IF(OR($F109&lt;&gt;0,$G109&lt;&gt;0),1,0))</f>
        <v>0</v>
      </c>
      <c r="Q109" s="25" t="str">
        <f aca="false">IF($P109=1,SUM($P$8:$P109),"")</f>
        <v/>
      </c>
      <c r="R109" s="25" t="str">
        <f aca="false">IF($A109="","",$A109&amp;"#"&amp;COUNTIF($A$8:$A109,$A109))</f>
        <v/>
      </c>
      <c r="S109" s="25" t="n">
        <f aca="false">IF(OR($A109="",$D109=""),0,$E109*$D109)</f>
        <v>0</v>
      </c>
      <c r="T109" s="25" t="n">
        <f aca="false">IF(OR($A109="",$D109=""),0,$F109*$D109)</f>
        <v>0</v>
      </c>
      <c r="U109" s="25" t="n">
        <f aca="false">IF(OR($A109="",$D109=""),0,$G109*$D109)</f>
        <v>0</v>
      </c>
      <c r="V109" s="25" t="n">
        <f aca="false">IF(OR($A109="",$D109=""),0,$H109*$D109)</f>
        <v>0</v>
      </c>
      <c r="W109" s="25" t="n">
        <f aca="false">IF(OR($A109="",$D109=""),0,$I109*$D109)</f>
        <v>0</v>
      </c>
      <c r="X109" s="25" t="n">
        <f aca="false">IF(AND($A109&lt;&gt;"",$D109=""),1,0)</f>
        <v>0</v>
      </c>
      <c r="Y109" s="25" t="n">
        <f aca="false">IF($A109="",0,IF(COUNTIF($O$8:$O$114,$O109)&gt;1,1,0))</f>
        <v>0</v>
      </c>
    </row>
    <row r="110" customFormat="false" ht="15" hidden="false" customHeight="false" outlineLevel="0" collapsed="false">
      <c r="A110" s="32"/>
      <c r="B110" s="32"/>
      <c r="C110" s="16"/>
      <c r="D110" s="17"/>
      <c r="E110" s="33"/>
      <c r="F110" s="19" t="str">
        <f aca="false">IF($A110="","",SUMIFS('Daily Entry'!$C$7:$C$5000,'Daily Entry'!$B$7:$B$5000,$O110,'Daily Entry'!$A$7:$A$5000,$E$3))</f>
        <v/>
      </c>
      <c r="G110" s="19" t="str">
        <f aca="false">IF($A110="","",SUMIFS('Daily Entry'!$D$7:$D$5000,'Daily Entry'!$B$7:$B$5000,$O110,'Daily Entry'!$A$7:$A$5000,$E$3))</f>
        <v/>
      </c>
      <c r="H110" s="20" t="str">
        <f aca="false">IF($A110="","",SUMIFS('Daily Entry'!$C$7:$C$5000,'Daily Entry'!$B$7:$B$5000,$O110))</f>
        <v/>
      </c>
      <c r="I110" s="20" t="str">
        <f aca="false">IF($A110="","",SUMIFS('Daily Entry'!$D$7:$D$5000,'Daily Entry'!$B$7:$B$5000,$O110))</f>
        <v/>
      </c>
      <c r="J110" s="21" t="str">
        <f aca="false">IF($A110="","",$E110+$H110-$I110)</f>
        <v/>
      </c>
      <c r="K110" s="22" t="str">
        <f aca="false">IF(OR($A110="",$D110=""),"",$J110*$D110)</f>
        <v/>
      </c>
      <c r="L110" s="23"/>
      <c r="M110" s="24" t="str">
        <f aca="false">IF(OR($A110="",$D110="",$L110="",$E$4=""),"",$K110*$L110*$E$4)</f>
        <v/>
      </c>
      <c r="O110" s="25" t="str">
        <f aca="false">IF($A110="","",$A110&amp;" - "&amp;$B110)</f>
        <v/>
      </c>
      <c r="P110" s="25" t="n">
        <f aca="false">IF($A110="",0,IF(OR($F110&lt;&gt;0,$G110&lt;&gt;0),1,0))</f>
        <v>0</v>
      </c>
      <c r="Q110" s="25" t="str">
        <f aca="false">IF($P110=1,SUM($P$8:$P110),"")</f>
        <v/>
      </c>
      <c r="R110" s="25" t="str">
        <f aca="false">IF($A110="","",$A110&amp;"#"&amp;COUNTIF($A$8:$A110,$A110))</f>
        <v/>
      </c>
      <c r="S110" s="25" t="n">
        <f aca="false">IF(OR($A110="",$D110=""),0,$E110*$D110)</f>
        <v>0</v>
      </c>
      <c r="T110" s="25" t="n">
        <f aca="false">IF(OR($A110="",$D110=""),0,$F110*$D110)</f>
        <v>0</v>
      </c>
      <c r="U110" s="25" t="n">
        <f aca="false">IF(OR($A110="",$D110=""),0,$G110*$D110)</f>
        <v>0</v>
      </c>
      <c r="V110" s="25" t="n">
        <f aca="false">IF(OR($A110="",$D110=""),0,$H110*$D110)</f>
        <v>0</v>
      </c>
      <c r="W110" s="25" t="n">
        <f aca="false">IF(OR($A110="",$D110=""),0,$I110*$D110)</f>
        <v>0</v>
      </c>
      <c r="X110" s="25" t="n">
        <f aca="false">IF(AND($A110&lt;&gt;"",$D110=""),1,0)</f>
        <v>0</v>
      </c>
      <c r="Y110" s="25" t="n">
        <f aca="false">IF($A110="",0,IF(COUNTIF($O$8:$O$114,$O110)&gt;1,1,0))</f>
        <v>0</v>
      </c>
    </row>
    <row r="111" customFormat="false" ht="15" hidden="false" customHeight="false" outlineLevel="0" collapsed="false">
      <c r="A111" s="34"/>
      <c r="B111" s="34"/>
      <c r="C111" s="16"/>
      <c r="D111" s="17"/>
      <c r="E111" s="33"/>
      <c r="F111" s="27" t="str">
        <f aca="false">IF($A111="","",SUMIFS('Daily Entry'!$C$7:$C$5000,'Daily Entry'!$B$7:$B$5000,$O111,'Daily Entry'!$A$7:$A$5000,$E$3))</f>
        <v/>
      </c>
      <c r="G111" s="27" t="str">
        <f aca="false">IF($A111="","",SUMIFS('Daily Entry'!$D$7:$D$5000,'Daily Entry'!$B$7:$B$5000,$O111,'Daily Entry'!$A$7:$A$5000,$E$3))</f>
        <v/>
      </c>
      <c r="H111" s="28" t="str">
        <f aca="false">IF($A111="","",SUMIFS('Daily Entry'!$C$7:$C$5000,'Daily Entry'!$B$7:$B$5000,$O111))</f>
        <v/>
      </c>
      <c r="I111" s="28" t="str">
        <f aca="false">IF($A111="","",SUMIFS('Daily Entry'!$D$7:$D$5000,'Daily Entry'!$B$7:$B$5000,$O111))</f>
        <v/>
      </c>
      <c r="J111" s="29" t="str">
        <f aca="false">IF($A111="","",$E111+$H111-$I111)</f>
        <v/>
      </c>
      <c r="K111" s="30" t="str">
        <f aca="false">IF(OR($A111="",$D111=""),"",$J111*$D111)</f>
        <v/>
      </c>
      <c r="L111" s="23"/>
      <c r="M111" s="31" t="str">
        <f aca="false">IF(OR($A111="",$D111="",$L111="",$E$4=""),"",$K111*$L111*$E$4)</f>
        <v/>
      </c>
      <c r="O111" s="25" t="str">
        <f aca="false">IF($A111="","",$A111&amp;" - "&amp;$B111)</f>
        <v/>
      </c>
      <c r="P111" s="25" t="n">
        <f aca="false">IF($A111="",0,IF(OR($F111&lt;&gt;0,$G111&lt;&gt;0),1,0))</f>
        <v>0</v>
      </c>
      <c r="Q111" s="25" t="str">
        <f aca="false">IF($P111=1,SUM($P$8:$P111),"")</f>
        <v/>
      </c>
      <c r="R111" s="25" t="str">
        <f aca="false">IF($A111="","",$A111&amp;"#"&amp;COUNTIF($A$8:$A111,$A111))</f>
        <v/>
      </c>
      <c r="S111" s="25" t="n">
        <f aca="false">IF(OR($A111="",$D111=""),0,$E111*$D111)</f>
        <v>0</v>
      </c>
      <c r="T111" s="25" t="n">
        <f aca="false">IF(OR($A111="",$D111=""),0,$F111*$D111)</f>
        <v>0</v>
      </c>
      <c r="U111" s="25" t="n">
        <f aca="false">IF(OR($A111="",$D111=""),0,$G111*$D111)</f>
        <v>0</v>
      </c>
      <c r="V111" s="25" t="n">
        <f aca="false">IF(OR($A111="",$D111=""),0,$H111*$D111)</f>
        <v>0</v>
      </c>
      <c r="W111" s="25" t="n">
        <f aca="false">IF(OR($A111="",$D111=""),0,$I111*$D111)</f>
        <v>0</v>
      </c>
      <c r="X111" s="25" t="n">
        <f aca="false">IF(AND($A111&lt;&gt;"",$D111=""),1,0)</f>
        <v>0</v>
      </c>
      <c r="Y111" s="25" t="n">
        <f aca="false">IF($A111="",0,IF(COUNTIF($O$8:$O$114,$O111)&gt;1,1,0))</f>
        <v>0</v>
      </c>
    </row>
    <row r="112" customFormat="false" ht="15" hidden="false" customHeight="false" outlineLevel="0" collapsed="false">
      <c r="A112" s="32"/>
      <c r="B112" s="32"/>
      <c r="C112" s="16"/>
      <c r="D112" s="17"/>
      <c r="E112" s="33"/>
      <c r="F112" s="19" t="str">
        <f aca="false">IF($A112="","",SUMIFS('Daily Entry'!$C$7:$C$5000,'Daily Entry'!$B$7:$B$5000,$O112,'Daily Entry'!$A$7:$A$5000,$E$3))</f>
        <v/>
      </c>
      <c r="G112" s="19" t="str">
        <f aca="false">IF($A112="","",SUMIFS('Daily Entry'!$D$7:$D$5000,'Daily Entry'!$B$7:$B$5000,$O112,'Daily Entry'!$A$7:$A$5000,$E$3))</f>
        <v/>
      </c>
      <c r="H112" s="20" t="str">
        <f aca="false">IF($A112="","",SUMIFS('Daily Entry'!$C$7:$C$5000,'Daily Entry'!$B$7:$B$5000,$O112))</f>
        <v/>
      </c>
      <c r="I112" s="20" t="str">
        <f aca="false">IF($A112="","",SUMIFS('Daily Entry'!$D$7:$D$5000,'Daily Entry'!$B$7:$B$5000,$O112))</f>
        <v/>
      </c>
      <c r="J112" s="21" t="str">
        <f aca="false">IF($A112="","",$E112+$H112-$I112)</f>
        <v/>
      </c>
      <c r="K112" s="22" t="str">
        <f aca="false">IF(OR($A112="",$D112=""),"",$J112*$D112)</f>
        <v/>
      </c>
      <c r="L112" s="23"/>
      <c r="M112" s="24" t="str">
        <f aca="false">IF(OR($A112="",$D112="",$L112="",$E$4=""),"",$K112*$L112*$E$4)</f>
        <v/>
      </c>
      <c r="O112" s="25" t="str">
        <f aca="false">IF($A112="","",$A112&amp;" - "&amp;$B112)</f>
        <v/>
      </c>
      <c r="P112" s="25" t="n">
        <f aca="false">IF($A112="",0,IF(OR($F112&lt;&gt;0,$G112&lt;&gt;0),1,0))</f>
        <v>0</v>
      </c>
      <c r="Q112" s="25" t="str">
        <f aca="false">IF($P112=1,SUM($P$8:$P112),"")</f>
        <v/>
      </c>
      <c r="R112" s="25" t="str">
        <f aca="false">IF($A112="","",$A112&amp;"#"&amp;COUNTIF($A$8:$A112,$A112))</f>
        <v/>
      </c>
      <c r="S112" s="25" t="n">
        <f aca="false">IF(OR($A112="",$D112=""),0,$E112*$D112)</f>
        <v>0</v>
      </c>
      <c r="T112" s="25" t="n">
        <f aca="false">IF(OR($A112="",$D112=""),0,$F112*$D112)</f>
        <v>0</v>
      </c>
      <c r="U112" s="25" t="n">
        <f aca="false">IF(OR($A112="",$D112=""),0,$G112*$D112)</f>
        <v>0</v>
      </c>
      <c r="V112" s="25" t="n">
        <f aca="false">IF(OR($A112="",$D112=""),0,$H112*$D112)</f>
        <v>0</v>
      </c>
      <c r="W112" s="25" t="n">
        <f aca="false">IF(OR($A112="",$D112=""),0,$I112*$D112)</f>
        <v>0</v>
      </c>
      <c r="X112" s="25" t="n">
        <f aca="false">IF(AND($A112&lt;&gt;"",$D112=""),1,0)</f>
        <v>0</v>
      </c>
      <c r="Y112" s="25" t="n">
        <f aca="false">IF($A112="",0,IF(COUNTIF($O$8:$O$114,$O112)&gt;1,1,0))</f>
        <v>0</v>
      </c>
    </row>
    <row r="113" customFormat="false" ht="15" hidden="false" customHeight="false" outlineLevel="0" collapsed="false">
      <c r="A113" s="34"/>
      <c r="B113" s="34"/>
      <c r="C113" s="16"/>
      <c r="D113" s="17"/>
      <c r="E113" s="33"/>
      <c r="F113" s="27" t="str">
        <f aca="false">IF($A113="","",SUMIFS('Daily Entry'!$C$7:$C$5000,'Daily Entry'!$B$7:$B$5000,$O113,'Daily Entry'!$A$7:$A$5000,$E$3))</f>
        <v/>
      </c>
      <c r="G113" s="27" t="str">
        <f aca="false">IF($A113="","",SUMIFS('Daily Entry'!$D$7:$D$5000,'Daily Entry'!$B$7:$B$5000,$O113,'Daily Entry'!$A$7:$A$5000,$E$3))</f>
        <v/>
      </c>
      <c r="H113" s="28" t="str">
        <f aca="false">IF($A113="","",SUMIFS('Daily Entry'!$C$7:$C$5000,'Daily Entry'!$B$7:$B$5000,$O113))</f>
        <v/>
      </c>
      <c r="I113" s="28" t="str">
        <f aca="false">IF($A113="","",SUMIFS('Daily Entry'!$D$7:$D$5000,'Daily Entry'!$B$7:$B$5000,$O113))</f>
        <v/>
      </c>
      <c r="J113" s="29" t="str">
        <f aca="false">IF($A113="","",$E113+$H113-$I113)</f>
        <v/>
      </c>
      <c r="K113" s="30" t="str">
        <f aca="false">IF(OR($A113="",$D113=""),"",$J113*$D113)</f>
        <v/>
      </c>
      <c r="L113" s="23"/>
      <c r="M113" s="31" t="str">
        <f aca="false">IF(OR($A113="",$D113="",$L113="",$E$4=""),"",$K113*$L113*$E$4)</f>
        <v/>
      </c>
      <c r="O113" s="25" t="str">
        <f aca="false">IF($A113="","",$A113&amp;" - "&amp;$B113)</f>
        <v/>
      </c>
      <c r="P113" s="25" t="n">
        <f aca="false">IF($A113="",0,IF(OR($F113&lt;&gt;0,$G113&lt;&gt;0),1,0))</f>
        <v>0</v>
      </c>
      <c r="Q113" s="25" t="str">
        <f aca="false">IF($P113=1,SUM($P$8:$P113),"")</f>
        <v/>
      </c>
      <c r="R113" s="25" t="str">
        <f aca="false">IF($A113="","",$A113&amp;"#"&amp;COUNTIF($A$8:$A113,$A113))</f>
        <v/>
      </c>
      <c r="S113" s="25" t="n">
        <f aca="false">IF(OR($A113="",$D113=""),0,$E113*$D113)</f>
        <v>0</v>
      </c>
      <c r="T113" s="25" t="n">
        <f aca="false">IF(OR($A113="",$D113=""),0,$F113*$D113)</f>
        <v>0</v>
      </c>
      <c r="U113" s="25" t="n">
        <f aca="false">IF(OR($A113="",$D113=""),0,$G113*$D113)</f>
        <v>0</v>
      </c>
      <c r="V113" s="25" t="n">
        <f aca="false">IF(OR($A113="",$D113=""),0,$H113*$D113)</f>
        <v>0</v>
      </c>
      <c r="W113" s="25" t="n">
        <f aca="false">IF(OR($A113="",$D113=""),0,$I113*$D113)</f>
        <v>0</v>
      </c>
      <c r="X113" s="25" t="n">
        <f aca="false">IF(AND($A113&lt;&gt;"",$D113=""),1,0)</f>
        <v>0</v>
      </c>
      <c r="Y113" s="25" t="n">
        <f aca="false">IF($A113="",0,IF(COUNTIF($O$8:$O$114,$O113)&gt;1,1,0))</f>
        <v>0</v>
      </c>
    </row>
    <row r="114" customFormat="false" ht="15" hidden="false" customHeight="false" outlineLevel="0" collapsed="false">
      <c r="A114" s="32"/>
      <c r="B114" s="32"/>
      <c r="C114" s="16"/>
      <c r="D114" s="17"/>
      <c r="E114" s="33"/>
      <c r="F114" s="19" t="str">
        <f aca="false">IF($A114="","",SUMIFS('Daily Entry'!$C$7:$C$5000,'Daily Entry'!$B$7:$B$5000,$O114,'Daily Entry'!$A$7:$A$5000,$E$3))</f>
        <v/>
      </c>
      <c r="G114" s="19" t="str">
        <f aca="false">IF($A114="","",SUMIFS('Daily Entry'!$D$7:$D$5000,'Daily Entry'!$B$7:$B$5000,$O114,'Daily Entry'!$A$7:$A$5000,$E$3))</f>
        <v/>
      </c>
      <c r="H114" s="20" t="str">
        <f aca="false">IF($A114="","",SUMIFS('Daily Entry'!$C$7:$C$5000,'Daily Entry'!$B$7:$B$5000,$O114))</f>
        <v/>
      </c>
      <c r="I114" s="20" t="str">
        <f aca="false">IF($A114="","",SUMIFS('Daily Entry'!$D$7:$D$5000,'Daily Entry'!$B$7:$B$5000,$O114))</f>
        <v/>
      </c>
      <c r="J114" s="21" t="str">
        <f aca="false">IF($A114="","",$E114+$H114-$I114)</f>
        <v/>
      </c>
      <c r="K114" s="22" t="str">
        <f aca="false">IF(OR($A114="",$D114=""),"",$J114*$D114)</f>
        <v/>
      </c>
      <c r="L114" s="23"/>
      <c r="M114" s="24" t="str">
        <f aca="false">IF(OR($A114="",$D114="",$L114="",$E$4=""),"",$K114*$L114*$E$4)</f>
        <v/>
      </c>
      <c r="O114" s="25" t="str">
        <f aca="false">IF($A114="","",$A114&amp;" - "&amp;$B114)</f>
        <v/>
      </c>
      <c r="P114" s="25" t="n">
        <f aca="false">IF($A114="",0,IF(OR($F114&lt;&gt;0,$G114&lt;&gt;0),1,0))</f>
        <v>0</v>
      </c>
      <c r="Q114" s="25" t="str">
        <f aca="false">IF($P114=1,SUM($P$8:$P114),"")</f>
        <v/>
      </c>
      <c r="R114" s="25" t="str">
        <f aca="false">IF($A114="","",$A114&amp;"#"&amp;COUNTIF($A$8:$A114,$A114))</f>
        <v/>
      </c>
      <c r="S114" s="25" t="n">
        <f aca="false">IF(OR($A114="",$D114=""),0,$E114*$D114)</f>
        <v>0</v>
      </c>
      <c r="T114" s="25" t="n">
        <f aca="false">IF(OR($A114="",$D114=""),0,$F114*$D114)</f>
        <v>0</v>
      </c>
      <c r="U114" s="25" t="n">
        <f aca="false">IF(OR($A114="",$D114=""),0,$G114*$D114)</f>
        <v>0</v>
      </c>
      <c r="V114" s="25" t="n">
        <f aca="false">IF(OR($A114="",$D114=""),0,$H114*$D114)</f>
        <v>0</v>
      </c>
      <c r="W114" s="25" t="n">
        <f aca="false">IF(OR($A114="",$D114=""),0,$I114*$D114)</f>
        <v>0</v>
      </c>
      <c r="X114" s="25" t="n">
        <f aca="false">IF(AND($A114&lt;&gt;"",$D114=""),1,0)</f>
        <v>0</v>
      </c>
      <c r="Y114" s="25" t="n">
        <f aca="false">IF($A114="",0,IF(COUNTIF($O$8:$O$114,$O114)&gt;1,1,0))</f>
        <v>0</v>
      </c>
    </row>
    <row r="115" customFormat="false" ht="15" hidden="false" customHeight="false" outlineLevel="0" collapsed="false">
      <c r="A115" s="35" t="s">
        <v>143</v>
      </c>
      <c r="B115" s="35"/>
      <c r="C115" s="35"/>
      <c r="D115" s="35"/>
      <c r="E115" s="35"/>
      <c r="F115" s="35"/>
      <c r="G115" s="35"/>
      <c r="H115" s="35"/>
      <c r="I115" s="35"/>
      <c r="J115" s="35"/>
      <c r="K115" s="36" t="n">
        <f aca="false">SUM($K$8:$K$114)</f>
        <v>222532</v>
      </c>
      <c r="L115" s="35"/>
      <c r="M115" s="37" t="n">
        <f aca="false">IF(SUM($M$8:$M$114)=0,"",SUM($M$8:$M$114))</f>
        <v>10480400</v>
      </c>
    </row>
    <row r="116" customFormat="false" ht="15" hidden="false" customHeight="false" outlineLevel="0" collapsed="false">
      <c r="A116" s="9" t="s">
        <v>144</v>
      </c>
    </row>
    <row r="117" customFormat="false" ht="15" hidden="false" customHeight="false" outlineLevel="0" collapsed="false">
      <c r="A117" s="38" t="str">
        <f aca="false">IF(SUM($X$8:$X$114)=0,"",SUM($X$8:$X$114)&amp;" product(s) have no Kg / Unit — they are not valued. Fill column D.")</f>
        <v>19 product(s) have no Kg / Unit — they are not valued. Fill column D.</v>
      </c>
    </row>
    <row r="118" customFormat="false" ht="15" hidden="false" customHeight="false" outlineLevel="0" collapsed="false">
      <c r="A118" s="38" t="str">
        <f aca="false">IF(SUM($Y$8:$Y$114)=0,"","Two rows share a Brand + Product — production would be counted twice. Rename one.")</f>
        <v/>
      </c>
    </row>
  </sheetData>
  <sheetProtection sheet="true" password="df10" objects="true" scenarios="true" autoFilter="false"/>
  <autoFilter ref="A7:M114"/>
  <conditionalFormatting sqref="J8:J114">
    <cfRule type="cellIs" priority="2" operator="lessThan" aboveAverage="0" equalAverage="0" bottom="0" percent="0" rank="0" text="" dxfId="8">
      <formula>0</formula>
    </cfRule>
  </conditionalFormatting>
  <conditionalFormatting sqref="D8:D114">
    <cfRule type="expression" priority="3" aboveAverage="0" equalAverage="0" bottom="0" percent="0" rank="0" text="" dxfId="9">
      <formula>AND($A8&lt;&gt;"",$D8="")</formula>
    </cfRule>
  </conditionalFormatting>
  <dataValidations count="1">
    <dataValidation allowBlank="true" error="Unit must be Slab or Kg." errorStyle="stop" errorTitle="Unit" operator="between" showDropDown="false" showErrorMessage="false" showInputMessage="false" sqref="C8:C114" type="list">
      <formula1>"Slab,Kg"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03" width="14"/>
    <col collapsed="false" customWidth="true" hidden="false" outlineLevel="0" max="2" min="2" style="104" width="40"/>
    <col collapsed="false" customWidth="true" hidden="false" outlineLevel="0" max="4" min="3" style="105" width="18"/>
    <col collapsed="false" customWidth="true" hidden="false" outlineLevel="0" max="5" min="5" style="106" width="40"/>
    <col collapsed="false" customWidth="true" hidden="false" outlineLevel="0" max="7" min="7" style="0" width="24"/>
    <col collapsed="false" customWidth="true" hidden="false" outlineLevel="0" max="10" min="10" style="0" width="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145</v>
      </c>
    </row>
    <row r="4" customFormat="false" ht="15" hidden="false" customHeight="false" outlineLevel="0" collapsed="false">
      <c r="A4" s="9" t="s">
        <v>146</v>
      </c>
      <c r="G4" s="42" t="s">
        <v>147</v>
      </c>
      <c r="J4" s="38" t="n">
        <f aca="false">SUMPRODUCT((B7:B5000&lt;&gt;"")*(COUNTIF(Stock!$O$8:$O$114,B7:B5000)=0))</f>
        <v>0</v>
      </c>
      <c r="K4" s="9" t="s">
        <v>148</v>
      </c>
    </row>
    <row r="6" customFormat="false" ht="30" hidden="false" customHeight="true" outlineLevel="0" collapsed="false">
      <c r="A6" s="11" t="s">
        <v>149</v>
      </c>
      <c r="B6" s="11" t="s">
        <v>150</v>
      </c>
      <c r="C6" s="12" t="s">
        <v>151</v>
      </c>
      <c r="D6" s="12" t="s">
        <v>152</v>
      </c>
      <c r="E6" s="11" t="s">
        <v>153</v>
      </c>
    </row>
    <row r="7" customFormat="false" ht="15" hidden="false" customHeight="false" outlineLevel="0" collapsed="false">
      <c r="A7" s="43" t="n">
        <v>46254</v>
      </c>
      <c r="B7" s="44" t="s">
        <v>154</v>
      </c>
      <c r="C7" s="45" t="n">
        <v>1068</v>
      </c>
      <c r="D7" s="45" t="n">
        <v>0</v>
      </c>
      <c r="E7" s="44"/>
    </row>
    <row r="8" customFormat="false" ht="15" hidden="false" customHeight="false" outlineLevel="0" collapsed="false">
      <c r="A8" s="43" t="n">
        <v>46254</v>
      </c>
      <c r="B8" s="44" t="s">
        <v>155</v>
      </c>
      <c r="C8" s="45" t="n">
        <v>65</v>
      </c>
      <c r="D8" s="45" t="n">
        <v>0</v>
      </c>
      <c r="E8" s="44"/>
    </row>
    <row r="9" customFormat="false" ht="15" hidden="false" customHeight="false" outlineLevel="0" collapsed="false">
      <c r="A9" s="43" t="n">
        <v>46254</v>
      </c>
      <c r="B9" s="44" t="s">
        <v>156</v>
      </c>
      <c r="C9" s="45" t="n">
        <v>267</v>
      </c>
      <c r="D9" s="45" t="n">
        <v>0</v>
      </c>
      <c r="E9" s="44"/>
    </row>
    <row r="10" customFormat="false" ht="15" hidden="false" customHeight="false" outlineLevel="0" collapsed="false">
      <c r="A10" s="43" t="n">
        <v>46254</v>
      </c>
      <c r="B10" s="44" t="s">
        <v>157</v>
      </c>
      <c r="C10" s="45" t="n">
        <v>29</v>
      </c>
      <c r="D10" s="45" t="n">
        <v>0</v>
      </c>
      <c r="E10" s="44"/>
    </row>
    <row r="11" customFormat="false" ht="15" hidden="false" customHeight="false" outlineLevel="0" collapsed="false">
      <c r="A11" s="43" t="n">
        <v>46254</v>
      </c>
      <c r="B11" s="44" t="s">
        <v>158</v>
      </c>
      <c r="C11" s="45" t="n">
        <v>39</v>
      </c>
      <c r="D11" s="45" t="n">
        <v>0</v>
      </c>
      <c r="E11" s="44"/>
    </row>
    <row r="12" customFormat="false" ht="15" hidden="false" customHeight="false" outlineLevel="0" collapsed="false">
      <c r="A12" s="43" t="n">
        <v>46254</v>
      </c>
      <c r="B12" s="44" t="s">
        <v>159</v>
      </c>
      <c r="C12" s="45" t="n">
        <v>50</v>
      </c>
      <c r="D12" s="45" t="n">
        <v>0</v>
      </c>
      <c r="E12" s="44"/>
    </row>
    <row r="13" customFormat="false" ht="15" hidden="false" customHeight="false" outlineLevel="0" collapsed="false">
      <c r="A13" s="43" t="n">
        <v>46254</v>
      </c>
      <c r="B13" s="44" t="s">
        <v>160</v>
      </c>
      <c r="C13" s="45" t="n">
        <v>3</v>
      </c>
      <c r="D13" s="45" t="n">
        <v>0</v>
      </c>
      <c r="E13" s="44"/>
    </row>
    <row r="14" customFormat="false" ht="15" hidden="false" customHeight="false" outlineLevel="0" collapsed="false">
      <c r="A14" s="43" t="n">
        <v>46254</v>
      </c>
      <c r="B14" s="44" t="s">
        <v>161</v>
      </c>
      <c r="C14" s="45" t="n">
        <v>50</v>
      </c>
      <c r="D14" s="45" t="n">
        <v>0</v>
      </c>
      <c r="E14" s="44"/>
    </row>
    <row r="15" customFormat="false" ht="15" hidden="false" customHeight="false" outlineLevel="0" collapsed="false">
      <c r="A15" s="43" t="n">
        <v>46254</v>
      </c>
      <c r="B15" s="44" t="s">
        <v>162</v>
      </c>
      <c r="C15" s="45" t="n">
        <v>33</v>
      </c>
      <c r="D15" s="45" t="n">
        <v>0</v>
      </c>
      <c r="E15" s="44"/>
    </row>
    <row r="16" customFormat="false" ht="15" hidden="false" customHeight="false" outlineLevel="0" collapsed="false">
      <c r="A16" s="43" t="n">
        <v>46254</v>
      </c>
      <c r="B16" s="44" t="s">
        <v>163</v>
      </c>
      <c r="C16" s="45" t="n">
        <v>156</v>
      </c>
      <c r="D16" s="45" t="n">
        <v>0</v>
      </c>
      <c r="E16" s="44"/>
    </row>
    <row r="17" customFormat="false" ht="15" hidden="false" customHeight="false" outlineLevel="0" collapsed="false">
      <c r="A17" s="43" t="n">
        <v>46254</v>
      </c>
      <c r="B17" s="44" t="s">
        <v>164</v>
      </c>
      <c r="C17" s="45" t="n">
        <v>596</v>
      </c>
      <c r="D17" s="45" t="n">
        <v>0</v>
      </c>
      <c r="E17" s="44"/>
    </row>
    <row r="18" customFormat="false" ht="15" hidden="false" customHeight="false" outlineLevel="0" collapsed="false">
      <c r="A18" s="43" t="n">
        <v>46254</v>
      </c>
      <c r="B18" s="44" t="s">
        <v>165</v>
      </c>
      <c r="C18" s="45" t="n">
        <v>52</v>
      </c>
      <c r="D18" s="45" t="n">
        <v>0</v>
      </c>
      <c r="E18" s="44"/>
    </row>
    <row r="19" customFormat="false" ht="15" hidden="false" customHeight="false" outlineLevel="0" collapsed="false">
      <c r="A19" s="43" t="n">
        <v>46254</v>
      </c>
      <c r="B19" s="44" t="s">
        <v>166</v>
      </c>
      <c r="C19" s="45" t="n">
        <v>1872</v>
      </c>
      <c r="D19" s="45" t="n">
        <v>0</v>
      </c>
      <c r="E19" s="44"/>
    </row>
    <row r="20" customFormat="false" ht="15" hidden="false" customHeight="false" outlineLevel="0" collapsed="false">
      <c r="A20" s="43" t="n">
        <v>46254</v>
      </c>
      <c r="B20" s="44" t="s">
        <v>167</v>
      </c>
      <c r="C20" s="45" t="n">
        <v>600</v>
      </c>
      <c r="D20" s="45" t="n">
        <v>0</v>
      </c>
      <c r="E20" s="44"/>
    </row>
    <row r="21" customFormat="false" ht="15" hidden="false" customHeight="false" outlineLevel="0" collapsed="false">
      <c r="A21" s="43" t="n">
        <v>46255</v>
      </c>
      <c r="B21" s="44" t="s">
        <v>154</v>
      </c>
      <c r="C21" s="45" t="n">
        <v>1123</v>
      </c>
      <c r="D21" s="45" t="n">
        <v>0</v>
      </c>
      <c r="E21" s="44"/>
    </row>
    <row r="22" customFormat="false" ht="15" hidden="false" customHeight="false" outlineLevel="0" collapsed="false">
      <c r="A22" s="43" t="n">
        <v>46255</v>
      </c>
      <c r="B22" s="44" t="s">
        <v>155</v>
      </c>
      <c r="C22" s="45" t="n">
        <v>59</v>
      </c>
      <c r="D22" s="45" t="n">
        <v>0</v>
      </c>
      <c r="E22" s="44"/>
    </row>
    <row r="23" customFormat="false" ht="15" hidden="false" customHeight="false" outlineLevel="0" collapsed="false">
      <c r="A23" s="43" t="n">
        <v>46255</v>
      </c>
      <c r="B23" s="44" t="s">
        <v>156</v>
      </c>
      <c r="C23" s="45" t="n">
        <v>245</v>
      </c>
      <c r="D23" s="45" t="n">
        <v>0</v>
      </c>
      <c r="E23" s="44"/>
    </row>
    <row r="24" customFormat="false" ht="15" hidden="false" customHeight="false" outlineLevel="0" collapsed="false">
      <c r="A24" s="43" t="n">
        <v>46255</v>
      </c>
      <c r="B24" s="44" t="s">
        <v>168</v>
      </c>
      <c r="C24" s="45" t="n">
        <v>63</v>
      </c>
      <c r="D24" s="45" t="n">
        <v>0</v>
      </c>
      <c r="E24" s="44"/>
    </row>
    <row r="25" customFormat="false" ht="15" hidden="false" customHeight="false" outlineLevel="0" collapsed="false">
      <c r="A25" s="43" t="n">
        <v>46255</v>
      </c>
      <c r="B25" s="44" t="s">
        <v>166</v>
      </c>
      <c r="C25" s="45" t="n">
        <v>1042</v>
      </c>
      <c r="D25" s="45" t="n">
        <v>0</v>
      </c>
      <c r="E25" s="44"/>
    </row>
    <row r="26" customFormat="false" ht="15" hidden="false" customHeight="false" outlineLevel="0" collapsed="false">
      <c r="A26" s="43" t="n">
        <v>46255</v>
      </c>
      <c r="B26" s="44" t="s">
        <v>167</v>
      </c>
      <c r="C26" s="45" t="n">
        <v>1769</v>
      </c>
      <c r="D26" s="45" t="n">
        <v>0</v>
      </c>
      <c r="E26" s="44"/>
    </row>
    <row r="27" customFormat="false" ht="15" hidden="false" customHeight="false" outlineLevel="0" collapsed="false">
      <c r="A27" s="43" t="n">
        <v>46255</v>
      </c>
      <c r="B27" s="44" t="s">
        <v>159</v>
      </c>
      <c r="C27" s="45" t="n">
        <v>1</v>
      </c>
      <c r="D27" s="45" t="n">
        <v>0</v>
      </c>
      <c r="E27" s="44"/>
    </row>
    <row r="28" customFormat="false" ht="15" hidden="false" customHeight="false" outlineLevel="0" collapsed="false">
      <c r="A28" s="43" t="n">
        <v>46255</v>
      </c>
      <c r="B28" s="44" t="s">
        <v>161</v>
      </c>
      <c r="C28" s="45" t="n">
        <v>15</v>
      </c>
      <c r="D28" s="45" t="n">
        <v>0</v>
      </c>
      <c r="E28" s="44"/>
    </row>
    <row r="29" customFormat="false" ht="15" hidden="false" customHeight="false" outlineLevel="0" collapsed="false">
      <c r="A29" s="43" t="n">
        <v>46255</v>
      </c>
      <c r="B29" s="44" t="s">
        <v>162</v>
      </c>
      <c r="C29" s="45" t="n">
        <v>5</v>
      </c>
      <c r="D29" s="45" t="n">
        <v>0</v>
      </c>
      <c r="E29" s="44"/>
    </row>
    <row r="30" customFormat="false" ht="15" hidden="false" customHeight="false" outlineLevel="0" collapsed="false">
      <c r="A30" s="43" t="n">
        <v>46255</v>
      </c>
      <c r="B30" s="44" t="s">
        <v>164</v>
      </c>
      <c r="C30" s="45" t="n">
        <v>648</v>
      </c>
      <c r="D30" s="45" t="n">
        <v>0</v>
      </c>
      <c r="E30" s="44"/>
    </row>
    <row r="31" customFormat="false" ht="15" hidden="false" customHeight="false" outlineLevel="0" collapsed="false">
      <c r="A31" s="43" t="n">
        <v>46255</v>
      </c>
      <c r="B31" s="44" t="s">
        <v>165</v>
      </c>
      <c r="C31" s="45" t="n">
        <v>31</v>
      </c>
      <c r="D31" s="45" t="n">
        <v>0</v>
      </c>
      <c r="E31" s="44"/>
    </row>
    <row r="32" customFormat="false" ht="15" hidden="false" customHeight="false" outlineLevel="0" collapsed="false">
      <c r="A32" s="43" t="n">
        <v>46255</v>
      </c>
      <c r="B32" s="44" t="s">
        <v>154</v>
      </c>
      <c r="C32" s="45" t="n">
        <v>0</v>
      </c>
      <c r="D32" s="45" t="n">
        <v>5770</v>
      </c>
      <c r="E32" s="44"/>
    </row>
    <row r="33" customFormat="false" ht="15" hidden="false" customHeight="false" outlineLevel="0" collapsed="false">
      <c r="A33" s="43" t="n">
        <v>46255</v>
      </c>
      <c r="B33" s="44" t="s">
        <v>156</v>
      </c>
      <c r="C33" s="45" t="n">
        <v>0</v>
      </c>
      <c r="D33" s="45" t="n">
        <v>1200</v>
      </c>
      <c r="E33" s="44"/>
    </row>
    <row r="34" customFormat="false" ht="15" hidden="false" customHeight="false" outlineLevel="0" collapsed="false">
      <c r="A34" s="43" t="n">
        <v>46255</v>
      </c>
      <c r="B34" s="44" t="s">
        <v>169</v>
      </c>
      <c r="C34" s="45" t="n">
        <v>0</v>
      </c>
      <c r="D34" s="45" t="n">
        <v>1200</v>
      </c>
      <c r="E34" s="44"/>
    </row>
    <row r="35" customFormat="false" ht="15" hidden="false" customHeight="false" outlineLevel="0" collapsed="false">
      <c r="A35" s="43" t="n">
        <v>46255</v>
      </c>
      <c r="B35" s="44" t="s">
        <v>168</v>
      </c>
      <c r="C35" s="45" t="n">
        <v>0</v>
      </c>
      <c r="D35" s="45" t="n">
        <v>660</v>
      </c>
      <c r="E35" s="44"/>
    </row>
    <row r="36" customFormat="false" ht="15" hidden="false" customHeight="false" outlineLevel="0" collapsed="false">
      <c r="A36" s="43" t="n">
        <v>46255</v>
      </c>
      <c r="B36" s="44" t="s">
        <v>170</v>
      </c>
      <c r="C36" s="45" t="n">
        <v>0</v>
      </c>
      <c r="D36" s="45" t="n">
        <v>1170</v>
      </c>
      <c r="E36" s="44"/>
    </row>
    <row r="37" customFormat="false" ht="15" hidden="false" customHeight="false" outlineLevel="0" collapsed="false">
      <c r="A37" s="43"/>
      <c r="B37" s="44"/>
      <c r="C37" s="45"/>
      <c r="D37" s="45"/>
      <c r="E37" s="44"/>
    </row>
    <row r="38" customFormat="false" ht="15" hidden="false" customHeight="false" outlineLevel="0" collapsed="false">
      <c r="A38" s="43"/>
      <c r="B38" s="44"/>
      <c r="C38" s="45"/>
      <c r="D38" s="45"/>
      <c r="E38" s="44"/>
    </row>
    <row r="39" customFormat="false" ht="15" hidden="false" customHeight="false" outlineLevel="0" collapsed="false">
      <c r="A39" s="43"/>
      <c r="B39" s="44"/>
      <c r="C39" s="45"/>
      <c r="D39" s="45"/>
      <c r="E39" s="44"/>
    </row>
    <row r="40" customFormat="false" ht="15" hidden="false" customHeight="false" outlineLevel="0" collapsed="false">
      <c r="A40" s="43"/>
      <c r="B40" s="44"/>
      <c r="C40" s="45"/>
      <c r="D40" s="45"/>
      <c r="E40" s="44"/>
    </row>
    <row r="41" customFormat="false" ht="15" hidden="false" customHeight="false" outlineLevel="0" collapsed="false">
      <c r="A41" s="43"/>
      <c r="B41" s="44"/>
      <c r="C41" s="45"/>
      <c r="D41" s="45"/>
      <c r="E41" s="44"/>
    </row>
    <row r="42" customFormat="false" ht="15" hidden="false" customHeight="false" outlineLevel="0" collapsed="false">
      <c r="A42" s="43"/>
      <c r="B42" s="44"/>
      <c r="C42" s="45"/>
      <c r="D42" s="45"/>
      <c r="E42" s="44"/>
    </row>
    <row r="43" customFormat="false" ht="15" hidden="false" customHeight="false" outlineLevel="0" collapsed="false">
      <c r="A43" s="43"/>
      <c r="B43" s="44"/>
      <c r="C43" s="45"/>
      <c r="D43" s="45"/>
      <c r="E43" s="44"/>
    </row>
    <row r="44" customFormat="false" ht="15" hidden="false" customHeight="false" outlineLevel="0" collapsed="false">
      <c r="A44" s="43"/>
      <c r="B44" s="44"/>
      <c r="C44" s="45"/>
      <c r="D44" s="45"/>
      <c r="E44" s="44"/>
    </row>
    <row r="45" customFormat="false" ht="15" hidden="false" customHeight="false" outlineLevel="0" collapsed="false">
      <c r="A45" s="43"/>
      <c r="B45" s="44"/>
      <c r="C45" s="45"/>
      <c r="D45" s="45"/>
      <c r="E45" s="44"/>
    </row>
    <row r="46" customFormat="false" ht="15" hidden="false" customHeight="false" outlineLevel="0" collapsed="false">
      <c r="A46" s="43"/>
      <c r="B46" s="44"/>
      <c r="C46" s="45"/>
      <c r="D46" s="45"/>
      <c r="E46" s="44"/>
    </row>
    <row r="47" customFormat="false" ht="15" hidden="false" customHeight="false" outlineLevel="0" collapsed="false">
      <c r="A47" s="43"/>
      <c r="B47" s="44"/>
      <c r="C47" s="45"/>
      <c r="D47" s="45"/>
      <c r="E47" s="44"/>
    </row>
    <row r="48" customFormat="false" ht="15" hidden="false" customHeight="false" outlineLevel="0" collapsed="false">
      <c r="A48" s="43"/>
      <c r="B48" s="44"/>
      <c r="C48" s="45"/>
      <c r="D48" s="45"/>
      <c r="E48" s="44"/>
    </row>
    <row r="49" customFormat="false" ht="15" hidden="false" customHeight="false" outlineLevel="0" collapsed="false">
      <c r="A49" s="43"/>
      <c r="B49" s="44"/>
      <c r="C49" s="45"/>
      <c r="D49" s="45"/>
      <c r="E49" s="44"/>
    </row>
    <row r="50" customFormat="false" ht="15" hidden="false" customHeight="false" outlineLevel="0" collapsed="false">
      <c r="A50" s="43"/>
      <c r="B50" s="44"/>
      <c r="C50" s="45"/>
      <c r="D50" s="45"/>
      <c r="E50" s="44"/>
    </row>
    <row r="51" customFormat="false" ht="15" hidden="false" customHeight="false" outlineLevel="0" collapsed="false">
      <c r="A51" s="43"/>
      <c r="B51" s="44"/>
      <c r="C51" s="45"/>
      <c r="D51" s="45"/>
      <c r="E51" s="44"/>
    </row>
    <row r="52" customFormat="false" ht="15" hidden="false" customHeight="false" outlineLevel="0" collapsed="false">
      <c r="A52" s="43"/>
      <c r="B52" s="44"/>
      <c r="C52" s="45"/>
      <c r="D52" s="45"/>
      <c r="E52" s="44"/>
    </row>
    <row r="53" customFormat="false" ht="15" hidden="false" customHeight="false" outlineLevel="0" collapsed="false">
      <c r="A53" s="43"/>
      <c r="B53" s="44"/>
      <c r="C53" s="45"/>
      <c r="D53" s="45"/>
      <c r="E53" s="44"/>
    </row>
    <row r="54" customFormat="false" ht="15" hidden="false" customHeight="false" outlineLevel="0" collapsed="false">
      <c r="A54" s="43"/>
      <c r="B54" s="44"/>
      <c r="C54" s="45"/>
      <c r="D54" s="45"/>
      <c r="E54" s="44"/>
    </row>
    <row r="55" customFormat="false" ht="15" hidden="false" customHeight="false" outlineLevel="0" collapsed="false">
      <c r="A55" s="43"/>
      <c r="B55" s="44"/>
      <c r="C55" s="45"/>
      <c r="D55" s="45"/>
      <c r="E55" s="44"/>
    </row>
    <row r="56" customFormat="false" ht="15" hidden="false" customHeight="false" outlineLevel="0" collapsed="false">
      <c r="A56" s="43"/>
      <c r="B56" s="44"/>
      <c r="C56" s="45"/>
      <c r="D56" s="45"/>
      <c r="E56" s="44"/>
    </row>
    <row r="57" customFormat="false" ht="15" hidden="false" customHeight="false" outlineLevel="0" collapsed="false">
      <c r="A57" s="43"/>
      <c r="B57" s="44"/>
      <c r="C57" s="45"/>
      <c r="D57" s="45"/>
      <c r="E57" s="44"/>
    </row>
    <row r="58" customFormat="false" ht="15" hidden="false" customHeight="false" outlineLevel="0" collapsed="false">
      <c r="A58" s="43"/>
      <c r="B58" s="44"/>
      <c r="C58" s="45"/>
      <c r="D58" s="45"/>
      <c r="E58" s="44"/>
    </row>
    <row r="59" customFormat="false" ht="15" hidden="false" customHeight="false" outlineLevel="0" collapsed="false">
      <c r="A59" s="43"/>
      <c r="B59" s="44"/>
      <c r="C59" s="45"/>
      <c r="D59" s="45"/>
      <c r="E59" s="44"/>
    </row>
    <row r="60" customFormat="false" ht="15" hidden="false" customHeight="false" outlineLevel="0" collapsed="false">
      <c r="A60" s="43"/>
      <c r="B60" s="44"/>
      <c r="C60" s="45"/>
      <c r="D60" s="45"/>
      <c r="E60" s="44"/>
    </row>
    <row r="61" customFormat="false" ht="15" hidden="false" customHeight="false" outlineLevel="0" collapsed="false">
      <c r="A61" s="43"/>
      <c r="B61" s="44"/>
      <c r="C61" s="45"/>
      <c r="D61" s="45"/>
      <c r="E61" s="44"/>
    </row>
    <row r="62" customFormat="false" ht="15" hidden="false" customHeight="false" outlineLevel="0" collapsed="false">
      <c r="A62" s="43"/>
      <c r="B62" s="44"/>
      <c r="C62" s="45"/>
      <c r="D62" s="45"/>
      <c r="E62" s="44"/>
    </row>
    <row r="63" customFormat="false" ht="15" hidden="false" customHeight="false" outlineLevel="0" collapsed="false">
      <c r="A63" s="43"/>
      <c r="B63" s="44"/>
      <c r="C63" s="45"/>
      <c r="D63" s="45"/>
      <c r="E63" s="44"/>
    </row>
    <row r="64" customFormat="false" ht="15" hidden="false" customHeight="false" outlineLevel="0" collapsed="false">
      <c r="A64" s="43"/>
      <c r="B64" s="44"/>
      <c r="C64" s="45"/>
      <c r="D64" s="45"/>
      <c r="E64" s="44"/>
    </row>
    <row r="65" customFormat="false" ht="15" hidden="false" customHeight="false" outlineLevel="0" collapsed="false">
      <c r="A65" s="43"/>
      <c r="B65" s="44"/>
      <c r="C65" s="45"/>
      <c r="D65" s="45"/>
      <c r="E65" s="44"/>
    </row>
    <row r="66" customFormat="false" ht="15" hidden="false" customHeight="false" outlineLevel="0" collapsed="false">
      <c r="A66" s="43"/>
      <c r="B66" s="44"/>
      <c r="C66" s="45"/>
      <c r="D66" s="45"/>
      <c r="E66" s="44"/>
    </row>
    <row r="67" customFormat="false" ht="15" hidden="false" customHeight="false" outlineLevel="0" collapsed="false">
      <c r="A67" s="43"/>
      <c r="B67" s="44"/>
      <c r="C67" s="45"/>
      <c r="D67" s="45"/>
      <c r="E67" s="44"/>
    </row>
    <row r="68" customFormat="false" ht="15" hidden="false" customHeight="false" outlineLevel="0" collapsed="false">
      <c r="A68" s="43"/>
      <c r="B68" s="44"/>
      <c r="C68" s="45"/>
      <c r="D68" s="45"/>
      <c r="E68" s="44"/>
    </row>
    <row r="69" customFormat="false" ht="15" hidden="false" customHeight="false" outlineLevel="0" collapsed="false">
      <c r="A69" s="43"/>
      <c r="B69" s="44"/>
      <c r="C69" s="45"/>
      <c r="D69" s="45"/>
      <c r="E69" s="44"/>
    </row>
    <row r="70" customFormat="false" ht="15" hidden="false" customHeight="false" outlineLevel="0" collapsed="false">
      <c r="A70" s="43"/>
      <c r="B70" s="44"/>
      <c r="C70" s="45"/>
      <c r="D70" s="45"/>
      <c r="E70" s="44"/>
    </row>
    <row r="71" customFormat="false" ht="15" hidden="false" customHeight="false" outlineLevel="0" collapsed="false">
      <c r="A71" s="43"/>
      <c r="B71" s="44"/>
      <c r="C71" s="45"/>
      <c r="D71" s="45"/>
      <c r="E71" s="44"/>
    </row>
    <row r="72" customFormat="false" ht="15" hidden="false" customHeight="false" outlineLevel="0" collapsed="false">
      <c r="A72" s="43"/>
      <c r="B72" s="44"/>
      <c r="C72" s="45"/>
      <c r="D72" s="45"/>
      <c r="E72" s="44"/>
    </row>
    <row r="73" customFormat="false" ht="15" hidden="false" customHeight="false" outlineLevel="0" collapsed="false">
      <c r="A73" s="43"/>
      <c r="B73" s="44"/>
      <c r="C73" s="45"/>
      <c r="D73" s="45"/>
      <c r="E73" s="44"/>
    </row>
    <row r="74" customFormat="false" ht="15" hidden="false" customHeight="false" outlineLevel="0" collapsed="false">
      <c r="A74" s="43"/>
      <c r="B74" s="44"/>
      <c r="C74" s="45"/>
      <c r="D74" s="45"/>
      <c r="E74" s="44"/>
    </row>
    <row r="75" customFormat="false" ht="15" hidden="false" customHeight="false" outlineLevel="0" collapsed="false">
      <c r="A75" s="43"/>
      <c r="B75" s="44"/>
      <c r="C75" s="45"/>
      <c r="D75" s="45"/>
      <c r="E75" s="44"/>
    </row>
    <row r="76" customFormat="false" ht="15" hidden="false" customHeight="false" outlineLevel="0" collapsed="false">
      <c r="A76" s="43"/>
      <c r="B76" s="44"/>
      <c r="C76" s="45"/>
      <c r="D76" s="45"/>
      <c r="E76" s="44"/>
    </row>
    <row r="77" customFormat="false" ht="15" hidden="false" customHeight="false" outlineLevel="0" collapsed="false">
      <c r="A77" s="43"/>
      <c r="B77" s="44"/>
      <c r="C77" s="45"/>
      <c r="D77" s="45"/>
      <c r="E77" s="44"/>
    </row>
    <row r="78" customFormat="false" ht="15" hidden="false" customHeight="false" outlineLevel="0" collapsed="false">
      <c r="A78" s="43"/>
      <c r="B78" s="44"/>
      <c r="C78" s="45"/>
      <c r="D78" s="45"/>
      <c r="E78" s="44"/>
    </row>
    <row r="79" customFormat="false" ht="15" hidden="false" customHeight="false" outlineLevel="0" collapsed="false">
      <c r="A79" s="43"/>
      <c r="B79" s="44"/>
      <c r="C79" s="45"/>
      <c r="D79" s="45"/>
      <c r="E79" s="44"/>
    </row>
    <row r="80" customFormat="false" ht="15" hidden="false" customHeight="false" outlineLevel="0" collapsed="false">
      <c r="A80" s="43"/>
      <c r="B80" s="44"/>
      <c r="C80" s="45"/>
      <c r="D80" s="45"/>
      <c r="E80" s="44"/>
    </row>
    <row r="81" customFormat="false" ht="15" hidden="false" customHeight="false" outlineLevel="0" collapsed="false">
      <c r="A81" s="43"/>
      <c r="B81" s="44"/>
      <c r="C81" s="45"/>
      <c r="D81" s="45"/>
      <c r="E81" s="44"/>
    </row>
    <row r="82" customFormat="false" ht="15" hidden="false" customHeight="false" outlineLevel="0" collapsed="false">
      <c r="A82" s="43"/>
      <c r="B82" s="44"/>
      <c r="C82" s="45"/>
      <c r="D82" s="45"/>
      <c r="E82" s="44"/>
    </row>
    <row r="83" customFormat="false" ht="15" hidden="false" customHeight="false" outlineLevel="0" collapsed="false">
      <c r="A83" s="43"/>
      <c r="B83" s="44"/>
      <c r="C83" s="45"/>
      <c r="D83" s="45"/>
      <c r="E83" s="44"/>
    </row>
    <row r="84" customFormat="false" ht="15" hidden="false" customHeight="false" outlineLevel="0" collapsed="false">
      <c r="A84" s="43"/>
      <c r="B84" s="44"/>
      <c r="C84" s="45"/>
      <c r="D84" s="45"/>
      <c r="E84" s="44"/>
    </row>
    <row r="85" customFormat="false" ht="15" hidden="false" customHeight="false" outlineLevel="0" collapsed="false">
      <c r="A85" s="43"/>
      <c r="B85" s="44"/>
      <c r="C85" s="45"/>
      <c r="D85" s="45"/>
      <c r="E85" s="44"/>
    </row>
    <row r="86" customFormat="false" ht="15" hidden="false" customHeight="false" outlineLevel="0" collapsed="false">
      <c r="A86" s="43"/>
      <c r="B86" s="44"/>
      <c r="C86" s="45"/>
      <c r="D86" s="45"/>
      <c r="E86" s="44"/>
    </row>
    <row r="87" customFormat="false" ht="15" hidden="false" customHeight="false" outlineLevel="0" collapsed="false">
      <c r="A87" s="43"/>
      <c r="B87" s="44"/>
      <c r="C87" s="45"/>
      <c r="D87" s="45"/>
      <c r="E87" s="44"/>
    </row>
    <row r="88" customFormat="false" ht="15" hidden="false" customHeight="false" outlineLevel="0" collapsed="false">
      <c r="A88" s="43"/>
      <c r="B88" s="44"/>
      <c r="C88" s="45"/>
      <c r="D88" s="45"/>
      <c r="E88" s="44"/>
    </row>
    <row r="89" customFormat="false" ht="15" hidden="false" customHeight="false" outlineLevel="0" collapsed="false">
      <c r="A89" s="43"/>
      <c r="B89" s="44"/>
      <c r="C89" s="45"/>
      <c r="D89" s="45"/>
      <c r="E89" s="44"/>
    </row>
    <row r="90" customFormat="false" ht="15" hidden="false" customHeight="false" outlineLevel="0" collapsed="false">
      <c r="A90" s="43"/>
      <c r="B90" s="44"/>
      <c r="C90" s="45"/>
      <c r="D90" s="45"/>
      <c r="E90" s="44"/>
    </row>
    <row r="91" customFormat="false" ht="15" hidden="false" customHeight="false" outlineLevel="0" collapsed="false">
      <c r="A91" s="43"/>
      <c r="B91" s="44"/>
      <c r="C91" s="45"/>
      <c r="D91" s="45"/>
      <c r="E91" s="44"/>
    </row>
    <row r="92" customFormat="false" ht="15" hidden="false" customHeight="false" outlineLevel="0" collapsed="false">
      <c r="A92" s="43"/>
      <c r="B92" s="44"/>
      <c r="C92" s="45"/>
      <c r="D92" s="45"/>
      <c r="E92" s="44"/>
    </row>
    <row r="93" customFormat="false" ht="15" hidden="false" customHeight="false" outlineLevel="0" collapsed="false">
      <c r="A93" s="43"/>
      <c r="B93" s="44"/>
      <c r="C93" s="45"/>
      <c r="D93" s="45"/>
      <c r="E93" s="44"/>
    </row>
    <row r="94" customFormat="false" ht="15" hidden="false" customHeight="false" outlineLevel="0" collapsed="false">
      <c r="A94" s="43"/>
      <c r="B94" s="44"/>
      <c r="C94" s="45"/>
      <c r="D94" s="45"/>
      <c r="E94" s="44"/>
    </row>
    <row r="95" customFormat="false" ht="15" hidden="false" customHeight="false" outlineLevel="0" collapsed="false">
      <c r="A95" s="43"/>
      <c r="B95" s="44"/>
      <c r="C95" s="45"/>
      <c r="D95" s="45"/>
      <c r="E95" s="44"/>
    </row>
    <row r="96" customFormat="false" ht="15" hidden="false" customHeight="false" outlineLevel="0" collapsed="false">
      <c r="A96" s="43"/>
      <c r="B96" s="44"/>
      <c r="C96" s="45"/>
      <c r="D96" s="45"/>
      <c r="E96" s="44"/>
    </row>
    <row r="97" customFormat="false" ht="15" hidden="false" customHeight="false" outlineLevel="0" collapsed="false">
      <c r="A97" s="43"/>
      <c r="B97" s="44"/>
      <c r="C97" s="45"/>
      <c r="D97" s="45"/>
      <c r="E97" s="44"/>
    </row>
    <row r="98" customFormat="false" ht="15" hidden="false" customHeight="false" outlineLevel="0" collapsed="false">
      <c r="A98" s="43"/>
      <c r="B98" s="44"/>
      <c r="C98" s="45"/>
      <c r="D98" s="45"/>
      <c r="E98" s="44"/>
    </row>
    <row r="99" customFormat="false" ht="15" hidden="false" customHeight="false" outlineLevel="0" collapsed="false">
      <c r="A99" s="43"/>
      <c r="B99" s="44"/>
      <c r="C99" s="45"/>
      <c r="D99" s="45"/>
      <c r="E99" s="44"/>
    </row>
    <row r="100" customFormat="false" ht="15" hidden="false" customHeight="false" outlineLevel="0" collapsed="false">
      <c r="A100" s="43"/>
      <c r="B100" s="44"/>
      <c r="C100" s="45"/>
      <c r="D100" s="45"/>
      <c r="E100" s="44"/>
    </row>
    <row r="101" customFormat="false" ht="15" hidden="false" customHeight="false" outlineLevel="0" collapsed="false">
      <c r="A101" s="43"/>
      <c r="B101" s="44"/>
      <c r="C101" s="45"/>
      <c r="D101" s="45"/>
      <c r="E101" s="44"/>
    </row>
    <row r="102" customFormat="false" ht="15" hidden="false" customHeight="false" outlineLevel="0" collapsed="false">
      <c r="A102" s="43"/>
      <c r="B102" s="44"/>
      <c r="C102" s="45"/>
      <c r="D102" s="45"/>
      <c r="E102" s="44"/>
    </row>
    <row r="103" customFormat="false" ht="15" hidden="false" customHeight="false" outlineLevel="0" collapsed="false">
      <c r="A103" s="43"/>
      <c r="B103" s="44"/>
      <c r="C103" s="45"/>
      <c r="D103" s="45"/>
      <c r="E103" s="44"/>
    </row>
    <row r="104" customFormat="false" ht="15" hidden="false" customHeight="false" outlineLevel="0" collapsed="false">
      <c r="A104" s="43"/>
      <c r="B104" s="44"/>
      <c r="C104" s="45"/>
      <c r="D104" s="45"/>
      <c r="E104" s="44"/>
    </row>
    <row r="105" customFormat="false" ht="15" hidden="false" customHeight="false" outlineLevel="0" collapsed="false">
      <c r="A105" s="43"/>
      <c r="B105" s="44"/>
      <c r="C105" s="45"/>
      <c r="D105" s="45"/>
      <c r="E105" s="44"/>
    </row>
    <row r="106" customFormat="false" ht="15" hidden="false" customHeight="false" outlineLevel="0" collapsed="false">
      <c r="A106" s="43"/>
      <c r="B106" s="44"/>
      <c r="C106" s="45"/>
      <c r="D106" s="45"/>
      <c r="E106" s="44"/>
    </row>
    <row r="107" customFormat="false" ht="15" hidden="false" customHeight="false" outlineLevel="0" collapsed="false">
      <c r="A107" s="43"/>
      <c r="B107" s="44"/>
      <c r="C107" s="45"/>
      <c r="D107" s="45"/>
      <c r="E107" s="44"/>
    </row>
    <row r="108" customFormat="false" ht="15" hidden="false" customHeight="false" outlineLevel="0" collapsed="false">
      <c r="A108" s="43"/>
      <c r="B108" s="44"/>
      <c r="C108" s="45"/>
      <c r="D108" s="45"/>
      <c r="E108" s="44"/>
    </row>
    <row r="109" customFormat="false" ht="15" hidden="false" customHeight="false" outlineLevel="0" collapsed="false">
      <c r="A109" s="43"/>
      <c r="B109" s="44"/>
      <c r="C109" s="45"/>
      <c r="D109" s="45"/>
      <c r="E109" s="44"/>
    </row>
    <row r="110" customFormat="false" ht="15" hidden="false" customHeight="false" outlineLevel="0" collapsed="false">
      <c r="A110" s="43"/>
      <c r="B110" s="44"/>
      <c r="C110" s="45"/>
      <c r="D110" s="45"/>
      <c r="E110" s="44"/>
    </row>
    <row r="111" customFormat="false" ht="15" hidden="false" customHeight="false" outlineLevel="0" collapsed="false">
      <c r="A111" s="43"/>
      <c r="B111" s="44"/>
      <c r="C111" s="45"/>
      <c r="D111" s="45"/>
      <c r="E111" s="44"/>
    </row>
    <row r="112" customFormat="false" ht="15" hidden="false" customHeight="false" outlineLevel="0" collapsed="false">
      <c r="A112" s="43"/>
      <c r="B112" s="44"/>
      <c r="C112" s="45"/>
      <c r="D112" s="45"/>
      <c r="E112" s="44"/>
    </row>
    <row r="113" customFormat="false" ht="15" hidden="false" customHeight="false" outlineLevel="0" collapsed="false">
      <c r="A113" s="43"/>
      <c r="B113" s="44"/>
      <c r="C113" s="45"/>
      <c r="D113" s="45"/>
      <c r="E113" s="44"/>
    </row>
    <row r="114" customFormat="false" ht="15" hidden="false" customHeight="false" outlineLevel="0" collapsed="false">
      <c r="A114" s="43"/>
      <c r="B114" s="44"/>
      <c r="C114" s="45"/>
      <c r="D114" s="45"/>
      <c r="E114" s="44"/>
    </row>
    <row r="115" customFormat="false" ht="15" hidden="false" customHeight="false" outlineLevel="0" collapsed="false">
      <c r="A115" s="43"/>
      <c r="B115" s="44"/>
      <c r="C115" s="45"/>
      <c r="D115" s="45"/>
      <c r="E115" s="44"/>
    </row>
    <row r="116" customFormat="false" ht="15" hidden="false" customHeight="false" outlineLevel="0" collapsed="false">
      <c r="A116" s="43"/>
      <c r="B116" s="44"/>
      <c r="C116" s="45"/>
      <c r="D116" s="45"/>
      <c r="E116" s="44"/>
    </row>
    <row r="117" customFormat="false" ht="15" hidden="false" customHeight="false" outlineLevel="0" collapsed="false">
      <c r="A117" s="43"/>
      <c r="B117" s="44"/>
      <c r="C117" s="45"/>
      <c r="D117" s="45"/>
      <c r="E117" s="44"/>
    </row>
    <row r="118" customFormat="false" ht="15" hidden="false" customHeight="false" outlineLevel="0" collapsed="false">
      <c r="A118" s="43"/>
      <c r="B118" s="44"/>
      <c r="C118" s="45"/>
      <c r="D118" s="45"/>
      <c r="E118" s="44"/>
    </row>
    <row r="119" customFormat="false" ht="15" hidden="false" customHeight="false" outlineLevel="0" collapsed="false">
      <c r="A119" s="43"/>
      <c r="B119" s="44"/>
      <c r="C119" s="45"/>
      <c r="D119" s="45"/>
      <c r="E119" s="44"/>
    </row>
    <row r="120" customFormat="false" ht="15" hidden="false" customHeight="false" outlineLevel="0" collapsed="false">
      <c r="A120" s="43"/>
      <c r="B120" s="44"/>
      <c r="C120" s="45"/>
      <c r="D120" s="45"/>
      <c r="E120" s="44"/>
    </row>
    <row r="121" customFormat="false" ht="15" hidden="false" customHeight="false" outlineLevel="0" collapsed="false">
      <c r="A121" s="43"/>
      <c r="B121" s="44"/>
      <c r="C121" s="45"/>
      <c r="D121" s="45"/>
      <c r="E121" s="44"/>
    </row>
    <row r="122" customFormat="false" ht="15" hidden="false" customHeight="false" outlineLevel="0" collapsed="false">
      <c r="A122" s="43"/>
      <c r="B122" s="44"/>
      <c r="C122" s="45"/>
      <c r="D122" s="45"/>
      <c r="E122" s="44"/>
    </row>
    <row r="123" customFormat="false" ht="15" hidden="false" customHeight="false" outlineLevel="0" collapsed="false">
      <c r="A123" s="43"/>
      <c r="B123" s="44"/>
      <c r="C123" s="45"/>
      <c r="D123" s="45"/>
      <c r="E123" s="44"/>
    </row>
    <row r="124" customFormat="false" ht="15" hidden="false" customHeight="false" outlineLevel="0" collapsed="false">
      <c r="A124" s="43"/>
      <c r="B124" s="44"/>
      <c r="C124" s="45"/>
      <c r="D124" s="45"/>
      <c r="E124" s="44"/>
    </row>
    <row r="125" customFormat="false" ht="15" hidden="false" customHeight="false" outlineLevel="0" collapsed="false">
      <c r="A125" s="43"/>
      <c r="B125" s="44"/>
      <c r="C125" s="45"/>
      <c r="D125" s="45"/>
      <c r="E125" s="44"/>
    </row>
    <row r="126" customFormat="false" ht="15" hidden="false" customHeight="false" outlineLevel="0" collapsed="false">
      <c r="A126" s="43"/>
      <c r="B126" s="44"/>
      <c r="C126" s="45"/>
      <c r="D126" s="45"/>
      <c r="E126" s="44"/>
    </row>
    <row r="127" customFormat="false" ht="15" hidden="false" customHeight="false" outlineLevel="0" collapsed="false">
      <c r="A127" s="43"/>
      <c r="B127" s="44"/>
      <c r="C127" s="45"/>
      <c r="D127" s="45"/>
      <c r="E127" s="44"/>
    </row>
    <row r="128" customFormat="false" ht="15" hidden="false" customHeight="false" outlineLevel="0" collapsed="false">
      <c r="A128" s="43"/>
      <c r="B128" s="44"/>
      <c r="C128" s="45"/>
      <c r="D128" s="45"/>
      <c r="E128" s="44"/>
    </row>
    <row r="129" customFormat="false" ht="15" hidden="false" customHeight="false" outlineLevel="0" collapsed="false">
      <c r="A129" s="43"/>
      <c r="B129" s="44"/>
      <c r="C129" s="45"/>
      <c r="D129" s="45"/>
      <c r="E129" s="44"/>
    </row>
    <row r="130" customFormat="false" ht="15" hidden="false" customHeight="false" outlineLevel="0" collapsed="false">
      <c r="A130" s="43"/>
      <c r="B130" s="44"/>
      <c r="C130" s="45"/>
      <c r="D130" s="45"/>
      <c r="E130" s="44"/>
    </row>
    <row r="131" customFormat="false" ht="15" hidden="false" customHeight="false" outlineLevel="0" collapsed="false">
      <c r="A131" s="43"/>
      <c r="B131" s="44"/>
      <c r="C131" s="45"/>
      <c r="D131" s="45"/>
      <c r="E131" s="44"/>
    </row>
    <row r="132" customFormat="false" ht="15" hidden="false" customHeight="false" outlineLevel="0" collapsed="false">
      <c r="A132" s="43"/>
      <c r="B132" s="44"/>
      <c r="C132" s="45"/>
      <c r="D132" s="45"/>
      <c r="E132" s="44"/>
    </row>
    <row r="133" customFormat="false" ht="15" hidden="false" customHeight="false" outlineLevel="0" collapsed="false">
      <c r="A133" s="43"/>
      <c r="B133" s="44"/>
      <c r="C133" s="45"/>
      <c r="D133" s="45"/>
      <c r="E133" s="44"/>
    </row>
    <row r="134" customFormat="false" ht="15" hidden="false" customHeight="false" outlineLevel="0" collapsed="false">
      <c r="A134" s="43"/>
      <c r="B134" s="44"/>
      <c r="C134" s="45"/>
      <c r="D134" s="45"/>
      <c r="E134" s="44"/>
    </row>
    <row r="135" customFormat="false" ht="15" hidden="false" customHeight="false" outlineLevel="0" collapsed="false">
      <c r="A135" s="43"/>
      <c r="B135" s="44"/>
      <c r="C135" s="45"/>
      <c r="D135" s="45"/>
      <c r="E135" s="44"/>
    </row>
    <row r="136" customFormat="false" ht="15" hidden="false" customHeight="false" outlineLevel="0" collapsed="false">
      <c r="A136" s="43"/>
      <c r="B136" s="44"/>
      <c r="C136" s="45"/>
      <c r="D136" s="45"/>
      <c r="E136" s="44"/>
    </row>
    <row r="137" customFormat="false" ht="15" hidden="false" customHeight="false" outlineLevel="0" collapsed="false">
      <c r="A137" s="43"/>
      <c r="B137" s="44"/>
      <c r="C137" s="45"/>
      <c r="D137" s="45"/>
      <c r="E137" s="44"/>
    </row>
    <row r="138" customFormat="false" ht="15" hidden="false" customHeight="false" outlineLevel="0" collapsed="false">
      <c r="A138" s="43"/>
      <c r="B138" s="44"/>
      <c r="C138" s="45"/>
      <c r="D138" s="45"/>
      <c r="E138" s="44"/>
    </row>
    <row r="139" customFormat="false" ht="15" hidden="false" customHeight="false" outlineLevel="0" collapsed="false">
      <c r="A139" s="43"/>
      <c r="B139" s="44"/>
      <c r="C139" s="45"/>
      <c r="D139" s="45"/>
      <c r="E139" s="44"/>
    </row>
    <row r="140" customFormat="false" ht="15" hidden="false" customHeight="false" outlineLevel="0" collapsed="false">
      <c r="A140" s="43"/>
      <c r="B140" s="44"/>
      <c r="C140" s="45"/>
      <c r="D140" s="45"/>
      <c r="E140" s="44"/>
    </row>
    <row r="141" customFormat="false" ht="15" hidden="false" customHeight="false" outlineLevel="0" collapsed="false">
      <c r="A141" s="43"/>
      <c r="B141" s="44"/>
      <c r="C141" s="45"/>
      <c r="D141" s="45"/>
      <c r="E141" s="44"/>
    </row>
    <row r="142" customFormat="false" ht="15" hidden="false" customHeight="false" outlineLevel="0" collapsed="false">
      <c r="A142" s="43"/>
      <c r="B142" s="44"/>
      <c r="C142" s="45"/>
      <c r="D142" s="45"/>
      <c r="E142" s="44"/>
    </row>
    <row r="143" customFormat="false" ht="15" hidden="false" customHeight="false" outlineLevel="0" collapsed="false">
      <c r="A143" s="43"/>
      <c r="B143" s="44"/>
      <c r="C143" s="45"/>
      <c r="D143" s="45"/>
      <c r="E143" s="44"/>
    </row>
    <row r="144" customFormat="false" ht="15" hidden="false" customHeight="false" outlineLevel="0" collapsed="false">
      <c r="A144" s="43"/>
      <c r="B144" s="44"/>
      <c r="C144" s="45"/>
      <c r="D144" s="45"/>
      <c r="E144" s="44"/>
    </row>
    <row r="145" customFormat="false" ht="15" hidden="false" customHeight="false" outlineLevel="0" collapsed="false">
      <c r="A145" s="43"/>
      <c r="B145" s="44"/>
      <c r="C145" s="45"/>
      <c r="D145" s="45"/>
      <c r="E145" s="44"/>
    </row>
    <row r="146" customFormat="false" ht="15" hidden="false" customHeight="false" outlineLevel="0" collapsed="false">
      <c r="A146" s="43"/>
      <c r="B146" s="44"/>
      <c r="C146" s="45"/>
      <c r="D146" s="45"/>
      <c r="E146" s="44"/>
    </row>
    <row r="147" customFormat="false" ht="15" hidden="false" customHeight="false" outlineLevel="0" collapsed="false">
      <c r="A147" s="43"/>
      <c r="B147" s="44"/>
      <c r="C147" s="45"/>
      <c r="D147" s="45"/>
      <c r="E147" s="44"/>
    </row>
    <row r="148" customFormat="false" ht="15" hidden="false" customHeight="false" outlineLevel="0" collapsed="false">
      <c r="A148" s="43"/>
      <c r="B148" s="44"/>
      <c r="C148" s="45"/>
      <c r="D148" s="45"/>
      <c r="E148" s="44"/>
    </row>
    <row r="149" customFormat="false" ht="15" hidden="false" customHeight="false" outlineLevel="0" collapsed="false">
      <c r="A149" s="43"/>
      <c r="B149" s="44"/>
      <c r="C149" s="45"/>
      <c r="D149" s="45"/>
      <c r="E149" s="44"/>
    </row>
    <row r="150" customFormat="false" ht="15" hidden="false" customHeight="false" outlineLevel="0" collapsed="false">
      <c r="A150" s="43"/>
      <c r="B150" s="44"/>
      <c r="C150" s="45"/>
      <c r="D150" s="45"/>
      <c r="E150" s="44"/>
    </row>
    <row r="151" customFormat="false" ht="15" hidden="false" customHeight="false" outlineLevel="0" collapsed="false">
      <c r="A151" s="43"/>
      <c r="B151" s="44"/>
      <c r="C151" s="45"/>
      <c r="D151" s="45"/>
      <c r="E151" s="44"/>
    </row>
    <row r="152" customFormat="false" ht="15" hidden="false" customHeight="false" outlineLevel="0" collapsed="false">
      <c r="A152" s="43"/>
      <c r="B152" s="44"/>
      <c r="C152" s="45"/>
      <c r="D152" s="45"/>
      <c r="E152" s="44"/>
    </row>
    <row r="153" customFormat="false" ht="15" hidden="false" customHeight="false" outlineLevel="0" collapsed="false">
      <c r="A153" s="43"/>
      <c r="B153" s="44"/>
      <c r="C153" s="45"/>
      <c r="D153" s="45"/>
      <c r="E153" s="44"/>
    </row>
    <row r="154" customFormat="false" ht="15" hidden="false" customHeight="false" outlineLevel="0" collapsed="false">
      <c r="A154" s="43"/>
      <c r="B154" s="44"/>
      <c r="C154" s="45"/>
      <c r="D154" s="45"/>
      <c r="E154" s="44"/>
    </row>
    <row r="155" customFormat="false" ht="15" hidden="false" customHeight="false" outlineLevel="0" collapsed="false">
      <c r="A155" s="43"/>
      <c r="B155" s="44"/>
      <c r="C155" s="45"/>
      <c r="D155" s="45"/>
      <c r="E155" s="44"/>
    </row>
    <row r="156" customFormat="false" ht="15" hidden="false" customHeight="false" outlineLevel="0" collapsed="false">
      <c r="A156" s="43"/>
      <c r="B156" s="44"/>
      <c r="C156" s="45"/>
      <c r="D156" s="45"/>
      <c r="E156" s="44"/>
    </row>
    <row r="157" customFormat="false" ht="15" hidden="false" customHeight="false" outlineLevel="0" collapsed="false">
      <c r="A157" s="43"/>
      <c r="B157" s="44"/>
      <c r="C157" s="45"/>
      <c r="D157" s="45"/>
      <c r="E157" s="44"/>
    </row>
    <row r="158" customFormat="false" ht="15" hidden="false" customHeight="false" outlineLevel="0" collapsed="false">
      <c r="A158" s="43"/>
      <c r="B158" s="44"/>
      <c r="C158" s="45"/>
      <c r="D158" s="45"/>
      <c r="E158" s="44"/>
    </row>
    <row r="159" customFormat="false" ht="15" hidden="false" customHeight="false" outlineLevel="0" collapsed="false">
      <c r="A159" s="43"/>
      <c r="B159" s="44"/>
      <c r="C159" s="45"/>
      <c r="D159" s="45"/>
      <c r="E159" s="44"/>
    </row>
    <row r="160" customFormat="false" ht="15" hidden="false" customHeight="false" outlineLevel="0" collapsed="false">
      <c r="A160" s="43"/>
      <c r="B160" s="44"/>
      <c r="C160" s="45"/>
      <c r="D160" s="45"/>
      <c r="E160" s="44"/>
    </row>
    <row r="161" customFormat="false" ht="15" hidden="false" customHeight="false" outlineLevel="0" collapsed="false">
      <c r="A161" s="43"/>
      <c r="B161" s="44"/>
      <c r="C161" s="45"/>
      <c r="D161" s="45"/>
      <c r="E161" s="44"/>
    </row>
    <row r="162" customFormat="false" ht="15" hidden="false" customHeight="false" outlineLevel="0" collapsed="false">
      <c r="A162" s="43"/>
      <c r="B162" s="44"/>
      <c r="C162" s="45"/>
      <c r="D162" s="45"/>
      <c r="E162" s="44"/>
    </row>
    <row r="163" customFormat="false" ht="15" hidden="false" customHeight="false" outlineLevel="0" collapsed="false">
      <c r="A163" s="43"/>
      <c r="B163" s="44"/>
      <c r="C163" s="45"/>
      <c r="D163" s="45"/>
      <c r="E163" s="44"/>
    </row>
    <row r="164" customFormat="false" ht="15" hidden="false" customHeight="false" outlineLevel="0" collapsed="false">
      <c r="A164" s="43"/>
      <c r="B164" s="44"/>
      <c r="C164" s="45"/>
      <c r="D164" s="45"/>
      <c r="E164" s="44"/>
    </row>
    <row r="165" customFormat="false" ht="15" hidden="false" customHeight="false" outlineLevel="0" collapsed="false">
      <c r="A165" s="43"/>
      <c r="B165" s="44"/>
      <c r="C165" s="45"/>
      <c r="D165" s="45"/>
      <c r="E165" s="44"/>
    </row>
    <row r="166" customFormat="false" ht="15" hidden="false" customHeight="false" outlineLevel="0" collapsed="false">
      <c r="A166" s="43"/>
      <c r="B166" s="44"/>
      <c r="C166" s="45"/>
      <c r="D166" s="45"/>
      <c r="E166" s="44"/>
    </row>
    <row r="167" customFormat="false" ht="15" hidden="false" customHeight="false" outlineLevel="0" collapsed="false">
      <c r="A167" s="43"/>
      <c r="B167" s="44"/>
      <c r="C167" s="45"/>
      <c r="D167" s="45"/>
      <c r="E167" s="44"/>
    </row>
    <row r="168" customFormat="false" ht="15" hidden="false" customHeight="false" outlineLevel="0" collapsed="false">
      <c r="A168" s="43"/>
      <c r="B168" s="44"/>
      <c r="C168" s="45"/>
      <c r="D168" s="45"/>
      <c r="E168" s="44"/>
    </row>
    <row r="169" customFormat="false" ht="15" hidden="false" customHeight="false" outlineLevel="0" collapsed="false">
      <c r="A169" s="43"/>
      <c r="B169" s="44"/>
      <c r="C169" s="45"/>
      <c r="D169" s="45"/>
      <c r="E169" s="44"/>
    </row>
    <row r="170" customFormat="false" ht="15" hidden="false" customHeight="false" outlineLevel="0" collapsed="false">
      <c r="A170" s="43"/>
      <c r="B170" s="44"/>
      <c r="C170" s="45"/>
      <c r="D170" s="45"/>
      <c r="E170" s="44"/>
    </row>
    <row r="171" customFormat="false" ht="15" hidden="false" customHeight="false" outlineLevel="0" collapsed="false">
      <c r="A171" s="43"/>
      <c r="B171" s="44"/>
      <c r="C171" s="45"/>
      <c r="D171" s="45"/>
      <c r="E171" s="44"/>
    </row>
    <row r="172" customFormat="false" ht="15" hidden="false" customHeight="false" outlineLevel="0" collapsed="false">
      <c r="A172" s="43"/>
      <c r="B172" s="44"/>
      <c r="C172" s="45"/>
      <c r="D172" s="45"/>
      <c r="E172" s="44"/>
    </row>
    <row r="173" customFormat="false" ht="15" hidden="false" customHeight="false" outlineLevel="0" collapsed="false">
      <c r="A173" s="43"/>
      <c r="B173" s="44"/>
      <c r="C173" s="45"/>
      <c r="D173" s="45"/>
      <c r="E173" s="44"/>
    </row>
    <row r="174" customFormat="false" ht="15" hidden="false" customHeight="false" outlineLevel="0" collapsed="false">
      <c r="A174" s="43"/>
      <c r="B174" s="44"/>
      <c r="C174" s="45"/>
      <c r="D174" s="45"/>
      <c r="E174" s="44"/>
    </row>
    <row r="175" customFormat="false" ht="15" hidden="false" customHeight="false" outlineLevel="0" collapsed="false">
      <c r="A175" s="43"/>
      <c r="B175" s="44"/>
      <c r="C175" s="45"/>
      <c r="D175" s="45"/>
      <c r="E175" s="44"/>
    </row>
    <row r="176" customFormat="false" ht="15" hidden="false" customHeight="false" outlineLevel="0" collapsed="false">
      <c r="A176" s="43"/>
      <c r="B176" s="44"/>
      <c r="C176" s="45"/>
      <c r="D176" s="45"/>
      <c r="E176" s="44"/>
    </row>
    <row r="177" customFormat="false" ht="15" hidden="false" customHeight="false" outlineLevel="0" collapsed="false">
      <c r="A177" s="43"/>
      <c r="B177" s="44"/>
      <c r="C177" s="45"/>
      <c r="D177" s="45"/>
      <c r="E177" s="44"/>
    </row>
    <row r="178" customFormat="false" ht="15" hidden="false" customHeight="false" outlineLevel="0" collapsed="false">
      <c r="A178" s="43"/>
      <c r="B178" s="44"/>
      <c r="C178" s="45"/>
      <c r="D178" s="45"/>
      <c r="E178" s="44"/>
    </row>
    <row r="179" customFormat="false" ht="15" hidden="false" customHeight="false" outlineLevel="0" collapsed="false">
      <c r="A179" s="43"/>
      <c r="B179" s="44"/>
      <c r="C179" s="45"/>
      <c r="D179" s="45"/>
      <c r="E179" s="44"/>
    </row>
    <row r="180" customFormat="false" ht="15" hidden="false" customHeight="false" outlineLevel="0" collapsed="false">
      <c r="A180" s="43"/>
      <c r="B180" s="44"/>
      <c r="C180" s="45"/>
      <c r="D180" s="45"/>
      <c r="E180" s="44"/>
    </row>
    <row r="181" customFormat="false" ht="15" hidden="false" customHeight="false" outlineLevel="0" collapsed="false">
      <c r="A181" s="43"/>
      <c r="B181" s="44"/>
      <c r="C181" s="45"/>
      <c r="D181" s="45"/>
      <c r="E181" s="44"/>
    </row>
    <row r="182" customFormat="false" ht="15" hidden="false" customHeight="false" outlineLevel="0" collapsed="false">
      <c r="A182" s="43"/>
      <c r="B182" s="44"/>
      <c r="C182" s="45"/>
      <c r="D182" s="45"/>
      <c r="E182" s="44"/>
    </row>
    <row r="183" customFormat="false" ht="15" hidden="false" customHeight="false" outlineLevel="0" collapsed="false">
      <c r="A183" s="43"/>
      <c r="B183" s="44"/>
      <c r="C183" s="45"/>
      <c r="D183" s="45"/>
      <c r="E183" s="44"/>
    </row>
    <row r="184" customFormat="false" ht="15" hidden="false" customHeight="false" outlineLevel="0" collapsed="false">
      <c r="A184" s="43"/>
      <c r="B184" s="44"/>
      <c r="C184" s="45"/>
      <c r="D184" s="45"/>
      <c r="E184" s="44"/>
    </row>
    <row r="185" customFormat="false" ht="15" hidden="false" customHeight="false" outlineLevel="0" collapsed="false">
      <c r="A185" s="43"/>
      <c r="B185" s="44"/>
      <c r="C185" s="45"/>
      <c r="D185" s="45"/>
      <c r="E185" s="44"/>
    </row>
    <row r="186" customFormat="false" ht="15" hidden="false" customHeight="false" outlineLevel="0" collapsed="false">
      <c r="A186" s="43"/>
      <c r="B186" s="44"/>
      <c r="C186" s="45"/>
      <c r="D186" s="45"/>
      <c r="E186" s="44"/>
    </row>
    <row r="187" customFormat="false" ht="15" hidden="false" customHeight="false" outlineLevel="0" collapsed="false">
      <c r="A187" s="43"/>
      <c r="B187" s="44"/>
      <c r="C187" s="45"/>
      <c r="D187" s="45"/>
      <c r="E187" s="44"/>
    </row>
    <row r="188" customFormat="false" ht="15" hidden="false" customHeight="false" outlineLevel="0" collapsed="false">
      <c r="A188" s="43"/>
      <c r="B188" s="44"/>
      <c r="C188" s="45"/>
      <c r="D188" s="45"/>
      <c r="E188" s="44"/>
    </row>
    <row r="189" customFormat="false" ht="15" hidden="false" customHeight="false" outlineLevel="0" collapsed="false">
      <c r="A189" s="43"/>
      <c r="B189" s="44"/>
      <c r="C189" s="45"/>
      <c r="D189" s="45"/>
      <c r="E189" s="44"/>
    </row>
    <row r="190" customFormat="false" ht="15" hidden="false" customHeight="false" outlineLevel="0" collapsed="false">
      <c r="A190" s="43"/>
      <c r="B190" s="44"/>
      <c r="C190" s="45"/>
      <c r="D190" s="45"/>
      <c r="E190" s="44"/>
    </row>
    <row r="191" customFormat="false" ht="15" hidden="false" customHeight="false" outlineLevel="0" collapsed="false">
      <c r="A191" s="43"/>
      <c r="B191" s="44"/>
      <c r="C191" s="45"/>
      <c r="D191" s="45"/>
      <c r="E191" s="44"/>
    </row>
    <row r="192" customFormat="false" ht="15" hidden="false" customHeight="false" outlineLevel="0" collapsed="false">
      <c r="A192" s="43"/>
      <c r="B192" s="44"/>
      <c r="C192" s="45"/>
      <c r="D192" s="45"/>
      <c r="E192" s="44"/>
    </row>
    <row r="193" customFormat="false" ht="15" hidden="false" customHeight="false" outlineLevel="0" collapsed="false">
      <c r="A193" s="43"/>
      <c r="B193" s="44"/>
      <c r="C193" s="45"/>
      <c r="D193" s="45"/>
      <c r="E193" s="44"/>
    </row>
    <row r="194" customFormat="false" ht="15" hidden="false" customHeight="false" outlineLevel="0" collapsed="false">
      <c r="A194" s="43"/>
      <c r="B194" s="44"/>
      <c r="C194" s="45"/>
      <c r="D194" s="45"/>
      <c r="E194" s="44"/>
    </row>
    <row r="195" customFormat="false" ht="15" hidden="false" customHeight="false" outlineLevel="0" collapsed="false">
      <c r="A195" s="43"/>
      <c r="B195" s="44"/>
      <c r="C195" s="45"/>
      <c r="D195" s="45"/>
      <c r="E195" s="44"/>
    </row>
    <row r="196" customFormat="false" ht="15" hidden="false" customHeight="false" outlineLevel="0" collapsed="false">
      <c r="A196" s="43"/>
      <c r="B196" s="44"/>
      <c r="C196" s="45"/>
      <c r="D196" s="45"/>
      <c r="E196" s="44"/>
    </row>
    <row r="197" customFormat="false" ht="15" hidden="false" customHeight="false" outlineLevel="0" collapsed="false">
      <c r="A197" s="43"/>
      <c r="B197" s="44"/>
      <c r="C197" s="45"/>
      <c r="D197" s="45"/>
      <c r="E197" s="44"/>
    </row>
    <row r="198" customFormat="false" ht="15" hidden="false" customHeight="false" outlineLevel="0" collapsed="false">
      <c r="A198" s="43"/>
      <c r="B198" s="44"/>
      <c r="C198" s="45"/>
      <c r="D198" s="45"/>
      <c r="E198" s="44"/>
    </row>
    <row r="199" customFormat="false" ht="15" hidden="false" customHeight="false" outlineLevel="0" collapsed="false">
      <c r="A199" s="43"/>
      <c r="B199" s="44"/>
      <c r="C199" s="45"/>
      <c r="D199" s="45"/>
      <c r="E199" s="44"/>
    </row>
    <row r="200" customFormat="false" ht="15" hidden="false" customHeight="false" outlineLevel="0" collapsed="false">
      <c r="A200" s="43"/>
      <c r="B200" s="44"/>
      <c r="C200" s="45"/>
      <c r="D200" s="45"/>
      <c r="E200" s="44"/>
    </row>
    <row r="201" customFormat="false" ht="15" hidden="false" customHeight="false" outlineLevel="0" collapsed="false">
      <c r="A201" s="43"/>
      <c r="B201" s="44"/>
      <c r="C201" s="45"/>
      <c r="D201" s="45"/>
      <c r="E201" s="44"/>
    </row>
    <row r="202" customFormat="false" ht="15" hidden="false" customHeight="false" outlineLevel="0" collapsed="false">
      <c r="A202" s="43"/>
      <c r="B202" s="44"/>
      <c r="C202" s="45"/>
      <c r="D202" s="45"/>
      <c r="E202" s="44"/>
    </row>
    <row r="203" customFormat="false" ht="15" hidden="false" customHeight="false" outlineLevel="0" collapsed="false">
      <c r="A203" s="43"/>
      <c r="B203" s="44"/>
      <c r="C203" s="45"/>
      <c r="D203" s="45"/>
      <c r="E203" s="44"/>
    </row>
    <row r="204" customFormat="false" ht="15" hidden="false" customHeight="false" outlineLevel="0" collapsed="false">
      <c r="A204" s="43"/>
      <c r="B204" s="44"/>
      <c r="C204" s="45"/>
      <c r="D204" s="45"/>
      <c r="E204" s="44"/>
    </row>
    <row r="205" customFormat="false" ht="15" hidden="false" customHeight="false" outlineLevel="0" collapsed="false">
      <c r="A205" s="43"/>
      <c r="B205" s="44"/>
      <c r="C205" s="45"/>
      <c r="D205" s="45"/>
      <c r="E205" s="44"/>
    </row>
    <row r="206" customFormat="false" ht="15" hidden="false" customHeight="false" outlineLevel="0" collapsed="false">
      <c r="A206" s="43"/>
      <c r="B206" s="44"/>
      <c r="C206" s="45"/>
      <c r="D206" s="45"/>
      <c r="E206" s="44"/>
    </row>
    <row r="207" customFormat="false" ht="15" hidden="false" customHeight="false" outlineLevel="0" collapsed="false">
      <c r="A207" s="43"/>
      <c r="B207" s="44"/>
      <c r="C207" s="45"/>
      <c r="D207" s="45"/>
      <c r="E207" s="44"/>
    </row>
    <row r="208" customFormat="false" ht="15" hidden="false" customHeight="false" outlineLevel="0" collapsed="false">
      <c r="A208" s="43"/>
      <c r="B208" s="44"/>
      <c r="C208" s="45"/>
      <c r="D208" s="45"/>
      <c r="E208" s="44"/>
    </row>
    <row r="209" customFormat="false" ht="15" hidden="false" customHeight="false" outlineLevel="0" collapsed="false">
      <c r="A209" s="43"/>
      <c r="B209" s="44"/>
      <c r="C209" s="45"/>
      <c r="D209" s="45"/>
      <c r="E209" s="44"/>
    </row>
    <row r="210" customFormat="false" ht="15" hidden="false" customHeight="false" outlineLevel="0" collapsed="false">
      <c r="A210" s="43"/>
      <c r="B210" s="44"/>
      <c r="C210" s="45"/>
      <c r="D210" s="45"/>
      <c r="E210" s="44"/>
    </row>
    <row r="211" customFormat="false" ht="15" hidden="false" customHeight="false" outlineLevel="0" collapsed="false">
      <c r="A211" s="43"/>
      <c r="B211" s="44"/>
      <c r="C211" s="45"/>
      <c r="D211" s="45"/>
      <c r="E211" s="44"/>
    </row>
    <row r="212" customFormat="false" ht="15" hidden="false" customHeight="false" outlineLevel="0" collapsed="false">
      <c r="A212" s="43"/>
      <c r="B212" s="44"/>
      <c r="C212" s="45"/>
      <c r="D212" s="45"/>
      <c r="E212" s="44"/>
    </row>
    <row r="213" customFormat="false" ht="15" hidden="false" customHeight="false" outlineLevel="0" collapsed="false">
      <c r="A213" s="43"/>
      <c r="B213" s="44"/>
      <c r="C213" s="45"/>
      <c r="D213" s="45"/>
      <c r="E213" s="44"/>
    </row>
    <row r="214" customFormat="false" ht="15" hidden="false" customHeight="false" outlineLevel="0" collapsed="false">
      <c r="A214" s="43"/>
      <c r="B214" s="44"/>
      <c r="C214" s="45"/>
      <c r="D214" s="45"/>
      <c r="E214" s="44"/>
    </row>
    <row r="215" customFormat="false" ht="15" hidden="false" customHeight="false" outlineLevel="0" collapsed="false">
      <c r="A215" s="43"/>
      <c r="B215" s="44"/>
      <c r="C215" s="45"/>
      <c r="D215" s="45"/>
      <c r="E215" s="44"/>
    </row>
    <row r="216" customFormat="false" ht="15" hidden="false" customHeight="false" outlineLevel="0" collapsed="false">
      <c r="A216" s="43"/>
      <c r="B216" s="44"/>
      <c r="C216" s="45"/>
      <c r="D216" s="45"/>
      <c r="E216" s="44"/>
    </row>
    <row r="217" customFormat="false" ht="15" hidden="false" customHeight="false" outlineLevel="0" collapsed="false">
      <c r="A217" s="43"/>
      <c r="B217" s="44"/>
      <c r="C217" s="45"/>
      <c r="D217" s="45"/>
      <c r="E217" s="44"/>
    </row>
    <row r="218" customFormat="false" ht="15" hidden="false" customHeight="false" outlineLevel="0" collapsed="false">
      <c r="A218" s="43"/>
      <c r="B218" s="44"/>
      <c r="C218" s="45"/>
      <c r="D218" s="45"/>
      <c r="E218" s="44"/>
    </row>
    <row r="219" customFormat="false" ht="15" hidden="false" customHeight="false" outlineLevel="0" collapsed="false">
      <c r="A219" s="43"/>
      <c r="B219" s="44"/>
      <c r="C219" s="45"/>
      <c r="D219" s="45"/>
      <c r="E219" s="44"/>
    </row>
    <row r="220" customFormat="false" ht="15" hidden="false" customHeight="false" outlineLevel="0" collapsed="false">
      <c r="A220" s="43"/>
      <c r="B220" s="44"/>
      <c r="C220" s="45"/>
      <c r="D220" s="45"/>
      <c r="E220" s="44"/>
    </row>
    <row r="221" customFormat="false" ht="15" hidden="false" customHeight="false" outlineLevel="0" collapsed="false">
      <c r="A221" s="43"/>
      <c r="B221" s="44"/>
      <c r="C221" s="45"/>
      <c r="D221" s="45"/>
      <c r="E221" s="44"/>
    </row>
    <row r="222" customFormat="false" ht="15" hidden="false" customHeight="false" outlineLevel="0" collapsed="false">
      <c r="A222" s="43"/>
      <c r="B222" s="44"/>
      <c r="C222" s="45"/>
      <c r="D222" s="45"/>
      <c r="E222" s="44"/>
    </row>
    <row r="223" customFormat="false" ht="15" hidden="false" customHeight="false" outlineLevel="0" collapsed="false">
      <c r="A223" s="43"/>
      <c r="B223" s="44"/>
      <c r="C223" s="45"/>
      <c r="D223" s="45"/>
      <c r="E223" s="44"/>
    </row>
    <row r="224" customFormat="false" ht="15" hidden="false" customHeight="false" outlineLevel="0" collapsed="false">
      <c r="A224" s="43"/>
      <c r="B224" s="44"/>
      <c r="C224" s="45"/>
      <c r="D224" s="45"/>
      <c r="E224" s="44"/>
    </row>
    <row r="225" customFormat="false" ht="15" hidden="false" customHeight="false" outlineLevel="0" collapsed="false">
      <c r="A225" s="43"/>
      <c r="B225" s="44"/>
      <c r="C225" s="45"/>
      <c r="D225" s="45"/>
      <c r="E225" s="44"/>
    </row>
    <row r="226" customFormat="false" ht="15" hidden="false" customHeight="false" outlineLevel="0" collapsed="false">
      <c r="A226" s="43"/>
      <c r="B226" s="44"/>
      <c r="C226" s="45"/>
      <c r="D226" s="45"/>
      <c r="E226" s="44"/>
    </row>
    <row r="227" customFormat="false" ht="15" hidden="false" customHeight="false" outlineLevel="0" collapsed="false">
      <c r="A227" s="43"/>
      <c r="B227" s="44"/>
      <c r="C227" s="45"/>
      <c r="D227" s="45"/>
      <c r="E227" s="44"/>
    </row>
    <row r="228" customFormat="false" ht="15" hidden="false" customHeight="false" outlineLevel="0" collapsed="false">
      <c r="A228" s="43"/>
      <c r="B228" s="44"/>
      <c r="C228" s="45"/>
      <c r="D228" s="45"/>
      <c r="E228" s="44"/>
    </row>
    <row r="229" customFormat="false" ht="15" hidden="false" customHeight="false" outlineLevel="0" collapsed="false">
      <c r="A229" s="43"/>
      <c r="B229" s="44"/>
      <c r="C229" s="45"/>
      <c r="D229" s="45"/>
      <c r="E229" s="44"/>
    </row>
    <row r="230" customFormat="false" ht="15" hidden="false" customHeight="false" outlineLevel="0" collapsed="false">
      <c r="A230" s="43"/>
      <c r="B230" s="44"/>
      <c r="C230" s="45"/>
      <c r="D230" s="45"/>
      <c r="E230" s="44"/>
    </row>
    <row r="231" customFormat="false" ht="15" hidden="false" customHeight="false" outlineLevel="0" collapsed="false">
      <c r="A231" s="43"/>
      <c r="B231" s="44"/>
      <c r="C231" s="45"/>
      <c r="D231" s="45"/>
      <c r="E231" s="44"/>
    </row>
    <row r="232" customFormat="false" ht="15" hidden="false" customHeight="false" outlineLevel="0" collapsed="false">
      <c r="A232" s="43"/>
      <c r="B232" s="44"/>
      <c r="C232" s="45"/>
      <c r="D232" s="45"/>
      <c r="E232" s="44"/>
    </row>
    <row r="233" customFormat="false" ht="15" hidden="false" customHeight="false" outlineLevel="0" collapsed="false">
      <c r="A233" s="43"/>
      <c r="B233" s="44"/>
      <c r="C233" s="45"/>
      <c r="D233" s="45"/>
      <c r="E233" s="44"/>
    </row>
    <row r="234" customFormat="false" ht="15" hidden="false" customHeight="false" outlineLevel="0" collapsed="false">
      <c r="A234" s="43"/>
      <c r="B234" s="44"/>
      <c r="C234" s="45"/>
      <c r="D234" s="45"/>
      <c r="E234" s="44"/>
    </row>
    <row r="235" customFormat="false" ht="15" hidden="false" customHeight="false" outlineLevel="0" collapsed="false">
      <c r="A235" s="43"/>
      <c r="B235" s="44"/>
      <c r="C235" s="45"/>
      <c r="D235" s="45"/>
      <c r="E235" s="44"/>
    </row>
    <row r="236" customFormat="false" ht="15" hidden="false" customHeight="false" outlineLevel="0" collapsed="false">
      <c r="A236" s="43"/>
      <c r="B236" s="44"/>
      <c r="C236" s="45"/>
      <c r="D236" s="45"/>
      <c r="E236" s="44"/>
    </row>
    <row r="237" customFormat="false" ht="15" hidden="false" customHeight="false" outlineLevel="0" collapsed="false">
      <c r="A237" s="43"/>
      <c r="B237" s="44"/>
      <c r="C237" s="45"/>
      <c r="D237" s="45"/>
      <c r="E237" s="44"/>
    </row>
    <row r="238" customFormat="false" ht="15" hidden="false" customHeight="false" outlineLevel="0" collapsed="false">
      <c r="A238" s="43"/>
      <c r="B238" s="44"/>
      <c r="C238" s="45"/>
      <c r="D238" s="45"/>
      <c r="E238" s="44"/>
    </row>
    <row r="239" customFormat="false" ht="15" hidden="false" customHeight="false" outlineLevel="0" collapsed="false">
      <c r="A239" s="43"/>
      <c r="B239" s="44"/>
      <c r="C239" s="45"/>
      <c r="D239" s="45"/>
      <c r="E239" s="44"/>
    </row>
    <row r="240" customFormat="false" ht="15" hidden="false" customHeight="false" outlineLevel="0" collapsed="false">
      <c r="A240" s="43"/>
      <c r="B240" s="44"/>
      <c r="C240" s="45"/>
      <c r="D240" s="45"/>
      <c r="E240" s="44"/>
    </row>
    <row r="241" customFormat="false" ht="15" hidden="false" customHeight="false" outlineLevel="0" collapsed="false">
      <c r="A241" s="43"/>
      <c r="B241" s="44"/>
      <c r="C241" s="45"/>
      <c r="D241" s="45"/>
      <c r="E241" s="44"/>
    </row>
    <row r="242" customFormat="false" ht="15" hidden="false" customHeight="false" outlineLevel="0" collapsed="false">
      <c r="A242" s="43"/>
      <c r="B242" s="44"/>
      <c r="C242" s="45"/>
      <c r="D242" s="45"/>
      <c r="E242" s="44"/>
    </row>
    <row r="243" customFormat="false" ht="15" hidden="false" customHeight="false" outlineLevel="0" collapsed="false">
      <c r="A243" s="43"/>
      <c r="B243" s="44"/>
      <c r="C243" s="45"/>
      <c r="D243" s="45"/>
      <c r="E243" s="44"/>
    </row>
    <row r="244" customFormat="false" ht="15" hidden="false" customHeight="false" outlineLevel="0" collapsed="false">
      <c r="A244" s="43"/>
      <c r="B244" s="44"/>
      <c r="C244" s="45"/>
      <c r="D244" s="45"/>
      <c r="E244" s="44"/>
    </row>
    <row r="245" customFormat="false" ht="15" hidden="false" customHeight="false" outlineLevel="0" collapsed="false">
      <c r="A245" s="43"/>
      <c r="B245" s="44"/>
      <c r="C245" s="45"/>
      <c r="D245" s="45"/>
      <c r="E245" s="44"/>
    </row>
    <row r="246" customFormat="false" ht="15" hidden="false" customHeight="false" outlineLevel="0" collapsed="false">
      <c r="A246" s="43"/>
      <c r="B246" s="44"/>
      <c r="C246" s="45"/>
      <c r="D246" s="45"/>
      <c r="E246" s="44"/>
    </row>
    <row r="247" customFormat="false" ht="15" hidden="false" customHeight="false" outlineLevel="0" collapsed="false">
      <c r="A247" s="43"/>
      <c r="B247" s="44"/>
      <c r="C247" s="45"/>
      <c r="D247" s="45"/>
      <c r="E247" s="44"/>
    </row>
    <row r="248" customFormat="false" ht="15" hidden="false" customHeight="false" outlineLevel="0" collapsed="false">
      <c r="A248" s="43"/>
      <c r="B248" s="44"/>
      <c r="C248" s="45"/>
      <c r="D248" s="45"/>
      <c r="E248" s="44"/>
    </row>
    <row r="249" customFormat="false" ht="15" hidden="false" customHeight="false" outlineLevel="0" collapsed="false">
      <c r="A249" s="43"/>
      <c r="B249" s="44"/>
      <c r="C249" s="45"/>
      <c r="D249" s="45"/>
      <c r="E249" s="44"/>
    </row>
    <row r="250" customFormat="false" ht="15" hidden="false" customHeight="false" outlineLevel="0" collapsed="false">
      <c r="A250" s="43"/>
      <c r="B250" s="44"/>
      <c r="C250" s="45"/>
      <c r="D250" s="45"/>
      <c r="E250" s="44"/>
    </row>
  </sheetData>
  <sheetProtection sheet="true" password="df10" objects="true" scenarios="true" autoFilter="false"/>
  <autoFilter ref="A6:E250"/>
  <dataValidations count="3">
    <dataValidation allowBlank="true" error="Pick a product from the dropdown so the entry reaches the Stock sheet." errorStyle="stop" errorTitle="Unknown product" operator="between" showDropDown="false" showErrorMessage="false" showInputMessage="false" sqref="B7:B5000" type="list">
      <formula1>Products</formula1>
      <formula2>0</formula2>
    </dataValidation>
    <dataValidation allowBlank="true" error="Quantity cannot be negative. Record a despatch in the Shipment column." errorStyle="stop" errorTitle="Negative quantity" operator="greaterThanOrEqual" showDropDown="false" showErrorMessage="false" showInputMessage="false" sqref="C7:D5000" type="decimal">
      <formula1>0</formula1>
      <formula2>0</formula2>
    </dataValidation>
    <dataValidation allowBlank="true" error="Enter a real date such as 22/08/2026, not text." errorStyle="stop" errorTitle="Date required" operator="greaterThan" showDropDown="false" showErrorMessage="false" showInputMessage="false" sqref="A7:A5000" type="date">
      <formula1>DATE(2000,1,1)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9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8"/>
    <col collapsed="false" customWidth="true" hidden="false" outlineLevel="0" max="9" min="9" style="0" width="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171</v>
      </c>
    </row>
    <row r="4" customFormat="false" ht="15" hidden="false" customHeight="false" outlineLevel="0" collapsed="false">
      <c r="A4" s="46" t="s">
        <v>172</v>
      </c>
      <c r="B4" s="46"/>
      <c r="C4" s="46" t="s">
        <v>173</v>
      </c>
      <c r="D4" s="46"/>
      <c r="E4" s="46"/>
      <c r="F4" s="46" t="s">
        <v>174</v>
      </c>
      <c r="G4" s="46"/>
    </row>
    <row r="5" customFormat="false" ht="18.55" hidden="false" customHeight="false" outlineLevel="0" collapsed="false">
      <c r="A5" s="47" t="n">
        <f aca="false">Stock!$K$115</f>
        <v>222532</v>
      </c>
      <c r="B5" s="47"/>
      <c r="C5" s="48" t="n">
        <f aca="false">IF(Stock!$M$115="","—",Stock!$M$115)</f>
        <v>10480400</v>
      </c>
      <c r="D5" s="48"/>
      <c r="E5" s="48"/>
      <c r="F5" s="49" t="n">
        <f aca="false">IF(OR(Stock!$E$4="",Stock!$M$115=""),"—",Stock!$M$115/Stock!$E$4)</f>
        <v>110320</v>
      </c>
      <c r="G5" s="49"/>
    </row>
    <row r="6" customFormat="false" ht="15" hidden="false" customHeight="false" outlineLevel="0" collapsed="false">
      <c r="A6" s="50" t="s">
        <v>175</v>
      </c>
      <c r="B6" s="50"/>
      <c r="C6" s="50" t="s">
        <v>176</v>
      </c>
      <c r="D6" s="50"/>
      <c r="E6" s="50"/>
      <c r="F6" s="50" t="s">
        <v>177</v>
      </c>
      <c r="G6" s="50"/>
    </row>
    <row r="7" customFormat="false" ht="15" hidden="false" customHeight="false" outlineLevel="0" collapsed="false">
      <c r="A7" s="38" t="str">
        <f aca="false">IF(SUM(Stock!$X$8:$X$114)=0,"",SUM(Stock!$X$8:$X$114)&amp;" product(s) have no Kg / Unit on Stock — they are counted in kilos as zero and are not valued.")</f>
        <v>19 product(s) have no Kg / Unit on Stock — they are counted in kilos as zero and are not valued.</v>
      </c>
    </row>
    <row r="9" customFormat="false" ht="15.75" hidden="false" customHeight="true" outlineLevel="0" collapsed="false">
      <c r="A9" s="51" t="s">
        <v>67</v>
      </c>
      <c r="B9" s="51"/>
      <c r="C9" s="51"/>
      <c r="D9" s="51"/>
      <c r="E9" s="51"/>
      <c r="F9" s="51"/>
      <c r="G9" s="51"/>
    </row>
    <row r="10" customFormat="false" ht="19.5" hidden="false" customHeight="true" outlineLevel="0" collapsed="false">
      <c r="A10" s="52" t="s">
        <v>44</v>
      </c>
      <c r="B10" s="53" t="s">
        <v>45</v>
      </c>
      <c r="C10" s="53" t="s">
        <v>46</v>
      </c>
      <c r="D10" s="53" t="s">
        <v>52</v>
      </c>
      <c r="E10" s="53" t="s">
        <v>53</v>
      </c>
      <c r="F10" s="53" t="s">
        <v>54</v>
      </c>
      <c r="G10" s="53" t="s">
        <v>55</v>
      </c>
    </row>
    <row r="11" customFormat="false" ht="12.75" hidden="false" customHeight="true" outlineLevel="0" collapsed="false">
      <c r="A11" s="54" t="str">
        <f aca="false">IF($I11="","",INDEX(Stock!$B$8:$B$114,$I11))</f>
        <v>PD PVN 100/200</v>
      </c>
      <c r="B11" s="54" t="str">
        <f aca="false">IF($I11="","",IF(INDEX(Stock!$C$8:$C$114,$I11)=0,"",INDEX(Stock!$C$8:$C$114,$I11)))</f>
        <v>Slab</v>
      </c>
      <c r="C11" s="55" t="n">
        <f aca="false">IF($I11="","",IF(INDEX(Stock!$D$8:$D$114,$I11)=0,"",INDEX(Stock!$D$8:$D$114,$I11)))</f>
        <v>2</v>
      </c>
      <c r="D11" s="56" t="n">
        <f aca="false">IF($I11="","",INDEX(Stock!$J$8:$J$114,$I11))</f>
        <v>7880</v>
      </c>
      <c r="E11" s="57" t="n">
        <f aca="false">IF($I11="","",INDEX(Stock!$K$8:$K$114,$I11))</f>
        <v>15760</v>
      </c>
      <c r="F11" s="58" t="n">
        <f aca="false">IF($I11="","",IF(INDEX(Stock!$L$8:$L$114,$I11)=0,"",INDEX(Stock!$L$8:$L$114,$I11)))</f>
        <v>7</v>
      </c>
      <c r="G11" s="59" t="n">
        <f aca="false">IF($I11="","",INDEX(Stock!$M$8:$M$114,$I11))</f>
        <v>10480400</v>
      </c>
      <c r="I11" s="60" t="n">
        <f aca="false">IFERROR(MATCH($A$9&amp;"#"&amp;1,Stock!$R$8:$R$114,0),"")</f>
        <v>1</v>
      </c>
    </row>
    <row r="12" customFormat="false" ht="12.75" hidden="false" customHeight="true" outlineLevel="0" collapsed="false">
      <c r="A12" s="61" t="str">
        <f aca="false">IF($I12="","",INDEX(Stock!$B$8:$B$114,$I12))</f>
        <v>PD KKD 100/200</v>
      </c>
      <c r="B12" s="61" t="str">
        <f aca="false">IF($I12="","",IF(INDEX(Stock!$C$8:$C$114,$I12)=0,"",INDEX(Stock!$C$8:$C$114,$I12)))</f>
        <v>Slab</v>
      </c>
      <c r="C12" s="62" t="n">
        <f aca="false">IF($I12="","",IF(INDEX(Stock!$D$8:$D$114,$I12)=0,"",INDEX(Stock!$D$8:$D$114,$I12)))</f>
        <v>2</v>
      </c>
      <c r="D12" s="63" t="n">
        <f aca="false">IF($I12="","",INDEX(Stock!$J$8:$J$114,$I12))</f>
        <v>641</v>
      </c>
      <c r="E12" s="64" t="n">
        <f aca="false">IF($I12="","",INDEX(Stock!$K$8:$K$114,$I12))</f>
        <v>1282</v>
      </c>
      <c r="F12" s="65" t="str">
        <f aca="false">IF($I12="","",IF(INDEX(Stock!$L$8:$L$114,$I12)=0,"",INDEX(Stock!$L$8:$L$114,$I12)))</f>
        <v/>
      </c>
      <c r="G12" s="66" t="str">
        <f aca="false">IF($I12="","",INDEX(Stock!$M$8:$M$114,$I12))</f>
        <v/>
      </c>
      <c r="I12" s="60" t="n">
        <f aca="false">IFERROR(MATCH($A$9&amp;"#"&amp;2,Stock!$R$8:$R$114,0),"")</f>
        <v>2</v>
      </c>
    </row>
    <row r="13" customFormat="false" ht="12.75" hidden="false" customHeight="true" outlineLevel="0" collapsed="false">
      <c r="A13" s="54" t="str">
        <f aca="false">IF($I13="","",INDEX(Stock!$B$8:$B$114,$I13))</f>
        <v>PD PVN 200/300</v>
      </c>
      <c r="B13" s="54" t="str">
        <f aca="false">IF($I13="","",IF(INDEX(Stock!$C$8:$C$114,$I13)=0,"",INDEX(Stock!$C$8:$C$114,$I13)))</f>
        <v>Slab</v>
      </c>
      <c r="C13" s="55" t="n">
        <f aca="false">IF($I13="","",IF(INDEX(Stock!$D$8:$D$114,$I13)=0,"",INDEX(Stock!$D$8:$D$114,$I13)))</f>
        <v>2</v>
      </c>
      <c r="D13" s="56" t="n">
        <f aca="false">IF($I13="","",INDEX(Stock!$J$8:$J$114,$I13))</f>
        <v>2357</v>
      </c>
      <c r="E13" s="57" t="n">
        <f aca="false">IF($I13="","",INDEX(Stock!$K$8:$K$114,$I13))</f>
        <v>4714</v>
      </c>
      <c r="F13" s="58" t="str">
        <f aca="false">IF($I13="","",IF(INDEX(Stock!$L$8:$L$114,$I13)=0,"",INDEX(Stock!$L$8:$L$114,$I13)))</f>
        <v/>
      </c>
      <c r="G13" s="59" t="str">
        <f aca="false">IF($I13="","",INDEX(Stock!$M$8:$M$114,$I13))</f>
        <v/>
      </c>
      <c r="I13" s="60" t="n">
        <f aca="false">IFERROR(MATCH($A$9&amp;"#"&amp;3,Stock!$R$8:$R$114,0),"")</f>
        <v>3</v>
      </c>
    </row>
    <row r="14" customFormat="false" ht="12.75" hidden="false" customHeight="true" outlineLevel="0" collapsed="false">
      <c r="A14" s="61" t="str">
        <f aca="false">IF($I14="","",INDEX(Stock!$B$8:$B$114,$I14))</f>
        <v>PD KKD 200/300</v>
      </c>
      <c r="B14" s="61" t="str">
        <f aca="false">IF($I14="","",IF(INDEX(Stock!$C$8:$C$114,$I14)=0,"",INDEX(Stock!$C$8:$C$114,$I14)))</f>
        <v>Slab</v>
      </c>
      <c r="C14" s="62" t="n">
        <f aca="false">IF($I14="","",IF(INDEX(Stock!$D$8:$D$114,$I14)=0,"",INDEX(Stock!$D$8:$D$114,$I14)))</f>
        <v>2</v>
      </c>
      <c r="D14" s="63" t="n">
        <f aca="false">IF($I14="","",INDEX(Stock!$J$8:$J$114,$I14))</f>
        <v>0</v>
      </c>
      <c r="E14" s="64" t="n">
        <f aca="false">IF($I14="","",INDEX(Stock!$K$8:$K$114,$I14))</f>
        <v>0</v>
      </c>
      <c r="F14" s="65" t="str">
        <f aca="false">IF($I14="","",IF(INDEX(Stock!$L$8:$L$114,$I14)=0,"",INDEX(Stock!$L$8:$L$114,$I14)))</f>
        <v/>
      </c>
      <c r="G14" s="66" t="str">
        <f aca="false">IF($I14="","",INDEX(Stock!$M$8:$M$114,$I14))</f>
        <v/>
      </c>
      <c r="I14" s="60" t="n">
        <f aca="false">IFERROR(MATCH($A$9&amp;"#"&amp;4,Stock!$R$8:$R$114,0),"")</f>
        <v>4</v>
      </c>
    </row>
    <row r="15" customFormat="false" ht="12.75" hidden="false" customHeight="true" outlineLevel="0" collapsed="false">
      <c r="A15" s="54" t="str">
        <f aca="false">IF($I15="","",INDEX(Stock!$B$8:$B$114,$I15))</f>
        <v>PUD PVN 200/300</v>
      </c>
      <c r="B15" s="54" t="str">
        <f aca="false">IF($I15="","",IF(INDEX(Stock!$C$8:$C$114,$I15)=0,"",INDEX(Stock!$C$8:$C$114,$I15)))</f>
        <v>Slab</v>
      </c>
      <c r="C15" s="55" t="n">
        <f aca="false">IF($I15="","",IF(INDEX(Stock!$D$8:$D$114,$I15)=0,"",INDEX(Stock!$D$8:$D$114,$I15)))</f>
        <v>2</v>
      </c>
      <c r="D15" s="56" t="n">
        <f aca="false">IF($I15="","",INDEX(Stock!$J$8:$J$114,$I15))</f>
        <v>1574</v>
      </c>
      <c r="E15" s="57" t="n">
        <f aca="false">IF($I15="","",INDEX(Stock!$K$8:$K$114,$I15))</f>
        <v>3148</v>
      </c>
      <c r="F15" s="58" t="str">
        <f aca="false">IF($I15="","",IF(INDEX(Stock!$L$8:$L$114,$I15)=0,"",INDEX(Stock!$L$8:$L$114,$I15)))</f>
        <v/>
      </c>
      <c r="G15" s="59" t="str">
        <f aca="false">IF($I15="","",INDEX(Stock!$M$8:$M$114,$I15))</f>
        <v/>
      </c>
      <c r="I15" s="60" t="n">
        <f aca="false">IFERROR(MATCH($A$9&amp;"#"&amp;5,Stock!$R$8:$R$114,0),"")</f>
        <v>5</v>
      </c>
    </row>
    <row r="16" customFormat="false" ht="12.75" hidden="false" customHeight="true" outlineLevel="0" collapsed="false">
      <c r="A16" s="61" t="str">
        <f aca="false">IF($I16="","",INDEX(Stock!$B$8:$B$114,$I16))</f>
        <v>PUD KKD 200/300</v>
      </c>
      <c r="B16" s="61" t="str">
        <f aca="false">IF($I16="","",IF(INDEX(Stock!$C$8:$C$114,$I16)=0,"",INDEX(Stock!$C$8:$C$114,$I16)))</f>
        <v>Slab</v>
      </c>
      <c r="C16" s="62" t="n">
        <f aca="false">IF($I16="","",IF(INDEX(Stock!$D$8:$D$114,$I16)=0,"",INDEX(Stock!$D$8:$D$114,$I16)))</f>
        <v>2</v>
      </c>
      <c r="D16" s="63" t="n">
        <f aca="false">IF($I16="","",INDEX(Stock!$J$8:$J$114,$I16))</f>
        <v>1635</v>
      </c>
      <c r="E16" s="64" t="n">
        <f aca="false">IF($I16="","",INDEX(Stock!$K$8:$K$114,$I16))</f>
        <v>3270</v>
      </c>
      <c r="F16" s="65" t="str">
        <f aca="false">IF($I16="","",IF(INDEX(Stock!$L$8:$L$114,$I16)=0,"",INDEX(Stock!$L$8:$L$114,$I16)))</f>
        <v/>
      </c>
      <c r="G16" s="66" t="str">
        <f aca="false">IF($I16="","",INDEX(Stock!$M$8:$M$114,$I16))</f>
        <v/>
      </c>
      <c r="I16" s="60" t="n">
        <f aca="false">IFERROR(MATCH($A$9&amp;"#"&amp;6,Stock!$R$8:$R$114,0),"")</f>
        <v>6</v>
      </c>
    </row>
    <row r="17" customFormat="false" ht="12.75" hidden="false" customHeight="true" outlineLevel="0" collapsed="false">
      <c r="A17" s="54" t="str">
        <f aca="false">IF($I17="","",INDEX(Stock!$B$8:$B$114,$I17))</f>
        <v>PUD PVN 300/500</v>
      </c>
      <c r="B17" s="54" t="str">
        <f aca="false">IF($I17="","",IF(INDEX(Stock!$C$8:$C$114,$I17)=0,"",INDEX(Stock!$C$8:$C$114,$I17)))</f>
        <v>Slab</v>
      </c>
      <c r="C17" s="55" t="n">
        <f aca="false">IF($I17="","",IF(INDEX(Stock!$D$8:$D$114,$I17)=0,"",INDEX(Stock!$D$8:$D$114,$I17)))</f>
        <v>2</v>
      </c>
      <c r="D17" s="56" t="n">
        <f aca="false">IF($I17="","",INDEX(Stock!$J$8:$J$114,$I17))</f>
        <v>1076</v>
      </c>
      <c r="E17" s="57" t="n">
        <f aca="false">IF($I17="","",INDEX(Stock!$K$8:$K$114,$I17))</f>
        <v>2152</v>
      </c>
      <c r="F17" s="58" t="str">
        <f aca="false">IF($I17="","",IF(INDEX(Stock!$L$8:$L$114,$I17)=0,"",INDEX(Stock!$L$8:$L$114,$I17)))</f>
        <v/>
      </c>
      <c r="G17" s="59" t="str">
        <f aca="false">IF($I17="","",INDEX(Stock!$M$8:$M$114,$I17))</f>
        <v/>
      </c>
      <c r="I17" s="60" t="n">
        <f aca="false">IFERROR(MATCH($A$9&amp;"#"&amp;7,Stock!$R$8:$R$114,0),"")</f>
        <v>7</v>
      </c>
    </row>
    <row r="18" customFormat="false" ht="12.75" hidden="false" customHeight="true" outlineLevel="0" collapsed="false">
      <c r="A18" s="61" t="str">
        <f aca="false">IF($I18="","",INDEX(Stock!$B$8:$B$114,$I18))</f>
        <v>PUD KKD 300/500</v>
      </c>
      <c r="B18" s="61" t="str">
        <f aca="false">IF($I18="","",IF(INDEX(Stock!$C$8:$C$114,$I18)=0,"",INDEX(Stock!$C$8:$C$114,$I18)))</f>
        <v>Slab</v>
      </c>
      <c r="C18" s="62" t="n">
        <f aca="false">IF($I18="","",IF(INDEX(Stock!$D$8:$D$114,$I18)=0,"",INDEX(Stock!$D$8:$D$114,$I18)))</f>
        <v>2</v>
      </c>
      <c r="D18" s="63" t="n">
        <f aca="false">IF($I18="","",INDEX(Stock!$J$8:$J$114,$I18))</f>
        <v>6372</v>
      </c>
      <c r="E18" s="64" t="n">
        <f aca="false">IF($I18="","",INDEX(Stock!$K$8:$K$114,$I18))</f>
        <v>12744</v>
      </c>
      <c r="F18" s="65" t="str">
        <f aca="false">IF($I18="","",IF(INDEX(Stock!$L$8:$L$114,$I18)=0,"",INDEX(Stock!$L$8:$L$114,$I18)))</f>
        <v/>
      </c>
      <c r="G18" s="66" t="str">
        <f aca="false">IF($I18="","",INDEX(Stock!$M$8:$M$114,$I18))</f>
        <v/>
      </c>
      <c r="I18" s="60" t="n">
        <f aca="false">IFERROR(MATCH($A$9&amp;"#"&amp;8,Stock!$R$8:$R$114,0),"")</f>
        <v>8</v>
      </c>
    </row>
    <row r="19" customFormat="false" ht="12.75" hidden="false" customHeight="true" outlineLevel="0" collapsed="false">
      <c r="A19" s="54" t="str">
        <f aca="false">IF($I19="","",INDEX(Stock!$B$8:$B$114,$I19))</f>
        <v/>
      </c>
      <c r="B19" s="54" t="str">
        <f aca="false">IF($I19="","",IF(INDEX(Stock!$C$8:$C$114,$I19)=0,"",INDEX(Stock!$C$8:$C$114,$I19)))</f>
        <v/>
      </c>
      <c r="C19" s="55" t="str">
        <f aca="false">IF($I19="","",IF(INDEX(Stock!$D$8:$D$114,$I19)=0,"",INDEX(Stock!$D$8:$D$114,$I19)))</f>
        <v/>
      </c>
      <c r="D19" s="56" t="str">
        <f aca="false">IF($I19="","",INDEX(Stock!$J$8:$J$114,$I19))</f>
        <v/>
      </c>
      <c r="E19" s="57" t="str">
        <f aca="false">IF($I19="","",INDEX(Stock!$K$8:$K$114,$I19))</f>
        <v/>
      </c>
      <c r="F19" s="58" t="str">
        <f aca="false">IF($I19="","",IF(INDEX(Stock!$L$8:$L$114,$I19)=0,"",INDEX(Stock!$L$8:$L$114,$I19)))</f>
        <v/>
      </c>
      <c r="G19" s="59" t="str">
        <f aca="false">IF($I19="","",INDEX(Stock!$M$8:$M$114,$I19))</f>
        <v/>
      </c>
      <c r="I19" s="60" t="str">
        <f aca="false">IFERROR(MATCH($A$9&amp;"#"&amp;9,Stock!$R$8:$R$114,0),"")</f>
        <v/>
      </c>
    </row>
    <row r="20" customFormat="false" ht="12.75" hidden="false" customHeight="true" outlineLevel="0" collapsed="false">
      <c r="A20" s="61" t="str">
        <f aca="false">IF($I20="","",INDEX(Stock!$B$8:$B$114,$I20))</f>
        <v/>
      </c>
      <c r="B20" s="61" t="str">
        <f aca="false">IF($I20="","",IF(INDEX(Stock!$C$8:$C$114,$I20)=0,"",INDEX(Stock!$C$8:$C$114,$I20)))</f>
        <v/>
      </c>
      <c r="C20" s="62" t="str">
        <f aca="false">IF($I20="","",IF(INDEX(Stock!$D$8:$D$114,$I20)=0,"",INDEX(Stock!$D$8:$D$114,$I20)))</f>
        <v/>
      </c>
      <c r="D20" s="63" t="str">
        <f aca="false">IF($I20="","",INDEX(Stock!$J$8:$J$114,$I20))</f>
        <v/>
      </c>
      <c r="E20" s="64" t="str">
        <f aca="false">IF($I20="","",INDEX(Stock!$K$8:$K$114,$I20))</f>
        <v/>
      </c>
      <c r="F20" s="65" t="str">
        <f aca="false">IF($I20="","",IF(INDEX(Stock!$L$8:$L$114,$I20)=0,"",INDEX(Stock!$L$8:$L$114,$I20)))</f>
        <v/>
      </c>
      <c r="G20" s="66" t="str">
        <f aca="false">IF($I20="","",INDEX(Stock!$M$8:$M$114,$I20))</f>
        <v/>
      </c>
      <c r="I20" s="60" t="str">
        <f aca="false">IFERROR(MATCH($A$9&amp;"#"&amp;10,Stock!$R$8:$R$114,0),"")</f>
        <v/>
      </c>
    </row>
    <row r="21" customFormat="false" ht="12.75" hidden="false" customHeight="true" outlineLevel="0" collapsed="false">
      <c r="A21" s="54" t="str">
        <f aca="false">IF($I21="","",INDEX(Stock!$B$8:$B$114,$I21))</f>
        <v/>
      </c>
      <c r="B21" s="54" t="str">
        <f aca="false">IF($I21="","",IF(INDEX(Stock!$C$8:$C$114,$I21)=0,"",INDEX(Stock!$C$8:$C$114,$I21)))</f>
        <v/>
      </c>
      <c r="C21" s="55" t="str">
        <f aca="false">IF($I21="","",IF(INDEX(Stock!$D$8:$D$114,$I21)=0,"",INDEX(Stock!$D$8:$D$114,$I21)))</f>
        <v/>
      </c>
      <c r="D21" s="56" t="str">
        <f aca="false">IF($I21="","",INDEX(Stock!$J$8:$J$114,$I21))</f>
        <v/>
      </c>
      <c r="E21" s="57" t="str">
        <f aca="false">IF($I21="","",INDEX(Stock!$K$8:$K$114,$I21))</f>
        <v/>
      </c>
      <c r="F21" s="58" t="str">
        <f aca="false">IF($I21="","",IF(INDEX(Stock!$L$8:$L$114,$I21)=0,"",INDEX(Stock!$L$8:$L$114,$I21)))</f>
        <v/>
      </c>
      <c r="G21" s="59" t="str">
        <f aca="false">IF($I21="","",INDEX(Stock!$M$8:$M$114,$I21))</f>
        <v/>
      </c>
      <c r="I21" s="60" t="str">
        <f aca="false">IFERROR(MATCH($A$9&amp;"#"&amp;11,Stock!$R$8:$R$114,0),"")</f>
        <v/>
      </c>
    </row>
    <row r="22" customFormat="false" ht="15" hidden="false" customHeight="false" outlineLevel="0" collapsed="false">
      <c r="A22" s="67" t="str">
        <f aca="false">IF($A$9="","",$A$9&amp;" total")</f>
        <v>Blue Dolphin total</v>
      </c>
      <c r="B22" s="67"/>
      <c r="C22" s="67"/>
      <c r="D22" s="67"/>
      <c r="E22" s="68" t="n">
        <f aca="false">SUM(E11:E21)</f>
        <v>43070</v>
      </c>
      <c r="F22" s="67"/>
      <c r="G22" s="69" t="n">
        <f aca="false">SUM(G11:G21)</f>
        <v>10480400</v>
      </c>
    </row>
    <row r="24" customFormat="false" ht="15.75" hidden="false" customHeight="true" outlineLevel="0" collapsed="false">
      <c r="A24" s="51" t="s">
        <v>77</v>
      </c>
      <c r="B24" s="51"/>
      <c r="C24" s="51"/>
      <c r="D24" s="51"/>
      <c r="E24" s="51"/>
      <c r="F24" s="51"/>
      <c r="G24" s="51"/>
    </row>
    <row r="25" customFormat="false" ht="19.5" hidden="false" customHeight="true" outlineLevel="0" collapsed="false">
      <c r="A25" s="52" t="s">
        <v>44</v>
      </c>
      <c r="B25" s="53" t="s">
        <v>45</v>
      </c>
      <c r="C25" s="53" t="s">
        <v>46</v>
      </c>
      <c r="D25" s="53" t="s">
        <v>52</v>
      </c>
      <c r="E25" s="53" t="s">
        <v>53</v>
      </c>
      <c r="F25" s="53" t="s">
        <v>54</v>
      </c>
      <c r="G25" s="53" t="s">
        <v>55</v>
      </c>
    </row>
    <row r="26" customFormat="false" ht="12.75" hidden="false" customHeight="true" outlineLevel="0" collapsed="false">
      <c r="A26" s="54" t="str">
        <f aca="false">IF($I26="","",INDEX(Stock!$B$8:$B$114,$I26))</f>
        <v>PD PVN 100/200</v>
      </c>
      <c r="B26" s="54" t="str">
        <f aca="false">IF($I26="","",IF(INDEX(Stock!$C$8:$C$114,$I26)=0,"",INDEX(Stock!$C$8:$C$114,$I26)))</f>
        <v>Slab</v>
      </c>
      <c r="C26" s="55" t="n">
        <f aca="false">IF($I26="","",IF(INDEX(Stock!$D$8:$D$114,$I26)=0,"",INDEX(Stock!$D$8:$D$114,$I26)))</f>
        <v>2</v>
      </c>
      <c r="D26" s="56" t="n">
        <f aca="false">IF($I26="","",INDEX(Stock!$J$8:$J$114,$I26))</f>
        <v>0</v>
      </c>
      <c r="E26" s="57" t="n">
        <f aca="false">IF($I26="","",INDEX(Stock!$K$8:$K$114,$I26))</f>
        <v>0</v>
      </c>
      <c r="F26" s="58" t="str">
        <f aca="false">IF($I26="","",IF(INDEX(Stock!$L$8:$L$114,$I26)=0,"",INDEX(Stock!$L$8:$L$114,$I26)))</f>
        <v/>
      </c>
      <c r="G26" s="59" t="str">
        <f aca="false">IF($I26="","",INDEX(Stock!$M$8:$M$114,$I26))</f>
        <v/>
      </c>
      <c r="I26" s="60" t="n">
        <f aca="false">IFERROR(MATCH($A$24&amp;"#"&amp;1,Stock!$R$8:$R$114,0),"")</f>
        <v>9</v>
      </c>
    </row>
    <row r="27" customFormat="false" ht="12.75" hidden="false" customHeight="true" outlineLevel="0" collapsed="false">
      <c r="A27" s="61" t="str">
        <f aca="false">IF($I27="","",INDEX(Stock!$B$8:$B$114,$I27))</f>
        <v>PD KKD 100/200</v>
      </c>
      <c r="B27" s="61" t="str">
        <f aca="false">IF($I27="","",IF(INDEX(Stock!$C$8:$C$114,$I27)=0,"",INDEX(Stock!$C$8:$C$114,$I27)))</f>
        <v>Slab</v>
      </c>
      <c r="C27" s="62" t="n">
        <f aca="false">IF($I27="","",IF(INDEX(Stock!$D$8:$D$114,$I27)=0,"",INDEX(Stock!$D$8:$D$114,$I27)))</f>
        <v>2</v>
      </c>
      <c r="D27" s="63" t="n">
        <f aca="false">IF($I27="","",INDEX(Stock!$J$8:$J$114,$I27))</f>
        <v>0</v>
      </c>
      <c r="E27" s="64" t="n">
        <f aca="false">IF($I27="","",INDEX(Stock!$K$8:$K$114,$I27))</f>
        <v>0</v>
      </c>
      <c r="F27" s="65" t="str">
        <f aca="false">IF($I27="","",IF(INDEX(Stock!$L$8:$L$114,$I27)=0,"",INDEX(Stock!$L$8:$L$114,$I27)))</f>
        <v/>
      </c>
      <c r="G27" s="66" t="str">
        <f aca="false">IF($I27="","",INDEX(Stock!$M$8:$M$114,$I27))</f>
        <v/>
      </c>
      <c r="I27" s="60" t="n">
        <f aca="false">IFERROR(MATCH($A$24&amp;"#"&amp;2,Stock!$R$8:$R$114,0),"")</f>
        <v>10</v>
      </c>
    </row>
    <row r="28" customFormat="false" ht="12.75" hidden="false" customHeight="true" outlineLevel="0" collapsed="false">
      <c r="A28" s="54" t="str">
        <f aca="false">IF($I28="","",INDEX(Stock!$B$8:$B$114,$I28))</f>
        <v>PD PVN 200/300</v>
      </c>
      <c r="B28" s="54" t="str">
        <f aca="false">IF($I28="","",IF(INDEX(Stock!$C$8:$C$114,$I28)=0,"",INDEX(Stock!$C$8:$C$114,$I28)))</f>
        <v>Slab</v>
      </c>
      <c r="C28" s="55" t="n">
        <f aca="false">IF($I28="","",IF(INDEX(Stock!$D$8:$D$114,$I28)=0,"",INDEX(Stock!$D$8:$D$114,$I28)))</f>
        <v>2</v>
      </c>
      <c r="D28" s="56" t="n">
        <f aca="false">IF($I28="","",INDEX(Stock!$J$8:$J$114,$I28))</f>
        <v>0</v>
      </c>
      <c r="E28" s="57" t="n">
        <f aca="false">IF($I28="","",INDEX(Stock!$K$8:$K$114,$I28))</f>
        <v>0</v>
      </c>
      <c r="F28" s="58" t="str">
        <f aca="false">IF($I28="","",IF(INDEX(Stock!$L$8:$L$114,$I28)=0,"",INDEX(Stock!$L$8:$L$114,$I28)))</f>
        <v/>
      </c>
      <c r="G28" s="59" t="str">
        <f aca="false">IF($I28="","",INDEX(Stock!$M$8:$M$114,$I28))</f>
        <v/>
      </c>
      <c r="I28" s="60" t="n">
        <f aca="false">IFERROR(MATCH($A$24&amp;"#"&amp;3,Stock!$R$8:$R$114,0),"")</f>
        <v>11</v>
      </c>
    </row>
    <row r="29" customFormat="false" ht="12.75" hidden="false" customHeight="true" outlineLevel="0" collapsed="false">
      <c r="A29" s="61" t="str">
        <f aca="false">IF($I29="","",INDEX(Stock!$B$8:$B$114,$I29))</f>
        <v>PD KKD 200/300</v>
      </c>
      <c r="B29" s="61" t="str">
        <f aca="false">IF($I29="","",IF(INDEX(Stock!$C$8:$C$114,$I29)=0,"",INDEX(Stock!$C$8:$C$114,$I29)))</f>
        <v>Slab</v>
      </c>
      <c r="C29" s="62" t="n">
        <f aca="false">IF($I29="","",IF(INDEX(Stock!$D$8:$D$114,$I29)=0,"",INDEX(Stock!$D$8:$D$114,$I29)))</f>
        <v>2</v>
      </c>
      <c r="D29" s="63" t="n">
        <f aca="false">IF($I29="","",INDEX(Stock!$J$8:$J$114,$I29))</f>
        <v>0</v>
      </c>
      <c r="E29" s="64" t="n">
        <f aca="false">IF($I29="","",INDEX(Stock!$K$8:$K$114,$I29))</f>
        <v>0</v>
      </c>
      <c r="F29" s="65" t="str">
        <f aca="false">IF($I29="","",IF(INDEX(Stock!$L$8:$L$114,$I29)=0,"",INDEX(Stock!$L$8:$L$114,$I29)))</f>
        <v/>
      </c>
      <c r="G29" s="66" t="str">
        <f aca="false">IF($I29="","",INDEX(Stock!$M$8:$M$114,$I29))</f>
        <v/>
      </c>
      <c r="I29" s="60" t="n">
        <f aca="false">IFERROR(MATCH($A$24&amp;"#"&amp;4,Stock!$R$8:$R$114,0),"")</f>
        <v>12</v>
      </c>
    </row>
    <row r="30" customFormat="false" ht="12.75" hidden="false" customHeight="true" outlineLevel="0" collapsed="false">
      <c r="A30" s="54" t="str">
        <f aca="false">IF($I30="","",INDEX(Stock!$B$8:$B$114,$I30))</f>
        <v>PUD KZN 40/60</v>
      </c>
      <c r="B30" s="54" t="str">
        <f aca="false">IF($I30="","",IF(INDEX(Stock!$C$8:$C$114,$I30)=0,"",INDEX(Stock!$C$8:$C$114,$I30)))</f>
        <v>Slab</v>
      </c>
      <c r="C30" s="55" t="n">
        <f aca="false">IF($I30="","",IF(INDEX(Stock!$D$8:$D$114,$I30)=0,"",INDEX(Stock!$D$8:$D$114,$I30)))</f>
        <v>2</v>
      </c>
      <c r="D30" s="56" t="n">
        <f aca="false">IF($I30="","",INDEX(Stock!$J$8:$J$114,$I30))</f>
        <v>93</v>
      </c>
      <c r="E30" s="57" t="n">
        <f aca="false">IF($I30="","",INDEX(Stock!$K$8:$K$114,$I30))</f>
        <v>186</v>
      </c>
      <c r="F30" s="58" t="str">
        <f aca="false">IF($I30="","",IF(INDEX(Stock!$L$8:$L$114,$I30)=0,"",INDEX(Stock!$L$8:$L$114,$I30)))</f>
        <v/>
      </c>
      <c r="G30" s="59" t="str">
        <f aca="false">IF($I30="","",INDEX(Stock!$M$8:$M$114,$I30))</f>
        <v/>
      </c>
      <c r="I30" s="60" t="n">
        <f aca="false">IFERROR(MATCH($A$24&amp;"#"&amp;5,Stock!$R$8:$R$114,0),"")</f>
        <v>13</v>
      </c>
    </row>
    <row r="31" customFormat="false" ht="12.75" hidden="false" customHeight="true" outlineLevel="0" collapsed="false">
      <c r="A31" s="61" t="str">
        <f aca="false">IF($I31="","",INDEX(Stock!$B$8:$B$114,$I31))</f>
        <v>PUD KZN 60/80</v>
      </c>
      <c r="B31" s="61" t="str">
        <f aca="false">IF($I31="","",IF(INDEX(Stock!$C$8:$C$114,$I31)=0,"",INDEX(Stock!$C$8:$C$114,$I31)))</f>
        <v>Slab</v>
      </c>
      <c r="C31" s="62" t="n">
        <f aca="false">IF($I31="","",IF(INDEX(Stock!$D$8:$D$114,$I31)=0,"",INDEX(Stock!$D$8:$D$114,$I31)))</f>
        <v>2</v>
      </c>
      <c r="D31" s="63" t="n">
        <f aca="false">IF($I31="","",INDEX(Stock!$J$8:$J$114,$I31))</f>
        <v>230</v>
      </c>
      <c r="E31" s="64" t="n">
        <f aca="false">IF($I31="","",INDEX(Stock!$K$8:$K$114,$I31))</f>
        <v>460</v>
      </c>
      <c r="F31" s="65" t="str">
        <f aca="false">IF($I31="","",IF(INDEX(Stock!$L$8:$L$114,$I31)=0,"",INDEX(Stock!$L$8:$L$114,$I31)))</f>
        <v/>
      </c>
      <c r="G31" s="66" t="str">
        <f aca="false">IF($I31="","",INDEX(Stock!$M$8:$M$114,$I31))</f>
        <v/>
      </c>
      <c r="I31" s="60" t="n">
        <f aca="false">IFERROR(MATCH($A$24&amp;"#"&amp;6,Stock!$R$8:$R$114,0),"")</f>
        <v>14</v>
      </c>
    </row>
    <row r="32" customFormat="false" ht="12.75" hidden="false" customHeight="true" outlineLevel="0" collapsed="false">
      <c r="A32" s="54" t="str">
        <f aca="false">IF($I32="","",INDEX(Stock!$B$8:$B$114,$I32))</f>
        <v>PUD PVN 80/120</v>
      </c>
      <c r="B32" s="54" t="str">
        <f aca="false">IF($I32="","",IF(INDEX(Stock!$C$8:$C$114,$I32)=0,"",INDEX(Stock!$C$8:$C$114,$I32)))</f>
        <v>Slab</v>
      </c>
      <c r="C32" s="55" t="n">
        <f aca="false">IF($I32="","",IF(INDEX(Stock!$D$8:$D$114,$I32)=0,"",INDEX(Stock!$D$8:$D$114,$I32)))</f>
        <v>2</v>
      </c>
      <c r="D32" s="56" t="n">
        <f aca="false">IF($I32="","",INDEX(Stock!$J$8:$J$114,$I32))</f>
        <v>16849</v>
      </c>
      <c r="E32" s="57" t="n">
        <f aca="false">IF($I32="","",INDEX(Stock!$K$8:$K$114,$I32))</f>
        <v>33698</v>
      </c>
      <c r="F32" s="58" t="str">
        <f aca="false">IF($I32="","",IF(INDEX(Stock!$L$8:$L$114,$I32)=0,"",INDEX(Stock!$L$8:$L$114,$I32)))</f>
        <v/>
      </c>
      <c r="G32" s="59" t="str">
        <f aca="false">IF($I32="","",INDEX(Stock!$M$8:$M$114,$I32))</f>
        <v/>
      </c>
      <c r="I32" s="60" t="n">
        <f aca="false">IFERROR(MATCH($A$24&amp;"#"&amp;7,Stock!$R$8:$R$114,0),"")</f>
        <v>15</v>
      </c>
    </row>
    <row r="33" customFormat="false" ht="12.75" hidden="false" customHeight="true" outlineLevel="0" collapsed="false">
      <c r="A33" s="61" t="str">
        <f aca="false">IF($I33="","",INDEX(Stock!$B$8:$B$114,$I33))</f>
        <v>PUD KZN 80/120</v>
      </c>
      <c r="B33" s="61" t="str">
        <f aca="false">IF($I33="","",IF(INDEX(Stock!$C$8:$C$114,$I33)=0,"",INDEX(Stock!$C$8:$C$114,$I33)))</f>
        <v>Slab</v>
      </c>
      <c r="C33" s="62" t="n">
        <f aca="false">IF($I33="","",IF(INDEX(Stock!$D$8:$D$114,$I33)=0,"",INDEX(Stock!$D$8:$D$114,$I33)))</f>
        <v>2</v>
      </c>
      <c r="D33" s="63" t="n">
        <f aca="false">IF($I33="","",INDEX(Stock!$J$8:$J$114,$I33))</f>
        <v>517</v>
      </c>
      <c r="E33" s="64" t="n">
        <f aca="false">IF($I33="","",INDEX(Stock!$K$8:$K$114,$I33))</f>
        <v>1034</v>
      </c>
      <c r="F33" s="65" t="str">
        <f aca="false">IF($I33="","",IF(INDEX(Stock!$L$8:$L$114,$I33)=0,"",INDEX(Stock!$L$8:$L$114,$I33)))</f>
        <v/>
      </c>
      <c r="G33" s="66" t="str">
        <f aca="false">IF($I33="","",INDEX(Stock!$M$8:$M$114,$I33))</f>
        <v/>
      </c>
      <c r="I33" s="60" t="n">
        <f aca="false">IFERROR(MATCH($A$24&amp;"#"&amp;8,Stock!$R$8:$R$114,0),"")</f>
        <v>16</v>
      </c>
    </row>
    <row r="34" customFormat="false" ht="12.75" hidden="false" customHeight="true" outlineLevel="0" collapsed="false">
      <c r="A34" s="54" t="str">
        <f aca="false">IF($I34="","",INDEX(Stock!$B$8:$B$114,$I34))</f>
        <v>PUD NRN 80/120</v>
      </c>
      <c r="B34" s="54" t="str">
        <f aca="false">IF($I34="","",IF(INDEX(Stock!$C$8:$C$114,$I34)=0,"",INDEX(Stock!$C$8:$C$114,$I34)))</f>
        <v>Slab</v>
      </c>
      <c r="C34" s="55" t="n">
        <f aca="false">IF($I34="","",IF(INDEX(Stock!$D$8:$D$114,$I34)=0,"",INDEX(Stock!$D$8:$D$114,$I34)))</f>
        <v>2</v>
      </c>
      <c r="D34" s="56" t="n">
        <f aca="false">IF($I34="","",INDEX(Stock!$J$8:$J$114,$I34))</f>
        <v>72</v>
      </c>
      <c r="E34" s="57" t="n">
        <f aca="false">IF($I34="","",INDEX(Stock!$K$8:$K$114,$I34))</f>
        <v>144</v>
      </c>
      <c r="F34" s="58" t="str">
        <f aca="false">IF($I34="","",IF(INDEX(Stock!$L$8:$L$114,$I34)=0,"",INDEX(Stock!$L$8:$L$114,$I34)))</f>
        <v/>
      </c>
      <c r="G34" s="59" t="str">
        <f aca="false">IF($I34="","",INDEX(Stock!$M$8:$M$114,$I34))</f>
        <v/>
      </c>
      <c r="I34" s="60" t="n">
        <f aca="false">IFERROR(MATCH($A$24&amp;"#"&amp;9,Stock!$R$8:$R$114,0),"")</f>
        <v>17</v>
      </c>
    </row>
    <row r="35" customFormat="false" ht="12.75" hidden="false" customHeight="true" outlineLevel="0" collapsed="false">
      <c r="A35" s="61" t="str">
        <f aca="false">IF($I35="","",INDEX(Stock!$B$8:$B$114,$I35))</f>
        <v>PUD PVN 100/200</v>
      </c>
      <c r="B35" s="61" t="str">
        <f aca="false">IF($I35="","",IF(INDEX(Stock!$C$8:$C$114,$I35)=0,"",INDEX(Stock!$C$8:$C$114,$I35)))</f>
        <v>Slab</v>
      </c>
      <c r="C35" s="62" t="n">
        <f aca="false">IF($I35="","",IF(INDEX(Stock!$D$8:$D$114,$I35)=0,"",INDEX(Stock!$D$8:$D$114,$I35)))</f>
        <v>2</v>
      </c>
      <c r="D35" s="63" t="n">
        <f aca="false">IF($I35="","",INDEX(Stock!$J$8:$J$114,$I35))</f>
        <v>2617</v>
      </c>
      <c r="E35" s="64" t="n">
        <f aca="false">IF($I35="","",INDEX(Stock!$K$8:$K$114,$I35))</f>
        <v>5234</v>
      </c>
      <c r="F35" s="65" t="str">
        <f aca="false">IF($I35="","",IF(INDEX(Stock!$L$8:$L$114,$I35)=0,"",INDEX(Stock!$L$8:$L$114,$I35)))</f>
        <v/>
      </c>
      <c r="G35" s="66" t="str">
        <f aca="false">IF($I35="","",INDEX(Stock!$M$8:$M$114,$I35))</f>
        <v/>
      </c>
      <c r="I35" s="60" t="n">
        <f aca="false">IFERROR(MATCH($A$24&amp;"#"&amp;10,Stock!$R$8:$R$114,0),"")</f>
        <v>18</v>
      </c>
    </row>
    <row r="36" customFormat="false" ht="12.75" hidden="false" customHeight="true" outlineLevel="0" collapsed="false">
      <c r="A36" s="54" t="str">
        <f aca="false">IF($I36="","",INDEX(Stock!$B$8:$B$114,$I36))</f>
        <v>PUD KKD 100/200</v>
      </c>
      <c r="B36" s="54" t="str">
        <f aca="false">IF($I36="","",IF(INDEX(Stock!$C$8:$C$114,$I36)=0,"",INDEX(Stock!$C$8:$C$114,$I36)))</f>
        <v>Slab</v>
      </c>
      <c r="C36" s="55" t="n">
        <f aca="false">IF($I36="","",IF(INDEX(Stock!$D$8:$D$114,$I36)=0,"",INDEX(Stock!$D$8:$D$114,$I36)))</f>
        <v>2</v>
      </c>
      <c r="D36" s="56" t="n">
        <f aca="false">IF($I36="","",INDEX(Stock!$J$8:$J$114,$I36))</f>
        <v>0</v>
      </c>
      <c r="E36" s="57" t="n">
        <f aca="false">IF($I36="","",INDEX(Stock!$K$8:$K$114,$I36))</f>
        <v>0</v>
      </c>
      <c r="F36" s="58" t="str">
        <f aca="false">IF($I36="","",IF(INDEX(Stock!$L$8:$L$114,$I36)=0,"",INDEX(Stock!$L$8:$L$114,$I36)))</f>
        <v/>
      </c>
      <c r="G36" s="59" t="str">
        <f aca="false">IF($I36="","",INDEX(Stock!$M$8:$M$114,$I36))</f>
        <v/>
      </c>
      <c r="I36" s="60" t="n">
        <f aca="false">IFERROR(MATCH($A$24&amp;"#"&amp;11,Stock!$R$8:$R$114,0),"")</f>
        <v>19</v>
      </c>
    </row>
    <row r="37" customFormat="false" ht="12.75" hidden="false" customHeight="true" outlineLevel="0" collapsed="false">
      <c r="A37" s="61" t="str">
        <f aca="false">IF($I37="","",INDEX(Stock!$B$8:$B$114,$I37))</f>
        <v>PUD KZN 100/200</v>
      </c>
      <c r="B37" s="61" t="str">
        <f aca="false">IF($I37="","",IF(INDEX(Stock!$C$8:$C$114,$I37)=0,"",INDEX(Stock!$C$8:$C$114,$I37)))</f>
        <v>Slab</v>
      </c>
      <c r="C37" s="62" t="n">
        <f aca="false">IF($I37="","",IF(INDEX(Stock!$D$8:$D$114,$I37)=0,"",INDEX(Stock!$D$8:$D$114,$I37)))</f>
        <v>2</v>
      </c>
      <c r="D37" s="63" t="n">
        <f aca="false">IF($I37="","",INDEX(Stock!$J$8:$J$114,$I37))</f>
        <v>4274</v>
      </c>
      <c r="E37" s="64" t="n">
        <f aca="false">IF($I37="","",INDEX(Stock!$K$8:$K$114,$I37))</f>
        <v>8548</v>
      </c>
      <c r="F37" s="65" t="str">
        <f aca="false">IF($I37="","",IF(INDEX(Stock!$L$8:$L$114,$I37)=0,"",INDEX(Stock!$L$8:$L$114,$I37)))</f>
        <v/>
      </c>
      <c r="G37" s="66" t="str">
        <f aca="false">IF($I37="","",INDEX(Stock!$M$8:$M$114,$I37))</f>
        <v/>
      </c>
      <c r="I37" s="60" t="n">
        <f aca="false">IFERROR(MATCH($A$24&amp;"#"&amp;12,Stock!$R$8:$R$114,0),"")</f>
        <v>20</v>
      </c>
    </row>
    <row r="38" customFormat="false" ht="12.75" hidden="false" customHeight="true" outlineLevel="0" collapsed="false">
      <c r="A38" s="54" t="str">
        <f aca="false">IF($I38="","",INDEX(Stock!$B$8:$B$114,$I38))</f>
        <v>PUD NRN 100/200</v>
      </c>
      <c r="B38" s="54" t="str">
        <f aca="false">IF($I38="","",IF(INDEX(Stock!$C$8:$C$114,$I38)=0,"",INDEX(Stock!$C$8:$C$114,$I38)))</f>
        <v>Slab</v>
      </c>
      <c r="C38" s="55" t="n">
        <f aca="false">IF($I38="","",IF(INDEX(Stock!$D$8:$D$114,$I38)=0,"",INDEX(Stock!$D$8:$D$114,$I38)))</f>
        <v>2</v>
      </c>
      <c r="D38" s="56" t="n">
        <f aca="false">IF($I38="","",INDEX(Stock!$J$8:$J$114,$I38))</f>
        <v>13</v>
      </c>
      <c r="E38" s="57" t="n">
        <f aca="false">IF($I38="","",INDEX(Stock!$K$8:$K$114,$I38))</f>
        <v>26</v>
      </c>
      <c r="F38" s="58" t="str">
        <f aca="false">IF($I38="","",IF(INDEX(Stock!$L$8:$L$114,$I38)=0,"",INDEX(Stock!$L$8:$L$114,$I38)))</f>
        <v/>
      </c>
      <c r="G38" s="59" t="str">
        <f aca="false">IF($I38="","",INDEX(Stock!$M$8:$M$114,$I38))</f>
        <v/>
      </c>
      <c r="I38" s="60" t="n">
        <f aca="false">IFERROR(MATCH($A$24&amp;"#"&amp;13,Stock!$R$8:$R$114,0),"")</f>
        <v>21</v>
      </c>
    </row>
    <row r="39" customFormat="false" ht="12.75" hidden="false" customHeight="true" outlineLevel="0" collapsed="false">
      <c r="A39" s="61" t="str">
        <f aca="false">IF($I39="","",INDEX(Stock!$B$8:$B$114,$I39))</f>
        <v>PUD PVN 200/300</v>
      </c>
      <c r="B39" s="61" t="str">
        <f aca="false">IF($I39="","",IF(INDEX(Stock!$C$8:$C$114,$I39)=0,"",INDEX(Stock!$C$8:$C$114,$I39)))</f>
        <v>Slab</v>
      </c>
      <c r="C39" s="62" t="n">
        <f aca="false">IF($I39="","",IF(INDEX(Stock!$D$8:$D$114,$I39)=0,"",INDEX(Stock!$D$8:$D$114,$I39)))</f>
        <v>2</v>
      </c>
      <c r="D39" s="63" t="n">
        <f aca="false">IF($I39="","",INDEX(Stock!$J$8:$J$114,$I39))</f>
        <v>0</v>
      </c>
      <c r="E39" s="64" t="n">
        <f aca="false">IF($I39="","",INDEX(Stock!$K$8:$K$114,$I39))</f>
        <v>0</v>
      </c>
      <c r="F39" s="65" t="str">
        <f aca="false">IF($I39="","",IF(INDEX(Stock!$L$8:$L$114,$I39)=0,"",INDEX(Stock!$L$8:$L$114,$I39)))</f>
        <v/>
      </c>
      <c r="G39" s="66" t="str">
        <f aca="false">IF($I39="","",INDEX(Stock!$M$8:$M$114,$I39))</f>
        <v/>
      </c>
      <c r="I39" s="60" t="n">
        <f aca="false">IFERROR(MATCH($A$24&amp;"#"&amp;14,Stock!$R$8:$R$114,0),"")</f>
        <v>22</v>
      </c>
    </row>
    <row r="40" customFormat="false" ht="12.75" hidden="false" customHeight="true" outlineLevel="0" collapsed="false">
      <c r="A40" s="54" t="str">
        <f aca="false">IF($I40="","",INDEX(Stock!$B$8:$B$114,$I40))</f>
        <v>PUD KKD 200/300</v>
      </c>
      <c r="B40" s="54" t="str">
        <f aca="false">IF($I40="","",IF(INDEX(Stock!$C$8:$C$114,$I40)=0,"",INDEX(Stock!$C$8:$C$114,$I40)))</f>
        <v>Slab</v>
      </c>
      <c r="C40" s="55" t="n">
        <f aca="false">IF($I40="","",IF(INDEX(Stock!$D$8:$D$114,$I40)=0,"",INDEX(Stock!$D$8:$D$114,$I40)))</f>
        <v>2</v>
      </c>
      <c r="D40" s="56" t="n">
        <f aca="false">IF($I40="","",INDEX(Stock!$J$8:$J$114,$I40))</f>
        <v>2757</v>
      </c>
      <c r="E40" s="57" t="n">
        <f aca="false">IF($I40="","",INDEX(Stock!$K$8:$K$114,$I40))</f>
        <v>5514</v>
      </c>
      <c r="F40" s="58" t="str">
        <f aca="false">IF($I40="","",IF(INDEX(Stock!$L$8:$L$114,$I40)=0,"",INDEX(Stock!$L$8:$L$114,$I40)))</f>
        <v/>
      </c>
      <c r="G40" s="59" t="str">
        <f aca="false">IF($I40="","",INDEX(Stock!$M$8:$M$114,$I40))</f>
        <v/>
      </c>
      <c r="I40" s="60" t="n">
        <f aca="false">IFERROR(MATCH($A$24&amp;"#"&amp;15,Stock!$R$8:$R$114,0),"")</f>
        <v>23</v>
      </c>
    </row>
    <row r="41" customFormat="false" ht="12.75" hidden="false" customHeight="true" outlineLevel="0" collapsed="false">
      <c r="A41" s="61" t="str">
        <f aca="false">IF($I41="","",INDEX(Stock!$B$8:$B$114,$I41))</f>
        <v>PUD KZN 200/300</v>
      </c>
      <c r="B41" s="61" t="str">
        <f aca="false">IF($I41="","",IF(INDEX(Stock!$C$8:$C$114,$I41)=0,"",INDEX(Stock!$C$8:$C$114,$I41)))</f>
        <v>Slab</v>
      </c>
      <c r="C41" s="62" t="n">
        <f aca="false">IF($I41="","",IF(INDEX(Stock!$D$8:$D$114,$I41)=0,"",INDEX(Stock!$D$8:$D$114,$I41)))</f>
        <v>2</v>
      </c>
      <c r="D41" s="63" t="n">
        <f aca="false">IF($I41="","",INDEX(Stock!$J$8:$J$114,$I41))</f>
        <v>1118</v>
      </c>
      <c r="E41" s="64" t="n">
        <f aca="false">IF($I41="","",INDEX(Stock!$K$8:$K$114,$I41))</f>
        <v>2236</v>
      </c>
      <c r="F41" s="65" t="str">
        <f aca="false">IF($I41="","",IF(INDEX(Stock!$L$8:$L$114,$I41)=0,"",INDEX(Stock!$L$8:$L$114,$I41)))</f>
        <v/>
      </c>
      <c r="G41" s="66" t="str">
        <f aca="false">IF($I41="","",INDEX(Stock!$M$8:$M$114,$I41))</f>
        <v/>
      </c>
      <c r="I41" s="60" t="n">
        <f aca="false">IFERROR(MATCH($A$24&amp;"#"&amp;16,Stock!$R$8:$R$114,0),"")</f>
        <v>24</v>
      </c>
    </row>
    <row r="42" customFormat="false" ht="12.75" hidden="false" customHeight="true" outlineLevel="0" collapsed="false">
      <c r="A42" s="54" t="str">
        <f aca="false">IF($I42="","",INDEX(Stock!$B$8:$B$114,$I42))</f>
        <v>PUD NRN 200/300</v>
      </c>
      <c r="B42" s="54" t="str">
        <f aca="false">IF($I42="","",IF(INDEX(Stock!$C$8:$C$114,$I42)=0,"",INDEX(Stock!$C$8:$C$114,$I42)))</f>
        <v>Slab</v>
      </c>
      <c r="C42" s="55" t="n">
        <f aca="false">IF($I42="","",IF(INDEX(Stock!$D$8:$D$114,$I42)=0,"",INDEX(Stock!$D$8:$D$114,$I42)))</f>
        <v>2</v>
      </c>
      <c r="D42" s="56" t="n">
        <f aca="false">IF($I42="","",INDEX(Stock!$J$8:$J$114,$I42))</f>
        <v>0</v>
      </c>
      <c r="E42" s="57" t="n">
        <f aca="false">IF($I42="","",INDEX(Stock!$K$8:$K$114,$I42))</f>
        <v>0</v>
      </c>
      <c r="F42" s="58" t="str">
        <f aca="false">IF($I42="","",IF(INDEX(Stock!$L$8:$L$114,$I42)=0,"",INDEX(Stock!$L$8:$L$114,$I42)))</f>
        <v/>
      </c>
      <c r="G42" s="59" t="str">
        <f aca="false">IF($I42="","",INDEX(Stock!$M$8:$M$114,$I42))</f>
        <v/>
      </c>
      <c r="I42" s="60" t="n">
        <f aca="false">IFERROR(MATCH($A$24&amp;"#"&amp;17,Stock!$R$8:$R$114,0),"")</f>
        <v>25</v>
      </c>
    </row>
    <row r="43" customFormat="false" ht="12.75" hidden="false" customHeight="true" outlineLevel="0" collapsed="false">
      <c r="A43" s="61" t="str">
        <f aca="false">IF($I43="","",INDEX(Stock!$B$8:$B$114,$I43))</f>
        <v>PUD PVN 300/500</v>
      </c>
      <c r="B43" s="61" t="str">
        <f aca="false">IF($I43="","",IF(INDEX(Stock!$C$8:$C$114,$I43)=0,"",INDEX(Stock!$C$8:$C$114,$I43)))</f>
        <v>Slab</v>
      </c>
      <c r="C43" s="62" t="n">
        <f aca="false">IF($I43="","",IF(INDEX(Stock!$D$8:$D$114,$I43)=0,"",INDEX(Stock!$D$8:$D$114,$I43)))</f>
        <v>2</v>
      </c>
      <c r="D43" s="63" t="n">
        <f aca="false">IF($I43="","",INDEX(Stock!$J$8:$J$114,$I43))</f>
        <v>577</v>
      </c>
      <c r="E43" s="64" t="n">
        <f aca="false">IF($I43="","",INDEX(Stock!$K$8:$K$114,$I43))</f>
        <v>1154</v>
      </c>
      <c r="F43" s="65" t="str">
        <f aca="false">IF($I43="","",IF(INDEX(Stock!$L$8:$L$114,$I43)=0,"",INDEX(Stock!$L$8:$L$114,$I43)))</f>
        <v/>
      </c>
      <c r="G43" s="66" t="str">
        <f aca="false">IF($I43="","",INDEX(Stock!$M$8:$M$114,$I43))</f>
        <v/>
      </c>
      <c r="I43" s="60" t="n">
        <f aca="false">IFERROR(MATCH($A$24&amp;"#"&amp;18,Stock!$R$8:$R$114,0),"")</f>
        <v>26</v>
      </c>
    </row>
    <row r="44" customFormat="false" ht="12.75" hidden="false" customHeight="true" outlineLevel="0" collapsed="false">
      <c r="A44" s="54" t="str">
        <f aca="false">IF($I44="","",INDEX(Stock!$B$8:$B$114,$I44))</f>
        <v>PUD KKD 300/500</v>
      </c>
      <c r="B44" s="54" t="str">
        <f aca="false">IF($I44="","",IF(INDEX(Stock!$C$8:$C$114,$I44)=0,"",INDEX(Stock!$C$8:$C$114,$I44)))</f>
        <v>Slab</v>
      </c>
      <c r="C44" s="55" t="n">
        <f aca="false">IF($I44="","",IF(INDEX(Stock!$D$8:$D$114,$I44)=0,"",INDEX(Stock!$D$8:$D$114,$I44)))</f>
        <v>2</v>
      </c>
      <c r="D44" s="56" t="n">
        <f aca="false">IF($I44="","",INDEX(Stock!$J$8:$J$114,$I44))</f>
        <v>1824</v>
      </c>
      <c r="E44" s="57" t="n">
        <f aca="false">IF($I44="","",INDEX(Stock!$K$8:$K$114,$I44))</f>
        <v>3648</v>
      </c>
      <c r="F44" s="58" t="str">
        <f aca="false">IF($I44="","",IF(INDEX(Stock!$L$8:$L$114,$I44)=0,"",INDEX(Stock!$L$8:$L$114,$I44)))</f>
        <v/>
      </c>
      <c r="G44" s="59" t="str">
        <f aca="false">IF($I44="","",INDEX(Stock!$M$8:$M$114,$I44))</f>
        <v/>
      </c>
      <c r="I44" s="60" t="n">
        <f aca="false">IFERROR(MATCH($A$24&amp;"#"&amp;19,Stock!$R$8:$R$114,0),"")</f>
        <v>27</v>
      </c>
    </row>
    <row r="45" customFormat="false" ht="12.75" hidden="false" customHeight="true" outlineLevel="0" collapsed="false">
      <c r="A45" s="61" t="str">
        <f aca="false">IF($I45="","",INDEX(Stock!$B$8:$B$114,$I45))</f>
        <v/>
      </c>
      <c r="B45" s="61" t="str">
        <f aca="false">IF($I45="","",IF(INDEX(Stock!$C$8:$C$114,$I45)=0,"",INDEX(Stock!$C$8:$C$114,$I45)))</f>
        <v/>
      </c>
      <c r="C45" s="62" t="str">
        <f aca="false">IF($I45="","",IF(INDEX(Stock!$D$8:$D$114,$I45)=0,"",INDEX(Stock!$D$8:$D$114,$I45)))</f>
        <v/>
      </c>
      <c r="D45" s="63" t="str">
        <f aca="false">IF($I45="","",INDEX(Stock!$J$8:$J$114,$I45))</f>
        <v/>
      </c>
      <c r="E45" s="64" t="str">
        <f aca="false">IF($I45="","",INDEX(Stock!$K$8:$K$114,$I45))</f>
        <v/>
      </c>
      <c r="F45" s="65" t="str">
        <f aca="false">IF($I45="","",IF(INDEX(Stock!$L$8:$L$114,$I45)=0,"",INDEX(Stock!$L$8:$L$114,$I45)))</f>
        <v/>
      </c>
      <c r="G45" s="66" t="str">
        <f aca="false">IF($I45="","",INDEX(Stock!$M$8:$M$114,$I45))</f>
        <v/>
      </c>
      <c r="I45" s="60" t="str">
        <f aca="false">IFERROR(MATCH($A$24&amp;"#"&amp;20,Stock!$R$8:$R$114,0),"")</f>
        <v/>
      </c>
    </row>
    <row r="46" customFormat="false" ht="12.75" hidden="false" customHeight="true" outlineLevel="0" collapsed="false">
      <c r="A46" s="54" t="str">
        <f aca="false">IF($I46="","",INDEX(Stock!$B$8:$B$114,$I46))</f>
        <v/>
      </c>
      <c r="B46" s="54" t="str">
        <f aca="false">IF($I46="","",IF(INDEX(Stock!$C$8:$C$114,$I46)=0,"",INDEX(Stock!$C$8:$C$114,$I46)))</f>
        <v/>
      </c>
      <c r="C46" s="55" t="str">
        <f aca="false">IF($I46="","",IF(INDEX(Stock!$D$8:$D$114,$I46)=0,"",INDEX(Stock!$D$8:$D$114,$I46)))</f>
        <v/>
      </c>
      <c r="D46" s="56" t="str">
        <f aca="false">IF($I46="","",INDEX(Stock!$J$8:$J$114,$I46))</f>
        <v/>
      </c>
      <c r="E46" s="57" t="str">
        <f aca="false">IF($I46="","",INDEX(Stock!$K$8:$K$114,$I46))</f>
        <v/>
      </c>
      <c r="F46" s="58" t="str">
        <f aca="false">IF($I46="","",IF(INDEX(Stock!$L$8:$L$114,$I46)=0,"",INDEX(Stock!$L$8:$L$114,$I46)))</f>
        <v/>
      </c>
      <c r="G46" s="59" t="str">
        <f aca="false">IF($I46="","",INDEX(Stock!$M$8:$M$114,$I46))</f>
        <v/>
      </c>
      <c r="I46" s="60" t="str">
        <f aca="false">IFERROR(MATCH($A$24&amp;"#"&amp;21,Stock!$R$8:$R$114,0),"")</f>
        <v/>
      </c>
    </row>
    <row r="47" customFormat="false" ht="12.75" hidden="false" customHeight="true" outlineLevel="0" collapsed="false">
      <c r="A47" s="61" t="str">
        <f aca="false">IF($I47="","",INDEX(Stock!$B$8:$B$114,$I47))</f>
        <v/>
      </c>
      <c r="B47" s="61" t="str">
        <f aca="false">IF($I47="","",IF(INDEX(Stock!$C$8:$C$114,$I47)=0,"",INDEX(Stock!$C$8:$C$114,$I47)))</f>
        <v/>
      </c>
      <c r="C47" s="62" t="str">
        <f aca="false">IF($I47="","",IF(INDEX(Stock!$D$8:$D$114,$I47)=0,"",INDEX(Stock!$D$8:$D$114,$I47)))</f>
        <v/>
      </c>
      <c r="D47" s="63" t="str">
        <f aca="false">IF($I47="","",INDEX(Stock!$J$8:$J$114,$I47))</f>
        <v/>
      </c>
      <c r="E47" s="64" t="str">
        <f aca="false">IF($I47="","",INDEX(Stock!$K$8:$K$114,$I47))</f>
        <v/>
      </c>
      <c r="F47" s="65" t="str">
        <f aca="false">IF($I47="","",IF(INDEX(Stock!$L$8:$L$114,$I47)=0,"",INDEX(Stock!$L$8:$L$114,$I47)))</f>
        <v/>
      </c>
      <c r="G47" s="66" t="str">
        <f aca="false">IF($I47="","",INDEX(Stock!$M$8:$M$114,$I47))</f>
        <v/>
      </c>
      <c r="I47" s="60" t="str">
        <f aca="false">IFERROR(MATCH($A$24&amp;"#"&amp;22,Stock!$R$8:$R$114,0),"")</f>
        <v/>
      </c>
    </row>
    <row r="48" customFormat="false" ht="15" hidden="false" customHeight="false" outlineLevel="0" collapsed="false">
      <c r="A48" s="67" t="str">
        <f aca="false">IF($A$24="","",$A$24&amp;" total")</f>
        <v>Primus Japan total</v>
      </c>
      <c r="B48" s="67"/>
      <c r="C48" s="67"/>
      <c r="D48" s="67"/>
      <c r="E48" s="68" t="n">
        <f aca="false">SUM(E26:E47)</f>
        <v>61882</v>
      </c>
      <c r="F48" s="67"/>
      <c r="G48" s="69" t="n">
        <f aca="false">SUM(G26:G47)</f>
        <v>0</v>
      </c>
    </row>
    <row r="50" customFormat="false" ht="15.75" hidden="false" customHeight="true" outlineLevel="0" collapsed="false">
      <c r="A50" s="51" t="s">
        <v>89</v>
      </c>
      <c r="B50" s="51"/>
      <c r="C50" s="51"/>
      <c r="D50" s="51"/>
      <c r="E50" s="51"/>
      <c r="F50" s="51"/>
      <c r="G50" s="51"/>
    </row>
    <row r="51" customFormat="false" ht="19.5" hidden="false" customHeight="true" outlineLevel="0" collapsed="false">
      <c r="A51" s="52" t="s">
        <v>44</v>
      </c>
      <c r="B51" s="53" t="s">
        <v>45</v>
      </c>
      <c r="C51" s="53" t="s">
        <v>46</v>
      </c>
      <c r="D51" s="53" t="s">
        <v>52</v>
      </c>
      <c r="E51" s="53" t="s">
        <v>53</v>
      </c>
      <c r="F51" s="53" t="s">
        <v>54</v>
      </c>
      <c r="G51" s="53" t="s">
        <v>55</v>
      </c>
    </row>
    <row r="52" customFormat="false" ht="12.75" hidden="false" customHeight="true" outlineLevel="0" collapsed="false">
      <c r="A52" s="54" t="str">
        <f aca="false">IF($I52="","",INDEX(Stock!$B$8:$B$114,$I52))</f>
        <v>PUD 20/40</v>
      </c>
      <c r="B52" s="54" t="str">
        <f aca="false">IF($I52="","",IF(INDEX(Stock!$C$8:$C$114,$I52)=0,"",INDEX(Stock!$C$8:$C$114,$I52)))</f>
        <v>Slab</v>
      </c>
      <c r="C52" s="55" t="n">
        <f aca="false">IF($I52="","",IF(INDEX(Stock!$D$8:$D$114,$I52)=0,"",INDEX(Stock!$D$8:$D$114,$I52)))</f>
        <v>2</v>
      </c>
      <c r="D52" s="56" t="n">
        <f aca="false">IF($I52="","",INDEX(Stock!$J$8:$J$114,$I52))</f>
        <v>185</v>
      </c>
      <c r="E52" s="57" t="n">
        <f aca="false">IF($I52="","",INDEX(Stock!$K$8:$K$114,$I52))</f>
        <v>370</v>
      </c>
      <c r="F52" s="58" t="str">
        <f aca="false">IF($I52="","",IF(INDEX(Stock!$L$8:$L$114,$I52)=0,"",INDEX(Stock!$L$8:$L$114,$I52)))</f>
        <v/>
      </c>
      <c r="G52" s="59" t="str">
        <f aca="false">IF($I52="","",INDEX(Stock!$M$8:$M$114,$I52))</f>
        <v/>
      </c>
      <c r="I52" s="60" t="n">
        <f aca="false">IFERROR(MATCH($A$50&amp;"#"&amp;1,Stock!$R$8:$R$114,0),"")</f>
        <v>28</v>
      </c>
    </row>
    <row r="53" customFormat="false" ht="12.75" hidden="false" customHeight="true" outlineLevel="0" collapsed="false">
      <c r="A53" s="61" t="str">
        <f aca="false">IF($I53="","",INDEX(Stock!$B$8:$B$114,$I53))</f>
        <v>PUD 40/60</v>
      </c>
      <c r="B53" s="61" t="str">
        <f aca="false">IF($I53="","",IF(INDEX(Stock!$C$8:$C$114,$I53)=0,"",INDEX(Stock!$C$8:$C$114,$I53)))</f>
        <v>Slab</v>
      </c>
      <c r="C53" s="62" t="n">
        <f aca="false">IF($I53="","",IF(INDEX(Stock!$D$8:$D$114,$I53)=0,"",INDEX(Stock!$D$8:$D$114,$I53)))</f>
        <v>2</v>
      </c>
      <c r="D53" s="63" t="n">
        <f aca="false">IF($I53="","",INDEX(Stock!$J$8:$J$114,$I53))</f>
        <v>368</v>
      </c>
      <c r="E53" s="64" t="n">
        <f aca="false">IF($I53="","",INDEX(Stock!$K$8:$K$114,$I53))</f>
        <v>736</v>
      </c>
      <c r="F53" s="65" t="str">
        <f aca="false">IF($I53="","",IF(INDEX(Stock!$L$8:$L$114,$I53)=0,"",INDEX(Stock!$L$8:$L$114,$I53)))</f>
        <v/>
      </c>
      <c r="G53" s="66" t="str">
        <f aca="false">IF($I53="","",INDEX(Stock!$M$8:$M$114,$I53))</f>
        <v/>
      </c>
      <c r="I53" s="60" t="n">
        <f aca="false">IFERROR(MATCH($A$50&amp;"#"&amp;2,Stock!$R$8:$R$114,0),"")</f>
        <v>29</v>
      </c>
    </row>
    <row r="54" customFormat="false" ht="12.75" hidden="false" customHeight="true" outlineLevel="0" collapsed="false">
      <c r="A54" s="54" t="str">
        <f aca="false">IF($I54="","",INDEX(Stock!$B$8:$B$114,$I54))</f>
        <v>PUD 60/80</v>
      </c>
      <c r="B54" s="54" t="str">
        <f aca="false">IF($I54="","",IF(INDEX(Stock!$C$8:$C$114,$I54)=0,"",INDEX(Stock!$C$8:$C$114,$I54)))</f>
        <v>Slab</v>
      </c>
      <c r="C54" s="55" t="n">
        <f aca="false">IF($I54="","",IF(INDEX(Stock!$D$8:$D$114,$I54)=0,"",INDEX(Stock!$D$8:$D$114,$I54)))</f>
        <v>2</v>
      </c>
      <c r="D54" s="56" t="n">
        <f aca="false">IF($I54="","",INDEX(Stock!$J$8:$J$114,$I54))</f>
        <v>380</v>
      </c>
      <c r="E54" s="57" t="n">
        <f aca="false">IF($I54="","",INDEX(Stock!$K$8:$K$114,$I54))</f>
        <v>760</v>
      </c>
      <c r="F54" s="58" t="str">
        <f aca="false">IF($I54="","",IF(INDEX(Stock!$L$8:$L$114,$I54)=0,"",INDEX(Stock!$L$8:$L$114,$I54)))</f>
        <v/>
      </c>
      <c r="G54" s="59" t="str">
        <f aca="false">IF($I54="","",INDEX(Stock!$M$8:$M$114,$I54))</f>
        <v/>
      </c>
      <c r="I54" s="60" t="n">
        <f aca="false">IFERROR(MATCH($A$50&amp;"#"&amp;3,Stock!$R$8:$R$114,0),"")</f>
        <v>30</v>
      </c>
    </row>
    <row r="55" customFormat="false" ht="12.75" hidden="false" customHeight="true" outlineLevel="0" collapsed="false">
      <c r="A55" s="61" t="str">
        <f aca="false">IF($I55="","",INDEX(Stock!$B$8:$B$114,$I55))</f>
        <v>PUD 80/120</v>
      </c>
      <c r="B55" s="61" t="str">
        <f aca="false">IF($I55="","",IF(INDEX(Stock!$C$8:$C$114,$I55)=0,"",INDEX(Stock!$C$8:$C$114,$I55)))</f>
        <v>Slab</v>
      </c>
      <c r="C55" s="62" t="n">
        <f aca="false">IF($I55="","",IF(INDEX(Stock!$D$8:$D$114,$I55)=0,"",INDEX(Stock!$D$8:$D$114,$I55)))</f>
        <v>2</v>
      </c>
      <c r="D55" s="63" t="n">
        <f aca="false">IF($I55="","",INDEX(Stock!$J$8:$J$114,$I55))</f>
        <v>1151</v>
      </c>
      <c r="E55" s="64" t="n">
        <f aca="false">IF($I55="","",INDEX(Stock!$K$8:$K$114,$I55))</f>
        <v>2302</v>
      </c>
      <c r="F55" s="65" t="str">
        <f aca="false">IF($I55="","",IF(INDEX(Stock!$L$8:$L$114,$I55)=0,"",INDEX(Stock!$L$8:$L$114,$I55)))</f>
        <v/>
      </c>
      <c r="G55" s="66" t="str">
        <f aca="false">IF($I55="","",INDEX(Stock!$M$8:$M$114,$I55))</f>
        <v/>
      </c>
      <c r="I55" s="60" t="n">
        <f aca="false">IFERROR(MATCH($A$50&amp;"#"&amp;4,Stock!$R$8:$R$114,0),"")</f>
        <v>31</v>
      </c>
    </row>
    <row r="56" customFormat="false" ht="12.75" hidden="false" customHeight="true" outlineLevel="0" collapsed="false">
      <c r="A56" s="54" t="str">
        <f aca="false">IF($I56="","",INDEX(Stock!$B$8:$B$114,$I56))</f>
        <v>PUD 100/200</v>
      </c>
      <c r="B56" s="54" t="str">
        <f aca="false">IF($I56="","",IF(INDEX(Stock!$C$8:$C$114,$I56)=0,"",INDEX(Stock!$C$8:$C$114,$I56)))</f>
        <v>Slab</v>
      </c>
      <c r="C56" s="55" t="n">
        <f aca="false">IF($I56="","",IF(INDEX(Stock!$D$8:$D$114,$I56)=0,"",INDEX(Stock!$D$8:$D$114,$I56)))</f>
        <v>2</v>
      </c>
      <c r="D56" s="56" t="n">
        <f aca="false">IF($I56="","",INDEX(Stock!$J$8:$J$114,$I56))</f>
        <v>3797</v>
      </c>
      <c r="E56" s="57" t="n">
        <f aca="false">IF($I56="","",INDEX(Stock!$K$8:$K$114,$I56))</f>
        <v>7594</v>
      </c>
      <c r="F56" s="58" t="str">
        <f aca="false">IF($I56="","",IF(INDEX(Stock!$L$8:$L$114,$I56)=0,"",INDEX(Stock!$L$8:$L$114,$I56)))</f>
        <v/>
      </c>
      <c r="G56" s="59" t="str">
        <f aca="false">IF($I56="","",INDEX(Stock!$M$8:$M$114,$I56))</f>
        <v/>
      </c>
      <c r="I56" s="60" t="n">
        <f aca="false">IFERROR(MATCH($A$50&amp;"#"&amp;5,Stock!$R$8:$R$114,0),"")</f>
        <v>32</v>
      </c>
    </row>
    <row r="57" customFormat="false" ht="12.75" hidden="false" customHeight="true" outlineLevel="0" collapsed="false">
      <c r="A57" s="61" t="str">
        <f aca="false">IF($I57="","",INDEX(Stock!$B$8:$B$114,$I57))</f>
        <v>PUD 200/300</v>
      </c>
      <c r="B57" s="61" t="str">
        <f aca="false">IF($I57="","",IF(INDEX(Stock!$C$8:$C$114,$I57)=0,"",INDEX(Stock!$C$8:$C$114,$I57)))</f>
        <v>Slab</v>
      </c>
      <c r="C57" s="62" t="n">
        <f aca="false">IF($I57="","",IF(INDEX(Stock!$D$8:$D$114,$I57)=0,"",INDEX(Stock!$D$8:$D$114,$I57)))</f>
        <v>2</v>
      </c>
      <c r="D57" s="63" t="n">
        <f aca="false">IF($I57="","",INDEX(Stock!$J$8:$J$114,$I57))</f>
        <v>4118</v>
      </c>
      <c r="E57" s="64" t="n">
        <f aca="false">IF($I57="","",INDEX(Stock!$K$8:$K$114,$I57))</f>
        <v>8236</v>
      </c>
      <c r="F57" s="65" t="str">
        <f aca="false">IF($I57="","",IF(INDEX(Stock!$L$8:$L$114,$I57)=0,"",INDEX(Stock!$L$8:$L$114,$I57)))</f>
        <v/>
      </c>
      <c r="G57" s="66" t="str">
        <f aca="false">IF($I57="","",INDEX(Stock!$M$8:$M$114,$I57))</f>
        <v/>
      </c>
      <c r="I57" s="60" t="n">
        <f aca="false">IFERROR(MATCH($A$50&amp;"#"&amp;6,Stock!$R$8:$R$114,0),"")</f>
        <v>33</v>
      </c>
    </row>
    <row r="58" customFormat="false" ht="12.75" hidden="false" customHeight="true" outlineLevel="0" collapsed="false">
      <c r="A58" s="54" t="str">
        <f aca="false">IF($I58="","",INDEX(Stock!$B$8:$B$114,$I58))</f>
        <v>PUD 300/500</v>
      </c>
      <c r="B58" s="54" t="str">
        <f aca="false">IF($I58="","",IF(INDEX(Stock!$C$8:$C$114,$I58)=0,"",INDEX(Stock!$C$8:$C$114,$I58)))</f>
        <v>Slab</v>
      </c>
      <c r="C58" s="55" t="n">
        <f aca="false">IF($I58="","",IF(INDEX(Stock!$D$8:$D$114,$I58)=0,"",INDEX(Stock!$D$8:$D$114,$I58)))</f>
        <v>2</v>
      </c>
      <c r="D58" s="56" t="n">
        <f aca="false">IF($I58="","",INDEX(Stock!$J$8:$J$114,$I58))</f>
        <v>1490</v>
      </c>
      <c r="E58" s="57" t="n">
        <f aca="false">IF($I58="","",INDEX(Stock!$K$8:$K$114,$I58))</f>
        <v>2980</v>
      </c>
      <c r="F58" s="58" t="str">
        <f aca="false">IF($I58="","",IF(INDEX(Stock!$L$8:$L$114,$I58)=0,"",INDEX(Stock!$L$8:$L$114,$I58)))</f>
        <v/>
      </c>
      <c r="G58" s="59" t="str">
        <f aca="false">IF($I58="","",INDEX(Stock!$M$8:$M$114,$I58))</f>
        <v/>
      </c>
      <c r="I58" s="60" t="n">
        <f aca="false">IFERROR(MATCH($A$50&amp;"#"&amp;7,Stock!$R$8:$R$114,0),"")</f>
        <v>34</v>
      </c>
    </row>
    <row r="59" customFormat="false" ht="12.75" hidden="false" customHeight="true" outlineLevel="0" collapsed="false">
      <c r="A59" s="61" t="str">
        <f aca="false">IF($I59="","",INDEX(Stock!$B$8:$B$114,$I59))</f>
        <v>BKN</v>
      </c>
      <c r="B59" s="61" t="str">
        <f aca="false">IF($I59="","",IF(INDEX(Stock!$C$8:$C$114,$I59)=0,"",INDEX(Stock!$C$8:$C$114,$I59)))</f>
        <v>Slab</v>
      </c>
      <c r="C59" s="62" t="n">
        <f aca="false">IF($I59="","",IF(INDEX(Stock!$D$8:$D$114,$I59)=0,"",INDEX(Stock!$D$8:$D$114,$I59)))</f>
        <v>2</v>
      </c>
      <c r="D59" s="63" t="n">
        <f aca="false">IF($I59="","",INDEX(Stock!$J$8:$J$114,$I59))</f>
        <v>15213</v>
      </c>
      <c r="E59" s="64" t="n">
        <f aca="false">IF($I59="","",INDEX(Stock!$K$8:$K$114,$I59))</f>
        <v>30426</v>
      </c>
      <c r="F59" s="65" t="str">
        <f aca="false">IF($I59="","",IF(INDEX(Stock!$L$8:$L$114,$I59)=0,"",INDEX(Stock!$L$8:$L$114,$I59)))</f>
        <v/>
      </c>
      <c r="G59" s="66" t="str">
        <f aca="false">IF($I59="","",INDEX(Stock!$M$8:$M$114,$I59))</f>
        <v/>
      </c>
      <c r="I59" s="60" t="n">
        <f aca="false">IFERROR(MATCH($A$50&amp;"#"&amp;8,Stock!$R$8:$R$114,0),"")</f>
        <v>35</v>
      </c>
    </row>
    <row r="60" customFormat="false" ht="12.75" hidden="false" customHeight="true" outlineLevel="0" collapsed="false">
      <c r="A60" s="54" t="str">
        <f aca="false">IF($I60="","",INDEX(Stock!$B$8:$B$114,$I60))</f>
        <v/>
      </c>
      <c r="B60" s="54" t="str">
        <f aca="false">IF($I60="","",IF(INDEX(Stock!$C$8:$C$114,$I60)=0,"",INDEX(Stock!$C$8:$C$114,$I60)))</f>
        <v/>
      </c>
      <c r="C60" s="55" t="str">
        <f aca="false">IF($I60="","",IF(INDEX(Stock!$D$8:$D$114,$I60)=0,"",INDEX(Stock!$D$8:$D$114,$I60)))</f>
        <v/>
      </c>
      <c r="D60" s="56" t="str">
        <f aca="false">IF($I60="","",INDEX(Stock!$J$8:$J$114,$I60))</f>
        <v/>
      </c>
      <c r="E60" s="57" t="str">
        <f aca="false">IF($I60="","",INDEX(Stock!$K$8:$K$114,$I60))</f>
        <v/>
      </c>
      <c r="F60" s="58" t="str">
        <f aca="false">IF($I60="","",IF(INDEX(Stock!$L$8:$L$114,$I60)=0,"",INDEX(Stock!$L$8:$L$114,$I60)))</f>
        <v/>
      </c>
      <c r="G60" s="59" t="str">
        <f aca="false">IF($I60="","",INDEX(Stock!$M$8:$M$114,$I60))</f>
        <v/>
      </c>
      <c r="I60" s="60" t="str">
        <f aca="false">IFERROR(MATCH($A$50&amp;"#"&amp;9,Stock!$R$8:$R$114,0),"")</f>
        <v/>
      </c>
    </row>
    <row r="61" customFormat="false" ht="12.75" hidden="false" customHeight="true" outlineLevel="0" collapsed="false">
      <c r="A61" s="61" t="str">
        <f aca="false">IF($I61="","",INDEX(Stock!$B$8:$B$114,$I61))</f>
        <v/>
      </c>
      <c r="B61" s="61" t="str">
        <f aca="false">IF($I61="","",IF(INDEX(Stock!$C$8:$C$114,$I61)=0,"",INDEX(Stock!$C$8:$C$114,$I61)))</f>
        <v/>
      </c>
      <c r="C61" s="62" t="str">
        <f aca="false">IF($I61="","",IF(INDEX(Stock!$D$8:$D$114,$I61)=0,"",INDEX(Stock!$D$8:$D$114,$I61)))</f>
        <v/>
      </c>
      <c r="D61" s="63" t="str">
        <f aca="false">IF($I61="","",INDEX(Stock!$J$8:$J$114,$I61))</f>
        <v/>
      </c>
      <c r="E61" s="64" t="str">
        <f aca="false">IF($I61="","",INDEX(Stock!$K$8:$K$114,$I61))</f>
        <v/>
      </c>
      <c r="F61" s="65" t="str">
        <f aca="false">IF($I61="","",IF(INDEX(Stock!$L$8:$L$114,$I61)=0,"",INDEX(Stock!$L$8:$L$114,$I61)))</f>
        <v/>
      </c>
      <c r="G61" s="66" t="str">
        <f aca="false">IF($I61="","",INDEX(Stock!$M$8:$M$114,$I61))</f>
        <v/>
      </c>
      <c r="I61" s="60" t="str">
        <f aca="false">IFERROR(MATCH($A$50&amp;"#"&amp;10,Stock!$R$8:$R$114,0),"")</f>
        <v/>
      </c>
    </row>
    <row r="62" customFormat="false" ht="12.75" hidden="false" customHeight="true" outlineLevel="0" collapsed="false">
      <c r="A62" s="54" t="str">
        <f aca="false">IF($I62="","",INDEX(Stock!$B$8:$B$114,$I62))</f>
        <v/>
      </c>
      <c r="B62" s="54" t="str">
        <f aca="false">IF($I62="","",IF(INDEX(Stock!$C$8:$C$114,$I62)=0,"",INDEX(Stock!$C$8:$C$114,$I62)))</f>
        <v/>
      </c>
      <c r="C62" s="55" t="str">
        <f aca="false">IF($I62="","",IF(INDEX(Stock!$D$8:$D$114,$I62)=0,"",INDEX(Stock!$D$8:$D$114,$I62)))</f>
        <v/>
      </c>
      <c r="D62" s="56" t="str">
        <f aca="false">IF($I62="","",INDEX(Stock!$J$8:$J$114,$I62))</f>
        <v/>
      </c>
      <c r="E62" s="57" t="str">
        <f aca="false">IF($I62="","",INDEX(Stock!$K$8:$K$114,$I62))</f>
        <v/>
      </c>
      <c r="F62" s="58" t="str">
        <f aca="false">IF($I62="","",IF(INDEX(Stock!$L$8:$L$114,$I62)=0,"",INDEX(Stock!$L$8:$L$114,$I62)))</f>
        <v/>
      </c>
      <c r="G62" s="59" t="str">
        <f aca="false">IF($I62="","",INDEX(Stock!$M$8:$M$114,$I62))</f>
        <v/>
      </c>
      <c r="I62" s="60" t="str">
        <f aca="false">IFERROR(MATCH($A$50&amp;"#"&amp;11,Stock!$R$8:$R$114,0),"")</f>
        <v/>
      </c>
    </row>
    <row r="63" customFormat="false" ht="15" hidden="false" customHeight="false" outlineLevel="0" collapsed="false">
      <c r="A63" s="67" t="str">
        <f aca="false">IF($A$50="","",$A$50&amp;" total")</f>
        <v>Primus EU total</v>
      </c>
      <c r="B63" s="67"/>
      <c r="C63" s="67"/>
      <c r="D63" s="67"/>
      <c r="E63" s="68" t="n">
        <f aca="false">SUM(E52:E62)</f>
        <v>53404</v>
      </c>
      <c r="F63" s="67"/>
      <c r="G63" s="69" t="n">
        <f aca="false">SUM(G52:G62)</f>
        <v>0</v>
      </c>
    </row>
    <row r="65" customFormat="false" ht="15.75" hidden="false" customHeight="true" outlineLevel="0" collapsed="false">
      <c r="A65" s="51" t="s">
        <v>98</v>
      </c>
      <c r="B65" s="51"/>
      <c r="C65" s="51"/>
      <c r="D65" s="51"/>
      <c r="E65" s="51"/>
      <c r="F65" s="51"/>
      <c r="G65" s="51"/>
    </row>
    <row r="66" customFormat="false" ht="19.5" hidden="false" customHeight="true" outlineLevel="0" collapsed="false">
      <c r="A66" s="52" t="s">
        <v>44</v>
      </c>
      <c r="B66" s="53" t="s">
        <v>45</v>
      </c>
      <c r="C66" s="53" t="s">
        <v>46</v>
      </c>
      <c r="D66" s="53" t="s">
        <v>52</v>
      </c>
      <c r="E66" s="53" t="s">
        <v>53</v>
      </c>
      <c r="F66" s="53" t="s">
        <v>54</v>
      </c>
      <c r="G66" s="53" t="s">
        <v>55</v>
      </c>
    </row>
    <row r="67" customFormat="false" ht="12.75" hidden="false" customHeight="true" outlineLevel="0" collapsed="false">
      <c r="A67" s="54" t="str">
        <f aca="false">IF($I67="","",INDEX(Stock!$B$8:$B$114,$I67))</f>
        <v>PD PVN 100/200</v>
      </c>
      <c r="B67" s="54" t="str">
        <f aca="false">IF($I67="","",IF(INDEX(Stock!$C$8:$C$114,$I67)=0,"",INDEX(Stock!$C$8:$C$114,$I67)))</f>
        <v>Slab</v>
      </c>
      <c r="C67" s="55" t="n">
        <f aca="false">IF($I67="","",IF(INDEX(Stock!$D$8:$D$114,$I67)=0,"",INDEX(Stock!$D$8:$D$114,$I67)))</f>
        <v>2</v>
      </c>
      <c r="D67" s="56" t="n">
        <f aca="false">IF($I67="","",INDEX(Stock!$J$8:$J$114,$I67))</f>
        <v>0</v>
      </c>
      <c r="E67" s="57" t="n">
        <f aca="false">IF($I67="","",INDEX(Stock!$K$8:$K$114,$I67))</f>
        <v>0</v>
      </c>
      <c r="F67" s="58" t="str">
        <f aca="false">IF($I67="","",IF(INDEX(Stock!$L$8:$L$114,$I67)=0,"",INDEX(Stock!$L$8:$L$114,$I67)))</f>
        <v/>
      </c>
      <c r="G67" s="59" t="str">
        <f aca="false">IF($I67="","",INDEX(Stock!$M$8:$M$114,$I67))</f>
        <v/>
      </c>
      <c r="I67" s="60" t="n">
        <f aca="false">IFERROR(MATCH($A$65&amp;"#"&amp;1,Stock!$R$8:$R$114,0),"")</f>
        <v>36</v>
      </c>
    </row>
    <row r="68" customFormat="false" ht="12.75" hidden="false" customHeight="true" outlineLevel="0" collapsed="false">
      <c r="A68" s="61" t="str">
        <f aca="false">IF($I68="","",INDEX(Stock!$B$8:$B$114,$I68))</f>
        <v>PD KKD 100/200</v>
      </c>
      <c r="B68" s="61" t="str">
        <f aca="false">IF($I68="","",IF(INDEX(Stock!$C$8:$C$114,$I68)=0,"",INDEX(Stock!$C$8:$C$114,$I68)))</f>
        <v>Slab</v>
      </c>
      <c r="C68" s="62" t="n">
        <f aca="false">IF($I68="","",IF(INDEX(Stock!$D$8:$D$114,$I68)=0,"",INDEX(Stock!$D$8:$D$114,$I68)))</f>
        <v>2</v>
      </c>
      <c r="D68" s="63" t="n">
        <f aca="false">IF($I68="","",INDEX(Stock!$J$8:$J$114,$I68))</f>
        <v>0</v>
      </c>
      <c r="E68" s="64" t="n">
        <f aca="false">IF($I68="","",INDEX(Stock!$K$8:$K$114,$I68))</f>
        <v>0</v>
      </c>
      <c r="F68" s="65" t="str">
        <f aca="false">IF($I68="","",IF(INDEX(Stock!$L$8:$L$114,$I68)=0,"",INDEX(Stock!$L$8:$L$114,$I68)))</f>
        <v/>
      </c>
      <c r="G68" s="66" t="str">
        <f aca="false">IF($I68="","",INDEX(Stock!$M$8:$M$114,$I68))</f>
        <v/>
      </c>
      <c r="I68" s="60" t="n">
        <f aca="false">IFERROR(MATCH($A$65&amp;"#"&amp;2,Stock!$R$8:$R$114,0),"")</f>
        <v>37</v>
      </c>
    </row>
    <row r="69" customFormat="false" ht="12.75" hidden="false" customHeight="true" outlineLevel="0" collapsed="false">
      <c r="A69" s="54" t="str">
        <f aca="false">IF($I69="","",INDEX(Stock!$B$8:$B$114,$I69))</f>
        <v>PD PVN 200/300</v>
      </c>
      <c r="B69" s="54" t="str">
        <f aca="false">IF($I69="","",IF(INDEX(Stock!$C$8:$C$114,$I69)=0,"",INDEX(Stock!$C$8:$C$114,$I69)))</f>
        <v>Slab</v>
      </c>
      <c r="C69" s="55" t="n">
        <f aca="false">IF($I69="","",IF(INDEX(Stock!$D$8:$D$114,$I69)=0,"",INDEX(Stock!$D$8:$D$114,$I69)))</f>
        <v>2</v>
      </c>
      <c r="D69" s="56" t="n">
        <f aca="false">IF($I69="","",INDEX(Stock!$J$8:$J$114,$I69))</f>
        <v>0</v>
      </c>
      <c r="E69" s="57" t="n">
        <f aca="false">IF($I69="","",INDEX(Stock!$K$8:$K$114,$I69))</f>
        <v>0</v>
      </c>
      <c r="F69" s="58" t="str">
        <f aca="false">IF($I69="","",IF(INDEX(Stock!$L$8:$L$114,$I69)=0,"",INDEX(Stock!$L$8:$L$114,$I69)))</f>
        <v/>
      </c>
      <c r="G69" s="59" t="str">
        <f aca="false">IF($I69="","",INDEX(Stock!$M$8:$M$114,$I69))</f>
        <v/>
      </c>
      <c r="I69" s="60" t="n">
        <f aca="false">IFERROR(MATCH($A$65&amp;"#"&amp;3,Stock!$R$8:$R$114,0),"")</f>
        <v>38</v>
      </c>
    </row>
    <row r="70" customFormat="false" ht="12.75" hidden="false" customHeight="true" outlineLevel="0" collapsed="false">
      <c r="A70" s="61" t="str">
        <f aca="false">IF($I70="","",INDEX(Stock!$B$8:$B$114,$I70))</f>
        <v>PUD PVN 200/300</v>
      </c>
      <c r="B70" s="61" t="str">
        <f aca="false">IF($I70="","",IF(INDEX(Stock!$C$8:$C$114,$I70)=0,"",INDEX(Stock!$C$8:$C$114,$I70)))</f>
        <v>Slab</v>
      </c>
      <c r="C70" s="62" t="n">
        <f aca="false">IF($I70="","",IF(INDEX(Stock!$D$8:$D$114,$I70)=0,"",INDEX(Stock!$D$8:$D$114,$I70)))</f>
        <v>2</v>
      </c>
      <c r="D70" s="63" t="n">
        <f aca="false">IF($I70="","",INDEX(Stock!$J$8:$J$114,$I70))</f>
        <v>1516</v>
      </c>
      <c r="E70" s="64" t="n">
        <f aca="false">IF($I70="","",INDEX(Stock!$K$8:$K$114,$I70))</f>
        <v>3032</v>
      </c>
      <c r="F70" s="65" t="str">
        <f aca="false">IF($I70="","",IF(INDEX(Stock!$L$8:$L$114,$I70)=0,"",INDEX(Stock!$L$8:$L$114,$I70)))</f>
        <v/>
      </c>
      <c r="G70" s="66" t="str">
        <f aca="false">IF($I70="","",INDEX(Stock!$M$8:$M$114,$I70))</f>
        <v/>
      </c>
      <c r="I70" s="60" t="n">
        <f aca="false">IFERROR(MATCH($A$65&amp;"#"&amp;4,Stock!$R$8:$R$114,0),"")</f>
        <v>39</v>
      </c>
    </row>
    <row r="71" customFormat="false" ht="12.75" hidden="false" customHeight="true" outlineLevel="0" collapsed="false">
      <c r="A71" s="54" t="str">
        <f aca="false">IF($I71="","",INDEX(Stock!$B$8:$B$114,$I71))</f>
        <v>PUD KKD 200/300</v>
      </c>
      <c r="B71" s="54" t="str">
        <f aca="false">IF($I71="","",IF(INDEX(Stock!$C$8:$C$114,$I71)=0,"",INDEX(Stock!$C$8:$C$114,$I71)))</f>
        <v>Slab</v>
      </c>
      <c r="C71" s="55" t="n">
        <f aca="false">IF($I71="","",IF(INDEX(Stock!$D$8:$D$114,$I71)=0,"",INDEX(Stock!$D$8:$D$114,$I71)))</f>
        <v>2</v>
      </c>
      <c r="D71" s="56" t="n">
        <f aca="false">IF($I71="","",INDEX(Stock!$J$8:$J$114,$I71))</f>
        <v>0</v>
      </c>
      <c r="E71" s="57" t="n">
        <f aca="false">IF($I71="","",INDEX(Stock!$K$8:$K$114,$I71))</f>
        <v>0</v>
      </c>
      <c r="F71" s="58" t="str">
        <f aca="false">IF($I71="","",IF(INDEX(Stock!$L$8:$L$114,$I71)=0,"",INDEX(Stock!$L$8:$L$114,$I71)))</f>
        <v/>
      </c>
      <c r="G71" s="59" t="str">
        <f aca="false">IF($I71="","",INDEX(Stock!$M$8:$M$114,$I71))</f>
        <v/>
      </c>
      <c r="I71" s="60" t="n">
        <f aca="false">IFERROR(MATCH($A$65&amp;"#"&amp;5,Stock!$R$8:$R$114,0),"")</f>
        <v>40</v>
      </c>
    </row>
    <row r="72" customFormat="false" ht="12.75" hidden="false" customHeight="true" outlineLevel="0" collapsed="false">
      <c r="A72" s="61" t="str">
        <f aca="false">IF($I72="","",INDEX(Stock!$B$8:$B$114,$I72))</f>
        <v>PUD PVN 300/500</v>
      </c>
      <c r="B72" s="61" t="str">
        <f aca="false">IF($I72="","",IF(INDEX(Stock!$C$8:$C$114,$I72)=0,"",INDEX(Stock!$C$8:$C$114,$I72)))</f>
        <v>Slab</v>
      </c>
      <c r="C72" s="62" t="n">
        <f aca="false">IF($I72="","",IF(INDEX(Stock!$D$8:$D$114,$I72)=0,"",INDEX(Stock!$D$8:$D$114,$I72)))</f>
        <v>2</v>
      </c>
      <c r="D72" s="63" t="n">
        <f aca="false">IF($I72="","",INDEX(Stock!$J$8:$J$114,$I72))</f>
        <v>18</v>
      </c>
      <c r="E72" s="64" t="n">
        <f aca="false">IF($I72="","",INDEX(Stock!$K$8:$K$114,$I72))</f>
        <v>36</v>
      </c>
      <c r="F72" s="65" t="str">
        <f aca="false">IF($I72="","",IF(INDEX(Stock!$L$8:$L$114,$I72)=0,"",INDEX(Stock!$L$8:$L$114,$I72)))</f>
        <v/>
      </c>
      <c r="G72" s="66" t="str">
        <f aca="false">IF($I72="","",INDEX(Stock!$M$8:$M$114,$I72))</f>
        <v/>
      </c>
      <c r="I72" s="60" t="n">
        <f aca="false">IFERROR(MATCH($A$65&amp;"#"&amp;6,Stock!$R$8:$R$114,0),"")</f>
        <v>41</v>
      </c>
    </row>
    <row r="73" customFormat="false" ht="12.75" hidden="false" customHeight="true" outlineLevel="0" collapsed="false">
      <c r="A73" s="54" t="str">
        <f aca="false">IF($I73="","",INDEX(Stock!$B$8:$B$114,$I73))</f>
        <v>PUD KKD 300/500</v>
      </c>
      <c r="B73" s="54" t="str">
        <f aca="false">IF($I73="","",IF(INDEX(Stock!$C$8:$C$114,$I73)=0,"",INDEX(Stock!$C$8:$C$114,$I73)))</f>
        <v>Slab</v>
      </c>
      <c r="C73" s="55" t="n">
        <f aca="false">IF($I73="","",IF(INDEX(Stock!$D$8:$D$114,$I73)=0,"",INDEX(Stock!$D$8:$D$114,$I73)))</f>
        <v>2</v>
      </c>
      <c r="D73" s="56" t="n">
        <f aca="false">IF($I73="","",INDEX(Stock!$J$8:$J$114,$I73))</f>
        <v>0</v>
      </c>
      <c r="E73" s="57" t="n">
        <f aca="false">IF($I73="","",INDEX(Stock!$K$8:$K$114,$I73))</f>
        <v>0</v>
      </c>
      <c r="F73" s="58" t="str">
        <f aca="false">IF($I73="","",IF(INDEX(Stock!$L$8:$L$114,$I73)=0,"",INDEX(Stock!$L$8:$L$114,$I73)))</f>
        <v/>
      </c>
      <c r="G73" s="59" t="str">
        <f aca="false">IF($I73="","",INDEX(Stock!$M$8:$M$114,$I73))</f>
        <v/>
      </c>
      <c r="I73" s="60" t="n">
        <f aca="false">IFERROR(MATCH($A$65&amp;"#"&amp;7,Stock!$R$8:$R$114,0),"")</f>
        <v>42</v>
      </c>
    </row>
    <row r="74" customFormat="false" ht="12.75" hidden="false" customHeight="true" outlineLevel="0" collapsed="false">
      <c r="A74" s="61" t="str">
        <f aca="false">IF($I74="","",INDEX(Stock!$B$8:$B$114,$I74))</f>
        <v/>
      </c>
      <c r="B74" s="61" t="str">
        <f aca="false">IF($I74="","",IF(INDEX(Stock!$C$8:$C$114,$I74)=0,"",INDEX(Stock!$C$8:$C$114,$I74)))</f>
        <v/>
      </c>
      <c r="C74" s="62" t="str">
        <f aca="false">IF($I74="","",IF(INDEX(Stock!$D$8:$D$114,$I74)=0,"",INDEX(Stock!$D$8:$D$114,$I74)))</f>
        <v/>
      </c>
      <c r="D74" s="63" t="str">
        <f aca="false">IF($I74="","",INDEX(Stock!$J$8:$J$114,$I74))</f>
        <v/>
      </c>
      <c r="E74" s="64" t="str">
        <f aca="false">IF($I74="","",INDEX(Stock!$K$8:$K$114,$I74))</f>
        <v/>
      </c>
      <c r="F74" s="65" t="str">
        <f aca="false">IF($I74="","",IF(INDEX(Stock!$L$8:$L$114,$I74)=0,"",INDEX(Stock!$L$8:$L$114,$I74)))</f>
        <v/>
      </c>
      <c r="G74" s="66" t="str">
        <f aca="false">IF($I74="","",INDEX(Stock!$M$8:$M$114,$I74))</f>
        <v/>
      </c>
      <c r="I74" s="60" t="str">
        <f aca="false">IFERROR(MATCH($A$65&amp;"#"&amp;8,Stock!$R$8:$R$114,0),"")</f>
        <v/>
      </c>
    </row>
    <row r="75" customFormat="false" ht="12.75" hidden="false" customHeight="true" outlineLevel="0" collapsed="false">
      <c r="A75" s="54" t="str">
        <f aca="false">IF($I75="","",INDEX(Stock!$B$8:$B$114,$I75))</f>
        <v/>
      </c>
      <c r="B75" s="54" t="str">
        <f aca="false">IF($I75="","",IF(INDEX(Stock!$C$8:$C$114,$I75)=0,"",INDEX(Stock!$C$8:$C$114,$I75)))</f>
        <v/>
      </c>
      <c r="C75" s="55" t="str">
        <f aca="false">IF($I75="","",IF(INDEX(Stock!$D$8:$D$114,$I75)=0,"",INDEX(Stock!$D$8:$D$114,$I75)))</f>
        <v/>
      </c>
      <c r="D75" s="56" t="str">
        <f aca="false">IF($I75="","",INDEX(Stock!$J$8:$J$114,$I75))</f>
        <v/>
      </c>
      <c r="E75" s="57" t="str">
        <f aca="false">IF($I75="","",INDEX(Stock!$K$8:$K$114,$I75))</f>
        <v/>
      </c>
      <c r="F75" s="58" t="str">
        <f aca="false">IF($I75="","",IF(INDEX(Stock!$L$8:$L$114,$I75)=0,"",INDEX(Stock!$L$8:$L$114,$I75)))</f>
        <v/>
      </c>
      <c r="G75" s="59" t="str">
        <f aca="false">IF($I75="","",INDEX(Stock!$M$8:$M$114,$I75))</f>
        <v/>
      </c>
      <c r="I75" s="60" t="str">
        <f aca="false">IFERROR(MATCH($A$65&amp;"#"&amp;9,Stock!$R$8:$R$114,0),"")</f>
        <v/>
      </c>
    </row>
    <row r="76" customFormat="false" ht="12.75" hidden="false" customHeight="true" outlineLevel="0" collapsed="false">
      <c r="A76" s="61" t="str">
        <f aca="false">IF($I76="","",INDEX(Stock!$B$8:$B$114,$I76))</f>
        <v/>
      </c>
      <c r="B76" s="61" t="str">
        <f aca="false">IF($I76="","",IF(INDEX(Stock!$C$8:$C$114,$I76)=0,"",INDEX(Stock!$C$8:$C$114,$I76)))</f>
        <v/>
      </c>
      <c r="C76" s="62" t="str">
        <f aca="false">IF($I76="","",IF(INDEX(Stock!$D$8:$D$114,$I76)=0,"",INDEX(Stock!$D$8:$D$114,$I76)))</f>
        <v/>
      </c>
      <c r="D76" s="63" t="str">
        <f aca="false">IF($I76="","",INDEX(Stock!$J$8:$J$114,$I76))</f>
        <v/>
      </c>
      <c r="E76" s="64" t="str">
        <f aca="false">IF($I76="","",INDEX(Stock!$K$8:$K$114,$I76))</f>
        <v/>
      </c>
      <c r="F76" s="65" t="str">
        <f aca="false">IF($I76="","",IF(INDEX(Stock!$L$8:$L$114,$I76)=0,"",INDEX(Stock!$L$8:$L$114,$I76)))</f>
        <v/>
      </c>
      <c r="G76" s="66" t="str">
        <f aca="false">IF($I76="","",INDEX(Stock!$M$8:$M$114,$I76))</f>
        <v/>
      </c>
      <c r="I76" s="60" t="str">
        <f aca="false">IFERROR(MATCH($A$65&amp;"#"&amp;10,Stock!$R$8:$R$114,0),"")</f>
        <v/>
      </c>
    </row>
    <row r="77" customFormat="false" ht="15" hidden="false" customHeight="false" outlineLevel="0" collapsed="false">
      <c r="A77" s="67" t="str">
        <f aca="false">IF($A$65="","",$A$65&amp;" total")</f>
        <v>AMF Brand total</v>
      </c>
      <c r="B77" s="67"/>
      <c r="C77" s="67"/>
      <c r="D77" s="67"/>
      <c r="E77" s="68" t="n">
        <f aca="false">SUM(E67:E76)</f>
        <v>3068</v>
      </c>
      <c r="F77" s="67"/>
      <c r="G77" s="69" t="n">
        <f aca="false">SUM(G67:G76)</f>
        <v>0</v>
      </c>
    </row>
    <row r="79" customFormat="false" ht="15.75" hidden="false" customHeight="true" outlineLevel="0" collapsed="false">
      <c r="A79" s="51" t="s">
        <v>99</v>
      </c>
      <c r="B79" s="51"/>
      <c r="C79" s="51"/>
      <c r="D79" s="51"/>
      <c r="E79" s="51"/>
      <c r="F79" s="51"/>
      <c r="G79" s="51"/>
    </row>
    <row r="80" customFormat="false" ht="19.5" hidden="false" customHeight="true" outlineLevel="0" collapsed="false">
      <c r="A80" s="52" t="s">
        <v>44</v>
      </c>
      <c r="B80" s="53" t="s">
        <v>45</v>
      </c>
      <c r="C80" s="53" t="s">
        <v>46</v>
      </c>
      <c r="D80" s="53" t="s">
        <v>52</v>
      </c>
      <c r="E80" s="53" t="s">
        <v>53</v>
      </c>
      <c r="F80" s="53" t="s">
        <v>54</v>
      </c>
      <c r="G80" s="53" t="s">
        <v>55</v>
      </c>
    </row>
    <row r="81" customFormat="false" ht="12.75" hidden="false" customHeight="true" outlineLevel="0" collapsed="false">
      <c r="A81" s="54" t="str">
        <f aca="false">IF($I81="","",INDEX(Stock!$B$8:$B$114,$I81))</f>
        <v>PUD PVN 80/120</v>
      </c>
      <c r="B81" s="54" t="str">
        <f aca="false">IF($I81="","",IF(INDEX(Stock!$C$8:$C$114,$I81)=0,"",INDEX(Stock!$C$8:$C$114,$I81)))</f>
        <v>Slab</v>
      </c>
      <c r="C81" s="55" t="n">
        <f aca="false">IF($I81="","",IF(INDEX(Stock!$D$8:$D$114,$I81)=0,"",INDEX(Stock!$D$8:$D$114,$I81)))</f>
        <v>2</v>
      </c>
      <c r="D81" s="56" t="n">
        <f aca="false">IF($I81="","",INDEX(Stock!$J$8:$J$114,$I81))</f>
        <v>4303</v>
      </c>
      <c r="E81" s="57" t="n">
        <f aca="false">IF($I81="","",INDEX(Stock!$K$8:$K$114,$I81))</f>
        <v>8606</v>
      </c>
      <c r="F81" s="58" t="str">
        <f aca="false">IF($I81="","",IF(INDEX(Stock!$L$8:$L$114,$I81)=0,"",INDEX(Stock!$L$8:$L$114,$I81)))</f>
        <v/>
      </c>
      <c r="G81" s="59" t="str">
        <f aca="false">IF($I81="","",INDEX(Stock!$M$8:$M$114,$I81))</f>
        <v/>
      </c>
      <c r="I81" s="60" t="n">
        <f aca="false">IFERROR(MATCH($A$79&amp;"#"&amp;1,Stock!$R$8:$R$114,0),"")</f>
        <v>43</v>
      </c>
    </row>
    <row r="82" customFormat="false" ht="12.75" hidden="false" customHeight="true" outlineLevel="0" collapsed="false">
      <c r="A82" s="61" t="str">
        <f aca="false">IF($I82="","",INDEX(Stock!$B$8:$B$114,$I82))</f>
        <v>PUD PVN 100/200</v>
      </c>
      <c r="B82" s="61" t="str">
        <f aca="false">IF($I82="","",IF(INDEX(Stock!$C$8:$C$114,$I82)=0,"",INDEX(Stock!$C$8:$C$114,$I82)))</f>
        <v>Slab</v>
      </c>
      <c r="C82" s="62" t="n">
        <f aca="false">IF($I82="","",IF(INDEX(Stock!$D$8:$D$114,$I82)=0,"",INDEX(Stock!$D$8:$D$114,$I82)))</f>
        <v>2</v>
      </c>
      <c r="D82" s="63" t="n">
        <f aca="false">IF($I82="","",INDEX(Stock!$J$8:$J$114,$I82))</f>
        <v>9424</v>
      </c>
      <c r="E82" s="64" t="n">
        <f aca="false">IF($I82="","",INDEX(Stock!$K$8:$K$114,$I82))</f>
        <v>18848</v>
      </c>
      <c r="F82" s="65" t="str">
        <f aca="false">IF($I82="","",IF(INDEX(Stock!$L$8:$L$114,$I82)=0,"",INDEX(Stock!$L$8:$L$114,$I82)))</f>
        <v/>
      </c>
      <c r="G82" s="66" t="str">
        <f aca="false">IF($I82="","",INDEX(Stock!$M$8:$M$114,$I82))</f>
        <v/>
      </c>
      <c r="I82" s="60" t="n">
        <f aca="false">IFERROR(MATCH($A$79&amp;"#"&amp;2,Stock!$R$8:$R$114,0),"")</f>
        <v>44</v>
      </c>
    </row>
    <row r="83" customFormat="false" ht="12.75" hidden="false" customHeight="true" outlineLevel="0" collapsed="false">
      <c r="A83" s="54" t="str">
        <f aca="false">IF($I83="","",INDEX(Stock!$B$8:$B$114,$I83))</f>
        <v>PUD PVN 200/300</v>
      </c>
      <c r="B83" s="54" t="str">
        <f aca="false">IF($I83="","",IF(INDEX(Stock!$C$8:$C$114,$I83)=0,"",INDEX(Stock!$C$8:$C$114,$I83)))</f>
        <v>Slab</v>
      </c>
      <c r="C83" s="55" t="n">
        <f aca="false">IF($I83="","",IF(INDEX(Stock!$D$8:$D$114,$I83)=0,"",INDEX(Stock!$D$8:$D$114,$I83)))</f>
        <v>2</v>
      </c>
      <c r="D83" s="56" t="n">
        <f aca="false">IF($I83="","",INDEX(Stock!$J$8:$J$114,$I83))</f>
        <v>4682</v>
      </c>
      <c r="E83" s="57" t="n">
        <f aca="false">IF($I83="","",INDEX(Stock!$K$8:$K$114,$I83))</f>
        <v>9364</v>
      </c>
      <c r="F83" s="58" t="str">
        <f aca="false">IF($I83="","",IF(INDEX(Stock!$L$8:$L$114,$I83)=0,"",INDEX(Stock!$L$8:$L$114,$I83)))</f>
        <v/>
      </c>
      <c r="G83" s="59" t="str">
        <f aca="false">IF($I83="","",INDEX(Stock!$M$8:$M$114,$I83))</f>
        <v/>
      </c>
      <c r="I83" s="60" t="n">
        <f aca="false">IFERROR(MATCH($A$79&amp;"#"&amp;3,Stock!$R$8:$R$114,0),"")</f>
        <v>45</v>
      </c>
    </row>
    <row r="84" customFormat="false" ht="12.75" hidden="false" customHeight="true" outlineLevel="0" collapsed="false">
      <c r="A84" s="61" t="str">
        <f aca="false">IF($I84="","",INDEX(Stock!$B$8:$B$114,$I84))</f>
        <v/>
      </c>
      <c r="B84" s="61" t="str">
        <f aca="false">IF($I84="","",IF(INDEX(Stock!$C$8:$C$114,$I84)=0,"",INDEX(Stock!$C$8:$C$114,$I84)))</f>
        <v/>
      </c>
      <c r="C84" s="62" t="str">
        <f aca="false">IF($I84="","",IF(INDEX(Stock!$D$8:$D$114,$I84)=0,"",INDEX(Stock!$D$8:$D$114,$I84)))</f>
        <v/>
      </c>
      <c r="D84" s="63" t="str">
        <f aca="false">IF($I84="","",INDEX(Stock!$J$8:$J$114,$I84))</f>
        <v/>
      </c>
      <c r="E84" s="64" t="str">
        <f aca="false">IF($I84="","",INDEX(Stock!$K$8:$K$114,$I84))</f>
        <v/>
      </c>
      <c r="F84" s="65" t="str">
        <f aca="false">IF($I84="","",IF(INDEX(Stock!$L$8:$L$114,$I84)=0,"",INDEX(Stock!$L$8:$L$114,$I84)))</f>
        <v/>
      </c>
      <c r="G84" s="66" t="str">
        <f aca="false">IF($I84="","",INDEX(Stock!$M$8:$M$114,$I84))</f>
        <v/>
      </c>
      <c r="I84" s="60" t="str">
        <f aca="false">IFERROR(MATCH($A$79&amp;"#"&amp;4,Stock!$R$8:$R$114,0),"")</f>
        <v/>
      </c>
    </row>
    <row r="85" customFormat="false" ht="12.75" hidden="false" customHeight="true" outlineLevel="0" collapsed="false">
      <c r="A85" s="54" t="str">
        <f aca="false">IF($I85="","",INDEX(Stock!$B$8:$B$114,$I85))</f>
        <v/>
      </c>
      <c r="B85" s="54" t="str">
        <f aca="false">IF($I85="","",IF(INDEX(Stock!$C$8:$C$114,$I85)=0,"",INDEX(Stock!$C$8:$C$114,$I85)))</f>
        <v/>
      </c>
      <c r="C85" s="55" t="str">
        <f aca="false">IF($I85="","",IF(INDEX(Stock!$D$8:$D$114,$I85)=0,"",INDEX(Stock!$D$8:$D$114,$I85)))</f>
        <v/>
      </c>
      <c r="D85" s="56" t="str">
        <f aca="false">IF($I85="","",INDEX(Stock!$J$8:$J$114,$I85))</f>
        <v/>
      </c>
      <c r="E85" s="57" t="str">
        <f aca="false">IF($I85="","",INDEX(Stock!$K$8:$K$114,$I85))</f>
        <v/>
      </c>
      <c r="F85" s="58" t="str">
        <f aca="false">IF($I85="","",IF(INDEX(Stock!$L$8:$L$114,$I85)=0,"",INDEX(Stock!$L$8:$L$114,$I85)))</f>
        <v/>
      </c>
      <c r="G85" s="59" t="str">
        <f aca="false">IF($I85="","",INDEX(Stock!$M$8:$M$114,$I85))</f>
        <v/>
      </c>
      <c r="I85" s="60" t="str">
        <f aca="false">IFERROR(MATCH($A$79&amp;"#"&amp;5,Stock!$R$8:$R$114,0),"")</f>
        <v/>
      </c>
    </row>
    <row r="86" customFormat="false" ht="12.75" hidden="false" customHeight="true" outlineLevel="0" collapsed="false">
      <c r="A86" s="61" t="str">
        <f aca="false">IF($I86="","",INDEX(Stock!$B$8:$B$114,$I86))</f>
        <v/>
      </c>
      <c r="B86" s="61" t="str">
        <f aca="false">IF($I86="","",IF(INDEX(Stock!$C$8:$C$114,$I86)=0,"",INDEX(Stock!$C$8:$C$114,$I86)))</f>
        <v/>
      </c>
      <c r="C86" s="62" t="str">
        <f aca="false">IF($I86="","",IF(INDEX(Stock!$D$8:$D$114,$I86)=0,"",INDEX(Stock!$D$8:$D$114,$I86)))</f>
        <v/>
      </c>
      <c r="D86" s="63" t="str">
        <f aca="false">IF($I86="","",INDEX(Stock!$J$8:$J$114,$I86))</f>
        <v/>
      </c>
      <c r="E86" s="64" t="str">
        <f aca="false">IF($I86="","",INDEX(Stock!$K$8:$K$114,$I86))</f>
        <v/>
      </c>
      <c r="F86" s="65" t="str">
        <f aca="false">IF($I86="","",IF(INDEX(Stock!$L$8:$L$114,$I86)=0,"",INDEX(Stock!$L$8:$L$114,$I86)))</f>
        <v/>
      </c>
      <c r="G86" s="66" t="str">
        <f aca="false">IF($I86="","",INDEX(Stock!$M$8:$M$114,$I86))</f>
        <v/>
      </c>
      <c r="I86" s="60" t="str">
        <f aca="false">IFERROR(MATCH($A$79&amp;"#"&amp;6,Stock!$R$8:$R$114,0),"")</f>
        <v/>
      </c>
    </row>
    <row r="87" customFormat="false" ht="15" hidden="false" customHeight="false" outlineLevel="0" collapsed="false">
      <c r="A87" s="67" t="str">
        <f aca="false">IF($A$79="","",$A$79&amp;" total")</f>
        <v>THT Brand total</v>
      </c>
      <c r="B87" s="67"/>
      <c r="C87" s="67"/>
      <c r="D87" s="67"/>
      <c r="E87" s="68" t="n">
        <f aca="false">SUM(E81:E86)</f>
        <v>36818</v>
      </c>
      <c r="F87" s="67"/>
      <c r="G87" s="69" t="n">
        <f aca="false">SUM(G81:G86)</f>
        <v>0</v>
      </c>
    </row>
    <row r="89" customFormat="false" ht="15.75" hidden="false" customHeight="true" outlineLevel="0" collapsed="false">
      <c r="A89" s="51" t="s">
        <v>100</v>
      </c>
      <c r="B89" s="51"/>
      <c r="C89" s="51"/>
      <c r="D89" s="51"/>
      <c r="E89" s="51"/>
      <c r="F89" s="51"/>
      <c r="G89" s="51"/>
    </row>
    <row r="90" customFormat="false" ht="19.5" hidden="false" customHeight="true" outlineLevel="0" collapsed="false">
      <c r="A90" s="52" t="s">
        <v>44</v>
      </c>
      <c r="B90" s="53" t="s">
        <v>45</v>
      </c>
      <c r="C90" s="53" t="s">
        <v>46</v>
      </c>
      <c r="D90" s="53" t="s">
        <v>52</v>
      </c>
      <c r="E90" s="53" t="s">
        <v>53</v>
      </c>
      <c r="F90" s="53" t="s">
        <v>54</v>
      </c>
      <c r="G90" s="53" t="s">
        <v>55</v>
      </c>
    </row>
    <row r="91" customFormat="false" ht="12.75" hidden="false" customHeight="true" outlineLevel="0" collapsed="false">
      <c r="A91" s="54" t="str">
        <f aca="false">IF($I91="","",INDEX(Stock!$B$8:$B$114,$I91))</f>
        <v>PUD PVN 300/500</v>
      </c>
      <c r="B91" s="54" t="str">
        <f aca="false">IF($I91="","",IF(INDEX(Stock!$C$8:$C$114,$I91)=0,"",INDEX(Stock!$C$8:$C$114,$I91)))</f>
        <v>Slab</v>
      </c>
      <c r="C91" s="55" t="n">
        <f aca="false">IF($I91="","",IF(INDEX(Stock!$D$8:$D$114,$I91)=0,"",INDEX(Stock!$D$8:$D$114,$I91)))</f>
        <v>2</v>
      </c>
      <c r="D91" s="56" t="n">
        <f aca="false">IF($I91="","",INDEX(Stock!$J$8:$J$114,$I91))</f>
        <v>451</v>
      </c>
      <c r="E91" s="57" t="n">
        <f aca="false">IF($I91="","",INDEX(Stock!$K$8:$K$114,$I91))</f>
        <v>902</v>
      </c>
      <c r="F91" s="58" t="str">
        <f aca="false">IF($I91="","",IF(INDEX(Stock!$L$8:$L$114,$I91)=0,"",INDEX(Stock!$L$8:$L$114,$I91)))</f>
        <v/>
      </c>
      <c r="G91" s="59" t="str">
        <f aca="false">IF($I91="","",INDEX(Stock!$M$8:$M$114,$I91))</f>
        <v/>
      </c>
      <c r="I91" s="60" t="n">
        <f aca="false">IFERROR(MATCH($A$89&amp;"#"&amp;1,Stock!$R$8:$R$114,0),"")</f>
        <v>46</v>
      </c>
    </row>
    <row r="92" customFormat="false" ht="12.75" hidden="false" customHeight="true" outlineLevel="0" collapsed="false">
      <c r="A92" s="61" t="str">
        <f aca="false">IF($I92="","",INDEX(Stock!$B$8:$B$114,$I92))</f>
        <v>PUD KKD 300/500</v>
      </c>
      <c r="B92" s="61" t="str">
        <f aca="false">IF($I92="","",IF(INDEX(Stock!$C$8:$C$114,$I92)=0,"",INDEX(Stock!$C$8:$C$114,$I92)))</f>
        <v>Slab</v>
      </c>
      <c r="C92" s="62" t="n">
        <f aca="false">IF($I92="","",IF(INDEX(Stock!$D$8:$D$114,$I92)=0,"",INDEX(Stock!$D$8:$D$114,$I92)))</f>
        <v>2</v>
      </c>
      <c r="D92" s="63" t="n">
        <f aca="false">IF($I92="","",INDEX(Stock!$J$8:$J$114,$I92))</f>
        <v>188</v>
      </c>
      <c r="E92" s="64" t="n">
        <f aca="false">IF($I92="","",INDEX(Stock!$K$8:$K$114,$I92))</f>
        <v>376</v>
      </c>
      <c r="F92" s="65" t="str">
        <f aca="false">IF($I92="","",IF(INDEX(Stock!$L$8:$L$114,$I92)=0,"",INDEX(Stock!$L$8:$L$114,$I92)))</f>
        <v/>
      </c>
      <c r="G92" s="66" t="str">
        <f aca="false">IF($I92="","",INDEX(Stock!$M$8:$M$114,$I92))</f>
        <v/>
      </c>
      <c r="I92" s="60" t="n">
        <f aca="false">IFERROR(MATCH($A$89&amp;"#"&amp;2,Stock!$R$8:$R$114,0),"")</f>
        <v>47</v>
      </c>
    </row>
    <row r="93" customFormat="false" ht="12.75" hidden="false" customHeight="true" outlineLevel="0" collapsed="false">
      <c r="A93" s="54" t="str">
        <f aca="false">IF($I93="","",INDEX(Stock!$B$8:$B$114,$I93))</f>
        <v>PUD PVN 500/800</v>
      </c>
      <c r="B93" s="54" t="str">
        <f aca="false">IF($I93="","",IF(INDEX(Stock!$C$8:$C$114,$I93)=0,"",INDEX(Stock!$C$8:$C$114,$I93)))</f>
        <v>Slab</v>
      </c>
      <c r="C93" s="55" t="n">
        <f aca="false">IF($I93="","",IF(INDEX(Stock!$D$8:$D$114,$I93)=0,"",INDEX(Stock!$D$8:$D$114,$I93)))</f>
        <v>2</v>
      </c>
      <c r="D93" s="56" t="n">
        <f aca="false">IF($I93="","",INDEX(Stock!$J$8:$J$114,$I93))</f>
        <v>401</v>
      </c>
      <c r="E93" s="57" t="n">
        <f aca="false">IF($I93="","",INDEX(Stock!$K$8:$K$114,$I93))</f>
        <v>802</v>
      </c>
      <c r="F93" s="58" t="str">
        <f aca="false">IF($I93="","",IF(INDEX(Stock!$L$8:$L$114,$I93)=0,"",INDEX(Stock!$L$8:$L$114,$I93)))</f>
        <v/>
      </c>
      <c r="G93" s="59" t="str">
        <f aca="false">IF($I93="","",INDEX(Stock!$M$8:$M$114,$I93))</f>
        <v/>
      </c>
      <c r="I93" s="60" t="n">
        <f aca="false">IFERROR(MATCH($A$89&amp;"#"&amp;3,Stock!$R$8:$R$114,0),"")</f>
        <v>48</v>
      </c>
    </row>
    <row r="94" customFormat="false" ht="12.75" hidden="false" customHeight="true" outlineLevel="0" collapsed="false">
      <c r="A94" s="61" t="str">
        <f aca="false">IF($I94="","",INDEX(Stock!$B$8:$B$114,$I94))</f>
        <v>PUD KKD 500/800</v>
      </c>
      <c r="B94" s="61" t="str">
        <f aca="false">IF($I94="","",IF(INDEX(Stock!$C$8:$C$114,$I94)=0,"",INDEX(Stock!$C$8:$C$114,$I94)))</f>
        <v>Slab</v>
      </c>
      <c r="C94" s="62" t="n">
        <f aca="false">IF($I94="","",IF(INDEX(Stock!$D$8:$D$114,$I94)=0,"",INDEX(Stock!$D$8:$D$114,$I94)))</f>
        <v>2</v>
      </c>
      <c r="D94" s="63" t="n">
        <f aca="false">IF($I94="","",INDEX(Stock!$J$8:$J$114,$I94))</f>
        <v>1920</v>
      </c>
      <c r="E94" s="64" t="n">
        <f aca="false">IF($I94="","",INDEX(Stock!$K$8:$K$114,$I94))</f>
        <v>3840</v>
      </c>
      <c r="F94" s="65" t="str">
        <f aca="false">IF($I94="","",IF(INDEX(Stock!$L$8:$L$114,$I94)=0,"",INDEX(Stock!$L$8:$L$114,$I94)))</f>
        <v/>
      </c>
      <c r="G94" s="66" t="str">
        <f aca="false">IF($I94="","",INDEX(Stock!$M$8:$M$114,$I94))</f>
        <v/>
      </c>
      <c r="I94" s="60" t="n">
        <f aca="false">IFERROR(MATCH($A$89&amp;"#"&amp;4,Stock!$R$8:$R$114,0),"")</f>
        <v>49</v>
      </c>
    </row>
    <row r="95" customFormat="false" ht="12.75" hidden="false" customHeight="true" outlineLevel="0" collapsed="false">
      <c r="A95" s="54" t="str">
        <f aca="false">IF($I95="","",INDEX(Stock!$B$8:$B$114,$I95))</f>
        <v/>
      </c>
      <c r="B95" s="54" t="str">
        <f aca="false">IF($I95="","",IF(INDEX(Stock!$C$8:$C$114,$I95)=0,"",INDEX(Stock!$C$8:$C$114,$I95)))</f>
        <v/>
      </c>
      <c r="C95" s="55" t="str">
        <f aca="false">IF($I95="","",IF(INDEX(Stock!$D$8:$D$114,$I95)=0,"",INDEX(Stock!$D$8:$D$114,$I95)))</f>
        <v/>
      </c>
      <c r="D95" s="56" t="str">
        <f aca="false">IF($I95="","",INDEX(Stock!$J$8:$J$114,$I95))</f>
        <v/>
      </c>
      <c r="E95" s="57" t="str">
        <f aca="false">IF($I95="","",INDEX(Stock!$K$8:$K$114,$I95))</f>
        <v/>
      </c>
      <c r="F95" s="58" t="str">
        <f aca="false">IF($I95="","",IF(INDEX(Stock!$L$8:$L$114,$I95)=0,"",INDEX(Stock!$L$8:$L$114,$I95)))</f>
        <v/>
      </c>
      <c r="G95" s="59" t="str">
        <f aca="false">IF($I95="","",INDEX(Stock!$M$8:$M$114,$I95))</f>
        <v/>
      </c>
      <c r="I95" s="60" t="str">
        <f aca="false">IFERROR(MATCH($A$89&amp;"#"&amp;5,Stock!$R$8:$R$114,0),"")</f>
        <v/>
      </c>
    </row>
    <row r="96" customFormat="false" ht="12.75" hidden="false" customHeight="true" outlineLevel="0" collapsed="false">
      <c r="A96" s="61" t="str">
        <f aca="false">IF($I96="","",INDEX(Stock!$B$8:$B$114,$I96))</f>
        <v/>
      </c>
      <c r="B96" s="61" t="str">
        <f aca="false">IF($I96="","",IF(INDEX(Stock!$C$8:$C$114,$I96)=0,"",INDEX(Stock!$C$8:$C$114,$I96)))</f>
        <v/>
      </c>
      <c r="C96" s="62" t="str">
        <f aca="false">IF($I96="","",IF(INDEX(Stock!$D$8:$D$114,$I96)=0,"",INDEX(Stock!$D$8:$D$114,$I96)))</f>
        <v/>
      </c>
      <c r="D96" s="63" t="str">
        <f aca="false">IF($I96="","",INDEX(Stock!$J$8:$J$114,$I96))</f>
        <v/>
      </c>
      <c r="E96" s="64" t="str">
        <f aca="false">IF($I96="","",INDEX(Stock!$K$8:$K$114,$I96))</f>
        <v/>
      </c>
      <c r="F96" s="65" t="str">
        <f aca="false">IF($I96="","",IF(INDEX(Stock!$L$8:$L$114,$I96)=0,"",INDEX(Stock!$L$8:$L$114,$I96)))</f>
        <v/>
      </c>
      <c r="G96" s="66" t="str">
        <f aca="false">IF($I96="","",INDEX(Stock!$M$8:$M$114,$I96))</f>
        <v/>
      </c>
      <c r="I96" s="60" t="str">
        <f aca="false">IFERROR(MATCH($A$89&amp;"#"&amp;6,Stock!$R$8:$R$114,0),"")</f>
        <v/>
      </c>
    </row>
    <row r="97" customFormat="false" ht="12.75" hidden="false" customHeight="true" outlineLevel="0" collapsed="false">
      <c r="A97" s="54" t="str">
        <f aca="false">IF($I97="","",INDEX(Stock!$B$8:$B$114,$I97))</f>
        <v/>
      </c>
      <c r="B97" s="54" t="str">
        <f aca="false">IF($I97="","",IF(INDEX(Stock!$C$8:$C$114,$I97)=0,"",INDEX(Stock!$C$8:$C$114,$I97)))</f>
        <v/>
      </c>
      <c r="C97" s="55" t="str">
        <f aca="false">IF($I97="","",IF(INDEX(Stock!$D$8:$D$114,$I97)=0,"",INDEX(Stock!$D$8:$D$114,$I97)))</f>
        <v/>
      </c>
      <c r="D97" s="56" t="str">
        <f aca="false">IF($I97="","",INDEX(Stock!$J$8:$J$114,$I97))</f>
        <v/>
      </c>
      <c r="E97" s="57" t="str">
        <f aca="false">IF($I97="","",INDEX(Stock!$K$8:$K$114,$I97))</f>
        <v/>
      </c>
      <c r="F97" s="58" t="str">
        <f aca="false">IF($I97="","",IF(INDEX(Stock!$L$8:$L$114,$I97)=0,"",INDEX(Stock!$L$8:$L$114,$I97)))</f>
        <v/>
      </c>
      <c r="G97" s="59" t="str">
        <f aca="false">IF($I97="","",INDEX(Stock!$M$8:$M$114,$I97))</f>
        <v/>
      </c>
      <c r="I97" s="60" t="str">
        <f aca="false">IFERROR(MATCH($A$89&amp;"#"&amp;7,Stock!$R$8:$R$114,0),"")</f>
        <v/>
      </c>
    </row>
    <row r="98" customFormat="false" ht="15" hidden="false" customHeight="false" outlineLevel="0" collapsed="false">
      <c r="A98" s="67" t="str">
        <f aca="false">IF($A$89="","",$A$89&amp;" total")</f>
        <v>China total</v>
      </c>
      <c r="B98" s="67"/>
      <c r="C98" s="67"/>
      <c r="D98" s="67"/>
      <c r="E98" s="68" t="n">
        <f aca="false">SUM(E91:E97)</f>
        <v>5920</v>
      </c>
      <c r="F98" s="67"/>
      <c r="G98" s="69" t="n">
        <f aca="false">SUM(G91:G97)</f>
        <v>0</v>
      </c>
    </row>
    <row r="100" customFormat="false" ht="15.75" hidden="false" customHeight="true" outlineLevel="0" collapsed="false">
      <c r="A100" s="51" t="s">
        <v>103</v>
      </c>
      <c r="B100" s="51"/>
      <c r="C100" s="51"/>
      <c r="D100" s="51"/>
      <c r="E100" s="51"/>
      <c r="F100" s="51"/>
      <c r="G100" s="51"/>
    </row>
    <row r="101" customFormat="false" ht="19.5" hidden="false" customHeight="true" outlineLevel="0" collapsed="false">
      <c r="A101" s="52" t="s">
        <v>44</v>
      </c>
      <c r="B101" s="53" t="s">
        <v>45</v>
      </c>
      <c r="C101" s="53" t="s">
        <v>46</v>
      </c>
      <c r="D101" s="53" t="s">
        <v>52</v>
      </c>
      <c r="E101" s="53" t="s">
        <v>53</v>
      </c>
      <c r="F101" s="53" t="s">
        <v>54</v>
      </c>
      <c r="G101" s="53" t="s">
        <v>55</v>
      </c>
    </row>
    <row r="102" customFormat="false" ht="12.75" hidden="false" customHeight="true" outlineLevel="0" collapsed="false">
      <c r="A102" s="54" t="str">
        <f aca="false">IF($I102="","",INDEX(Stock!$B$8:$B$114,$I102))</f>
        <v>PUD 300/500</v>
      </c>
      <c r="B102" s="54" t="str">
        <f aca="false">IF($I102="","",IF(INDEX(Stock!$C$8:$C$114,$I102)=0,"",INDEX(Stock!$C$8:$C$114,$I102)))</f>
        <v>Slab</v>
      </c>
      <c r="C102" s="55" t="n">
        <f aca="false">IF($I102="","",IF(INDEX(Stock!$D$8:$D$114,$I102)=0,"",INDEX(Stock!$D$8:$D$114,$I102)))</f>
        <v>2</v>
      </c>
      <c r="D102" s="56" t="n">
        <f aca="false">IF($I102="","",INDEX(Stock!$J$8:$J$114,$I102))</f>
        <v>670</v>
      </c>
      <c r="E102" s="57" t="n">
        <f aca="false">IF($I102="","",INDEX(Stock!$K$8:$K$114,$I102))</f>
        <v>1340</v>
      </c>
      <c r="F102" s="58" t="str">
        <f aca="false">IF($I102="","",IF(INDEX(Stock!$L$8:$L$114,$I102)=0,"",INDEX(Stock!$L$8:$L$114,$I102)))</f>
        <v/>
      </c>
      <c r="G102" s="59" t="str">
        <f aca="false">IF($I102="","",INDEX(Stock!$M$8:$M$114,$I102))</f>
        <v/>
      </c>
      <c r="I102" s="60" t="n">
        <f aca="false">IFERROR(MATCH($A$100&amp;"#"&amp;1,Stock!$R$8:$R$114,0),"")</f>
        <v>50</v>
      </c>
    </row>
    <row r="103" customFormat="false" ht="12.75" hidden="false" customHeight="true" outlineLevel="0" collapsed="false">
      <c r="A103" s="61" t="str">
        <f aca="false">IF($I103="","",INDEX(Stock!$B$8:$B$114,$I103))</f>
        <v/>
      </c>
      <c r="B103" s="61" t="str">
        <f aca="false">IF($I103="","",IF(INDEX(Stock!$C$8:$C$114,$I103)=0,"",INDEX(Stock!$C$8:$C$114,$I103)))</f>
        <v/>
      </c>
      <c r="C103" s="62" t="str">
        <f aca="false">IF($I103="","",IF(INDEX(Stock!$D$8:$D$114,$I103)=0,"",INDEX(Stock!$D$8:$D$114,$I103)))</f>
        <v/>
      </c>
      <c r="D103" s="63" t="str">
        <f aca="false">IF($I103="","",INDEX(Stock!$J$8:$J$114,$I103))</f>
        <v/>
      </c>
      <c r="E103" s="64" t="str">
        <f aca="false">IF($I103="","",INDEX(Stock!$K$8:$K$114,$I103))</f>
        <v/>
      </c>
      <c r="F103" s="65" t="str">
        <f aca="false">IF($I103="","",IF(INDEX(Stock!$L$8:$L$114,$I103)=0,"",INDEX(Stock!$L$8:$L$114,$I103)))</f>
        <v/>
      </c>
      <c r="G103" s="66" t="str">
        <f aca="false">IF($I103="","",INDEX(Stock!$M$8:$M$114,$I103))</f>
        <v/>
      </c>
      <c r="I103" s="60" t="str">
        <f aca="false">IFERROR(MATCH($A$100&amp;"#"&amp;2,Stock!$R$8:$R$114,0),"")</f>
        <v/>
      </c>
    </row>
    <row r="104" customFormat="false" ht="12.75" hidden="false" customHeight="true" outlineLevel="0" collapsed="false">
      <c r="A104" s="54" t="str">
        <f aca="false">IF($I104="","",INDEX(Stock!$B$8:$B$114,$I104))</f>
        <v/>
      </c>
      <c r="B104" s="54" t="str">
        <f aca="false">IF($I104="","",IF(INDEX(Stock!$C$8:$C$114,$I104)=0,"",INDEX(Stock!$C$8:$C$114,$I104)))</f>
        <v/>
      </c>
      <c r="C104" s="55" t="str">
        <f aca="false">IF($I104="","",IF(INDEX(Stock!$D$8:$D$114,$I104)=0,"",INDEX(Stock!$D$8:$D$114,$I104)))</f>
        <v/>
      </c>
      <c r="D104" s="56" t="str">
        <f aca="false">IF($I104="","",INDEX(Stock!$J$8:$J$114,$I104))</f>
        <v/>
      </c>
      <c r="E104" s="57" t="str">
        <f aca="false">IF($I104="","",INDEX(Stock!$K$8:$K$114,$I104))</f>
        <v/>
      </c>
      <c r="F104" s="58" t="str">
        <f aca="false">IF($I104="","",IF(INDEX(Stock!$L$8:$L$114,$I104)=0,"",INDEX(Stock!$L$8:$L$114,$I104)))</f>
        <v/>
      </c>
      <c r="G104" s="59" t="str">
        <f aca="false">IF($I104="","",INDEX(Stock!$M$8:$M$114,$I104))</f>
        <v/>
      </c>
      <c r="I104" s="60" t="str">
        <f aca="false">IFERROR(MATCH($A$100&amp;"#"&amp;3,Stock!$R$8:$R$114,0),"")</f>
        <v/>
      </c>
    </row>
    <row r="105" customFormat="false" ht="12.75" hidden="false" customHeight="true" outlineLevel="0" collapsed="false">
      <c r="A105" s="61" t="str">
        <f aca="false">IF($I105="","",INDEX(Stock!$B$8:$B$114,$I105))</f>
        <v/>
      </c>
      <c r="B105" s="61" t="str">
        <f aca="false">IF($I105="","",IF(INDEX(Stock!$C$8:$C$114,$I105)=0,"",INDEX(Stock!$C$8:$C$114,$I105)))</f>
        <v/>
      </c>
      <c r="C105" s="62" t="str">
        <f aca="false">IF($I105="","",IF(INDEX(Stock!$D$8:$D$114,$I105)=0,"",INDEX(Stock!$D$8:$D$114,$I105)))</f>
        <v/>
      </c>
      <c r="D105" s="63" t="str">
        <f aca="false">IF($I105="","",INDEX(Stock!$J$8:$J$114,$I105))</f>
        <v/>
      </c>
      <c r="E105" s="64" t="str">
        <f aca="false">IF($I105="","",INDEX(Stock!$K$8:$K$114,$I105))</f>
        <v/>
      </c>
      <c r="F105" s="65" t="str">
        <f aca="false">IF($I105="","",IF(INDEX(Stock!$L$8:$L$114,$I105)=0,"",INDEX(Stock!$L$8:$L$114,$I105)))</f>
        <v/>
      </c>
      <c r="G105" s="66" t="str">
        <f aca="false">IF($I105="","",INDEX(Stock!$M$8:$M$114,$I105))</f>
        <v/>
      </c>
      <c r="I105" s="60" t="str">
        <f aca="false">IFERROR(MATCH($A$100&amp;"#"&amp;4,Stock!$R$8:$R$114,0),"")</f>
        <v/>
      </c>
    </row>
    <row r="106" customFormat="false" ht="15" hidden="false" customHeight="false" outlineLevel="0" collapsed="false">
      <c r="A106" s="67" t="str">
        <f aca="false">IF($A$100="","",$A$100&amp;" total")</f>
        <v>Deep Sea total</v>
      </c>
      <c r="B106" s="67"/>
      <c r="C106" s="67"/>
      <c r="D106" s="67"/>
      <c r="E106" s="68" t="n">
        <f aca="false">SUM(E102:E105)</f>
        <v>1340</v>
      </c>
      <c r="F106" s="67"/>
      <c r="G106" s="69" t="n">
        <f aca="false">SUM(G102:G105)</f>
        <v>0</v>
      </c>
    </row>
    <row r="108" customFormat="false" ht="15.75" hidden="false" customHeight="true" outlineLevel="0" collapsed="false">
      <c r="A108" s="51" t="s">
        <v>104</v>
      </c>
      <c r="B108" s="51"/>
      <c r="C108" s="51"/>
      <c r="D108" s="51"/>
      <c r="E108" s="51"/>
      <c r="F108" s="51"/>
      <c r="G108" s="51"/>
    </row>
    <row r="109" customFormat="false" ht="19.5" hidden="false" customHeight="true" outlineLevel="0" collapsed="false">
      <c r="A109" s="52" t="s">
        <v>44</v>
      </c>
      <c r="B109" s="53" t="s">
        <v>45</v>
      </c>
      <c r="C109" s="53" t="s">
        <v>46</v>
      </c>
      <c r="D109" s="53" t="s">
        <v>52</v>
      </c>
      <c r="E109" s="53" t="s">
        <v>53</v>
      </c>
      <c r="F109" s="53" t="s">
        <v>54</v>
      </c>
      <c r="G109" s="53" t="s">
        <v>55</v>
      </c>
    </row>
    <row r="110" customFormat="false" ht="12.75" hidden="false" customHeight="true" outlineLevel="0" collapsed="false">
      <c r="A110" s="54" t="str">
        <f aca="false">IF($I110="","",INDEX(Stock!$B$8:$B$114,$I110))</f>
        <v>HOSO PVN 4-7</v>
      </c>
      <c r="B110" s="54" t="str">
        <f aca="false">IF($I110="","",IF(INDEX(Stock!$C$8:$C$114,$I110)=0,"",INDEX(Stock!$C$8:$C$114,$I110)))</f>
        <v>Slab</v>
      </c>
      <c r="C110" s="55" t="str">
        <f aca="false">IF($I110="","",IF(INDEX(Stock!$D$8:$D$114,$I110)=0,"",INDEX(Stock!$D$8:$D$114,$I110)))</f>
        <v/>
      </c>
      <c r="D110" s="56" t="n">
        <f aca="false">IF($I110="","",INDEX(Stock!$J$8:$J$114,$I110))</f>
        <v>0</v>
      </c>
      <c r="E110" s="57" t="str">
        <f aca="false">IF($I110="","",INDEX(Stock!$K$8:$K$114,$I110))</f>
        <v/>
      </c>
      <c r="F110" s="58" t="str">
        <f aca="false">IF($I110="","",IF(INDEX(Stock!$L$8:$L$114,$I110)=0,"",INDEX(Stock!$L$8:$L$114,$I110)))</f>
        <v/>
      </c>
      <c r="G110" s="59" t="str">
        <f aca="false">IF($I110="","",INDEX(Stock!$M$8:$M$114,$I110))</f>
        <v/>
      </c>
      <c r="I110" s="60" t="n">
        <f aca="false">IFERROR(MATCH($A$108&amp;"#"&amp;1,Stock!$R$8:$R$114,0),"")</f>
        <v>51</v>
      </c>
    </row>
    <row r="111" customFormat="false" ht="12.75" hidden="false" customHeight="true" outlineLevel="0" collapsed="false">
      <c r="A111" s="61" t="str">
        <f aca="false">IF($I111="","",INDEX(Stock!$B$8:$B$114,$I111))</f>
        <v/>
      </c>
      <c r="B111" s="61" t="str">
        <f aca="false">IF($I111="","",IF(INDEX(Stock!$C$8:$C$114,$I111)=0,"",INDEX(Stock!$C$8:$C$114,$I111)))</f>
        <v/>
      </c>
      <c r="C111" s="62" t="str">
        <f aca="false">IF($I111="","",IF(INDEX(Stock!$D$8:$D$114,$I111)=0,"",INDEX(Stock!$D$8:$D$114,$I111)))</f>
        <v/>
      </c>
      <c r="D111" s="63" t="str">
        <f aca="false">IF($I111="","",INDEX(Stock!$J$8:$J$114,$I111))</f>
        <v/>
      </c>
      <c r="E111" s="64" t="str">
        <f aca="false">IF($I111="","",INDEX(Stock!$K$8:$K$114,$I111))</f>
        <v/>
      </c>
      <c r="F111" s="65" t="str">
        <f aca="false">IF($I111="","",IF(INDEX(Stock!$L$8:$L$114,$I111)=0,"",INDEX(Stock!$L$8:$L$114,$I111)))</f>
        <v/>
      </c>
      <c r="G111" s="66" t="str">
        <f aca="false">IF($I111="","",INDEX(Stock!$M$8:$M$114,$I111))</f>
        <v/>
      </c>
      <c r="I111" s="60" t="str">
        <f aca="false">IFERROR(MATCH($A$108&amp;"#"&amp;2,Stock!$R$8:$R$114,0),"")</f>
        <v/>
      </c>
    </row>
    <row r="112" customFormat="false" ht="12.75" hidden="false" customHeight="true" outlineLevel="0" collapsed="false">
      <c r="A112" s="54" t="str">
        <f aca="false">IF($I112="","",INDEX(Stock!$B$8:$B$114,$I112))</f>
        <v/>
      </c>
      <c r="B112" s="54" t="str">
        <f aca="false">IF($I112="","",IF(INDEX(Stock!$C$8:$C$114,$I112)=0,"",INDEX(Stock!$C$8:$C$114,$I112)))</f>
        <v/>
      </c>
      <c r="C112" s="55" t="str">
        <f aca="false">IF($I112="","",IF(INDEX(Stock!$D$8:$D$114,$I112)=0,"",INDEX(Stock!$D$8:$D$114,$I112)))</f>
        <v/>
      </c>
      <c r="D112" s="56" t="str">
        <f aca="false">IF($I112="","",INDEX(Stock!$J$8:$J$114,$I112))</f>
        <v/>
      </c>
      <c r="E112" s="57" t="str">
        <f aca="false">IF($I112="","",INDEX(Stock!$K$8:$K$114,$I112))</f>
        <v/>
      </c>
      <c r="F112" s="58" t="str">
        <f aca="false">IF($I112="","",IF(INDEX(Stock!$L$8:$L$114,$I112)=0,"",INDEX(Stock!$L$8:$L$114,$I112)))</f>
        <v/>
      </c>
      <c r="G112" s="59" t="str">
        <f aca="false">IF($I112="","",INDEX(Stock!$M$8:$M$114,$I112))</f>
        <v/>
      </c>
      <c r="I112" s="60" t="str">
        <f aca="false">IFERROR(MATCH($A$108&amp;"#"&amp;3,Stock!$R$8:$R$114,0),"")</f>
        <v/>
      </c>
    </row>
    <row r="113" customFormat="false" ht="12.75" hidden="false" customHeight="true" outlineLevel="0" collapsed="false">
      <c r="A113" s="61" t="str">
        <f aca="false">IF($I113="","",INDEX(Stock!$B$8:$B$114,$I113))</f>
        <v/>
      </c>
      <c r="B113" s="61" t="str">
        <f aca="false">IF($I113="","",IF(INDEX(Stock!$C$8:$C$114,$I113)=0,"",INDEX(Stock!$C$8:$C$114,$I113)))</f>
        <v/>
      </c>
      <c r="C113" s="62" t="str">
        <f aca="false">IF($I113="","",IF(INDEX(Stock!$D$8:$D$114,$I113)=0,"",INDEX(Stock!$D$8:$D$114,$I113)))</f>
        <v/>
      </c>
      <c r="D113" s="63" t="str">
        <f aca="false">IF($I113="","",INDEX(Stock!$J$8:$J$114,$I113))</f>
        <v/>
      </c>
      <c r="E113" s="64" t="str">
        <f aca="false">IF($I113="","",INDEX(Stock!$K$8:$K$114,$I113))</f>
        <v/>
      </c>
      <c r="F113" s="65" t="str">
        <f aca="false">IF($I113="","",IF(INDEX(Stock!$L$8:$L$114,$I113)=0,"",INDEX(Stock!$L$8:$L$114,$I113)))</f>
        <v/>
      </c>
      <c r="G113" s="66" t="str">
        <f aca="false">IF($I113="","",INDEX(Stock!$M$8:$M$114,$I113))</f>
        <v/>
      </c>
      <c r="I113" s="60" t="str">
        <f aca="false">IFERROR(MATCH($A$108&amp;"#"&amp;4,Stock!$R$8:$R$114,0),"")</f>
        <v/>
      </c>
    </row>
    <row r="114" customFormat="false" ht="15" hidden="false" customHeight="false" outlineLevel="0" collapsed="false">
      <c r="A114" s="67" t="str">
        <f aca="false">IF($A$108="","",$A$108&amp;" total")</f>
        <v>Shrimp Whole total</v>
      </c>
      <c r="B114" s="67"/>
      <c r="C114" s="67"/>
      <c r="D114" s="67"/>
      <c r="E114" s="68" t="n">
        <f aca="false">SUM(E110:E113)</f>
        <v>0</v>
      </c>
      <c r="F114" s="67"/>
      <c r="G114" s="69" t="n">
        <f aca="false">SUM(G110:G113)</f>
        <v>0</v>
      </c>
    </row>
    <row r="116" customFormat="false" ht="15.75" hidden="false" customHeight="true" outlineLevel="0" collapsed="false">
      <c r="A116" s="51" t="s">
        <v>106</v>
      </c>
      <c r="B116" s="51"/>
      <c r="C116" s="51"/>
      <c r="D116" s="51"/>
      <c r="E116" s="51"/>
      <c r="F116" s="51"/>
      <c r="G116" s="51"/>
    </row>
    <row r="117" customFormat="false" ht="19.5" hidden="false" customHeight="true" outlineLevel="0" collapsed="false">
      <c r="A117" s="52" t="s">
        <v>44</v>
      </c>
      <c r="B117" s="53" t="s">
        <v>45</v>
      </c>
      <c r="C117" s="53" t="s">
        <v>46</v>
      </c>
      <c r="D117" s="53" t="s">
        <v>52</v>
      </c>
      <c r="E117" s="53" t="s">
        <v>53</v>
      </c>
      <c r="F117" s="53" t="s">
        <v>54</v>
      </c>
      <c r="G117" s="53" t="s">
        <v>55</v>
      </c>
    </row>
    <row r="118" customFormat="false" ht="12.75" hidden="false" customHeight="true" outlineLevel="0" collapsed="false">
      <c r="A118" s="54" t="str">
        <f aca="false">IF($I118="","",INDEX(Stock!$B$8:$B$114,$I118))</f>
        <v>SKIPJACK 1/2</v>
      </c>
      <c r="B118" s="54" t="str">
        <f aca="false">IF($I118="","",IF(INDEX(Stock!$C$8:$C$114,$I118)=0,"",INDEX(Stock!$C$8:$C$114,$I118)))</f>
        <v>Kg</v>
      </c>
      <c r="C118" s="55" t="n">
        <f aca="false">IF($I118="","",IF(INDEX(Stock!$D$8:$D$114,$I118)=0,"",INDEX(Stock!$D$8:$D$114,$I118)))</f>
        <v>1</v>
      </c>
      <c r="D118" s="56" t="n">
        <f aca="false">IF($I118="","",INDEX(Stock!$J$8:$J$114,$I118))</f>
        <v>0</v>
      </c>
      <c r="E118" s="57" t="n">
        <f aca="false">IF($I118="","",INDEX(Stock!$K$8:$K$114,$I118))</f>
        <v>0</v>
      </c>
      <c r="F118" s="58" t="str">
        <f aca="false">IF($I118="","",IF(INDEX(Stock!$L$8:$L$114,$I118)=0,"",INDEX(Stock!$L$8:$L$114,$I118)))</f>
        <v/>
      </c>
      <c r="G118" s="59" t="str">
        <f aca="false">IF($I118="","",INDEX(Stock!$M$8:$M$114,$I118))</f>
        <v/>
      </c>
      <c r="I118" s="60" t="n">
        <f aca="false">IFERROR(MATCH($A$116&amp;"#"&amp;1,Stock!$R$8:$R$114,0),"")</f>
        <v>52</v>
      </c>
    </row>
    <row r="119" customFormat="false" ht="12.75" hidden="false" customHeight="true" outlineLevel="0" collapsed="false">
      <c r="A119" s="61" t="str">
        <f aca="false">IF($I119="","",INDEX(Stock!$B$8:$B$114,$I119))</f>
        <v>SKIPJACK 2/4</v>
      </c>
      <c r="B119" s="61" t="str">
        <f aca="false">IF($I119="","",IF(INDEX(Stock!$C$8:$C$114,$I119)=0,"",INDEX(Stock!$C$8:$C$114,$I119)))</f>
        <v>Kg</v>
      </c>
      <c r="C119" s="62" t="n">
        <f aca="false">IF($I119="","",IF(INDEX(Stock!$D$8:$D$114,$I119)=0,"",INDEX(Stock!$D$8:$D$114,$I119)))</f>
        <v>1</v>
      </c>
      <c r="D119" s="63" t="n">
        <f aca="false">IF($I119="","",INDEX(Stock!$J$8:$J$114,$I119))</f>
        <v>14946.5</v>
      </c>
      <c r="E119" s="64" t="n">
        <f aca="false">IF($I119="","",INDEX(Stock!$K$8:$K$114,$I119))</f>
        <v>14946.5</v>
      </c>
      <c r="F119" s="65" t="str">
        <f aca="false">IF($I119="","",IF(INDEX(Stock!$L$8:$L$114,$I119)=0,"",INDEX(Stock!$L$8:$L$114,$I119)))</f>
        <v/>
      </c>
      <c r="G119" s="66" t="str">
        <f aca="false">IF($I119="","",INDEX(Stock!$M$8:$M$114,$I119))</f>
        <v/>
      </c>
      <c r="I119" s="60" t="n">
        <f aca="false">IFERROR(MATCH($A$116&amp;"#"&amp;2,Stock!$R$8:$R$114,0),"")</f>
        <v>53</v>
      </c>
    </row>
    <row r="120" customFormat="false" ht="12.75" hidden="false" customHeight="true" outlineLevel="0" collapsed="false">
      <c r="A120" s="54" t="str">
        <f aca="false">IF($I120="","",INDEX(Stock!$B$8:$B$114,$I120))</f>
        <v>SKIPJACK 4/10</v>
      </c>
      <c r="B120" s="54" t="str">
        <f aca="false">IF($I120="","",IF(INDEX(Stock!$C$8:$C$114,$I120)=0,"",INDEX(Stock!$C$8:$C$114,$I120)))</f>
        <v>Kg</v>
      </c>
      <c r="C120" s="55" t="n">
        <f aca="false">IF($I120="","",IF(INDEX(Stock!$D$8:$D$114,$I120)=0,"",INDEX(Stock!$D$8:$D$114,$I120)))</f>
        <v>1</v>
      </c>
      <c r="D120" s="56" t="n">
        <f aca="false">IF($I120="","",INDEX(Stock!$J$8:$J$114,$I120))</f>
        <v>913.5</v>
      </c>
      <c r="E120" s="57" t="n">
        <f aca="false">IF($I120="","",INDEX(Stock!$K$8:$K$114,$I120))</f>
        <v>913.5</v>
      </c>
      <c r="F120" s="58" t="str">
        <f aca="false">IF($I120="","",IF(INDEX(Stock!$L$8:$L$114,$I120)=0,"",INDEX(Stock!$L$8:$L$114,$I120)))</f>
        <v/>
      </c>
      <c r="G120" s="59" t="str">
        <f aca="false">IF($I120="","",INDEX(Stock!$M$8:$M$114,$I120))</f>
        <v/>
      </c>
      <c r="I120" s="60" t="n">
        <f aca="false">IFERROR(MATCH($A$116&amp;"#"&amp;3,Stock!$R$8:$R$114,0),"")</f>
        <v>54</v>
      </c>
    </row>
    <row r="121" customFormat="false" ht="12.75" hidden="false" customHeight="true" outlineLevel="0" collapsed="false">
      <c r="A121" s="61" t="str">
        <f aca="false">IF($I121="","",INDEX(Stock!$B$8:$B$114,$I121))</f>
        <v>YELLOW FIN 1/2</v>
      </c>
      <c r="B121" s="61" t="str">
        <f aca="false">IF($I121="","",IF(INDEX(Stock!$C$8:$C$114,$I121)=0,"",INDEX(Stock!$C$8:$C$114,$I121)))</f>
        <v>Kg</v>
      </c>
      <c r="C121" s="62" t="n">
        <f aca="false">IF($I121="","",IF(INDEX(Stock!$D$8:$D$114,$I121)=0,"",INDEX(Stock!$D$8:$D$114,$I121)))</f>
        <v>1</v>
      </c>
      <c r="D121" s="63" t="n">
        <f aca="false">IF($I121="","",INDEX(Stock!$J$8:$J$114,$I121))</f>
        <v>0</v>
      </c>
      <c r="E121" s="64" t="n">
        <f aca="false">IF($I121="","",INDEX(Stock!$K$8:$K$114,$I121))</f>
        <v>0</v>
      </c>
      <c r="F121" s="65" t="str">
        <f aca="false">IF($I121="","",IF(INDEX(Stock!$L$8:$L$114,$I121)=0,"",INDEX(Stock!$L$8:$L$114,$I121)))</f>
        <v/>
      </c>
      <c r="G121" s="66" t="str">
        <f aca="false">IF($I121="","",INDEX(Stock!$M$8:$M$114,$I121))</f>
        <v/>
      </c>
      <c r="I121" s="60" t="n">
        <f aca="false">IFERROR(MATCH($A$116&amp;"#"&amp;4,Stock!$R$8:$R$114,0),"")</f>
        <v>55</v>
      </c>
    </row>
    <row r="122" customFormat="false" ht="12.75" hidden="false" customHeight="true" outlineLevel="0" collapsed="false">
      <c r="A122" s="54" t="str">
        <f aca="false">IF($I122="","",INDEX(Stock!$B$8:$B$114,$I122))</f>
        <v>YELLOW FIN 2/4</v>
      </c>
      <c r="B122" s="54" t="str">
        <f aca="false">IF($I122="","",IF(INDEX(Stock!$C$8:$C$114,$I122)=0,"",INDEX(Stock!$C$8:$C$114,$I122)))</f>
        <v>Kg</v>
      </c>
      <c r="C122" s="55" t="n">
        <f aca="false">IF($I122="","",IF(INDEX(Stock!$D$8:$D$114,$I122)=0,"",INDEX(Stock!$D$8:$D$114,$I122)))</f>
        <v>1</v>
      </c>
      <c r="D122" s="56" t="n">
        <f aca="false">IF($I122="","",INDEX(Stock!$J$8:$J$114,$I122))</f>
        <v>32</v>
      </c>
      <c r="E122" s="57" t="n">
        <f aca="false">IF($I122="","",INDEX(Stock!$K$8:$K$114,$I122))</f>
        <v>32</v>
      </c>
      <c r="F122" s="58" t="str">
        <f aca="false">IF($I122="","",IF(INDEX(Stock!$L$8:$L$114,$I122)=0,"",INDEX(Stock!$L$8:$L$114,$I122)))</f>
        <v/>
      </c>
      <c r="G122" s="59" t="str">
        <f aca="false">IF($I122="","",INDEX(Stock!$M$8:$M$114,$I122))</f>
        <v/>
      </c>
      <c r="I122" s="60" t="n">
        <f aca="false">IFERROR(MATCH($A$116&amp;"#"&amp;5,Stock!$R$8:$R$114,0),"")</f>
        <v>56</v>
      </c>
    </row>
    <row r="123" customFormat="false" ht="12.75" hidden="false" customHeight="true" outlineLevel="0" collapsed="false">
      <c r="A123" s="61" t="str">
        <f aca="false">IF($I123="","",INDEX(Stock!$B$8:$B$114,$I123))</f>
        <v>YELLOW FIN 4/10</v>
      </c>
      <c r="B123" s="61" t="str">
        <f aca="false">IF($I123="","",IF(INDEX(Stock!$C$8:$C$114,$I123)=0,"",INDEX(Stock!$C$8:$C$114,$I123)))</f>
        <v>Kg</v>
      </c>
      <c r="C123" s="62" t="n">
        <f aca="false">IF($I123="","",IF(INDEX(Stock!$D$8:$D$114,$I123)=0,"",INDEX(Stock!$D$8:$D$114,$I123)))</f>
        <v>1</v>
      </c>
      <c r="D123" s="63" t="n">
        <f aca="false">IF($I123="","",INDEX(Stock!$J$8:$J$114,$I123))</f>
        <v>1138</v>
      </c>
      <c r="E123" s="64" t="n">
        <f aca="false">IF($I123="","",INDEX(Stock!$K$8:$K$114,$I123))</f>
        <v>1138</v>
      </c>
      <c r="F123" s="65" t="str">
        <f aca="false">IF($I123="","",IF(INDEX(Stock!$L$8:$L$114,$I123)=0,"",INDEX(Stock!$L$8:$L$114,$I123)))</f>
        <v/>
      </c>
      <c r="G123" s="66" t="str">
        <f aca="false">IF($I123="","",INDEX(Stock!$M$8:$M$114,$I123))</f>
        <v/>
      </c>
      <c r="I123" s="60" t="n">
        <f aca="false">IFERROR(MATCH($A$116&amp;"#"&amp;6,Stock!$R$8:$R$114,0),"")</f>
        <v>57</v>
      </c>
    </row>
    <row r="124" customFormat="false" ht="12.75" hidden="false" customHeight="true" outlineLevel="0" collapsed="false">
      <c r="A124" s="54" t="str">
        <f aca="false">IF($I124="","",INDEX(Stock!$B$8:$B$114,$I124))</f>
        <v/>
      </c>
      <c r="B124" s="54" t="str">
        <f aca="false">IF($I124="","",IF(INDEX(Stock!$C$8:$C$114,$I124)=0,"",INDEX(Stock!$C$8:$C$114,$I124)))</f>
        <v/>
      </c>
      <c r="C124" s="55" t="str">
        <f aca="false">IF($I124="","",IF(INDEX(Stock!$D$8:$D$114,$I124)=0,"",INDEX(Stock!$D$8:$D$114,$I124)))</f>
        <v/>
      </c>
      <c r="D124" s="56" t="str">
        <f aca="false">IF($I124="","",INDEX(Stock!$J$8:$J$114,$I124))</f>
        <v/>
      </c>
      <c r="E124" s="57" t="str">
        <f aca="false">IF($I124="","",INDEX(Stock!$K$8:$K$114,$I124))</f>
        <v/>
      </c>
      <c r="F124" s="58" t="str">
        <f aca="false">IF($I124="","",IF(INDEX(Stock!$L$8:$L$114,$I124)=0,"",INDEX(Stock!$L$8:$L$114,$I124)))</f>
        <v/>
      </c>
      <c r="G124" s="59" t="str">
        <f aca="false">IF($I124="","",INDEX(Stock!$M$8:$M$114,$I124))</f>
        <v/>
      </c>
      <c r="I124" s="60" t="str">
        <f aca="false">IFERROR(MATCH($A$116&amp;"#"&amp;7,Stock!$R$8:$R$114,0),"")</f>
        <v/>
      </c>
    </row>
    <row r="125" customFormat="false" ht="12.75" hidden="false" customHeight="true" outlineLevel="0" collapsed="false">
      <c r="A125" s="61" t="str">
        <f aca="false">IF($I125="","",INDEX(Stock!$B$8:$B$114,$I125))</f>
        <v/>
      </c>
      <c r="B125" s="61" t="str">
        <f aca="false">IF($I125="","",IF(INDEX(Stock!$C$8:$C$114,$I125)=0,"",INDEX(Stock!$C$8:$C$114,$I125)))</f>
        <v/>
      </c>
      <c r="C125" s="62" t="str">
        <f aca="false">IF($I125="","",IF(INDEX(Stock!$D$8:$D$114,$I125)=0,"",INDEX(Stock!$D$8:$D$114,$I125)))</f>
        <v/>
      </c>
      <c r="D125" s="63" t="str">
        <f aca="false">IF($I125="","",INDEX(Stock!$J$8:$J$114,$I125))</f>
        <v/>
      </c>
      <c r="E125" s="64" t="str">
        <f aca="false">IF($I125="","",INDEX(Stock!$K$8:$K$114,$I125))</f>
        <v/>
      </c>
      <c r="F125" s="65" t="str">
        <f aca="false">IF($I125="","",IF(INDEX(Stock!$L$8:$L$114,$I125)=0,"",INDEX(Stock!$L$8:$L$114,$I125)))</f>
        <v/>
      </c>
      <c r="G125" s="66" t="str">
        <f aca="false">IF($I125="","",INDEX(Stock!$M$8:$M$114,$I125))</f>
        <v/>
      </c>
      <c r="I125" s="60" t="str">
        <f aca="false">IFERROR(MATCH($A$116&amp;"#"&amp;8,Stock!$R$8:$R$114,0),"")</f>
        <v/>
      </c>
    </row>
    <row r="126" customFormat="false" ht="12.75" hidden="false" customHeight="true" outlineLevel="0" collapsed="false">
      <c r="A126" s="54" t="str">
        <f aca="false">IF($I126="","",INDEX(Stock!$B$8:$B$114,$I126))</f>
        <v/>
      </c>
      <c r="B126" s="54" t="str">
        <f aca="false">IF($I126="","",IF(INDEX(Stock!$C$8:$C$114,$I126)=0,"",INDEX(Stock!$C$8:$C$114,$I126)))</f>
        <v/>
      </c>
      <c r="C126" s="55" t="str">
        <f aca="false">IF($I126="","",IF(INDEX(Stock!$D$8:$D$114,$I126)=0,"",INDEX(Stock!$D$8:$D$114,$I126)))</f>
        <v/>
      </c>
      <c r="D126" s="56" t="str">
        <f aca="false">IF($I126="","",INDEX(Stock!$J$8:$J$114,$I126))</f>
        <v/>
      </c>
      <c r="E126" s="57" t="str">
        <f aca="false">IF($I126="","",INDEX(Stock!$K$8:$K$114,$I126))</f>
        <v/>
      </c>
      <c r="F126" s="58" t="str">
        <f aca="false">IF($I126="","",IF(INDEX(Stock!$L$8:$L$114,$I126)=0,"",INDEX(Stock!$L$8:$L$114,$I126)))</f>
        <v/>
      </c>
      <c r="G126" s="59" t="str">
        <f aca="false">IF($I126="","",INDEX(Stock!$M$8:$M$114,$I126))</f>
        <v/>
      </c>
      <c r="I126" s="60" t="str">
        <f aca="false">IFERROR(MATCH($A$116&amp;"#"&amp;9,Stock!$R$8:$R$114,0),"")</f>
        <v/>
      </c>
    </row>
    <row r="127" customFormat="false" ht="15" hidden="false" customHeight="false" outlineLevel="0" collapsed="false">
      <c r="A127" s="67" t="str">
        <f aca="false">IF($A$116="","",$A$116&amp;" total")</f>
        <v>Tuna total</v>
      </c>
      <c r="B127" s="67"/>
      <c r="C127" s="67"/>
      <c r="D127" s="67"/>
      <c r="E127" s="68" t="n">
        <f aca="false">SUM(E118:E126)</f>
        <v>17030</v>
      </c>
      <c r="F127" s="67"/>
      <c r="G127" s="69" t="n">
        <f aca="false">SUM(G118:G126)</f>
        <v>0</v>
      </c>
    </row>
    <row r="129" customFormat="false" ht="15.75" hidden="false" customHeight="true" outlineLevel="0" collapsed="false">
      <c r="A129" s="51" t="s">
        <v>114</v>
      </c>
      <c r="B129" s="51"/>
      <c r="C129" s="51"/>
      <c r="D129" s="51"/>
      <c r="E129" s="51"/>
      <c r="F129" s="51"/>
      <c r="G129" s="51"/>
    </row>
    <row r="130" customFormat="false" ht="19.5" hidden="false" customHeight="true" outlineLevel="0" collapsed="false">
      <c r="A130" s="52" t="s">
        <v>44</v>
      </c>
      <c r="B130" s="53" t="s">
        <v>45</v>
      </c>
      <c r="C130" s="53" t="s">
        <v>46</v>
      </c>
      <c r="D130" s="53" t="s">
        <v>52</v>
      </c>
      <c r="E130" s="53" t="s">
        <v>53</v>
      </c>
      <c r="F130" s="53" t="s">
        <v>54</v>
      </c>
      <c r="G130" s="53" t="s">
        <v>55</v>
      </c>
    </row>
    <row r="131" customFormat="false" ht="12.75" hidden="false" customHeight="true" outlineLevel="0" collapsed="false">
      <c r="A131" s="54" t="str">
        <f aca="false">IF($I131="","",INDEX(Stock!$B$8:$B$114,$I131))</f>
        <v>WHOLE 2/4</v>
      </c>
      <c r="B131" s="54" t="str">
        <f aca="false">IF($I131="","",IF(INDEX(Stock!$C$8:$C$114,$I131)=0,"",INDEX(Stock!$C$8:$C$114,$I131)))</f>
        <v>Kg</v>
      </c>
      <c r="C131" s="55" t="n">
        <f aca="false">IF($I131="","",IF(INDEX(Stock!$D$8:$D$114,$I131)=0,"",INDEX(Stock!$D$8:$D$114,$I131)))</f>
        <v>1</v>
      </c>
      <c r="D131" s="56" t="n">
        <f aca="false">IF($I131="","",INDEX(Stock!$J$8:$J$114,$I131))</f>
        <v>0</v>
      </c>
      <c r="E131" s="57" t="n">
        <f aca="false">IF($I131="","",INDEX(Stock!$K$8:$K$114,$I131))</f>
        <v>0</v>
      </c>
      <c r="F131" s="58" t="str">
        <f aca="false">IF($I131="","",IF(INDEX(Stock!$L$8:$L$114,$I131)=0,"",INDEX(Stock!$L$8:$L$114,$I131)))</f>
        <v/>
      </c>
      <c r="G131" s="59" t="str">
        <f aca="false">IF($I131="","",INDEX(Stock!$M$8:$M$114,$I131))</f>
        <v/>
      </c>
      <c r="I131" s="60" t="n">
        <f aca="false">IFERROR(MATCH($A$129&amp;"#"&amp;1,Stock!$R$8:$R$114,0),"")</f>
        <v>58</v>
      </c>
    </row>
    <row r="132" customFormat="false" ht="12.75" hidden="false" customHeight="true" outlineLevel="0" collapsed="false">
      <c r="A132" s="61" t="str">
        <f aca="false">IF($I132="","",INDEX(Stock!$B$8:$B$114,$I132))</f>
        <v>WHOLE 4/6</v>
      </c>
      <c r="B132" s="61" t="str">
        <f aca="false">IF($I132="","",IF(INDEX(Stock!$C$8:$C$114,$I132)=0,"",INDEX(Stock!$C$8:$C$114,$I132)))</f>
        <v>Kg</v>
      </c>
      <c r="C132" s="62" t="n">
        <f aca="false">IF($I132="","",IF(INDEX(Stock!$D$8:$D$114,$I132)=0,"",INDEX(Stock!$D$8:$D$114,$I132)))</f>
        <v>1</v>
      </c>
      <c r="D132" s="63" t="n">
        <f aca="false">IF($I132="","",INDEX(Stock!$J$8:$J$114,$I132))</f>
        <v>0</v>
      </c>
      <c r="E132" s="64" t="n">
        <f aca="false">IF($I132="","",INDEX(Stock!$K$8:$K$114,$I132))</f>
        <v>0</v>
      </c>
      <c r="F132" s="65" t="str">
        <f aca="false">IF($I132="","",IF(INDEX(Stock!$L$8:$L$114,$I132)=0,"",INDEX(Stock!$L$8:$L$114,$I132)))</f>
        <v/>
      </c>
      <c r="G132" s="66" t="str">
        <f aca="false">IF($I132="","",INDEX(Stock!$M$8:$M$114,$I132))</f>
        <v/>
      </c>
      <c r="I132" s="60" t="n">
        <f aca="false">IFERROR(MATCH($A$129&amp;"#"&amp;2,Stock!$R$8:$R$114,0),"")</f>
        <v>59</v>
      </c>
    </row>
    <row r="133" customFormat="false" ht="12.75" hidden="false" customHeight="true" outlineLevel="0" collapsed="false">
      <c r="A133" s="54" t="str">
        <f aca="false">IF($I133="","",INDEX(Stock!$B$8:$B$114,$I133))</f>
        <v>WHOLE 6/8</v>
      </c>
      <c r="B133" s="54" t="str">
        <f aca="false">IF($I133="","",IF(INDEX(Stock!$C$8:$C$114,$I133)=0,"",INDEX(Stock!$C$8:$C$114,$I133)))</f>
        <v>Kg</v>
      </c>
      <c r="C133" s="55" t="n">
        <f aca="false">IF($I133="","",IF(INDEX(Stock!$D$8:$D$114,$I133)=0,"",INDEX(Stock!$D$8:$D$114,$I133)))</f>
        <v>1</v>
      </c>
      <c r="D133" s="56" t="n">
        <f aca="false">IF($I133="","",INDEX(Stock!$J$8:$J$114,$I133))</f>
        <v>0</v>
      </c>
      <c r="E133" s="57" t="n">
        <f aca="false">IF($I133="","",INDEX(Stock!$K$8:$K$114,$I133))</f>
        <v>0</v>
      </c>
      <c r="F133" s="58" t="str">
        <f aca="false">IF($I133="","",IF(INDEX(Stock!$L$8:$L$114,$I133)=0,"",INDEX(Stock!$L$8:$L$114,$I133)))</f>
        <v/>
      </c>
      <c r="G133" s="59" t="str">
        <f aca="false">IF($I133="","",INDEX(Stock!$M$8:$M$114,$I133))</f>
        <v/>
      </c>
      <c r="I133" s="60" t="n">
        <f aca="false">IFERROR(MATCH($A$129&amp;"#"&amp;3,Stock!$R$8:$R$114,0),"")</f>
        <v>60</v>
      </c>
    </row>
    <row r="134" customFormat="false" ht="12.75" hidden="false" customHeight="true" outlineLevel="0" collapsed="false">
      <c r="A134" s="61" t="str">
        <f aca="false">IF($I134="","",INDEX(Stock!$B$8:$B$114,$I134))</f>
        <v>WHOLE 8/10</v>
      </c>
      <c r="B134" s="61" t="str">
        <f aca="false">IF($I134="","",IF(INDEX(Stock!$C$8:$C$114,$I134)=0,"",INDEX(Stock!$C$8:$C$114,$I134)))</f>
        <v>Kg</v>
      </c>
      <c r="C134" s="62" t="n">
        <f aca="false">IF($I134="","",IF(INDEX(Stock!$D$8:$D$114,$I134)=0,"",INDEX(Stock!$D$8:$D$114,$I134)))</f>
        <v>1</v>
      </c>
      <c r="D134" s="63" t="n">
        <f aca="false">IF($I134="","",INDEX(Stock!$J$8:$J$114,$I134))</f>
        <v>0</v>
      </c>
      <c r="E134" s="64" t="n">
        <f aca="false">IF($I134="","",INDEX(Stock!$K$8:$K$114,$I134))</f>
        <v>0</v>
      </c>
      <c r="F134" s="65" t="str">
        <f aca="false">IF($I134="","",IF(INDEX(Stock!$L$8:$L$114,$I134)=0,"",INDEX(Stock!$L$8:$L$114,$I134)))</f>
        <v/>
      </c>
      <c r="G134" s="66" t="str">
        <f aca="false">IF($I134="","",INDEX(Stock!$M$8:$M$114,$I134))</f>
        <v/>
      </c>
      <c r="I134" s="60" t="n">
        <f aca="false">IFERROR(MATCH($A$129&amp;"#"&amp;4,Stock!$R$8:$R$114,0),"")</f>
        <v>61</v>
      </c>
    </row>
    <row r="135" customFormat="false" ht="12.75" hidden="false" customHeight="true" outlineLevel="0" collapsed="false">
      <c r="A135" s="54" t="str">
        <f aca="false">IF($I135="","",INDEX(Stock!$B$8:$B$114,$I135))</f>
        <v>WHOLE 10/12</v>
      </c>
      <c r="B135" s="54" t="str">
        <f aca="false">IF($I135="","",IF(INDEX(Stock!$C$8:$C$114,$I135)=0,"",INDEX(Stock!$C$8:$C$114,$I135)))</f>
        <v>Kg</v>
      </c>
      <c r="C135" s="55" t="n">
        <f aca="false">IF($I135="","",IF(INDEX(Stock!$D$8:$D$114,$I135)=0,"",INDEX(Stock!$D$8:$D$114,$I135)))</f>
        <v>1</v>
      </c>
      <c r="D135" s="56" t="n">
        <f aca="false">IF($I135="","",INDEX(Stock!$J$8:$J$114,$I135))</f>
        <v>0</v>
      </c>
      <c r="E135" s="57" t="n">
        <f aca="false">IF($I135="","",INDEX(Stock!$K$8:$K$114,$I135))</f>
        <v>0</v>
      </c>
      <c r="F135" s="58" t="str">
        <f aca="false">IF($I135="","",IF(INDEX(Stock!$L$8:$L$114,$I135)=0,"",INDEX(Stock!$L$8:$L$114,$I135)))</f>
        <v/>
      </c>
      <c r="G135" s="59" t="str">
        <f aca="false">IF($I135="","",INDEX(Stock!$M$8:$M$114,$I135))</f>
        <v/>
      </c>
      <c r="I135" s="60" t="n">
        <f aca="false">IFERROR(MATCH($A$129&amp;"#"&amp;5,Stock!$R$8:$R$114,0),"")</f>
        <v>62</v>
      </c>
    </row>
    <row r="136" customFormat="false" ht="12.75" hidden="false" customHeight="true" outlineLevel="0" collapsed="false">
      <c r="A136" s="61" t="str">
        <f aca="false">IF($I136="","",INDEX(Stock!$B$8:$B$114,$I136))</f>
        <v>WHOLE 12/15</v>
      </c>
      <c r="B136" s="61" t="str">
        <f aca="false">IF($I136="","",IF(INDEX(Stock!$C$8:$C$114,$I136)=0,"",INDEX(Stock!$C$8:$C$114,$I136)))</f>
        <v>Kg</v>
      </c>
      <c r="C136" s="62" t="n">
        <f aca="false">IF($I136="","",IF(INDEX(Stock!$D$8:$D$114,$I136)=0,"",INDEX(Stock!$D$8:$D$114,$I136)))</f>
        <v>1</v>
      </c>
      <c r="D136" s="63" t="n">
        <f aca="false">IF($I136="","",INDEX(Stock!$J$8:$J$114,$I136))</f>
        <v>0</v>
      </c>
      <c r="E136" s="64" t="n">
        <f aca="false">IF($I136="","",INDEX(Stock!$K$8:$K$114,$I136))</f>
        <v>0</v>
      </c>
      <c r="F136" s="65" t="str">
        <f aca="false">IF($I136="","",IF(INDEX(Stock!$L$8:$L$114,$I136)=0,"",INDEX(Stock!$L$8:$L$114,$I136)))</f>
        <v/>
      </c>
      <c r="G136" s="66" t="str">
        <f aca="false">IF($I136="","",INDEX(Stock!$M$8:$M$114,$I136))</f>
        <v/>
      </c>
      <c r="I136" s="60" t="n">
        <f aca="false">IFERROR(MATCH($A$129&amp;"#"&amp;6,Stock!$R$8:$R$114,0),"")</f>
        <v>63</v>
      </c>
    </row>
    <row r="137" customFormat="false" ht="12.75" hidden="false" customHeight="true" outlineLevel="0" collapsed="false">
      <c r="A137" s="54" t="str">
        <f aca="false">IF($I137="","",INDEX(Stock!$B$8:$B$114,$I137))</f>
        <v>WHOLE 15/20</v>
      </c>
      <c r="B137" s="54" t="str">
        <f aca="false">IF($I137="","",IF(INDEX(Stock!$C$8:$C$114,$I137)=0,"",INDEX(Stock!$C$8:$C$114,$I137)))</f>
        <v>Kg</v>
      </c>
      <c r="C137" s="55" t="n">
        <f aca="false">IF($I137="","",IF(INDEX(Stock!$D$8:$D$114,$I137)=0,"",INDEX(Stock!$D$8:$D$114,$I137)))</f>
        <v>1</v>
      </c>
      <c r="D137" s="56" t="n">
        <f aca="false">IF($I137="","",INDEX(Stock!$J$8:$J$114,$I137))</f>
        <v>0</v>
      </c>
      <c r="E137" s="57" t="n">
        <f aca="false">IF($I137="","",INDEX(Stock!$K$8:$K$114,$I137))</f>
        <v>0</v>
      </c>
      <c r="F137" s="58" t="str">
        <f aca="false">IF($I137="","",IF(INDEX(Stock!$L$8:$L$114,$I137)=0,"",INDEX(Stock!$L$8:$L$114,$I137)))</f>
        <v/>
      </c>
      <c r="G137" s="59" t="str">
        <f aca="false">IF($I137="","",INDEX(Stock!$M$8:$M$114,$I137))</f>
        <v/>
      </c>
      <c r="I137" s="60" t="n">
        <f aca="false">IFERROR(MATCH($A$129&amp;"#"&amp;7,Stock!$R$8:$R$114,0),"")</f>
        <v>64</v>
      </c>
    </row>
    <row r="138" customFormat="false" ht="12.75" hidden="false" customHeight="true" outlineLevel="0" collapsed="false">
      <c r="A138" s="61" t="str">
        <f aca="false">IF($I138="","",INDEX(Stock!$B$8:$B$114,$I138))</f>
        <v/>
      </c>
      <c r="B138" s="61" t="str">
        <f aca="false">IF($I138="","",IF(INDEX(Stock!$C$8:$C$114,$I138)=0,"",INDEX(Stock!$C$8:$C$114,$I138)))</f>
        <v/>
      </c>
      <c r="C138" s="62" t="str">
        <f aca="false">IF($I138="","",IF(INDEX(Stock!$D$8:$D$114,$I138)=0,"",INDEX(Stock!$D$8:$D$114,$I138)))</f>
        <v/>
      </c>
      <c r="D138" s="63" t="str">
        <f aca="false">IF($I138="","",INDEX(Stock!$J$8:$J$114,$I138))</f>
        <v/>
      </c>
      <c r="E138" s="64" t="str">
        <f aca="false">IF($I138="","",INDEX(Stock!$K$8:$K$114,$I138))</f>
        <v/>
      </c>
      <c r="F138" s="65" t="str">
        <f aca="false">IF($I138="","",IF(INDEX(Stock!$L$8:$L$114,$I138)=0,"",INDEX(Stock!$L$8:$L$114,$I138)))</f>
        <v/>
      </c>
      <c r="G138" s="66" t="str">
        <f aca="false">IF($I138="","",INDEX(Stock!$M$8:$M$114,$I138))</f>
        <v/>
      </c>
      <c r="I138" s="60" t="str">
        <f aca="false">IFERROR(MATCH($A$129&amp;"#"&amp;8,Stock!$R$8:$R$114,0),"")</f>
        <v/>
      </c>
    </row>
    <row r="139" customFormat="false" ht="12.75" hidden="false" customHeight="true" outlineLevel="0" collapsed="false">
      <c r="A139" s="54" t="str">
        <f aca="false">IF($I139="","",INDEX(Stock!$B$8:$B$114,$I139))</f>
        <v/>
      </c>
      <c r="B139" s="54" t="str">
        <f aca="false">IF($I139="","",IF(INDEX(Stock!$C$8:$C$114,$I139)=0,"",INDEX(Stock!$C$8:$C$114,$I139)))</f>
        <v/>
      </c>
      <c r="C139" s="55" t="str">
        <f aca="false">IF($I139="","",IF(INDEX(Stock!$D$8:$D$114,$I139)=0,"",INDEX(Stock!$D$8:$D$114,$I139)))</f>
        <v/>
      </c>
      <c r="D139" s="56" t="str">
        <f aca="false">IF($I139="","",INDEX(Stock!$J$8:$J$114,$I139))</f>
        <v/>
      </c>
      <c r="E139" s="57" t="str">
        <f aca="false">IF($I139="","",INDEX(Stock!$K$8:$K$114,$I139))</f>
        <v/>
      </c>
      <c r="F139" s="58" t="str">
        <f aca="false">IF($I139="","",IF(INDEX(Stock!$L$8:$L$114,$I139)=0,"",INDEX(Stock!$L$8:$L$114,$I139)))</f>
        <v/>
      </c>
      <c r="G139" s="59" t="str">
        <f aca="false">IF($I139="","",INDEX(Stock!$M$8:$M$114,$I139))</f>
        <v/>
      </c>
      <c r="I139" s="60" t="str">
        <f aca="false">IFERROR(MATCH($A$129&amp;"#"&amp;9,Stock!$R$8:$R$114,0),"")</f>
        <v/>
      </c>
    </row>
    <row r="140" customFormat="false" ht="12.75" hidden="false" customHeight="true" outlineLevel="0" collapsed="false">
      <c r="A140" s="61" t="str">
        <f aca="false">IF($I140="","",INDEX(Stock!$B$8:$B$114,$I140))</f>
        <v/>
      </c>
      <c r="B140" s="61" t="str">
        <f aca="false">IF($I140="","",IF(INDEX(Stock!$C$8:$C$114,$I140)=0,"",INDEX(Stock!$C$8:$C$114,$I140)))</f>
        <v/>
      </c>
      <c r="C140" s="62" t="str">
        <f aca="false">IF($I140="","",IF(INDEX(Stock!$D$8:$D$114,$I140)=0,"",INDEX(Stock!$D$8:$D$114,$I140)))</f>
        <v/>
      </c>
      <c r="D140" s="63" t="str">
        <f aca="false">IF($I140="","",INDEX(Stock!$J$8:$J$114,$I140))</f>
        <v/>
      </c>
      <c r="E140" s="64" t="str">
        <f aca="false">IF($I140="","",INDEX(Stock!$K$8:$K$114,$I140))</f>
        <v/>
      </c>
      <c r="F140" s="65" t="str">
        <f aca="false">IF($I140="","",IF(INDEX(Stock!$L$8:$L$114,$I140)=0,"",INDEX(Stock!$L$8:$L$114,$I140)))</f>
        <v/>
      </c>
      <c r="G140" s="66" t="str">
        <f aca="false">IF($I140="","",INDEX(Stock!$M$8:$M$114,$I140))</f>
        <v/>
      </c>
      <c r="I140" s="60" t="str">
        <f aca="false">IFERROR(MATCH($A$129&amp;"#"&amp;10,Stock!$R$8:$R$114,0),"")</f>
        <v/>
      </c>
    </row>
    <row r="141" customFormat="false" ht="15" hidden="false" customHeight="false" outlineLevel="0" collapsed="false">
      <c r="A141" s="67" t="str">
        <f aca="false">IF($A$129="","",$A$129&amp;" total")</f>
        <v>Mackerel total</v>
      </c>
      <c r="B141" s="67"/>
      <c r="C141" s="67"/>
      <c r="D141" s="67"/>
      <c r="E141" s="68" t="n">
        <f aca="false">SUM(E131:E140)</f>
        <v>0</v>
      </c>
      <c r="F141" s="67"/>
      <c r="G141" s="69" t="n">
        <f aca="false">SUM(G131:G140)</f>
        <v>0</v>
      </c>
    </row>
    <row r="143" customFormat="false" ht="15.75" hidden="false" customHeight="true" outlineLevel="0" collapsed="false">
      <c r="A143" s="51" t="s">
        <v>122</v>
      </c>
      <c r="B143" s="51"/>
      <c r="C143" s="51"/>
      <c r="D143" s="51"/>
      <c r="E143" s="51"/>
      <c r="F143" s="51"/>
      <c r="G143" s="51"/>
    </row>
    <row r="144" customFormat="false" ht="19.5" hidden="false" customHeight="true" outlineLevel="0" collapsed="false">
      <c r="A144" s="52" t="s">
        <v>44</v>
      </c>
      <c r="B144" s="53" t="s">
        <v>45</v>
      </c>
      <c r="C144" s="53" t="s">
        <v>46</v>
      </c>
      <c r="D144" s="53" t="s">
        <v>52</v>
      </c>
      <c r="E144" s="53" t="s">
        <v>53</v>
      </c>
      <c r="F144" s="53" t="s">
        <v>54</v>
      </c>
      <c r="G144" s="53" t="s">
        <v>55</v>
      </c>
    </row>
    <row r="145" customFormat="false" ht="12.75" hidden="false" customHeight="true" outlineLevel="0" collapsed="false">
      <c r="A145" s="54" t="str">
        <f aca="false">IF($I145="","",INDEX(Stock!$B$8:$B$114,$I145))</f>
        <v>CFWC U/1 10%</v>
      </c>
      <c r="B145" s="54" t="str">
        <f aca="false">IF($I145="","",IF(INDEX(Stock!$C$8:$C$114,$I145)=0,"",INDEX(Stock!$C$8:$C$114,$I145)))</f>
        <v>Slab</v>
      </c>
      <c r="C145" s="55" t="str">
        <f aca="false">IF($I145="","",IF(INDEX(Stock!$D$8:$D$114,$I145)=0,"",INDEX(Stock!$D$8:$D$114,$I145)))</f>
        <v/>
      </c>
      <c r="D145" s="56" t="n">
        <f aca="false">IF($I145="","",INDEX(Stock!$J$8:$J$114,$I145))</f>
        <v>0</v>
      </c>
      <c r="E145" s="57" t="str">
        <f aca="false">IF($I145="","",INDEX(Stock!$K$8:$K$114,$I145))</f>
        <v/>
      </c>
      <c r="F145" s="58" t="str">
        <f aca="false">IF($I145="","",IF(INDEX(Stock!$L$8:$L$114,$I145)=0,"",INDEX(Stock!$L$8:$L$114,$I145)))</f>
        <v/>
      </c>
      <c r="G145" s="59" t="str">
        <f aca="false">IF($I145="","",INDEX(Stock!$M$8:$M$114,$I145))</f>
        <v/>
      </c>
      <c r="I145" s="60" t="n">
        <f aca="false">IFERROR(MATCH($A$143&amp;"#"&amp;1,Stock!$R$8:$R$114,0),"")</f>
        <v>65</v>
      </c>
    </row>
    <row r="146" customFormat="false" ht="12.75" hidden="false" customHeight="true" outlineLevel="0" collapsed="false">
      <c r="A146" s="61" t="str">
        <f aca="false">IF($I146="","",INDEX(Stock!$B$8:$B$114,$I146))</f>
        <v>CFWC 1/2 10%</v>
      </c>
      <c r="B146" s="61" t="str">
        <f aca="false">IF($I146="","",IF(INDEX(Stock!$C$8:$C$114,$I146)=0,"",INDEX(Stock!$C$8:$C$114,$I146)))</f>
        <v>Slab</v>
      </c>
      <c r="C146" s="62" t="str">
        <f aca="false">IF($I146="","",IF(INDEX(Stock!$D$8:$D$114,$I146)=0,"",INDEX(Stock!$D$8:$D$114,$I146)))</f>
        <v/>
      </c>
      <c r="D146" s="63" t="n">
        <f aca="false">IF($I146="","",INDEX(Stock!$J$8:$J$114,$I146))</f>
        <v>0</v>
      </c>
      <c r="E146" s="64" t="str">
        <f aca="false">IF($I146="","",INDEX(Stock!$K$8:$K$114,$I146))</f>
        <v/>
      </c>
      <c r="F146" s="65" t="str">
        <f aca="false">IF($I146="","",IF(INDEX(Stock!$L$8:$L$114,$I146)=0,"",INDEX(Stock!$L$8:$L$114,$I146)))</f>
        <v/>
      </c>
      <c r="G146" s="66" t="str">
        <f aca="false">IF($I146="","",INDEX(Stock!$M$8:$M$114,$I146))</f>
        <v/>
      </c>
      <c r="I146" s="60" t="n">
        <f aca="false">IFERROR(MATCH($A$143&amp;"#"&amp;2,Stock!$R$8:$R$114,0),"")</f>
        <v>66</v>
      </c>
    </row>
    <row r="147" customFormat="false" ht="12.75" hidden="false" customHeight="true" outlineLevel="0" collapsed="false">
      <c r="A147" s="54" t="str">
        <f aca="false">IF($I147="","",INDEX(Stock!$B$8:$B$114,$I147))</f>
        <v>CFWC 2/4 10%</v>
      </c>
      <c r="B147" s="54" t="str">
        <f aca="false">IF($I147="","",IF(INDEX(Stock!$C$8:$C$114,$I147)=0,"",INDEX(Stock!$C$8:$C$114,$I147)))</f>
        <v>Slab</v>
      </c>
      <c r="C147" s="55" t="str">
        <f aca="false">IF($I147="","",IF(INDEX(Stock!$D$8:$D$114,$I147)=0,"",INDEX(Stock!$D$8:$D$114,$I147)))</f>
        <v/>
      </c>
      <c r="D147" s="56" t="n">
        <f aca="false">IF($I147="","",INDEX(Stock!$J$8:$J$114,$I147))</f>
        <v>0</v>
      </c>
      <c r="E147" s="57" t="str">
        <f aca="false">IF($I147="","",INDEX(Stock!$K$8:$K$114,$I147))</f>
        <v/>
      </c>
      <c r="F147" s="58" t="str">
        <f aca="false">IF($I147="","",IF(INDEX(Stock!$L$8:$L$114,$I147)=0,"",INDEX(Stock!$L$8:$L$114,$I147)))</f>
        <v/>
      </c>
      <c r="G147" s="59" t="str">
        <f aca="false">IF($I147="","",INDEX(Stock!$M$8:$M$114,$I147))</f>
        <v/>
      </c>
      <c r="I147" s="60" t="n">
        <f aca="false">IFERROR(MATCH($A$143&amp;"#"&amp;3,Stock!$R$8:$R$114,0),"")</f>
        <v>67</v>
      </c>
    </row>
    <row r="148" customFormat="false" ht="12.75" hidden="false" customHeight="true" outlineLevel="0" collapsed="false">
      <c r="A148" s="61" t="str">
        <f aca="false">IF($I148="","",INDEX(Stock!$B$8:$B$114,$I148))</f>
        <v>CFWC 5/7 10%</v>
      </c>
      <c r="B148" s="61" t="str">
        <f aca="false">IF($I148="","",IF(INDEX(Stock!$C$8:$C$114,$I148)=0,"",INDEX(Stock!$C$8:$C$114,$I148)))</f>
        <v>Slab</v>
      </c>
      <c r="C148" s="62" t="str">
        <f aca="false">IF($I148="","",IF(INDEX(Stock!$D$8:$D$114,$I148)=0,"",INDEX(Stock!$D$8:$D$114,$I148)))</f>
        <v/>
      </c>
      <c r="D148" s="63" t="n">
        <f aca="false">IF($I148="","",INDEX(Stock!$J$8:$J$114,$I148))</f>
        <v>0</v>
      </c>
      <c r="E148" s="64" t="str">
        <f aca="false">IF($I148="","",INDEX(Stock!$K$8:$K$114,$I148))</f>
        <v/>
      </c>
      <c r="F148" s="65" t="str">
        <f aca="false">IF($I148="","",IF(INDEX(Stock!$L$8:$L$114,$I148)=0,"",INDEX(Stock!$L$8:$L$114,$I148)))</f>
        <v/>
      </c>
      <c r="G148" s="66" t="str">
        <f aca="false">IF($I148="","",INDEX(Stock!$M$8:$M$114,$I148))</f>
        <v/>
      </c>
      <c r="I148" s="60" t="n">
        <f aca="false">IFERROR(MATCH($A$143&amp;"#"&amp;4,Stock!$R$8:$R$114,0),"")</f>
        <v>68</v>
      </c>
    </row>
    <row r="149" customFormat="false" ht="12.75" hidden="false" customHeight="true" outlineLevel="0" collapsed="false">
      <c r="A149" s="54" t="str">
        <f aca="false">IF($I149="","",INDEX(Stock!$B$8:$B$114,$I149))</f>
        <v>CFWC 8/12 10%</v>
      </c>
      <c r="B149" s="54" t="str">
        <f aca="false">IF($I149="","",IF(INDEX(Stock!$C$8:$C$114,$I149)=0,"",INDEX(Stock!$C$8:$C$114,$I149)))</f>
        <v>Slab</v>
      </c>
      <c r="C149" s="55" t="str">
        <f aca="false">IF($I149="","",IF(INDEX(Stock!$D$8:$D$114,$I149)=0,"",INDEX(Stock!$D$8:$D$114,$I149)))</f>
        <v/>
      </c>
      <c r="D149" s="56" t="n">
        <f aca="false">IF($I149="","",INDEX(Stock!$J$8:$J$114,$I149))</f>
        <v>0</v>
      </c>
      <c r="E149" s="57" t="str">
        <f aca="false">IF($I149="","",INDEX(Stock!$K$8:$K$114,$I149))</f>
        <v/>
      </c>
      <c r="F149" s="58" t="str">
        <f aca="false">IF($I149="","",IF(INDEX(Stock!$L$8:$L$114,$I149)=0,"",INDEX(Stock!$L$8:$L$114,$I149)))</f>
        <v/>
      </c>
      <c r="G149" s="59" t="str">
        <f aca="false">IF($I149="","",INDEX(Stock!$M$8:$M$114,$I149))</f>
        <v/>
      </c>
      <c r="I149" s="60" t="n">
        <f aca="false">IFERROR(MATCH($A$143&amp;"#"&amp;5,Stock!$R$8:$R$114,0),"")</f>
        <v>69</v>
      </c>
    </row>
    <row r="150" customFormat="false" ht="12.75" hidden="false" customHeight="true" outlineLevel="0" collapsed="false">
      <c r="A150" s="61" t="str">
        <f aca="false">IF($I150="","",INDEX(Stock!$B$8:$B$114,$I150))</f>
        <v>CFWC 13/20 10%</v>
      </c>
      <c r="B150" s="61" t="str">
        <f aca="false">IF($I150="","",IF(INDEX(Stock!$C$8:$C$114,$I150)=0,"",INDEX(Stock!$C$8:$C$114,$I150)))</f>
        <v>Slab</v>
      </c>
      <c r="C150" s="62" t="str">
        <f aca="false">IF($I150="","",IF(INDEX(Stock!$D$8:$D$114,$I150)=0,"",INDEX(Stock!$D$8:$D$114,$I150)))</f>
        <v/>
      </c>
      <c r="D150" s="63" t="n">
        <f aca="false">IF($I150="","",INDEX(Stock!$J$8:$J$114,$I150))</f>
        <v>0</v>
      </c>
      <c r="E150" s="64" t="str">
        <f aca="false">IF($I150="","",INDEX(Stock!$K$8:$K$114,$I150))</f>
        <v/>
      </c>
      <c r="F150" s="65" t="str">
        <f aca="false">IF($I150="","",IF(INDEX(Stock!$L$8:$L$114,$I150)=0,"",INDEX(Stock!$L$8:$L$114,$I150)))</f>
        <v/>
      </c>
      <c r="G150" s="66" t="str">
        <f aca="false">IF($I150="","",INDEX(Stock!$M$8:$M$114,$I150))</f>
        <v/>
      </c>
      <c r="I150" s="60" t="n">
        <f aca="false">IFERROR(MATCH($A$143&amp;"#"&amp;6,Stock!$R$8:$R$114,0),"")</f>
        <v>70</v>
      </c>
    </row>
    <row r="151" customFormat="false" ht="12.75" hidden="false" customHeight="true" outlineLevel="0" collapsed="false">
      <c r="A151" s="54" t="str">
        <f aca="false">IF($I151="","",INDEX(Stock!$B$8:$B$114,$I151))</f>
        <v/>
      </c>
      <c r="B151" s="54" t="str">
        <f aca="false">IF($I151="","",IF(INDEX(Stock!$C$8:$C$114,$I151)=0,"",INDEX(Stock!$C$8:$C$114,$I151)))</f>
        <v/>
      </c>
      <c r="C151" s="55" t="str">
        <f aca="false">IF($I151="","",IF(INDEX(Stock!$D$8:$D$114,$I151)=0,"",INDEX(Stock!$D$8:$D$114,$I151)))</f>
        <v/>
      </c>
      <c r="D151" s="56" t="str">
        <f aca="false">IF($I151="","",INDEX(Stock!$J$8:$J$114,$I151))</f>
        <v/>
      </c>
      <c r="E151" s="57" t="str">
        <f aca="false">IF($I151="","",INDEX(Stock!$K$8:$K$114,$I151))</f>
        <v/>
      </c>
      <c r="F151" s="58" t="str">
        <f aca="false">IF($I151="","",IF(INDEX(Stock!$L$8:$L$114,$I151)=0,"",INDEX(Stock!$L$8:$L$114,$I151)))</f>
        <v/>
      </c>
      <c r="G151" s="59" t="str">
        <f aca="false">IF($I151="","",INDEX(Stock!$M$8:$M$114,$I151))</f>
        <v/>
      </c>
      <c r="I151" s="60" t="str">
        <f aca="false">IFERROR(MATCH($A$143&amp;"#"&amp;7,Stock!$R$8:$R$114,0),"")</f>
        <v/>
      </c>
    </row>
    <row r="152" customFormat="false" ht="12.75" hidden="false" customHeight="true" outlineLevel="0" collapsed="false">
      <c r="A152" s="61" t="str">
        <f aca="false">IF($I152="","",INDEX(Stock!$B$8:$B$114,$I152))</f>
        <v/>
      </c>
      <c r="B152" s="61" t="str">
        <f aca="false">IF($I152="","",IF(INDEX(Stock!$C$8:$C$114,$I152)=0,"",INDEX(Stock!$C$8:$C$114,$I152)))</f>
        <v/>
      </c>
      <c r="C152" s="62" t="str">
        <f aca="false">IF($I152="","",IF(INDEX(Stock!$D$8:$D$114,$I152)=0,"",INDEX(Stock!$D$8:$D$114,$I152)))</f>
        <v/>
      </c>
      <c r="D152" s="63" t="str">
        <f aca="false">IF($I152="","",INDEX(Stock!$J$8:$J$114,$I152))</f>
        <v/>
      </c>
      <c r="E152" s="64" t="str">
        <f aca="false">IF($I152="","",INDEX(Stock!$K$8:$K$114,$I152))</f>
        <v/>
      </c>
      <c r="F152" s="65" t="str">
        <f aca="false">IF($I152="","",IF(INDEX(Stock!$L$8:$L$114,$I152)=0,"",INDEX(Stock!$L$8:$L$114,$I152)))</f>
        <v/>
      </c>
      <c r="G152" s="66" t="str">
        <f aca="false">IF($I152="","",INDEX(Stock!$M$8:$M$114,$I152))</f>
        <v/>
      </c>
      <c r="I152" s="60" t="str">
        <f aca="false">IFERROR(MATCH($A$143&amp;"#"&amp;8,Stock!$R$8:$R$114,0),"")</f>
        <v/>
      </c>
    </row>
    <row r="153" customFormat="false" ht="12.75" hidden="false" customHeight="true" outlineLevel="0" collapsed="false">
      <c r="A153" s="54" t="str">
        <f aca="false">IF($I153="","",INDEX(Stock!$B$8:$B$114,$I153))</f>
        <v/>
      </c>
      <c r="B153" s="54" t="str">
        <f aca="false">IF($I153="","",IF(INDEX(Stock!$C$8:$C$114,$I153)=0,"",INDEX(Stock!$C$8:$C$114,$I153)))</f>
        <v/>
      </c>
      <c r="C153" s="55" t="str">
        <f aca="false">IF($I153="","",IF(INDEX(Stock!$D$8:$D$114,$I153)=0,"",INDEX(Stock!$D$8:$D$114,$I153)))</f>
        <v/>
      </c>
      <c r="D153" s="56" t="str">
        <f aca="false">IF($I153="","",INDEX(Stock!$J$8:$J$114,$I153))</f>
        <v/>
      </c>
      <c r="E153" s="57" t="str">
        <f aca="false">IF($I153="","",INDEX(Stock!$K$8:$K$114,$I153))</f>
        <v/>
      </c>
      <c r="F153" s="58" t="str">
        <f aca="false">IF($I153="","",IF(INDEX(Stock!$L$8:$L$114,$I153)=0,"",INDEX(Stock!$L$8:$L$114,$I153)))</f>
        <v/>
      </c>
      <c r="G153" s="59" t="str">
        <f aca="false">IF($I153="","",INDEX(Stock!$M$8:$M$114,$I153))</f>
        <v/>
      </c>
      <c r="I153" s="60" t="str">
        <f aca="false">IFERROR(MATCH($A$143&amp;"#"&amp;9,Stock!$R$8:$R$114,0),"")</f>
        <v/>
      </c>
    </row>
    <row r="154" customFormat="false" ht="15" hidden="false" customHeight="false" outlineLevel="0" collapsed="false">
      <c r="A154" s="67" t="str">
        <f aca="false">IF($A$143="","",$A$143&amp;" total")</f>
        <v>Cuttlefish total</v>
      </c>
      <c r="B154" s="67"/>
      <c r="C154" s="67"/>
      <c r="D154" s="67"/>
      <c r="E154" s="68" t="n">
        <f aca="false">SUM(E145:E153)</f>
        <v>0</v>
      </c>
      <c r="F154" s="67"/>
      <c r="G154" s="69" t="n">
        <f aca="false">SUM(G145:G153)</f>
        <v>0</v>
      </c>
    </row>
    <row r="156" customFormat="false" ht="15.75" hidden="false" customHeight="true" outlineLevel="0" collapsed="false">
      <c r="A156" s="51" t="s">
        <v>129</v>
      </c>
      <c r="B156" s="51"/>
      <c r="C156" s="51"/>
      <c r="D156" s="51"/>
      <c r="E156" s="51"/>
      <c r="F156" s="51"/>
      <c r="G156" s="51"/>
    </row>
    <row r="157" customFormat="false" ht="19.5" hidden="false" customHeight="true" outlineLevel="0" collapsed="false">
      <c r="A157" s="52" t="s">
        <v>44</v>
      </c>
      <c r="B157" s="53" t="s">
        <v>45</v>
      </c>
      <c r="C157" s="53" t="s">
        <v>46</v>
      </c>
      <c r="D157" s="53" t="s">
        <v>52</v>
      </c>
      <c r="E157" s="53" t="s">
        <v>53</v>
      </c>
      <c r="F157" s="53" t="s">
        <v>54</v>
      </c>
      <c r="G157" s="53" t="s">
        <v>55</v>
      </c>
    </row>
    <row r="158" customFormat="false" ht="12.75" hidden="false" customHeight="true" outlineLevel="0" collapsed="false">
      <c r="A158" s="54" t="str">
        <f aca="false">IF($I158="","",INDEX(Stock!$B$8:$B$114,$I158))</f>
        <v>SQW U/3 10%</v>
      </c>
      <c r="B158" s="54" t="str">
        <f aca="false">IF($I158="","",IF(INDEX(Stock!$C$8:$C$114,$I158)=0,"",INDEX(Stock!$C$8:$C$114,$I158)))</f>
        <v>Slab</v>
      </c>
      <c r="C158" s="55" t="str">
        <f aca="false">IF($I158="","",IF(INDEX(Stock!$D$8:$D$114,$I158)=0,"",INDEX(Stock!$D$8:$D$114,$I158)))</f>
        <v/>
      </c>
      <c r="D158" s="56" t="n">
        <f aca="false">IF($I158="","",INDEX(Stock!$J$8:$J$114,$I158))</f>
        <v>0</v>
      </c>
      <c r="E158" s="57" t="str">
        <f aca="false">IF($I158="","",INDEX(Stock!$K$8:$K$114,$I158))</f>
        <v/>
      </c>
      <c r="F158" s="58" t="str">
        <f aca="false">IF($I158="","",IF(INDEX(Stock!$L$8:$L$114,$I158)=0,"",INDEX(Stock!$L$8:$L$114,$I158)))</f>
        <v/>
      </c>
      <c r="G158" s="59" t="str">
        <f aca="false">IF($I158="","",INDEX(Stock!$M$8:$M$114,$I158))</f>
        <v/>
      </c>
      <c r="I158" s="60" t="n">
        <f aca="false">IFERROR(MATCH($A$156&amp;"#"&amp;1,Stock!$R$8:$R$114,0),"")</f>
        <v>71</v>
      </c>
    </row>
    <row r="159" customFormat="false" ht="12.75" hidden="false" customHeight="true" outlineLevel="0" collapsed="false">
      <c r="A159" s="61" t="str">
        <f aca="false">IF($I159="","",INDEX(Stock!$B$8:$B$114,$I159))</f>
        <v>SQW 3/6 10%</v>
      </c>
      <c r="B159" s="61" t="str">
        <f aca="false">IF($I159="","",IF(INDEX(Stock!$C$8:$C$114,$I159)=0,"",INDEX(Stock!$C$8:$C$114,$I159)))</f>
        <v>Slab</v>
      </c>
      <c r="C159" s="62" t="str">
        <f aca="false">IF($I159="","",IF(INDEX(Stock!$D$8:$D$114,$I159)=0,"",INDEX(Stock!$D$8:$D$114,$I159)))</f>
        <v/>
      </c>
      <c r="D159" s="63" t="n">
        <f aca="false">IF($I159="","",INDEX(Stock!$J$8:$J$114,$I159))</f>
        <v>0</v>
      </c>
      <c r="E159" s="64" t="str">
        <f aca="false">IF($I159="","",INDEX(Stock!$K$8:$K$114,$I159))</f>
        <v/>
      </c>
      <c r="F159" s="65" t="str">
        <f aca="false">IF($I159="","",IF(INDEX(Stock!$L$8:$L$114,$I159)=0,"",INDEX(Stock!$L$8:$L$114,$I159)))</f>
        <v/>
      </c>
      <c r="G159" s="66" t="str">
        <f aca="false">IF($I159="","",INDEX(Stock!$M$8:$M$114,$I159))</f>
        <v/>
      </c>
      <c r="I159" s="60" t="n">
        <f aca="false">IFERROR(MATCH($A$156&amp;"#"&amp;2,Stock!$R$8:$R$114,0),"")</f>
        <v>72</v>
      </c>
    </row>
    <row r="160" customFormat="false" ht="12.75" hidden="false" customHeight="true" outlineLevel="0" collapsed="false">
      <c r="A160" s="54" t="str">
        <f aca="false">IF($I160="","",INDEX(Stock!$B$8:$B$114,$I160))</f>
        <v>SQW 6/10 10%</v>
      </c>
      <c r="B160" s="54" t="str">
        <f aca="false">IF($I160="","",IF(INDEX(Stock!$C$8:$C$114,$I160)=0,"",INDEX(Stock!$C$8:$C$114,$I160)))</f>
        <v>Slab</v>
      </c>
      <c r="C160" s="55" t="str">
        <f aca="false">IF($I160="","",IF(INDEX(Stock!$D$8:$D$114,$I160)=0,"",INDEX(Stock!$D$8:$D$114,$I160)))</f>
        <v/>
      </c>
      <c r="D160" s="56" t="n">
        <f aca="false">IF($I160="","",INDEX(Stock!$J$8:$J$114,$I160))</f>
        <v>0</v>
      </c>
      <c r="E160" s="57" t="str">
        <f aca="false">IF($I160="","",INDEX(Stock!$K$8:$K$114,$I160))</f>
        <v/>
      </c>
      <c r="F160" s="58" t="str">
        <f aca="false">IF($I160="","",IF(INDEX(Stock!$L$8:$L$114,$I160)=0,"",INDEX(Stock!$L$8:$L$114,$I160)))</f>
        <v/>
      </c>
      <c r="G160" s="59" t="str">
        <f aca="false">IF($I160="","",INDEX(Stock!$M$8:$M$114,$I160))</f>
        <v/>
      </c>
      <c r="I160" s="60" t="n">
        <f aca="false">IFERROR(MATCH($A$156&amp;"#"&amp;3,Stock!$R$8:$R$114,0),"")</f>
        <v>73</v>
      </c>
    </row>
    <row r="161" customFormat="false" ht="12.75" hidden="false" customHeight="true" outlineLevel="0" collapsed="false">
      <c r="A161" s="61" t="str">
        <f aca="false">IF($I161="","",INDEX(Stock!$B$8:$B$114,$I161))</f>
        <v>SQW 10/20 10%</v>
      </c>
      <c r="B161" s="61" t="str">
        <f aca="false">IF($I161="","",IF(INDEX(Stock!$C$8:$C$114,$I161)=0,"",INDEX(Stock!$C$8:$C$114,$I161)))</f>
        <v>Slab</v>
      </c>
      <c r="C161" s="62" t="str">
        <f aca="false">IF($I161="","",IF(INDEX(Stock!$D$8:$D$114,$I161)=0,"",INDEX(Stock!$D$8:$D$114,$I161)))</f>
        <v/>
      </c>
      <c r="D161" s="63" t="n">
        <f aca="false">IF($I161="","",INDEX(Stock!$J$8:$J$114,$I161))</f>
        <v>0</v>
      </c>
      <c r="E161" s="64" t="str">
        <f aca="false">IF($I161="","",INDEX(Stock!$K$8:$K$114,$I161))</f>
        <v/>
      </c>
      <c r="F161" s="65" t="str">
        <f aca="false">IF($I161="","",IF(INDEX(Stock!$L$8:$L$114,$I161)=0,"",INDEX(Stock!$L$8:$L$114,$I161)))</f>
        <v/>
      </c>
      <c r="G161" s="66" t="str">
        <f aca="false">IF($I161="","",INDEX(Stock!$M$8:$M$114,$I161))</f>
        <v/>
      </c>
      <c r="I161" s="60" t="n">
        <f aca="false">IFERROR(MATCH($A$156&amp;"#"&amp;4,Stock!$R$8:$R$114,0),"")</f>
        <v>74</v>
      </c>
    </row>
    <row r="162" customFormat="false" ht="12.75" hidden="false" customHeight="true" outlineLevel="0" collapsed="false">
      <c r="A162" s="54" t="str">
        <f aca="false">IF($I162="","",INDEX(Stock!$B$8:$B$114,$I162))</f>
        <v>SQW 20/40 10%</v>
      </c>
      <c r="B162" s="54" t="str">
        <f aca="false">IF($I162="","",IF(INDEX(Stock!$C$8:$C$114,$I162)=0,"",INDEX(Stock!$C$8:$C$114,$I162)))</f>
        <v>Slab</v>
      </c>
      <c r="C162" s="55" t="str">
        <f aca="false">IF($I162="","",IF(INDEX(Stock!$D$8:$D$114,$I162)=0,"",INDEX(Stock!$D$8:$D$114,$I162)))</f>
        <v/>
      </c>
      <c r="D162" s="56" t="n">
        <f aca="false">IF($I162="","",INDEX(Stock!$J$8:$J$114,$I162))</f>
        <v>0</v>
      </c>
      <c r="E162" s="57" t="str">
        <f aca="false">IF($I162="","",INDEX(Stock!$K$8:$K$114,$I162))</f>
        <v/>
      </c>
      <c r="F162" s="58" t="str">
        <f aca="false">IF($I162="","",IF(INDEX(Stock!$L$8:$L$114,$I162)=0,"",INDEX(Stock!$L$8:$L$114,$I162)))</f>
        <v/>
      </c>
      <c r="G162" s="59" t="str">
        <f aca="false">IF($I162="","",INDEX(Stock!$M$8:$M$114,$I162))</f>
        <v/>
      </c>
      <c r="I162" s="60" t="n">
        <f aca="false">IFERROR(MATCH($A$156&amp;"#"&amp;5,Stock!$R$8:$R$114,0),"")</f>
        <v>75</v>
      </c>
    </row>
    <row r="163" customFormat="false" ht="12.75" hidden="false" customHeight="true" outlineLevel="0" collapsed="false">
      <c r="A163" s="61" t="str">
        <f aca="false">IF($I163="","",INDEX(Stock!$B$8:$B$114,$I163))</f>
        <v>SQWC U/5 25%</v>
      </c>
      <c r="B163" s="61" t="str">
        <f aca="false">IF($I163="","",IF(INDEX(Stock!$C$8:$C$114,$I163)=0,"",INDEX(Stock!$C$8:$C$114,$I163)))</f>
        <v>Slab</v>
      </c>
      <c r="C163" s="62" t="str">
        <f aca="false">IF($I163="","",IF(INDEX(Stock!$D$8:$D$114,$I163)=0,"",INDEX(Stock!$D$8:$D$114,$I163)))</f>
        <v/>
      </c>
      <c r="D163" s="63" t="n">
        <f aca="false">IF($I163="","",INDEX(Stock!$J$8:$J$114,$I163))</f>
        <v>0</v>
      </c>
      <c r="E163" s="64" t="str">
        <f aca="false">IF($I163="","",INDEX(Stock!$K$8:$K$114,$I163))</f>
        <v/>
      </c>
      <c r="F163" s="65" t="str">
        <f aca="false">IF($I163="","",IF(INDEX(Stock!$L$8:$L$114,$I163)=0,"",INDEX(Stock!$L$8:$L$114,$I163)))</f>
        <v/>
      </c>
      <c r="G163" s="66" t="str">
        <f aca="false">IF($I163="","",INDEX(Stock!$M$8:$M$114,$I163))</f>
        <v/>
      </c>
      <c r="I163" s="60" t="n">
        <f aca="false">IFERROR(MATCH($A$156&amp;"#"&amp;6,Stock!$R$8:$R$114,0),"")</f>
        <v>76</v>
      </c>
    </row>
    <row r="164" customFormat="false" ht="12.75" hidden="false" customHeight="true" outlineLevel="0" collapsed="false">
      <c r="A164" s="54" t="str">
        <f aca="false">IF($I164="","",INDEX(Stock!$B$8:$B$114,$I164))</f>
        <v>SQWC U/10 25%</v>
      </c>
      <c r="B164" s="54" t="str">
        <f aca="false">IF($I164="","",IF(INDEX(Stock!$C$8:$C$114,$I164)=0,"",INDEX(Stock!$C$8:$C$114,$I164)))</f>
        <v>Slab</v>
      </c>
      <c r="C164" s="55" t="str">
        <f aca="false">IF($I164="","",IF(INDEX(Stock!$D$8:$D$114,$I164)=0,"",INDEX(Stock!$D$8:$D$114,$I164)))</f>
        <v/>
      </c>
      <c r="D164" s="56" t="n">
        <f aca="false">IF($I164="","",INDEX(Stock!$J$8:$J$114,$I164))</f>
        <v>0</v>
      </c>
      <c r="E164" s="57" t="str">
        <f aca="false">IF($I164="","",INDEX(Stock!$K$8:$K$114,$I164))</f>
        <v/>
      </c>
      <c r="F164" s="58" t="str">
        <f aca="false">IF($I164="","",IF(INDEX(Stock!$L$8:$L$114,$I164)=0,"",INDEX(Stock!$L$8:$L$114,$I164)))</f>
        <v/>
      </c>
      <c r="G164" s="59" t="str">
        <f aca="false">IF($I164="","",INDEX(Stock!$M$8:$M$114,$I164))</f>
        <v/>
      </c>
      <c r="I164" s="60" t="n">
        <f aca="false">IFERROR(MATCH($A$156&amp;"#"&amp;7,Stock!$R$8:$R$114,0),"")</f>
        <v>77</v>
      </c>
    </row>
    <row r="165" customFormat="false" ht="12.75" hidden="false" customHeight="true" outlineLevel="0" collapsed="false">
      <c r="A165" s="61" t="str">
        <f aca="false">IF($I165="","",INDEX(Stock!$B$8:$B$114,$I165))</f>
        <v>SQWC 10/20 25%</v>
      </c>
      <c r="B165" s="61" t="str">
        <f aca="false">IF($I165="","",IF(INDEX(Stock!$C$8:$C$114,$I165)=0,"",INDEX(Stock!$C$8:$C$114,$I165)))</f>
        <v>Slab</v>
      </c>
      <c r="C165" s="62" t="str">
        <f aca="false">IF($I165="","",IF(INDEX(Stock!$D$8:$D$114,$I165)=0,"",INDEX(Stock!$D$8:$D$114,$I165)))</f>
        <v/>
      </c>
      <c r="D165" s="63" t="n">
        <f aca="false">IF($I165="","",INDEX(Stock!$J$8:$J$114,$I165))</f>
        <v>0</v>
      </c>
      <c r="E165" s="64" t="str">
        <f aca="false">IF($I165="","",INDEX(Stock!$K$8:$K$114,$I165))</f>
        <v/>
      </c>
      <c r="F165" s="65" t="str">
        <f aca="false">IF($I165="","",IF(INDEX(Stock!$L$8:$L$114,$I165)=0,"",INDEX(Stock!$L$8:$L$114,$I165)))</f>
        <v/>
      </c>
      <c r="G165" s="66" t="str">
        <f aca="false">IF($I165="","",INDEX(Stock!$M$8:$M$114,$I165))</f>
        <v/>
      </c>
      <c r="I165" s="60" t="n">
        <f aca="false">IFERROR(MATCH($A$156&amp;"#"&amp;8,Stock!$R$8:$R$114,0),"")</f>
        <v>78</v>
      </c>
    </row>
    <row r="166" customFormat="false" ht="12.75" hidden="false" customHeight="true" outlineLevel="0" collapsed="false">
      <c r="A166" s="54" t="str">
        <f aca="false">IF($I166="","",INDEX(Stock!$B$8:$B$114,$I166))</f>
        <v/>
      </c>
      <c r="B166" s="54" t="str">
        <f aca="false">IF($I166="","",IF(INDEX(Stock!$C$8:$C$114,$I166)=0,"",INDEX(Stock!$C$8:$C$114,$I166)))</f>
        <v/>
      </c>
      <c r="C166" s="55" t="str">
        <f aca="false">IF($I166="","",IF(INDEX(Stock!$D$8:$D$114,$I166)=0,"",INDEX(Stock!$D$8:$D$114,$I166)))</f>
        <v/>
      </c>
      <c r="D166" s="56" t="str">
        <f aca="false">IF($I166="","",INDEX(Stock!$J$8:$J$114,$I166))</f>
        <v/>
      </c>
      <c r="E166" s="57" t="str">
        <f aca="false">IF($I166="","",INDEX(Stock!$K$8:$K$114,$I166))</f>
        <v/>
      </c>
      <c r="F166" s="58" t="str">
        <f aca="false">IF($I166="","",IF(INDEX(Stock!$L$8:$L$114,$I166)=0,"",INDEX(Stock!$L$8:$L$114,$I166)))</f>
        <v/>
      </c>
      <c r="G166" s="59" t="str">
        <f aca="false">IF($I166="","",INDEX(Stock!$M$8:$M$114,$I166))</f>
        <v/>
      </c>
      <c r="I166" s="60" t="str">
        <f aca="false">IFERROR(MATCH($A$156&amp;"#"&amp;9,Stock!$R$8:$R$114,0),"")</f>
        <v/>
      </c>
    </row>
    <row r="167" customFormat="false" ht="12.75" hidden="false" customHeight="true" outlineLevel="0" collapsed="false">
      <c r="A167" s="61" t="str">
        <f aca="false">IF($I167="","",INDEX(Stock!$B$8:$B$114,$I167))</f>
        <v/>
      </c>
      <c r="B167" s="61" t="str">
        <f aca="false">IF($I167="","",IF(INDEX(Stock!$C$8:$C$114,$I167)=0,"",INDEX(Stock!$C$8:$C$114,$I167)))</f>
        <v/>
      </c>
      <c r="C167" s="62" t="str">
        <f aca="false">IF($I167="","",IF(INDEX(Stock!$D$8:$D$114,$I167)=0,"",INDEX(Stock!$D$8:$D$114,$I167)))</f>
        <v/>
      </c>
      <c r="D167" s="63" t="str">
        <f aca="false">IF($I167="","",INDEX(Stock!$J$8:$J$114,$I167))</f>
        <v/>
      </c>
      <c r="E167" s="64" t="str">
        <f aca="false">IF($I167="","",INDEX(Stock!$K$8:$K$114,$I167))</f>
        <v/>
      </c>
      <c r="F167" s="65" t="str">
        <f aca="false">IF($I167="","",IF(INDEX(Stock!$L$8:$L$114,$I167)=0,"",INDEX(Stock!$L$8:$L$114,$I167)))</f>
        <v/>
      </c>
      <c r="G167" s="66" t="str">
        <f aca="false">IF($I167="","",INDEX(Stock!$M$8:$M$114,$I167))</f>
        <v/>
      </c>
      <c r="I167" s="60" t="str">
        <f aca="false">IFERROR(MATCH($A$156&amp;"#"&amp;10,Stock!$R$8:$R$114,0),"")</f>
        <v/>
      </c>
    </row>
    <row r="168" customFormat="false" ht="12.75" hidden="false" customHeight="true" outlineLevel="0" collapsed="false">
      <c r="A168" s="54" t="str">
        <f aca="false">IF($I168="","",INDEX(Stock!$B$8:$B$114,$I168))</f>
        <v/>
      </c>
      <c r="B168" s="54" t="str">
        <f aca="false">IF($I168="","",IF(INDEX(Stock!$C$8:$C$114,$I168)=0,"",INDEX(Stock!$C$8:$C$114,$I168)))</f>
        <v/>
      </c>
      <c r="C168" s="55" t="str">
        <f aca="false">IF($I168="","",IF(INDEX(Stock!$D$8:$D$114,$I168)=0,"",INDEX(Stock!$D$8:$D$114,$I168)))</f>
        <v/>
      </c>
      <c r="D168" s="56" t="str">
        <f aca="false">IF($I168="","",INDEX(Stock!$J$8:$J$114,$I168))</f>
        <v/>
      </c>
      <c r="E168" s="57" t="str">
        <f aca="false">IF($I168="","",INDEX(Stock!$K$8:$K$114,$I168))</f>
        <v/>
      </c>
      <c r="F168" s="58" t="str">
        <f aca="false">IF($I168="","",IF(INDEX(Stock!$L$8:$L$114,$I168)=0,"",INDEX(Stock!$L$8:$L$114,$I168)))</f>
        <v/>
      </c>
      <c r="G168" s="59" t="str">
        <f aca="false">IF($I168="","",INDEX(Stock!$M$8:$M$114,$I168))</f>
        <v/>
      </c>
      <c r="I168" s="60" t="str">
        <f aca="false">IFERROR(MATCH($A$156&amp;"#"&amp;11,Stock!$R$8:$R$114,0),"")</f>
        <v/>
      </c>
    </row>
    <row r="169" customFormat="false" ht="15" hidden="false" customHeight="false" outlineLevel="0" collapsed="false">
      <c r="A169" s="67" t="str">
        <f aca="false">IF($A$156="","",$A$156&amp;" total")</f>
        <v>White Squid total</v>
      </c>
      <c r="B169" s="67"/>
      <c r="C169" s="67"/>
      <c r="D169" s="67"/>
      <c r="E169" s="68" t="n">
        <f aca="false">SUM(E158:E168)</f>
        <v>0</v>
      </c>
      <c r="F169" s="67"/>
      <c r="G169" s="69" t="n">
        <f aca="false">SUM(G158:G168)</f>
        <v>0</v>
      </c>
    </row>
    <row r="171" customFormat="false" ht="15.75" hidden="false" customHeight="true" outlineLevel="0" collapsed="false">
      <c r="A171" s="51" t="s">
        <v>138</v>
      </c>
      <c r="B171" s="51"/>
      <c r="C171" s="51"/>
      <c r="D171" s="51"/>
      <c r="E171" s="51"/>
      <c r="F171" s="51"/>
      <c r="G171" s="51"/>
    </row>
    <row r="172" customFormat="false" ht="19.5" hidden="false" customHeight="true" outlineLevel="0" collapsed="false">
      <c r="A172" s="52" t="s">
        <v>44</v>
      </c>
      <c r="B172" s="53" t="s">
        <v>45</v>
      </c>
      <c r="C172" s="53" t="s">
        <v>46</v>
      </c>
      <c r="D172" s="53" t="s">
        <v>52</v>
      </c>
      <c r="E172" s="53" t="s">
        <v>53</v>
      </c>
      <c r="F172" s="53" t="s">
        <v>54</v>
      </c>
      <c r="G172" s="53" t="s">
        <v>55</v>
      </c>
    </row>
    <row r="173" customFormat="false" ht="12.75" hidden="false" customHeight="true" outlineLevel="0" collapsed="false">
      <c r="A173" s="54" t="str">
        <f aca="false">IF($I173="","",INDEX(Stock!$B$8:$B$114,$I173))</f>
        <v>SKIN-ON RINGS 3/6 25%</v>
      </c>
      <c r="B173" s="54" t="str">
        <f aca="false">IF($I173="","",IF(INDEX(Stock!$C$8:$C$114,$I173)=0,"",INDEX(Stock!$C$8:$C$114,$I173)))</f>
        <v>Slab</v>
      </c>
      <c r="C173" s="55" t="str">
        <f aca="false">IF($I173="","",IF(INDEX(Stock!$D$8:$D$114,$I173)=0,"",INDEX(Stock!$D$8:$D$114,$I173)))</f>
        <v/>
      </c>
      <c r="D173" s="56" t="n">
        <f aca="false">IF($I173="","",INDEX(Stock!$J$8:$J$114,$I173))</f>
        <v>0</v>
      </c>
      <c r="E173" s="57" t="str">
        <f aca="false">IF($I173="","",INDEX(Stock!$K$8:$K$114,$I173))</f>
        <v/>
      </c>
      <c r="F173" s="58" t="str">
        <f aca="false">IF($I173="","",IF(INDEX(Stock!$L$8:$L$114,$I173)=0,"",INDEX(Stock!$L$8:$L$114,$I173)))</f>
        <v/>
      </c>
      <c r="G173" s="59" t="str">
        <f aca="false">IF($I173="","",INDEX(Stock!$M$8:$M$114,$I173))</f>
        <v/>
      </c>
      <c r="I173" s="60" t="n">
        <f aca="false">IFERROR(MATCH($A$171&amp;"#"&amp;1,Stock!$R$8:$R$114,0),"")</f>
        <v>79</v>
      </c>
    </row>
    <row r="174" customFormat="false" ht="12.75" hidden="false" customHeight="true" outlineLevel="0" collapsed="false">
      <c r="A174" s="61" t="str">
        <f aca="false">IF($I174="","",INDEX(Stock!$B$8:$B$114,$I174))</f>
        <v>SKIN-ON RINGS 6/10 25%</v>
      </c>
      <c r="B174" s="61" t="str">
        <f aca="false">IF($I174="","",IF(INDEX(Stock!$C$8:$C$114,$I174)=0,"",INDEX(Stock!$C$8:$C$114,$I174)))</f>
        <v>Slab</v>
      </c>
      <c r="C174" s="62" t="str">
        <f aca="false">IF($I174="","",IF(INDEX(Stock!$D$8:$D$114,$I174)=0,"",INDEX(Stock!$D$8:$D$114,$I174)))</f>
        <v/>
      </c>
      <c r="D174" s="63" t="n">
        <f aca="false">IF($I174="","",INDEX(Stock!$J$8:$J$114,$I174))</f>
        <v>0</v>
      </c>
      <c r="E174" s="64" t="str">
        <f aca="false">IF($I174="","",INDEX(Stock!$K$8:$K$114,$I174))</f>
        <v/>
      </c>
      <c r="F174" s="65" t="str">
        <f aca="false">IF($I174="","",IF(INDEX(Stock!$L$8:$L$114,$I174)=0,"",INDEX(Stock!$L$8:$L$114,$I174)))</f>
        <v/>
      </c>
      <c r="G174" s="66" t="str">
        <f aca="false">IF($I174="","",INDEX(Stock!$M$8:$M$114,$I174))</f>
        <v/>
      </c>
      <c r="I174" s="60" t="n">
        <f aca="false">IFERROR(MATCH($A$171&amp;"#"&amp;2,Stock!$R$8:$R$114,0),"")</f>
        <v>80</v>
      </c>
    </row>
    <row r="175" customFormat="false" ht="12.75" hidden="false" customHeight="true" outlineLevel="0" collapsed="false">
      <c r="A175" s="54" t="str">
        <f aca="false">IF($I175="","",INDEX(Stock!$B$8:$B$114,$I175))</f>
        <v>SKIN-ON RINGS 10/20 25%</v>
      </c>
      <c r="B175" s="54" t="str">
        <f aca="false">IF($I175="","",IF(INDEX(Stock!$C$8:$C$114,$I175)=0,"",INDEX(Stock!$C$8:$C$114,$I175)))</f>
        <v>Slab</v>
      </c>
      <c r="C175" s="55" t="str">
        <f aca="false">IF($I175="","",IF(INDEX(Stock!$D$8:$D$114,$I175)=0,"",INDEX(Stock!$D$8:$D$114,$I175)))</f>
        <v/>
      </c>
      <c r="D175" s="56" t="n">
        <f aca="false">IF($I175="","",INDEX(Stock!$J$8:$J$114,$I175))</f>
        <v>0</v>
      </c>
      <c r="E175" s="57" t="str">
        <f aca="false">IF($I175="","",INDEX(Stock!$K$8:$K$114,$I175))</f>
        <v/>
      </c>
      <c r="F175" s="58" t="str">
        <f aca="false">IF($I175="","",IF(INDEX(Stock!$L$8:$L$114,$I175)=0,"",INDEX(Stock!$L$8:$L$114,$I175)))</f>
        <v/>
      </c>
      <c r="G175" s="59" t="str">
        <f aca="false">IF($I175="","",INDEX(Stock!$M$8:$M$114,$I175))</f>
        <v/>
      </c>
      <c r="I175" s="60" t="n">
        <f aca="false">IFERROR(MATCH($A$171&amp;"#"&amp;3,Stock!$R$8:$R$114,0),"")</f>
        <v>81</v>
      </c>
    </row>
    <row r="176" customFormat="false" ht="12.75" hidden="false" customHeight="true" outlineLevel="0" collapsed="false">
      <c r="A176" s="61" t="str">
        <f aca="false">IF($I176="","",INDEX(Stock!$B$8:$B$114,$I176))</f>
        <v>SKIN-ON TENTACLES 25%</v>
      </c>
      <c r="B176" s="61" t="str">
        <f aca="false">IF($I176="","",IF(INDEX(Stock!$C$8:$C$114,$I176)=0,"",INDEX(Stock!$C$8:$C$114,$I176)))</f>
        <v>Slab</v>
      </c>
      <c r="C176" s="62" t="str">
        <f aca="false">IF($I176="","",IF(INDEX(Stock!$D$8:$D$114,$I176)=0,"",INDEX(Stock!$D$8:$D$114,$I176)))</f>
        <v/>
      </c>
      <c r="D176" s="63" t="n">
        <f aca="false">IF($I176="","",INDEX(Stock!$J$8:$J$114,$I176))</f>
        <v>0</v>
      </c>
      <c r="E176" s="64" t="str">
        <f aca="false">IF($I176="","",INDEX(Stock!$K$8:$K$114,$I176))</f>
        <v/>
      </c>
      <c r="F176" s="65" t="str">
        <f aca="false">IF($I176="","",IF(INDEX(Stock!$L$8:$L$114,$I176)=0,"",INDEX(Stock!$L$8:$L$114,$I176)))</f>
        <v/>
      </c>
      <c r="G176" s="66" t="str">
        <f aca="false">IF($I176="","",INDEX(Stock!$M$8:$M$114,$I176))</f>
        <v/>
      </c>
      <c r="I176" s="60" t="n">
        <f aca="false">IFERROR(MATCH($A$171&amp;"#"&amp;4,Stock!$R$8:$R$114,0),"")</f>
        <v>82</v>
      </c>
    </row>
    <row r="177" customFormat="false" ht="12.75" hidden="false" customHeight="true" outlineLevel="0" collapsed="false">
      <c r="A177" s="54" t="str">
        <f aca="false">IF($I177="","",INDEX(Stock!$B$8:$B$114,$I177))</f>
        <v/>
      </c>
      <c r="B177" s="54" t="str">
        <f aca="false">IF($I177="","",IF(INDEX(Stock!$C$8:$C$114,$I177)=0,"",INDEX(Stock!$C$8:$C$114,$I177)))</f>
        <v/>
      </c>
      <c r="C177" s="55" t="str">
        <f aca="false">IF($I177="","",IF(INDEX(Stock!$D$8:$D$114,$I177)=0,"",INDEX(Stock!$D$8:$D$114,$I177)))</f>
        <v/>
      </c>
      <c r="D177" s="56" t="str">
        <f aca="false">IF($I177="","",INDEX(Stock!$J$8:$J$114,$I177))</f>
        <v/>
      </c>
      <c r="E177" s="57" t="str">
        <f aca="false">IF($I177="","",INDEX(Stock!$K$8:$K$114,$I177))</f>
        <v/>
      </c>
      <c r="F177" s="58" t="str">
        <f aca="false">IF($I177="","",IF(INDEX(Stock!$L$8:$L$114,$I177)=0,"",INDEX(Stock!$L$8:$L$114,$I177)))</f>
        <v/>
      </c>
      <c r="G177" s="59" t="str">
        <f aca="false">IF($I177="","",INDEX(Stock!$M$8:$M$114,$I177))</f>
        <v/>
      </c>
      <c r="I177" s="60" t="str">
        <f aca="false">IFERROR(MATCH($A$171&amp;"#"&amp;5,Stock!$R$8:$R$114,0),"")</f>
        <v/>
      </c>
    </row>
    <row r="178" customFormat="false" ht="12.75" hidden="false" customHeight="true" outlineLevel="0" collapsed="false">
      <c r="A178" s="61" t="str">
        <f aca="false">IF($I178="","",INDEX(Stock!$B$8:$B$114,$I178))</f>
        <v/>
      </c>
      <c r="B178" s="61" t="str">
        <f aca="false">IF($I178="","",IF(INDEX(Stock!$C$8:$C$114,$I178)=0,"",INDEX(Stock!$C$8:$C$114,$I178)))</f>
        <v/>
      </c>
      <c r="C178" s="62" t="str">
        <f aca="false">IF($I178="","",IF(INDEX(Stock!$D$8:$D$114,$I178)=0,"",INDEX(Stock!$D$8:$D$114,$I178)))</f>
        <v/>
      </c>
      <c r="D178" s="63" t="str">
        <f aca="false">IF($I178="","",INDEX(Stock!$J$8:$J$114,$I178))</f>
        <v/>
      </c>
      <c r="E178" s="64" t="str">
        <f aca="false">IF($I178="","",INDEX(Stock!$K$8:$K$114,$I178))</f>
        <v/>
      </c>
      <c r="F178" s="65" t="str">
        <f aca="false">IF($I178="","",IF(INDEX(Stock!$L$8:$L$114,$I178)=0,"",INDEX(Stock!$L$8:$L$114,$I178)))</f>
        <v/>
      </c>
      <c r="G178" s="66" t="str">
        <f aca="false">IF($I178="","",INDEX(Stock!$M$8:$M$114,$I178))</f>
        <v/>
      </c>
      <c r="I178" s="60" t="str">
        <f aca="false">IFERROR(MATCH($A$171&amp;"#"&amp;6,Stock!$R$8:$R$114,0),"")</f>
        <v/>
      </c>
    </row>
    <row r="179" customFormat="false" ht="12.75" hidden="false" customHeight="true" outlineLevel="0" collapsed="false">
      <c r="A179" s="54" t="str">
        <f aca="false">IF($I179="","",INDEX(Stock!$B$8:$B$114,$I179))</f>
        <v/>
      </c>
      <c r="B179" s="54" t="str">
        <f aca="false">IF($I179="","",IF(INDEX(Stock!$C$8:$C$114,$I179)=0,"",INDEX(Stock!$C$8:$C$114,$I179)))</f>
        <v/>
      </c>
      <c r="C179" s="55" t="str">
        <f aca="false">IF($I179="","",IF(INDEX(Stock!$D$8:$D$114,$I179)=0,"",INDEX(Stock!$D$8:$D$114,$I179)))</f>
        <v/>
      </c>
      <c r="D179" s="56" t="str">
        <f aca="false">IF($I179="","",INDEX(Stock!$J$8:$J$114,$I179))</f>
        <v/>
      </c>
      <c r="E179" s="57" t="str">
        <f aca="false">IF($I179="","",INDEX(Stock!$K$8:$K$114,$I179))</f>
        <v/>
      </c>
      <c r="F179" s="58" t="str">
        <f aca="false">IF($I179="","",IF(INDEX(Stock!$L$8:$L$114,$I179)=0,"",INDEX(Stock!$L$8:$L$114,$I179)))</f>
        <v/>
      </c>
      <c r="G179" s="59" t="str">
        <f aca="false">IF($I179="","",INDEX(Stock!$M$8:$M$114,$I179))</f>
        <v/>
      </c>
      <c r="I179" s="60" t="str">
        <f aca="false">IFERROR(MATCH($A$171&amp;"#"&amp;7,Stock!$R$8:$R$114,0),"")</f>
        <v/>
      </c>
    </row>
    <row r="180" customFormat="false" ht="15" hidden="false" customHeight="false" outlineLevel="0" collapsed="false">
      <c r="A180" s="67" t="str">
        <f aca="false">IF($A$171="","",$A$171&amp;" total")</f>
        <v>Semi Needle Squid total</v>
      </c>
      <c r="B180" s="67"/>
      <c r="C180" s="67"/>
      <c r="D180" s="67"/>
      <c r="E180" s="68" t="n">
        <f aca="false">SUM(E173:E179)</f>
        <v>0</v>
      </c>
      <c r="F180" s="67"/>
      <c r="G180" s="69" t="n">
        <f aca="false">SUM(G173:G179)</f>
        <v>0</v>
      </c>
    </row>
    <row r="182" customFormat="false" ht="15.75" hidden="false" customHeight="true" outlineLevel="0" collapsed="false">
      <c r="A182" s="70"/>
      <c r="B182" s="70"/>
      <c r="C182" s="70"/>
      <c r="D182" s="70"/>
      <c r="E182" s="70"/>
      <c r="F182" s="70"/>
      <c r="G182" s="70"/>
    </row>
    <row r="183" customFormat="false" ht="19.5" hidden="false" customHeight="true" outlineLevel="0" collapsed="false">
      <c r="A183" s="52" t="s">
        <v>44</v>
      </c>
      <c r="B183" s="53" t="s">
        <v>45</v>
      </c>
      <c r="C183" s="53" t="s">
        <v>46</v>
      </c>
      <c r="D183" s="53" t="s">
        <v>52</v>
      </c>
      <c r="E183" s="53" t="s">
        <v>53</v>
      </c>
      <c r="F183" s="53" t="s">
        <v>54</v>
      </c>
      <c r="G183" s="53" t="s">
        <v>55</v>
      </c>
    </row>
    <row r="184" customFormat="false" ht="12.75" hidden="false" customHeight="true" outlineLevel="0" collapsed="false">
      <c r="A184" s="54" t="str">
        <f aca="false">IF($I184="","",INDEX(Stock!$B$8:$B$114,$I184))</f>
        <v/>
      </c>
      <c r="B184" s="54" t="str">
        <f aca="false">IF($I184="","",IF(INDEX(Stock!$C$8:$C$114,$I184)=0,"",INDEX(Stock!$C$8:$C$114,$I184)))</f>
        <v/>
      </c>
      <c r="C184" s="55" t="str">
        <f aca="false">IF($I184="","",IF(INDEX(Stock!$D$8:$D$114,$I184)=0,"",INDEX(Stock!$D$8:$D$114,$I184)))</f>
        <v/>
      </c>
      <c r="D184" s="56" t="str">
        <f aca="false">IF($I184="","",INDEX(Stock!$J$8:$J$114,$I184))</f>
        <v/>
      </c>
      <c r="E184" s="57" t="str">
        <f aca="false">IF($I184="","",INDEX(Stock!$K$8:$K$114,$I184))</f>
        <v/>
      </c>
      <c r="F184" s="58" t="str">
        <f aca="false">IF($I184="","",IF(INDEX(Stock!$L$8:$L$114,$I184)=0,"",INDEX(Stock!$L$8:$L$114,$I184)))</f>
        <v/>
      </c>
      <c r="G184" s="59" t="str">
        <f aca="false">IF($I184="","",INDEX(Stock!$M$8:$M$114,$I184))</f>
        <v/>
      </c>
      <c r="I184" s="60" t="str">
        <f aca="false">IFERROR(MATCH($A$182&amp;"#"&amp;1,Stock!$R$8:$R$114,0),"")</f>
        <v/>
      </c>
    </row>
    <row r="185" customFormat="false" ht="12.75" hidden="false" customHeight="true" outlineLevel="0" collapsed="false">
      <c r="A185" s="61" t="str">
        <f aca="false">IF($I185="","",INDEX(Stock!$B$8:$B$114,$I185))</f>
        <v/>
      </c>
      <c r="B185" s="61" t="str">
        <f aca="false">IF($I185="","",IF(INDEX(Stock!$C$8:$C$114,$I185)=0,"",INDEX(Stock!$C$8:$C$114,$I185)))</f>
        <v/>
      </c>
      <c r="C185" s="62" t="str">
        <f aca="false">IF($I185="","",IF(INDEX(Stock!$D$8:$D$114,$I185)=0,"",INDEX(Stock!$D$8:$D$114,$I185)))</f>
        <v/>
      </c>
      <c r="D185" s="63" t="str">
        <f aca="false">IF($I185="","",INDEX(Stock!$J$8:$J$114,$I185))</f>
        <v/>
      </c>
      <c r="E185" s="64" t="str">
        <f aca="false">IF($I185="","",INDEX(Stock!$K$8:$K$114,$I185))</f>
        <v/>
      </c>
      <c r="F185" s="65" t="str">
        <f aca="false">IF($I185="","",IF(INDEX(Stock!$L$8:$L$114,$I185)=0,"",INDEX(Stock!$L$8:$L$114,$I185)))</f>
        <v/>
      </c>
      <c r="G185" s="66" t="str">
        <f aca="false">IF($I185="","",INDEX(Stock!$M$8:$M$114,$I185))</f>
        <v/>
      </c>
      <c r="I185" s="60" t="str">
        <f aca="false">IFERROR(MATCH($A$182&amp;"#"&amp;2,Stock!$R$8:$R$114,0),"")</f>
        <v/>
      </c>
    </row>
    <row r="186" customFormat="false" ht="12.75" hidden="false" customHeight="true" outlineLevel="0" collapsed="false">
      <c r="A186" s="54" t="str">
        <f aca="false">IF($I186="","",INDEX(Stock!$B$8:$B$114,$I186))</f>
        <v/>
      </c>
      <c r="B186" s="54" t="str">
        <f aca="false">IF($I186="","",IF(INDEX(Stock!$C$8:$C$114,$I186)=0,"",INDEX(Stock!$C$8:$C$114,$I186)))</f>
        <v/>
      </c>
      <c r="C186" s="55" t="str">
        <f aca="false">IF($I186="","",IF(INDEX(Stock!$D$8:$D$114,$I186)=0,"",INDEX(Stock!$D$8:$D$114,$I186)))</f>
        <v/>
      </c>
      <c r="D186" s="56" t="str">
        <f aca="false">IF($I186="","",INDEX(Stock!$J$8:$J$114,$I186))</f>
        <v/>
      </c>
      <c r="E186" s="57" t="str">
        <f aca="false">IF($I186="","",INDEX(Stock!$K$8:$K$114,$I186))</f>
        <v/>
      </c>
      <c r="F186" s="58" t="str">
        <f aca="false">IF($I186="","",IF(INDEX(Stock!$L$8:$L$114,$I186)=0,"",INDEX(Stock!$L$8:$L$114,$I186)))</f>
        <v/>
      </c>
      <c r="G186" s="59" t="str">
        <f aca="false">IF($I186="","",INDEX(Stock!$M$8:$M$114,$I186))</f>
        <v/>
      </c>
      <c r="I186" s="60" t="str">
        <f aca="false">IFERROR(MATCH($A$182&amp;"#"&amp;3,Stock!$R$8:$R$114,0),"")</f>
        <v/>
      </c>
    </row>
    <row r="187" customFormat="false" ht="12.75" hidden="false" customHeight="true" outlineLevel="0" collapsed="false">
      <c r="A187" s="61" t="str">
        <f aca="false">IF($I187="","",INDEX(Stock!$B$8:$B$114,$I187))</f>
        <v/>
      </c>
      <c r="B187" s="61" t="str">
        <f aca="false">IF($I187="","",IF(INDEX(Stock!$C$8:$C$114,$I187)=0,"",INDEX(Stock!$C$8:$C$114,$I187)))</f>
        <v/>
      </c>
      <c r="C187" s="62" t="str">
        <f aca="false">IF($I187="","",IF(INDEX(Stock!$D$8:$D$114,$I187)=0,"",INDEX(Stock!$D$8:$D$114,$I187)))</f>
        <v/>
      </c>
      <c r="D187" s="63" t="str">
        <f aca="false">IF($I187="","",INDEX(Stock!$J$8:$J$114,$I187))</f>
        <v/>
      </c>
      <c r="E187" s="64" t="str">
        <f aca="false">IF($I187="","",INDEX(Stock!$K$8:$K$114,$I187))</f>
        <v/>
      </c>
      <c r="F187" s="65" t="str">
        <f aca="false">IF($I187="","",IF(INDEX(Stock!$L$8:$L$114,$I187)=0,"",INDEX(Stock!$L$8:$L$114,$I187)))</f>
        <v/>
      </c>
      <c r="G187" s="66" t="str">
        <f aca="false">IF($I187="","",INDEX(Stock!$M$8:$M$114,$I187))</f>
        <v/>
      </c>
      <c r="I187" s="60" t="str">
        <f aca="false">IFERROR(MATCH($A$182&amp;"#"&amp;4,Stock!$R$8:$R$114,0),"")</f>
        <v/>
      </c>
    </row>
    <row r="188" customFormat="false" ht="12.75" hidden="false" customHeight="true" outlineLevel="0" collapsed="false">
      <c r="A188" s="54" t="str">
        <f aca="false">IF($I188="","",INDEX(Stock!$B$8:$B$114,$I188))</f>
        <v/>
      </c>
      <c r="B188" s="54" t="str">
        <f aca="false">IF($I188="","",IF(INDEX(Stock!$C$8:$C$114,$I188)=0,"",INDEX(Stock!$C$8:$C$114,$I188)))</f>
        <v/>
      </c>
      <c r="C188" s="55" t="str">
        <f aca="false">IF($I188="","",IF(INDEX(Stock!$D$8:$D$114,$I188)=0,"",INDEX(Stock!$D$8:$D$114,$I188)))</f>
        <v/>
      </c>
      <c r="D188" s="56" t="str">
        <f aca="false">IF($I188="","",INDEX(Stock!$J$8:$J$114,$I188))</f>
        <v/>
      </c>
      <c r="E188" s="57" t="str">
        <f aca="false">IF($I188="","",INDEX(Stock!$K$8:$K$114,$I188))</f>
        <v/>
      </c>
      <c r="F188" s="58" t="str">
        <f aca="false">IF($I188="","",IF(INDEX(Stock!$L$8:$L$114,$I188)=0,"",INDEX(Stock!$L$8:$L$114,$I188)))</f>
        <v/>
      </c>
      <c r="G188" s="59" t="str">
        <f aca="false">IF($I188="","",INDEX(Stock!$M$8:$M$114,$I188))</f>
        <v/>
      </c>
      <c r="I188" s="60" t="str">
        <f aca="false">IFERROR(MATCH($A$182&amp;"#"&amp;5,Stock!$R$8:$R$114,0),"")</f>
        <v/>
      </c>
    </row>
    <row r="189" customFormat="false" ht="15" hidden="false" customHeight="false" outlineLevel="0" collapsed="false">
      <c r="A189" s="67" t="str">
        <f aca="false">IF($A$182="","",$A$182&amp;" total")</f>
        <v/>
      </c>
      <c r="B189" s="67"/>
      <c r="C189" s="67"/>
      <c r="D189" s="67"/>
      <c r="E189" s="68" t="n">
        <f aca="false">SUM(E184:E188)</f>
        <v>0</v>
      </c>
      <c r="F189" s="67"/>
      <c r="G189" s="69" t="n">
        <f aca="false">SUM(G184:G188)</f>
        <v>0</v>
      </c>
    </row>
    <row r="191" customFormat="false" ht="15.75" hidden="false" customHeight="true" outlineLevel="0" collapsed="false">
      <c r="A191" s="70"/>
      <c r="B191" s="70"/>
      <c r="C191" s="70"/>
      <c r="D191" s="70"/>
      <c r="E191" s="70"/>
      <c r="F191" s="70"/>
      <c r="G191" s="70"/>
    </row>
    <row r="192" customFormat="false" ht="19.5" hidden="false" customHeight="true" outlineLevel="0" collapsed="false">
      <c r="A192" s="52" t="s">
        <v>44</v>
      </c>
      <c r="B192" s="53" t="s">
        <v>45</v>
      </c>
      <c r="C192" s="53" t="s">
        <v>46</v>
      </c>
      <c r="D192" s="53" t="s">
        <v>52</v>
      </c>
      <c r="E192" s="53" t="s">
        <v>53</v>
      </c>
      <c r="F192" s="53" t="s">
        <v>54</v>
      </c>
      <c r="G192" s="53" t="s">
        <v>55</v>
      </c>
    </row>
    <row r="193" customFormat="false" ht="12.75" hidden="false" customHeight="true" outlineLevel="0" collapsed="false">
      <c r="A193" s="54" t="str">
        <f aca="false">IF($I193="","",INDEX(Stock!$B$8:$B$114,$I193))</f>
        <v/>
      </c>
      <c r="B193" s="54" t="str">
        <f aca="false">IF($I193="","",IF(INDEX(Stock!$C$8:$C$114,$I193)=0,"",INDEX(Stock!$C$8:$C$114,$I193)))</f>
        <v/>
      </c>
      <c r="C193" s="55" t="str">
        <f aca="false">IF($I193="","",IF(INDEX(Stock!$D$8:$D$114,$I193)=0,"",INDEX(Stock!$D$8:$D$114,$I193)))</f>
        <v/>
      </c>
      <c r="D193" s="56" t="str">
        <f aca="false">IF($I193="","",INDEX(Stock!$J$8:$J$114,$I193))</f>
        <v/>
      </c>
      <c r="E193" s="57" t="str">
        <f aca="false">IF($I193="","",INDEX(Stock!$K$8:$K$114,$I193))</f>
        <v/>
      </c>
      <c r="F193" s="58" t="str">
        <f aca="false">IF($I193="","",IF(INDEX(Stock!$L$8:$L$114,$I193)=0,"",INDEX(Stock!$L$8:$L$114,$I193)))</f>
        <v/>
      </c>
      <c r="G193" s="59" t="str">
        <f aca="false">IF($I193="","",INDEX(Stock!$M$8:$M$114,$I193))</f>
        <v/>
      </c>
      <c r="I193" s="60" t="str">
        <f aca="false">IFERROR(MATCH($A$191&amp;"#"&amp;1,Stock!$R$8:$R$114,0),"")</f>
        <v/>
      </c>
    </row>
    <row r="194" customFormat="false" ht="12.75" hidden="false" customHeight="true" outlineLevel="0" collapsed="false">
      <c r="A194" s="61" t="str">
        <f aca="false">IF($I194="","",INDEX(Stock!$B$8:$B$114,$I194))</f>
        <v/>
      </c>
      <c r="B194" s="61" t="str">
        <f aca="false">IF($I194="","",IF(INDEX(Stock!$C$8:$C$114,$I194)=0,"",INDEX(Stock!$C$8:$C$114,$I194)))</f>
        <v/>
      </c>
      <c r="C194" s="62" t="str">
        <f aca="false">IF($I194="","",IF(INDEX(Stock!$D$8:$D$114,$I194)=0,"",INDEX(Stock!$D$8:$D$114,$I194)))</f>
        <v/>
      </c>
      <c r="D194" s="63" t="str">
        <f aca="false">IF($I194="","",INDEX(Stock!$J$8:$J$114,$I194))</f>
        <v/>
      </c>
      <c r="E194" s="64" t="str">
        <f aca="false">IF($I194="","",INDEX(Stock!$K$8:$K$114,$I194))</f>
        <v/>
      </c>
      <c r="F194" s="65" t="str">
        <f aca="false">IF($I194="","",IF(INDEX(Stock!$L$8:$L$114,$I194)=0,"",INDEX(Stock!$L$8:$L$114,$I194)))</f>
        <v/>
      </c>
      <c r="G194" s="66" t="str">
        <f aca="false">IF($I194="","",INDEX(Stock!$M$8:$M$114,$I194))</f>
        <v/>
      </c>
      <c r="I194" s="60" t="str">
        <f aca="false">IFERROR(MATCH($A$191&amp;"#"&amp;2,Stock!$R$8:$R$114,0),"")</f>
        <v/>
      </c>
    </row>
    <row r="195" customFormat="false" ht="12.75" hidden="false" customHeight="true" outlineLevel="0" collapsed="false">
      <c r="A195" s="54" t="str">
        <f aca="false">IF($I195="","",INDEX(Stock!$B$8:$B$114,$I195))</f>
        <v/>
      </c>
      <c r="B195" s="54" t="str">
        <f aca="false">IF($I195="","",IF(INDEX(Stock!$C$8:$C$114,$I195)=0,"",INDEX(Stock!$C$8:$C$114,$I195)))</f>
        <v/>
      </c>
      <c r="C195" s="55" t="str">
        <f aca="false">IF($I195="","",IF(INDEX(Stock!$D$8:$D$114,$I195)=0,"",INDEX(Stock!$D$8:$D$114,$I195)))</f>
        <v/>
      </c>
      <c r="D195" s="56" t="str">
        <f aca="false">IF($I195="","",INDEX(Stock!$J$8:$J$114,$I195))</f>
        <v/>
      </c>
      <c r="E195" s="57" t="str">
        <f aca="false">IF($I195="","",INDEX(Stock!$K$8:$K$114,$I195))</f>
        <v/>
      </c>
      <c r="F195" s="58" t="str">
        <f aca="false">IF($I195="","",IF(INDEX(Stock!$L$8:$L$114,$I195)=0,"",INDEX(Stock!$L$8:$L$114,$I195)))</f>
        <v/>
      </c>
      <c r="G195" s="59" t="str">
        <f aca="false">IF($I195="","",INDEX(Stock!$M$8:$M$114,$I195))</f>
        <v/>
      </c>
      <c r="I195" s="60" t="str">
        <f aca="false">IFERROR(MATCH($A$191&amp;"#"&amp;3,Stock!$R$8:$R$114,0),"")</f>
        <v/>
      </c>
    </row>
    <row r="196" customFormat="false" ht="12.75" hidden="false" customHeight="true" outlineLevel="0" collapsed="false">
      <c r="A196" s="61" t="str">
        <f aca="false">IF($I196="","",INDEX(Stock!$B$8:$B$114,$I196))</f>
        <v/>
      </c>
      <c r="B196" s="61" t="str">
        <f aca="false">IF($I196="","",IF(INDEX(Stock!$C$8:$C$114,$I196)=0,"",INDEX(Stock!$C$8:$C$114,$I196)))</f>
        <v/>
      </c>
      <c r="C196" s="62" t="str">
        <f aca="false">IF($I196="","",IF(INDEX(Stock!$D$8:$D$114,$I196)=0,"",INDEX(Stock!$D$8:$D$114,$I196)))</f>
        <v/>
      </c>
      <c r="D196" s="63" t="str">
        <f aca="false">IF($I196="","",INDEX(Stock!$J$8:$J$114,$I196))</f>
        <v/>
      </c>
      <c r="E196" s="64" t="str">
        <f aca="false">IF($I196="","",INDEX(Stock!$K$8:$K$114,$I196))</f>
        <v/>
      </c>
      <c r="F196" s="65" t="str">
        <f aca="false">IF($I196="","",IF(INDEX(Stock!$L$8:$L$114,$I196)=0,"",INDEX(Stock!$L$8:$L$114,$I196)))</f>
        <v/>
      </c>
      <c r="G196" s="66" t="str">
        <f aca="false">IF($I196="","",INDEX(Stock!$M$8:$M$114,$I196))</f>
        <v/>
      </c>
      <c r="I196" s="60" t="str">
        <f aca="false">IFERROR(MATCH($A$191&amp;"#"&amp;4,Stock!$R$8:$R$114,0),"")</f>
        <v/>
      </c>
    </row>
    <row r="197" customFormat="false" ht="12.75" hidden="false" customHeight="true" outlineLevel="0" collapsed="false">
      <c r="A197" s="54" t="str">
        <f aca="false">IF($I197="","",INDEX(Stock!$B$8:$B$114,$I197))</f>
        <v/>
      </c>
      <c r="B197" s="54" t="str">
        <f aca="false">IF($I197="","",IF(INDEX(Stock!$C$8:$C$114,$I197)=0,"",INDEX(Stock!$C$8:$C$114,$I197)))</f>
        <v/>
      </c>
      <c r="C197" s="55" t="str">
        <f aca="false">IF($I197="","",IF(INDEX(Stock!$D$8:$D$114,$I197)=0,"",INDEX(Stock!$D$8:$D$114,$I197)))</f>
        <v/>
      </c>
      <c r="D197" s="56" t="str">
        <f aca="false">IF($I197="","",INDEX(Stock!$J$8:$J$114,$I197))</f>
        <v/>
      </c>
      <c r="E197" s="57" t="str">
        <f aca="false">IF($I197="","",INDEX(Stock!$K$8:$K$114,$I197))</f>
        <v/>
      </c>
      <c r="F197" s="58" t="str">
        <f aca="false">IF($I197="","",IF(INDEX(Stock!$L$8:$L$114,$I197)=0,"",INDEX(Stock!$L$8:$L$114,$I197)))</f>
        <v/>
      </c>
      <c r="G197" s="59" t="str">
        <f aca="false">IF($I197="","",INDEX(Stock!$M$8:$M$114,$I197))</f>
        <v/>
      </c>
      <c r="I197" s="60" t="str">
        <f aca="false">IFERROR(MATCH($A$191&amp;"#"&amp;5,Stock!$R$8:$R$114,0),"")</f>
        <v/>
      </c>
    </row>
    <row r="198" customFormat="false" ht="15" hidden="false" customHeight="false" outlineLevel="0" collapsed="false">
      <c r="A198" s="67" t="str">
        <f aca="false">IF($A$191="","",$A$191&amp;" total")</f>
        <v/>
      </c>
      <c r="B198" s="67"/>
      <c r="C198" s="67"/>
      <c r="D198" s="67"/>
      <c r="E198" s="68" t="n">
        <f aca="false">SUM(E193:E197)</f>
        <v>0</v>
      </c>
      <c r="F198" s="67"/>
      <c r="G198" s="69" t="n">
        <f aca="false">SUM(G193:G197)</f>
        <v>0</v>
      </c>
    </row>
    <row r="200" customFormat="false" ht="15" hidden="false" customHeight="false" outlineLevel="0" collapsed="false">
      <c r="A200" s="35" t="s">
        <v>178</v>
      </c>
      <c r="B200" s="35"/>
      <c r="C200" s="35"/>
      <c r="D200" s="35"/>
      <c r="E200" s="36" t="n">
        <f aca="false">E22+E48+E63+E77+E87+E98+E106+E114+E127+E141+E154+E169+E180+E189+E198</f>
        <v>222532</v>
      </c>
      <c r="F200" s="35"/>
      <c r="G200" s="37" t="n">
        <f aca="false">G22+G48+G63+G77+G87+G98+G106+G114+G127+G141+G154+G169+G180+G189+G198</f>
        <v>10480400</v>
      </c>
    </row>
    <row r="202" customFormat="false" ht="15" hidden="false" customHeight="false" outlineLevel="0" collapsed="false">
      <c r="A202" s="38" t="str">
        <f aca="false">IF(ROUND($E$200,1)&lt;&gt;ROUND(Stock!$K$115,1),"A brand on Stock has no table here — type its name into a blank brand band above, or these totals understate the stock.","")</f>
        <v/>
      </c>
    </row>
    <row r="203" customFormat="false" ht="15" hidden="false" customHeight="false" outlineLevel="0" collapsed="false">
      <c r="A203" s="9" t="s">
        <v>179</v>
      </c>
    </row>
  </sheetData>
  <sheetProtection sheet="true" password="df10" objects="true" scenarios="true" autoFilter="false"/>
  <mergeCells count="24">
    <mergeCell ref="A4:B4"/>
    <mergeCell ref="C4:E4"/>
    <mergeCell ref="F4:G4"/>
    <mergeCell ref="A5:B5"/>
    <mergeCell ref="C5:E5"/>
    <mergeCell ref="F5:G5"/>
    <mergeCell ref="A6:B6"/>
    <mergeCell ref="C6:E6"/>
    <mergeCell ref="F6:G6"/>
    <mergeCell ref="A9:G9"/>
    <mergeCell ref="A24:G24"/>
    <mergeCell ref="A50:G50"/>
    <mergeCell ref="A65:G65"/>
    <mergeCell ref="A79:G79"/>
    <mergeCell ref="A89:G89"/>
    <mergeCell ref="A100:G100"/>
    <mergeCell ref="A108:G108"/>
    <mergeCell ref="A116:G116"/>
    <mergeCell ref="A129:G129"/>
    <mergeCell ref="A143:G143"/>
    <mergeCell ref="A156:G156"/>
    <mergeCell ref="A171:G171"/>
    <mergeCell ref="A182:G182"/>
    <mergeCell ref="A191:G191"/>
  </mergeCells>
  <conditionalFormatting sqref="A11:G21">
    <cfRule type="expression" priority="2" aboveAverage="0" equalAverage="0" bottom="0" percent="0" rank="0" text="" dxfId="10">
      <formula>$A11=""</formula>
    </cfRule>
  </conditionalFormatting>
  <conditionalFormatting sqref="A26:G47">
    <cfRule type="expression" priority="3" aboveAverage="0" equalAverage="0" bottom="0" percent="0" rank="0" text="" dxfId="10">
      <formula>$A26=""</formula>
    </cfRule>
  </conditionalFormatting>
  <conditionalFormatting sqref="A52:G62">
    <cfRule type="expression" priority="4" aboveAverage="0" equalAverage="0" bottom="0" percent="0" rank="0" text="" dxfId="10">
      <formula>$A52=""</formula>
    </cfRule>
  </conditionalFormatting>
  <conditionalFormatting sqref="A67:G76">
    <cfRule type="expression" priority="5" aboveAverage="0" equalAverage="0" bottom="0" percent="0" rank="0" text="" dxfId="10">
      <formula>$A67=""</formula>
    </cfRule>
  </conditionalFormatting>
  <conditionalFormatting sqref="A81:G86">
    <cfRule type="expression" priority="6" aboveAverage="0" equalAverage="0" bottom="0" percent="0" rank="0" text="" dxfId="10">
      <formula>$A81=""</formula>
    </cfRule>
  </conditionalFormatting>
  <conditionalFormatting sqref="A91:G97">
    <cfRule type="expression" priority="7" aboveAverage="0" equalAverage="0" bottom="0" percent="0" rank="0" text="" dxfId="10">
      <formula>$A91=""</formula>
    </cfRule>
  </conditionalFormatting>
  <conditionalFormatting sqref="A102:G105">
    <cfRule type="expression" priority="8" aboveAverage="0" equalAverage="0" bottom="0" percent="0" rank="0" text="" dxfId="10">
      <formula>$A102=""</formula>
    </cfRule>
  </conditionalFormatting>
  <conditionalFormatting sqref="A110:G113">
    <cfRule type="expression" priority="9" aboveAverage="0" equalAverage="0" bottom="0" percent="0" rank="0" text="" dxfId="10">
      <formula>$A110=""</formula>
    </cfRule>
  </conditionalFormatting>
  <conditionalFormatting sqref="A118:G126">
    <cfRule type="expression" priority="10" aboveAverage="0" equalAverage="0" bottom="0" percent="0" rank="0" text="" dxfId="10">
      <formula>$A118=""</formula>
    </cfRule>
  </conditionalFormatting>
  <conditionalFormatting sqref="A131:G140">
    <cfRule type="expression" priority="11" aboveAverage="0" equalAverage="0" bottom="0" percent="0" rank="0" text="" dxfId="10">
      <formula>$A131=""</formula>
    </cfRule>
  </conditionalFormatting>
  <conditionalFormatting sqref="A145:G153">
    <cfRule type="expression" priority="12" aboveAverage="0" equalAverage="0" bottom="0" percent="0" rank="0" text="" dxfId="10">
      <formula>$A145=""</formula>
    </cfRule>
  </conditionalFormatting>
  <conditionalFormatting sqref="A158:G168">
    <cfRule type="expression" priority="13" aboveAverage="0" equalAverage="0" bottom="0" percent="0" rank="0" text="" dxfId="10">
      <formula>$A158=""</formula>
    </cfRule>
  </conditionalFormatting>
  <conditionalFormatting sqref="A173:G179">
    <cfRule type="expression" priority="14" aboveAverage="0" equalAverage="0" bottom="0" percent="0" rank="0" text="" dxfId="10">
      <formula>$A173=""</formula>
    </cfRule>
  </conditionalFormatting>
  <conditionalFormatting sqref="A184:G188">
    <cfRule type="expression" priority="15" aboveAverage="0" equalAverage="0" bottom="0" percent="0" rank="0" text="" dxfId="10">
      <formula>$A184=""</formula>
    </cfRule>
  </conditionalFormatting>
  <conditionalFormatting sqref="A193:G197">
    <cfRule type="expression" priority="16" aboveAverage="0" equalAverage="0" bottom="0" percent="0" rank="0" text="" dxfId="10">
      <formula>$A193=""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3"/>
    <col collapsed="false" customWidth="true" hidden="false" outlineLevel="0" max="2" min="2" style="0" width="24"/>
    <col collapsed="false" customWidth="true" hidden="false" outlineLevel="0" max="4" min="3" style="0" width="15"/>
    <col collapsed="false" customWidth="true" hidden="false" outlineLevel="0" max="5" min="5" style="0" width="16"/>
    <col collapsed="false" customWidth="true" hidden="false" outlineLevel="0" max="6" min="6" style="0" width="19"/>
    <col collapsed="false" customWidth="true" hidden="false" outlineLevel="0" max="7" min="7" style="0" width="2"/>
    <col collapsed="false" customWidth="true" hidden="false" outlineLevel="0" max="8" min="8" style="0" width="6"/>
  </cols>
  <sheetData>
    <row r="1" customFormat="false" ht="33.75" hidden="false" customHeight="true" outlineLevel="0" collapsed="false">
      <c r="B1" s="71" t="s">
        <v>180</v>
      </c>
      <c r="E1" s="72" t="s">
        <v>181</v>
      </c>
      <c r="F1" s="72"/>
    </row>
    <row r="2" customFormat="false" ht="15" hidden="false" customHeight="false" outlineLevel="0" collapsed="false">
      <c r="E2" s="72" t="s">
        <v>182</v>
      </c>
      <c r="F2" s="72"/>
    </row>
    <row r="3" customFormat="false" ht="15" hidden="false" customHeight="false" outlineLevel="0" collapsed="false">
      <c r="E3" s="72" t="s">
        <v>183</v>
      </c>
      <c r="F3" s="72"/>
    </row>
    <row r="4" customFormat="false" ht="4.5" hidden="false" customHeight="true" outlineLevel="0" collapsed="false">
      <c r="A4" s="73"/>
      <c r="B4" s="73"/>
      <c r="C4" s="73"/>
      <c r="D4" s="73"/>
      <c r="E4" s="73"/>
      <c r="F4" s="73"/>
    </row>
    <row r="5" customFormat="false" ht="25.5" hidden="false" customHeight="true" outlineLevel="0" collapsed="false">
      <c r="A5" s="74" t="s">
        <v>184</v>
      </c>
      <c r="E5" s="75" t="n">
        <f aca="false">Stock!$E$3</f>
        <v>46255</v>
      </c>
      <c r="F5" s="75"/>
    </row>
    <row r="6" customFormat="false" ht="15" hidden="false" customHeight="false" outlineLevel="0" collapsed="false">
      <c r="A6" s="76" t="s">
        <v>185</v>
      </c>
      <c r="E6" s="77" t="s">
        <v>186</v>
      </c>
      <c r="F6" s="77"/>
    </row>
    <row r="8" customFormat="false" ht="12.75" hidden="false" customHeight="true" outlineLevel="0" collapsed="false">
      <c r="A8" s="78" t="s">
        <v>187</v>
      </c>
      <c r="B8" s="78" t="s">
        <v>188</v>
      </c>
      <c r="C8" s="78" t="s">
        <v>189</v>
      </c>
      <c r="D8" s="78" t="s">
        <v>190</v>
      </c>
      <c r="E8" s="79" t="str">
        <f aca="false">IF(Stock!$E$4="","STOCK VALUE (₹)","STOCK VALUE (₹) AT "&amp;TEXT(Stock!$E$4,"0.00")&amp;" / US$")</f>
        <v>STOCK VALUE (₹) AT 95.00 / US$</v>
      </c>
      <c r="F8" s="79"/>
    </row>
    <row r="9" customFormat="false" ht="21.75" hidden="false" customHeight="true" outlineLevel="0" collapsed="false">
      <c r="A9" s="80" t="n">
        <f aca="false">SUM(Stock!$S$8:$S$114)</f>
        <v>222770</v>
      </c>
      <c r="B9" s="80" t="n">
        <f aca="false">SUM(Stock!$T$8:$T$114)</f>
        <v>10002</v>
      </c>
      <c r="C9" s="80" t="n">
        <f aca="false">SUM(Stock!$U$8:$U$114)</f>
        <v>20000</v>
      </c>
      <c r="D9" s="80" t="n">
        <f aca="false">Stock!$K$115</f>
        <v>222532</v>
      </c>
      <c r="E9" s="81" t="n">
        <f aca="false">IF(Stock!$E$4="","Exchange rate not set",IF(Stock!$M$115="","Export rates not entered",Stock!$M$115))</f>
        <v>10480400</v>
      </c>
      <c r="F9" s="81"/>
    </row>
    <row r="10" customFormat="false" ht="12" hidden="false" customHeight="true" outlineLevel="0" collapsed="false">
      <c r="A10" s="82" t="str">
        <f aca="false">IF(SUM(Stock!$X$8:$X$114)=0,"",SUM(Stock!$X$8:$X$114)&amp;" product(s) have no Kg / Unit set — their stock is not counted in these totals.")</f>
        <v>19 product(s) have no Kg / Unit set — their stock is not counted in these totals.</v>
      </c>
      <c r="B10" s="82"/>
      <c r="C10" s="82"/>
      <c r="D10" s="82"/>
      <c r="E10" s="82"/>
      <c r="F10" s="82"/>
    </row>
    <row r="12" customFormat="false" ht="16.5" hidden="false" customHeight="true" outlineLevel="0" collapsed="false">
      <c r="A12" s="83" t="s">
        <v>191</v>
      </c>
      <c r="B12" s="83"/>
      <c r="C12" s="83"/>
      <c r="D12" s="83"/>
      <c r="E12" s="83"/>
      <c r="F12" s="83"/>
    </row>
    <row r="13" customFormat="false" ht="21.75" hidden="false" customHeight="true" outlineLevel="0" collapsed="false">
      <c r="A13" s="52" t="s">
        <v>43</v>
      </c>
      <c r="B13" s="53" t="s">
        <v>53</v>
      </c>
      <c r="C13" s="53" t="s">
        <v>192</v>
      </c>
      <c r="D13" s="53" t="s">
        <v>193</v>
      </c>
      <c r="E13" s="53" t="s">
        <v>194</v>
      </c>
      <c r="F13" s="53" t="s">
        <v>55</v>
      </c>
    </row>
    <row r="14" customFormat="false" ht="12.75" hidden="false" customHeight="true" outlineLevel="0" collapsed="false">
      <c r="A14" s="84" t="s">
        <v>67</v>
      </c>
      <c r="B14" s="57" t="n">
        <f aca="false">IF($A14="","",SUMIF(Stock!$A$8:$A$114,$A14,Stock!$K$8:$K$114))</f>
        <v>43070</v>
      </c>
      <c r="C14" s="85" t="n">
        <f aca="false">IF($A14="","",SUMIF(Stock!$A$8:$A$114,$A14,Stock!$T$8:$T$114))</f>
        <v>2980</v>
      </c>
      <c r="D14" s="85" t="n">
        <f aca="false">IF($A14="","",SUMIF(Stock!$A$8:$A$114,$A14,Stock!$U$8:$U$114))</f>
        <v>20000</v>
      </c>
      <c r="E14" s="86" t="n">
        <f aca="false">IF($A14="","",COUNTIF(Stock!$A$8:$A$114,$A14))</f>
        <v>8</v>
      </c>
      <c r="F14" s="59" t="n">
        <f aca="false">IF($A14="","",IF(SUMIF(Stock!$A$8:$A$114,$A14,Stock!$M$8:$M$114)=0,"",SUMIF(Stock!$A$8:$A$114,$A14,Stock!$M$8:$M$114)))</f>
        <v>10480400</v>
      </c>
    </row>
    <row r="15" customFormat="false" ht="12.75" hidden="false" customHeight="true" outlineLevel="0" collapsed="false">
      <c r="A15" s="87" t="s">
        <v>77</v>
      </c>
      <c r="B15" s="64" t="n">
        <f aca="false">IF($A15="","",SUMIF(Stock!$A$8:$A$114,$A15,Stock!$K$8:$K$114))</f>
        <v>61882</v>
      </c>
      <c r="C15" s="88" t="n">
        <f aca="false">IF($A15="","",SUMIF(Stock!$A$8:$A$114,$A15,Stock!$T$8:$T$114))</f>
        <v>1338</v>
      </c>
      <c r="D15" s="88" t="n">
        <f aca="false">IF($A15="","",SUMIF(Stock!$A$8:$A$114,$A15,Stock!$U$8:$U$114))</f>
        <v>0</v>
      </c>
      <c r="E15" s="89" t="n">
        <f aca="false">IF($A15="","",COUNTIF(Stock!$A$8:$A$114,$A15))</f>
        <v>19</v>
      </c>
      <c r="F15" s="66" t="str">
        <f aca="false">IF($A15="","",IF(SUMIF(Stock!$A$8:$A$114,$A15,Stock!$M$8:$M$114)=0,"",SUMIF(Stock!$A$8:$A$114,$A15,Stock!$M$8:$M$114)))</f>
        <v/>
      </c>
    </row>
    <row r="16" customFormat="false" ht="12.75" hidden="false" customHeight="true" outlineLevel="0" collapsed="false">
      <c r="A16" s="84" t="s">
        <v>89</v>
      </c>
      <c r="B16" s="57" t="n">
        <f aca="false">IF($A16="","",SUMIF(Stock!$A$8:$A$114,$A16,Stock!$K$8:$K$114))</f>
        <v>53404</v>
      </c>
      <c r="C16" s="85" t="n">
        <f aca="false">IF($A16="","",SUMIF(Stock!$A$8:$A$114,$A16,Stock!$T$8:$T$114))</f>
        <v>62</v>
      </c>
      <c r="D16" s="85" t="n">
        <f aca="false">IF($A16="","",SUMIF(Stock!$A$8:$A$114,$A16,Stock!$U$8:$U$114))</f>
        <v>0</v>
      </c>
      <c r="E16" s="86" t="n">
        <f aca="false">IF($A16="","",COUNTIF(Stock!$A$8:$A$114,$A16))</f>
        <v>8</v>
      </c>
      <c r="F16" s="59" t="str">
        <f aca="false">IF($A16="","",IF(SUMIF(Stock!$A$8:$A$114,$A16,Stock!$M$8:$M$114)=0,"",SUMIF(Stock!$A$8:$A$114,$A16,Stock!$M$8:$M$114)))</f>
        <v/>
      </c>
    </row>
    <row r="17" customFormat="false" ht="12.75" hidden="false" customHeight="true" outlineLevel="0" collapsed="false">
      <c r="A17" s="87" t="s">
        <v>98</v>
      </c>
      <c r="B17" s="64" t="n">
        <f aca="false">IF($A17="","",SUMIF(Stock!$A$8:$A$114,$A17,Stock!$K$8:$K$114))</f>
        <v>3068</v>
      </c>
      <c r="C17" s="88" t="n">
        <f aca="false">IF($A17="","",SUMIF(Stock!$A$8:$A$114,$A17,Stock!$T$8:$T$114))</f>
        <v>0</v>
      </c>
      <c r="D17" s="88" t="n">
        <f aca="false">IF($A17="","",SUMIF(Stock!$A$8:$A$114,$A17,Stock!$U$8:$U$114))</f>
        <v>0</v>
      </c>
      <c r="E17" s="89" t="n">
        <f aca="false">IF($A17="","",COUNTIF(Stock!$A$8:$A$114,$A17))</f>
        <v>7</v>
      </c>
      <c r="F17" s="66" t="str">
        <f aca="false">IF($A17="","",IF(SUMIF(Stock!$A$8:$A$114,$A17,Stock!$M$8:$M$114)=0,"",SUMIF(Stock!$A$8:$A$114,$A17,Stock!$M$8:$M$114)))</f>
        <v/>
      </c>
    </row>
    <row r="18" customFormat="false" ht="12.75" hidden="false" customHeight="true" outlineLevel="0" collapsed="false">
      <c r="A18" s="84" t="s">
        <v>99</v>
      </c>
      <c r="B18" s="57" t="n">
        <f aca="false">IF($A18="","",SUMIF(Stock!$A$8:$A$114,$A18,Stock!$K$8:$K$114))</f>
        <v>36818</v>
      </c>
      <c r="C18" s="85" t="n">
        <f aca="false">IF($A18="","",SUMIF(Stock!$A$8:$A$114,$A18,Stock!$T$8:$T$114))</f>
        <v>5622</v>
      </c>
      <c r="D18" s="85" t="n">
        <f aca="false">IF($A18="","",SUMIF(Stock!$A$8:$A$114,$A18,Stock!$U$8:$U$114))</f>
        <v>0</v>
      </c>
      <c r="E18" s="86" t="n">
        <f aca="false">IF($A18="","",COUNTIF(Stock!$A$8:$A$114,$A18))</f>
        <v>3</v>
      </c>
      <c r="F18" s="59" t="str">
        <f aca="false">IF($A18="","",IF(SUMIF(Stock!$A$8:$A$114,$A18,Stock!$M$8:$M$114)=0,"",SUMIF(Stock!$A$8:$A$114,$A18,Stock!$M$8:$M$114)))</f>
        <v/>
      </c>
    </row>
    <row r="19" customFormat="false" ht="12.75" hidden="false" customHeight="true" outlineLevel="0" collapsed="false">
      <c r="A19" s="87" t="s">
        <v>100</v>
      </c>
      <c r="B19" s="64" t="n">
        <f aca="false">IF($A19="","",SUMIF(Stock!$A$8:$A$114,$A19,Stock!$K$8:$K$114))</f>
        <v>5920</v>
      </c>
      <c r="C19" s="88" t="n">
        <f aca="false">IF($A19="","",SUMIF(Stock!$A$8:$A$114,$A19,Stock!$T$8:$T$114))</f>
        <v>0</v>
      </c>
      <c r="D19" s="88" t="n">
        <f aca="false">IF($A19="","",SUMIF(Stock!$A$8:$A$114,$A19,Stock!$U$8:$U$114))</f>
        <v>0</v>
      </c>
      <c r="E19" s="89" t="n">
        <f aca="false">IF($A19="","",COUNTIF(Stock!$A$8:$A$114,$A19))</f>
        <v>4</v>
      </c>
      <c r="F19" s="66" t="str">
        <f aca="false">IF($A19="","",IF(SUMIF(Stock!$A$8:$A$114,$A19,Stock!$M$8:$M$114)=0,"",SUMIF(Stock!$A$8:$A$114,$A19,Stock!$M$8:$M$114)))</f>
        <v/>
      </c>
    </row>
    <row r="20" customFormat="false" ht="12.75" hidden="false" customHeight="true" outlineLevel="0" collapsed="false">
      <c r="A20" s="84" t="s">
        <v>103</v>
      </c>
      <c r="B20" s="57" t="n">
        <f aca="false">IF($A20="","",SUMIF(Stock!$A$8:$A$114,$A20,Stock!$K$8:$K$114))</f>
        <v>1340</v>
      </c>
      <c r="C20" s="85" t="n">
        <f aca="false">IF($A20="","",SUMIF(Stock!$A$8:$A$114,$A20,Stock!$T$8:$T$114))</f>
        <v>0</v>
      </c>
      <c r="D20" s="85" t="n">
        <f aca="false">IF($A20="","",SUMIF(Stock!$A$8:$A$114,$A20,Stock!$U$8:$U$114))</f>
        <v>0</v>
      </c>
      <c r="E20" s="86" t="n">
        <f aca="false">IF($A20="","",COUNTIF(Stock!$A$8:$A$114,$A20))</f>
        <v>1</v>
      </c>
      <c r="F20" s="59" t="str">
        <f aca="false">IF($A20="","",IF(SUMIF(Stock!$A$8:$A$114,$A20,Stock!$M$8:$M$114)=0,"",SUMIF(Stock!$A$8:$A$114,$A20,Stock!$M$8:$M$114)))</f>
        <v/>
      </c>
    </row>
    <row r="21" customFormat="false" ht="12.75" hidden="false" customHeight="true" outlineLevel="0" collapsed="false">
      <c r="A21" s="87" t="s">
        <v>104</v>
      </c>
      <c r="B21" s="64" t="n">
        <f aca="false">IF($A21="","",SUMIF(Stock!$A$8:$A$114,$A21,Stock!$K$8:$K$114))</f>
        <v>0</v>
      </c>
      <c r="C21" s="88" t="n">
        <f aca="false">IF($A21="","",SUMIF(Stock!$A$8:$A$114,$A21,Stock!$T$8:$T$114))</f>
        <v>0</v>
      </c>
      <c r="D21" s="88" t="n">
        <f aca="false">IF($A21="","",SUMIF(Stock!$A$8:$A$114,$A21,Stock!$U$8:$U$114))</f>
        <v>0</v>
      </c>
      <c r="E21" s="89" t="n">
        <f aca="false">IF($A21="","",COUNTIF(Stock!$A$8:$A$114,$A21))</f>
        <v>1</v>
      </c>
      <c r="F21" s="66" t="str">
        <f aca="false">IF($A21="","",IF(SUMIF(Stock!$A$8:$A$114,$A21,Stock!$M$8:$M$114)=0,"",SUMIF(Stock!$A$8:$A$114,$A21,Stock!$M$8:$M$114)))</f>
        <v/>
      </c>
    </row>
    <row r="22" customFormat="false" ht="12.75" hidden="false" customHeight="true" outlineLevel="0" collapsed="false">
      <c r="A22" s="84" t="s">
        <v>106</v>
      </c>
      <c r="B22" s="57" t="n">
        <f aca="false">IF($A22="","",SUMIF(Stock!$A$8:$A$114,$A22,Stock!$K$8:$K$114))</f>
        <v>17030</v>
      </c>
      <c r="C22" s="85" t="n">
        <f aca="false">IF($A22="","",SUMIF(Stock!$A$8:$A$114,$A22,Stock!$T$8:$T$114))</f>
        <v>0</v>
      </c>
      <c r="D22" s="85" t="n">
        <f aca="false">IF($A22="","",SUMIF(Stock!$A$8:$A$114,$A22,Stock!$U$8:$U$114))</f>
        <v>0</v>
      </c>
      <c r="E22" s="86" t="n">
        <f aca="false">IF($A22="","",COUNTIF(Stock!$A$8:$A$114,$A22))</f>
        <v>6</v>
      </c>
      <c r="F22" s="59" t="str">
        <f aca="false">IF($A22="","",IF(SUMIF(Stock!$A$8:$A$114,$A22,Stock!$M$8:$M$114)=0,"",SUMIF(Stock!$A$8:$A$114,$A22,Stock!$M$8:$M$114)))</f>
        <v/>
      </c>
    </row>
    <row r="23" customFormat="false" ht="12.75" hidden="false" customHeight="true" outlineLevel="0" collapsed="false">
      <c r="A23" s="87" t="s">
        <v>114</v>
      </c>
      <c r="B23" s="64" t="n">
        <f aca="false">IF($A23="","",SUMIF(Stock!$A$8:$A$114,$A23,Stock!$K$8:$K$114))</f>
        <v>0</v>
      </c>
      <c r="C23" s="88" t="n">
        <f aca="false">IF($A23="","",SUMIF(Stock!$A$8:$A$114,$A23,Stock!$T$8:$T$114))</f>
        <v>0</v>
      </c>
      <c r="D23" s="88" t="n">
        <f aca="false">IF($A23="","",SUMIF(Stock!$A$8:$A$114,$A23,Stock!$U$8:$U$114))</f>
        <v>0</v>
      </c>
      <c r="E23" s="89" t="n">
        <f aca="false">IF($A23="","",COUNTIF(Stock!$A$8:$A$114,$A23))</f>
        <v>7</v>
      </c>
      <c r="F23" s="66" t="str">
        <f aca="false">IF($A23="","",IF(SUMIF(Stock!$A$8:$A$114,$A23,Stock!$M$8:$M$114)=0,"",SUMIF(Stock!$A$8:$A$114,$A23,Stock!$M$8:$M$114)))</f>
        <v/>
      </c>
    </row>
    <row r="24" customFormat="false" ht="12.75" hidden="false" customHeight="true" outlineLevel="0" collapsed="false">
      <c r="A24" s="84" t="s">
        <v>122</v>
      </c>
      <c r="B24" s="57" t="n">
        <f aca="false">IF($A24="","",SUMIF(Stock!$A$8:$A$114,$A24,Stock!$K$8:$K$114))</f>
        <v>0</v>
      </c>
      <c r="C24" s="85" t="n">
        <f aca="false">IF($A24="","",SUMIF(Stock!$A$8:$A$114,$A24,Stock!$T$8:$T$114))</f>
        <v>0</v>
      </c>
      <c r="D24" s="85" t="n">
        <f aca="false">IF($A24="","",SUMIF(Stock!$A$8:$A$114,$A24,Stock!$U$8:$U$114))</f>
        <v>0</v>
      </c>
      <c r="E24" s="86" t="n">
        <f aca="false">IF($A24="","",COUNTIF(Stock!$A$8:$A$114,$A24))</f>
        <v>6</v>
      </c>
      <c r="F24" s="59" t="str">
        <f aca="false">IF($A24="","",IF(SUMIF(Stock!$A$8:$A$114,$A24,Stock!$M$8:$M$114)=0,"",SUMIF(Stock!$A$8:$A$114,$A24,Stock!$M$8:$M$114)))</f>
        <v/>
      </c>
    </row>
    <row r="25" customFormat="false" ht="12.75" hidden="false" customHeight="true" outlineLevel="0" collapsed="false">
      <c r="A25" s="87" t="s">
        <v>129</v>
      </c>
      <c r="B25" s="64" t="n">
        <f aca="false">IF($A25="","",SUMIF(Stock!$A$8:$A$114,$A25,Stock!$K$8:$K$114))</f>
        <v>0</v>
      </c>
      <c r="C25" s="88" t="n">
        <f aca="false">IF($A25="","",SUMIF(Stock!$A$8:$A$114,$A25,Stock!$T$8:$T$114))</f>
        <v>0</v>
      </c>
      <c r="D25" s="88" t="n">
        <f aca="false">IF($A25="","",SUMIF(Stock!$A$8:$A$114,$A25,Stock!$U$8:$U$114))</f>
        <v>0</v>
      </c>
      <c r="E25" s="89" t="n">
        <f aca="false">IF($A25="","",COUNTIF(Stock!$A$8:$A$114,$A25))</f>
        <v>8</v>
      </c>
      <c r="F25" s="66" t="str">
        <f aca="false">IF($A25="","",IF(SUMIF(Stock!$A$8:$A$114,$A25,Stock!$M$8:$M$114)=0,"",SUMIF(Stock!$A$8:$A$114,$A25,Stock!$M$8:$M$114)))</f>
        <v/>
      </c>
    </row>
    <row r="26" customFormat="false" ht="12.75" hidden="false" customHeight="true" outlineLevel="0" collapsed="false">
      <c r="A26" s="84" t="s">
        <v>138</v>
      </c>
      <c r="B26" s="57" t="n">
        <f aca="false">IF($A26="","",SUMIF(Stock!$A$8:$A$114,$A26,Stock!$K$8:$K$114))</f>
        <v>0</v>
      </c>
      <c r="C26" s="85" t="n">
        <f aca="false">IF($A26="","",SUMIF(Stock!$A$8:$A$114,$A26,Stock!$T$8:$T$114))</f>
        <v>0</v>
      </c>
      <c r="D26" s="85" t="n">
        <f aca="false">IF($A26="","",SUMIF(Stock!$A$8:$A$114,$A26,Stock!$U$8:$U$114))</f>
        <v>0</v>
      </c>
      <c r="E26" s="86" t="n">
        <f aca="false">IF($A26="","",COUNTIF(Stock!$A$8:$A$114,$A26))</f>
        <v>4</v>
      </c>
      <c r="F26" s="59" t="str">
        <f aca="false">IF($A26="","",IF(SUMIF(Stock!$A$8:$A$114,$A26,Stock!$M$8:$M$114)=0,"",SUMIF(Stock!$A$8:$A$114,$A26,Stock!$M$8:$M$114)))</f>
        <v/>
      </c>
    </row>
    <row r="27" customFormat="false" ht="12.75" hidden="false" customHeight="true" outlineLevel="0" collapsed="false">
      <c r="A27" s="90"/>
      <c r="B27" s="64" t="str">
        <f aca="false">IF($A27="","",SUMIF(Stock!$A$8:$A$114,$A27,Stock!$K$8:$K$114))</f>
        <v/>
      </c>
      <c r="C27" s="88" t="str">
        <f aca="false">IF($A27="","",SUMIF(Stock!$A$8:$A$114,$A27,Stock!$T$8:$T$114))</f>
        <v/>
      </c>
      <c r="D27" s="88" t="str">
        <f aca="false">IF($A27="","",SUMIF(Stock!$A$8:$A$114,$A27,Stock!$U$8:$U$114))</f>
        <v/>
      </c>
      <c r="E27" s="89" t="str">
        <f aca="false">IF($A27="","",COUNTIF(Stock!$A$8:$A$114,$A27))</f>
        <v/>
      </c>
      <c r="F27" s="66" t="str">
        <f aca="false">IF($A27="","",IF(SUMIF(Stock!$A$8:$A$114,$A27,Stock!$M$8:$M$114)=0,"",SUMIF(Stock!$A$8:$A$114,$A27,Stock!$M$8:$M$114)))</f>
        <v/>
      </c>
    </row>
    <row r="28" customFormat="false" ht="12.75" hidden="false" customHeight="true" outlineLevel="0" collapsed="false">
      <c r="A28" s="91"/>
      <c r="B28" s="57" t="str">
        <f aca="false">IF($A28="","",SUMIF(Stock!$A$8:$A$114,$A28,Stock!$K$8:$K$114))</f>
        <v/>
      </c>
      <c r="C28" s="85" t="str">
        <f aca="false">IF($A28="","",SUMIF(Stock!$A$8:$A$114,$A28,Stock!$T$8:$T$114))</f>
        <v/>
      </c>
      <c r="D28" s="85" t="str">
        <f aca="false">IF($A28="","",SUMIF(Stock!$A$8:$A$114,$A28,Stock!$U$8:$U$114))</f>
        <v/>
      </c>
      <c r="E28" s="86" t="str">
        <f aca="false">IF($A28="","",COUNTIF(Stock!$A$8:$A$114,$A28))</f>
        <v/>
      </c>
      <c r="F28" s="59" t="str">
        <f aca="false">IF($A28="","",IF(SUMIF(Stock!$A$8:$A$114,$A28,Stock!$M$8:$M$114)=0,"",SUMIF(Stock!$A$8:$A$114,$A28,Stock!$M$8:$M$114)))</f>
        <v/>
      </c>
    </row>
    <row r="29" customFormat="false" ht="15" hidden="false" customHeight="false" outlineLevel="0" collapsed="false">
      <c r="A29" s="92" t="s">
        <v>178</v>
      </c>
      <c r="B29" s="93" t="n">
        <f aca="false">SUM(B14:B28)</f>
        <v>222532</v>
      </c>
      <c r="C29" s="93" t="n">
        <f aca="false">SUM(C14:C28)</f>
        <v>10002</v>
      </c>
      <c r="D29" s="93" t="n">
        <f aca="false">SUM(D14:D28)</f>
        <v>20000</v>
      </c>
      <c r="E29" s="92"/>
      <c r="F29" s="94" t="n">
        <f aca="false">IF(SUM(F14:F28)=0,"",SUM(F14:F28))</f>
        <v>10480400</v>
      </c>
    </row>
    <row r="31" customFormat="false" ht="16.5" hidden="false" customHeight="true" outlineLevel="0" collapsed="false">
      <c r="A31" s="83" t="s">
        <v>195</v>
      </c>
      <c r="B31" s="83"/>
      <c r="C31" s="83"/>
      <c r="D31" s="83"/>
      <c r="E31" s="83"/>
      <c r="F31" s="83"/>
    </row>
    <row r="32" customFormat="false" ht="21.75" hidden="false" customHeight="true" outlineLevel="0" collapsed="false">
      <c r="A32" s="52" t="s">
        <v>43</v>
      </c>
      <c r="B32" s="52" t="s">
        <v>44</v>
      </c>
      <c r="C32" s="53" t="s">
        <v>196</v>
      </c>
      <c r="D32" s="53" t="s">
        <v>197</v>
      </c>
      <c r="E32" s="53" t="s">
        <v>52</v>
      </c>
      <c r="F32" s="53" t="s">
        <v>45</v>
      </c>
    </row>
    <row r="33" customFormat="false" ht="12.75" hidden="false" customHeight="true" outlineLevel="0" collapsed="false">
      <c r="A33" s="95" t="str">
        <f aca="false">IF($H33="","",INDEX(Stock!$A$8:$A$114,$H33))</f>
        <v>Blue Dolphin</v>
      </c>
      <c r="B33" s="95" t="str">
        <f aca="false">IF($H33="","",INDEX(Stock!$B$8:$B$114,$H33))</f>
        <v>PD PVN 100/200</v>
      </c>
      <c r="C33" s="96" t="n">
        <f aca="false">IF($H33="","",INDEX(Stock!$F$8:$F$114,$H33))</f>
        <v>1123</v>
      </c>
      <c r="D33" s="96" t="n">
        <f aca="false">IF($H33="","",INDEX(Stock!$G$8:$G$114,$H33))</f>
        <v>5770</v>
      </c>
      <c r="E33" s="97" t="n">
        <f aca="false">IF($H33="","",INDEX(Stock!$J$8:$J$114,$H33))</f>
        <v>7880</v>
      </c>
      <c r="F33" s="98" t="str">
        <f aca="false">IF($H33="","",IF(INDEX(Stock!$C$8:$C$114,$H33)=0,"",INDEX(Stock!$C$8:$C$114,$H33)))</f>
        <v>Slab</v>
      </c>
      <c r="H33" s="60" t="n">
        <f aca="false">IFERROR(MATCH(1,Stock!$Q$8:$Q$114,0),"")</f>
        <v>1</v>
      </c>
    </row>
    <row r="34" customFormat="false" ht="12.75" hidden="false" customHeight="true" outlineLevel="0" collapsed="false">
      <c r="A34" s="95" t="str">
        <f aca="false">IF($H34="","",INDEX(Stock!$A$8:$A$114,$H34))</f>
        <v>Blue Dolphin</v>
      </c>
      <c r="B34" s="95" t="str">
        <f aca="false">IF($H34="","",INDEX(Stock!$B$8:$B$114,$H34))</f>
        <v>PD KKD 100/200</v>
      </c>
      <c r="C34" s="96" t="n">
        <f aca="false">IF($H34="","",INDEX(Stock!$F$8:$F$114,$H34))</f>
        <v>59</v>
      </c>
      <c r="D34" s="96" t="n">
        <f aca="false">IF($H34="","",INDEX(Stock!$G$8:$G$114,$H34))</f>
        <v>0</v>
      </c>
      <c r="E34" s="97" t="n">
        <f aca="false">IF($H34="","",INDEX(Stock!$J$8:$J$114,$H34))</f>
        <v>641</v>
      </c>
      <c r="F34" s="98" t="str">
        <f aca="false">IF($H34="","",IF(INDEX(Stock!$C$8:$C$114,$H34)=0,"",INDEX(Stock!$C$8:$C$114,$H34)))</f>
        <v>Slab</v>
      </c>
      <c r="H34" s="60" t="n">
        <f aca="false">IFERROR(MATCH(2,Stock!$Q$8:$Q$114,0),"")</f>
        <v>2</v>
      </c>
    </row>
    <row r="35" customFormat="false" ht="12.75" hidden="false" customHeight="true" outlineLevel="0" collapsed="false">
      <c r="A35" s="95" t="str">
        <f aca="false">IF($H35="","",INDEX(Stock!$A$8:$A$114,$H35))</f>
        <v>Blue Dolphin</v>
      </c>
      <c r="B35" s="95" t="str">
        <f aca="false">IF($H35="","",INDEX(Stock!$B$8:$B$114,$H35))</f>
        <v>PUD PVN 200/300</v>
      </c>
      <c r="C35" s="96" t="n">
        <f aca="false">IF($H35="","",INDEX(Stock!$F$8:$F$114,$H35))</f>
        <v>245</v>
      </c>
      <c r="D35" s="96" t="n">
        <f aca="false">IF($H35="","",INDEX(Stock!$G$8:$G$114,$H35))</f>
        <v>1200</v>
      </c>
      <c r="E35" s="97" t="n">
        <f aca="false">IF($H35="","",INDEX(Stock!$J$8:$J$114,$H35))</f>
        <v>1574</v>
      </c>
      <c r="F35" s="98" t="str">
        <f aca="false">IF($H35="","",IF(INDEX(Stock!$C$8:$C$114,$H35)=0,"",INDEX(Stock!$C$8:$C$114,$H35)))</f>
        <v>Slab</v>
      </c>
      <c r="H35" s="60" t="n">
        <f aca="false">IFERROR(MATCH(3,Stock!$Q$8:$Q$114,0),"")</f>
        <v>5</v>
      </c>
    </row>
    <row r="36" customFormat="false" ht="12.75" hidden="false" customHeight="true" outlineLevel="0" collapsed="false">
      <c r="A36" s="95" t="str">
        <f aca="false">IF($H36="","",INDEX(Stock!$A$8:$A$114,$H36))</f>
        <v>Blue Dolphin</v>
      </c>
      <c r="B36" s="95" t="str">
        <f aca="false">IF($H36="","",INDEX(Stock!$B$8:$B$114,$H36))</f>
        <v>PUD KKD 200/300</v>
      </c>
      <c r="C36" s="96" t="n">
        <f aca="false">IF($H36="","",INDEX(Stock!$F$8:$F$114,$H36))</f>
        <v>0</v>
      </c>
      <c r="D36" s="96" t="n">
        <f aca="false">IF($H36="","",INDEX(Stock!$G$8:$G$114,$H36))</f>
        <v>1200</v>
      </c>
      <c r="E36" s="97" t="n">
        <f aca="false">IF($H36="","",INDEX(Stock!$J$8:$J$114,$H36))</f>
        <v>1635</v>
      </c>
      <c r="F36" s="98" t="str">
        <f aca="false">IF($H36="","",IF(INDEX(Stock!$C$8:$C$114,$H36)=0,"",INDEX(Stock!$C$8:$C$114,$H36)))</f>
        <v>Slab</v>
      </c>
      <c r="H36" s="60" t="n">
        <f aca="false">IFERROR(MATCH(4,Stock!$Q$8:$Q$114,0),"")</f>
        <v>6</v>
      </c>
    </row>
    <row r="37" customFormat="false" ht="12.75" hidden="false" customHeight="true" outlineLevel="0" collapsed="false">
      <c r="A37" s="95" t="str">
        <f aca="false">IF($H37="","",INDEX(Stock!$A$8:$A$114,$H37))</f>
        <v>Blue Dolphin</v>
      </c>
      <c r="B37" s="95" t="str">
        <f aca="false">IF($H37="","",INDEX(Stock!$B$8:$B$114,$H37))</f>
        <v>PUD PVN 300/500</v>
      </c>
      <c r="C37" s="96" t="n">
        <f aca="false">IF($H37="","",INDEX(Stock!$F$8:$F$114,$H37))</f>
        <v>63</v>
      </c>
      <c r="D37" s="96" t="n">
        <f aca="false">IF($H37="","",INDEX(Stock!$G$8:$G$114,$H37))</f>
        <v>660</v>
      </c>
      <c r="E37" s="97" t="n">
        <f aca="false">IF($H37="","",INDEX(Stock!$J$8:$J$114,$H37))</f>
        <v>1076</v>
      </c>
      <c r="F37" s="98" t="str">
        <f aca="false">IF($H37="","",IF(INDEX(Stock!$C$8:$C$114,$H37)=0,"",INDEX(Stock!$C$8:$C$114,$H37)))</f>
        <v>Slab</v>
      </c>
      <c r="H37" s="60" t="n">
        <f aca="false">IFERROR(MATCH(5,Stock!$Q$8:$Q$114,0),"")</f>
        <v>7</v>
      </c>
    </row>
    <row r="38" customFormat="false" ht="12.75" hidden="false" customHeight="true" outlineLevel="0" collapsed="false">
      <c r="A38" s="95" t="str">
        <f aca="false">IF($H38="","",INDEX(Stock!$A$8:$A$114,$H38))</f>
        <v>Blue Dolphin</v>
      </c>
      <c r="B38" s="95" t="str">
        <f aca="false">IF($H38="","",INDEX(Stock!$B$8:$B$114,$H38))</f>
        <v>PUD KKD 300/500</v>
      </c>
      <c r="C38" s="96" t="n">
        <f aca="false">IF($H38="","",INDEX(Stock!$F$8:$F$114,$H38))</f>
        <v>0</v>
      </c>
      <c r="D38" s="96" t="n">
        <f aca="false">IF($H38="","",INDEX(Stock!$G$8:$G$114,$H38))</f>
        <v>1170</v>
      </c>
      <c r="E38" s="97" t="n">
        <f aca="false">IF($H38="","",INDEX(Stock!$J$8:$J$114,$H38))</f>
        <v>6372</v>
      </c>
      <c r="F38" s="98" t="str">
        <f aca="false">IF($H38="","",IF(INDEX(Stock!$C$8:$C$114,$H38)=0,"",INDEX(Stock!$C$8:$C$114,$H38)))</f>
        <v>Slab</v>
      </c>
      <c r="H38" s="60" t="n">
        <f aca="false">IFERROR(MATCH(6,Stock!$Q$8:$Q$114,0),"")</f>
        <v>8</v>
      </c>
    </row>
    <row r="39" customFormat="false" ht="12.75" hidden="false" customHeight="true" outlineLevel="0" collapsed="false">
      <c r="A39" s="95" t="str">
        <f aca="false">IF($H39="","",INDEX(Stock!$A$8:$A$114,$H39))</f>
        <v>Primus Japan</v>
      </c>
      <c r="B39" s="95" t="str">
        <f aca="false">IF($H39="","",INDEX(Stock!$B$8:$B$114,$H39))</f>
        <v>PUD KZN 80/120</v>
      </c>
      <c r="C39" s="96" t="n">
        <f aca="false">IF($H39="","",INDEX(Stock!$F$8:$F$114,$H39))</f>
        <v>1</v>
      </c>
      <c r="D39" s="96" t="n">
        <f aca="false">IF($H39="","",INDEX(Stock!$G$8:$G$114,$H39))</f>
        <v>0</v>
      </c>
      <c r="E39" s="97" t="n">
        <f aca="false">IF($H39="","",INDEX(Stock!$J$8:$J$114,$H39))</f>
        <v>517</v>
      </c>
      <c r="F39" s="98" t="str">
        <f aca="false">IF($H39="","",IF(INDEX(Stock!$C$8:$C$114,$H39)=0,"",INDEX(Stock!$C$8:$C$114,$H39)))</f>
        <v>Slab</v>
      </c>
      <c r="H39" s="60" t="n">
        <f aca="false">IFERROR(MATCH(7,Stock!$Q$8:$Q$114,0),"")</f>
        <v>16</v>
      </c>
    </row>
    <row r="40" customFormat="false" ht="12.75" hidden="false" customHeight="true" outlineLevel="0" collapsed="false">
      <c r="A40" s="95" t="str">
        <f aca="false">IF($H40="","",INDEX(Stock!$A$8:$A$114,$H40))</f>
        <v>Primus Japan</v>
      </c>
      <c r="B40" s="95" t="str">
        <f aca="false">IF($H40="","",INDEX(Stock!$B$8:$B$114,$H40))</f>
        <v>PUD KZN 100/200</v>
      </c>
      <c r="C40" s="96" t="n">
        <f aca="false">IF($H40="","",INDEX(Stock!$F$8:$F$114,$H40))</f>
        <v>15</v>
      </c>
      <c r="D40" s="96" t="n">
        <f aca="false">IF($H40="","",INDEX(Stock!$G$8:$G$114,$H40))</f>
        <v>0</v>
      </c>
      <c r="E40" s="97" t="n">
        <f aca="false">IF($H40="","",INDEX(Stock!$J$8:$J$114,$H40))</f>
        <v>4274</v>
      </c>
      <c r="F40" s="98" t="str">
        <f aca="false">IF($H40="","",IF(INDEX(Stock!$C$8:$C$114,$H40)=0,"",INDEX(Stock!$C$8:$C$114,$H40)))</f>
        <v>Slab</v>
      </c>
      <c r="H40" s="60" t="n">
        <f aca="false">IFERROR(MATCH(8,Stock!$Q$8:$Q$114,0),"")</f>
        <v>20</v>
      </c>
    </row>
    <row r="41" customFormat="false" ht="12.75" hidden="false" customHeight="true" outlineLevel="0" collapsed="false">
      <c r="A41" s="95" t="str">
        <f aca="false">IF($H41="","",INDEX(Stock!$A$8:$A$114,$H41))</f>
        <v>Primus Japan</v>
      </c>
      <c r="B41" s="95" t="str">
        <f aca="false">IF($H41="","",INDEX(Stock!$B$8:$B$114,$H41))</f>
        <v>PUD KZN 200/300</v>
      </c>
      <c r="C41" s="96" t="n">
        <f aca="false">IF($H41="","",INDEX(Stock!$F$8:$F$114,$H41))</f>
        <v>5</v>
      </c>
      <c r="D41" s="96" t="n">
        <f aca="false">IF($H41="","",INDEX(Stock!$G$8:$G$114,$H41))</f>
        <v>0</v>
      </c>
      <c r="E41" s="97" t="n">
        <f aca="false">IF($H41="","",INDEX(Stock!$J$8:$J$114,$H41))</f>
        <v>1118</v>
      </c>
      <c r="F41" s="98" t="str">
        <f aca="false">IF($H41="","",IF(INDEX(Stock!$C$8:$C$114,$H41)=0,"",INDEX(Stock!$C$8:$C$114,$H41)))</f>
        <v>Slab</v>
      </c>
      <c r="H41" s="60" t="n">
        <f aca="false">IFERROR(MATCH(9,Stock!$Q$8:$Q$114,0),"")</f>
        <v>24</v>
      </c>
    </row>
    <row r="42" customFormat="false" ht="12.75" hidden="false" customHeight="true" outlineLevel="0" collapsed="false">
      <c r="A42" s="95" t="str">
        <f aca="false">IF($H42="","",INDEX(Stock!$A$8:$A$114,$H42))</f>
        <v>Primus Japan</v>
      </c>
      <c r="B42" s="95" t="str">
        <f aca="false">IF($H42="","",INDEX(Stock!$B$8:$B$114,$H42))</f>
        <v>PUD KKD 300/500</v>
      </c>
      <c r="C42" s="96" t="n">
        <f aca="false">IF($H42="","",INDEX(Stock!$F$8:$F$114,$H42))</f>
        <v>648</v>
      </c>
      <c r="D42" s="96" t="n">
        <f aca="false">IF($H42="","",INDEX(Stock!$G$8:$G$114,$H42))</f>
        <v>0</v>
      </c>
      <c r="E42" s="97" t="n">
        <f aca="false">IF($H42="","",INDEX(Stock!$J$8:$J$114,$H42))</f>
        <v>1824</v>
      </c>
      <c r="F42" s="98" t="str">
        <f aca="false">IF($H42="","",IF(INDEX(Stock!$C$8:$C$114,$H42)=0,"",INDEX(Stock!$C$8:$C$114,$H42)))</f>
        <v>Slab</v>
      </c>
      <c r="H42" s="60" t="n">
        <f aca="false">IFERROR(MATCH(10,Stock!$Q$8:$Q$114,0),"")</f>
        <v>27</v>
      </c>
    </row>
    <row r="43" customFormat="false" ht="12.75" hidden="false" customHeight="true" outlineLevel="0" collapsed="false">
      <c r="A43" s="95" t="str">
        <f aca="false">IF($H43="","",INDEX(Stock!$A$8:$A$114,$H43))</f>
        <v>Primus EU</v>
      </c>
      <c r="B43" s="95" t="str">
        <f aca="false">IF($H43="","",INDEX(Stock!$B$8:$B$114,$H43))</f>
        <v>BKN</v>
      </c>
      <c r="C43" s="96" t="n">
        <f aca="false">IF($H43="","",INDEX(Stock!$F$8:$F$114,$H43))</f>
        <v>31</v>
      </c>
      <c r="D43" s="96" t="n">
        <f aca="false">IF($H43="","",INDEX(Stock!$G$8:$G$114,$H43))</f>
        <v>0</v>
      </c>
      <c r="E43" s="97" t="n">
        <f aca="false">IF($H43="","",INDEX(Stock!$J$8:$J$114,$H43))</f>
        <v>15213</v>
      </c>
      <c r="F43" s="98" t="str">
        <f aca="false">IF($H43="","",IF(INDEX(Stock!$C$8:$C$114,$H43)=0,"",INDEX(Stock!$C$8:$C$114,$H43)))</f>
        <v>Slab</v>
      </c>
      <c r="H43" s="60" t="n">
        <f aca="false">IFERROR(MATCH(11,Stock!$Q$8:$Q$114,0),"")</f>
        <v>35</v>
      </c>
    </row>
    <row r="44" customFormat="false" ht="12.75" hidden="false" customHeight="true" outlineLevel="0" collapsed="false">
      <c r="A44" s="95" t="str">
        <f aca="false">IF($H44="","",INDEX(Stock!$A$8:$A$114,$H44))</f>
        <v>THT Brand</v>
      </c>
      <c r="B44" s="95" t="str">
        <f aca="false">IF($H44="","",INDEX(Stock!$B$8:$B$114,$H44))</f>
        <v>PUD PVN 80/120</v>
      </c>
      <c r="C44" s="96" t="n">
        <f aca="false">IF($H44="","",INDEX(Stock!$F$8:$F$114,$H44))</f>
        <v>1042</v>
      </c>
      <c r="D44" s="96" t="n">
        <f aca="false">IF($H44="","",INDEX(Stock!$G$8:$G$114,$H44))</f>
        <v>0</v>
      </c>
      <c r="E44" s="97" t="n">
        <f aca="false">IF($H44="","",INDEX(Stock!$J$8:$J$114,$H44))</f>
        <v>4303</v>
      </c>
      <c r="F44" s="98" t="str">
        <f aca="false">IF($H44="","",IF(INDEX(Stock!$C$8:$C$114,$H44)=0,"",INDEX(Stock!$C$8:$C$114,$H44)))</f>
        <v>Slab</v>
      </c>
      <c r="H44" s="60" t="n">
        <f aca="false">IFERROR(MATCH(12,Stock!$Q$8:$Q$114,0),"")</f>
        <v>43</v>
      </c>
    </row>
    <row r="45" customFormat="false" ht="12.75" hidden="false" customHeight="true" outlineLevel="0" collapsed="false">
      <c r="A45" s="95" t="str">
        <f aca="false">IF($H45="","",INDEX(Stock!$A$8:$A$114,$H45))</f>
        <v>THT Brand</v>
      </c>
      <c r="B45" s="95" t="str">
        <f aca="false">IF($H45="","",INDEX(Stock!$B$8:$B$114,$H45))</f>
        <v>PUD PVN 100/200</v>
      </c>
      <c r="C45" s="96" t="n">
        <f aca="false">IF($H45="","",INDEX(Stock!$F$8:$F$114,$H45))</f>
        <v>1769</v>
      </c>
      <c r="D45" s="96" t="n">
        <f aca="false">IF($H45="","",INDEX(Stock!$G$8:$G$114,$H45))</f>
        <v>0</v>
      </c>
      <c r="E45" s="97" t="n">
        <f aca="false">IF($H45="","",INDEX(Stock!$J$8:$J$114,$H45))</f>
        <v>9424</v>
      </c>
      <c r="F45" s="98" t="str">
        <f aca="false">IF($H45="","",IF(INDEX(Stock!$C$8:$C$114,$H45)=0,"",INDEX(Stock!$C$8:$C$114,$H45)))</f>
        <v>Slab</v>
      </c>
      <c r="H45" s="60" t="n">
        <f aca="false">IFERROR(MATCH(13,Stock!$Q$8:$Q$114,0),"")</f>
        <v>44</v>
      </c>
    </row>
    <row r="46" customFormat="false" ht="12.75" hidden="false" customHeight="true" outlineLevel="0" collapsed="false">
      <c r="A46" s="95" t="str">
        <f aca="false">IF($H46="","",INDEX(Stock!$A$8:$A$114,$H46))</f>
        <v/>
      </c>
      <c r="B46" s="95" t="str">
        <f aca="false">IF($H46="","",INDEX(Stock!$B$8:$B$114,$H46))</f>
        <v/>
      </c>
      <c r="C46" s="96" t="str">
        <f aca="false">IF($H46="","",INDEX(Stock!$F$8:$F$114,$H46))</f>
        <v/>
      </c>
      <c r="D46" s="96" t="str">
        <f aca="false">IF($H46="","",INDEX(Stock!$G$8:$G$114,$H46))</f>
        <v/>
      </c>
      <c r="E46" s="97" t="str">
        <f aca="false">IF($H46="","",INDEX(Stock!$J$8:$J$114,$H46))</f>
        <v/>
      </c>
      <c r="F46" s="98" t="str">
        <f aca="false">IF($H46="","",IF(INDEX(Stock!$C$8:$C$114,$H46)=0,"",INDEX(Stock!$C$8:$C$114,$H46)))</f>
        <v/>
      </c>
      <c r="H46" s="60" t="str">
        <f aca="false">IFERROR(MATCH(14,Stock!$Q$8:$Q$114,0),"")</f>
        <v/>
      </c>
    </row>
    <row r="47" customFormat="false" ht="12.75" hidden="false" customHeight="true" outlineLevel="0" collapsed="false">
      <c r="A47" s="95" t="str">
        <f aca="false">IF($H47="","",INDEX(Stock!$A$8:$A$114,$H47))</f>
        <v/>
      </c>
      <c r="B47" s="95" t="str">
        <f aca="false">IF($H47="","",INDEX(Stock!$B$8:$B$114,$H47))</f>
        <v/>
      </c>
      <c r="C47" s="96" t="str">
        <f aca="false">IF($H47="","",INDEX(Stock!$F$8:$F$114,$H47))</f>
        <v/>
      </c>
      <c r="D47" s="96" t="str">
        <f aca="false">IF($H47="","",INDEX(Stock!$G$8:$G$114,$H47))</f>
        <v/>
      </c>
      <c r="E47" s="97" t="str">
        <f aca="false">IF($H47="","",INDEX(Stock!$J$8:$J$114,$H47))</f>
        <v/>
      </c>
      <c r="F47" s="98" t="str">
        <f aca="false">IF($H47="","",IF(INDEX(Stock!$C$8:$C$114,$H47)=0,"",INDEX(Stock!$C$8:$C$114,$H47)))</f>
        <v/>
      </c>
      <c r="H47" s="60" t="str">
        <f aca="false">IFERROR(MATCH(15,Stock!$Q$8:$Q$114,0),"")</f>
        <v/>
      </c>
    </row>
    <row r="48" customFormat="false" ht="12.75" hidden="false" customHeight="true" outlineLevel="0" collapsed="false">
      <c r="A48" s="95" t="str">
        <f aca="false">IF($H48="","",INDEX(Stock!$A$8:$A$114,$H48))</f>
        <v/>
      </c>
      <c r="B48" s="95" t="str">
        <f aca="false">IF($H48="","",INDEX(Stock!$B$8:$B$114,$H48))</f>
        <v/>
      </c>
      <c r="C48" s="96" t="str">
        <f aca="false">IF($H48="","",INDEX(Stock!$F$8:$F$114,$H48))</f>
        <v/>
      </c>
      <c r="D48" s="96" t="str">
        <f aca="false">IF($H48="","",INDEX(Stock!$G$8:$G$114,$H48))</f>
        <v/>
      </c>
      <c r="E48" s="97" t="str">
        <f aca="false">IF($H48="","",INDEX(Stock!$J$8:$J$114,$H48))</f>
        <v/>
      </c>
      <c r="F48" s="98" t="str">
        <f aca="false">IF($H48="","",IF(INDEX(Stock!$C$8:$C$114,$H48)=0,"",INDEX(Stock!$C$8:$C$114,$H48)))</f>
        <v/>
      </c>
      <c r="H48" s="60" t="str">
        <f aca="false">IFERROR(MATCH(16,Stock!$Q$8:$Q$114,0),"")</f>
        <v/>
      </c>
    </row>
    <row r="49" customFormat="false" ht="12.75" hidden="false" customHeight="true" outlineLevel="0" collapsed="false">
      <c r="A49" s="95" t="str">
        <f aca="false">IF($H49="","",INDEX(Stock!$A$8:$A$114,$H49))</f>
        <v/>
      </c>
      <c r="B49" s="95" t="str">
        <f aca="false">IF($H49="","",INDEX(Stock!$B$8:$B$114,$H49))</f>
        <v/>
      </c>
      <c r="C49" s="96" t="str">
        <f aca="false">IF($H49="","",INDEX(Stock!$F$8:$F$114,$H49))</f>
        <v/>
      </c>
      <c r="D49" s="96" t="str">
        <f aca="false">IF($H49="","",INDEX(Stock!$G$8:$G$114,$H49))</f>
        <v/>
      </c>
      <c r="E49" s="97" t="str">
        <f aca="false">IF($H49="","",INDEX(Stock!$J$8:$J$114,$H49))</f>
        <v/>
      </c>
      <c r="F49" s="98" t="str">
        <f aca="false">IF($H49="","",IF(INDEX(Stock!$C$8:$C$114,$H49)=0,"",INDEX(Stock!$C$8:$C$114,$H49)))</f>
        <v/>
      </c>
      <c r="H49" s="60" t="str">
        <f aca="false">IFERROR(MATCH(17,Stock!$Q$8:$Q$114,0),"")</f>
        <v/>
      </c>
    </row>
    <row r="50" customFormat="false" ht="12.75" hidden="false" customHeight="true" outlineLevel="0" collapsed="false">
      <c r="A50" s="95" t="str">
        <f aca="false">IF($H50="","",INDEX(Stock!$A$8:$A$114,$H50))</f>
        <v/>
      </c>
      <c r="B50" s="95" t="str">
        <f aca="false">IF($H50="","",INDEX(Stock!$B$8:$B$114,$H50))</f>
        <v/>
      </c>
      <c r="C50" s="96" t="str">
        <f aca="false">IF($H50="","",INDEX(Stock!$F$8:$F$114,$H50))</f>
        <v/>
      </c>
      <c r="D50" s="96" t="str">
        <f aca="false">IF($H50="","",INDEX(Stock!$G$8:$G$114,$H50))</f>
        <v/>
      </c>
      <c r="E50" s="97" t="str">
        <f aca="false">IF($H50="","",INDEX(Stock!$J$8:$J$114,$H50))</f>
        <v/>
      </c>
      <c r="F50" s="98" t="str">
        <f aca="false">IF($H50="","",IF(INDEX(Stock!$C$8:$C$114,$H50)=0,"",INDEX(Stock!$C$8:$C$114,$H50)))</f>
        <v/>
      </c>
      <c r="H50" s="60" t="str">
        <f aca="false">IFERROR(MATCH(18,Stock!$Q$8:$Q$114,0),"")</f>
        <v/>
      </c>
    </row>
    <row r="51" customFormat="false" ht="12.75" hidden="false" customHeight="true" outlineLevel="0" collapsed="false">
      <c r="A51" s="95" t="str">
        <f aca="false">IF($H51="","",INDEX(Stock!$A$8:$A$114,$H51))</f>
        <v/>
      </c>
      <c r="B51" s="95" t="str">
        <f aca="false">IF($H51="","",INDEX(Stock!$B$8:$B$114,$H51))</f>
        <v/>
      </c>
      <c r="C51" s="96" t="str">
        <f aca="false">IF($H51="","",INDEX(Stock!$F$8:$F$114,$H51))</f>
        <v/>
      </c>
      <c r="D51" s="96" t="str">
        <f aca="false">IF($H51="","",INDEX(Stock!$G$8:$G$114,$H51))</f>
        <v/>
      </c>
      <c r="E51" s="97" t="str">
        <f aca="false">IF($H51="","",INDEX(Stock!$J$8:$J$114,$H51))</f>
        <v/>
      </c>
      <c r="F51" s="98" t="str">
        <f aca="false">IF($H51="","",IF(INDEX(Stock!$C$8:$C$114,$H51)=0,"",INDEX(Stock!$C$8:$C$114,$H51)))</f>
        <v/>
      </c>
      <c r="H51" s="60" t="str">
        <f aca="false">IFERROR(MATCH(19,Stock!$Q$8:$Q$114,0),"")</f>
        <v/>
      </c>
    </row>
    <row r="52" customFormat="false" ht="12.75" hidden="false" customHeight="true" outlineLevel="0" collapsed="false">
      <c r="A52" s="95" t="str">
        <f aca="false">IF($H52="","",INDEX(Stock!$A$8:$A$114,$H52))</f>
        <v/>
      </c>
      <c r="B52" s="95" t="str">
        <f aca="false">IF($H52="","",INDEX(Stock!$B$8:$B$114,$H52))</f>
        <v/>
      </c>
      <c r="C52" s="96" t="str">
        <f aca="false">IF($H52="","",INDEX(Stock!$F$8:$F$114,$H52))</f>
        <v/>
      </c>
      <c r="D52" s="96" t="str">
        <f aca="false">IF($H52="","",INDEX(Stock!$G$8:$G$114,$H52))</f>
        <v/>
      </c>
      <c r="E52" s="97" t="str">
        <f aca="false">IF($H52="","",INDEX(Stock!$J$8:$J$114,$H52))</f>
        <v/>
      </c>
      <c r="F52" s="98" t="str">
        <f aca="false">IF($H52="","",IF(INDEX(Stock!$C$8:$C$114,$H52)=0,"",INDEX(Stock!$C$8:$C$114,$H52)))</f>
        <v/>
      </c>
      <c r="H52" s="60" t="str">
        <f aca="false">IFERROR(MATCH(20,Stock!$Q$8:$Q$114,0),"")</f>
        <v/>
      </c>
    </row>
    <row r="53" customFormat="false" ht="15" hidden="false" customHeight="true" outlineLevel="0" collapsed="false">
      <c r="A53" s="67" t="s">
        <v>198</v>
      </c>
      <c r="B53" s="99" t="str">
        <f aca="false">COUNTIF(Stock!$P$8:$P$114,1)&amp;" product(s)"</f>
        <v>13 product(s)</v>
      </c>
      <c r="C53" s="68" t="n">
        <f aca="false">SUM(Stock!$T$8:$T$114)</f>
        <v>10002</v>
      </c>
      <c r="D53" s="68" t="n">
        <f aca="false">SUM(Stock!$U$8:$U$114)</f>
        <v>20000</v>
      </c>
      <c r="E53" s="100" t="s">
        <v>199</v>
      </c>
      <c r="F53" s="67"/>
    </row>
    <row r="54" customFormat="false" ht="15" hidden="false" customHeight="false" outlineLevel="0" collapsed="false">
      <c r="A54" s="101" t="str">
        <f aca="false">IF(COUNTIF(Stock!$P$8:$P$114,1)&gt;20,"Note: "&amp;(COUNTIF(Stock!$P$8:$P$114,1)-20)&amp;" further product(s) moved today — see the Stock sheet.","")</f>
        <v/>
      </c>
      <c r="B54" s="101"/>
      <c r="C54" s="101"/>
      <c r="D54" s="101"/>
      <c r="E54" s="101"/>
      <c r="F54" s="101"/>
    </row>
    <row r="56" customFormat="false" ht="15" hidden="false" customHeight="false" outlineLevel="0" collapsed="false">
      <c r="A56" s="102" t="s">
        <v>200</v>
      </c>
      <c r="B56" s="102"/>
      <c r="C56" s="102"/>
      <c r="D56" s="102"/>
      <c r="E56" s="102"/>
      <c r="F56" s="102"/>
    </row>
  </sheetData>
  <sheetProtection sheet="true" password="df10" objects="true" scenarios="true" autoFilter="false"/>
  <mergeCells count="12">
    <mergeCell ref="E1:F1"/>
    <mergeCell ref="E2:F2"/>
    <mergeCell ref="E3:F3"/>
    <mergeCell ref="E5:F5"/>
    <mergeCell ref="E6:F6"/>
    <mergeCell ref="E8:F8"/>
    <mergeCell ref="E9:F9"/>
    <mergeCell ref="A10:F10"/>
    <mergeCell ref="A12:F12"/>
    <mergeCell ref="A31:F31"/>
    <mergeCell ref="A54:F54"/>
    <mergeCell ref="A56:F56"/>
  </mergeCells>
  <conditionalFormatting sqref="A14:F28">
    <cfRule type="expression" priority="2" aboveAverage="0" equalAverage="0" bottom="0" percent="0" rank="0" text="" dxfId="10">
      <formula>$A14=""</formula>
    </cfRule>
  </conditionalFormatting>
  <conditionalFormatting sqref="A33:F52">
    <cfRule type="expression" priority="3" aboveAverage="0" equalAverage="0" bottom="0" percent="0" rank="0" text="" dxfId="11">
      <formula>$B33&lt;&gt;""</formula>
    </cfRule>
  </conditionalFormatting>
  <printOptions headings="false" gridLines="false" gridLinesSet="true" horizontalCentered="false" verticalCentered="false"/>
  <pageMargins left="0.4" right="0.4" top="0.4" bottom="0.4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2026-08-22T11:14:05Z</dcterms:created>
  <dc:creator>openpyxl</dc:creator>
  <dc:description/>
  <dc:language>en-US</dc:language>
  <cp:lastModifiedBy/>
  <dcterms:modified xsi:type="dcterms:W3CDTF">2026-08-22T11:14:06Z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