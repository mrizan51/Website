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 workbookPassword="DF10" lockStructure="1"/>
  <bookViews>
    <workbookView showHorizontalScroll="true" showVerticalScroll="true" showSheetTabs="true" xWindow="0" yWindow="0" windowWidth="16384" windowHeight="8192" tabRatio="500" firstSheet="0" activeTab="4"/>
  </bookViews>
  <sheets>
    <sheet name="Read me" sheetId="1" state="visible" r:id="rId3"/>
    <sheet name="Stock" sheetId="2" state="visible" r:id="rId4"/>
    <sheet name="Daily Entry" sheetId="3" state="visible" r:id="rId5"/>
    <sheet name="Summary" sheetId="4" state="visible" r:id="rId6"/>
    <sheet name="Daily Report" sheetId="5" state="visible" r:id="rId7"/>
  </sheets>
  <definedNames>
    <definedName function="false" hidden="false" localSheetId="2" name="_xlnm.Print_Titles" vbProcedure="false">'Daily Entry'!$6:$6</definedName>
    <definedName function="false" hidden="true" localSheetId="2" name="_xlnm._FilterDatabase" vbProcedure="false">'Daily Entry'!$A$6:$E$250</definedName>
    <definedName function="false" hidden="false" localSheetId="4" name="_xlnm.Print_Area" vbProcedure="false">'Daily Report'!$A$1:$F$51</definedName>
    <definedName function="false" hidden="false" localSheetId="0" name="_xlnm.Print_Area" vbProcedure="false">'Read me'!$A$1:$B$58</definedName>
    <definedName function="false" hidden="false" localSheetId="1" name="_xlnm.Print_Area" vbProcedure="false">Stock!$A$1:$J$70</definedName>
    <definedName function="false" hidden="false" localSheetId="1" name="_xlnm.Print_Titles" vbProcedure="false">Stock!$7:$7</definedName>
    <definedName function="false" hidden="true" localSheetId="1" name="_xlnm._FilterDatabase" vbProcedure="false">Stock!$A$7:$J$69</definedName>
    <definedName function="false" hidden="false" localSheetId="3" name="_xlnm.Print_Area" vbProcedure="false">Summary!$A$1:$F$20</definedName>
    <definedName function="false" hidden="false" name="Products" vbProcedure="false">OFFSET(Stock!$L$8,0,0,MAX(1,COUNTA(Stock!$A$8:$A$69)),1)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The position this register starts from. A fixed baseline — do not update
it daily. Closing Balance is derived from it plus the Daily Entry log.</t>
        </r>
      </text>
    </comment>
  </commentList>
</comments>
</file>

<file path=xl/sharedStrings.xml><?xml version="1.0" encoding="utf-8"?>
<sst xmlns="http://schemas.openxmlformats.org/spreadsheetml/2006/main" count="228" uniqueCount="152">
  <si>
    <t xml:space="preserve">PREMIER EXPORTS INTERNATIONAL</t>
  </si>
  <si>
    <t xml:space="preserve">STOCK REGISTER — HOW IT WORKS</t>
  </si>
  <si>
    <t xml:space="preserve">Every day, in one minute</t>
  </si>
  <si>
    <t xml:space="preserve">1.  Open 'Daily Entry' and add one row per product that moved.</t>
  </si>
  <si>
    <t xml:space="preserve">2.  Type the date, pick the product from the dropdown, enter slabs produced and/or shipped.</t>
  </si>
  <si>
    <t xml:space="preserve">3.  On 'Stock', set the Statement date and the US$ → ₹ exchange rate for today.</t>
  </si>
  <si>
    <t xml:space="preserve">4.  Open 'Daily Report' and save it as PDF — that is the directors' copy.</t>
  </si>
  <si>
    <t xml:space="preserve">Sending the report</t>
  </si>
  <si>
    <t xml:space="preserve">'Daily Report' is already sized to one A4 page. In Excel: File ▸ Export ▸ Create PDF/XPS</t>
  </si>
  <si>
    <t xml:space="preserve">(or File ▸ Save a Copy and choose PDF), pick "Selected sheet", and send that file.</t>
  </si>
  <si>
    <t xml:space="preserve">Nothing else needs installing — Excel writes the PDF itself.</t>
  </si>
  <si>
    <t xml:space="preserve">Why you never re-type an opening balance</t>
  </si>
  <si>
    <t xml:space="preserve">Opening balance is a fixed baseline, not a daily figure.</t>
  </si>
  <si>
    <t xml:space="preserve">Closing balance = opening balance + production to date − shipment to date,</t>
  </si>
  <si>
    <t xml:space="preserve">counted from every row on 'Daily Entry'. The register rolls forward on its own,</t>
  </si>
  <si>
    <t xml:space="preserve">so yesterday's closing is today's starting point without anyone copying a number.</t>
  </si>
  <si>
    <t xml:space="preserve">What can be typed into — everything else is locked</t>
  </si>
  <si>
    <t xml:space="preserve">'Daily Entry' — the whole grid: date, product, production, shipment, note.</t>
  </si>
  <si>
    <t xml:space="preserve">'Stock' — the Statement date, the US$ → ₹ exchange rate, and the Rate / Slab column.</t>
  </si>
  <si>
    <t xml:space="preserve">Every other cell is protected: headings, opening balances, formulas, totals,</t>
  </si>
  <si>
    <t xml:space="preserve">the Summary and the Daily Report. Formatting is locked too, so column widths,</t>
  </si>
  <si>
    <t xml:space="preserve">fonts, colours and number formats cannot be changed by accident.</t>
  </si>
  <si>
    <t xml:space="preserve">The owner holds the password. To change a locked cell: Review ▸ Unprotect Sheet,</t>
  </si>
  <si>
    <t xml:space="preserve">make the change, then Review ▸ Protect Sheet again to put the guard back.</t>
  </si>
  <si>
    <t xml:space="preserve">How the stock is valued</t>
  </si>
  <si>
    <t xml:space="preserve">Rate / Slab is the export price, in US dollars — that is what the column holds.</t>
  </si>
  <si>
    <t xml:space="preserve">Stock Value (₹) = Closing Balance × Rate / Slab (US$) × the US$ → ₹ rate in C4.</t>
  </si>
  <si>
    <t xml:space="preserve">The exchange rate lives in that one cell, so changing it revalues everything at once.</t>
  </si>
  <si>
    <t xml:space="preserve">Leave it blank and the value column stays blank rather than showing a wrong number;</t>
  </si>
  <si>
    <t xml:space="preserve">the Daily Report says "Exchange rate not set" instead of a figure.</t>
  </si>
  <si>
    <t xml:space="preserve">Dates must be real dates</t>
  </si>
  <si>
    <t xml:space="preserve">Type 21/08/2026, not text. A date stored as text never matches the Statement date,</t>
  </si>
  <si>
    <t xml:space="preserve">and the two 'today' columns would quietly read zero.</t>
  </si>
  <si>
    <t xml:space="preserve">Adding a product</t>
  </si>
  <si>
    <t xml:space="preserve">'Stock' keeps 20 blank rows under the last product. Type the Brand, the Product and</t>
  </si>
  <si>
    <t xml:space="preserve">the Opening Balance into the first blank row — nothing else, and no unprotecting.</t>
  </si>
  <si>
    <t xml:space="preserve">Every formula on that row is already in place, and the row stays blank until you</t>
  </si>
  <si>
    <t xml:space="preserve">fill it. The 'Daily Entry' dropdown picks the new product up straight away.</t>
  </si>
  <si>
    <t xml:space="preserve">Adding a brand</t>
  </si>
  <si>
    <t xml:space="preserve">Do the same on 'Stock', then type the brand name into a blank row on 'Summary'.</t>
  </si>
  <si>
    <t xml:space="preserve">Until you do, a red line on Summary and on the Daily Report will tell you the</t>
  </si>
  <si>
    <t xml:space="preserve">brand list is incomplete and the totals are understated. Both clear themselves.</t>
  </si>
  <si>
    <t xml:space="preserve">When the blank rows run out</t>
  </si>
  <si>
    <t xml:space="preserve">Ask for a rebuild — the file is generated, and a new one carries your data across.</t>
  </si>
  <si>
    <t xml:space="preserve">Source</t>
  </si>
  <si>
    <t xml:space="preserve">Opening balances and the first day of production come from the purchase &amp; processing</t>
  </si>
  <si>
    <t xml:space="preserve">statement dated 20/08/26, supplied by Premier Exports International.</t>
  </si>
  <si>
    <t xml:space="preserve">STOCK REGISTER — LIVE POSITION</t>
  </si>
  <si>
    <t xml:space="preserve">Statement date</t>
  </si>
  <si>
    <t xml:space="preserve">← set to today; drives the two "today" columns and the Daily Report</t>
  </si>
  <si>
    <t xml:space="preserve">US$ → ₹ exchange rate</t>
  </si>
  <si>
    <t xml:space="preserve">← rupees per US dollar; converts the export rates into the value column</t>
  </si>
  <si>
    <t xml:space="preserve">Opening balance is a frozen baseline — never re-key it. Closing follows from the dated rows on 'Daily Entry'.</t>
  </si>
  <si>
    <t xml:space="preserve">Brand</t>
  </si>
  <si>
    <t xml:space="preserve">Product</t>
  </si>
  <si>
    <t xml:space="preserve">Opening Balance</t>
  </si>
  <si>
    <t xml:space="preserve">Today's Production</t>
  </si>
  <si>
    <t xml:space="preserve">Today's Shipment</t>
  </si>
  <si>
    <t xml:space="preserve">Production to Date</t>
  </si>
  <si>
    <t xml:space="preserve">Shipment to Date</t>
  </si>
  <si>
    <t xml:space="preserve">Closing Balance</t>
  </si>
  <si>
    <t xml:space="preserve">Rate / Slab (US$)</t>
  </si>
  <si>
    <t xml:space="preserve">Stock Value (₹)</t>
  </si>
  <si>
    <t xml:space="preserve">Key (do not edit)</t>
  </si>
  <si>
    <t xml:space="preserve">Moved today</t>
  </si>
  <si>
    <t xml:space="preserve">Rank</t>
  </si>
  <si>
    <t xml:space="preserve">Blue Dolphin</t>
  </si>
  <si>
    <t xml:space="preserve">PD PVN 100/200</t>
  </si>
  <si>
    <t xml:space="preserve">PD KKD 100/200</t>
  </si>
  <si>
    <t xml:space="preserve">PUD PVN 200/300</t>
  </si>
  <si>
    <t xml:space="preserve">PUD KKD 200/300</t>
  </si>
  <si>
    <t xml:space="preserve">PUD PVN 300/500</t>
  </si>
  <si>
    <t xml:space="preserve">PUD KKD 300/500</t>
  </si>
  <si>
    <t xml:space="preserve">PD PVN 200/300</t>
  </si>
  <si>
    <t xml:space="preserve">Primus Japan</t>
  </si>
  <si>
    <t xml:space="preserve">PUD KZN 40/60</t>
  </si>
  <si>
    <t xml:space="preserve">PUD KZN 60/80</t>
  </si>
  <si>
    <t xml:space="preserve">PUD PVN 80/120</t>
  </si>
  <si>
    <t xml:space="preserve">PUD KZN 80/120</t>
  </si>
  <si>
    <t xml:space="preserve">PUD NRN 80/120</t>
  </si>
  <si>
    <t xml:space="preserve">PUD PVN 100/200</t>
  </si>
  <si>
    <t xml:space="preserve">PUD NRN 100/200</t>
  </si>
  <si>
    <t xml:space="preserve">PUD KZN 100/200</t>
  </si>
  <si>
    <t xml:space="preserve">PUD KZN 200/300</t>
  </si>
  <si>
    <t xml:space="preserve">Primus EU</t>
  </si>
  <si>
    <t xml:space="preserve">PUD 20/40</t>
  </si>
  <si>
    <t xml:space="preserve">PUD 40/60</t>
  </si>
  <si>
    <t xml:space="preserve">PUD 60/80</t>
  </si>
  <si>
    <t xml:space="preserve">PUD 80/120</t>
  </si>
  <si>
    <t xml:space="preserve">PUD 100/200</t>
  </si>
  <si>
    <t xml:space="preserve">PUD 200/300</t>
  </si>
  <si>
    <t xml:space="preserve">PUD 300/500</t>
  </si>
  <si>
    <t xml:space="preserve">BKN</t>
  </si>
  <si>
    <t xml:space="preserve">AMF Brand</t>
  </si>
  <si>
    <t xml:space="preserve">THT Brand</t>
  </si>
  <si>
    <t xml:space="preserve">Deepsea</t>
  </si>
  <si>
    <t xml:space="preserve">300/500</t>
  </si>
  <si>
    <t xml:space="preserve">China</t>
  </si>
  <si>
    <t xml:space="preserve">PUD PVN 500/800</t>
  </si>
  <si>
    <t xml:space="preserve">PUD KKD 500/800</t>
  </si>
  <si>
    <t xml:space="preserve">GRAND TOTAL</t>
  </si>
  <si>
    <t xml:space="preserve">Closing Balance = Opening Balance + Production to Date − Shipment to Date        Stock Value = Closing Balance × Rate per Slab</t>
  </si>
  <si>
    <t xml:space="preserve">DAILY ENTRY — ADD ONE ROW PER PRODUCT THAT MOVED</t>
  </si>
  <si>
    <t xml:space="preserve">After production, add a row below: date, product from the dropdown, slabs produced and/or shipped. Never delete past rows — they are what the closing position is built from.</t>
  </si>
  <si>
    <t xml:space="preserve">Rows that will not reach Stock:</t>
  </si>
  <si>
    <t xml:space="preserve">← must stay at 0; anything else is a mistyped product</t>
  </si>
  <si>
    <t xml:space="preserve">Date</t>
  </si>
  <si>
    <t xml:space="preserve">Item (pick from list)</t>
  </si>
  <si>
    <t xml:space="preserve">Production (slabs)</t>
  </si>
  <si>
    <t xml:space="preserve">Shipment (slabs)</t>
  </si>
  <si>
    <t xml:space="preserve">Note</t>
  </si>
  <si>
    <t xml:space="preserve">Blue Dolphin - PD PVN 100/200</t>
  </si>
  <si>
    <t xml:space="preserve">Day's production per statement 20/08/26</t>
  </si>
  <si>
    <t xml:space="preserve">Blue Dolphin - PD KKD 100/200</t>
  </si>
  <si>
    <t xml:space="preserve">Blue Dolphin - PUD PVN 200/300</t>
  </si>
  <si>
    <t xml:space="preserve">Primus Japan - PUD KZN 40/60</t>
  </si>
  <si>
    <t xml:space="preserve">Primus Japan - PUD KZN 60/80</t>
  </si>
  <si>
    <t xml:space="preserve">Primus Japan - PUD KZN 80/120</t>
  </si>
  <si>
    <t xml:space="preserve">Primus Japan - PUD NRN 80/120</t>
  </si>
  <si>
    <t xml:space="preserve">Primus Japan - PUD KZN 100/200</t>
  </si>
  <si>
    <t xml:space="preserve">Primus Japan - PUD KZN 200/300</t>
  </si>
  <si>
    <t xml:space="preserve">Primus Japan - PUD PVN 300/500</t>
  </si>
  <si>
    <t xml:space="preserve">Primus Japan - PUD KKD 300/500</t>
  </si>
  <si>
    <t xml:space="preserve">Primus EU - BKN</t>
  </si>
  <si>
    <t xml:space="preserve">THT Brand - PUD PVN 80/120</t>
  </si>
  <si>
    <t xml:space="preserve">THT Brand - PUD PVN 100/200</t>
  </si>
  <si>
    <t xml:space="preserve">SUMMARY BY BRAND</t>
  </si>
  <si>
    <t xml:space="preserve">Closing Stock</t>
  </si>
  <si>
    <t xml:space="preserve">Stock Value</t>
  </si>
  <si>
    <t xml:space="preserve">Stock Value (US$)</t>
  </si>
  <si>
    <t xml:space="preserve">slabs</t>
  </si>
  <si>
    <t xml:space="preserve">at the export rates and exchange rate on Stock</t>
  </si>
  <si>
    <t xml:space="preserve">the same stock at the export prices</t>
  </si>
  <si>
    <t xml:space="preserve">Shrimp Whole 5x3kgs</t>
  </si>
  <si>
    <t xml:space="preserve">Brand totals read straight off 'Stock', so they can never disagree with it.</t>
  </si>
  <si>
    <t xml:space="preserve">Premier Exports International</t>
  </si>
  <si>
    <t xml:space="preserve">AP X/453, NH-66 Highway, Chandiroor P.O.,</t>
  </si>
  <si>
    <t xml:space="preserve">Aroor, Alappuzha, Kerala - 688 537, India</t>
  </si>
  <si>
    <t xml:space="preserve">GSTIN 32AADFP3158P1ZZ</t>
  </si>
  <si>
    <t xml:space="preserve">DAILY STOCK REPORT</t>
  </si>
  <si>
    <t xml:space="preserve">PURCHASE &amp; PROCESSING · PRODUCTION</t>
  </si>
  <si>
    <t xml:space="preserve">STATEMENT DATE</t>
  </si>
  <si>
    <t xml:space="preserve">OPENING BALANCE</t>
  </si>
  <si>
    <t xml:space="preserve">TODAY'S PRODUCTION</t>
  </si>
  <si>
    <t xml:space="preserve">TODAY'S SHIPMENT</t>
  </si>
  <si>
    <t xml:space="preserve">CLOSING BALANCE</t>
  </si>
  <si>
    <t xml:space="preserve">POSITION BY BRAND</t>
  </si>
  <si>
    <t xml:space="preserve">TODAY'S MOVEMENTS</t>
  </si>
  <si>
    <t xml:space="preserve">Production</t>
  </si>
  <si>
    <t xml:space="preserve">Shipment</t>
  </si>
  <si>
    <t xml:space="preserve">TOTAL MOVED TODAY</t>
  </si>
  <si>
    <t xml:space="preserve">Prepared from the stock register. Closing Balance = Opening Balance + Production to Date − Shipment to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</si>
</sst>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&quot;₹ &quot;#,##0.00"/>
    <numFmt numFmtId="167" formatCode="[&gt;=10000000]##\,##\,##\,##0;[&gt;=100000]##\,##\,##0;#,##0"/>
    <numFmt numFmtId="168" formatCode="#,##0;\-#,##0;\–"/>
    <numFmt numFmtId="169" formatCode="&quot;$ &quot;#,##0.00"/>
    <numFmt numFmtId="170" formatCode="[&gt;=10000000]&quot;₹ &quot;##\,##\,##\,##0.00;[&gt;=100000]&quot;₹ &quot;##\,##\,##0.00;&quot;₹ &quot;#,##0.00"/>
    <numFmt numFmtId="171" formatCode="General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65E7A"/>
      <name val="Arial"/>
      <family val="0"/>
      <charset val="1"/>
    </font>
    <font>
      <b val="true"/>
      <sz val="10"/>
      <color rgb="FF5E7C8B"/>
      <name val="Arial"/>
      <family val="0"/>
      <charset val="1"/>
    </font>
    <font>
      <b val="true"/>
      <sz val="10"/>
      <color rgb="FF065E7A"/>
      <name val="Arial"/>
      <family val="0"/>
      <charset val="1"/>
    </font>
    <font>
      <sz val="10"/>
      <color rgb="FF0B2C3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B2C3A"/>
      <name val="Arial"/>
      <family val="0"/>
      <charset val="1"/>
    </font>
    <font>
      <i val="true"/>
      <sz val="9"/>
      <color rgb="FF5E7C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5E7C8B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E7C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color rgb="FFB3261E"/>
      <name val="Arial"/>
      <family val="0"/>
      <charset val="1"/>
    </font>
    <font>
      <b val="true"/>
      <sz val="16"/>
      <color rgb="FF065E7A"/>
      <name val="Arial"/>
      <family val="0"/>
      <charset val="1"/>
    </font>
    <font>
      <sz val="17"/>
      <color rgb="FF00A2D3"/>
      <name val="Arial"/>
      <family val="0"/>
      <charset val="1"/>
    </font>
    <font>
      <sz val="8"/>
      <color rgb="FF5E7C8B"/>
      <name val="Arial"/>
      <family val="0"/>
      <charset val="1"/>
    </font>
    <font>
      <b val="true"/>
      <sz val="17"/>
      <color rgb="FF0B2C3A"/>
      <name val="Arial"/>
      <family val="0"/>
      <charset val="1"/>
    </font>
    <font>
      <b val="true"/>
      <sz val="13"/>
      <color rgb="FF065E7A"/>
      <name val="Arial"/>
      <family val="0"/>
      <charset val="1"/>
    </font>
    <font>
      <b val="true"/>
      <sz val="8"/>
      <color rgb="FF5E7C8B"/>
      <name val="Arial"/>
      <family val="0"/>
      <charset val="1"/>
    </font>
    <font>
      <b val="true"/>
      <sz val="8"/>
      <color rgb="FFCFE8F2"/>
      <name val="Arial"/>
      <family val="0"/>
      <charset val="1"/>
    </font>
    <font>
      <b val="true"/>
      <sz val="14"/>
      <color rgb="FF0B2C3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B3261E"/>
      <name val="Arial"/>
      <family val="0"/>
      <charset val="1"/>
    </font>
    <font>
      <b val="true"/>
      <sz val="9"/>
      <color rgb="FF065E7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B2C3A"/>
      <name val="Arial"/>
      <family val="0"/>
      <charset val="1"/>
    </font>
    <font>
      <b val="true"/>
      <sz val="9"/>
      <color rgb="FF0B2C3A"/>
      <name val="Arial"/>
      <family val="0"/>
      <charset val="1"/>
    </font>
    <font>
      <b val="true"/>
      <sz val="8"/>
      <color rgb="FFB3261E"/>
      <name val="Arial"/>
      <family val="0"/>
      <charset val="1"/>
    </font>
    <font>
      <i val="true"/>
      <sz val="8"/>
      <color rgb="FF5E7C8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65E7A"/>
        <bgColor rgb="FF008080"/>
      </patternFill>
    </fill>
    <fill>
      <patternFill patternType="solid">
        <fgColor rgb="FFFFFFFF"/>
        <bgColor rgb="FFF2F8FB"/>
      </patternFill>
    </fill>
    <fill>
      <patternFill patternType="solid">
        <fgColor rgb="FFD9D9D9"/>
        <bgColor rgb="FFCBDFE8"/>
      </patternFill>
    </fill>
    <fill>
      <patternFill patternType="solid">
        <fgColor rgb="FFF2F8FB"/>
        <bgColor rgb="FFE7F3F9"/>
      </patternFill>
    </fill>
    <fill>
      <patternFill patternType="solid">
        <fgColor rgb="FFE7F3F9"/>
        <bgColor rgb="FFF2F8FB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CBDFE8"/>
      </left>
      <right style="thin">
        <color rgb="FFCBDFE8"/>
      </right>
      <top style="thin">
        <color rgb="FFCBDFE8"/>
      </top>
      <bottom style="thin">
        <color rgb="FFCBDFE8"/>
      </bottom>
      <diagonal/>
    </border>
    <border diagonalUp="false" diagonalDown="false">
      <left/>
      <right/>
      <top/>
      <bottom style="medium">
        <color rgb="FF00A2D3"/>
      </bottom>
      <diagonal/>
    </border>
    <border diagonalUp="false" diagonalDown="false">
      <left style="thin">
        <color rgb="FFCBDFE8"/>
      </left>
      <right style="thin">
        <color rgb="FFCBDFE8"/>
      </right>
      <top style="thin">
        <color rgb="FFCBDFE8"/>
      </top>
      <bottom/>
      <diagonal/>
    </border>
    <border diagonalUp="false" diagonalDown="false">
      <left style="thin">
        <color rgb="FFCBDFE8"/>
      </left>
      <right style="thin">
        <color rgb="FFCBDFE8"/>
      </right>
      <top/>
      <bottom style="thin">
        <color rgb="FFCBDFE8"/>
      </bottom>
      <diagonal/>
    </border>
    <border diagonalUp="false" diagonalDown="false">
      <left/>
      <right/>
      <top style="thin">
        <color rgb="FFCBDFE8"/>
      </top>
      <bottom style="thin">
        <color rgb="FFCBDFE8"/>
      </bottom>
      <diagonal/>
    </border>
    <border diagonalUp="false" diagonalDown="false">
      <left style="thin">
        <color rgb="FFCBDFE8"/>
      </left>
      <right style="thin">
        <color rgb="FFCBDFE8"/>
      </right>
      <top style="medium">
        <color rgb="FF065E7A"/>
      </top>
      <bottom style="thin">
        <color rgb="FFCBDFE8"/>
      </bottom>
      <diagonal/>
    </border>
    <border diagonalUp="false" diagonalDown="false">
      <left/>
      <right/>
      <top style="thin">
        <color rgb="FFCBDF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4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4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4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6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5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26" fillId="6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26" fillId="6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27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32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0" hidden="0"/>
    </xf>
    <xf numFmtId="164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0" hidden="0"/>
    </xf>
    <xf numFmtId="168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0" hidden="0"/>
    </xf>
    <xf numFmtId="164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0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65E7A"/>
          <bgColor rgb="FF000000"/>
        </patternFill>
      </fill>
    </dxf>
    <dxf>
      <fill>
        <patternFill patternType="solid">
          <fgColor rgb="FFF2F8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B2C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name val="Arial"/>
        <charset val="1"/>
        <family val="0"/>
        <b val="1"/>
        <color rgb="FFB3261E"/>
        <sz val="10"/>
      </font>
      <fill>
        <patternFill>
          <bgColor rgb="FFF8D7DA"/>
        </patternFill>
      </fill>
    </dxf>
    <dxf>
      <fill>
        <patternFill patternType="solid">
          <fgColor rgb="FF5E7C8B"/>
          <bgColor rgb="FF000000"/>
        </patternFill>
      </fill>
    </dxf>
    <dxf>
      <border diagonalUp="false" diagonalDown="false">
        <left style="thin">
          <color rgb="FFCBDFE8"/>
        </left>
        <right style="thin">
          <color rgb="FFCBDFE8"/>
        </right>
        <top style="thin">
          <color rgb="FFCBDFE8"/>
        </top>
        <bottom style="thin">
          <color rgb="FFCBDFE8"/>
        </bottom>
        <diagonal/>
      </border>
    </dxf>
    <dxf/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E7A"/>
      <rgbColor rgb="FFD9D9D9"/>
      <rgbColor rgb="FF808080"/>
      <rgbColor rgb="FF9999FF"/>
      <rgbColor rgb="FF993366"/>
      <rgbColor rgb="FFF2F8FB"/>
      <rgbColor rgb="FFE7F3F9"/>
      <rgbColor rgb="FF660066"/>
      <rgbColor rgb="FFFF8080"/>
      <rgbColor rgb="FF0066CC"/>
      <rgbColor rgb="FFCBD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2D3"/>
      <rgbColor rgb="FFCFE8F2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E7C8B"/>
      <rgbColor rgb="FF969696"/>
      <rgbColor rgb="FF0B2C3A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495000</xdr:colOff>
      <xdr:row>0</xdr:row>
      <xdr:rowOff>399600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49500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/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5" t="s">
        <v>17</v>
      </c>
    </row>
    <row r="23" customFormat="false" ht="15" hidden="false" customHeight="false" outlineLevel="0" collapsed="false">
      <c r="B23" s="6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6" customFormat="false" ht="15" hidden="false" customHeight="false" outlineLevel="0" collapsed="false">
      <c r="B26" s="4" t="s">
        <v>21</v>
      </c>
    </row>
    <row r="27" customFormat="false" ht="15" hidden="false" customHeight="false" outlineLevel="0" collapsed="false">
      <c r="B27" s="4" t="s">
        <v>22</v>
      </c>
    </row>
    <row r="28" customFormat="false" ht="15" hidden="false" customHeight="false" outlineLevel="0" collapsed="false">
      <c r="B28" s="4" t="s">
        <v>23</v>
      </c>
    </row>
    <row r="29" customFormat="false" ht="15" hidden="false" customHeight="false" outlineLevel="0" collapsed="false">
      <c r="B29" s="4"/>
    </row>
    <row r="30" customFormat="false" ht="15" hidden="false" customHeight="false" outlineLevel="0" collapsed="false">
      <c r="B30" s="3" t="s">
        <v>24</v>
      </c>
    </row>
    <row r="31" customFormat="false" ht="15" hidden="false" customHeight="false" outlineLevel="0" collapsed="false">
      <c r="B31" s="4" t="s">
        <v>25</v>
      </c>
    </row>
    <row r="32" customFormat="false" ht="15" hidden="false" customHeight="false" outlineLevel="0" collapsed="false">
      <c r="B32" s="4" t="s">
        <v>26</v>
      </c>
    </row>
    <row r="33" customFormat="false" ht="15" hidden="false" customHeight="false" outlineLevel="0" collapsed="false">
      <c r="B33" s="4" t="s">
        <v>27</v>
      </c>
    </row>
    <row r="34" customFormat="false" ht="15" hidden="false" customHeight="false" outlineLevel="0" collapsed="false">
      <c r="B34" s="4" t="s">
        <v>28</v>
      </c>
    </row>
    <row r="35" customFormat="false" ht="15" hidden="false" customHeight="false" outlineLevel="0" collapsed="false">
      <c r="B35" s="4" t="s">
        <v>29</v>
      </c>
    </row>
    <row r="36" customFormat="false" ht="15" hidden="false" customHeight="false" outlineLevel="0" collapsed="false">
      <c r="B36" s="4"/>
    </row>
    <row r="37" customFormat="false" ht="15" hidden="false" customHeight="false" outlineLevel="0" collapsed="false">
      <c r="B37" s="3" t="s">
        <v>30</v>
      </c>
    </row>
    <row r="38" customFormat="false" ht="15" hidden="false" customHeight="false" outlineLevel="0" collapsed="false">
      <c r="B38" s="4" t="s">
        <v>31</v>
      </c>
    </row>
    <row r="39" customFormat="false" ht="15" hidden="false" customHeight="false" outlineLevel="0" collapsed="false">
      <c r="B39" s="4" t="s">
        <v>32</v>
      </c>
    </row>
    <row r="40" customFormat="false" ht="15" hidden="false" customHeight="false" outlineLevel="0" collapsed="false">
      <c r="B40" s="4"/>
    </row>
    <row r="41" customFormat="false" ht="15" hidden="false" customHeight="false" outlineLevel="0" collapsed="false">
      <c r="B41" s="3" t="s">
        <v>33</v>
      </c>
    </row>
    <row r="42" customFormat="false" ht="15" hidden="false" customHeight="false" outlineLevel="0" collapsed="false">
      <c r="B42" s="4" t="s">
        <v>34</v>
      </c>
    </row>
    <row r="43" customFormat="false" ht="15" hidden="false" customHeight="false" outlineLevel="0" collapsed="false">
      <c r="B43" s="4" t="s">
        <v>35</v>
      </c>
    </row>
    <row r="44" customFormat="false" ht="15" hidden="false" customHeight="false" outlineLevel="0" collapsed="false">
      <c r="B44" s="4" t="s">
        <v>36</v>
      </c>
    </row>
    <row r="45" customFormat="false" ht="15" hidden="false" customHeight="false" outlineLevel="0" collapsed="false">
      <c r="B45" s="4" t="s">
        <v>37</v>
      </c>
    </row>
    <row r="46" customFormat="false" ht="15" hidden="false" customHeight="false" outlineLevel="0" collapsed="false">
      <c r="B46" s="4"/>
    </row>
    <row r="47" customFormat="false" ht="15" hidden="false" customHeight="false" outlineLevel="0" collapsed="false">
      <c r="B47" s="3" t="s">
        <v>38</v>
      </c>
    </row>
    <row r="48" customFormat="false" ht="15" hidden="false" customHeight="false" outlineLevel="0" collapsed="false">
      <c r="B48" s="4" t="s">
        <v>39</v>
      </c>
    </row>
    <row r="49" customFormat="false" ht="15" hidden="false" customHeight="false" outlineLevel="0" collapsed="false">
      <c r="B49" s="4" t="s">
        <v>40</v>
      </c>
    </row>
    <row r="50" customFormat="false" ht="15" hidden="false" customHeight="false" outlineLevel="0" collapsed="false">
      <c r="B50" s="4" t="s">
        <v>41</v>
      </c>
    </row>
    <row r="51" customFormat="false" ht="15" hidden="false" customHeight="false" outlineLevel="0" collapsed="false">
      <c r="B51" s="4"/>
    </row>
    <row r="52" customFormat="false" ht="15" hidden="false" customHeight="false" outlineLevel="0" collapsed="false">
      <c r="B52" s="3" t="s">
        <v>42</v>
      </c>
    </row>
    <row r="53" customFormat="false" ht="15" hidden="false" customHeight="false" outlineLevel="0" collapsed="false">
      <c r="B53" s="4" t="s">
        <v>43</v>
      </c>
    </row>
    <row r="54" customFormat="false" ht="15" hidden="false" customHeight="false" outlineLevel="0" collapsed="false">
      <c r="B54" s="4"/>
    </row>
    <row r="55" customFormat="false" ht="15" hidden="false" customHeight="false" outlineLevel="0" collapsed="false">
      <c r="B55" s="3" t="s">
        <v>44</v>
      </c>
    </row>
    <row r="56" customFormat="false" ht="15" hidden="false" customHeight="false" outlineLevel="0" collapsed="false">
      <c r="B56" s="4" t="s">
        <v>45</v>
      </c>
    </row>
    <row r="57" customFormat="false" ht="15" hidden="false" customHeight="false" outlineLevel="0" collapsed="false">
      <c r="B57" s="4" t="s">
        <v>46</v>
      </c>
    </row>
  </sheetData>
  <sheetProtection sheet="true" password="df10" objects="true" scenarios="tru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4"/>
    <col collapsed="false" customWidth="true" hidden="false" outlineLevel="0" max="8" min="4" style="0" width="13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1" min="11" style="0" width="2"/>
    <col collapsed="false" customWidth="true" hidden="false" outlineLevel="0" max="12" min="12" style="0" width="34"/>
    <col collapsed="false" customWidth="true" hidden="false" outlineLevel="0" max="13" min="13" style="0" width="11"/>
    <col collapsed="false" customWidth="true" hidden="false" outlineLevel="0" max="14" min="14" style="0" width="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47</v>
      </c>
    </row>
    <row r="3" customFormat="false" ht="15" hidden="false" customHeight="false" outlineLevel="0" collapsed="false">
      <c r="A3" s="7" t="s">
        <v>48</v>
      </c>
      <c r="C3" s="8" t="n">
        <v>46254</v>
      </c>
      <c r="D3" s="9" t="s">
        <v>49</v>
      </c>
    </row>
    <row r="4" customFormat="false" ht="15" hidden="false" customHeight="false" outlineLevel="0" collapsed="false">
      <c r="A4" s="7" t="s">
        <v>50</v>
      </c>
      <c r="C4" s="10"/>
      <c r="D4" s="9" t="s">
        <v>51</v>
      </c>
    </row>
    <row r="5" customFormat="false" ht="15" hidden="false" customHeight="false" outlineLevel="0" collapsed="false">
      <c r="A5" s="9" t="s">
        <v>52</v>
      </c>
    </row>
    <row r="7" customFormat="false" ht="30" hidden="false" customHeight="true" outlineLevel="0" collapsed="false">
      <c r="A7" s="11" t="s">
        <v>53</v>
      </c>
      <c r="B7" s="11" t="s">
        <v>54</v>
      </c>
      <c r="C7" s="12" t="s">
        <v>55</v>
      </c>
      <c r="D7" s="12" t="s">
        <v>56</v>
      </c>
      <c r="E7" s="12" t="s">
        <v>57</v>
      </c>
      <c r="F7" s="12" t="s">
        <v>58</v>
      </c>
      <c r="G7" s="12" t="s">
        <v>59</v>
      </c>
      <c r="H7" s="12" t="s">
        <v>60</v>
      </c>
      <c r="I7" s="12" t="s">
        <v>61</v>
      </c>
      <c r="J7" s="12" t="s">
        <v>62</v>
      </c>
      <c r="K7" s="13"/>
      <c r="L7" s="14" t="s">
        <v>63</v>
      </c>
      <c r="M7" s="14" t="s">
        <v>64</v>
      </c>
      <c r="N7" s="14" t="s">
        <v>65</v>
      </c>
    </row>
    <row r="8" customFormat="false" ht="15" hidden="false" customHeight="false" outlineLevel="0" collapsed="false">
      <c r="A8" s="15" t="s">
        <v>66</v>
      </c>
      <c r="B8" s="15" t="s">
        <v>67</v>
      </c>
      <c r="C8" s="16" t="n">
        <v>11459</v>
      </c>
      <c r="D8" s="17" t="n">
        <f aca="false">IF($A8="","",SUMIFS('Daily Entry'!$C$7:$C$5000,'Daily Entry'!$B$7:$B$5000,$L8,'Daily Entry'!$A$7:$A$5000,$C$3))</f>
        <v>1068</v>
      </c>
      <c r="E8" s="17" t="n">
        <f aca="false">IF($A8="","",SUMIFS('Daily Entry'!$D$7:$D$5000,'Daily Entry'!$B$7:$B$5000,$L8,'Daily Entry'!$A$7:$A$5000,$C$3))</f>
        <v>0</v>
      </c>
      <c r="F8" s="18" t="n">
        <f aca="false">IF($A8="","",SUMIFS('Daily Entry'!$C$7:$C$5000,'Daily Entry'!$B$7:$B$5000,$L8))</f>
        <v>1068</v>
      </c>
      <c r="G8" s="18" t="n">
        <f aca="false">IF($A8="","",SUMIFS('Daily Entry'!$D$7:$D$5000,'Daily Entry'!$B$7:$B$5000,$L8))</f>
        <v>0</v>
      </c>
      <c r="H8" s="19" t="n">
        <f aca="false">IF($A8="","",$C8+$F8-$G8)</f>
        <v>12527</v>
      </c>
      <c r="I8" s="20"/>
      <c r="J8" s="21" t="str">
        <f aca="false">IF(OR($A8="",$I8="",$C$4=""),"",$H8*$I8*$C$4)</f>
        <v/>
      </c>
      <c r="L8" s="22" t="str">
        <f aca="false">IF($A8="","",$A8&amp;" - "&amp;$B8)</f>
        <v>Blue Dolphin - PD PVN 100/200</v>
      </c>
      <c r="M8" s="22" t="n">
        <f aca="false">IF($A8="",0,IF(OR($D8&lt;&gt;0,$E8&lt;&gt;0),1,0))</f>
        <v>1</v>
      </c>
      <c r="N8" s="22" t="n">
        <f aca="false">IF($M8=1,SUM($M$8:$M8),"")</f>
        <v>1</v>
      </c>
    </row>
    <row r="9" customFormat="false" ht="15" hidden="false" customHeight="false" outlineLevel="0" collapsed="false">
      <c r="A9" s="23" t="s">
        <v>66</v>
      </c>
      <c r="B9" s="23" t="s">
        <v>68</v>
      </c>
      <c r="C9" s="24" t="n">
        <v>517</v>
      </c>
      <c r="D9" s="25" t="n">
        <f aca="false">IF($A9="","",SUMIFS('Daily Entry'!$C$7:$C$5000,'Daily Entry'!$B$7:$B$5000,$L9,'Daily Entry'!$A$7:$A$5000,$C$3))</f>
        <v>65</v>
      </c>
      <c r="E9" s="25" t="n">
        <f aca="false">IF($A9="","",SUMIFS('Daily Entry'!$D$7:$D$5000,'Daily Entry'!$B$7:$B$5000,$L9,'Daily Entry'!$A$7:$A$5000,$C$3))</f>
        <v>0</v>
      </c>
      <c r="F9" s="26" t="n">
        <f aca="false">IF($A9="","",SUMIFS('Daily Entry'!$C$7:$C$5000,'Daily Entry'!$B$7:$B$5000,$L9))</f>
        <v>65</v>
      </c>
      <c r="G9" s="26" t="n">
        <f aca="false">IF($A9="","",SUMIFS('Daily Entry'!$D$7:$D$5000,'Daily Entry'!$B$7:$B$5000,$L9))</f>
        <v>0</v>
      </c>
      <c r="H9" s="27" t="n">
        <f aca="false">IF($A9="","",$C9+$F9-$G9)</f>
        <v>582</v>
      </c>
      <c r="I9" s="20"/>
      <c r="J9" s="28" t="str">
        <f aca="false">IF(OR($A9="",$I9="",$C$4=""),"",$H9*$I9*$C$4)</f>
        <v/>
      </c>
      <c r="L9" s="22" t="str">
        <f aca="false">IF($A9="","",$A9&amp;" - "&amp;$B9)</f>
        <v>Blue Dolphin - PD KKD 100/200</v>
      </c>
      <c r="M9" s="22" t="n">
        <f aca="false">IF($A9="",0,IF(OR($D9&lt;&gt;0,$E9&lt;&gt;0),1,0))</f>
        <v>1</v>
      </c>
      <c r="N9" s="22" t="n">
        <f aca="false">IF($M9=1,SUM($M$8:$M9),"")</f>
        <v>2</v>
      </c>
    </row>
    <row r="10" customFormat="false" ht="15" hidden="false" customHeight="false" outlineLevel="0" collapsed="false">
      <c r="A10" s="15" t="s">
        <v>66</v>
      </c>
      <c r="B10" s="15" t="s">
        <v>69</v>
      </c>
      <c r="C10" s="16" t="n">
        <v>2262</v>
      </c>
      <c r="D10" s="17" t="n">
        <f aca="false">IF($A10="","",SUMIFS('Daily Entry'!$C$7:$C$5000,'Daily Entry'!$B$7:$B$5000,$L10,'Daily Entry'!$A$7:$A$5000,$C$3))</f>
        <v>267</v>
      </c>
      <c r="E10" s="17" t="n">
        <f aca="false">IF($A10="","",SUMIFS('Daily Entry'!$D$7:$D$5000,'Daily Entry'!$B$7:$B$5000,$L10,'Daily Entry'!$A$7:$A$5000,$C$3))</f>
        <v>0</v>
      </c>
      <c r="F10" s="18" t="n">
        <f aca="false">IF($A10="","",SUMIFS('Daily Entry'!$C$7:$C$5000,'Daily Entry'!$B$7:$B$5000,$L10))</f>
        <v>267</v>
      </c>
      <c r="G10" s="18" t="n">
        <f aca="false">IF($A10="","",SUMIFS('Daily Entry'!$D$7:$D$5000,'Daily Entry'!$B$7:$B$5000,$L10))</f>
        <v>0</v>
      </c>
      <c r="H10" s="19" t="n">
        <f aca="false">IF($A10="","",$C10+$F10-$G10)</f>
        <v>2529</v>
      </c>
      <c r="I10" s="20"/>
      <c r="J10" s="21" t="str">
        <f aca="false">IF(OR($A10="",$I10="",$C$4=""),"",$H10*$I10*$C$4)</f>
        <v/>
      </c>
      <c r="L10" s="22" t="str">
        <f aca="false">IF($A10="","",$A10&amp;" - "&amp;$B10)</f>
        <v>Blue Dolphin - PUD PVN 200/300</v>
      </c>
      <c r="M10" s="22" t="n">
        <f aca="false">IF($A10="",0,IF(OR($D10&lt;&gt;0,$E10&lt;&gt;0),1,0))</f>
        <v>1</v>
      </c>
      <c r="N10" s="22" t="n">
        <f aca="false">IF($M10=1,SUM($M$8:$M10),"")</f>
        <v>3</v>
      </c>
    </row>
    <row r="11" customFormat="false" ht="15" hidden="false" customHeight="false" outlineLevel="0" collapsed="false">
      <c r="A11" s="23" t="s">
        <v>66</v>
      </c>
      <c r="B11" s="23" t="s">
        <v>70</v>
      </c>
      <c r="C11" s="24" t="n">
        <v>2835</v>
      </c>
      <c r="D11" s="25" t="n">
        <f aca="false">IF($A11="","",SUMIFS('Daily Entry'!$C$7:$C$5000,'Daily Entry'!$B$7:$B$5000,$L11,'Daily Entry'!$A$7:$A$5000,$C$3))</f>
        <v>0</v>
      </c>
      <c r="E11" s="25" t="n">
        <f aca="false">IF($A11="","",SUMIFS('Daily Entry'!$D$7:$D$5000,'Daily Entry'!$B$7:$B$5000,$L11,'Daily Entry'!$A$7:$A$5000,$C$3))</f>
        <v>0</v>
      </c>
      <c r="F11" s="26" t="n">
        <f aca="false">IF($A11="","",SUMIFS('Daily Entry'!$C$7:$C$5000,'Daily Entry'!$B$7:$B$5000,$L11))</f>
        <v>0</v>
      </c>
      <c r="G11" s="26" t="n">
        <f aca="false">IF($A11="","",SUMIFS('Daily Entry'!$D$7:$D$5000,'Daily Entry'!$B$7:$B$5000,$L11))</f>
        <v>0</v>
      </c>
      <c r="H11" s="27" t="n">
        <f aca="false">IF($A11="","",$C11+$F11-$G11)</f>
        <v>2835</v>
      </c>
      <c r="I11" s="20"/>
      <c r="J11" s="28" t="str">
        <f aca="false">IF(OR($A11="",$I11="",$C$4=""),"",$H11*$I11*$C$4)</f>
        <v/>
      </c>
      <c r="L11" s="22" t="str">
        <f aca="false">IF($A11="","",$A11&amp;" - "&amp;$B11)</f>
        <v>Blue Dolphin - PUD KKD 200/300</v>
      </c>
      <c r="M11" s="22" t="n">
        <f aca="false">IF($A11="",0,IF(OR($D11&lt;&gt;0,$E11&lt;&gt;0),1,0))</f>
        <v>0</v>
      </c>
      <c r="N11" s="22" t="str">
        <f aca="false">IF($M11=1,SUM($M$8:$M11),"")</f>
        <v/>
      </c>
    </row>
    <row r="12" customFormat="false" ht="15" hidden="false" customHeight="false" outlineLevel="0" collapsed="false">
      <c r="A12" s="15" t="s">
        <v>66</v>
      </c>
      <c r="B12" s="15" t="s">
        <v>71</v>
      </c>
      <c r="C12" s="16" t="n">
        <v>1673</v>
      </c>
      <c r="D12" s="17" t="n">
        <f aca="false">IF($A12="","",SUMIFS('Daily Entry'!$C$7:$C$5000,'Daily Entry'!$B$7:$B$5000,$L12,'Daily Entry'!$A$7:$A$5000,$C$3))</f>
        <v>0</v>
      </c>
      <c r="E12" s="17" t="n">
        <f aca="false">IF($A12="","",SUMIFS('Daily Entry'!$D$7:$D$5000,'Daily Entry'!$B$7:$B$5000,$L12,'Daily Entry'!$A$7:$A$5000,$C$3))</f>
        <v>0</v>
      </c>
      <c r="F12" s="18" t="n">
        <f aca="false">IF($A12="","",SUMIFS('Daily Entry'!$C$7:$C$5000,'Daily Entry'!$B$7:$B$5000,$L12))</f>
        <v>0</v>
      </c>
      <c r="G12" s="18" t="n">
        <f aca="false">IF($A12="","",SUMIFS('Daily Entry'!$D$7:$D$5000,'Daily Entry'!$B$7:$B$5000,$L12))</f>
        <v>0</v>
      </c>
      <c r="H12" s="19" t="n">
        <f aca="false">IF($A12="","",$C12+$F12-$G12)</f>
        <v>1673</v>
      </c>
      <c r="I12" s="20"/>
      <c r="J12" s="21" t="str">
        <f aca="false">IF(OR($A12="",$I12="",$C$4=""),"",$H12*$I12*$C$4)</f>
        <v/>
      </c>
      <c r="L12" s="22" t="str">
        <f aca="false">IF($A12="","",$A12&amp;" - "&amp;$B12)</f>
        <v>Blue Dolphin - PUD PVN 300/500</v>
      </c>
      <c r="M12" s="22" t="n">
        <f aca="false">IF($A12="",0,IF(OR($D12&lt;&gt;0,$E12&lt;&gt;0),1,0))</f>
        <v>0</v>
      </c>
      <c r="N12" s="22" t="str">
        <f aca="false">IF($M12=1,SUM($M$8:$M12),"")</f>
        <v/>
      </c>
    </row>
    <row r="13" customFormat="false" ht="15" hidden="false" customHeight="false" outlineLevel="0" collapsed="false">
      <c r="A13" s="23" t="s">
        <v>66</v>
      </c>
      <c r="B13" s="23" t="s">
        <v>72</v>
      </c>
      <c r="C13" s="24" t="n">
        <v>7542</v>
      </c>
      <c r="D13" s="25" t="n">
        <f aca="false">IF($A13="","",SUMIFS('Daily Entry'!$C$7:$C$5000,'Daily Entry'!$B$7:$B$5000,$L13,'Daily Entry'!$A$7:$A$5000,$C$3))</f>
        <v>0</v>
      </c>
      <c r="E13" s="25" t="n">
        <f aca="false">IF($A13="","",SUMIFS('Daily Entry'!$D$7:$D$5000,'Daily Entry'!$B$7:$B$5000,$L13,'Daily Entry'!$A$7:$A$5000,$C$3))</f>
        <v>0</v>
      </c>
      <c r="F13" s="26" t="n">
        <f aca="false">IF($A13="","",SUMIFS('Daily Entry'!$C$7:$C$5000,'Daily Entry'!$B$7:$B$5000,$L13))</f>
        <v>0</v>
      </c>
      <c r="G13" s="26" t="n">
        <f aca="false">IF($A13="","",SUMIFS('Daily Entry'!$D$7:$D$5000,'Daily Entry'!$B$7:$B$5000,$L13))</f>
        <v>0</v>
      </c>
      <c r="H13" s="27" t="n">
        <f aca="false">IF($A13="","",$C13+$F13-$G13)</f>
        <v>7542</v>
      </c>
      <c r="I13" s="20"/>
      <c r="J13" s="28" t="str">
        <f aca="false">IF(OR($A13="",$I13="",$C$4=""),"",$H13*$I13*$C$4)</f>
        <v/>
      </c>
      <c r="L13" s="22" t="str">
        <f aca="false">IF($A13="","",$A13&amp;" - "&amp;$B13)</f>
        <v>Blue Dolphin - PUD KKD 300/500</v>
      </c>
      <c r="M13" s="22" t="n">
        <f aca="false">IF($A13="",0,IF(OR($D13&lt;&gt;0,$E13&lt;&gt;0),1,0))</f>
        <v>0</v>
      </c>
      <c r="N13" s="22" t="str">
        <f aca="false">IF($M13=1,SUM($M$8:$M13),"")</f>
        <v/>
      </c>
    </row>
    <row r="14" customFormat="false" ht="15" hidden="false" customHeight="false" outlineLevel="0" collapsed="false">
      <c r="A14" s="15" t="s">
        <v>66</v>
      </c>
      <c r="B14" s="15" t="s">
        <v>73</v>
      </c>
      <c r="C14" s="16" t="n">
        <v>2357</v>
      </c>
      <c r="D14" s="17" t="n">
        <f aca="false">IF($A14="","",SUMIFS('Daily Entry'!$C$7:$C$5000,'Daily Entry'!$B$7:$B$5000,$L14,'Daily Entry'!$A$7:$A$5000,$C$3))</f>
        <v>0</v>
      </c>
      <c r="E14" s="17" t="n">
        <f aca="false">IF($A14="","",SUMIFS('Daily Entry'!$D$7:$D$5000,'Daily Entry'!$B$7:$B$5000,$L14,'Daily Entry'!$A$7:$A$5000,$C$3))</f>
        <v>0</v>
      </c>
      <c r="F14" s="18" t="n">
        <f aca="false">IF($A14="","",SUMIFS('Daily Entry'!$C$7:$C$5000,'Daily Entry'!$B$7:$B$5000,$L14))</f>
        <v>0</v>
      </c>
      <c r="G14" s="18" t="n">
        <f aca="false">IF($A14="","",SUMIFS('Daily Entry'!$D$7:$D$5000,'Daily Entry'!$B$7:$B$5000,$L14))</f>
        <v>0</v>
      </c>
      <c r="H14" s="19" t="n">
        <f aca="false">IF($A14="","",$C14+$F14-$G14)</f>
        <v>2357</v>
      </c>
      <c r="I14" s="20"/>
      <c r="J14" s="21" t="str">
        <f aca="false">IF(OR($A14="",$I14="",$C$4=""),"",$H14*$I14*$C$4)</f>
        <v/>
      </c>
      <c r="L14" s="22" t="str">
        <f aca="false">IF($A14="","",$A14&amp;" - "&amp;$B14)</f>
        <v>Blue Dolphin - PD PVN 200/300</v>
      </c>
      <c r="M14" s="22" t="n">
        <f aca="false">IF($A14="",0,IF(OR($D14&lt;&gt;0,$E14&lt;&gt;0),1,0))</f>
        <v>0</v>
      </c>
      <c r="N14" s="22" t="str">
        <f aca="false">IF($M14=1,SUM($M$8:$M14),"")</f>
        <v/>
      </c>
    </row>
    <row r="15" customFormat="false" ht="15" hidden="false" customHeight="false" outlineLevel="0" collapsed="false">
      <c r="A15" s="23" t="s">
        <v>74</v>
      </c>
      <c r="B15" s="23" t="s">
        <v>75</v>
      </c>
      <c r="C15" s="24" t="n">
        <v>64</v>
      </c>
      <c r="D15" s="25" t="n">
        <f aca="false">IF($A15="","",SUMIFS('Daily Entry'!$C$7:$C$5000,'Daily Entry'!$B$7:$B$5000,$L15,'Daily Entry'!$A$7:$A$5000,$C$3))</f>
        <v>29</v>
      </c>
      <c r="E15" s="25" t="n">
        <f aca="false">IF($A15="","",SUMIFS('Daily Entry'!$D$7:$D$5000,'Daily Entry'!$B$7:$B$5000,$L15,'Daily Entry'!$A$7:$A$5000,$C$3))</f>
        <v>0</v>
      </c>
      <c r="F15" s="26" t="n">
        <f aca="false">IF($A15="","",SUMIFS('Daily Entry'!$C$7:$C$5000,'Daily Entry'!$B$7:$B$5000,$L15))</f>
        <v>29</v>
      </c>
      <c r="G15" s="26" t="n">
        <f aca="false">IF($A15="","",SUMIFS('Daily Entry'!$D$7:$D$5000,'Daily Entry'!$B$7:$B$5000,$L15))</f>
        <v>0</v>
      </c>
      <c r="H15" s="27" t="n">
        <f aca="false">IF($A15="","",$C15+$F15-$G15)</f>
        <v>93</v>
      </c>
      <c r="I15" s="20"/>
      <c r="J15" s="28" t="str">
        <f aca="false">IF(OR($A15="",$I15="",$C$4=""),"",$H15*$I15*$C$4)</f>
        <v/>
      </c>
      <c r="L15" s="22" t="str">
        <f aca="false">IF($A15="","",$A15&amp;" - "&amp;$B15)</f>
        <v>Primus Japan - PUD KZN 40/60</v>
      </c>
      <c r="M15" s="22" t="n">
        <f aca="false">IF($A15="",0,IF(OR($D15&lt;&gt;0,$E15&lt;&gt;0),1,0))</f>
        <v>1</v>
      </c>
      <c r="N15" s="22" t="n">
        <f aca="false">IF($M15=1,SUM($M$8:$M15),"")</f>
        <v>4</v>
      </c>
    </row>
    <row r="16" customFormat="false" ht="15" hidden="false" customHeight="false" outlineLevel="0" collapsed="false">
      <c r="A16" s="15" t="s">
        <v>74</v>
      </c>
      <c r="B16" s="15" t="s">
        <v>76</v>
      </c>
      <c r="C16" s="16" t="n">
        <v>191</v>
      </c>
      <c r="D16" s="17" t="n">
        <f aca="false">IF($A16="","",SUMIFS('Daily Entry'!$C$7:$C$5000,'Daily Entry'!$B$7:$B$5000,$L16,'Daily Entry'!$A$7:$A$5000,$C$3))</f>
        <v>39</v>
      </c>
      <c r="E16" s="17" t="n">
        <f aca="false">IF($A16="","",SUMIFS('Daily Entry'!$D$7:$D$5000,'Daily Entry'!$B$7:$B$5000,$L16,'Daily Entry'!$A$7:$A$5000,$C$3))</f>
        <v>0</v>
      </c>
      <c r="F16" s="18" t="n">
        <f aca="false">IF($A16="","",SUMIFS('Daily Entry'!$C$7:$C$5000,'Daily Entry'!$B$7:$B$5000,$L16))</f>
        <v>39</v>
      </c>
      <c r="G16" s="18" t="n">
        <f aca="false">IF($A16="","",SUMIFS('Daily Entry'!$D$7:$D$5000,'Daily Entry'!$B$7:$B$5000,$L16))</f>
        <v>0</v>
      </c>
      <c r="H16" s="19" t="n">
        <f aca="false">IF($A16="","",$C16+$F16-$G16)</f>
        <v>230</v>
      </c>
      <c r="I16" s="20"/>
      <c r="J16" s="21" t="str">
        <f aca="false">IF(OR($A16="",$I16="",$C$4=""),"",$H16*$I16*$C$4)</f>
        <v/>
      </c>
      <c r="L16" s="22" t="str">
        <f aca="false">IF($A16="","",$A16&amp;" - "&amp;$B16)</f>
        <v>Primus Japan - PUD KZN 60/80</v>
      </c>
      <c r="M16" s="22" t="n">
        <f aca="false">IF($A16="",0,IF(OR($D16&lt;&gt;0,$E16&lt;&gt;0),1,0))</f>
        <v>1</v>
      </c>
      <c r="N16" s="22" t="n">
        <f aca="false">IF($M16=1,SUM($M$8:$M16),"")</f>
        <v>5</v>
      </c>
    </row>
    <row r="17" customFormat="false" ht="15" hidden="false" customHeight="false" outlineLevel="0" collapsed="false">
      <c r="A17" s="23" t="s">
        <v>74</v>
      </c>
      <c r="B17" s="23" t="s">
        <v>77</v>
      </c>
      <c r="C17" s="24" t="n">
        <v>16849</v>
      </c>
      <c r="D17" s="25" t="n">
        <f aca="false">IF($A17="","",SUMIFS('Daily Entry'!$C$7:$C$5000,'Daily Entry'!$B$7:$B$5000,$L17,'Daily Entry'!$A$7:$A$5000,$C$3))</f>
        <v>0</v>
      </c>
      <c r="E17" s="25" t="n">
        <f aca="false">IF($A17="","",SUMIFS('Daily Entry'!$D$7:$D$5000,'Daily Entry'!$B$7:$B$5000,$L17,'Daily Entry'!$A$7:$A$5000,$C$3))</f>
        <v>0</v>
      </c>
      <c r="F17" s="26" t="n">
        <f aca="false">IF($A17="","",SUMIFS('Daily Entry'!$C$7:$C$5000,'Daily Entry'!$B$7:$B$5000,$L17))</f>
        <v>0</v>
      </c>
      <c r="G17" s="26" t="n">
        <f aca="false">IF($A17="","",SUMIFS('Daily Entry'!$D$7:$D$5000,'Daily Entry'!$B$7:$B$5000,$L17))</f>
        <v>0</v>
      </c>
      <c r="H17" s="27" t="n">
        <f aca="false">IF($A17="","",$C17+$F17-$G17)</f>
        <v>16849</v>
      </c>
      <c r="I17" s="20"/>
      <c r="J17" s="28" t="str">
        <f aca="false">IF(OR($A17="",$I17="",$C$4=""),"",$H17*$I17*$C$4)</f>
        <v/>
      </c>
      <c r="L17" s="22" t="str">
        <f aca="false">IF($A17="","",$A17&amp;" - "&amp;$B17)</f>
        <v>Primus Japan - PUD PVN 80/120</v>
      </c>
      <c r="M17" s="22" t="n">
        <f aca="false">IF($A17="",0,IF(OR($D17&lt;&gt;0,$E17&lt;&gt;0),1,0))</f>
        <v>0</v>
      </c>
      <c r="N17" s="22" t="str">
        <f aca="false">IF($M17=1,SUM($M$8:$M17),"")</f>
        <v/>
      </c>
    </row>
    <row r="18" customFormat="false" ht="15" hidden="false" customHeight="false" outlineLevel="0" collapsed="false">
      <c r="A18" s="15" t="s">
        <v>74</v>
      </c>
      <c r="B18" s="15" t="s">
        <v>78</v>
      </c>
      <c r="C18" s="16" t="n">
        <v>466</v>
      </c>
      <c r="D18" s="17" t="n">
        <f aca="false">IF($A18="","",SUMIFS('Daily Entry'!$C$7:$C$5000,'Daily Entry'!$B$7:$B$5000,$L18,'Daily Entry'!$A$7:$A$5000,$C$3))</f>
        <v>50</v>
      </c>
      <c r="E18" s="17" t="n">
        <f aca="false">IF($A18="","",SUMIFS('Daily Entry'!$D$7:$D$5000,'Daily Entry'!$B$7:$B$5000,$L18,'Daily Entry'!$A$7:$A$5000,$C$3))</f>
        <v>0</v>
      </c>
      <c r="F18" s="18" t="n">
        <f aca="false">IF($A18="","",SUMIFS('Daily Entry'!$C$7:$C$5000,'Daily Entry'!$B$7:$B$5000,$L18))</f>
        <v>50</v>
      </c>
      <c r="G18" s="18" t="n">
        <f aca="false">IF($A18="","",SUMIFS('Daily Entry'!$D$7:$D$5000,'Daily Entry'!$B$7:$B$5000,$L18))</f>
        <v>0</v>
      </c>
      <c r="H18" s="19" t="n">
        <f aca="false">IF($A18="","",$C18+$F18-$G18)</f>
        <v>516</v>
      </c>
      <c r="I18" s="20"/>
      <c r="J18" s="21" t="str">
        <f aca="false">IF(OR($A18="",$I18="",$C$4=""),"",$H18*$I18*$C$4)</f>
        <v/>
      </c>
      <c r="L18" s="22" t="str">
        <f aca="false">IF($A18="","",$A18&amp;" - "&amp;$B18)</f>
        <v>Primus Japan - PUD KZN 80/120</v>
      </c>
      <c r="M18" s="22" t="n">
        <f aca="false">IF($A18="",0,IF(OR($D18&lt;&gt;0,$E18&lt;&gt;0),1,0))</f>
        <v>1</v>
      </c>
      <c r="N18" s="22" t="n">
        <f aca="false">IF($M18=1,SUM($M$8:$M18),"")</f>
        <v>6</v>
      </c>
    </row>
    <row r="19" customFormat="false" ht="15" hidden="false" customHeight="false" outlineLevel="0" collapsed="false">
      <c r="A19" s="23" t="s">
        <v>74</v>
      </c>
      <c r="B19" s="23" t="s">
        <v>79</v>
      </c>
      <c r="C19" s="24" t="n">
        <v>69</v>
      </c>
      <c r="D19" s="25" t="n">
        <f aca="false">IF($A19="","",SUMIFS('Daily Entry'!$C$7:$C$5000,'Daily Entry'!$B$7:$B$5000,$L19,'Daily Entry'!$A$7:$A$5000,$C$3))</f>
        <v>3</v>
      </c>
      <c r="E19" s="25" t="n">
        <f aca="false">IF($A19="","",SUMIFS('Daily Entry'!$D$7:$D$5000,'Daily Entry'!$B$7:$B$5000,$L19,'Daily Entry'!$A$7:$A$5000,$C$3))</f>
        <v>0</v>
      </c>
      <c r="F19" s="26" t="n">
        <f aca="false">IF($A19="","",SUMIFS('Daily Entry'!$C$7:$C$5000,'Daily Entry'!$B$7:$B$5000,$L19))</f>
        <v>3</v>
      </c>
      <c r="G19" s="26" t="n">
        <f aca="false">IF($A19="","",SUMIFS('Daily Entry'!$D$7:$D$5000,'Daily Entry'!$B$7:$B$5000,$L19))</f>
        <v>0</v>
      </c>
      <c r="H19" s="27" t="n">
        <f aca="false">IF($A19="","",$C19+$F19-$G19)</f>
        <v>72</v>
      </c>
      <c r="I19" s="20"/>
      <c r="J19" s="28" t="str">
        <f aca="false">IF(OR($A19="",$I19="",$C$4=""),"",$H19*$I19*$C$4)</f>
        <v/>
      </c>
      <c r="L19" s="22" t="str">
        <f aca="false">IF($A19="","",$A19&amp;" - "&amp;$B19)</f>
        <v>Primus Japan - PUD NRN 80/120</v>
      </c>
      <c r="M19" s="22" t="n">
        <f aca="false">IF($A19="",0,IF(OR($D19&lt;&gt;0,$E19&lt;&gt;0),1,0))</f>
        <v>1</v>
      </c>
      <c r="N19" s="22" t="n">
        <f aca="false">IF($M19=1,SUM($M$8:$M19),"")</f>
        <v>7</v>
      </c>
    </row>
    <row r="20" customFormat="false" ht="15" hidden="false" customHeight="false" outlineLevel="0" collapsed="false">
      <c r="A20" s="15" t="s">
        <v>74</v>
      </c>
      <c r="B20" s="15" t="s">
        <v>80</v>
      </c>
      <c r="C20" s="16" t="n">
        <v>2617</v>
      </c>
      <c r="D20" s="17" t="n">
        <f aca="false">IF($A20="","",SUMIFS('Daily Entry'!$C$7:$C$5000,'Daily Entry'!$B$7:$B$5000,$L20,'Daily Entry'!$A$7:$A$5000,$C$3))</f>
        <v>0</v>
      </c>
      <c r="E20" s="17" t="n">
        <f aca="false">IF($A20="","",SUMIFS('Daily Entry'!$D$7:$D$5000,'Daily Entry'!$B$7:$B$5000,$L20,'Daily Entry'!$A$7:$A$5000,$C$3))</f>
        <v>0</v>
      </c>
      <c r="F20" s="18" t="n">
        <f aca="false">IF($A20="","",SUMIFS('Daily Entry'!$C$7:$C$5000,'Daily Entry'!$B$7:$B$5000,$L20))</f>
        <v>0</v>
      </c>
      <c r="G20" s="18" t="n">
        <f aca="false">IF($A20="","",SUMIFS('Daily Entry'!$D$7:$D$5000,'Daily Entry'!$B$7:$B$5000,$L20))</f>
        <v>0</v>
      </c>
      <c r="H20" s="19" t="n">
        <f aca="false">IF($A20="","",$C20+$F20-$G20)</f>
        <v>2617</v>
      </c>
      <c r="I20" s="20"/>
      <c r="J20" s="21" t="str">
        <f aca="false">IF(OR($A20="",$I20="",$C$4=""),"",$H20*$I20*$C$4)</f>
        <v/>
      </c>
      <c r="L20" s="22" t="str">
        <f aca="false">IF($A20="","",$A20&amp;" - "&amp;$B20)</f>
        <v>Primus Japan - PUD PVN 100/200</v>
      </c>
      <c r="M20" s="22" t="n">
        <f aca="false">IF($A20="",0,IF(OR($D20&lt;&gt;0,$E20&lt;&gt;0),1,0))</f>
        <v>0</v>
      </c>
      <c r="N20" s="22" t="str">
        <f aca="false">IF($M20=1,SUM($M$8:$M20),"")</f>
        <v/>
      </c>
    </row>
    <row r="21" customFormat="false" ht="15" hidden="false" customHeight="false" outlineLevel="0" collapsed="false">
      <c r="A21" s="23" t="s">
        <v>74</v>
      </c>
      <c r="B21" s="23" t="s">
        <v>81</v>
      </c>
      <c r="C21" s="24" t="n">
        <v>13</v>
      </c>
      <c r="D21" s="25" t="n">
        <f aca="false">IF($A21="","",SUMIFS('Daily Entry'!$C$7:$C$5000,'Daily Entry'!$B$7:$B$5000,$L21,'Daily Entry'!$A$7:$A$5000,$C$3))</f>
        <v>0</v>
      </c>
      <c r="E21" s="25" t="n">
        <f aca="false">IF($A21="","",SUMIFS('Daily Entry'!$D$7:$D$5000,'Daily Entry'!$B$7:$B$5000,$L21,'Daily Entry'!$A$7:$A$5000,$C$3))</f>
        <v>0</v>
      </c>
      <c r="F21" s="26" t="n">
        <f aca="false">IF($A21="","",SUMIFS('Daily Entry'!$C$7:$C$5000,'Daily Entry'!$B$7:$B$5000,$L21))</f>
        <v>0</v>
      </c>
      <c r="G21" s="26" t="n">
        <f aca="false">IF($A21="","",SUMIFS('Daily Entry'!$D$7:$D$5000,'Daily Entry'!$B$7:$B$5000,$L21))</f>
        <v>0</v>
      </c>
      <c r="H21" s="27" t="n">
        <f aca="false">IF($A21="","",$C21+$F21-$G21)</f>
        <v>13</v>
      </c>
      <c r="I21" s="20"/>
      <c r="J21" s="28" t="str">
        <f aca="false">IF(OR($A21="",$I21="",$C$4=""),"",$H21*$I21*$C$4)</f>
        <v/>
      </c>
      <c r="L21" s="22" t="str">
        <f aca="false">IF($A21="","",$A21&amp;" - "&amp;$B21)</f>
        <v>Primus Japan - PUD NRN 100/200</v>
      </c>
      <c r="M21" s="22" t="n">
        <f aca="false">IF($A21="",0,IF(OR($D21&lt;&gt;0,$E21&lt;&gt;0),1,0))</f>
        <v>0</v>
      </c>
      <c r="N21" s="22" t="str">
        <f aca="false">IF($M21=1,SUM($M$8:$M21),"")</f>
        <v/>
      </c>
    </row>
    <row r="22" customFormat="false" ht="15" hidden="false" customHeight="false" outlineLevel="0" collapsed="false">
      <c r="A22" s="15" t="s">
        <v>74</v>
      </c>
      <c r="B22" s="15" t="s">
        <v>82</v>
      </c>
      <c r="C22" s="16" t="n">
        <v>4209</v>
      </c>
      <c r="D22" s="17" t="n">
        <f aca="false">IF($A22="","",SUMIFS('Daily Entry'!$C$7:$C$5000,'Daily Entry'!$B$7:$B$5000,$L22,'Daily Entry'!$A$7:$A$5000,$C$3))</f>
        <v>50</v>
      </c>
      <c r="E22" s="17" t="n">
        <f aca="false">IF($A22="","",SUMIFS('Daily Entry'!$D$7:$D$5000,'Daily Entry'!$B$7:$B$5000,$L22,'Daily Entry'!$A$7:$A$5000,$C$3))</f>
        <v>0</v>
      </c>
      <c r="F22" s="18" t="n">
        <f aca="false">IF($A22="","",SUMIFS('Daily Entry'!$C$7:$C$5000,'Daily Entry'!$B$7:$B$5000,$L22))</f>
        <v>50</v>
      </c>
      <c r="G22" s="18" t="n">
        <f aca="false">IF($A22="","",SUMIFS('Daily Entry'!$D$7:$D$5000,'Daily Entry'!$B$7:$B$5000,$L22))</f>
        <v>0</v>
      </c>
      <c r="H22" s="19" t="n">
        <f aca="false">IF($A22="","",$C22+$F22-$G22)</f>
        <v>4259</v>
      </c>
      <c r="I22" s="20"/>
      <c r="J22" s="21" t="str">
        <f aca="false">IF(OR($A22="",$I22="",$C$4=""),"",$H22*$I22*$C$4)</f>
        <v/>
      </c>
      <c r="L22" s="22" t="str">
        <f aca="false">IF($A22="","",$A22&amp;" - "&amp;$B22)</f>
        <v>Primus Japan - PUD KZN 100/200</v>
      </c>
      <c r="M22" s="22" t="n">
        <f aca="false">IF($A22="",0,IF(OR($D22&lt;&gt;0,$E22&lt;&gt;0),1,0))</f>
        <v>1</v>
      </c>
      <c r="N22" s="22" t="n">
        <f aca="false">IF($M22=1,SUM($M$8:$M22),"")</f>
        <v>8</v>
      </c>
    </row>
    <row r="23" customFormat="false" ht="15" hidden="false" customHeight="false" outlineLevel="0" collapsed="false">
      <c r="A23" s="23" t="s">
        <v>74</v>
      </c>
      <c r="B23" s="23" t="s">
        <v>69</v>
      </c>
      <c r="C23" s="24" t="n">
        <v>0</v>
      </c>
      <c r="D23" s="25" t="n">
        <f aca="false">IF($A23="","",SUMIFS('Daily Entry'!$C$7:$C$5000,'Daily Entry'!$B$7:$B$5000,$L23,'Daily Entry'!$A$7:$A$5000,$C$3))</f>
        <v>0</v>
      </c>
      <c r="E23" s="25" t="n">
        <f aca="false">IF($A23="","",SUMIFS('Daily Entry'!$D$7:$D$5000,'Daily Entry'!$B$7:$B$5000,$L23,'Daily Entry'!$A$7:$A$5000,$C$3))</f>
        <v>0</v>
      </c>
      <c r="F23" s="26" t="n">
        <f aca="false">IF($A23="","",SUMIFS('Daily Entry'!$C$7:$C$5000,'Daily Entry'!$B$7:$B$5000,$L23))</f>
        <v>0</v>
      </c>
      <c r="G23" s="26" t="n">
        <f aca="false">IF($A23="","",SUMIFS('Daily Entry'!$D$7:$D$5000,'Daily Entry'!$B$7:$B$5000,$L23))</f>
        <v>0</v>
      </c>
      <c r="H23" s="27" t="n">
        <f aca="false">IF($A23="","",$C23+$F23-$G23)</f>
        <v>0</v>
      </c>
      <c r="I23" s="20"/>
      <c r="J23" s="28" t="str">
        <f aca="false">IF(OR($A23="",$I23="",$C$4=""),"",$H23*$I23*$C$4)</f>
        <v/>
      </c>
      <c r="L23" s="22" t="str">
        <f aca="false">IF($A23="","",$A23&amp;" - "&amp;$B23)</f>
        <v>Primus Japan - PUD PVN 200/300</v>
      </c>
      <c r="M23" s="22" t="n">
        <f aca="false">IF($A23="",0,IF(OR($D23&lt;&gt;0,$E23&lt;&gt;0),1,0))</f>
        <v>0</v>
      </c>
      <c r="N23" s="22" t="str">
        <f aca="false">IF($M23=1,SUM($M$8:$M23),"")</f>
        <v/>
      </c>
    </row>
    <row r="24" customFormat="false" ht="15" hidden="false" customHeight="false" outlineLevel="0" collapsed="false">
      <c r="A24" s="15" t="s">
        <v>74</v>
      </c>
      <c r="B24" s="15" t="s">
        <v>70</v>
      </c>
      <c r="C24" s="16" t="n">
        <v>2757</v>
      </c>
      <c r="D24" s="17" t="n">
        <f aca="false">IF($A24="","",SUMIFS('Daily Entry'!$C$7:$C$5000,'Daily Entry'!$B$7:$B$5000,$L24,'Daily Entry'!$A$7:$A$5000,$C$3))</f>
        <v>0</v>
      </c>
      <c r="E24" s="17" t="n">
        <f aca="false">IF($A24="","",SUMIFS('Daily Entry'!$D$7:$D$5000,'Daily Entry'!$B$7:$B$5000,$L24,'Daily Entry'!$A$7:$A$5000,$C$3))</f>
        <v>0</v>
      </c>
      <c r="F24" s="18" t="n">
        <f aca="false">IF($A24="","",SUMIFS('Daily Entry'!$C$7:$C$5000,'Daily Entry'!$B$7:$B$5000,$L24))</f>
        <v>0</v>
      </c>
      <c r="G24" s="18" t="n">
        <f aca="false">IF($A24="","",SUMIFS('Daily Entry'!$D$7:$D$5000,'Daily Entry'!$B$7:$B$5000,$L24))</f>
        <v>0</v>
      </c>
      <c r="H24" s="19" t="n">
        <f aca="false">IF($A24="","",$C24+$F24-$G24)</f>
        <v>2757</v>
      </c>
      <c r="I24" s="20"/>
      <c r="J24" s="21" t="str">
        <f aca="false">IF(OR($A24="",$I24="",$C$4=""),"",$H24*$I24*$C$4)</f>
        <v/>
      </c>
      <c r="L24" s="22" t="str">
        <f aca="false">IF($A24="","",$A24&amp;" - "&amp;$B24)</f>
        <v>Primus Japan - PUD KKD 200/300</v>
      </c>
      <c r="M24" s="22" t="n">
        <f aca="false">IF($A24="",0,IF(OR($D24&lt;&gt;0,$E24&lt;&gt;0),1,0))</f>
        <v>0</v>
      </c>
      <c r="N24" s="22" t="str">
        <f aca="false">IF($M24=1,SUM($M$8:$M24),"")</f>
        <v/>
      </c>
    </row>
    <row r="25" customFormat="false" ht="15" hidden="false" customHeight="false" outlineLevel="0" collapsed="false">
      <c r="A25" s="23" t="s">
        <v>74</v>
      </c>
      <c r="B25" s="23" t="s">
        <v>83</v>
      </c>
      <c r="C25" s="24" t="n">
        <v>1080</v>
      </c>
      <c r="D25" s="25" t="n">
        <f aca="false">IF($A25="","",SUMIFS('Daily Entry'!$C$7:$C$5000,'Daily Entry'!$B$7:$B$5000,$L25,'Daily Entry'!$A$7:$A$5000,$C$3))</f>
        <v>33</v>
      </c>
      <c r="E25" s="25" t="n">
        <f aca="false">IF($A25="","",SUMIFS('Daily Entry'!$D$7:$D$5000,'Daily Entry'!$B$7:$B$5000,$L25,'Daily Entry'!$A$7:$A$5000,$C$3))</f>
        <v>0</v>
      </c>
      <c r="F25" s="26" t="n">
        <f aca="false">IF($A25="","",SUMIFS('Daily Entry'!$C$7:$C$5000,'Daily Entry'!$B$7:$B$5000,$L25))</f>
        <v>33</v>
      </c>
      <c r="G25" s="26" t="n">
        <f aca="false">IF($A25="","",SUMIFS('Daily Entry'!$D$7:$D$5000,'Daily Entry'!$B$7:$B$5000,$L25))</f>
        <v>0</v>
      </c>
      <c r="H25" s="27" t="n">
        <f aca="false">IF($A25="","",$C25+$F25-$G25)</f>
        <v>1113</v>
      </c>
      <c r="I25" s="20"/>
      <c r="J25" s="28" t="str">
        <f aca="false">IF(OR($A25="",$I25="",$C$4=""),"",$H25*$I25*$C$4)</f>
        <v/>
      </c>
      <c r="L25" s="22" t="str">
        <f aca="false">IF($A25="","",$A25&amp;" - "&amp;$B25)</f>
        <v>Primus Japan - PUD KZN 200/300</v>
      </c>
      <c r="M25" s="22" t="n">
        <f aca="false">IF($A25="",0,IF(OR($D25&lt;&gt;0,$E25&lt;&gt;0),1,0))</f>
        <v>1</v>
      </c>
      <c r="N25" s="22" t="n">
        <f aca="false">IF($M25=1,SUM($M$8:$M25),"")</f>
        <v>9</v>
      </c>
    </row>
    <row r="26" customFormat="false" ht="15" hidden="false" customHeight="false" outlineLevel="0" collapsed="false">
      <c r="A26" s="15" t="s">
        <v>74</v>
      </c>
      <c r="B26" s="15" t="s">
        <v>71</v>
      </c>
      <c r="C26" s="16" t="n">
        <v>421</v>
      </c>
      <c r="D26" s="17" t="n">
        <f aca="false">IF($A26="","",SUMIFS('Daily Entry'!$C$7:$C$5000,'Daily Entry'!$B$7:$B$5000,$L26,'Daily Entry'!$A$7:$A$5000,$C$3))</f>
        <v>156</v>
      </c>
      <c r="E26" s="17" t="n">
        <f aca="false">IF($A26="","",SUMIFS('Daily Entry'!$D$7:$D$5000,'Daily Entry'!$B$7:$B$5000,$L26,'Daily Entry'!$A$7:$A$5000,$C$3))</f>
        <v>0</v>
      </c>
      <c r="F26" s="18" t="n">
        <f aca="false">IF($A26="","",SUMIFS('Daily Entry'!$C$7:$C$5000,'Daily Entry'!$B$7:$B$5000,$L26))</f>
        <v>156</v>
      </c>
      <c r="G26" s="18" t="n">
        <f aca="false">IF($A26="","",SUMIFS('Daily Entry'!$D$7:$D$5000,'Daily Entry'!$B$7:$B$5000,$L26))</f>
        <v>0</v>
      </c>
      <c r="H26" s="19" t="n">
        <f aca="false">IF($A26="","",$C26+$F26-$G26)</f>
        <v>577</v>
      </c>
      <c r="I26" s="20"/>
      <c r="J26" s="21" t="str">
        <f aca="false">IF(OR($A26="",$I26="",$C$4=""),"",$H26*$I26*$C$4)</f>
        <v/>
      </c>
      <c r="L26" s="22" t="str">
        <f aca="false">IF($A26="","",$A26&amp;" - "&amp;$B26)</f>
        <v>Primus Japan - PUD PVN 300/500</v>
      </c>
      <c r="M26" s="22" t="n">
        <f aca="false">IF($A26="",0,IF(OR($D26&lt;&gt;0,$E26&lt;&gt;0),1,0))</f>
        <v>1</v>
      </c>
      <c r="N26" s="22" t="n">
        <f aca="false">IF($M26=1,SUM($M$8:$M26),"")</f>
        <v>10</v>
      </c>
    </row>
    <row r="27" customFormat="false" ht="15" hidden="false" customHeight="false" outlineLevel="0" collapsed="false">
      <c r="A27" s="23" t="s">
        <v>74</v>
      </c>
      <c r="B27" s="23" t="s">
        <v>72</v>
      </c>
      <c r="C27" s="24" t="n">
        <v>580</v>
      </c>
      <c r="D27" s="25" t="n">
        <f aca="false">IF($A27="","",SUMIFS('Daily Entry'!$C$7:$C$5000,'Daily Entry'!$B$7:$B$5000,$L27,'Daily Entry'!$A$7:$A$5000,$C$3))</f>
        <v>596</v>
      </c>
      <c r="E27" s="25" t="n">
        <f aca="false">IF($A27="","",SUMIFS('Daily Entry'!$D$7:$D$5000,'Daily Entry'!$B$7:$B$5000,$L27,'Daily Entry'!$A$7:$A$5000,$C$3))</f>
        <v>0</v>
      </c>
      <c r="F27" s="26" t="n">
        <f aca="false">IF($A27="","",SUMIFS('Daily Entry'!$C$7:$C$5000,'Daily Entry'!$B$7:$B$5000,$L27))</f>
        <v>596</v>
      </c>
      <c r="G27" s="26" t="n">
        <f aca="false">IF($A27="","",SUMIFS('Daily Entry'!$D$7:$D$5000,'Daily Entry'!$B$7:$B$5000,$L27))</f>
        <v>0</v>
      </c>
      <c r="H27" s="27" t="n">
        <f aca="false">IF($A27="","",$C27+$F27-$G27)</f>
        <v>1176</v>
      </c>
      <c r="I27" s="20"/>
      <c r="J27" s="28" t="str">
        <f aca="false">IF(OR($A27="",$I27="",$C$4=""),"",$H27*$I27*$C$4)</f>
        <v/>
      </c>
      <c r="L27" s="22" t="str">
        <f aca="false">IF($A27="","",$A27&amp;" - "&amp;$B27)</f>
        <v>Primus Japan - PUD KKD 300/500</v>
      </c>
      <c r="M27" s="22" t="n">
        <f aca="false">IF($A27="",0,IF(OR($D27&lt;&gt;0,$E27&lt;&gt;0),1,0))</f>
        <v>1</v>
      </c>
      <c r="N27" s="22" t="n">
        <f aca="false">IF($M27=1,SUM($M$8:$M27),"")</f>
        <v>11</v>
      </c>
    </row>
    <row r="28" customFormat="false" ht="15" hidden="false" customHeight="false" outlineLevel="0" collapsed="false">
      <c r="A28" s="15" t="s">
        <v>84</v>
      </c>
      <c r="B28" s="15" t="s">
        <v>85</v>
      </c>
      <c r="C28" s="16" t="n">
        <v>185</v>
      </c>
      <c r="D28" s="17" t="n">
        <f aca="false">IF($A28="","",SUMIFS('Daily Entry'!$C$7:$C$5000,'Daily Entry'!$B$7:$B$5000,$L28,'Daily Entry'!$A$7:$A$5000,$C$3))</f>
        <v>0</v>
      </c>
      <c r="E28" s="17" t="n">
        <f aca="false">IF($A28="","",SUMIFS('Daily Entry'!$D$7:$D$5000,'Daily Entry'!$B$7:$B$5000,$L28,'Daily Entry'!$A$7:$A$5000,$C$3))</f>
        <v>0</v>
      </c>
      <c r="F28" s="18" t="n">
        <f aca="false">IF($A28="","",SUMIFS('Daily Entry'!$C$7:$C$5000,'Daily Entry'!$B$7:$B$5000,$L28))</f>
        <v>0</v>
      </c>
      <c r="G28" s="18" t="n">
        <f aca="false">IF($A28="","",SUMIFS('Daily Entry'!$D$7:$D$5000,'Daily Entry'!$B$7:$B$5000,$L28))</f>
        <v>0</v>
      </c>
      <c r="H28" s="19" t="n">
        <f aca="false">IF($A28="","",$C28+$F28-$G28)</f>
        <v>185</v>
      </c>
      <c r="I28" s="20"/>
      <c r="J28" s="21" t="str">
        <f aca="false">IF(OR($A28="",$I28="",$C$4=""),"",$H28*$I28*$C$4)</f>
        <v/>
      </c>
      <c r="L28" s="22" t="str">
        <f aca="false">IF($A28="","",$A28&amp;" - "&amp;$B28)</f>
        <v>Primus EU - PUD 20/40</v>
      </c>
      <c r="M28" s="22" t="n">
        <f aca="false">IF($A28="",0,IF(OR($D28&lt;&gt;0,$E28&lt;&gt;0),1,0))</f>
        <v>0</v>
      </c>
      <c r="N28" s="22" t="str">
        <f aca="false">IF($M28=1,SUM($M$8:$M28),"")</f>
        <v/>
      </c>
    </row>
    <row r="29" customFormat="false" ht="15" hidden="false" customHeight="false" outlineLevel="0" collapsed="false">
      <c r="A29" s="23" t="s">
        <v>84</v>
      </c>
      <c r="B29" s="23" t="s">
        <v>86</v>
      </c>
      <c r="C29" s="24" t="n">
        <v>368</v>
      </c>
      <c r="D29" s="25" t="n">
        <f aca="false">IF($A29="","",SUMIFS('Daily Entry'!$C$7:$C$5000,'Daily Entry'!$B$7:$B$5000,$L29,'Daily Entry'!$A$7:$A$5000,$C$3))</f>
        <v>0</v>
      </c>
      <c r="E29" s="25" t="n">
        <f aca="false">IF($A29="","",SUMIFS('Daily Entry'!$D$7:$D$5000,'Daily Entry'!$B$7:$B$5000,$L29,'Daily Entry'!$A$7:$A$5000,$C$3))</f>
        <v>0</v>
      </c>
      <c r="F29" s="26" t="n">
        <f aca="false">IF($A29="","",SUMIFS('Daily Entry'!$C$7:$C$5000,'Daily Entry'!$B$7:$B$5000,$L29))</f>
        <v>0</v>
      </c>
      <c r="G29" s="26" t="n">
        <f aca="false">IF($A29="","",SUMIFS('Daily Entry'!$D$7:$D$5000,'Daily Entry'!$B$7:$B$5000,$L29))</f>
        <v>0</v>
      </c>
      <c r="H29" s="27" t="n">
        <f aca="false">IF($A29="","",$C29+$F29-$G29)</f>
        <v>368</v>
      </c>
      <c r="I29" s="20"/>
      <c r="J29" s="28" t="str">
        <f aca="false">IF(OR($A29="",$I29="",$C$4=""),"",$H29*$I29*$C$4)</f>
        <v/>
      </c>
      <c r="L29" s="22" t="str">
        <f aca="false">IF($A29="","",$A29&amp;" - "&amp;$B29)</f>
        <v>Primus EU - PUD 40/60</v>
      </c>
      <c r="M29" s="22" t="n">
        <f aca="false">IF($A29="",0,IF(OR($D29&lt;&gt;0,$E29&lt;&gt;0),1,0))</f>
        <v>0</v>
      </c>
      <c r="N29" s="22" t="str">
        <f aca="false">IF($M29=1,SUM($M$8:$M29),"")</f>
        <v/>
      </c>
    </row>
    <row r="30" customFormat="false" ht="15" hidden="false" customHeight="false" outlineLevel="0" collapsed="false">
      <c r="A30" s="15" t="s">
        <v>84</v>
      </c>
      <c r="B30" s="15" t="s">
        <v>87</v>
      </c>
      <c r="C30" s="16" t="n">
        <v>380</v>
      </c>
      <c r="D30" s="17" t="n">
        <f aca="false">IF($A30="","",SUMIFS('Daily Entry'!$C$7:$C$5000,'Daily Entry'!$B$7:$B$5000,$L30,'Daily Entry'!$A$7:$A$5000,$C$3))</f>
        <v>0</v>
      </c>
      <c r="E30" s="17" t="n">
        <f aca="false">IF($A30="","",SUMIFS('Daily Entry'!$D$7:$D$5000,'Daily Entry'!$B$7:$B$5000,$L30,'Daily Entry'!$A$7:$A$5000,$C$3))</f>
        <v>0</v>
      </c>
      <c r="F30" s="18" t="n">
        <f aca="false">IF($A30="","",SUMIFS('Daily Entry'!$C$7:$C$5000,'Daily Entry'!$B$7:$B$5000,$L30))</f>
        <v>0</v>
      </c>
      <c r="G30" s="18" t="n">
        <f aca="false">IF($A30="","",SUMIFS('Daily Entry'!$D$7:$D$5000,'Daily Entry'!$B$7:$B$5000,$L30))</f>
        <v>0</v>
      </c>
      <c r="H30" s="19" t="n">
        <f aca="false">IF($A30="","",$C30+$F30-$G30)</f>
        <v>380</v>
      </c>
      <c r="I30" s="20"/>
      <c r="J30" s="21" t="str">
        <f aca="false">IF(OR($A30="",$I30="",$C$4=""),"",$H30*$I30*$C$4)</f>
        <v/>
      </c>
      <c r="L30" s="22" t="str">
        <f aca="false">IF($A30="","",$A30&amp;" - "&amp;$B30)</f>
        <v>Primus EU - PUD 60/80</v>
      </c>
      <c r="M30" s="22" t="n">
        <f aca="false">IF($A30="",0,IF(OR($D30&lt;&gt;0,$E30&lt;&gt;0),1,0))</f>
        <v>0</v>
      </c>
      <c r="N30" s="22" t="str">
        <f aca="false">IF($M30=1,SUM($M$8:$M30),"")</f>
        <v/>
      </c>
    </row>
    <row r="31" customFormat="false" ht="15" hidden="false" customHeight="false" outlineLevel="0" collapsed="false">
      <c r="A31" s="23" t="s">
        <v>84</v>
      </c>
      <c r="B31" s="23" t="s">
        <v>88</v>
      </c>
      <c r="C31" s="24" t="n">
        <v>1151</v>
      </c>
      <c r="D31" s="25" t="n">
        <f aca="false">IF($A31="","",SUMIFS('Daily Entry'!$C$7:$C$5000,'Daily Entry'!$B$7:$B$5000,$L31,'Daily Entry'!$A$7:$A$5000,$C$3))</f>
        <v>0</v>
      </c>
      <c r="E31" s="25" t="n">
        <f aca="false">IF($A31="","",SUMIFS('Daily Entry'!$D$7:$D$5000,'Daily Entry'!$B$7:$B$5000,$L31,'Daily Entry'!$A$7:$A$5000,$C$3))</f>
        <v>0</v>
      </c>
      <c r="F31" s="26" t="n">
        <f aca="false">IF($A31="","",SUMIFS('Daily Entry'!$C$7:$C$5000,'Daily Entry'!$B$7:$B$5000,$L31))</f>
        <v>0</v>
      </c>
      <c r="G31" s="26" t="n">
        <f aca="false">IF($A31="","",SUMIFS('Daily Entry'!$D$7:$D$5000,'Daily Entry'!$B$7:$B$5000,$L31))</f>
        <v>0</v>
      </c>
      <c r="H31" s="27" t="n">
        <f aca="false">IF($A31="","",$C31+$F31-$G31)</f>
        <v>1151</v>
      </c>
      <c r="I31" s="20"/>
      <c r="J31" s="28" t="str">
        <f aca="false">IF(OR($A31="",$I31="",$C$4=""),"",$H31*$I31*$C$4)</f>
        <v/>
      </c>
      <c r="L31" s="22" t="str">
        <f aca="false">IF($A31="","",$A31&amp;" - "&amp;$B31)</f>
        <v>Primus EU - PUD 80/120</v>
      </c>
      <c r="M31" s="22" t="n">
        <f aca="false">IF($A31="",0,IF(OR($D31&lt;&gt;0,$E31&lt;&gt;0),1,0))</f>
        <v>0</v>
      </c>
      <c r="N31" s="22" t="str">
        <f aca="false">IF($M31=1,SUM($M$8:$M31),"")</f>
        <v/>
      </c>
    </row>
    <row r="32" customFormat="false" ht="15" hidden="false" customHeight="false" outlineLevel="0" collapsed="false">
      <c r="A32" s="15" t="s">
        <v>84</v>
      </c>
      <c r="B32" s="15" t="s">
        <v>89</v>
      </c>
      <c r="C32" s="16" t="n">
        <v>3797</v>
      </c>
      <c r="D32" s="17" t="n">
        <f aca="false">IF($A32="","",SUMIFS('Daily Entry'!$C$7:$C$5000,'Daily Entry'!$B$7:$B$5000,$L32,'Daily Entry'!$A$7:$A$5000,$C$3))</f>
        <v>0</v>
      </c>
      <c r="E32" s="17" t="n">
        <f aca="false">IF($A32="","",SUMIFS('Daily Entry'!$D$7:$D$5000,'Daily Entry'!$B$7:$B$5000,$L32,'Daily Entry'!$A$7:$A$5000,$C$3))</f>
        <v>0</v>
      </c>
      <c r="F32" s="18" t="n">
        <f aca="false">IF($A32="","",SUMIFS('Daily Entry'!$C$7:$C$5000,'Daily Entry'!$B$7:$B$5000,$L32))</f>
        <v>0</v>
      </c>
      <c r="G32" s="18" t="n">
        <f aca="false">IF($A32="","",SUMIFS('Daily Entry'!$D$7:$D$5000,'Daily Entry'!$B$7:$B$5000,$L32))</f>
        <v>0</v>
      </c>
      <c r="H32" s="19" t="n">
        <f aca="false">IF($A32="","",$C32+$F32-$G32)</f>
        <v>3797</v>
      </c>
      <c r="I32" s="20"/>
      <c r="J32" s="21" t="str">
        <f aca="false">IF(OR($A32="",$I32="",$C$4=""),"",$H32*$I32*$C$4)</f>
        <v/>
      </c>
      <c r="L32" s="22" t="str">
        <f aca="false">IF($A32="","",$A32&amp;" - "&amp;$B32)</f>
        <v>Primus EU - PUD 100/200</v>
      </c>
      <c r="M32" s="22" t="n">
        <f aca="false">IF($A32="",0,IF(OR($D32&lt;&gt;0,$E32&lt;&gt;0),1,0))</f>
        <v>0</v>
      </c>
      <c r="N32" s="22" t="str">
        <f aca="false">IF($M32=1,SUM($M$8:$M32),"")</f>
        <v/>
      </c>
    </row>
    <row r="33" customFormat="false" ht="15" hidden="false" customHeight="false" outlineLevel="0" collapsed="false">
      <c r="A33" s="23" t="s">
        <v>84</v>
      </c>
      <c r="B33" s="23" t="s">
        <v>90</v>
      </c>
      <c r="C33" s="24" t="n">
        <v>4118</v>
      </c>
      <c r="D33" s="25" t="n">
        <f aca="false">IF($A33="","",SUMIFS('Daily Entry'!$C$7:$C$5000,'Daily Entry'!$B$7:$B$5000,$L33,'Daily Entry'!$A$7:$A$5000,$C$3))</f>
        <v>0</v>
      </c>
      <c r="E33" s="25" t="n">
        <f aca="false">IF($A33="","",SUMIFS('Daily Entry'!$D$7:$D$5000,'Daily Entry'!$B$7:$B$5000,$L33,'Daily Entry'!$A$7:$A$5000,$C$3))</f>
        <v>0</v>
      </c>
      <c r="F33" s="26" t="n">
        <f aca="false">IF($A33="","",SUMIFS('Daily Entry'!$C$7:$C$5000,'Daily Entry'!$B$7:$B$5000,$L33))</f>
        <v>0</v>
      </c>
      <c r="G33" s="26" t="n">
        <f aca="false">IF($A33="","",SUMIFS('Daily Entry'!$D$7:$D$5000,'Daily Entry'!$B$7:$B$5000,$L33))</f>
        <v>0</v>
      </c>
      <c r="H33" s="27" t="n">
        <f aca="false">IF($A33="","",$C33+$F33-$G33)</f>
        <v>4118</v>
      </c>
      <c r="I33" s="20"/>
      <c r="J33" s="28" t="str">
        <f aca="false">IF(OR($A33="",$I33="",$C$4=""),"",$H33*$I33*$C$4)</f>
        <v/>
      </c>
      <c r="L33" s="22" t="str">
        <f aca="false">IF($A33="","",$A33&amp;" - "&amp;$B33)</f>
        <v>Primus EU - PUD 200/300</v>
      </c>
      <c r="M33" s="22" t="n">
        <f aca="false">IF($A33="",0,IF(OR($D33&lt;&gt;0,$E33&lt;&gt;0),1,0))</f>
        <v>0</v>
      </c>
      <c r="N33" s="22" t="str">
        <f aca="false">IF($M33=1,SUM($M$8:$M33),"")</f>
        <v/>
      </c>
    </row>
    <row r="34" customFormat="false" ht="15" hidden="false" customHeight="false" outlineLevel="0" collapsed="false">
      <c r="A34" s="15" t="s">
        <v>84</v>
      </c>
      <c r="B34" s="15" t="s">
        <v>91</v>
      </c>
      <c r="C34" s="16" t="n">
        <v>1490</v>
      </c>
      <c r="D34" s="17" t="n">
        <f aca="false">IF($A34="","",SUMIFS('Daily Entry'!$C$7:$C$5000,'Daily Entry'!$B$7:$B$5000,$L34,'Daily Entry'!$A$7:$A$5000,$C$3))</f>
        <v>0</v>
      </c>
      <c r="E34" s="17" t="n">
        <f aca="false">IF($A34="","",SUMIFS('Daily Entry'!$D$7:$D$5000,'Daily Entry'!$B$7:$B$5000,$L34,'Daily Entry'!$A$7:$A$5000,$C$3))</f>
        <v>0</v>
      </c>
      <c r="F34" s="18" t="n">
        <f aca="false">IF($A34="","",SUMIFS('Daily Entry'!$C$7:$C$5000,'Daily Entry'!$B$7:$B$5000,$L34))</f>
        <v>0</v>
      </c>
      <c r="G34" s="18" t="n">
        <f aca="false">IF($A34="","",SUMIFS('Daily Entry'!$D$7:$D$5000,'Daily Entry'!$B$7:$B$5000,$L34))</f>
        <v>0</v>
      </c>
      <c r="H34" s="19" t="n">
        <f aca="false">IF($A34="","",$C34+$F34-$G34)</f>
        <v>1490</v>
      </c>
      <c r="I34" s="20"/>
      <c r="J34" s="21" t="str">
        <f aca="false">IF(OR($A34="",$I34="",$C$4=""),"",$H34*$I34*$C$4)</f>
        <v/>
      </c>
      <c r="L34" s="22" t="str">
        <f aca="false">IF($A34="","",$A34&amp;" - "&amp;$B34)</f>
        <v>Primus EU - PUD 300/500</v>
      </c>
      <c r="M34" s="22" t="n">
        <f aca="false">IF($A34="",0,IF(OR($D34&lt;&gt;0,$E34&lt;&gt;0),1,0))</f>
        <v>0</v>
      </c>
      <c r="N34" s="22" t="str">
        <f aca="false">IF($M34=1,SUM($M$8:$M34),"")</f>
        <v/>
      </c>
    </row>
    <row r="35" customFormat="false" ht="15" hidden="false" customHeight="false" outlineLevel="0" collapsed="false">
      <c r="A35" s="23" t="s">
        <v>84</v>
      </c>
      <c r="B35" s="23" t="s">
        <v>92</v>
      </c>
      <c r="C35" s="24" t="n">
        <v>15130</v>
      </c>
      <c r="D35" s="25" t="n">
        <f aca="false">IF($A35="","",SUMIFS('Daily Entry'!$C$7:$C$5000,'Daily Entry'!$B$7:$B$5000,$L35,'Daily Entry'!$A$7:$A$5000,$C$3))</f>
        <v>52</v>
      </c>
      <c r="E35" s="25" t="n">
        <f aca="false">IF($A35="","",SUMIFS('Daily Entry'!$D$7:$D$5000,'Daily Entry'!$B$7:$B$5000,$L35,'Daily Entry'!$A$7:$A$5000,$C$3))</f>
        <v>0</v>
      </c>
      <c r="F35" s="26" t="n">
        <f aca="false">IF($A35="","",SUMIFS('Daily Entry'!$C$7:$C$5000,'Daily Entry'!$B$7:$B$5000,$L35))</f>
        <v>52</v>
      </c>
      <c r="G35" s="26" t="n">
        <f aca="false">IF($A35="","",SUMIFS('Daily Entry'!$D$7:$D$5000,'Daily Entry'!$B$7:$B$5000,$L35))</f>
        <v>0</v>
      </c>
      <c r="H35" s="27" t="n">
        <f aca="false">IF($A35="","",$C35+$F35-$G35)</f>
        <v>15182</v>
      </c>
      <c r="I35" s="20"/>
      <c r="J35" s="28" t="str">
        <f aca="false">IF(OR($A35="",$I35="",$C$4=""),"",$H35*$I35*$C$4)</f>
        <v/>
      </c>
      <c r="L35" s="22" t="str">
        <f aca="false">IF($A35="","",$A35&amp;" - "&amp;$B35)</f>
        <v>Primus EU - BKN</v>
      </c>
      <c r="M35" s="22" t="n">
        <f aca="false">IF($A35="",0,IF(OR($D35&lt;&gt;0,$E35&lt;&gt;0),1,0))</f>
        <v>1</v>
      </c>
      <c r="N35" s="22" t="n">
        <f aca="false">IF($M35=1,SUM($M$8:$M35),"")</f>
        <v>12</v>
      </c>
    </row>
    <row r="36" customFormat="false" ht="15" hidden="false" customHeight="false" outlineLevel="0" collapsed="false">
      <c r="A36" s="15" t="s">
        <v>93</v>
      </c>
      <c r="B36" s="15" t="s">
        <v>67</v>
      </c>
      <c r="C36" s="16" t="n">
        <v>0</v>
      </c>
      <c r="D36" s="17" t="n">
        <f aca="false">IF($A36="","",SUMIFS('Daily Entry'!$C$7:$C$5000,'Daily Entry'!$B$7:$B$5000,$L36,'Daily Entry'!$A$7:$A$5000,$C$3))</f>
        <v>0</v>
      </c>
      <c r="E36" s="17" t="n">
        <f aca="false">IF($A36="","",SUMIFS('Daily Entry'!$D$7:$D$5000,'Daily Entry'!$B$7:$B$5000,$L36,'Daily Entry'!$A$7:$A$5000,$C$3))</f>
        <v>0</v>
      </c>
      <c r="F36" s="18" t="n">
        <f aca="false">IF($A36="","",SUMIFS('Daily Entry'!$C$7:$C$5000,'Daily Entry'!$B$7:$B$5000,$L36))</f>
        <v>0</v>
      </c>
      <c r="G36" s="18" t="n">
        <f aca="false">IF($A36="","",SUMIFS('Daily Entry'!$D$7:$D$5000,'Daily Entry'!$B$7:$B$5000,$L36))</f>
        <v>0</v>
      </c>
      <c r="H36" s="19" t="n">
        <f aca="false">IF($A36="","",$C36+$F36-$G36)</f>
        <v>0</v>
      </c>
      <c r="I36" s="20"/>
      <c r="J36" s="21" t="str">
        <f aca="false">IF(OR($A36="",$I36="",$C$4=""),"",$H36*$I36*$C$4)</f>
        <v/>
      </c>
      <c r="L36" s="22" t="str">
        <f aca="false">IF($A36="","",$A36&amp;" - "&amp;$B36)</f>
        <v>AMF Brand - PD PVN 100/200</v>
      </c>
      <c r="M36" s="22" t="n">
        <f aca="false">IF($A36="",0,IF(OR($D36&lt;&gt;0,$E36&lt;&gt;0),1,0))</f>
        <v>0</v>
      </c>
      <c r="N36" s="22" t="str">
        <f aca="false">IF($M36=1,SUM($M$8:$M36),"")</f>
        <v/>
      </c>
    </row>
    <row r="37" customFormat="false" ht="15" hidden="false" customHeight="false" outlineLevel="0" collapsed="false">
      <c r="A37" s="23" t="s">
        <v>93</v>
      </c>
      <c r="B37" s="23" t="s">
        <v>68</v>
      </c>
      <c r="C37" s="24" t="n">
        <v>0</v>
      </c>
      <c r="D37" s="25" t="n">
        <f aca="false">IF($A37="","",SUMIFS('Daily Entry'!$C$7:$C$5000,'Daily Entry'!$B$7:$B$5000,$L37,'Daily Entry'!$A$7:$A$5000,$C$3))</f>
        <v>0</v>
      </c>
      <c r="E37" s="25" t="n">
        <f aca="false">IF($A37="","",SUMIFS('Daily Entry'!$D$7:$D$5000,'Daily Entry'!$B$7:$B$5000,$L37,'Daily Entry'!$A$7:$A$5000,$C$3))</f>
        <v>0</v>
      </c>
      <c r="F37" s="26" t="n">
        <f aca="false">IF($A37="","",SUMIFS('Daily Entry'!$C$7:$C$5000,'Daily Entry'!$B$7:$B$5000,$L37))</f>
        <v>0</v>
      </c>
      <c r="G37" s="26" t="n">
        <f aca="false">IF($A37="","",SUMIFS('Daily Entry'!$D$7:$D$5000,'Daily Entry'!$B$7:$B$5000,$L37))</f>
        <v>0</v>
      </c>
      <c r="H37" s="27" t="n">
        <f aca="false">IF($A37="","",$C37+$F37-$G37)</f>
        <v>0</v>
      </c>
      <c r="I37" s="20"/>
      <c r="J37" s="28" t="str">
        <f aca="false">IF(OR($A37="",$I37="",$C$4=""),"",$H37*$I37*$C$4)</f>
        <v/>
      </c>
      <c r="L37" s="22" t="str">
        <f aca="false">IF($A37="","",$A37&amp;" - "&amp;$B37)</f>
        <v>AMF Brand - PD KKD 100/200</v>
      </c>
      <c r="M37" s="22" t="n">
        <f aca="false">IF($A37="",0,IF(OR($D37&lt;&gt;0,$E37&lt;&gt;0),1,0))</f>
        <v>0</v>
      </c>
      <c r="N37" s="22" t="str">
        <f aca="false">IF($M37=1,SUM($M$8:$M37),"")</f>
        <v/>
      </c>
    </row>
    <row r="38" customFormat="false" ht="15" hidden="false" customHeight="false" outlineLevel="0" collapsed="false">
      <c r="A38" s="15" t="s">
        <v>93</v>
      </c>
      <c r="B38" s="15" t="s">
        <v>69</v>
      </c>
      <c r="C38" s="16" t="n">
        <v>1516</v>
      </c>
      <c r="D38" s="17" t="n">
        <f aca="false">IF($A38="","",SUMIFS('Daily Entry'!$C$7:$C$5000,'Daily Entry'!$B$7:$B$5000,$L38,'Daily Entry'!$A$7:$A$5000,$C$3))</f>
        <v>0</v>
      </c>
      <c r="E38" s="17" t="n">
        <f aca="false">IF($A38="","",SUMIFS('Daily Entry'!$D$7:$D$5000,'Daily Entry'!$B$7:$B$5000,$L38,'Daily Entry'!$A$7:$A$5000,$C$3))</f>
        <v>0</v>
      </c>
      <c r="F38" s="18" t="n">
        <f aca="false">IF($A38="","",SUMIFS('Daily Entry'!$C$7:$C$5000,'Daily Entry'!$B$7:$B$5000,$L38))</f>
        <v>0</v>
      </c>
      <c r="G38" s="18" t="n">
        <f aca="false">IF($A38="","",SUMIFS('Daily Entry'!$D$7:$D$5000,'Daily Entry'!$B$7:$B$5000,$L38))</f>
        <v>0</v>
      </c>
      <c r="H38" s="19" t="n">
        <f aca="false">IF($A38="","",$C38+$F38-$G38)</f>
        <v>1516</v>
      </c>
      <c r="I38" s="20"/>
      <c r="J38" s="21" t="str">
        <f aca="false">IF(OR($A38="",$I38="",$C$4=""),"",$H38*$I38*$C$4)</f>
        <v/>
      </c>
      <c r="L38" s="22" t="str">
        <f aca="false">IF($A38="","",$A38&amp;" - "&amp;$B38)</f>
        <v>AMF Brand - PUD PVN 200/300</v>
      </c>
      <c r="M38" s="22" t="n">
        <f aca="false">IF($A38="",0,IF(OR($D38&lt;&gt;0,$E38&lt;&gt;0),1,0))</f>
        <v>0</v>
      </c>
      <c r="N38" s="22" t="str">
        <f aca="false">IF($M38=1,SUM($M$8:$M38),"")</f>
        <v/>
      </c>
    </row>
    <row r="39" customFormat="false" ht="15" hidden="false" customHeight="false" outlineLevel="0" collapsed="false">
      <c r="A39" s="23" t="s">
        <v>93</v>
      </c>
      <c r="B39" s="23" t="s">
        <v>70</v>
      </c>
      <c r="C39" s="24" t="n">
        <v>0</v>
      </c>
      <c r="D39" s="25" t="n">
        <f aca="false">IF($A39="","",SUMIFS('Daily Entry'!$C$7:$C$5000,'Daily Entry'!$B$7:$B$5000,$L39,'Daily Entry'!$A$7:$A$5000,$C$3))</f>
        <v>0</v>
      </c>
      <c r="E39" s="25" t="n">
        <f aca="false">IF($A39="","",SUMIFS('Daily Entry'!$D$7:$D$5000,'Daily Entry'!$B$7:$B$5000,$L39,'Daily Entry'!$A$7:$A$5000,$C$3))</f>
        <v>0</v>
      </c>
      <c r="F39" s="26" t="n">
        <f aca="false">IF($A39="","",SUMIFS('Daily Entry'!$C$7:$C$5000,'Daily Entry'!$B$7:$B$5000,$L39))</f>
        <v>0</v>
      </c>
      <c r="G39" s="26" t="n">
        <f aca="false">IF($A39="","",SUMIFS('Daily Entry'!$D$7:$D$5000,'Daily Entry'!$B$7:$B$5000,$L39))</f>
        <v>0</v>
      </c>
      <c r="H39" s="27" t="n">
        <f aca="false">IF($A39="","",$C39+$F39-$G39)</f>
        <v>0</v>
      </c>
      <c r="I39" s="20"/>
      <c r="J39" s="28" t="str">
        <f aca="false">IF(OR($A39="",$I39="",$C$4=""),"",$H39*$I39*$C$4)</f>
        <v/>
      </c>
      <c r="L39" s="22" t="str">
        <f aca="false">IF($A39="","",$A39&amp;" - "&amp;$B39)</f>
        <v>AMF Brand - PUD KKD 200/300</v>
      </c>
      <c r="M39" s="22" t="n">
        <f aca="false">IF($A39="",0,IF(OR($D39&lt;&gt;0,$E39&lt;&gt;0),1,0))</f>
        <v>0</v>
      </c>
      <c r="N39" s="22" t="str">
        <f aca="false">IF($M39=1,SUM($M$8:$M39),"")</f>
        <v/>
      </c>
    </row>
    <row r="40" customFormat="false" ht="15" hidden="false" customHeight="false" outlineLevel="0" collapsed="false">
      <c r="A40" s="15" t="s">
        <v>93</v>
      </c>
      <c r="B40" s="15" t="s">
        <v>71</v>
      </c>
      <c r="C40" s="16" t="n">
        <v>18</v>
      </c>
      <c r="D40" s="17" t="n">
        <f aca="false">IF($A40="","",SUMIFS('Daily Entry'!$C$7:$C$5000,'Daily Entry'!$B$7:$B$5000,$L40,'Daily Entry'!$A$7:$A$5000,$C$3))</f>
        <v>0</v>
      </c>
      <c r="E40" s="17" t="n">
        <f aca="false">IF($A40="","",SUMIFS('Daily Entry'!$D$7:$D$5000,'Daily Entry'!$B$7:$B$5000,$L40,'Daily Entry'!$A$7:$A$5000,$C$3))</f>
        <v>0</v>
      </c>
      <c r="F40" s="18" t="n">
        <f aca="false">IF($A40="","",SUMIFS('Daily Entry'!$C$7:$C$5000,'Daily Entry'!$B$7:$B$5000,$L40))</f>
        <v>0</v>
      </c>
      <c r="G40" s="18" t="n">
        <f aca="false">IF($A40="","",SUMIFS('Daily Entry'!$D$7:$D$5000,'Daily Entry'!$B$7:$B$5000,$L40))</f>
        <v>0</v>
      </c>
      <c r="H40" s="19" t="n">
        <f aca="false">IF($A40="","",$C40+$F40-$G40)</f>
        <v>18</v>
      </c>
      <c r="I40" s="20"/>
      <c r="J40" s="21" t="str">
        <f aca="false">IF(OR($A40="",$I40="",$C$4=""),"",$H40*$I40*$C$4)</f>
        <v/>
      </c>
      <c r="L40" s="22" t="str">
        <f aca="false">IF($A40="","",$A40&amp;" - "&amp;$B40)</f>
        <v>AMF Brand - PUD PVN 300/500</v>
      </c>
      <c r="M40" s="22" t="n">
        <f aca="false">IF($A40="",0,IF(OR($D40&lt;&gt;0,$E40&lt;&gt;0),1,0))</f>
        <v>0</v>
      </c>
      <c r="N40" s="22" t="str">
        <f aca="false">IF($M40=1,SUM($M$8:$M40),"")</f>
        <v/>
      </c>
    </row>
    <row r="41" customFormat="false" ht="15" hidden="false" customHeight="false" outlineLevel="0" collapsed="false">
      <c r="A41" s="23" t="s">
        <v>93</v>
      </c>
      <c r="B41" s="23" t="s">
        <v>72</v>
      </c>
      <c r="C41" s="24" t="n">
        <v>0</v>
      </c>
      <c r="D41" s="25" t="n">
        <f aca="false">IF($A41="","",SUMIFS('Daily Entry'!$C$7:$C$5000,'Daily Entry'!$B$7:$B$5000,$L41,'Daily Entry'!$A$7:$A$5000,$C$3))</f>
        <v>0</v>
      </c>
      <c r="E41" s="25" t="n">
        <f aca="false">IF($A41="","",SUMIFS('Daily Entry'!$D$7:$D$5000,'Daily Entry'!$B$7:$B$5000,$L41,'Daily Entry'!$A$7:$A$5000,$C$3))</f>
        <v>0</v>
      </c>
      <c r="F41" s="26" t="n">
        <f aca="false">IF($A41="","",SUMIFS('Daily Entry'!$C$7:$C$5000,'Daily Entry'!$B$7:$B$5000,$L41))</f>
        <v>0</v>
      </c>
      <c r="G41" s="26" t="n">
        <f aca="false">IF($A41="","",SUMIFS('Daily Entry'!$D$7:$D$5000,'Daily Entry'!$B$7:$B$5000,$L41))</f>
        <v>0</v>
      </c>
      <c r="H41" s="27" t="n">
        <f aca="false">IF($A41="","",$C41+$F41-$G41)</f>
        <v>0</v>
      </c>
      <c r="I41" s="20"/>
      <c r="J41" s="28" t="str">
        <f aca="false">IF(OR($A41="",$I41="",$C$4=""),"",$H41*$I41*$C$4)</f>
        <v/>
      </c>
      <c r="L41" s="22" t="str">
        <f aca="false">IF($A41="","",$A41&amp;" - "&amp;$B41)</f>
        <v>AMF Brand - PUD KKD 300/500</v>
      </c>
      <c r="M41" s="22" t="n">
        <f aca="false">IF($A41="",0,IF(OR($D41&lt;&gt;0,$E41&lt;&gt;0),1,0))</f>
        <v>0</v>
      </c>
      <c r="N41" s="22" t="str">
        <f aca="false">IF($M41=1,SUM($M$8:$M41),"")</f>
        <v/>
      </c>
    </row>
    <row r="42" customFormat="false" ht="15" hidden="false" customHeight="false" outlineLevel="0" collapsed="false">
      <c r="A42" s="15" t="s">
        <v>94</v>
      </c>
      <c r="B42" s="15" t="s">
        <v>77</v>
      </c>
      <c r="C42" s="16" t="n">
        <v>1389</v>
      </c>
      <c r="D42" s="17" t="n">
        <f aca="false">IF($A42="","",SUMIFS('Daily Entry'!$C$7:$C$5000,'Daily Entry'!$B$7:$B$5000,$L42,'Daily Entry'!$A$7:$A$5000,$C$3))</f>
        <v>1872</v>
      </c>
      <c r="E42" s="17" t="n">
        <f aca="false">IF($A42="","",SUMIFS('Daily Entry'!$D$7:$D$5000,'Daily Entry'!$B$7:$B$5000,$L42,'Daily Entry'!$A$7:$A$5000,$C$3))</f>
        <v>0</v>
      </c>
      <c r="F42" s="18" t="n">
        <f aca="false">IF($A42="","",SUMIFS('Daily Entry'!$C$7:$C$5000,'Daily Entry'!$B$7:$B$5000,$L42))</f>
        <v>1872</v>
      </c>
      <c r="G42" s="18" t="n">
        <f aca="false">IF($A42="","",SUMIFS('Daily Entry'!$D$7:$D$5000,'Daily Entry'!$B$7:$B$5000,$L42))</f>
        <v>0</v>
      </c>
      <c r="H42" s="19" t="n">
        <f aca="false">IF($A42="","",$C42+$F42-$G42)</f>
        <v>3261</v>
      </c>
      <c r="I42" s="20"/>
      <c r="J42" s="21" t="str">
        <f aca="false">IF(OR($A42="",$I42="",$C$4=""),"",$H42*$I42*$C$4)</f>
        <v/>
      </c>
      <c r="L42" s="22" t="str">
        <f aca="false">IF($A42="","",$A42&amp;" - "&amp;$B42)</f>
        <v>THT Brand - PUD PVN 80/120</v>
      </c>
      <c r="M42" s="22" t="n">
        <f aca="false">IF($A42="",0,IF(OR($D42&lt;&gt;0,$E42&lt;&gt;0),1,0))</f>
        <v>1</v>
      </c>
      <c r="N42" s="22" t="n">
        <f aca="false">IF($M42=1,SUM($M$8:$M42),"")</f>
        <v>13</v>
      </c>
    </row>
    <row r="43" customFormat="false" ht="15" hidden="false" customHeight="false" outlineLevel="0" collapsed="false">
      <c r="A43" s="23" t="s">
        <v>94</v>
      </c>
      <c r="B43" s="23" t="s">
        <v>80</v>
      </c>
      <c r="C43" s="24" t="n">
        <v>7055</v>
      </c>
      <c r="D43" s="25" t="n">
        <f aca="false">IF($A43="","",SUMIFS('Daily Entry'!$C$7:$C$5000,'Daily Entry'!$B$7:$B$5000,$L43,'Daily Entry'!$A$7:$A$5000,$C$3))</f>
        <v>600</v>
      </c>
      <c r="E43" s="25" t="n">
        <f aca="false">IF($A43="","",SUMIFS('Daily Entry'!$D$7:$D$5000,'Daily Entry'!$B$7:$B$5000,$L43,'Daily Entry'!$A$7:$A$5000,$C$3))</f>
        <v>0</v>
      </c>
      <c r="F43" s="26" t="n">
        <f aca="false">IF($A43="","",SUMIFS('Daily Entry'!$C$7:$C$5000,'Daily Entry'!$B$7:$B$5000,$L43))</f>
        <v>600</v>
      </c>
      <c r="G43" s="26" t="n">
        <f aca="false">IF($A43="","",SUMIFS('Daily Entry'!$D$7:$D$5000,'Daily Entry'!$B$7:$B$5000,$L43))</f>
        <v>0</v>
      </c>
      <c r="H43" s="27" t="n">
        <f aca="false">IF($A43="","",$C43+$F43-$G43)</f>
        <v>7655</v>
      </c>
      <c r="I43" s="20"/>
      <c r="J43" s="28" t="str">
        <f aca="false">IF(OR($A43="",$I43="",$C$4=""),"",$H43*$I43*$C$4)</f>
        <v/>
      </c>
      <c r="L43" s="22" t="str">
        <f aca="false">IF($A43="","",$A43&amp;" - "&amp;$B43)</f>
        <v>THT Brand - PUD PVN 100/200</v>
      </c>
      <c r="M43" s="22" t="n">
        <f aca="false">IF($A43="",0,IF(OR($D43&lt;&gt;0,$E43&lt;&gt;0),1,0))</f>
        <v>1</v>
      </c>
      <c r="N43" s="22" t="n">
        <f aca="false">IF($M43=1,SUM($M$8:$M43),"")</f>
        <v>14</v>
      </c>
    </row>
    <row r="44" customFormat="false" ht="15" hidden="false" customHeight="false" outlineLevel="0" collapsed="false">
      <c r="A44" s="15" t="s">
        <v>94</v>
      </c>
      <c r="B44" s="15" t="s">
        <v>69</v>
      </c>
      <c r="C44" s="16" t="n">
        <v>4682</v>
      </c>
      <c r="D44" s="17" t="n">
        <f aca="false">IF($A44="","",SUMIFS('Daily Entry'!$C$7:$C$5000,'Daily Entry'!$B$7:$B$5000,$L44,'Daily Entry'!$A$7:$A$5000,$C$3))</f>
        <v>0</v>
      </c>
      <c r="E44" s="17" t="n">
        <f aca="false">IF($A44="","",SUMIFS('Daily Entry'!$D$7:$D$5000,'Daily Entry'!$B$7:$B$5000,$L44,'Daily Entry'!$A$7:$A$5000,$C$3))</f>
        <v>0</v>
      </c>
      <c r="F44" s="18" t="n">
        <f aca="false">IF($A44="","",SUMIFS('Daily Entry'!$C$7:$C$5000,'Daily Entry'!$B$7:$B$5000,$L44))</f>
        <v>0</v>
      </c>
      <c r="G44" s="18" t="n">
        <f aca="false">IF($A44="","",SUMIFS('Daily Entry'!$D$7:$D$5000,'Daily Entry'!$B$7:$B$5000,$L44))</f>
        <v>0</v>
      </c>
      <c r="H44" s="19" t="n">
        <f aca="false">IF($A44="","",$C44+$F44-$G44)</f>
        <v>4682</v>
      </c>
      <c r="I44" s="20"/>
      <c r="J44" s="21" t="str">
        <f aca="false">IF(OR($A44="",$I44="",$C$4=""),"",$H44*$I44*$C$4)</f>
        <v/>
      </c>
      <c r="L44" s="22" t="str">
        <f aca="false">IF($A44="","",$A44&amp;" - "&amp;$B44)</f>
        <v>THT Brand - PUD PVN 200/300</v>
      </c>
      <c r="M44" s="22" t="n">
        <f aca="false">IF($A44="",0,IF(OR($D44&lt;&gt;0,$E44&lt;&gt;0),1,0))</f>
        <v>0</v>
      </c>
      <c r="N44" s="22" t="str">
        <f aca="false">IF($M44=1,SUM($M$8:$M44),"")</f>
        <v/>
      </c>
    </row>
    <row r="45" customFormat="false" ht="15" hidden="false" customHeight="false" outlineLevel="0" collapsed="false">
      <c r="A45" s="23" t="s">
        <v>95</v>
      </c>
      <c r="B45" s="23" t="s">
        <v>96</v>
      </c>
      <c r="C45" s="24" t="n">
        <v>670</v>
      </c>
      <c r="D45" s="25" t="n">
        <f aca="false">IF($A45="","",SUMIFS('Daily Entry'!$C$7:$C$5000,'Daily Entry'!$B$7:$B$5000,$L45,'Daily Entry'!$A$7:$A$5000,$C$3))</f>
        <v>0</v>
      </c>
      <c r="E45" s="25" t="n">
        <f aca="false">IF($A45="","",SUMIFS('Daily Entry'!$D$7:$D$5000,'Daily Entry'!$B$7:$B$5000,$L45,'Daily Entry'!$A$7:$A$5000,$C$3))</f>
        <v>0</v>
      </c>
      <c r="F45" s="26" t="n">
        <f aca="false">IF($A45="","",SUMIFS('Daily Entry'!$C$7:$C$5000,'Daily Entry'!$B$7:$B$5000,$L45))</f>
        <v>0</v>
      </c>
      <c r="G45" s="26" t="n">
        <f aca="false">IF($A45="","",SUMIFS('Daily Entry'!$D$7:$D$5000,'Daily Entry'!$B$7:$B$5000,$L45))</f>
        <v>0</v>
      </c>
      <c r="H45" s="27" t="n">
        <f aca="false">IF($A45="","",$C45+$F45-$G45)</f>
        <v>670</v>
      </c>
      <c r="I45" s="20"/>
      <c r="J45" s="28" t="str">
        <f aca="false">IF(OR($A45="",$I45="",$C$4=""),"",$H45*$I45*$C$4)</f>
        <v/>
      </c>
      <c r="L45" s="22" t="str">
        <f aca="false">IF($A45="","",$A45&amp;" - "&amp;$B45)</f>
        <v>Deepsea - 300/500</v>
      </c>
      <c r="M45" s="22" t="n">
        <f aca="false">IF($A45="",0,IF(OR($D45&lt;&gt;0,$E45&lt;&gt;0),1,0))</f>
        <v>0</v>
      </c>
      <c r="N45" s="22" t="str">
        <f aca="false">IF($M45=1,SUM($M$8:$M45),"")</f>
        <v/>
      </c>
    </row>
    <row r="46" customFormat="false" ht="15" hidden="false" customHeight="false" outlineLevel="0" collapsed="false">
      <c r="A46" s="15" t="s">
        <v>97</v>
      </c>
      <c r="B46" s="15" t="s">
        <v>71</v>
      </c>
      <c r="C46" s="16" t="n">
        <v>451</v>
      </c>
      <c r="D46" s="17" t="n">
        <f aca="false">IF($A46="","",SUMIFS('Daily Entry'!$C$7:$C$5000,'Daily Entry'!$B$7:$B$5000,$L46,'Daily Entry'!$A$7:$A$5000,$C$3))</f>
        <v>0</v>
      </c>
      <c r="E46" s="17" t="n">
        <f aca="false">IF($A46="","",SUMIFS('Daily Entry'!$D$7:$D$5000,'Daily Entry'!$B$7:$B$5000,$L46,'Daily Entry'!$A$7:$A$5000,$C$3))</f>
        <v>0</v>
      </c>
      <c r="F46" s="18" t="n">
        <f aca="false">IF($A46="","",SUMIFS('Daily Entry'!$C$7:$C$5000,'Daily Entry'!$B$7:$B$5000,$L46))</f>
        <v>0</v>
      </c>
      <c r="G46" s="18" t="n">
        <f aca="false">IF($A46="","",SUMIFS('Daily Entry'!$D$7:$D$5000,'Daily Entry'!$B$7:$B$5000,$L46))</f>
        <v>0</v>
      </c>
      <c r="H46" s="19" t="n">
        <f aca="false">IF($A46="","",$C46+$F46-$G46)</f>
        <v>451</v>
      </c>
      <c r="I46" s="20"/>
      <c r="J46" s="21" t="str">
        <f aca="false">IF(OR($A46="",$I46="",$C$4=""),"",$H46*$I46*$C$4)</f>
        <v/>
      </c>
      <c r="L46" s="22" t="str">
        <f aca="false">IF($A46="","",$A46&amp;" - "&amp;$B46)</f>
        <v>China - PUD PVN 300/500</v>
      </c>
      <c r="M46" s="22" t="n">
        <f aca="false">IF($A46="",0,IF(OR($D46&lt;&gt;0,$E46&lt;&gt;0),1,0))</f>
        <v>0</v>
      </c>
      <c r="N46" s="22" t="str">
        <f aca="false">IF($M46=1,SUM($M$8:$M46),"")</f>
        <v/>
      </c>
    </row>
    <row r="47" customFormat="false" ht="15" hidden="false" customHeight="false" outlineLevel="0" collapsed="false">
      <c r="A47" s="23" t="s">
        <v>97</v>
      </c>
      <c r="B47" s="23" t="s">
        <v>72</v>
      </c>
      <c r="C47" s="24" t="n">
        <v>188</v>
      </c>
      <c r="D47" s="25" t="n">
        <f aca="false">IF($A47="","",SUMIFS('Daily Entry'!$C$7:$C$5000,'Daily Entry'!$B$7:$B$5000,$L47,'Daily Entry'!$A$7:$A$5000,$C$3))</f>
        <v>0</v>
      </c>
      <c r="E47" s="25" t="n">
        <f aca="false">IF($A47="","",SUMIFS('Daily Entry'!$D$7:$D$5000,'Daily Entry'!$B$7:$B$5000,$L47,'Daily Entry'!$A$7:$A$5000,$C$3))</f>
        <v>0</v>
      </c>
      <c r="F47" s="26" t="n">
        <f aca="false">IF($A47="","",SUMIFS('Daily Entry'!$C$7:$C$5000,'Daily Entry'!$B$7:$B$5000,$L47))</f>
        <v>0</v>
      </c>
      <c r="G47" s="26" t="n">
        <f aca="false">IF($A47="","",SUMIFS('Daily Entry'!$D$7:$D$5000,'Daily Entry'!$B$7:$B$5000,$L47))</f>
        <v>0</v>
      </c>
      <c r="H47" s="27" t="n">
        <f aca="false">IF($A47="","",$C47+$F47-$G47)</f>
        <v>188</v>
      </c>
      <c r="I47" s="20"/>
      <c r="J47" s="28" t="str">
        <f aca="false">IF(OR($A47="",$I47="",$C$4=""),"",$H47*$I47*$C$4)</f>
        <v/>
      </c>
      <c r="L47" s="22" t="str">
        <f aca="false">IF($A47="","",$A47&amp;" - "&amp;$B47)</f>
        <v>China - PUD KKD 300/500</v>
      </c>
      <c r="M47" s="22" t="n">
        <f aca="false">IF($A47="",0,IF(OR($D47&lt;&gt;0,$E47&lt;&gt;0),1,0))</f>
        <v>0</v>
      </c>
      <c r="N47" s="22" t="str">
        <f aca="false">IF($M47=1,SUM($M$8:$M47),"")</f>
        <v/>
      </c>
    </row>
    <row r="48" customFormat="false" ht="15" hidden="false" customHeight="false" outlineLevel="0" collapsed="false">
      <c r="A48" s="15" t="s">
        <v>97</v>
      </c>
      <c r="B48" s="15" t="s">
        <v>98</v>
      </c>
      <c r="C48" s="16" t="n">
        <v>401</v>
      </c>
      <c r="D48" s="17" t="n">
        <f aca="false">IF($A48="","",SUMIFS('Daily Entry'!$C$7:$C$5000,'Daily Entry'!$B$7:$B$5000,$L48,'Daily Entry'!$A$7:$A$5000,$C$3))</f>
        <v>0</v>
      </c>
      <c r="E48" s="17" t="n">
        <f aca="false">IF($A48="","",SUMIFS('Daily Entry'!$D$7:$D$5000,'Daily Entry'!$B$7:$B$5000,$L48,'Daily Entry'!$A$7:$A$5000,$C$3))</f>
        <v>0</v>
      </c>
      <c r="F48" s="18" t="n">
        <f aca="false">IF($A48="","",SUMIFS('Daily Entry'!$C$7:$C$5000,'Daily Entry'!$B$7:$B$5000,$L48))</f>
        <v>0</v>
      </c>
      <c r="G48" s="18" t="n">
        <f aca="false">IF($A48="","",SUMIFS('Daily Entry'!$D$7:$D$5000,'Daily Entry'!$B$7:$B$5000,$L48))</f>
        <v>0</v>
      </c>
      <c r="H48" s="19" t="n">
        <f aca="false">IF($A48="","",$C48+$F48-$G48)</f>
        <v>401</v>
      </c>
      <c r="I48" s="20"/>
      <c r="J48" s="21" t="str">
        <f aca="false">IF(OR($A48="",$I48="",$C$4=""),"",$H48*$I48*$C$4)</f>
        <v/>
      </c>
      <c r="L48" s="22" t="str">
        <f aca="false">IF($A48="","",$A48&amp;" - "&amp;$B48)</f>
        <v>China - PUD PVN 500/800</v>
      </c>
      <c r="M48" s="22" t="n">
        <f aca="false">IF($A48="",0,IF(OR($D48&lt;&gt;0,$E48&lt;&gt;0),1,0))</f>
        <v>0</v>
      </c>
      <c r="N48" s="22" t="str">
        <f aca="false">IF($M48=1,SUM($M$8:$M48),"")</f>
        <v/>
      </c>
    </row>
    <row r="49" customFormat="false" ht="15" hidden="false" customHeight="false" outlineLevel="0" collapsed="false">
      <c r="A49" s="23" t="s">
        <v>97</v>
      </c>
      <c r="B49" s="23" t="s">
        <v>99</v>
      </c>
      <c r="C49" s="24" t="n">
        <v>1920</v>
      </c>
      <c r="D49" s="25" t="n">
        <f aca="false">IF($A49="","",SUMIFS('Daily Entry'!$C$7:$C$5000,'Daily Entry'!$B$7:$B$5000,$L49,'Daily Entry'!$A$7:$A$5000,$C$3))</f>
        <v>0</v>
      </c>
      <c r="E49" s="25" t="n">
        <f aca="false">IF($A49="","",SUMIFS('Daily Entry'!$D$7:$D$5000,'Daily Entry'!$B$7:$B$5000,$L49,'Daily Entry'!$A$7:$A$5000,$C$3))</f>
        <v>0</v>
      </c>
      <c r="F49" s="26" t="n">
        <f aca="false">IF($A49="","",SUMIFS('Daily Entry'!$C$7:$C$5000,'Daily Entry'!$B$7:$B$5000,$L49))</f>
        <v>0</v>
      </c>
      <c r="G49" s="26" t="n">
        <f aca="false">IF($A49="","",SUMIFS('Daily Entry'!$D$7:$D$5000,'Daily Entry'!$B$7:$B$5000,$L49))</f>
        <v>0</v>
      </c>
      <c r="H49" s="27" t="n">
        <f aca="false">IF($A49="","",$C49+$F49-$G49)</f>
        <v>1920</v>
      </c>
      <c r="I49" s="20"/>
      <c r="J49" s="28" t="str">
        <f aca="false">IF(OR($A49="",$I49="",$C$4=""),"",$H49*$I49*$C$4)</f>
        <v/>
      </c>
      <c r="L49" s="22" t="str">
        <f aca="false">IF($A49="","",$A49&amp;" - "&amp;$B49)</f>
        <v>China - PUD KKD 500/800</v>
      </c>
      <c r="M49" s="22" t="n">
        <f aca="false">IF($A49="",0,IF(OR($D49&lt;&gt;0,$E49&lt;&gt;0),1,0))</f>
        <v>0</v>
      </c>
      <c r="N49" s="22" t="str">
        <f aca="false">IF($M49=1,SUM($M$8:$M49),"")</f>
        <v/>
      </c>
    </row>
    <row r="50" customFormat="false" ht="15" hidden="false" customHeight="false" outlineLevel="0" collapsed="false">
      <c r="A50" s="29"/>
      <c r="B50" s="29"/>
      <c r="C50" s="30"/>
      <c r="D50" s="17" t="str">
        <f aca="false">IF($A50="","",SUMIFS('Daily Entry'!$C$7:$C$5000,'Daily Entry'!$B$7:$B$5000,$L50,'Daily Entry'!$A$7:$A$5000,$C$3))</f>
        <v/>
      </c>
      <c r="E50" s="17" t="str">
        <f aca="false">IF($A50="","",SUMIFS('Daily Entry'!$D$7:$D$5000,'Daily Entry'!$B$7:$B$5000,$L50,'Daily Entry'!$A$7:$A$5000,$C$3))</f>
        <v/>
      </c>
      <c r="F50" s="18" t="str">
        <f aca="false">IF($A50="","",SUMIFS('Daily Entry'!$C$7:$C$5000,'Daily Entry'!$B$7:$B$5000,$L50))</f>
        <v/>
      </c>
      <c r="G50" s="18" t="str">
        <f aca="false">IF($A50="","",SUMIFS('Daily Entry'!$D$7:$D$5000,'Daily Entry'!$B$7:$B$5000,$L50))</f>
        <v/>
      </c>
      <c r="H50" s="19" t="str">
        <f aca="false">IF($A50="","",$C50+$F50-$G50)</f>
        <v/>
      </c>
      <c r="I50" s="20"/>
      <c r="J50" s="21" t="str">
        <f aca="false">IF(OR($A50="",$I50="",$C$4=""),"",$H50*$I50*$C$4)</f>
        <v/>
      </c>
      <c r="L50" s="22" t="str">
        <f aca="false">IF($A50="","",$A50&amp;" - "&amp;$B50)</f>
        <v/>
      </c>
      <c r="M50" s="22" t="n">
        <f aca="false">IF($A50="",0,IF(OR($D50&lt;&gt;0,$E50&lt;&gt;0),1,0))</f>
        <v>0</v>
      </c>
      <c r="N50" s="22" t="str">
        <f aca="false">IF($M50=1,SUM($M$8:$M50),"")</f>
        <v/>
      </c>
    </row>
    <row r="51" customFormat="false" ht="15" hidden="false" customHeight="false" outlineLevel="0" collapsed="false">
      <c r="A51" s="31"/>
      <c r="B51" s="31"/>
      <c r="C51" s="32"/>
      <c r="D51" s="25" t="str">
        <f aca="false">IF($A51="","",SUMIFS('Daily Entry'!$C$7:$C$5000,'Daily Entry'!$B$7:$B$5000,$L51,'Daily Entry'!$A$7:$A$5000,$C$3))</f>
        <v/>
      </c>
      <c r="E51" s="25" t="str">
        <f aca="false">IF($A51="","",SUMIFS('Daily Entry'!$D$7:$D$5000,'Daily Entry'!$B$7:$B$5000,$L51,'Daily Entry'!$A$7:$A$5000,$C$3))</f>
        <v/>
      </c>
      <c r="F51" s="26" t="str">
        <f aca="false">IF($A51="","",SUMIFS('Daily Entry'!$C$7:$C$5000,'Daily Entry'!$B$7:$B$5000,$L51))</f>
        <v/>
      </c>
      <c r="G51" s="26" t="str">
        <f aca="false">IF($A51="","",SUMIFS('Daily Entry'!$D$7:$D$5000,'Daily Entry'!$B$7:$B$5000,$L51))</f>
        <v/>
      </c>
      <c r="H51" s="27" t="str">
        <f aca="false">IF($A51="","",$C51+$F51-$G51)</f>
        <v/>
      </c>
      <c r="I51" s="20"/>
      <c r="J51" s="28" t="str">
        <f aca="false">IF(OR($A51="",$I51="",$C$4=""),"",$H51*$I51*$C$4)</f>
        <v/>
      </c>
      <c r="L51" s="22" t="str">
        <f aca="false">IF($A51="","",$A51&amp;" - "&amp;$B51)</f>
        <v/>
      </c>
      <c r="M51" s="22" t="n">
        <f aca="false">IF($A51="",0,IF(OR($D51&lt;&gt;0,$E51&lt;&gt;0),1,0))</f>
        <v>0</v>
      </c>
      <c r="N51" s="22" t="str">
        <f aca="false">IF($M51=1,SUM($M$8:$M51),"")</f>
        <v/>
      </c>
    </row>
    <row r="52" customFormat="false" ht="15" hidden="false" customHeight="false" outlineLevel="0" collapsed="false">
      <c r="A52" s="29"/>
      <c r="B52" s="29"/>
      <c r="C52" s="30"/>
      <c r="D52" s="17" t="str">
        <f aca="false">IF($A52="","",SUMIFS('Daily Entry'!$C$7:$C$5000,'Daily Entry'!$B$7:$B$5000,$L52,'Daily Entry'!$A$7:$A$5000,$C$3))</f>
        <v/>
      </c>
      <c r="E52" s="17" t="str">
        <f aca="false">IF($A52="","",SUMIFS('Daily Entry'!$D$7:$D$5000,'Daily Entry'!$B$7:$B$5000,$L52,'Daily Entry'!$A$7:$A$5000,$C$3))</f>
        <v/>
      </c>
      <c r="F52" s="18" t="str">
        <f aca="false">IF($A52="","",SUMIFS('Daily Entry'!$C$7:$C$5000,'Daily Entry'!$B$7:$B$5000,$L52))</f>
        <v/>
      </c>
      <c r="G52" s="18" t="str">
        <f aca="false">IF($A52="","",SUMIFS('Daily Entry'!$D$7:$D$5000,'Daily Entry'!$B$7:$B$5000,$L52))</f>
        <v/>
      </c>
      <c r="H52" s="19" t="str">
        <f aca="false">IF($A52="","",$C52+$F52-$G52)</f>
        <v/>
      </c>
      <c r="I52" s="20"/>
      <c r="J52" s="21" t="str">
        <f aca="false">IF(OR($A52="",$I52="",$C$4=""),"",$H52*$I52*$C$4)</f>
        <v/>
      </c>
      <c r="L52" s="22" t="str">
        <f aca="false">IF($A52="","",$A52&amp;" - "&amp;$B52)</f>
        <v/>
      </c>
      <c r="M52" s="22" t="n">
        <f aca="false">IF($A52="",0,IF(OR($D52&lt;&gt;0,$E52&lt;&gt;0),1,0))</f>
        <v>0</v>
      </c>
      <c r="N52" s="22" t="str">
        <f aca="false">IF($M52=1,SUM($M$8:$M52),"")</f>
        <v/>
      </c>
    </row>
    <row r="53" customFormat="false" ht="15" hidden="false" customHeight="false" outlineLevel="0" collapsed="false">
      <c r="A53" s="31"/>
      <c r="B53" s="31"/>
      <c r="C53" s="32"/>
      <c r="D53" s="25" t="str">
        <f aca="false">IF($A53="","",SUMIFS('Daily Entry'!$C$7:$C$5000,'Daily Entry'!$B$7:$B$5000,$L53,'Daily Entry'!$A$7:$A$5000,$C$3))</f>
        <v/>
      </c>
      <c r="E53" s="25" t="str">
        <f aca="false">IF($A53="","",SUMIFS('Daily Entry'!$D$7:$D$5000,'Daily Entry'!$B$7:$B$5000,$L53,'Daily Entry'!$A$7:$A$5000,$C$3))</f>
        <v/>
      </c>
      <c r="F53" s="26" t="str">
        <f aca="false">IF($A53="","",SUMIFS('Daily Entry'!$C$7:$C$5000,'Daily Entry'!$B$7:$B$5000,$L53))</f>
        <v/>
      </c>
      <c r="G53" s="26" t="str">
        <f aca="false">IF($A53="","",SUMIFS('Daily Entry'!$D$7:$D$5000,'Daily Entry'!$B$7:$B$5000,$L53))</f>
        <v/>
      </c>
      <c r="H53" s="27" t="str">
        <f aca="false">IF($A53="","",$C53+$F53-$G53)</f>
        <v/>
      </c>
      <c r="I53" s="20"/>
      <c r="J53" s="28" t="str">
        <f aca="false">IF(OR($A53="",$I53="",$C$4=""),"",$H53*$I53*$C$4)</f>
        <v/>
      </c>
      <c r="L53" s="22" t="str">
        <f aca="false">IF($A53="","",$A53&amp;" - "&amp;$B53)</f>
        <v/>
      </c>
      <c r="M53" s="22" t="n">
        <f aca="false">IF($A53="",0,IF(OR($D53&lt;&gt;0,$E53&lt;&gt;0),1,0))</f>
        <v>0</v>
      </c>
      <c r="N53" s="22" t="str">
        <f aca="false">IF($M53=1,SUM($M$8:$M53),"")</f>
        <v/>
      </c>
    </row>
    <row r="54" customFormat="false" ht="15" hidden="false" customHeight="false" outlineLevel="0" collapsed="false">
      <c r="A54" s="29"/>
      <c r="B54" s="29"/>
      <c r="C54" s="30"/>
      <c r="D54" s="17" t="str">
        <f aca="false">IF($A54="","",SUMIFS('Daily Entry'!$C$7:$C$5000,'Daily Entry'!$B$7:$B$5000,$L54,'Daily Entry'!$A$7:$A$5000,$C$3))</f>
        <v/>
      </c>
      <c r="E54" s="17" t="str">
        <f aca="false">IF($A54="","",SUMIFS('Daily Entry'!$D$7:$D$5000,'Daily Entry'!$B$7:$B$5000,$L54,'Daily Entry'!$A$7:$A$5000,$C$3))</f>
        <v/>
      </c>
      <c r="F54" s="18" t="str">
        <f aca="false">IF($A54="","",SUMIFS('Daily Entry'!$C$7:$C$5000,'Daily Entry'!$B$7:$B$5000,$L54))</f>
        <v/>
      </c>
      <c r="G54" s="18" t="str">
        <f aca="false">IF($A54="","",SUMIFS('Daily Entry'!$D$7:$D$5000,'Daily Entry'!$B$7:$B$5000,$L54))</f>
        <v/>
      </c>
      <c r="H54" s="19" t="str">
        <f aca="false">IF($A54="","",$C54+$F54-$G54)</f>
        <v/>
      </c>
      <c r="I54" s="20"/>
      <c r="J54" s="21" t="str">
        <f aca="false">IF(OR($A54="",$I54="",$C$4=""),"",$H54*$I54*$C$4)</f>
        <v/>
      </c>
      <c r="L54" s="22" t="str">
        <f aca="false">IF($A54="","",$A54&amp;" - "&amp;$B54)</f>
        <v/>
      </c>
      <c r="M54" s="22" t="n">
        <f aca="false">IF($A54="",0,IF(OR($D54&lt;&gt;0,$E54&lt;&gt;0),1,0))</f>
        <v>0</v>
      </c>
      <c r="N54" s="22" t="str">
        <f aca="false">IF($M54=1,SUM($M$8:$M54),"")</f>
        <v/>
      </c>
    </row>
    <row r="55" customFormat="false" ht="15" hidden="false" customHeight="false" outlineLevel="0" collapsed="false">
      <c r="A55" s="31"/>
      <c r="B55" s="31"/>
      <c r="C55" s="32"/>
      <c r="D55" s="25" t="str">
        <f aca="false">IF($A55="","",SUMIFS('Daily Entry'!$C$7:$C$5000,'Daily Entry'!$B$7:$B$5000,$L55,'Daily Entry'!$A$7:$A$5000,$C$3))</f>
        <v/>
      </c>
      <c r="E55" s="25" t="str">
        <f aca="false">IF($A55="","",SUMIFS('Daily Entry'!$D$7:$D$5000,'Daily Entry'!$B$7:$B$5000,$L55,'Daily Entry'!$A$7:$A$5000,$C$3))</f>
        <v/>
      </c>
      <c r="F55" s="26" t="str">
        <f aca="false">IF($A55="","",SUMIFS('Daily Entry'!$C$7:$C$5000,'Daily Entry'!$B$7:$B$5000,$L55))</f>
        <v/>
      </c>
      <c r="G55" s="26" t="str">
        <f aca="false">IF($A55="","",SUMIFS('Daily Entry'!$D$7:$D$5000,'Daily Entry'!$B$7:$B$5000,$L55))</f>
        <v/>
      </c>
      <c r="H55" s="27" t="str">
        <f aca="false">IF($A55="","",$C55+$F55-$G55)</f>
        <v/>
      </c>
      <c r="I55" s="20"/>
      <c r="J55" s="28" t="str">
        <f aca="false">IF(OR($A55="",$I55="",$C$4=""),"",$H55*$I55*$C$4)</f>
        <v/>
      </c>
      <c r="L55" s="22" t="str">
        <f aca="false">IF($A55="","",$A55&amp;" - "&amp;$B55)</f>
        <v/>
      </c>
      <c r="M55" s="22" t="n">
        <f aca="false">IF($A55="",0,IF(OR($D55&lt;&gt;0,$E55&lt;&gt;0),1,0))</f>
        <v>0</v>
      </c>
      <c r="N55" s="22" t="str">
        <f aca="false">IF($M55=1,SUM($M$8:$M55),"")</f>
        <v/>
      </c>
    </row>
    <row r="56" customFormat="false" ht="15" hidden="false" customHeight="false" outlineLevel="0" collapsed="false">
      <c r="A56" s="29"/>
      <c r="B56" s="29"/>
      <c r="C56" s="30"/>
      <c r="D56" s="17" t="str">
        <f aca="false">IF($A56="","",SUMIFS('Daily Entry'!$C$7:$C$5000,'Daily Entry'!$B$7:$B$5000,$L56,'Daily Entry'!$A$7:$A$5000,$C$3))</f>
        <v/>
      </c>
      <c r="E56" s="17" t="str">
        <f aca="false">IF($A56="","",SUMIFS('Daily Entry'!$D$7:$D$5000,'Daily Entry'!$B$7:$B$5000,$L56,'Daily Entry'!$A$7:$A$5000,$C$3))</f>
        <v/>
      </c>
      <c r="F56" s="18" t="str">
        <f aca="false">IF($A56="","",SUMIFS('Daily Entry'!$C$7:$C$5000,'Daily Entry'!$B$7:$B$5000,$L56))</f>
        <v/>
      </c>
      <c r="G56" s="18" t="str">
        <f aca="false">IF($A56="","",SUMIFS('Daily Entry'!$D$7:$D$5000,'Daily Entry'!$B$7:$B$5000,$L56))</f>
        <v/>
      </c>
      <c r="H56" s="19" t="str">
        <f aca="false">IF($A56="","",$C56+$F56-$G56)</f>
        <v/>
      </c>
      <c r="I56" s="20"/>
      <c r="J56" s="21" t="str">
        <f aca="false">IF(OR($A56="",$I56="",$C$4=""),"",$H56*$I56*$C$4)</f>
        <v/>
      </c>
      <c r="L56" s="22" t="str">
        <f aca="false">IF($A56="","",$A56&amp;" - "&amp;$B56)</f>
        <v/>
      </c>
      <c r="M56" s="22" t="n">
        <f aca="false">IF($A56="",0,IF(OR($D56&lt;&gt;0,$E56&lt;&gt;0),1,0))</f>
        <v>0</v>
      </c>
      <c r="N56" s="22" t="str">
        <f aca="false">IF($M56=1,SUM($M$8:$M56),"")</f>
        <v/>
      </c>
    </row>
    <row r="57" customFormat="false" ht="15" hidden="false" customHeight="false" outlineLevel="0" collapsed="false">
      <c r="A57" s="31"/>
      <c r="B57" s="31"/>
      <c r="C57" s="32"/>
      <c r="D57" s="25" t="str">
        <f aca="false">IF($A57="","",SUMIFS('Daily Entry'!$C$7:$C$5000,'Daily Entry'!$B$7:$B$5000,$L57,'Daily Entry'!$A$7:$A$5000,$C$3))</f>
        <v/>
      </c>
      <c r="E57" s="25" t="str">
        <f aca="false">IF($A57="","",SUMIFS('Daily Entry'!$D$7:$D$5000,'Daily Entry'!$B$7:$B$5000,$L57,'Daily Entry'!$A$7:$A$5000,$C$3))</f>
        <v/>
      </c>
      <c r="F57" s="26" t="str">
        <f aca="false">IF($A57="","",SUMIFS('Daily Entry'!$C$7:$C$5000,'Daily Entry'!$B$7:$B$5000,$L57))</f>
        <v/>
      </c>
      <c r="G57" s="26" t="str">
        <f aca="false">IF($A57="","",SUMIFS('Daily Entry'!$D$7:$D$5000,'Daily Entry'!$B$7:$B$5000,$L57))</f>
        <v/>
      </c>
      <c r="H57" s="27" t="str">
        <f aca="false">IF($A57="","",$C57+$F57-$G57)</f>
        <v/>
      </c>
      <c r="I57" s="20"/>
      <c r="J57" s="28" t="str">
        <f aca="false">IF(OR($A57="",$I57="",$C$4=""),"",$H57*$I57*$C$4)</f>
        <v/>
      </c>
      <c r="L57" s="22" t="str">
        <f aca="false">IF($A57="","",$A57&amp;" - "&amp;$B57)</f>
        <v/>
      </c>
      <c r="M57" s="22" t="n">
        <f aca="false">IF($A57="",0,IF(OR($D57&lt;&gt;0,$E57&lt;&gt;0),1,0))</f>
        <v>0</v>
      </c>
      <c r="N57" s="22" t="str">
        <f aca="false">IF($M57=1,SUM($M$8:$M57),"")</f>
        <v/>
      </c>
    </row>
    <row r="58" customFormat="false" ht="15" hidden="false" customHeight="false" outlineLevel="0" collapsed="false">
      <c r="A58" s="29"/>
      <c r="B58" s="29"/>
      <c r="C58" s="30"/>
      <c r="D58" s="17" t="str">
        <f aca="false">IF($A58="","",SUMIFS('Daily Entry'!$C$7:$C$5000,'Daily Entry'!$B$7:$B$5000,$L58,'Daily Entry'!$A$7:$A$5000,$C$3))</f>
        <v/>
      </c>
      <c r="E58" s="17" t="str">
        <f aca="false">IF($A58="","",SUMIFS('Daily Entry'!$D$7:$D$5000,'Daily Entry'!$B$7:$B$5000,$L58,'Daily Entry'!$A$7:$A$5000,$C$3))</f>
        <v/>
      </c>
      <c r="F58" s="18" t="str">
        <f aca="false">IF($A58="","",SUMIFS('Daily Entry'!$C$7:$C$5000,'Daily Entry'!$B$7:$B$5000,$L58))</f>
        <v/>
      </c>
      <c r="G58" s="18" t="str">
        <f aca="false">IF($A58="","",SUMIFS('Daily Entry'!$D$7:$D$5000,'Daily Entry'!$B$7:$B$5000,$L58))</f>
        <v/>
      </c>
      <c r="H58" s="19" t="str">
        <f aca="false">IF($A58="","",$C58+$F58-$G58)</f>
        <v/>
      </c>
      <c r="I58" s="20"/>
      <c r="J58" s="21" t="str">
        <f aca="false">IF(OR($A58="",$I58="",$C$4=""),"",$H58*$I58*$C$4)</f>
        <v/>
      </c>
      <c r="L58" s="22" t="str">
        <f aca="false">IF($A58="","",$A58&amp;" - "&amp;$B58)</f>
        <v/>
      </c>
      <c r="M58" s="22" t="n">
        <f aca="false">IF($A58="",0,IF(OR($D58&lt;&gt;0,$E58&lt;&gt;0),1,0))</f>
        <v>0</v>
      </c>
      <c r="N58" s="22" t="str">
        <f aca="false">IF($M58=1,SUM($M$8:$M58),"")</f>
        <v/>
      </c>
    </row>
    <row r="59" customFormat="false" ht="15" hidden="false" customHeight="false" outlineLevel="0" collapsed="false">
      <c r="A59" s="31"/>
      <c r="B59" s="31"/>
      <c r="C59" s="32"/>
      <c r="D59" s="25" t="str">
        <f aca="false">IF($A59="","",SUMIFS('Daily Entry'!$C$7:$C$5000,'Daily Entry'!$B$7:$B$5000,$L59,'Daily Entry'!$A$7:$A$5000,$C$3))</f>
        <v/>
      </c>
      <c r="E59" s="25" t="str">
        <f aca="false">IF($A59="","",SUMIFS('Daily Entry'!$D$7:$D$5000,'Daily Entry'!$B$7:$B$5000,$L59,'Daily Entry'!$A$7:$A$5000,$C$3))</f>
        <v/>
      </c>
      <c r="F59" s="26" t="str">
        <f aca="false">IF($A59="","",SUMIFS('Daily Entry'!$C$7:$C$5000,'Daily Entry'!$B$7:$B$5000,$L59))</f>
        <v/>
      </c>
      <c r="G59" s="26" t="str">
        <f aca="false">IF($A59="","",SUMIFS('Daily Entry'!$D$7:$D$5000,'Daily Entry'!$B$7:$B$5000,$L59))</f>
        <v/>
      </c>
      <c r="H59" s="27" t="str">
        <f aca="false">IF($A59="","",$C59+$F59-$G59)</f>
        <v/>
      </c>
      <c r="I59" s="20"/>
      <c r="J59" s="28" t="str">
        <f aca="false">IF(OR($A59="",$I59="",$C$4=""),"",$H59*$I59*$C$4)</f>
        <v/>
      </c>
      <c r="L59" s="22" t="str">
        <f aca="false">IF($A59="","",$A59&amp;" - "&amp;$B59)</f>
        <v/>
      </c>
      <c r="M59" s="22" t="n">
        <f aca="false">IF($A59="",0,IF(OR($D59&lt;&gt;0,$E59&lt;&gt;0),1,0))</f>
        <v>0</v>
      </c>
      <c r="N59" s="22" t="str">
        <f aca="false">IF($M59=1,SUM($M$8:$M59),"")</f>
        <v/>
      </c>
    </row>
    <row r="60" customFormat="false" ht="15" hidden="false" customHeight="false" outlineLevel="0" collapsed="false">
      <c r="A60" s="29"/>
      <c r="B60" s="29"/>
      <c r="C60" s="30"/>
      <c r="D60" s="17" t="str">
        <f aca="false">IF($A60="","",SUMIFS('Daily Entry'!$C$7:$C$5000,'Daily Entry'!$B$7:$B$5000,$L60,'Daily Entry'!$A$7:$A$5000,$C$3))</f>
        <v/>
      </c>
      <c r="E60" s="17" t="str">
        <f aca="false">IF($A60="","",SUMIFS('Daily Entry'!$D$7:$D$5000,'Daily Entry'!$B$7:$B$5000,$L60,'Daily Entry'!$A$7:$A$5000,$C$3))</f>
        <v/>
      </c>
      <c r="F60" s="18" t="str">
        <f aca="false">IF($A60="","",SUMIFS('Daily Entry'!$C$7:$C$5000,'Daily Entry'!$B$7:$B$5000,$L60))</f>
        <v/>
      </c>
      <c r="G60" s="18" t="str">
        <f aca="false">IF($A60="","",SUMIFS('Daily Entry'!$D$7:$D$5000,'Daily Entry'!$B$7:$B$5000,$L60))</f>
        <v/>
      </c>
      <c r="H60" s="19" t="str">
        <f aca="false">IF($A60="","",$C60+$F60-$G60)</f>
        <v/>
      </c>
      <c r="I60" s="20"/>
      <c r="J60" s="21" t="str">
        <f aca="false">IF(OR($A60="",$I60="",$C$4=""),"",$H60*$I60*$C$4)</f>
        <v/>
      </c>
      <c r="L60" s="22" t="str">
        <f aca="false">IF($A60="","",$A60&amp;" - "&amp;$B60)</f>
        <v/>
      </c>
      <c r="M60" s="22" t="n">
        <f aca="false">IF($A60="",0,IF(OR($D60&lt;&gt;0,$E60&lt;&gt;0),1,0))</f>
        <v>0</v>
      </c>
      <c r="N60" s="22" t="str">
        <f aca="false">IF($M60=1,SUM($M$8:$M60),"")</f>
        <v/>
      </c>
    </row>
    <row r="61" customFormat="false" ht="15" hidden="false" customHeight="false" outlineLevel="0" collapsed="false">
      <c r="A61" s="31"/>
      <c r="B61" s="31"/>
      <c r="C61" s="32"/>
      <c r="D61" s="25" t="str">
        <f aca="false">IF($A61="","",SUMIFS('Daily Entry'!$C$7:$C$5000,'Daily Entry'!$B$7:$B$5000,$L61,'Daily Entry'!$A$7:$A$5000,$C$3))</f>
        <v/>
      </c>
      <c r="E61" s="25" t="str">
        <f aca="false">IF($A61="","",SUMIFS('Daily Entry'!$D$7:$D$5000,'Daily Entry'!$B$7:$B$5000,$L61,'Daily Entry'!$A$7:$A$5000,$C$3))</f>
        <v/>
      </c>
      <c r="F61" s="26" t="str">
        <f aca="false">IF($A61="","",SUMIFS('Daily Entry'!$C$7:$C$5000,'Daily Entry'!$B$7:$B$5000,$L61))</f>
        <v/>
      </c>
      <c r="G61" s="26" t="str">
        <f aca="false">IF($A61="","",SUMIFS('Daily Entry'!$D$7:$D$5000,'Daily Entry'!$B$7:$B$5000,$L61))</f>
        <v/>
      </c>
      <c r="H61" s="27" t="str">
        <f aca="false">IF($A61="","",$C61+$F61-$G61)</f>
        <v/>
      </c>
      <c r="I61" s="20"/>
      <c r="J61" s="28" t="str">
        <f aca="false">IF(OR($A61="",$I61="",$C$4=""),"",$H61*$I61*$C$4)</f>
        <v/>
      </c>
      <c r="L61" s="22" t="str">
        <f aca="false">IF($A61="","",$A61&amp;" - "&amp;$B61)</f>
        <v/>
      </c>
      <c r="M61" s="22" t="n">
        <f aca="false">IF($A61="",0,IF(OR($D61&lt;&gt;0,$E61&lt;&gt;0),1,0))</f>
        <v>0</v>
      </c>
      <c r="N61" s="22" t="str">
        <f aca="false">IF($M61=1,SUM($M$8:$M61),"")</f>
        <v/>
      </c>
    </row>
    <row r="62" customFormat="false" ht="15" hidden="false" customHeight="false" outlineLevel="0" collapsed="false">
      <c r="A62" s="29"/>
      <c r="B62" s="29"/>
      <c r="C62" s="30"/>
      <c r="D62" s="17" t="str">
        <f aca="false">IF($A62="","",SUMIFS('Daily Entry'!$C$7:$C$5000,'Daily Entry'!$B$7:$B$5000,$L62,'Daily Entry'!$A$7:$A$5000,$C$3))</f>
        <v/>
      </c>
      <c r="E62" s="17" t="str">
        <f aca="false">IF($A62="","",SUMIFS('Daily Entry'!$D$7:$D$5000,'Daily Entry'!$B$7:$B$5000,$L62,'Daily Entry'!$A$7:$A$5000,$C$3))</f>
        <v/>
      </c>
      <c r="F62" s="18" t="str">
        <f aca="false">IF($A62="","",SUMIFS('Daily Entry'!$C$7:$C$5000,'Daily Entry'!$B$7:$B$5000,$L62))</f>
        <v/>
      </c>
      <c r="G62" s="18" t="str">
        <f aca="false">IF($A62="","",SUMIFS('Daily Entry'!$D$7:$D$5000,'Daily Entry'!$B$7:$B$5000,$L62))</f>
        <v/>
      </c>
      <c r="H62" s="19" t="str">
        <f aca="false">IF($A62="","",$C62+$F62-$G62)</f>
        <v/>
      </c>
      <c r="I62" s="20"/>
      <c r="J62" s="21" t="str">
        <f aca="false">IF(OR($A62="",$I62="",$C$4=""),"",$H62*$I62*$C$4)</f>
        <v/>
      </c>
      <c r="L62" s="22" t="str">
        <f aca="false">IF($A62="","",$A62&amp;" - "&amp;$B62)</f>
        <v/>
      </c>
      <c r="M62" s="22" t="n">
        <f aca="false">IF($A62="",0,IF(OR($D62&lt;&gt;0,$E62&lt;&gt;0),1,0))</f>
        <v>0</v>
      </c>
      <c r="N62" s="22" t="str">
        <f aca="false">IF($M62=1,SUM($M$8:$M62),"")</f>
        <v/>
      </c>
    </row>
    <row r="63" customFormat="false" ht="15" hidden="false" customHeight="false" outlineLevel="0" collapsed="false">
      <c r="A63" s="31"/>
      <c r="B63" s="31"/>
      <c r="C63" s="32"/>
      <c r="D63" s="25" t="str">
        <f aca="false">IF($A63="","",SUMIFS('Daily Entry'!$C$7:$C$5000,'Daily Entry'!$B$7:$B$5000,$L63,'Daily Entry'!$A$7:$A$5000,$C$3))</f>
        <v/>
      </c>
      <c r="E63" s="25" t="str">
        <f aca="false">IF($A63="","",SUMIFS('Daily Entry'!$D$7:$D$5000,'Daily Entry'!$B$7:$B$5000,$L63,'Daily Entry'!$A$7:$A$5000,$C$3))</f>
        <v/>
      </c>
      <c r="F63" s="26" t="str">
        <f aca="false">IF($A63="","",SUMIFS('Daily Entry'!$C$7:$C$5000,'Daily Entry'!$B$7:$B$5000,$L63))</f>
        <v/>
      </c>
      <c r="G63" s="26" t="str">
        <f aca="false">IF($A63="","",SUMIFS('Daily Entry'!$D$7:$D$5000,'Daily Entry'!$B$7:$B$5000,$L63))</f>
        <v/>
      </c>
      <c r="H63" s="27" t="str">
        <f aca="false">IF($A63="","",$C63+$F63-$G63)</f>
        <v/>
      </c>
      <c r="I63" s="20"/>
      <c r="J63" s="28" t="str">
        <f aca="false">IF(OR($A63="",$I63="",$C$4=""),"",$H63*$I63*$C$4)</f>
        <v/>
      </c>
      <c r="L63" s="22" t="str">
        <f aca="false">IF($A63="","",$A63&amp;" - "&amp;$B63)</f>
        <v/>
      </c>
      <c r="M63" s="22" t="n">
        <f aca="false">IF($A63="",0,IF(OR($D63&lt;&gt;0,$E63&lt;&gt;0),1,0))</f>
        <v>0</v>
      </c>
      <c r="N63" s="22" t="str">
        <f aca="false">IF($M63=1,SUM($M$8:$M63),"")</f>
        <v/>
      </c>
    </row>
    <row r="64" customFormat="false" ht="15" hidden="false" customHeight="false" outlineLevel="0" collapsed="false">
      <c r="A64" s="29"/>
      <c r="B64" s="29"/>
      <c r="C64" s="30"/>
      <c r="D64" s="17" t="str">
        <f aca="false">IF($A64="","",SUMIFS('Daily Entry'!$C$7:$C$5000,'Daily Entry'!$B$7:$B$5000,$L64,'Daily Entry'!$A$7:$A$5000,$C$3))</f>
        <v/>
      </c>
      <c r="E64" s="17" t="str">
        <f aca="false">IF($A64="","",SUMIFS('Daily Entry'!$D$7:$D$5000,'Daily Entry'!$B$7:$B$5000,$L64,'Daily Entry'!$A$7:$A$5000,$C$3))</f>
        <v/>
      </c>
      <c r="F64" s="18" t="str">
        <f aca="false">IF($A64="","",SUMIFS('Daily Entry'!$C$7:$C$5000,'Daily Entry'!$B$7:$B$5000,$L64))</f>
        <v/>
      </c>
      <c r="G64" s="18" t="str">
        <f aca="false">IF($A64="","",SUMIFS('Daily Entry'!$D$7:$D$5000,'Daily Entry'!$B$7:$B$5000,$L64))</f>
        <v/>
      </c>
      <c r="H64" s="19" t="str">
        <f aca="false">IF($A64="","",$C64+$F64-$G64)</f>
        <v/>
      </c>
      <c r="I64" s="20"/>
      <c r="J64" s="21" t="str">
        <f aca="false">IF(OR($A64="",$I64="",$C$4=""),"",$H64*$I64*$C$4)</f>
        <v/>
      </c>
      <c r="L64" s="22" t="str">
        <f aca="false">IF($A64="","",$A64&amp;" - "&amp;$B64)</f>
        <v/>
      </c>
      <c r="M64" s="22" t="n">
        <f aca="false">IF($A64="",0,IF(OR($D64&lt;&gt;0,$E64&lt;&gt;0),1,0))</f>
        <v>0</v>
      </c>
      <c r="N64" s="22" t="str">
        <f aca="false">IF($M64=1,SUM($M$8:$M64),"")</f>
        <v/>
      </c>
    </row>
    <row r="65" customFormat="false" ht="15" hidden="false" customHeight="false" outlineLevel="0" collapsed="false">
      <c r="A65" s="31"/>
      <c r="B65" s="31"/>
      <c r="C65" s="32"/>
      <c r="D65" s="25" t="str">
        <f aca="false">IF($A65="","",SUMIFS('Daily Entry'!$C$7:$C$5000,'Daily Entry'!$B$7:$B$5000,$L65,'Daily Entry'!$A$7:$A$5000,$C$3))</f>
        <v/>
      </c>
      <c r="E65" s="25" t="str">
        <f aca="false">IF($A65="","",SUMIFS('Daily Entry'!$D$7:$D$5000,'Daily Entry'!$B$7:$B$5000,$L65,'Daily Entry'!$A$7:$A$5000,$C$3))</f>
        <v/>
      </c>
      <c r="F65" s="26" t="str">
        <f aca="false">IF($A65="","",SUMIFS('Daily Entry'!$C$7:$C$5000,'Daily Entry'!$B$7:$B$5000,$L65))</f>
        <v/>
      </c>
      <c r="G65" s="26" t="str">
        <f aca="false">IF($A65="","",SUMIFS('Daily Entry'!$D$7:$D$5000,'Daily Entry'!$B$7:$B$5000,$L65))</f>
        <v/>
      </c>
      <c r="H65" s="27" t="str">
        <f aca="false">IF($A65="","",$C65+$F65-$G65)</f>
        <v/>
      </c>
      <c r="I65" s="20"/>
      <c r="J65" s="28" t="str">
        <f aca="false">IF(OR($A65="",$I65="",$C$4=""),"",$H65*$I65*$C$4)</f>
        <v/>
      </c>
      <c r="L65" s="22" t="str">
        <f aca="false">IF($A65="","",$A65&amp;" - "&amp;$B65)</f>
        <v/>
      </c>
      <c r="M65" s="22" t="n">
        <f aca="false">IF($A65="",0,IF(OR($D65&lt;&gt;0,$E65&lt;&gt;0),1,0))</f>
        <v>0</v>
      </c>
      <c r="N65" s="22" t="str">
        <f aca="false">IF($M65=1,SUM($M$8:$M65),"")</f>
        <v/>
      </c>
    </row>
    <row r="66" customFormat="false" ht="15" hidden="false" customHeight="false" outlineLevel="0" collapsed="false">
      <c r="A66" s="29"/>
      <c r="B66" s="29"/>
      <c r="C66" s="30"/>
      <c r="D66" s="17" t="str">
        <f aca="false">IF($A66="","",SUMIFS('Daily Entry'!$C$7:$C$5000,'Daily Entry'!$B$7:$B$5000,$L66,'Daily Entry'!$A$7:$A$5000,$C$3))</f>
        <v/>
      </c>
      <c r="E66" s="17" t="str">
        <f aca="false">IF($A66="","",SUMIFS('Daily Entry'!$D$7:$D$5000,'Daily Entry'!$B$7:$B$5000,$L66,'Daily Entry'!$A$7:$A$5000,$C$3))</f>
        <v/>
      </c>
      <c r="F66" s="18" t="str">
        <f aca="false">IF($A66="","",SUMIFS('Daily Entry'!$C$7:$C$5000,'Daily Entry'!$B$7:$B$5000,$L66))</f>
        <v/>
      </c>
      <c r="G66" s="18" t="str">
        <f aca="false">IF($A66="","",SUMIFS('Daily Entry'!$D$7:$D$5000,'Daily Entry'!$B$7:$B$5000,$L66))</f>
        <v/>
      </c>
      <c r="H66" s="19" t="str">
        <f aca="false">IF($A66="","",$C66+$F66-$G66)</f>
        <v/>
      </c>
      <c r="I66" s="20"/>
      <c r="J66" s="21" t="str">
        <f aca="false">IF(OR($A66="",$I66="",$C$4=""),"",$H66*$I66*$C$4)</f>
        <v/>
      </c>
      <c r="L66" s="22" t="str">
        <f aca="false">IF($A66="","",$A66&amp;" - "&amp;$B66)</f>
        <v/>
      </c>
      <c r="M66" s="22" t="n">
        <f aca="false">IF($A66="",0,IF(OR($D66&lt;&gt;0,$E66&lt;&gt;0),1,0))</f>
        <v>0</v>
      </c>
      <c r="N66" s="22" t="str">
        <f aca="false">IF($M66=1,SUM($M$8:$M66),"")</f>
        <v/>
      </c>
    </row>
    <row r="67" customFormat="false" ht="15" hidden="false" customHeight="false" outlineLevel="0" collapsed="false">
      <c r="A67" s="31"/>
      <c r="B67" s="31"/>
      <c r="C67" s="32"/>
      <c r="D67" s="25" t="str">
        <f aca="false">IF($A67="","",SUMIFS('Daily Entry'!$C$7:$C$5000,'Daily Entry'!$B$7:$B$5000,$L67,'Daily Entry'!$A$7:$A$5000,$C$3))</f>
        <v/>
      </c>
      <c r="E67" s="25" t="str">
        <f aca="false">IF($A67="","",SUMIFS('Daily Entry'!$D$7:$D$5000,'Daily Entry'!$B$7:$B$5000,$L67,'Daily Entry'!$A$7:$A$5000,$C$3))</f>
        <v/>
      </c>
      <c r="F67" s="26" t="str">
        <f aca="false">IF($A67="","",SUMIFS('Daily Entry'!$C$7:$C$5000,'Daily Entry'!$B$7:$B$5000,$L67))</f>
        <v/>
      </c>
      <c r="G67" s="26" t="str">
        <f aca="false">IF($A67="","",SUMIFS('Daily Entry'!$D$7:$D$5000,'Daily Entry'!$B$7:$B$5000,$L67))</f>
        <v/>
      </c>
      <c r="H67" s="27" t="str">
        <f aca="false">IF($A67="","",$C67+$F67-$G67)</f>
        <v/>
      </c>
      <c r="I67" s="20"/>
      <c r="J67" s="28" t="str">
        <f aca="false">IF(OR($A67="",$I67="",$C$4=""),"",$H67*$I67*$C$4)</f>
        <v/>
      </c>
      <c r="L67" s="22" t="str">
        <f aca="false">IF($A67="","",$A67&amp;" - "&amp;$B67)</f>
        <v/>
      </c>
      <c r="M67" s="22" t="n">
        <f aca="false">IF($A67="",0,IF(OR($D67&lt;&gt;0,$E67&lt;&gt;0),1,0))</f>
        <v>0</v>
      </c>
      <c r="N67" s="22" t="str">
        <f aca="false">IF($M67=1,SUM($M$8:$M67),"")</f>
        <v/>
      </c>
    </row>
    <row r="68" customFormat="false" ht="15" hidden="false" customHeight="false" outlineLevel="0" collapsed="false">
      <c r="A68" s="29"/>
      <c r="B68" s="29"/>
      <c r="C68" s="30"/>
      <c r="D68" s="17" t="str">
        <f aca="false">IF($A68="","",SUMIFS('Daily Entry'!$C$7:$C$5000,'Daily Entry'!$B$7:$B$5000,$L68,'Daily Entry'!$A$7:$A$5000,$C$3))</f>
        <v/>
      </c>
      <c r="E68" s="17" t="str">
        <f aca="false">IF($A68="","",SUMIFS('Daily Entry'!$D$7:$D$5000,'Daily Entry'!$B$7:$B$5000,$L68,'Daily Entry'!$A$7:$A$5000,$C$3))</f>
        <v/>
      </c>
      <c r="F68" s="18" t="str">
        <f aca="false">IF($A68="","",SUMIFS('Daily Entry'!$C$7:$C$5000,'Daily Entry'!$B$7:$B$5000,$L68))</f>
        <v/>
      </c>
      <c r="G68" s="18" t="str">
        <f aca="false">IF($A68="","",SUMIFS('Daily Entry'!$D$7:$D$5000,'Daily Entry'!$B$7:$B$5000,$L68))</f>
        <v/>
      </c>
      <c r="H68" s="19" t="str">
        <f aca="false">IF($A68="","",$C68+$F68-$G68)</f>
        <v/>
      </c>
      <c r="I68" s="20"/>
      <c r="J68" s="21" t="str">
        <f aca="false">IF(OR($A68="",$I68="",$C$4=""),"",$H68*$I68*$C$4)</f>
        <v/>
      </c>
      <c r="L68" s="22" t="str">
        <f aca="false">IF($A68="","",$A68&amp;" - "&amp;$B68)</f>
        <v/>
      </c>
      <c r="M68" s="22" t="n">
        <f aca="false">IF($A68="",0,IF(OR($D68&lt;&gt;0,$E68&lt;&gt;0),1,0))</f>
        <v>0</v>
      </c>
      <c r="N68" s="22" t="str">
        <f aca="false">IF($M68=1,SUM($M$8:$M68),"")</f>
        <v/>
      </c>
    </row>
    <row r="69" customFormat="false" ht="15" hidden="false" customHeight="false" outlineLevel="0" collapsed="false">
      <c r="A69" s="31"/>
      <c r="B69" s="31"/>
      <c r="C69" s="32"/>
      <c r="D69" s="25" t="str">
        <f aca="false">IF($A69="","",SUMIFS('Daily Entry'!$C$7:$C$5000,'Daily Entry'!$B$7:$B$5000,$L69,'Daily Entry'!$A$7:$A$5000,$C$3))</f>
        <v/>
      </c>
      <c r="E69" s="25" t="str">
        <f aca="false">IF($A69="","",SUMIFS('Daily Entry'!$D$7:$D$5000,'Daily Entry'!$B$7:$B$5000,$L69,'Daily Entry'!$A$7:$A$5000,$C$3))</f>
        <v/>
      </c>
      <c r="F69" s="26" t="str">
        <f aca="false">IF($A69="","",SUMIFS('Daily Entry'!$C$7:$C$5000,'Daily Entry'!$B$7:$B$5000,$L69))</f>
        <v/>
      </c>
      <c r="G69" s="26" t="str">
        <f aca="false">IF($A69="","",SUMIFS('Daily Entry'!$D$7:$D$5000,'Daily Entry'!$B$7:$B$5000,$L69))</f>
        <v/>
      </c>
      <c r="H69" s="27" t="str">
        <f aca="false">IF($A69="","",$C69+$F69-$G69)</f>
        <v/>
      </c>
      <c r="I69" s="20"/>
      <c r="J69" s="28" t="str">
        <f aca="false">IF(OR($A69="",$I69="",$C$4=""),"",$H69*$I69*$C$4)</f>
        <v/>
      </c>
      <c r="L69" s="22" t="str">
        <f aca="false">IF($A69="","",$A69&amp;" - "&amp;$B69)</f>
        <v/>
      </c>
      <c r="M69" s="22" t="n">
        <f aca="false">IF($A69="",0,IF(OR($D69&lt;&gt;0,$E69&lt;&gt;0),1,0))</f>
        <v>0</v>
      </c>
      <c r="N69" s="22" t="str">
        <f aca="false">IF($M69=1,SUM($M$8:$M69),"")</f>
        <v/>
      </c>
    </row>
    <row r="70" customFormat="false" ht="15" hidden="false" customHeight="false" outlineLevel="0" collapsed="false">
      <c r="A70" s="33" t="s">
        <v>100</v>
      </c>
      <c r="B70" s="33"/>
      <c r="C70" s="34" t="n">
        <f aca="false">SUM(C8:C69)</f>
        <v>102870</v>
      </c>
      <c r="D70" s="35" t="n">
        <f aca="false">SUM(D8:D69)</f>
        <v>4880</v>
      </c>
      <c r="E70" s="35" t="n">
        <f aca="false">SUM(E8:E69)</f>
        <v>0</v>
      </c>
      <c r="F70" s="34" t="n">
        <f aca="false">SUM(F8:F69)</f>
        <v>4880</v>
      </c>
      <c r="G70" s="34" t="n">
        <f aca="false">SUM(G8:G69)</f>
        <v>0</v>
      </c>
      <c r="H70" s="34" t="n">
        <f aca="false">SUM(H8:H69)</f>
        <v>107750</v>
      </c>
      <c r="I70" s="33"/>
      <c r="J70" s="36" t="str">
        <f aca="false">IF(SUM(J8:J69)=0,"",SUM(J8:J69))</f>
        <v/>
      </c>
    </row>
    <row r="72" customFormat="false" ht="15" hidden="false" customHeight="false" outlineLevel="0" collapsed="false">
      <c r="A72" s="9" t="s">
        <v>101</v>
      </c>
    </row>
  </sheetData>
  <sheetProtection sheet="true" password="df10" objects="true" scenarios="true" autoFilter="false"/>
  <autoFilter ref="A7:J69"/>
  <conditionalFormatting sqref="H8:H69">
    <cfRule type="cellIs" priority="2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88" width="14"/>
    <col collapsed="false" customWidth="true" hidden="false" outlineLevel="0" max="2" min="2" style="89" width="40"/>
    <col collapsed="false" customWidth="true" hidden="false" outlineLevel="0" max="4" min="3" style="90" width="16"/>
    <col collapsed="false" customWidth="true" hidden="false" outlineLevel="0" max="5" min="5" style="91" width="40"/>
    <col collapsed="false" customWidth="true" hidden="false" outlineLevel="0" max="7" min="7" style="0" width="24"/>
    <col collapsed="false" customWidth="true" hidden="false" outlineLevel="0" max="10" min="10" style="0" width="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102</v>
      </c>
    </row>
    <row r="4" customFormat="false" ht="15" hidden="false" customHeight="false" outlineLevel="0" collapsed="false">
      <c r="A4" s="9" t="s">
        <v>103</v>
      </c>
      <c r="G4" s="40" t="s">
        <v>104</v>
      </c>
      <c r="J4" s="41" t="n">
        <f aca="false">SUMPRODUCT((B7:B5000&lt;&gt;"")*(COUNTIF(Stock!$L$8:$L$69,B7:B5000)=0))</f>
        <v>0</v>
      </c>
      <c r="K4" s="9" t="s">
        <v>105</v>
      </c>
    </row>
    <row r="6" customFormat="false" ht="30" hidden="false" customHeight="true" outlineLevel="0" collapsed="false">
      <c r="A6" s="11" t="s">
        <v>106</v>
      </c>
      <c r="B6" s="11" t="s">
        <v>107</v>
      </c>
      <c r="C6" s="12" t="s">
        <v>108</v>
      </c>
      <c r="D6" s="12" t="s">
        <v>109</v>
      </c>
      <c r="E6" s="11" t="s">
        <v>110</v>
      </c>
    </row>
    <row r="7" customFormat="false" ht="15" hidden="false" customHeight="false" outlineLevel="0" collapsed="false">
      <c r="A7" s="42" t="n">
        <v>46254</v>
      </c>
      <c r="B7" s="43" t="s">
        <v>111</v>
      </c>
      <c r="C7" s="44" t="n">
        <v>1068</v>
      </c>
      <c r="D7" s="44" t="n">
        <v>0</v>
      </c>
      <c r="E7" s="45" t="s">
        <v>112</v>
      </c>
    </row>
    <row r="8" customFormat="false" ht="15" hidden="false" customHeight="false" outlineLevel="0" collapsed="false">
      <c r="A8" s="42" t="n">
        <v>46254</v>
      </c>
      <c r="B8" s="43" t="s">
        <v>113</v>
      </c>
      <c r="C8" s="44" t="n">
        <v>65</v>
      </c>
      <c r="D8" s="44" t="n">
        <v>0</v>
      </c>
      <c r="E8" s="45"/>
    </row>
    <row r="9" customFormat="false" ht="15" hidden="false" customHeight="false" outlineLevel="0" collapsed="false">
      <c r="A9" s="42" t="n">
        <v>46254</v>
      </c>
      <c r="B9" s="43" t="s">
        <v>114</v>
      </c>
      <c r="C9" s="44" t="n">
        <v>267</v>
      </c>
      <c r="D9" s="44" t="n">
        <v>0</v>
      </c>
      <c r="E9" s="45"/>
    </row>
    <row r="10" customFormat="false" ht="15" hidden="false" customHeight="false" outlineLevel="0" collapsed="false">
      <c r="A10" s="42" t="n">
        <v>46254</v>
      </c>
      <c r="B10" s="43" t="s">
        <v>115</v>
      </c>
      <c r="C10" s="44" t="n">
        <v>29</v>
      </c>
      <c r="D10" s="44" t="n">
        <v>0</v>
      </c>
      <c r="E10" s="45"/>
    </row>
    <row r="11" customFormat="false" ht="15" hidden="false" customHeight="false" outlineLevel="0" collapsed="false">
      <c r="A11" s="42" t="n">
        <v>46254</v>
      </c>
      <c r="B11" s="43" t="s">
        <v>116</v>
      </c>
      <c r="C11" s="44" t="n">
        <v>39</v>
      </c>
      <c r="D11" s="44" t="n">
        <v>0</v>
      </c>
      <c r="E11" s="45"/>
    </row>
    <row r="12" customFormat="false" ht="15" hidden="false" customHeight="false" outlineLevel="0" collapsed="false">
      <c r="A12" s="42" t="n">
        <v>46254</v>
      </c>
      <c r="B12" s="43" t="s">
        <v>117</v>
      </c>
      <c r="C12" s="44" t="n">
        <v>50</v>
      </c>
      <c r="D12" s="44" t="n">
        <v>0</v>
      </c>
      <c r="E12" s="45"/>
    </row>
    <row r="13" customFormat="false" ht="15" hidden="false" customHeight="false" outlineLevel="0" collapsed="false">
      <c r="A13" s="42" t="n">
        <v>46254</v>
      </c>
      <c r="B13" s="43" t="s">
        <v>118</v>
      </c>
      <c r="C13" s="44" t="n">
        <v>3</v>
      </c>
      <c r="D13" s="44" t="n">
        <v>0</v>
      </c>
      <c r="E13" s="45"/>
    </row>
    <row r="14" customFormat="false" ht="15" hidden="false" customHeight="false" outlineLevel="0" collapsed="false">
      <c r="A14" s="42" t="n">
        <v>46254</v>
      </c>
      <c r="B14" s="43" t="s">
        <v>119</v>
      </c>
      <c r="C14" s="44" t="n">
        <v>50</v>
      </c>
      <c r="D14" s="44" t="n">
        <v>0</v>
      </c>
      <c r="E14" s="45"/>
    </row>
    <row r="15" customFormat="false" ht="15" hidden="false" customHeight="false" outlineLevel="0" collapsed="false">
      <c r="A15" s="42" t="n">
        <v>46254</v>
      </c>
      <c r="B15" s="43" t="s">
        <v>120</v>
      </c>
      <c r="C15" s="44" t="n">
        <v>33</v>
      </c>
      <c r="D15" s="44" t="n">
        <v>0</v>
      </c>
      <c r="E15" s="45"/>
    </row>
    <row r="16" customFormat="false" ht="15" hidden="false" customHeight="false" outlineLevel="0" collapsed="false">
      <c r="A16" s="42" t="n">
        <v>46254</v>
      </c>
      <c r="B16" s="43" t="s">
        <v>121</v>
      </c>
      <c r="C16" s="44" t="n">
        <v>156</v>
      </c>
      <c r="D16" s="44" t="n">
        <v>0</v>
      </c>
      <c r="E16" s="45"/>
    </row>
    <row r="17" customFormat="false" ht="15" hidden="false" customHeight="false" outlineLevel="0" collapsed="false">
      <c r="A17" s="42" t="n">
        <v>46254</v>
      </c>
      <c r="B17" s="43" t="s">
        <v>122</v>
      </c>
      <c r="C17" s="44" t="n">
        <v>596</v>
      </c>
      <c r="D17" s="44" t="n">
        <v>0</v>
      </c>
      <c r="E17" s="45"/>
    </row>
    <row r="18" customFormat="false" ht="15" hidden="false" customHeight="false" outlineLevel="0" collapsed="false">
      <c r="A18" s="42" t="n">
        <v>46254</v>
      </c>
      <c r="B18" s="43" t="s">
        <v>123</v>
      </c>
      <c r="C18" s="44" t="n">
        <v>52</v>
      </c>
      <c r="D18" s="44" t="n">
        <v>0</v>
      </c>
      <c r="E18" s="45"/>
    </row>
    <row r="19" customFormat="false" ht="15" hidden="false" customHeight="false" outlineLevel="0" collapsed="false">
      <c r="A19" s="42" t="n">
        <v>46254</v>
      </c>
      <c r="B19" s="43" t="s">
        <v>124</v>
      </c>
      <c r="C19" s="44" t="n">
        <v>1872</v>
      </c>
      <c r="D19" s="44" t="n">
        <v>0</v>
      </c>
      <c r="E19" s="45"/>
    </row>
    <row r="20" customFormat="false" ht="15" hidden="false" customHeight="false" outlineLevel="0" collapsed="false">
      <c r="A20" s="42" t="n">
        <v>46254</v>
      </c>
      <c r="B20" s="43" t="s">
        <v>125</v>
      </c>
      <c r="C20" s="44" t="n">
        <v>600</v>
      </c>
      <c r="D20" s="44" t="n">
        <v>0</v>
      </c>
      <c r="E20" s="45"/>
    </row>
    <row r="21" customFormat="false" ht="15" hidden="false" customHeight="false" outlineLevel="0" collapsed="false">
      <c r="A21" s="42"/>
      <c r="B21" s="43"/>
      <c r="C21" s="44"/>
      <c r="D21" s="44"/>
      <c r="E21" s="43"/>
    </row>
    <row r="22" customFormat="false" ht="15" hidden="false" customHeight="false" outlineLevel="0" collapsed="false">
      <c r="A22" s="42"/>
      <c r="B22" s="43"/>
      <c r="C22" s="44"/>
      <c r="D22" s="44"/>
      <c r="E22" s="43"/>
    </row>
    <row r="23" customFormat="false" ht="15" hidden="false" customHeight="false" outlineLevel="0" collapsed="false">
      <c r="A23" s="42"/>
      <c r="B23" s="43"/>
      <c r="C23" s="44"/>
      <c r="D23" s="44"/>
      <c r="E23" s="43"/>
    </row>
    <row r="24" customFormat="false" ht="15" hidden="false" customHeight="false" outlineLevel="0" collapsed="false">
      <c r="A24" s="42"/>
      <c r="B24" s="43"/>
      <c r="C24" s="44"/>
      <c r="D24" s="44"/>
      <c r="E24" s="43"/>
    </row>
    <row r="25" customFormat="false" ht="15" hidden="false" customHeight="false" outlineLevel="0" collapsed="false">
      <c r="A25" s="42"/>
      <c r="B25" s="43"/>
      <c r="C25" s="44"/>
      <c r="D25" s="44"/>
      <c r="E25" s="43"/>
    </row>
    <row r="26" customFormat="false" ht="15" hidden="false" customHeight="false" outlineLevel="0" collapsed="false">
      <c r="A26" s="42"/>
      <c r="B26" s="43"/>
      <c r="C26" s="44"/>
      <c r="D26" s="44"/>
      <c r="E26" s="43"/>
    </row>
    <row r="27" customFormat="false" ht="15" hidden="false" customHeight="false" outlineLevel="0" collapsed="false">
      <c r="A27" s="42"/>
      <c r="B27" s="43"/>
      <c r="C27" s="44"/>
      <c r="D27" s="44"/>
      <c r="E27" s="43"/>
    </row>
    <row r="28" customFormat="false" ht="15" hidden="false" customHeight="false" outlineLevel="0" collapsed="false">
      <c r="A28" s="42"/>
      <c r="B28" s="43"/>
      <c r="C28" s="44"/>
      <c r="D28" s="44"/>
      <c r="E28" s="43"/>
    </row>
    <row r="29" customFormat="false" ht="15" hidden="false" customHeight="false" outlineLevel="0" collapsed="false">
      <c r="A29" s="42"/>
      <c r="B29" s="43"/>
      <c r="C29" s="44"/>
      <c r="D29" s="44"/>
      <c r="E29" s="43"/>
    </row>
    <row r="30" customFormat="false" ht="15" hidden="false" customHeight="false" outlineLevel="0" collapsed="false">
      <c r="A30" s="42"/>
      <c r="B30" s="43"/>
      <c r="C30" s="44"/>
      <c r="D30" s="44"/>
      <c r="E30" s="43"/>
    </row>
    <row r="31" customFormat="false" ht="15" hidden="false" customHeight="false" outlineLevel="0" collapsed="false">
      <c r="A31" s="42"/>
      <c r="B31" s="43"/>
      <c r="C31" s="44"/>
      <c r="D31" s="44"/>
      <c r="E31" s="43"/>
    </row>
    <row r="32" customFormat="false" ht="15" hidden="false" customHeight="false" outlineLevel="0" collapsed="false">
      <c r="A32" s="42"/>
      <c r="B32" s="43"/>
      <c r="C32" s="44"/>
      <c r="D32" s="44"/>
      <c r="E32" s="43"/>
    </row>
    <row r="33" customFormat="false" ht="15" hidden="false" customHeight="false" outlineLevel="0" collapsed="false">
      <c r="A33" s="42"/>
      <c r="B33" s="43"/>
      <c r="C33" s="44"/>
      <c r="D33" s="44"/>
      <c r="E33" s="43"/>
    </row>
    <row r="34" customFormat="false" ht="15" hidden="false" customHeight="false" outlineLevel="0" collapsed="false">
      <c r="A34" s="42"/>
      <c r="B34" s="43"/>
      <c r="C34" s="44"/>
      <c r="D34" s="44"/>
      <c r="E34" s="43"/>
    </row>
    <row r="35" customFormat="false" ht="15" hidden="false" customHeight="false" outlineLevel="0" collapsed="false">
      <c r="A35" s="42"/>
      <c r="B35" s="43"/>
      <c r="C35" s="44"/>
      <c r="D35" s="44"/>
      <c r="E35" s="43"/>
    </row>
    <row r="36" customFormat="false" ht="15" hidden="false" customHeight="false" outlineLevel="0" collapsed="false">
      <c r="A36" s="42"/>
      <c r="B36" s="43"/>
      <c r="C36" s="44"/>
      <c r="D36" s="44"/>
      <c r="E36" s="43"/>
    </row>
    <row r="37" customFormat="false" ht="15" hidden="false" customHeight="false" outlineLevel="0" collapsed="false">
      <c r="A37" s="42"/>
      <c r="B37" s="43"/>
      <c r="C37" s="44"/>
      <c r="D37" s="44"/>
      <c r="E37" s="43"/>
    </row>
    <row r="38" customFormat="false" ht="15" hidden="false" customHeight="false" outlineLevel="0" collapsed="false">
      <c r="A38" s="42"/>
      <c r="B38" s="43"/>
      <c r="C38" s="44"/>
      <c r="D38" s="44"/>
      <c r="E38" s="43"/>
    </row>
    <row r="39" customFormat="false" ht="15" hidden="false" customHeight="false" outlineLevel="0" collapsed="false">
      <c r="A39" s="42"/>
      <c r="B39" s="43"/>
      <c r="C39" s="44"/>
      <c r="D39" s="44"/>
      <c r="E39" s="43"/>
    </row>
    <row r="40" customFormat="false" ht="15" hidden="false" customHeight="false" outlineLevel="0" collapsed="false">
      <c r="A40" s="42"/>
      <c r="B40" s="43"/>
      <c r="C40" s="44"/>
      <c r="D40" s="44"/>
      <c r="E40" s="43"/>
    </row>
    <row r="41" customFormat="false" ht="15" hidden="false" customHeight="false" outlineLevel="0" collapsed="false">
      <c r="A41" s="42"/>
      <c r="B41" s="43"/>
      <c r="C41" s="44"/>
      <c r="D41" s="44"/>
      <c r="E41" s="43"/>
    </row>
    <row r="42" customFormat="false" ht="15" hidden="false" customHeight="false" outlineLevel="0" collapsed="false">
      <c r="A42" s="42"/>
      <c r="B42" s="43"/>
      <c r="C42" s="44"/>
      <c r="D42" s="44"/>
      <c r="E42" s="43"/>
    </row>
    <row r="43" customFormat="false" ht="15" hidden="false" customHeight="false" outlineLevel="0" collapsed="false">
      <c r="A43" s="42"/>
      <c r="B43" s="43"/>
      <c r="C43" s="44"/>
      <c r="D43" s="44"/>
      <c r="E43" s="43"/>
    </row>
    <row r="44" customFormat="false" ht="15" hidden="false" customHeight="false" outlineLevel="0" collapsed="false">
      <c r="A44" s="42"/>
      <c r="B44" s="43"/>
      <c r="C44" s="44"/>
      <c r="D44" s="44"/>
      <c r="E44" s="43"/>
    </row>
    <row r="45" customFormat="false" ht="15" hidden="false" customHeight="false" outlineLevel="0" collapsed="false">
      <c r="A45" s="42"/>
      <c r="B45" s="43"/>
      <c r="C45" s="44"/>
      <c r="D45" s="44"/>
      <c r="E45" s="43"/>
    </row>
    <row r="46" customFormat="false" ht="15" hidden="false" customHeight="false" outlineLevel="0" collapsed="false">
      <c r="A46" s="42"/>
      <c r="B46" s="43"/>
      <c r="C46" s="44"/>
      <c r="D46" s="44"/>
      <c r="E46" s="43"/>
    </row>
    <row r="47" customFormat="false" ht="15" hidden="false" customHeight="false" outlineLevel="0" collapsed="false">
      <c r="A47" s="42"/>
      <c r="B47" s="43"/>
      <c r="C47" s="44"/>
      <c r="D47" s="44"/>
      <c r="E47" s="43"/>
    </row>
    <row r="48" customFormat="false" ht="15" hidden="false" customHeight="false" outlineLevel="0" collapsed="false">
      <c r="A48" s="42"/>
      <c r="B48" s="43"/>
      <c r="C48" s="44"/>
      <c r="D48" s="44"/>
      <c r="E48" s="43"/>
    </row>
    <row r="49" customFormat="false" ht="15" hidden="false" customHeight="false" outlineLevel="0" collapsed="false">
      <c r="A49" s="42"/>
      <c r="B49" s="43"/>
      <c r="C49" s="44"/>
      <c r="D49" s="44"/>
      <c r="E49" s="43"/>
    </row>
    <row r="50" customFormat="false" ht="15" hidden="false" customHeight="false" outlineLevel="0" collapsed="false">
      <c r="A50" s="42"/>
      <c r="B50" s="43"/>
      <c r="C50" s="44"/>
      <c r="D50" s="44"/>
      <c r="E50" s="43"/>
    </row>
    <row r="51" customFormat="false" ht="15" hidden="false" customHeight="false" outlineLevel="0" collapsed="false">
      <c r="A51" s="42"/>
      <c r="B51" s="43"/>
      <c r="C51" s="44"/>
      <c r="D51" s="44"/>
      <c r="E51" s="43"/>
    </row>
    <row r="52" customFormat="false" ht="15" hidden="false" customHeight="false" outlineLevel="0" collapsed="false">
      <c r="A52" s="42"/>
      <c r="B52" s="43"/>
      <c r="C52" s="44"/>
      <c r="D52" s="44"/>
      <c r="E52" s="43"/>
    </row>
    <row r="53" customFormat="false" ht="15" hidden="false" customHeight="false" outlineLevel="0" collapsed="false">
      <c r="A53" s="42"/>
      <c r="B53" s="43"/>
      <c r="C53" s="44"/>
      <c r="D53" s="44"/>
      <c r="E53" s="43"/>
    </row>
    <row r="54" customFormat="false" ht="15" hidden="false" customHeight="false" outlineLevel="0" collapsed="false">
      <c r="A54" s="42"/>
      <c r="B54" s="43"/>
      <c r="C54" s="44"/>
      <c r="D54" s="44"/>
      <c r="E54" s="43"/>
    </row>
    <row r="55" customFormat="false" ht="15" hidden="false" customHeight="false" outlineLevel="0" collapsed="false">
      <c r="A55" s="42"/>
      <c r="B55" s="43"/>
      <c r="C55" s="44"/>
      <c r="D55" s="44"/>
      <c r="E55" s="43"/>
    </row>
    <row r="56" customFormat="false" ht="15" hidden="false" customHeight="false" outlineLevel="0" collapsed="false">
      <c r="A56" s="42"/>
      <c r="B56" s="43"/>
      <c r="C56" s="44"/>
      <c r="D56" s="44"/>
      <c r="E56" s="43"/>
    </row>
    <row r="57" customFormat="false" ht="15" hidden="false" customHeight="false" outlineLevel="0" collapsed="false">
      <c r="A57" s="42"/>
      <c r="B57" s="43"/>
      <c r="C57" s="44"/>
      <c r="D57" s="44"/>
      <c r="E57" s="43"/>
    </row>
    <row r="58" customFormat="false" ht="15" hidden="false" customHeight="false" outlineLevel="0" collapsed="false">
      <c r="A58" s="42"/>
      <c r="B58" s="43"/>
      <c r="C58" s="44"/>
      <c r="D58" s="44"/>
      <c r="E58" s="43"/>
    </row>
    <row r="59" customFormat="false" ht="15" hidden="false" customHeight="false" outlineLevel="0" collapsed="false">
      <c r="A59" s="42"/>
      <c r="B59" s="43"/>
      <c r="C59" s="44"/>
      <c r="D59" s="44"/>
      <c r="E59" s="43"/>
    </row>
    <row r="60" customFormat="false" ht="15" hidden="false" customHeight="false" outlineLevel="0" collapsed="false">
      <c r="A60" s="42"/>
      <c r="B60" s="43"/>
      <c r="C60" s="44"/>
      <c r="D60" s="44"/>
      <c r="E60" s="43"/>
    </row>
    <row r="61" customFormat="false" ht="15" hidden="false" customHeight="false" outlineLevel="0" collapsed="false">
      <c r="A61" s="42"/>
      <c r="B61" s="43"/>
      <c r="C61" s="44"/>
      <c r="D61" s="44"/>
      <c r="E61" s="43"/>
    </row>
    <row r="62" customFormat="false" ht="15" hidden="false" customHeight="false" outlineLevel="0" collapsed="false">
      <c r="A62" s="42"/>
      <c r="B62" s="43"/>
      <c r="C62" s="44"/>
      <c r="D62" s="44"/>
      <c r="E62" s="43"/>
    </row>
    <row r="63" customFormat="false" ht="15" hidden="false" customHeight="false" outlineLevel="0" collapsed="false">
      <c r="A63" s="42"/>
      <c r="B63" s="43"/>
      <c r="C63" s="44"/>
      <c r="D63" s="44"/>
      <c r="E63" s="43"/>
    </row>
    <row r="64" customFormat="false" ht="15" hidden="false" customHeight="false" outlineLevel="0" collapsed="false">
      <c r="A64" s="42"/>
      <c r="B64" s="43"/>
      <c r="C64" s="44"/>
      <c r="D64" s="44"/>
      <c r="E64" s="43"/>
    </row>
    <row r="65" customFormat="false" ht="15" hidden="false" customHeight="false" outlineLevel="0" collapsed="false">
      <c r="A65" s="42"/>
      <c r="B65" s="43"/>
      <c r="C65" s="44"/>
      <c r="D65" s="44"/>
      <c r="E65" s="43"/>
    </row>
    <row r="66" customFormat="false" ht="15" hidden="false" customHeight="false" outlineLevel="0" collapsed="false">
      <c r="A66" s="42"/>
      <c r="B66" s="43"/>
      <c r="C66" s="44"/>
      <c r="D66" s="44"/>
      <c r="E66" s="43"/>
    </row>
    <row r="67" customFormat="false" ht="15" hidden="false" customHeight="false" outlineLevel="0" collapsed="false">
      <c r="A67" s="42"/>
      <c r="B67" s="43"/>
      <c r="C67" s="44"/>
      <c r="D67" s="44"/>
      <c r="E67" s="43"/>
    </row>
    <row r="68" customFormat="false" ht="15" hidden="false" customHeight="false" outlineLevel="0" collapsed="false">
      <c r="A68" s="42"/>
      <c r="B68" s="43"/>
      <c r="C68" s="44"/>
      <c r="D68" s="44"/>
      <c r="E68" s="43"/>
    </row>
    <row r="69" customFormat="false" ht="15" hidden="false" customHeight="false" outlineLevel="0" collapsed="false">
      <c r="A69" s="42"/>
      <c r="B69" s="43"/>
      <c r="C69" s="44"/>
      <c r="D69" s="44"/>
      <c r="E69" s="43"/>
    </row>
    <row r="70" customFormat="false" ht="15" hidden="false" customHeight="false" outlineLevel="0" collapsed="false">
      <c r="A70" s="42"/>
      <c r="B70" s="43"/>
      <c r="C70" s="44"/>
      <c r="D70" s="44"/>
      <c r="E70" s="43"/>
    </row>
    <row r="71" customFormat="false" ht="15" hidden="false" customHeight="false" outlineLevel="0" collapsed="false">
      <c r="A71" s="42"/>
      <c r="B71" s="43"/>
      <c r="C71" s="44"/>
      <c r="D71" s="44"/>
      <c r="E71" s="43"/>
    </row>
    <row r="72" customFormat="false" ht="15" hidden="false" customHeight="false" outlineLevel="0" collapsed="false">
      <c r="A72" s="42"/>
      <c r="B72" s="43"/>
      <c r="C72" s="44"/>
      <c r="D72" s="44"/>
      <c r="E72" s="43"/>
    </row>
    <row r="73" customFormat="false" ht="15" hidden="false" customHeight="false" outlineLevel="0" collapsed="false">
      <c r="A73" s="42"/>
      <c r="B73" s="43"/>
      <c r="C73" s="44"/>
      <c r="D73" s="44"/>
      <c r="E73" s="43"/>
    </row>
    <row r="74" customFormat="false" ht="15" hidden="false" customHeight="false" outlineLevel="0" collapsed="false">
      <c r="A74" s="42"/>
      <c r="B74" s="43"/>
      <c r="C74" s="44"/>
      <c r="D74" s="44"/>
      <c r="E74" s="43"/>
    </row>
    <row r="75" customFormat="false" ht="15" hidden="false" customHeight="false" outlineLevel="0" collapsed="false">
      <c r="A75" s="42"/>
      <c r="B75" s="43"/>
      <c r="C75" s="44"/>
      <c r="D75" s="44"/>
      <c r="E75" s="43"/>
    </row>
    <row r="76" customFormat="false" ht="15" hidden="false" customHeight="false" outlineLevel="0" collapsed="false">
      <c r="A76" s="42"/>
      <c r="B76" s="43"/>
      <c r="C76" s="44"/>
      <c r="D76" s="44"/>
      <c r="E76" s="43"/>
    </row>
    <row r="77" customFormat="false" ht="15" hidden="false" customHeight="false" outlineLevel="0" collapsed="false">
      <c r="A77" s="42"/>
      <c r="B77" s="43"/>
      <c r="C77" s="44"/>
      <c r="D77" s="44"/>
      <c r="E77" s="43"/>
    </row>
    <row r="78" customFormat="false" ht="15" hidden="false" customHeight="false" outlineLevel="0" collapsed="false">
      <c r="A78" s="42"/>
      <c r="B78" s="43"/>
      <c r="C78" s="44"/>
      <c r="D78" s="44"/>
      <c r="E78" s="43"/>
    </row>
    <row r="79" customFormat="false" ht="15" hidden="false" customHeight="false" outlineLevel="0" collapsed="false">
      <c r="A79" s="42"/>
      <c r="B79" s="43"/>
      <c r="C79" s="44"/>
      <c r="D79" s="44"/>
      <c r="E79" s="43"/>
    </row>
    <row r="80" customFormat="false" ht="15" hidden="false" customHeight="false" outlineLevel="0" collapsed="false">
      <c r="A80" s="42"/>
      <c r="B80" s="43"/>
      <c r="C80" s="44"/>
      <c r="D80" s="44"/>
      <c r="E80" s="43"/>
    </row>
    <row r="81" customFormat="false" ht="15" hidden="false" customHeight="false" outlineLevel="0" collapsed="false">
      <c r="A81" s="42"/>
      <c r="B81" s="43"/>
      <c r="C81" s="44"/>
      <c r="D81" s="44"/>
      <c r="E81" s="43"/>
    </row>
    <row r="82" customFormat="false" ht="15" hidden="false" customHeight="false" outlineLevel="0" collapsed="false">
      <c r="A82" s="42"/>
      <c r="B82" s="43"/>
      <c r="C82" s="44"/>
      <c r="D82" s="44"/>
      <c r="E82" s="43"/>
    </row>
    <row r="83" customFormat="false" ht="15" hidden="false" customHeight="false" outlineLevel="0" collapsed="false">
      <c r="A83" s="42"/>
      <c r="B83" s="43"/>
      <c r="C83" s="44"/>
      <c r="D83" s="44"/>
      <c r="E83" s="43"/>
    </row>
    <row r="84" customFormat="false" ht="15" hidden="false" customHeight="false" outlineLevel="0" collapsed="false">
      <c r="A84" s="42"/>
      <c r="B84" s="43"/>
      <c r="C84" s="44"/>
      <c r="D84" s="44"/>
      <c r="E84" s="43"/>
    </row>
    <row r="85" customFormat="false" ht="15" hidden="false" customHeight="false" outlineLevel="0" collapsed="false">
      <c r="A85" s="42"/>
      <c r="B85" s="43"/>
      <c r="C85" s="44"/>
      <c r="D85" s="44"/>
      <c r="E85" s="43"/>
    </row>
    <row r="86" customFormat="false" ht="15" hidden="false" customHeight="false" outlineLevel="0" collapsed="false">
      <c r="A86" s="42"/>
      <c r="B86" s="43"/>
      <c r="C86" s="44"/>
      <c r="D86" s="44"/>
      <c r="E86" s="43"/>
    </row>
    <row r="87" customFormat="false" ht="15" hidden="false" customHeight="false" outlineLevel="0" collapsed="false">
      <c r="A87" s="42"/>
      <c r="B87" s="43"/>
      <c r="C87" s="44"/>
      <c r="D87" s="44"/>
      <c r="E87" s="43"/>
    </row>
    <row r="88" customFormat="false" ht="15" hidden="false" customHeight="false" outlineLevel="0" collapsed="false">
      <c r="A88" s="42"/>
      <c r="B88" s="43"/>
      <c r="C88" s="44"/>
      <c r="D88" s="44"/>
      <c r="E88" s="43"/>
    </row>
    <row r="89" customFormat="false" ht="15" hidden="false" customHeight="false" outlineLevel="0" collapsed="false">
      <c r="A89" s="42"/>
      <c r="B89" s="43"/>
      <c r="C89" s="44"/>
      <c r="D89" s="44"/>
      <c r="E89" s="43"/>
    </row>
    <row r="90" customFormat="false" ht="15" hidden="false" customHeight="false" outlineLevel="0" collapsed="false">
      <c r="A90" s="42"/>
      <c r="B90" s="43"/>
      <c r="C90" s="44"/>
      <c r="D90" s="44"/>
      <c r="E90" s="43"/>
    </row>
    <row r="91" customFormat="false" ht="15" hidden="false" customHeight="false" outlineLevel="0" collapsed="false">
      <c r="A91" s="42"/>
      <c r="B91" s="43"/>
      <c r="C91" s="44"/>
      <c r="D91" s="44"/>
      <c r="E91" s="43"/>
    </row>
    <row r="92" customFormat="false" ht="15" hidden="false" customHeight="false" outlineLevel="0" collapsed="false">
      <c r="A92" s="42"/>
      <c r="B92" s="43"/>
      <c r="C92" s="44"/>
      <c r="D92" s="44"/>
      <c r="E92" s="43"/>
    </row>
    <row r="93" customFormat="false" ht="15" hidden="false" customHeight="false" outlineLevel="0" collapsed="false">
      <c r="A93" s="42"/>
      <c r="B93" s="43"/>
      <c r="C93" s="44"/>
      <c r="D93" s="44"/>
      <c r="E93" s="43"/>
    </row>
    <row r="94" customFormat="false" ht="15" hidden="false" customHeight="false" outlineLevel="0" collapsed="false">
      <c r="A94" s="42"/>
      <c r="B94" s="43"/>
      <c r="C94" s="44"/>
      <c r="D94" s="44"/>
      <c r="E94" s="43"/>
    </row>
    <row r="95" customFormat="false" ht="15" hidden="false" customHeight="false" outlineLevel="0" collapsed="false">
      <c r="A95" s="42"/>
      <c r="B95" s="43"/>
      <c r="C95" s="44"/>
      <c r="D95" s="44"/>
      <c r="E95" s="43"/>
    </row>
    <row r="96" customFormat="false" ht="15" hidden="false" customHeight="false" outlineLevel="0" collapsed="false">
      <c r="A96" s="42"/>
      <c r="B96" s="43"/>
      <c r="C96" s="44"/>
      <c r="D96" s="44"/>
      <c r="E96" s="43"/>
    </row>
    <row r="97" customFormat="false" ht="15" hidden="false" customHeight="false" outlineLevel="0" collapsed="false">
      <c r="A97" s="42"/>
      <c r="B97" s="43"/>
      <c r="C97" s="44"/>
      <c r="D97" s="44"/>
      <c r="E97" s="43"/>
    </row>
    <row r="98" customFormat="false" ht="15" hidden="false" customHeight="false" outlineLevel="0" collapsed="false">
      <c r="A98" s="42"/>
      <c r="B98" s="43"/>
      <c r="C98" s="44"/>
      <c r="D98" s="44"/>
      <c r="E98" s="43"/>
    </row>
    <row r="99" customFormat="false" ht="15" hidden="false" customHeight="false" outlineLevel="0" collapsed="false">
      <c r="A99" s="42"/>
      <c r="B99" s="43"/>
      <c r="C99" s="44"/>
      <c r="D99" s="44"/>
      <c r="E99" s="43"/>
    </row>
    <row r="100" customFormat="false" ht="15" hidden="false" customHeight="false" outlineLevel="0" collapsed="false">
      <c r="A100" s="42"/>
      <c r="B100" s="43"/>
      <c r="C100" s="44"/>
      <c r="D100" s="44"/>
      <c r="E100" s="43"/>
    </row>
    <row r="101" customFormat="false" ht="15" hidden="false" customHeight="false" outlineLevel="0" collapsed="false">
      <c r="A101" s="42"/>
      <c r="B101" s="43"/>
      <c r="C101" s="44"/>
      <c r="D101" s="44"/>
      <c r="E101" s="43"/>
    </row>
    <row r="102" customFormat="false" ht="15" hidden="false" customHeight="false" outlineLevel="0" collapsed="false">
      <c r="A102" s="42"/>
      <c r="B102" s="43"/>
      <c r="C102" s="44"/>
      <c r="D102" s="44"/>
      <c r="E102" s="43"/>
    </row>
    <row r="103" customFormat="false" ht="15" hidden="false" customHeight="false" outlineLevel="0" collapsed="false">
      <c r="A103" s="42"/>
      <c r="B103" s="43"/>
      <c r="C103" s="44"/>
      <c r="D103" s="44"/>
      <c r="E103" s="43"/>
    </row>
    <row r="104" customFormat="false" ht="15" hidden="false" customHeight="false" outlineLevel="0" collapsed="false">
      <c r="A104" s="42"/>
      <c r="B104" s="43"/>
      <c r="C104" s="44"/>
      <c r="D104" s="44"/>
      <c r="E104" s="43"/>
    </row>
    <row r="105" customFormat="false" ht="15" hidden="false" customHeight="false" outlineLevel="0" collapsed="false">
      <c r="A105" s="42"/>
      <c r="B105" s="43"/>
      <c r="C105" s="44"/>
      <c r="D105" s="44"/>
      <c r="E105" s="43"/>
    </row>
    <row r="106" customFormat="false" ht="15" hidden="false" customHeight="false" outlineLevel="0" collapsed="false">
      <c r="A106" s="42"/>
      <c r="B106" s="43"/>
      <c r="C106" s="44"/>
      <c r="D106" s="44"/>
      <c r="E106" s="43"/>
    </row>
    <row r="107" customFormat="false" ht="15" hidden="false" customHeight="false" outlineLevel="0" collapsed="false">
      <c r="A107" s="42"/>
      <c r="B107" s="43"/>
      <c r="C107" s="44"/>
      <c r="D107" s="44"/>
      <c r="E107" s="43"/>
    </row>
    <row r="108" customFormat="false" ht="15" hidden="false" customHeight="false" outlineLevel="0" collapsed="false">
      <c r="A108" s="42"/>
      <c r="B108" s="43"/>
      <c r="C108" s="44"/>
      <c r="D108" s="44"/>
      <c r="E108" s="43"/>
    </row>
    <row r="109" customFormat="false" ht="15" hidden="false" customHeight="false" outlineLevel="0" collapsed="false">
      <c r="A109" s="42"/>
      <c r="B109" s="43"/>
      <c r="C109" s="44"/>
      <c r="D109" s="44"/>
      <c r="E109" s="43"/>
    </row>
    <row r="110" customFormat="false" ht="15" hidden="false" customHeight="false" outlineLevel="0" collapsed="false">
      <c r="A110" s="42"/>
      <c r="B110" s="43"/>
      <c r="C110" s="44"/>
      <c r="D110" s="44"/>
      <c r="E110" s="43"/>
    </row>
    <row r="111" customFormat="false" ht="15" hidden="false" customHeight="false" outlineLevel="0" collapsed="false">
      <c r="A111" s="42"/>
      <c r="B111" s="43"/>
      <c r="C111" s="44"/>
      <c r="D111" s="44"/>
      <c r="E111" s="43"/>
    </row>
    <row r="112" customFormat="false" ht="15" hidden="false" customHeight="false" outlineLevel="0" collapsed="false">
      <c r="A112" s="42"/>
      <c r="B112" s="43"/>
      <c r="C112" s="44"/>
      <c r="D112" s="44"/>
      <c r="E112" s="43"/>
    </row>
    <row r="113" customFormat="false" ht="15" hidden="false" customHeight="false" outlineLevel="0" collapsed="false">
      <c r="A113" s="42"/>
      <c r="B113" s="43"/>
      <c r="C113" s="44"/>
      <c r="D113" s="44"/>
      <c r="E113" s="43"/>
    </row>
    <row r="114" customFormat="false" ht="15" hidden="false" customHeight="false" outlineLevel="0" collapsed="false">
      <c r="A114" s="42"/>
      <c r="B114" s="43"/>
      <c r="C114" s="44"/>
      <c r="D114" s="44"/>
      <c r="E114" s="43"/>
    </row>
    <row r="115" customFormat="false" ht="15" hidden="false" customHeight="false" outlineLevel="0" collapsed="false">
      <c r="A115" s="42"/>
      <c r="B115" s="43"/>
      <c r="C115" s="44"/>
      <c r="D115" s="44"/>
      <c r="E115" s="43"/>
    </row>
    <row r="116" customFormat="false" ht="15" hidden="false" customHeight="false" outlineLevel="0" collapsed="false">
      <c r="A116" s="42"/>
      <c r="B116" s="43"/>
      <c r="C116" s="44"/>
      <c r="D116" s="44"/>
      <c r="E116" s="43"/>
    </row>
    <row r="117" customFormat="false" ht="15" hidden="false" customHeight="false" outlineLevel="0" collapsed="false">
      <c r="A117" s="42"/>
      <c r="B117" s="43"/>
      <c r="C117" s="44"/>
      <c r="D117" s="44"/>
      <c r="E117" s="43"/>
    </row>
    <row r="118" customFormat="false" ht="15" hidden="false" customHeight="false" outlineLevel="0" collapsed="false">
      <c r="A118" s="42"/>
      <c r="B118" s="43"/>
      <c r="C118" s="44"/>
      <c r="D118" s="44"/>
      <c r="E118" s="43"/>
    </row>
    <row r="119" customFormat="false" ht="15" hidden="false" customHeight="false" outlineLevel="0" collapsed="false">
      <c r="A119" s="42"/>
      <c r="B119" s="43"/>
      <c r="C119" s="44"/>
      <c r="D119" s="44"/>
      <c r="E119" s="43"/>
    </row>
    <row r="120" customFormat="false" ht="15" hidden="false" customHeight="false" outlineLevel="0" collapsed="false">
      <c r="A120" s="42"/>
      <c r="B120" s="43"/>
      <c r="C120" s="44"/>
      <c r="D120" s="44"/>
      <c r="E120" s="43"/>
    </row>
    <row r="121" customFormat="false" ht="15" hidden="false" customHeight="false" outlineLevel="0" collapsed="false">
      <c r="A121" s="42"/>
      <c r="B121" s="43"/>
      <c r="C121" s="44"/>
      <c r="D121" s="44"/>
      <c r="E121" s="43"/>
    </row>
    <row r="122" customFormat="false" ht="15" hidden="false" customHeight="false" outlineLevel="0" collapsed="false">
      <c r="A122" s="42"/>
      <c r="B122" s="43"/>
      <c r="C122" s="44"/>
      <c r="D122" s="44"/>
      <c r="E122" s="43"/>
    </row>
    <row r="123" customFormat="false" ht="15" hidden="false" customHeight="false" outlineLevel="0" collapsed="false">
      <c r="A123" s="42"/>
      <c r="B123" s="43"/>
      <c r="C123" s="44"/>
      <c r="D123" s="44"/>
      <c r="E123" s="43"/>
    </row>
    <row r="124" customFormat="false" ht="15" hidden="false" customHeight="false" outlineLevel="0" collapsed="false">
      <c r="A124" s="42"/>
      <c r="B124" s="43"/>
      <c r="C124" s="44"/>
      <c r="D124" s="44"/>
      <c r="E124" s="43"/>
    </row>
    <row r="125" customFormat="false" ht="15" hidden="false" customHeight="false" outlineLevel="0" collapsed="false">
      <c r="A125" s="42"/>
      <c r="B125" s="43"/>
      <c r="C125" s="44"/>
      <c r="D125" s="44"/>
      <c r="E125" s="43"/>
    </row>
    <row r="126" customFormat="false" ht="15" hidden="false" customHeight="false" outlineLevel="0" collapsed="false">
      <c r="A126" s="42"/>
      <c r="B126" s="43"/>
      <c r="C126" s="44"/>
      <c r="D126" s="44"/>
      <c r="E126" s="43"/>
    </row>
    <row r="127" customFormat="false" ht="15" hidden="false" customHeight="false" outlineLevel="0" collapsed="false">
      <c r="A127" s="42"/>
      <c r="B127" s="43"/>
      <c r="C127" s="44"/>
      <c r="D127" s="44"/>
      <c r="E127" s="43"/>
    </row>
    <row r="128" customFormat="false" ht="15" hidden="false" customHeight="false" outlineLevel="0" collapsed="false">
      <c r="A128" s="42"/>
      <c r="B128" s="43"/>
      <c r="C128" s="44"/>
      <c r="D128" s="44"/>
      <c r="E128" s="43"/>
    </row>
    <row r="129" customFormat="false" ht="15" hidden="false" customHeight="false" outlineLevel="0" collapsed="false">
      <c r="A129" s="42"/>
      <c r="B129" s="43"/>
      <c r="C129" s="44"/>
      <c r="D129" s="44"/>
      <c r="E129" s="43"/>
    </row>
    <row r="130" customFormat="false" ht="15" hidden="false" customHeight="false" outlineLevel="0" collapsed="false">
      <c r="A130" s="42"/>
      <c r="B130" s="43"/>
      <c r="C130" s="44"/>
      <c r="D130" s="44"/>
      <c r="E130" s="43"/>
    </row>
    <row r="131" customFormat="false" ht="15" hidden="false" customHeight="false" outlineLevel="0" collapsed="false">
      <c r="A131" s="42"/>
      <c r="B131" s="43"/>
      <c r="C131" s="44"/>
      <c r="D131" s="44"/>
      <c r="E131" s="43"/>
    </row>
    <row r="132" customFormat="false" ht="15" hidden="false" customHeight="false" outlineLevel="0" collapsed="false">
      <c r="A132" s="42"/>
      <c r="B132" s="43"/>
      <c r="C132" s="44"/>
      <c r="D132" s="44"/>
      <c r="E132" s="43"/>
    </row>
    <row r="133" customFormat="false" ht="15" hidden="false" customHeight="false" outlineLevel="0" collapsed="false">
      <c r="A133" s="42"/>
      <c r="B133" s="43"/>
      <c r="C133" s="44"/>
      <c r="D133" s="44"/>
      <c r="E133" s="43"/>
    </row>
    <row r="134" customFormat="false" ht="15" hidden="false" customHeight="false" outlineLevel="0" collapsed="false">
      <c r="A134" s="42"/>
      <c r="B134" s="43"/>
      <c r="C134" s="44"/>
      <c r="D134" s="44"/>
      <c r="E134" s="43"/>
    </row>
    <row r="135" customFormat="false" ht="15" hidden="false" customHeight="false" outlineLevel="0" collapsed="false">
      <c r="A135" s="42"/>
      <c r="B135" s="43"/>
      <c r="C135" s="44"/>
      <c r="D135" s="44"/>
      <c r="E135" s="43"/>
    </row>
    <row r="136" customFormat="false" ht="15" hidden="false" customHeight="false" outlineLevel="0" collapsed="false">
      <c r="A136" s="42"/>
      <c r="B136" s="43"/>
      <c r="C136" s="44"/>
      <c r="D136" s="44"/>
      <c r="E136" s="43"/>
    </row>
    <row r="137" customFormat="false" ht="15" hidden="false" customHeight="false" outlineLevel="0" collapsed="false">
      <c r="A137" s="42"/>
      <c r="B137" s="43"/>
      <c r="C137" s="44"/>
      <c r="D137" s="44"/>
      <c r="E137" s="43"/>
    </row>
    <row r="138" customFormat="false" ht="15" hidden="false" customHeight="false" outlineLevel="0" collapsed="false">
      <c r="A138" s="42"/>
      <c r="B138" s="43"/>
      <c r="C138" s="44"/>
      <c r="D138" s="44"/>
      <c r="E138" s="43"/>
    </row>
    <row r="139" customFormat="false" ht="15" hidden="false" customHeight="false" outlineLevel="0" collapsed="false">
      <c r="A139" s="42"/>
      <c r="B139" s="43"/>
      <c r="C139" s="44"/>
      <c r="D139" s="44"/>
      <c r="E139" s="43"/>
    </row>
    <row r="140" customFormat="false" ht="15" hidden="false" customHeight="false" outlineLevel="0" collapsed="false">
      <c r="A140" s="42"/>
      <c r="B140" s="43"/>
      <c r="C140" s="44"/>
      <c r="D140" s="44"/>
      <c r="E140" s="43"/>
    </row>
    <row r="141" customFormat="false" ht="15" hidden="false" customHeight="false" outlineLevel="0" collapsed="false">
      <c r="A141" s="42"/>
      <c r="B141" s="43"/>
      <c r="C141" s="44"/>
      <c r="D141" s="44"/>
      <c r="E141" s="43"/>
    </row>
    <row r="142" customFormat="false" ht="15" hidden="false" customHeight="false" outlineLevel="0" collapsed="false">
      <c r="A142" s="42"/>
      <c r="B142" s="43"/>
      <c r="C142" s="44"/>
      <c r="D142" s="44"/>
      <c r="E142" s="43"/>
    </row>
    <row r="143" customFormat="false" ht="15" hidden="false" customHeight="false" outlineLevel="0" collapsed="false">
      <c r="A143" s="42"/>
      <c r="B143" s="43"/>
      <c r="C143" s="44"/>
      <c r="D143" s="44"/>
      <c r="E143" s="43"/>
    </row>
    <row r="144" customFormat="false" ht="15" hidden="false" customHeight="false" outlineLevel="0" collapsed="false">
      <c r="A144" s="42"/>
      <c r="B144" s="43"/>
      <c r="C144" s="44"/>
      <c r="D144" s="44"/>
      <c r="E144" s="43"/>
    </row>
    <row r="145" customFormat="false" ht="15" hidden="false" customHeight="false" outlineLevel="0" collapsed="false">
      <c r="A145" s="42"/>
      <c r="B145" s="43"/>
      <c r="C145" s="44"/>
      <c r="D145" s="44"/>
      <c r="E145" s="43"/>
    </row>
    <row r="146" customFormat="false" ht="15" hidden="false" customHeight="false" outlineLevel="0" collapsed="false">
      <c r="A146" s="42"/>
      <c r="B146" s="43"/>
      <c r="C146" s="44"/>
      <c r="D146" s="44"/>
      <c r="E146" s="43"/>
    </row>
    <row r="147" customFormat="false" ht="15" hidden="false" customHeight="false" outlineLevel="0" collapsed="false">
      <c r="A147" s="42"/>
      <c r="B147" s="43"/>
      <c r="C147" s="44"/>
      <c r="D147" s="44"/>
      <c r="E147" s="43"/>
    </row>
    <row r="148" customFormat="false" ht="15" hidden="false" customHeight="false" outlineLevel="0" collapsed="false">
      <c r="A148" s="42"/>
      <c r="B148" s="43"/>
      <c r="C148" s="44"/>
      <c r="D148" s="44"/>
      <c r="E148" s="43"/>
    </row>
    <row r="149" customFormat="false" ht="15" hidden="false" customHeight="false" outlineLevel="0" collapsed="false">
      <c r="A149" s="42"/>
      <c r="B149" s="43"/>
      <c r="C149" s="44"/>
      <c r="D149" s="44"/>
      <c r="E149" s="43"/>
    </row>
    <row r="150" customFormat="false" ht="15" hidden="false" customHeight="false" outlineLevel="0" collapsed="false">
      <c r="A150" s="42"/>
      <c r="B150" s="43"/>
      <c r="C150" s="44"/>
      <c r="D150" s="44"/>
      <c r="E150" s="43"/>
    </row>
    <row r="151" customFormat="false" ht="15" hidden="false" customHeight="false" outlineLevel="0" collapsed="false">
      <c r="A151" s="42"/>
      <c r="B151" s="43"/>
      <c r="C151" s="44"/>
      <c r="D151" s="44"/>
      <c r="E151" s="43"/>
    </row>
    <row r="152" customFormat="false" ht="15" hidden="false" customHeight="false" outlineLevel="0" collapsed="false">
      <c r="A152" s="42"/>
      <c r="B152" s="43"/>
      <c r="C152" s="44"/>
      <c r="D152" s="44"/>
      <c r="E152" s="43"/>
    </row>
    <row r="153" customFormat="false" ht="15" hidden="false" customHeight="false" outlineLevel="0" collapsed="false">
      <c r="A153" s="42"/>
      <c r="B153" s="43"/>
      <c r="C153" s="44"/>
      <c r="D153" s="44"/>
      <c r="E153" s="43"/>
    </row>
    <row r="154" customFormat="false" ht="15" hidden="false" customHeight="false" outlineLevel="0" collapsed="false">
      <c r="A154" s="42"/>
      <c r="B154" s="43"/>
      <c r="C154" s="44"/>
      <c r="D154" s="44"/>
      <c r="E154" s="43"/>
    </row>
    <row r="155" customFormat="false" ht="15" hidden="false" customHeight="false" outlineLevel="0" collapsed="false">
      <c r="A155" s="42"/>
      <c r="B155" s="43"/>
      <c r="C155" s="44"/>
      <c r="D155" s="44"/>
      <c r="E155" s="43"/>
    </row>
    <row r="156" customFormat="false" ht="15" hidden="false" customHeight="false" outlineLevel="0" collapsed="false">
      <c r="A156" s="42"/>
      <c r="B156" s="43"/>
      <c r="C156" s="44"/>
      <c r="D156" s="44"/>
      <c r="E156" s="43"/>
    </row>
    <row r="157" customFormat="false" ht="15" hidden="false" customHeight="false" outlineLevel="0" collapsed="false">
      <c r="A157" s="42"/>
      <c r="B157" s="43"/>
      <c r="C157" s="44"/>
      <c r="D157" s="44"/>
      <c r="E157" s="43"/>
    </row>
    <row r="158" customFormat="false" ht="15" hidden="false" customHeight="false" outlineLevel="0" collapsed="false">
      <c r="A158" s="42"/>
      <c r="B158" s="43"/>
      <c r="C158" s="44"/>
      <c r="D158" s="44"/>
      <c r="E158" s="43"/>
    </row>
    <row r="159" customFormat="false" ht="15" hidden="false" customHeight="false" outlineLevel="0" collapsed="false">
      <c r="A159" s="42"/>
      <c r="B159" s="43"/>
      <c r="C159" s="44"/>
      <c r="D159" s="44"/>
      <c r="E159" s="43"/>
    </row>
    <row r="160" customFormat="false" ht="15" hidden="false" customHeight="false" outlineLevel="0" collapsed="false">
      <c r="A160" s="42"/>
      <c r="B160" s="43"/>
      <c r="C160" s="44"/>
      <c r="D160" s="44"/>
      <c r="E160" s="43"/>
    </row>
    <row r="161" customFormat="false" ht="15" hidden="false" customHeight="false" outlineLevel="0" collapsed="false">
      <c r="A161" s="42"/>
      <c r="B161" s="43"/>
      <c r="C161" s="44"/>
      <c r="D161" s="44"/>
      <c r="E161" s="43"/>
    </row>
    <row r="162" customFormat="false" ht="15" hidden="false" customHeight="false" outlineLevel="0" collapsed="false">
      <c r="A162" s="42"/>
      <c r="B162" s="43"/>
      <c r="C162" s="44"/>
      <c r="D162" s="44"/>
      <c r="E162" s="43"/>
    </row>
    <row r="163" customFormat="false" ht="15" hidden="false" customHeight="false" outlineLevel="0" collapsed="false">
      <c r="A163" s="42"/>
      <c r="B163" s="43"/>
      <c r="C163" s="44"/>
      <c r="D163" s="44"/>
      <c r="E163" s="43"/>
    </row>
    <row r="164" customFormat="false" ht="15" hidden="false" customHeight="false" outlineLevel="0" collapsed="false">
      <c r="A164" s="42"/>
      <c r="B164" s="43"/>
      <c r="C164" s="44"/>
      <c r="D164" s="44"/>
      <c r="E164" s="43"/>
    </row>
    <row r="165" customFormat="false" ht="15" hidden="false" customHeight="false" outlineLevel="0" collapsed="false">
      <c r="A165" s="42"/>
      <c r="B165" s="43"/>
      <c r="C165" s="44"/>
      <c r="D165" s="44"/>
      <c r="E165" s="43"/>
    </row>
    <row r="166" customFormat="false" ht="15" hidden="false" customHeight="false" outlineLevel="0" collapsed="false">
      <c r="A166" s="42"/>
      <c r="B166" s="43"/>
      <c r="C166" s="44"/>
      <c r="D166" s="44"/>
      <c r="E166" s="43"/>
    </row>
    <row r="167" customFormat="false" ht="15" hidden="false" customHeight="false" outlineLevel="0" collapsed="false">
      <c r="A167" s="42"/>
      <c r="B167" s="43"/>
      <c r="C167" s="44"/>
      <c r="D167" s="44"/>
      <c r="E167" s="43"/>
    </row>
    <row r="168" customFormat="false" ht="15" hidden="false" customHeight="false" outlineLevel="0" collapsed="false">
      <c r="A168" s="42"/>
      <c r="B168" s="43"/>
      <c r="C168" s="44"/>
      <c r="D168" s="44"/>
      <c r="E168" s="43"/>
    </row>
    <row r="169" customFormat="false" ht="15" hidden="false" customHeight="false" outlineLevel="0" collapsed="false">
      <c r="A169" s="42"/>
      <c r="B169" s="43"/>
      <c r="C169" s="44"/>
      <c r="D169" s="44"/>
      <c r="E169" s="43"/>
    </row>
    <row r="170" customFormat="false" ht="15" hidden="false" customHeight="false" outlineLevel="0" collapsed="false">
      <c r="A170" s="42"/>
      <c r="B170" s="43"/>
      <c r="C170" s="44"/>
      <c r="D170" s="44"/>
      <c r="E170" s="43"/>
    </row>
    <row r="171" customFormat="false" ht="15" hidden="false" customHeight="false" outlineLevel="0" collapsed="false">
      <c r="A171" s="42"/>
      <c r="B171" s="43"/>
      <c r="C171" s="44"/>
      <c r="D171" s="44"/>
      <c r="E171" s="43"/>
    </row>
    <row r="172" customFormat="false" ht="15" hidden="false" customHeight="false" outlineLevel="0" collapsed="false">
      <c r="A172" s="42"/>
      <c r="B172" s="43"/>
      <c r="C172" s="44"/>
      <c r="D172" s="44"/>
      <c r="E172" s="43"/>
    </row>
    <row r="173" customFormat="false" ht="15" hidden="false" customHeight="false" outlineLevel="0" collapsed="false">
      <c r="A173" s="42"/>
      <c r="B173" s="43"/>
      <c r="C173" s="44"/>
      <c r="D173" s="44"/>
      <c r="E173" s="43"/>
    </row>
    <row r="174" customFormat="false" ht="15" hidden="false" customHeight="false" outlineLevel="0" collapsed="false">
      <c r="A174" s="42"/>
      <c r="B174" s="43"/>
      <c r="C174" s="44"/>
      <c r="D174" s="44"/>
      <c r="E174" s="43"/>
    </row>
    <row r="175" customFormat="false" ht="15" hidden="false" customHeight="false" outlineLevel="0" collapsed="false">
      <c r="A175" s="42"/>
      <c r="B175" s="43"/>
      <c r="C175" s="44"/>
      <c r="D175" s="44"/>
      <c r="E175" s="43"/>
    </row>
    <row r="176" customFormat="false" ht="15" hidden="false" customHeight="false" outlineLevel="0" collapsed="false">
      <c r="A176" s="42"/>
      <c r="B176" s="43"/>
      <c r="C176" s="44"/>
      <c r="D176" s="44"/>
      <c r="E176" s="43"/>
    </row>
    <row r="177" customFormat="false" ht="15" hidden="false" customHeight="false" outlineLevel="0" collapsed="false">
      <c r="A177" s="42"/>
      <c r="B177" s="43"/>
      <c r="C177" s="44"/>
      <c r="D177" s="44"/>
      <c r="E177" s="43"/>
    </row>
    <row r="178" customFormat="false" ht="15" hidden="false" customHeight="false" outlineLevel="0" collapsed="false">
      <c r="A178" s="42"/>
      <c r="B178" s="43"/>
      <c r="C178" s="44"/>
      <c r="D178" s="44"/>
      <c r="E178" s="43"/>
    </row>
    <row r="179" customFormat="false" ht="15" hidden="false" customHeight="false" outlineLevel="0" collapsed="false">
      <c r="A179" s="42"/>
      <c r="B179" s="43"/>
      <c r="C179" s="44"/>
      <c r="D179" s="44"/>
      <c r="E179" s="43"/>
    </row>
    <row r="180" customFormat="false" ht="15" hidden="false" customHeight="false" outlineLevel="0" collapsed="false">
      <c r="A180" s="42"/>
      <c r="B180" s="43"/>
      <c r="C180" s="44"/>
      <c r="D180" s="44"/>
      <c r="E180" s="43"/>
    </row>
    <row r="181" customFormat="false" ht="15" hidden="false" customHeight="false" outlineLevel="0" collapsed="false">
      <c r="A181" s="42"/>
      <c r="B181" s="43"/>
      <c r="C181" s="44"/>
      <c r="D181" s="44"/>
      <c r="E181" s="43"/>
    </row>
    <row r="182" customFormat="false" ht="15" hidden="false" customHeight="false" outlineLevel="0" collapsed="false">
      <c r="A182" s="42"/>
      <c r="B182" s="43"/>
      <c r="C182" s="44"/>
      <c r="D182" s="44"/>
      <c r="E182" s="43"/>
    </row>
    <row r="183" customFormat="false" ht="15" hidden="false" customHeight="false" outlineLevel="0" collapsed="false">
      <c r="A183" s="42"/>
      <c r="B183" s="43"/>
      <c r="C183" s="44"/>
      <c r="D183" s="44"/>
      <c r="E183" s="43"/>
    </row>
    <row r="184" customFormat="false" ht="15" hidden="false" customHeight="false" outlineLevel="0" collapsed="false">
      <c r="A184" s="42"/>
      <c r="B184" s="43"/>
      <c r="C184" s="44"/>
      <c r="D184" s="44"/>
      <c r="E184" s="43"/>
    </row>
    <row r="185" customFormat="false" ht="15" hidden="false" customHeight="false" outlineLevel="0" collapsed="false">
      <c r="A185" s="42"/>
      <c r="B185" s="43"/>
      <c r="C185" s="44"/>
      <c r="D185" s="44"/>
      <c r="E185" s="43"/>
    </row>
    <row r="186" customFormat="false" ht="15" hidden="false" customHeight="false" outlineLevel="0" collapsed="false">
      <c r="A186" s="42"/>
      <c r="B186" s="43"/>
      <c r="C186" s="44"/>
      <c r="D186" s="44"/>
      <c r="E186" s="43"/>
    </row>
    <row r="187" customFormat="false" ht="15" hidden="false" customHeight="false" outlineLevel="0" collapsed="false">
      <c r="A187" s="42"/>
      <c r="B187" s="43"/>
      <c r="C187" s="44"/>
      <c r="D187" s="44"/>
      <c r="E187" s="43"/>
    </row>
    <row r="188" customFormat="false" ht="15" hidden="false" customHeight="false" outlineLevel="0" collapsed="false">
      <c r="A188" s="42"/>
      <c r="B188" s="43"/>
      <c r="C188" s="44"/>
      <c r="D188" s="44"/>
      <c r="E188" s="43"/>
    </row>
    <row r="189" customFormat="false" ht="15" hidden="false" customHeight="false" outlineLevel="0" collapsed="false">
      <c r="A189" s="42"/>
      <c r="B189" s="43"/>
      <c r="C189" s="44"/>
      <c r="D189" s="44"/>
      <c r="E189" s="43"/>
    </row>
    <row r="190" customFormat="false" ht="15" hidden="false" customHeight="false" outlineLevel="0" collapsed="false">
      <c r="A190" s="42"/>
      <c r="B190" s="43"/>
      <c r="C190" s="44"/>
      <c r="D190" s="44"/>
      <c r="E190" s="43"/>
    </row>
    <row r="191" customFormat="false" ht="15" hidden="false" customHeight="false" outlineLevel="0" collapsed="false">
      <c r="A191" s="42"/>
      <c r="B191" s="43"/>
      <c r="C191" s="44"/>
      <c r="D191" s="44"/>
      <c r="E191" s="43"/>
    </row>
    <row r="192" customFormat="false" ht="15" hidden="false" customHeight="false" outlineLevel="0" collapsed="false">
      <c r="A192" s="42"/>
      <c r="B192" s="43"/>
      <c r="C192" s="44"/>
      <c r="D192" s="44"/>
      <c r="E192" s="43"/>
    </row>
    <row r="193" customFormat="false" ht="15" hidden="false" customHeight="false" outlineLevel="0" collapsed="false">
      <c r="A193" s="42"/>
      <c r="B193" s="43"/>
      <c r="C193" s="44"/>
      <c r="D193" s="44"/>
      <c r="E193" s="43"/>
    </row>
    <row r="194" customFormat="false" ht="15" hidden="false" customHeight="false" outlineLevel="0" collapsed="false">
      <c r="A194" s="42"/>
      <c r="B194" s="43"/>
      <c r="C194" s="44"/>
      <c r="D194" s="44"/>
      <c r="E194" s="43"/>
    </row>
    <row r="195" customFormat="false" ht="15" hidden="false" customHeight="false" outlineLevel="0" collapsed="false">
      <c r="A195" s="42"/>
      <c r="B195" s="43"/>
      <c r="C195" s="44"/>
      <c r="D195" s="44"/>
      <c r="E195" s="43"/>
    </row>
    <row r="196" customFormat="false" ht="15" hidden="false" customHeight="false" outlineLevel="0" collapsed="false">
      <c r="A196" s="42"/>
      <c r="B196" s="43"/>
      <c r="C196" s="44"/>
      <c r="D196" s="44"/>
      <c r="E196" s="43"/>
    </row>
    <row r="197" customFormat="false" ht="15" hidden="false" customHeight="false" outlineLevel="0" collapsed="false">
      <c r="A197" s="42"/>
      <c r="B197" s="43"/>
      <c r="C197" s="44"/>
      <c r="D197" s="44"/>
      <c r="E197" s="43"/>
    </row>
    <row r="198" customFormat="false" ht="15" hidden="false" customHeight="false" outlineLevel="0" collapsed="false">
      <c r="A198" s="42"/>
      <c r="B198" s="43"/>
      <c r="C198" s="44"/>
      <c r="D198" s="44"/>
      <c r="E198" s="43"/>
    </row>
    <row r="199" customFormat="false" ht="15" hidden="false" customHeight="false" outlineLevel="0" collapsed="false">
      <c r="A199" s="42"/>
      <c r="B199" s="43"/>
      <c r="C199" s="44"/>
      <c r="D199" s="44"/>
      <c r="E199" s="43"/>
    </row>
    <row r="200" customFormat="false" ht="15" hidden="false" customHeight="false" outlineLevel="0" collapsed="false">
      <c r="A200" s="42"/>
      <c r="B200" s="43"/>
      <c r="C200" s="44"/>
      <c r="D200" s="44"/>
      <c r="E200" s="43"/>
    </row>
    <row r="201" customFormat="false" ht="15" hidden="false" customHeight="false" outlineLevel="0" collapsed="false">
      <c r="A201" s="42"/>
      <c r="B201" s="43"/>
      <c r="C201" s="44"/>
      <c r="D201" s="44"/>
      <c r="E201" s="43"/>
    </row>
    <row r="202" customFormat="false" ht="15" hidden="false" customHeight="false" outlineLevel="0" collapsed="false">
      <c r="A202" s="42"/>
      <c r="B202" s="43"/>
      <c r="C202" s="44"/>
      <c r="D202" s="44"/>
      <c r="E202" s="43"/>
    </row>
    <row r="203" customFormat="false" ht="15" hidden="false" customHeight="false" outlineLevel="0" collapsed="false">
      <c r="A203" s="42"/>
      <c r="B203" s="43"/>
      <c r="C203" s="44"/>
      <c r="D203" s="44"/>
      <c r="E203" s="43"/>
    </row>
    <row r="204" customFormat="false" ht="15" hidden="false" customHeight="false" outlineLevel="0" collapsed="false">
      <c r="A204" s="42"/>
      <c r="B204" s="43"/>
      <c r="C204" s="44"/>
      <c r="D204" s="44"/>
      <c r="E204" s="43"/>
    </row>
    <row r="205" customFormat="false" ht="15" hidden="false" customHeight="false" outlineLevel="0" collapsed="false">
      <c r="A205" s="42"/>
      <c r="B205" s="43"/>
      <c r="C205" s="44"/>
      <c r="D205" s="44"/>
      <c r="E205" s="43"/>
    </row>
    <row r="206" customFormat="false" ht="15" hidden="false" customHeight="false" outlineLevel="0" collapsed="false">
      <c r="A206" s="42"/>
      <c r="B206" s="43"/>
      <c r="C206" s="44"/>
      <c r="D206" s="44"/>
      <c r="E206" s="43"/>
    </row>
    <row r="207" customFormat="false" ht="15" hidden="false" customHeight="false" outlineLevel="0" collapsed="false">
      <c r="A207" s="42"/>
      <c r="B207" s="43"/>
      <c r="C207" s="44"/>
      <c r="D207" s="44"/>
      <c r="E207" s="43"/>
    </row>
    <row r="208" customFormat="false" ht="15" hidden="false" customHeight="false" outlineLevel="0" collapsed="false">
      <c r="A208" s="42"/>
      <c r="B208" s="43"/>
      <c r="C208" s="44"/>
      <c r="D208" s="44"/>
      <c r="E208" s="43"/>
    </row>
    <row r="209" customFormat="false" ht="15" hidden="false" customHeight="false" outlineLevel="0" collapsed="false">
      <c r="A209" s="42"/>
      <c r="B209" s="43"/>
      <c r="C209" s="44"/>
      <c r="D209" s="44"/>
      <c r="E209" s="43"/>
    </row>
    <row r="210" customFormat="false" ht="15" hidden="false" customHeight="false" outlineLevel="0" collapsed="false">
      <c r="A210" s="42"/>
      <c r="B210" s="43"/>
      <c r="C210" s="44"/>
      <c r="D210" s="44"/>
      <c r="E210" s="43"/>
    </row>
    <row r="211" customFormat="false" ht="15" hidden="false" customHeight="false" outlineLevel="0" collapsed="false">
      <c r="A211" s="42"/>
      <c r="B211" s="43"/>
      <c r="C211" s="44"/>
      <c r="D211" s="44"/>
      <c r="E211" s="43"/>
    </row>
    <row r="212" customFormat="false" ht="15" hidden="false" customHeight="false" outlineLevel="0" collapsed="false">
      <c r="A212" s="42"/>
      <c r="B212" s="43"/>
      <c r="C212" s="44"/>
      <c r="D212" s="44"/>
      <c r="E212" s="43"/>
    </row>
    <row r="213" customFormat="false" ht="15" hidden="false" customHeight="false" outlineLevel="0" collapsed="false">
      <c r="A213" s="42"/>
      <c r="B213" s="43"/>
      <c r="C213" s="44"/>
      <c r="D213" s="44"/>
      <c r="E213" s="43"/>
    </row>
    <row r="214" customFormat="false" ht="15" hidden="false" customHeight="false" outlineLevel="0" collapsed="false">
      <c r="A214" s="42"/>
      <c r="B214" s="43"/>
      <c r="C214" s="44"/>
      <c r="D214" s="44"/>
      <c r="E214" s="43"/>
    </row>
    <row r="215" customFormat="false" ht="15" hidden="false" customHeight="false" outlineLevel="0" collapsed="false">
      <c r="A215" s="42"/>
      <c r="B215" s="43"/>
      <c r="C215" s="44"/>
      <c r="D215" s="44"/>
      <c r="E215" s="43"/>
    </row>
    <row r="216" customFormat="false" ht="15" hidden="false" customHeight="false" outlineLevel="0" collapsed="false">
      <c r="A216" s="42"/>
      <c r="B216" s="43"/>
      <c r="C216" s="44"/>
      <c r="D216" s="44"/>
      <c r="E216" s="43"/>
    </row>
    <row r="217" customFormat="false" ht="15" hidden="false" customHeight="false" outlineLevel="0" collapsed="false">
      <c r="A217" s="42"/>
      <c r="B217" s="43"/>
      <c r="C217" s="44"/>
      <c r="D217" s="44"/>
      <c r="E217" s="43"/>
    </row>
    <row r="218" customFormat="false" ht="15" hidden="false" customHeight="false" outlineLevel="0" collapsed="false">
      <c r="A218" s="42"/>
      <c r="B218" s="43"/>
      <c r="C218" s="44"/>
      <c r="D218" s="44"/>
      <c r="E218" s="43"/>
    </row>
    <row r="219" customFormat="false" ht="15" hidden="false" customHeight="false" outlineLevel="0" collapsed="false">
      <c r="A219" s="42"/>
      <c r="B219" s="43"/>
      <c r="C219" s="44"/>
      <c r="D219" s="44"/>
      <c r="E219" s="43"/>
    </row>
    <row r="220" customFormat="false" ht="15" hidden="false" customHeight="false" outlineLevel="0" collapsed="false">
      <c r="A220" s="42"/>
      <c r="B220" s="43"/>
      <c r="C220" s="44"/>
      <c r="D220" s="44"/>
      <c r="E220" s="43"/>
    </row>
    <row r="221" customFormat="false" ht="15" hidden="false" customHeight="false" outlineLevel="0" collapsed="false">
      <c r="A221" s="42"/>
      <c r="B221" s="43"/>
      <c r="C221" s="44"/>
      <c r="D221" s="44"/>
      <c r="E221" s="43"/>
    </row>
    <row r="222" customFormat="false" ht="15" hidden="false" customHeight="false" outlineLevel="0" collapsed="false">
      <c r="A222" s="42"/>
      <c r="B222" s="43"/>
      <c r="C222" s="44"/>
      <c r="D222" s="44"/>
      <c r="E222" s="43"/>
    </row>
    <row r="223" customFormat="false" ht="15" hidden="false" customHeight="false" outlineLevel="0" collapsed="false">
      <c r="A223" s="42"/>
      <c r="B223" s="43"/>
      <c r="C223" s="44"/>
      <c r="D223" s="44"/>
      <c r="E223" s="43"/>
    </row>
    <row r="224" customFormat="false" ht="15" hidden="false" customHeight="false" outlineLevel="0" collapsed="false">
      <c r="A224" s="42"/>
      <c r="B224" s="43"/>
      <c r="C224" s="44"/>
      <c r="D224" s="44"/>
      <c r="E224" s="43"/>
    </row>
    <row r="225" customFormat="false" ht="15" hidden="false" customHeight="false" outlineLevel="0" collapsed="false">
      <c r="A225" s="42"/>
      <c r="B225" s="43"/>
      <c r="C225" s="44"/>
      <c r="D225" s="44"/>
      <c r="E225" s="43"/>
    </row>
    <row r="226" customFormat="false" ht="15" hidden="false" customHeight="false" outlineLevel="0" collapsed="false">
      <c r="A226" s="42"/>
      <c r="B226" s="43"/>
      <c r="C226" s="44"/>
      <c r="D226" s="44"/>
      <c r="E226" s="43"/>
    </row>
    <row r="227" customFormat="false" ht="15" hidden="false" customHeight="false" outlineLevel="0" collapsed="false">
      <c r="A227" s="42"/>
      <c r="B227" s="43"/>
      <c r="C227" s="44"/>
      <c r="D227" s="44"/>
      <c r="E227" s="43"/>
    </row>
    <row r="228" customFormat="false" ht="15" hidden="false" customHeight="false" outlineLevel="0" collapsed="false">
      <c r="A228" s="42"/>
      <c r="B228" s="43"/>
      <c r="C228" s="44"/>
      <c r="D228" s="44"/>
      <c r="E228" s="43"/>
    </row>
    <row r="229" customFormat="false" ht="15" hidden="false" customHeight="false" outlineLevel="0" collapsed="false">
      <c r="A229" s="42"/>
      <c r="B229" s="43"/>
      <c r="C229" s="44"/>
      <c r="D229" s="44"/>
      <c r="E229" s="43"/>
    </row>
    <row r="230" customFormat="false" ht="15" hidden="false" customHeight="false" outlineLevel="0" collapsed="false">
      <c r="A230" s="42"/>
      <c r="B230" s="43"/>
      <c r="C230" s="44"/>
      <c r="D230" s="44"/>
      <c r="E230" s="43"/>
    </row>
    <row r="231" customFormat="false" ht="15" hidden="false" customHeight="false" outlineLevel="0" collapsed="false">
      <c r="A231" s="42"/>
      <c r="B231" s="43"/>
      <c r="C231" s="44"/>
      <c r="D231" s="44"/>
      <c r="E231" s="43"/>
    </row>
    <row r="232" customFormat="false" ht="15" hidden="false" customHeight="false" outlineLevel="0" collapsed="false">
      <c r="A232" s="42"/>
      <c r="B232" s="43"/>
      <c r="C232" s="44"/>
      <c r="D232" s="44"/>
      <c r="E232" s="43"/>
    </row>
    <row r="233" customFormat="false" ht="15" hidden="false" customHeight="false" outlineLevel="0" collapsed="false">
      <c r="A233" s="42"/>
      <c r="B233" s="43"/>
      <c r="C233" s="44"/>
      <c r="D233" s="44"/>
      <c r="E233" s="43"/>
    </row>
    <row r="234" customFormat="false" ht="15" hidden="false" customHeight="false" outlineLevel="0" collapsed="false">
      <c r="A234" s="42"/>
      <c r="B234" s="43"/>
      <c r="C234" s="44"/>
      <c r="D234" s="44"/>
      <c r="E234" s="43"/>
    </row>
    <row r="235" customFormat="false" ht="15" hidden="false" customHeight="false" outlineLevel="0" collapsed="false">
      <c r="A235" s="42"/>
      <c r="B235" s="43"/>
      <c r="C235" s="44"/>
      <c r="D235" s="44"/>
      <c r="E235" s="43"/>
    </row>
    <row r="236" customFormat="false" ht="15" hidden="false" customHeight="false" outlineLevel="0" collapsed="false">
      <c r="A236" s="42"/>
      <c r="B236" s="43"/>
      <c r="C236" s="44"/>
      <c r="D236" s="44"/>
      <c r="E236" s="43"/>
    </row>
    <row r="237" customFormat="false" ht="15" hidden="false" customHeight="false" outlineLevel="0" collapsed="false">
      <c r="A237" s="42"/>
      <c r="B237" s="43"/>
      <c r="C237" s="44"/>
      <c r="D237" s="44"/>
      <c r="E237" s="43"/>
    </row>
    <row r="238" customFormat="false" ht="15" hidden="false" customHeight="false" outlineLevel="0" collapsed="false">
      <c r="A238" s="42"/>
      <c r="B238" s="43"/>
      <c r="C238" s="44"/>
      <c r="D238" s="44"/>
      <c r="E238" s="43"/>
    </row>
    <row r="239" customFormat="false" ht="15" hidden="false" customHeight="false" outlineLevel="0" collapsed="false">
      <c r="A239" s="42"/>
      <c r="B239" s="43"/>
      <c r="C239" s="44"/>
      <c r="D239" s="44"/>
      <c r="E239" s="43"/>
    </row>
    <row r="240" customFormat="false" ht="15" hidden="false" customHeight="false" outlineLevel="0" collapsed="false">
      <c r="A240" s="42"/>
      <c r="B240" s="43"/>
      <c r="C240" s="44"/>
      <c r="D240" s="44"/>
      <c r="E240" s="43"/>
    </row>
    <row r="241" customFormat="false" ht="15" hidden="false" customHeight="false" outlineLevel="0" collapsed="false">
      <c r="A241" s="42"/>
      <c r="B241" s="43"/>
      <c r="C241" s="44"/>
      <c r="D241" s="44"/>
      <c r="E241" s="43"/>
    </row>
    <row r="242" customFormat="false" ht="15" hidden="false" customHeight="false" outlineLevel="0" collapsed="false">
      <c r="A242" s="42"/>
      <c r="B242" s="43"/>
      <c r="C242" s="44"/>
      <c r="D242" s="44"/>
      <c r="E242" s="43"/>
    </row>
    <row r="243" customFormat="false" ht="15" hidden="false" customHeight="false" outlineLevel="0" collapsed="false">
      <c r="A243" s="42"/>
      <c r="B243" s="43"/>
      <c r="C243" s="44"/>
      <c r="D243" s="44"/>
      <c r="E243" s="43"/>
    </row>
    <row r="244" customFormat="false" ht="15" hidden="false" customHeight="false" outlineLevel="0" collapsed="false">
      <c r="A244" s="42"/>
      <c r="B244" s="43"/>
      <c r="C244" s="44"/>
      <c r="D244" s="44"/>
      <c r="E244" s="43"/>
    </row>
    <row r="245" customFormat="false" ht="15" hidden="false" customHeight="false" outlineLevel="0" collapsed="false">
      <c r="A245" s="42"/>
      <c r="B245" s="43"/>
      <c r="C245" s="44"/>
      <c r="D245" s="44"/>
      <c r="E245" s="43"/>
    </row>
    <row r="246" customFormat="false" ht="15" hidden="false" customHeight="false" outlineLevel="0" collapsed="false">
      <c r="A246" s="42"/>
      <c r="B246" s="43"/>
      <c r="C246" s="44"/>
      <c r="D246" s="44"/>
      <c r="E246" s="43"/>
    </row>
    <row r="247" customFormat="false" ht="15" hidden="false" customHeight="false" outlineLevel="0" collapsed="false">
      <c r="A247" s="42"/>
      <c r="B247" s="43"/>
      <c r="C247" s="44"/>
      <c r="D247" s="44"/>
      <c r="E247" s="43"/>
    </row>
    <row r="248" customFormat="false" ht="15" hidden="false" customHeight="false" outlineLevel="0" collapsed="false">
      <c r="A248" s="42"/>
      <c r="B248" s="43"/>
      <c r="C248" s="44"/>
      <c r="D248" s="44"/>
      <c r="E248" s="43"/>
    </row>
    <row r="249" customFormat="false" ht="15" hidden="false" customHeight="false" outlineLevel="0" collapsed="false">
      <c r="A249" s="42"/>
      <c r="B249" s="43"/>
      <c r="C249" s="44"/>
      <c r="D249" s="44"/>
      <c r="E249" s="43"/>
    </row>
    <row r="250" customFormat="false" ht="15" hidden="false" customHeight="false" outlineLevel="0" collapsed="false">
      <c r="A250" s="42"/>
      <c r="B250" s="43"/>
      <c r="C250" s="44"/>
      <c r="D250" s="44"/>
      <c r="E250" s="43"/>
    </row>
  </sheetData>
  <sheetProtection sheet="true" password="df10" objects="true" scenarios="true" autoFilter="false"/>
  <autoFilter ref="A6:E250"/>
  <dataValidations count="3">
    <dataValidation allowBlank="true" error="Pick a product from the dropdown so the entry reaches the Stock sheet." errorStyle="stop" errorTitle="Unknown product" operator="between" showDropDown="false" showErrorMessage="false" showInputMessage="false" sqref="B7:B5000" type="list">
      <formula1>Products</formula1>
      <formula2>0</formula2>
    </dataValidation>
    <dataValidation allowBlank="true" error="Slabs cannot be negative. Record a despatch in the Shipment column." errorStyle="stop" errorTitle="Negative quantity" operator="greaterThanOrEqual" showDropDown="false" showErrorMessage="false" showInputMessage="false" sqref="C7:D5000" type="decimal">
      <formula1>0</formula1>
      <formula2>0</formula2>
    </dataValidation>
    <dataValidation allowBlank="true" error="Enter a real date such as 21/08/2026, not text." errorStyle="stop" errorTitle="Date required" operator="greaterThan" showDropDown="false" showErrorMessage="false" showInputMessage="false" sqref="A7:A5000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5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40" t="s">
        <v>127</v>
      </c>
      <c r="C4" s="40" t="s">
        <v>128</v>
      </c>
      <c r="E4" s="40" t="s">
        <v>129</v>
      </c>
    </row>
    <row r="5" customFormat="false" ht="19.7" hidden="false" customHeight="false" outlineLevel="0" collapsed="false">
      <c r="A5" s="46" t="n">
        <f aca="false">Stock!$H$70</f>
        <v>107750</v>
      </c>
      <c r="C5" s="47" t="str">
        <f aca="false">IF(Stock!$J$70="","—",Stock!$J$70)</f>
        <v>—</v>
      </c>
      <c r="E5" s="48" t="str">
        <f aca="false">IF(OR(Stock!$C$4="",Stock!$J$70=""),"—",Stock!$J$70/Stock!$C$4)</f>
        <v>—</v>
      </c>
    </row>
    <row r="6" customFormat="false" ht="15" hidden="false" customHeight="false" outlineLevel="0" collapsed="false">
      <c r="A6" s="22" t="s">
        <v>130</v>
      </c>
      <c r="C6" s="22" t="s">
        <v>131</v>
      </c>
      <c r="E6" s="22" t="s">
        <v>132</v>
      </c>
    </row>
    <row r="8" customFormat="false" ht="30" hidden="false" customHeight="true" outlineLevel="0" collapsed="false">
      <c r="A8" s="11" t="s">
        <v>53</v>
      </c>
      <c r="B8" s="12" t="s">
        <v>55</v>
      </c>
      <c r="C8" s="12" t="s">
        <v>56</v>
      </c>
      <c r="D8" s="12" t="s">
        <v>57</v>
      </c>
      <c r="E8" s="12" t="s">
        <v>60</v>
      </c>
      <c r="F8" s="12" t="s">
        <v>62</v>
      </c>
    </row>
    <row r="9" customFormat="false" ht="15" hidden="false" customHeight="false" outlineLevel="0" collapsed="false">
      <c r="A9" s="15" t="s">
        <v>66</v>
      </c>
      <c r="B9" s="18" t="n">
        <f aca="false">IF($A9="","",SUMIF(Stock!$A$8:$A$69,$A9,Stock!$C$8:$C$69))</f>
        <v>28645</v>
      </c>
      <c r="C9" s="17" t="n">
        <f aca="false">IF($A9="","",SUMIF(Stock!$A$8:$A$69,$A9,Stock!$D$8:$D$69))</f>
        <v>1400</v>
      </c>
      <c r="D9" s="17" t="n">
        <f aca="false">IF($A9="","",SUMIF(Stock!$A$8:$A$69,$A9,Stock!$E$8:$E$69))</f>
        <v>0</v>
      </c>
      <c r="E9" s="19" t="n">
        <f aca="false">IF($A9="","",SUMIF(Stock!$A$8:$A$69,$A9,Stock!$H$8:$H$69))</f>
        <v>30045</v>
      </c>
      <c r="F9" s="21" t="str">
        <f aca="false">IF(OR($A9="",SUMIF(Stock!$A$8:$A$69,$A9,Stock!$J$8:$J$69)=0),"",SUMIF(Stock!$A$8:$A$69,$A9,Stock!$J$8:$J$69))</f>
        <v/>
      </c>
    </row>
    <row r="10" customFormat="false" ht="15" hidden="false" customHeight="false" outlineLevel="0" collapsed="false">
      <c r="A10" s="23" t="s">
        <v>74</v>
      </c>
      <c r="B10" s="26" t="n">
        <f aca="false">IF($A10="","",SUMIF(Stock!$A$8:$A$69,$A10,Stock!$C$8:$C$69))</f>
        <v>29316</v>
      </c>
      <c r="C10" s="25" t="n">
        <f aca="false">IF($A10="","",SUMIF(Stock!$A$8:$A$69,$A10,Stock!$D$8:$D$69))</f>
        <v>956</v>
      </c>
      <c r="D10" s="25" t="n">
        <f aca="false">IF($A10="","",SUMIF(Stock!$A$8:$A$69,$A10,Stock!$E$8:$E$69))</f>
        <v>0</v>
      </c>
      <c r="E10" s="27" t="n">
        <f aca="false">IF($A10="","",SUMIF(Stock!$A$8:$A$69,$A10,Stock!$H$8:$H$69))</f>
        <v>30272</v>
      </c>
      <c r="F10" s="28" t="str">
        <f aca="false">IF(OR($A10="",SUMIF(Stock!$A$8:$A$69,$A10,Stock!$J$8:$J$69)=0),"",SUMIF(Stock!$A$8:$A$69,$A10,Stock!$J$8:$J$69))</f>
        <v/>
      </c>
    </row>
    <row r="11" customFormat="false" ht="15" hidden="false" customHeight="false" outlineLevel="0" collapsed="false">
      <c r="A11" s="15" t="s">
        <v>84</v>
      </c>
      <c r="B11" s="18" t="n">
        <f aca="false">IF($A11="","",SUMIF(Stock!$A$8:$A$69,$A11,Stock!$C$8:$C$69))</f>
        <v>26619</v>
      </c>
      <c r="C11" s="17" t="n">
        <f aca="false">IF($A11="","",SUMIF(Stock!$A$8:$A$69,$A11,Stock!$D$8:$D$69))</f>
        <v>52</v>
      </c>
      <c r="D11" s="17" t="n">
        <f aca="false">IF($A11="","",SUMIF(Stock!$A$8:$A$69,$A11,Stock!$E$8:$E$69))</f>
        <v>0</v>
      </c>
      <c r="E11" s="19" t="n">
        <f aca="false">IF($A11="","",SUMIF(Stock!$A$8:$A$69,$A11,Stock!$H$8:$H$69))</f>
        <v>26671</v>
      </c>
      <c r="F11" s="21" t="str">
        <f aca="false">IF(OR($A11="",SUMIF(Stock!$A$8:$A$69,$A11,Stock!$J$8:$J$69)=0),"",SUMIF(Stock!$A$8:$A$69,$A11,Stock!$J$8:$J$69))</f>
        <v/>
      </c>
    </row>
    <row r="12" customFormat="false" ht="15" hidden="false" customHeight="false" outlineLevel="0" collapsed="false">
      <c r="A12" s="23" t="s">
        <v>93</v>
      </c>
      <c r="B12" s="26" t="n">
        <f aca="false">IF($A12="","",SUMIF(Stock!$A$8:$A$69,$A12,Stock!$C$8:$C$69))</f>
        <v>1534</v>
      </c>
      <c r="C12" s="25" t="n">
        <f aca="false">IF($A12="","",SUMIF(Stock!$A$8:$A$69,$A12,Stock!$D$8:$D$69))</f>
        <v>0</v>
      </c>
      <c r="D12" s="25" t="n">
        <f aca="false">IF($A12="","",SUMIF(Stock!$A$8:$A$69,$A12,Stock!$E$8:$E$69))</f>
        <v>0</v>
      </c>
      <c r="E12" s="27" t="n">
        <f aca="false">IF($A12="","",SUMIF(Stock!$A$8:$A$69,$A12,Stock!$H$8:$H$69))</f>
        <v>1534</v>
      </c>
      <c r="F12" s="28" t="str">
        <f aca="false">IF(OR($A12="",SUMIF(Stock!$A$8:$A$69,$A12,Stock!$J$8:$J$69)=0),"",SUMIF(Stock!$A$8:$A$69,$A12,Stock!$J$8:$J$69))</f>
        <v/>
      </c>
    </row>
    <row r="13" customFormat="false" ht="15" hidden="false" customHeight="false" outlineLevel="0" collapsed="false">
      <c r="A13" s="15" t="s">
        <v>94</v>
      </c>
      <c r="B13" s="18" t="n">
        <f aca="false">IF($A13="","",SUMIF(Stock!$A$8:$A$69,$A13,Stock!$C$8:$C$69))</f>
        <v>13126</v>
      </c>
      <c r="C13" s="17" t="n">
        <f aca="false">IF($A13="","",SUMIF(Stock!$A$8:$A$69,$A13,Stock!$D$8:$D$69))</f>
        <v>2472</v>
      </c>
      <c r="D13" s="17" t="n">
        <f aca="false">IF($A13="","",SUMIF(Stock!$A$8:$A$69,$A13,Stock!$E$8:$E$69))</f>
        <v>0</v>
      </c>
      <c r="E13" s="19" t="n">
        <f aca="false">IF($A13="","",SUMIF(Stock!$A$8:$A$69,$A13,Stock!$H$8:$H$69))</f>
        <v>15598</v>
      </c>
      <c r="F13" s="21" t="str">
        <f aca="false">IF(OR($A13="",SUMIF(Stock!$A$8:$A$69,$A13,Stock!$J$8:$J$69)=0),"",SUMIF(Stock!$A$8:$A$69,$A13,Stock!$J$8:$J$69))</f>
        <v/>
      </c>
    </row>
    <row r="14" customFormat="false" ht="15" hidden="false" customHeight="false" outlineLevel="0" collapsed="false">
      <c r="A14" s="23" t="s">
        <v>95</v>
      </c>
      <c r="B14" s="26" t="n">
        <f aca="false">IF($A14="","",SUMIF(Stock!$A$8:$A$69,$A14,Stock!$C$8:$C$69))</f>
        <v>670</v>
      </c>
      <c r="C14" s="25" t="n">
        <f aca="false">IF($A14="","",SUMIF(Stock!$A$8:$A$69,$A14,Stock!$D$8:$D$69))</f>
        <v>0</v>
      </c>
      <c r="D14" s="25" t="n">
        <f aca="false">IF($A14="","",SUMIF(Stock!$A$8:$A$69,$A14,Stock!$E$8:$E$69))</f>
        <v>0</v>
      </c>
      <c r="E14" s="27" t="n">
        <f aca="false">IF($A14="","",SUMIF(Stock!$A$8:$A$69,$A14,Stock!$H$8:$H$69))</f>
        <v>670</v>
      </c>
      <c r="F14" s="28" t="str">
        <f aca="false">IF(OR($A14="",SUMIF(Stock!$A$8:$A$69,$A14,Stock!$J$8:$J$69)=0),"",SUMIF(Stock!$A$8:$A$69,$A14,Stock!$J$8:$J$69))</f>
        <v/>
      </c>
    </row>
    <row r="15" customFormat="false" ht="15" hidden="false" customHeight="false" outlineLevel="0" collapsed="false">
      <c r="A15" s="15" t="s">
        <v>97</v>
      </c>
      <c r="B15" s="18" t="n">
        <f aca="false">IF($A15="","",SUMIF(Stock!$A$8:$A$69,$A15,Stock!$C$8:$C$69))</f>
        <v>2960</v>
      </c>
      <c r="C15" s="17" t="n">
        <f aca="false">IF($A15="","",SUMIF(Stock!$A$8:$A$69,$A15,Stock!$D$8:$D$69))</f>
        <v>0</v>
      </c>
      <c r="D15" s="17" t="n">
        <f aca="false">IF($A15="","",SUMIF(Stock!$A$8:$A$69,$A15,Stock!$E$8:$E$69))</f>
        <v>0</v>
      </c>
      <c r="E15" s="19" t="n">
        <f aca="false">IF($A15="","",SUMIF(Stock!$A$8:$A$69,$A15,Stock!$H$8:$H$69))</f>
        <v>2960</v>
      </c>
      <c r="F15" s="21" t="str">
        <f aca="false">IF(OR($A15="",SUMIF(Stock!$A$8:$A$69,$A15,Stock!$J$8:$J$69)=0),"",SUMIF(Stock!$A$8:$A$69,$A15,Stock!$J$8:$J$69))</f>
        <v/>
      </c>
    </row>
    <row r="16" customFormat="false" ht="15" hidden="false" customHeight="false" outlineLevel="0" collapsed="false">
      <c r="A16" s="23" t="s">
        <v>133</v>
      </c>
      <c r="B16" s="26" t="n">
        <f aca="false">IF($A16="","",SUMIF(Stock!$A$8:$A$69,$A16,Stock!$C$8:$C$69))</f>
        <v>0</v>
      </c>
      <c r="C16" s="25" t="n">
        <f aca="false">IF($A16="","",SUMIF(Stock!$A$8:$A$69,$A16,Stock!$D$8:$D$69))</f>
        <v>0</v>
      </c>
      <c r="D16" s="25" t="n">
        <f aca="false">IF($A16="","",SUMIF(Stock!$A$8:$A$69,$A16,Stock!$E$8:$E$69))</f>
        <v>0</v>
      </c>
      <c r="E16" s="27" t="n">
        <f aca="false">IF($A16="","",SUMIF(Stock!$A$8:$A$69,$A16,Stock!$H$8:$H$69))</f>
        <v>0</v>
      </c>
      <c r="F16" s="28" t="str">
        <f aca="false">IF(OR($A16="",SUMIF(Stock!$A$8:$A$69,$A16,Stock!$J$8:$J$69)=0),"",SUMIF(Stock!$A$8:$A$69,$A16,Stock!$J$8:$J$69))</f>
        <v/>
      </c>
    </row>
    <row r="17" customFormat="false" ht="15" hidden="false" customHeight="false" outlineLevel="0" collapsed="false">
      <c r="A17" s="29"/>
      <c r="B17" s="18" t="str">
        <f aca="false">IF($A17="","",SUMIF(Stock!$A$8:$A$69,$A17,Stock!$C$8:$C$69))</f>
        <v/>
      </c>
      <c r="C17" s="17" t="str">
        <f aca="false">IF($A17="","",SUMIF(Stock!$A$8:$A$69,$A17,Stock!$D$8:$D$69))</f>
        <v/>
      </c>
      <c r="D17" s="17" t="str">
        <f aca="false">IF($A17="","",SUMIF(Stock!$A$8:$A$69,$A17,Stock!$E$8:$E$69))</f>
        <v/>
      </c>
      <c r="E17" s="19" t="str">
        <f aca="false">IF($A17="","",SUMIF(Stock!$A$8:$A$69,$A17,Stock!$H$8:$H$69))</f>
        <v/>
      </c>
      <c r="F17" s="21" t="str">
        <f aca="false">IF(OR($A17="",SUMIF(Stock!$A$8:$A$69,$A17,Stock!$J$8:$J$69)=0),"",SUMIF(Stock!$A$8:$A$69,$A17,Stock!$J$8:$J$69))</f>
        <v/>
      </c>
    </row>
    <row r="18" customFormat="false" ht="15" hidden="false" customHeight="false" outlineLevel="0" collapsed="false">
      <c r="A18" s="31"/>
      <c r="B18" s="26" t="str">
        <f aca="false">IF($A18="","",SUMIF(Stock!$A$8:$A$69,$A18,Stock!$C$8:$C$69))</f>
        <v/>
      </c>
      <c r="C18" s="25" t="str">
        <f aca="false">IF($A18="","",SUMIF(Stock!$A$8:$A$69,$A18,Stock!$D$8:$D$69))</f>
        <v/>
      </c>
      <c r="D18" s="25" t="str">
        <f aca="false">IF($A18="","",SUMIF(Stock!$A$8:$A$69,$A18,Stock!$E$8:$E$69))</f>
        <v/>
      </c>
      <c r="E18" s="27" t="str">
        <f aca="false">IF($A18="","",SUMIF(Stock!$A$8:$A$69,$A18,Stock!$H$8:$H$69))</f>
        <v/>
      </c>
      <c r="F18" s="28" t="str">
        <f aca="false">IF(OR($A18="",SUMIF(Stock!$A$8:$A$69,$A18,Stock!$J$8:$J$69)=0),"",SUMIF(Stock!$A$8:$A$69,$A18,Stock!$J$8:$J$69))</f>
        <v/>
      </c>
    </row>
    <row r="19" customFormat="false" ht="15" hidden="false" customHeight="false" outlineLevel="0" collapsed="false">
      <c r="A19" s="29"/>
      <c r="B19" s="18" t="str">
        <f aca="false">IF($A19="","",SUMIF(Stock!$A$8:$A$69,$A19,Stock!$C$8:$C$69))</f>
        <v/>
      </c>
      <c r="C19" s="17" t="str">
        <f aca="false">IF($A19="","",SUMIF(Stock!$A$8:$A$69,$A19,Stock!$D$8:$D$69))</f>
        <v/>
      </c>
      <c r="D19" s="17" t="str">
        <f aca="false">IF($A19="","",SUMIF(Stock!$A$8:$A$69,$A19,Stock!$E$8:$E$69))</f>
        <v/>
      </c>
      <c r="E19" s="19" t="str">
        <f aca="false">IF($A19="","",SUMIF(Stock!$A$8:$A$69,$A19,Stock!$H$8:$H$69))</f>
        <v/>
      </c>
      <c r="F19" s="21" t="str">
        <f aca="false">IF(OR($A19="",SUMIF(Stock!$A$8:$A$69,$A19,Stock!$J$8:$J$69)=0),"",SUMIF(Stock!$A$8:$A$69,$A19,Stock!$J$8:$J$69))</f>
        <v/>
      </c>
    </row>
    <row r="20" customFormat="false" ht="15" hidden="false" customHeight="false" outlineLevel="0" collapsed="false">
      <c r="A20" s="33" t="s">
        <v>100</v>
      </c>
      <c r="B20" s="34" t="n">
        <f aca="false">SUM(B9:B19)</f>
        <v>102870</v>
      </c>
      <c r="C20" s="35" t="n">
        <f aca="false">SUM(C9:C19)</f>
        <v>4880</v>
      </c>
      <c r="D20" s="35" t="n">
        <f aca="false">SUM(D9:D19)</f>
        <v>0</v>
      </c>
      <c r="E20" s="34" t="n">
        <f aca="false">SUM(E9:E19)</f>
        <v>107750</v>
      </c>
      <c r="F20" s="36" t="str">
        <f aca="false">IF(SUM(F9:F19)=0,"",SUM(F9:F19))</f>
        <v/>
      </c>
    </row>
    <row r="22" customFormat="false" ht="15" hidden="false" customHeight="false" outlineLevel="0" collapsed="false">
      <c r="A22" s="41" t="str">
        <f aca="false">IF(ROUND(SUM($E$9:$E$19),2)&lt;&gt;ROUND(Stock!$H$70,2),"A brand used on Stock is missing from this list — type it into a blank row above, or the totals understate the stock.","")</f>
        <v/>
      </c>
    </row>
    <row r="23" customFormat="false" ht="15" hidden="false" customHeight="false" outlineLevel="0" collapsed="false">
      <c r="A23" s="9" t="s">
        <v>134</v>
      </c>
    </row>
  </sheetData>
  <sheetProtection sheet="true" password="df10" objects="true" scenarios="tru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4"/>
    <col collapsed="false" customWidth="true" hidden="false" outlineLevel="0" max="4" min="3" style="0" width="15"/>
    <col collapsed="false" customWidth="true" hidden="false" outlineLevel="0" max="5" min="5" style="0" width="16"/>
    <col collapsed="false" customWidth="true" hidden="false" outlineLevel="0" max="6" min="6" style="0" width="19"/>
    <col collapsed="false" customWidth="true" hidden="false" outlineLevel="0" max="7" min="7" style="0" width="2"/>
    <col collapsed="false" customWidth="true" hidden="false" outlineLevel="0" max="8" min="8" style="0" width="6"/>
  </cols>
  <sheetData>
    <row r="1" customFormat="false" ht="33.75" hidden="false" customHeight="true" outlineLevel="0" collapsed="false">
      <c r="B1" s="49" t="s">
        <v>135</v>
      </c>
      <c r="E1" s="50" t="s">
        <v>136</v>
      </c>
      <c r="F1" s="50"/>
    </row>
    <row r="2" customFormat="false" ht="13.5" hidden="false" customHeight="true" outlineLevel="0" collapsed="false">
      <c r="E2" s="50" t="s">
        <v>137</v>
      </c>
      <c r="F2" s="50"/>
    </row>
    <row r="3" customFormat="false" ht="12.75" hidden="false" customHeight="true" outlineLevel="0" collapsed="false">
      <c r="E3" s="50" t="s">
        <v>138</v>
      </c>
      <c r="F3" s="50"/>
    </row>
    <row r="4" customFormat="false" ht="4.5" hidden="false" customHeight="true" outlineLevel="0" collapsed="false">
      <c r="A4" s="51"/>
      <c r="B4" s="51"/>
      <c r="C4" s="51"/>
      <c r="D4" s="51"/>
      <c r="E4" s="51"/>
      <c r="F4" s="51"/>
    </row>
    <row r="5" customFormat="false" ht="25.5" hidden="false" customHeight="true" outlineLevel="0" collapsed="false">
      <c r="A5" s="52" t="s">
        <v>139</v>
      </c>
      <c r="E5" s="53" t="n">
        <f aca="false">Stock!$C$3</f>
        <v>46254</v>
      </c>
      <c r="F5" s="53"/>
    </row>
    <row r="6" customFormat="false" ht="15" hidden="false" customHeight="false" outlineLevel="0" collapsed="false">
      <c r="A6" s="54" t="s">
        <v>140</v>
      </c>
      <c r="E6" s="55" t="s">
        <v>141</v>
      </c>
      <c r="F6" s="55"/>
    </row>
    <row r="8" customFormat="false" ht="12.75" hidden="false" customHeight="true" outlineLevel="0" collapsed="false">
      <c r="A8" s="56" t="s">
        <v>142</v>
      </c>
      <c r="B8" s="56" t="s">
        <v>143</v>
      </c>
      <c r="C8" s="56" t="s">
        <v>144</v>
      </c>
      <c r="D8" s="56" t="s">
        <v>145</v>
      </c>
      <c r="E8" s="57" t="str">
        <f aca="false">IF(Stock!$C$4="","STOCK VALUE (₹)","STOCK VALUE (₹) AT "&amp;TEXT(Stock!$C$4,"0.00")&amp;" / US$")</f>
        <v>STOCK VALUE (₹)</v>
      </c>
      <c r="F8" s="57"/>
    </row>
    <row r="9" customFormat="false" ht="21.75" hidden="false" customHeight="true" outlineLevel="0" collapsed="false">
      <c r="A9" s="58" t="n">
        <f aca="false">Stock!$C$70</f>
        <v>102870</v>
      </c>
      <c r="B9" s="59" t="n">
        <f aca="false">Stock!$D$70</f>
        <v>4880</v>
      </c>
      <c r="C9" s="59" t="n">
        <f aca="false">Stock!$E$70</f>
        <v>0</v>
      </c>
      <c r="D9" s="58" t="n">
        <f aca="false">Stock!$H$70</f>
        <v>107750</v>
      </c>
      <c r="E9" s="60" t="str">
        <f aca="false">IF(Stock!$C$4="","Exchange rate not set",IF(Stock!$J$70="","Export rates not entered",Stock!$J$70))</f>
        <v>Exchange rate not set</v>
      </c>
      <c r="F9" s="60"/>
    </row>
    <row r="10" customFormat="false" ht="12" hidden="false" customHeight="true" outlineLevel="0" collapsed="false">
      <c r="A10" s="61" t="str">
        <f aca="false">IF(ROUND(Summary!$E$20,2)&lt;&gt;ROUND(Stock!$H$70,2),"A brand on Stock is missing from the Summary list — this report understates the total. Add it before sending.","")</f>
        <v/>
      </c>
      <c r="B10" s="61"/>
      <c r="C10" s="61"/>
      <c r="D10" s="61"/>
      <c r="E10" s="61"/>
      <c r="F10" s="61"/>
    </row>
    <row r="11" customFormat="false" ht="16.5" hidden="false" customHeight="true" outlineLevel="0" collapsed="false">
      <c r="A11" s="62" t="s">
        <v>146</v>
      </c>
      <c r="B11" s="62"/>
      <c r="C11" s="62"/>
      <c r="D11" s="62"/>
      <c r="E11" s="62"/>
      <c r="F11" s="62"/>
    </row>
    <row r="12" customFormat="false" ht="21.75" hidden="false" customHeight="true" outlineLevel="0" collapsed="false">
      <c r="A12" s="63" t="s">
        <v>53</v>
      </c>
      <c r="B12" s="64" t="s">
        <v>55</v>
      </c>
      <c r="C12" s="64" t="s">
        <v>56</v>
      </c>
      <c r="D12" s="64" t="s">
        <v>57</v>
      </c>
      <c r="E12" s="64" t="s">
        <v>60</v>
      </c>
      <c r="F12" s="64" t="s">
        <v>62</v>
      </c>
    </row>
    <row r="13" customFormat="false" ht="12.75" hidden="false" customHeight="true" outlineLevel="0" collapsed="false">
      <c r="A13" s="65" t="str">
        <f aca="false">IF(Summary!$A$9="","",Summary!$A$9)</f>
        <v>Blue Dolphin</v>
      </c>
      <c r="B13" s="66" t="n">
        <f aca="false">IF(Summary!$A$9="","",Summary!$B$9)</f>
        <v>28645</v>
      </c>
      <c r="C13" s="67" t="n">
        <f aca="false">IF(Summary!$A$9="","",Summary!$C$9)</f>
        <v>1400</v>
      </c>
      <c r="D13" s="67" t="n">
        <f aca="false">IF(Summary!$A$9="","",Summary!$D$9)</f>
        <v>0</v>
      </c>
      <c r="E13" s="68" t="n">
        <f aca="false">IF(Summary!$A$9="","",Summary!$E$9)</f>
        <v>30045</v>
      </c>
      <c r="F13" s="69" t="str">
        <f aca="false">IF(Summary!$A$9="","",Summary!$F$9)</f>
        <v/>
      </c>
    </row>
    <row r="14" customFormat="false" ht="12.75" hidden="false" customHeight="true" outlineLevel="0" collapsed="false">
      <c r="A14" s="70" t="str">
        <f aca="false">IF(Summary!$A$10="","",Summary!$A$10)</f>
        <v>Primus Japan</v>
      </c>
      <c r="B14" s="71" t="n">
        <f aca="false">IF(Summary!$A$10="","",Summary!$B$10)</f>
        <v>29316</v>
      </c>
      <c r="C14" s="72" t="n">
        <f aca="false">IF(Summary!$A$10="","",Summary!$C$10)</f>
        <v>956</v>
      </c>
      <c r="D14" s="72" t="n">
        <f aca="false">IF(Summary!$A$10="","",Summary!$D$10)</f>
        <v>0</v>
      </c>
      <c r="E14" s="73" t="n">
        <f aca="false">IF(Summary!$A$10="","",Summary!$E$10)</f>
        <v>30272</v>
      </c>
      <c r="F14" s="74" t="str">
        <f aca="false">IF(Summary!$A$10="","",Summary!$F$10)</f>
        <v/>
      </c>
    </row>
    <row r="15" customFormat="false" ht="12.75" hidden="false" customHeight="true" outlineLevel="0" collapsed="false">
      <c r="A15" s="65" t="str">
        <f aca="false">IF(Summary!$A$11="","",Summary!$A$11)</f>
        <v>Primus EU</v>
      </c>
      <c r="B15" s="66" t="n">
        <f aca="false">IF(Summary!$A$11="","",Summary!$B$11)</f>
        <v>26619</v>
      </c>
      <c r="C15" s="67" t="n">
        <f aca="false">IF(Summary!$A$11="","",Summary!$C$11)</f>
        <v>52</v>
      </c>
      <c r="D15" s="67" t="n">
        <f aca="false">IF(Summary!$A$11="","",Summary!$D$11)</f>
        <v>0</v>
      </c>
      <c r="E15" s="68" t="n">
        <f aca="false">IF(Summary!$A$11="","",Summary!$E$11)</f>
        <v>26671</v>
      </c>
      <c r="F15" s="69" t="str">
        <f aca="false">IF(Summary!$A$11="","",Summary!$F$11)</f>
        <v/>
      </c>
    </row>
    <row r="16" customFormat="false" ht="12.75" hidden="false" customHeight="true" outlineLevel="0" collapsed="false">
      <c r="A16" s="70" t="str">
        <f aca="false">IF(Summary!$A$12="","",Summary!$A$12)</f>
        <v>AMF Brand</v>
      </c>
      <c r="B16" s="71" t="n">
        <f aca="false">IF(Summary!$A$12="","",Summary!$B$12)</f>
        <v>1534</v>
      </c>
      <c r="C16" s="72" t="n">
        <f aca="false">IF(Summary!$A$12="","",Summary!$C$12)</f>
        <v>0</v>
      </c>
      <c r="D16" s="72" t="n">
        <f aca="false">IF(Summary!$A$12="","",Summary!$D$12)</f>
        <v>0</v>
      </c>
      <c r="E16" s="73" t="n">
        <f aca="false">IF(Summary!$A$12="","",Summary!$E$12)</f>
        <v>1534</v>
      </c>
      <c r="F16" s="74" t="str">
        <f aca="false">IF(Summary!$A$12="","",Summary!$F$12)</f>
        <v/>
      </c>
    </row>
    <row r="17" customFormat="false" ht="12.75" hidden="false" customHeight="true" outlineLevel="0" collapsed="false">
      <c r="A17" s="65" t="str">
        <f aca="false">IF(Summary!$A$13="","",Summary!$A$13)</f>
        <v>THT Brand</v>
      </c>
      <c r="B17" s="66" t="n">
        <f aca="false">IF(Summary!$A$13="","",Summary!$B$13)</f>
        <v>13126</v>
      </c>
      <c r="C17" s="67" t="n">
        <f aca="false">IF(Summary!$A$13="","",Summary!$C$13)</f>
        <v>2472</v>
      </c>
      <c r="D17" s="67" t="n">
        <f aca="false">IF(Summary!$A$13="","",Summary!$D$13)</f>
        <v>0</v>
      </c>
      <c r="E17" s="68" t="n">
        <f aca="false">IF(Summary!$A$13="","",Summary!$E$13)</f>
        <v>15598</v>
      </c>
      <c r="F17" s="69" t="str">
        <f aca="false">IF(Summary!$A$13="","",Summary!$F$13)</f>
        <v/>
      </c>
    </row>
    <row r="18" customFormat="false" ht="12.75" hidden="false" customHeight="true" outlineLevel="0" collapsed="false">
      <c r="A18" s="70" t="str">
        <f aca="false">IF(Summary!$A$14="","",Summary!$A$14)</f>
        <v>Deepsea</v>
      </c>
      <c r="B18" s="71" t="n">
        <f aca="false">IF(Summary!$A$14="","",Summary!$B$14)</f>
        <v>670</v>
      </c>
      <c r="C18" s="72" t="n">
        <f aca="false">IF(Summary!$A$14="","",Summary!$C$14)</f>
        <v>0</v>
      </c>
      <c r="D18" s="72" t="n">
        <f aca="false">IF(Summary!$A$14="","",Summary!$D$14)</f>
        <v>0</v>
      </c>
      <c r="E18" s="73" t="n">
        <f aca="false">IF(Summary!$A$14="","",Summary!$E$14)</f>
        <v>670</v>
      </c>
      <c r="F18" s="74" t="str">
        <f aca="false">IF(Summary!$A$14="","",Summary!$F$14)</f>
        <v/>
      </c>
    </row>
    <row r="19" customFormat="false" ht="12.75" hidden="false" customHeight="true" outlineLevel="0" collapsed="false">
      <c r="A19" s="65" t="str">
        <f aca="false">IF(Summary!$A$15="","",Summary!$A$15)</f>
        <v>China</v>
      </c>
      <c r="B19" s="66" t="n">
        <f aca="false">IF(Summary!$A$15="","",Summary!$B$15)</f>
        <v>2960</v>
      </c>
      <c r="C19" s="67" t="n">
        <f aca="false">IF(Summary!$A$15="","",Summary!$C$15)</f>
        <v>0</v>
      </c>
      <c r="D19" s="67" t="n">
        <f aca="false">IF(Summary!$A$15="","",Summary!$D$15)</f>
        <v>0</v>
      </c>
      <c r="E19" s="68" t="n">
        <f aca="false">IF(Summary!$A$15="","",Summary!$E$15)</f>
        <v>2960</v>
      </c>
      <c r="F19" s="69" t="str">
        <f aca="false">IF(Summary!$A$15="","",Summary!$F$15)</f>
        <v/>
      </c>
    </row>
    <row r="20" customFormat="false" ht="12.75" hidden="false" customHeight="true" outlineLevel="0" collapsed="false">
      <c r="A20" s="70" t="str">
        <f aca="false">IF(Summary!$A$16="","",Summary!$A$16)</f>
        <v>Shrimp Whole 5x3kgs</v>
      </c>
      <c r="B20" s="71" t="n">
        <f aca="false">IF(Summary!$A$16="","",Summary!$B$16)</f>
        <v>0</v>
      </c>
      <c r="C20" s="72" t="n">
        <f aca="false">IF(Summary!$A$16="","",Summary!$C$16)</f>
        <v>0</v>
      </c>
      <c r="D20" s="72" t="n">
        <f aca="false">IF(Summary!$A$16="","",Summary!$D$16)</f>
        <v>0</v>
      </c>
      <c r="E20" s="73" t="n">
        <f aca="false">IF(Summary!$A$16="","",Summary!$E$16)</f>
        <v>0</v>
      </c>
      <c r="F20" s="74" t="str">
        <f aca="false">IF(Summary!$A$16="","",Summary!$F$16)</f>
        <v/>
      </c>
    </row>
    <row r="21" customFormat="false" ht="12.75" hidden="false" customHeight="true" outlineLevel="0" collapsed="false">
      <c r="A21" s="65" t="str">
        <f aca="false">IF(Summary!$A$17="","",Summary!$A$17)</f>
        <v/>
      </c>
      <c r="B21" s="66" t="str">
        <f aca="false">IF(Summary!$A$17="","",Summary!$B$17)</f>
        <v/>
      </c>
      <c r="C21" s="67" t="str">
        <f aca="false">IF(Summary!$A$17="","",Summary!$C$17)</f>
        <v/>
      </c>
      <c r="D21" s="67" t="str">
        <f aca="false">IF(Summary!$A$17="","",Summary!$D$17)</f>
        <v/>
      </c>
      <c r="E21" s="68" t="str">
        <f aca="false">IF(Summary!$A$17="","",Summary!$E$17)</f>
        <v/>
      </c>
      <c r="F21" s="69" t="str">
        <f aca="false">IF(Summary!$A$17="","",Summary!$F$17)</f>
        <v/>
      </c>
    </row>
    <row r="22" customFormat="false" ht="12.75" hidden="false" customHeight="true" outlineLevel="0" collapsed="false">
      <c r="A22" s="70" t="str">
        <f aca="false">IF(Summary!$A$18="","",Summary!$A$18)</f>
        <v/>
      </c>
      <c r="B22" s="71" t="str">
        <f aca="false">IF(Summary!$A$18="","",Summary!$B$18)</f>
        <v/>
      </c>
      <c r="C22" s="72" t="str">
        <f aca="false">IF(Summary!$A$18="","",Summary!$C$18)</f>
        <v/>
      </c>
      <c r="D22" s="72" t="str">
        <f aca="false">IF(Summary!$A$18="","",Summary!$D$18)</f>
        <v/>
      </c>
      <c r="E22" s="73" t="str">
        <f aca="false">IF(Summary!$A$18="","",Summary!$E$18)</f>
        <v/>
      </c>
      <c r="F22" s="74" t="str">
        <f aca="false">IF(Summary!$A$18="","",Summary!$F$18)</f>
        <v/>
      </c>
    </row>
    <row r="23" customFormat="false" ht="12.75" hidden="false" customHeight="true" outlineLevel="0" collapsed="false">
      <c r="A23" s="65" t="str">
        <f aca="false">IF(Summary!$A$19="","",Summary!$A$19)</f>
        <v/>
      </c>
      <c r="B23" s="66" t="str">
        <f aca="false">IF(Summary!$A$19="","",Summary!$B$19)</f>
        <v/>
      </c>
      <c r="C23" s="67" t="str">
        <f aca="false">IF(Summary!$A$19="","",Summary!$C$19)</f>
        <v/>
      </c>
      <c r="D23" s="67" t="str">
        <f aca="false">IF(Summary!$A$19="","",Summary!$D$19)</f>
        <v/>
      </c>
      <c r="E23" s="68" t="str">
        <f aca="false">IF(Summary!$A$19="","",Summary!$E$19)</f>
        <v/>
      </c>
      <c r="F23" s="69" t="str">
        <f aca="false">IF(Summary!$A$19="","",Summary!$F$19)</f>
        <v/>
      </c>
    </row>
    <row r="24" customFormat="false" ht="15" hidden="false" customHeight="true" outlineLevel="0" collapsed="false">
      <c r="A24" s="75" t="str">
        <f aca="false">Summary!$A$20</f>
        <v>GRAND TOTAL</v>
      </c>
      <c r="B24" s="76" t="n">
        <f aca="false">Summary!$B$20</f>
        <v>102870</v>
      </c>
      <c r="C24" s="77" t="n">
        <f aca="false">Summary!$C$20</f>
        <v>4880</v>
      </c>
      <c r="D24" s="77" t="n">
        <f aca="false">Summary!$D$20</f>
        <v>0</v>
      </c>
      <c r="E24" s="76" t="n">
        <f aca="false">Summary!$E$20</f>
        <v>107750</v>
      </c>
      <c r="F24" s="78" t="str">
        <f aca="false">Summary!$F$20</f>
        <v/>
      </c>
    </row>
    <row r="26" customFormat="false" ht="16.5" hidden="false" customHeight="true" outlineLevel="0" collapsed="false">
      <c r="A26" s="62" t="s">
        <v>147</v>
      </c>
      <c r="B26" s="62"/>
      <c r="C26" s="62"/>
      <c r="D26" s="62"/>
      <c r="E26" s="62"/>
      <c r="F26" s="62"/>
    </row>
    <row r="27" customFormat="false" ht="21.75" hidden="false" customHeight="true" outlineLevel="0" collapsed="false">
      <c r="A27" s="63" t="s">
        <v>53</v>
      </c>
      <c r="B27" s="63" t="s">
        <v>54</v>
      </c>
      <c r="C27" s="64" t="s">
        <v>148</v>
      </c>
      <c r="D27" s="64" t="s">
        <v>149</v>
      </c>
      <c r="E27" s="64" t="s">
        <v>60</v>
      </c>
      <c r="F27" s="64"/>
    </row>
    <row r="28" customFormat="false" ht="12.75" hidden="false" customHeight="true" outlineLevel="0" collapsed="false">
      <c r="A28" s="79" t="str">
        <f aca="false">IF($H28="","",INDEX(Stock!$A$8:$A$69,$H28))</f>
        <v>Blue Dolphin</v>
      </c>
      <c r="B28" s="79" t="str">
        <f aca="false">IF($H28="","",INDEX(Stock!$B$8:$B$69,$H28))</f>
        <v>PD PVN 100/200</v>
      </c>
      <c r="C28" s="80" t="n">
        <f aca="false">IF($H28="","",INDEX(Stock!$D$8:$D$69,$H28))</f>
        <v>1068</v>
      </c>
      <c r="D28" s="80" t="n">
        <f aca="false">IF($H28="","",INDEX(Stock!$E$8:$E$69,$H28))</f>
        <v>0</v>
      </c>
      <c r="E28" s="81" t="n">
        <f aca="false">IF($H28="","",INDEX(Stock!$H$8:$H$69,$H28))</f>
        <v>12527</v>
      </c>
      <c r="H28" s="82" t="n">
        <f aca="false">IFERROR(MATCH(1,Stock!$N$8:$N$69,0),"")</f>
        <v>1</v>
      </c>
    </row>
    <row r="29" customFormat="false" ht="12.75" hidden="false" customHeight="true" outlineLevel="0" collapsed="false">
      <c r="A29" s="79" t="str">
        <f aca="false">IF($H29="","",INDEX(Stock!$A$8:$A$69,$H29))</f>
        <v>Blue Dolphin</v>
      </c>
      <c r="B29" s="79" t="str">
        <f aca="false">IF($H29="","",INDEX(Stock!$B$8:$B$69,$H29))</f>
        <v>PD KKD 100/200</v>
      </c>
      <c r="C29" s="80" t="n">
        <f aca="false">IF($H29="","",INDEX(Stock!$D$8:$D$69,$H29))</f>
        <v>65</v>
      </c>
      <c r="D29" s="80" t="n">
        <f aca="false">IF($H29="","",INDEX(Stock!$E$8:$E$69,$H29))</f>
        <v>0</v>
      </c>
      <c r="E29" s="81" t="n">
        <f aca="false">IF($H29="","",INDEX(Stock!$H$8:$H$69,$H29))</f>
        <v>582</v>
      </c>
      <c r="H29" s="82" t="n">
        <f aca="false">IFERROR(MATCH(2,Stock!$N$8:$N$69,0),"")</f>
        <v>2</v>
      </c>
    </row>
    <row r="30" customFormat="false" ht="12.75" hidden="false" customHeight="true" outlineLevel="0" collapsed="false">
      <c r="A30" s="79" t="str">
        <f aca="false">IF($H30="","",INDEX(Stock!$A$8:$A$69,$H30))</f>
        <v>Blue Dolphin</v>
      </c>
      <c r="B30" s="79" t="str">
        <f aca="false">IF($H30="","",INDEX(Stock!$B$8:$B$69,$H30))</f>
        <v>PUD PVN 200/300</v>
      </c>
      <c r="C30" s="80" t="n">
        <f aca="false">IF($H30="","",INDEX(Stock!$D$8:$D$69,$H30))</f>
        <v>267</v>
      </c>
      <c r="D30" s="80" t="n">
        <f aca="false">IF($H30="","",INDEX(Stock!$E$8:$E$69,$H30))</f>
        <v>0</v>
      </c>
      <c r="E30" s="81" t="n">
        <f aca="false">IF($H30="","",INDEX(Stock!$H$8:$H$69,$H30))</f>
        <v>2529</v>
      </c>
      <c r="H30" s="82" t="n">
        <f aca="false">IFERROR(MATCH(3,Stock!$N$8:$N$69,0),"")</f>
        <v>3</v>
      </c>
    </row>
    <row r="31" customFormat="false" ht="12.75" hidden="false" customHeight="true" outlineLevel="0" collapsed="false">
      <c r="A31" s="79" t="str">
        <f aca="false">IF($H31="","",INDEX(Stock!$A$8:$A$69,$H31))</f>
        <v>Primus Japan</v>
      </c>
      <c r="B31" s="79" t="str">
        <f aca="false">IF($H31="","",INDEX(Stock!$B$8:$B$69,$H31))</f>
        <v>PUD KZN 40/60</v>
      </c>
      <c r="C31" s="80" t="n">
        <f aca="false">IF($H31="","",INDEX(Stock!$D$8:$D$69,$H31))</f>
        <v>29</v>
      </c>
      <c r="D31" s="80" t="n">
        <f aca="false">IF($H31="","",INDEX(Stock!$E$8:$E$69,$H31))</f>
        <v>0</v>
      </c>
      <c r="E31" s="81" t="n">
        <f aca="false">IF($H31="","",INDEX(Stock!$H$8:$H$69,$H31))</f>
        <v>93</v>
      </c>
      <c r="H31" s="82" t="n">
        <f aca="false">IFERROR(MATCH(4,Stock!$N$8:$N$69,0),"")</f>
        <v>8</v>
      </c>
    </row>
    <row r="32" customFormat="false" ht="12.75" hidden="false" customHeight="true" outlineLevel="0" collapsed="false">
      <c r="A32" s="79" t="str">
        <f aca="false">IF($H32="","",INDEX(Stock!$A$8:$A$69,$H32))</f>
        <v>Primus Japan</v>
      </c>
      <c r="B32" s="79" t="str">
        <f aca="false">IF($H32="","",INDEX(Stock!$B$8:$B$69,$H32))</f>
        <v>PUD KZN 60/80</v>
      </c>
      <c r="C32" s="80" t="n">
        <f aca="false">IF($H32="","",INDEX(Stock!$D$8:$D$69,$H32))</f>
        <v>39</v>
      </c>
      <c r="D32" s="80" t="n">
        <f aca="false">IF($H32="","",INDEX(Stock!$E$8:$E$69,$H32))</f>
        <v>0</v>
      </c>
      <c r="E32" s="81" t="n">
        <f aca="false">IF($H32="","",INDEX(Stock!$H$8:$H$69,$H32))</f>
        <v>230</v>
      </c>
      <c r="H32" s="82" t="n">
        <f aca="false">IFERROR(MATCH(5,Stock!$N$8:$N$69,0),"")</f>
        <v>9</v>
      </c>
    </row>
    <row r="33" customFormat="false" ht="12.75" hidden="false" customHeight="true" outlineLevel="0" collapsed="false">
      <c r="A33" s="79" t="str">
        <f aca="false">IF($H33="","",INDEX(Stock!$A$8:$A$69,$H33))</f>
        <v>Primus Japan</v>
      </c>
      <c r="B33" s="79" t="str">
        <f aca="false">IF($H33="","",INDEX(Stock!$B$8:$B$69,$H33))</f>
        <v>PUD KZN 80/120</v>
      </c>
      <c r="C33" s="80" t="n">
        <f aca="false">IF($H33="","",INDEX(Stock!$D$8:$D$69,$H33))</f>
        <v>50</v>
      </c>
      <c r="D33" s="80" t="n">
        <f aca="false">IF($H33="","",INDEX(Stock!$E$8:$E$69,$H33))</f>
        <v>0</v>
      </c>
      <c r="E33" s="81" t="n">
        <f aca="false">IF($H33="","",INDEX(Stock!$H$8:$H$69,$H33))</f>
        <v>516</v>
      </c>
      <c r="H33" s="82" t="n">
        <f aca="false">IFERROR(MATCH(6,Stock!$N$8:$N$69,0),"")</f>
        <v>11</v>
      </c>
    </row>
    <row r="34" customFormat="false" ht="12.75" hidden="false" customHeight="true" outlineLevel="0" collapsed="false">
      <c r="A34" s="79" t="str">
        <f aca="false">IF($H34="","",INDEX(Stock!$A$8:$A$69,$H34))</f>
        <v>Primus Japan</v>
      </c>
      <c r="B34" s="79" t="str">
        <f aca="false">IF($H34="","",INDEX(Stock!$B$8:$B$69,$H34))</f>
        <v>PUD NRN 80/120</v>
      </c>
      <c r="C34" s="80" t="n">
        <f aca="false">IF($H34="","",INDEX(Stock!$D$8:$D$69,$H34))</f>
        <v>3</v>
      </c>
      <c r="D34" s="80" t="n">
        <f aca="false">IF($H34="","",INDEX(Stock!$E$8:$E$69,$H34))</f>
        <v>0</v>
      </c>
      <c r="E34" s="81" t="n">
        <f aca="false">IF($H34="","",INDEX(Stock!$H$8:$H$69,$H34))</f>
        <v>72</v>
      </c>
      <c r="H34" s="82" t="n">
        <f aca="false">IFERROR(MATCH(7,Stock!$N$8:$N$69,0),"")</f>
        <v>12</v>
      </c>
    </row>
    <row r="35" customFormat="false" ht="12.75" hidden="false" customHeight="true" outlineLevel="0" collapsed="false">
      <c r="A35" s="79" t="str">
        <f aca="false">IF($H35="","",INDEX(Stock!$A$8:$A$69,$H35))</f>
        <v>Primus Japan</v>
      </c>
      <c r="B35" s="79" t="str">
        <f aca="false">IF($H35="","",INDEX(Stock!$B$8:$B$69,$H35))</f>
        <v>PUD KZN 100/200</v>
      </c>
      <c r="C35" s="80" t="n">
        <f aca="false">IF($H35="","",INDEX(Stock!$D$8:$D$69,$H35))</f>
        <v>50</v>
      </c>
      <c r="D35" s="80" t="n">
        <f aca="false">IF($H35="","",INDEX(Stock!$E$8:$E$69,$H35))</f>
        <v>0</v>
      </c>
      <c r="E35" s="81" t="n">
        <f aca="false">IF($H35="","",INDEX(Stock!$H$8:$H$69,$H35))</f>
        <v>4259</v>
      </c>
      <c r="H35" s="82" t="n">
        <f aca="false">IFERROR(MATCH(8,Stock!$N$8:$N$69,0),"")</f>
        <v>15</v>
      </c>
    </row>
    <row r="36" customFormat="false" ht="12.75" hidden="false" customHeight="true" outlineLevel="0" collapsed="false">
      <c r="A36" s="79" t="str">
        <f aca="false">IF($H36="","",INDEX(Stock!$A$8:$A$69,$H36))</f>
        <v>Primus Japan</v>
      </c>
      <c r="B36" s="79" t="str">
        <f aca="false">IF($H36="","",INDEX(Stock!$B$8:$B$69,$H36))</f>
        <v>PUD KZN 200/300</v>
      </c>
      <c r="C36" s="80" t="n">
        <f aca="false">IF($H36="","",INDEX(Stock!$D$8:$D$69,$H36))</f>
        <v>33</v>
      </c>
      <c r="D36" s="80" t="n">
        <f aca="false">IF($H36="","",INDEX(Stock!$E$8:$E$69,$H36))</f>
        <v>0</v>
      </c>
      <c r="E36" s="81" t="n">
        <f aca="false">IF($H36="","",INDEX(Stock!$H$8:$H$69,$H36))</f>
        <v>1113</v>
      </c>
      <c r="H36" s="82" t="n">
        <f aca="false">IFERROR(MATCH(9,Stock!$N$8:$N$69,0),"")</f>
        <v>18</v>
      </c>
    </row>
    <row r="37" customFormat="false" ht="12.75" hidden="false" customHeight="true" outlineLevel="0" collapsed="false">
      <c r="A37" s="79" t="str">
        <f aca="false">IF($H37="","",INDEX(Stock!$A$8:$A$69,$H37))</f>
        <v>Primus Japan</v>
      </c>
      <c r="B37" s="79" t="str">
        <f aca="false">IF($H37="","",INDEX(Stock!$B$8:$B$69,$H37))</f>
        <v>PUD PVN 300/500</v>
      </c>
      <c r="C37" s="80" t="n">
        <f aca="false">IF($H37="","",INDEX(Stock!$D$8:$D$69,$H37))</f>
        <v>156</v>
      </c>
      <c r="D37" s="80" t="n">
        <f aca="false">IF($H37="","",INDEX(Stock!$E$8:$E$69,$H37))</f>
        <v>0</v>
      </c>
      <c r="E37" s="81" t="n">
        <f aca="false">IF($H37="","",INDEX(Stock!$H$8:$H$69,$H37))</f>
        <v>577</v>
      </c>
      <c r="H37" s="82" t="n">
        <f aca="false">IFERROR(MATCH(10,Stock!$N$8:$N$69,0),"")</f>
        <v>19</v>
      </c>
    </row>
    <row r="38" customFormat="false" ht="12.75" hidden="false" customHeight="true" outlineLevel="0" collapsed="false">
      <c r="A38" s="79" t="str">
        <f aca="false">IF($H38="","",INDEX(Stock!$A$8:$A$69,$H38))</f>
        <v>Primus Japan</v>
      </c>
      <c r="B38" s="79" t="str">
        <f aca="false">IF($H38="","",INDEX(Stock!$B$8:$B$69,$H38))</f>
        <v>PUD KKD 300/500</v>
      </c>
      <c r="C38" s="80" t="n">
        <f aca="false">IF($H38="","",INDEX(Stock!$D$8:$D$69,$H38))</f>
        <v>596</v>
      </c>
      <c r="D38" s="80" t="n">
        <f aca="false">IF($H38="","",INDEX(Stock!$E$8:$E$69,$H38))</f>
        <v>0</v>
      </c>
      <c r="E38" s="81" t="n">
        <f aca="false">IF($H38="","",INDEX(Stock!$H$8:$H$69,$H38))</f>
        <v>1176</v>
      </c>
      <c r="H38" s="82" t="n">
        <f aca="false">IFERROR(MATCH(11,Stock!$N$8:$N$69,0),"")</f>
        <v>20</v>
      </c>
    </row>
    <row r="39" customFormat="false" ht="12.75" hidden="false" customHeight="true" outlineLevel="0" collapsed="false">
      <c r="A39" s="79" t="str">
        <f aca="false">IF($H39="","",INDEX(Stock!$A$8:$A$69,$H39))</f>
        <v>Primus EU</v>
      </c>
      <c r="B39" s="79" t="str">
        <f aca="false">IF($H39="","",INDEX(Stock!$B$8:$B$69,$H39))</f>
        <v>BKN</v>
      </c>
      <c r="C39" s="80" t="n">
        <f aca="false">IF($H39="","",INDEX(Stock!$D$8:$D$69,$H39))</f>
        <v>52</v>
      </c>
      <c r="D39" s="80" t="n">
        <f aca="false">IF($H39="","",INDEX(Stock!$E$8:$E$69,$H39))</f>
        <v>0</v>
      </c>
      <c r="E39" s="81" t="n">
        <f aca="false">IF($H39="","",INDEX(Stock!$H$8:$H$69,$H39))</f>
        <v>15182</v>
      </c>
      <c r="H39" s="82" t="n">
        <f aca="false">IFERROR(MATCH(12,Stock!$N$8:$N$69,0),"")</f>
        <v>28</v>
      </c>
    </row>
    <row r="40" customFormat="false" ht="12.75" hidden="false" customHeight="true" outlineLevel="0" collapsed="false">
      <c r="A40" s="79" t="str">
        <f aca="false">IF($H40="","",INDEX(Stock!$A$8:$A$69,$H40))</f>
        <v>THT Brand</v>
      </c>
      <c r="B40" s="79" t="str">
        <f aca="false">IF($H40="","",INDEX(Stock!$B$8:$B$69,$H40))</f>
        <v>PUD PVN 80/120</v>
      </c>
      <c r="C40" s="80" t="n">
        <f aca="false">IF($H40="","",INDEX(Stock!$D$8:$D$69,$H40))</f>
        <v>1872</v>
      </c>
      <c r="D40" s="80" t="n">
        <f aca="false">IF($H40="","",INDEX(Stock!$E$8:$E$69,$H40))</f>
        <v>0</v>
      </c>
      <c r="E40" s="81" t="n">
        <f aca="false">IF($H40="","",INDEX(Stock!$H$8:$H$69,$H40))</f>
        <v>3261</v>
      </c>
      <c r="H40" s="82" t="n">
        <f aca="false">IFERROR(MATCH(13,Stock!$N$8:$N$69,0),"")</f>
        <v>35</v>
      </c>
    </row>
    <row r="41" customFormat="false" ht="12.75" hidden="false" customHeight="true" outlineLevel="0" collapsed="false">
      <c r="A41" s="79" t="str">
        <f aca="false">IF($H41="","",INDEX(Stock!$A$8:$A$69,$H41))</f>
        <v>THT Brand</v>
      </c>
      <c r="B41" s="79" t="str">
        <f aca="false">IF($H41="","",INDEX(Stock!$B$8:$B$69,$H41))</f>
        <v>PUD PVN 100/200</v>
      </c>
      <c r="C41" s="80" t="n">
        <f aca="false">IF($H41="","",INDEX(Stock!$D$8:$D$69,$H41))</f>
        <v>600</v>
      </c>
      <c r="D41" s="80" t="n">
        <f aca="false">IF($H41="","",INDEX(Stock!$E$8:$E$69,$H41))</f>
        <v>0</v>
      </c>
      <c r="E41" s="81" t="n">
        <f aca="false">IF($H41="","",INDEX(Stock!$H$8:$H$69,$H41))</f>
        <v>7655</v>
      </c>
      <c r="H41" s="82" t="n">
        <f aca="false">IFERROR(MATCH(14,Stock!$N$8:$N$69,0),"")</f>
        <v>36</v>
      </c>
    </row>
    <row r="42" customFormat="false" ht="12.75" hidden="false" customHeight="true" outlineLevel="0" collapsed="false">
      <c r="A42" s="79" t="str">
        <f aca="false">IF($H42="","",INDEX(Stock!$A$8:$A$69,$H42))</f>
        <v/>
      </c>
      <c r="B42" s="79" t="str">
        <f aca="false">IF($H42="","",INDEX(Stock!$B$8:$B$69,$H42))</f>
        <v/>
      </c>
      <c r="C42" s="80" t="str">
        <f aca="false">IF($H42="","",INDEX(Stock!$D$8:$D$69,$H42))</f>
        <v/>
      </c>
      <c r="D42" s="80" t="str">
        <f aca="false">IF($H42="","",INDEX(Stock!$E$8:$E$69,$H42))</f>
        <v/>
      </c>
      <c r="E42" s="81" t="str">
        <f aca="false">IF($H42="","",INDEX(Stock!$H$8:$H$69,$H42))</f>
        <v/>
      </c>
      <c r="H42" s="82" t="str">
        <f aca="false">IFERROR(MATCH(15,Stock!$N$8:$N$69,0),"")</f>
        <v/>
      </c>
    </row>
    <row r="43" customFormat="false" ht="12.75" hidden="false" customHeight="true" outlineLevel="0" collapsed="false">
      <c r="A43" s="79" t="str">
        <f aca="false">IF($H43="","",INDEX(Stock!$A$8:$A$69,$H43))</f>
        <v/>
      </c>
      <c r="B43" s="79" t="str">
        <f aca="false">IF($H43="","",INDEX(Stock!$B$8:$B$69,$H43))</f>
        <v/>
      </c>
      <c r="C43" s="80" t="str">
        <f aca="false">IF($H43="","",INDEX(Stock!$D$8:$D$69,$H43))</f>
        <v/>
      </c>
      <c r="D43" s="80" t="str">
        <f aca="false">IF($H43="","",INDEX(Stock!$E$8:$E$69,$H43))</f>
        <v/>
      </c>
      <c r="E43" s="81" t="str">
        <f aca="false">IF($H43="","",INDEX(Stock!$H$8:$H$69,$H43))</f>
        <v/>
      </c>
      <c r="H43" s="82" t="str">
        <f aca="false">IFERROR(MATCH(16,Stock!$N$8:$N$69,0),"")</f>
        <v/>
      </c>
    </row>
    <row r="44" customFormat="false" ht="12.75" hidden="false" customHeight="true" outlineLevel="0" collapsed="false">
      <c r="A44" s="79" t="str">
        <f aca="false">IF($H44="","",INDEX(Stock!$A$8:$A$69,$H44))</f>
        <v/>
      </c>
      <c r="B44" s="79" t="str">
        <f aca="false">IF($H44="","",INDEX(Stock!$B$8:$B$69,$H44))</f>
        <v/>
      </c>
      <c r="C44" s="80" t="str">
        <f aca="false">IF($H44="","",INDEX(Stock!$D$8:$D$69,$H44))</f>
        <v/>
      </c>
      <c r="D44" s="80" t="str">
        <f aca="false">IF($H44="","",INDEX(Stock!$E$8:$E$69,$H44))</f>
        <v/>
      </c>
      <c r="E44" s="81" t="str">
        <f aca="false">IF($H44="","",INDEX(Stock!$H$8:$H$69,$H44))</f>
        <v/>
      </c>
      <c r="H44" s="82" t="str">
        <f aca="false">IFERROR(MATCH(17,Stock!$N$8:$N$69,0),"")</f>
        <v/>
      </c>
    </row>
    <row r="45" customFormat="false" ht="12.75" hidden="false" customHeight="true" outlineLevel="0" collapsed="false">
      <c r="A45" s="79" t="str">
        <f aca="false">IF($H45="","",INDEX(Stock!$A$8:$A$69,$H45))</f>
        <v/>
      </c>
      <c r="B45" s="79" t="str">
        <f aca="false">IF($H45="","",INDEX(Stock!$B$8:$B$69,$H45))</f>
        <v/>
      </c>
      <c r="C45" s="80" t="str">
        <f aca="false">IF($H45="","",INDEX(Stock!$D$8:$D$69,$H45))</f>
        <v/>
      </c>
      <c r="D45" s="80" t="str">
        <f aca="false">IF($H45="","",INDEX(Stock!$E$8:$E$69,$H45))</f>
        <v/>
      </c>
      <c r="E45" s="81" t="str">
        <f aca="false">IF($H45="","",INDEX(Stock!$H$8:$H$69,$H45))</f>
        <v/>
      </c>
      <c r="H45" s="82" t="str">
        <f aca="false">IFERROR(MATCH(18,Stock!$N$8:$N$69,0),"")</f>
        <v/>
      </c>
    </row>
    <row r="46" customFormat="false" ht="12.75" hidden="false" customHeight="true" outlineLevel="0" collapsed="false">
      <c r="A46" s="79" t="str">
        <f aca="false">IF($H46="","",INDEX(Stock!$A$8:$A$69,$H46))</f>
        <v/>
      </c>
      <c r="B46" s="79" t="str">
        <f aca="false">IF($H46="","",INDEX(Stock!$B$8:$B$69,$H46))</f>
        <v/>
      </c>
      <c r="C46" s="80" t="str">
        <f aca="false">IF($H46="","",INDEX(Stock!$D$8:$D$69,$H46))</f>
        <v/>
      </c>
      <c r="D46" s="80" t="str">
        <f aca="false">IF($H46="","",INDEX(Stock!$E$8:$E$69,$H46))</f>
        <v/>
      </c>
      <c r="E46" s="81" t="str">
        <f aca="false">IF($H46="","",INDEX(Stock!$H$8:$H$69,$H46))</f>
        <v/>
      </c>
      <c r="H46" s="82" t="str">
        <f aca="false">IFERROR(MATCH(19,Stock!$N$8:$N$69,0),"")</f>
        <v/>
      </c>
    </row>
    <row r="47" customFormat="false" ht="12.75" hidden="false" customHeight="true" outlineLevel="0" collapsed="false">
      <c r="A47" s="79" t="str">
        <f aca="false">IF($H47="","",INDEX(Stock!$A$8:$A$69,$H47))</f>
        <v/>
      </c>
      <c r="B47" s="79" t="str">
        <f aca="false">IF($H47="","",INDEX(Stock!$B$8:$B$69,$H47))</f>
        <v/>
      </c>
      <c r="C47" s="80" t="str">
        <f aca="false">IF($H47="","",INDEX(Stock!$D$8:$D$69,$H47))</f>
        <v/>
      </c>
      <c r="D47" s="80" t="str">
        <f aca="false">IF($H47="","",INDEX(Stock!$E$8:$E$69,$H47))</f>
        <v/>
      </c>
      <c r="E47" s="81" t="str">
        <f aca="false">IF($H47="","",INDEX(Stock!$H$8:$H$69,$H47))</f>
        <v/>
      </c>
      <c r="H47" s="82" t="str">
        <f aca="false">IFERROR(MATCH(20,Stock!$N$8:$N$69,0),"")</f>
        <v/>
      </c>
    </row>
    <row r="48" customFormat="false" ht="15" hidden="false" customHeight="true" outlineLevel="0" collapsed="false">
      <c r="A48" s="83" t="s">
        <v>150</v>
      </c>
      <c r="B48" s="84" t="str">
        <f aca="false">COUNTIF(Stock!$M$8:$M$69,1)&amp;" product(s)"</f>
        <v>14 product(s)</v>
      </c>
      <c r="C48" s="85" t="n">
        <f aca="false">SUM(C28:C47)</f>
        <v>4880</v>
      </c>
      <c r="D48" s="85" t="n">
        <f aca="false">SUM(D28:D47)</f>
        <v>0</v>
      </c>
      <c r="E48" s="83"/>
      <c r="F48" s="83"/>
    </row>
    <row r="49" customFormat="false" ht="15" hidden="false" customHeight="false" outlineLevel="0" collapsed="false">
      <c r="A49" s="86" t="str">
        <f aca="false">IF(COUNTIF(Stock!$M$8:$M$69,1)&gt;20,"Note: "&amp;(COUNTIF(Stock!$M$8:$M$69,1)-20)&amp;" further product(s) moved today — see the Stock sheet for the full list.","")</f>
        <v/>
      </c>
      <c r="B49" s="86"/>
      <c r="C49" s="86"/>
      <c r="D49" s="86"/>
      <c r="E49" s="86"/>
      <c r="F49" s="86"/>
    </row>
    <row r="51" customFormat="false" ht="15" hidden="false" customHeight="false" outlineLevel="0" collapsed="false">
      <c r="A51" s="87" t="s">
        <v>151</v>
      </c>
      <c r="B51" s="87"/>
      <c r="C51" s="87"/>
      <c r="D51" s="87"/>
      <c r="E51" s="87"/>
      <c r="F51" s="87"/>
    </row>
  </sheetData>
  <sheetProtection sheet="true" password="df10" objects="true" scenarios="true" autoFilter="false"/>
  <mergeCells count="12">
    <mergeCell ref="E1:F1"/>
    <mergeCell ref="E2:F2"/>
    <mergeCell ref="E3:F3"/>
    <mergeCell ref="E5:F5"/>
    <mergeCell ref="E6:F6"/>
    <mergeCell ref="E8:F8"/>
    <mergeCell ref="E9:F9"/>
    <mergeCell ref="A10:F10"/>
    <mergeCell ref="A11:F11"/>
    <mergeCell ref="A26:F26"/>
    <mergeCell ref="A49:F49"/>
    <mergeCell ref="A51:F51"/>
  </mergeCells>
  <conditionalFormatting sqref="A28:F47">
    <cfRule type="expression" priority="2" aboveAverage="0" equalAverage="0" bottom="0" percent="0" rank="0" text="" dxfId="9">
      <formula>$B28&lt;&gt;""</formula>
    </cfRule>
  </conditionalFormatting>
  <conditionalFormatting sqref="A13:F23">
    <cfRule type="expression" priority="3" aboveAverage="0" equalAverage="0" bottom="0" percent="0" rank="0" text="" dxfId="10">
      <formula>$A13=""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2026-08-22T08:06:03Z</dcterms:created>
  <dc:creator>openpyxl</dc:creator>
  <dc:description/>
  <dc:language>en-US</dc:language>
  <cp:lastModifiedBy/>
  <dcterms:modified xsi:type="dcterms:W3CDTF">2026-08-22T08:06:04Z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