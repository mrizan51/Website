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 me" sheetId="1" state="visible" r:id="rId3"/>
    <sheet name="Stock" sheetId="2" state="visible" r:id="rId4"/>
    <sheet name="Daily Entry" sheetId="3" state="visible" r:id="rId5"/>
    <sheet name="Summary" sheetId="4" state="visible" r:id="rId6"/>
  </sheets>
  <definedNames>
    <definedName function="false" hidden="false" localSheetId="2" name="_xlnm.Print_Titles" vbProcedure="false">'Daily Entry'!$6:$6</definedName>
    <definedName function="false" hidden="true" localSheetId="2" name="_xlnm._FilterDatabase" vbProcedure="false">'Daily Entry'!$A$6:$E$250</definedName>
    <definedName function="false" hidden="false" localSheetId="0" name="_xlnm.Print_Area" vbProcedure="false">'Read me'!$A$1:$B$33</definedName>
    <definedName function="false" hidden="false" localSheetId="1" name="_xlnm.Print_Area" vbProcedure="false">Stock!$A$1:$J$50</definedName>
    <definedName function="false" hidden="false" localSheetId="1" name="_xlnm.Print_Titles" vbProcedure="false">Stock!$7:$7</definedName>
    <definedName function="false" hidden="true" localSheetId="1" name="_xlnm._FilterDatabase" vbProcedure="false">Stock!$A$7:$J$49</definedName>
    <definedName function="false" hidden="false" localSheetId="3" name="_xlnm.Print_Area" vbProcedure="false">Summary!$A$1:$F$17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7" authorId="0">
      <text>
        <r>
          <rPr>
            <sz val="10"/>
            <rFont val="Arial"/>
            <family val="2"/>
          </rPr>
          <t xml:space="preserve">Position recorded on the purchase &amp; processing statement of 20/08/26.
This is a fixed baseline — do not update it daily. Closing slabs is
derived from it plus the Daily Entry log.</t>
        </r>
      </text>
    </comment>
  </commentList>
</comments>
</file>

<file path=xl/sharedStrings.xml><?xml version="1.0" encoding="utf-8"?>
<sst xmlns="http://schemas.openxmlformats.org/spreadsheetml/2006/main" count="188" uniqueCount="112">
  <si>
    <t xml:space="preserve">PREMIER EXPORTS INTERNATIONAL</t>
  </si>
  <si>
    <t xml:space="preserve">STOCK REGISTER — HOW IT WORKS</t>
  </si>
  <si>
    <t xml:space="preserve">The daily routine</t>
  </si>
  <si>
    <t xml:space="preserve">After each day's production, open 'Daily Entry' and add one row per grade that moved.</t>
  </si>
  <si>
    <t xml:space="preserve">Pick the item from the dropdown, type the date, and enter slabs produced and/or shipped.</t>
  </si>
  <si>
    <t xml:space="preserve">That is the whole job — 'Stock' and 'Summary' update themselves.</t>
  </si>
  <si>
    <t xml:space="preserve">Why you never re-type an opening balance</t>
  </si>
  <si>
    <t xml:space="preserve">Opening balance is a fixed baseline: the position recorded on 20/08/2026.</t>
  </si>
  <si>
    <t xml:space="preserve">Closing slabs = opening balance + production to date − shipment to date,</t>
  </si>
  <si>
    <t xml:space="preserve">counted from every row in 'Daily Entry'. So the register rolls forward on its own,</t>
  </si>
  <si>
    <t xml:space="preserve">and yesterday's closing is today's starting point without anyone copying a number.</t>
  </si>
  <si>
    <t xml:space="preserve">Which cells you edit</t>
  </si>
  <si>
    <t xml:space="preserve">Blue figures — typed by you. Opening balance on 'Stock'; everything on 'Daily Entry'.</t>
  </si>
  <si>
    <t xml:space="preserve">Yellow cells — rate per slab. Fill these in to value the stock.</t>
  </si>
  <si>
    <t xml:space="preserve">Black figures — calculated. Do not type over them, or the sheet stops adding up.</t>
  </si>
  <si>
    <t xml:space="preserve">Grey — the Key column, which links a stock row to its entries. Leave it alone.</t>
  </si>
  <si>
    <t xml:space="preserve">A worked entry</t>
  </si>
  <si>
    <t xml:space="preserve">'Daily Entry' already holds the production recorded on 20/08/2026 — 14 rows,</t>
  </si>
  <si>
    <t xml:space="preserve">4,880 slabs. Copy the shape of those rows. With them, 'Stock' shows a closing</t>
  </si>
  <si>
    <t xml:space="preserve">position of 1,07,750 slabs, which is the total on the paper statement.</t>
  </si>
  <si>
    <t xml:space="preserve">Adding a grade</t>
  </si>
  <si>
    <t xml:space="preserve">Add the row at the bottom of 'Stock' (brand, grade, opening balance), then copy the</t>
  </si>
  <si>
    <t xml:space="preserve">formulas down from the row above. The dropdown picks it up automatically.</t>
  </si>
  <si>
    <t xml:space="preserve">Source</t>
  </si>
  <si>
    <t xml:space="preserve">Opening balances and the 20/08 production are taken from the purchase &amp; processing</t>
  </si>
  <si>
    <t xml:space="preserve">statement dated 20/08/26, supplied by Premier Exports International.</t>
  </si>
  <si>
    <t xml:space="preserve">STOCK REGISTER — LIVE POSITION</t>
  </si>
  <si>
    <t xml:space="preserve">Statement date</t>
  </si>
  <si>
    <t xml:space="preserve">20/08/2026</t>
  </si>
  <si>
    <t xml:space="preserve">← set this to drive the two "today" columns</t>
  </si>
  <si>
    <t xml:space="preserve">Opening balance is the frozen baseline of 20/08/2026 — never re-key it. Closing follows from the dated rows on 'Daily Entry'.</t>
  </si>
  <si>
    <t xml:space="preserve">Brand</t>
  </si>
  <si>
    <t xml:space="preserve">Count / grade</t>
  </si>
  <si>
    <t xml:space="preserve">Opening balance</t>
  </si>
  <si>
    <t xml:space="preserve">Today's production</t>
  </si>
  <si>
    <t xml:space="preserve">Today's shipment</t>
  </si>
  <si>
    <t xml:space="preserve">Production to date</t>
  </si>
  <si>
    <t xml:space="preserve">Shipment to date</t>
  </si>
  <si>
    <t xml:space="preserve">Closing slabs</t>
  </si>
  <si>
    <t xml:space="preserve">Rate / slab (₹)</t>
  </si>
  <si>
    <t xml:space="preserve">Stock value (₹)</t>
  </si>
  <si>
    <t xml:space="preserve">Key (do not edit)</t>
  </si>
  <si>
    <t xml:space="preserve">Blue Dolphin</t>
  </si>
  <si>
    <t xml:space="preserve">PD 100/200 P</t>
  </si>
  <si>
    <t xml:space="preserve">PD 100/200 K</t>
  </si>
  <si>
    <t xml:space="preserve">PUD 200/300 P</t>
  </si>
  <si>
    <t xml:space="preserve">PUD 200/300 K</t>
  </si>
  <si>
    <t xml:space="preserve">PUD 300/500 P</t>
  </si>
  <si>
    <t xml:space="preserve">PUD 300/500 K</t>
  </si>
  <si>
    <t xml:space="preserve">PD 200/300 P</t>
  </si>
  <si>
    <t xml:space="preserve">Primus PUD Japan</t>
  </si>
  <si>
    <t xml:space="preserve">PUD 40/60 KZN</t>
  </si>
  <si>
    <t xml:space="preserve">PUD 60/80 KZN</t>
  </si>
  <si>
    <t xml:space="preserve">PUD 80/120 P</t>
  </si>
  <si>
    <t xml:space="preserve">PUD 80/120 KZN</t>
  </si>
  <si>
    <t xml:space="preserve">PUD 80/120 N</t>
  </si>
  <si>
    <t xml:space="preserve">PUD 100/200 P</t>
  </si>
  <si>
    <t xml:space="preserve">PUD 100/200 N</t>
  </si>
  <si>
    <t xml:space="preserve">PUD 100/200 KZN</t>
  </si>
  <si>
    <t xml:space="preserve">PUD 200/300 KZN</t>
  </si>
  <si>
    <t xml:space="preserve">Primus EU</t>
  </si>
  <si>
    <t xml:space="preserve">PUD 20/40</t>
  </si>
  <si>
    <t xml:space="preserve">PUD 40/60</t>
  </si>
  <si>
    <t xml:space="preserve">PUD 60/80</t>
  </si>
  <si>
    <t xml:space="preserve">PUD 80/120</t>
  </si>
  <si>
    <t xml:space="preserve">PUD 100/200</t>
  </si>
  <si>
    <t xml:space="preserve">PUD 200/300</t>
  </si>
  <si>
    <t xml:space="preserve">PUD 300/500</t>
  </si>
  <si>
    <t xml:space="preserve">BKN</t>
  </si>
  <si>
    <t xml:space="preserve">AMF Brand</t>
  </si>
  <si>
    <t xml:space="preserve">THT Brand PUD PVN</t>
  </si>
  <si>
    <t xml:space="preserve">80/120</t>
  </si>
  <si>
    <t xml:space="preserve">100/200</t>
  </si>
  <si>
    <t xml:space="preserve">200/300</t>
  </si>
  <si>
    <t xml:space="preserve">Deepsea</t>
  </si>
  <si>
    <t xml:space="preserve">300/500</t>
  </si>
  <si>
    <t xml:space="preserve">China PUD</t>
  </si>
  <si>
    <t xml:space="preserve">300/500 P</t>
  </si>
  <si>
    <t xml:space="preserve">300/500 K</t>
  </si>
  <si>
    <t xml:space="preserve">500/800 P</t>
  </si>
  <si>
    <t xml:space="preserve">500/800 K</t>
  </si>
  <si>
    <t xml:space="preserve">GRAND TOTAL</t>
  </si>
  <si>
    <t xml:space="preserve">Closing slabs = opening balance + production to date − shipment to date        Stock value = closing slabs × rate per slab</t>
  </si>
  <si>
    <t xml:space="preserve">DAILY ENTRY — ADD ONE ROW PER GRADE THAT MOVED</t>
  </si>
  <si>
    <t xml:space="preserve">After production, add a row below: date, item from the dropdown, slabs produced and/or shipped. Never delete past rows — they are what the closing position is built from.</t>
  </si>
  <si>
    <t xml:space="preserve">Date</t>
  </si>
  <si>
    <t xml:space="preserve">Item (pick from list)</t>
  </si>
  <si>
    <t xml:space="preserve">Production (slabs)</t>
  </si>
  <si>
    <t xml:space="preserve">Shipment (slabs)</t>
  </si>
  <si>
    <t xml:space="preserve">Note</t>
  </si>
  <si>
    <t xml:space="preserve">Blue Dolphin - PD 100/200 P</t>
  </si>
  <si>
    <t xml:space="preserve">Day's production per statement 20/08/26</t>
  </si>
  <si>
    <t xml:space="preserve">Blue Dolphin - PD 100/200 K</t>
  </si>
  <si>
    <t xml:space="preserve">Blue Dolphin - PUD 200/300 P</t>
  </si>
  <si>
    <t xml:space="preserve">Primus PUD Japan - PUD 40/60 KZN</t>
  </si>
  <si>
    <t xml:space="preserve">Primus PUD Japan - PUD 60/80 KZN</t>
  </si>
  <si>
    <t xml:space="preserve">Primus PUD Japan - PUD 80/120 KZN</t>
  </si>
  <si>
    <t xml:space="preserve">Primus PUD Japan - PUD 80/120 N</t>
  </si>
  <si>
    <t xml:space="preserve">Primus PUD Japan - PUD 100/200 KZN</t>
  </si>
  <si>
    <t xml:space="preserve">Primus PUD Japan - PUD 200/300 KZN</t>
  </si>
  <si>
    <t xml:space="preserve">Primus PUD Japan - PUD 300/500 P</t>
  </si>
  <si>
    <t xml:space="preserve">Primus PUD Japan - PUD 300/500 K</t>
  </si>
  <si>
    <t xml:space="preserve">Primus EU - BKN</t>
  </si>
  <si>
    <t xml:space="preserve">THT Brand PUD PVN - 80/120</t>
  </si>
  <si>
    <t xml:space="preserve">THT Brand PUD PVN - 100/200</t>
  </si>
  <si>
    <t xml:space="preserve">SUMMARY BY BRAND</t>
  </si>
  <si>
    <t xml:space="preserve">Closing stock</t>
  </si>
  <si>
    <t xml:space="preserve">Stock value</t>
  </si>
  <si>
    <t xml:space="preserve">slabs</t>
  </si>
  <si>
    <t xml:space="preserve">at the rates entered on Stock</t>
  </si>
  <si>
    <t xml:space="preserve">Shrimp Whole 5x3kgs</t>
  </si>
  <si>
    <t xml:space="preserve">Brand totals read straight off 'Stock', so they can never disagree with it.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</si>
</sst>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&gt;=10000000]##\,##\,##\,##0;[&gt;=100000]##\,##\,##0;#,##0"/>
    <numFmt numFmtId="166" formatCode="#,##0;\-#,##0;\–"/>
    <numFmt numFmtId="167" formatCode="#,##0.00"/>
    <numFmt numFmtId="168" formatCode="[&gt;=10000000]&quot;₹ &quot;##\,##\,##\,##0.00;[&gt;=100000]&quot;₹ &quot;##\,##\,##0.00;&quot;₹ &quot;#,##0.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65E7A"/>
      <name val="Arial"/>
      <family val="0"/>
      <charset val="1"/>
    </font>
    <font>
      <b val="true"/>
      <sz val="10"/>
      <color rgb="FF5E7C8B"/>
      <name val="Arial"/>
      <family val="0"/>
      <charset val="1"/>
    </font>
    <font>
      <b val="true"/>
      <sz val="10"/>
      <color rgb="FF065E7A"/>
      <name val="Arial"/>
      <family val="0"/>
      <charset val="1"/>
    </font>
    <font>
      <sz val="10"/>
      <color rgb="FF0B2C3A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5E7C8B"/>
      <name val="Arial"/>
      <family val="0"/>
      <charset val="1"/>
    </font>
    <font>
      <b val="true"/>
      <sz val="10"/>
      <color rgb="FF0B2C3A"/>
      <name val="Arial"/>
      <family val="0"/>
      <charset val="1"/>
    </font>
    <font>
      <i val="true"/>
      <sz val="9"/>
      <color rgb="FF5E7C8B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5E7C8B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E7C8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6"/>
      <color rgb="FF065E7A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65E7A"/>
        <bgColor rgb="FF008080"/>
      </patternFill>
    </fill>
    <fill>
      <patternFill patternType="solid">
        <fgColor rgb="FFFFFFFF"/>
        <bgColor rgb="FFF2F8FB"/>
      </patternFill>
    </fill>
    <fill>
      <patternFill patternType="solid">
        <fgColor rgb="FFD9D9D9"/>
        <bgColor rgb="FFCBDFE8"/>
      </patternFill>
    </fill>
    <fill>
      <patternFill patternType="solid">
        <fgColor rgb="FFF2F8F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FE8"/>
      </left>
      <right style="thin">
        <color rgb="FFCBDFE8"/>
      </right>
      <top style="thin">
        <color rgb="FFCBDFE8"/>
      </top>
      <bottom style="thin">
        <color rgb="FFCBDF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065E7A"/>
          <bgColor rgb="FF000000"/>
        </patternFill>
      </fill>
    </dxf>
    <dxf>
      <fill>
        <patternFill patternType="solid">
          <fgColor rgb="FFF2F8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B2C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ont>
        <name val="Arial"/>
        <charset val="1"/>
        <family val="0"/>
        <b val="1"/>
        <color rgb="FFB3261E"/>
        <sz val="10"/>
      </font>
      <fill>
        <patternFill>
          <bgColor rgb="FFF8D7DA"/>
        </patternFill>
      </fill>
    </dxf>
    <dxf>
      <fill>
        <patternFill patternType="solid">
          <fgColor rgb="FF5E7C8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65E7A"/>
      <rgbColor rgb="FFD9D9D9"/>
      <rgbColor rgb="FF808080"/>
      <rgbColor rgb="FF9999FF"/>
      <rgbColor rgb="FF993366"/>
      <rgbColor rgb="FFF2F8FB"/>
      <rgbColor rgb="FFCCFFFF"/>
      <rgbColor rgb="FF660066"/>
      <rgbColor rgb="FFFF8080"/>
      <rgbColor rgb="FF0066CC"/>
      <rgbColor rgb="FFCBDF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E7C8B"/>
      <rgbColor rgb="FF969696"/>
      <rgbColor rgb="FF0B2C3A"/>
      <rgbColor rgb="FF339966"/>
      <rgbColor rgb="FF003300"/>
      <rgbColor rgb="FF333300"/>
      <rgbColor rgb="FFB326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/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/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5" t="s">
        <v>12</v>
      </c>
    </row>
    <row r="17" customFormat="false" ht="15" hidden="false" customHeight="false" outlineLevel="0" collapsed="false">
      <c r="B17" s="6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7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15" hidden="false" customHeight="false" outlineLevel="0" collapsed="false">
      <c r="B22" s="4" t="s">
        <v>17</v>
      </c>
    </row>
    <row r="23" customFormat="false" ht="15" hidden="false" customHeight="false" outlineLevel="0" collapsed="false">
      <c r="B23" s="4" t="s">
        <v>18</v>
      </c>
    </row>
    <row r="24" customFormat="false" ht="15" hidden="false" customHeight="false" outlineLevel="0" collapsed="false">
      <c r="B24" s="4" t="s">
        <v>19</v>
      </c>
    </row>
    <row r="25" customFormat="false" ht="15" hidden="false" customHeight="false" outlineLevel="0" collapsed="false">
      <c r="B25" s="4"/>
    </row>
    <row r="26" customFormat="false" ht="15" hidden="false" customHeight="false" outlineLevel="0" collapsed="false">
      <c r="B26" s="3" t="s">
        <v>20</v>
      </c>
    </row>
    <row r="27" customFormat="false" ht="15" hidden="false" customHeight="false" outlineLevel="0" collapsed="false">
      <c r="B27" s="4" t="s">
        <v>21</v>
      </c>
    </row>
    <row r="28" customFormat="false" ht="15" hidden="false" customHeight="false" outlineLevel="0" collapsed="false">
      <c r="B28" s="4" t="s">
        <v>22</v>
      </c>
    </row>
    <row r="29" customFormat="false" ht="15" hidden="false" customHeight="false" outlineLevel="0" collapsed="false">
      <c r="B29" s="4"/>
    </row>
    <row r="30" customFormat="false" ht="15" hidden="false" customHeight="false" outlineLevel="0" collapsed="false">
      <c r="B30" s="3" t="s">
        <v>23</v>
      </c>
    </row>
    <row r="31" customFormat="false" ht="15" hidden="false" customHeight="false" outlineLevel="0" collapsed="false">
      <c r="B31" s="4" t="s">
        <v>24</v>
      </c>
    </row>
    <row r="32" customFormat="false" ht="15" hidden="false" customHeight="false" outlineLevel="0" collapsed="false">
      <c r="B32" s="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8" min="4" style="0" width="13"/>
    <col collapsed="false" customWidth="true" hidden="false" outlineLevel="0" max="9" min="9" style="0" width="12"/>
    <col collapsed="false" customWidth="true" hidden="false" outlineLevel="0" max="10" min="10" style="0" width="17"/>
    <col collapsed="false" customWidth="true" hidden="false" outlineLevel="0" max="11" min="11" style="0" width="2"/>
    <col collapsed="false" customWidth="true" hidden="false" outlineLevel="0" max="12" min="12" style="0" width="3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26</v>
      </c>
    </row>
    <row r="3" customFormat="false" ht="15" hidden="false" customHeight="false" outlineLevel="0" collapsed="false">
      <c r="A3" s="8" t="s">
        <v>27</v>
      </c>
      <c r="C3" s="9" t="s">
        <v>28</v>
      </c>
      <c r="D3" s="10" t="s">
        <v>29</v>
      </c>
    </row>
    <row r="5" customFormat="false" ht="15" hidden="false" customHeight="false" outlineLevel="0" collapsed="false">
      <c r="A5" s="10" t="s">
        <v>30</v>
      </c>
    </row>
    <row r="7" customFormat="false" ht="30" hidden="false" customHeight="true" outlineLevel="0" collapsed="false">
      <c r="A7" s="11" t="s">
        <v>31</v>
      </c>
      <c r="B7" s="11" t="s">
        <v>32</v>
      </c>
      <c r="C7" s="12" t="s">
        <v>33</v>
      </c>
      <c r="D7" s="12" t="s">
        <v>34</v>
      </c>
      <c r="E7" s="12" t="s">
        <v>35</v>
      </c>
      <c r="F7" s="12" t="s">
        <v>36</v>
      </c>
      <c r="G7" s="12" t="s">
        <v>37</v>
      </c>
      <c r="H7" s="12" t="s">
        <v>38</v>
      </c>
      <c r="I7" s="12" t="s">
        <v>39</v>
      </c>
      <c r="J7" s="12" t="s">
        <v>40</v>
      </c>
      <c r="K7" s="13"/>
      <c r="L7" s="14" t="s">
        <v>41</v>
      </c>
    </row>
    <row r="8" customFormat="false" ht="15" hidden="false" customHeight="false" outlineLevel="0" collapsed="false">
      <c r="A8" s="15" t="s">
        <v>42</v>
      </c>
      <c r="B8" s="15" t="s">
        <v>43</v>
      </c>
      <c r="C8" s="16" t="n">
        <v>11459</v>
      </c>
      <c r="D8" s="17" t="n">
        <f aca="false">SUMIFS('Daily Entry'!$C$7:$C$5000,'Daily Entry'!$B$7:$B$5000,$L8,'Daily Entry'!$A$7:$A$5000,$C$3)</f>
        <v>1068</v>
      </c>
      <c r="E8" s="17" t="n">
        <f aca="false">SUMIFS('Daily Entry'!$D$7:$D$5000,'Daily Entry'!$B$7:$B$5000,$L8,'Daily Entry'!$A$7:$A$5000,$C$3)</f>
        <v>0</v>
      </c>
      <c r="F8" s="18" t="n">
        <f aca="false">SUMIFS('Daily Entry'!$C$7:$C$5000,'Daily Entry'!$B$7:$B$5000,$L8)</f>
        <v>1068</v>
      </c>
      <c r="G8" s="18" t="n">
        <f aca="false">SUMIFS('Daily Entry'!$D$7:$D$5000,'Daily Entry'!$B$7:$B$5000,$L8)</f>
        <v>0</v>
      </c>
      <c r="H8" s="19" t="n">
        <f aca="false">$C8+$F8-$G8</f>
        <v>12527</v>
      </c>
      <c r="I8" s="20"/>
      <c r="J8" s="21" t="str">
        <f aca="false">IF($I8="","",$H8*$I8)</f>
        <v/>
      </c>
      <c r="L8" s="22" t="str">
        <f aca="false">$A8&amp;" - "&amp;$B8</f>
        <v>Blue Dolphin - PD 100/200 P</v>
      </c>
    </row>
    <row r="9" customFormat="false" ht="15" hidden="false" customHeight="false" outlineLevel="0" collapsed="false">
      <c r="A9" s="23" t="s">
        <v>42</v>
      </c>
      <c r="B9" s="23" t="s">
        <v>44</v>
      </c>
      <c r="C9" s="24" t="n">
        <v>517</v>
      </c>
      <c r="D9" s="25" t="n">
        <f aca="false">SUMIFS('Daily Entry'!$C$7:$C$5000,'Daily Entry'!$B$7:$B$5000,$L9,'Daily Entry'!$A$7:$A$5000,$C$3)</f>
        <v>65</v>
      </c>
      <c r="E9" s="25" t="n">
        <f aca="false">SUMIFS('Daily Entry'!$D$7:$D$5000,'Daily Entry'!$B$7:$B$5000,$L9,'Daily Entry'!$A$7:$A$5000,$C$3)</f>
        <v>0</v>
      </c>
      <c r="F9" s="26" t="n">
        <f aca="false">SUMIFS('Daily Entry'!$C$7:$C$5000,'Daily Entry'!$B$7:$B$5000,$L9)</f>
        <v>65</v>
      </c>
      <c r="G9" s="26" t="n">
        <f aca="false">SUMIFS('Daily Entry'!$D$7:$D$5000,'Daily Entry'!$B$7:$B$5000,$L9)</f>
        <v>0</v>
      </c>
      <c r="H9" s="27" t="n">
        <f aca="false">$C9+$F9-$G9</f>
        <v>582</v>
      </c>
      <c r="I9" s="20"/>
      <c r="J9" s="28" t="str">
        <f aca="false">IF($I9="","",$H9*$I9)</f>
        <v/>
      </c>
      <c r="L9" s="22" t="str">
        <f aca="false">$A9&amp;" - "&amp;$B9</f>
        <v>Blue Dolphin - PD 100/200 K</v>
      </c>
    </row>
    <row r="10" customFormat="false" ht="15" hidden="false" customHeight="false" outlineLevel="0" collapsed="false">
      <c r="A10" s="15" t="s">
        <v>42</v>
      </c>
      <c r="B10" s="15" t="s">
        <v>45</v>
      </c>
      <c r="C10" s="16" t="n">
        <v>2262</v>
      </c>
      <c r="D10" s="17" t="n">
        <f aca="false">SUMIFS('Daily Entry'!$C$7:$C$5000,'Daily Entry'!$B$7:$B$5000,$L10,'Daily Entry'!$A$7:$A$5000,$C$3)</f>
        <v>267</v>
      </c>
      <c r="E10" s="17" t="n">
        <f aca="false">SUMIFS('Daily Entry'!$D$7:$D$5000,'Daily Entry'!$B$7:$B$5000,$L10,'Daily Entry'!$A$7:$A$5000,$C$3)</f>
        <v>0</v>
      </c>
      <c r="F10" s="18" t="n">
        <f aca="false">SUMIFS('Daily Entry'!$C$7:$C$5000,'Daily Entry'!$B$7:$B$5000,$L10)</f>
        <v>267</v>
      </c>
      <c r="G10" s="18" t="n">
        <f aca="false">SUMIFS('Daily Entry'!$D$7:$D$5000,'Daily Entry'!$B$7:$B$5000,$L10)</f>
        <v>0</v>
      </c>
      <c r="H10" s="19" t="n">
        <f aca="false">$C10+$F10-$G10</f>
        <v>2529</v>
      </c>
      <c r="I10" s="20"/>
      <c r="J10" s="21" t="str">
        <f aca="false">IF($I10="","",$H10*$I10)</f>
        <v/>
      </c>
      <c r="L10" s="22" t="str">
        <f aca="false">$A10&amp;" - "&amp;$B10</f>
        <v>Blue Dolphin - PUD 200/300 P</v>
      </c>
    </row>
    <row r="11" customFormat="false" ht="15" hidden="false" customHeight="false" outlineLevel="0" collapsed="false">
      <c r="A11" s="23" t="s">
        <v>42</v>
      </c>
      <c r="B11" s="23" t="s">
        <v>46</v>
      </c>
      <c r="C11" s="24" t="n">
        <v>2835</v>
      </c>
      <c r="D11" s="25" t="n">
        <f aca="false">SUMIFS('Daily Entry'!$C$7:$C$5000,'Daily Entry'!$B$7:$B$5000,$L11,'Daily Entry'!$A$7:$A$5000,$C$3)</f>
        <v>0</v>
      </c>
      <c r="E11" s="25" t="n">
        <f aca="false">SUMIFS('Daily Entry'!$D$7:$D$5000,'Daily Entry'!$B$7:$B$5000,$L11,'Daily Entry'!$A$7:$A$5000,$C$3)</f>
        <v>0</v>
      </c>
      <c r="F11" s="26" t="n">
        <f aca="false">SUMIFS('Daily Entry'!$C$7:$C$5000,'Daily Entry'!$B$7:$B$5000,$L11)</f>
        <v>0</v>
      </c>
      <c r="G11" s="26" t="n">
        <f aca="false">SUMIFS('Daily Entry'!$D$7:$D$5000,'Daily Entry'!$B$7:$B$5000,$L11)</f>
        <v>0</v>
      </c>
      <c r="H11" s="27" t="n">
        <f aca="false">$C11+$F11-$G11</f>
        <v>2835</v>
      </c>
      <c r="I11" s="20"/>
      <c r="J11" s="28" t="str">
        <f aca="false">IF($I11="","",$H11*$I11)</f>
        <v/>
      </c>
      <c r="L11" s="22" t="str">
        <f aca="false">$A11&amp;" - "&amp;$B11</f>
        <v>Blue Dolphin - PUD 200/300 K</v>
      </c>
    </row>
    <row r="12" customFormat="false" ht="15" hidden="false" customHeight="false" outlineLevel="0" collapsed="false">
      <c r="A12" s="15" t="s">
        <v>42</v>
      </c>
      <c r="B12" s="15" t="s">
        <v>47</v>
      </c>
      <c r="C12" s="16" t="n">
        <v>1673</v>
      </c>
      <c r="D12" s="17" t="n">
        <f aca="false">SUMIFS('Daily Entry'!$C$7:$C$5000,'Daily Entry'!$B$7:$B$5000,$L12,'Daily Entry'!$A$7:$A$5000,$C$3)</f>
        <v>0</v>
      </c>
      <c r="E12" s="17" t="n">
        <f aca="false">SUMIFS('Daily Entry'!$D$7:$D$5000,'Daily Entry'!$B$7:$B$5000,$L12,'Daily Entry'!$A$7:$A$5000,$C$3)</f>
        <v>0</v>
      </c>
      <c r="F12" s="18" t="n">
        <f aca="false">SUMIFS('Daily Entry'!$C$7:$C$5000,'Daily Entry'!$B$7:$B$5000,$L12)</f>
        <v>0</v>
      </c>
      <c r="G12" s="18" t="n">
        <f aca="false">SUMIFS('Daily Entry'!$D$7:$D$5000,'Daily Entry'!$B$7:$B$5000,$L12)</f>
        <v>0</v>
      </c>
      <c r="H12" s="19" t="n">
        <f aca="false">$C12+$F12-$G12</f>
        <v>1673</v>
      </c>
      <c r="I12" s="20"/>
      <c r="J12" s="21" t="str">
        <f aca="false">IF($I12="","",$H12*$I12)</f>
        <v/>
      </c>
      <c r="L12" s="22" t="str">
        <f aca="false">$A12&amp;" - "&amp;$B12</f>
        <v>Blue Dolphin - PUD 300/500 P</v>
      </c>
    </row>
    <row r="13" customFormat="false" ht="15" hidden="false" customHeight="false" outlineLevel="0" collapsed="false">
      <c r="A13" s="23" t="s">
        <v>42</v>
      </c>
      <c r="B13" s="23" t="s">
        <v>48</v>
      </c>
      <c r="C13" s="24" t="n">
        <v>7542</v>
      </c>
      <c r="D13" s="25" t="n">
        <f aca="false">SUMIFS('Daily Entry'!$C$7:$C$5000,'Daily Entry'!$B$7:$B$5000,$L13,'Daily Entry'!$A$7:$A$5000,$C$3)</f>
        <v>0</v>
      </c>
      <c r="E13" s="25" t="n">
        <f aca="false">SUMIFS('Daily Entry'!$D$7:$D$5000,'Daily Entry'!$B$7:$B$5000,$L13,'Daily Entry'!$A$7:$A$5000,$C$3)</f>
        <v>0</v>
      </c>
      <c r="F13" s="26" t="n">
        <f aca="false">SUMIFS('Daily Entry'!$C$7:$C$5000,'Daily Entry'!$B$7:$B$5000,$L13)</f>
        <v>0</v>
      </c>
      <c r="G13" s="26" t="n">
        <f aca="false">SUMIFS('Daily Entry'!$D$7:$D$5000,'Daily Entry'!$B$7:$B$5000,$L13)</f>
        <v>0</v>
      </c>
      <c r="H13" s="27" t="n">
        <f aca="false">$C13+$F13-$G13</f>
        <v>7542</v>
      </c>
      <c r="I13" s="20"/>
      <c r="J13" s="28" t="str">
        <f aca="false">IF($I13="","",$H13*$I13)</f>
        <v/>
      </c>
      <c r="L13" s="22" t="str">
        <f aca="false">$A13&amp;" - "&amp;$B13</f>
        <v>Blue Dolphin - PUD 300/500 K</v>
      </c>
    </row>
    <row r="14" customFormat="false" ht="15" hidden="false" customHeight="false" outlineLevel="0" collapsed="false">
      <c r="A14" s="15" t="s">
        <v>42</v>
      </c>
      <c r="B14" s="15" t="s">
        <v>49</v>
      </c>
      <c r="C14" s="16" t="n">
        <v>2357</v>
      </c>
      <c r="D14" s="17" t="n">
        <f aca="false">SUMIFS('Daily Entry'!$C$7:$C$5000,'Daily Entry'!$B$7:$B$5000,$L14,'Daily Entry'!$A$7:$A$5000,$C$3)</f>
        <v>0</v>
      </c>
      <c r="E14" s="17" t="n">
        <f aca="false">SUMIFS('Daily Entry'!$D$7:$D$5000,'Daily Entry'!$B$7:$B$5000,$L14,'Daily Entry'!$A$7:$A$5000,$C$3)</f>
        <v>0</v>
      </c>
      <c r="F14" s="18" t="n">
        <f aca="false">SUMIFS('Daily Entry'!$C$7:$C$5000,'Daily Entry'!$B$7:$B$5000,$L14)</f>
        <v>0</v>
      </c>
      <c r="G14" s="18" t="n">
        <f aca="false">SUMIFS('Daily Entry'!$D$7:$D$5000,'Daily Entry'!$B$7:$B$5000,$L14)</f>
        <v>0</v>
      </c>
      <c r="H14" s="19" t="n">
        <f aca="false">$C14+$F14-$G14</f>
        <v>2357</v>
      </c>
      <c r="I14" s="20"/>
      <c r="J14" s="21" t="str">
        <f aca="false">IF($I14="","",$H14*$I14)</f>
        <v/>
      </c>
      <c r="L14" s="22" t="str">
        <f aca="false">$A14&amp;" - "&amp;$B14</f>
        <v>Blue Dolphin - PD 200/300 P</v>
      </c>
    </row>
    <row r="15" customFormat="false" ht="15" hidden="false" customHeight="false" outlineLevel="0" collapsed="false">
      <c r="A15" s="23" t="s">
        <v>50</v>
      </c>
      <c r="B15" s="23" t="s">
        <v>51</v>
      </c>
      <c r="C15" s="24" t="n">
        <v>64</v>
      </c>
      <c r="D15" s="25" t="n">
        <f aca="false">SUMIFS('Daily Entry'!$C$7:$C$5000,'Daily Entry'!$B$7:$B$5000,$L15,'Daily Entry'!$A$7:$A$5000,$C$3)</f>
        <v>29</v>
      </c>
      <c r="E15" s="25" t="n">
        <f aca="false">SUMIFS('Daily Entry'!$D$7:$D$5000,'Daily Entry'!$B$7:$B$5000,$L15,'Daily Entry'!$A$7:$A$5000,$C$3)</f>
        <v>0</v>
      </c>
      <c r="F15" s="26" t="n">
        <f aca="false">SUMIFS('Daily Entry'!$C$7:$C$5000,'Daily Entry'!$B$7:$B$5000,$L15)</f>
        <v>29</v>
      </c>
      <c r="G15" s="26" t="n">
        <f aca="false">SUMIFS('Daily Entry'!$D$7:$D$5000,'Daily Entry'!$B$7:$B$5000,$L15)</f>
        <v>0</v>
      </c>
      <c r="H15" s="27" t="n">
        <f aca="false">$C15+$F15-$G15</f>
        <v>93</v>
      </c>
      <c r="I15" s="20"/>
      <c r="J15" s="28" t="str">
        <f aca="false">IF($I15="","",$H15*$I15)</f>
        <v/>
      </c>
      <c r="L15" s="22" t="str">
        <f aca="false">$A15&amp;" - "&amp;$B15</f>
        <v>Primus PUD Japan - PUD 40/60 KZN</v>
      </c>
    </row>
    <row r="16" customFormat="false" ht="15" hidden="false" customHeight="false" outlineLevel="0" collapsed="false">
      <c r="A16" s="15" t="s">
        <v>50</v>
      </c>
      <c r="B16" s="15" t="s">
        <v>52</v>
      </c>
      <c r="C16" s="16" t="n">
        <v>191</v>
      </c>
      <c r="D16" s="17" t="n">
        <f aca="false">SUMIFS('Daily Entry'!$C$7:$C$5000,'Daily Entry'!$B$7:$B$5000,$L16,'Daily Entry'!$A$7:$A$5000,$C$3)</f>
        <v>39</v>
      </c>
      <c r="E16" s="17" t="n">
        <f aca="false">SUMIFS('Daily Entry'!$D$7:$D$5000,'Daily Entry'!$B$7:$B$5000,$L16,'Daily Entry'!$A$7:$A$5000,$C$3)</f>
        <v>0</v>
      </c>
      <c r="F16" s="18" t="n">
        <f aca="false">SUMIFS('Daily Entry'!$C$7:$C$5000,'Daily Entry'!$B$7:$B$5000,$L16)</f>
        <v>39</v>
      </c>
      <c r="G16" s="18" t="n">
        <f aca="false">SUMIFS('Daily Entry'!$D$7:$D$5000,'Daily Entry'!$B$7:$B$5000,$L16)</f>
        <v>0</v>
      </c>
      <c r="H16" s="19" t="n">
        <f aca="false">$C16+$F16-$G16</f>
        <v>230</v>
      </c>
      <c r="I16" s="20"/>
      <c r="J16" s="21" t="str">
        <f aca="false">IF($I16="","",$H16*$I16)</f>
        <v/>
      </c>
      <c r="L16" s="22" t="str">
        <f aca="false">$A16&amp;" - "&amp;$B16</f>
        <v>Primus PUD Japan - PUD 60/80 KZN</v>
      </c>
    </row>
    <row r="17" customFormat="false" ht="15" hidden="false" customHeight="false" outlineLevel="0" collapsed="false">
      <c r="A17" s="23" t="s">
        <v>50</v>
      </c>
      <c r="B17" s="23" t="s">
        <v>53</v>
      </c>
      <c r="C17" s="24" t="n">
        <v>16849</v>
      </c>
      <c r="D17" s="25" t="n">
        <f aca="false">SUMIFS('Daily Entry'!$C$7:$C$5000,'Daily Entry'!$B$7:$B$5000,$L17,'Daily Entry'!$A$7:$A$5000,$C$3)</f>
        <v>0</v>
      </c>
      <c r="E17" s="25" t="n">
        <f aca="false">SUMIFS('Daily Entry'!$D$7:$D$5000,'Daily Entry'!$B$7:$B$5000,$L17,'Daily Entry'!$A$7:$A$5000,$C$3)</f>
        <v>0</v>
      </c>
      <c r="F17" s="26" t="n">
        <f aca="false">SUMIFS('Daily Entry'!$C$7:$C$5000,'Daily Entry'!$B$7:$B$5000,$L17)</f>
        <v>0</v>
      </c>
      <c r="G17" s="26" t="n">
        <f aca="false">SUMIFS('Daily Entry'!$D$7:$D$5000,'Daily Entry'!$B$7:$B$5000,$L17)</f>
        <v>0</v>
      </c>
      <c r="H17" s="27" t="n">
        <f aca="false">$C17+$F17-$G17</f>
        <v>16849</v>
      </c>
      <c r="I17" s="20"/>
      <c r="J17" s="28" t="str">
        <f aca="false">IF($I17="","",$H17*$I17)</f>
        <v/>
      </c>
      <c r="L17" s="22" t="str">
        <f aca="false">$A17&amp;" - "&amp;$B17</f>
        <v>Primus PUD Japan - PUD 80/120 P</v>
      </c>
    </row>
    <row r="18" customFormat="false" ht="15" hidden="false" customHeight="false" outlineLevel="0" collapsed="false">
      <c r="A18" s="15" t="s">
        <v>50</v>
      </c>
      <c r="B18" s="15" t="s">
        <v>54</v>
      </c>
      <c r="C18" s="16" t="n">
        <v>466</v>
      </c>
      <c r="D18" s="17" t="n">
        <f aca="false">SUMIFS('Daily Entry'!$C$7:$C$5000,'Daily Entry'!$B$7:$B$5000,$L18,'Daily Entry'!$A$7:$A$5000,$C$3)</f>
        <v>50</v>
      </c>
      <c r="E18" s="17" t="n">
        <f aca="false">SUMIFS('Daily Entry'!$D$7:$D$5000,'Daily Entry'!$B$7:$B$5000,$L18,'Daily Entry'!$A$7:$A$5000,$C$3)</f>
        <v>0</v>
      </c>
      <c r="F18" s="18" t="n">
        <f aca="false">SUMIFS('Daily Entry'!$C$7:$C$5000,'Daily Entry'!$B$7:$B$5000,$L18)</f>
        <v>50</v>
      </c>
      <c r="G18" s="18" t="n">
        <f aca="false">SUMIFS('Daily Entry'!$D$7:$D$5000,'Daily Entry'!$B$7:$B$5000,$L18)</f>
        <v>0</v>
      </c>
      <c r="H18" s="19" t="n">
        <f aca="false">$C18+$F18-$G18</f>
        <v>516</v>
      </c>
      <c r="I18" s="20"/>
      <c r="J18" s="21" t="str">
        <f aca="false">IF($I18="","",$H18*$I18)</f>
        <v/>
      </c>
      <c r="L18" s="22" t="str">
        <f aca="false">$A18&amp;" - "&amp;$B18</f>
        <v>Primus PUD Japan - PUD 80/120 KZN</v>
      </c>
    </row>
    <row r="19" customFormat="false" ht="15" hidden="false" customHeight="false" outlineLevel="0" collapsed="false">
      <c r="A19" s="23" t="s">
        <v>50</v>
      </c>
      <c r="B19" s="23" t="s">
        <v>55</v>
      </c>
      <c r="C19" s="24" t="n">
        <v>69</v>
      </c>
      <c r="D19" s="25" t="n">
        <f aca="false">SUMIFS('Daily Entry'!$C$7:$C$5000,'Daily Entry'!$B$7:$B$5000,$L19,'Daily Entry'!$A$7:$A$5000,$C$3)</f>
        <v>3</v>
      </c>
      <c r="E19" s="25" t="n">
        <f aca="false">SUMIFS('Daily Entry'!$D$7:$D$5000,'Daily Entry'!$B$7:$B$5000,$L19,'Daily Entry'!$A$7:$A$5000,$C$3)</f>
        <v>0</v>
      </c>
      <c r="F19" s="26" t="n">
        <f aca="false">SUMIFS('Daily Entry'!$C$7:$C$5000,'Daily Entry'!$B$7:$B$5000,$L19)</f>
        <v>3</v>
      </c>
      <c r="G19" s="26" t="n">
        <f aca="false">SUMIFS('Daily Entry'!$D$7:$D$5000,'Daily Entry'!$B$7:$B$5000,$L19)</f>
        <v>0</v>
      </c>
      <c r="H19" s="27" t="n">
        <f aca="false">$C19+$F19-$G19</f>
        <v>72</v>
      </c>
      <c r="I19" s="20"/>
      <c r="J19" s="28" t="str">
        <f aca="false">IF($I19="","",$H19*$I19)</f>
        <v/>
      </c>
      <c r="L19" s="22" t="str">
        <f aca="false">$A19&amp;" - "&amp;$B19</f>
        <v>Primus PUD Japan - PUD 80/120 N</v>
      </c>
    </row>
    <row r="20" customFormat="false" ht="15" hidden="false" customHeight="false" outlineLevel="0" collapsed="false">
      <c r="A20" s="15" t="s">
        <v>50</v>
      </c>
      <c r="B20" s="15" t="s">
        <v>56</v>
      </c>
      <c r="C20" s="16" t="n">
        <v>2617</v>
      </c>
      <c r="D20" s="17" t="n">
        <f aca="false">SUMIFS('Daily Entry'!$C$7:$C$5000,'Daily Entry'!$B$7:$B$5000,$L20,'Daily Entry'!$A$7:$A$5000,$C$3)</f>
        <v>0</v>
      </c>
      <c r="E20" s="17" t="n">
        <f aca="false">SUMIFS('Daily Entry'!$D$7:$D$5000,'Daily Entry'!$B$7:$B$5000,$L20,'Daily Entry'!$A$7:$A$5000,$C$3)</f>
        <v>0</v>
      </c>
      <c r="F20" s="18" t="n">
        <f aca="false">SUMIFS('Daily Entry'!$C$7:$C$5000,'Daily Entry'!$B$7:$B$5000,$L20)</f>
        <v>0</v>
      </c>
      <c r="G20" s="18" t="n">
        <f aca="false">SUMIFS('Daily Entry'!$D$7:$D$5000,'Daily Entry'!$B$7:$B$5000,$L20)</f>
        <v>0</v>
      </c>
      <c r="H20" s="19" t="n">
        <f aca="false">$C20+$F20-$G20</f>
        <v>2617</v>
      </c>
      <c r="I20" s="20"/>
      <c r="J20" s="21" t="str">
        <f aca="false">IF($I20="","",$H20*$I20)</f>
        <v/>
      </c>
      <c r="L20" s="22" t="str">
        <f aca="false">$A20&amp;" - "&amp;$B20</f>
        <v>Primus PUD Japan - PUD 100/200 P</v>
      </c>
    </row>
    <row r="21" customFormat="false" ht="15" hidden="false" customHeight="false" outlineLevel="0" collapsed="false">
      <c r="A21" s="23" t="s">
        <v>50</v>
      </c>
      <c r="B21" s="23" t="s">
        <v>57</v>
      </c>
      <c r="C21" s="24" t="n">
        <v>13</v>
      </c>
      <c r="D21" s="25" t="n">
        <f aca="false">SUMIFS('Daily Entry'!$C$7:$C$5000,'Daily Entry'!$B$7:$B$5000,$L21,'Daily Entry'!$A$7:$A$5000,$C$3)</f>
        <v>0</v>
      </c>
      <c r="E21" s="25" t="n">
        <f aca="false">SUMIFS('Daily Entry'!$D$7:$D$5000,'Daily Entry'!$B$7:$B$5000,$L21,'Daily Entry'!$A$7:$A$5000,$C$3)</f>
        <v>0</v>
      </c>
      <c r="F21" s="26" t="n">
        <f aca="false">SUMIFS('Daily Entry'!$C$7:$C$5000,'Daily Entry'!$B$7:$B$5000,$L21)</f>
        <v>0</v>
      </c>
      <c r="G21" s="26" t="n">
        <f aca="false">SUMIFS('Daily Entry'!$D$7:$D$5000,'Daily Entry'!$B$7:$B$5000,$L21)</f>
        <v>0</v>
      </c>
      <c r="H21" s="27" t="n">
        <f aca="false">$C21+$F21-$G21</f>
        <v>13</v>
      </c>
      <c r="I21" s="20"/>
      <c r="J21" s="28" t="str">
        <f aca="false">IF($I21="","",$H21*$I21)</f>
        <v/>
      </c>
      <c r="L21" s="22" t="str">
        <f aca="false">$A21&amp;" - "&amp;$B21</f>
        <v>Primus PUD Japan - PUD 100/200 N</v>
      </c>
    </row>
    <row r="22" customFormat="false" ht="15" hidden="false" customHeight="false" outlineLevel="0" collapsed="false">
      <c r="A22" s="15" t="s">
        <v>50</v>
      </c>
      <c r="B22" s="15" t="s">
        <v>58</v>
      </c>
      <c r="C22" s="16" t="n">
        <v>4209</v>
      </c>
      <c r="D22" s="17" t="n">
        <f aca="false">SUMIFS('Daily Entry'!$C$7:$C$5000,'Daily Entry'!$B$7:$B$5000,$L22,'Daily Entry'!$A$7:$A$5000,$C$3)</f>
        <v>50</v>
      </c>
      <c r="E22" s="17" t="n">
        <f aca="false">SUMIFS('Daily Entry'!$D$7:$D$5000,'Daily Entry'!$B$7:$B$5000,$L22,'Daily Entry'!$A$7:$A$5000,$C$3)</f>
        <v>0</v>
      </c>
      <c r="F22" s="18" t="n">
        <f aca="false">SUMIFS('Daily Entry'!$C$7:$C$5000,'Daily Entry'!$B$7:$B$5000,$L22)</f>
        <v>50</v>
      </c>
      <c r="G22" s="18" t="n">
        <f aca="false">SUMIFS('Daily Entry'!$D$7:$D$5000,'Daily Entry'!$B$7:$B$5000,$L22)</f>
        <v>0</v>
      </c>
      <c r="H22" s="19" t="n">
        <f aca="false">$C22+$F22-$G22</f>
        <v>4259</v>
      </c>
      <c r="I22" s="20"/>
      <c r="J22" s="21" t="str">
        <f aca="false">IF($I22="","",$H22*$I22)</f>
        <v/>
      </c>
      <c r="L22" s="22" t="str">
        <f aca="false">$A22&amp;" - "&amp;$B22</f>
        <v>Primus PUD Japan - PUD 100/200 KZN</v>
      </c>
    </row>
    <row r="23" customFormat="false" ht="15" hidden="false" customHeight="false" outlineLevel="0" collapsed="false">
      <c r="A23" s="23" t="s">
        <v>50</v>
      </c>
      <c r="B23" s="23" t="s">
        <v>45</v>
      </c>
      <c r="C23" s="24" t="n">
        <v>0</v>
      </c>
      <c r="D23" s="25" t="n">
        <f aca="false">SUMIFS('Daily Entry'!$C$7:$C$5000,'Daily Entry'!$B$7:$B$5000,$L23,'Daily Entry'!$A$7:$A$5000,$C$3)</f>
        <v>0</v>
      </c>
      <c r="E23" s="25" t="n">
        <f aca="false">SUMIFS('Daily Entry'!$D$7:$D$5000,'Daily Entry'!$B$7:$B$5000,$L23,'Daily Entry'!$A$7:$A$5000,$C$3)</f>
        <v>0</v>
      </c>
      <c r="F23" s="26" t="n">
        <f aca="false">SUMIFS('Daily Entry'!$C$7:$C$5000,'Daily Entry'!$B$7:$B$5000,$L23)</f>
        <v>0</v>
      </c>
      <c r="G23" s="26" t="n">
        <f aca="false">SUMIFS('Daily Entry'!$D$7:$D$5000,'Daily Entry'!$B$7:$B$5000,$L23)</f>
        <v>0</v>
      </c>
      <c r="H23" s="27" t="n">
        <f aca="false">$C23+$F23-$G23</f>
        <v>0</v>
      </c>
      <c r="I23" s="20"/>
      <c r="J23" s="28" t="str">
        <f aca="false">IF($I23="","",$H23*$I23)</f>
        <v/>
      </c>
      <c r="L23" s="22" t="str">
        <f aca="false">$A23&amp;" - "&amp;$B23</f>
        <v>Primus PUD Japan - PUD 200/300 P</v>
      </c>
    </row>
    <row r="24" customFormat="false" ht="15" hidden="false" customHeight="false" outlineLevel="0" collapsed="false">
      <c r="A24" s="15" t="s">
        <v>50</v>
      </c>
      <c r="B24" s="15" t="s">
        <v>46</v>
      </c>
      <c r="C24" s="16" t="n">
        <v>2757</v>
      </c>
      <c r="D24" s="17" t="n">
        <f aca="false">SUMIFS('Daily Entry'!$C$7:$C$5000,'Daily Entry'!$B$7:$B$5000,$L24,'Daily Entry'!$A$7:$A$5000,$C$3)</f>
        <v>0</v>
      </c>
      <c r="E24" s="17" t="n">
        <f aca="false">SUMIFS('Daily Entry'!$D$7:$D$5000,'Daily Entry'!$B$7:$B$5000,$L24,'Daily Entry'!$A$7:$A$5000,$C$3)</f>
        <v>0</v>
      </c>
      <c r="F24" s="18" t="n">
        <f aca="false">SUMIFS('Daily Entry'!$C$7:$C$5000,'Daily Entry'!$B$7:$B$5000,$L24)</f>
        <v>0</v>
      </c>
      <c r="G24" s="18" t="n">
        <f aca="false">SUMIFS('Daily Entry'!$D$7:$D$5000,'Daily Entry'!$B$7:$B$5000,$L24)</f>
        <v>0</v>
      </c>
      <c r="H24" s="19" t="n">
        <f aca="false">$C24+$F24-$G24</f>
        <v>2757</v>
      </c>
      <c r="I24" s="20"/>
      <c r="J24" s="21" t="str">
        <f aca="false">IF($I24="","",$H24*$I24)</f>
        <v/>
      </c>
      <c r="L24" s="22" t="str">
        <f aca="false">$A24&amp;" - "&amp;$B24</f>
        <v>Primus PUD Japan - PUD 200/300 K</v>
      </c>
    </row>
    <row r="25" customFormat="false" ht="15" hidden="false" customHeight="false" outlineLevel="0" collapsed="false">
      <c r="A25" s="23" t="s">
        <v>50</v>
      </c>
      <c r="B25" s="23" t="s">
        <v>59</v>
      </c>
      <c r="C25" s="24" t="n">
        <v>1080</v>
      </c>
      <c r="D25" s="25" t="n">
        <f aca="false">SUMIFS('Daily Entry'!$C$7:$C$5000,'Daily Entry'!$B$7:$B$5000,$L25,'Daily Entry'!$A$7:$A$5000,$C$3)</f>
        <v>33</v>
      </c>
      <c r="E25" s="25" t="n">
        <f aca="false">SUMIFS('Daily Entry'!$D$7:$D$5000,'Daily Entry'!$B$7:$B$5000,$L25,'Daily Entry'!$A$7:$A$5000,$C$3)</f>
        <v>0</v>
      </c>
      <c r="F25" s="26" t="n">
        <f aca="false">SUMIFS('Daily Entry'!$C$7:$C$5000,'Daily Entry'!$B$7:$B$5000,$L25)</f>
        <v>33</v>
      </c>
      <c r="G25" s="26" t="n">
        <f aca="false">SUMIFS('Daily Entry'!$D$7:$D$5000,'Daily Entry'!$B$7:$B$5000,$L25)</f>
        <v>0</v>
      </c>
      <c r="H25" s="27" t="n">
        <f aca="false">$C25+$F25-$G25</f>
        <v>1113</v>
      </c>
      <c r="I25" s="20"/>
      <c r="J25" s="28" t="str">
        <f aca="false">IF($I25="","",$H25*$I25)</f>
        <v/>
      </c>
      <c r="L25" s="22" t="str">
        <f aca="false">$A25&amp;" - "&amp;$B25</f>
        <v>Primus PUD Japan - PUD 200/300 KZN</v>
      </c>
    </row>
    <row r="26" customFormat="false" ht="15" hidden="false" customHeight="false" outlineLevel="0" collapsed="false">
      <c r="A26" s="15" t="s">
        <v>50</v>
      </c>
      <c r="B26" s="15" t="s">
        <v>47</v>
      </c>
      <c r="C26" s="16" t="n">
        <v>421</v>
      </c>
      <c r="D26" s="17" t="n">
        <f aca="false">SUMIFS('Daily Entry'!$C$7:$C$5000,'Daily Entry'!$B$7:$B$5000,$L26,'Daily Entry'!$A$7:$A$5000,$C$3)</f>
        <v>156</v>
      </c>
      <c r="E26" s="17" t="n">
        <f aca="false">SUMIFS('Daily Entry'!$D$7:$D$5000,'Daily Entry'!$B$7:$B$5000,$L26,'Daily Entry'!$A$7:$A$5000,$C$3)</f>
        <v>0</v>
      </c>
      <c r="F26" s="18" t="n">
        <f aca="false">SUMIFS('Daily Entry'!$C$7:$C$5000,'Daily Entry'!$B$7:$B$5000,$L26)</f>
        <v>156</v>
      </c>
      <c r="G26" s="18" t="n">
        <f aca="false">SUMIFS('Daily Entry'!$D$7:$D$5000,'Daily Entry'!$B$7:$B$5000,$L26)</f>
        <v>0</v>
      </c>
      <c r="H26" s="19" t="n">
        <f aca="false">$C26+$F26-$G26</f>
        <v>577</v>
      </c>
      <c r="I26" s="20"/>
      <c r="J26" s="21" t="str">
        <f aca="false">IF($I26="","",$H26*$I26)</f>
        <v/>
      </c>
      <c r="L26" s="22" t="str">
        <f aca="false">$A26&amp;" - "&amp;$B26</f>
        <v>Primus PUD Japan - PUD 300/500 P</v>
      </c>
    </row>
    <row r="27" customFormat="false" ht="15" hidden="false" customHeight="false" outlineLevel="0" collapsed="false">
      <c r="A27" s="23" t="s">
        <v>50</v>
      </c>
      <c r="B27" s="23" t="s">
        <v>48</v>
      </c>
      <c r="C27" s="24" t="n">
        <v>580</v>
      </c>
      <c r="D27" s="25" t="n">
        <f aca="false">SUMIFS('Daily Entry'!$C$7:$C$5000,'Daily Entry'!$B$7:$B$5000,$L27,'Daily Entry'!$A$7:$A$5000,$C$3)</f>
        <v>596</v>
      </c>
      <c r="E27" s="25" t="n">
        <f aca="false">SUMIFS('Daily Entry'!$D$7:$D$5000,'Daily Entry'!$B$7:$B$5000,$L27,'Daily Entry'!$A$7:$A$5000,$C$3)</f>
        <v>0</v>
      </c>
      <c r="F27" s="26" t="n">
        <f aca="false">SUMIFS('Daily Entry'!$C$7:$C$5000,'Daily Entry'!$B$7:$B$5000,$L27)</f>
        <v>596</v>
      </c>
      <c r="G27" s="26" t="n">
        <f aca="false">SUMIFS('Daily Entry'!$D$7:$D$5000,'Daily Entry'!$B$7:$B$5000,$L27)</f>
        <v>0</v>
      </c>
      <c r="H27" s="27" t="n">
        <f aca="false">$C27+$F27-$G27</f>
        <v>1176</v>
      </c>
      <c r="I27" s="20"/>
      <c r="J27" s="28" t="str">
        <f aca="false">IF($I27="","",$H27*$I27)</f>
        <v/>
      </c>
      <c r="L27" s="22" t="str">
        <f aca="false">$A27&amp;" - "&amp;$B27</f>
        <v>Primus PUD Japan - PUD 300/500 K</v>
      </c>
    </row>
    <row r="28" customFormat="false" ht="15" hidden="false" customHeight="false" outlineLevel="0" collapsed="false">
      <c r="A28" s="15" t="s">
        <v>60</v>
      </c>
      <c r="B28" s="15" t="s">
        <v>61</v>
      </c>
      <c r="C28" s="16" t="n">
        <v>185</v>
      </c>
      <c r="D28" s="17" t="n">
        <f aca="false">SUMIFS('Daily Entry'!$C$7:$C$5000,'Daily Entry'!$B$7:$B$5000,$L28,'Daily Entry'!$A$7:$A$5000,$C$3)</f>
        <v>0</v>
      </c>
      <c r="E28" s="17" t="n">
        <f aca="false">SUMIFS('Daily Entry'!$D$7:$D$5000,'Daily Entry'!$B$7:$B$5000,$L28,'Daily Entry'!$A$7:$A$5000,$C$3)</f>
        <v>0</v>
      </c>
      <c r="F28" s="18" t="n">
        <f aca="false">SUMIFS('Daily Entry'!$C$7:$C$5000,'Daily Entry'!$B$7:$B$5000,$L28)</f>
        <v>0</v>
      </c>
      <c r="G28" s="18" t="n">
        <f aca="false">SUMIFS('Daily Entry'!$D$7:$D$5000,'Daily Entry'!$B$7:$B$5000,$L28)</f>
        <v>0</v>
      </c>
      <c r="H28" s="19" t="n">
        <f aca="false">$C28+$F28-$G28</f>
        <v>185</v>
      </c>
      <c r="I28" s="20"/>
      <c r="J28" s="21" t="str">
        <f aca="false">IF($I28="","",$H28*$I28)</f>
        <v/>
      </c>
      <c r="L28" s="22" t="str">
        <f aca="false">$A28&amp;" - "&amp;$B28</f>
        <v>Primus EU - PUD 20/40</v>
      </c>
    </row>
    <row r="29" customFormat="false" ht="15" hidden="false" customHeight="false" outlineLevel="0" collapsed="false">
      <c r="A29" s="23" t="s">
        <v>60</v>
      </c>
      <c r="B29" s="23" t="s">
        <v>62</v>
      </c>
      <c r="C29" s="24" t="n">
        <v>368</v>
      </c>
      <c r="D29" s="25" t="n">
        <f aca="false">SUMIFS('Daily Entry'!$C$7:$C$5000,'Daily Entry'!$B$7:$B$5000,$L29,'Daily Entry'!$A$7:$A$5000,$C$3)</f>
        <v>0</v>
      </c>
      <c r="E29" s="25" t="n">
        <f aca="false">SUMIFS('Daily Entry'!$D$7:$D$5000,'Daily Entry'!$B$7:$B$5000,$L29,'Daily Entry'!$A$7:$A$5000,$C$3)</f>
        <v>0</v>
      </c>
      <c r="F29" s="26" t="n">
        <f aca="false">SUMIFS('Daily Entry'!$C$7:$C$5000,'Daily Entry'!$B$7:$B$5000,$L29)</f>
        <v>0</v>
      </c>
      <c r="G29" s="26" t="n">
        <f aca="false">SUMIFS('Daily Entry'!$D$7:$D$5000,'Daily Entry'!$B$7:$B$5000,$L29)</f>
        <v>0</v>
      </c>
      <c r="H29" s="27" t="n">
        <f aca="false">$C29+$F29-$G29</f>
        <v>368</v>
      </c>
      <c r="I29" s="20"/>
      <c r="J29" s="28" t="str">
        <f aca="false">IF($I29="","",$H29*$I29)</f>
        <v/>
      </c>
      <c r="L29" s="22" t="str">
        <f aca="false">$A29&amp;" - "&amp;$B29</f>
        <v>Primus EU - PUD 40/60</v>
      </c>
    </row>
    <row r="30" customFormat="false" ht="15" hidden="false" customHeight="false" outlineLevel="0" collapsed="false">
      <c r="A30" s="15" t="s">
        <v>60</v>
      </c>
      <c r="B30" s="15" t="s">
        <v>63</v>
      </c>
      <c r="C30" s="16" t="n">
        <v>380</v>
      </c>
      <c r="D30" s="17" t="n">
        <f aca="false">SUMIFS('Daily Entry'!$C$7:$C$5000,'Daily Entry'!$B$7:$B$5000,$L30,'Daily Entry'!$A$7:$A$5000,$C$3)</f>
        <v>0</v>
      </c>
      <c r="E30" s="17" t="n">
        <f aca="false">SUMIFS('Daily Entry'!$D$7:$D$5000,'Daily Entry'!$B$7:$B$5000,$L30,'Daily Entry'!$A$7:$A$5000,$C$3)</f>
        <v>0</v>
      </c>
      <c r="F30" s="18" t="n">
        <f aca="false">SUMIFS('Daily Entry'!$C$7:$C$5000,'Daily Entry'!$B$7:$B$5000,$L30)</f>
        <v>0</v>
      </c>
      <c r="G30" s="18" t="n">
        <f aca="false">SUMIFS('Daily Entry'!$D$7:$D$5000,'Daily Entry'!$B$7:$B$5000,$L30)</f>
        <v>0</v>
      </c>
      <c r="H30" s="19" t="n">
        <f aca="false">$C30+$F30-$G30</f>
        <v>380</v>
      </c>
      <c r="I30" s="20"/>
      <c r="J30" s="21" t="str">
        <f aca="false">IF($I30="","",$H30*$I30)</f>
        <v/>
      </c>
      <c r="L30" s="22" t="str">
        <f aca="false">$A30&amp;" - "&amp;$B30</f>
        <v>Primus EU - PUD 60/80</v>
      </c>
    </row>
    <row r="31" customFormat="false" ht="15" hidden="false" customHeight="false" outlineLevel="0" collapsed="false">
      <c r="A31" s="23" t="s">
        <v>60</v>
      </c>
      <c r="B31" s="23" t="s">
        <v>64</v>
      </c>
      <c r="C31" s="24" t="n">
        <v>1151</v>
      </c>
      <c r="D31" s="25" t="n">
        <f aca="false">SUMIFS('Daily Entry'!$C$7:$C$5000,'Daily Entry'!$B$7:$B$5000,$L31,'Daily Entry'!$A$7:$A$5000,$C$3)</f>
        <v>0</v>
      </c>
      <c r="E31" s="25" t="n">
        <f aca="false">SUMIFS('Daily Entry'!$D$7:$D$5000,'Daily Entry'!$B$7:$B$5000,$L31,'Daily Entry'!$A$7:$A$5000,$C$3)</f>
        <v>0</v>
      </c>
      <c r="F31" s="26" t="n">
        <f aca="false">SUMIFS('Daily Entry'!$C$7:$C$5000,'Daily Entry'!$B$7:$B$5000,$L31)</f>
        <v>0</v>
      </c>
      <c r="G31" s="26" t="n">
        <f aca="false">SUMIFS('Daily Entry'!$D$7:$D$5000,'Daily Entry'!$B$7:$B$5000,$L31)</f>
        <v>0</v>
      </c>
      <c r="H31" s="27" t="n">
        <f aca="false">$C31+$F31-$G31</f>
        <v>1151</v>
      </c>
      <c r="I31" s="20"/>
      <c r="J31" s="28" t="str">
        <f aca="false">IF($I31="","",$H31*$I31)</f>
        <v/>
      </c>
      <c r="L31" s="22" t="str">
        <f aca="false">$A31&amp;" - "&amp;$B31</f>
        <v>Primus EU - PUD 80/120</v>
      </c>
    </row>
    <row r="32" customFormat="false" ht="15" hidden="false" customHeight="false" outlineLevel="0" collapsed="false">
      <c r="A32" s="15" t="s">
        <v>60</v>
      </c>
      <c r="B32" s="15" t="s">
        <v>65</v>
      </c>
      <c r="C32" s="16" t="n">
        <v>3797</v>
      </c>
      <c r="D32" s="17" t="n">
        <f aca="false">SUMIFS('Daily Entry'!$C$7:$C$5000,'Daily Entry'!$B$7:$B$5000,$L32,'Daily Entry'!$A$7:$A$5000,$C$3)</f>
        <v>0</v>
      </c>
      <c r="E32" s="17" t="n">
        <f aca="false">SUMIFS('Daily Entry'!$D$7:$D$5000,'Daily Entry'!$B$7:$B$5000,$L32,'Daily Entry'!$A$7:$A$5000,$C$3)</f>
        <v>0</v>
      </c>
      <c r="F32" s="18" t="n">
        <f aca="false">SUMIFS('Daily Entry'!$C$7:$C$5000,'Daily Entry'!$B$7:$B$5000,$L32)</f>
        <v>0</v>
      </c>
      <c r="G32" s="18" t="n">
        <f aca="false">SUMIFS('Daily Entry'!$D$7:$D$5000,'Daily Entry'!$B$7:$B$5000,$L32)</f>
        <v>0</v>
      </c>
      <c r="H32" s="19" t="n">
        <f aca="false">$C32+$F32-$G32</f>
        <v>3797</v>
      </c>
      <c r="I32" s="20"/>
      <c r="J32" s="21" t="str">
        <f aca="false">IF($I32="","",$H32*$I32)</f>
        <v/>
      </c>
      <c r="L32" s="22" t="str">
        <f aca="false">$A32&amp;" - "&amp;$B32</f>
        <v>Primus EU - PUD 100/200</v>
      </c>
    </row>
    <row r="33" customFormat="false" ht="15" hidden="false" customHeight="false" outlineLevel="0" collapsed="false">
      <c r="A33" s="23" t="s">
        <v>60</v>
      </c>
      <c r="B33" s="23" t="s">
        <v>66</v>
      </c>
      <c r="C33" s="24" t="n">
        <v>4118</v>
      </c>
      <c r="D33" s="25" t="n">
        <f aca="false">SUMIFS('Daily Entry'!$C$7:$C$5000,'Daily Entry'!$B$7:$B$5000,$L33,'Daily Entry'!$A$7:$A$5000,$C$3)</f>
        <v>0</v>
      </c>
      <c r="E33" s="25" t="n">
        <f aca="false">SUMIFS('Daily Entry'!$D$7:$D$5000,'Daily Entry'!$B$7:$B$5000,$L33,'Daily Entry'!$A$7:$A$5000,$C$3)</f>
        <v>0</v>
      </c>
      <c r="F33" s="26" t="n">
        <f aca="false">SUMIFS('Daily Entry'!$C$7:$C$5000,'Daily Entry'!$B$7:$B$5000,$L33)</f>
        <v>0</v>
      </c>
      <c r="G33" s="26" t="n">
        <f aca="false">SUMIFS('Daily Entry'!$D$7:$D$5000,'Daily Entry'!$B$7:$B$5000,$L33)</f>
        <v>0</v>
      </c>
      <c r="H33" s="27" t="n">
        <f aca="false">$C33+$F33-$G33</f>
        <v>4118</v>
      </c>
      <c r="I33" s="20"/>
      <c r="J33" s="28" t="str">
        <f aca="false">IF($I33="","",$H33*$I33)</f>
        <v/>
      </c>
      <c r="L33" s="22" t="str">
        <f aca="false">$A33&amp;" - "&amp;$B33</f>
        <v>Primus EU - PUD 200/300</v>
      </c>
    </row>
    <row r="34" customFormat="false" ht="15" hidden="false" customHeight="false" outlineLevel="0" collapsed="false">
      <c r="A34" s="15" t="s">
        <v>60</v>
      </c>
      <c r="B34" s="15" t="s">
        <v>67</v>
      </c>
      <c r="C34" s="16" t="n">
        <v>1490</v>
      </c>
      <c r="D34" s="17" t="n">
        <f aca="false">SUMIFS('Daily Entry'!$C$7:$C$5000,'Daily Entry'!$B$7:$B$5000,$L34,'Daily Entry'!$A$7:$A$5000,$C$3)</f>
        <v>0</v>
      </c>
      <c r="E34" s="17" t="n">
        <f aca="false">SUMIFS('Daily Entry'!$D$7:$D$5000,'Daily Entry'!$B$7:$B$5000,$L34,'Daily Entry'!$A$7:$A$5000,$C$3)</f>
        <v>0</v>
      </c>
      <c r="F34" s="18" t="n">
        <f aca="false">SUMIFS('Daily Entry'!$C$7:$C$5000,'Daily Entry'!$B$7:$B$5000,$L34)</f>
        <v>0</v>
      </c>
      <c r="G34" s="18" t="n">
        <f aca="false">SUMIFS('Daily Entry'!$D$7:$D$5000,'Daily Entry'!$B$7:$B$5000,$L34)</f>
        <v>0</v>
      </c>
      <c r="H34" s="19" t="n">
        <f aca="false">$C34+$F34-$G34</f>
        <v>1490</v>
      </c>
      <c r="I34" s="20"/>
      <c r="J34" s="21" t="str">
        <f aca="false">IF($I34="","",$H34*$I34)</f>
        <v/>
      </c>
      <c r="L34" s="22" t="str">
        <f aca="false">$A34&amp;" - "&amp;$B34</f>
        <v>Primus EU - PUD 300/500</v>
      </c>
    </row>
    <row r="35" customFormat="false" ht="15" hidden="false" customHeight="false" outlineLevel="0" collapsed="false">
      <c r="A35" s="23" t="s">
        <v>60</v>
      </c>
      <c r="B35" s="23" t="s">
        <v>68</v>
      </c>
      <c r="C35" s="24" t="n">
        <v>15130</v>
      </c>
      <c r="D35" s="25" t="n">
        <f aca="false">SUMIFS('Daily Entry'!$C$7:$C$5000,'Daily Entry'!$B$7:$B$5000,$L35,'Daily Entry'!$A$7:$A$5000,$C$3)</f>
        <v>52</v>
      </c>
      <c r="E35" s="25" t="n">
        <f aca="false">SUMIFS('Daily Entry'!$D$7:$D$5000,'Daily Entry'!$B$7:$B$5000,$L35,'Daily Entry'!$A$7:$A$5000,$C$3)</f>
        <v>0</v>
      </c>
      <c r="F35" s="26" t="n">
        <f aca="false">SUMIFS('Daily Entry'!$C$7:$C$5000,'Daily Entry'!$B$7:$B$5000,$L35)</f>
        <v>52</v>
      </c>
      <c r="G35" s="26" t="n">
        <f aca="false">SUMIFS('Daily Entry'!$D$7:$D$5000,'Daily Entry'!$B$7:$B$5000,$L35)</f>
        <v>0</v>
      </c>
      <c r="H35" s="27" t="n">
        <f aca="false">$C35+$F35-$G35</f>
        <v>15182</v>
      </c>
      <c r="I35" s="20"/>
      <c r="J35" s="28" t="str">
        <f aca="false">IF($I35="","",$H35*$I35)</f>
        <v/>
      </c>
      <c r="L35" s="22" t="str">
        <f aca="false">$A35&amp;" - "&amp;$B35</f>
        <v>Primus EU - BKN</v>
      </c>
    </row>
    <row r="36" customFormat="false" ht="15" hidden="false" customHeight="false" outlineLevel="0" collapsed="false">
      <c r="A36" s="15" t="s">
        <v>69</v>
      </c>
      <c r="B36" s="15" t="s">
        <v>43</v>
      </c>
      <c r="C36" s="16" t="n">
        <v>0</v>
      </c>
      <c r="D36" s="17" t="n">
        <f aca="false">SUMIFS('Daily Entry'!$C$7:$C$5000,'Daily Entry'!$B$7:$B$5000,$L36,'Daily Entry'!$A$7:$A$5000,$C$3)</f>
        <v>0</v>
      </c>
      <c r="E36" s="17" t="n">
        <f aca="false">SUMIFS('Daily Entry'!$D$7:$D$5000,'Daily Entry'!$B$7:$B$5000,$L36,'Daily Entry'!$A$7:$A$5000,$C$3)</f>
        <v>0</v>
      </c>
      <c r="F36" s="18" t="n">
        <f aca="false">SUMIFS('Daily Entry'!$C$7:$C$5000,'Daily Entry'!$B$7:$B$5000,$L36)</f>
        <v>0</v>
      </c>
      <c r="G36" s="18" t="n">
        <f aca="false">SUMIFS('Daily Entry'!$D$7:$D$5000,'Daily Entry'!$B$7:$B$5000,$L36)</f>
        <v>0</v>
      </c>
      <c r="H36" s="19" t="n">
        <f aca="false">$C36+$F36-$G36</f>
        <v>0</v>
      </c>
      <c r="I36" s="20"/>
      <c r="J36" s="21" t="str">
        <f aca="false">IF($I36="","",$H36*$I36)</f>
        <v/>
      </c>
      <c r="L36" s="22" t="str">
        <f aca="false">$A36&amp;" - "&amp;$B36</f>
        <v>AMF Brand - PD 100/200 P</v>
      </c>
    </row>
    <row r="37" customFormat="false" ht="15" hidden="false" customHeight="false" outlineLevel="0" collapsed="false">
      <c r="A37" s="23" t="s">
        <v>69</v>
      </c>
      <c r="B37" s="23" t="s">
        <v>44</v>
      </c>
      <c r="C37" s="24" t="n">
        <v>0</v>
      </c>
      <c r="D37" s="25" t="n">
        <f aca="false">SUMIFS('Daily Entry'!$C$7:$C$5000,'Daily Entry'!$B$7:$B$5000,$L37,'Daily Entry'!$A$7:$A$5000,$C$3)</f>
        <v>0</v>
      </c>
      <c r="E37" s="25" t="n">
        <f aca="false">SUMIFS('Daily Entry'!$D$7:$D$5000,'Daily Entry'!$B$7:$B$5000,$L37,'Daily Entry'!$A$7:$A$5000,$C$3)</f>
        <v>0</v>
      </c>
      <c r="F37" s="26" t="n">
        <f aca="false">SUMIFS('Daily Entry'!$C$7:$C$5000,'Daily Entry'!$B$7:$B$5000,$L37)</f>
        <v>0</v>
      </c>
      <c r="G37" s="26" t="n">
        <f aca="false">SUMIFS('Daily Entry'!$D$7:$D$5000,'Daily Entry'!$B$7:$B$5000,$L37)</f>
        <v>0</v>
      </c>
      <c r="H37" s="27" t="n">
        <f aca="false">$C37+$F37-$G37</f>
        <v>0</v>
      </c>
      <c r="I37" s="20"/>
      <c r="J37" s="28" t="str">
        <f aca="false">IF($I37="","",$H37*$I37)</f>
        <v/>
      </c>
      <c r="L37" s="22" t="str">
        <f aca="false">$A37&amp;" - "&amp;$B37</f>
        <v>AMF Brand - PD 100/200 K</v>
      </c>
    </row>
    <row r="38" customFormat="false" ht="15" hidden="false" customHeight="false" outlineLevel="0" collapsed="false">
      <c r="A38" s="15" t="s">
        <v>69</v>
      </c>
      <c r="B38" s="15" t="s">
        <v>45</v>
      </c>
      <c r="C38" s="16" t="n">
        <v>1516</v>
      </c>
      <c r="D38" s="17" t="n">
        <f aca="false">SUMIFS('Daily Entry'!$C$7:$C$5000,'Daily Entry'!$B$7:$B$5000,$L38,'Daily Entry'!$A$7:$A$5000,$C$3)</f>
        <v>0</v>
      </c>
      <c r="E38" s="17" t="n">
        <f aca="false">SUMIFS('Daily Entry'!$D$7:$D$5000,'Daily Entry'!$B$7:$B$5000,$L38,'Daily Entry'!$A$7:$A$5000,$C$3)</f>
        <v>0</v>
      </c>
      <c r="F38" s="18" t="n">
        <f aca="false">SUMIFS('Daily Entry'!$C$7:$C$5000,'Daily Entry'!$B$7:$B$5000,$L38)</f>
        <v>0</v>
      </c>
      <c r="G38" s="18" t="n">
        <f aca="false">SUMIFS('Daily Entry'!$D$7:$D$5000,'Daily Entry'!$B$7:$B$5000,$L38)</f>
        <v>0</v>
      </c>
      <c r="H38" s="19" t="n">
        <f aca="false">$C38+$F38-$G38</f>
        <v>1516</v>
      </c>
      <c r="I38" s="20"/>
      <c r="J38" s="21" t="str">
        <f aca="false">IF($I38="","",$H38*$I38)</f>
        <v/>
      </c>
      <c r="L38" s="22" t="str">
        <f aca="false">$A38&amp;" - "&amp;$B38</f>
        <v>AMF Brand - PUD 200/300 P</v>
      </c>
    </row>
    <row r="39" customFormat="false" ht="15" hidden="false" customHeight="false" outlineLevel="0" collapsed="false">
      <c r="A39" s="23" t="s">
        <v>69</v>
      </c>
      <c r="B39" s="23" t="s">
        <v>46</v>
      </c>
      <c r="C39" s="24" t="n">
        <v>0</v>
      </c>
      <c r="D39" s="25" t="n">
        <f aca="false">SUMIFS('Daily Entry'!$C$7:$C$5000,'Daily Entry'!$B$7:$B$5000,$L39,'Daily Entry'!$A$7:$A$5000,$C$3)</f>
        <v>0</v>
      </c>
      <c r="E39" s="25" t="n">
        <f aca="false">SUMIFS('Daily Entry'!$D$7:$D$5000,'Daily Entry'!$B$7:$B$5000,$L39,'Daily Entry'!$A$7:$A$5000,$C$3)</f>
        <v>0</v>
      </c>
      <c r="F39" s="26" t="n">
        <f aca="false">SUMIFS('Daily Entry'!$C$7:$C$5000,'Daily Entry'!$B$7:$B$5000,$L39)</f>
        <v>0</v>
      </c>
      <c r="G39" s="26" t="n">
        <f aca="false">SUMIFS('Daily Entry'!$D$7:$D$5000,'Daily Entry'!$B$7:$B$5000,$L39)</f>
        <v>0</v>
      </c>
      <c r="H39" s="27" t="n">
        <f aca="false">$C39+$F39-$G39</f>
        <v>0</v>
      </c>
      <c r="I39" s="20"/>
      <c r="J39" s="28" t="str">
        <f aca="false">IF($I39="","",$H39*$I39)</f>
        <v/>
      </c>
      <c r="L39" s="22" t="str">
        <f aca="false">$A39&amp;" - "&amp;$B39</f>
        <v>AMF Brand - PUD 200/300 K</v>
      </c>
    </row>
    <row r="40" customFormat="false" ht="15" hidden="false" customHeight="false" outlineLevel="0" collapsed="false">
      <c r="A40" s="15" t="s">
        <v>69</v>
      </c>
      <c r="B40" s="15" t="s">
        <v>47</v>
      </c>
      <c r="C40" s="16" t="n">
        <v>18</v>
      </c>
      <c r="D40" s="17" t="n">
        <f aca="false">SUMIFS('Daily Entry'!$C$7:$C$5000,'Daily Entry'!$B$7:$B$5000,$L40,'Daily Entry'!$A$7:$A$5000,$C$3)</f>
        <v>0</v>
      </c>
      <c r="E40" s="17" t="n">
        <f aca="false">SUMIFS('Daily Entry'!$D$7:$D$5000,'Daily Entry'!$B$7:$B$5000,$L40,'Daily Entry'!$A$7:$A$5000,$C$3)</f>
        <v>0</v>
      </c>
      <c r="F40" s="18" t="n">
        <f aca="false">SUMIFS('Daily Entry'!$C$7:$C$5000,'Daily Entry'!$B$7:$B$5000,$L40)</f>
        <v>0</v>
      </c>
      <c r="G40" s="18" t="n">
        <f aca="false">SUMIFS('Daily Entry'!$D$7:$D$5000,'Daily Entry'!$B$7:$B$5000,$L40)</f>
        <v>0</v>
      </c>
      <c r="H40" s="19" t="n">
        <f aca="false">$C40+$F40-$G40</f>
        <v>18</v>
      </c>
      <c r="I40" s="20"/>
      <c r="J40" s="21" t="str">
        <f aca="false">IF($I40="","",$H40*$I40)</f>
        <v/>
      </c>
      <c r="L40" s="22" t="str">
        <f aca="false">$A40&amp;" - "&amp;$B40</f>
        <v>AMF Brand - PUD 300/500 P</v>
      </c>
    </row>
    <row r="41" customFormat="false" ht="15" hidden="false" customHeight="false" outlineLevel="0" collapsed="false">
      <c r="A41" s="23" t="s">
        <v>69</v>
      </c>
      <c r="B41" s="23" t="s">
        <v>48</v>
      </c>
      <c r="C41" s="24" t="n">
        <v>0</v>
      </c>
      <c r="D41" s="25" t="n">
        <f aca="false">SUMIFS('Daily Entry'!$C$7:$C$5000,'Daily Entry'!$B$7:$B$5000,$L41,'Daily Entry'!$A$7:$A$5000,$C$3)</f>
        <v>0</v>
      </c>
      <c r="E41" s="25" t="n">
        <f aca="false">SUMIFS('Daily Entry'!$D$7:$D$5000,'Daily Entry'!$B$7:$B$5000,$L41,'Daily Entry'!$A$7:$A$5000,$C$3)</f>
        <v>0</v>
      </c>
      <c r="F41" s="26" t="n">
        <f aca="false">SUMIFS('Daily Entry'!$C$7:$C$5000,'Daily Entry'!$B$7:$B$5000,$L41)</f>
        <v>0</v>
      </c>
      <c r="G41" s="26" t="n">
        <f aca="false">SUMIFS('Daily Entry'!$D$7:$D$5000,'Daily Entry'!$B$7:$B$5000,$L41)</f>
        <v>0</v>
      </c>
      <c r="H41" s="27" t="n">
        <f aca="false">$C41+$F41-$G41</f>
        <v>0</v>
      </c>
      <c r="I41" s="20"/>
      <c r="J41" s="28" t="str">
        <f aca="false">IF($I41="","",$H41*$I41)</f>
        <v/>
      </c>
      <c r="L41" s="22" t="str">
        <f aca="false">$A41&amp;" - "&amp;$B41</f>
        <v>AMF Brand - PUD 300/500 K</v>
      </c>
    </row>
    <row r="42" customFormat="false" ht="15" hidden="false" customHeight="false" outlineLevel="0" collapsed="false">
      <c r="A42" s="15" t="s">
        <v>70</v>
      </c>
      <c r="B42" s="15" t="s">
        <v>71</v>
      </c>
      <c r="C42" s="16" t="n">
        <v>1389</v>
      </c>
      <c r="D42" s="17" t="n">
        <f aca="false">SUMIFS('Daily Entry'!$C$7:$C$5000,'Daily Entry'!$B$7:$B$5000,$L42,'Daily Entry'!$A$7:$A$5000,$C$3)</f>
        <v>1872</v>
      </c>
      <c r="E42" s="17" t="n">
        <f aca="false">SUMIFS('Daily Entry'!$D$7:$D$5000,'Daily Entry'!$B$7:$B$5000,$L42,'Daily Entry'!$A$7:$A$5000,$C$3)</f>
        <v>0</v>
      </c>
      <c r="F42" s="18" t="n">
        <f aca="false">SUMIFS('Daily Entry'!$C$7:$C$5000,'Daily Entry'!$B$7:$B$5000,$L42)</f>
        <v>1872</v>
      </c>
      <c r="G42" s="18" t="n">
        <f aca="false">SUMIFS('Daily Entry'!$D$7:$D$5000,'Daily Entry'!$B$7:$B$5000,$L42)</f>
        <v>0</v>
      </c>
      <c r="H42" s="19" t="n">
        <f aca="false">$C42+$F42-$G42</f>
        <v>3261</v>
      </c>
      <c r="I42" s="20"/>
      <c r="J42" s="21" t="str">
        <f aca="false">IF($I42="","",$H42*$I42)</f>
        <v/>
      </c>
      <c r="L42" s="22" t="str">
        <f aca="false">$A42&amp;" - "&amp;$B42</f>
        <v>THT Brand PUD PVN - 80/120</v>
      </c>
    </row>
    <row r="43" customFormat="false" ht="15" hidden="false" customHeight="false" outlineLevel="0" collapsed="false">
      <c r="A43" s="23" t="s">
        <v>70</v>
      </c>
      <c r="B43" s="23" t="s">
        <v>72</v>
      </c>
      <c r="C43" s="24" t="n">
        <v>7055</v>
      </c>
      <c r="D43" s="25" t="n">
        <f aca="false">SUMIFS('Daily Entry'!$C$7:$C$5000,'Daily Entry'!$B$7:$B$5000,$L43,'Daily Entry'!$A$7:$A$5000,$C$3)</f>
        <v>600</v>
      </c>
      <c r="E43" s="25" t="n">
        <f aca="false">SUMIFS('Daily Entry'!$D$7:$D$5000,'Daily Entry'!$B$7:$B$5000,$L43,'Daily Entry'!$A$7:$A$5000,$C$3)</f>
        <v>0</v>
      </c>
      <c r="F43" s="26" t="n">
        <f aca="false">SUMIFS('Daily Entry'!$C$7:$C$5000,'Daily Entry'!$B$7:$B$5000,$L43)</f>
        <v>600</v>
      </c>
      <c r="G43" s="26" t="n">
        <f aca="false">SUMIFS('Daily Entry'!$D$7:$D$5000,'Daily Entry'!$B$7:$B$5000,$L43)</f>
        <v>0</v>
      </c>
      <c r="H43" s="27" t="n">
        <f aca="false">$C43+$F43-$G43</f>
        <v>7655</v>
      </c>
      <c r="I43" s="20"/>
      <c r="J43" s="28" t="str">
        <f aca="false">IF($I43="","",$H43*$I43)</f>
        <v/>
      </c>
      <c r="L43" s="22" t="str">
        <f aca="false">$A43&amp;" - "&amp;$B43</f>
        <v>THT Brand PUD PVN - 100/200</v>
      </c>
    </row>
    <row r="44" customFormat="false" ht="15" hidden="false" customHeight="false" outlineLevel="0" collapsed="false">
      <c r="A44" s="15" t="s">
        <v>70</v>
      </c>
      <c r="B44" s="15" t="s">
        <v>73</v>
      </c>
      <c r="C44" s="16" t="n">
        <v>4682</v>
      </c>
      <c r="D44" s="17" t="n">
        <f aca="false">SUMIFS('Daily Entry'!$C$7:$C$5000,'Daily Entry'!$B$7:$B$5000,$L44,'Daily Entry'!$A$7:$A$5000,$C$3)</f>
        <v>0</v>
      </c>
      <c r="E44" s="17" t="n">
        <f aca="false">SUMIFS('Daily Entry'!$D$7:$D$5000,'Daily Entry'!$B$7:$B$5000,$L44,'Daily Entry'!$A$7:$A$5000,$C$3)</f>
        <v>0</v>
      </c>
      <c r="F44" s="18" t="n">
        <f aca="false">SUMIFS('Daily Entry'!$C$7:$C$5000,'Daily Entry'!$B$7:$B$5000,$L44)</f>
        <v>0</v>
      </c>
      <c r="G44" s="18" t="n">
        <f aca="false">SUMIFS('Daily Entry'!$D$7:$D$5000,'Daily Entry'!$B$7:$B$5000,$L44)</f>
        <v>0</v>
      </c>
      <c r="H44" s="19" t="n">
        <f aca="false">$C44+$F44-$G44</f>
        <v>4682</v>
      </c>
      <c r="I44" s="20"/>
      <c r="J44" s="21" t="str">
        <f aca="false">IF($I44="","",$H44*$I44)</f>
        <v/>
      </c>
      <c r="L44" s="22" t="str">
        <f aca="false">$A44&amp;" - "&amp;$B44</f>
        <v>THT Brand PUD PVN - 200/300</v>
      </c>
    </row>
    <row r="45" customFormat="false" ht="15" hidden="false" customHeight="false" outlineLevel="0" collapsed="false">
      <c r="A45" s="23" t="s">
        <v>74</v>
      </c>
      <c r="B45" s="23" t="s">
        <v>75</v>
      </c>
      <c r="C45" s="24" t="n">
        <v>670</v>
      </c>
      <c r="D45" s="25" t="n">
        <f aca="false">SUMIFS('Daily Entry'!$C$7:$C$5000,'Daily Entry'!$B$7:$B$5000,$L45,'Daily Entry'!$A$7:$A$5000,$C$3)</f>
        <v>0</v>
      </c>
      <c r="E45" s="25" t="n">
        <f aca="false">SUMIFS('Daily Entry'!$D$7:$D$5000,'Daily Entry'!$B$7:$B$5000,$L45,'Daily Entry'!$A$7:$A$5000,$C$3)</f>
        <v>0</v>
      </c>
      <c r="F45" s="26" t="n">
        <f aca="false">SUMIFS('Daily Entry'!$C$7:$C$5000,'Daily Entry'!$B$7:$B$5000,$L45)</f>
        <v>0</v>
      </c>
      <c r="G45" s="26" t="n">
        <f aca="false">SUMIFS('Daily Entry'!$D$7:$D$5000,'Daily Entry'!$B$7:$B$5000,$L45)</f>
        <v>0</v>
      </c>
      <c r="H45" s="27" t="n">
        <f aca="false">$C45+$F45-$G45</f>
        <v>670</v>
      </c>
      <c r="I45" s="20"/>
      <c r="J45" s="28" t="str">
        <f aca="false">IF($I45="","",$H45*$I45)</f>
        <v/>
      </c>
      <c r="L45" s="22" t="str">
        <f aca="false">$A45&amp;" - "&amp;$B45</f>
        <v>Deepsea - 300/500</v>
      </c>
    </row>
    <row r="46" customFormat="false" ht="15" hidden="false" customHeight="false" outlineLevel="0" collapsed="false">
      <c r="A46" s="15" t="s">
        <v>76</v>
      </c>
      <c r="B46" s="15" t="s">
        <v>77</v>
      </c>
      <c r="C46" s="16" t="n">
        <v>451</v>
      </c>
      <c r="D46" s="17" t="n">
        <f aca="false">SUMIFS('Daily Entry'!$C$7:$C$5000,'Daily Entry'!$B$7:$B$5000,$L46,'Daily Entry'!$A$7:$A$5000,$C$3)</f>
        <v>0</v>
      </c>
      <c r="E46" s="17" t="n">
        <f aca="false">SUMIFS('Daily Entry'!$D$7:$D$5000,'Daily Entry'!$B$7:$B$5000,$L46,'Daily Entry'!$A$7:$A$5000,$C$3)</f>
        <v>0</v>
      </c>
      <c r="F46" s="18" t="n">
        <f aca="false">SUMIFS('Daily Entry'!$C$7:$C$5000,'Daily Entry'!$B$7:$B$5000,$L46)</f>
        <v>0</v>
      </c>
      <c r="G46" s="18" t="n">
        <f aca="false">SUMIFS('Daily Entry'!$D$7:$D$5000,'Daily Entry'!$B$7:$B$5000,$L46)</f>
        <v>0</v>
      </c>
      <c r="H46" s="19" t="n">
        <f aca="false">$C46+$F46-$G46</f>
        <v>451</v>
      </c>
      <c r="I46" s="20"/>
      <c r="J46" s="21" t="str">
        <f aca="false">IF($I46="","",$H46*$I46)</f>
        <v/>
      </c>
      <c r="L46" s="22" t="str">
        <f aca="false">$A46&amp;" - "&amp;$B46</f>
        <v>China PUD - 300/500 P</v>
      </c>
    </row>
    <row r="47" customFormat="false" ht="15" hidden="false" customHeight="false" outlineLevel="0" collapsed="false">
      <c r="A47" s="23" t="s">
        <v>76</v>
      </c>
      <c r="B47" s="23" t="s">
        <v>78</v>
      </c>
      <c r="C47" s="24" t="n">
        <v>188</v>
      </c>
      <c r="D47" s="25" t="n">
        <f aca="false">SUMIFS('Daily Entry'!$C$7:$C$5000,'Daily Entry'!$B$7:$B$5000,$L47,'Daily Entry'!$A$7:$A$5000,$C$3)</f>
        <v>0</v>
      </c>
      <c r="E47" s="25" t="n">
        <f aca="false">SUMIFS('Daily Entry'!$D$7:$D$5000,'Daily Entry'!$B$7:$B$5000,$L47,'Daily Entry'!$A$7:$A$5000,$C$3)</f>
        <v>0</v>
      </c>
      <c r="F47" s="26" t="n">
        <f aca="false">SUMIFS('Daily Entry'!$C$7:$C$5000,'Daily Entry'!$B$7:$B$5000,$L47)</f>
        <v>0</v>
      </c>
      <c r="G47" s="26" t="n">
        <f aca="false">SUMIFS('Daily Entry'!$D$7:$D$5000,'Daily Entry'!$B$7:$B$5000,$L47)</f>
        <v>0</v>
      </c>
      <c r="H47" s="27" t="n">
        <f aca="false">$C47+$F47-$G47</f>
        <v>188</v>
      </c>
      <c r="I47" s="20"/>
      <c r="J47" s="28" t="str">
        <f aca="false">IF($I47="","",$H47*$I47)</f>
        <v/>
      </c>
      <c r="L47" s="22" t="str">
        <f aca="false">$A47&amp;" - "&amp;$B47</f>
        <v>China PUD - 300/500 K</v>
      </c>
    </row>
    <row r="48" customFormat="false" ht="15" hidden="false" customHeight="false" outlineLevel="0" collapsed="false">
      <c r="A48" s="15" t="s">
        <v>76</v>
      </c>
      <c r="B48" s="15" t="s">
        <v>79</v>
      </c>
      <c r="C48" s="16" t="n">
        <v>401</v>
      </c>
      <c r="D48" s="17" t="n">
        <f aca="false">SUMIFS('Daily Entry'!$C$7:$C$5000,'Daily Entry'!$B$7:$B$5000,$L48,'Daily Entry'!$A$7:$A$5000,$C$3)</f>
        <v>0</v>
      </c>
      <c r="E48" s="17" t="n">
        <f aca="false">SUMIFS('Daily Entry'!$D$7:$D$5000,'Daily Entry'!$B$7:$B$5000,$L48,'Daily Entry'!$A$7:$A$5000,$C$3)</f>
        <v>0</v>
      </c>
      <c r="F48" s="18" t="n">
        <f aca="false">SUMIFS('Daily Entry'!$C$7:$C$5000,'Daily Entry'!$B$7:$B$5000,$L48)</f>
        <v>0</v>
      </c>
      <c r="G48" s="18" t="n">
        <f aca="false">SUMIFS('Daily Entry'!$D$7:$D$5000,'Daily Entry'!$B$7:$B$5000,$L48)</f>
        <v>0</v>
      </c>
      <c r="H48" s="19" t="n">
        <f aca="false">$C48+$F48-$G48</f>
        <v>401</v>
      </c>
      <c r="I48" s="20"/>
      <c r="J48" s="21" t="str">
        <f aca="false">IF($I48="","",$H48*$I48)</f>
        <v/>
      </c>
      <c r="L48" s="22" t="str">
        <f aca="false">$A48&amp;" - "&amp;$B48</f>
        <v>China PUD - 500/800 P</v>
      </c>
    </row>
    <row r="49" customFormat="false" ht="15" hidden="false" customHeight="false" outlineLevel="0" collapsed="false">
      <c r="A49" s="23" t="s">
        <v>76</v>
      </c>
      <c r="B49" s="23" t="s">
        <v>80</v>
      </c>
      <c r="C49" s="24" t="n">
        <v>1920</v>
      </c>
      <c r="D49" s="25" t="n">
        <f aca="false">SUMIFS('Daily Entry'!$C$7:$C$5000,'Daily Entry'!$B$7:$B$5000,$L49,'Daily Entry'!$A$7:$A$5000,$C$3)</f>
        <v>0</v>
      </c>
      <c r="E49" s="25" t="n">
        <f aca="false">SUMIFS('Daily Entry'!$D$7:$D$5000,'Daily Entry'!$B$7:$B$5000,$L49,'Daily Entry'!$A$7:$A$5000,$C$3)</f>
        <v>0</v>
      </c>
      <c r="F49" s="26" t="n">
        <f aca="false">SUMIFS('Daily Entry'!$C$7:$C$5000,'Daily Entry'!$B$7:$B$5000,$L49)</f>
        <v>0</v>
      </c>
      <c r="G49" s="26" t="n">
        <f aca="false">SUMIFS('Daily Entry'!$D$7:$D$5000,'Daily Entry'!$B$7:$B$5000,$L49)</f>
        <v>0</v>
      </c>
      <c r="H49" s="27" t="n">
        <f aca="false">$C49+$F49-$G49</f>
        <v>1920</v>
      </c>
      <c r="I49" s="20"/>
      <c r="J49" s="28" t="str">
        <f aca="false">IF($I49="","",$H49*$I49)</f>
        <v/>
      </c>
      <c r="L49" s="22" t="str">
        <f aca="false">$A49&amp;" - "&amp;$B49</f>
        <v>China PUD - 500/800 K</v>
      </c>
    </row>
    <row r="50" customFormat="false" ht="15" hidden="false" customHeight="false" outlineLevel="0" collapsed="false">
      <c r="A50" s="29" t="s">
        <v>81</v>
      </c>
      <c r="B50" s="30"/>
      <c r="C50" s="31" t="n">
        <f aca="false">SUM(C8:C49)</f>
        <v>102870</v>
      </c>
      <c r="D50" s="32" t="n">
        <f aca="false">SUM(D8:D49)</f>
        <v>4880</v>
      </c>
      <c r="E50" s="32" t="n">
        <f aca="false">SUM(E8:E49)</f>
        <v>0</v>
      </c>
      <c r="F50" s="31" t="n">
        <f aca="false">SUM(F8:F49)</f>
        <v>4880</v>
      </c>
      <c r="G50" s="31" t="n">
        <f aca="false">SUM(G8:G49)</f>
        <v>0</v>
      </c>
      <c r="H50" s="31" t="n">
        <f aca="false">SUM(H8:H49)</f>
        <v>107750</v>
      </c>
      <c r="I50" s="29"/>
      <c r="J50" s="33" t="str">
        <f aca="false">IF(SUM(J8:J49)=0,"",SUM(J8:J49))</f>
        <v/>
      </c>
    </row>
    <row r="52" customFormat="false" ht="15" hidden="false" customHeight="false" outlineLevel="0" collapsed="false">
      <c r="A52" s="10" t="s">
        <v>82</v>
      </c>
    </row>
  </sheetData>
  <autoFilter ref="A7:J49"/>
  <conditionalFormatting sqref="H8:H49">
    <cfRule type="cellIs" priority="2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4" min="3" style="0" width="16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83</v>
      </c>
    </row>
    <row r="4" customFormat="false" ht="15" hidden="false" customHeight="false" outlineLevel="0" collapsed="false">
      <c r="A4" s="10" t="s">
        <v>84</v>
      </c>
    </row>
    <row r="6" customFormat="false" ht="30" hidden="false" customHeight="true" outlineLevel="0" collapsed="false">
      <c r="A6" s="11" t="s">
        <v>85</v>
      </c>
      <c r="B6" s="11" t="s">
        <v>86</v>
      </c>
      <c r="C6" s="12" t="s">
        <v>87</v>
      </c>
      <c r="D6" s="12" t="s">
        <v>88</v>
      </c>
      <c r="E6" s="11" t="s">
        <v>89</v>
      </c>
    </row>
    <row r="7" customFormat="false" ht="15" hidden="false" customHeight="false" outlineLevel="0" collapsed="false">
      <c r="A7" s="34" t="s">
        <v>28</v>
      </c>
      <c r="B7" s="34" t="s">
        <v>90</v>
      </c>
      <c r="C7" s="35" t="n">
        <v>1068</v>
      </c>
      <c r="D7" s="35"/>
      <c r="E7" s="36" t="s">
        <v>91</v>
      </c>
    </row>
    <row r="8" customFormat="false" ht="15" hidden="false" customHeight="false" outlineLevel="0" collapsed="false">
      <c r="A8" s="34" t="s">
        <v>28</v>
      </c>
      <c r="B8" s="34" t="s">
        <v>92</v>
      </c>
      <c r="C8" s="35" t="n">
        <v>65</v>
      </c>
      <c r="D8" s="35"/>
      <c r="E8" s="36"/>
    </row>
    <row r="9" customFormat="false" ht="15" hidden="false" customHeight="false" outlineLevel="0" collapsed="false">
      <c r="A9" s="34" t="s">
        <v>28</v>
      </c>
      <c r="B9" s="34" t="s">
        <v>93</v>
      </c>
      <c r="C9" s="35" t="n">
        <v>267</v>
      </c>
      <c r="D9" s="35"/>
      <c r="E9" s="36"/>
    </row>
    <row r="10" customFormat="false" ht="15" hidden="false" customHeight="false" outlineLevel="0" collapsed="false">
      <c r="A10" s="34" t="s">
        <v>28</v>
      </c>
      <c r="B10" s="34" t="s">
        <v>94</v>
      </c>
      <c r="C10" s="35" t="n">
        <v>29</v>
      </c>
      <c r="D10" s="35"/>
      <c r="E10" s="36"/>
    </row>
    <row r="11" customFormat="false" ht="15" hidden="false" customHeight="false" outlineLevel="0" collapsed="false">
      <c r="A11" s="34" t="s">
        <v>28</v>
      </c>
      <c r="B11" s="34" t="s">
        <v>95</v>
      </c>
      <c r="C11" s="35" t="n">
        <v>39</v>
      </c>
      <c r="D11" s="35"/>
      <c r="E11" s="36"/>
    </row>
    <row r="12" customFormat="false" ht="15" hidden="false" customHeight="false" outlineLevel="0" collapsed="false">
      <c r="A12" s="34" t="s">
        <v>28</v>
      </c>
      <c r="B12" s="34" t="s">
        <v>96</v>
      </c>
      <c r="C12" s="35" t="n">
        <v>50</v>
      </c>
      <c r="D12" s="35"/>
      <c r="E12" s="36"/>
    </row>
    <row r="13" customFormat="false" ht="15" hidden="false" customHeight="false" outlineLevel="0" collapsed="false">
      <c r="A13" s="34" t="s">
        <v>28</v>
      </c>
      <c r="B13" s="34" t="s">
        <v>97</v>
      </c>
      <c r="C13" s="35" t="n">
        <v>3</v>
      </c>
      <c r="D13" s="35"/>
      <c r="E13" s="36"/>
    </row>
    <row r="14" customFormat="false" ht="15" hidden="false" customHeight="false" outlineLevel="0" collapsed="false">
      <c r="A14" s="34" t="s">
        <v>28</v>
      </c>
      <c r="B14" s="34" t="s">
        <v>98</v>
      </c>
      <c r="C14" s="35" t="n">
        <v>50</v>
      </c>
      <c r="D14" s="35"/>
      <c r="E14" s="36"/>
    </row>
    <row r="15" customFormat="false" ht="15" hidden="false" customHeight="false" outlineLevel="0" collapsed="false">
      <c r="A15" s="34" t="s">
        <v>28</v>
      </c>
      <c r="B15" s="34" t="s">
        <v>99</v>
      </c>
      <c r="C15" s="35" t="n">
        <v>33</v>
      </c>
      <c r="D15" s="35"/>
      <c r="E15" s="36"/>
    </row>
    <row r="16" customFormat="false" ht="15" hidden="false" customHeight="false" outlineLevel="0" collapsed="false">
      <c r="A16" s="34" t="s">
        <v>28</v>
      </c>
      <c r="B16" s="34" t="s">
        <v>100</v>
      </c>
      <c r="C16" s="35" t="n">
        <v>156</v>
      </c>
      <c r="D16" s="35"/>
      <c r="E16" s="36"/>
    </row>
    <row r="17" customFormat="false" ht="15" hidden="false" customHeight="false" outlineLevel="0" collapsed="false">
      <c r="A17" s="34" t="s">
        <v>28</v>
      </c>
      <c r="B17" s="34" t="s">
        <v>101</v>
      </c>
      <c r="C17" s="35" t="n">
        <v>596</v>
      </c>
      <c r="D17" s="35"/>
      <c r="E17" s="36"/>
    </row>
    <row r="18" customFormat="false" ht="15" hidden="false" customHeight="false" outlineLevel="0" collapsed="false">
      <c r="A18" s="34" t="s">
        <v>28</v>
      </c>
      <c r="B18" s="34" t="s">
        <v>102</v>
      </c>
      <c r="C18" s="35" t="n">
        <v>52</v>
      </c>
      <c r="D18" s="35"/>
      <c r="E18" s="36"/>
    </row>
    <row r="19" customFormat="false" ht="15" hidden="false" customHeight="false" outlineLevel="0" collapsed="false">
      <c r="A19" s="34" t="s">
        <v>28</v>
      </c>
      <c r="B19" s="34" t="s">
        <v>103</v>
      </c>
      <c r="C19" s="35" t="n">
        <v>1872</v>
      </c>
      <c r="D19" s="35"/>
      <c r="E19" s="36"/>
    </row>
    <row r="20" customFormat="false" ht="15" hidden="false" customHeight="false" outlineLevel="0" collapsed="false">
      <c r="A20" s="34" t="s">
        <v>28</v>
      </c>
      <c r="B20" s="34" t="s">
        <v>104</v>
      </c>
      <c r="C20" s="35" t="n">
        <v>600</v>
      </c>
      <c r="D20" s="35"/>
      <c r="E20" s="36"/>
    </row>
    <row r="21" customFormat="false" ht="15" hidden="false" customHeight="false" outlineLevel="0" collapsed="false">
      <c r="A21" s="34"/>
      <c r="B21" s="34"/>
      <c r="C21" s="35"/>
      <c r="D21" s="35"/>
      <c r="E21" s="34"/>
    </row>
    <row r="22" customFormat="false" ht="15" hidden="false" customHeight="false" outlineLevel="0" collapsed="false">
      <c r="A22" s="34"/>
      <c r="B22" s="34"/>
      <c r="C22" s="35"/>
      <c r="D22" s="35"/>
      <c r="E22" s="34"/>
    </row>
    <row r="23" customFormat="false" ht="15" hidden="false" customHeight="false" outlineLevel="0" collapsed="false">
      <c r="A23" s="34"/>
      <c r="B23" s="34"/>
      <c r="C23" s="35"/>
      <c r="D23" s="35"/>
      <c r="E23" s="34"/>
    </row>
    <row r="24" customFormat="false" ht="15" hidden="false" customHeight="false" outlineLevel="0" collapsed="false">
      <c r="A24" s="34"/>
      <c r="B24" s="34"/>
      <c r="C24" s="35"/>
      <c r="D24" s="35"/>
      <c r="E24" s="34"/>
    </row>
    <row r="25" customFormat="false" ht="15" hidden="false" customHeight="false" outlineLevel="0" collapsed="false">
      <c r="A25" s="34"/>
      <c r="B25" s="34"/>
      <c r="C25" s="35"/>
      <c r="D25" s="35"/>
      <c r="E25" s="34"/>
    </row>
    <row r="26" customFormat="false" ht="15" hidden="false" customHeight="false" outlineLevel="0" collapsed="false">
      <c r="A26" s="34"/>
      <c r="B26" s="34"/>
      <c r="C26" s="35"/>
      <c r="D26" s="35"/>
      <c r="E26" s="34"/>
    </row>
    <row r="27" customFormat="false" ht="15" hidden="false" customHeight="false" outlineLevel="0" collapsed="false">
      <c r="A27" s="34"/>
      <c r="B27" s="34"/>
      <c r="C27" s="35"/>
      <c r="D27" s="35"/>
      <c r="E27" s="34"/>
    </row>
    <row r="28" customFormat="false" ht="15" hidden="false" customHeight="false" outlineLevel="0" collapsed="false">
      <c r="A28" s="34"/>
      <c r="B28" s="34"/>
      <c r="C28" s="35"/>
      <c r="D28" s="35"/>
      <c r="E28" s="34"/>
    </row>
    <row r="29" customFormat="false" ht="15" hidden="false" customHeight="false" outlineLevel="0" collapsed="false">
      <c r="A29" s="34"/>
      <c r="B29" s="34"/>
      <c r="C29" s="35"/>
      <c r="D29" s="35"/>
      <c r="E29" s="34"/>
    </row>
    <row r="30" customFormat="false" ht="15" hidden="false" customHeight="false" outlineLevel="0" collapsed="false">
      <c r="A30" s="34"/>
      <c r="B30" s="34"/>
      <c r="C30" s="35"/>
      <c r="D30" s="35"/>
      <c r="E30" s="34"/>
    </row>
    <row r="31" customFormat="false" ht="15" hidden="false" customHeight="false" outlineLevel="0" collapsed="false">
      <c r="A31" s="34"/>
      <c r="B31" s="34"/>
      <c r="C31" s="35"/>
      <c r="D31" s="35"/>
      <c r="E31" s="34"/>
    </row>
    <row r="32" customFormat="false" ht="15" hidden="false" customHeight="false" outlineLevel="0" collapsed="false">
      <c r="A32" s="34"/>
      <c r="B32" s="34"/>
      <c r="C32" s="35"/>
      <c r="D32" s="35"/>
      <c r="E32" s="34"/>
    </row>
    <row r="33" customFormat="false" ht="15" hidden="false" customHeight="false" outlineLevel="0" collapsed="false">
      <c r="A33" s="34"/>
      <c r="B33" s="34"/>
      <c r="C33" s="35"/>
      <c r="D33" s="35"/>
      <c r="E33" s="34"/>
    </row>
    <row r="34" customFormat="false" ht="15" hidden="false" customHeight="false" outlineLevel="0" collapsed="false">
      <c r="A34" s="34"/>
      <c r="B34" s="34"/>
      <c r="C34" s="35"/>
      <c r="D34" s="35"/>
      <c r="E34" s="34"/>
    </row>
    <row r="35" customFormat="false" ht="15" hidden="false" customHeight="false" outlineLevel="0" collapsed="false">
      <c r="A35" s="34"/>
      <c r="B35" s="34"/>
      <c r="C35" s="35"/>
      <c r="D35" s="35"/>
      <c r="E35" s="34"/>
    </row>
    <row r="36" customFormat="false" ht="15" hidden="false" customHeight="false" outlineLevel="0" collapsed="false">
      <c r="A36" s="34"/>
      <c r="B36" s="34"/>
      <c r="C36" s="35"/>
      <c r="D36" s="35"/>
      <c r="E36" s="34"/>
    </row>
    <row r="37" customFormat="false" ht="15" hidden="false" customHeight="false" outlineLevel="0" collapsed="false">
      <c r="A37" s="34"/>
      <c r="B37" s="34"/>
      <c r="C37" s="35"/>
      <c r="D37" s="35"/>
      <c r="E37" s="34"/>
    </row>
    <row r="38" customFormat="false" ht="15" hidden="false" customHeight="false" outlineLevel="0" collapsed="false">
      <c r="A38" s="34"/>
      <c r="B38" s="34"/>
      <c r="C38" s="35"/>
      <c r="D38" s="35"/>
      <c r="E38" s="34"/>
    </row>
    <row r="39" customFormat="false" ht="15" hidden="false" customHeight="false" outlineLevel="0" collapsed="false">
      <c r="A39" s="34"/>
      <c r="B39" s="34"/>
      <c r="C39" s="35"/>
      <c r="D39" s="35"/>
      <c r="E39" s="34"/>
    </row>
    <row r="40" customFormat="false" ht="15" hidden="false" customHeight="false" outlineLevel="0" collapsed="false">
      <c r="A40" s="34"/>
      <c r="B40" s="34"/>
      <c r="C40" s="35"/>
      <c r="D40" s="35"/>
      <c r="E40" s="34"/>
    </row>
    <row r="41" customFormat="false" ht="15" hidden="false" customHeight="false" outlineLevel="0" collapsed="false">
      <c r="A41" s="34"/>
      <c r="B41" s="34"/>
      <c r="C41" s="35"/>
      <c r="D41" s="35"/>
      <c r="E41" s="34"/>
    </row>
    <row r="42" customFormat="false" ht="15" hidden="false" customHeight="false" outlineLevel="0" collapsed="false">
      <c r="A42" s="34"/>
      <c r="B42" s="34"/>
      <c r="C42" s="35"/>
      <c r="D42" s="35"/>
      <c r="E42" s="34"/>
    </row>
    <row r="43" customFormat="false" ht="15" hidden="false" customHeight="false" outlineLevel="0" collapsed="false">
      <c r="A43" s="34"/>
      <c r="B43" s="34"/>
      <c r="C43" s="35"/>
      <c r="D43" s="35"/>
      <c r="E43" s="34"/>
    </row>
    <row r="44" customFormat="false" ht="15" hidden="false" customHeight="false" outlineLevel="0" collapsed="false">
      <c r="A44" s="34"/>
      <c r="B44" s="34"/>
      <c r="C44" s="35"/>
      <c r="D44" s="35"/>
      <c r="E44" s="34"/>
    </row>
    <row r="45" customFormat="false" ht="15" hidden="false" customHeight="false" outlineLevel="0" collapsed="false">
      <c r="A45" s="34"/>
      <c r="B45" s="34"/>
      <c r="C45" s="35"/>
      <c r="D45" s="35"/>
      <c r="E45" s="34"/>
    </row>
    <row r="46" customFormat="false" ht="15" hidden="false" customHeight="false" outlineLevel="0" collapsed="false">
      <c r="A46" s="34"/>
      <c r="B46" s="34"/>
      <c r="C46" s="35"/>
      <c r="D46" s="35"/>
      <c r="E46" s="34"/>
    </row>
    <row r="47" customFormat="false" ht="15" hidden="false" customHeight="false" outlineLevel="0" collapsed="false">
      <c r="A47" s="34"/>
      <c r="B47" s="34"/>
      <c r="C47" s="35"/>
      <c r="D47" s="35"/>
      <c r="E47" s="34"/>
    </row>
    <row r="48" customFormat="false" ht="15" hidden="false" customHeight="false" outlineLevel="0" collapsed="false">
      <c r="A48" s="34"/>
      <c r="B48" s="34"/>
      <c r="C48" s="35"/>
      <c r="D48" s="35"/>
      <c r="E48" s="34"/>
    </row>
    <row r="49" customFormat="false" ht="15" hidden="false" customHeight="false" outlineLevel="0" collapsed="false">
      <c r="A49" s="34"/>
      <c r="B49" s="34"/>
      <c r="C49" s="35"/>
      <c r="D49" s="35"/>
      <c r="E49" s="34"/>
    </row>
    <row r="50" customFormat="false" ht="15" hidden="false" customHeight="false" outlineLevel="0" collapsed="false">
      <c r="A50" s="34"/>
      <c r="B50" s="34"/>
      <c r="C50" s="35"/>
      <c r="D50" s="35"/>
      <c r="E50" s="34"/>
    </row>
    <row r="51" customFormat="false" ht="15" hidden="false" customHeight="false" outlineLevel="0" collapsed="false">
      <c r="A51" s="34"/>
      <c r="B51" s="34"/>
      <c r="C51" s="35"/>
      <c r="D51" s="35"/>
      <c r="E51" s="34"/>
    </row>
    <row r="52" customFormat="false" ht="15" hidden="false" customHeight="false" outlineLevel="0" collapsed="false">
      <c r="A52" s="34"/>
      <c r="B52" s="34"/>
      <c r="C52" s="35"/>
      <c r="D52" s="35"/>
      <c r="E52" s="34"/>
    </row>
    <row r="53" customFormat="false" ht="15" hidden="false" customHeight="false" outlineLevel="0" collapsed="false">
      <c r="A53" s="34"/>
      <c r="B53" s="34"/>
      <c r="C53" s="35"/>
      <c r="D53" s="35"/>
      <c r="E53" s="34"/>
    </row>
    <row r="54" customFormat="false" ht="15" hidden="false" customHeight="false" outlineLevel="0" collapsed="false">
      <c r="A54" s="34"/>
      <c r="B54" s="34"/>
      <c r="C54" s="35"/>
      <c r="D54" s="35"/>
      <c r="E54" s="34"/>
    </row>
    <row r="55" customFormat="false" ht="15" hidden="false" customHeight="false" outlineLevel="0" collapsed="false">
      <c r="A55" s="34"/>
      <c r="B55" s="34"/>
      <c r="C55" s="35"/>
      <c r="D55" s="35"/>
      <c r="E55" s="34"/>
    </row>
    <row r="56" customFormat="false" ht="15" hidden="false" customHeight="false" outlineLevel="0" collapsed="false">
      <c r="A56" s="34"/>
      <c r="B56" s="34"/>
      <c r="C56" s="35"/>
      <c r="D56" s="35"/>
      <c r="E56" s="34"/>
    </row>
    <row r="57" customFormat="false" ht="15" hidden="false" customHeight="false" outlineLevel="0" collapsed="false">
      <c r="A57" s="34"/>
      <c r="B57" s="34"/>
      <c r="C57" s="35"/>
      <c r="D57" s="35"/>
      <c r="E57" s="34"/>
    </row>
    <row r="58" customFormat="false" ht="15" hidden="false" customHeight="false" outlineLevel="0" collapsed="false">
      <c r="A58" s="34"/>
      <c r="B58" s="34"/>
      <c r="C58" s="35"/>
      <c r="D58" s="35"/>
      <c r="E58" s="34"/>
    </row>
    <row r="59" customFormat="false" ht="15" hidden="false" customHeight="false" outlineLevel="0" collapsed="false">
      <c r="A59" s="34"/>
      <c r="B59" s="34"/>
      <c r="C59" s="35"/>
      <c r="D59" s="35"/>
      <c r="E59" s="34"/>
    </row>
    <row r="60" customFormat="false" ht="15" hidden="false" customHeight="false" outlineLevel="0" collapsed="false">
      <c r="A60" s="34"/>
      <c r="B60" s="34"/>
      <c r="C60" s="35"/>
      <c r="D60" s="35"/>
      <c r="E60" s="34"/>
    </row>
    <row r="61" customFormat="false" ht="15" hidden="false" customHeight="false" outlineLevel="0" collapsed="false">
      <c r="A61" s="34"/>
      <c r="B61" s="34"/>
      <c r="C61" s="35"/>
      <c r="D61" s="35"/>
      <c r="E61" s="34"/>
    </row>
    <row r="62" customFormat="false" ht="15" hidden="false" customHeight="false" outlineLevel="0" collapsed="false">
      <c r="A62" s="34"/>
      <c r="B62" s="34"/>
      <c r="C62" s="35"/>
      <c r="D62" s="35"/>
      <c r="E62" s="34"/>
    </row>
    <row r="63" customFormat="false" ht="15" hidden="false" customHeight="false" outlineLevel="0" collapsed="false">
      <c r="A63" s="34"/>
      <c r="B63" s="34"/>
      <c r="C63" s="35"/>
      <c r="D63" s="35"/>
      <c r="E63" s="34"/>
    </row>
    <row r="64" customFormat="false" ht="15" hidden="false" customHeight="false" outlineLevel="0" collapsed="false">
      <c r="A64" s="34"/>
      <c r="B64" s="34"/>
      <c r="C64" s="35"/>
      <c r="D64" s="35"/>
      <c r="E64" s="34"/>
    </row>
    <row r="65" customFormat="false" ht="15" hidden="false" customHeight="false" outlineLevel="0" collapsed="false">
      <c r="A65" s="34"/>
      <c r="B65" s="34"/>
      <c r="C65" s="35"/>
      <c r="D65" s="35"/>
      <c r="E65" s="34"/>
    </row>
    <row r="66" customFormat="false" ht="15" hidden="false" customHeight="false" outlineLevel="0" collapsed="false">
      <c r="A66" s="34"/>
      <c r="B66" s="34"/>
      <c r="C66" s="35"/>
      <c r="D66" s="35"/>
      <c r="E66" s="34"/>
    </row>
    <row r="67" customFormat="false" ht="15" hidden="false" customHeight="false" outlineLevel="0" collapsed="false">
      <c r="A67" s="34"/>
      <c r="B67" s="34"/>
      <c r="C67" s="35"/>
      <c r="D67" s="35"/>
      <c r="E67" s="34"/>
    </row>
    <row r="68" customFormat="false" ht="15" hidden="false" customHeight="false" outlineLevel="0" collapsed="false">
      <c r="A68" s="34"/>
      <c r="B68" s="34"/>
      <c r="C68" s="35"/>
      <c r="D68" s="35"/>
      <c r="E68" s="34"/>
    </row>
    <row r="69" customFormat="false" ht="15" hidden="false" customHeight="false" outlineLevel="0" collapsed="false">
      <c r="A69" s="34"/>
      <c r="B69" s="34"/>
      <c r="C69" s="35"/>
      <c r="D69" s="35"/>
      <c r="E69" s="34"/>
    </row>
    <row r="70" customFormat="false" ht="15" hidden="false" customHeight="false" outlineLevel="0" collapsed="false">
      <c r="A70" s="34"/>
      <c r="B70" s="34"/>
      <c r="C70" s="35"/>
      <c r="D70" s="35"/>
      <c r="E70" s="34"/>
    </row>
    <row r="71" customFormat="false" ht="15" hidden="false" customHeight="false" outlineLevel="0" collapsed="false">
      <c r="A71" s="34"/>
      <c r="B71" s="34"/>
      <c r="C71" s="35"/>
      <c r="D71" s="35"/>
      <c r="E71" s="34"/>
    </row>
    <row r="72" customFormat="false" ht="15" hidden="false" customHeight="false" outlineLevel="0" collapsed="false">
      <c r="A72" s="34"/>
      <c r="B72" s="34"/>
      <c r="C72" s="35"/>
      <c r="D72" s="35"/>
      <c r="E72" s="34"/>
    </row>
    <row r="73" customFormat="false" ht="15" hidden="false" customHeight="false" outlineLevel="0" collapsed="false">
      <c r="A73" s="34"/>
      <c r="B73" s="34"/>
      <c r="C73" s="35"/>
      <c r="D73" s="35"/>
      <c r="E73" s="34"/>
    </row>
    <row r="74" customFormat="false" ht="15" hidden="false" customHeight="false" outlineLevel="0" collapsed="false">
      <c r="A74" s="34"/>
      <c r="B74" s="34"/>
      <c r="C74" s="35"/>
      <c r="D74" s="35"/>
      <c r="E74" s="34"/>
    </row>
    <row r="75" customFormat="false" ht="15" hidden="false" customHeight="false" outlineLevel="0" collapsed="false">
      <c r="A75" s="34"/>
      <c r="B75" s="34"/>
      <c r="C75" s="35"/>
      <c r="D75" s="35"/>
      <c r="E75" s="34"/>
    </row>
    <row r="76" customFormat="false" ht="15" hidden="false" customHeight="false" outlineLevel="0" collapsed="false">
      <c r="A76" s="34"/>
      <c r="B76" s="34"/>
      <c r="C76" s="35"/>
      <c r="D76" s="35"/>
      <c r="E76" s="34"/>
    </row>
    <row r="77" customFormat="false" ht="15" hidden="false" customHeight="false" outlineLevel="0" collapsed="false">
      <c r="A77" s="34"/>
      <c r="B77" s="34"/>
      <c r="C77" s="35"/>
      <c r="D77" s="35"/>
      <c r="E77" s="34"/>
    </row>
    <row r="78" customFormat="false" ht="15" hidden="false" customHeight="false" outlineLevel="0" collapsed="false">
      <c r="A78" s="34"/>
      <c r="B78" s="34"/>
      <c r="C78" s="35"/>
      <c r="D78" s="35"/>
      <c r="E78" s="34"/>
    </row>
    <row r="79" customFormat="false" ht="15" hidden="false" customHeight="false" outlineLevel="0" collapsed="false">
      <c r="A79" s="34"/>
      <c r="B79" s="34"/>
      <c r="C79" s="35"/>
      <c r="D79" s="35"/>
      <c r="E79" s="34"/>
    </row>
    <row r="80" customFormat="false" ht="15" hidden="false" customHeight="false" outlineLevel="0" collapsed="false">
      <c r="A80" s="34"/>
      <c r="B80" s="34"/>
      <c r="C80" s="35"/>
      <c r="D80" s="35"/>
      <c r="E80" s="34"/>
    </row>
    <row r="81" customFormat="false" ht="15" hidden="false" customHeight="false" outlineLevel="0" collapsed="false">
      <c r="A81" s="34"/>
      <c r="B81" s="34"/>
      <c r="C81" s="35"/>
      <c r="D81" s="35"/>
      <c r="E81" s="34"/>
    </row>
    <row r="82" customFormat="false" ht="15" hidden="false" customHeight="false" outlineLevel="0" collapsed="false">
      <c r="A82" s="34"/>
      <c r="B82" s="34"/>
      <c r="C82" s="35"/>
      <c r="D82" s="35"/>
      <c r="E82" s="34"/>
    </row>
    <row r="83" customFormat="false" ht="15" hidden="false" customHeight="false" outlineLevel="0" collapsed="false">
      <c r="A83" s="34"/>
      <c r="B83" s="34"/>
      <c r="C83" s="35"/>
      <c r="D83" s="35"/>
      <c r="E83" s="34"/>
    </row>
    <row r="84" customFormat="false" ht="15" hidden="false" customHeight="false" outlineLevel="0" collapsed="false">
      <c r="A84" s="34"/>
      <c r="B84" s="34"/>
      <c r="C84" s="35"/>
      <c r="D84" s="35"/>
      <c r="E84" s="34"/>
    </row>
    <row r="85" customFormat="false" ht="15" hidden="false" customHeight="false" outlineLevel="0" collapsed="false">
      <c r="A85" s="34"/>
      <c r="B85" s="34"/>
      <c r="C85" s="35"/>
      <c r="D85" s="35"/>
      <c r="E85" s="34"/>
    </row>
    <row r="86" customFormat="false" ht="15" hidden="false" customHeight="false" outlineLevel="0" collapsed="false">
      <c r="A86" s="34"/>
      <c r="B86" s="34"/>
      <c r="C86" s="35"/>
      <c r="D86" s="35"/>
      <c r="E86" s="34"/>
    </row>
    <row r="87" customFormat="false" ht="15" hidden="false" customHeight="false" outlineLevel="0" collapsed="false">
      <c r="A87" s="34"/>
      <c r="B87" s="34"/>
      <c r="C87" s="35"/>
      <c r="D87" s="35"/>
      <c r="E87" s="34"/>
    </row>
    <row r="88" customFormat="false" ht="15" hidden="false" customHeight="false" outlineLevel="0" collapsed="false">
      <c r="A88" s="34"/>
      <c r="B88" s="34"/>
      <c r="C88" s="35"/>
      <c r="D88" s="35"/>
      <c r="E88" s="34"/>
    </row>
    <row r="89" customFormat="false" ht="15" hidden="false" customHeight="false" outlineLevel="0" collapsed="false">
      <c r="A89" s="34"/>
      <c r="B89" s="34"/>
      <c r="C89" s="35"/>
      <c r="D89" s="35"/>
      <c r="E89" s="34"/>
    </row>
    <row r="90" customFormat="false" ht="15" hidden="false" customHeight="false" outlineLevel="0" collapsed="false">
      <c r="A90" s="34"/>
      <c r="B90" s="34"/>
      <c r="C90" s="35"/>
      <c r="D90" s="35"/>
      <c r="E90" s="34"/>
    </row>
    <row r="91" customFormat="false" ht="15" hidden="false" customHeight="false" outlineLevel="0" collapsed="false">
      <c r="A91" s="34"/>
      <c r="B91" s="34"/>
      <c r="C91" s="35"/>
      <c r="D91" s="35"/>
      <c r="E91" s="34"/>
    </row>
    <row r="92" customFormat="false" ht="15" hidden="false" customHeight="false" outlineLevel="0" collapsed="false">
      <c r="A92" s="34"/>
      <c r="B92" s="34"/>
      <c r="C92" s="35"/>
      <c r="D92" s="35"/>
      <c r="E92" s="34"/>
    </row>
    <row r="93" customFormat="false" ht="15" hidden="false" customHeight="false" outlineLevel="0" collapsed="false">
      <c r="A93" s="34"/>
      <c r="B93" s="34"/>
      <c r="C93" s="35"/>
      <c r="D93" s="35"/>
      <c r="E93" s="34"/>
    </row>
    <row r="94" customFormat="false" ht="15" hidden="false" customHeight="false" outlineLevel="0" collapsed="false">
      <c r="A94" s="34"/>
      <c r="B94" s="34"/>
      <c r="C94" s="35"/>
      <c r="D94" s="35"/>
      <c r="E94" s="34"/>
    </row>
    <row r="95" customFormat="false" ht="15" hidden="false" customHeight="false" outlineLevel="0" collapsed="false">
      <c r="A95" s="34"/>
      <c r="B95" s="34"/>
      <c r="C95" s="35"/>
      <c r="D95" s="35"/>
      <c r="E95" s="34"/>
    </row>
    <row r="96" customFormat="false" ht="15" hidden="false" customHeight="false" outlineLevel="0" collapsed="false">
      <c r="A96" s="34"/>
      <c r="B96" s="34"/>
      <c r="C96" s="35"/>
      <c r="D96" s="35"/>
      <c r="E96" s="34"/>
    </row>
    <row r="97" customFormat="false" ht="15" hidden="false" customHeight="false" outlineLevel="0" collapsed="false">
      <c r="A97" s="34"/>
      <c r="B97" s="34"/>
      <c r="C97" s="35"/>
      <c r="D97" s="35"/>
      <c r="E97" s="34"/>
    </row>
    <row r="98" customFormat="false" ht="15" hidden="false" customHeight="false" outlineLevel="0" collapsed="false">
      <c r="A98" s="34"/>
      <c r="B98" s="34"/>
      <c r="C98" s="35"/>
      <c r="D98" s="35"/>
      <c r="E98" s="34"/>
    </row>
    <row r="99" customFormat="false" ht="15" hidden="false" customHeight="false" outlineLevel="0" collapsed="false">
      <c r="A99" s="34"/>
      <c r="B99" s="34"/>
      <c r="C99" s="35"/>
      <c r="D99" s="35"/>
      <c r="E99" s="34"/>
    </row>
    <row r="100" customFormat="false" ht="15" hidden="false" customHeight="false" outlineLevel="0" collapsed="false">
      <c r="A100" s="34"/>
      <c r="B100" s="34"/>
      <c r="C100" s="35"/>
      <c r="D100" s="35"/>
      <c r="E100" s="34"/>
    </row>
    <row r="101" customFormat="false" ht="15" hidden="false" customHeight="false" outlineLevel="0" collapsed="false">
      <c r="A101" s="34"/>
      <c r="B101" s="34"/>
      <c r="C101" s="35"/>
      <c r="D101" s="35"/>
      <c r="E101" s="34"/>
    </row>
    <row r="102" customFormat="false" ht="15" hidden="false" customHeight="false" outlineLevel="0" collapsed="false">
      <c r="A102" s="34"/>
      <c r="B102" s="34"/>
      <c r="C102" s="35"/>
      <c r="D102" s="35"/>
      <c r="E102" s="34"/>
    </row>
    <row r="103" customFormat="false" ht="15" hidden="false" customHeight="false" outlineLevel="0" collapsed="false">
      <c r="A103" s="34"/>
      <c r="B103" s="34"/>
      <c r="C103" s="35"/>
      <c r="D103" s="35"/>
      <c r="E103" s="34"/>
    </row>
    <row r="104" customFormat="false" ht="15" hidden="false" customHeight="false" outlineLevel="0" collapsed="false">
      <c r="A104" s="34"/>
      <c r="B104" s="34"/>
      <c r="C104" s="35"/>
      <c r="D104" s="35"/>
      <c r="E104" s="34"/>
    </row>
    <row r="105" customFormat="false" ht="15" hidden="false" customHeight="false" outlineLevel="0" collapsed="false">
      <c r="A105" s="34"/>
      <c r="B105" s="34"/>
      <c r="C105" s="35"/>
      <c r="D105" s="35"/>
      <c r="E105" s="34"/>
    </row>
    <row r="106" customFormat="false" ht="15" hidden="false" customHeight="false" outlineLevel="0" collapsed="false">
      <c r="A106" s="34"/>
      <c r="B106" s="34"/>
      <c r="C106" s="35"/>
      <c r="D106" s="35"/>
      <c r="E106" s="34"/>
    </row>
    <row r="107" customFormat="false" ht="15" hidden="false" customHeight="false" outlineLevel="0" collapsed="false">
      <c r="A107" s="34"/>
      <c r="B107" s="34"/>
      <c r="C107" s="35"/>
      <c r="D107" s="35"/>
      <c r="E107" s="34"/>
    </row>
    <row r="108" customFormat="false" ht="15" hidden="false" customHeight="false" outlineLevel="0" collapsed="false">
      <c r="A108" s="34"/>
      <c r="B108" s="34"/>
      <c r="C108" s="35"/>
      <c r="D108" s="35"/>
      <c r="E108" s="34"/>
    </row>
    <row r="109" customFormat="false" ht="15" hidden="false" customHeight="false" outlineLevel="0" collapsed="false">
      <c r="A109" s="34"/>
      <c r="B109" s="34"/>
      <c r="C109" s="35"/>
      <c r="D109" s="35"/>
      <c r="E109" s="34"/>
    </row>
    <row r="110" customFormat="false" ht="15" hidden="false" customHeight="false" outlineLevel="0" collapsed="false">
      <c r="A110" s="34"/>
      <c r="B110" s="34"/>
      <c r="C110" s="35"/>
      <c r="D110" s="35"/>
      <c r="E110" s="34"/>
    </row>
    <row r="111" customFormat="false" ht="15" hidden="false" customHeight="false" outlineLevel="0" collapsed="false">
      <c r="A111" s="34"/>
      <c r="B111" s="34"/>
      <c r="C111" s="35"/>
      <c r="D111" s="35"/>
      <c r="E111" s="34"/>
    </row>
    <row r="112" customFormat="false" ht="15" hidden="false" customHeight="false" outlineLevel="0" collapsed="false">
      <c r="A112" s="34"/>
      <c r="B112" s="34"/>
      <c r="C112" s="35"/>
      <c r="D112" s="35"/>
      <c r="E112" s="34"/>
    </row>
    <row r="113" customFormat="false" ht="15" hidden="false" customHeight="false" outlineLevel="0" collapsed="false">
      <c r="A113" s="34"/>
      <c r="B113" s="34"/>
      <c r="C113" s="35"/>
      <c r="D113" s="35"/>
      <c r="E113" s="34"/>
    </row>
    <row r="114" customFormat="false" ht="15" hidden="false" customHeight="false" outlineLevel="0" collapsed="false">
      <c r="A114" s="34"/>
      <c r="B114" s="34"/>
      <c r="C114" s="35"/>
      <c r="D114" s="35"/>
      <c r="E114" s="34"/>
    </row>
    <row r="115" customFormat="false" ht="15" hidden="false" customHeight="false" outlineLevel="0" collapsed="false">
      <c r="A115" s="34"/>
      <c r="B115" s="34"/>
      <c r="C115" s="35"/>
      <c r="D115" s="35"/>
      <c r="E115" s="34"/>
    </row>
    <row r="116" customFormat="false" ht="15" hidden="false" customHeight="false" outlineLevel="0" collapsed="false">
      <c r="A116" s="34"/>
      <c r="B116" s="34"/>
      <c r="C116" s="35"/>
      <c r="D116" s="35"/>
      <c r="E116" s="34"/>
    </row>
    <row r="117" customFormat="false" ht="15" hidden="false" customHeight="false" outlineLevel="0" collapsed="false">
      <c r="A117" s="34"/>
      <c r="B117" s="34"/>
      <c r="C117" s="35"/>
      <c r="D117" s="35"/>
      <c r="E117" s="34"/>
    </row>
    <row r="118" customFormat="false" ht="15" hidden="false" customHeight="false" outlineLevel="0" collapsed="false">
      <c r="A118" s="34"/>
      <c r="B118" s="34"/>
      <c r="C118" s="35"/>
      <c r="D118" s="35"/>
      <c r="E118" s="34"/>
    </row>
    <row r="119" customFormat="false" ht="15" hidden="false" customHeight="false" outlineLevel="0" collapsed="false">
      <c r="A119" s="34"/>
      <c r="B119" s="34"/>
      <c r="C119" s="35"/>
      <c r="D119" s="35"/>
      <c r="E119" s="34"/>
    </row>
    <row r="120" customFormat="false" ht="15" hidden="false" customHeight="false" outlineLevel="0" collapsed="false">
      <c r="A120" s="34"/>
      <c r="B120" s="34"/>
      <c r="C120" s="35"/>
      <c r="D120" s="35"/>
      <c r="E120" s="34"/>
    </row>
    <row r="121" customFormat="false" ht="15" hidden="false" customHeight="false" outlineLevel="0" collapsed="false">
      <c r="A121" s="34"/>
      <c r="B121" s="34"/>
      <c r="C121" s="35"/>
      <c r="D121" s="35"/>
      <c r="E121" s="34"/>
    </row>
    <row r="122" customFormat="false" ht="15" hidden="false" customHeight="false" outlineLevel="0" collapsed="false">
      <c r="A122" s="34"/>
      <c r="B122" s="34"/>
      <c r="C122" s="35"/>
      <c r="D122" s="35"/>
      <c r="E122" s="34"/>
    </row>
    <row r="123" customFormat="false" ht="15" hidden="false" customHeight="false" outlineLevel="0" collapsed="false">
      <c r="A123" s="34"/>
      <c r="B123" s="34"/>
      <c r="C123" s="35"/>
      <c r="D123" s="35"/>
      <c r="E123" s="34"/>
    </row>
    <row r="124" customFormat="false" ht="15" hidden="false" customHeight="false" outlineLevel="0" collapsed="false">
      <c r="A124" s="34"/>
      <c r="B124" s="34"/>
      <c r="C124" s="35"/>
      <c r="D124" s="35"/>
      <c r="E124" s="34"/>
    </row>
    <row r="125" customFormat="false" ht="15" hidden="false" customHeight="false" outlineLevel="0" collapsed="false">
      <c r="A125" s="34"/>
      <c r="B125" s="34"/>
      <c r="C125" s="35"/>
      <c r="D125" s="35"/>
      <c r="E125" s="34"/>
    </row>
    <row r="126" customFormat="false" ht="15" hidden="false" customHeight="false" outlineLevel="0" collapsed="false">
      <c r="A126" s="34"/>
      <c r="B126" s="34"/>
      <c r="C126" s="35"/>
      <c r="D126" s="35"/>
      <c r="E126" s="34"/>
    </row>
    <row r="127" customFormat="false" ht="15" hidden="false" customHeight="false" outlineLevel="0" collapsed="false">
      <c r="A127" s="34"/>
      <c r="B127" s="34"/>
      <c r="C127" s="35"/>
      <c r="D127" s="35"/>
      <c r="E127" s="34"/>
    </row>
    <row r="128" customFormat="false" ht="15" hidden="false" customHeight="false" outlineLevel="0" collapsed="false">
      <c r="A128" s="34"/>
      <c r="B128" s="34"/>
      <c r="C128" s="35"/>
      <c r="D128" s="35"/>
      <c r="E128" s="34"/>
    </row>
    <row r="129" customFormat="false" ht="15" hidden="false" customHeight="false" outlineLevel="0" collapsed="false">
      <c r="A129" s="34"/>
      <c r="B129" s="34"/>
      <c r="C129" s="35"/>
      <c r="D129" s="35"/>
      <c r="E129" s="34"/>
    </row>
    <row r="130" customFormat="false" ht="15" hidden="false" customHeight="false" outlineLevel="0" collapsed="false">
      <c r="A130" s="34"/>
      <c r="B130" s="34"/>
      <c r="C130" s="35"/>
      <c r="D130" s="35"/>
      <c r="E130" s="34"/>
    </row>
    <row r="131" customFormat="false" ht="15" hidden="false" customHeight="false" outlineLevel="0" collapsed="false">
      <c r="A131" s="34"/>
      <c r="B131" s="34"/>
      <c r="C131" s="35"/>
      <c r="D131" s="35"/>
      <c r="E131" s="34"/>
    </row>
    <row r="132" customFormat="false" ht="15" hidden="false" customHeight="false" outlineLevel="0" collapsed="false">
      <c r="A132" s="34"/>
      <c r="B132" s="34"/>
      <c r="C132" s="35"/>
      <c r="D132" s="35"/>
      <c r="E132" s="34"/>
    </row>
    <row r="133" customFormat="false" ht="15" hidden="false" customHeight="false" outlineLevel="0" collapsed="false">
      <c r="A133" s="34"/>
      <c r="B133" s="34"/>
      <c r="C133" s="35"/>
      <c r="D133" s="35"/>
      <c r="E133" s="34"/>
    </row>
    <row r="134" customFormat="false" ht="15" hidden="false" customHeight="false" outlineLevel="0" collapsed="false">
      <c r="A134" s="34"/>
      <c r="B134" s="34"/>
      <c r="C134" s="35"/>
      <c r="D134" s="35"/>
      <c r="E134" s="34"/>
    </row>
    <row r="135" customFormat="false" ht="15" hidden="false" customHeight="false" outlineLevel="0" collapsed="false">
      <c r="A135" s="34"/>
      <c r="B135" s="34"/>
      <c r="C135" s="35"/>
      <c r="D135" s="35"/>
      <c r="E135" s="34"/>
    </row>
    <row r="136" customFormat="false" ht="15" hidden="false" customHeight="false" outlineLevel="0" collapsed="false">
      <c r="A136" s="34"/>
      <c r="B136" s="34"/>
      <c r="C136" s="35"/>
      <c r="D136" s="35"/>
      <c r="E136" s="34"/>
    </row>
    <row r="137" customFormat="false" ht="15" hidden="false" customHeight="false" outlineLevel="0" collapsed="false">
      <c r="A137" s="34"/>
      <c r="B137" s="34"/>
      <c r="C137" s="35"/>
      <c r="D137" s="35"/>
      <c r="E137" s="34"/>
    </row>
    <row r="138" customFormat="false" ht="15" hidden="false" customHeight="false" outlineLevel="0" collapsed="false">
      <c r="A138" s="34"/>
      <c r="B138" s="34"/>
      <c r="C138" s="35"/>
      <c r="D138" s="35"/>
      <c r="E138" s="34"/>
    </row>
    <row r="139" customFormat="false" ht="15" hidden="false" customHeight="false" outlineLevel="0" collapsed="false">
      <c r="A139" s="34"/>
      <c r="B139" s="34"/>
      <c r="C139" s="35"/>
      <c r="D139" s="35"/>
      <c r="E139" s="34"/>
    </row>
    <row r="140" customFormat="false" ht="15" hidden="false" customHeight="false" outlineLevel="0" collapsed="false">
      <c r="A140" s="34"/>
      <c r="B140" s="34"/>
      <c r="C140" s="35"/>
      <c r="D140" s="35"/>
      <c r="E140" s="34"/>
    </row>
    <row r="141" customFormat="false" ht="15" hidden="false" customHeight="false" outlineLevel="0" collapsed="false">
      <c r="A141" s="34"/>
      <c r="B141" s="34"/>
      <c r="C141" s="35"/>
      <c r="D141" s="35"/>
      <c r="E141" s="34"/>
    </row>
    <row r="142" customFormat="false" ht="15" hidden="false" customHeight="false" outlineLevel="0" collapsed="false">
      <c r="A142" s="34"/>
      <c r="B142" s="34"/>
      <c r="C142" s="35"/>
      <c r="D142" s="35"/>
      <c r="E142" s="34"/>
    </row>
    <row r="143" customFormat="false" ht="15" hidden="false" customHeight="false" outlineLevel="0" collapsed="false">
      <c r="A143" s="34"/>
      <c r="B143" s="34"/>
      <c r="C143" s="35"/>
      <c r="D143" s="35"/>
      <c r="E143" s="34"/>
    </row>
    <row r="144" customFormat="false" ht="15" hidden="false" customHeight="false" outlineLevel="0" collapsed="false">
      <c r="A144" s="34"/>
      <c r="B144" s="34"/>
      <c r="C144" s="35"/>
      <c r="D144" s="35"/>
      <c r="E144" s="34"/>
    </row>
    <row r="145" customFormat="false" ht="15" hidden="false" customHeight="false" outlineLevel="0" collapsed="false">
      <c r="A145" s="34"/>
      <c r="B145" s="34"/>
      <c r="C145" s="35"/>
      <c r="D145" s="35"/>
      <c r="E145" s="34"/>
    </row>
    <row r="146" customFormat="false" ht="15" hidden="false" customHeight="false" outlineLevel="0" collapsed="false">
      <c r="A146" s="34"/>
      <c r="B146" s="34"/>
      <c r="C146" s="35"/>
      <c r="D146" s="35"/>
      <c r="E146" s="34"/>
    </row>
    <row r="147" customFormat="false" ht="15" hidden="false" customHeight="false" outlineLevel="0" collapsed="false">
      <c r="A147" s="34"/>
      <c r="B147" s="34"/>
      <c r="C147" s="35"/>
      <c r="D147" s="35"/>
      <c r="E147" s="34"/>
    </row>
    <row r="148" customFormat="false" ht="15" hidden="false" customHeight="false" outlineLevel="0" collapsed="false">
      <c r="A148" s="34"/>
      <c r="B148" s="34"/>
      <c r="C148" s="35"/>
      <c r="D148" s="35"/>
      <c r="E148" s="34"/>
    </row>
    <row r="149" customFormat="false" ht="15" hidden="false" customHeight="false" outlineLevel="0" collapsed="false">
      <c r="A149" s="34"/>
      <c r="B149" s="34"/>
      <c r="C149" s="35"/>
      <c r="D149" s="35"/>
      <c r="E149" s="34"/>
    </row>
    <row r="150" customFormat="false" ht="15" hidden="false" customHeight="false" outlineLevel="0" collapsed="false">
      <c r="A150" s="34"/>
      <c r="B150" s="34"/>
      <c r="C150" s="35"/>
      <c r="D150" s="35"/>
      <c r="E150" s="34"/>
    </row>
    <row r="151" customFormat="false" ht="15" hidden="false" customHeight="false" outlineLevel="0" collapsed="false">
      <c r="A151" s="34"/>
      <c r="B151" s="34"/>
      <c r="C151" s="35"/>
      <c r="D151" s="35"/>
      <c r="E151" s="34"/>
    </row>
    <row r="152" customFormat="false" ht="15" hidden="false" customHeight="false" outlineLevel="0" collapsed="false">
      <c r="A152" s="34"/>
      <c r="B152" s="34"/>
      <c r="C152" s="35"/>
      <c r="D152" s="35"/>
      <c r="E152" s="34"/>
    </row>
    <row r="153" customFormat="false" ht="15" hidden="false" customHeight="false" outlineLevel="0" collapsed="false">
      <c r="A153" s="34"/>
      <c r="B153" s="34"/>
      <c r="C153" s="35"/>
      <c r="D153" s="35"/>
      <c r="E153" s="34"/>
    </row>
    <row r="154" customFormat="false" ht="15" hidden="false" customHeight="false" outlineLevel="0" collapsed="false">
      <c r="A154" s="34"/>
      <c r="B154" s="34"/>
      <c r="C154" s="35"/>
      <c r="D154" s="35"/>
      <c r="E154" s="34"/>
    </row>
    <row r="155" customFormat="false" ht="15" hidden="false" customHeight="false" outlineLevel="0" collapsed="false">
      <c r="A155" s="34"/>
      <c r="B155" s="34"/>
      <c r="C155" s="35"/>
      <c r="D155" s="35"/>
      <c r="E155" s="34"/>
    </row>
    <row r="156" customFormat="false" ht="15" hidden="false" customHeight="false" outlineLevel="0" collapsed="false">
      <c r="A156" s="34"/>
      <c r="B156" s="34"/>
      <c r="C156" s="35"/>
      <c r="D156" s="35"/>
      <c r="E156" s="34"/>
    </row>
    <row r="157" customFormat="false" ht="15" hidden="false" customHeight="false" outlineLevel="0" collapsed="false">
      <c r="A157" s="34"/>
      <c r="B157" s="34"/>
      <c r="C157" s="35"/>
      <c r="D157" s="35"/>
      <c r="E157" s="34"/>
    </row>
    <row r="158" customFormat="false" ht="15" hidden="false" customHeight="false" outlineLevel="0" collapsed="false">
      <c r="A158" s="34"/>
      <c r="B158" s="34"/>
      <c r="C158" s="35"/>
      <c r="D158" s="35"/>
      <c r="E158" s="34"/>
    </row>
    <row r="159" customFormat="false" ht="15" hidden="false" customHeight="false" outlineLevel="0" collapsed="false">
      <c r="A159" s="34"/>
      <c r="B159" s="34"/>
      <c r="C159" s="35"/>
      <c r="D159" s="35"/>
      <c r="E159" s="34"/>
    </row>
    <row r="160" customFormat="false" ht="15" hidden="false" customHeight="false" outlineLevel="0" collapsed="false">
      <c r="A160" s="34"/>
      <c r="B160" s="34"/>
      <c r="C160" s="35"/>
      <c r="D160" s="35"/>
      <c r="E160" s="34"/>
    </row>
    <row r="161" customFormat="false" ht="15" hidden="false" customHeight="false" outlineLevel="0" collapsed="false">
      <c r="A161" s="34"/>
      <c r="B161" s="34"/>
      <c r="C161" s="35"/>
      <c r="D161" s="35"/>
      <c r="E161" s="34"/>
    </row>
    <row r="162" customFormat="false" ht="15" hidden="false" customHeight="false" outlineLevel="0" collapsed="false">
      <c r="A162" s="34"/>
      <c r="B162" s="34"/>
      <c r="C162" s="35"/>
      <c r="D162" s="35"/>
      <c r="E162" s="34"/>
    </row>
    <row r="163" customFormat="false" ht="15" hidden="false" customHeight="false" outlineLevel="0" collapsed="false">
      <c r="A163" s="34"/>
      <c r="B163" s="34"/>
      <c r="C163" s="35"/>
      <c r="D163" s="35"/>
      <c r="E163" s="34"/>
    </row>
    <row r="164" customFormat="false" ht="15" hidden="false" customHeight="false" outlineLevel="0" collapsed="false">
      <c r="A164" s="34"/>
      <c r="B164" s="34"/>
      <c r="C164" s="35"/>
      <c r="D164" s="35"/>
      <c r="E164" s="34"/>
    </row>
    <row r="165" customFormat="false" ht="15" hidden="false" customHeight="false" outlineLevel="0" collapsed="false">
      <c r="A165" s="34"/>
      <c r="B165" s="34"/>
      <c r="C165" s="35"/>
      <c r="D165" s="35"/>
      <c r="E165" s="34"/>
    </row>
    <row r="166" customFormat="false" ht="15" hidden="false" customHeight="false" outlineLevel="0" collapsed="false">
      <c r="A166" s="34"/>
      <c r="B166" s="34"/>
      <c r="C166" s="35"/>
      <c r="D166" s="35"/>
      <c r="E166" s="34"/>
    </row>
    <row r="167" customFormat="false" ht="15" hidden="false" customHeight="false" outlineLevel="0" collapsed="false">
      <c r="A167" s="34"/>
      <c r="B167" s="34"/>
      <c r="C167" s="35"/>
      <c r="D167" s="35"/>
      <c r="E167" s="34"/>
    </row>
    <row r="168" customFormat="false" ht="15" hidden="false" customHeight="false" outlineLevel="0" collapsed="false">
      <c r="A168" s="34"/>
      <c r="B168" s="34"/>
      <c r="C168" s="35"/>
      <c r="D168" s="35"/>
      <c r="E168" s="34"/>
    </row>
    <row r="169" customFormat="false" ht="15" hidden="false" customHeight="false" outlineLevel="0" collapsed="false">
      <c r="A169" s="34"/>
      <c r="B169" s="34"/>
      <c r="C169" s="35"/>
      <c r="D169" s="35"/>
      <c r="E169" s="34"/>
    </row>
    <row r="170" customFormat="false" ht="15" hidden="false" customHeight="false" outlineLevel="0" collapsed="false">
      <c r="A170" s="34"/>
      <c r="B170" s="34"/>
      <c r="C170" s="35"/>
      <c r="D170" s="35"/>
      <c r="E170" s="34"/>
    </row>
    <row r="171" customFormat="false" ht="15" hidden="false" customHeight="false" outlineLevel="0" collapsed="false">
      <c r="A171" s="34"/>
      <c r="B171" s="34"/>
      <c r="C171" s="35"/>
      <c r="D171" s="35"/>
      <c r="E171" s="34"/>
    </row>
    <row r="172" customFormat="false" ht="15" hidden="false" customHeight="false" outlineLevel="0" collapsed="false">
      <c r="A172" s="34"/>
      <c r="B172" s="34"/>
      <c r="C172" s="35"/>
      <c r="D172" s="35"/>
      <c r="E172" s="34"/>
    </row>
    <row r="173" customFormat="false" ht="15" hidden="false" customHeight="false" outlineLevel="0" collapsed="false">
      <c r="A173" s="34"/>
      <c r="B173" s="34"/>
      <c r="C173" s="35"/>
      <c r="D173" s="35"/>
      <c r="E173" s="34"/>
    </row>
    <row r="174" customFormat="false" ht="15" hidden="false" customHeight="false" outlineLevel="0" collapsed="false">
      <c r="A174" s="34"/>
      <c r="B174" s="34"/>
      <c r="C174" s="35"/>
      <c r="D174" s="35"/>
      <c r="E174" s="34"/>
    </row>
    <row r="175" customFormat="false" ht="15" hidden="false" customHeight="false" outlineLevel="0" collapsed="false">
      <c r="A175" s="34"/>
      <c r="B175" s="34"/>
      <c r="C175" s="35"/>
      <c r="D175" s="35"/>
      <c r="E175" s="34"/>
    </row>
    <row r="176" customFormat="false" ht="15" hidden="false" customHeight="false" outlineLevel="0" collapsed="false">
      <c r="A176" s="34"/>
      <c r="B176" s="34"/>
      <c r="C176" s="35"/>
      <c r="D176" s="35"/>
      <c r="E176" s="34"/>
    </row>
    <row r="177" customFormat="false" ht="15" hidden="false" customHeight="false" outlineLevel="0" collapsed="false">
      <c r="A177" s="34"/>
      <c r="B177" s="34"/>
      <c r="C177" s="35"/>
      <c r="D177" s="35"/>
      <c r="E177" s="34"/>
    </row>
    <row r="178" customFormat="false" ht="15" hidden="false" customHeight="false" outlineLevel="0" collapsed="false">
      <c r="A178" s="34"/>
      <c r="B178" s="34"/>
      <c r="C178" s="35"/>
      <c r="D178" s="35"/>
      <c r="E178" s="34"/>
    </row>
    <row r="179" customFormat="false" ht="15" hidden="false" customHeight="false" outlineLevel="0" collapsed="false">
      <c r="A179" s="34"/>
      <c r="B179" s="34"/>
      <c r="C179" s="35"/>
      <c r="D179" s="35"/>
      <c r="E179" s="34"/>
    </row>
    <row r="180" customFormat="false" ht="15" hidden="false" customHeight="false" outlineLevel="0" collapsed="false">
      <c r="A180" s="34"/>
      <c r="B180" s="34"/>
      <c r="C180" s="35"/>
      <c r="D180" s="35"/>
      <c r="E180" s="34"/>
    </row>
    <row r="181" customFormat="false" ht="15" hidden="false" customHeight="false" outlineLevel="0" collapsed="false">
      <c r="A181" s="34"/>
      <c r="B181" s="34"/>
      <c r="C181" s="35"/>
      <c r="D181" s="35"/>
      <c r="E181" s="34"/>
    </row>
    <row r="182" customFormat="false" ht="15" hidden="false" customHeight="false" outlineLevel="0" collapsed="false">
      <c r="A182" s="34"/>
      <c r="B182" s="34"/>
      <c r="C182" s="35"/>
      <c r="D182" s="35"/>
      <c r="E182" s="34"/>
    </row>
    <row r="183" customFormat="false" ht="15" hidden="false" customHeight="false" outlineLevel="0" collapsed="false">
      <c r="A183" s="34"/>
      <c r="B183" s="34"/>
      <c r="C183" s="35"/>
      <c r="D183" s="35"/>
      <c r="E183" s="34"/>
    </row>
    <row r="184" customFormat="false" ht="15" hidden="false" customHeight="false" outlineLevel="0" collapsed="false">
      <c r="A184" s="34"/>
      <c r="B184" s="34"/>
      <c r="C184" s="35"/>
      <c r="D184" s="35"/>
      <c r="E184" s="34"/>
    </row>
    <row r="185" customFormat="false" ht="15" hidden="false" customHeight="false" outlineLevel="0" collapsed="false">
      <c r="A185" s="34"/>
      <c r="B185" s="34"/>
      <c r="C185" s="35"/>
      <c r="D185" s="35"/>
      <c r="E185" s="34"/>
    </row>
    <row r="186" customFormat="false" ht="15" hidden="false" customHeight="false" outlineLevel="0" collapsed="false">
      <c r="A186" s="34"/>
      <c r="B186" s="34"/>
      <c r="C186" s="35"/>
      <c r="D186" s="35"/>
      <c r="E186" s="34"/>
    </row>
    <row r="187" customFormat="false" ht="15" hidden="false" customHeight="false" outlineLevel="0" collapsed="false">
      <c r="A187" s="34"/>
      <c r="B187" s="34"/>
      <c r="C187" s="35"/>
      <c r="D187" s="35"/>
      <c r="E187" s="34"/>
    </row>
    <row r="188" customFormat="false" ht="15" hidden="false" customHeight="false" outlineLevel="0" collapsed="false">
      <c r="A188" s="34"/>
      <c r="B188" s="34"/>
      <c r="C188" s="35"/>
      <c r="D188" s="35"/>
      <c r="E188" s="34"/>
    </row>
    <row r="189" customFormat="false" ht="15" hidden="false" customHeight="false" outlineLevel="0" collapsed="false">
      <c r="A189" s="34"/>
      <c r="B189" s="34"/>
      <c r="C189" s="35"/>
      <c r="D189" s="35"/>
      <c r="E189" s="34"/>
    </row>
    <row r="190" customFormat="false" ht="15" hidden="false" customHeight="false" outlineLevel="0" collapsed="false">
      <c r="A190" s="34"/>
      <c r="B190" s="34"/>
      <c r="C190" s="35"/>
      <c r="D190" s="35"/>
      <c r="E190" s="34"/>
    </row>
    <row r="191" customFormat="false" ht="15" hidden="false" customHeight="false" outlineLevel="0" collapsed="false">
      <c r="A191" s="34"/>
      <c r="B191" s="34"/>
      <c r="C191" s="35"/>
      <c r="D191" s="35"/>
      <c r="E191" s="34"/>
    </row>
    <row r="192" customFormat="false" ht="15" hidden="false" customHeight="false" outlineLevel="0" collapsed="false">
      <c r="A192" s="34"/>
      <c r="B192" s="34"/>
      <c r="C192" s="35"/>
      <c r="D192" s="35"/>
      <c r="E192" s="34"/>
    </row>
    <row r="193" customFormat="false" ht="15" hidden="false" customHeight="false" outlineLevel="0" collapsed="false">
      <c r="A193" s="34"/>
      <c r="B193" s="34"/>
      <c r="C193" s="35"/>
      <c r="D193" s="35"/>
      <c r="E193" s="34"/>
    </row>
    <row r="194" customFormat="false" ht="15" hidden="false" customHeight="false" outlineLevel="0" collapsed="false">
      <c r="A194" s="34"/>
      <c r="B194" s="34"/>
      <c r="C194" s="35"/>
      <c r="D194" s="35"/>
      <c r="E194" s="34"/>
    </row>
    <row r="195" customFormat="false" ht="15" hidden="false" customHeight="false" outlineLevel="0" collapsed="false">
      <c r="A195" s="34"/>
      <c r="B195" s="34"/>
      <c r="C195" s="35"/>
      <c r="D195" s="35"/>
      <c r="E195" s="34"/>
    </row>
    <row r="196" customFormat="false" ht="15" hidden="false" customHeight="false" outlineLevel="0" collapsed="false">
      <c r="A196" s="34"/>
      <c r="B196" s="34"/>
      <c r="C196" s="35"/>
      <c r="D196" s="35"/>
      <c r="E196" s="34"/>
    </row>
    <row r="197" customFormat="false" ht="15" hidden="false" customHeight="false" outlineLevel="0" collapsed="false">
      <c r="A197" s="34"/>
      <c r="B197" s="34"/>
      <c r="C197" s="35"/>
      <c r="D197" s="35"/>
      <c r="E197" s="34"/>
    </row>
    <row r="198" customFormat="false" ht="15" hidden="false" customHeight="false" outlineLevel="0" collapsed="false">
      <c r="A198" s="34"/>
      <c r="B198" s="34"/>
      <c r="C198" s="35"/>
      <c r="D198" s="35"/>
      <c r="E198" s="34"/>
    </row>
    <row r="199" customFormat="false" ht="15" hidden="false" customHeight="false" outlineLevel="0" collapsed="false">
      <c r="A199" s="34"/>
      <c r="B199" s="34"/>
      <c r="C199" s="35"/>
      <c r="D199" s="35"/>
      <c r="E199" s="34"/>
    </row>
    <row r="200" customFormat="false" ht="15" hidden="false" customHeight="false" outlineLevel="0" collapsed="false">
      <c r="A200" s="34"/>
      <c r="B200" s="34"/>
      <c r="C200" s="35"/>
      <c r="D200" s="35"/>
      <c r="E200" s="34"/>
    </row>
    <row r="201" customFormat="false" ht="15" hidden="false" customHeight="false" outlineLevel="0" collapsed="false">
      <c r="A201" s="34"/>
      <c r="B201" s="34"/>
      <c r="C201" s="35"/>
      <c r="D201" s="35"/>
      <c r="E201" s="34"/>
    </row>
    <row r="202" customFormat="false" ht="15" hidden="false" customHeight="false" outlineLevel="0" collapsed="false">
      <c r="A202" s="34"/>
      <c r="B202" s="34"/>
      <c r="C202" s="35"/>
      <c r="D202" s="35"/>
      <c r="E202" s="34"/>
    </row>
    <row r="203" customFormat="false" ht="15" hidden="false" customHeight="false" outlineLevel="0" collapsed="false">
      <c r="A203" s="34"/>
      <c r="B203" s="34"/>
      <c r="C203" s="35"/>
      <c r="D203" s="35"/>
      <c r="E203" s="34"/>
    </row>
    <row r="204" customFormat="false" ht="15" hidden="false" customHeight="false" outlineLevel="0" collapsed="false">
      <c r="A204" s="34"/>
      <c r="B204" s="34"/>
      <c r="C204" s="35"/>
      <c r="D204" s="35"/>
      <c r="E204" s="34"/>
    </row>
    <row r="205" customFormat="false" ht="15" hidden="false" customHeight="false" outlineLevel="0" collapsed="false">
      <c r="A205" s="34"/>
      <c r="B205" s="34"/>
      <c r="C205" s="35"/>
      <c r="D205" s="35"/>
      <c r="E205" s="34"/>
    </row>
    <row r="206" customFormat="false" ht="15" hidden="false" customHeight="false" outlineLevel="0" collapsed="false">
      <c r="A206" s="34"/>
      <c r="B206" s="34"/>
      <c r="C206" s="35"/>
      <c r="D206" s="35"/>
      <c r="E206" s="34"/>
    </row>
    <row r="207" customFormat="false" ht="15" hidden="false" customHeight="false" outlineLevel="0" collapsed="false">
      <c r="A207" s="34"/>
      <c r="B207" s="34"/>
      <c r="C207" s="35"/>
      <c r="D207" s="35"/>
      <c r="E207" s="34"/>
    </row>
    <row r="208" customFormat="false" ht="15" hidden="false" customHeight="false" outlineLevel="0" collapsed="false">
      <c r="A208" s="34"/>
      <c r="B208" s="34"/>
      <c r="C208" s="35"/>
      <c r="D208" s="35"/>
      <c r="E208" s="34"/>
    </row>
    <row r="209" customFormat="false" ht="15" hidden="false" customHeight="false" outlineLevel="0" collapsed="false">
      <c r="A209" s="34"/>
      <c r="B209" s="34"/>
      <c r="C209" s="35"/>
      <c r="D209" s="35"/>
      <c r="E209" s="34"/>
    </row>
    <row r="210" customFormat="false" ht="15" hidden="false" customHeight="false" outlineLevel="0" collapsed="false">
      <c r="A210" s="34"/>
      <c r="B210" s="34"/>
      <c r="C210" s="35"/>
      <c r="D210" s="35"/>
      <c r="E210" s="34"/>
    </row>
    <row r="211" customFormat="false" ht="15" hidden="false" customHeight="false" outlineLevel="0" collapsed="false">
      <c r="A211" s="34"/>
      <c r="B211" s="34"/>
      <c r="C211" s="35"/>
      <c r="D211" s="35"/>
      <c r="E211" s="34"/>
    </row>
    <row r="212" customFormat="false" ht="15" hidden="false" customHeight="false" outlineLevel="0" collapsed="false">
      <c r="A212" s="34"/>
      <c r="B212" s="34"/>
      <c r="C212" s="35"/>
      <c r="D212" s="35"/>
      <c r="E212" s="34"/>
    </row>
    <row r="213" customFormat="false" ht="15" hidden="false" customHeight="false" outlineLevel="0" collapsed="false">
      <c r="A213" s="34"/>
      <c r="B213" s="34"/>
      <c r="C213" s="35"/>
      <c r="D213" s="35"/>
      <c r="E213" s="34"/>
    </row>
    <row r="214" customFormat="false" ht="15" hidden="false" customHeight="false" outlineLevel="0" collapsed="false">
      <c r="A214" s="34"/>
      <c r="B214" s="34"/>
      <c r="C214" s="35"/>
      <c r="D214" s="35"/>
      <c r="E214" s="34"/>
    </row>
    <row r="215" customFormat="false" ht="15" hidden="false" customHeight="false" outlineLevel="0" collapsed="false">
      <c r="A215" s="34"/>
      <c r="B215" s="34"/>
      <c r="C215" s="35"/>
      <c r="D215" s="35"/>
      <c r="E215" s="34"/>
    </row>
    <row r="216" customFormat="false" ht="15" hidden="false" customHeight="false" outlineLevel="0" collapsed="false">
      <c r="A216" s="34"/>
      <c r="B216" s="34"/>
      <c r="C216" s="35"/>
      <c r="D216" s="35"/>
      <c r="E216" s="34"/>
    </row>
    <row r="217" customFormat="false" ht="15" hidden="false" customHeight="false" outlineLevel="0" collapsed="false">
      <c r="A217" s="34"/>
      <c r="B217" s="34"/>
      <c r="C217" s="35"/>
      <c r="D217" s="35"/>
      <c r="E217" s="34"/>
    </row>
    <row r="218" customFormat="false" ht="15" hidden="false" customHeight="false" outlineLevel="0" collapsed="false">
      <c r="A218" s="34"/>
      <c r="B218" s="34"/>
      <c r="C218" s="35"/>
      <c r="D218" s="35"/>
      <c r="E218" s="34"/>
    </row>
    <row r="219" customFormat="false" ht="15" hidden="false" customHeight="false" outlineLevel="0" collapsed="false">
      <c r="A219" s="34"/>
      <c r="B219" s="34"/>
      <c r="C219" s="35"/>
      <c r="D219" s="35"/>
      <c r="E219" s="34"/>
    </row>
    <row r="220" customFormat="false" ht="15" hidden="false" customHeight="false" outlineLevel="0" collapsed="false">
      <c r="A220" s="34"/>
      <c r="B220" s="34"/>
      <c r="C220" s="35"/>
      <c r="D220" s="35"/>
      <c r="E220" s="34"/>
    </row>
    <row r="221" customFormat="false" ht="15" hidden="false" customHeight="false" outlineLevel="0" collapsed="false">
      <c r="A221" s="34"/>
      <c r="B221" s="34"/>
      <c r="C221" s="35"/>
      <c r="D221" s="35"/>
      <c r="E221" s="34"/>
    </row>
    <row r="222" customFormat="false" ht="15" hidden="false" customHeight="false" outlineLevel="0" collapsed="false">
      <c r="A222" s="34"/>
      <c r="B222" s="34"/>
      <c r="C222" s="35"/>
      <c r="D222" s="35"/>
      <c r="E222" s="34"/>
    </row>
    <row r="223" customFormat="false" ht="15" hidden="false" customHeight="false" outlineLevel="0" collapsed="false">
      <c r="A223" s="34"/>
      <c r="B223" s="34"/>
      <c r="C223" s="35"/>
      <c r="D223" s="35"/>
      <c r="E223" s="34"/>
    </row>
    <row r="224" customFormat="false" ht="15" hidden="false" customHeight="false" outlineLevel="0" collapsed="false">
      <c r="A224" s="34"/>
      <c r="B224" s="34"/>
      <c r="C224" s="35"/>
      <c r="D224" s="35"/>
      <c r="E224" s="34"/>
    </row>
    <row r="225" customFormat="false" ht="15" hidden="false" customHeight="false" outlineLevel="0" collapsed="false">
      <c r="A225" s="34"/>
      <c r="B225" s="34"/>
      <c r="C225" s="35"/>
      <c r="D225" s="35"/>
      <c r="E225" s="34"/>
    </row>
    <row r="226" customFormat="false" ht="15" hidden="false" customHeight="false" outlineLevel="0" collapsed="false">
      <c r="A226" s="34"/>
      <c r="B226" s="34"/>
      <c r="C226" s="35"/>
      <c r="D226" s="35"/>
      <c r="E226" s="34"/>
    </row>
    <row r="227" customFormat="false" ht="15" hidden="false" customHeight="false" outlineLevel="0" collapsed="false">
      <c r="A227" s="34"/>
      <c r="B227" s="34"/>
      <c r="C227" s="35"/>
      <c r="D227" s="35"/>
      <c r="E227" s="34"/>
    </row>
    <row r="228" customFormat="false" ht="15" hidden="false" customHeight="false" outlineLevel="0" collapsed="false">
      <c r="A228" s="34"/>
      <c r="B228" s="34"/>
      <c r="C228" s="35"/>
      <c r="D228" s="35"/>
      <c r="E228" s="34"/>
    </row>
    <row r="229" customFormat="false" ht="15" hidden="false" customHeight="false" outlineLevel="0" collapsed="false">
      <c r="A229" s="34"/>
      <c r="B229" s="34"/>
      <c r="C229" s="35"/>
      <c r="D229" s="35"/>
      <c r="E229" s="34"/>
    </row>
    <row r="230" customFormat="false" ht="15" hidden="false" customHeight="false" outlineLevel="0" collapsed="false">
      <c r="A230" s="34"/>
      <c r="B230" s="34"/>
      <c r="C230" s="35"/>
      <c r="D230" s="35"/>
      <c r="E230" s="34"/>
    </row>
    <row r="231" customFormat="false" ht="15" hidden="false" customHeight="false" outlineLevel="0" collapsed="false">
      <c r="A231" s="34"/>
      <c r="B231" s="34"/>
      <c r="C231" s="35"/>
      <c r="D231" s="35"/>
      <c r="E231" s="34"/>
    </row>
    <row r="232" customFormat="false" ht="15" hidden="false" customHeight="false" outlineLevel="0" collapsed="false">
      <c r="A232" s="34"/>
      <c r="B232" s="34"/>
      <c r="C232" s="35"/>
      <c r="D232" s="35"/>
      <c r="E232" s="34"/>
    </row>
    <row r="233" customFormat="false" ht="15" hidden="false" customHeight="false" outlineLevel="0" collapsed="false">
      <c r="A233" s="34"/>
      <c r="B233" s="34"/>
      <c r="C233" s="35"/>
      <c r="D233" s="35"/>
      <c r="E233" s="34"/>
    </row>
    <row r="234" customFormat="false" ht="15" hidden="false" customHeight="false" outlineLevel="0" collapsed="false">
      <c r="A234" s="34"/>
      <c r="B234" s="34"/>
      <c r="C234" s="35"/>
      <c r="D234" s="35"/>
      <c r="E234" s="34"/>
    </row>
    <row r="235" customFormat="false" ht="15" hidden="false" customHeight="false" outlineLevel="0" collapsed="false">
      <c r="A235" s="34"/>
      <c r="B235" s="34"/>
      <c r="C235" s="35"/>
      <c r="D235" s="35"/>
      <c r="E235" s="34"/>
    </row>
    <row r="236" customFormat="false" ht="15" hidden="false" customHeight="false" outlineLevel="0" collapsed="false">
      <c r="A236" s="34"/>
      <c r="B236" s="34"/>
      <c r="C236" s="35"/>
      <c r="D236" s="35"/>
      <c r="E236" s="34"/>
    </row>
    <row r="237" customFormat="false" ht="15" hidden="false" customHeight="false" outlineLevel="0" collapsed="false">
      <c r="A237" s="34"/>
      <c r="B237" s="34"/>
      <c r="C237" s="35"/>
      <c r="D237" s="35"/>
      <c r="E237" s="34"/>
    </row>
    <row r="238" customFormat="false" ht="15" hidden="false" customHeight="false" outlineLevel="0" collapsed="false">
      <c r="A238" s="34"/>
      <c r="B238" s="34"/>
      <c r="C238" s="35"/>
      <c r="D238" s="35"/>
      <c r="E238" s="34"/>
    </row>
    <row r="239" customFormat="false" ht="15" hidden="false" customHeight="false" outlineLevel="0" collapsed="false">
      <c r="A239" s="34"/>
      <c r="B239" s="34"/>
      <c r="C239" s="35"/>
      <c r="D239" s="35"/>
      <c r="E239" s="34"/>
    </row>
    <row r="240" customFormat="false" ht="15" hidden="false" customHeight="false" outlineLevel="0" collapsed="false">
      <c r="A240" s="34"/>
      <c r="B240" s="34"/>
      <c r="C240" s="35"/>
      <c r="D240" s="35"/>
      <c r="E240" s="34"/>
    </row>
    <row r="241" customFormat="false" ht="15" hidden="false" customHeight="false" outlineLevel="0" collapsed="false">
      <c r="A241" s="34"/>
      <c r="B241" s="34"/>
      <c r="C241" s="35"/>
      <c r="D241" s="35"/>
      <c r="E241" s="34"/>
    </row>
    <row r="242" customFormat="false" ht="15" hidden="false" customHeight="false" outlineLevel="0" collapsed="false">
      <c r="A242" s="34"/>
      <c r="B242" s="34"/>
      <c r="C242" s="35"/>
      <c r="D242" s="35"/>
      <c r="E242" s="34"/>
    </row>
    <row r="243" customFormat="false" ht="15" hidden="false" customHeight="false" outlineLevel="0" collapsed="false">
      <c r="A243" s="34"/>
      <c r="B243" s="34"/>
      <c r="C243" s="35"/>
      <c r="D243" s="35"/>
      <c r="E243" s="34"/>
    </row>
    <row r="244" customFormat="false" ht="15" hidden="false" customHeight="false" outlineLevel="0" collapsed="false">
      <c r="A244" s="34"/>
      <c r="B244" s="34"/>
      <c r="C244" s="35"/>
      <c r="D244" s="35"/>
      <c r="E244" s="34"/>
    </row>
    <row r="245" customFormat="false" ht="15" hidden="false" customHeight="false" outlineLevel="0" collapsed="false">
      <c r="A245" s="34"/>
      <c r="B245" s="34"/>
      <c r="C245" s="35"/>
      <c r="D245" s="35"/>
      <c r="E245" s="34"/>
    </row>
    <row r="246" customFormat="false" ht="15" hidden="false" customHeight="false" outlineLevel="0" collapsed="false">
      <c r="A246" s="34"/>
      <c r="B246" s="34"/>
      <c r="C246" s="35"/>
      <c r="D246" s="35"/>
      <c r="E246" s="34"/>
    </row>
    <row r="247" customFormat="false" ht="15" hidden="false" customHeight="false" outlineLevel="0" collapsed="false">
      <c r="A247" s="34"/>
      <c r="B247" s="34"/>
      <c r="C247" s="35"/>
      <c r="D247" s="35"/>
      <c r="E247" s="34"/>
    </row>
    <row r="248" customFormat="false" ht="15" hidden="false" customHeight="false" outlineLevel="0" collapsed="false">
      <c r="A248" s="34"/>
      <c r="B248" s="34"/>
      <c r="C248" s="35"/>
      <c r="D248" s="35"/>
      <c r="E248" s="34"/>
    </row>
    <row r="249" customFormat="false" ht="15" hidden="false" customHeight="false" outlineLevel="0" collapsed="false">
      <c r="A249" s="34"/>
      <c r="B249" s="34"/>
      <c r="C249" s="35"/>
      <c r="D249" s="35"/>
      <c r="E249" s="34"/>
    </row>
    <row r="250" customFormat="false" ht="15" hidden="false" customHeight="false" outlineLevel="0" collapsed="false">
      <c r="A250" s="34"/>
      <c r="B250" s="34"/>
      <c r="C250" s="35"/>
      <c r="D250" s="35"/>
      <c r="E250" s="34"/>
    </row>
  </sheetData>
  <autoFilter ref="A6:E250"/>
  <dataValidations count="2">
    <dataValidation allowBlank="true" error="Pick an item from the dropdown so the entry reaches the Stock sheet." errorStyle="stop" errorTitle="Unknown item" operator="between" showDropDown="false" showErrorMessage="false" showInputMessage="false" sqref="B7:B1020" type="list">
      <formula1>Stock!$L$8:$L$49</formula1>
      <formula2>0</formula2>
    </dataValidation>
    <dataValidation allowBlank="true" error="Slabs cannot be negative. Record a despatch in the Shipment column." errorStyle="stop" errorTitle="Negative quantity" operator="greaterThanOrEqual" showDropDown="false" showErrorMessage="false" showInputMessage="false" sqref="C7:D1020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4" min="2" style="0" width="15"/>
    <col collapsed="false" customWidth="true" hidden="false" outlineLevel="0" max="5" min="5" style="0" width="14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105</v>
      </c>
    </row>
    <row r="4" customFormat="false" ht="15" hidden="false" customHeight="false" outlineLevel="0" collapsed="false">
      <c r="A4" s="37" t="s">
        <v>106</v>
      </c>
      <c r="C4" s="37" t="s">
        <v>107</v>
      </c>
    </row>
    <row r="5" customFormat="false" ht="19.7" hidden="false" customHeight="false" outlineLevel="0" collapsed="false">
      <c r="A5" s="38" t="n">
        <f aca="false">Stock!$H$50</f>
        <v>107750</v>
      </c>
      <c r="C5" s="39" t="str">
        <f aca="false">IF(Stock!$J$50="","—",Stock!$J$50)</f>
        <v>—</v>
      </c>
    </row>
    <row r="6" customFormat="false" ht="15" hidden="false" customHeight="false" outlineLevel="0" collapsed="false">
      <c r="A6" s="22" t="s">
        <v>108</v>
      </c>
      <c r="C6" s="22" t="s">
        <v>109</v>
      </c>
    </row>
    <row r="8" customFormat="false" ht="30" hidden="false" customHeight="true" outlineLevel="0" collapsed="false">
      <c r="A8" s="11" t="s">
        <v>31</v>
      </c>
      <c r="B8" s="11" t="s">
        <v>33</v>
      </c>
      <c r="C8" s="12" t="s">
        <v>34</v>
      </c>
      <c r="D8" s="12" t="s">
        <v>35</v>
      </c>
      <c r="E8" s="12" t="s">
        <v>38</v>
      </c>
      <c r="F8" s="12" t="s">
        <v>40</v>
      </c>
    </row>
    <row r="9" customFormat="false" ht="15" hidden="false" customHeight="false" outlineLevel="0" collapsed="false">
      <c r="A9" s="15" t="s">
        <v>42</v>
      </c>
      <c r="B9" s="18" t="n">
        <f aca="false">SUMIF(Stock!$A$8:$A$49,$A9,Stock!$C$8:$C$49)</f>
        <v>28645</v>
      </c>
      <c r="C9" s="17" t="n">
        <f aca="false">SUMIF(Stock!$A$8:$A$49,$A9,Stock!$D$8:$D$49)</f>
        <v>1400</v>
      </c>
      <c r="D9" s="17" t="n">
        <f aca="false">SUMIF(Stock!$A$8:$A$49,$A9,Stock!$E$8:$E$49)</f>
        <v>0</v>
      </c>
      <c r="E9" s="19" t="n">
        <f aca="false">SUMIF(Stock!$A$8:$A$49,$A9,Stock!$H$8:$H$49)</f>
        <v>30045</v>
      </c>
      <c r="F9" s="21" t="str">
        <f aca="false">IF(SUMIF(Stock!$A$8:$A$49,$A9,Stock!$J$8:$J$49)=0,"",SUMIF(Stock!$A$8:$A$49,$A9,Stock!$J$8:$J$49))</f>
        <v/>
      </c>
    </row>
    <row r="10" customFormat="false" ht="15" hidden="false" customHeight="false" outlineLevel="0" collapsed="false">
      <c r="A10" s="23" t="s">
        <v>50</v>
      </c>
      <c r="B10" s="26" t="n">
        <f aca="false">SUMIF(Stock!$A$8:$A$49,$A10,Stock!$C$8:$C$49)</f>
        <v>29316</v>
      </c>
      <c r="C10" s="25" t="n">
        <f aca="false">SUMIF(Stock!$A$8:$A$49,$A10,Stock!$D$8:$D$49)</f>
        <v>956</v>
      </c>
      <c r="D10" s="25" t="n">
        <f aca="false">SUMIF(Stock!$A$8:$A$49,$A10,Stock!$E$8:$E$49)</f>
        <v>0</v>
      </c>
      <c r="E10" s="27" t="n">
        <f aca="false">SUMIF(Stock!$A$8:$A$49,$A10,Stock!$H$8:$H$49)</f>
        <v>30272</v>
      </c>
      <c r="F10" s="28" t="str">
        <f aca="false">IF(SUMIF(Stock!$A$8:$A$49,$A10,Stock!$J$8:$J$49)=0,"",SUMIF(Stock!$A$8:$A$49,$A10,Stock!$J$8:$J$49))</f>
        <v/>
      </c>
    </row>
    <row r="11" customFormat="false" ht="15" hidden="false" customHeight="false" outlineLevel="0" collapsed="false">
      <c r="A11" s="15" t="s">
        <v>60</v>
      </c>
      <c r="B11" s="18" t="n">
        <f aca="false">SUMIF(Stock!$A$8:$A$49,$A11,Stock!$C$8:$C$49)</f>
        <v>26619</v>
      </c>
      <c r="C11" s="17" t="n">
        <f aca="false">SUMIF(Stock!$A$8:$A$49,$A11,Stock!$D$8:$D$49)</f>
        <v>52</v>
      </c>
      <c r="D11" s="17" t="n">
        <f aca="false">SUMIF(Stock!$A$8:$A$49,$A11,Stock!$E$8:$E$49)</f>
        <v>0</v>
      </c>
      <c r="E11" s="19" t="n">
        <f aca="false">SUMIF(Stock!$A$8:$A$49,$A11,Stock!$H$8:$H$49)</f>
        <v>26671</v>
      </c>
      <c r="F11" s="21" t="str">
        <f aca="false">IF(SUMIF(Stock!$A$8:$A$49,$A11,Stock!$J$8:$J$49)=0,"",SUMIF(Stock!$A$8:$A$49,$A11,Stock!$J$8:$J$49))</f>
        <v/>
      </c>
    </row>
    <row r="12" customFormat="false" ht="15" hidden="false" customHeight="false" outlineLevel="0" collapsed="false">
      <c r="A12" s="23" t="s">
        <v>69</v>
      </c>
      <c r="B12" s="26" t="n">
        <f aca="false">SUMIF(Stock!$A$8:$A$49,$A12,Stock!$C$8:$C$49)</f>
        <v>1534</v>
      </c>
      <c r="C12" s="25" t="n">
        <f aca="false">SUMIF(Stock!$A$8:$A$49,$A12,Stock!$D$8:$D$49)</f>
        <v>0</v>
      </c>
      <c r="D12" s="25" t="n">
        <f aca="false">SUMIF(Stock!$A$8:$A$49,$A12,Stock!$E$8:$E$49)</f>
        <v>0</v>
      </c>
      <c r="E12" s="27" t="n">
        <f aca="false">SUMIF(Stock!$A$8:$A$49,$A12,Stock!$H$8:$H$49)</f>
        <v>1534</v>
      </c>
      <c r="F12" s="28" t="str">
        <f aca="false">IF(SUMIF(Stock!$A$8:$A$49,$A12,Stock!$J$8:$J$49)=0,"",SUMIF(Stock!$A$8:$A$49,$A12,Stock!$J$8:$J$49))</f>
        <v/>
      </c>
    </row>
    <row r="13" customFormat="false" ht="15" hidden="false" customHeight="false" outlineLevel="0" collapsed="false">
      <c r="A13" s="15" t="s">
        <v>70</v>
      </c>
      <c r="B13" s="18" t="n">
        <f aca="false">SUMIF(Stock!$A$8:$A$49,$A13,Stock!$C$8:$C$49)</f>
        <v>13126</v>
      </c>
      <c r="C13" s="17" t="n">
        <f aca="false">SUMIF(Stock!$A$8:$A$49,$A13,Stock!$D$8:$D$49)</f>
        <v>2472</v>
      </c>
      <c r="D13" s="17" t="n">
        <f aca="false">SUMIF(Stock!$A$8:$A$49,$A13,Stock!$E$8:$E$49)</f>
        <v>0</v>
      </c>
      <c r="E13" s="19" t="n">
        <f aca="false">SUMIF(Stock!$A$8:$A$49,$A13,Stock!$H$8:$H$49)</f>
        <v>15598</v>
      </c>
      <c r="F13" s="21" t="str">
        <f aca="false">IF(SUMIF(Stock!$A$8:$A$49,$A13,Stock!$J$8:$J$49)=0,"",SUMIF(Stock!$A$8:$A$49,$A13,Stock!$J$8:$J$49))</f>
        <v/>
      </c>
    </row>
    <row r="14" customFormat="false" ht="15" hidden="false" customHeight="false" outlineLevel="0" collapsed="false">
      <c r="A14" s="23" t="s">
        <v>74</v>
      </c>
      <c r="B14" s="26" t="n">
        <f aca="false">SUMIF(Stock!$A$8:$A$49,$A14,Stock!$C$8:$C$49)</f>
        <v>670</v>
      </c>
      <c r="C14" s="25" t="n">
        <f aca="false">SUMIF(Stock!$A$8:$A$49,$A14,Stock!$D$8:$D$49)</f>
        <v>0</v>
      </c>
      <c r="D14" s="25" t="n">
        <f aca="false">SUMIF(Stock!$A$8:$A$49,$A14,Stock!$E$8:$E$49)</f>
        <v>0</v>
      </c>
      <c r="E14" s="27" t="n">
        <f aca="false">SUMIF(Stock!$A$8:$A$49,$A14,Stock!$H$8:$H$49)</f>
        <v>670</v>
      </c>
      <c r="F14" s="28" t="str">
        <f aca="false">IF(SUMIF(Stock!$A$8:$A$49,$A14,Stock!$J$8:$J$49)=0,"",SUMIF(Stock!$A$8:$A$49,$A14,Stock!$J$8:$J$49))</f>
        <v/>
      </c>
    </row>
    <row r="15" customFormat="false" ht="15" hidden="false" customHeight="false" outlineLevel="0" collapsed="false">
      <c r="A15" s="15" t="s">
        <v>76</v>
      </c>
      <c r="B15" s="18" t="n">
        <f aca="false">SUMIF(Stock!$A$8:$A$49,$A15,Stock!$C$8:$C$49)</f>
        <v>2960</v>
      </c>
      <c r="C15" s="17" t="n">
        <f aca="false">SUMIF(Stock!$A$8:$A$49,$A15,Stock!$D$8:$D$49)</f>
        <v>0</v>
      </c>
      <c r="D15" s="17" t="n">
        <f aca="false">SUMIF(Stock!$A$8:$A$49,$A15,Stock!$E$8:$E$49)</f>
        <v>0</v>
      </c>
      <c r="E15" s="19" t="n">
        <f aca="false">SUMIF(Stock!$A$8:$A$49,$A15,Stock!$H$8:$H$49)</f>
        <v>2960</v>
      </c>
      <c r="F15" s="21" t="str">
        <f aca="false">IF(SUMIF(Stock!$A$8:$A$49,$A15,Stock!$J$8:$J$49)=0,"",SUMIF(Stock!$A$8:$A$49,$A15,Stock!$J$8:$J$49))</f>
        <v/>
      </c>
    </row>
    <row r="16" customFormat="false" ht="15" hidden="false" customHeight="false" outlineLevel="0" collapsed="false">
      <c r="A16" s="23" t="s">
        <v>110</v>
      </c>
      <c r="B16" s="26" t="n">
        <f aca="false">SUMIF(Stock!$A$8:$A$49,$A16,Stock!$C$8:$C$49)</f>
        <v>0</v>
      </c>
      <c r="C16" s="25" t="n">
        <f aca="false">SUMIF(Stock!$A$8:$A$49,$A16,Stock!$D$8:$D$49)</f>
        <v>0</v>
      </c>
      <c r="D16" s="25" t="n">
        <f aca="false">SUMIF(Stock!$A$8:$A$49,$A16,Stock!$E$8:$E$49)</f>
        <v>0</v>
      </c>
      <c r="E16" s="27" t="n">
        <f aca="false">SUMIF(Stock!$A$8:$A$49,$A16,Stock!$H$8:$H$49)</f>
        <v>0</v>
      </c>
      <c r="F16" s="28" t="str">
        <f aca="false">IF(SUMIF(Stock!$A$8:$A$49,$A16,Stock!$J$8:$J$49)=0,"",SUMIF(Stock!$A$8:$A$49,$A16,Stock!$J$8:$J$49))</f>
        <v/>
      </c>
    </row>
    <row r="17" customFormat="false" ht="15" hidden="false" customHeight="false" outlineLevel="0" collapsed="false">
      <c r="A17" s="29" t="s">
        <v>81</v>
      </c>
      <c r="B17" s="31" t="n">
        <f aca="false">SUM(B9:B16)</f>
        <v>102870</v>
      </c>
      <c r="C17" s="32" t="n">
        <f aca="false">SUM(C9:C16)</f>
        <v>4880</v>
      </c>
      <c r="D17" s="32" t="n">
        <f aca="false">SUM(D9:D16)</f>
        <v>0</v>
      </c>
      <c r="E17" s="31" t="n">
        <f aca="false">SUM(E9:E16)</f>
        <v>107750</v>
      </c>
      <c r="F17" s="33" t="str">
        <f aca="false">IF(SUM(F9:F16)=0,"",SUM(F9:F16))</f>
        <v/>
      </c>
    </row>
    <row r="19" customFormat="false" ht="15" hidden="false" customHeight="false" outlineLevel="0" collapsed="false">
      <c r="A19" s="10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2026-08-21T11:50:31Z</dcterms:created>
  <dc:creator>openpyxl</dc:creator>
  <dc:description/>
  <dc:language>en-US</dc:language>
  <cp:lastModifiedBy/>
  <dcterms:modified xsi:type="dcterms:W3CDTF">2026-08-21T11:50:31Z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