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 workbookPassword="DF10" lockStructure="1"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Bills" sheetId="3" state="visible" r:id="rId5"/>
    <sheet name="Lists" sheetId="4" state="visible" r:id="rId6"/>
  </sheets>
  <definedNames>
    <definedName function="false" hidden="false" localSheetId="2" name="_xlnm.Print_Titles" vbProcedure="false">Bills!$6:$6</definedName>
    <definedName function="false" hidden="true" localSheetId="2" name="_xlnm._FilterDatabase" vbProcedure="false">Bills!$A$6:$Q$1006</definedName>
    <definedName function="false" hidden="false" localSheetId="0" name="_xlnm.Print_Area" vbProcedure="false">'Read me'!$A$1:$B$48</definedName>
    <definedName function="false" hidden="false" localSheetId="1" name="_xlnm.Print_Area" vbProcedure="false">Summary!$A$1:$H$67</definedName>
    <definedName function="false" hidden="false" name="AsAt" vbProcedure="false">Summary!$H$5</definedName>
    <definedName function="false" hidden="false" name="BuyerList" vbProcedure="false">OFFSET(Lists!$B$5,0,0,MAX(1,COUNTA(Lists!$B$5:$B$104)),1)</definedName>
    <definedName function="false" hidden="false" name="FX" vbProcedure="false">Summary!$H$6</definedName>
    <definedName function="false" hidden="false" name="ItemList" vbProcedure="false">OFFSET(Lists!$A$5,0,0,MAX(1,COUNTA(Lists!$A$5:$A$104)),1)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<sst xmlns="http://schemas.openxmlformats.org/spreadsheetml/2006/main" count="205" uniqueCount="140">
  <si>
    <t xml:space="preserve">PREMIER EXPORTS INTERNATIONAL</t>
  </si>
  <si>
    <t xml:space="preserve">BILLS REGISTER — HOW IT WORKS</t>
  </si>
  <si>
    <t xml:space="preserve">Every day, on the Bills sheet</t>
  </si>
  <si>
    <t xml:space="preserve">•  New bill raised — next empty row: invoice no, invoice date, item, buyer, amount (US$).</t>
  </si>
  <si>
    <t xml:space="preserve">•  Advance received — on that bill's row: Advance received (US$) and Advance date.</t>
  </si>
  <si>
    <t xml:space="preserve">•  Payment realised — Realised (US$) and Realised date. When advance + realised reaches the amount,</t>
  </si>
  <si>
    <t xml:space="preserve">    the bill turns Realised and leaves the Summary. A part payment leaves it open as Part realised.</t>
  </si>
  <si>
    <t xml:space="preserve">•  Bank paid short and nothing more will come — Close as: Settled. The bill closes at the amount received.</t>
  </si>
  <si>
    <t xml:space="preserve">•  Bill raised in error or withdrawn — Close as: Cancelled. It stays on the sheet, struck through,</t>
  </si>
  <si>
    <t xml:space="preserve">    and counts nowhere. Partners can still see that it existed.</t>
  </si>
  <si>
    <t xml:space="preserve">•  A wrong figure — click the cell and type over it. A line typed by mistake (never a real bill) —</t>
  </si>
  <si>
    <t xml:space="preserve">    select its cells from Invoice no to Note and press Delete. The empty row is ignored.</t>
  </si>
  <si>
    <t xml:space="preserve">For the partners — the Summary sheet</t>
  </si>
  <si>
    <t xml:space="preserve">"As at" shows today's date by itself. Type a date to report as at another day; type =TODAY() to go back.</t>
  </si>
  <si>
    <t xml:space="preserve">Set US$ → ₹ to the day's rate: every rupee figure in the workbook uses that one cell.</t>
  </si>
  <si>
    <t xml:space="preserve">Then File ▸ Export ▸ Create PDF/XPS, "Selected sheet" — one A4 page — or share the workbook itself.</t>
  </si>
  <si>
    <t xml:space="preserve">It shows bills on hand, the amount billed, what has come in against them and the balance, in US$ and ₹;</t>
  </si>
  <si>
    <t xml:space="preserve">the balance by buyer; its age from the invoice date; the advances received; and every open bill.</t>
  </si>
  <si>
    <t xml:space="preserve">Status — worked out, never typed</t>
  </si>
  <si>
    <t xml:space="preserve">On hand — nothing received yet.</t>
  </si>
  <si>
    <t xml:space="preserve">Advance received — an advance, no realisation yet.</t>
  </si>
  <si>
    <t xml:space="preserve">Part realised — some of the bill realised, balance still due.</t>
  </si>
  <si>
    <t xml:space="preserve">Amount missing — an invoice no with no amount yet; still listed, so it is not forgotten.</t>
  </si>
  <si>
    <t xml:space="preserve">These four are the bills on hand, and the only ones the Summary counts.</t>
  </si>
  <si>
    <t xml:space="preserve">Realised — advance + realised covers the amount, or closed as Settled. Shown grey.</t>
  </si>
  <si>
    <t xml:space="preserve">Cancelled — closed as Cancelled. Shown grey and struck through.</t>
  </si>
  <si>
    <t xml:space="preserve">Checks that flag themselves</t>
  </si>
  <si>
    <t xml:space="preserve">Pink on Bills, and a red line on Summary, when: two rows share an invoice no; a row has an amount but</t>
  </si>
  <si>
    <t xml:space="preserve">no invoice no, or the reverse; or more has been received than was billed. A bill over 90 days old shows red.</t>
  </si>
  <si>
    <t xml:space="preserve">Ageing needs the invoice date — bills without one are counted under "No invoice date".</t>
  </si>
  <si>
    <t xml:space="preserve">What can be typed into — everything else is locked</t>
  </si>
  <si>
    <t xml:space="preserve">'Bills' — the white columns, Invoice no to Note.   'Lists' — items and buyers for the dropdowns.</t>
  </si>
  <si>
    <t xml:space="preserve">'Summary' — the two yellow cells: As at, and US$ → ₹.</t>
  </si>
  <si>
    <t xml:space="preserve">Formulas, headings and formatting are protected, and rows cannot be deleted, so the register</t>
  </si>
  <si>
    <t xml:space="preserve">cannot be broken by accident. Filtering the Bills sheet still works — filter Status to see one kind.</t>
  </si>
  <si>
    <t xml:space="preserve">To print the register itself, filter Status and untick (Blanks) first, so the empty rows stay off the paper.</t>
  </si>
  <si>
    <t xml:space="preserve">As loaded</t>
  </si>
  <si>
    <t xml:space="preserve">The 23 bills on the list dated 30/09/26, with the three advances (invoices 47, 52 and 53).</t>
  </si>
  <si>
    <t xml:space="preserve">Invoice and advance dates were not on that list — add them to see the ageing.</t>
  </si>
  <si>
    <t xml:space="preserve">Item and buyer are as written: invoice 34 has no buyer, and 34, 44 and 48 show Koyo, Nippon</t>
  </si>
  <si>
    <t xml:space="preserve">and KON as the item. Correct them if those are buyers.</t>
  </si>
  <si>
    <t xml:space="preserve">Premier Exports International</t>
  </si>
  <si>
    <t xml:space="preserve">AP X/453, NH-66 Highway, Chandiroor P.O.,</t>
  </si>
  <si>
    <t xml:space="preserve">Aroor, Alappuzha, Kerala - 688 537, India</t>
  </si>
  <si>
    <t xml:space="preserve">GSTIN 32AADFP3158P1ZZ</t>
  </si>
  <si>
    <t xml:space="preserve">BILLS ON HAND</t>
  </si>
  <si>
    <t xml:space="preserve">AS AT</t>
  </si>
  <si>
    <t xml:space="preserve">EXPORT BILLS RECEIVABLE · BILLED, RECEIVED AND BALANCE DUE</t>
  </si>
  <si>
    <t xml:space="preserve">US$ → ₹</t>
  </si>
  <si>
    <t xml:space="preserve">BILLED</t>
  </si>
  <si>
    <t xml:space="preserve">RECEIVED AGAINST THEM</t>
  </si>
  <si>
    <t xml:space="preserve">BALANCE RECEIVABLE</t>
  </si>
  <si>
    <t xml:space="preserve">BALANCE BY BUYER — US$</t>
  </si>
  <si>
    <t xml:space="preserve">AGEING OF BALANCE</t>
  </si>
  <si>
    <t xml:space="preserve">Buyer</t>
  </si>
  <si>
    <t xml:space="preserve">Bills</t>
  </si>
  <si>
    <t xml:space="preserve">Balance (US$)</t>
  </si>
  <si>
    <t xml:space="preserve">Balance (₹)</t>
  </si>
  <si>
    <t xml:space="preserve">Share</t>
  </si>
  <si>
    <t xml:space="preserve">Days outstanding</t>
  </si>
  <si>
    <t xml:space="preserve">0–30 days</t>
  </si>
  <si>
    <t xml:space="preserve">31–60 days</t>
  </si>
  <si>
    <t xml:space="preserve">61–90 days</t>
  </si>
  <si>
    <t xml:space="preserve">Over 90 days</t>
  </si>
  <si>
    <t xml:space="preserve">No invoice date</t>
  </si>
  <si>
    <t xml:space="preserve">TOTAL</t>
  </si>
  <si>
    <t xml:space="preserve">ADVANCES RECEIVED</t>
  </si>
  <si>
    <t xml:space="preserve">Invoice</t>
  </si>
  <si>
    <t xml:space="preserve">Advance (US$)</t>
  </si>
  <si>
    <t xml:space="preserve">Invoice no</t>
  </si>
  <si>
    <t xml:space="preserve">Inv. date</t>
  </si>
  <si>
    <t xml:space="preserve">Item</t>
  </si>
  <si>
    <t xml:space="preserve">Amount (US$)</t>
  </si>
  <si>
    <t xml:space="preserve">Received (US$)</t>
  </si>
  <si>
    <t xml:space="preserve">BILLS REGISTER — ONE ROW PER EXPORT BILL, OPEN OR CLOSED</t>
  </si>
  <si>
    <t xml:space="preserve">Type in the white columns (blue text). Received, balance, status and age are worked out. Close a bill by realising it, or with Close as: Settled / Cancelled — do not clear it.</t>
  </si>
  <si>
    <t xml:space="preserve">TYPE HERE</t>
  </si>
  <si>
    <t xml:space="preserve">WORKED OUT — LOCKED</t>
  </si>
  <si>
    <t xml:space="preserve">Invoice date</t>
  </si>
  <si>
    <t xml:space="preserve">Advance received (US$)</t>
  </si>
  <si>
    <t xml:space="preserve">Advance date</t>
  </si>
  <si>
    <t xml:space="preserve">Realised (US$)</t>
  </si>
  <si>
    <t xml:space="preserve">Realised date</t>
  </si>
  <si>
    <t xml:space="preserve">Close as</t>
  </si>
  <si>
    <t xml:space="preserve">Note</t>
  </si>
  <si>
    <t xml:space="preserve">Status</t>
  </si>
  <si>
    <t xml:space="preserve">Days out</t>
  </si>
  <si>
    <t xml:space="preserve">Age</t>
  </si>
  <si>
    <t xml:space="preserve">List key</t>
  </si>
  <si>
    <t xml:space="preserve">Buyer key</t>
  </si>
  <si>
    <t xml:space="preserve">Open balance</t>
  </si>
  <si>
    <t xml:space="preserve">Buyer rank</t>
  </si>
  <si>
    <t xml:space="preserve">Open</t>
  </si>
  <si>
    <t xml:space="preserve">Advance key</t>
  </si>
  <si>
    <t xml:space="preserve">Over-received</t>
  </si>
  <si>
    <t xml:space="preserve">Missing data</t>
  </si>
  <si>
    <t xml:space="preserve">Duplicate inv.</t>
  </si>
  <si>
    <t xml:space="preserve">PEI/65/2025-26</t>
  </si>
  <si>
    <t xml:space="preserve">Tuna</t>
  </si>
  <si>
    <t xml:space="preserve">Zoom</t>
  </si>
  <si>
    <t xml:space="preserve">PEI/27/2026-27</t>
  </si>
  <si>
    <t xml:space="preserve">PEI/29/2026-27</t>
  </si>
  <si>
    <t xml:space="preserve">PEI/31/2026-27</t>
  </si>
  <si>
    <t xml:space="preserve">Mackerel</t>
  </si>
  <si>
    <t xml:space="preserve">Shabeer</t>
  </si>
  <si>
    <t xml:space="preserve">PEI/33/2026-27</t>
  </si>
  <si>
    <t xml:space="preserve">PEI/34/2026-27</t>
  </si>
  <si>
    <t xml:space="preserve">Koyo</t>
  </si>
  <si>
    <t xml:space="preserve">PEI/35/2026-27</t>
  </si>
  <si>
    <t xml:space="preserve">Aneesh</t>
  </si>
  <si>
    <t xml:space="preserve">Original ✓</t>
  </si>
  <si>
    <t xml:space="preserve">PEI/36/2026-27</t>
  </si>
  <si>
    <t xml:space="preserve">PEI/38/2026-27</t>
  </si>
  <si>
    <t xml:space="preserve">PEI/39/2026-27</t>
  </si>
  <si>
    <t xml:space="preserve">PEI/40/2026-27</t>
  </si>
  <si>
    <t xml:space="preserve">PEI/41/2026-27</t>
  </si>
  <si>
    <t xml:space="preserve">PEI/42/2026-27</t>
  </si>
  <si>
    <t xml:space="preserve">PEI/43/2026-27</t>
  </si>
  <si>
    <t xml:space="preserve">PEI/44/2026-27</t>
  </si>
  <si>
    <t xml:space="preserve">Nippon</t>
  </si>
  <si>
    <t xml:space="preserve">part</t>
  </si>
  <si>
    <t xml:space="preserve">PEI/46/2026-27</t>
  </si>
  <si>
    <t xml:space="preserve">PEI/47/2026-27</t>
  </si>
  <si>
    <t xml:space="preserve">Jithin</t>
  </si>
  <si>
    <t xml:space="preserve">PEI/48/2026-27</t>
  </si>
  <si>
    <t xml:space="preserve">KON</t>
  </si>
  <si>
    <t xml:space="preserve">Kobe</t>
  </si>
  <si>
    <t xml:space="preserve">PEI/49/2026-27</t>
  </si>
  <si>
    <t xml:space="preserve">Kaustuba, Bombay</t>
  </si>
  <si>
    <t xml:space="preserve">PEI/50/2026-27</t>
  </si>
  <si>
    <t xml:space="preserve">Irfan</t>
  </si>
  <si>
    <t xml:space="preserve">PEI/51/2026-27</t>
  </si>
  <si>
    <t xml:space="preserve">PEI/52/2026-27</t>
  </si>
  <si>
    <t xml:space="preserve">Ramiz</t>
  </si>
  <si>
    <t xml:space="preserve">PEI/53/2026-27</t>
  </si>
  <si>
    <t xml:space="preserve">LISTS — THE DROPDOWNS ON THE BILLS SHEET</t>
  </si>
  <si>
    <t xml:space="preserve">Add a new item or buyer in the next empty cell; the dropdowns pick it up at once.</t>
  </si>
  <si>
    <t xml:space="preserve">Shrimp</t>
  </si>
  <si>
    <t xml:space="preserve">Squid</t>
  </si>
  <si>
    <t xml:space="preserve">Cuttlefish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</si>
</sst>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#,##0.00"/>
    <numFmt numFmtId="167" formatCode="#,##0"/>
    <numFmt numFmtId="168" formatCode="&quot;$ &quot;#,##0"/>
    <numFmt numFmtId="169" formatCode="[&gt;=10000000]&quot;₹ &quot;##\,##\,##\,##0;[&gt;=100000]&quot;₹ &quot;##\,##\,##0;&quot;₹ &quot;#,##0"/>
    <numFmt numFmtId="170" formatCode="0.0%"/>
    <numFmt numFmtId="171" formatCode="General"/>
    <numFmt numFmtId="172" formatCode="#,##0.00;\-#,##0.00;\–"/>
    <numFmt numFmtId="173" formatCode="dd/mm/yy"/>
    <numFmt numFmtId="174" formatCode="[&gt;=10000000]&quot;₹ &quot;##\,##\,##\,##0.00;[&gt;=100000]&quot;₹ &quot;##\,##\,##0.00;&quot;₹ &quot;#,##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5E7A"/>
      <name val="Arial"/>
      <family val="0"/>
      <charset val="1"/>
    </font>
    <font>
      <b val="true"/>
      <sz val="10"/>
      <color rgb="FF5E7C8B"/>
      <name val="Arial"/>
      <family val="0"/>
      <charset val="1"/>
    </font>
    <font>
      <b val="true"/>
      <sz val="10"/>
      <color rgb="FF065E7A"/>
      <name val="Arial"/>
      <family val="0"/>
      <charset val="1"/>
    </font>
    <font>
      <sz val="10"/>
      <color rgb="FF0B2C3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6"/>
      <color rgb="FF00A2D3"/>
      <name val="Arial"/>
      <family val="0"/>
      <charset val="1"/>
    </font>
    <font>
      <sz val="8"/>
      <color rgb="FF5E7C8B"/>
      <name val="Arial"/>
      <family val="0"/>
      <charset val="1"/>
    </font>
    <font>
      <b val="true"/>
      <sz val="16"/>
      <color rgb="FF0B2C3A"/>
      <name val="Arial"/>
      <family val="0"/>
      <charset val="1"/>
    </font>
    <font>
      <b val="true"/>
      <sz val="8"/>
      <color rgb="FF5E7C8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7"/>
      <color rgb="FF5E7C8B"/>
      <name val="Arial"/>
      <family val="0"/>
      <charset val="1"/>
    </font>
    <font>
      <b val="true"/>
      <sz val="7"/>
      <color rgb="FFCFE8F2"/>
      <name val="Arial"/>
      <family val="0"/>
      <charset val="1"/>
    </font>
    <font>
      <b val="true"/>
      <sz val="13"/>
      <color rgb="FF0B2C3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8"/>
      <color rgb="FF0B2C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65E7A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9"/>
      <color rgb="FF0B2C3A"/>
      <name val="Arial"/>
      <family val="0"/>
      <charset val="1"/>
    </font>
    <font>
      <i val="true"/>
      <sz val="9"/>
      <color rgb="FF5E7C8B"/>
      <name val="Arial"/>
      <family val="0"/>
      <charset val="1"/>
    </font>
    <font>
      <b val="true"/>
      <sz val="9"/>
      <color rgb="FF0B2C3A"/>
      <name val="Arial"/>
      <family val="0"/>
      <charset val="1"/>
    </font>
    <font>
      <b val="true"/>
      <sz val="8"/>
      <color rgb="FFB3261E"/>
      <name val="Arial"/>
      <family val="0"/>
      <charset val="1"/>
    </font>
    <font>
      <b val="true"/>
      <sz val="9"/>
      <color rgb="FF065E7A"/>
      <name val="Arial"/>
      <family val="0"/>
      <charset val="1"/>
    </font>
    <font>
      <i val="true"/>
      <sz val="7"/>
      <color rgb="FF5E7C8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B2C3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8FB"/>
        <bgColor rgb="FFE7F3F9"/>
      </patternFill>
    </fill>
    <fill>
      <patternFill patternType="solid">
        <fgColor rgb="FF065E7A"/>
        <bgColor rgb="FF0066CC"/>
      </patternFill>
    </fill>
    <fill>
      <patternFill patternType="solid">
        <fgColor rgb="FFE7F3F9"/>
        <bgColor rgb="FFF2F8FB"/>
      </patternFill>
    </fill>
    <fill>
      <patternFill patternType="solid">
        <fgColor rgb="FFD9D9D9"/>
        <bgColor rgb="FFCBDF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A2D3"/>
      </bottom>
      <diagonal/>
    </border>
    <border diagonalUp="false" diagonalDown="false">
      <left style="thin">
        <color rgb="FFCBDFE8"/>
      </left>
      <right style="thin">
        <color rgb="FFCBDFE8"/>
      </right>
      <top style="thin">
        <color rgb="FFCBDFE8"/>
      </top>
      <bottom style="thin">
        <color rgb="FFCBDFE8"/>
      </bottom>
      <diagonal/>
    </border>
    <border diagonalUp="false" diagonalDown="false">
      <left style="thin">
        <color rgb="FFCBDFE8"/>
      </left>
      <right style="thick">
        <color rgb="FFFFFFFF"/>
      </right>
      <top style="thin">
        <color rgb="FFCBDFE8"/>
      </top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BDFE8"/>
      </top>
      <bottom/>
      <diagonal/>
    </border>
    <border diagonalUp="false" diagonalDown="false">
      <left style="thick">
        <color rgb="FFFFFFFF"/>
      </left>
      <right style="thin">
        <color rgb="FF065E7A"/>
      </right>
      <top style="thin">
        <color rgb="FF065E7A"/>
      </top>
      <bottom/>
      <diagonal/>
    </border>
    <border diagonalUp="false" diagonalDown="false">
      <left style="thin">
        <color rgb="FFCBDFE8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thin">
        <color rgb="FF065E7A"/>
      </right>
      <top/>
      <bottom/>
      <diagonal/>
    </border>
    <border diagonalUp="false" diagonalDown="false">
      <left style="thin">
        <color rgb="FFCBDFE8"/>
      </left>
      <right style="thick">
        <color rgb="FFFFFFFF"/>
      </right>
      <top/>
      <bottom style="thin">
        <color rgb="FFCBDFE8"/>
      </bottom>
      <diagonal/>
    </border>
    <border diagonalUp="false" diagonalDown="false">
      <left style="thick">
        <color rgb="FFFFFFFF"/>
      </left>
      <right style="thick">
        <color rgb="FFFFFFFF"/>
      </right>
      <top/>
      <bottom style="thin">
        <color rgb="FFCBDFE8"/>
      </bottom>
      <diagonal/>
    </border>
    <border diagonalUp="false" diagonalDown="false">
      <left style="thick">
        <color rgb="FFFFFFFF"/>
      </left>
      <right style="thin">
        <color rgb="FF065E7A"/>
      </right>
      <top/>
      <bottom style="thin">
        <color rgb="FF065E7A"/>
      </bottom>
      <diagonal/>
    </border>
    <border diagonalUp="false" diagonalDown="false">
      <left style="thick">
        <color rgb="FFFFFFFF"/>
      </left>
      <right/>
      <top/>
      <bottom/>
      <diagonal/>
    </border>
    <border diagonalUp="false" diagonalDown="false">
      <left style="thick">
        <color rgb="FFFFFFFF"/>
      </left>
      <right/>
      <top style="medium">
        <color rgb="FF065E7A"/>
      </top>
      <bottom style="thin">
        <color rgb="FFCBDFE8"/>
      </bottom>
      <diagonal/>
    </border>
    <border diagonalUp="false" diagonalDown="false">
      <left/>
      <right/>
      <top style="medium">
        <color rgb="FF065E7A"/>
      </top>
      <bottom style="thin">
        <color rgb="FFCBDFE8"/>
      </bottom>
      <diagonal/>
    </border>
    <border diagonalUp="false" diagonalDown="false">
      <left/>
      <right/>
      <top/>
      <bottom style="medium">
        <color rgb="FF065E7A"/>
      </bottom>
      <diagonal/>
    </border>
    <border diagonalUp="false" diagonalDown="false">
      <left/>
      <right/>
      <top style="thin">
        <color rgb="FFCBDF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4" fillId="3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3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4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6" fillId="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9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8" fillId="3" borderId="1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9" fillId="4" borderId="1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1" fillId="4" borderId="1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4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5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5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5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2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6" fontId="2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2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0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2F8FB"/>
        </patternFill>
      </fill>
    </dxf>
    <dxf>
      <font>
        <name val="Arial"/>
        <charset val="1"/>
        <family val="0"/>
        <b val="1"/>
        <color rgb="FFB3261E"/>
        <sz val="9"/>
      </font>
    </dxf>
    <dxf>
      <font>
        <name val="Arial"/>
        <charset val="1"/>
        <family val="0"/>
        <color rgb="FFB3261E"/>
        <sz val="9"/>
      </font>
    </dxf>
    <dxf>
      <fill>
        <patternFill patternType="solid">
          <fgColor rgb="FF065E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8FB"/>
          <bgColor rgb="FF000000"/>
        </patternFill>
      </fill>
    </dxf>
    <dxf>
      <fill>
        <patternFill patternType="solid">
          <fgColor rgb="FF0B2C3A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9D7D5"/>
        </patternFill>
      </fill>
    </dxf>
    <dxf>
      <fill>
        <patternFill>
          <bgColor rgb="FFF9D7D5"/>
        </patternFill>
      </fill>
    </dxf>
    <dxf>
      <font>
        <name val="Arial"/>
        <charset val="1"/>
        <family val="0"/>
        <strike val="1"/>
        <color rgb="FF9AA8AF"/>
        <sz val="10"/>
      </font>
    </dxf>
    <dxf>
      <font>
        <name val="Arial"/>
        <charset val="1"/>
        <family val="0"/>
        <color rgb="FF7B8E97"/>
        <sz val="10"/>
      </font>
    </dxf>
    <dxf>
      <font>
        <name val="Arial"/>
        <charset val="1"/>
        <family val="0"/>
        <b val="1"/>
        <color rgb="FF1B7A43"/>
        <sz val="10"/>
      </font>
    </dxf>
    <dxf>
      <font>
        <name val="Arial"/>
        <charset val="1"/>
        <family val="0"/>
        <b val="1"/>
        <color rgb="FFB3261E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3"/>
      <rgbColor rgb="FFD9D9D9"/>
      <rgbColor rgb="FF7B8E97"/>
      <rgbColor rgb="FF9999FF"/>
      <rgbColor rgb="FF993366"/>
      <rgbColor rgb="FFF2F8FB"/>
      <rgbColor rgb="FFE7F3F9"/>
      <rgbColor rgb="FF660066"/>
      <rgbColor rgb="FFFF8080"/>
      <rgbColor rgb="FF0066CC"/>
      <rgbColor rgb="FFCBDFE8"/>
      <rgbColor rgb="FF000080"/>
      <rgbColor rgb="FFFF00FF"/>
      <rgbColor rgb="FFFFFF00"/>
      <rgbColor rgb="FF00FFFF"/>
      <rgbColor rgb="FF800080"/>
      <rgbColor rgb="FF800000"/>
      <rgbColor rgb="FF065E7A"/>
      <rgbColor rgb="FF0000FF"/>
      <rgbColor rgb="FF00A2D3"/>
      <rgbColor rgb="FFCFE8F2"/>
      <rgbColor rgb="FFCCFFCC"/>
      <rgbColor rgb="FFFFFF99"/>
      <rgbColor rgb="FF99CCFF"/>
      <rgbColor rgb="FFFF99CC"/>
      <rgbColor rgb="FFCC99FF"/>
      <rgbColor rgb="FFF9D7D5"/>
      <rgbColor rgb="FF3366FF"/>
      <rgbColor rgb="FF33CCCC"/>
      <rgbColor rgb="FF99CC00"/>
      <rgbColor rgb="FFFFCC00"/>
      <rgbColor rgb="FFFF9900"/>
      <rgbColor rgb="FFFF6600"/>
      <rgbColor rgb="FF5E7C8B"/>
      <rgbColor rgb="FF9AA8AF"/>
      <rgbColor rgb="FF0B2C3A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495000</xdr:colOff>
      <xdr:row>0</xdr:row>
      <xdr:rowOff>399600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9500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 t="s">
        <v>10</v>
      </c>
    </row>
    <row r="13" customFormat="false" ht="15" hidden="false" customHeight="false" outlineLevel="0" collapsed="false">
      <c r="B13" s="4" t="s">
        <v>11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4" t="s">
        <v>15</v>
      </c>
    </row>
    <row r="19" customFormat="false" ht="15" hidden="false" customHeight="false" outlineLevel="0" collapsed="false">
      <c r="B19" s="4" t="s">
        <v>16</v>
      </c>
    </row>
    <row r="20" customFormat="false" ht="15" hidden="false" customHeight="false" outlineLevel="0" collapsed="false">
      <c r="B20" s="4" t="s">
        <v>17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4" t="s">
        <v>19</v>
      </c>
    </row>
    <row r="24" customFormat="false" ht="15" hidden="false" customHeight="false" outlineLevel="0" collapsed="false">
      <c r="B24" s="4" t="s">
        <v>20</v>
      </c>
    </row>
    <row r="25" customFormat="false" ht="15" hidden="false" customHeight="false" outlineLevel="0" collapsed="false">
      <c r="B25" s="4" t="s">
        <v>21</v>
      </c>
    </row>
    <row r="26" customFormat="false" ht="15" hidden="false" customHeight="false" outlineLevel="0" collapsed="false">
      <c r="B26" s="4" t="s">
        <v>22</v>
      </c>
    </row>
    <row r="27" customFormat="false" ht="15" hidden="false" customHeight="false" outlineLevel="0" collapsed="false">
      <c r="B27" s="4" t="s">
        <v>23</v>
      </c>
    </row>
    <row r="28" customFormat="false" ht="15" hidden="false" customHeight="false" outlineLevel="0" collapsed="false">
      <c r="B28" s="4" t="s">
        <v>24</v>
      </c>
    </row>
    <row r="29" customFormat="false" ht="15" hidden="false" customHeight="false" outlineLevel="0" collapsed="false">
      <c r="B29" s="4" t="s">
        <v>25</v>
      </c>
    </row>
    <row r="30" customFormat="false" ht="15" hidden="false" customHeight="false" outlineLevel="0" collapsed="false">
      <c r="B30" s="4"/>
    </row>
    <row r="31" customFormat="false" ht="15" hidden="false" customHeight="false" outlineLevel="0" collapsed="false">
      <c r="B31" s="3" t="s">
        <v>26</v>
      </c>
    </row>
    <row r="32" customFormat="false" ht="15" hidden="false" customHeight="false" outlineLevel="0" collapsed="false">
      <c r="B32" s="4" t="s">
        <v>27</v>
      </c>
    </row>
    <row r="33" customFormat="false" ht="15" hidden="false" customHeight="false" outlineLevel="0" collapsed="false">
      <c r="B33" s="4" t="s">
        <v>28</v>
      </c>
    </row>
    <row r="34" customFormat="false" ht="15" hidden="false" customHeight="false" outlineLevel="0" collapsed="false">
      <c r="B34" s="4" t="s">
        <v>29</v>
      </c>
    </row>
    <row r="35" customFormat="false" ht="15" hidden="false" customHeight="false" outlineLevel="0" collapsed="false">
      <c r="B35" s="4"/>
    </row>
    <row r="36" customFormat="false" ht="15" hidden="false" customHeight="false" outlineLevel="0" collapsed="false">
      <c r="B36" s="3" t="s">
        <v>30</v>
      </c>
    </row>
    <row r="37" customFormat="false" ht="15" hidden="false" customHeight="false" outlineLevel="0" collapsed="false">
      <c r="B37" s="5" t="s">
        <v>31</v>
      </c>
    </row>
    <row r="38" customFormat="false" ht="15" hidden="false" customHeight="false" outlineLevel="0" collapsed="false">
      <c r="A38" s="6"/>
      <c r="B38" s="5" t="s">
        <v>32</v>
      </c>
    </row>
    <row r="39" customFormat="false" ht="15" hidden="false" customHeight="false" outlineLevel="0" collapsed="false">
      <c r="B39" s="4" t="s">
        <v>33</v>
      </c>
    </row>
    <row r="40" customFormat="false" ht="15" hidden="false" customHeight="false" outlineLevel="0" collapsed="false">
      <c r="B40" s="4" t="s">
        <v>34</v>
      </c>
    </row>
    <row r="41" customFormat="false" ht="15" hidden="false" customHeight="false" outlineLevel="0" collapsed="false">
      <c r="B41" s="4" t="s">
        <v>35</v>
      </c>
    </row>
    <row r="42" customFormat="false" ht="15" hidden="false" customHeight="false" outlineLevel="0" collapsed="false">
      <c r="B42" s="4"/>
    </row>
    <row r="43" customFormat="false" ht="15" hidden="false" customHeight="false" outlineLevel="0" collapsed="false">
      <c r="B43" s="3" t="s">
        <v>36</v>
      </c>
    </row>
    <row r="44" customFormat="false" ht="15" hidden="false" customHeight="false" outlineLevel="0" collapsed="false">
      <c r="B44" s="4" t="s">
        <v>37</v>
      </c>
    </row>
    <row r="45" customFormat="false" ht="15" hidden="false" customHeight="false" outlineLevel="0" collapsed="false">
      <c r="B45" s="4" t="s">
        <v>38</v>
      </c>
    </row>
    <row r="46" customFormat="false" ht="15" hidden="false" customHeight="false" outlineLevel="0" collapsed="false">
      <c r="B46" s="4" t="s">
        <v>39</v>
      </c>
    </row>
    <row r="47" customFormat="false" ht="15" hidden="false" customHeight="false" outlineLevel="0" collapsed="false">
      <c r="B47" s="4" t="s">
        <v>40</v>
      </c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true" outlineLevel="0" max="12" min="10" style="0" width="6"/>
  </cols>
  <sheetData>
    <row r="1" customFormat="false" ht="33.75" hidden="false" customHeight="true" outlineLevel="0" collapsed="false">
      <c r="B1" s="7" t="s">
        <v>41</v>
      </c>
      <c r="E1" s="8" t="s">
        <v>42</v>
      </c>
      <c r="F1" s="8"/>
      <c r="G1" s="8"/>
      <c r="H1" s="8"/>
    </row>
    <row r="2" customFormat="false" ht="15" hidden="false" customHeight="false" outlineLevel="0" collapsed="false">
      <c r="E2" s="9" t="s">
        <v>43</v>
      </c>
      <c r="F2" s="9"/>
      <c r="G2" s="9"/>
      <c r="H2" s="9"/>
    </row>
    <row r="3" customFormat="false" ht="15" hidden="false" customHeight="false" outlineLevel="0" collapsed="false">
      <c r="E3" s="9" t="s">
        <v>44</v>
      </c>
      <c r="F3" s="9"/>
      <c r="G3" s="9"/>
      <c r="H3" s="9"/>
    </row>
    <row r="4" customFormat="false" ht="4.5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21.75" hidden="false" customHeight="true" outlineLevel="0" collapsed="false">
      <c r="A5" s="11" t="s">
        <v>45</v>
      </c>
      <c r="G5" s="12" t="s">
        <v>46</v>
      </c>
      <c r="H5" s="13" t="n">
        <f aca="true">TODAY()</f>
        <v>46298</v>
      </c>
    </row>
    <row r="6" customFormat="false" ht="18" hidden="false" customHeight="true" outlineLevel="0" collapsed="false">
      <c r="A6" s="14" t="s">
        <v>47</v>
      </c>
      <c r="G6" s="12" t="s">
        <v>48</v>
      </c>
      <c r="H6" s="15" t="n">
        <v>90</v>
      </c>
    </row>
    <row r="7" customFormat="false" ht="6" hidden="false" customHeight="true" outlineLevel="0" collapsed="false"/>
    <row r="8" customFormat="false" ht="15" hidden="false" customHeight="true" outlineLevel="0" collapsed="false">
      <c r="A8" s="16" t="s">
        <v>45</v>
      </c>
      <c r="B8" s="16"/>
      <c r="C8" s="17" t="s">
        <v>49</v>
      </c>
      <c r="D8" s="17"/>
      <c r="E8" s="17" t="s">
        <v>50</v>
      </c>
      <c r="F8" s="17"/>
      <c r="G8" s="18" t="s">
        <v>51</v>
      </c>
      <c r="H8" s="18"/>
    </row>
    <row r="9" customFormat="false" ht="21.75" hidden="false" customHeight="true" outlineLevel="0" collapsed="false">
      <c r="A9" s="19" t="n">
        <f aca="false">COUNT(Bills!$R$7:$R$1006)</f>
        <v>23</v>
      </c>
      <c r="B9" s="19"/>
      <c r="C9" s="20" t="n">
        <f aca="false">SUMIFS(Bills!$E$7:$E$1006,Bills!$V$7:$V$1006,1)</f>
        <v>1381573.98</v>
      </c>
      <c r="D9" s="20"/>
      <c r="E9" s="20" t="n">
        <f aca="false">SUMIFS(Bills!$L$7:$L$1006,Bills!$V$7:$V$1006,1)</f>
        <v>11000</v>
      </c>
      <c r="F9" s="20"/>
      <c r="G9" s="21" t="n">
        <f aca="false">SUM(Bills!$T$7:$T$1006)</f>
        <v>1370573.98</v>
      </c>
      <c r="H9" s="21"/>
    </row>
    <row r="10" customFormat="false" ht="15" hidden="false" customHeight="true" outlineLevel="0" collapsed="false">
      <c r="A10" s="22" t="str">
        <f aca="false">"of "&amp;SUMPRODUCT(--(LEN(Bills!$O$7:$O$1006)&gt;0))&amp;" on the register"</f>
        <v>of 23 on the register</v>
      </c>
      <c r="B10" s="22"/>
      <c r="C10" s="23" t="str">
        <f aca="false">IF(FX="","Exchange rate not set","₹ "&amp;IF(ABS(SUMIFS(Bills!$E$7:$E$1006,Bills!$V$7:$V$1006,1))*FX&gt;=10000000,TEXT(SUMIFS(Bills!$E$7:$E$1006,Bills!$V$7:$V$1006,1)*FX/10000000,"0.00")&amp;" Cr",IF(ABS(SUMIFS(Bills!$E$7:$E$1006,Bills!$V$7:$V$1006,1))*FX&gt;=100000,TEXT(SUMIFS(Bills!$E$7:$E$1006,Bills!$V$7:$V$1006,1)*FX/100000,"0.00")&amp;" L",TEXT(SUMIFS(Bills!$E$7:$E$1006,Bills!$V$7:$V$1006,1)*FX,"#,##0"))))</f>
        <v>₹ 12.43 Cr</v>
      </c>
      <c r="D10" s="23"/>
      <c r="E10" s="23" t="str">
        <f aca="false">IF(FX="","Exchange rate not set","₹ "&amp;IF(ABS(SUMIFS(Bills!$L$7:$L$1006,Bills!$V$7:$V$1006,1))*FX&gt;=10000000,TEXT(SUMIFS(Bills!$L$7:$L$1006,Bills!$V$7:$V$1006,1)*FX/10000000,"0.00")&amp;" Cr",IF(ABS(SUMIFS(Bills!$L$7:$L$1006,Bills!$V$7:$V$1006,1))*FX&gt;=100000,TEXT(SUMIFS(Bills!$L$7:$L$1006,Bills!$V$7:$V$1006,1)*FX/100000,"0.00")&amp;" L",TEXT(SUMIFS(Bills!$L$7:$L$1006,Bills!$V$7:$V$1006,1)*FX,"#,##0"))))</f>
        <v>₹ 9.90 L</v>
      </c>
      <c r="F10" s="23"/>
      <c r="G10" s="24" t="str">
        <f aca="false">IF(FX="","Exchange rate not set","₹ "&amp;IF(ABS(SUM(Bills!$T$7:$T$1006))*FX&gt;=10000000,TEXT(SUM(Bills!$T$7:$T$1006)*FX/10000000,"0.00")&amp;" Cr",IF(ABS(SUM(Bills!$T$7:$T$1006))*FX&gt;=100000,TEXT(SUM(Bills!$T$7:$T$1006)*FX/100000,"0.00")&amp;" L",TEXT(SUM(Bills!$T$7:$T$1006)*FX,"#,##0"))))</f>
        <v>₹ 12.34 Cr</v>
      </c>
      <c r="H10" s="24"/>
    </row>
    <row r="11" customFormat="false" ht="15.75" hidden="false" customHeight="true" outlineLevel="0" collapsed="false">
      <c r="A11" s="25" t="str">
        <f aca="false">"Register: "&amp;SUMPRODUCT(--(LEN(Bills!$O$7:$O$1006)&gt;0))&amp;" bills · "&amp;COUNTIF(Bills!$O$7:$O$1006,"Realised")&amp;" realised (US$ "&amp;TEXT(SUMIFS(Bills!$E$7:$E$1006,Bills!$O$7:$O$1006,"Realised"),"#,##0")&amp;") · "&amp;COUNTIF(Bills!$O$7:$O$1006,"Cancelled")&amp;" cancelled"</f>
        <v>Register: 23 bills · 0 realised (US$ 0) · 0 cancelled</v>
      </c>
      <c r="B11" s="25"/>
      <c r="C11" s="25"/>
      <c r="D11" s="25"/>
      <c r="E11" s="25"/>
      <c r="F11" s="25"/>
      <c r="G11" s="25"/>
      <c r="H11" s="25"/>
    </row>
    <row r="12" customFormat="false" ht="6" hidden="false" customHeight="true" outlineLevel="0" collapsed="false"/>
    <row r="13" customFormat="false" ht="15.75" hidden="false" customHeight="true" outlineLevel="0" collapsed="false">
      <c r="A13" s="26" t="s">
        <v>52</v>
      </c>
      <c r="B13" s="26"/>
      <c r="C13" s="26"/>
      <c r="D13" s="26"/>
      <c r="E13" s="26"/>
      <c r="F13" s="27" t="s">
        <v>53</v>
      </c>
      <c r="G13" s="27"/>
      <c r="H13" s="27"/>
    </row>
    <row r="14" customFormat="false" ht="21.75" hidden="false" customHeight="true" outlineLevel="0" collapsed="false">
      <c r="A14" s="28" t="s">
        <v>54</v>
      </c>
      <c r="B14" s="29" t="s">
        <v>55</v>
      </c>
      <c r="C14" s="29" t="s">
        <v>56</v>
      </c>
      <c r="D14" s="29" t="s">
        <v>57</v>
      </c>
      <c r="E14" s="29" t="s">
        <v>58</v>
      </c>
      <c r="F14" s="30" t="s">
        <v>59</v>
      </c>
      <c r="G14" s="29" t="s">
        <v>55</v>
      </c>
      <c r="H14" s="29" t="s">
        <v>56</v>
      </c>
    </row>
    <row r="15" customFormat="false" ht="13.5" hidden="false" customHeight="true" outlineLevel="0" collapsed="false">
      <c r="A15" s="31" t="str">
        <f aca="false">IF($J15="","",INDEX(Bills!$S$7:$S$1006,$J15))</f>
        <v>Zoom</v>
      </c>
      <c r="B15" s="32" t="n">
        <f aca="false">IF($J15="","",COUNTIFS(Bills!$S$7:$S$1006,$A15,Bills!$V$7:$V$1006,1))</f>
        <v>5</v>
      </c>
      <c r="C15" s="33" t="n">
        <f aca="false">IF($J15="","",SUMIFS(Bills!$T$7:$T$1006,Bills!$S$7:$S$1006,$A15))</f>
        <v>267456.08</v>
      </c>
      <c r="D15" s="34" t="n">
        <f aca="false">IF(OR($J15="",FX=""),"",$C15*FX)</f>
        <v>24071047.2</v>
      </c>
      <c r="E15" s="35" t="n">
        <f aca="false">IF(OR($J15="",SUM(Bills!$T$7:$T$1006)=0),"",$C15/SUM(Bills!$T$7:$T$1006))</f>
        <v>0.195141658825305</v>
      </c>
      <c r="F15" s="36" t="s">
        <v>60</v>
      </c>
      <c r="G15" s="32" t="n">
        <f aca="false">COUNTIFS(Bills!$Q$7:$Q$1006,$F15)</f>
        <v>0</v>
      </c>
      <c r="H15" s="33" t="n">
        <f aca="false">SUMIFS(Bills!$T$7:$T$1006,Bills!$Q$7:$Q$1006,$F15)</f>
        <v>0</v>
      </c>
      <c r="J15" s="37" t="n">
        <f aca="false">IFERROR(MATCH(LARGE(Bills!$U$7:$U$1006,1),Bills!$U$7:$U$1006,0),"")</f>
        <v>1</v>
      </c>
    </row>
    <row r="16" customFormat="false" ht="13.5" hidden="false" customHeight="true" outlineLevel="0" collapsed="false">
      <c r="A16" s="31" t="str">
        <f aca="false">IF($J16="","",INDEX(Bills!$S$7:$S$1006,$J16))</f>
        <v>Shabeer</v>
      </c>
      <c r="B16" s="32" t="n">
        <f aca="false">IF($J16="","",COUNTIFS(Bills!$S$7:$S$1006,$A16,Bills!$V$7:$V$1006,1))</f>
        <v>5</v>
      </c>
      <c r="C16" s="33" t="n">
        <f aca="false">IF($J16="","",SUMIFS(Bills!$T$7:$T$1006,Bills!$S$7:$S$1006,$A16))</f>
        <v>261580</v>
      </c>
      <c r="D16" s="34" t="n">
        <f aca="false">IF(OR($J16="",FX=""),"",$C16*FX)</f>
        <v>23542200</v>
      </c>
      <c r="E16" s="35" t="n">
        <f aca="false">IF(OR($J16="",SUM(Bills!$T$7:$T$1006)=0),"",$C16/SUM(Bills!$T$7:$T$1006))</f>
        <v>0.190854345564039</v>
      </c>
      <c r="F16" s="38" t="s">
        <v>61</v>
      </c>
      <c r="G16" s="39" t="n">
        <f aca="false">COUNTIFS(Bills!$Q$7:$Q$1006,$F16)</f>
        <v>0</v>
      </c>
      <c r="H16" s="40" t="n">
        <f aca="false">SUMIFS(Bills!$T$7:$T$1006,Bills!$Q$7:$Q$1006,$F16)</f>
        <v>0</v>
      </c>
      <c r="J16" s="37" t="n">
        <f aca="false">IFERROR(MATCH(LARGE(Bills!$U$7:$U$1006,2),Bills!$U$7:$U$1006,0),"")</f>
        <v>4</v>
      </c>
    </row>
    <row r="17" customFormat="false" ht="13.5" hidden="false" customHeight="true" outlineLevel="0" collapsed="false">
      <c r="A17" s="31" t="str">
        <f aca="false">IF($J17="","",INDEX(Bills!$S$7:$S$1006,$J17))</f>
        <v>Aneesh</v>
      </c>
      <c r="B17" s="32" t="n">
        <f aca="false">IF($J17="","",COUNTIFS(Bills!$S$7:$S$1006,$A17,Bills!$V$7:$V$1006,1))</f>
        <v>5</v>
      </c>
      <c r="C17" s="33" t="n">
        <f aca="false">IF($J17="","",SUMIFS(Bills!$T$7:$T$1006,Bills!$S$7:$S$1006,$A17))</f>
        <v>259866</v>
      </c>
      <c r="D17" s="34" t="n">
        <f aca="false">IF(OR($J17="",FX=""),"",$C17*FX)</f>
        <v>23387940</v>
      </c>
      <c r="E17" s="35" t="n">
        <f aca="false">IF(OR($J17="",SUM(Bills!$T$7:$T$1006)=0),"",$C17/SUM(Bills!$T$7:$T$1006))</f>
        <v>0.189603774617113</v>
      </c>
      <c r="F17" s="36" t="s">
        <v>62</v>
      </c>
      <c r="G17" s="32" t="n">
        <f aca="false">COUNTIFS(Bills!$Q$7:$Q$1006,$F17)</f>
        <v>0</v>
      </c>
      <c r="H17" s="33" t="n">
        <f aca="false">SUMIFS(Bills!$T$7:$T$1006,Bills!$Q$7:$Q$1006,$F17)</f>
        <v>0</v>
      </c>
      <c r="J17" s="37" t="n">
        <f aca="false">IFERROR(MATCH(LARGE(Bills!$U$7:$U$1006,3),Bills!$U$7:$U$1006,0),"")</f>
        <v>7</v>
      </c>
    </row>
    <row r="18" customFormat="false" ht="13.5" hidden="false" customHeight="true" outlineLevel="0" collapsed="false">
      <c r="A18" s="31" t="str">
        <f aca="false">IF($J18="","",INDEX(Bills!$S$7:$S$1006,$J18))</f>
        <v>Buyer not noted</v>
      </c>
      <c r="B18" s="32" t="n">
        <f aca="false">IF($J18="","",COUNTIFS(Bills!$S$7:$S$1006,$A18,Bills!$V$7:$V$1006,1))</f>
        <v>1</v>
      </c>
      <c r="C18" s="33" t="n">
        <f aca="false">IF($J18="","",SUMIFS(Bills!$T$7:$T$1006,Bills!$S$7:$S$1006,$A18))</f>
        <v>136312</v>
      </c>
      <c r="D18" s="34" t="n">
        <f aca="false">IF(OR($J18="",FX=""),"",$C18*FX)</f>
        <v>12268080</v>
      </c>
      <c r="E18" s="35" t="n">
        <f aca="false">IF(OR($J18="",SUM(Bills!$T$7:$T$1006)=0),"",$C18/SUM(Bills!$T$7:$T$1006))</f>
        <v>0.0994561417253814</v>
      </c>
      <c r="F18" s="38" t="s">
        <v>63</v>
      </c>
      <c r="G18" s="39" t="n">
        <f aca="false">COUNTIFS(Bills!$Q$7:$Q$1006,$F18)</f>
        <v>0</v>
      </c>
      <c r="H18" s="40" t="n">
        <f aca="false">SUMIFS(Bills!$T$7:$T$1006,Bills!$Q$7:$Q$1006,$F18)</f>
        <v>0</v>
      </c>
      <c r="J18" s="37" t="n">
        <f aca="false">IFERROR(MATCH(LARGE(Bills!$U$7:$U$1006,4),Bills!$U$7:$U$1006,0),"")</f>
        <v>6</v>
      </c>
    </row>
    <row r="19" customFormat="false" ht="13.5" hidden="false" customHeight="true" outlineLevel="0" collapsed="false">
      <c r="A19" s="31" t="str">
        <f aca="false">IF($J19="","",INDEX(Bills!$S$7:$S$1006,$J19))</f>
        <v>Kobe</v>
      </c>
      <c r="B19" s="32" t="n">
        <f aca="false">IF($J19="","",COUNTIFS(Bills!$S$7:$S$1006,$A19,Bills!$V$7:$V$1006,1))</f>
        <v>1</v>
      </c>
      <c r="C19" s="33" t="n">
        <f aca="false">IF($J19="","",SUMIFS(Bills!$T$7:$T$1006,Bills!$S$7:$S$1006,$A19))</f>
        <v>122300</v>
      </c>
      <c r="D19" s="34" t="n">
        <f aca="false">IF(OR($J19="",FX=""),"",$C19*FX)</f>
        <v>11007000</v>
      </c>
      <c r="E19" s="35" t="n">
        <f aca="false">IF(OR($J19="",SUM(Bills!$T$7:$T$1006)=0),"",$C19/SUM(Bills!$T$7:$T$1006))</f>
        <v>0.0892326877531996</v>
      </c>
      <c r="F19" s="41" t="s">
        <v>64</v>
      </c>
      <c r="G19" s="32" t="n">
        <f aca="false">COUNTIFS(Bills!$Q$7:$Q$1006,$F19)</f>
        <v>23</v>
      </c>
      <c r="H19" s="33" t="n">
        <f aca="false">SUMIFS(Bills!$T$7:$T$1006,Bills!$Q$7:$Q$1006,$F19)</f>
        <v>1370573.98</v>
      </c>
      <c r="J19" s="37" t="n">
        <f aca="false">IFERROR(MATCH(LARGE(Bills!$U$7:$U$1006,5),Bills!$U$7:$U$1006,0),"")</f>
        <v>18</v>
      </c>
    </row>
    <row r="20" customFormat="false" ht="13.5" hidden="false" customHeight="true" outlineLevel="0" collapsed="false">
      <c r="A20" s="31" t="str">
        <f aca="false">IF($J20="","",INDEX(Bills!$S$7:$S$1006,$J20))</f>
        <v>Jithin</v>
      </c>
      <c r="B20" s="32" t="n">
        <f aca="false">IF($J20="","",COUNTIFS(Bills!$S$7:$S$1006,$A20,Bills!$V$7:$V$1006,1))</f>
        <v>2</v>
      </c>
      <c r="C20" s="33" t="n">
        <f aca="false">IF($J20="","",SUMIFS(Bills!$T$7:$T$1006,Bills!$S$7:$S$1006,$A20))</f>
        <v>104050</v>
      </c>
      <c r="D20" s="34" t="n">
        <f aca="false">IF(OR($J20="",FX=""),"",$C20*FX)</f>
        <v>9364500</v>
      </c>
      <c r="E20" s="35" t="n">
        <f aca="false">IF(OR($J20="",SUM(Bills!$T$7:$T$1006)=0),"",$C20/SUM(Bills!$T$7:$T$1006))</f>
        <v>0.075917098615866</v>
      </c>
      <c r="F20" s="42" t="s">
        <v>65</v>
      </c>
      <c r="G20" s="43" t="n">
        <f aca="false">SUM(G15:G19)</f>
        <v>23</v>
      </c>
      <c r="H20" s="44" t="n">
        <f aca="false">SUM(H15:H19)</f>
        <v>1370573.98</v>
      </c>
      <c r="J20" s="37" t="n">
        <f aca="false">IFERROR(MATCH(LARGE(Bills!$U$7:$U$1006,6),Bills!$U$7:$U$1006,0),"")</f>
        <v>17</v>
      </c>
    </row>
    <row r="21" customFormat="false" ht="13.5" hidden="false" customHeight="true" outlineLevel="0" collapsed="false">
      <c r="A21" s="31" t="str">
        <f aca="false">IF($J21="","",INDEX(Bills!$S$7:$S$1006,$J21))</f>
        <v>Irfan</v>
      </c>
      <c r="B21" s="32" t="n">
        <f aca="false">IF($J21="","",COUNTIFS(Bills!$S$7:$S$1006,$A21,Bills!$V$7:$V$1006,1))</f>
        <v>1</v>
      </c>
      <c r="C21" s="33" t="n">
        <f aca="false">IF($J21="","",SUMIFS(Bills!$T$7:$T$1006,Bills!$S$7:$S$1006,$A21))</f>
        <v>57200</v>
      </c>
      <c r="D21" s="34" t="n">
        <f aca="false">IF(OR($J21="",FX=""),"",$C21*FX)</f>
        <v>5148000</v>
      </c>
      <c r="E21" s="35" t="n">
        <f aca="false">IF(OR($J21="",SUM(Bills!$T$7:$T$1006)=0),"",$C21/SUM(Bills!$T$7:$T$1006))</f>
        <v>0.041734339652355</v>
      </c>
      <c r="F21" s="45"/>
      <c r="J21" s="37" t="n">
        <f aca="false">IFERROR(MATCH(LARGE(Bills!$U$7:$U$1006,7),Bills!$U$7:$U$1006,0),"")</f>
        <v>20</v>
      </c>
    </row>
    <row r="22" customFormat="false" ht="13.5" hidden="false" customHeight="true" outlineLevel="0" collapsed="false">
      <c r="A22" s="31" t="str">
        <f aca="false">IF($J22="","",INDEX(Bills!$S$7:$S$1006,$J22))</f>
        <v>Kaustuba, Bombay</v>
      </c>
      <c r="B22" s="32" t="n">
        <f aca="false">IF($J22="","",COUNTIFS(Bills!$S$7:$S$1006,$A22,Bills!$V$7:$V$1006,1))</f>
        <v>1</v>
      </c>
      <c r="C22" s="33" t="n">
        <f aca="false">IF($J22="","",SUMIFS(Bills!$T$7:$T$1006,Bills!$S$7:$S$1006,$A22))</f>
        <v>55600</v>
      </c>
      <c r="D22" s="34" t="n">
        <f aca="false">IF(OR($J22="",FX=""),"",$C22*FX)</f>
        <v>5004000</v>
      </c>
      <c r="E22" s="35" t="n">
        <f aca="false">IF(OR($J22="",SUM(Bills!$T$7:$T$1006)=0),"",$C22/SUM(Bills!$T$7:$T$1006))</f>
        <v>0.0405669455362052</v>
      </c>
      <c r="F22" s="27" t="s">
        <v>66</v>
      </c>
      <c r="G22" s="27"/>
      <c r="H22" s="27"/>
      <c r="J22" s="37" t="n">
        <f aca="false">IFERROR(MATCH(LARGE(Bills!$U$7:$U$1006,8),Bills!$U$7:$U$1006,0),"")</f>
        <v>19</v>
      </c>
    </row>
    <row r="23" customFormat="false" ht="13.5" hidden="false" customHeight="true" outlineLevel="0" collapsed="false">
      <c r="A23" s="31" t="str">
        <f aca="false">IF($J23="","",INDEX(Bills!$S$7:$S$1006,$J23))</f>
        <v>part</v>
      </c>
      <c r="B23" s="32" t="n">
        <f aca="false">IF($J23="","",COUNTIFS(Bills!$S$7:$S$1006,$A23,Bills!$V$7:$V$1006,1))</f>
        <v>1</v>
      </c>
      <c r="C23" s="33" t="n">
        <f aca="false">IF($J23="","",SUMIFS(Bills!$T$7:$T$1006,Bills!$S$7:$S$1006,$A23))</f>
        <v>53239.9</v>
      </c>
      <c r="D23" s="34" t="n">
        <f aca="false">IF(OR($J23="",FX=""),"",$C23*FX)</f>
        <v>4791591</v>
      </c>
      <c r="E23" s="35" t="n">
        <f aca="false">IF(OR($J23="",SUM(Bills!$T$7:$T$1006)=0),"",$C23/SUM(Bills!$T$7:$T$1006))</f>
        <v>0.038844966252752</v>
      </c>
      <c r="F23" s="30" t="s">
        <v>67</v>
      </c>
      <c r="G23" s="28" t="s">
        <v>54</v>
      </c>
      <c r="H23" s="29" t="s">
        <v>68</v>
      </c>
      <c r="J23" s="37" t="n">
        <f aca="false">IFERROR(MATCH(LARGE(Bills!$U$7:$U$1006,9),Bills!$U$7:$U$1006,0),"")</f>
        <v>15</v>
      </c>
    </row>
    <row r="24" customFormat="false" ht="13.5" hidden="false" customHeight="true" outlineLevel="0" collapsed="false">
      <c r="A24" s="31" t="str">
        <f aca="false">IF($J24="","",INDEX(Bills!$S$7:$S$1006,$J24))</f>
        <v>Ramiz</v>
      </c>
      <c r="B24" s="32" t="n">
        <f aca="false">IF($J24="","",COUNTIFS(Bills!$S$7:$S$1006,$A24,Bills!$V$7:$V$1006,1))</f>
        <v>1</v>
      </c>
      <c r="C24" s="33" t="n">
        <f aca="false">IF($J24="","",SUMIFS(Bills!$T$7:$T$1006,Bills!$S$7:$S$1006,$A24))</f>
        <v>52970</v>
      </c>
      <c r="D24" s="34" t="n">
        <f aca="false">IF(OR($J24="",FX=""),"",$C24*FX)</f>
        <v>4767300</v>
      </c>
      <c r="E24" s="35" t="n">
        <f aca="false">IF(OR($J24="",SUM(Bills!$T$7:$T$1006)=0),"",$C24/SUM(Bills!$T$7:$T$1006))</f>
        <v>0.038648041457784</v>
      </c>
      <c r="F24" s="36" t="str">
        <f aca="false">IF($K24="","",INDEX(Bills!$A$1:$A$1006,$K24)&amp;"")</f>
        <v>PEI/47/2026-27</v>
      </c>
      <c r="G24" s="31" t="str">
        <f aca="false">IF($K24="","",INDEX(Bills!$S$1:$S$1006,$K24))</f>
        <v>Jithin</v>
      </c>
      <c r="H24" s="33" t="n">
        <f aca="false">IF($K24="","",INDEX(Bills!$F$1:$F$1006,$K24))</f>
        <v>3000</v>
      </c>
      <c r="J24" s="37" t="n">
        <f aca="false">IFERROR(MATCH(LARGE(Bills!$U$7:$U$1006,10),Bills!$U$7:$U$1006,0),"")</f>
        <v>22</v>
      </c>
      <c r="K24" s="37" t="n">
        <f aca="false">IFERROR(SMALL(Bills!$W$7:$W$1006,1),"")</f>
        <v>23</v>
      </c>
    </row>
    <row r="25" customFormat="false" ht="13.5" hidden="false" customHeight="true" outlineLevel="0" collapsed="false">
      <c r="A25" s="31" t="str">
        <f aca="false">IF($J25="","",INDEX(Bills!$S$7:$S$1006,$J25))</f>
        <v/>
      </c>
      <c r="B25" s="32" t="str">
        <f aca="false">IF($J25="","",COUNTIFS(Bills!$S$7:$S$1006,$A25,Bills!$V$7:$V$1006,1))</f>
        <v/>
      </c>
      <c r="C25" s="33" t="str">
        <f aca="false">IF($J25="","",SUMIFS(Bills!$T$7:$T$1006,Bills!$S$7:$S$1006,$A25))</f>
        <v/>
      </c>
      <c r="D25" s="34" t="str">
        <f aca="false">IF(OR($J25="",FX=""),"",$C25*FX)</f>
        <v/>
      </c>
      <c r="E25" s="35" t="str">
        <f aca="false">IF(OR($J25="",SUM(Bills!$T$7:$T$1006)=0),"",$C25/SUM(Bills!$T$7:$T$1006))</f>
        <v/>
      </c>
      <c r="F25" s="36" t="str">
        <f aca="false">IF($K25="","",INDEX(Bills!$A$1:$A$1006,$K25)&amp;"")</f>
        <v>PEI/52/2026-27</v>
      </c>
      <c r="G25" s="31" t="str">
        <f aca="false">IF($K25="","",INDEX(Bills!$S$1:$S$1006,$K25))</f>
        <v>Ramiz</v>
      </c>
      <c r="H25" s="33" t="n">
        <f aca="false">IF($K25="","",INDEX(Bills!$F$1:$F$1006,$K25))</f>
        <v>5000</v>
      </c>
      <c r="J25" s="0" t="str">
        <f aca="false">IFERROR(MATCH(LARGE(Bills!$U$7:$U$1006,11),Bills!$U$7:$U$1006,0),"")</f>
        <v/>
      </c>
      <c r="K25" s="37" t="n">
        <f aca="false">IFERROR(SMALL(Bills!$W$7:$W$1006,2),"")</f>
        <v>28</v>
      </c>
    </row>
    <row r="26" customFormat="false" ht="13.5" hidden="false" customHeight="true" outlineLevel="0" collapsed="false">
      <c r="A26" s="31" t="str">
        <f aca="false">IF($J26="","",INDEX(Bills!$S$7:$S$1006,$J26))</f>
        <v/>
      </c>
      <c r="B26" s="32" t="str">
        <f aca="false">IF($J26="","",COUNTIFS(Bills!$S$7:$S$1006,$A26,Bills!$V$7:$V$1006,1))</f>
        <v/>
      </c>
      <c r="C26" s="33" t="str">
        <f aca="false">IF($J26="","",SUMIFS(Bills!$T$7:$T$1006,Bills!$S$7:$S$1006,$A26))</f>
        <v/>
      </c>
      <c r="D26" s="34" t="str">
        <f aca="false">IF(OR($J26="",FX=""),"",$C26*FX)</f>
        <v/>
      </c>
      <c r="E26" s="35" t="str">
        <f aca="false">IF(OR($J26="",SUM(Bills!$T$7:$T$1006)=0),"",$C26/SUM(Bills!$T$7:$T$1006))</f>
        <v/>
      </c>
      <c r="F26" s="36" t="str">
        <f aca="false">IF($K26="","",INDEX(Bills!$A$1:$A$1006,$K26)&amp;"")</f>
        <v>PEI/53/2026-27</v>
      </c>
      <c r="G26" s="31" t="str">
        <f aca="false">IF($K26="","",INDEX(Bills!$S$1:$S$1006,$K26))</f>
        <v>Jithin</v>
      </c>
      <c r="H26" s="33" t="n">
        <f aca="false">IF($K26="","",INDEX(Bills!$F$1:$F$1006,$K26))</f>
        <v>3000</v>
      </c>
      <c r="J26" s="0" t="str">
        <f aca="false">IFERROR(MATCH(LARGE(Bills!$U$7:$U$1006,12),Bills!$U$7:$U$1006,0),"")</f>
        <v/>
      </c>
      <c r="K26" s="37" t="n">
        <f aca="false">IFERROR(SMALL(Bills!$W$7:$W$1006,3),"")</f>
        <v>29</v>
      </c>
    </row>
    <row r="27" customFormat="false" ht="15" hidden="false" customHeight="false" outlineLevel="0" collapsed="false">
      <c r="A27" s="46" t="str">
        <f aca="false">IF(MAX(0,COUNT(Bills!$U$7:$U$1006)-12)&gt;0,"Other buyers ("&amp;MAX(0,COUNT(Bills!$U$7:$U$1006)-12)&amp;")","")</f>
        <v/>
      </c>
      <c r="B27" s="47" t="str">
        <f aca="false">IF(MAX(0,COUNT(Bills!$U$7:$U$1006)-12)&gt;0,COUNT(Bills!$R$7:$R$1006)-SUM(B15:B26),"")</f>
        <v/>
      </c>
      <c r="C27" s="48" t="str">
        <f aca="false">IF(MAX(0,COUNT(Bills!$U$7:$U$1006)-12)&gt;0,SUM(Bills!$T$7:$T$1006)-SUM(C15:C26),"")</f>
        <v/>
      </c>
      <c r="D27" s="49" t="str">
        <f aca="false">IF(OR(C27="",FX=""),"",C27*FX)</f>
        <v/>
      </c>
      <c r="E27" s="50" t="str">
        <f aca="false">IF(OR(C27="",SUM(Bills!$T$7:$T$1006)=0),"",C27/SUM(Bills!$T$7:$T$1006))</f>
        <v/>
      </c>
      <c r="F27" s="36" t="str">
        <f aca="false">IF($K27="","",INDEX(Bills!$A$1:$A$1006,$K27)&amp;"")</f>
        <v/>
      </c>
      <c r="G27" s="31" t="str">
        <f aca="false">IF($K27="","",INDEX(Bills!$S$1:$S$1006,$K27))</f>
        <v/>
      </c>
      <c r="H27" s="33" t="str">
        <f aca="false">IF($K27="","",INDEX(Bills!$F$1:$F$1006,$K27))</f>
        <v/>
      </c>
      <c r="K27" s="0" t="str">
        <f aca="false">IFERROR(SMALL(Bills!$W$7:$W$1006,4),"")</f>
        <v/>
      </c>
    </row>
    <row r="28" customFormat="false" ht="15" hidden="false" customHeight="false" outlineLevel="0" collapsed="false">
      <c r="A28" s="51" t="s">
        <v>65</v>
      </c>
      <c r="B28" s="52" t="n">
        <f aca="false">COUNT(Bills!$R$7:$R$1006)</f>
        <v>23</v>
      </c>
      <c r="C28" s="53" t="n">
        <f aca="false">SUM(Bills!$T$7:$T$1006)</f>
        <v>1370573.98</v>
      </c>
      <c r="D28" s="54" t="n">
        <f aca="false">IF(FX="","",C28*FX)</f>
        <v>123351658.2</v>
      </c>
      <c r="E28" s="55" t="n">
        <f aca="false">IF(C28=0,"",1)</f>
        <v>1</v>
      </c>
      <c r="F28" s="42" t="str">
        <f aca="false">IF(COUNT(Bills!$W$7:$W$1006)=0,"None on open bills",COUNT(Bills!$W$7:$W$1006)&amp;IF(COUNT(Bills!$W$7:$W$1006)=1," bill"," bills")&amp;IF(COUNT(Bills!$W$7:$W$1006)&gt;4,", "&amp;(COUNT(Bills!$W$7:$W$1006)-4)&amp;" not listed",""))</f>
        <v>3 bills</v>
      </c>
      <c r="G28" s="42"/>
      <c r="H28" s="44" t="n">
        <f aca="false">SUMIFS(Bills!$F$7:$F$1006,Bills!$V$7:$V$1006,1)</f>
        <v>11000</v>
      </c>
    </row>
    <row r="29" customFormat="false" ht="15" hidden="false" customHeight="true" outlineLevel="0" collapsed="false">
      <c r="A29" s="56" t="str">
        <f aca="false">TRIM(IF(SUM(Bills!$Z$7:$Z$1006)&gt;0,"Check Bills: "&amp;SUM(Bills!$Z$7:$Z$1006)&amp;" rows share an invoice no. ","")&amp;IF(SUM(Bills!$Y$7:$Y$1006)&gt;0,"Check Bills: "&amp;SUM(Bills!$Y$7:$Y$1006)&amp;" bills lack an invoice no or amount. ","")&amp;IF(SUM(Bills!$X$7:$X$1006)&gt;0,"Check Bills: "&amp;SUM(Bills!$X$7:$X$1006)&amp;" bills show more received than billed. ","")&amp;IF(FX="","Exchange rate not set — rupee figures are blank.",""))</f>
        <v/>
      </c>
      <c r="B29" s="56"/>
      <c r="C29" s="56"/>
      <c r="D29" s="56"/>
      <c r="E29" s="56"/>
      <c r="F29" s="56"/>
      <c r="G29" s="56"/>
      <c r="H29" s="56"/>
    </row>
    <row r="30" customFormat="false" ht="6" hidden="false" customHeight="true" outlineLevel="0" collapsed="false"/>
    <row r="31" customFormat="false" ht="15.75" hidden="false" customHeight="true" outlineLevel="0" collapsed="false">
      <c r="A31" s="26" t="s">
        <v>45</v>
      </c>
      <c r="B31" s="26"/>
      <c r="C31" s="26"/>
      <c r="D31" s="26"/>
      <c r="E31" s="26"/>
      <c r="F31" s="26"/>
      <c r="G31" s="26"/>
      <c r="H31" s="26"/>
    </row>
    <row r="32" customFormat="false" ht="21.75" hidden="false" customHeight="true" outlineLevel="0" collapsed="false">
      <c r="A32" s="28" t="s">
        <v>69</v>
      </c>
      <c r="B32" s="28" t="s">
        <v>70</v>
      </c>
      <c r="C32" s="28" t="s">
        <v>71</v>
      </c>
      <c r="D32" s="28" t="s">
        <v>54</v>
      </c>
      <c r="E32" s="29" t="s">
        <v>72</v>
      </c>
      <c r="F32" s="29" t="s">
        <v>73</v>
      </c>
      <c r="G32" s="29" t="s">
        <v>56</v>
      </c>
      <c r="H32" s="29" t="s">
        <v>57</v>
      </c>
    </row>
    <row r="33" customFormat="false" ht="18" hidden="false" customHeight="true" outlineLevel="0" collapsed="false">
      <c r="A33" s="57" t="str">
        <f aca="false">"TOTAL — "&amp;COUNT(Bills!$R$7:$R$1006)&amp;IF(COUNT(Bills!$R$7:$R$1006)=1," BILL"," BILLS")&amp;" ON HAND"</f>
        <v>TOTAL — 23 BILLS ON HAND</v>
      </c>
      <c r="B33" s="57"/>
      <c r="C33" s="57"/>
      <c r="D33" s="57"/>
      <c r="E33" s="58" t="n">
        <f aca="false">SUMIFS(Bills!$E$7:$E$1006,Bills!$V$7:$V$1006,1)</f>
        <v>1381573.98</v>
      </c>
      <c r="F33" s="59" t="n">
        <f aca="false">SUMIFS(Bills!$L$7:$L$1006,Bills!$V$7:$V$1006,1)</f>
        <v>11000</v>
      </c>
      <c r="G33" s="58" t="n">
        <f aca="false">SUM(Bills!$T$7:$T$1006)</f>
        <v>1370573.98</v>
      </c>
      <c r="H33" s="60" t="n">
        <f aca="false">IF(FX="","",G33*FX)</f>
        <v>123351658.2</v>
      </c>
    </row>
    <row r="34" customFormat="false" ht="12.75" hidden="false" customHeight="true" outlineLevel="0" collapsed="false">
      <c r="A34" s="31" t="str">
        <f aca="false">IF($L34="","",IF(INDEX(Bills!$A$1:$A$1006,$L34)="","",INDEX(Bills!$A$1:$A$1006,$L34)))</f>
        <v>PEI/65/2025-26</v>
      </c>
      <c r="B34" s="61" t="str">
        <f aca="false">IF($L34="","",IF(INDEX(Bills!$B$1:$B$1006,$L34)="","",INDEX(Bills!$B$1:$B$1006,$L34)))</f>
        <v/>
      </c>
      <c r="C34" s="31" t="str">
        <f aca="false">IF($L34="","",IF(INDEX(Bills!$C$1:$C$1006,$L34)="","",INDEX(Bills!$C$1:$C$1006,$L34)))</f>
        <v>Tuna</v>
      </c>
      <c r="D34" s="31" t="str">
        <f aca="false">IF($L34="","",IF(INDEX(Bills!$D$1:$D$1006,$L34)="","",INDEX(Bills!$D$1:$D$1006,$L34)))</f>
        <v>Zoom</v>
      </c>
      <c r="E34" s="33" t="n">
        <f aca="false">IF($L34="","",IF(INDEX(Bills!$E$1:$E$1006,$L34)="","",INDEX(Bills!$E$1:$E$1006,$L34)))</f>
        <v>82360</v>
      </c>
      <c r="F34" s="62" t="n">
        <f aca="false">IF($L34="","",INDEX(Bills!$L$1:$L$1006,$L34))</f>
        <v>0</v>
      </c>
      <c r="G34" s="33" t="n">
        <f aca="false">IF($L34="","",INDEX(Bills!$M$1:$M$1006,$L34))</f>
        <v>82360</v>
      </c>
      <c r="H34" s="34" t="n">
        <f aca="false">IF($L34="","",INDEX(Bills!$N$1:$N$1006,$L34))</f>
        <v>7412400</v>
      </c>
      <c r="L34" s="37" t="n">
        <f aca="false">IFERROR(SMALL(Bills!$R$7:$R$1006,1),"")</f>
        <v>7</v>
      </c>
    </row>
    <row r="35" customFormat="false" ht="12.75" hidden="false" customHeight="true" outlineLevel="0" collapsed="false">
      <c r="A35" s="31" t="str">
        <f aca="false">IF($L35="","",IF(INDEX(Bills!$A$1:$A$1006,$L35)="","",INDEX(Bills!$A$1:$A$1006,$L35)))</f>
        <v>PEI/27/2026-27</v>
      </c>
      <c r="B35" s="61" t="str">
        <f aca="false">IF($L35="","",IF(INDEX(Bills!$B$1:$B$1006,$L35)="","",INDEX(Bills!$B$1:$B$1006,$L35)))</f>
        <v/>
      </c>
      <c r="C35" s="31" t="str">
        <f aca="false">IF($L35="","",IF(INDEX(Bills!$C$1:$C$1006,$L35)="","",INDEX(Bills!$C$1:$C$1006,$L35)))</f>
        <v>Tuna</v>
      </c>
      <c r="D35" s="31" t="str">
        <f aca="false">IF($L35="","",IF(INDEX(Bills!$D$1:$D$1006,$L35)="","",INDEX(Bills!$D$1:$D$1006,$L35)))</f>
        <v>Zoom</v>
      </c>
      <c r="E35" s="33" t="n">
        <f aca="false">IF($L35="","",IF(INDEX(Bills!$E$1:$E$1006,$L35)="","",INDEX(Bills!$E$1:$E$1006,$L35)))</f>
        <v>45820</v>
      </c>
      <c r="F35" s="62" t="n">
        <f aca="false">IF($L35="","",INDEX(Bills!$L$1:$L$1006,$L35))</f>
        <v>0</v>
      </c>
      <c r="G35" s="33" t="n">
        <f aca="false">IF($L35="","",INDEX(Bills!$M$1:$M$1006,$L35))</f>
        <v>45820</v>
      </c>
      <c r="H35" s="34" t="n">
        <f aca="false">IF($L35="","",INDEX(Bills!$N$1:$N$1006,$L35))</f>
        <v>4123800</v>
      </c>
      <c r="L35" s="37" t="n">
        <f aca="false">IFERROR(SMALL(Bills!$R$7:$R$1006,2),"")</f>
        <v>8</v>
      </c>
    </row>
    <row r="36" customFormat="false" ht="12.75" hidden="false" customHeight="true" outlineLevel="0" collapsed="false">
      <c r="A36" s="31" t="str">
        <f aca="false">IF($L36="","",IF(INDEX(Bills!$A$1:$A$1006,$L36)="","",INDEX(Bills!$A$1:$A$1006,$L36)))</f>
        <v>PEI/29/2026-27</v>
      </c>
      <c r="B36" s="61" t="str">
        <f aca="false">IF($L36="","",IF(INDEX(Bills!$B$1:$B$1006,$L36)="","",INDEX(Bills!$B$1:$B$1006,$L36)))</f>
        <v/>
      </c>
      <c r="C36" s="31" t="str">
        <f aca="false">IF($L36="","",IF(INDEX(Bills!$C$1:$C$1006,$L36)="","",INDEX(Bills!$C$1:$C$1006,$L36)))</f>
        <v>Tuna</v>
      </c>
      <c r="D36" s="31" t="str">
        <f aca="false">IF($L36="","",IF(INDEX(Bills!$D$1:$D$1006,$L36)="","",INDEX(Bills!$D$1:$D$1006,$L36)))</f>
        <v>Zoom</v>
      </c>
      <c r="E36" s="33" t="n">
        <f aca="false">IF($L36="","",IF(INDEX(Bills!$E$1:$E$1006,$L36)="","",INDEX(Bills!$E$1:$E$1006,$L36)))</f>
        <v>46476.08</v>
      </c>
      <c r="F36" s="62" t="n">
        <f aca="false">IF($L36="","",INDEX(Bills!$L$1:$L$1006,$L36))</f>
        <v>0</v>
      </c>
      <c r="G36" s="33" t="n">
        <f aca="false">IF($L36="","",INDEX(Bills!$M$1:$M$1006,$L36))</f>
        <v>46476.08</v>
      </c>
      <c r="H36" s="34" t="n">
        <f aca="false">IF($L36="","",INDEX(Bills!$N$1:$N$1006,$L36))</f>
        <v>4182847.2</v>
      </c>
      <c r="L36" s="37" t="n">
        <f aca="false">IFERROR(SMALL(Bills!$R$7:$R$1006,3),"")</f>
        <v>9</v>
      </c>
    </row>
    <row r="37" customFormat="false" ht="12.75" hidden="false" customHeight="true" outlineLevel="0" collapsed="false">
      <c r="A37" s="31" t="str">
        <f aca="false">IF($L37="","",IF(INDEX(Bills!$A$1:$A$1006,$L37)="","",INDEX(Bills!$A$1:$A$1006,$L37)))</f>
        <v>PEI/31/2026-27</v>
      </c>
      <c r="B37" s="61" t="str">
        <f aca="false">IF($L37="","",IF(INDEX(Bills!$B$1:$B$1006,$L37)="","",INDEX(Bills!$B$1:$B$1006,$L37)))</f>
        <v/>
      </c>
      <c r="C37" s="31" t="str">
        <f aca="false">IF($L37="","",IF(INDEX(Bills!$C$1:$C$1006,$L37)="","",INDEX(Bills!$C$1:$C$1006,$L37)))</f>
        <v>Mackerel</v>
      </c>
      <c r="D37" s="31" t="str">
        <f aca="false">IF($L37="","",IF(INDEX(Bills!$D$1:$D$1006,$L37)="","",INDEX(Bills!$D$1:$D$1006,$L37)))</f>
        <v>Shabeer</v>
      </c>
      <c r="E37" s="33" t="n">
        <f aca="false">IF($L37="","",IF(INDEX(Bills!$E$1:$E$1006,$L37)="","",INDEX(Bills!$E$1:$E$1006,$L37)))</f>
        <v>49720</v>
      </c>
      <c r="F37" s="62" t="n">
        <f aca="false">IF($L37="","",INDEX(Bills!$L$1:$L$1006,$L37))</f>
        <v>0</v>
      </c>
      <c r="G37" s="33" t="n">
        <f aca="false">IF($L37="","",INDEX(Bills!$M$1:$M$1006,$L37))</f>
        <v>49720</v>
      </c>
      <c r="H37" s="34" t="n">
        <f aca="false">IF($L37="","",INDEX(Bills!$N$1:$N$1006,$L37))</f>
        <v>4474800</v>
      </c>
      <c r="L37" s="37" t="n">
        <f aca="false">IFERROR(SMALL(Bills!$R$7:$R$1006,4),"")</f>
        <v>10</v>
      </c>
    </row>
    <row r="38" customFormat="false" ht="12.75" hidden="false" customHeight="true" outlineLevel="0" collapsed="false">
      <c r="A38" s="31" t="str">
        <f aca="false">IF($L38="","",IF(INDEX(Bills!$A$1:$A$1006,$L38)="","",INDEX(Bills!$A$1:$A$1006,$L38)))</f>
        <v>PEI/33/2026-27</v>
      </c>
      <c r="B38" s="61" t="str">
        <f aca="false">IF($L38="","",IF(INDEX(Bills!$B$1:$B$1006,$L38)="","",INDEX(Bills!$B$1:$B$1006,$L38)))</f>
        <v/>
      </c>
      <c r="C38" s="31" t="str">
        <f aca="false">IF($L38="","",IF(INDEX(Bills!$C$1:$C$1006,$L38)="","",INDEX(Bills!$C$1:$C$1006,$L38)))</f>
        <v>Mackerel</v>
      </c>
      <c r="D38" s="31" t="str">
        <f aca="false">IF($L38="","",IF(INDEX(Bills!$D$1:$D$1006,$L38)="","",INDEX(Bills!$D$1:$D$1006,$L38)))</f>
        <v>Shabeer</v>
      </c>
      <c r="E38" s="33" t="n">
        <f aca="false">IF($L38="","",IF(INDEX(Bills!$E$1:$E$1006,$L38)="","",INDEX(Bills!$E$1:$E$1006,$L38)))</f>
        <v>54060</v>
      </c>
      <c r="F38" s="62" t="n">
        <f aca="false">IF($L38="","",INDEX(Bills!$L$1:$L$1006,$L38))</f>
        <v>0</v>
      </c>
      <c r="G38" s="33" t="n">
        <f aca="false">IF($L38="","",INDEX(Bills!$M$1:$M$1006,$L38))</f>
        <v>54060</v>
      </c>
      <c r="H38" s="34" t="n">
        <f aca="false">IF($L38="","",INDEX(Bills!$N$1:$N$1006,$L38))</f>
        <v>4865400</v>
      </c>
      <c r="L38" s="37" t="n">
        <f aca="false">IFERROR(SMALL(Bills!$R$7:$R$1006,5),"")</f>
        <v>11</v>
      </c>
    </row>
    <row r="39" customFormat="false" ht="12.75" hidden="false" customHeight="true" outlineLevel="0" collapsed="false">
      <c r="A39" s="31" t="str">
        <f aca="false">IF($L39="","",IF(INDEX(Bills!$A$1:$A$1006,$L39)="","",INDEX(Bills!$A$1:$A$1006,$L39)))</f>
        <v>PEI/34/2026-27</v>
      </c>
      <c r="B39" s="61" t="str">
        <f aca="false">IF($L39="","",IF(INDEX(Bills!$B$1:$B$1006,$L39)="","",INDEX(Bills!$B$1:$B$1006,$L39)))</f>
        <v/>
      </c>
      <c r="C39" s="31" t="str">
        <f aca="false">IF($L39="","",IF(INDEX(Bills!$C$1:$C$1006,$L39)="","",INDEX(Bills!$C$1:$C$1006,$L39)))</f>
        <v>Koyo</v>
      </c>
      <c r="D39" s="31" t="str">
        <f aca="false">IF($L39="","",IF(INDEX(Bills!$D$1:$D$1006,$L39)="","",INDEX(Bills!$D$1:$D$1006,$L39)))</f>
        <v/>
      </c>
      <c r="E39" s="33" t="n">
        <f aca="false">IF($L39="","",IF(INDEX(Bills!$E$1:$E$1006,$L39)="","",INDEX(Bills!$E$1:$E$1006,$L39)))</f>
        <v>136312</v>
      </c>
      <c r="F39" s="62" t="n">
        <f aca="false">IF($L39="","",INDEX(Bills!$L$1:$L$1006,$L39))</f>
        <v>0</v>
      </c>
      <c r="G39" s="33" t="n">
        <f aca="false">IF($L39="","",INDEX(Bills!$M$1:$M$1006,$L39))</f>
        <v>136312</v>
      </c>
      <c r="H39" s="34" t="n">
        <f aca="false">IF($L39="","",INDEX(Bills!$N$1:$N$1006,$L39))</f>
        <v>12268080</v>
      </c>
      <c r="L39" s="37" t="n">
        <f aca="false">IFERROR(SMALL(Bills!$R$7:$R$1006,6),"")</f>
        <v>12</v>
      </c>
    </row>
    <row r="40" customFormat="false" ht="12.75" hidden="false" customHeight="true" outlineLevel="0" collapsed="false">
      <c r="A40" s="31" t="str">
        <f aca="false">IF($L40="","",IF(INDEX(Bills!$A$1:$A$1006,$L40)="","",INDEX(Bills!$A$1:$A$1006,$L40)))</f>
        <v>PEI/35/2026-27</v>
      </c>
      <c r="B40" s="61" t="str">
        <f aca="false">IF($L40="","",IF(INDEX(Bills!$B$1:$B$1006,$L40)="","",INDEX(Bills!$B$1:$B$1006,$L40)))</f>
        <v/>
      </c>
      <c r="C40" s="31" t="str">
        <f aca="false">IF($L40="","",IF(INDEX(Bills!$C$1:$C$1006,$L40)="","",INDEX(Bills!$C$1:$C$1006,$L40)))</f>
        <v>Mackerel</v>
      </c>
      <c r="D40" s="31" t="str">
        <f aca="false">IF($L40="","",IF(INDEX(Bills!$D$1:$D$1006,$L40)="","",INDEX(Bills!$D$1:$D$1006,$L40)))</f>
        <v>Aneesh</v>
      </c>
      <c r="E40" s="33" t="n">
        <f aca="false">IF($L40="","",IF(INDEX(Bills!$E$1:$E$1006,$L40)="","",INDEX(Bills!$E$1:$E$1006,$L40)))</f>
        <v>50482.5</v>
      </c>
      <c r="F40" s="62" t="n">
        <f aca="false">IF($L40="","",INDEX(Bills!$L$1:$L$1006,$L40))</f>
        <v>0</v>
      </c>
      <c r="G40" s="33" t="n">
        <f aca="false">IF($L40="","",INDEX(Bills!$M$1:$M$1006,$L40))</f>
        <v>50482.5</v>
      </c>
      <c r="H40" s="34" t="n">
        <f aca="false">IF($L40="","",INDEX(Bills!$N$1:$N$1006,$L40))</f>
        <v>4543425</v>
      </c>
      <c r="L40" s="37" t="n">
        <f aca="false">IFERROR(SMALL(Bills!$R$7:$R$1006,7),"")</f>
        <v>13</v>
      </c>
    </row>
    <row r="41" customFormat="false" ht="12.75" hidden="false" customHeight="true" outlineLevel="0" collapsed="false">
      <c r="A41" s="31" t="str">
        <f aca="false">IF($L41="","",IF(INDEX(Bills!$A$1:$A$1006,$L41)="","",INDEX(Bills!$A$1:$A$1006,$L41)))</f>
        <v>PEI/36/2026-27</v>
      </c>
      <c r="B41" s="61" t="str">
        <f aca="false">IF($L41="","",IF(INDEX(Bills!$B$1:$B$1006,$L41)="","",INDEX(Bills!$B$1:$B$1006,$L41)))</f>
        <v/>
      </c>
      <c r="C41" s="31" t="str">
        <f aca="false">IF($L41="","",IF(INDEX(Bills!$C$1:$C$1006,$L41)="","",INDEX(Bills!$C$1:$C$1006,$L41)))</f>
        <v>Mackerel</v>
      </c>
      <c r="D41" s="31" t="str">
        <f aca="false">IF($L41="","",IF(INDEX(Bills!$D$1:$D$1006,$L41)="","",INDEX(Bills!$D$1:$D$1006,$L41)))</f>
        <v>Shabeer</v>
      </c>
      <c r="E41" s="33" t="n">
        <f aca="false">IF($L41="","",IF(INDEX(Bills!$E$1:$E$1006,$L41)="","",INDEX(Bills!$E$1:$E$1006,$L41)))</f>
        <v>51500</v>
      </c>
      <c r="F41" s="62" t="n">
        <f aca="false">IF($L41="","",INDEX(Bills!$L$1:$L$1006,$L41))</f>
        <v>0</v>
      </c>
      <c r="G41" s="33" t="n">
        <f aca="false">IF($L41="","",INDEX(Bills!$M$1:$M$1006,$L41))</f>
        <v>51500</v>
      </c>
      <c r="H41" s="34" t="n">
        <f aca="false">IF($L41="","",INDEX(Bills!$N$1:$N$1006,$L41))</f>
        <v>4635000</v>
      </c>
      <c r="L41" s="37" t="n">
        <f aca="false">IFERROR(SMALL(Bills!$R$7:$R$1006,8),"")</f>
        <v>14</v>
      </c>
    </row>
    <row r="42" customFormat="false" ht="12.75" hidden="false" customHeight="true" outlineLevel="0" collapsed="false">
      <c r="A42" s="31" t="str">
        <f aca="false">IF($L42="","",IF(INDEX(Bills!$A$1:$A$1006,$L42)="","",INDEX(Bills!$A$1:$A$1006,$L42)))</f>
        <v>PEI/38/2026-27</v>
      </c>
      <c r="B42" s="61" t="str">
        <f aca="false">IF($L42="","",IF(INDEX(Bills!$B$1:$B$1006,$L42)="","",INDEX(Bills!$B$1:$B$1006,$L42)))</f>
        <v/>
      </c>
      <c r="C42" s="31" t="str">
        <f aca="false">IF($L42="","",IF(INDEX(Bills!$C$1:$C$1006,$L42)="","",INDEX(Bills!$C$1:$C$1006,$L42)))</f>
        <v>Mackerel</v>
      </c>
      <c r="D42" s="31" t="str">
        <f aca="false">IF($L42="","",IF(INDEX(Bills!$D$1:$D$1006,$L42)="","",INDEX(Bills!$D$1:$D$1006,$L42)))</f>
        <v>Aneesh</v>
      </c>
      <c r="E42" s="33" t="n">
        <f aca="false">IF($L42="","",IF(INDEX(Bills!$E$1:$E$1006,$L42)="","",INDEX(Bills!$E$1:$E$1006,$L42)))</f>
        <v>50700</v>
      </c>
      <c r="F42" s="62" t="n">
        <f aca="false">IF($L42="","",INDEX(Bills!$L$1:$L$1006,$L42))</f>
        <v>0</v>
      </c>
      <c r="G42" s="33" t="n">
        <f aca="false">IF($L42="","",INDEX(Bills!$M$1:$M$1006,$L42))</f>
        <v>50700</v>
      </c>
      <c r="H42" s="34" t="n">
        <f aca="false">IF($L42="","",INDEX(Bills!$N$1:$N$1006,$L42))</f>
        <v>4563000</v>
      </c>
      <c r="L42" s="37" t="n">
        <f aca="false">IFERROR(SMALL(Bills!$R$7:$R$1006,9),"")</f>
        <v>15</v>
      </c>
    </row>
    <row r="43" customFormat="false" ht="12.75" hidden="false" customHeight="true" outlineLevel="0" collapsed="false">
      <c r="A43" s="31" t="str">
        <f aca="false">IF($L43="","",IF(INDEX(Bills!$A$1:$A$1006,$L43)="","",INDEX(Bills!$A$1:$A$1006,$L43)))</f>
        <v>PEI/39/2026-27</v>
      </c>
      <c r="B43" s="61" t="str">
        <f aca="false">IF($L43="","",IF(INDEX(Bills!$B$1:$B$1006,$L43)="","",INDEX(Bills!$B$1:$B$1006,$L43)))</f>
        <v/>
      </c>
      <c r="C43" s="31" t="str">
        <f aca="false">IF($L43="","",IF(INDEX(Bills!$C$1:$C$1006,$L43)="","",INDEX(Bills!$C$1:$C$1006,$L43)))</f>
        <v>Mackerel</v>
      </c>
      <c r="D43" s="31" t="str">
        <f aca="false">IF($L43="","",IF(INDEX(Bills!$D$1:$D$1006,$L43)="","",INDEX(Bills!$D$1:$D$1006,$L43)))</f>
        <v>Shabeer</v>
      </c>
      <c r="E43" s="33" t="n">
        <f aca="false">IF($L43="","",IF(INDEX(Bills!$E$1:$E$1006,$L43)="","",INDEX(Bills!$E$1:$E$1006,$L43)))</f>
        <v>53300</v>
      </c>
      <c r="F43" s="62" t="n">
        <f aca="false">IF($L43="","",INDEX(Bills!$L$1:$L$1006,$L43))</f>
        <v>0</v>
      </c>
      <c r="G43" s="33" t="n">
        <f aca="false">IF($L43="","",INDEX(Bills!$M$1:$M$1006,$L43))</f>
        <v>53300</v>
      </c>
      <c r="H43" s="34" t="n">
        <f aca="false">IF($L43="","",INDEX(Bills!$N$1:$N$1006,$L43))</f>
        <v>4797000</v>
      </c>
      <c r="L43" s="37" t="n">
        <f aca="false">IFERROR(SMALL(Bills!$R$7:$R$1006,10),"")</f>
        <v>16</v>
      </c>
    </row>
    <row r="44" customFormat="false" ht="12.75" hidden="false" customHeight="true" outlineLevel="0" collapsed="false">
      <c r="A44" s="31" t="str">
        <f aca="false">IF($L44="","",IF(INDEX(Bills!$A$1:$A$1006,$L44)="","",INDEX(Bills!$A$1:$A$1006,$L44)))</f>
        <v>PEI/40/2026-27</v>
      </c>
      <c r="B44" s="61" t="str">
        <f aca="false">IF($L44="","",IF(INDEX(Bills!$B$1:$B$1006,$L44)="","",INDEX(Bills!$B$1:$B$1006,$L44)))</f>
        <v/>
      </c>
      <c r="C44" s="31" t="str">
        <f aca="false">IF($L44="","",IF(INDEX(Bills!$C$1:$C$1006,$L44)="","",INDEX(Bills!$C$1:$C$1006,$L44)))</f>
        <v>Tuna</v>
      </c>
      <c r="D44" s="31" t="str">
        <f aca="false">IF($L44="","",IF(INDEX(Bills!$D$1:$D$1006,$L44)="","",INDEX(Bills!$D$1:$D$1006,$L44)))</f>
        <v>Zoom</v>
      </c>
      <c r="E44" s="33" t="n">
        <f aca="false">IF($L44="","",IF(INDEX(Bills!$E$1:$E$1006,$L44)="","",INDEX(Bills!$E$1:$E$1006,$L44)))</f>
        <v>46400</v>
      </c>
      <c r="F44" s="62" t="n">
        <f aca="false">IF($L44="","",INDEX(Bills!$L$1:$L$1006,$L44))</f>
        <v>0</v>
      </c>
      <c r="G44" s="33" t="n">
        <f aca="false">IF($L44="","",INDEX(Bills!$M$1:$M$1006,$L44))</f>
        <v>46400</v>
      </c>
      <c r="H44" s="34" t="n">
        <f aca="false">IF($L44="","",INDEX(Bills!$N$1:$N$1006,$L44))</f>
        <v>4176000</v>
      </c>
      <c r="L44" s="37" t="n">
        <f aca="false">IFERROR(SMALL(Bills!$R$7:$R$1006,11),"")</f>
        <v>17</v>
      </c>
    </row>
    <row r="45" customFormat="false" ht="12.75" hidden="false" customHeight="true" outlineLevel="0" collapsed="false">
      <c r="A45" s="31" t="str">
        <f aca="false">IF($L45="","",IF(INDEX(Bills!$A$1:$A$1006,$L45)="","",INDEX(Bills!$A$1:$A$1006,$L45)))</f>
        <v>PEI/41/2026-27</v>
      </c>
      <c r="B45" s="61" t="str">
        <f aca="false">IF($L45="","",IF(INDEX(Bills!$B$1:$B$1006,$L45)="","",INDEX(Bills!$B$1:$B$1006,$L45)))</f>
        <v/>
      </c>
      <c r="C45" s="31" t="str">
        <f aca="false">IF($L45="","",IF(INDEX(Bills!$C$1:$C$1006,$L45)="","",INDEX(Bills!$C$1:$C$1006,$L45)))</f>
        <v>Mackerel</v>
      </c>
      <c r="D45" s="31" t="str">
        <f aca="false">IF($L45="","",IF(INDEX(Bills!$D$1:$D$1006,$L45)="","",INDEX(Bills!$D$1:$D$1006,$L45)))</f>
        <v>Aneesh</v>
      </c>
      <c r="E45" s="33" t="n">
        <f aca="false">IF($L45="","",IF(INDEX(Bills!$E$1:$E$1006,$L45)="","",INDEX(Bills!$E$1:$E$1006,$L45)))</f>
        <v>53067</v>
      </c>
      <c r="F45" s="62" t="n">
        <f aca="false">IF($L45="","",INDEX(Bills!$L$1:$L$1006,$L45))</f>
        <v>0</v>
      </c>
      <c r="G45" s="33" t="n">
        <f aca="false">IF($L45="","",INDEX(Bills!$M$1:$M$1006,$L45))</f>
        <v>53067</v>
      </c>
      <c r="H45" s="34" t="n">
        <f aca="false">IF($L45="","",INDEX(Bills!$N$1:$N$1006,$L45))</f>
        <v>4776030</v>
      </c>
      <c r="L45" s="37" t="n">
        <f aca="false">IFERROR(SMALL(Bills!$R$7:$R$1006,12),"")</f>
        <v>18</v>
      </c>
    </row>
    <row r="46" customFormat="false" ht="12.75" hidden="false" customHeight="true" outlineLevel="0" collapsed="false">
      <c r="A46" s="31" t="str">
        <f aca="false">IF($L46="","",IF(INDEX(Bills!$A$1:$A$1006,$L46)="","",INDEX(Bills!$A$1:$A$1006,$L46)))</f>
        <v>PEI/42/2026-27</v>
      </c>
      <c r="B46" s="61" t="str">
        <f aca="false">IF($L46="","",IF(INDEX(Bills!$B$1:$B$1006,$L46)="","",INDEX(Bills!$B$1:$B$1006,$L46)))</f>
        <v/>
      </c>
      <c r="C46" s="31" t="str">
        <f aca="false">IF($L46="","",IF(INDEX(Bills!$C$1:$C$1006,$L46)="","",INDEX(Bills!$C$1:$C$1006,$L46)))</f>
        <v>Mackerel</v>
      </c>
      <c r="D46" s="31" t="str">
        <f aca="false">IF($L46="","",IF(INDEX(Bills!$D$1:$D$1006,$L46)="","",INDEX(Bills!$D$1:$D$1006,$L46)))</f>
        <v>Shabeer</v>
      </c>
      <c r="E46" s="33" t="n">
        <f aca="false">IF($L46="","",IF(INDEX(Bills!$E$1:$E$1006,$L46)="","",INDEX(Bills!$E$1:$E$1006,$L46)))</f>
        <v>53000</v>
      </c>
      <c r="F46" s="62" t="n">
        <f aca="false">IF($L46="","",INDEX(Bills!$L$1:$L$1006,$L46))</f>
        <v>0</v>
      </c>
      <c r="G46" s="33" t="n">
        <f aca="false">IF($L46="","",INDEX(Bills!$M$1:$M$1006,$L46))</f>
        <v>53000</v>
      </c>
      <c r="H46" s="34" t="n">
        <f aca="false">IF($L46="","",INDEX(Bills!$N$1:$N$1006,$L46))</f>
        <v>4770000</v>
      </c>
      <c r="L46" s="37" t="n">
        <f aca="false">IFERROR(SMALL(Bills!$R$7:$R$1006,13),"")</f>
        <v>19</v>
      </c>
    </row>
    <row r="47" customFormat="false" ht="12.75" hidden="false" customHeight="true" outlineLevel="0" collapsed="false">
      <c r="A47" s="31" t="str">
        <f aca="false">IF($L47="","",IF(INDEX(Bills!$A$1:$A$1006,$L47)="","",INDEX(Bills!$A$1:$A$1006,$L47)))</f>
        <v>PEI/43/2026-27</v>
      </c>
      <c r="B47" s="61" t="str">
        <f aca="false">IF($L47="","",IF(INDEX(Bills!$B$1:$B$1006,$L47)="","",INDEX(Bills!$B$1:$B$1006,$L47)))</f>
        <v/>
      </c>
      <c r="C47" s="31" t="str">
        <f aca="false">IF($L47="","",IF(INDEX(Bills!$C$1:$C$1006,$L47)="","",INDEX(Bills!$C$1:$C$1006,$L47)))</f>
        <v>Mackerel</v>
      </c>
      <c r="D47" s="31" t="str">
        <f aca="false">IF($L47="","",IF(INDEX(Bills!$D$1:$D$1006,$L47)="","",INDEX(Bills!$D$1:$D$1006,$L47)))</f>
        <v>Aneesh</v>
      </c>
      <c r="E47" s="33" t="n">
        <f aca="false">IF($L47="","",IF(INDEX(Bills!$E$1:$E$1006,$L47)="","",INDEX(Bills!$E$1:$E$1006,$L47)))</f>
        <v>52915</v>
      </c>
      <c r="F47" s="62" t="n">
        <f aca="false">IF($L47="","",INDEX(Bills!$L$1:$L$1006,$L47))</f>
        <v>0</v>
      </c>
      <c r="G47" s="33" t="n">
        <f aca="false">IF($L47="","",INDEX(Bills!$M$1:$M$1006,$L47))</f>
        <v>52915</v>
      </c>
      <c r="H47" s="34" t="n">
        <f aca="false">IF($L47="","",INDEX(Bills!$N$1:$N$1006,$L47))</f>
        <v>4762350</v>
      </c>
      <c r="L47" s="37" t="n">
        <f aca="false">IFERROR(SMALL(Bills!$R$7:$R$1006,14),"")</f>
        <v>20</v>
      </c>
    </row>
    <row r="48" customFormat="false" ht="12.75" hidden="false" customHeight="true" outlineLevel="0" collapsed="false">
      <c r="A48" s="31" t="str">
        <f aca="false">IF($L48="","",IF(INDEX(Bills!$A$1:$A$1006,$L48)="","",INDEX(Bills!$A$1:$A$1006,$L48)))</f>
        <v>PEI/44/2026-27</v>
      </c>
      <c r="B48" s="61" t="str">
        <f aca="false">IF($L48="","",IF(INDEX(Bills!$B$1:$B$1006,$L48)="","",INDEX(Bills!$B$1:$B$1006,$L48)))</f>
        <v/>
      </c>
      <c r="C48" s="31" t="str">
        <f aca="false">IF($L48="","",IF(INDEX(Bills!$C$1:$C$1006,$L48)="","",INDEX(Bills!$C$1:$C$1006,$L48)))</f>
        <v>Nippon</v>
      </c>
      <c r="D48" s="31" t="str">
        <f aca="false">IF($L48="","",IF(INDEX(Bills!$D$1:$D$1006,$L48)="","",INDEX(Bills!$D$1:$D$1006,$L48)))</f>
        <v>part</v>
      </c>
      <c r="E48" s="33" t="n">
        <f aca="false">IF($L48="","",IF(INDEX(Bills!$E$1:$E$1006,$L48)="","",INDEX(Bills!$E$1:$E$1006,$L48)))</f>
        <v>53239.9</v>
      </c>
      <c r="F48" s="62" t="n">
        <f aca="false">IF($L48="","",INDEX(Bills!$L$1:$L$1006,$L48))</f>
        <v>0</v>
      </c>
      <c r="G48" s="33" t="n">
        <f aca="false">IF($L48="","",INDEX(Bills!$M$1:$M$1006,$L48))</f>
        <v>53239.9</v>
      </c>
      <c r="H48" s="34" t="n">
        <f aca="false">IF($L48="","",INDEX(Bills!$N$1:$N$1006,$L48))</f>
        <v>4791591</v>
      </c>
      <c r="L48" s="37" t="n">
        <f aca="false">IFERROR(SMALL(Bills!$R$7:$R$1006,15),"")</f>
        <v>21</v>
      </c>
    </row>
    <row r="49" customFormat="false" ht="12.75" hidden="false" customHeight="true" outlineLevel="0" collapsed="false">
      <c r="A49" s="31" t="str">
        <f aca="false">IF($L49="","",IF(INDEX(Bills!$A$1:$A$1006,$L49)="","",INDEX(Bills!$A$1:$A$1006,$L49)))</f>
        <v>PEI/46/2026-27</v>
      </c>
      <c r="B49" s="61" t="str">
        <f aca="false">IF($L49="","",IF(INDEX(Bills!$B$1:$B$1006,$L49)="","",INDEX(Bills!$B$1:$B$1006,$L49)))</f>
        <v/>
      </c>
      <c r="C49" s="31" t="str">
        <f aca="false">IF($L49="","",IF(INDEX(Bills!$C$1:$C$1006,$L49)="","",INDEX(Bills!$C$1:$C$1006,$L49)))</f>
        <v>Tuna</v>
      </c>
      <c r="D49" s="31" t="str">
        <f aca="false">IF($L49="","",IF(INDEX(Bills!$D$1:$D$1006,$L49)="","",INDEX(Bills!$D$1:$D$1006,$L49)))</f>
        <v>Zoom</v>
      </c>
      <c r="E49" s="33" t="n">
        <f aca="false">IF($L49="","",IF(INDEX(Bills!$E$1:$E$1006,$L49)="","",INDEX(Bills!$E$1:$E$1006,$L49)))</f>
        <v>46400</v>
      </c>
      <c r="F49" s="62" t="n">
        <f aca="false">IF($L49="","",INDEX(Bills!$L$1:$L$1006,$L49))</f>
        <v>0</v>
      </c>
      <c r="G49" s="33" t="n">
        <f aca="false">IF($L49="","",INDEX(Bills!$M$1:$M$1006,$L49))</f>
        <v>46400</v>
      </c>
      <c r="H49" s="34" t="n">
        <f aca="false">IF($L49="","",INDEX(Bills!$N$1:$N$1006,$L49))</f>
        <v>4176000</v>
      </c>
      <c r="L49" s="37" t="n">
        <f aca="false">IFERROR(SMALL(Bills!$R$7:$R$1006,16),"")</f>
        <v>22</v>
      </c>
    </row>
    <row r="50" customFormat="false" ht="12.75" hidden="false" customHeight="true" outlineLevel="0" collapsed="false">
      <c r="A50" s="31" t="str">
        <f aca="false">IF($L50="","",IF(INDEX(Bills!$A$1:$A$1006,$L50)="","",INDEX(Bills!$A$1:$A$1006,$L50)))</f>
        <v>PEI/47/2026-27</v>
      </c>
      <c r="B50" s="61" t="str">
        <f aca="false">IF($L50="","",IF(INDEX(Bills!$B$1:$B$1006,$L50)="","",INDEX(Bills!$B$1:$B$1006,$L50)))</f>
        <v/>
      </c>
      <c r="C50" s="31" t="str">
        <f aca="false">IF($L50="","",IF(INDEX(Bills!$C$1:$C$1006,$L50)="","",INDEX(Bills!$C$1:$C$1006,$L50)))</f>
        <v>Mackerel</v>
      </c>
      <c r="D50" s="31" t="str">
        <f aca="false">IF($L50="","",IF(INDEX(Bills!$D$1:$D$1006,$L50)="","",INDEX(Bills!$D$1:$D$1006,$L50)))</f>
        <v>Jithin</v>
      </c>
      <c r="E50" s="33" t="n">
        <f aca="false">IF($L50="","",IF(INDEX(Bills!$E$1:$E$1006,$L50)="","",INDEX(Bills!$E$1:$E$1006,$L50)))</f>
        <v>54450</v>
      </c>
      <c r="F50" s="62" t="n">
        <f aca="false">IF($L50="","",INDEX(Bills!$L$1:$L$1006,$L50))</f>
        <v>3000</v>
      </c>
      <c r="G50" s="33" t="n">
        <f aca="false">IF($L50="","",INDEX(Bills!$M$1:$M$1006,$L50))</f>
        <v>51450</v>
      </c>
      <c r="H50" s="34" t="n">
        <f aca="false">IF($L50="","",INDEX(Bills!$N$1:$N$1006,$L50))</f>
        <v>4630500</v>
      </c>
      <c r="L50" s="37" t="n">
        <f aca="false">IFERROR(SMALL(Bills!$R$7:$R$1006,17),"")</f>
        <v>23</v>
      </c>
    </row>
    <row r="51" customFormat="false" ht="12.75" hidden="false" customHeight="true" outlineLevel="0" collapsed="false">
      <c r="A51" s="31" t="str">
        <f aca="false">IF($L51="","",IF(INDEX(Bills!$A$1:$A$1006,$L51)="","",INDEX(Bills!$A$1:$A$1006,$L51)))</f>
        <v>PEI/48/2026-27</v>
      </c>
      <c r="B51" s="61" t="str">
        <f aca="false">IF($L51="","",IF(INDEX(Bills!$B$1:$B$1006,$L51)="","",INDEX(Bills!$B$1:$B$1006,$L51)))</f>
        <v/>
      </c>
      <c r="C51" s="31" t="str">
        <f aca="false">IF($L51="","",IF(INDEX(Bills!$C$1:$C$1006,$L51)="","",INDEX(Bills!$C$1:$C$1006,$L51)))</f>
        <v>KON</v>
      </c>
      <c r="D51" s="31" t="str">
        <f aca="false">IF($L51="","",IF(INDEX(Bills!$D$1:$D$1006,$L51)="","",INDEX(Bills!$D$1:$D$1006,$L51)))</f>
        <v>Kobe</v>
      </c>
      <c r="E51" s="33" t="n">
        <f aca="false">IF($L51="","",IF(INDEX(Bills!$E$1:$E$1006,$L51)="","",INDEX(Bills!$E$1:$E$1006,$L51)))</f>
        <v>122300</v>
      </c>
      <c r="F51" s="62" t="n">
        <f aca="false">IF($L51="","",INDEX(Bills!$L$1:$L$1006,$L51))</f>
        <v>0</v>
      </c>
      <c r="G51" s="33" t="n">
        <f aca="false">IF($L51="","",INDEX(Bills!$M$1:$M$1006,$L51))</f>
        <v>122300</v>
      </c>
      <c r="H51" s="34" t="n">
        <f aca="false">IF($L51="","",INDEX(Bills!$N$1:$N$1006,$L51))</f>
        <v>11007000</v>
      </c>
      <c r="L51" s="37" t="n">
        <f aca="false">IFERROR(SMALL(Bills!$R$7:$R$1006,18),"")</f>
        <v>24</v>
      </c>
    </row>
    <row r="52" customFormat="false" ht="12.75" hidden="false" customHeight="true" outlineLevel="0" collapsed="false">
      <c r="A52" s="31" t="str">
        <f aca="false">IF($L52="","",IF(INDEX(Bills!$A$1:$A$1006,$L52)="","",INDEX(Bills!$A$1:$A$1006,$L52)))</f>
        <v>PEI/49/2026-27</v>
      </c>
      <c r="B52" s="61" t="str">
        <f aca="false">IF($L52="","",IF(INDEX(Bills!$B$1:$B$1006,$L52)="","",INDEX(Bills!$B$1:$B$1006,$L52)))</f>
        <v/>
      </c>
      <c r="C52" s="31" t="str">
        <f aca="false">IF($L52="","",IF(INDEX(Bills!$C$1:$C$1006,$L52)="","",INDEX(Bills!$C$1:$C$1006,$L52)))</f>
        <v>Mackerel</v>
      </c>
      <c r="D52" s="31" t="str">
        <f aca="false">IF($L52="","",IF(INDEX(Bills!$D$1:$D$1006,$L52)="","",INDEX(Bills!$D$1:$D$1006,$L52)))</f>
        <v>Kaustuba, Bombay</v>
      </c>
      <c r="E52" s="33" t="n">
        <f aca="false">IF($L52="","",IF(INDEX(Bills!$E$1:$E$1006,$L52)="","",INDEX(Bills!$E$1:$E$1006,$L52)))</f>
        <v>55600</v>
      </c>
      <c r="F52" s="62" t="n">
        <f aca="false">IF($L52="","",INDEX(Bills!$L$1:$L$1006,$L52))</f>
        <v>0</v>
      </c>
      <c r="G52" s="33" t="n">
        <f aca="false">IF($L52="","",INDEX(Bills!$M$1:$M$1006,$L52))</f>
        <v>55600</v>
      </c>
      <c r="H52" s="34" t="n">
        <f aca="false">IF($L52="","",INDEX(Bills!$N$1:$N$1006,$L52))</f>
        <v>5004000</v>
      </c>
      <c r="L52" s="37" t="n">
        <f aca="false">IFERROR(SMALL(Bills!$R$7:$R$1006,19),"")</f>
        <v>25</v>
      </c>
    </row>
    <row r="53" customFormat="false" ht="12.75" hidden="false" customHeight="true" outlineLevel="0" collapsed="false">
      <c r="A53" s="31" t="str">
        <f aca="false">IF($L53="","",IF(INDEX(Bills!$A$1:$A$1006,$L53)="","",INDEX(Bills!$A$1:$A$1006,$L53)))</f>
        <v>PEI/50/2026-27</v>
      </c>
      <c r="B53" s="61" t="str">
        <f aca="false">IF($L53="","",IF(INDEX(Bills!$B$1:$B$1006,$L53)="","",INDEX(Bills!$B$1:$B$1006,$L53)))</f>
        <v/>
      </c>
      <c r="C53" s="31" t="str">
        <f aca="false">IF($L53="","",IF(INDEX(Bills!$C$1:$C$1006,$L53)="","",INDEX(Bills!$C$1:$C$1006,$L53)))</f>
        <v>Mackerel</v>
      </c>
      <c r="D53" s="31" t="str">
        <f aca="false">IF($L53="","",IF(INDEX(Bills!$D$1:$D$1006,$L53)="","",INDEX(Bills!$D$1:$D$1006,$L53)))</f>
        <v>Irfan</v>
      </c>
      <c r="E53" s="33" t="n">
        <f aca="false">IF($L53="","",IF(INDEX(Bills!$E$1:$E$1006,$L53)="","",INDEX(Bills!$E$1:$E$1006,$L53)))</f>
        <v>57200</v>
      </c>
      <c r="F53" s="62" t="n">
        <f aca="false">IF($L53="","",INDEX(Bills!$L$1:$L$1006,$L53))</f>
        <v>0</v>
      </c>
      <c r="G53" s="33" t="n">
        <f aca="false">IF($L53="","",INDEX(Bills!$M$1:$M$1006,$L53))</f>
        <v>57200</v>
      </c>
      <c r="H53" s="34" t="n">
        <f aca="false">IF($L53="","",INDEX(Bills!$N$1:$N$1006,$L53))</f>
        <v>5148000</v>
      </c>
      <c r="L53" s="37" t="n">
        <f aca="false">IFERROR(SMALL(Bills!$R$7:$R$1006,20),"")</f>
        <v>26</v>
      </c>
    </row>
    <row r="54" customFormat="false" ht="12.75" hidden="false" customHeight="true" outlineLevel="0" collapsed="false">
      <c r="A54" s="31" t="str">
        <f aca="false">IF($L54="","",IF(INDEX(Bills!$A$1:$A$1006,$L54)="","",INDEX(Bills!$A$1:$A$1006,$L54)))</f>
        <v>PEI/51/2026-27</v>
      </c>
      <c r="B54" s="61" t="str">
        <f aca="false">IF($L54="","",IF(INDEX(Bills!$B$1:$B$1006,$L54)="","",INDEX(Bills!$B$1:$B$1006,$L54)))</f>
        <v/>
      </c>
      <c r="C54" s="31" t="str">
        <f aca="false">IF($L54="","",IF(INDEX(Bills!$C$1:$C$1006,$L54)="","",INDEX(Bills!$C$1:$C$1006,$L54)))</f>
        <v>Mackerel</v>
      </c>
      <c r="D54" s="31" t="str">
        <f aca="false">IF($L54="","",IF(INDEX(Bills!$D$1:$D$1006,$L54)="","",INDEX(Bills!$D$1:$D$1006,$L54)))</f>
        <v>Aneesh</v>
      </c>
      <c r="E54" s="33" t="n">
        <f aca="false">IF($L54="","",IF(INDEX(Bills!$E$1:$E$1006,$L54)="","",INDEX(Bills!$E$1:$E$1006,$L54)))</f>
        <v>52701.5</v>
      </c>
      <c r="F54" s="62" t="n">
        <f aca="false">IF($L54="","",INDEX(Bills!$L$1:$L$1006,$L54))</f>
        <v>0</v>
      </c>
      <c r="G54" s="33" t="n">
        <f aca="false">IF($L54="","",INDEX(Bills!$M$1:$M$1006,$L54))</f>
        <v>52701.5</v>
      </c>
      <c r="H54" s="34" t="n">
        <f aca="false">IF($L54="","",INDEX(Bills!$N$1:$N$1006,$L54))</f>
        <v>4743135</v>
      </c>
      <c r="L54" s="37" t="n">
        <f aca="false">IFERROR(SMALL(Bills!$R$7:$R$1006,21),"")</f>
        <v>27</v>
      </c>
    </row>
    <row r="55" customFormat="false" ht="12.75" hidden="false" customHeight="true" outlineLevel="0" collapsed="false">
      <c r="A55" s="31" t="str">
        <f aca="false">IF($L55="","",IF(INDEX(Bills!$A$1:$A$1006,$L55)="","",INDEX(Bills!$A$1:$A$1006,$L55)))</f>
        <v>PEI/52/2026-27</v>
      </c>
      <c r="B55" s="61" t="str">
        <f aca="false">IF($L55="","",IF(INDEX(Bills!$B$1:$B$1006,$L55)="","",INDEX(Bills!$B$1:$B$1006,$L55)))</f>
        <v/>
      </c>
      <c r="C55" s="31" t="str">
        <f aca="false">IF($L55="","",IF(INDEX(Bills!$C$1:$C$1006,$L55)="","",INDEX(Bills!$C$1:$C$1006,$L55)))</f>
        <v>Mackerel</v>
      </c>
      <c r="D55" s="31" t="str">
        <f aca="false">IF($L55="","",IF(INDEX(Bills!$D$1:$D$1006,$L55)="","",INDEX(Bills!$D$1:$D$1006,$L55)))</f>
        <v>Ramiz</v>
      </c>
      <c r="E55" s="33" t="n">
        <f aca="false">IF($L55="","",IF(INDEX(Bills!$E$1:$E$1006,$L55)="","",INDEX(Bills!$E$1:$E$1006,$L55)))</f>
        <v>57970</v>
      </c>
      <c r="F55" s="62" t="n">
        <f aca="false">IF($L55="","",INDEX(Bills!$L$1:$L$1006,$L55))</f>
        <v>5000</v>
      </c>
      <c r="G55" s="33" t="n">
        <f aca="false">IF($L55="","",INDEX(Bills!$M$1:$M$1006,$L55))</f>
        <v>52970</v>
      </c>
      <c r="H55" s="34" t="n">
        <f aca="false">IF($L55="","",INDEX(Bills!$N$1:$N$1006,$L55))</f>
        <v>4767300</v>
      </c>
      <c r="L55" s="37" t="n">
        <f aca="false">IFERROR(SMALL(Bills!$R$7:$R$1006,22),"")</f>
        <v>28</v>
      </c>
    </row>
    <row r="56" customFormat="false" ht="12.75" hidden="false" customHeight="true" outlineLevel="0" collapsed="false">
      <c r="A56" s="31" t="str">
        <f aca="false">IF($L56="","",IF(INDEX(Bills!$A$1:$A$1006,$L56)="","",INDEX(Bills!$A$1:$A$1006,$L56)))</f>
        <v>PEI/53/2026-27</v>
      </c>
      <c r="B56" s="61" t="str">
        <f aca="false">IF($L56="","",IF(INDEX(Bills!$B$1:$B$1006,$L56)="","",INDEX(Bills!$B$1:$B$1006,$L56)))</f>
        <v/>
      </c>
      <c r="C56" s="31" t="str">
        <f aca="false">IF($L56="","",IF(INDEX(Bills!$C$1:$C$1006,$L56)="","",INDEX(Bills!$C$1:$C$1006,$L56)))</f>
        <v>Mackerel</v>
      </c>
      <c r="D56" s="31" t="str">
        <f aca="false">IF($L56="","",IF(INDEX(Bills!$D$1:$D$1006,$L56)="","",INDEX(Bills!$D$1:$D$1006,$L56)))</f>
        <v>Jithin</v>
      </c>
      <c r="E56" s="33" t="n">
        <f aca="false">IF($L56="","",IF(INDEX(Bills!$E$1:$E$1006,$L56)="","",INDEX(Bills!$E$1:$E$1006,$L56)))</f>
        <v>55600</v>
      </c>
      <c r="F56" s="62" t="n">
        <f aca="false">IF($L56="","",INDEX(Bills!$L$1:$L$1006,$L56))</f>
        <v>3000</v>
      </c>
      <c r="G56" s="33" t="n">
        <f aca="false">IF($L56="","",INDEX(Bills!$M$1:$M$1006,$L56))</f>
        <v>52600</v>
      </c>
      <c r="H56" s="34" t="n">
        <f aca="false">IF($L56="","",INDEX(Bills!$N$1:$N$1006,$L56))</f>
        <v>4734000</v>
      </c>
      <c r="L56" s="37" t="n">
        <f aca="false">IFERROR(SMALL(Bills!$R$7:$R$1006,23),"")</f>
        <v>29</v>
      </c>
    </row>
    <row r="57" customFormat="false" ht="12.75" hidden="false" customHeight="true" outlineLevel="0" collapsed="false">
      <c r="A57" s="31" t="str">
        <f aca="false">IF($L57="","",IF(INDEX(Bills!$A$1:$A$1006,$L57)="","",INDEX(Bills!$A$1:$A$1006,$L57)))</f>
        <v/>
      </c>
      <c r="B57" s="61" t="str">
        <f aca="false">IF($L57="","",IF(INDEX(Bills!$B$1:$B$1006,$L57)="","",INDEX(Bills!$B$1:$B$1006,$L57)))</f>
        <v/>
      </c>
      <c r="C57" s="31" t="str">
        <f aca="false">IF($L57="","",IF(INDEX(Bills!$C$1:$C$1006,$L57)="","",INDEX(Bills!$C$1:$C$1006,$L57)))</f>
        <v/>
      </c>
      <c r="D57" s="31" t="str">
        <f aca="false">IF($L57="","",IF(INDEX(Bills!$D$1:$D$1006,$L57)="","",INDEX(Bills!$D$1:$D$1006,$L57)))</f>
        <v/>
      </c>
      <c r="E57" s="33" t="str">
        <f aca="false">IF($L57="","",IF(INDEX(Bills!$E$1:$E$1006,$L57)="","",INDEX(Bills!$E$1:$E$1006,$L57)))</f>
        <v/>
      </c>
      <c r="F57" s="62" t="str">
        <f aca="false">IF($L57="","",INDEX(Bills!$L$1:$L$1006,$L57))</f>
        <v/>
      </c>
      <c r="G57" s="33" t="str">
        <f aca="false">IF($L57="","",INDEX(Bills!$M$1:$M$1006,$L57))</f>
        <v/>
      </c>
      <c r="H57" s="34" t="str">
        <f aca="false">IF($L57="","",INDEX(Bills!$N$1:$N$1006,$L57))</f>
        <v/>
      </c>
      <c r="L57" s="0" t="str">
        <f aca="false">IFERROR(SMALL(Bills!$R$7:$R$1006,24),"")</f>
        <v/>
      </c>
    </row>
    <row r="58" customFormat="false" ht="12.75" hidden="false" customHeight="true" outlineLevel="0" collapsed="false">
      <c r="A58" s="31" t="str">
        <f aca="false">IF($L58="","",IF(INDEX(Bills!$A$1:$A$1006,$L58)="","",INDEX(Bills!$A$1:$A$1006,$L58)))</f>
        <v/>
      </c>
      <c r="B58" s="61" t="str">
        <f aca="false">IF($L58="","",IF(INDEX(Bills!$B$1:$B$1006,$L58)="","",INDEX(Bills!$B$1:$B$1006,$L58)))</f>
        <v/>
      </c>
      <c r="C58" s="31" t="str">
        <f aca="false">IF($L58="","",IF(INDEX(Bills!$C$1:$C$1006,$L58)="","",INDEX(Bills!$C$1:$C$1006,$L58)))</f>
        <v/>
      </c>
      <c r="D58" s="31" t="str">
        <f aca="false">IF($L58="","",IF(INDEX(Bills!$D$1:$D$1006,$L58)="","",INDEX(Bills!$D$1:$D$1006,$L58)))</f>
        <v/>
      </c>
      <c r="E58" s="33" t="str">
        <f aca="false">IF($L58="","",IF(INDEX(Bills!$E$1:$E$1006,$L58)="","",INDEX(Bills!$E$1:$E$1006,$L58)))</f>
        <v/>
      </c>
      <c r="F58" s="62" t="str">
        <f aca="false">IF($L58="","",INDEX(Bills!$L$1:$L$1006,$L58))</f>
        <v/>
      </c>
      <c r="G58" s="33" t="str">
        <f aca="false">IF($L58="","",INDEX(Bills!$M$1:$M$1006,$L58))</f>
        <v/>
      </c>
      <c r="H58" s="34" t="str">
        <f aca="false">IF($L58="","",INDEX(Bills!$N$1:$N$1006,$L58))</f>
        <v/>
      </c>
      <c r="L58" s="0" t="str">
        <f aca="false">IFERROR(SMALL(Bills!$R$7:$R$1006,25),"")</f>
        <v/>
      </c>
    </row>
    <row r="59" customFormat="false" ht="12.75" hidden="false" customHeight="true" outlineLevel="0" collapsed="false">
      <c r="A59" s="31" t="str">
        <f aca="false">IF($L59="","",IF(INDEX(Bills!$A$1:$A$1006,$L59)="","",INDEX(Bills!$A$1:$A$1006,$L59)))</f>
        <v/>
      </c>
      <c r="B59" s="61" t="str">
        <f aca="false">IF($L59="","",IF(INDEX(Bills!$B$1:$B$1006,$L59)="","",INDEX(Bills!$B$1:$B$1006,$L59)))</f>
        <v/>
      </c>
      <c r="C59" s="31" t="str">
        <f aca="false">IF($L59="","",IF(INDEX(Bills!$C$1:$C$1006,$L59)="","",INDEX(Bills!$C$1:$C$1006,$L59)))</f>
        <v/>
      </c>
      <c r="D59" s="31" t="str">
        <f aca="false">IF($L59="","",IF(INDEX(Bills!$D$1:$D$1006,$L59)="","",INDEX(Bills!$D$1:$D$1006,$L59)))</f>
        <v/>
      </c>
      <c r="E59" s="33" t="str">
        <f aca="false">IF($L59="","",IF(INDEX(Bills!$E$1:$E$1006,$L59)="","",INDEX(Bills!$E$1:$E$1006,$L59)))</f>
        <v/>
      </c>
      <c r="F59" s="62" t="str">
        <f aca="false">IF($L59="","",INDEX(Bills!$L$1:$L$1006,$L59))</f>
        <v/>
      </c>
      <c r="G59" s="33" t="str">
        <f aca="false">IF($L59="","",INDEX(Bills!$M$1:$M$1006,$L59))</f>
        <v/>
      </c>
      <c r="H59" s="34" t="str">
        <f aca="false">IF($L59="","",INDEX(Bills!$N$1:$N$1006,$L59))</f>
        <v/>
      </c>
      <c r="L59" s="0" t="str">
        <f aca="false">IFERROR(SMALL(Bills!$R$7:$R$1006,26),"")</f>
        <v/>
      </c>
    </row>
    <row r="60" customFormat="false" ht="12.75" hidden="false" customHeight="true" outlineLevel="0" collapsed="false">
      <c r="A60" s="31" t="str">
        <f aca="false">IF($L60="","",IF(INDEX(Bills!$A$1:$A$1006,$L60)="","",INDEX(Bills!$A$1:$A$1006,$L60)))</f>
        <v/>
      </c>
      <c r="B60" s="61" t="str">
        <f aca="false">IF($L60="","",IF(INDEX(Bills!$B$1:$B$1006,$L60)="","",INDEX(Bills!$B$1:$B$1006,$L60)))</f>
        <v/>
      </c>
      <c r="C60" s="31" t="str">
        <f aca="false">IF($L60="","",IF(INDEX(Bills!$C$1:$C$1006,$L60)="","",INDEX(Bills!$C$1:$C$1006,$L60)))</f>
        <v/>
      </c>
      <c r="D60" s="31" t="str">
        <f aca="false">IF($L60="","",IF(INDEX(Bills!$D$1:$D$1006,$L60)="","",INDEX(Bills!$D$1:$D$1006,$L60)))</f>
        <v/>
      </c>
      <c r="E60" s="33" t="str">
        <f aca="false">IF($L60="","",IF(INDEX(Bills!$E$1:$E$1006,$L60)="","",INDEX(Bills!$E$1:$E$1006,$L60)))</f>
        <v/>
      </c>
      <c r="F60" s="62" t="str">
        <f aca="false">IF($L60="","",INDEX(Bills!$L$1:$L$1006,$L60))</f>
        <v/>
      </c>
      <c r="G60" s="33" t="str">
        <f aca="false">IF($L60="","",INDEX(Bills!$M$1:$M$1006,$L60))</f>
        <v/>
      </c>
      <c r="H60" s="34" t="str">
        <f aca="false">IF($L60="","",INDEX(Bills!$N$1:$N$1006,$L60))</f>
        <v/>
      </c>
      <c r="L60" s="0" t="str">
        <f aca="false">IFERROR(SMALL(Bills!$R$7:$R$1006,27),"")</f>
        <v/>
      </c>
    </row>
    <row r="61" customFormat="false" ht="12.75" hidden="false" customHeight="true" outlineLevel="0" collapsed="false">
      <c r="A61" s="31" t="str">
        <f aca="false">IF($L61="","",IF(INDEX(Bills!$A$1:$A$1006,$L61)="","",INDEX(Bills!$A$1:$A$1006,$L61)))</f>
        <v/>
      </c>
      <c r="B61" s="61" t="str">
        <f aca="false">IF($L61="","",IF(INDEX(Bills!$B$1:$B$1006,$L61)="","",INDEX(Bills!$B$1:$B$1006,$L61)))</f>
        <v/>
      </c>
      <c r="C61" s="31" t="str">
        <f aca="false">IF($L61="","",IF(INDEX(Bills!$C$1:$C$1006,$L61)="","",INDEX(Bills!$C$1:$C$1006,$L61)))</f>
        <v/>
      </c>
      <c r="D61" s="31" t="str">
        <f aca="false">IF($L61="","",IF(INDEX(Bills!$D$1:$D$1006,$L61)="","",INDEX(Bills!$D$1:$D$1006,$L61)))</f>
        <v/>
      </c>
      <c r="E61" s="33" t="str">
        <f aca="false">IF($L61="","",IF(INDEX(Bills!$E$1:$E$1006,$L61)="","",INDEX(Bills!$E$1:$E$1006,$L61)))</f>
        <v/>
      </c>
      <c r="F61" s="62" t="str">
        <f aca="false">IF($L61="","",INDEX(Bills!$L$1:$L$1006,$L61))</f>
        <v/>
      </c>
      <c r="G61" s="33" t="str">
        <f aca="false">IF($L61="","",INDEX(Bills!$M$1:$M$1006,$L61))</f>
        <v/>
      </c>
      <c r="H61" s="34" t="str">
        <f aca="false">IF($L61="","",INDEX(Bills!$N$1:$N$1006,$L61))</f>
        <v/>
      </c>
      <c r="L61" s="0" t="str">
        <f aca="false">IFERROR(SMALL(Bills!$R$7:$R$1006,28),"")</f>
        <v/>
      </c>
    </row>
    <row r="62" customFormat="false" ht="12.75" hidden="false" customHeight="true" outlineLevel="0" collapsed="false">
      <c r="A62" s="31" t="str">
        <f aca="false">IF($L62="","",IF(INDEX(Bills!$A$1:$A$1006,$L62)="","",INDEX(Bills!$A$1:$A$1006,$L62)))</f>
        <v/>
      </c>
      <c r="B62" s="61" t="str">
        <f aca="false">IF($L62="","",IF(INDEX(Bills!$B$1:$B$1006,$L62)="","",INDEX(Bills!$B$1:$B$1006,$L62)))</f>
        <v/>
      </c>
      <c r="C62" s="31" t="str">
        <f aca="false">IF($L62="","",IF(INDEX(Bills!$C$1:$C$1006,$L62)="","",INDEX(Bills!$C$1:$C$1006,$L62)))</f>
        <v/>
      </c>
      <c r="D62" s="31" t="str">
        <f aca="false">IF($L62="","",IF(INDEX(Bills!$D$1:$D$1006,$L62)="","",INDEX(Bills!$D$1:$D$1006,$L62)))</f>
        <v/>
      </c>
      <c r="E62" s="33" t="str">
        <f aca="false">IF($L62="","",IF(INDEX(Bills!$E$1:$E$1006,$L62)="","",INDEX(Bills!$E$1:$E$1006,$L62)))</f>
        <v/>
      </c>
      <c r="F62" s="62" t="str">
        <f aca="false">IF($L62="","",INDEX(Bills!$L$1:$L$1006,$L62))</f>
        <v/>
      </c>
      <c r="G62" s="33" t="str">
        <f aca="false">IF($L62="","",INDEX(Bills!$M$1:$M$1006,$L62))</f>
        <v/>
      </c>
      <c r="H62" s="34" t="str">
        <f aca="false">IF($L62="","",INDEX(Bills!$N$1:$N$1006,$L62))</f>
        <v/>
      </c>
      <c r="L62" s="0" t="str">
        <f aca="false">IFERROR(SMALL(Bills!$R$7:$R$1006,29),"")</f>
        <v/>
      </c>
    </row>
    <row r="63" customFormat="false" ht="12.75" hidden="false" customHeight="true" outlineLevel="0" collapsed="false">
      <c r="A63" s="31" t="str">
        <f aca="false">IF($L63="","",IF(INDEX(Bills!$A$1:$A$1006,$L63)="","",INDEX(Bills!$A$1:$A$1006,$L63)))</f>
        <v/>
      </c>
      <c r="B63" s="61" t="str">
        <f aca="false">IF($L63="","",IF(INDEX(Bills!$B$1:$B$1006,$L63)="","",INDEX(Bills!$B$1:$B$1006,$L63)))</f>
        <v/>
      </c>
      <c r="C63" s="31" t="str">
        <f aca="false">IF($L63="","",IF(INDEX(Bills!$C$1:$C$1006,$L63)="","",INDEX(Bills!$C$1:$C$1006,$L63)))</f>
        <v/>
      </c>
      <c r="D63" s="31" t="str">
        <f aca="false">IF($L63="","",IF(INDEX(Bills!$D$1:$D$1006,$L63)="","",INDEX(Bills!$D$1:$D$1006,$L63)))</f>
        <v/>
      </c>
      <c r="E63" s="33" t="str">
        <f aca="false">IF($L63="","",IF(INDEX(Bills!$E$1:$E$1006,$L63)="","",INDEX(Bills!$E$1:$E$1006,$L63)))</f>
        <v/>
      </c>
      <c r="F63" s="62" t="str">
        <f aca="false">IF($L63="","",INDEX(Bills!$L$1:$L$1006,$L63))</f>
        <v/>
      </c>
      <c r="G63" s="33" t="str">
        <f aca="false">IF($L63="","",INDEX(Bills!$M$1:$M$1006,$L63))</f>
        <v/>
      </c>
      <c r="H63" s="34" t="str">
        <f aca="false">IF($L63="","",INDEX(Bills!$N$1:$N$1006,$L63))</f>
        <v/>
      </c>
      <c r="L63" s="0" t="str">
        <f aca="false">IFERROR(SMALL(Bills!$R$7:$R$1006,30),"")</f>
        <v/>
      </c>
    </row>
    <row r="64" customFormat="false" ht="12.75" hidden="false" customHeight="true" outlineLevel="0" collapsed="false">
      <c r="A64" s="31" t="str">
        <f aca="false">IF($L64="","",IF(INDEX(Bills!$A$1:$A$1006,$L64)="","",INDEX(Bills!$A$1:$A$1006,$L64)))</f>
        <v/>
      </c>
      <c r="B64" s="61" t="str">
        <f aca="false">IF($L64="","",IF(INDEX(Bills!$B$1:$B$1006,$L64)="","",INDEX(Bills!$B$1:$B$1006,$L64)))</f>
        <v/>
      </c>
      <c r="C64" s="31" t="str">
        <f aca="false">IF($L64="","",IF(INDEX(Bills!$C$1:$C$1006,$L64)="","",INDEX(Bills!$C$1:$C$1006,$L64)))</f>
        <v/>
      </c>
      <c r="D64" s="31" t="str">
        <f aca="false">IF($L64="","",IF(INDEX(Bills!$D$1:$D$1006,$L64)="","",INDEX(Bills!$D$1:$D$1006,$L64)))</f>
        <v/>
      </c>
      <c r="E64" s="33" t="str">
        <f aca="false">IF($L64="","",IF(INDEX(Bills!$E$1:$E$1006,$L64)="","",INDEX(Bills!$E$1:$E$1006,$L64)))</f>
        <v/>
      </c>
      <c r="F64" s="62" t="str">
        <f aca="false">IF($L64="","",INDEX(Bills!$L$1:$L$1006,$L64))</f>
        <v/>
      </c>
      <c r="G64" s="33" t="str">
        <f aca="false">IF($L64="","",INDEX(Bills!$M$1:$M$1006,$L64))</f>
        <v/>
      </c>
      <c r="H64" s="34" t="str">
        <f aca="false">IF($L64="","",INDEX(Bills!$N$1:$N$1006,$L64))</f>
        <v/>
      </c>
      <c r="L64" s="0" t="str">
        <f aca="false">IFERROR(SMALL(Bills!$R$7:$R$1006,31),"")</f>
        <v/>
      </c>
    </row>
    <row r="65" customFormat="false" ht="12.75" hidden="false" customHeight="true" outlineLevel="0" collapsed="false">
      <c r="A65" s="31" t="str">
        <f aca="false">IF($L65="","",IF(INDEX(Bills!$A$1:$A$1006,$L65)="","",INDEX(Bills!$A$1:$A$1006,$L65)))</f>
        <v/>
      </c>
      <c r="B65" s="61" t="str">
        <f aca="false">IF($L65="","",IF(INDEX(Bills!$B$1:$B$1006,$L65)="","",INDEX(Bills!$B$1:$B$1006,$L65)))</f>
        <v/>
      </c>
      <c r="C65" s="31" t="str">
        <f aca="false">IF($L65="","",IF(INDEX(Bills!$C$1:$C$1006,$L65)="","",INDEX(Bills!$C$1:$C$1006,$L65)))</f>
        <v/>
      </c>
      <c r="D65" s="31" t="str">
        <f aca="false">IF($L65="","",IF(INDEX(Bills!$D$1:$D$1006,$L65)="","",INDEX(Bills!$D$1:$D$1006,$L65)))</f>
        <v/>
      </c>
      <c r="E65" s="33" t="str">
        <f aca="false">IF($L65="","",IF(INDEX(Bills!$E$1:$E$1006,$L65)="","",INDEX(Bills!$E$1:$E$1006,$L65)))</f>
        <v/>
      </c>
      <c r="F65" s="62" t="str">
        <f aca="false">IF($L65="","",INDEX(Bills!$L$1:$L$1006,$L65))</f>
        <v/>
      </c>
      <c r="G65" s="33" t="str">
        <f aca="false">IF($L65="","",INDEX(Bills!$M$1:$M$1006,$L65))</f>
        <v/>
      </c>
      <c r="H65" s="34" t="str">
        <f aca="false">IF($L65="","",INDEX(Bills!$N$1:$N$1006,$L65))</f>
        <v/>
      </c>
      <c r="L65" s="0" t="str">
        <f aca="false">IFERROR(SMALL(Bills!$R$7:$R$1006,32),"")</f>
        <v/>
      </c>
    </row>
    <row r="66" customFormat="false" ht="15" hidden="false" customHeight="false" outlineLevel="0" collapsed="false">
      <c r="A66" s="56" t="str">
        <f aca="false">IF(COUNT(Bills!$R$7:$R$1006)&gt;32,"Note: "&amp;(COUNT(Bills!$R$7:$R$1006)-32)&amp;" more bills on hand are not listed here — they are in the totals and on the Bills sheet.","")</f>
        <v/>
      </c>
      <c r="B66" s="56"/>
      <c r="C66" s="56"/>
      <c r="D66" s="56"/>
      <c r="E66" s="56"/>
      <c r="F66" s="56"/>
      <c r="G66" s="56"/>
      <c r="H66" s="56"/>
    </row>
    <row r="67" customFormat="false" ht="21.75" hidden="false" customHeight="true" outlineLevel="0" collapsed="false">
      <c r="A67" s="63" t="str">
        <f aca="false">"Balance = amount − advance − realised. A bill leaves this page once realised or cancelled; every bill stays on the Bills sheet. Red: over 90 days. Rupees at ₹ "&amp;IF(FX="","—",TEXT(FX,"0.00"))&amp;" per US$, as at "&amp;TEXT(AsAt,"dd/mm/yyyy")&amp;"."</f>
        <v>Balance = amount − advance − realised. A bill leaves this page once realised or cancelled; every bill stays on the Bills sheet. Red: over 90 days. Rupees at ₹ 90.00 per US$, as at 03/10/2026.</v>
      </c>
      <c r="B67" s="63"/>
      <c r="C67" s="63"/>
      <c r="D67" s="63"/>
      <c r="E67" s="63"/>
      <c r="F67" s="63"/>
      <c r="G67" s="63"/>
      <c r="H67" s="63"/>
    </row>
  </sheetData>
  <sheetProtection sheet="true" password="df10" objects="true" scenarios="true" autoFilter="false"/>
  <mergeCells count="25">
    <mergeCell ref="E1:H1"/>
    <mergeCell ref="E2:H2"/>
    <mergeCell ref="E3:H3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H11"/>
    <mergeCell ref="A13:E13"/>
    <mergeCell ref="F13:H13"/>
    <mergeCell ref="F22:H22"/>
    <mergeCell ref="F28:G28"/>
    <mergeCell ref="A29:H29"/>
    <mergeCell ref="A31:H31"/>
    <mergeCell ref="A33:D33"/>
    <mergeCell ref="A66:H66"/>
    <mergeCell ref="A67:H67"/>
  </mergeCells>
  <conditionalFormatting sqref="A15:E26">
    <cfRule type="expression" priority="2" aboveAverage="0" equalAverage="0" bottom="0" percent="0" rank="0" text="" dxfId="0">
      <formula>AND($J15&lt;&gt;"",MOD(ROW(),2)=0)</formula>
    </cfRule>
  </conditionalFormatting>
  <conditionalFormatting sqref="E15:E26">
    <cfRule type="dataBar" priority="3">
      <dataBar showValue="1" minLength="0" maxLength="100">
        <cfvo type="num" val="0"/>
        <cfvo type="max" val="0"/>
        <color rgb="FFA9D3E3"/>
      </dataBar>
      <extLst>
        <ext xmlns:x14="http://schemas.microsoft.com/office/spreadsheetml/2009/9/main" uri="{B025F937-C7B1-47D3-B67F-A62EFF666E3E}">
          <x14:id>{53E4C231-5A4D-4664-9AE0-E175888C4F82}</x14:id>
        </ext>
      </extLst>
    </cfRule>
  </conditionalFormatting>
  <conditionalFormatting sqref="H18">
    <cfRule type="expression" priority="4" aboveAverage="0" equalAverage="0" bottom="0" percent="0" rank="0" text="" dxfId="1">
      <formula>H18&gt;0</formula>
    </cfRule>
  </conditionalFormatting>
  <conditionalFormatting sqref="F24:H27">
    <cfRule type="expression" priority="5" aboveAverage="0" equalAverage="0" bottom="0" percent="0" rank="0" text="" dxfId="0">
      <formula>AND($K24&lt;&gt;"",MOD(ROW(),2)=0)</formula>
    </cfRule>
  </conditionalFormatting>
  <conditionalFormatting sqref="A34:H65">
    <cfRule type="expression" priority="6" aboveAverage="0" equalAverage="0" bottom="0" percent="0" rank="0" text="" dxfId="0">
      <formula>AND($L34&lt;&gt;"",MOD(ROW(),2)=0)</formula>
    </cfRule>
    <cfRule type="expression" priority="7" aboveAverage="0" equalAverage="0" bottom="0" percent="0" rank="0" text="" dxfId="2">
      <formula>AND($L34&lt;&gt;"",INDEX(Bills!$P$1:$P$1006,$L34)&lt;&gt;"",INDEX(Bills!$P$1:$P$1006,$L34)&gt;90)</formula>
    </cfRule>
  </conditionalFormatting>
  <dataValidations count="2">
    <dataValidation allowBlank="false" error="Enter a date" errorStyle="stop" operator="between" showDropDown="false" showErrorMessage="true" showInputMessage="false" sqref="H5" type="date">
      <formula1>DATE(2020,1,1)</formula1>
      <formula2>DATE(2040,12,31)</formula2>
    </dataValidation>
    <dataValidation allowBlank="false" error="Enter the rupee value of one US dollar" errorStyle="stop" operator="between" showDropDown="false" showErrorMessage="true" showInputMessage="false" sqref="H6" type="decimal">
      <formula1>1</formula1>
      <formula2>1000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E4C231-5A4D-4664-9AE0-E175888C4F82}">
            <x14:dataBar minLength="0" maxLength="100" axisPosition="none" gradient="0">
              <x14:cfvo type="num">
                <xm:f>0</xm:f>
              </x14:cfvo>
              <x14:cfvo type="max"/>
              <x14:negativeFillColor rgb="FFA9D3E3"/>
              <x14:axisColor rgb="FF000000"/>
            </x14:dataBar>
          </x14:cfRule>
          <xm:sqref>E15:E26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82" width="17"/>
    <col collapsed="false" customWidth="true" hidden="false" outlineLevel="0" max="2" min="2" style="83" width="11"/>
    <col collapsed="false" customWidth="true" hidden="false" outlineLevel="0" max="3" min="3" style="84" width="12"/>
    <col collapsed="false" customWidth="true" hidden="false" outlineLevel="0" max="4" min="4" style="85" width="18"/>
    <col collapsed="false" customWidth="true" hidden="false" outlineLevel="0" max="6" min="5" style="86" width="13"/>
    <col collapsed="false" customWidth="true" hidden="false" outlineLevel="0" max="7" min="7" style="87" width="11"/>
    <col collapsed="false" customWidth="true" hidden="false" outlineLevel="0" max="8" min="8" style="88" width="13"/>
    <col collapsed="false" customWidth="true" hidden="false" outlineLevel="0" max="10" min="9" style="89" width="11"/>
    <col collapsed="false" customWidth="true" hidden="false" outlineLevel="0" max="11" min="11" style="90" width="2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7"/>
    <col collapsed="false" customWidth="true" hidden="false" outlineLevel="0" max="17" min="17" style="0" width="14"/>
    <col collapsed="false" customWidth="true" hidden="true" outlineLevel="0" max="26" min="18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65" t="str">
        <f aca="false">"As at "&amp;TEXT(AsAt,"dd/mm/yyyy")&amp;"   ·   US$ → ₹ "&amp;IF(FX="","not set",TEXT(FX,"0.00"))&amp;"   ·   On hand: "&amp;COUNT(Bills!$R$7:$R$1006)&amp;" bills, US$ "&amp;TEXT(SUM(Bills!$T$7:$T$1006),"#,##0.00")&amp;"   (set the date and rate on Summary)"</f>
        <v>As at 03/10/2026   ·   US$ → ₹ 90.00   ·   On hand: 23 bills, US$ 1,370,573.98   (set the date and rate on Summary)</v>
      </c>
    </row>
    <row r="4" customFormat="false" ht="15" hidden="false" customHeight="false" outlineLevel="0" collapsed="false">
      <c r="A4" s="46" t="s">
        <v>75</v>
      </c>
    </row>
    <row r="5" customFormat="false" ht="15" hidden="false" customHeight="false" outlineLevel="0" collapsed="false">
      <c r="A5" s="66" t="s">
        <v>76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7" t="s">
        <v>77</v>
      </c>
      <c r="M5" s="67"/>
      <c r="N5" s="67"/>
      <c r="O5" s="67"/>
      <c r="P5" s="67"/>
      <c r="Q5" s="67"/>
    </row>
    <row r="6" customFormat="false" ht="30" hidden="false" customHeight="true" outlineLevel="0" collapsed="false">
      <c r="A6" s="68" t="s">
        <v>69</v>
      </c>
      <c r="B6" s="69" t="s">
        <v>78</v>
      </c>
      <c r="C6" s="70" t="s">
        <v>71</v>
      </c>
      <c r="D6" s="70" t="s">
        <v>54</v>
      </c>
      <c r="E6" s="69" t="s">
        <v>72</v>
      </c>
      <c r="F6" s="69" t="s">
        <v>79</v>
      </c>
      <c r="G6" s="69" t="s">
        <v>80</v>
      </c>
      <c r="H6" s="69" t="s">
        <v>81</v>
      </c>
      <c r="I6" s="69" t="s">
        <v>82</v>
      </c>
      <c r="J6" s="70" t="s">
        <v>83</v>
      </c>
      <c r="K6" s="70" t="s">
        <v>84</v>
      </c>
      <c r="L6" s="69" t="s">
        <v>73</v>
      </c>
      <c r="M6" s="69" t="s">
        <v>56</v>
      </c>
      <c r="N6" s="69" t="s">
        <v>57</v>
      </c>
      <c r="O6" s="70" t="s">
        <v>85</v>
      </c>
      <c r="P6" s="69" t="s">
        <v>86</v>
      </c>
      <c r="Q6" s="70" t="s">
        <v>87</v>
      </c>
      <c r="R6" s="69" t="s">
        <v>88</v>
      </c>
      <c r="S6" s="69" t="s">
        <v>89</v>
      </c>
      <c r="T6" s="69" t="s">
        <v>90</v>
      </c>
      <c r="U6" s="69" t="s">
        <v>91</v>
      </c>
      <c r="V6" s="69" t="s">
        <v>92</v>
      </c>
      <c r="W6" s="69" t="s">
        <v>93</v>
      </c>
      <c r="X6" s="69" t="s">
        <v>94</v>
      </c>
      <c r="Y6" s="69" t="s">
        <v>95</v>
      </c>
      <c r="Z6" s="69" t="s">
        <v>96</v>
      </c>
    </row>
    <row r="7" customFormat="false" ht="15" hidden="false" customHeight="false" outlineLevel="0" collapsed="false">
      <c r="A7" s="71" t="s">
        <v>97</v>
      </c>
      <c r="B7" s="72"/>
      <c r="C7" s="73" t="s">
        <v>98</v>
      </c>
      <c r="D7" s="73" t="s">
        <v>99</v>
      </c>
      <c r="E7" s="74" t="n">
        <v>82360</v>
      </c>
      <c r="F7" s="74"/>
      <c r="G7" s="72"/>
      <c r="H7" s="74"/>
      <c r="I7" s="72"/>
      <c r="J7" s="73"/>
      <c r="K7" s="73"/>
      <c r="L7" s="75" t="n">
        <f aca="false">IF(OR($A7&lt;&gt;"",$E7&lt;&gt;""),N($F7)+N($H7),"")</f>
        <v>0</v>
      </c>
      <c r="M7" s="76" t="n">
        <f aca="false">IF(OR($O7="",$O7="Cancelled",$O7="Amount missing"),"",IF($O7="Realised",0,$E7-N($F7)-N($H7)))</f>
        <v>82360</v>
      </c>
      <c r="N7" s="77" t="n">
        <f aca="false">IF(OR($M7="",FX=""),"",$M7*FX)</f>
        <v>7412400</v>
      </c>
      <c r="O7" s="78" t="str">
        <f aca="false">IF(NOT(OR($A7&lt;&gt;"",$E7&lt;&gt;"")),"",IF($J7="Cancelled","Cancelled",IF($E7="","Amount missing",IF(OR($J7="Settled",$E7-N($F7)-N($H7)&lt;=0.005),"Realised",IF(N($H7)&gt;0,"Part realised",IF(N($F7)&gt;0,"Advance received","On hand"))))))</f>
        <v>On hand</v>
      </c>
      <c r="P7" s="79" t="str">
        <f aca="false">IF(AND($V7=1,ISNUMBER($B7)),AsAt-$B7,"")</f>
        <v/>
      </c>
      <c r="Q7" s="78" t="str">
        <f aca="false">IF($V7&lt;&gt;1,"",IF($P7="","No invoice date",IF($P7&lt;=30,"0–30 days",IF($P7&lt;=60,"31–60 days",IF($P7&lt;=90,"61–90 days","Over 90 days")))))</f>
        <v>No invoice date</v>
      </c>
      <c r="R7" s="80" t="n">
        <f aca="false">IF($V7=1,ROW(),"")</f>
        <v>7</v>
      </c>
      <c r="S7" s="80" t="str">
        <f aca="false">IF(OR($A7&lt;&gt;"",$E7&lt;&gt;""),IF(TRIM($D7)="","Buyer not noted",TRIM($D7)),"")</f>
        <v>Zoom</v>
      </c>
      <c r="T7" s="81" t="n">
        <f aca="false">IF(AND($V7=1,ISNUMBER($M7)),$M7,0)</f>
        <v>82360</v>
      </c>
      <c r="U7" s="80" t="n">
        <f aca="false">IF($V7=1,IF(COUNTIFS($S$7:$S7,$S7,$V$7:$V7,1)=1,SUMIFS($T$7:$T$1006,$S$7:$S$1006,$S7)-ROW()/1000000000,""),"")</f>
        <v>267456.079999993</v>
      </c>
      <c r="V7" s="80" t="n">
        <f aca="false">IF(OR($O7="On hand",$O7="Advance received",$O7="Part realised",$O7="Amount missing"),1,0)</f>
        <v>1</v>
      </c>
      <c r="W7" s="80" t="str">
        <f aca="false">IF(AND($V7=1,N($F7)&gt;0),ROW(),"")</f>
        <v/>
      </c>
      <c r="X7" s="80" t="n">
        <f aca="false">IF(AND(OR($A7&lt;&gt;"",$E7&lt;&gt;""),$O7&lt;&gt;"Cancelled",ISNUMBER($E7),N($F7)+N($H7)&gt;$E7+0.005),1,0)</f>
        <v>0</v>
      </c>
      <c r="Y7" s="80" t="n">
        <f aca="false">IF(AND(OR($A7&lt;&gt;"",$E7&lt;&gt;""),OR($A7="",$E7="")),1,0)</f>
        <v>0</v>
      </c>
      <c r="Z7" s="80" t="n">
        <f aca="false">IF(AND($A7&lt;&gt;"",COUNTIF($A$7:$A$1006,$A7)&gt;1),1,0)</f>
        <v>0</v>
      </c>
    </row>
    <row r="8" customFormat="false" ht="15" hidden="false" customHeight="false" outlineLevel="0" collapsed="false">
      <c r="A8" s="71" t="s">
        <v>100</v>
      </c>
      <c r="B8" s="72"/>
      <c r="C8" s="73" t="s">
        <v>98</v>
      </c>
      <c r="D8" s="73" t="s">
        <v>99</v>
      </c>
      <c r="E8" s="74" t="n">
        <v>45820</v>
      </c>
      <c r="F8" s="74"/>
      <c r="G8" s="72"/>
      <c r="H8" s="74"/>
      <c r="I8" s="72"/>
      <c r="J8" s="73"/>
      <c r="K8" s="73"/>
      <c r="L8" s="75" t="n">
        <f aca="false">IF(OR($A8&lt;&gt;"",$E8&lt;&gt;""),N($F8)+N($H8),"")</f>
        <v>0</v>
      </c>
      <c r="M8" s="76" t="n">
        <f aca="false">IF(OR($O8="",$O8="Cancelled",$O8="Amount missing"),"",IF($O8="Realised",0,$E8-N($F8)-N($H8)))</f>
        <v>45820</v>
      </c>
      <c r="N8" s="77" t="n">
        <f aca="false">IF(OR($M8="",FX=""),"",$M8*FX)</f>
        <v>4123800</v>
      </c>
      <c r="O8" s="78" t="str">
        <f aca="false">IF(NOT(OR($A8&lt;&gt;"",$E8&lt;&gt;"")),"",IF($J8="Cancelled","Cancelled",IF($E8="","Amount missing",IF(OR($J8="Settled",$E8-N($F8)-N($H8)&lt;=0.005),"Realised",IF(N($H8)&gt;0,"Part realised",IF(N($F8)&gt;0,"Advance received","On hand"))))))</f>
        <v>On hand</v>
      </c>
      <c r="P8" s="79" t="str">
        <f aca="false">IF(AND($V8=1,ISNUMBER($B8)),AsAt-$B8,"")</f>
        <v/>
      </c>
      <c r="Q8" s="78" t="str">
        <f aca="false">IF($V8&lt;&gt;1,"",IF($P8="","No invoice date",IF($P8&lt;=30,"0–30 days",IF($P8&lt;=60,"31–60 days",IF($P8&lt;=90,"61–90 days","Over 90 days")))))</f>
        <v>No invoice date</v>
      </c>
      <c r="R8" s="80" t="n">
        <f aca="false">IF($V8=1,ROW(),"")</f>
        <v>8</v>
      </c>
      <c r="S8" s="80" t="str">
        <f aca="false">IF(OR($A8&lt;&gt;"",$E8&lt;&gt;""),IF(TRIM($D8)="","Buyer not noted",TRIM($D8)),"")</f>
        <v>Zoom</v>
      </c>
      <c r="T8" s="81" t="n">
        <f aca="false">IF(AND($V8=1,ISNUMBER($M8)),$M8,0)</f>
        <v>45820</v>
      </c>
      <c r="U8" s="80" t="str">
        <f aca="false">IF($V8=1,IF(COUNTIFS($S$7:$S8,$S8,$V$7:$V8,1)=1,SUMIFS($T$7:$T$1006,$S$7:$S$1006,$S8)-ROW()/1000000000,""),"")</f>
        <v/>
      </c>
      <c r="V8" s="80" t="n">
        <f aca="false">IF(OR($O8="On hand",$O8="Advance received",$O8="Part realised",$O8="Amount missing"),1,0)</f>
        <v>1</v>
      </c>
      <c r="W8" s="80" t="str">
        <f aca="false">IF(AND($V8=1,N($F8)&gt;0),ROW(),"")</f>
        <v/>
      </c>
      <c r="X8" s="80" t="n">
        <f aca="false">IF(AND(OR($A8&lt;&gt;"",$E8&lt;&gt;""),$O8&lt;&gt;"Cancelled",ISNUMBER($E8),N($F8)+N($H8)&gt;$E8+0.005),1,0)</f>
        <v>0</v>
      </c>
      <c r="Y8" s="80" t="n">
        <f aca="false">IF(AND(OR($A8&lt;&gt;"",$E8&lt;&gt;""),OR($A8="",$E8="")),1,0)</f>
        <v>0</v>
      </c>
      <c r="Z8" s="80" t="n">
        <f aca="false">IF(AND($A8&lt;&gt;"",COUNTIF($A$7:$A$1006,$A8)&gt;1),1,0)</f>
        <v>0</v>
      </c>
    </row>
    <row r="9" customFormat="false" ht="15" hidden="false" customHeight="false" outlineLevel="0" collapsed="false">
      <c r="A9" s="71" t="s">
        <v>101</v>
      </c>
      <c r="B9" s="72"/>
      <c r="C9" s="73" t="s">
        <v>98</v>
      </c>
      <c r="D9" s="73" t="s">
        <v>99</v>
      </c>
      <c r="E9" s="74" t="n">
        <v>46476.08</v>
      </c>
      <c r="F9" s="74"/>
      <c r="G9" s="72"/>
      <c r="H9" s="74"/>
      <c r="I9" s="72"/>
      <c r="J9" s="73"/>
      <c r="K9" s="73"/>
      <c r="L9" s="75" t="n">
        <f aca="false">IF(OR($A9&lt;&gt;"",$E9&lt;&gt;""),N($F9)+N($H9),"")</f>
        <v>0</v>
      </c>
      <c r="M9" s="76" t="n">
        <f aca="false">IF(OR($O9="",$O9="Cancelled",$O9="Amount missing"),"",IF($O9="Realised",0,$E9-N($F9)-N($H9)))</f>
        <v>46476.08</v>
      </c>
      <c r="N9" s="77" t="n">
        <f aca="false">IF(OR($M9="",FX=""),"",$M9*FX)</f>
        <v>4182847.2</v>
      </c>
      <c r="O9" s="78" t="str">
        <f aca="false">IF(NOT(OR($A9&lt;&gt;"",$E9&lt;&gt;"")),"",IF($J9="Cancelled","Cancelled",IF($E9="","Amount missing",IF(OR($J9="Settled",$E9-N($F9)-N($H9)&lt;=0.005),"Realised",IF(N($H9)&gt;0,"Part realised",IF(N($F9)&gt;0,"Advance received","On hand"))))))</f>
        <v>On hand</v>
      </c>
      <c r="P9" s="79" t="str">
        <f aca="false">IF(AND($V9=1,ISNUMBER($B9)),AsAt-$B9,"")</f>
        <v/>
      </c>
      <c r="Q9" s="78" t="str">
        <f aca="false">IF($V9&lt;&gt;1,"",IF($P9="","No invoice date",IF($P9&lt;=30,"0–30 days",IF($P9&lt;=60,"31–60 days",IF($P9&lt;=90,"61–90 days","Over 90 days")))))</f>
        <v>No invoice date</v>
      </c>
      <c r="R9" s="80" t="n">
        <f aca="false">IF($V9=1,ROW(),"")</f>
        <v>9</v>
      </c>
      <c r="S9" s="80" t="str">
        <f aca="false">IF(OR($A9&lt;&gt;"",$E9&lt;&gt;""),IF(TRIM($D9)="","Buyer not noted",TRIM($D9)),"")</f>
        <v>Zoom</v>
      </c>
      <c r="T9" s="81" t="n">
        <f aca="false">IF(AND($V9=1,ISNUMBER($M9)),$M9,0)</f>
        <v>46476.08</v>
      </c>
      <c r="U9" s="80" t="str">
        <f aca="false">IF($V9=1,IF(COUNTIFS($S$7:$S9,$S9,$V$7:$V9,1)=1,SUMIFS($T$7:$T$1006,$S$7:$S$1006,$S9)-ROW()/1000000000,""),"")</f>
        <v/>
      </c>
      <c r="V9" s="80" t="n">
        <f aca="false">IF(OR($O9="On hand",$O9="Advance received",$O9="Part realised",$O9="Amount missing"),1,0)</f>
        <v>1</v>
      </c>
      <c r="W9" s="80" t="str">
        <f aca="false">IF(AND($V9=1,N($F9)&gt;0),ROW(),"")</f>
        <v/>
      </c>
      <c r="X9" s="80" t="n">
        <f aca="false">IF(AND(OR($A9&lt;&gt;"",$E9&lt;&gt;""),$O9&lt;&gt;"Cancelled",ISNUMBER($E9),N($F9)+N($H9)&gt;$E9+0.005),1,0)</f>
        <v>0</v>
      </c>
      <c r="Y9" s="80" t="n">
        <f aca="false">IF(AND(OR($A9&lt;&gt;"",$E9&lt;&gt;""),OR($A9="",$E9="")),1,0)</f>
        <v>0</v>
      </c>
      <c r="Z9" s="80" t="n">
        <f aca="false">IF(AND($A9&lt;&gt;"",COUNTIF($A$7:$A$1006,$A9)&gt;1),1,0)</f>
        <v>0</v>
      </c>
    </row>
    <row r="10" customFormat="false" ht="15" hidden="false" customHeight="false" outlineLevel="0" collapsed="false">
      <c r="A10" s="71" t="s">
        <v>102</v>
      </c>
      <c r="B10" s="72"/>
      <c r="C10" s="73" t="s">
        <v>103</v>
      </c>
      <c r="D10" s="73" t="s">
        <v>104</v>
      </c>
      <c r="E10" s="74" t="n">
        <v>49720</v>
      </c>
      <c r="F10" s="74"/>
      <c r="G10" s="72"/>
      <c r="H10" s="74"/>
      <c r="I10" s="72"/>
      <c r="J10" s="73"/>
      <c r="K10" s="73"/>
      <c r="L10" s="75" t="n">
        <f aca="false">IF(OR($A10&lt;&gt;"",$E10&lt;&gt;""),N($F10)+N($H10),"")</f>
        <v>0</v>
      </c>
      <c r="M10" s="76" t="n">
        <f aca="false">IF(OR($O10="",$O10="Cancelled",$O10="Amount missing"),"",IF($O10="Realised",0,$E10-N($F10)-N($H10)))</f>
        <v>49720</v>
      </c>
      <c r="N10" s="77" t="n">
        <f aca="false">IF(OR($M10="",FX=""),"",$M10*FX)</f>
        <v>4474800</v>
      </c>
      <c r="O10" s="78" t="str">
        <f aca="false">IF(NOT(OR($A10&lt;&gt;"",$E10&lt;&gt;"")),"",IF($J10="Cancelled","Cancelled",IF($E10="","Amount missing",IF(OR($J10="Settled",$E10-N($F10)-N($H10)&lt;=0.005),"Realised",IF(N($H10)&gt;0,"Part realised",IF(N($F10)&gt;0,"Advance received","On hand"))))))</f>
        <v>On hand</v>
      </c>
      <c r="P10" s="79" t="str">
        <f aca="false">IF(AND($V10=1,ISNUMBER($B10)),AsAt-$B10,"")</f>
        <v/>
      </c>
      <c r="Q10" s="78" t="str">
        <f aca="false">IF($V10&lt;&gt;1,"",IF($P10="","No invoice date",IF($P10&lt;=30,"0–30 days",IF($P10&lt;=60,"31–60 days",IF($P10&lt;=90,"61–90 days","Over 90 days")))))</f>
        <v>No invoice date</v>
      </c>
      <c r="R10" s="80" t="n">
        <f aca="false">IF($V10=1,ROW(),"")</f>
        <v>10</v>
      </c>
      <c r="S10" s="80" t="str">
        <f aca="false">IF(OR($A10&lt;&gt;"",$E10&lt;&gt;""),IF(TRIM($D10)="","Buyer not noted",TRIM($D10)),"")</f>
        <v>Shabeer</v>
      </c>
      <c r="T10" s="81" t="n">
        <f aca="false">IF(AND($V10=1,ISNUMBER($M10)),$M10,0)</f>
        <v>49720</v>
      </c>
      <c r="U10" s="80" t="n">
        <f aca="false">IF($V10=1,IF(COUNTIFS($S$7:$S10,$S10,$V$7:$V10,1)=1,SUMIFS($T$7:$T$1006,$S$7:$S$1006,$S10)-ROW()/1000000000,""),"")</f>
        <v>261579.99999999</v>
      </c>
      <c r="V10" s="80" t="n">
        <f aca="false">IF(OR($O10="On hand",$O10="Advance received",$O10="Part realised",$O10="Amount missing"),1,0)</f>
        <v>1</v>
      </c>
      <c r="W10" s="80" t="str">
        <f aca="false">IF(AND($V10=1,N($F10)&gt;0),ROW(),"")</f>
        <v/>
      </c>
      <c r="X10" s="80" t="n">
        <f aca="false">IF(AND(OR($A10&lt;&gt;"",$E10&lt;&gt;""),$O10&lt;&gt;"Cancelled",ISNUMBER($E10),N($F10)+N($H10)&gt;$E10+0.005),1,0)</f>
        <v>0</v>
      </c>
      <c r="Y10" s="80" t="n">
        <f aca="false">IF(AND(OR($A10&lt;&gt;"",$E10&lt;&gt;""),OR($A10="",$E10="")),1,0)</f>
        <v>0</v>
      </c>
      <c r="Z10" s="80" t="n">
        <f aca="false">IF(AND($A10&lt;&gt;"",COUNTIF($A$7:$A$1006,$A10)&gt;1),1,0)</f>
        <v>0</v>
      </c>
    </row>
    <row r="11" customFormat="false" ht="15" hidden="false" customHeight="false" outlineLevel="0" collapsed="false">
      <c r="A11" s="71" t="s">
        <v>105</v>
      </c>
      <c r="B11" s="72"/>
      <c r="C11" s="73" t="s">
        <v>103</v>
      </c>
      <c r="D11" s="73" t="s">
        <v>104</v>
      </c>
      <c r="E11" s="74" t="n">
        <v>54060</v>
      </c>
      <c r="F11" s="74"/>
      <c r="G11" s="72"/>
      <c r="H11" s="74"/>
      <c r="I11" s="72"/>
      <c r="J11" s="73"/>
      <c r="K11" s="73"/>
      <c r="L11" s="75" t="n">
        <f aca="false">IF(OR($A11&lt;&gt;"",$E11&lt;&gt;""),N($F11)+N($H11),"")</f>
        <v>0</v>
      </c>
      <c r="M11" s="76" t="n">
        <f aca="false">IF(OR($O11="",$O11="Cancelled",$O11="Amount missing"),"",IF($O11="Realised",0,$E11-N($F11)-N($H11)))</f>
        <v>54060</v>
      </c>
      <c r="N11" s="77" t="n">
        <f aca="false">IF(OR($M11="",FX=""),"",$M11*FX)</f>
        <v>4865400</v>
      </c>
      <c r="O11" s="78" t="str">
        <f aca="false">IF(NOT(OR($A11&lt;&gt;"",$E11&lt;&gt;"")),"",IF($J11="Cancelled","Cancelled",IF($E11="","Amount missing",IF(OR($J11="Settled",$E11-N($F11)-N($H11)&lt;=0.005),"Realised",IF(N($H11)&gt;0,"Part realised",IF(N($F11)&gt;0,"Advance received","On hand"))))))</f>
        <v>On hand</v>
      </c>
      <c r="P11" s="79" t="str">
        <f aca="false">IF(AND($V11=1,ISNUMBER($B11)),AsAt-$B11,"")</f>
        <v/>
      </c>
      <c r="Q11" s="78" t="str">
        <f aca="false">IF($V11&lt;&gt;1,"",IF($P11="","No invoice date",IF($P11&lt;=30,"0–30 days",IF($P11&lt;=60,"31–60 days",IF($P11&lt;=90,"61–90 days","Over 90 days")))))</f>
        <v>No invoice date</v>
      </c>
      <c r="R11" s="80" t="n">
        <f aca="false">IF($V11=1,ROW(),"")</f>
        <v>11</v>
      </c>
      <c r="S11" s="80" t="str">
        <f aca="false">IF(OR($A11&lt;&gt;"",$E11&lt;&gt;""),IF(TRIM($D11)="","Buyer not noted",TRIM($D11)),"")</f>
        <v>Shabeer</v>
      </c>
      <c r="T11" s="81" t="n">
        <f aca="false">IF(AND($V11=1,ISNUMBER($M11)),$M11,0)</f>
        <v>54060</v>
      </c>
      <c r="U11" s="80" t="str">
        <f aca="false">IF($V11=1,IF(COUNTIFS($S$7:$S11,$S11,$V$7:$V11,1)=1,SUMIFS($T$7:$T$1006,$S$7:$S$1006,$S11)-ROW()/1000000000,""),"")</f>
        <v/>
      </c>
      <c r="V11" s="80" t="n">
        <f aca="false">IF(OR($O11="On hand",$O11="Advance received",$O11="Part realised",$O11="Amount missing"),1,0)</f>
        <v>1</v>
      </c>
      <c r="W11" s="80" t="str">
        <f aca="false">IF(AND($V11=1,N($F11)&gt;0),ROW(),"")</f>
        <v/>
      </c>
      <c r="X11" s="80" t="n">
        <f aca="false">IF(AND(OR($A11&lt;&gt;"",$E11&lt;&gt;""),$O11&lt;&gt;"Cancelled",ISNUMBER($E11),N($F11)+N($H11)&gt;$E11+0.005),1,0)</f>
        <v>0</v>
      </c>
      <c r="Y11" s="80" t="n">
        <f aca="false">IF(AND(OR($A11&lt;&gt;"",$E11&lt;&gt;""),OR($A11="",$E11="")),1,0)</f>
        <v>0</v>
      </c>
      <c r="Z11" s="80" t="n">
        <f aca="false">IF(AND($A11&lt;&gt;"",COUNTIF($A$7:$A$1006,$A11)&gt;1),1,0)</f>
        <v>0</v>
      </c>
    </row>
    <row r="12" customFormat="false" ht="15" hidden="false" customHeight="false" outlineLevel="0" collapsed="false">
      <c r="A12" s="71" t="s">
        <v>106</v>
      </c>
      <c r="B12" s="72"/>
      <c r="C12" s="73" t="s">
        <v>107</v>
      </c>
      <c r="D12" s="73"/>
      <c r="E12" s="74" t="n">
        <v>136312</v>
      </c>
      <c r="F12" s="74"/>
      <c r="G12" s="72"/>
      <c r="H12" s="74"/>
      <c r="I12" s="72"/>
      <c r="J12" s="73"/>
      <c r="K12" s="73"/>
      <c r="L12" s="75" t="n">
        <f aca="false">IF(OR($A12&lt;&gt;"",$E12&lt;&gt;""),N($F12)+N($H12),"")</f>
        <v>0</v>
      </c>
      <c r="M12" s="76" t="n">
        <f aca="false">IF(OR($O12="",$O12="Cancelled",$O12="Amount missing"),"",IF($O12="Realised",0,$E12-N($F12)-N($H12)))</f>
        <v>136312</v>
      </c>
      <c r="N12" s="77" t="n">
        <f aca="false">IF(OR($M12="",FX=""),"",$M12*FX)</f>
        <v>12268080</v>
      </c>
      <c r="O12" s="78" t="str">
        <f aca="false">IF(NOT(OR($A12&lt;&gt;"",$E12&lt;&gt;"")),"",IF($J12="Cancelled","Cancelled",IF($E12="","Amount missing",IF(OR($J12="Settled",$E12-N($F12)-N($H12)&lt;=0.005),"Realised",IF(N($H12)&gt;0,"Part realised",IF(N($F12)&gt;0,"Advance received","On hand"))))))</f>
        <v>On hand</v>
      </c>
      <c r="P12" s="79" t="str">
        <f aca="false">IF(AND($V12=1,ISNUMBER($B12)),AsAt-$B12,"")</f>
        <v/>
      </c>
      <c r="Q12" s="78" t="str">
        <f aca="false">IF($V12&lt;&gt;1,"",IF($P12="","No invoice date",IF($P12&lt;=30,"0–30 days",IF($P12&lt;=60,"31–60 days",IF($P12&lt;=90,"61–90 days","Over 90 days")))))</f>
        <v>No invoice date</v>
      </c>
      <c r="R12" s="80" t="n">
        <f aca="false">IF($V12=1,ROW(),"")</f>
        <v>12</v>
      </c>
      <c r="S12" s="80" t="str">
        <f aca="false">IF(OR($A12&lt;&gt;"",$E12&lt;&gt;""),IF(TRIM($D12)="","Buyer not noted",TRIM($D12)),"")</f>
        <v>Buyer not noted</v>
      </c>
      <c r="T12" s="81" t="n">
        <f aca="false">IF(AND($V12=1,ISNUMBER($M12)),$M12,0)</f>
        <v>136312</v>
      </c>
      <c r="U12" s="80" t="n">
        <f aca="false">IF($V12=1,IF(COUNTIFS($S$7:$S12,$S12,$V$7:$V12,1)=1,SUMIFS($T$7:$T$1006,$S$7:$S$1006,$S12)-ROW()/1000000000,""),"")</f>
        <v>136311.999999988</v>
      </c>
      <c r="V12" s="80" t="n">
        <f aca="false">IF(OR($O12="On hand",$O12="Advance received",$O12="Part realised",$O12="Amount missing"),1,0)</f>
        <v>1</v>
      </c>
      <c r="W12" s="80" t="str">
        <f aca="false">IF(AND($V12=1,N($F12)&gt;0),ROW(),"")</f>
        <v/>
      </c>
      <c r="X12" s="80" t="n">
        <f aca="false">IF(AND(OR($A12&lt;&gt;"",$E12&lt;&gt;""),$O12&lt;&gt;"Cancelled",ISNUMBER($E12),N($F12)+N($H12)&gt;$E12+0.005),1,0)</f>
        <v>0</v>
      </c>
      <c r="Y12" s="80" t="n">
        <f aca="false">IF(AND(OR($A12&lt;&gt;"",$E12&lt;&gt;""),OR($A12="",$E12="")),1,0)</f>
        <v>0</v>
      </c>
      <c r="Z12" s="80" t="n">
        <f aca="false">IF(AND($A12&lt;&gt;"",COUNTIF($A$7:$A$1006,$A12)&gt;1),1,0)</f>
        <v>0</v>
      </c>
    </row>
    <row r="13" customFormat="false" ht="15" hidden="false" customHeight="false" outlineLevel="0" collapsed="false">
      <c r="A13" s="71" t="s">
        <v>108</v>
      </c>
      <c r="B13" s="72"/>
      <c r="C13" s="73" t="s">
        <v>103</v>
      </c>
      <c r="D13" s="73" t="s">
        <v>109</v>
      </c>
      <c r="E13" s="74" t="n">
        <v>50482.5</v>
      </c>
      <c r="F13" s="74"/>
      <c r="G13" s="72"/>
      <c r="H13" s="74"/>
      <c r="I13" s="72"/>
      <c r="J13" s="73"/>
      <c r="K13" s="73" t="s">
        <v>110</v>
      </c>
      <c r="L13" s="75" t="n">
        <f aca="false">IF(OR($A13&lt;&gt;"",$E13&lt;&gt;""),N($F13)+N($H13),"")</f>
        <v>0</v>
      </c>
      <c r="M13" s="76" t="n">
        <f aca="false">IF(OR($O13="",$O13="Cancelled",$O13="Amount missing"),"",IF($O13="Realised",0,$E13-N($F13)-N($H13)))</f>
        <v>50482.5</v>
      </c>
      <c r="N13" s="77" t="n">
        <f aca="false">IF(OR($M13="",FX=""),"",$M13*FX)</f>
        <v>4543425</v>
      </c>
      <c r="O13" s="78" t="str">
        <f aca="false">IF(NOT(OR($A13&lt;&gt;"",$E13&lt;&gt;"")),"",IF($J13="Cancelled","Cancelled",IF($E13="","Amount missing",IF(OR($J13="Settled",$E13-N($F13)-N($H13)&lt;=0.005),"Realised",IF(N($H13)&gt;0,"Part realised",IF(N($F13)&gt;0,"Advance received","On hand"))))))</f>
        <v>On hand</v>
      </c>
      <c r="P13" s="79" t="str">
        <f aca="false">IF(AND($V13=1,ISNUMBER($B13)),AsAt-$B13,"")</f>
        <v/>
      </c>
      <c r="Q13" s="78" t="str">
        <f aca="false">IF($V13&lt;&gt;1,"",IF($P13="","No invoice date",IF($P13&lt;=30,"0–30 days",IF($P13&lt;=60,"31–60 days",IF($P13&lt;=90,"61–90 days","Over 90 days")))))</f>
        <v>No invoice date</v>
      </c>
      <c r="R13" s="80" t="n">
        <f aca="false">IF($V13=1,ROW(),"")</f>
        <v>13</v>
      </c>
      <c r="S13" s="80" t="str">
        <f aca="false">IF(OR($A13&lt;&gt;"",$E13&lt;&gt;""),IF(TRIM($D13)="","Buyer not noted",TRIM($D13)),"")</f>
        <v>Aneesh</v>
      </c>
      <c r="T13" s="81" t="n">
        <f aca="false">IF(AND($V13=1,ISNUMBER($M13)),$M13,0)</f>
        <v>50482.5</v>
      </c>
      <c r="U13" s="80" t="n">
        <f aca="false">IF($V13=1,IF(COUNTIFS($S$7:$S13,$S13,$V$7:$V13,1)=1,SUMIFS($T$7:$T$1006,$S$7:$S$1006,$S13)-ROW()/1000000000,""),"")</f>
        <v>259865.999999987</v>
      </c>
      <c r="V13" s="80" t="n">
        <f aca="false">IF(OR($O13="On hand",$O13="Advance received",$O13="Part realised",$O13="Amount missing"),1,0)</f>
        <v>1</v>
      </c>
      <c r="W13" s="80" t="str">
        <f aca="false">IF(AND($V13=1,N($F13)&gt;0),ROW(),"")</f>
        <v/>
      </c>
      <c r="X13" s="80" t="n">
        <f aca="false">IF(AND(OR($A13&lt;&gt;"",$E13&lt;&gt;""),$O13&lt;&gt;"Cancelled",ISNUMBER($E13),N($F13)+N($H13)&gt;$E13+0.005),1,0)</f>
        <v>0</v>
      </c>
      <c r="Y13" s="80" t="n">
        <f aca="false">IF(AND(OR($A13&lt;&gt;"",$E13&lt;&gt;""),OR($A13="",$E13="")),1,0)</f>
        <v>0</v>
      </c>
      <c r="Z13" s="80" t="n">
        <f aca="false">IF(AND($A13&lt;&gt;"",COUNTIF($A$7:$A$1006,$A13)&gt;1),1,0)</f>
        <v>0</v>
      </c>
    </row>
    <row r="14" customFormat="false" ht="15" hidden="false" customHeight="false" outlineLevel="0" collapsed="false">
      <c r="A14" s="71" t="s">
        <v>111</v>
      </c>
      <c r="B14" s="72"/>
      <c r="C14" s="73" t="s">
        <v>103</v>
      </c>
      <c r="D14" s="73" t="s">
        <v>104</v>
      </c>
      <c r="E14" s="74" t="n">
        <v>51500</v>
      </c>
      <c r="F14" s="74"/>
      <c r="G14" s="72"/>
      <c r="H14" s="74"/>
      <c r="I14" s="72"/>
      <c r="J14" s="73"/>
      <c r="K14" s="73" t="s">
        <v>110</v>
      </c>
      <c r="L14" s="75" t="n">
        <f aca="false">IF(OR($A14&lt;&gt;"",$E14&lt;&gt;""),N($F14)+N($H14),"")</f>
        <v>0</v>
      </c>
      <c r="M14" s="76" t="n">
        <f aca="false">IF(OR($O14="",$O14="Cancelled",$O14="Amount missing"),"",IF($O14="Realised",0,$E14-N($F14)-N($H14)))</f>
        <v>51500</v>
      </c>
      <c r="N14" s="77" t="n">
        <f aca="false">IF(OR($M14="",FX=""),"",$M14*FX)</f>
        <v>4635000</v>
      </c>
      <c r="O14" s="78" t="str">
        <f aca="false">IF(NOT(OR($A14&lt;&gt;"",$E14&lt;&gt;"")),"",IF($J14="Cancelled","Cancelled",IF($E14="","Amount missing",IF(OR($J14="Settled",$E14-N($F14)-N($H14)&lt;=0.005),"Realised",IF(N($H14)&gt;0,"Part realised",IF(N($F14)&gt;0,"Advance received","On hand"))))))</f>
        <v>On hand</v>
      </c>
      <c r="P14" s="79" t="str">
        <f aca="false">IF(AND($V14=1,ISNUMBER($B14)),AsAt-$B14,"")</f>
        <v/>
      </c>
      <c r="Q14" s="78" t="str">
        <f aca="false">IF($V14&lt;&gt;1,"",IF($P14="","No invoice date",IF($P14&lt;=30,"0–30 days",IF($P14&lt;=60,"31–60 days",IF($P14&lt;=90,"61–90 days","Over 90 days")))))</f>
        <v>No invoice date</v>
      </c>
      <c r="R14" s="80" t="n">
        <f aca="false">IF($V14=1,ROW(),"")</f>
        <v>14</v>
      </c>
      <c r="S14" s="80" t="str">
        <f aca="false">IF(OR($A14&lt;&gt;"",$E14&lt;&gt;""),IF(TRIM($D14)="","Buyer not noted",TRIM($D14)),"")</f>
        <v>Shabeer</v>
      </c>
      <c r="T14" s="81" t="n">
        <f aca="false">IF(AND($V14=1,ISNUMBER($M14)),$M14,0)</f>
        <v>51500</v>
      </c>
      <c r="U14" s="80" t="str">
        <f aca="false">IF($V14=1,IF(COUNTIFS($S$7:$S14,$S14,$V$7:$V14,1)=1,SUMIFS($T$7:$T$1006,$S$7:$S$1006,$S14)-ROW()/1000000000,""),"")</f>
        <v/>
      </c>
      <c r="V14" s="80" t="n">
        <f aca="false">IF(OR($O14="On hand",$O14="Advance received",$O14="Part realised",$O14="Amount missing"),1,0)</f>
        <v>1</v>
      </c>
      <c r="W14" s="80" t="str">
        <f aca="false">IF(AND($V14=1,N($F14)&gt;0),ROW(),"")</f>
        <v/>
      </c>
      <c r="X14" s="80" t="n">
        <f aca="false">IF(AND(OR($A14&lt;&gt;"",$E14&lt;&gt;""),$O14&lt;&gt;"Cancelled",ISNUMBER($E14),N($F14)+N($H14)&gt;$E14+0.005),1,0)</f>
        <v>0</v>
      </c>
      <c r="Y14" s="80" t="n">
        <f aca="false">IF(AND(OR($A14&lt;&gt;"",$E14&lt;&gt;""),OR($A14="",$E14="")),1,0)</f>
        <v>0</v>
      </c>
      <c r="Z14" s="80" t="n">
        <f aca="false">IF(AND($A14&lt;&gt;"",COUNTIF($A$7:$A$1006,$A14)&gt;1),1,0)</f>
        <v>0</v>
      </c>
    </row>
    <row r="15" customFormat="false" ht="15" hidden="false" customHeight="false" outlineLevel="0" collapsed="false">
      <c r="A15" s="71" t="s">
        <v>112</v>
      </c>
      <c r="B15" s="72"/>
      <c r="C15" s="73" t="s">
        <v>103</v>
      </c>
      <c r="D15" s="73" t="s">
        <v>109</v>
      </c>
      <c r="E15" s="74" t="n">
        <v>50700</v>
      </c>
      <c r="F15" s="74"/>
      <c r="G15" s="72"/>
      <c r="H15" s="74"/>
      <c r="I15" s="72"/>
      <c r="J15" s="73"/>
      <c r="K15" s="73" t="s">
        <v>110</v>
      </c>
      <c r="L15" s="75" t="n">
        <f aca="false">IF(OR($A15&lt;&gt;"",$E15&lt;&gt;""),N($F15)+N($H15),"")</f>
        <v>0</v>
      </c>
      <c r="M15" s="76" t="n">
        <f aca="false">IF(OR($O15="",$O15="Cancelled",$O15="Amount missing"),"",IF($O15="Realised",0,$E15-N($F15)-N($H15)))</f>
        <v>50700</v>
      </c>
      <c r="N15" s="77" t="n">
        <f aca="false">IF(OR($M15="",FX=""),"",$M15*FX)</f>
        <v>4563000</v>
      </c>
      <c r="O15" s="78" t="str">
        <f aca="false">IF(NOT(OR($A15&lt;&gt;"",$E15&lt;&gt;"")),"",IF($J15="Cancelled","Cancelled",IF($E15="","Amount missing",IF(OR($J15="Settled",$E15-N($F15)-N($H15)&lt;=0.005),"Realised",IF(N($H15)&gt;0,"Part realised",IF(N($F15)&gt;0,"Advance received","On hand"))))))</f>
        <v>On hand</v>
      </c>
      <c r="P15" s="79" t="str">
        <f aca="false">IF(AND($V15=1,ISNUMBER($B15)),AsAt-$B15,"")</f>
        <v/>
      </c>
      <c r="Q15" s="78" t="str">
        <f aca="false">IF($V15&lt;&gt;1,"",IF($P15="","No invoice date",IF($P15&lt;=30,"0–30 days",IF($P15&lt;=60,"31–60 days",IF($P15&lt;=90,"61–90 days","Over 90 days")))))</f>
        <v>No invoice date</v>
      </c>
      <c r="R15" s="80" t="n">
        <f aca="false">IF($V15=1,ROW(),"")</f>
        <v>15</v>
      </c>
      <c r="S15" s="80" t="str">
        <f aca="false">IF(OR($A15&lt;&gt;"",$E15&lt;&gt;""),IF(TRIM($D15)="","Buyer not noted",TRIM($D15)),"")</f>
        <v>Aneesh</v>
      </c>
      <c r="T15" s="81" t="n">
        <f aca="false">IF(AND($V15=1,ISNUMBER($M15)),$M15,0)</f>
        <v>50700</v>
      </c>
      <c r="U15" s="80" t="str">
        <f aca="false">IF($V15=1,IF(COUNTIFS($S$7:$S15,$S15,$V$7:$V15,1)=1,SUMIFS($T$7:$T$1006,$S$7:$S$1006,$S15)-ROW()/1000000000,""),"")</f>
        <v/>
      </c>
      <c r="V15" s="80" t="n">
        <f aca="false">IF(OR($O15="On hand",$O15="Advance received",$O15="Part realised",$O15="Amount missing"),1,0)</f>
        <v>1</v>
      </c>
      <c r="W15" s="80" t="str">
        <f aca="false">IF(AND($V15=1,N($F15)&gt;0),ROW(),"")</f>
        <v/>
      </c>
      <c r="X15" s="80" t="n">
        <f aca="false">IF(AND(OR($A15&lt;&gt;"",$E15&lt;&gt;""),$O15&lt;&gt;"Cancelled",ISNUMBER($E15),N($F15)+N($H15)&gt;$E15+0.005),1,0)</f>
        <v>0</v>
      </c>
      <c r="Y15" s="80" t="n">
        <f aca="false">IF(AND(OR($A15&lt;&gt;"",$E15&lt;&gt;""),OR($A15="",$E15="")),1,0)</f>
        <v>0</v>
      </c>
      <c r="Z15" s="80" t="n">
        <f aca="false">IF(AND($A15&lt;&gt;"",COUNTIF($A$7:$A$1006,$A15)&gt;1),1,0)</f>
        <v>0</v>
      </c>
    </row>
    <row r="16" customFormat="false" ht="15" hidden="false" customHeight="false" outlineLevel="0" collapsed="false">
      <c r="A16" s="71" t="s">
        <v>113</v>
      </c>
      <c r="B16" s="72"/>
      <c r="C16" s="73" t="s">
        <v>103</v>
      </c>
      <c r="D16" s="73" t="s">
        <v>104</v>
      </c>
      <c r="E16" s="74" t="n">
        <v>53300</v>
      </c>
      <c r="F16" s="74"/>
      <c r="G16" s="72"/>
      <c r="H16" s="74"/>
      <c r="I16" s="72"/>
      <c r="J16" s="73"/>
      <c r="K16" s="73" t="s">
        <v>110</v>
      </c>
      <c r="L16" s="75" t="n">
        <f aca="false">IF(OR($A16&lt;&gt;"",$E16&lt;&gt;""),N($F16)+N($H16),"")</f>
        <v>0</v>
      </c>
      <c r="M16" s="76" t="n">
        <f aca="false">IF(OR($O16="",$O16="Cancelled",$O16="Amount missing"),"",IF($O16="Realised",0,$E16-N($F16)-N($H16)))</f>
        <v>53300</v>
      </c>
      <c r="N16" s="77" t="n">
        <f aca="false">IF(OR($M16="",FX=""),"",$M16*FX)</f>
        <v>4797000</v>
      </c>
      <c r="O16" s="78" t="str">
        <f aca="false">IF(NOT(OR($A16&lt;&gt;"",$E16&lt;&gt;"")),"",IF($J16="Cancelled","Cancelled",IF($E16="","Amount missing",IF(OR($J16="Settled",$E16-N($F16)-N($H16)&lt;=0.005),"Realised",IF(N($H16)&gt;0,"Part realised",IF(N($F16)&gt;0,"Advance received","On hand"))))))</f>
        <v>On hand</v>
      </c>
      <c r="P16" s="79" t="str">
        <f aca="false">IF(AND($V16=1,ISNUMBER($B16)),AsAt-$B16,"")</f>
        <v/>
      </c>
      <c r="Q16" s="78" t="str">
        <f aca="false">IF($V16&lt;&gt;1,"",IF($P16="","No invoice date",IF($P16&lt;=30,"0–30 days",IF($P16&lt;=60,"31–60 days",IF($P16&lt;=90,"61–90 days","Over 90 days")))))</f>
        <v>No invoice date</v>
      </c>
      <c r="R16" s="80" t="n">
        <f aca="false">IF($V16=1,ROW(),"")</f>
        <v>16</v>
      </c>
      <c r="S16" s="80" t="str">
        <f aca="false">IF(OR($A16&lt;&gt;"",$E16&lt;&gt;""),IF(TRIM($D16)="","Buyer not noted",TRIM($D16)),"")</f>
        <v>Shabeer</v>
      </c>
      <c r="T16" s="81" t="n">
        <f aca="false">IF(AND($V16=1,ISNUMBER($M16)),$M16,0)</f>
        <v>53300</v>
      </c>
      <c r="U16" s="80" t="str">
        <f aca="false">IF($V16=1,IF(COUNTIFS($S$7:$S16,$S16,$V$7:$V16,1)=1,SUMIFS($T$7:$T$1006,$S$7:$S$1006,$S16)-ROW()/1000000000,""),"")</f>
        <v/>
      </c>
      <c r="V16" s="80" t="n">
        <f aca="false">IF(OR($O16="On hand",$O16="Advance received",$O16="Part realised",$O16="Amount missing"),1,0)</f>
        <v>1</v>
      </c>
      <c r="W16" s="80" t="str">
        <f aca="false">IF(AND($V16=1,N($F16)&gt;0),ROW(),"")</f>
        <v/>
      </c>
      <c r="X16" s="80" t="n">
        <f aca="false">IF(AND(OR($A16&lt;&gt;"",$E16&lt;&gt;""),$O16&lt;&gt;"Cancelled",ISNUMBER($E16),N($F16)+N($H16)&gt;$E16+0.005),1,0)</f>
        <v>0</v>
      </c>
      <c r="Y16" s="80" t="n">
        <f aca="false">IF(AND(OR($A16&lt;&gt;"",$E16&lt;&gt;""),OR($A16="",$E16="")),1,0)</f>
        <v>0</v>
      </c>
      <c r="Z16" s="80" t="n">
        <f aca="false">IF(AND($A16&lt;&gt;"",COUNTIF($A$7:$A$1006,$A16)&gt;1),1,0)</f>
        <v>0</v>
      </c>
    </row>
    <row r="17" customFormat="false" ht="15" hidden="false" customHeight="false" outlineLevel="0" collapsed="false">
      <c r="A17" s="71" t="s">
        <v>114</v>
      </c>
      <c r="B17" s="72"/>
      <c r="C17" s="73" t="s">
        <v>98</v>
      </c>
      <c r="D17" s="73" t="s">
        <v>99</v>
      </c>
      <c r="E17" s="74" t="n">
        <v>46400</v>
      </c>
      <c r="F17" s="74"/>
      <c r="G17" s="72"/>
      <c r="H17" s="74"/>
      <c r="I17" s="72"/>
      <c r="J17" s="73"/>
      <c r="K17" s="73"/>
      <c r="L17" s="75" t="n">
        <f aca="false">IF(OR($A17&lt;&gt;"",$E17&lt;&gt;""),N($F17)+N($H17),"")</f>
        <v>0</v>
      </c>
      <c r="M17" s="76" t="n">
        <f aca="false">IF(OR($O17="",$O17="Cancelled",$O17="Amount missing"),"",IF($O17="Realised",0,$E17-N($F17)-N($H17)))</f>
        <v>46400</v>
      </c>
      <c r="N17" s="77" t="n">
        <f aca="false">IF(OR($M17="",FX=""),"",$M17*FX)</f>
        <v>4176000</v>
      </c>
      <c r="O17" s="78" t="str">
        <f aca="false">IF(NOT(OR($A17&lt;&gt;"",$E17&lt;&gt;"")),"",IF($J17="Cancelled","Cancelled",IF($E17="","Amount missing",IF(OR($J17="Settled",$E17-N($F17)-N($H17)&lt;=0.005),"Realised",IF(N($H17)&gt;0,"Part realised",IF(N($F17)&gt;0,"Advance received","On hand"))))))</f>
        <v>On hand</v>
      </c>
      <c r="P17" s="79" t="str">
        <f aca="false">IF(AND($V17=1,ISNUMBER($B17)),AsAt-$B17,"")</f>
        <v/>
      </c>
      <c r="Q17" s="78" t="str">
        <f aca="false">IF($V17&lt;&gt;1,"",IF($P17="","No invoice date",IF($P17&lt;=30,"0–30 days",IF($P17&lt;=60,"31–60 days",IF($P17&lt;=90,"61–90 days","Over 90 days")))))</f>
        <v>No invoice date</v>
      </c>
      <c r="R17" s="80" t="n">
        <f aca="false">IF($V17=1,ROW(),"")</f>
        <v>17</v>
      </c>
      <c r="S17" s="80" t="str">
        <f aca="false">IF(OR($A17&lt;&gt;"",$E17&lt;&gt;""),IF(TRIM($D17)="","Buyer not noted",TRIM($D17)),"")</f>
        <v>Zoom</v>
      </c>
      <c r="T17" s="81" t="n">
        <f aca="false">IF(AND($V17=1,ISNUMBER($M17)),$M17,0)</f>
        <v>46400</v>
      </c>
      <c r="U17" s="80" t="str">
        <f aca="false">IF($V17=1,IF(COUNTIFS($S$7:$S17,$S17,$V$7:$V17,1)=1,SUMIFS($T$7:$T$1006,$S$7:$S$1006,$S17)-ROW()/1000000000,""),"")</f>
        <v/>
      </c>
      <c r="V17" s="80" t="n">
        <f aca="false">IF(OR($O17="On hand",$O17="Advance received",$O17="Part realised",$O17="Amount missing"),1,0)</f>
        <v>1</v>
      </c>
      <c r="W17" s="80" t="str">
        <f aca="false">IF(AND($V17=1,N($F17)&gt;0),ROW(),"")</f>
        <v/>
      </c>
      <c r="X17" s="80" t="n">
        <f aca="false">IF(AND(OR($A17&lt;&gt;"",$E17&lt;&gt;""),$O17&lt;&gt;"Cancelled",ISNUMBER($E17),N($F17)+N($H17)&gt;$E17+0.005),1,0)</f>
        <v>0</v>
      </c>
      <c r="Y17" s="80" t="n">
        <f aca="false">IF(AND(OR($A17&lt;&gt;"",$E17&lt;&gt;""),OR($A17="",$E17="")),1,0)</f>
        <v>0</v>
      </c>
      <c r="Z17" s="80" t="n">
        <f aca="false">IF(AND($A17&lt;&gt;"",COUNTIF($A$7:$A$1006,$A17)&gt;1),1,0)</f>
        <v>0</v>
      </c>
    </row>
    <row r="18" customFormat="false" ht="15" hidden="false" customHeight="false" outlineLevel="0" collapsed="false">
      <c r="A18" s="71" t="s">
        <v>115</v>
      </c>
      <c r="B18" s="72"/>
      <c r="C18" s="73" t="s">
        <v>103</v>
      </c>
      <c r="D18" s="73" t="s">
        <v>109</v>
      </c>
      <c r="E18" s="74" t="n">
        <v>53067</v>
      </c>
      <c r="F18" s="74"/>
      <c r="G18" s="72"/>
      <c r="H18" s="74"/>
      <c r="I18" s="72"/>
      <c r="J18" s="73"/>
      <c r="K18" s="73" t="s">
        <v>110</v>
      </c>
      <c r="L18" s="75" t="n">
        <f aca="false">IF(OR($A18&lt;&gt;"",$E18&lt;&gt;""),N($F18)+N($H18),"")</f>
        <v>0</v>
      </c>
      <c r="M18" s="76" t="n">
        <f aca="false">IF(OR($O18="",$O18="Cancelled",$O18="Amount missing"),"",IF($O18="Realised",0,$E18-N($F18)-N($H18)))</f>
        <v>53067</v>
      </c>
      <c r="N18" s="77" t="n">
        <f aca="false">IF(OR($M18="",FX=""),"",$M18*FX)</f>
        <v>4776030</v>
      </c>
      <c r="O18" s="78" t="str">
        <f aca="false">IF(NOT(OR($A18&lt;&gt;"",$E18&lt;&gt;"")),"",IF($J18="Cancelled","Cancelled",IF($E18="","Amount missing",IF(OR($J18="Settled",$E18-N($F18)-N($H18)&lt;=0.005),"Realised",IF(N($H18)&gt;0,"Part realised",IF(N($F18)&gt;0,"Advance received","On hand"))))))</f>
        <v>On hand</v>
      </c>
      <c r="P18" s="79" t="str">
        <f aca="false">IF(AND($V18=1,ISNUMBER($B18)),AsAt-$B18,"")</f>
        <v/>
      </c>
      <c r="Q18" s="78" t="str">
        <f aca="false">IF($V18&lt;&gt;1,"",IF($P18="","No invoice date",IF($P18&lt;=30,"0–30 days",IF($P18&lt;=60,"31–60 days",IF($P18&lt;=90,"61–90 days","Over 90 days")))))</f>
        <v>No invoice date</v>
      </c>
      <c r="R18" s="80" t="n">
        <f aca="false">IF($V18=1,ROW(),"")</f>
        <v>18</v>
      </c>
      <c r="S18" s="80" t="str">
        <f aca="false">IF(OR($A18&lt;&gt;"",$E18&lt;&gt;""),IF(TRIM($D18)="","Buyer not noted",TRIM($D18)),"")</f>
        <v>Aneesh</v>
      </c>
      <c r="T18" s="81" t="n">
        <f aca="false">IF(AND($V18=1,ISNUMBER($M18)),$M18,0)</f>
        <v>53067</v>
      </c>
      <c r="U18" s="80" t="str">
        <f aca="false">IF($V18=1,IF(COUNTIFS($S$7:$S18,$S18,$V$7:$V18,1)=1,SUMIFS($T$7:$T$1006,$S$7:$S$1006,$S18)-ROW()/1000000000,""),"")</f>
        <v/>
      </c>
      <c r="V18" s="80" t="n">
        <f aca="false">IF(OR($O18="On hand",$O18="Advance received",$O18="Part realised",$O18="Amount missing"),1,0)</f>
        <v>1</v>
      </c>
      <c r="W18" s="80" t="str">
        <f aca="false">IF(AND($V18=1,N($F18)&gt;0),ROW(),"")</f>
        <v/>
      </c>
      <c r="X18" s="80" t="n">
        <f aca="false">IF(AND(OR($A18&lt;&gt;"",$E18&lt;&gt;""),$O18&lt;&gt;"Cancelled",ISNUMBER($E18),N($F18)+N($H18)&gt;$E18+0.005),1,0)</f>
        <v>0</v>
      </c>
      <c r="Y18" s="80" t="n">
        <f aca="false">IF(AND(OR($A18&lt;&gt;"",$E18&lt;&gt;""),OR($A18="",$E18="")),1,0)</f>
        <v>0</v>
      </c>
      <c r="Z18" s="80" t="n">
        <f aca="false">IF(AND($A18&lt;&gt;"",COUNTIF($A$7:$A$1006,$A18)&gt;1),1,0)</f>
        <v>0</v>
      </c>
    </row>
    <row r="19" customFormat="false" ht="15" hidden="false" customHeight="false" outlineLevel="0" collapsed="false">
      <c r="A19" s="71" t="s">
        <v>116</v>
      </c>
      <c r="B19" s="72"/>
      <c r="C19" s="73" t="s">
        <v>103</v>
      </c>
      <c r="D19" s="73" t="s">
        <v>104</v>
      </c>
      <c r="E19" s="74" t="n">
        <v>53000</v>
      </c>
      <c r="F19" s="74"/>
      <c r="G19" s="72"/>
      <c r="H19" s="74"/>
      <c r="I19" s="72"/>
      <c r="J19" s="73"/>
      <c r="K19" s="73"/>
      <c r="L19" s="75" t="n">
        <f aca="false">IF(OR($A19&lt;&gt;"",$E19&lt;&gt;""),N($F19)+N($H19),"")</f>
        <v>0</v>
      </c>
      <c r="M19" s="76" t="n">
        <f aca="false">IF(OR($O19="",$O19="Cancelled",$O19="Amount missing"),"",IF($O19="Realised",0,$E19-N($F19)-N($H19)))</f>
        <v>53000</v>
      </c>
      <c r="N19" s="77" t="n">
        <f aca="false">IF(OR($M19="",FX=""),"",$M19*FX)</f>
        <v>4770000</v>
      </c>
      <c r="O19" s="78" t="str">
        <f aca="false">IF(NOT(OR($A19&lt;&gt;"",$E19&lt;&gt;"")),"",IF($J19="Cancelled","Cancelled",IF($E19="","Amount missing",IF(OR($J19="Settled",$E19-N($F19)-N($H19)&lt;=0.005),"Realised",IF(N($H19)&gt;0,"Part realised",IF(N($F19)&gt;0,"Advance received","On hand"))))))</f>
        <v>On hand</v>
      </c>
      <c r="P19" s="79" t="str">
        <f aca="false">IF(AND($V19=1,ISNUMBER($B19)),AsAt-$B19,"")</f>
        <v/>
      </c>
      <c r="Q19" s="78" t="str">
        <f aca="false">IF($V19&lt;&gt;1,"",IF($P19="","No invoice date",IF($P19&lt;=30,"0–30 days",IF($P19&lt;=60,"31–60 days",IF($P19&lt;=90,"61–90 days","Over 90 days")))))</f>
        <v>No invoice date</v>
      </c>
      <c r="R19" s="80" t="n">
        <f aca="false">IF($V19=1,ROW(),"")</f>
        <v>19</v>
      </c>
      <c r="S19" s="80" t="str">
        <f aca="false">IF(OR($A19&lt;&gt;"",$E19&lt;&gt;""),IF(TRIM($D19)="","Buyer not noted",TRIM($D19)),"")</f>
        <v>Shabeer</v>
      </c>
      <c r="T19" s="81" t="n">
        <f aca="false">IF(AND($V19=1,ISNUMBER($M19)),$M19,0)</f>
        <v>53000</v>
      </c>
      <c r="U19" s="80" t="str">
        <f aca="false">IF($V19=1,IF(COUNTIFS($S$7:$S19,$S19,$V$7:$V19,1)=1,SUMIFS($T$7:$T$1006,$S$7:$S$1006,$S19)-ROW()/1000000000,""),"")</f>
        <v/>
      </c>
      <c r="V19" s="80" t="n">
        <f aca="false">IF(OR($O19="On hand",$O19="Advance received",$O19="Part realised",$O19="Amount missing"),1,0)</f>
        <v>1</v>
      </c>
      <c r="W19" s="80" t="str">
        <f aca="false">IF(AND($V19=1,N($F19)&gt;0),ROW(),"")</f>
        <v/>
      </c>
      <c r="X19" s="80" t="n">
        <f aca="false">IF(AND(OR($A19&lt;&gt;"",$E19&lt;&gt;""),$O19&lt;&gt;"Cancelled",ISNUMBER($E19),N($F19)+N($H19)&gt;$E19+0.005),1,0)</f>
        <v>0</v>
      </c>
      <c r="Y19" s="80" t="n">
        <f aca="false">IF(AND(OR($A19&lt;&gt;"",$E19&lt;&gt;""),OR($A19="",$E19="")),1,0)</f>
        <v>0</v>
      </c>
      <c r="Z19" s="80" t="n">
        <f aca="false">IF(AND($A19&lt;&gt;"",COUNTIF($A$7:$A$1006,$A19)&gt;1),1,0)</f>
        <v>0</v>
      </c>
    </row>
    <row r="20" customFormat="false" ht="15" hidden="false" customHeight="false" outlineLevel="0" collapsed="false">
      <c r="A20" s="71" t="s">
        <v>117</v>
      </c>
      <c r="B20" s="72"/>
      <c r="C20" s="73" t="s">
        <v>103</v>
      </c>
      <c r="D20" s="73" t="s">
        <v>109</v>
      </c>
      <c r="E20" s="74" t="n">
        <v>52915</v>
      </c>
      <c r="F20" s="74"/>
      <c r="G20" s="72"/>
      <c r="H20" s="74"/>
      <c r="I20" s="72"/>
      <c r="J20" s="73"/>
      <c r="K20" s="73"/>
      <c r="L20" s="75" t="n">
        <f aca="false">IF(OR($A20&lt;&gt;"",$E20&lt;&gt;""),N($F20)+N($H20),"")</f>
        <v>0</v>
      </c>
      <c r="M20" s="76" t="n">
        <f aca="false">IF(OR($O20="",$O20="Cancelled",$O20="Amount missing"),"",IF($O20="Realised",0,$E20-N($F20)-N($H20)))</f>
        <v>52915</v>
      </c>
      <c r="N20" s="77" t="n">
        <f aca="false">IF(OR($M20="",FX=""),"",$M20*FX)</f>
        <v>4762350</v>
      </c>
      <c r="O20" s="78" t="str">
        <f aca="false">IF(NOT(OR($A20&lt;&gt;"",$E20&lt;&gt;"")),"",IF($J20="Cancelled","Cancelled",IF($E20="","Amount missing",IF(OR($J20="Settled",$E20-N($F20)-N($H20)&lt;=0.005),"Realised",IF(N($H20)&gt;0,"Part realised",IF(N($F20)&gt;0,"Advance received","On hand"))))))</f>
        <v>On hand</v>
      </c>
      <c r="P20" s="79" t="str">
        <f aca="false">IF(AND($V20=1,ISNUMBER($B20)),AsAt-$B20,"")</f>
        <v/>
      </c>
      <c r="Q20" s="78" t="str">
        <f aca="false">IF($V20&lt;&gt;1,"",IF($P20="","No invoice date",IF($P20&lt;=30,"0–30 days",IF($P20&lt;=60,"31–60 days",IF($P20&lt;=90,"61–90 days","Over 90 days")))))</f>
        <v>No invoice date</v>
      </c>
      <c r="R20" s="80" t="n">
        <f aca="false">IF($V20=1,ROW(),"")</f>
        <v>20</v>
      </c>
      <c r="S20" s="80" t="str">
        <f aca="false">IF(OR($A20&lt;&gt;"",$E20&lt;&gt;""),IF(TRIM($D20)="","Buyer not noted",TRIM($D20)),"")</f>
        <v>Aneesh</v>
      </c>
      <c r="T20" s="81" t="n">
        <f aca="false">IF(AND($V20=1,ISNUMBER($M20)),$M20,0)</f>
        <v>52915</v>
      </c>
      <c r="U20" s="80" t="str">
        <f aca="false">IF($V20=1,IF(COUNTIFS($S$7:$S20,$S20,$V$7:$V20,1)=1,SUMIFS($T$7:$T$1006,$S$7:$S$1006,$S20)-ROW()/1000000000,""),"")</f>
        <v/>
      </c>
      <c r="V20" s="80" t="n">
        <f aca="false">IF(OR($O20="On hand",$O20="Advance received",$O20="Part realised",$O20="Amount missing"),1,0)</f>
        <v>1</v>
      </c>
      <c r="W20" s="80" t="str">
        <f aca="false">IF(AND($V20=1,N($F20)&gt;0),ROW(),"")</f>
        <v/>
      </c>
      <c r="X20" s="80" t="n">
        <f aca="false">IF(AND(OR($A20&lt;&gt;"",$E20&lt;&gt;""),$O20&lt;&gt;"Cancelled",ISNUMBER($E20),N($F20)+N($H20)&gt;$E20+0.005),1,0)</f>
        <v>0</v>
      </c>
      <c r="Y20" s="80" t="n">
        <f aca="false">IF(AND(OR($A20&lt;&gt;"",$E20&lt;&gt;""),OR($A20="",$E20="")),1,0)</f>
        <v>0</v>
      </c>
      <c r="Z20" s="80" t="n">
        <f aca="false">IF(AND($A20&lt;&gt;"",COUNTIF($A$7:$A$1006,$A20)&gt;1),1,0)</f>
        <v>0</v>
      </c>
    </row>
    <row r="21" customFormat="false" ht="15" hidden="false" customHeight="false" outlineLevel="0" collapsed="false">
      <c r="A21" s="71" t="s">
        <v>118</v>
      </c>
      <c r="B21" s="72"/>
      <c r="C21" s="73" t="s">
        <v>119</v>
      </c>
      <c r="D21" s="73" t="s">
        <v>120</v>
      </c>
      <c r="E21" s="74" t="n">
        <v>53239.9</v>
      </c>
      <c r="F21" s="74"/>
      <c r="G21" s="72"/>
      <c r="H21" s="74"/>
      <c r="I21" s="72"/>
      <c r="J21" s="73"/>
      <c r="K21" s="73"/>
      <c r="L21" s="75" t="n">
        <f aca="false">IF(OR($A21&lt;&gt;"",$E21&lt;&gt;""),N($F21)+N($H21),"")</f>
        <v>0</v>
      </c>
      <c r="M21" s="76" t="n">
        <f aca="false">IF(OR($O21="",$O21="Cancelled",$O21="Amount missing"),"",IF($O21="Realised",0,$E21-N($F21)-N($H21)))</f>
        <v>53239.9</v>
      </c>
      <c r="N21" s="77" t="n">
        <f aca="false">IF(OR($M21="",FX=""),"",$M21*FX)</f>
        <v>4791591</v>
      </c>
      <c r="O21" s="78" t="str">
        <f aca="false">IF(NOT(OR($A21&lt;&gt;"",$E21&lt;&gt;"")),"",IF($J21="Cancelled","Cancelled",IF($E21="","Amount missing",IF(OR($J21="Settled",$E21-N($F21)-N($H21)&lt;=0.005),"Realised",IF(N($H21)&gt;0,"Part realised",IF(N($F21)&gt;0,"Advance received","On hand"))))))</f>
        <v>On hand</v>
      </c>
      <c r="P21" s="79" t="str">
        <f aca="false">IF(AND($V21=1,ISNUMBER($B21)),AsAt-$B21,"")</f>
        <v/>
      </c>
      <c r="Q21" s="78" t="str">
        <f aca="false">IF($V21&lt;&gt;1,"",IF($P21="","No invoice date",IF($P21&lt;=30,"0–30 days",IF($P21&lt;=60,"31–60 days",IF($P21&lt;=90,"61–90 days","Over 90 days")))))</f>
        <v>No invoice date</v>
      </c>
      <c r="R21" s="80" t="n">
        <f aca="false">IF($V21=1,ROW(),"")</f>
        <v>21</v>
      </c>
      <c r="S21" s="80" t="str">
        <f aca="false">IF(OR($A21&lt;&gt;"",$E21&lt;&gt;""),IF(TRIM($D21)="","Buyer not noted",TRIM($D21)),"")</f>
        <v>part</v>
      </c>
      <c r="T21" s="81" t="n">
        <f aca="false">IF(AND($V21=1,ISNUMBER($M21)),$M21,0)</f>
        <v>53239.9</v>
      </c>
      <c r="U21" s="80" t="n">
        <f aca="false">IF($V21=1,IF(COUNTIFS($S$7:$S21,$S21,$V$7:$V21,1)=1,SUMIFS($T$7:$T$1006,$S$7:$S$1006,$S21)-ROW()/1000000000,""),"")</f>
        <v>53239.899999979</v>
      </c>
      <c r="V21" s="80" t="n">
        <f aca="false">IF(OR($O21="On hand",$O21="Advance received",$O21="Part realised",$O21="Amount missing"),1,0)</f>
        <v>1</v>
      </c>
      <c r="W21" s="80" t="str">
        <f aca="false">IF(AND($V21=1,N($F21)&gt;0),ROW(),"")</f>
        <v/>
      </c>
      <c r="X21" s="80" t="n">
        <f aca="false">IF(AND(OR($A21&lt;&gt;"",$E21&lt;&gt;""),$O21&lt;&gt;"Cancelled",ISNUMBER($E21),N($F21)+N($H21)&gt;$E21+0.005),1,0)</f>
        <v>0</v>
      </c>
      <c r="Y21" s="80" t="n">
        <f aca="false">IF(AND(OR($A21&lt;&gt;"",$E21&lt;&gt;""),OR($A21="",$E21="")),1,0)</f>
        <v>0</v>
      </c>
      <c r="Z21" s="80" t="n">
        <f aca="false">IF(AND($A21&lt;&gt;"",COUNTIF($A$7:$A$1006,$A21)&gt;1),1,0)</f>
        <v>0</v>
      </c>
    </row>
    <row r="22" customFormat="false" ht="15" hidden="false" customHeight="false" outlineLevel="0" collapsed="false">
      <c r="A22" s="71" t="s">
        <v>121</v>
      </c>
      <c r="B22" s="72"/>
      <c r="C22" s="73" t="s">
        <v>98</v>
      </c>
      <c r="D22" s="73" t="s">
        <v>99</v>
      </c>
      <c r="E22" s="74" t="n">
        <v>46400</v>
      </c>
      <c r="F22" s="74"/>
      <c r="G22" s="72"/>
      <c r="H22" s="74"/>
      <c r="I22" s="72"/>
      <c r="J22" s="73"/>
      <c r="K22" s="73"/>
      <c r="L22" s="75" t="n">
        <f aca="false">IF(OR($A22&lt;&gt;"",$E22&lt;&gt;""),N($F22)+N($H22),"")</f>
        <v>0</v>
      </c>
      <c r="M22" s="76" t="n">
        <f aca="false">IF(OR($O22="",$O22="Cancelled",$O22="Amount missing"),"",IF($O22="Realised",0,$E22-N($F22)-N($H22)))</f>
        <v>46400</v>
      </c>
      <c r="N22" s="77" t="n">
        <f aca="false">IF(OR($M22="",FX=""),"",$M22*FX)</f>
        <v>4176000</v>
      </c>
      <c r="O22" s="78" t="str">
        <f aca="false">IF(NOT(OR($A22&lt;&gt;"",$E22&lt;&gt;"")),"",IF($J22="Cancelled","Cancelled",IF($E22="","Amount missing",IF(OR($J22="Settled",$E22-N($F22)-N($H22)&lt;=0.005),"Realised",IF(N($H22)&gt;0,"Part realised",IF(N($F22)&gt;0,"Advance received","On hand"))))))</f>
        <v>On hand</v>
      </c>
      <c r="P22" s="79" t="str">
        <f aca="false">IF(AND($V22=1,ISNUMBER($B22)),AsAt-$B22,"")</f>
        <v/>
      </c>
      <c r="Q22" s="78" t="str">
        <f aca="false">IF($V22&lt;&gt;1,"",IF($P22="","No invoice date",IF($P22&lt;=30,"0–30 days",IF($P22&lt;=60,"31–60 days",IF($P22&lt;=90,"61–90 days","Over 90 days")))))</f>
        <v>No invoice date</v>
      </c>
      <c r="R22" s="80" t="n">
        <f aca="false">IF($V22=1,ROW(),"")</f>
        <v>22</v>
      </c>
      <c r="S22" s="80" t="str">
        <f aca="false">IF(OR($A22&lt;&gt;"",$E22&lt;&gt;""),IF(TRIM($D22)="","Buyer not noted",TRIM($D22)),"")</f>
        <v>Zoom</v>
      </c>
      <c r="T22" s="81" t="n">
        <f aca="false">IF(AND($V22=1,ISNUMBER($M22)),$M22,0)</f>
        <v>46400</v>
      </c>
      <c r="U22" s="80" t="str">
        <f aca="false">IF($V22=1,IF(COUNTIFS($S$7:$S22,$S22,$V$7:$V22,1)=1,SUMIFS($T$7:$T$1006,$S$7:$S$1006,$S22)-ROW()/1000000000,""),"")</f>
        <v/>
      </c>
      <c r="V22" s="80" t="n">
        <f aca="false">IF(OR($O22="On hand",$O22="Advance received",$O22="Part realised",$O22="Amount missing"),1,0)</f>
        <v>1</v>
      </c>
      <c r="W22" s="80" t="str">
        <f aca="false">IF(AND($V22=1,N($F22)&gt;0),ROW(),"")</f>
        <v/>
      </c>
      <c r="X22" s="80" t="n">
        <f aca="false">IF(AND(OR($A22&lt;&gt;"",$E22&lt;&gt;""),$O22&lt;&gt;"Cancelled",ISNUMBER($E22),N($F22)+N($H22)&gt;$E22+0.005),1,0)</f>
        <v>0</v>
      </c>
      <c r="Y22" s="80" t="n">
        <f aca="false">IF(AND(OR($A22&lt;&gt;"",$E22&lt;&gt;""),OR($A22="",$E22="")),1,0)</f>
        <v>0</v>
      </c>
      <c r="Z22" s="80" t="n">
        <f aca="false">IF(AND($A22&lt;&gt;"",COUNTIF($A$7:$A$1006,$A22)&gt;1),1,0)</f>
        <v>0</v>
      </c>
    </row>
    <row r="23" customFormat="false" ht="15" hidden="false" customHeight="false" outlineLevel="0" collapsed="false">
      <c r="A23" s="71" t="s">
        <v>122</v>
      </c>
      <c r="B23" s="72"/>
      <c r="C23" s="73" t="s">
        <v>103</v>
      </c>
      <c r="D23" s="73" t="s">
        <v>123</v>
      </c>
      <c r="E23" s="74" t="n">
        <v>54450</v>
      </c>
      <c r="F23" s="74" t="n">
        <v>3000</v>
      </c>
      <c r="G23" s="72"/>
      <c r="H23" s="74"/>
      <c r="I23" s="72"/>
      <c r="J23" s="73"/>
      <c r="K23" s="73"/>
      <c r="L23" s="75" t="n">
        <f aca="false">IF(OR($A23&lt;&gt;"",$E23&lt;&gt;""),N($F23)+N($H23),"")</f>
        <v>3000</v>
      </c>
      <c r="M23" s="76" t="n">
        <f aca="false">IF(OR($O23="",$O23="Cancelled",$O23="Amount missing"),"",IF($O23="Realised",0,$E23-N($F23)-N($H23)))</f>
        <v>51450</v>
      </c>
      <c r="N23" s="77" t="n">
        <f aca="false">IF(OR($M23="",FX=""),"",$M23*FX)</f>
        <v>4630500</v>
      </c>
      <c r="O23" s="78" t="str">
        <f aca="false">IF(NOT(OR($A23&lt;&gt;"",$E23&lt;&gt;"")),"",IF($J23="Cancelled","Cancelled",IF($E23="","Amount missing",IF(OR($J23="Settled",$E23-N($F23)-N($H23)&lt;=0.005),"Realised",IF(N($H23)&gt;0,"Part realised",IF(N($F23)&gt;0,"Advance received","On hand"))))))</f>
        <v>Advance received</v>
      </c>
      <c r="P23" s="79" t="str">
        <f aca="false">IF(AND($V23=1,ISNUMBER($B23)),AsAt-$B23,"")</f>
        <v/>
      </c>
      <c r="Q23" s="78" t="str">
        <f aca="false">IF($V23&lt;&gt;1,"",IF($P23="","No invoice date",IF($P23&lt;=30,"0–30 days",IF($P23&lt;=60,"31–60 days",IF($P23&lt;=90,"61–90 days","Over 90 days")))))</f>
        <v>No invoice date</v>
      </c>
      <c r="R23" s="80" t="n">
        <f aca="false">IF($V23=1,ROW(),"")</f>
        <v>23</v>
      </c>
      <c r="S23" s="80" t="str">
        <f aca="false">IF(OR($A23&lt;&gt;"",$E23&lt;&gt;""),IF(TRIM($D23)="","Buyer not noted",TRIM($D23)),"")</f>
        <v>Jithin</v>
      </c>
      <c r="T23" s="81" t="n">
        <f aca="false">IF(AND($V23=1,ISNUMBER($M23)),$M23,0)</f>
        <v>51450</v>
      </c>
      <c r="U23" s="80" t="n">
        <f aca="false">IF($V23=1,IF(COUNTIFS($S$7:$S23,$S23,$V$7:$V23,1)=1,SUMIFS($T$7:$T$1006,$S$7:$S$1006,$S23)-ROW()/1000000000,""),"")</f>
        <v>104049.999999977</v>
      </c>
      <c r="V23" s="80" t="n">
        <f aca="false">IF(OR($O23="On hand",$O23="Advance received",$O23="Part realised",$O23="Amount missing"),1,0)</f>
        <v>1</v>
      </c>
      <c r="W23" s="80" t="n">
        <f aca="false">IF(AND($V23=1,N($F23)&gt;0),ROW(),"")</f>
        <v>23</v>
      </c>
      <c r="X23" s="80" t="n">
        <f aca="false">IF(AND(OR($A23&lt;&gt;"",$E23&lt;&gt;""),$O23&lt;&gt;"Cancelled",ISNUMBER($E23),N($F23)+N($H23)&gt;$E23+0.005),1,0)</f>
        <v>0</v>
      </c>
      <c r="Y23" s="80" t="n">
        <f aca="false">IF(AND(OR($A23&lt;&gt;"",$E23&lt;&gt;""),OR($A23="",$E23="")),1,0)</f>
        <v>0</v>
      </c>
      <c r="Z23" s="80" t="n">
        <f aca="false">IF(AND($A23&lt;&gt;"",COUNTIF($A$7:$A$1006,$A23)&gt;1),1,0)</f>
        <v>0</v>
      </c>
    </row>
    <row r="24" customFormat="false" ht="15" hidden="false" customHeight="false" outlineLevel="0" collapsed="false">
      <c r="A24" s="71" t="s">
        <v>124</v>
      </c>
      <c r="B24" s="72"/>
      <c r="C24" s="73" t="s">
        <v>125</v>
      </c>
      <c r="D24" s="73" t="s">
        <v>126</v>
      </c>
      <c r="E24" s="74" t="n">
        <v>122300</v>
      </c>
      <c r="F24" s="74"/>
      <c r="G24" s="72"/>
      <c r="H24" s="74"/>
      <c r="I24" s="72"/>
      <c r="J24" s="73"/>
      <c r="K24" s="73"/>
      <c r="L24" s="75" t="n">
        <f aca="false">IF(OR($A24&lt;&gt;"",$E24&lt;&gt;""),N($F24)+N($H24),"")</f>
        <v>0</v>
      </c>
      <c r="M24" s="76" t="n">
        <f aca="false">IF(OR($O24="",$O24="Cancelled",$O24="Amount missing"),"",IF($O24="Realised",0,$E24-N($F24)-N($H24)))</f>
        <v>122300</v>
      </c>
      <c r="N24" s="77" t="n">
        <f aca="false">IF(OR($M24="",FX=""),"",$M24*FX)</f>
        <v>11007000</v>
      </c>
      <c r="O24" s="78" t="str">
        <f aca="false">IF(NOT(OR($A24&lt;&gt;"",$E24&lt;&gt;"")),"",IF($J24="Cancelled","Cancelled",IF($E24="","Amount missing",IF(OR($J24="Settled",$E24-N($F24)-N($H24)&lt;=0.005),"Realised",IF(N($H24)&gt;0,"Part realised",IF(N($F24)&gt;0,"Advance received","On hand"))))))</f>
        <v>On hand</v>
      </c>
      <c r="P24" s="79" t="str">
        <f aca="false">IF(AND($V24=1,ISNUMBER($B24)),AsAt-$B24,"")</f>
        <v/>
      </c>
      <c r="Q24" s="78" t="str">
        <f aca="false">IF($V24&lt;&gt;1,"",IF($P24="","No invoice date",IF($P24&lt;=30,"0–30 days",IF($P24&lt;=60,"31–60 days",IF($P24&lt;=90,"61–90 days","Over 90 days")))))</f>
        <v>No invoice date</v>
      </c>
      <c r="R24" s="80" t="n">
        <f aca="false">IF($V24=1,ROW(),"")</f>
        <v>24</v>
      </c>
      <c r="S24" s="80" t="str">
        <f aca="false">IF(OR($A24&lt;&gt;"",$E24&lt;&gt;""),IF(TRIM($D24)="","Buyer not noted",TRIM($D24)),"")</f>
        <v>Kobe</v>
      </c>
      <c r="T24" s="81" t="n">
        <f aca="false">IF(AND($V24=1,ISNUMBER($M24)),$M24,0)</f>
        <v>122300</v>
      </c>
      <c r="U24" s="80" t="n">
        <f aca="false">IF($V24=1,IF(COUNTIFS($S$7:$S24,$S24,$V$7:$V24,1)=1,SUMIFS($T$7:$T$1006,$S$7:$S$1006,$S24)-ROW()/1000000000,""),"")</f>
        <v>122299.999999976</v>
      </c>
      <c r="V24" s="80" t="n">
        <f aca="false">IF(OR($O24="On hand",$O24="Advance received",$O24="Part realised",$O24="Amount missing"),1,0)</f>
        <v>1</v>
      </c>
      <c r="W24" s="80" t="str">
        <f aca="false">IF(AND($V24=1,N($F24)&gt;0),ROW(),"")</f>
        <v/>
      </c>
      <c r="X24" s="80" t="n">
        <f aca="false">IF(AND(OR($A24&lt;&gt;"",$E24&lt;&gt;""),$O24&lt;&gt;"Cancelled",ISNUMBER($E24),N($F24)+N($H24)&gt;$E24+0.005),1,0)</f>
        <v>0</v>
      </c>
      <c r="Y24" s="80" t="n">
        <f aca="false">IF(AND(OR($A24&lt;&gt;"",$E24&lt;&gt;""),OR($A24="",$E24="")),1,0)</f>
        <v>0</v>
      </c>
      <c r="Z24" s="80" t="n">
        <f aca="false">IF(AND($A24&lt;&gt;"",COUNTIF($A$7:$A$1006,$A24)&gt;1),1,0)</f>
        <v>0</v>
      </c>
    </row>
    <row r="25" customFormat="false" ht="15" hidden="false" customHeight="false" outlineLevel="0" collapsed="false">
      <c r="A25" s="71" t="s">
        <v>127</v>
      </c>
      <c r="B25" s="72"/>
      <c r="C25" s="73" t="s">
        <v>103</v>
      </c>
      <c r="D25" s="73" t="s">
        <v>128</v>
      </c>
      <c r="E25" s="74" t="n">
        <v>55600</v>
      </c>
      <c r="F25" s="74"/>
      <c r="G25" s="72"/>
      <c r="H25" s="74"/>
      <c r="I25" s="72"/>
      <c r="J25" s="73"/>
      <c r="K25" s="73"/>
      <c r="L25" s="75" t="n">
        <f aca="false">IF(OR($A25&lt;&gt;"",$E25&lt;&gt;""),N($F25)+N($H25),"")</f>
        <v>0</v>
      </c>
      <c r="M25" s="76" t="n">
        <f aca="false">IF(OR($O25="",$O25="Cancelled",$O25="Amount missing"),"",IF($O25="Realised",0,$E25-N($F25)-N($H25)))</f>
        <v>55600</v>
      </c>
      <c r="N25" s="77" t="n">
        <f aca="false">IF(OR($M25="",FX=""),"",$M25*FX)</f>
        <v>5004000</v>
      </c>
      <c r="O25" s="78" t="str">
        <f aca="false">IF(NOT(OR($A25&lt;&gt;"",$E25&lt;&gt;"")),"",IF($J25="Cancelled","Cancelled",IF($E25="","Amount missing",IF(OR($J25="Settled",$E25-N($F25)-N($H25)&lt;=0.005),"Realised",IF(N($H25)&gt;0,"Part realised",IF(N($F25)&gt;0,"Advance received","On hand"))))))</f>
        <v>On hand</v>
      </c>
      <c r="P25" s="79" t="str">
        <f aca="false">IF(AND($V25=1,ISNUMBER($B25)),AsAt-$B25,"")</f>
        <v/>
      </c>
      <c r="Q25" s="78" t="str">
        <f aca="false">IF($V25&lt;&gt;1,"",IF($P25="","No invoice date",IF($P25&lt;=30,"0–30 days",IF($P25&lt;=60,"31–60 days",IF($P25&lt;=90,"61–90 days","Over 90 days")))))</f>
        <v>No invoice date</v>
      </c>
      <c r="R25" s="80" t="n">
        <f aca="false">IF($V25=1,ROW(),"")</f>
        <v>25</v>
      </c>
      <c r="S25" s="80" t="str">
        <f aca="false">IF(OR($A25&lt;&gt;"",$E25&lt;&gt;""),IF(TRIM($D25)="","Buyer not noted",TRIM($D25)),"")</f>
        <v>Kaustuba, Bombay</v>
      </c>
      <c r="T25" s="81" t="n">
        <f aca="false">IF(AND($V25=1,ISNUMBER($M25)),$M25,0)</f>
        <v>55600</v>
      </c>
      <c r="U25" s="80" t="n">
        <f aca="false">IF($V25=1,IF(COUNTIFS($S$7:$S25,$S25,$V$7:$V25,1)=1,SUMIFS($T$7:$T$1006,$S$7:$S$1006,$S25)-ROW()/1000000000,""),"")</f>
        <v>55599.999999975</v>
      </c>
      <c r="V25" s="80" t="n">
        <f aca="false">IF(OR($O25="On hand",$O25="Advance received",$O25="Part realised",$O25="Amount missing"),1,0)</f>
        <v>1</v>
      </c>
      <c r="W25" s="80" t="str">
        <f aca="false">IF(AND($V25=1,N($F25)&gt;0),ROW(),"")</f>
        <v/>
      </c>
      <c r="X25" s="80" t="n">
        <f aca="false">IF(AND(OR($A25&lt;&gt;"",$E25&lt;&gt;""),$O25&lt;&gt;"Cancelled",ISNUMBER($E25),N($F25)+N($H25)&gt;$E25+0.005),1,0)</f>
        <v>0</v>
      </c>
      <c r="Y25" s="80" t="n">
        <f aca="false">IF(AND(OR($A25&lt;&gt;"",$E25&lt;&gt;""),OR($A25="",$E25="")),1,0)</f>
        <v>0</v>
      </c>
      <c r="Z25" s="80" t="n">
        <f aca="false">IF(AND($A25&lt;&gt;"",COUNTIF($A$7:$A$1006,$A25)&gt;1),1,0)</f>
        <v>0</v>
      </c>
    </row>
    <row r="26" customFormat="false" ht="15" hidden="false" customHeight="false" outlineLevel="0" collapsed="false">
      <c r="A26" s="71" t="s">
        <v>129</v>
      </c>
      <c r="B26" s="72"/>
      <c r="C26" s="73" t="s">
        <v>103</v>
      </c>
      <c r="D26" s="73" t="s">
        <v>130</v>
      </c>
      <c r="E26" s="74" t="n">
        <v>57200</v>
      </c>
      <c r="F26" s="74"/>
      <c r="G26" s="72"/>
      <c r="H26" s="74"/>
      <c r="I26" s="72"/>
      <c r="J26" s="73"/>
      <c r="K26" s="73"/>
      <c r="L26" s="75" t="n">
        <f aca="false">IF(OR($A26&lt;&gt;"",$E26&lt;&gt;""),N($F26)+N($H26),"")</f>
        <v>0</v>
      </c>
      <c r="M26" s="76" t="n">
        <f aca="false">IF(OR($O26="",$O26="Cancelled",$O26="Amount missing"),"",IF($O26="Realised",0,$E26-N($F26)-N($H26)))</f>
        <v>57200</v>
      </c>
      <c r="N26" s="77" t="n">
        <f aca="false">IF(OR($M26="",FX=""),"",$M26*FX)</f>
        <v>5148000</v>
      </c>
      <c r="O26" s="78" t="str">
        <f aca="false">IF(NOT(OR($A26&lt;&gt;"",$E26&lt;&gt;"")),"",IF($J26="Cancelled","Cancelled",IF($E26="","Amount missing",IF(OR($J26="Settled",$E26-N($F26)-N($H26)&lt;=0.005),"Realised",IF(N($H26)&gt;0,"Part realised",IF(N($F26)&gt;0,"Advance received","On hand"))))))</f>
        <v>On hand</v>
      </c>
      <c r="P26" s="79" t="str">
        <f aca="false">IF(AND($V26=1,ISNUMBER($B26)),AsAt-$B26,"")</f>
        <v/>
      </c>
      <c r="Q26" s="78" t="str">
        <f aca="false">IF($V26&lt;&gt;1,"",IF($P26="","No invoice date",IF($P26&lt;=30,"0–30 days",IF($P26&lt;=60,"31–60 days",IF($P26&lt;=90,"61–90 days","Over 90 days")))))</f>
        <v>No invoice date</v>
      </c>
      <c r="R26" s="80" t="n">
        <f aca="false">IF($V26=1,ROW(),"")</f>
        <v>26</v>
      </c>
      <c r="S26" s="80" t="str">
        <f aca="false">IF(OR($A26&lt;&gt;"",$E26&lt;&gt;""),IF(TRIM($D26)="","Buyer not noted",TRIM($D26)),"")</f>
        <v>Irfan</v>
      </c>
      <c r="T26" s="81" t="n">
        <f aca="false">IF(AND($V26=1,ISNUMBER($M26)),$M26,0)</f>
        <v>57200</v>
      </c>
      <c r="U26" s="80" t="n">
        <f aca="false">IF($V26=1,IF(COUNTIFS($S$7:$S26,$S26,$V$7:$V26,1)=1,SUMIFS($T$7:$T$1006,$S$7:$S$1006,$S26)-ROW()/1000000000,""),"")</f>
        <v>57199.999999974</v>
      </c>
      <c r="V26" s="80" t="n">
        <f aca="false">IF(OR($O26="On hand",$O26="Advance received",$O26="Part realised",$O26="Amount missing"),1,0)</f>
        <v>1</v>
      </c>
      <c r="W26" s="80" t="str">
        <f aca="false">IF(AND($V26=1,N($F26)&gt;0),ROW(),"")</f>
        <v/>
      </c>
      <c r="X26" s="80" t="n">
        <f aca="false">IF(AND(OR($A26&lt;&gt;"",$E26&lt;&gt;""),$O26&lt;&gt;"Cancelled",ISNUMBER($E26),N($F26)+N($H26)&gt;$E26+0.005),1,0)</f>
        <v>0</v>
      </c>
      <c r="Y26" s="80" t="n">
        <f aca="false">IF(AND(OR($A26&lt;&gt;"",$E26&lt;&gt;""),OR($A26="",$E26="")),1,0)</f>
        <v>0</v>
      </c>
      <c r="Z26" s="80" t="n">
        <f aca="false">IF(AND($A26&lt;&gt;"",COUNTIF($A$7:$A$1006,$A26)&gt;1),1,0)</f>
        <v>0</v>
      </c>
    </row>
    <row r="27" customFormat="false" ht="15" hidden="false" customHeight="false" outlineLevel="0" collapsed="false">
      <c r="A27" s="71" t="s">
        <v>131</v>
      </c>
      <c r="B27" s="72"/>
      <c r="C27" s="73" t="s">
        <v>103</v>
      </c>
      <c r="D27" s="73" t="s">
        <v>109</v>
      </c>
      <c r="E27" s="74" t="n">
        <v>52701.5</v>
      </c>
      <c r="F27" s="74"/>
      <c r="G27" s="72"/>
      <c r="H27" s="74"/>
      <c r="I27" s="72"/>
      <c r="J27" s="73"/>
      <c r="K27" s="73"/>
      <c r="L27" s="75" t="n">
        <f aca="false">IF(OR($A27&lt;&gt;"",$E27&lt;&gt;""),N($F27)+N($H27),"")</f>
        <v>0</v>
      </c>
      <c r="M27" s="76" t="n">
        <f aca="false">IF(OR($O27="",$O27="Cancelled",$O27="Amount missing"),"",IF($O27="Realised",0,$E27-N($F27)-N($H27)))</f>
        <v>52701.5</v>
      </c>
      <c r="N27" s="77" t="n">
        <f aca="false">IF(OR($M27="",FX=""),"",$M27*FX)</f>
        <v>4743135</v>
      </c>
      <c r="O27" s="78" t="str">
        <f aca="false">IF(NOT(OR($A27&lt;&gt;"",$E27&lt;&gt;"")),"",IF($J27="Cancelled","Cancelled",IF($E27="","Amount missing",IF(OR($J27="Settled",$E27-N($F27)-N($H27)&lt;=0.005),"Realised",IF(N($H27)&gt;0,"Part realised",IF(N($F27)&gt;0,"Advance received","On hand"))))))</f>
        <v>On hand</v>
      </c>
      <c r="P27" s="79" t="str">
        <f aca="false">IF(AND($V27=1,ISNUMBER($B27)),AsAt-$B27,"")</f>
        <v/>
      </c>
      <c r="Q27" s="78" t="str">
        <f aca="false">IF($V27&lt;&gt;1,"",IF($P27="","No invoice date",IF($P27&lt;=30,"0–30 days",IF($P27&lt;=60,"31–60 days",IF($P27&lt;=90,"61–90 days","Over 90 days")))))</f>
        <v>No invoice date</v>
      </c>
      <c r="R27" s="80" t="n">
        <f aca="false">IF($V27=1,ROW(),"")</f>
        <v>27</v>
      </c>
      <c r="S27" s="80" t="str">
        <f aca="false">IF(OR($A27&lt;&gt;"",$E27&lt;&gt;""),IF(TRIM($D27)="","Buyer not noted",TRIM($D27)),"")</f>
        <v>Aneesh</v>
      </c>
      <c r="T27" s="81" t="n">
        <f aca="false">IF(AND($V27=1,ISNUMBER($M27)),$M27,0)</f>
        <v>52701.5</v>
      </c>
      <c r="U27" s="80" t="str">
        <f aca="false">IF($V27=1,IF(COUNTIFS($S$7:$S27,$S27,$V$7:$V27,1)=1,SUMIFS($T$7:$T$1006,$S$7:$S$1006,$S27)-ROW()/1000000000,""),"")</f>
        <v/>
      </c>
      <c r="V27" s="80" t="n">
        <f aca="false">IF(OR($O27="On hand",$O27="Advance received",$O27="Part realised",$O27="Amount missing"),1,0)</f>
        <v>1</v>
      </c>
      <c r="W27" s="80" t="str">
        <f aca="false">IF(AND($V27=1,N($F27)&gt;0),ROW(),"")</f>
        <v/>
      </c>
      <c r="X27" s="80" t="n">
        <f aca="false">IF(AND(OR($A27&lt;&gt;"",$E27&lt;&gt;""),$O27&lt;&gt;"Cancelled",ISNUMBER($E27),N($F27)+N($H27)&gt;$E27+0.005),1,0)</f>
        <v>0</v>
      </c>
      <c r="Y27" s="80" t="n">
        <f aca="false">IF(AND(OR($A27&lt;&gt;"",$E27&lt;&gt;""),OR($A27="",$E27="")),1,0)</f>
        <v>0</v>
      </c>
      <c r="Z27" s="80" t="n">
        <f aca="false">IF(AND($A27&lt;&gt;"",COUNTIF($A$7:$A$1006,$A27)&gt;1),1,0)</f>
        <v>0</v>
      </c>
    </row>
    <row r="28" customFormat="false" ht="15" hidden="false" customHeight="false" outlineLevel="0" collapsed="false">
      <c r="A28" s="71" t="s">
        <v>132</v>
      </c>
      <c r="B28" s="72"/>
      <c r="C28" s="73" t="s">
        <v>103</v>
      </c>
      <c r="D28" s="73" t="s">
        <v>133</v>
      </c>
      <c r="E28" s="74" t="n">
        <v>57970</v>
      </c>
      <c r="F28" s="74" t="n">
        <v>5000</v>
      </c>
      <c r="G28" s="72"/>
      <c r="H28" s="74"/>
      <c r="I28" s="72"/>
      <c r="J28" s="73"/>
      <c r="K28" s="73"/>
      <c r="L28" s="75" t="n">
        <f aca="false">IF(OR($A28&lt;&gt;"",$E28&lt;&gt;""),N($F28)+N($H28),"")</f>
        <v>5000</v>
      </c>
      <c r="M28" s="76" t="n">
        <f aca="false">IF(OR($O28="",$O28="Cancelled",$O28="Amount missing"),"",IF($O28="Realised",0,$E28-N($F28)-N($H28)))</f>
        <v>52970</v>
      </c>
      <c r="N28" s="77" t="n">
        <f aca="false">IF(OR($M28="",FX=""),"",$M28*FX)</f>
        <v>4767300</v>
      </c>
      <c r="O28" s="78" t="str">
        <f aca="false">IF(NOT(OR($A28&lt;&gt;"",$E28&lt;&gt;"")),"",IF($J28="Cancelled","Cancelled",IF($E28="","Amount missing",IF(OR($J28="Settled",$E28-N($F28)-N($H28)&lt;=0.005),"Realised",IF(N($H28)&gt;0,"Part realised",IF(N($F28)&gt;0,"Advance received","On hand"))))))</f>
        <v>Advance received</v>
      </c>
      <c r="P28" s="79" t="str">
        <f aca="false">IF(AND($V28=1,ISNUMBER($B28)),AsAt-$B28,"")</f>
        <v/>
      </c>
      <c r="Q28" s="78" t="str">
        <f aca="false">IF($V28&lt;&gt;1,"",IF($P28="","No invoice date",IF($P28&lt;=30,"0–30 days",IF($P28&lt;=60,"31–60 days",IF($P28&lt;=90,"61–90 days","Over 90 days")))))</f>
        <v>No invoice date</v>
      </c>
      <c r="R28" s="80" t="n">
        <f aca="false">IF($V28=1,ROW(),"")</f>
        <v>28</v>
      </c>
      <c r="S28" s="80" t="str">
        <f aca="false">IF(OR($A28&lt;&gt;"",$E28&lt;&gt;""),IF(TRIM($D28)="","Buyer not noted",TRIM($D28)),"")</f>
        <v>Ramiz</v>
      </c>
      <c r="T28" s="81" t="n">
        <f aca="false">IF(AND($V28=1,ISNUMBER($M28)),$M28,0)</f>
        <v>52970</v>
      </c>
      <c r="U28" s="80" t="n">
        <f aca="false">IF($V28=1,IF(COUNTIFS($S$7:$S28,$S28,$V$7:$V28,1)=1,SUMIFS($T$7:$T$1006,$S$7:$S$1006,$S28)-ROW()/1000000000,""),"")</f>
        <v>52969.999999972</v>
      </c>
      <c r="V28" s="80" t="n">
        <f aca="false">IF(OR($O28="On hand",$O28="Advance received",$O28="Part realised",$O28="Amount missing"),1,0)</f>
        <v>1</v>
      </c>
      <c r="W28" s="80" t="n">
        <f aca="false">IF(AND($V28=1,N($F28)&gt;0),ROW(),"")</f>
        <v>28</v>
      </c>
      <c r="X28" s="80" t="n">
        <f aca="false">IF(AND(OR($A28&lt;&gt;"",$E28&lt;&gt;""),$O28&lt;&gt;"Cancelled",ISNUMBER($E28),N($F28)+N($H28)&gt;$E28+0.005),1,0)</f>
        <v>0</v>
      </c>
      <c r="Y28" s="80" t="n">
        <f aca="false">IF(AND(OR($A28&lt;&gt;"",$E28&lt;&gt;""),OR($A28="",$E28="")),1,0)</f>
        <v>0</v>
      </c>
      <c r="Z28" s="80" t="n">
        <f aca="false">IF(AND($A28&lt;&gt;"",COUNTIF($A$7:$A$1006,$A28)&gt;1),1,0)</f>
        <v>0</v>
      </c>
    </row>
    <row r="29" customFormat="false" ht="15" hidden="false" customHeight="false" outlineLevel="0" collapsed="false">
      <c r="A29" s="71" t="s">
        <v>134</v>
      </c>
      <c r="B29" s="72"/>
      <c r="C29" s="73" t="s">
        <v>103</v>
      </c>
      <c r="D29" s="73" t="s">
        <v>123</v>
      </c>
      <c r="E29" s="74" t="n">
        <v>55600</v>
      </c>
      <c r="F29" s="74" t="n">
        <v>3000</v>
      </c>
      <c r="G29" s="72"/>
      <c r="H29" s="74"/>
      <c r="I29" s="72"/>
      <c r="J29" s="73"/>
      <c r="K29" s="73"/>
      <c r="L29" s="75" t="n">
        <f aca="false">IF(OR($A29&lt;&gt;"",$E29&lt;&gt;""),N($F29)+N($H29),"")</f>
        <v>3000</v>
      </c>
      <c r="M29" s="76" t="n">
        <f aca="false">IF(OR($O29="",$O29="Cancelled",$O29="Amount missing"),"",IF($O29="Realised",0,$E29-N($F29)-N($H29)))</f>
        <v>52600</v>
      </c>
      <c r="N29" s="77" t="n">
        <f aca="false">IF(OR($M29="",FX=""),"",$M29*FX)</f>
        <v>4734000</v>
      </c>
      <c r="O29" s="78" t="str">
        <f aca="false">IF(NOT(OR($A29&lt;&gt;"",$E29&lt;&gt;"")),"",IF($J29="Cancelled","Cancelled",IF($E29="","Amount missing",IF(OR($J29="Settled",$E29-N($F29)-N($H29)&lt;=0.005),"Realised",IF(N($H29)&gt;0,"Part realised",IF(N($F29)&gt;0,"Advance received","On hand"))))))</f>
        <v>Advance received</v>
      </c>
      <c r="P29" s="79" t="str">
        <f aca="false">IF(AND($V29=1,ISNUMBER($B29)),AsAt-$B29,"")</f>
        <v/>
      </c>
      <c r="Q29" s="78" t="str">
        <f aca="false">IF($V29&lt;&gt;1,"",IF($P29="","No invoice date",IF($P29&lt;=30,"0–30 days",IF($P29&lt;=60,"31–60 days",IF($P29&lt;=90,"61–90 days","Over 90 days")))))</f>
        <v>No invoice date</v>
      </c>
      <c r="R29" s="80" t="n">
        <f aca="false">IF($V29=1,ROW(),"")</f>
        <v>29</v>
      </c>
      <c r="S29" s="80" t="str">
        <f aca="false">IF(OR($A29&lt;&gt;"",$E29&lt;&gt;""),IF(TRIM($D29)="","Buyer not noted",TRIM($D29)),"")</f>
        <v>Jithin</v>
      </c>
      <c r="T29" s="81" t="n">
        <f aca="false">IF(AND($V29=1,ISNUMBER($M29)),$M29,0)</f>
        <v>52600</v>
      </c>
      <c r="U29" s="80" t="str">
        <f aca="false">IF($V29=1,IF(COUNTIFS($S$7:$S29,$S29,$V$7:$V29,1)=1,SUMIFS($T$7:$T$1006,$S$7:$S$1006,$S29)-ROW()/1000000000,""),"")</f>
        <v/>
      </c>
      <c r="V29" s="80" t="n">
        <f aca="false">IF(OR($O29="On hand",$O29="Advance received",$O29="Part realised",$O29="Amount missing"),1,0)</f>
        <v>1</v>
      </c>
      <c r="W29" s="80" t="n">
        <f aca="false">IF(AND($V29=1,N($F29)&gt;0),ROW(),"")</f>
        <v>29</v>
      </c>
      <c r="X29" s="80" t="n">
        <f aca="false">IF(AND(OR($A29&lt;&gt;"",$E29&lt;&gt;""),$O29&lt;&gt;"Cancelled",ISNUMBER($E29),N($F29)+N($H29)&gt;$E29+0.005),1,0)</f>
        <v>0</v>
      </c>
      <c r="Y29" s="80" t="n">
        <f aca="false">IF(AND(OR($A29&lt;&gt;"",$E29&lt;&gt;""),OR($A29="",$E29="")),1,0)</f>
        <v>0</v>
      </c>
      <c r="Z29" s="80" t="n">
        <f aca="false">IF(AND($A29&lt;&gt;"",COUNTIF($A$7:$A$1006,$A29)&gt;1),1,0)</f>
        <v>0</v>
      </c>
    </row>
    <row r="30" customFormat="false" ht="15" hidden="false" customHeight="false" outlineLevel="0" collapsed="false">
      <c r="A30" s="71"/>
      <c r="B30" s="72"/>
      <c r="C30" s="73"/>
      <c r="D30" s="73"/>
      <c r="E30" s="74"/>
      <c r="F30" s="74"/>
      <c r="G30" s="72"/>
      <c r="H30" s="74"/>
      <c r="I30" s="72"/>
      <c r="J30" s="73"/>
      <c r="K30" s="73"/>
      <c r="L30" s="75" t="str">
        <f aca="false">IF(OR($A30&lt;&gt;"",$E30&lt;&gt;""),N($F30)+N($H30),"")</f>
        <v/>
      </c>
      <c r="M30" s="76" t="str">
        <f aca="false">IF(OR($O30="",$O30="Cancelled",$O30="Amount missing"),"",IF($O30="Realised",0,$E30-N($F30)-N($H30)))</f>
        <v/>
      </c>
      <c r="N30" s="77" t="str">
        <f aca="false">IF(OR($M30="",FX=""),"",$M30*FX)</f>
        <v/>
      </c>
      <c r="O30" s="78" t="str">
        <f aca="false">IF(NOT(OR($A30&lt;&gt;"",$E30&lt;&gt;"")),"",IF($J30="Cancelled","Cancelled",IF($E30="","Amount missing",IF(OR($J30="Settled",$E30-N($F30)-N($H30)&lt;=0.005),"Realised",IF(N($H30)&gt;0,"Part realised",IF(N($F30)&gt;0,"Advance received","On hand"))))))</f>
        <v/>
      </c>
      <c r="P30" s="79" t="str">
        <f aca="false">IF(AND($V30=1,ISNUMBER($B30)),AsAt-$B30,"")</f>
        <v/>
      </c>
      <c r="Q30" s="78" t="str">
        <f aca="false">IF($V30&lt;&gt;1,"",IF($P30="","No invoice date",IF($P30&lt;=30,"0–30 days",IF($P30&lt;=60,"31–60 days",IF($P30&lt;=90,"61–90 days","Over 90 days")))))</f>
        <v/>
      </c>
      <c r="R30" s="80" t="str">
        <f aca="false">IF($V30=1,ROW(),"")</f>
        <v/>
      </c>
      <c r="S30" s="80" t="str">
        <f aca="false">IF(OR($A30&lt;&gt;"",$E30&lt;&gt;""),IF(TRIM($D30)="","Buyer not noted",TRIM($D30)),"")</f>
        <v/>
      </c>
      <c r="T30" s="80" t="n">
        <f aca="false">IF(AND($V30=1,ISNUMBER($M30)),$M30,0)</f>
        <v>0</v>
      </c>
      <c r="U30" s="80" t="str">
        <f aca="false">IF($V30=1,IF(COUNTIFS($S$7:$S30,$S30,$V$7:$V30,1)=1,SUMIFS($T$7:$T$1006,$S$7:$S$1006,$S30)-ROW()/1000000000,""),"")</f>
        <v/>
      </c>
      <c r="V30" s="80" t="n">
        <f aca="false">IF(OR($O30="On hand",$O30="Advance received",$O30="Part realised",$O30="Amount missing"),1,0)</f>
        <v>0</v>
      </c>
      <c r="W30" s="80" t="str">
        <f aca="false">IF(AND($V30=1,N($F30)&gt;0),ROW(),"")</f>
        <v/>
      </c>
      <c r="X30" s="80" t="n">
        <f aca="false">IF(AND(OR($A30&lt;&gt;"",$E30&lt;&gt;""),$O30&lt;&gt;"Cancelled",ISNUMBER($E30),N($F30)+N($H30)&gt;$E30+0.005),1,0)</f>
        <v>0</v>
      </c>
      <c r="Y30" s="80" t="n">
        <f aca="false">IF(AND(OR($A30&lt;&gt;"",$E30&lt;&gt;""),OR($A30="",$E30="")),1,0)</f>
        <v>0</v>
      </c>
      <c r="Z30" s="80" t="n">
        <f aca="false">IF(AND($A30&lt;&gt;"",COUNTIF($A$7:$A$1006,$A30)&gt;1),1,0)</f>
        <v>0</v>
      </c>
    </row>
    <row r="31" customFormat="false" ht="15" hidden="false" customHeight="false" outlineLevel="0" collapsed="false">
      <c r="A31" s="71"/>
      <c r="B31" s="72"/>
      <c r="C31" s="73"/>
      <c r="D31" s="73"/>
      <c r="E31" s="74"/>
      <c r="F31" s="74"/>
      <c r="G31" s="72"/>
      <c r="H31" s="74"/>
      <c r="I31" s="72"/>
      <c r="J31" s="73"/>
      <c r="K31" s="73"/>
      <c r="L31" s="75" t="str">
        <f aca="false">IF(OR($A31&lt;&gt;"",$E31&lt;&gt;""),N($F31)+N($H31),"")</f>
        <v/>
      </c>
      <c r="M31" s="76" t="str">
        <f aca="false">IF(OR($O31="",$O31="Cancelled",$O31="Amount missing"),"",IF($O31="Realised",0,$E31-N($F31)-N($H31)))</f>
        <v/>
      </c>
      <c r="N31" s="77" t="str">
        <f aca="false">IF(OR($M31="",FX=""),"",$M31*FX)</f>
        <v/>
      </c>
      <c r="O31" s="78" t="str">
        <f aca="false">IF(NOT(OR($A31&lt;&gt;"",$E31&lt;&gt;"")),"",IF($J31="Cancelled","Cancelled",IF($E31="","Amount missing",IF(OR($J31="Settled",$E31-N($F31)-N($H31)&lt;=0.005),"Realised",IF(N($H31)&gt;0,"Part realised",IF(N($F31)&gt;0,"Advance received","On hand"))))))</f>
        <v/>
      </c>
      <c r="P31" s="79" t="str">
        <f aca="false">IF(AND($V31=1,ISNUMBER($B31)),AsAt-$B31,"")</f>
        <v/>
      </c>
      <c r="Q31" s="78" t="str">
        <f aca="false">IF($V31&lt;&gt;1,"",IF($P31="","No invoice date",IF($P31&lt;=30,"0–30 days",IF($P31&lt;=60,"31–60 days",IF($P31&lt;=90,"61–90 days","Over 90 days")))))</f>
        <v/>
      </c>
      <c r="R31" s="80" t="str">
        <f aca="false">IF($V31=1,ROW(),"")</f>
        <v/>
      </c>
      <c r="S31" s="80" t="str">
        <f aca="false">IF(OR($A31&lt;&gt;"",$E31&lt;&gt;""),IF(TRIM($D31)="","Buyer not noted",TRIM($D31)),"")</f>
        <v/>
      </c>
      <c r="T31" s="80" t="n">
        <f aca="false">IF(AND($V31=1,ISNUMBER($M31)),$M31,0)</f>
        <v>0</v>
      </c>
      <c r="U31" s="80" t="str">
        <f aca="false">IF($V31=1,IF(COUNTIFS($S$7:$S31,$S31,$V$7:$V31,1)=1,SUMIFS($T$7:$T$1006,$S$7:$S$1006,$S31)-ROW()/1000000000,""),"")</f>
        <v/>
      </c>
      <c r="V31" s="80" t="n">
        <f aca="false">IF(OR($O31="On hand",$O31="Advance received",$O31="Part realised",$O31="Amount missing"),1,0)</f>
        <v>0</v>
      </c>
      <c r="W31" s="80" t="str">
        <f aca="false">IF(AND($V31=1,N($F31)&gt;0),ROW(),"")</f>
        <v/>
      </c>
      <c r="X31" s="80" t="n">
        <f aca="false">IF(AND(OR($A31&lt;&gt;"",$E31&lt;&gt;""),$O31&lt;&gt;"Cancelled",ISNUMBER($E31),N($F31)+N($H31)&gt;$E31+0.005),1,0)</f>
        <v>0</v>
      </c>
      <c r="Y31" s="80" t="n">
        <f aca="false">IF(AND(OR($A31&lt;&gt;"",$E31&lt;&gt;""),OR($A31="",$E31="")),1,0)</f>
        <v>0</v>
      </c>
      <c r="Z31" s="80" t="n">
        <f aca="false">IF(AND($A31&lt;&gt;"",COUNTIF($A$7:$A$1006,$A31)&gt;1),1,0)</f>
        <v>0</v>
      </c>
    </row>
    <row r="32" customFormat="false" ht="15" hidden="false" customHeight="false" outlineLevel="0" collapsed="false">
      <c r="A32" s="71"/>
      <c r="B32" s="72"/>
      <c r="C32" s="73"/>
      <c r="D32" s="73"/>
      <c r="E32" s="74"/>
      <c r="F32" s="74"/>
      <c r="G32" s="72"/>
      <c r="H32" s="74"/>
      <c r="I32" s="72"/>
      <c r="J32" s="73"/>
      <c r="K32" s="73"/>
      <c r="L32" s="75" t="str">
        <f aca="false">IF(OR($A32&lt;&gt;"",$E32&lt;&gt;""),N($F32)+N($H32),"")</f>
        <v/>
      </c>
      <c r="M32" s="76" t="str">
        <f aca="false">IF(OR($O32="",$O32="Cancelled",$O32="Amount missing"),"",IF($O32="Realised",0,$E32-N($F32)-N($H32)))</f>
        <v/>
      </c>
      <c r="N32" s="77" t="str">
        <f aca="false">IF(OR($M32="",FX=""),"",$M32*FX)</f>
        <v/>
      </c>
      <c r="O32" s="78" t="str">
        <f aca="false">IF(NOT(OR($A32&lt;&gt;"",$E32&lt;&gt;"")),"",IF($J32="Cancelled","Cancelled",IF($E32="","Amount missing",IF(OR($J32="Settled",$E32-N($F32)-N($H32)&lt;=0.005),"Realised",IF(N($H32)&gt;0,"Part realised",IF(N($F32)&gt;0,"Advance received","On hand"))))))</f>
        <v/>
      </c>
      <c r="P32" s="79" t="str">
        <f aca="false">IF(AND($V32=1,ISNUMBER($B32)),AsAt-$B32,"")</f>
        <v/>
      </c>
      <c r="Q32" s="78" t="str">
        <f aca="false">IF($V32&lt;&gt;1,"",IF($P32="","No invoice date",IF($P32&lt;=30,"0–30 days",IF($P32&lt;=60,"31–60 days",IF($P32&lt;=90,"61–90 days","Over 90 days")))))</f>
        <v/>
      </c>
      <c r="R32" s="80" t="str">
        <f aca="false">IF($V32=1,ROW(),"")</f>
        <v/>
      </c>
      <c r="S32" s="80" t="str">
        <f aca="false">IF(OR($A32&lt;&gt;"",$E32&lt;&gt;""),IF(TRIM($D32)="","Buyer not noted",TRIM($D32)),"")</f>
        <v/>
      </c>
      <c r="T32" s="80" t="n">
        <f aca="false">IF(AND($V32=1,ISNUMBER($M32)),$M32,0)</f>
        <v>0</v>
      </c>
      <c r="U32" s="80" t="str">
        <f aca="false">IF($V32=1,IF(COUNTIFS($S$7:$S32,$S32,$V$7:$V32,1)=1,SUMIFS($T$7:$T$1006,$S$7:$S$1006,$S32)-ROW()/1000000000,""),"")</f>
        <v/>
      </c>
      <c r="V32" s="80" t="n">
        <f aca="false">IF(OR($O32="On hand",$O32="Advance received",$O32="Part realised",$O32="Amount missing"),1,0)</f>
        <v>0</v>
      </c>
      <c r="W32" s="80" t="str">
        <f aca="false">IF(AND($V32=1,N($F32)&gt;0),ROW(),"")</f>
        <v/>
      </c>
      <c r="X32" s="80" t="n">
        <f aca="false">IF(AND(OR($A32&lt;&gt;"",$E32&lt;&gt;""),$O32&lt;&gt;"Cancelled",ISNUMBER($E32),N($F32)+N($H32)&gt;$E32+0.005),1,0)</f>
        <v>0</v>
      </c>
      <c r="Y32" s="80" t="n">
        <f aca="false">IF(AND(OR($A32&lt;&gt;"",$E32&lt;&gt;""),OR($A32="",$E32="")),1,0)</f>
        <v>0</v>
      </c>
      <c r="Z32" s="80" t="n">
        <f aca="false">IF(AND($A32&lt;&gt;"",COUNTIF($A$7:$A$1006,$A32)&gt;1),1,0)</f>
        <v>0</v>
      </c>
    </row>
    <row r="33" customFormat="false" ht="15" hidden="false" customHeight="false" outlineLevel="0" collapsed="false">
      <c r="A33" s="71"/>
      <c r="B33" s="72"/>
      <c r="C33" s="73"/>
      <c r="D33" s="73"/>
      <c r="E33" s="74"/>
      <c r="F33" s="74"/>
      <c r="G33" s="72"/>
      <c r="H33" s="74"/>
      <c r="I33" s="72"/>
      <c r="J33" s="73"/>
      <c r="K33" s="73"/>
      <c r="L33" s="75" t="str">
        <f aca="false">IF(OR($A33&lt;&gt;"",$E33&lt;&gt;""),N($F33)+N($H33),"")</f>
        <v/>
      </c>
      <c r="M33" s="76" t="str">
        <f aca="false">IF(OR($O33="",$O33="Cancelled",$O33="Amount missing"),"",IF($O33="Realised",0,$E33-N($F33)-N($H33)))</f>
        <v/>
      </c>
      <c r="N33" s="77" t="str">
        <f aca="false">IF(OR($M33="",FX=""),"",$M33*FX)</f>
        <v/>
      </c>
      <c r="O33" s="78" t="str">
        <f aca="false">IF(NOT(OR($A33&lt;&gt;"",$E33&lt;&gt;"")),"",IF($J33="Cancelled","Cancelled",IF($E33="","Amount missing",IF(OR($J33="Settled",$E33-N($F33)-N($H33)&lt;=0.005),"Realised",IF(N($H33)&gt;0,"Part realised",IF(N($F33)&gt;0,"Advance received","On hand"))))))</f>
        <v/>
      </c>
      <c r="P33" s="79" t="str">
        <f aca="false">IF(AND($V33=1,ISNUMBER($B33)),AsAt-$B33,"")</f>
        <v/>
      </c>
      <c r="Q33" s="78" t="str">
        <f aca="false">IF($V33&lt;&gt;1,"",IF($P33="","No invoice date",IF($P33&lt;=30,"0–30 days",IF($P33&lt;=60,"31–60 days",IF($P33&lt;=90,"61–90 days","Over 90 days")))))</f>
        <v/>
      </c>
      <c r="R33" s="80" t="str">
        <f aca="false">IF($V33=1,ROW(),"")</f>
        <v/>
      </c>
      <c r="S33" s="80" t="str">
        <f aca="false">IF(OR($A33&lt;&gt;"",$E33&lt;&gt;""),IF(TRIM($D33)="","Buyer not noted",TRIM($D33)),"")</f>
        <v/>
      </c>
      <c r="T33" s="80" t="n">
        <f aca="false">IF(AND($V33=1,ISNUMBER($M33)),$M33,0)</f>
        <v>0</v>
      </c>
      <c r="U33" s="80" t="str">
        <f aca="false">IF($V33=1,IF(COUNTIFS($S$7:$S33,$S33,$V$7:$V33,1)=1,SUMIFS($T$7:$T$1006,$S$7:$S$1006,$S33)-ROW()/1000000000,""),"")</f>
        <v/>
      </c>
      <c r="V33" s="80" t="n">
        <f aca="false">IF(OR($O33="On hand",$O33="Advance received",$O33="Part realised",$O33="Amount missing"),1,0)</f>
        <v>0</v>
      </c>
      <c r="W33" s="80" t="str">
        <f aca="false">IF(AND($V33=1,N($F33)&gt;0),ROW(),"")</f>
        <v/>
      </c>
      <c r="X33" s="80" t="n">
        <f aca="false">IF(AND(OR($A33&lt;&gt;"",$E33&lt;&gt;""),$O33&lt;&gt;"Cancelled",ISNUMBER($E33),N($F33)+N($H33)&gt;$E33+0.005),1,0)</f>
        <v>0</v>
      </c>
      <c r="Y33" s="80" t="n">
        <f aca="false">IF(AND(OR($A33&lt;&gt;"",$E33&lt;&gt;""),OR($A33="",$E33="")),1,0)</f>
        <v>0</v>
      </c>
      <c r="Z33" s="80" t="n">
        <f aca="false">IF(AND($A33&lt;&gt;"",COUNTIF($A$7:$A$1006,$A33)&gt;1),1,0)</f>
        <v>0</v>
      </c>
    </row>
    <row r="34" customFormat="false" ht="15" hidden="false" customHeight="false" outlineLevel="0" collapsed="false">
      <c r="A34" s="71"/>
      <c r="B34" s="72"/>
      <c r="C34" s="73"/>
      <c r="D34" s="73"/>
      <c r="E34" s="74"/>
      <c r="F34" s="74"/>
      <c r="G34" s="72"/>
      <c r="H34" s="74"/>
      <c r="I34" s="72"/>
      <c r="J34" s="73"/>
      <c r="K34" s="73"/>
      <c r="L34" s="75" t="str">
        <f aca="false">IF(OR($A34&lt;&gt;"",$E34&lt;&gt;""),N($F34)+N($H34),"")</f>
        <v/>
      </c>
      <c r="M34" s="76" t="str">
        <f aca="false">IF(OR($O34="",$O34="Cancelled",$O34="Amount missing"),"",IF($O34="Realised",0,$E34-N($F34)-N($H34)))</f>
        <v/>
      </c>
      <c r="N34" s="77" t="str">
        <f aca="false">IF(OR($M34="",FX=""),"",$M34*FX)</f>
        <v/>
      </c>
      <c r="O34" s="78" t="str">
        <f aca="false">IF(NOT(OR($A34&lt;&gt;"",$E34&lt;&gt;"")),"",IF($J34="Cancelled","Cancelled",IF($E34="","Amount missing",IF(OR($J34="Settled",$E34-N($F34)-N($H34)&lt;=0.005),"Realised",IF(N($H34)&gt;0,"Part realised",IF(N($F34)&gt;0,"Advance received","On hand"))))))</f>
        <v/>
      </c>
      <c r="P34" s="79" t="str">
        <f aca="false">IF(AND($V34=1,ISNUMBER($B34)),AsAt-$B34,"")</f>
        <v/>
      </c>
      <c r="Q34" s="78" t="str">
        <f aca="false">IF($V34&lt;&gt;1,"",IF($P34="","No invoice date",IF($P34&lt;=30,"0–30 days",IF($P34&lt;=60,"31–60 days",IF($P34&lt;=90,"61–90 days","Over 90 days")))))</f>
        <v/>
      </c>
      <c r="R34" s="80" t="str">
        <f aca="false">IF($V34=1,ROW(),"")</f>
        <v/>
      </c>
      <c r="S34" s="80" t="str">
        <f aca="false">IF(OR($A34&lt;&gt;"",$E34&lt;&gt;""),IF(TRIM($D34)="","Buyer not noted",TRIM($D34)),"")</f>
        <v/>
      </c>
      <c r="T34" s="80" t="n">
        <f aca="false">IF(AND($V34=1,ISNUMBER($M34)),$M34,0)</f>
        <v>0</v>
      </c>
      <c r="U34" s="80" t="str">
        <f aca="false">IF($V34=1,IF(COUNTIFS($S$7:$S34,$S34,$V$7:$V34,1)=1,SUMIFS($T$7:$T$1006,$S$7:$S$1006,$S34)-ROW()/1000000000,""),"")</f>
        <v/>
      </c>
      <c r="V34" s="80" t="n">
        <f aca="false">IF(OR($O34="On hand",$O34="Advance received",$O34="Part realised",$O34="Amount missing"),1,0)</f>
        <v>0</v>
      </c>
      <c r="W34" s="80" t="str">
        <f aca="false">IF(AND($V34=1,N($F34)&gt;0),ROW(),"")</f>
        <v/>
      </c>
      <c r="X34" s="80" t="n">
        <f aca="false">IF(AND(OR($A34&lt;&gt;"",$E34&lt;&gt;""),$O34&lt;&gt;"Cancelled",ISNUMBER($E34),N($F34)+N($H34)&gt;$E34+0.005),1,0)</f>
        <v>0</v>
      </c>
      <c r="Y34" s="80" t="n">
        <f aca="false">IF(AND(OR($A34&lt;&gt;"",$E34&lt;&gt;""),OR($A34="",$E34="")),1,0)</f>
        <v>0</v>
      </c>
      <c r="Z34" s="80" t="n">
        <f aca="false">IF(AND($A34&lt;&gt;"",COUNTIF($A$7:$A$1006,$A34)&gt;1),1,0)</f>
        <v>0</v>
      </c>
    </row>
    <row r="35" customFormat="false" ht="15" hidden="false" customHeight="false" outlineLevel="0" collapsed="false">
      <c r="A35" s="71"/>
      <c r="B35" s="72"/>
      <c r="C35" s="73"/>
      <c r="D35" s="73"/>
      <c r="E35" s="74"/>
      <c r="F35" s="74"/>
      <c r="G35" s="72"/>
      <c r="H35" s="74"/>
      <c r="I35" s="72"/>
      <c r="J35" s="73"/>
      <c r="K35" s="73"/>
      <c r="L35" s="75" t="str">
        <f aca="false">IF(OR($A35&lt;&gt;"",$E35&lt;&gt;""),N($F35)+N($H35),"")</f>
        <v/>
      </c>
      <c r="M35" s="76" t="str">
        <f aca="false">IF(OR($O35="",$O35="Cancelled",$O35="Amount missing"),"",IF($O35="Realised",0,$E35-N($F35)-N($H35)))</f>
        <v/>
      </c>
      <c r="N35" s="77" t="str">
        <f aca="false">IF(OR($M35="",FX=""),"",$M35*FX)</f>
        <v/>
      </c>
      <c r="O35" s="78" t="str">
        <f aca="false">IF(NOT(OR($A35&lt;&gt;"",$E35&lt;&gt;"")),"",IF($J35="Cancelled","Cancelled",IF($E35="","Amount missing",IF(OR($J35="Settled",$E35-N($F35)-N($H35)&lt;=0.005),"Realised",IF(N($H35)&gt;0,"Part realised",IF(N($F35)&gt;0,"Advance received","On hand"))))))</f>
        <v/>
      </c>
      <c r="P35" s="79" t="str">
        <f aca="false">IF(AND($V35=1,ISNUMBER($B35)),AsAt-$B35,"")</f>
        <v/>
      </c>
      <c r="Q35" s="78" t="str">
        <f aca="false">IF($V35&lt;&gt;1,"",IF($P35="","No invoice date",IF($P35&lt;=30,"0–30 days",IF($P35&lt;=60,"31–60 days",IF($P35&lt;=90,"61–90 days","Over 90 days")))))</f>
        <v/>
      </c>
      <c r="R35" s="80" t="str">
        <f aca="false">IF($V35=1,ROW(),"")</f>
        <v/>
      </c>
      <c r="S35" s="80" t="str">
        <f aca="false">IF(OR($A35&lt;&gt;"",$E35&lt;&gt;""),IF(TRIM($D35)="","Buyer not noted",TRIM($D35)),"")</f>
        <v/>
      </c>
      <c r="T35" s="80" t="n">
        <f aca="false">IF(AND($V35=1,ISNUMBER($M35)),$M35,0)</f>
        <v>0</v>
      </c>
      <c r="U35" s="80" t="str">
        <f aca="false">IF($V35=1,IF(COUNTIFS($S$7:$S35,$S35,$V$7:$V35,1)=1,SUMIFS($T$7:$T$1006,$S$7:$S$1006,$S35)-ROW()/1000000000,""),"")</f>
        <v/>
      </c>
      <c r="V35" s="80" t="n">
        <f aca="false">IF(OR($O35="On hand",$O35="Advance received",$O35="Part realised",$O35="Amount missing"),1,0)</f>
        <v>0</v>
      </c>
      <c r="W35" s="80" t="str">
        <f aca="false">IF(AND($V35=1,N($F35)&gt;0),ROW(),"")</f>
        <v/>
      </c>
      <c r="X35" s="80" t="n">
        <f aca="false">IF(AND(OR($A35&lt;&gt;"",$E35&lt;&gt;""),$O35&lt;&gt;"Cancelled",ISNUMBER($E35),N($F35)+N($H35)&gt;$E35+0.005),1,0)</f>
        <v>0</v>
      </c>
      <c r="Y35" s="80" t="n">
        <f aca="false">IF(AND(OR($A35&lt;&gt;"",$E35&lt;&gt;""),OR($A35="",$E35="")),1,0)</f>
        <v>0</v>
      </c>
      <c r="Z35" s="80" t="n">
        <f aca="false">IF(AND($A35&lt;&gt;"",COUNTIF($A$7:$A$1006,$A35)&gt;1),1,0)</f>
        <v>0</v>
      </c>
    </row>
    <row r="36" customFormat="false" ht="15" hidden="false" customHeight="false" outlineLevel="0" collapsed="false">
      <c r="A36" s="71"/>
      <c r="B36" s="72"/>
      <c r="C36" s="73"/>
      <c r="D36" s="73"/>
      <c r="E36" s="74"/>
      <c r="F36" s="74"/>
      <c r="G36" s="72"/>
      <c r="H36" s="74"/>
      <c r="I36" s="72"/>
      <c r="J36" s="73"/>
      <c r="K36" s="73"/>
      <c r="L36" s="75" t="str">
        <f aca="false">IF(OR($A36&lt;&gt;"",$E36&lt;&gt;""),N($F36)+N($H36),"")</f>
        <v/>
      </c>
      <c r="M36" s="76" t="str">
        <f aca="false">IF(OR($O36="",$O36="Cancelled",$O36="Amount missing"),"",IF($O36="Realised",0,$E36-N($F36)-N($H36)))</f>
        <v/>
      </c>
      <c r="N36" s="77" t="str">
        <f aca="false">IF(OR($M36="",FX=""),"",$M36*FX)</f>
        <v/>
      </c>
      <c r="O36" s="78" t="str">
        <f aca="false">IF(NOT(OR($A36&lt;&gt;"",$E36&lt;&gt;"")),"",IF($J36="Cancelled","Cancelled",IF($E36="","Amount missing",IF(OR($J36="Settled",$E36-N($F36)-N($H36)&lt;=0.005),"Realised",IF(N($H36)&gt;0,"Part realised",IF(N($F36)&gt;0,"Advance received","On hand"))))))</f>
        <v/>
      </c>
      <c r="P36" s="79" t="str">
        <f aca="false">IF(AND($V36=1,ISNUMBER($B36)),AsAt-$B36,"")</f>
        <v/>
      </c>
      <c r="Q36" s="78" t="str">
        <f aca="false">IF($V36&lt;&gt;1,"",IF($P36="","No invoice date",IF($P36&lt;=30,"0–30 days",IF($P36&lt;=60,"31–60 days",IF($P36&lt;=90,"61–90 days","Over 90 days")))))</f>
        <v/>
      </c>
      <c r="R36" s="80" t="str">
        <f aca="false">IF($V36=1,ROW(),"")</f>
        <v/>
      </c>
      <c r="S36" s="80" t="str">
        <f aca="false">IF(OR($A36&lt;&gt;"",$E36&lt;&gt;""),IF(TRIM($D36)="","Buyer not noted",TRIM($D36)),"")</f>
        <v/>
      </c>
      <c r="T36" s="80" t="n">
        <f aca="false">IF(AND($V36=1,ISNUMBER($M36)),$M36,0)</f>
        <v>0</v>
      </c>
      <c r="U36" s="80" t="str">
        <f aca="false">IF($V36=1,IF(COUNTIFS($S$7:$S36,$S36,$V$7:$V36,1)=1,SUMIFS($T$7:$T$1006,$S$7:$S$1006,$S36)-ROW()/1000000000,""),"")</f>
        <v/>
      </c>
      <c r="V36" s="80" t="n">
        <f aca="false">IF(OR($O36="On hand",$O36="Advance received",$O36="Part realised",$O36="Amount missing"),1,0)</f>
        <v>0</v>
      </c>
      <c r="W36" s="80" t="str">
        <f aca="false">IF(AND($V36=1,N($F36)&gt;0),ROW(),"")</f>
        <v/>
      </c>
      <c r="X36" s="80" t="n">
        <f aca="false">IF(AND(OR($A36&lt;&gt;"",$E36&lt;&gt;""),$O36&lt;&gt;"Cancelled",ISNUMBER($E36),N($F36)+N($H36)&gt;$E36+0.005),1,0)</f>
        <v>0</v>
      </c>
      <c r="Y36" s="80" t="n">
        <f aca="false">IF(AND(OR($A36&lt;&gt;"",$E36&lt;&gt;""),OR($A36="",$E36="")),1,0)</f>
        <v>0</v>
      </c>
      <c r="Z36" s="80" t="n">
        <f aca="false">IF(AND($A36&lt;&gt;"",COUNTIF($A$7:$A$1006,$A36)&gt;1),1,0)</f>
        <v>0</v>
      </c>
    </row>
    <row r="37" customFormat="false" ht="15" hidden="false" customHeight="false" outlineLevel="0" collapsed="false">
      <c r="A37" s="71"/>
      <c r="B37" s="72"/>
      <c r="C37" s="73"/>
      <c r="D37" s="73"/>
      <c r="E37" s="74"/>
      <c r="F37" s="74"/>
      <c r="G37" s="72"/>
      <c r="H37" s="74"/>
      <c r="I37" s="72"/>
      <c r="J37" s="73"/>
      <c r="K37" s="73"/>
      <c r="L37" s="75" t="str">
        <f aca="false">IF(OR($A37&lt;&gt;"",$E37&lt;&gt;""),N($F37)+N($H37),"")</f>
        <v/>
      </c>
      <c r="M37" s="76" t="str">
        <f aca="false">IF(OR($O37="",$O37="Cancelled",$O37="Amount missing"),"",IF($O37="Realised",0,$E37-N($F37)-N($H37)))</f>
        <v/>
      </c>
      <c r="N37" s="77" t="str">
        <f aca="false">IF(OR($M37="",FX=""),"",$M37*FX)</f>
        <v/>
      </c>
      <c r="O37" s="78" t="str">
        <f aca="false">IF(NOT(OR($A37&lt;&gt;"",$E37&lt;&gt;"")),"",IF($J37="Cancelled","Cancelled",IF($E37="","Amount missing",IF(OR($J37="Settled",$E37-N($F37)-N($H37)&lt;=0.005),"Realised",IF(N($H37)&gt;0,"Part realised",IF(N($F37)&gt;0,"Advance received","On hand"))))))</f>
        <v/>
      </c>
      <c r="P37" s="79" t="str">
        <f aca="false">IF(AND($V37=1,ISNUMBER($B37)),AsAt-$B37,"")</f>
        <v/>
      </c>
      <c r="Q37" s="78" t="str">
        <f aca="false">IF($V37&lt;&gt;1,"",IF($P37="","No invoice date",IF($P37&lt;=30,"0–30 days",IF($P37&lt;=60,"31–60 days",IF($P37&lt;=90,"61–90 days","Over 90 days")))))</f>
        <v/>
      </c>
      <c r="R37" s="80" t="str">
        <f aca="false">IF($V37=1,ROW(),"")</f>
        <v/>
      </c>
      <c r="S37" s="80" t="str">
        <f aca="false">IF(OR($A37&lt;&gt;"",$E37&lt;&gt;""),IF(TRIM($D37)="","Buyer not noted",TRIM($D37)),"")</f>
        <v/>
      </c>
      <c r="T37" s="80" t="n">
        <f aca="false">IF(AND($V37=1,ISNUMBER($M37)),$M37,0)</f>
        <v>0</v>
      </c>
      <c r="U37" s="80" t="str">
        <f aca="false">IF($V37=1,IF(COUNTIFS($S$7:$S37,$S37,$V$7:$V37,1)=1,SUMIFS($T$7:$T$1006,$S$7:$S$1006,$S37)-ROW()/1000000000,""),"")</f>
        <v/>
      </c>
      <c r="V37" s="80" t="n">
        <f aca="false">IF(OR($O37="On hand",$O37="Advance received",$O37="Part realised",$O37="Amount missing"),1,0)</f>
        <v>0</v>
      </c>
      <c r="W37" s="80" t="str">
        <f aca="false">IF(AND($V37=1,N($F37)&gt;0),ROW(),"")</f>
        <v/>
      </c>
      <c r="X37" s="80" t="n">
        <f aca="false">IF(AND(OR($A37&lt;&gt;"",$E37&lt;&gt;""),$O37&lt;&gt;"Cancelled",ISNUMBER($E37),N($F37)+N($H37)&gt;$E37+0.005),1,0)</f>
        <v>0</v>
      </c>
      <c r="Y37" s="80" t="n">
        <f aca="false">IF(AND(OR($A37&lt;&gt;"",$E37&lt;&gt;""),OR($A37="",$E37="")),1,0)</f>
        <v>0</v>
      </c>
      <c r="Z37" s="80" t="n">
        <f aca="false">IF(AND($A37&lt;&gt;"",COUNTIF($A$7:$A$1006,$A37)&gt;1),1,0)</f>
        <v>0</v>
      </c>
    </row>
    <row r="38" customFormat="false" ht="15" hidden="false" customHeight="false" outlineLevel="0" collapsed="false">
      <c r="A38" s="71"/>
      <c r="B38" s="72"/>
      <c r="C38" s="73"/>
      <c r="D38" s="73"/>
      <c r="E38" s="74"/>
      <c r="F38" s="74"/>
      <c r="G38" s="72"/>
      <c r="H38" s="74"/>
      <c r="I38" s="72"/>
      <c r="J38" s="73"/>
      <c r="K38" s="73"/>
      <c r="L38" s="75" t="str">
        <f aca="false">IF(OR($A38&lt;&gt;"",$E38&lt;&gt;""),N($F38)+N($H38),"")</f>
        <v/>
      </c>
      <c r="M38" s="76" t="str">
        <f aca="false">IF(OR($O38="",$O38="Cancelled",$O38="Amount missing"),"",IF($O38="Realised",0,$E38-N($F38)-N($H38)))</f>
        <v/>
      </c>
      <c r="N38" s="77" t="str">
        <f aca="false">IF(OR($M38="",FX=""),"",$M38*FX)</f>
        <v/>
      </c>
      <c r="O38" s="78" t="str">
        <f aca="false">IF(NOT(OR($A38&lt;&gt;"",$E38&lt;&gt;"")),"",IF($J38="Cancelled","Cancelled",IF($E38="","Amount missing",IF(OR($J38="Settled",$E38-N($F38)-N($H38)&lt;=0.005),"Realised",IF(N($H38)&gt;0,"Part realised",IF(N($F38)&gt;0,"Advance received","On hand"))))))</f>
        <v/>
      </c>
      <c r="P38" s="79" t="str">
        <f aca="false">IF(AND($V38=1,ISNUMBER($B38)),AsAt-$B38,"")</f>
        <v/>
      </c>
      <c r="Q38" s="78" t="str">
        <f aca="false">IF($V38&lt;&gt;1,"",IF($P38="","No invoice date",IF($P38&lt;=30,"0–30 days",IF($P38&lt;=60,"31–60 days",IF($P38&lt;=90,"61–90 days","Over 90 days")))))</f>
        <v/>
      </c>
      <c r="R38" s="80" t="str">
        <f aca="false">IF($V38=1,ROW(),"")</f>
        <v/>
      </c>
      <c r="S38" s="80" t="str">
        <f aca="false">IF(OR($A38&lt;&gt;"",$E38&lt;&gt;""),IF(TRIM($D38)="","Buyer not noted",TRIM($D38)),"")</f>
        <v/>
      </c>
      <c r="T38" s="80" t="n">
        <f aca="false">IF(AND($V38=1,ISNUMBER($M38)),$M38,0)</f>
        <v>0</v>
      </c>
      <c r="U38" s="80" t="str">
        <f aca="false">IF($V38=1,IF(COUNTIFS($S$7:$S38,$S38,$V$7:$V38,1)=1,SUMIFS($T$7:$T$1006,$S$7:$S$1006,$S38)-ROW()/1000000000,""),"")</f>
        <v/>
      </c>
      <c r="V38" s="80" t="n">
        <f aca="false">IF(OR($O38="On hand",$O38="Advance received",$O38="Part realised",$O38="Amount missing"),1,0)</f>
        <v>0</v>
      </c>
      <c r="W38" s="80" t="str">
        <f aca="false">IF(AND($V38=1,N($F38)&gt;0),ROW(),"")</f>
        <v/>
      </c>
      <c r="X38" s="80" t="n">
        <f aca="false">IF(AND(OR($A38&lt;&gt;"",$E38&lt;&gt;""),$O38&lt;&gt;"Cancelled",ISNUMBER($E38),N($F38)+N($H38)&gt;$E38+0.005),1,0)</f>
        <v>0</v>
      </c>
      <c r="Y38" s="80" t="n">
        <f aca="false">IF(AND(OR($A38&lt;&gt;"",$E38&lt;&gt;""),OR($A38="",$E38="")),1,0)</f>
        <v>0</v>
      </c>
      <c r="Z38" s="80" t="n">
        <f aca="false">IF(AND($A38&lt;&gt;"",COUNTIF($A$7:$A$1006,$A38)&gt;1),1,0)</f>
        <v>0</v>
      </c>
    </row>
    <row r="39" customFormat="false" ht="15" hidden="false" customHeight="false" outlineLevel="0" collapsed="false">
      <c r="A39" s="71"/>
      <c r="B39" s="72"/>
      <c r="C39" s="73"/>
      <c r="D39" s="73"/>
      <c r="E39" s="74"/>
      <c r="F39" s="74"/>
      <c r="G39" s="72"/>
      <c r="H39" s="74"/>
      <c r="I39" s="72"/>
      <c r="J39" s="73"/>
      <c r="K39" s="73"/>
      <c r="L39" s="75" t="str">
        <f aca="false">IF(OR($A39&lt;&gt;"",$E39&lt;&gt;""),N($F39)+N($H39),"")</f>
        <v/>
      </c>
      <c r="M39" s="76" t="str">
        <f aca="false">IF(OR($O39="",$O39="Cancelled",$O39="Amount missing"),"",IF($O39="Realised",0,$E39-N($F39)-N($H39)))</f>
        <v/>
      </c>
      <c r="N39" s="77" t="str">
        <f aca="false">IF(OR($M39="",FX=""),"",$M39*FX)</f>
        <v/>
      </c>
      <c r="O39" s="78" t="str">
        <f aca="false">IF(NOT(OR($A39&lt;&gt;"",$E39&lt;&gt;"")),"",IF($J39="Cancelled","Cancelled",IF($E39="","Amount missing",IF(OR($J39="Settled",$E39-N($F39)-N($H39)&lt;=0.005),"Realised",IF(N($H39)&gt;0,"Part realised",IF(N($F39)&gt;0,"Advance received","On hand"))))))</f>
        <v/>
      </c>
      <c r="P39" s="79" t="str">
        <f aca="false">IF(AND($V39=1,ISNUMBER($B39)),AsAt-$B39,"")</f>
        <v/>
      </c>
      <c r="Q39" s="78" t="str">
        <f aca="false">IF($V39&lt;&gt;1,"",IF($P39="","No invoice date",IF($P39&lt;=30,"0–30 days",IF($P39&lt;=60,"31–60 days",IF($P39&lt;=90,"61–90 days","Over 90 days")))))</f>
        <v/>
      </c>
      <c r="R39" s="80" t="str">
        <f aca="false">IF($V39=1,ROW(),"")</f>
        <v/>
      </c>
      <c r="S39" s="80" t="str">
        <f aca="false">IF(OR($A39&lt;&gt;"",$E39&lt;&gt;""),IF(TRIM($D39)="","Buyer not noted",TRIM($D39)),"")</f>
        <v/>
      </c>
      <c r="T39" s="80" t="n">
        <f aca="false">IF(AND($V39=1,ISNUMBER($M39)),$M39,0)</f>
        <v>0</v>
      </c>
      <c r="U39" s="80" t="str">
        <f aca="false">IF($V39=1,IF(COUNTIFS($S$7:$S39,$S39,$V$7:$V39,1)=1,SUMIFS($T$7:$T$1006,$S$7:$S$1006,$S39)-ROW()/1000000000,""),"")</f>
        <v/>
      </c>
      <c r="V39" s="80" t="n">
        <f aca="false">IF(OR($O39="On hand",$O39="Advance received",$O39="Part realised",$O39="Amount missing"),1,0)</f>
        <v>0</v>
      </c>
      <c r="W39" s="80" t="str">
        <f aca="false">IF(AND($V39=1,N($F39)&gt;0),ROW(),"")</f>
        <v/>
      </c>
      <c r="X39" s="80" t="n">
        <f aca="false">IF(AND(OR($A39&lt;&gt;"",$E39&lt;&gt;""),$O39&lt;&gt;"Cancelled",ISNUMBER($E39),N($F39)+N($H39)&gt;$E39+0.005),1,0)</f>
        <v>0</v>
      </c>
      <c r="Y39" s="80" t="n">
        <f aca="false">IF(AND(OR($A39&lt;&gt;"",$E39&lt;&gt;""),OR($A39="",$E39="")),1,0)</f>
        <v>0</v>
      </c>
      <c r="Z39" s="80" t="n">
        <f aca="false">IF(AND($A39&lt;&gt;"",COUNTIF($A$7:$A$1006,$A39)&gt;1),1,0)</f>
        <v>0</v>
      </c>
    </row>
    <row r="40" customFormat="false" ht="15" hidden="false" customHeight="false" outlineLevel="0" collapsed="false">
      <c r="A40" s="71"/>
      <c r="B40" s="72"/>
      <c r="C40" s="73"/>
      <c r="D40" s="73"/>
      <c r="E40" s="74"/>
      <c r="F40" s="74"/>
      <c r="G40" s="72"/>
      <c r="H40" s="74"/>
      <c r="I40" s="72"/>
      <c r="J40" s="73"/>
      <c r="K40" s="73"/>
      <c r="L40" s="75" t="str">
        <f aca="false">IF(OR($A40&lt;&gt;"",$E40&lt;&gt;""),N($F40)+N($H40),"")</f>
        <v/>
      </c>
      <c r="M40" s="76" t="str">
        <f aca="false">IF(OR($O40="",$O40="Cancelled",$O40="Amount missing"),"",IF($O40="Realised",0,$E40-N($F40)-N($H40)))</f>
        <v/>
      </c>
      <c r="N40" s="77" t="str">
        <f aca="false">IF(OR($M40="",FX=""),"",$M40*FX)</f>
        <v/>
      </c>
      <c r="O40" s="78" t="str">
        <f aca="false">IF(NOT(OR($A40&lt;&gt;"",$E40&lt;&gt;"")),"",IF($J40="Cancelled","Cancelled",IF($E40="","Amount missing",IF(OR($J40="Settled",$E40-N($F40)-N($H40)&lt;=0.005),"Realised",IF(N($H40)&gt;0,"Part realised",IF(N($F40)&gt;0,"Advance received","On hand"))))))</f>
        <v/>
      </c>
      <c r="P40" s="79" t="str">
        <f aca="false">IF(AND($V40=1,ISNUMBER($B40)),AsAt-$B40,"")</f>
        <v/>
      </c>
      <c r="Q40" s="78" t="str">
        <f aca="false">IF($V40&lt;&gt;1,"",IF($P40="","No invoice date",IF($P40&lt;=30,"0–30 days",IF($P40&lt;=60,"31–60 days",IF($P40&lt;=90,"61–90 days","Over 90 days")))))</f>
        <v/>
      </c>
      <c r="R40" s="80" t="str">
        <f aca="false">IF($V40=1,ROW(),"")</f>
        <v/>
      </c>
      <c r="S40" s="80" t="str">
        <f aca="false">IF(OR($A40&lt;&gt;"",$E40&lt;&gt;""),IF(TRIM($D40)="","Buyer not noted",TRIM($D40)),"")</f>
        <v/>
      </c>
      <c r="T40" s="80" t="n">
        <f aca="false">IF(AND($V40=1,ISNUMBER($M40)),$M40,0)</f>
        <v>0</v>
      </c>
      <c r="U40" s="80" t="str">
        <f aca="false">IF($V40=1,IF(COUNTIFS($S$7:$S40,$S40,$V$7:$V40,1)=1,SUMIFS($T$7:$T$1006,$S$7:$S$1006,$S40)-ROW()/1000000000,""),"")</f>
        <v/>
      </c>
      <c r="V40" s="80" t="n">
        <f aca="false">IF(OR($O40="On hand",$O40="Advance received",$O40="Part realised",$O40="Amount missing"),1,0)</f>
        <v>0</v>
      </c>
      <c r="W40" s="80" t="str">
        <f aca="false">IF(AND($V40=1,N($F40)&gt;0),ROW(),"")</f>
        <v/>
      </c>
      <c r="X40" s="80" t="n">
        <f aca="false">IF(AND(OR($A40&lt;&gt;"",$E40&lt;&gt;""),$O40&lt;&gt;"Cancelled",ISNUMBER($E40),N($F40)+N($H40)&gt;$E40+0.005),1,0)</f>
        <v>0</v>
      </c>
      <c r="Y40" s="80" t="n">
        <f aca="false">IF(AND(OR($A40&lt;&gt;"",$E40&lt;&gt;""),OR($A40="",$E40="")),1,0)</f>
        <v>0</v>
      </c>
      <c r="Z40" s="80" t="n">
        <f aca="false">IF(AND($A40&lt;&gt;"",COUNTIF($A$7:$A$1006,$A40)&gt;1),1,0)</f>
        <v>0</v>
      </c>
    </row>
    <row r="41" customFormat="false" ht="15" hidden="false" customHeight="false" outlineLevel="0" collapsed="false">
      <c r="A41" s="71"/>
      <c r="B41" s="72"/>
      <c r="C41" s="73"/>
      <c r="D41" s="73"/>
      <c r="E41" s="74"/>
      <c r="F41" s="74"/>
      <c r="G41" s="72"/>
      <c r="H41" s="74"/>
      <c r="I41" s="72"/>
      <c r="J41" s="73"/>
      <c r="K41" s="73"/>
      <c r="L41" s="75" t="str">
        <f aca="false">IF(OR($A41&lt;&gt;"",$E41&lt;&gt;""),N($F41)+N($H41),"")</f>
        <v/>
      </c>
      <c r="M41" s="76" t="str">
        <f aca="false">IF(OR($O41="",$O41="Cancelled",$O41="Amount missing"),"",IF($O41="Realised",0,$E41-N($F41)-N($H41)))</f>
        <v/>
      </c>
      <c r="N41" s="77" t="str">
        <f aca="false">IF(OR($M41="",FX=""),"",$M41*FX)</f>
        <v/>
      </c>
      <c r="O41" s="78" t="str">
        <f aca="false">IF(NOT(OR($A41&lt;&gt;"",$E41&lt;&gt;"")),"",IF($J41="Cancelled","Cancelled",IF($E41="","Amount missing",IF(OR($J41="Settled",$E41-N($F41)-N($H41)&lt;=0.005),"Realised",IF(N($H41)&gt;0,"Part realised",IF(N($F41)&gt;0,"Advance received","On hand"))))))</f>
        <v/>
      </c>
      <c r="P41" s="79" t="str">
        <f aca="false">IF(AND($V41=1,ISNUMBER($B41)),AsAt-$B41,"")</f>
        <v/>
      </c>
      <c r="Q41" s="78" t="str">
        <f aca="false">IF($V41&lt;&gt;1,"",IF($P41="","No invoice date",IF($P41&lt;=30,"0–30 days",IF($P41&lt;=60,"31–60 days",IF($P41&lt;=90,"61–90 days","Over 90 days")))))</f>
        <v/>
      </c>
      <c r="R41" s="80" t="str">
        <f aca="false">IF($V41=1,ROW(),"")</f>
        <v/>
      </c>
      <c r="S41" s="80" t="str">
        <f aca="false">IF(OR($A41&lt;&gt;"",$E41&lt;&gt;""),IF(TRIM($D41)="","Buyer not noted",TRIM($D41)),"")</f>
        <v/>
      </c>
      <c r="T41" s="80" t="n">
        <f aca="false">IF(AND($V41=1,ISNUMBER($M41)),$M41,0)</f>
        <v>0</v>
      </c>
      <c r="U41" s="80" t="str">
        <f aca="false">IF($V41=1,IF(COUNTIFS($S$7:$S41,$S41,$V$7:$V41,1)=1,SUMIFS($T$7:$T$1006,$S$7:$S$1006,$S41)-ROW()/1000000000,""),"")</f>
        <v/>
      </c>
      <c r="V41" s="80" t="n">
        <f aca="false">IF(OR($O41="On hand",$O41="Advance received",$O41="Part realised",$O41="Amount missing"),1,0)</f>
        <v>0</v>
      </c>
      <c r="W41" s="80" t="str">
        <f aca="false">IF(AND($V41=1,N($F41)&gt;0),ROW(),"")</f>
        <v/>
      </c>
      <c r="X41" s="80" t="n">
        <f aca="false">IF(AND(OR($A41&lt;&gt;"",$E41&lt;&gt;""),$O41&lt;&gt;"Cancelled",ISNUMBER($E41),N($F41)+N($H41)&gt;$E41+0.005),1,0)</f>
        <v>0</v>
      </c>
      <c r="Y41" s="80" t="n">
        <f aca="false">IF(AND(OR($A41&lt;&gt;"",$E41&lt;&gt;""),OR($A41="",$E41="")),1,0)</f>
        <v>0</v>
      </c>
      <c r="Z41" s="80" t="n">
        <f aca="false">IF(AND($A41&lt;&gt;"",COUNTIF($A$7:$A$1006,$A41)&gt;1),1,0)</f>
        <v>0</v>
      </c>
    </row>
    <row r="42" customFormat="false" ht="15" hidden="false" customHeight="false" outlineLevel="0" collapsed="false">
      <c r="A42" s="71"/>
      <c r="B42" s="72"/>
      <c r="C42" s="73"/>
      <c r="D42" s="73"/>
      <c r="E42" s="74"/>
      <c r="F42" s="74"/>
      <c r="G42" s="72"/>
      <c r="H42" s="74"/>
      <c r="I42" s="72"/>
      <c r="J42" s="73"/>
      <c r="K42" s="73"/>
      <c r="L42" s="75" t="str">
        <f aca="false">IF(OR($A42&lt;&gt;"",$E42&lt;&gt;""),N($F42)+N($H42),"")</f>
        <v/>
      </c>
      <c r="M42" s="76" t="str">
        <f aca="false">IF(OR($O42="",$O42="Cancelled",$O42="Amount missing"),"",IF($O42="Realised",0,$E42-N($F42)-N($H42)))</f>
        <v/>
      </c>
      <c r="N42" s="77" t="str">
        <f aca="false">IF(OR($M42="",FX=""),"",$M42*FX)</f>
        <v/>
      </c>
      <c r="O42" s="78" t="str">
        <f aca="false">IF(NOT(OR($A42&lt;&gt;"",$E42&lt;&gt;"")),"",IF($J42="Cancelled","Cancelled",IF($E42="","Amount missing",IF(OR($J42="Settled",$E42-N($F42)-N($H42)&lt;=0.005),"Realised",IF(N($H42)&gt;0,"Part realised",IF(N($F42)&gt;0,"Advance received","On hand"))))))</f>
        <v/>
      </c>
      <c r="P42" s="79" t="str">
        <f aca="false">IF(AND($V42=1,ISNUMBER($B42)),AsAt-$B42,"")</f>
        <v/>
      </c>
      <c r="Q42" s="78" t="str">
        <f aca="false">IF($V42&lt;&gt;1,"",IF($P42="","No invoice date",IF($P42&lt;=30,"0–30 days",IF($P42&lt;=60,"31–60 days",IF($P42&lt;=90,"61–90 days","Over 90 days")))))</f>
        <v/>
      </c>
      <c r="R42" s="80" t="str">
        <f aca="false">IF($V42=1,ROW(),"")</f>
        <v/>
      </c>
      <c r="S42" s="80" t="str">
        <f aca="false">IF(OR($A42&lt;&gt;"",$E42&lt;&gt;""),IF(TRIM($D42)="","Buyer not noted",TRIM($D42)),"")</f>
        <v/>
      </c>
      <c r="T42" s="80" t="n">
        <f aca="false">IF(AND($V42=1,ISNUMBER($M42)),$M42,0)</f>
        <v>0</v>
      </c>
      <c r="U42" s="80" t="str">
        <f aca="false">IF($V42=1,IF(COUNTIFS($S$7:$S42,$S42,$V$7:$V42,1)=1,SUMIFS($T$7:$T$1006,$S$7:$S$1006,$S42)-ROW()/1000000000,""),"")</f>
        <v/>
      </c>
      <c r="V42" s="80" t="n">
        <f aca="false">IF(OR($O42="On hand",$O42="Advance received",$O42="Part realised",$O42="Amount missing"),1,0)</f>
        <v>0</v>
      </c>
      <c r="W42" s="80" t="str">
        <f aca="false">IF(AND($V42=1,N($F42)&gt;0),ROW(),"")</f>
        <v/>
      </c>
      <c r="X42" s="80" t="n">
        <f aca="false">IF(AND(OR($A42&lt;&gt;"",$E42&lt;&gt;""),$O42&lt;&gt;"Cancelled",ISNUMBER($E42),N($F42)+N($H42)&gt;$E42+0.005),1,0)</f>
        <v>0</v>
      </c>
      <c r="Y42" s="80" t="n">
        <f aca="false">IF(AND(OR($A42&lt;&gt;"",$E42&lt;&gt;""),OR($A42="",$E42="")),1,0)</f>
        <v>0</v>
      </c>
      <c r="Z42" s="80" t="n">
        <f aca="false">IF(AND($A42&lt;&gt;"",COUNTIF($A$7:$A$1006,$A42)&gt;1),1,0)</f>
        <v>0</v>
      </c>
    </row>
    <row r="43" customFormat="false" ht="15" hidden="false" customHeight="false" outlineLevel="0" collapsed="false">
      <c r="A43" s="71"/>
      <c r="B43" s="72"/>
      <c r="C43" s="73"/>
      <c r="D43" s="73"/>
      <c r="E43" s="74"/>
      <c r="F43" s="74"/>
      <c r="G43" s="72"/>
      <c r="H43" s="74"/>
      <c r="I43" s="72"/>
      <c r="J43" s="73"/>
      <c r="K43" s="73"/>
      <c r="L43" s="75" t="str">
        <f aca="false">IF(OR($A43&lt;&gt;"",$E43&lt;&gt;""),N($F43)+N($H43),"")</f>
        <v/>
      </c>
      <c r="M43" s="76" t="str">
        <f aca="false">IF(OR($O43="",$O43="Cancelled",$O43="Amount missing"),"",IF($O43="Realised",0,$E43-N($F43)-N($H43)))</f>
        <v/>
      </c>
      <c r="N43" s="77" t="str">
        <f aca="false">IF(OR($M43="",FX=""),"",$M43*FX)</f>
        <v/>
      </c>
      <c r="O43" s="78" t="str">
        <f aca="false">IF(NOT(OR($A43&lt;&gt;"",$E43&lt;&gt;"")),"",IF($J43="Cancelled","Cancelled",IF($E43="","Amount missing",IF(OR($J43="Settled",$E43-N($F43)-N($H43)&lt;=0.005),"Realised",IF(N($H43)&gt;0,"Part realised",IF(N($F43)&gt;0,"Advance received","On hand"))))))</f>
        <v/>
      </c>
      <c r="P43" s="79" t="str">
        <f aca="false">IF(AND($V43=1,ISNUMBER($B43)),AsAt-$B43,"")</f>
        <v/>
      </c>
      <c r="Q43" s="78" t="str">
        <f aca="false">IF($V43&lt;&gt;1,"",IF($P43="","No invoice date",IF($P43&lt;=30,"0–30 days",IF($P43&lt;=60,"31–60 days",IF($P43&lt;=90,"61–90 days","Over 90 days")))))</f>
        <v/>
      </c>
      <c r="R43" s="80" t="str">
        <f aca="false">IF($V43=1,ROW(),"")</f>
        <v/>
      </c>
      <c r="S43" s="80" t="str">
        <f aca="false">IF(OR($A43&lt;&gt;"",$E43&lt;&gt;""),IF(TRIM($D43)="","Buyer not noted",TRIM($D43)),"")</f>
        <v/>
      </c>
      <c r="T43" s="80" t="n">
        <f aca="false">IF(AND($V43=1,ISNUMBER($M43)),$M43,0)</f>
        <v>0</v>
      </c>
      <c r="U43" s="80" t="str">
        <f aca="false">IF($V43=1,IF(COUNTIFS($S$7:$S43,$S43,$V$7:$V43,1)=1,SUMIFS($T$7:$T$1006,$S$7:$S$1006,$S43)-ROW()/1000000000,""),"")</f>
        <v/>
      </c>
      <c r="V43" s="80" t="n">
        <f aca="false">IF(OR($O43="On hand",$O43="Advance received",$O43="Part realised",$O43="Amount missing"),1,0)</f>
        <v>0</v>
      </c>
      <c r="W43" s="80" t="str">
        <f aca="false">IF(AND($V43=1,N($F43)&gt;0),ROW(),"")</f>
        <v/>
      </c>
      <c r="X43" s="80" t="n">
        <f aca="false">IF(AND(OR($A43&lt;&gt;"",$E43&lt;&gt;""),$O43&lt;&gt;"Cancelled",ISNUMBER($E43),N($F43)+N($H43)&gt;$E43+0.005),1,0)</f>
        <v>0</v>
      </c>
      <c r="Y43" s="80" t="n">
        <f aca="false">IF(AND(OR($A43&lt;&gt;"",$E43&lt;&gt;""),OR($A43="",$E43="")),1,0)</f>
        <v>0</v>
      </c>
      <c r="Z43" s="80" t="n">
        <f aca="false">IF(AND($A43&lt;&gt;"",COUNTIF($A$7:$A$1006,$A43)&gt;1),1,0)</f>
        <v>0</v>
      </c>
    </row>
    <row r="44" customFormat="false" ht="15" hidden="false" customHeight="false" outlineLevel="0" collapsed="false">
      <c r="A44" s="71"/>
      <c r="B44" s="72"/>
      <c r="C44" s="73"/>
      <c r="D44" s="73"/>
      <c r="E44" s="74"/>
      <c r="F44" s="74"/>
      <c r="G44" s="72"/>
      <c r="H44" s="74"/>
      <c r="I44" s="72"/>
      <c r="J44" s="73"/>
      <c r="K44" s="73"/>
      <c r="L44" s="75" t="str">
        <f aca="false">IF(OR($A44&lt;&gt;"",$E44&lt;&gt;""),N($F44)+N($H44),"")</f>
        <v/>
      </c>
      <c r="M44" s="76" t="str">
        <f aca="false">IF(OR($O44="",$O44="Cancelled",$O44="Amount missing"),"",IF($O44="Realised",0,$E44-N($F44)-N($H44)))</f>
        <v/>
      </c>
      <c r="N44" s="77" t="str">
        <f aca="false">IF(OR($M44="",FX=""),"",$M44*FX)</f>
        <v/>
      </c>
      <c r="O44" s="78" t="str">
        <f aca="false">IF(NOT(OR($A44&lt;&gt;"",$E44&lt;&gt;"")),"",IF($J44="Cancelled","Cancelled",IF($E44="","Amount missing",IF(OR($J44="Settled",$E44-N($F44)-N($H44)&lt;=0.005),"Realised",IF(N($H44)&gt;0,"Part realised",IF(N($F44)&gt;0,"Advance received","On hand"))))))</f>
        <v/>
      </c>
      <c r="P44" s="79" t="str">
        <f aca="false">IF(AND($V44=1,ISNUMBER($B44)),AsAt-$B44,"")</f>
        <v/>
      </c>
      <c r="Q44" s="78" t="str">
        <f aca="false">IF($V44&lt;&gt;1,"",IF($P44="","No invoice date",IF($P44&lt;=30,"0–30 days",IF($P44&lt;=60,"31–60 days",IF($P44&lt;=90,"61–90 days","Over 90 days")))))</f>
        <v/>
      </c>
      <c r="R44" s="80" t="str">
        <f aca="false">IF($V44=1,ROW(),"")</f>
        <v/>
      </c>
      <c r="S44" s="80" t="str">
        <f aca="false">IF(OR($A44&lt;&gt;"",$E44&lt;&gt;""),IF(TRIM($D44)="","Buyer not noted",TRIM($D44)),"")</f>
        <v/>
      </c>
      <c r="T44" s="80" t="n">
        <f aca="false">IF(AND($V44=1,ISNUMBER($M44)),$M44,0)</f>
        <v>0</v>
      </c>
      <c r="U44" s="80" t="str">
        <f aca="false">IF($V44=1,IF(COUNTIFS($S$7:$S44,$S44,$V$7:$V44,1)=1,SUMIFS($T$7:$T$1006,$S$7:$S$1006,$S44)-ROW()/1000000000,""),"")</f>
        <v/>
      </c>
      <c r="V44" s="80" t="n">
        <f aca="false">IF(OR($O44="On hand",$O44="Advance received",$O44="Part realised",$O44="Amount missing"),1,0)</f>
        <v>0</v>
      </c>
      <c r="W44" s="80" t="str">
        <f aca="false">IF(AND($V44=1,N($F44)&gt;0),ROW(),"")</f>
        <v/>
      </c>
      <c r="X44" s="80" t="n">
        <f aca="false">IF(AND(OR($A44&lt;&gt;"",$E44&lt;&gt;""),$O44&lt;&gt;"Cancelled",ISNUMBER($E44),N($F44)+N($H44)&gt;$E44+0.005),1,0)</f>
        <v>0</v>
      </c>
      <c r="Y44" s="80" t="n">
        <f aca="false">IF(AND(OR($A44&lt;&gt;"",$E44&lt;&gt;""),OR($A44="",$E44="")),1,0)</f>
        <v>0</v>
      </c>
      <c r="Z44" s="80" t="n">
        <f aca="false">IF(AND($A44&lt;&gt;"",COUNTIF($A$7:$A$1006,$A44)&gt;1),1,0)</f>
        <v>0</v>
      </c>
    </row>
    <row r="45" customFormat="false" ht="15" hidden="false" customHeight="false" outlineLevel="0" collapsed="false">
      <c r="A45" s="71"/>
      <c r="B45" s="72"/>
      <c r="C45" s="73"/>
      <c r="D45" s="73"/>
      <c r="E45" s="74"/>
      <c r="F45" s="74"/>
      <c r="G45" s="72"/>
      <c r="H45" s="74"/>
      <c r="I45" s="72"/>
      <c r="J45" s="73"/>
      <c r="K45" s="73"/>
      <c r="L45" s="75" t="str">
        <f aca="false">IF(OR($A45&lt;&gt;"",$E45&lt;&gt;""),N($F45)+N($H45),"")</f>
        <v/>
      </c>
      <c r="M45" s="76" t="str">
        <f aca="false">IF(OR($O45="",$O45="Cancelled",$O45="Amount missing"),"",IF($O45="Realised",0,$E45-N($F45)-N($H45)))</f>
        <v/>
      </c>
      <c r="N45" s="77" t="str">
        <f aca="false">IF(OR($M45="",FX=""),"",$M45*FX)</f>
        <v/>
      </c>
      <c r="O45" s="78" t="str">
        <f aca="false">IF(NOT(OR($A45&lt;&gt;"",$E45&lt;&gt;"")),"",IF($J45="Cancelled","Cancelled",IF($E45="","Amount missing",IF(OR($J45="Settled",$E45-N($F45)-N($H45)&lt;=0.005),"Realised",IF(N($H45)&gt;0,"Part realised",IF(N($F45)&gt;0,"Advance received","On hand"))))))</f>
        <v/>
      </c>
      <c r="P45" s="79" t="str">
        <f aca="false">IF(AND($V45=1,ISNUMBER($B45)),AsAt-$B45,"")</f>
        <v/>
      </c>
      <c r="Q45" s="78" t="str">
        <f aca="false">IF($V45&lt;&gt;1,"",IF($P45="","No invoice date",IF($P45&lt;=30,"0–30 days",IF($P45&lt;=60,"31–60 days",IF($P45&lt;=90,"61–90 days","Over 90 days")))))</f>
        <v/>
      </c>
      <c r="R45" s="80" t="str">
        <f aca="false">IF($V45=1,ROW(),"")</f>
        <v/>
      </c>
      <c r="S45" s="80" t="str">
        <f aca="false">IF(OR($A45&lt;&gt;"",$E45&lt;&gt;""),IF(TRIM($D45)="","Buyer not noted",TRIM($D45)),"")</f>
        <v/>
      </c>
      <c r="T45" s="80" t="n">
        <f aca="false">IF(AND($V45=1,ISNUMBER($M45)),$M45,0)</f>
        <v>0</v>
      </c>
      <c r="U45" s="80" t="str">
        <f aca="false">IF($V45=1,IF(COUNTIFS($S$7:$S45,$S45,$V$7:$V45,1)=1,SUMIFS($T$7:$T$1006,$S$7:$S$1006,$S45)-ROW()/1000000000,""),"")</f>
        <v/>
      </c>
      <c r="V45" s="80" t="n">
        <f aca="false">IF(OR($O45="On hand",$O45="Advance received",$O45="Part realised",$O45="Amount missing"),1,0)</f>
        <v>0</v>
      </c>
      <c r="W45" s="80" t="str">
        <f aca="false">IF(AND($V45=1,N($F45)&gt;0),ROW(),"")</f>
        <v/>
      </c>
      <c r="X45" s="80" t="n">
        <f aca="false">IF(AND(OR($A45&lt;&gt;"",$E45&lt;&gt;""),$O45&lt;&gt;"Cancelled",ISNUMBER($E45),N($F45)+N($H45)&gt;$E45+0.005),1,0)</f>
        <v>0</v>
      </c>
      <c r="Y45" s="80" t="n">
        <f aca="false">IF(AND(OR($A45&lt;&gt;"",$E45&lt;&gt;""),OR($A45="",$E45="")),1,0)</f>
        <v>0</v>
      </c>
      <c r="Z45" s="80" t="n">
        <f aca="false">IF(AND($A45&lt;&gt;"",COUNTIF($A$7:$A$1006,$A45)&gt;1),1,0)</f>
        <v>0</v>
      </c>
    </row>
    <row r="46" customFormat="false" ht="15" hidden="false" customHeight="false" outlineLevel="0" collapsed="false">
      <c r="A46" s="71"/>
      <c r="B46" s="72"/>
      <c r="C46" s="73"/>
      <c r="D46" s="73"/>
      <c r="E46" s="74"/>
      <c r="F46" s="74"/>
      <c r="G46" s="72"/>
      <c r="H46" s="74"/>
      <c r="I46" s="72"/>
      <c r="J46" s="73"/>
      <c r="K46" s="73"/>
      <c r="L46" s="75" t="str">
        <f aca="false">IF(OR($A46&lt;&gt;"",$E46&lt;&gt;""),N($F46)+N($H46),"")</f>
        <v/>
      </c>
      <c r="M46" s="76" t="str">
        <f aca="false">IF(OR($O46="",$O46="Cancelled",$O46="Amount missing"),"",IF($O46="Realised",0,$E46-N($F46)-N($H46)))</f>
        <v/>
      </c>
      <c r="N46" s="77" t="str">
        <f aca="false">IF(OR($M46="",FX=""),"",$M46*FX)</f>
        <v/>
      </c>
      <c r="O46" s="78" t="str">
        <f aca="false">IF(NOT(OR($A46&lt;&gt;"",$E46&lt;&gt;"")),"",IF($J46="Cancelled","Cancelled",IF($E46="","Amount missing",IF(OR($J46="Settled",$E46-N($F46)-N($H46)&lt;=0.005),"Realised",IF(N($H46)&gt;0,"Part realised",IF(N($F46)&gt;0,"Advance received","On hand"))))))</f>
        <v/>
      </c>
      <c r="P46" s="79" t="str">
        <f aca="false">IF(AND($V46=1,ISNUMBER($B46)),AsAt-$B46,"")</f>
        <v/>
      </c>
      <c r="Q46" s="78" t="str">
        <f aca="false">IF($V46&lt;&gt;1,"",IF($P46="","No invoice date",IF($P46&lt;=30,"0–30 days",IF($P46&lt;=60,"31–60 days",IF($P46&lt;=90,"61–90 days","Over 90 days")))))</f>
        <v/>
      </c>
      <c r="R46" s="80" t="str">
        <f aca="false">IF($V46=1,ROW(),"")</f>
        <v/>
      </c>
      <c r="S46" s="80" t="str">
        <f aca="false">IF(OR($A46&lt;&gt;"",$E46&lt;&gt;""),IF(TRIM($D46)="","Buyer not noted",TRIM($D46)),"")</f>
        <v/>
      </c>
      <c r="T46" s="80" t="n">
        <f aca="false">IF(AND($V46=1,ISNUMBER($M46)),$M46,0)</f>
        <v>0</v>
      </c>
      <c r="U46" s="80" t="str">
        <f aca="false">IF($V46=1,IF(COUNTIFS($S$7:$S46,$S46,$V$7:$V46,1)=1,SUMIFS($T$7:$T$1006,$S$7:$S$1006,$S46)-ROW()/1000000000,""),"")</f>
        <v/>
      </c>
      <c r="V46" s="80" t="n">
        <f aca="false">IF(OR($O46="On hand",$O46="Advance received",$O46="Part realised",$O46="Amount missing"),1,0)</f>
        <v>0</v>
      </c>
      <c r="W46" s="80" t="str">
        <f aca="false">IF(AND($V46=1,N($F46)&gt;0),ROW(),"")</f>
        <v/>
      </c>
      <c r="X46" s="80" t="n">
        <f aca="false">IF(AND(OR($A46&lt;&gt;"",$E46&lt;&gt;""),$O46&lt;&gt;"Cancelled",ISNUMBER($E46),N($F46)+N($H46)&gt;$E46+0.005),1,0)</f>
        <v>0</v>
      </c>
      <c r="Y46" s="80" t="n">
        <f aca="false">IF(AND(OR($A46&lt;&gt;"",$E46&lt;&gt;""),OR($A46="",$E46="")),1,0)</f>
        <v>0</v>
      </c>
      <c r="Z46" s="80" t="n">
        <f aca="false">IF(AND($A46&lt;&gt;"",COUNTIF($A$7:$A$1006,$A46)&gt;1),1,0)</f>
        <v>0</v>
      </c>
    </row>
    <row r="47" customFormat="false" ht="15" hidden="false" customHeight="false" outlineLevel="0" collapsed="false">
      <c r="A47" s="71"/>
      <c r="B47" s="72"/>
      <c r="C47" s="73"/>
      <c r="D47" s="73"/>
      <c r="E47" s="74"/>
      <c r="F47" s="74"/>
      <c r="G47" s="72"/>
      <c r="H47" s="74"/>
      <c r="I47" s="72"/>
      <c r="J47" s="73"/>
      <c r="K47" s="73"/>
      <c r="L47" s="75" t="str">
        <f aca="false">IF(OR($A47&lt;&gt;"",$E47&lt;&gt;""),N($F47)+N($H47),"")</f>
        <v/>
      </c>
      <c r="M47" s="76" t="str">
        <f aca="false">IF(OR($O47="",$O47="Cancelled",$O47="Amount missing"),"",IF($O47="Realised",0,$E47-N($F47)-N($H47)))</f>
        <v/>
      </c>
      <c r="N47" s="77" t="str">
        <f aca="false">IF(OR($M47="",FX=""),"",$M47*FX)</f>
        <v/>
      </c>
      <c r="O47" s="78" t="str">
        <f aca="false">IF(NOT(OR($A47&lt;&gt;"",$E47&lt;&gt;"")),"",IF($J47="Cancelled","Cancelled",IF($E47="","Amount missing",IF(OR($J47="Settled",$E47-N($F47)-N($H47)&lt;=0.005),"Realised",IF(N($H47)&gt;0,"Part realised",IF(N($F47)&gt;0,"Advance received","On hand"))))))</f>
        <v/>
      </c>
      <c r="P47" s="79" t="str">
        <f aca="false">IF(AND($V47=1,ISNUMBER($B47)),AsAt-$B47,"")</f>
        <v/>
      </c>
      <c r="Q47" s="78" t="str">
        <f aca="false">IF($V47&lt;&gt;1,"",IF($P47="","No invoice date",IF($P47&lt;=30,"0–30 days",IF($P47&lt;=60,"31–60 days",IF($P47&lt;=90,"61–90 days","Over 90 days")))))</f>
        <v/>
      </c>
      <c r="R47" s="80" t="str">
        <f aca="false">IF($V47=1,ROW(),"")</f>
        <v/>
      </c>
      <c r="S47" s="80" t="str">
        <f aca="false">IF(OR($A47&lt;&gt;"",$E47&lt;&gt;""),IF(TRIM($D47)="","Buyer not noted",TRIM($D47)),"")</f>
        <v/>
      </c>
      <c r="T47" s="80" t="n">
        <f aca="false">IF(AND($V47=1,ISNUMBER($M47)),$M47,0)</f>
        <v>0</v>
      </c>
      <c r="U47" s="80" t="str">
        <f aca="false">IF($V47=1,IF(COUNTIFS($S$7:$S47,$S47,$V$7:$V47,1)=1,SUMIFS($T$7:$T$1006,$S$7:$S$1006,$S47)-ROW()/1000000000,""),"")</f>
        <v/>
      </c>
      <c r="V47" s="80" t="n">
        <f aca="false">IF(OR($O47="On hand",$O47="Advance received",$O47="Part realised",$O47="Amount missing"),1,0)</f>
        <v>0</v>
      </c>
      <c r="W47" s="80" t="str">
        <f aca="false">IF(AND($V47=1,N($F47)&gt;0),ROW(),"")</f>
        <v/>
      </c>
      <c r="X47" s="80" t="n">
        <f aca="false">IF(AND(OR($A47&lt;&gt;"",$E47&lt;&gt;""),$O47&lt;&gt;"Cancelled",ISNUMBER($E47),N($F47)+N($H47)&gt;$E47+0.005),1,0)</f>
        <v>0</v>
      </c>
      <c r="Y47" s="80" t="n">
        <f aca="false">IF(AND(OR($A47&lt;&gt;"",$E47&lt;&gt;""),OR($A47="",$E47="")),1,0)</f>
        <v>0</v>
      </c>
      <c r="Z47" s="80" t="n">
        <f aca="false">IF(AND($A47&lt;&gt;"",COUNTIF($A$7:$A$1006,$A47)&gt;1),1,0)</f>
        <v>0</v>
      </c>
    </row>
    <row r="48" customFormat="false" ht="15" hidden="false" customHeight="false" outlineLevel="0" collapsed="false">
      <c r="A48" s="71"/>
      <c r="B48" s="72"/>
      <c r="C48" s="73"/>
      <c r="D48" s="73"/>
      <c r="E48" s="74"/>
      <c r="F48" s="74"/>
      <c r="G48" s="72"/>
      <c r="H48" s="74"/>
      <c r="I48" s="72"/>
      <c r="J48" s="73"/>
      <c r="K48" s="73"/>
      <c r="L48" s="75" t="str">
        <f aca="false">IF(OR($A48&lt;&gt;"",$E48&lt;&gt;""),N($F48)+N($H48),"")</f>
        <v/>
      </c>
      <c r="M48" s="76" t="str">
        <f aca="false">IF(OR($O48="",$O48="Cancelled",$O48="Amount missing"),"",IF($O48="Realised",0,$E48-N($F48)-N($H48)))</f>
        <v/>
      </c>
      <c r="N48" s="77" t="str">
        <f aca="false">IF(OR($M48="",FX=""),"",$M48*FX)</f>
        <v/>
      </c>
      <c r="O48" s="78" t="str">
        <f aca="false">IF(NOT(OR($A48&lt;&gt;"",$E48&lt;&gt;"")),"",IF($J48="Cancelled","Cancelled",IF($E48="","Amount missing",IF(OR($J48="Settled",$E48-N($F48)-N($H48)&lt;=0.005),"Realised",IF(N($H48)&gt;0,"Part realised",IF(N($F48)&gt;0,"Advance received","On hand"))))))</f>
        <v/>
      </c>
      <c r="P48" s="79" t="str">
        <f aca="false">IF(AND($V48=1,ISNUMBER($B48)),AsAt-$B48,"")</f>
        <v/>
      </c>
      <c r="Q48" s="78" t="str">
        <f aca="false">IF($V48&lt;&gt;1,"",IF($P48="","No invoice date",IF($P48&lt;=30,"0–30 days",IF($P48&lt;=60,"31–60 days",IF($P48&lt;=90,"61–90 days","Over 90 days")))))</f>
        <v/>
      </c>
      <c r="R48" s="80" t="str">
        <f aca="false">IF($V48=1,ROW(),"")</f>
        <v/>
      </c>
      <c r="S48" s="80" t="str">
        <f aca="false">IF(OR($A48&lt;&gt;"",$E48&lt;&gt;""),IF(TRIM($D48)="","Buyer not noted",TRIM($D48)),"")</f>
        <v/>
      </c>
      <c r="T48" s="80" t="n">
        <f aca="false">IF(AND($V48=1,ISNUMBER($M48)),$M48,0)</f>
        <v>0</v>
      </c>
      <c r="U48" s="80" t="str">
        <f aca="false">IF($V48=1,IF(COUNTIFS($S$7:$S48,$S48,$V$7:$V48,1)=1,SUMIFS($T$7:$T$1006,$S$7:$S$1006,$S48)-ROW()/1000000000,""),"")</f>
        <v/>
      </c>
      <c r="V48" s="80" t="n">
        <f aca="false">IF(OR($O48="On hand",$O48="Advance received",$O48="Part realised",$O48="Amount missing"),1,0)</f>
        <v>0</v>
      </c>
      <c r="W48" s="80" t="str">
        <f aca="false">IF(AND($V48=1,N($F48)&gt;0),ROW(),"")</f>
        <v/>
      </c>
      <c r="X48" s="80" t="n">
        <f aca="false">IF(AND(OR($A48&lt;&gt;"",$E48&lt;&gt;""),$O48&lt;&gt;"Cancelled",ISNUMBER($E48),N($F48)+N($H48)&gt;$E48+0.005),1,0)</f>
        <v>0</v>
      </c>
      <c r="Y48" s="80" t="n">
        <f aca="false">IF(AND(OR($A48&lt;&gt;"",$E48&lt;&gt;""),OR($A48="",$E48="")),1,0)</f>
        <v>0</v>
      </c>
      <c r="Z48" s="80" t="n">
        <f aca="false">IF(AND($A48&lt;&gt;"",COUNTIF($A$7:$A$1006,$A48)&gt;1),1,0)</f>
        <v>0</v>
      </c>
    </row>
    <row r="49" customFormat="false" ht="15" hidden="false" customHeight="false" outlineLevel="0" collapsed="false">
      <c r="A49" s="71"/>
      <c r="B49" s="72"/>
      <c r="C49" s="73"/>
      <c r="D49" s="73"/>
      <c r="E49" s="74"/>
      <c r="F49" s="74"/>
      <c r="G49" s="72"/>
      <c r="H49" s="74"/>
      <c r="I49" s="72"/>
      <c r="J49" s="73"/>
      <c r="K49" s="73"/>
      <c r="L49" s="75" t="str">
        <f aca="false">IF(OR($A49&lt;&gt;"",$E49&lt;&gt;""),N($F49)+N($H49),"")</f>
        <v/>
      </c>
      <c r="M49" s="76" t="str">
        <f aca="false">IF(OR($O49="",$O49="Cancelled",$O49="Amount missing"),"",IF($O49="Realised",0,$E49-N($F49)-N($H49)))</f>
        <v/>
      </c>
      <c r="N49" s="77" t="str">
        <f aca="false">IF(OR($M49="",FX=""),"",$M49*FX)</f>
        <v/>
      </c>
      <c r="O49" s="78" t="str">
        <f aca="false">IF(NOT(OR($A49&lt;&gt;"",$E49&lt;&gt;"")),"",IF($J49="Cancelled","Cancelled",IF($E49="","Amount missing",IF(OR($J49="Settled",$E49-N($F49)-N($H49)&lt;=0.005),"Realised",IF(N($H49)&gt;0,"Part realised",IF(N($F49)&gt;0,"Advance received","On hand"))))))</f>
        <v/>
      </c>
      <c r="P49" s="79" t="str">
        <f aca="false">IF(AND($V49=1,ISNUMBER($B49)),AsAt-$B49,"")</f>
        <v/>
      </c>
      <c r="Q49" s="78" t="str">
        <f aca="false">IF($V49&lt;&gt;1,"",IF($P49="","No invoice date",IF($P49&lt;=30,"0–30 days",IF($P49&lt;=60,"31–60 days",IF($P49&lt;=90,"61–90 days","Over 90 days")))))</f>
        <v/>
      </c>
      <c r="R49" s="80" t="str">
        <f aca="false">IF($V49=1,ROW(),"")</f>
        <v/>
      </c>
      <c r="S49" s="80" t="str">
        <f aca="false">IF(OR($A49&lt;&gt;"",$E49&lt;&gt;""),IF(TRIM($D49)="","Buyer not noted",TRIM($D49)),"")</f>
        <v/>
      </c>
      <c r="T49" s="80" t="n">
        <f aca="false">IF(AND($V49=1,ISNUMBER($M49)),$M49,0)</f>
        <v>0</v>
      </c>
      <c r="U49" s="80" t="str">
        <f aca="false">IF($V49=1,IF(COUNTIFS($S$7:$S49,$S49,$V$7:$V49,1)=1,SUMIFS($T$7:$T$1006,$S$7:$S$1006,$S49)-ROW()/1000000000,""),"")</f>
        <v/>
      </c>
      <c r="V49" s="80" t="n">
        <f aca="false">IF(OR($O49="On hand",$O49="Advance received",$O49="Part realised",$O49="Amount missing"),1,0)</f>
        <v>0</v>
      </c>
      <c r="W49" s="80" t="str">
        <f aca="false">IF(AND($V49=1,N($F49)&gt;0),ROW(),"")</f>
        <v/>
      </c>
      <c r="X49" s="80" t="n">
        <f aca="false">IF(AND(OR($A49&lt;&gt;"",$E49&lt;&gt;""),$O49&lt;&gt;"Cancelled",ISNUMBER($E49),N($F49)+N($H49)&gt;$E49+0.005),1,0)</f>
        <v>0</v>
      </c>
      <c r="Y49" s="80" t="n">
        <f aca="false">IF(AND(OR($A49&lt;&gt;"",$E49&lt;&gt;""),OR($A49="",$E49="")),1,0)</f>
        <v>0</v>
      </c>
      <c r="Z49" s="80" t="n">
        <f aca="false">IF(AND($A49&lt;&gt;"",COUNTIF($A$7:$A$1006,$A49)&gt;1),1,0)</f>
        <v>0</v>
      </c>
    </row>
    <row r="50" customFormat="false" ht="15" hidden="false" customHeight="false" outlineLevel="0" collapsed="false">
      <c r="A50" s="71"/>
      <c r="B50" s="72"/>
      <c r="C50" s="73"/>
      <c r="D50" s="73"/>
      <c r="E50" s="74"/>
      <c r="F50" s="74"/>
      <c r="G50" s="72"/>
      <c r="H50" s="74"/>
      <c r="I50" s="72"/>
      <c r="J50" s="73"/>
      <c r="K50" s="73"/>
      <c r="L50" s="75" t="str">
        <f aca="false">IF(OR($A50&lt;&gt;"",$E50&lt;&gt;""),N($F50)+N($H50),"")</f>
        <v/>
      </c>
      <c r="M50" s="76" t="str">
        <f aca="false">IF(OR($O50="",$O50="Cancelled",$O50="Amount missing"),"",IF($O50="Realised",0,$E50-N($F50)-N($H50)))</f>
        <v/>
      </c>
      <c r="N50" s="77" t="str">
        <f aca="false">IF(OR($M50="",FX=""),"",$M50*FX)</f>
        <v/>
      </c>
      <c r="O50" s="78" t="str">
        <f aca="false">IF(NOT(OR($A50&lt;&gt;"",$E50&lt;&gt;"")),"",IF($J50="Cancelled","Cancelled",IF($E50="","Amount missing",IF(OR($J50="Settled",$E50-N($F50)-N($H50)&lt;=0.005),"Realised",IF(N($H50)&gt;0,"Part realised",IF(N($F50)&gt;0,"Advance received","On hand"))))))</f>
        <v/>
      </c>
      <c r="P50" s="79" t="str">
        <f aca="false">IF(AND($V50=1,ISNUMBER($B50)),AsAt-$B50,"")</f>
        <v/>
      </c>
      <c r="Q50" s="78" t="str">
        <f aca="false">IF($V50&lt;&gt;1,"",IF($P50="","No invoice date",IF($P50&lt;=30,"0–30 days",IF($P50&lt;=60,"31–60 days",IF($P50&lt;=90,"61–90 days","Over 90 days")))))</f>
        <v/>
      </c>
      <c r="R50" s="80" t="str">
        <f aca="false">IF($V50=1,ROW(),"")</f>
        <v/>
      </c>
      <c r="S50" s="80" t="str">
        <f aca="false">IF(OR($A50&lt;&gt;"",$E50&lt;&gt;""),IF(TRIM($D50)="","Buyer not noted",TRIM($D50)),"")</f>
        <v/>
      </c>
      <c r="T50" s="80" t="n">
        <f aca="false">IF(AND($V50=1,ISNUMBER($M50)),$M50,0)</f>
        <v>0</v>
      </c>
      <c r="U50" s="80" t="str">
        <f aca="false">IF($V50=1,IF(COUNTIFS($S$7:$S50,$S50,$V$7:$V50,1)=1,SUMIFS($T$7:$T$1006,$S$7:$S$1006,$S50)-ROW()/1000000000,""),"")</f>
        <v/>
      </c>
      <c r="V50" s="80" t="n">
        <f aca="false">IF(OR($O50="On hand",$O50="Advance received",$O50="Part realised",$O50="Amount missing"),1,0)</f>
        <v>0</v>
      </c>
      <c r="W50" s="80" t="str">
        <f aca="false">IF(AND($V50=1,N($F50)&gt;0),ROW(),"")</f>
        <v/>
      </c>
      <c r="X50" s="80" t="n">
        <f aca="false">IF(AND(OR($A50&lt;&gt;"",$E50&lt;&gt;""),$O50&lt;&gt;"Cancelled",ISNUMBER($E50),N($F50)+N($H50)&gt;$E50+0.005),1,0)</f>
        <v>0</v>
      </c>
      <c r="Y50" s="80" t="n">
        <f aca="false">IF(AND(OR($A50&lt;&gt;"",$E50&lt;&gt;""),OR($A50="",$E50="")),1,0)</f>
        <v>0</v>
      </c>
      <c r="Z50" s="80" t="n">
        <f aca="false">IF(AND($A50&lt;&gt;"",COUNTIF($A$7:$A$1006,$A50)&gt;1),1,0)</f>
        <v>0</v>
      </c>
    </row>
    <row r="51" customFormat="false" ht="15" hidden="false" customHeight="false" outlineLevel="0" collapsed="false">
      <c r="A51" s="71"/>
      <c r="B51" s="72"/>
      <c r="C51" s="73"/>
      <c r="D51" s="73"/>
      <c r="E51" s="74"/>
      <c r="F51" s="74"/>
      <c r="G51" s="72"/>
      <c r="H51" s="74"/>
      <c r="I51" s="72"/>
      <c r="J51" s="73"/>
      <c r="K51" s="73"/>
      <c r="L51" s="75" t="str">
        <f aca="false">IF(OR($A51&lt;&gt;"",$E51&lt;&gt;""),N($F51)+N($H51),"")</f>
        <v/>
      </c>
      <c r="M51" s="76" t="str">
        <f aca="false">IF(OR($O51="",$O51="Cancelled",$O51="Amount missing"),"",IF($O51="Realised",0,$E51-N($F51)-N($H51)))</f>
        <v/>
      </c>
      <c r="N51" s="77" t="str">
        <f aca="false">IF(OR($M51="",FX=""),"",$M51*FX)</f>
        <v/>
      </c>
      <c r="O51" s="78" t="str">
        <f aca="false">IF(NOT(OR($A51&lt;&gt;"",$E51&lt;&gt;"")),"",IF($J51="Cancelled","Cancelled",IF($E51="","Amount missing",IF(OR($J51="Settled",$E51-N($F51)-N($H51)&lt;=0.005),"Realised",IF(N($H51)&gt;0,"Part realised",IF(N($F51)&gt;0,"Advance received","On hand"))))))</f>
        <v/>
      </c>
      <c r="P51" s="79" t="str">
        <f aca="false">IF(AND($V51=1,ISNUMBER($B51)),AsAt-$B51,"")</f>
        <v/>
      </c>
      <c r="Q51" s="78" t="str">
        <f aca="false">IF($V51&lt;&gt;1,"",IF($P51="","No invoice date",IF($P51&lt;=30,"0–30 days",IF($P51&lt;=60,"31–60 days",IF($P51&lt;=90,"61–90 days","Over 90 days")))))</f>
        <v/>
      </c>
      <c r="R51" s="80" t="str">
        <f aca="false">IF($V51=1,ROW(),"")</f>
        <v/>
      </c>
      <c r="S51" s="80" t="str">
        <f aca="false">IF(OR($A51&lt;&gt;"",$E51&lt;&gt;""),IF(TRIM($D51)="","Buyer not noted",TRIM($D51)),"")</f>
        <v/>
      </c>
      <c r="T51" s="80" t="n">
        <f aca="false">IF(AND($V51=1,ISNUMBER($M51)),$M51,0)</f>
        <v>0</v>
      </c>
      <c r="U51" s="80" t="str">
        <f aca="false">IF($V51=1,IF(COUNTIFS($S$7:$S51,$S51,$V$7:$V51,1)=1,SUMIFS($T$7:$T$1006,$S$7:$S$1006,$S51)-ROW()/1000000000,""),"")</f>
        <v/>
      </c>
      <c r="V51" s="80" t="n">
        <f aca="false">IF(OR($O51="On hand",$O51="Advance received",$O51="Part realised",$O51="Amount missing"),1,0)</f>
        <v>0</v>
      </c>
      <c r="W51" s="80" t="str">
        <f aca="false">IF(AND($V51=1,N($F51)&gt;0),ROW(),"")</f>
        <v/>
      </c>
      <c r="X51" s="80" t="n">
        <f aca="false">IF(AND(OR($A51&lt;&gt;"",$E51&lt;&gt;""),$O51&lt;&gt;"Cancelled",ISNUMBER($E51),N($F51)+N($H51)&gt;$E51+0.005),1,0)</f>
        <v>0</v>
      </c>
      <c r="Y51" s="80" t="n">
        <f aca="false">IF(AND(OR($A51&lt;&gt;"",$E51&lt;&gt;""),OR($A51="",$E51="")),1,0)</f>
        <v>0</v>
      </c>
      <c r="Z51" s="80" t="n">
        <f aca="false">IF(AND($A51&lt;&gt;"",COUNTIF($A$7:$A$1006,$A51)&gt;1),1,0)</f>
        <v>0</v>
      </c>
    </row>
    <row r="52" customFormat="false" ht="15" hidden="false" customHeight="false" outlineLevel="0" collapsed="false">
      <c r="A52" s="71"/>
      <c r="B52" s="72"/>
      <c r="C52" s="73"/>
      <c r="D52" s="73"/>
      <c r="E52" s="74"/>
      <c r="F52" s="74"/>
      <c r="G52" s="72"/>
      <c r="H52" s="74"/>
      <c r="I52" s="72"/>
      <c r="J52" s="73"/>
      <c r="K52" s="73"/>
      <c r="L52" s="75" t="str">
        <f aca="false">IF(OR($A52&lt;&gt;"",$E52&lt;&gt;""),N($F52)+N($H52),"")</f>
        <v/>
      </c>
      <c r="M52" s="76" t="str">
        <f aca="false">IF(OR($O52="",$O52="Cancelled",$O52="Amount missing"),"",IF($O52="Realised",0,$E52-N($F52)-N($H52)))</f>
        <v/>
      </c>
      <c r="N52" s="77" t="str">
        <f aca="false">IF(OR($M52="",FX=""),"",$M52*FX)</f>
        <v/>
      </c>
      <c r="O52" s="78" t="str">
        <f aca="false">IF(NOT(OR($A52&lt;&gt;"",$E52&lt;&gt;"")),"",IF($J52="Cancelled","Cancelled",IF($E52="","Amount missing",IF(OR($J52="Settled",$E52-N($F52)-N($H52)&lt;=0.005),"Realised",IF(N($H52)&gt;0,"Part realised",IF(N($F52)&gt;0,"Advance received","On hand"))))))</f>
        <v/>
      </c>
      <c r="P52" s="79" t="str">
        <f aca="false">IF(AND($V52=1,ISNUMBER($B52)),AsAt-$B52,"")</f>
        <v/>
      </c>
      <c r="Q52" s="78" t="str">
        <f aca="false">IF($V52&lt;&gt;1,"",IF($P52="","No invoice date",IF($P52&lt;=30,"0–30 days",IF($P52&lt;=60,"31–60 days",IF($P52&lt;=90,"61–90 days","Over 90 days")))))</f>
        <v/>
      </c>
      <c r="R52" s="80" t="str">
        <f aca="false">IF($V52=1,ROW(),"")</f>
        <v/>
      </c>
      <c r="S52" s="80" t="str">
        <f aca="false">IF(OR($A52&lt;&gt;"",$E52&lt;&gt;""),IF(TRIM($D52)="","Buyer not noted",TRIM($D52)),"")</f>
        <v/>
      </c>
      <c r="T52" s="80" t="n">
        <f aca="false">IF(AND($V52=1,ISNUMBER($M52)),$M52,0)</f>
        <v>0</v>
      </c>
      <c r="U52" s="80" t="str">
        <f aca="false">IF($V52=1,IF(COUNTIFS($S$7:$S52,$S52,$V$7:$V52,1)=1,SUMIFS($T$7:$T$1006,$S$7:$S$1006,$S52)-ROW()/1000000000,""),"")</f>
        <v/>
      </c>
      <c r="V52" s="80" t="n">
        <f aca="false">IF(OR($O52="On hand",$O52="Advance received",$O52="Part realised",$O52="Amount missing"),1,0)</f>
        <v>0</v>
      </c>
      <c r="W52" s="80" t="str">
        <f aca="false">IF(AND($V52=1,N($F52)&gt;0),ROW(),"")</f>
        <v/>
      </c>
      <c r="X52" s="80" t="n">
        <f aca="false">IF(AND(OR($A52&lt;&gt;"",$E52&lt;&gt;""),$O52&lt;&gt;"Cancelled",ISNUMBER($E52),N($F52)+N($H52)&gt;$E52+0.005),1,0)</f>
        <v>0</v>
      </c>
      <c r="Y52" s="80" t="n">
        <f aca="false">IF(AND(OR($A52&lt;&gt;"",$E52&lt;&gt;""),OR($A52="",$E52="")),1,0)</f>
        <v>0</v>
      </c>
      <c r="Z52" s="80" t="n">
        <f aca="false">IF(AND($A52&lt;&gt;"",COUNTIF($A$7:$A$1006,$A52)&gt;1),1,0)</f>
        <v>0</v>
      </c>
    </row>
    <row r="53" customFormat="false" ht="15" hidden="false" customHeight="false" outlineLevel="0" collapsed="false">
      <c r="A53" s="71"/>
      <c r="B53" s="72"/>
      <c r="C53" s="73"/>
      <c r="D53" s="73"/>
      <c r="E53" s="74"/>
      <c r="F53" s="74"/>
      <c r="G53" s="72"/>
      <c r="H53" s="74"/>
      <c r="I53" s="72"/>
      <c r="J53" s="73"/>
      <c r="K53" s="73"/>
      <c r="L53" s="75" t="str">
        <f aca="false">IF(OR($A53&lt;&gt;"",$E53&lt;&gt;""),N($F53)+N($H53),"")</f>
        <v/>
      </c>
      <c r="M53" s="76" t="str">
        <f aca="false">IF(OR($O53="",$O53="Cancelled",$O53="Amount missing"),"",IF($O53="Realised",0,$E53-N($F53)-N($H53)))</f>
        <v/>
      </c>
      <c r="N53" s="77" t="str">
        <f aca="false">IF(OR($M53="",FX=""),"",$M53*FX)</f>
        <v/>
      </c>
      <c r="O53" s="78" t="str">
        <f aca="false">IF(NOT(OR($A53&lt;&gt;"",$E53&lt;&gt;"")),"",IF($J53="Cancelled","Cancelled",IF($E53="","Amount missing",IF(OR($J53="Settled",$E53-N($F53)-N($H53)&lt;=0.005),"Realised",IF(N($H53)&gt;0,"Part realised",IF(N($F53)&gt;0,"Advance received","On hand"))))))</f>
        <v/>
      </c>
      <c r="P53" s="79" t="str">
        <f aca="false">IF(AND($V53=1,ISNUMBER($B53)),AsAt-$B53,"")</f>
        <v/>
      </c>
      <c r="Q53" s="78" t="str">
        <f aca="false">IF($V53&lt;&gt;1,"",IF($P53="","No invoice date",IF($P53&lt;=30,"0–30 days",IF($P53&lt;=60,"31–60 days",IF($P53&lt;=90,"61–90 days","Over 90 days")))))</f>
        <v/>
      </c>
      <c r="R53" s="80" t="str">
        <f aca="false">IF($V53=1,ROW(),"")</f>
        <v/>
      </c>
      <c r="S53" s="80" t="str">
        <f aca="false">IF(OR($A53&lt;&gt;"",$E53&lt;&gt;""),IF(TRIM($D53)="","Buyer not noted",TRIM($D53)),"")</f>
        <v/>
      </c>
      <c r="T53" s="80" t="n">
        <f aca="false">IF(AND($V53=1,ISNUMBER($M53)),$M53,0)</f>
        <v>0</v>
      </c>
      <c r="U53" s="80" t="str">
        <f aca="false">IF($V53=1,IF(COUNTIFS($S$7:$S53,$S53,$V$7:$V53,1)=1,SUMIFS($T$7:$T$1006,$S$7:$S$1006,$S53)-ROW()/1000000000,""),"")</f>
        <v/>
      </c>
      <c r="V53" s="80" t="n">
        <f aca="false">IF(OR($O53="On hand",$O53="Advance received",$O53="Part realised",$O53="Amount missing"),1,0)</f>
        <v>0</v>
      </c>
      <c r="W53" s="80" t="str">
        <f aca="false">IF(AND($V53=1,N($F53)&gt;0),ROW(),"")</f>
        <v/>
      </c>
      <c r="X53" s="80" t="n">
        <f aca="false">IF(AND(OR($A53&lt;&gt;"",$E53&lt;&gt;""),$O53&lt;&gt;"Cancelled",ISNUMBER($E53),N($F53)+N($H53)&gt;$E53+0.005),1,0)</f>
        <v>0</v>
      </c>
      <c r="Y53" s="80" t="n">
        <f aca="false">IF(AND(OR($A53&lt;&gt;"",$E53&lt;&gt;""),OR($A53="",$E53="")),1,0)</f>
        <v>0</v>
      </c>
      <c r="Z53" s="80" t="n">
        <f aca="false">IF(AND($A53&lt;&gt;"",COUNTIF($A$7:$A$1006,$A53)&gt;1),1,0)</f>
        <v>0</v>
      </c>
    </row>
    <row r="54" customFormat="false" ht="15" hidden="false" customHeight="false" outlineLevel="0" collapsed="false">
      <c r="A54" s="71"/>
      <c r="B54" s="72"/>
      <c r="C54" s="73"/>
      <c r="D54" s="73"/>
      <c r="E54" s="74"/>
      <c r="F54" s="74"/>
      <c r="G54" s="72"/>
      <c r="H54" s="74"/>
      <c r="I54" s="72"/>
      <c r="J54" s="73"/>
      <c r="K54" s="73"/>
      <c r="L54" s="75" t="str">
        <f aca="false">IF(OR($A54&lt;&gt;"",$E54&lt;&gt;""),N($F54)+N($H54),"")</f>
        <v/>
      </c>
      <c r="M54" s="76" t="str">
        <f aca="false">IF(OR($O54="",$O54="Cancelled",$O54="Amount missing"),"",IF($O54="Realised",0,$E54-N($F54)-N($H54)))</f>
        <v/>
      </c>
      <c r="N54" s="77" t="str">
        <f aca="false">IF(OR($M54="",FX=""),"",$M54*FX)</f>
        <v/>
      </c>
      <c r="O54" s="78" t="str">
        <f aca="false">IF(NOT(OR($A54&lt;&gt;"",$E54&lt;&gt;"")),"",IF($J54="Cancelled","Cancelled",IF($E54="","Amount missing",IF(OR($J54="Settled",$E54-N($F54)-N($H54)&lt;=0.005),"Realised",IF(N($H54)&gt;0,"Part realised",IF(N($F54)&gt;0,"Advance received","On hand"))))))</f>
        <v/>
      </c>
      <c r="P54" s="79" t="str">
        <f aca="false">IF(AND($V54=1,ISNUMBER($B54)),AsAt-$B54,"")</f>
        <v/>
      </c>
      <c r="Q54" s="78" t="str">
        <f aca="false">IF($V54&lt;&gt;1,"",IF($P54="","No invoice date",IF($P54&lt;=30,"0–30 days",IF($P54&lt;=60,"31–60 days",IF($P54&lt;=90,"61–90 days","Over 90 days")))))</f>
        <v/>
      </c>
      <c r="R54" s="80" t="str">
        <f aca="false">IF($V54=1,ROW(),"")</f>
        <v/>
      </c>
      <c r="S54" s="80" t="str">
        <f aca="false">IF(OR($A54&lt;&gt;"",$E54&lt;&gt;""),IF(TRIM($D54)="","Buyer not noted",TRIM($D54)),"")</f>
        <v/>
      </c>
      <c r="T54" s="80" t="n">
        <f aca="false">IF(AND($V54=1,ISNUMBER($M54)),$M54,0)</f>
        <v>0</v>
      </c>
      <c r="U54" s="80" t="str">
        <f aca="false">IF($V54=1,IF(COUNTIFS($S$7:$S54,$S54,$V$7:$V54,1)=1,SUMIFS($T$7:$T$1006,$S$7:$S$1006,$S54)-ROW()/1000000000,""),"")</f>
        <v/>
      </c>
      <c r="V54" s="80" t="n">
        <f aca="false">IF(OR($O54="On hand",$O54="Advance received",$O54="Part realised",$O54="Amount missing"),1,0)</f>
        <v>0</v>
      </c>
      <c r="W54" s="80" t="str">
        <f aca="false">IF(AND($V54=1,N($F54)&gt;0),ROW(),"")</f>
        <v/>
      </c>
      <c r="X54" s="80" t="n">
        <f aca="false">IF(AND(OR($A54&lt;&gt;"",$E54&lt;&gt;""),$O54&lt;&gt;"Cancelled",ISNUMBER($E54),N($F54)+N($H54)&gt;$E54+0.005),1,0)</f>
        <v>0</v>
      </c>
      <c r="Y54" s="80" t="n">
        <f aca="false">IF(AND(OR($A54&lt;&gt;"",$E54&lt;&gt;""),OR($A54="",$E54="")),1,0)</f>
        <v>0</v>
      </c>
      <c r="Z54" s="80" t="n">
        <f aca="false">IF(AND($A54&lt;&gt;"",COUNTIF($A$7:$A$1006,$A54)&gt;1),1,0)</f>
        <v>0</v>
      </c>
    </row>
    <row r="55" customFormat="false" ht="15" hidden="false" customHeight="false" outlineLevel="0" collapsed="false">
      <c r="A55" s="71"/>
      <c r="B55" s="72"/>
      <c r="C55" s="73"/>
      <c r="D55" s="73"/>
      <c r="E55" s="74"/>
      <c r="F55" s="74"/>
      <c r="G55" s="72"/>
      <c r="H55" s="74"/>
      <c r="I55" s="72"/>
      <c r="J55" s="73"/>
      <c r="K55" s="73"/>
      <c r="L55" s="75" t="str">
        <f aca="false">IF(OR($A55&lt;&gt;"",$E55&lt;&gt;""),N($F55)+N($H55),"")</f>
        <v/>
      </c>
      <c r="M55" s="76" t="str">
        <f aca="false">IF(OR($O55="",$O55="Cancelled",$O55="Amount missing"),"",IF($O55="Realised",0,$E55-N($F55)-N($H55)))</f>
        <v/>
      </c>
      <c r="N55" s="77" t="str">
        <f aca="false">IF(OR($M55="",FX=""),"",$M55*FX)</f>
        <v/>
      </c>
      <c r="O55" s="78" t="str">
        <f aca="false">IF(NOT(OR($A55&lt;&gt;"",$E55&lt;&gt;"")),"",IF($J55="Cancelled","Cancelled",IF($E55="","Amount missing",IF(OR($J55="Settled",$E55-N($F55)-N($H55)&lt;=0.005),"Realised",IF(N($H55)&gt;0,"Part realised",IF(N($F55)&gt;0,"Advance received","On hand"))))))</f>
        <v/>
      </c>
      <c r="P55" s="79" t="str">
        <f aca="false">IF(AND($V55=1,ISNUMBER($B55)),AsAt-$B55,"")</f>
        <v/>
      </c>
      <c r="Q55" s="78" t="str">
        <f aca="false">IF($V55&lt;&gt;1,"",IF($P55="","No invoice date",IF($P55&lt;=30,"0–30 days",IF($P55&lt;=60,"31–60 days",IF($P55&lt;=90,"61–90 days","Over 90 days")))))</f>
        <v/>
      </c>
      <c r="R55" s="80" t="str">
        <f aca="false">IF($V55=1,ROW(),"")</f>
        <v/>
      </c>
      <c r="S55" s="80" t="str">
        <f aca="false">IF(OR($A55&lt;&gt;"",$E55&lt;&gt;""),IF(TRIM($D55)="","Buyer not noted",TRIM($D55)),"")</f>
        <v/>
      </c>
      <c r="T55" s="80" t="n">
        <f aca="false">IF(AND($V55=1,ISNUMBER($M55)),$M55,0)</f>
        <v>0</v>
      </c>
      <c r="U55" s="80" t="str">
        <f aca="false">IF($V55=1,IF(COUNTIFS($S$7:$S55,$S55,$V$7:$V55,1)=1,SUMIFS($T$7:$T$1006,$S$7:$S$1006,$S55)-ROW()/1000000000,""),"")</f>
        <v/>
      </c>
      <c r="V55" s="80" t="n">
        <f aca="false">IF(OR($O55="On hand",$O55="Advance received",$O55="Part realised",$O55="Amount missing"),1,0)</f>
        <v>0</v>
      </c>
      <c r="W55" s="80" t="str">
        <f aca="false">IF(AND($V55=1,N($F55)&gt;0),ROW(),"")</f>
        <v/>
      </c>
      <c r="X55" s="80" t="n">
        <f aca="false">IF(AND(OR($A55&lt;&gt;"",$E55&lt;&gt;""),$O55&lt;&gt;"Cancelled",ISNUMBER($E55),N($F55)+N($H55)&gt;$E55+0.005),1,0)</f>
        <v>0</v>
      </c>
      <c r="Y55" s="80" t="n">
        <f aca="false">IF(AND(OR($A55&lt;&gt;"",$E55&lt;&gt;""),OR($A55="",$E55="")),1,0)</f>
        <v>0</v>
      </c>
      <c r="Z55" s="80" t="n">
        <f aca="false">IF(AND($A55&lt;&gt;"",COUNTIF($A$7:$A$1006,$A55)&gt;1),1,0)</f>
        <v>0</v>
      </c>
    </row>
    <row r="56" customFormat="false" ht="15" hidden="false" customHeight="false" outlineLevel="0" collapsed="false">
      <c r="A56" s="71"/>
      <c r="B56" s="72"/>
      <c r="C56" s="73"/>
      <c r="D56" s="73"/>
      <c r="E56" s="74"/>
      <c r="F56" s="74"/>
      <c r="G56" s="72"/>
      <c r="H56" s="74"/>
      <c r="I56" s="72"/>
      <c r="J56" s="73"/>
      <c r="K56" s="73"/>
      <c r="L56" s="75" t="str">
        <f aca="false">IF(OR($A56&lt;&gt;"",$E56&lt;&gt;""),N($F56)+N($H56),"")</f>
        <v/>
      </c>
      <c r="M56" s="76" t="str">
        <f aca="false">IF(OR($O56="",$O56="Cancelled",$O56="Amount missing"),"",IF($O56="Realised",0,$E56-N($F56)-N($H56)))</f>
        <v/>
      </c>
      <c r="N56" s="77" t="str">
        <f aca="false">IF(OR($M56="",FX=""),"",$M56*FX)</f>
        <v/>
      </c>
      <c r="O56" s="78" t="str">
        <f aca="false">IF(NOT(OR($A56&lt;&gt;"",$E56&lt;&gt;"")),"",IF($J56="Cancelled","Cancelled",IF($E56="","Amount missing",IF(OR($J56="Settled",$E56-N($F56)-N($H56)&lt;=0.005),"Realised",IF(N($H56)&gt;0,"Part realised",IF(N($F56)&gt;0,"Advance received","On hand"))))))</f>
        <v/>
      </c>
      <c r="P56" s="79" t="str">
        <f aca="false">IF(AND($V56=1,ISNUMBER($B56)),AsAt-$B56,"")</f>
        <v/>
      </c>
      <c r="Q56" s="78" t="str">
        <f aca="false">IF($V56&lt;&gt;1,"",IF($P56="","No invoice date",IF($P56&lt;=30,"0–30 days",IF($P56&lt;=60,"31–60 days",IF($P56&lt;=90,"61–90 days","Over 90 days")))))</f>
        <v/>
      </c>
      <c r="R56" s="80" t="str">
        <f aca="false">IF($V56=1,ROW(),"")</f>
        <v/>
      </c>
      <c r="S56" s="80" t="str">
        <f aca="false">IF(OR($A56&lt;&gt;"",$E56&lt;&gt;""),IF(TRIM($D56)="","Buyer not noted",TRIM($D56)),"")</f>
        <v/>
      </c>
      <c r="T56" s="80" t="n">
        <f aca="false">IF(AND($V56=1,ISNUMBER($M56)),$M56,0)</f>
        <v>0</v>
      </c>
      <c r="U56" s="80" t="str">
        <f aca="false">IF($V56=1,IF(COUNTIFS($S$7:$S56,$S56,$V$7:$V56,1)=1,SUMIFS($T$7:$T$1006,$S$7:$S$1006,$S56)-ROW()/1000000000,""),"")</f>
        <v/>
      </c>
      <c r="V56" s="80" t="n">
        <f aca="false">IF(OR($O56="On hand",$O56="Advance received",$O56="Part realised",$O56="Amount missing"),1,0)</f>
        <v>0</v>
      </c>
      <c r="W56" s="80" t="str">
        <f aca="false">IF(AND($V56=1,N($F56)&gt;0),ROW(),"")</f>
        <v/>
      </c>
      <c r="X56" s="80" t="n">
        <f aca="false">IF(AND(OR($A56&lt;&gt;"",$E56&lt;&gt;""),$O56&lt;&gt;"Cancelled",ISNUMBER($E56),N($F56)+N($H56)&gt;$E56+0.005),1,0)</f>
        <v>0</v>
      </c>
      <c r="Y56" s="80" t="n">
        <f aca="false">IF(AND(OR($A56&lt;&gt;"",$E56&lt;&gt;""),OR($A56="",$E56="")),1,0)</f>
        <v>0</v>
      </c>
      <c r="Z56" s="80" t="n">
        <f aca="false">IF(AND($A56&lt;&gt;"",COUNTIF($A$7:$A$1006,$A56)&gt;1),1,0)</f>
        <v>0</v>
      </c>
    </row>
    <row r="57" customFormat="false" ht="15" hidden="false" customHeight="false" outlineLevel="0" collapsed="false">
      <c r="A57" s="71"/>
      <c r="B57" s="72"/>
      <c r="C57" s="73"/>
      <c r="D57" s="73"/>
      <c r="E57" s="74"/>
      <c r="F57" s="74"/>
      <c r="G57" s="72"/>
      <c r="H57" s="74"/>
      <c r="I57" s="72"/>
      <c r="J57" s="73"/>
      <c r="K57" s="73"/>
      <c r="L57" s="75" t="str">
        <f aca="false">IF(OR($A57&lt;&gt;"",$E57&lt;&gt;""),N($F57)+N($H57),"")</f>
        <v/>
      </c>
      <c r="M57" s="76" t="str">
        <f aca="false">IF(OR($O57="",$O57="Cancelled",$O57="Amount missing"),"",IF($O57="Realised",0,$E57-N($F57)-N($H57)))</f>
        <v/>
      </c>
      <c r="N57" s="77" t="str">
        <f aca="false">IF(OR($M57="",FX=""),"",$M57*FX)</f>
        <v/>
      </c>
      <c r="O57" s="78" t="str">
        <f aca="false">IF(NOT(OR($A57&lt;&gt;"",$E57&lt;&gt;"")),"",IF($J57="Cancelled","Cancelled",IF($E57="","Amount missing",IF(OR($J57="Settled",$E57-N($F57)-N($H57)&lt;=0.005),"Realised",IF(N($H57)&gt;0,"Part realised",IF(N($F57)&gt;0,"Advance received","On hand"))))))</f>
        <v/>
      </c>
      <c r="P57" s="79" t="str">
        <f aca="false">IF(AND($V57=1,ISNUMBER($B57)),AsAt-$B57,"")</f>
        <v/>
      </c>
      <c r="Q57" s="78" t="str">
        <f aca="false">IF($V57&lt;&gt;1,"",IF($P57="","No invoice date",IF($P57&lt;=30,"0–30 days",IF($P57&lt;=60,"31–60 days",IF($P57&lt;=90,"61–90 days","Over 90 days")))))</f>
        <v/>
      </c>
      <c r="R57" s="80" t="str">
        <f aca="false">IF($V57=1,ROW(),"")</f>
        <v/>
      </c>
      <c r="S57" s="80" t="str">
        <f aca="false">IF(OR($A57&lt;&gt;"",$E57&lt;&gt;""),IF(TRIM($D57)="","Buyer not noted",TRIM($D57)),"")</f>
        <v/>
      </c>
      <c r="T57" s="80" t="n">
        <f aca="false">IF(AND($V57=1,ISNUMBER($M57)),$M57,0)</f>
        <v>0</v>
      </c>
      <c r="U57" s="80" t="str">
        <f aca="false">IF($V57=1,IF(COUNTIFS($S$7:$S57,$S57,$V$7:$V57,1)=1,SUMIFS($T$7:$T$1006,$S$7:$S$1006,$S57)-ROW()/1000000000,""),"")</f>
        <v/>
      </c>
      <c r="V57" s="80" t="n">
        <f aca="false">IF(OR($O57="On hand",$O57="Advance received",$O57="Part realised",$O57="Amount missing"),1,0)</f>
        <v>0</v>
      </c>
      <c r="W57" s="80" t="str">
        <f aca="false">IF(AND($V57=1,N($F57)&gt;0),ROW(),"")</f>
        <v/>
      </c>
      <c r="X57" s="80" t="n">
        <f aca="false">IF(AND(OR($A57&lt;&gt;"",$E57&lt;&gt;""),$O57&lt;&gt;"Cancelled",ISNUMBER($E57),N($F57)+N($H57)&gt;$E57+0.005),1,0)</f>
        <v>0</v>
      </c>
      <c r="Y57" s="80" t="n">
        <f aca="false">IF(AND(OR($A57&lt;&gt;"",$E57&lt;&gt;""),OR($A57="",$E57="")),1,0)</f>
        <v>0</v>
      </c>
      <c r="Z57" s="80" t="n">
        <f aca="false">IF(AND($A57&lt;&gt;"",COUNTIF($A$7:$A$1006,$A57)&gt;1),1,0)</f>
        <v>0</v>
      </c>
    </row>
    <row r="58" customFormat="false" ht="15" hidden="false" customHeight="false" outlineLevel="0" collapsed="false">
      <c r="A58" s="71"/>
      <c r="B58" s="72"/>
      <c r="C58" s="73"/>
      <c r="D58" s="73"/>
      <c r="E58" s="74"/>
      <c r="F58" s="74"/>
      <c r="G58" s="72"/>
      <c r="H58" s="74"/>
      <c r="I58" s="72"/>
      <c r="J58" s="73"/>
      <c r="K58" s="73"/>
      <c r="L58" s="75" t="str">
        <f aca="false">IF(OR($A58&lt;&gt;"",$E58&lt;&gt;""),N($F58)+N($H58),"")</f>
        <v/>
      </c>
      <c r="M58" s="76" t="str">
        <f aca="false">IF(OR($O58="",$O58="Cancelled",$O58="Amount missing"),"",IF($O58="Realised",0,$E58-N($F58)-N($H58)))</f>
        <v/>
      </c>
      <c r="N58" s="77" t="str">
        <f aca="false">IF(OR($M58="",FX=""),"",$M58*FX)</f>
        <v/>
      </c>
      <c r="O58" s="78" t="str">
        <f aca="false">IF(NOT(OR($A58&lt;&gt;"",$E58&lt;&gt;"")),"",IF($J58="Cancelled","Cancelled",IF($E58="","Amount missing",IF(OR($J58="Settled",$E58-N($F58)-N($H58)&lt;=0.005),"Realised",IF(N($H58)&gt;0,"Part realised",IF(N($F58)&gt;0,"Advance received","On hand"))))))</f>
        <v/>
      </c>
      <c r="P58" s="79" t="str">
        <f aca="false">IF(AND($V58=1,ISNUMBER($B58)),AsAt-$B58,"")</f>
        <v/>
      </c>
      <c r="Q58" s="78" t="str">
        <f aca="false">IF($V58&lt;&gt;1,"",IF($P58="","No invoice date",IF($P58&lt;=30,"0–30 days",IF($P58&lt;=60,"31–60 days",IF($P58&lt;=90,"61–90 days","Over 90 days")))))</f>
        <v/>
      </c>
      <c r="R58" s="80" t="str">
        <f aca="false">IF($V58=1,ROW(),"")</f>
        <v/>
      </c>
      <c r="S58" s="80" t="str">
        <f aca="false">IF(OR($A58&lt;&gt;"",$E58&lt;&gt;""),IF(TRIM($D58)="","Buyer not noted",TRIM($D58)),"")</f>
        <v/>
      </c>
      <c r="T58" s="80" t="n">
        <f aca="false">IF(AND($V58=1,ISNUMBER($M58)),$M58,0)</f>
        <v>0</v>
      </c>
      <c r="U58" s="80" t="str">
        <f aca="false">IF($V58=1,IF(COUNTIFS($S$7:$S58,$S58,$V$7:$V58,1)=1,SUMIFS($T$7:$T$1006,$S$7:$S$1006,$S58)-ROW()/1000000000,""),"")</f>
        <v/>
      </c>
      <c r="V58" s="80" t="n">
        <f aca="false">IF(OR($O58="On hand",$O58="Advance received",$O58="Part realised",$O58="Amount missing"),1,0)</f>
        <v>0</v>
      </c>
      <c r="W58" s="80" t="str">
        <f aca="false">IF(AND($V58=1,N($F58)&gt;0),ROW(),"")</f>
        <v/>
      </c>
      <c r="X58" s="80" t="n">
        <f aca="false">IF(AND(OR($A58&lt;&gt;"",$E58&lt;&gt;""),$O58&lt;&gt;"Cancelled",ISNUMBER($E58),N($F58)+N($H58)&gt;$E58+0.005),1,0)</f>
        <v>0</v>
      </c>
      <c r="Y58" s="80" t="n">
        <f aca="false">IF(AND(OR($A58&lt;&gt;"",$E58&lt;&gt;""),OR($A58="",$E58="")),1,0)</f>
        <v>0</v>
      </c>
      <c r="Z58" s="80" t="n">
        <f aca="false">IF(AND($A58&lt;&gt;"",COUNTIF($A$7:$A$1006,$A58)&gt;1),1,0)</f>
        <v>0</v>
      </c>
    </row>
    <row r="59" customFormat="false" ht="15" hidden="false" customHeight="false" outlineLevel="0" collapsed="false">
      <c r="A59" s="71"/>
      <c r="B59" s="72"/>
      <c r="C59" s="73"/>
      <c r="D59" s="73"/>
      <c r="E59" s="74"/>
      <c r="F59" s="74"/>
      <c r="G59" s="72"/>
      <c r="H59" s="74"/>
      <c r="I59" s="72"/>
      <c r="J59" s="73"/>
      <c r="K59" s="73"/>
      <c r="L59" s="75" t="str">
        <f aca="false">IF(OR($A59&lt;&gt;"",$E59&lt;&gt;""),N($F59)+N($H59),"")</f>
        <v/>
      </c>
      <c r="M59" s="76" t="str">
        <f aca="false">IF(OR($O59="",$O59="Cancelled",$O59="Amount missing"),"",IF($O59="Realised",0,$E59-N($F59)-N($H59)))</f>
        <v/>
      </c>
      <c r="N59" s="77" t="str">
        <f aca="false">IF(OR($M59="",FX=""),"",$M59*FX)</f>
        <v/>
      </c>
      <c r="O59" s="78" t="str">
        <f aca="false">IF(NOT(OR($A59&lt;&gt;"",$E59&lt;&gt;"")),"",IF($J59="Cancelled","Cancelled",IF($E59="","Amount missing",IF(OR($J59="Settled",$E59-N($F59)-N($H59)&lt;=0.005),"Realised",IF(N($H59)&gt;0,"Part realised",IF(N($F59)&gt;0,"Advance received","On hand"))))))</f>
        <v/>
      </c>
      <c r="P59" s="79" t="str">
        <f aca="false">IF(AND($V59=1,ISNUMBER($B59)),AsAt-$B59,"")</f>
        <v/>
      </c>
      <c r="Q59" s="78" t="str">
        <f aca="false">IF($V59&lt;&gt;1,"",IF($P59="","No invoice date",IF($P59&lt;=30,"0–30 days",IF($P59&lt;=60,"31–60 days",IF($P59&lt;=90,"61–90 days","Over 90 days")))))</f>
        <v/>
      </c>
      <c r="R59" s="80" t="str">
        <f aca="false">IF($V59=1,ROW(),"")</f>
        <v/>
      </c>
      <c r="S59" s="80" t="str">
        <f aca="false">IF(OR($A59&lt;&gt;"",$E59&lt;&gt;""),IF(TRIM($D59)="","Buyer not noted",TRIM($D59)),"")</f>
        <v/>
      </c>
      <c r="T59" s="80" t="n">
        <f aca="false">IF(AND($V59=1,ISNUMBER($M59)),$M59,0)</f>
        <v>0</v>
      </c>
      <c r="U59" s="80" t="str">
        <f aca="false">IF($V59=1,IF(COUNTIFS($S$7:$S59,$S59,$V$7:$V59,1)=1,SUMIFS($T$7:$T$1006,$S$7:$S$1006,$S59)-ROW()/1000000000,""),"")</f>
        <v/>
      </c>
      <c r="V59" s="80" t="n">
        <f aca="false">IF(OR($O59="On hand",$O59="Advance received",$O59="Part realised",$O59="Amount missing"),1,0)</f>
        <v>0</v>
      </c>
      <c r="W59" s="80" t="str">
        <f aca="false">IF(AND($V59=1,N($F59)&gt;0),ROW(),"")</f>
        <v/>
      </c>
      <c r="X59" s="80" t="n">
        <f aca="false">IF(AND(OR($A59&lt;&gt;"",$E59&lt;&gt;""),$O59&lt;&gt;"Cancelled",ISNUMBER($E59),N($F59)+N($H59)&gt;$E59+0.005),1,0)</f>
        <v>0</v>
      </c>
      <c r="Y59" s="80" t="n">
        <f aca="false">IF(AND(OR($A59&lt;&gt;"",$E59&lt;&gt;""),OR($A59="",$E59="")),1,0)</f>
        <v>0</v>
      </c>
      <c r="Z59" s="80" t="n">
        <f aca="false">IF(AND($A59&lt;&gt;"",COUNTIF($A$7:$A$1006,$A59)&gt;1),1,0)</f>
        <v>0</v>
      </c>
    </row>
    <row r="60" customFormat="false" ht="15" hidden="false" customHeight="false" outlineLevel="0" collapsed="false">
      <c r="A60" s="71"/>
      <c r="B60" s="72"/>
      <c r="C60" s="73"/>
      <c r="D60" s="73"/>
      <c r="E60" s="74"/>
      <c r="F60" s="74"/>
      <c r="G60" s="72"/>
      <c r="H60" s="74"/>
      <c r="I60" s="72"/>
      <c r="J60" s="73"/>
      <c r="K60" s="73"/>
      <c r="L60" s="75" t="str">
        <f aca="false">IF(OR($A60&lt;&gt;"",$E60&lt;&gt;""),N($F60)+N($H60),"")</f>
        <v/>
      </c>
      <c r="M60" s="76" t="str">
        <f aca="false">IF(OR($O60="",$O60="Cancelled",$O60="Amount missing"),"",IF($O60="Realised",0,$E60-N($F60)-N($H60)))</f>
        <v/>
      </c>
      <c r="N60" s="77" t="str">
        <f aca="false">IF(OR($M60="",FX=""),"",$M60*FX)</f>
        <v/>
      </c>
      <c r="O60" s="78" t="str">
        <f aca="false">IF(NOT(OR($A60&lt;&gt;"",$E60&lt;&gt;"")),"",IF($J60="Cancelled","Cancelled",IF($E60="","Amount missing",IF(OR($J60="Settled",$E60-N($F60)-N($H60)&lt;=0.005),"Realised",IF(N($H60)&gt;0,"Part realised",IF(N($F60)&gt;0,"Advance received","On hand"))))))</f>
        <v/>
      </c>
      <c r="P60" s="79" t="str">
        <f aca="false">IF(AND($V60=1,ISNUMBER($B60)),AsAt-$B60,"")</f>
        <v/>
      </c>
      <c r="Q60" s="78" t="str">
        <f aca="false">IF($V60&lt;&gt;1,"",IF($P60="","No invoice date",IF($P60&lt;=30,"0–30 days",IF($P60&lt;=60,"31–60 days",IF($P60&lt;=90,"61–90 days","Over 90 days")))))</f>
        <v/>
      </c>
      <c r="R60" s="80" t="str">
        <f aca="false">IF($V60=1,ROW(),"")</f>
        <v/>
      </c>
      <c r="S60" s="80" t="str">
        <f aca="false">IF(OR($A60&lt;&gt;"",$E60&lt;&gt;""),IF(TRIM($D60)="","Buyer not noted",TRIM($D60)),"")</f>
        <v/>
      </c>
      <c r="T60" s="80" t="n">
        <f aca="false">IF(AND($V60=1,ISNUMBER($M60)),$M60,0)</f>
        <v>0</v>
      </c>
      <c r="U60" s="80" t="str">
        <f aca="false">IF($V60=1,IF(COUNTIFS($S$7:$S60,$S60,$V$7:$V60,1)=1,SUMIFS($T$7:$T$1006,$S$7:$S$1006,$S60)-ROW()/1000000000,""),"")</f>
        <v/>
      </c>
      <c r="V60" s="80" t="n">
        <f aca="false">IF(OR($O60="On hand",$O60="Advance received",$O60="Part realised",$O60="Amount missing"),1,0)</f>
        <v>0</v>
      </c>
      <c r="W60" s="80" t="str">
        <f aca="false">IF(AND($V60=1,N($F60)&gt;0),ROW(),"")</f>
        <v/>
      </c>
      <c r="X60" s="80" t="n">
        <f aca="false">IF(AND(OR($A60&lt;&gt;"",$E60&lt;&gt;""),$O60&lt;&gt;"Cancelled",ISNUMBER($E60),N($F60)+N($H60)&gt;$E60+0.005),1,0)</f>
        <v>0</v>
      </c>
      <c r="Y60" s="80" t="n">
        <f aca="false">IF(AND(OR($A60&lt;&gt;"",$E60&lt;&gt;""),OR($A60="",$E60="")),1,0)</f>
        <v>0</v>
      </c>
      <c r="Z60" s="80" t="n">
        <f aca="false">IF(AND($A60&lt;&gt;"",COUNTIF($A$7:$A$1006,$A60)&gt;1),1,0)</f>
        <v>0</v>
      </c>
    </row>
    <row r="61" customFormat="false" ht="15" hidden="false" customHeight="false" outlineLevel="0" collapsed="false">
      <c r="A61" s="71"/>
      <c r="B61" s="72"/>
      <c r="C61" s="73"/>
      <c r="D61" s="73"/>
      <c r="E61" s="74"/>
      <c r="F61" s="74"/>
      <c r="G61" s="72"/>
      <c r="H61" s="74"/>
      <c r="I61" s="72"/>
      <c r="J61" s="73"/>
      <c r="K61" s="73"/>
      <c r="L61" s="75" t="str">
        <f aca="false">IF(OR($A61&lt;&gt;"",$E61&lt;&gt;""),N($F61)+N($H61),"")</f>
        <v/>
      </c>
      <c r="M61" s="76" t="str">
        <f aca="false">IF(OR($O61="",$O61="Cancelled",$O61="Amount missing"),"",IF($O61="Realised",0,$E61-N($F61)-N($H61)))</f>
        <v/>
      </c>
      <c r="N61" s="77" t="str">
        <f aca="false">IF(OR($M61="",FX=""),"",$M61*FX)</f>
        <v/>
      </c>
      <c r="O61" s="78" t="str">
        <f aca="false">IF(NOT(OR($A61&lt;&gt;"",$E61&lt;&gt;"")),"",IF($J61="Cancelled","Cancelled",IF($E61="","Amount missing",IF(OR($J61="Settled",$E61-N($F61)-N($H61)&lt;=0.005),"Realised",IF(N($H61)&gt;0,"Part realised",IF(N($F61)&gt;0,"Advance received","On hand"))))))</f>
        <v/>
      </c>
      <c r="P61" s="79" t="str">
        <f aca="false">IF(AND($V61=1,ISNUMBER($B61)),AsAt-$B61,"")</f>
        <v/>
      </c>
      <c r="Q61" s="78" t="str">
        <f aca="false">IF($V61&lt;&gt;1,"",IF($P61="","No invoice date",IF($P61&lt;=30,"0–30 days",IF($P61&lt;=60,"31–60 days",IF($P61&lt;=90,"61–90 days","Over 90 days")))))</f>
        <v/>
      </c>
      <c r="R61" s="80" t="str">
        <f aca="false">IF($V61=1,ROW(),"")</f>
        <v/>
      </c>
      <c r="S61" s="80" t="str">
        <f aca="false">IF(OR($A61&lt;&gt;"",$E61&lt;&gt;""),IF(TRIM($D61)="","Buyer not noted",TRIM($D61)),"")</f>
        <v/>
      </c>
      <c r="T61" s="80" t="n">
        <f aca="false">IF(AND($V61=1,ISNUMBER($M61)),$M61,0)</f>
        <v>0</v>
      </c>
      <c r="U61" s="80" t="str">
        <f aca="false">IF($V61=1,IF(COUNTIFS($S$7:$S61,$S61,$V$7:$V61,1)=1,SUMIFS($T$7:$T$1006,$S$7:$S$1006,$S61)-ROW()/1000000000,""),"")</f>
        <v/>
      </c>
      <c r="V61" s="80" t="n">
        <f aca="false">IF(OR($O61="On hand",$O61="Advance received",$O61="Part realised",$O61="Amount missing"),1,0)</f>
        <v>0</v>
      </c>
      <c r="W61" s="80" t="str">
        <f aca="false">IF(AND($V61=1,N($F61)&gt;0),ROW(),"")</f>
        <v/>
      </c>
      <c r="X61" s="80" t="n">
        <f aca="false">IF(AND(OR($A61&lt;&gt;"",$E61&lt;&gt;""),$O61&lt;&gt;"Cancelled",ISNUMBER($E61),N($F61)+N($H61)&gt;$E61+0.005),1,0)</f>
        <v>0</v>
      </c>
      <c r="Y61" s="80" t="n">
        <f aca="false">IF(AND(OR($A61&lt;&gt;"",$E61&lt;&gt;""),OR($A61="",$E61="")),1,0)</f>
        <v>0</v>
      </c>
      <c r="Z61" s="80" t="n">
        <f aca="false">IF(AND($A61&lt;&gt;"",COUNTIF($A$7:$A$1006,$A61)&gt;1),1,0)</f>
        <v>0</v>
      </c>
    </row>
    <row r="62" customFormat="false" ht="15" hidden="false" customHeight="false" outlineLevel="0" collapsed="false">
      <c r="A62" s="71"/>
      <c r="B62" s="72"/>
      <c r="C62" s="73"/>
      <c r="D62" s="73"/>
      <c r="E62" s="74"/>
      <c r="F62" s="74"/>
      <c r="G62" s="72"/>
      <c r="H62" s="74"/>
      <c r="I62" s="72"/>
      <c r="J62" s="73"/>
      <c r="K62" s="73"/>
      <c r="L62" s="75" t="str">
        <f aca="false">IF(OR($A62&lt;&gt;"",$E62&lt;&gt;""),N($F62)+N($H62),"")</f>
        <v/>
      </c>
      <c r="M62" s="76" t="str">
        <f aca="false">IF(OR($O62="",$O62="Cancelled",$O62="Amount missing"),"",IF($O62="Realised",0,$E62-N($F62)-N($H62)))</f>
        <v/>
      </c>
      <c r="N62" s="77" t="str">
        <f aca="false">IF(OR($M62="",FX=""),"",$M62*FX)</f>
        <v/>
      </c>
      <c r="O62" s="78" t="str">
        <f aca="false">IF(NOT(OR($A62&lt;&gt;"",$E62&lt;&gt;"")),"",IF($J62="Cancelled","Cancelled",IF($E62="","Amount missing",IF(OR($J62="Settled",$E62-N($F62)-N($H62)&lt;=0.005),"Realised",IF(N($H62)&gt;0,"Part realised",IF(N($F62)&gt;0,"Advance received","On hand"))))))</f>
        <v/>
      </c>
      <c r="P62" s="79" t="str">
        <f aca="false">IF(AND($V62=1,ISNUMBER($B62)),AsAt-$B62,"")</f>
        <v/>
      </c>
      <c r="Q62" s="78" t="str">
        <f aca="false">IF($V62&lt;&gt;1,"",IF($P62="","No invoice date",IF($P62&lt;=30,"0–30 days",IF($P62&lt;=60,"31–60 days",IF($P62&lt;=90,"61–90 days","Over 90 days")))))</f>
        <v/>
      </c>
      <c r="R62" s="80" t="str">
        <f aca="false">IF($V62=1,ROW(),"")</f>
        <v/>
      </c>
      <c r="S62" s="80" t="str">
        <f aca="false">IF(OR($A62&lt;&gt;"",$E62&lt;&gt;""),IF(TRIM($D62)="","Buyer not noted",TRIM($D62)),"")</f>
        <v/>
      </c>
      <c r="T62" s="80" t="n">
        <f aca="false">IF(AND($V62=1,ISNUMBER($M62)),$M62,0)</f>
        <v>0</v>
      </c>
      <c r="U62" s="80" t="str">
        <f aca="false">IF($V62=1,IF(COUNTIFS($S$7:$S62,$S62,$V$7:$V62,1)=1,SUMIFS($T$7:$T$1006,$S$7:$S$1006,$S62)-ROW()/1000000000,""),"")</f>
        <v/>
      </c>
      <c r="V62" s="80" t="n">
        <f aca="false">IF(OR($O62="On hand",$O62="Advance received",$O62="Part realised",$O62="Amount missing"),1,0)</f>
        <v>0</v>
      </c>
      <c r="W62" s="80" t="str">
        <f aca="false">IF(AND($V62=1,N($F62)&gt;0),ROW(),"")</f>
        <v/>
      </c>
      <c r="X62" s="80" t="n">
        <f aca="false">IF(AND(OR($A62&lt;&gt;"",$E62&lt;&gt;""),$O62&lt;&gt;"Cancelled",ISNUMBER($E62),N($F62)+N($H62)&gt;$E62+0.005),1,0)</f>
        <v>0</v>
      </c>
      <c r="Y62" s="80" t="n">
        <f aca="false">IF(AND(OR($A62&lt;&gt;"",$E62&lt;&gt;""),OR($A62="",$E62="")),1,0)</f>
        <v>0</v>
      </c>
      <c r="Z62" s="80" t="n">
        <f aca="false">IF(AND($A62&lt;&gt;"",COUNTIF($A$7:$A$1006,$A62)&gt;1),1,0)</f>
        <v>0</v>
      </c>
    </row>
    <row r="63" customFormat="false" ht="15" hidden="false" customHeight="false" outlineLevel="0" collapsed="false">
      <c r="A63" s="71"/>
      <c r="B63" s="72"/>
      <c r="C63" s="73"/>
      <c r="D63" s="73"/>
      <c r="E63" s="74"/>
      <c r="F63" s="74"/>
      <c r="G63" s="72"/>
      <c r="H63" s="74"/>
      <c r="I63" s="72"/>
      <c r="J63" s="73"/>
      <c r="K63" s="73"/>
      <c r="L63" s="75" t="str">
        <f aca="false">IF(OR($A63&lt;&gt;"",$E63&lt;&gt;""),N($F63)+N($H63),"")</f>
        <v/>
      </c>
      <c r="M63" s="76" t="str">
        <f aca="false">IF(OR($O63="",$O63="Cancelled",$O63="Amount missing"),"",IF($O63="Realised",0,$E63-N($F63)-N($H63)))</f>
        <v/>
      </c>
      <c r="N63" s="77" t="str">
        <f aca="false">IF(OR($M63="",FX=""),"",$M63*FX)</f>
        <v/>
      </c>
      <c r="O63" s="78" t="str">
        <f aca="false">IF(NOT(OR($A63&lt;&gt;"",$E63&lt;&gt;"")),"",IF($J63="Cancelled","Cancelled",IF($E63="","Amount missing",IF(OR($J63="Settled",$E63-N($F63)-N($H63)&lt;=0.005),"Realised",IF(N($H63)&gt;0,"Part realised",IF(N($F63)&gt;0,"Advance received","On hand"))))))</f>
        <v/>
      </c>
      <c r="P63" s="79" t="str">
        <f aca="false">IF(AND($V63=1,ISNUMBER($B63)),AsAt-$B63,"")</f>
        <v/>
      </c>
      <c r="Q63" s="78" t="str">
        <f aca="false">IF($V63&lt;&gt;1,"",IF($P63="","No invoice date",IF($P63&lt;=30,"0–30 days",IF($P63&lt;=60,"31–60 days",IF($P63&lt;=90,"61–90 days","Over 90 days")))))</f>
        <v/>
      </c>
      <c r="R63" s="80" t="str">
        <f aca="false">IF($V63=1,ROW(),"")</f>
        <v/>
      </c>
      <c r="S63" s="80" t="str">
        <f aca="false">IF(OR($A63&lt;&gt;"",$E63&lt;&gt;""),IF(TRIM($D63)="","Buyer not noted",TRIM($D63)),"")</f>
        <v/>
      </c>
      <c r="T63" s="80" t="n">
        <f aca="false">IF(AND($V63=1,ISNUMBER($M63)),$M63,0)</f>
        <v>0</v>
      </c>
      <c r="U63" s="80" t="str">
        <f aca="false">IF($V63=1,IF(COUNTIFS($S$7:$S63,$S63,$V$7:$V63,1)=1,SUMIFS($T$7:$T$1006,$S$7:$S$1006,$S63)-ROW()/1000000000,""),"")</f>
        <v/>
      </c>
      <c r="V63" s="80" t="n">
        <f aca="false">IF(OR($O63="On hand",$O63="Advance received",$O63="Part realised",$O63="Amount missing"),1,0)</f>
        <v>0</v>
      </c>
      <c r="W63" s="80" t="str">
        <f aca="false">IF(AND($V63=1,N($F63)&gt;0),ROW(),"")</f>
        <v/>
      </c>
      <c r="X63" s="80" t="n">
        <f aca="false">IF(AND(OR($A63&lt;&gt;"",$E63&lt;&gt;""),$O63&lt;&gt;"Cancelled",ISNUMBER($E63),N($F63)+N($H63)&gt;$E63+0.005),1,0)</f>
        <v>0</v>
      </c>
      <c r="Y63" s="80" t="n">
        <f aca="false">IF(AND(OR($A63&lt;&gt;"",$E63&lt;&gt;""),OR($A63="",$E63="")),1,0)</f>
        <v>0</v>
      </c>
      <c r="Z63" s="80" t="n">
        <f aca="false">IF(AND($A63&lt;&gt;"",COUNTIF($A$7:$A$1006,$A63)&gt;1),1,0)</f>
        <v>0</v>
      </c>
    </row>
    <row r="64" customFormat="false" ht="15" hidden="false" customHeight="false" outlineLevel="0" collapsed="false">
      <c r="A64" s="71"/>
      <c r="B64" s="72"/>
      <c r="C64" s="73"/>
      <c r="D64" s="73"/>
      <c r="E64" s="74"/>
      <c r="F64" s="74"/>
      <c r="G64" s="72"/>
      <c r="H64" s="74"/>
      <c r="I64" s="72"/>
      <c r="J64" s="73"/>
      <c r="K64" s="73"/>
      <c r="L64" s="75" t="str">
        <f aca="false">IF(OR($A64&lt;&gt;"",$E64&lt;&gt;""),N($F64)+N($H64),"")</f>
        <v/>
      </c>
      <c r="M64" s="76" t="str">
        <f aca="false">IF(OR($O64="",$O64="Cancelled",$O64="Amount missing"),"",IF($O64="Realised",0,$E64-N($F64)-N($H64)))</f>
        <v/>
      </c>
      <c r="N64" s="77" t="str">
        <f aca="false">IF(OR($M64="",FX=""),"",$M64*FX)</f>
        <v/>
      </c>
      <c r="O64" s="78" t="str">
        <f aca="false">IF(NOT(OR($A64&lt;&gt;"",$E64&lt;&gt;"")),"",IF($J64="Cancelled","Cancelled",IF($E64="","Amount missing",IF(OR($J64="Settled",$E64-N($F64)-N($H64)&lt;=0.005),"Realised",IF(N($H64)&gt;0,"Part realised",IF(N($F64)&gt;0,"Advance received","On hand"))))))</f>
        <v/>
      </c>
      <c r="P64" s="79" t="str">
        <f aca="false">IF(AND($V64=1,ISNUMBER($B64)),AsAt-$B64,"")</f>
        <v/>
      </c>
      <c r="Q64" s="78" t="str">
        <f aca="false">IF($V64&lt;&gt;1,"",IF($P64="","No invoice date",IF($P64&lt;=30,"0–30 days",IF($P64&lt;=60,"31–60 days",IF($P64&lt;=90,"61–90 days","Over 90 days")))))</f>
        <v/>
      </c>
      <c r="R64" s="80" t="str">
        <f aca="false">IF($V64=1,ROW(),"")</f>
        <v/>
      </c>
      <c r="S64" s="80" t="str">
        <f aca="false">IF(OR($A64&lt;&gt;"",$E64&lt;&gt;""),IF(TRIM($D64)="","Buyer not noted",TRIM($D64)),"")</f>
        <v/>
      </c>
      <c r="T64" s="80" t="n">
        <f aca="false">IF(AND($V64=1,ISNUMBER($M64)),$M64,0)</f>
        <v>0</v>
      </c>
      <c r="U64" s="80" t="str">
        <f aca="false">IF($V64=1,IF(COUNTIFS($S$7:$S64,$S64,$V$7:$V64,1)=1,SUMIFS($T$7:$T$1006,$S$7:$S$1006,$S64)-ROW()/1000000000,""),"")</f>
        <v/>
      </c>
      <c r="V64" s="80" t="n">
        <f aca="false">IF(OR($O64="On hand",$O64="Advance received",$O64="Part realised",$O64="Amount missing"),1,0)</f>
        <v>0</v>
      </c>
      <c r="W64" s="80" t="str">
        <f aca="false">IF(AND($V64=1,N($F64)&gt;0),ROW(),"")</f>
        <v/>
      </c>
      <c r="X64" s="80" t="n">
        <f aca="false">IF(AND(OR($A64&lt;&gt;"",$E64&lt;&gt;""),$O64&lt;&gt;"Cancelled",ISNUMBER($E64),N($F64)+N($H64)&gt;$E64+0.005),1,0)</f>
        <v>0</v>
      </c>
      <c r="Y64" s="80" t="n">
        <f aca="false">IF(AND(OR($A64&lt;&gt;"",$E64&lt;&gt;""),OR($A64="",$E64="")),1,0)</f>
        <v>0</v>
      </c>
      <c r="Z64" s="80" t="n">
        <f aca="false">IF(AND($A64&lt;&gt;"",COUNTIF($A$7:$A$1006,$A64)&gt;1),1,0)</f>
        <v>0</v>
      </c>
    </row>
    <row r="65" customFormat="false" ht="15" hidden="false" customHeight="false" outlineLevel="0" collapsed="false">
      <c r="A65" s="71"/>
      <c r="B65" s="72"/>
      <c r="C65" s="73"/>
      <c r="D65" s="73"/>
      <c r="E65" s="74"/>
      <c r="F65" s="74"/>
      <c r="G65" s="72"/>
      <c r="H65" s="74"/>
      <c r="I65" s="72"/>
      <c r="J65" s="73"/>
      <c r="K65" s="73"/>
      <c r="L65" s="75" t="str">
        <f aca="false">IF(OR($A65&lt;&gt;"",$E65&lt;&gt;""),N($F65)+N($H65),"")</f>
        <v/>
      </c>
      <c r="M65" s="76" t="str">
        <f aca="false">IF(OR($O65="",$O65="Cancelled",$O65="Amount missing"),"",IF($O65="Realised",0,$E65-N($F65)-N($H65)))</f>
        <v/>
      </c>
      <c r="N65" s="77" t="str">
        <f aca="false">IF(OR($M65="",FX=""),"",$M65*FX)</f>
        <v/>
      </c>
      <c r="O65" s="78" t="str">
        <f aca="false">IF(NOT(OR($A65&lt;&gt;"",$E65&lt;&gt;"")),"",IF($J65="Cancelled","Cancelled",IF($E65="","Amount missing",IF(OR($J65="Settled",$E65-N($F65)-N($H65)&lt;=0.005),"Realised",IF(N($H65)&gt;0,"Part realised",IF(N($F65)&gt;0,"Advance received","On hand"))))))</f>
        <v/>
      </c>
      <c r="P65" s="79" t="str">
        <f aca="false">IF(AND($V65=1,ISNUMBER($B65)),AsAt-$B65,"")</f>
        <v/>
      </c>
      <c r="Q65" s="78" t="str">
        <f aca="false">IF($V65&lt;&gt;1,"",IF($P65="","No invoice date",IF($P65&lt;=30,"0–30 days",IF($P65&lt;=60,"31–60 days",IF($P65&lt;=90,"61–90 days","Over 90 days")))))</f>
        <v/>
      </c>
      <c r="R65" s="80" t="str">
        <f aca="false">IF($V65=1,ROW(),"")</f>
        <v/>
      </c>
      <c r="S65" s="80" t="str">
        <f aca="false">IF(OR($A65&lt;&gt;"",$E65&lt;&gt;""),IF(TRIM($D65)="","Buyer not noted",TRIM($D65)),"")</f>
        <v/>
      </c>
      <c r="T65" s="80" t="n">
        <f aca="false">IF(AND($V65=1,ISNUMBER($M65)),$M65,0)</f>
        <v>0</v>
      </c>
      <c r="U65" s="80" t="str">
        <f aca="false">IF($V65=1,IF(COUNTIFS($S$7:$S65,$S65,$V$7:$V65,1)=1,SUMIFS($T$7:$T$1006,$S$7:$S$1006,$S65)-ROW()/1000000000,""),"")</f>
        <v/>
      </c>
      <c r="V65" s="80" t="n">
        <f aca="false">IF(OR($O65="On hand",$O65="Advance received",$O65="Part realised",$O65="Amount missing"),1,0)</f>
        <v>0</v>
      </c>
      <c r="W65" s="80" t="str">
        <f aca="false">IF(AND($V65=1,N($F65)&gt;0),ROW(),"")</f>
        <v/>
      </c>
      <c r="X65" s="80" t="n">
        <f aca="false">IF(AND(OR($A65&lt;&gt;"",$E65&lt;&gt;""),$O65&lt;&gt;"Cancelled",ISNUMBER($E65),N($F65)+N($H65)&gt;$E65+0.005),1,0)</f>
        <v>0</v>
      </c>
      <c r="Y65" s="80" t="n">
        <f aca="false">IF(AND(OR($A65&lt;&gt;"",$E65&lt;&gt;""),OR($A65="",$E65="")),1,0)</f>
        <v>0</v>
      </c>
      <c r="Z65" s="80" t="n">
        <f aca="false">IF(AND($A65&lt;&gt;"",COUNTIF($A$7:$A$1006,$A65)&gt;1),1,0)</f>
        <v>0</v>
      </c>
    </row>
    <row r="66" customFormat="false" ht="15" hidden="false" customHeight="false" outlineLevel="0" collapsed="false">
      <c r="A66" s="71"/>
      <c r="B66" s="72"/>
      <c r="C66" s="73"/>
      <c r="D66" s="73"/>
      <c r="E66" s="74"/>
      <c r="F66" s="74"/>
      <c r="G66" s="72"/>
      <c r="H66" s="74"/>
      <c r="I66" s="72"/>
      <c r="J66" s="73"/>
      <c r="K66" s="73"/>
      <c r="L66" s="75" t="str">
        <f aca="false">IF(OR($A66&lt;&gt;"",$E66&lt;&gt;""),N($F66)+N($H66),"")</f>
        <v/>
      </c>
      <c r="M66" s="76" t="str">
        <f aca="false">IF(OR($O66="",$O66="Cancelled",$O66="Amount missing"),"",IF($O66="Realised",0,$E66-N($F66)-N($H66)))</f>
        <v/>
      </c>
      <c r="N66" s="77" t="str">
        <f aca="false">IF(OR($M66="",FX=""),"",$M66*FX)</f>
        <v/>
      </c>
      <c r="O66" s="78" t="str">
        <f aca="false">IF(NOT(OR($A66&lt;&gt;"",$E66&lt;&gt;"")),"",IF($J66="Cancelled","Cancelled",IF($E66="","Amount missing",IF(OR($J66="Settled",$E66-N($F66)-N($H66)&lt;=0.005),"Realised",IF(N($H66)&gt;0,"Part realised",IF(N($F66)&gt;0,"Advance received","On hand"))))))</f>
        <v/>
      </c>
      <c r="P66" s="79" t="str">
        <f aca="false">IF(AND($V66=1,ISNUMBER($B66)),AsAt-$B66,"")</f>
        <v/>
      </c>
      <c r="Q66" s="78" t="str">
        <f aca="false">IF($V66&lt;&gt;1,"",IF($P66="","No invoice date",IF($P66&lt;=30,"0–30 days",IF($P66&lt;=60,"31–60 days",IF($P66&lt;=90,"61–90 days","Over 90 days")))))</f>
        <v/>
      </c>
      <c r="R66" s="80" t="str">
        <f aca="false">IF($V66=1,ROW(),"")</f>
        <v/>
      </c>
      <c r="S66" s="80" t="str">
        <f aca="false">IF(OR($A66&lt;&gt;"",$E66&lt;&gt;""),IF(TRIM($D66)="","Buyer not noted",TRIM($D66)),"")</f>
        <v/>
      </c>
      <c r="T66" s="80" t="n">
        <f aca="false">IF(AND($V66=1,ISNUMBER($M66)),$M66,0)</f>
        <v>0</v>
      </c>
      <c r="U66" s="80" t="str">
        <f aca="false">IF($V66=1,IF(COUNTIFS($S$7:$S66,$S66,$V$7:$V66,1)=1,SUMIFS($T$7:$T$1006,$S$7:$S$1006,$S66)-ROW()/1000000000,""),"")</f>
        <v/>
      </c>
      <c r="V66" s="80" t="n">
        <f aca="false">IF(OR($O66="On hand",$O66="Advance received",$O66="Part realised",$O66="Amount missing"),1,0)</f>
        <v>0</v>
      </c>
      <c r="W66" s="80" t="str">
        <f aca="false">IF(AND($V66=1,N($F66)&gt;0),ROW(),"")</f>
        <v/>
      </c>
      <c r="X66" s="80" t="n">
        <f aca="false">IF(AND(OR($A66&lt;&gt;"",$E66&lt;&gt;""),$O66&lt;&gt;"Cancelled",ISNUMBER($E66),N($F66)+N($H66)&gt;$E66+0.005),1,0)</f>
        <v>0</v>
      </c>
      <c r="Y66" s="80" t="n">
        <f aca="false">IF(AND(OR($A66&lt;&gt;"",$E66&lt;&gt;""),OR($A66="",$E66="")),1,0)</f>
        <v>0</v>
      </c>
      <c r="Z66" s="80" t="n">
        <f aca="false">IF(AND($A66&lt;&gt;"",COUNTIF($A$7:$A$1006,$A66)&gt;1),1,0)</f>
        <v>0</v>
      </c>
    </row>
    <row r="67" customFormat="false" ht="15" hidden="false" customHeight="false" outlineLevel="0" collapsed="false">
      <c r="A67" s="71"/>
      <c r="B67" s="72"/>
      <c r="C67" s="73"/>
      <c r="D67" s="73"/>
      <c r="E67" s="74"/>
      <c r="F67" s="74"/>
      <c r="G67" s="72"/>
      <c r="H67" s="74"/>
      <c r="I67" s="72"/>
      <c r="J67" s="73"/>
      <c r="K67" s="73"/>
      <c r="L67" s="75" t="str">
        <f aca="false">IF(OR($A67&lt;&gt;"",$E67&lt;&gt;""),N($F67)+N($H67),"")</f>
        <v/>
      </c>
      <c r="M67" s="76" t="str">
        <f aca="false">IF(OR($O67="",$O67="Cancelled",$O67="Amount missing"),"",IF($O67="Realised",0,$E67-N($F67)-N($H67)))</f>
        <v/>
      </c>
      <c r="N67" s="77" t="str">
        <f aca="false">IF(OR($M67="",FX=""),"",$M67*FX)</f>
        <v/>
      </c>
      <c r="O67" s="78" t="str">
        <f aca="false">IF(NOT(OR($A67&lt;&gt;"",$E67&lt;&gt;"")),"",IF($J67="Cancelled","Cancelled",IF($E67="","Amount missing",IF(OR($J67="Settled",$E67-N($F67)-N($H67)&lt;=0.005),"Realised",IF(N($H67)&gt;0,"Part realised",IF(N($F67)&gt;0,"Advance received","On hand"))))))</f>
        <v/>
      </c>
      <c r="P67" s="79" t="str">
        <f aca="false">IF(AND($V67=1,ISNUMBER($B67)),AsAt-$B67,"")</f>
        <v/>
      </c>
      <c r="Q67" s="78" t="str">
        <f aca="false">IF($V67&lt;&gt;1,"",IF($P67="","No invoice date",IF($P67&lt;=30,"0–30 days",IF($P67&lt;=60,"31–60 days",IF($P67&lt;=90,"61–90 days","Over 90 days")))))</f>
        <v/>
      </c>
      <c r="R67" s="80" t="str">
        <f aca="false">IF($V67=1,ROW(),"")</f>
        <v/>
      </c>
      <c r="S67" s="80" t="str">
        <f aca="false">IF(OR($A67&lt;&gt;"",$E67&lt;&gt;""),IF(TRIM($D67)="","Buyer not noted",TRIM($D67)),"")</f>
        <v/>
      </c>
      <c r="T67" s="80" t="n">
        <f aca="false">IF(AND($V67=1,ISNUMBER($M67)),$M67,0)</f>
        <v>0</v>
      </c>
      <c r="U67" s="80" t="str">
        <f aca="false">IF($V67=1,IF(COUNTIFS($S$7:$S67,$S67,$V$7:$V67,1)=1,SUMIFS($T$7:$T$1006,$S$7:$S$1006,$S67)-ROW()/1000000000,""),"")</f>
        <v/>
      </c>
      <c r="V67" s="80" t="n">
        <f aca="false">IF(OR($O67="On hand",$O67="Advance received",$O67="Part realised",$O67="Amount missing"),1,0)</f>
        <v>0</v>
      </c>
      <c r="W67" s="80" t="str">
        <f aca="false">IF(AND($V67=1,N($F67)&gt;0),ROW(),"")</f>
        <v/>
      </c>
      <c r="X67" s="80" t="n">
        <f aca="false">IF(AND(OR($A67&lt;&gt;"",$E67&lt;&gt;""),$O67&lt;&gt;"Cancelled",ISNUMBER($E67),N($F67)+N($H67)&gt;$E67+0.005),1,0)</f>
        <v>0</v>
      </c>
      <c r="Y67" s="80" t="n">
        <f aca="false">IF(AND(OR($A67&lt;&gt;"",$E67&lt;&gt;""),OR($A67="",$E67="")),1,0)</f>
        <v>0</v>
      </c>
      <c r="Z67" s="80" t="n">
        <f aca="false">IF(AND($A67&lt;&gt;"",COUNTIF($A$7:$A$1006,$A67)&gt;1),1,0)</f>
        <v>0</v>
      </c>
    </row>
    <row r="68" customFormat="false" ht="15" hidden="false" customHeight="false" outlineLevel="0" collapsed="false">
      <c r="A68" s="71"/>
      <c r="B68" s="72"/>
      <c r="C68" s="73"/>
      <c r="D68" s="73"/>
      <c r="E68" s="74"/>
      <c r="F68" s="74"/>
      <c r="G68" s="72"/>
      <c r="H68" s="74"/>
      <c r="I68" s="72"/>
      <c r="J68" s="73"/>
      <c r="K68" s="73"/>
      <c r="L68" s="75" t="str">
        <f aca="false">IF(OR($A68&lt;&gt;"",$E68&lt;&gt;""),N($F68)+N($H68),"")</f>
        <v/>
      </c>
      <c r="M68" s="76" t="str">
        <f aca="false">IF(OR($O68="",$O68="Cancelled",$O68="Amount missing"),"",IF($O68="Realised",0,$E68-N($F68)-N($H68)))</f>
        <v/>
      </c>
      <c r="N68" s="77" t="str">
        <f aca="false">IF(OR($M68="",FX=""),"",$M68*FX)</f>
        <v/>
      </c>
      <c r="O68" s="78" t="str">
        <f aca="false">IF(NOT(OR($A68&lt;&gt;"",$E68&lt;&gt;"")),"",IF($J68="Cancelled","Cancelled",IF($E68="","Amount missing",IF(OR($J68="Settled",$E68-N($F68)-N($H68)&lt;=0.005),"Realised",IF(N($H68)&gt;0,"Part realised",IF(N($F68)&gt;0,"Advance received","On hand"))))))</f>
        <v/>
      </c>
      <c r="P68" s="79" t="str">
        <f aca="false">IF(AND($V68=1,ISNUMBER($B68)),AsAt-$B68,"")</f>
        <v/>
      </c>
      <c r="Q68" s="78" t="str">
        <f aca="false">IF($V68&lt;&gt;1,"",IF($P68="","No invoice date",IF($P68&lt;=30,"0–30 days",IF($P68&lt;=60,"31–60 days",IF($P68&lt;=90,"61–90 days","Over 90 days")))))</f>
        <v/>
      </c>
      <c r="R68" s="80" t="str">
        <f aca="false">IF($V68=1,ROW(),"")</f>
        <v/>
      </c>
      <c r="S68" s="80" t="str">
        <f aca="false">IF(OR($A68&lt;&gt;"",$E68&lt;&gt;""),IF(TRIM($D68)="","Buyer not noted",TRIM($D68)),"")</f>
        <v/>
      </c>
      <c r="T68" s="80" t="n">
        <f aca="false">IF(AND($V68=1,ISNUMBER($M68)),$M68,0)</f>
        <v>0</v>
      </c>
      <c r="U68" s="80" t="str">
        <f aca="false">IF($V68=1,IF(COUNTIFS($S$7:$S68,$S68,$V$7:$V68,1)=1,SUMIFS($T$7:$T$1006,$S$7:$S$1006,$S68)-ROW()/1000000000,""),"")</f>
        <v/>
      </c>
      <c r="V68" s="80" t="n">
        <f aca="false">IF(OR($O68="On hand",$O68="Advance received",$O68="Part realised",$O68="Amount missing"),1,0)</f>
        <v>0</v>
      </c>
      <c r="W68" s="80" t="str">
        <f aca="false">IF(AND($V68=1,N($F68)&gt;0),ROW(),"")</f>
        <v/>
      </c>
      <c r="X68" s="80" t="n">
        <f aca="false">IF(AND(OR($A68&lt;&gt;"",$E68&lt;&gt;""),$O68&lt;&gt;"Cancelled",ISNUMBER($E68),N($F68)+N($H68)&gt;$E68+0.005),1,0)</f>
        <v>0</v>
      </c>
      <c r="Y68" s="80" t="n">
        <f aca="false">IF(AND(OR($A68&lt;&gt;"",$E68&lt;&gt;""),OR($A68="",$E68="")),1,0)</f>
        <v>0</v>
      </c>
      <c r="Z68" s="80" t="n">
        <f aca="false">IF(AND($A68&lt;&gt;"",COUNTIF($A$7:$A$1006,$A68)&gt;1),1,0)</f>
        <v>0</v>
      </c>
    </row>
    <row r="69" customFormat="false" ht="15" hidden="false" customHeight="false" outlineLevel="0" collapsed="false">
      <c r="A69" s="71"/>
      <c r="B69" s="72"/>
      <c r="C69" s="73"/>
      <c r="D69" s="73"/>
      <c r="E69" s="74"/>
      <c r="F69" s="74"/>
      <c r="G69" s="72"/>
      <c r="H69" s="74"/>
      <c r="I69" s="72"/>
      <c r="J69" s="73"/>
      <c r="K69" s="73"/>
      <c r="L69" s="75" t="str">
        <f aca="false">IF(OR($A69&lt;&gt;"",$E69&lt;&gt;""),N($F69)+N($H69),"")</f>
        <v/>
      </c>
      <c r="M69" s="76" t="str">
        <f aca="false">IF(OR($O69="",$O69="Cancelled",$O69="Amount missing"),"",IF($O69="Realised",0,$E69-N($F69)-N($H69)))</f>
        <v/>
      </c>
      <c r="N69" s="77" t="str">
        <f aca="false">IF(OR($M69="",FX=""),"",$M69*FX)</f>
        <v/>
      </c>
      <c r="O69" s="78" t="str">
        <f aca="false">IF(NOT(OR($A69&lt;&gt;"",$E69&lt;&gt;"")),"",IF($J69="Cancelled","Cancelled",IF($E69="","Amount missing",IF(OR($J69="Settled",$E69-N($F69)-N($H69)&lt;=0.005),"Realised",IF(N($H69)&gt;0,"Part realised",IF(N($F69)&gt;0,"Advance received","On hand"))))))</f>
        <v/>
      </c>
      <c r="P69" s="79" t="str">
        <f aca="false">IF(AND($V69=1,ISNUMBER($B69)),AsAt-$B69,"")</f>
        <v/>
      </c>
      <c r="Q69" s="78" t="str">
        <f aca="false">IF($V69&lt;&gt;1,"",IF($P69="","No invoice date",IF($P69&lt;=30,"0–30 days",IF($P69&lt;=60,"31–60 days",IF($P69&lt;=90,"61–90 days","Over 90 days")))))</f>
        <v/>
      </c>
      <c r="R69" s="80" t="str">
        <f aca="false">IF($V69=1,ROW(),"")</f>
        <v/>
      </c>
      <c r="S69" s="80" t="str">
        <f aca="false">IF(OR($A69&lt;&gt;"",$E69&lt;&gt;""),IF(TRIM($D69)="","Buyer not noted",TRIM($D69)),"")</f>
        <v/>
      </c>
      <c r="T69" s="80" t="n">
        <f aca="false">IF(AND($V69=1,ISNUMBER($M69)),$M69,0)</f>
        <v>0</v>
      </c>
      <c r="U69" s="80" t="str">
        <f aca="false">IF($V69=1,IF(COUNTIFS($S$7:$S69,$S69,$V$7:$V69,1)=1,SUMIFS($T$7:$T$1006,$S$7:$S$1006,$S69)-ROW()/1000000000,""),"")</f>
        <v/>
      </c>
      <c r="V69" s="80" t="n">
        <f aca="false">IF(OR($O69="On hand",$O69="Advance received",$O69="Part realised",$O69="Amount missing"),1,0)</f>
        <v>0</v>
      </c>
      <c r="W69" s="80" t="str">
        <f aca="false">IF(AND($V69=1,N($F69)&gt;0),ROW(),"")</f>
        <v/>
      </c>
      <c r="X69" s="80" t="n">
        <f aca="false">IF(AND(OR($A69&lt;&gt;"",$E69&lt;&gt;""),$O69&lt;&gt;"Cancelled",ISNUMBER($E69),N($F69)+N($H69)&gt;$E69+0.005),1,0)</f>
        <v>0</v>
      </c>
      <c r="Y69" s="80" t="n">
        <f aca="false">IF(AND(OR($A69&lt;&gt;"",$E69&lt;&gt;""),OR($A69="",$E69="")),1,0)</f>
        <v>0</v>
      </c>
      <c r="Z69" s="80" t="n">
        <f aca="false">IF(AND($A69&lt;&gt;"",COUNTIF($A$7:$A$1006,$A69)&gt;1),1,0)</f>
        <v>0</v>
      </c>
    </row>
    <row r="70" customFormat="false" ht="15" hidden="false" customHeight="false" outlineLevel="0" collapsed="false">
      <c r="A70" s="71"/>
      <c r="B70" s="72"/>
      <c r="C70" s="73"/>
      <c r="D70" s="73"/>
      <c r="E70" s="74"/>
      <c r="F70" s="74"/>
      <c r="G70" s="72"/>
      <c r="H70" s="74"/>
      <c r="I70" s="72"/>
      <c r="J70" s="73"/>
      <c r="K70" s="73"/>
      <c r="L70" s="75" t="str">
        <f aca="false">IF(OR($A70&lt;&gt;"",$E70&lt;&gt;""),N($F70)+N($H70),"")</f>
        <v/>
      </c>
      <c r="M70" s="76" t="str">
        <f aca="false">IF(OR($O70="",$O70="Cancelled",$O70="Amount missing"),"",IF($O70="Realised",0,$E70-N($F70)-N($H70)))</f>
        <v/>
      </c>
      <c r="N70" s="77" t="str">
        <f aca="false">IF(OR($M70="",FX=""),"",$M70*FX)</f>
        <v/>
      </c>
      <c r="O70" s="78" t="str">
        <f aca="false">IF(NOT(OR($A70&lt;&gt;"",$E70&lt;&gt;"")),"",IF($J70="Cancelled","Cancelled",IF($E70="","Amount missing",IF(OR($J70="Settled",$E70-N($F70)-N($H70)&lt;=0.005),"Realised",IF(N($H70)&gt;0,"Part realised",IF(N($F70)&gt;0,"Advance received","On hand"))))))</f>
        <v/>
      </c>
      <c r="P70" s="79" t="str">
        <f aca="false">IF(AND($V70=1,ISNUMBER($B70)),AsAt-$B70,"")</f>
        <v/>
      </c>
      <c r="Q70" s="78" t="str">
        <f aca="false">IF($V70&lt;&gt;1,"",IF($P70="","No invoice date",IF($P70&lt;=30,"0–30 days",IF($P70&lt;=60,"31–60 days",IF($P70&lt;=90,"61–90 days","Over 90 days")))))</f>
        <v/>
      </c>
      <c r="R70" s="80" t="str">
        <f aca="false">IF($V70=1,ROW(),"")</f>
        <v/>
      </c>
      <c r="S70" s="80" t="str">
        <f aca="false">IF(OR($A70&lt;&gt;"",$E70&lt;&gt;""),IF(TRIM($D70)="","Buyer not noted",TRIM($D70)),"")</f>
        <v/>
      </c>
      <c r="T70" s="80" t="n">
        <f aca="false">IF(AND($V70=1,ISNUMBER($M70)),$M70,0)</f>
        <v>0</v>
      </c>
      <c r="U70" s="80" t="str">
        <f aca="false">IF($V70=1,IF(COUNTIFS($S$7:$S70,$S70,$V$7:$V70,1)=1,SUMIFS($T$7:$T$1006,$S$7:$S$1006,$S70)-ROW()/1000000000,""),"")</f>
        <v/>
      </c>
      <c r="V70" s="80" t="n">
        <f aca="false">IF(OR($O70="On hand",$O70="Advance received",$O70="Part realised",$O70="Amount missing"),1,0)</f>
        <v>0</v>
      </c>
      <c r="W70" s="80" t="str">
        <f aca="false">IF(AND($V70=1,N($F70)&gt;0),ROW(),"")</f>
        <v/>
      </c>
      <c r="X70" s="80" t="n">
        <f aca="false">IF(AND(OR($A70&lt;&gt;"",$E70&lt;&gt;""),$O70&lt;&gt;"Cancelled",ISNUMBER($E70),N($F70)+N($H70)&gt;$E70+0.005),1,0)</f>
        <v>0</v>
      </c>
      <c r="Y70" s="80" t="n">
        <f aca="false">IF(AND(OR($A70&lt;&gt;"",$E70&lt;&gt;""),OR($A70="",$E70="")),1,0)</f>
        <v>0</v>
      </c>
      <c r="Z70" s="80" t="n">
        <f aca="false">IF(AND($A70&lt;&gt;"",COUNTIF($A$7:$A$1006,$A70)&gt;1),1,0)</f>
        <v>0</v>
      </c>
    </row>
    <row r="71" customFormat="false" ht="15" hidden="false" customHeight="false" outlineLevel="0" collapsed="false">
      <c r="A71" s="71"/>
      <c r="B71" s="72"/>
      <c r="C71" s="73"/>
      <c r="D71" s="73"/>
      <c r="E71" s="74"/>
      <c r="F71" s="74"/>
      <c r="G71" s="72"/>
      <c r="H71" s="74"/>
      <c r="I71" s="72"/>
      <c r="J71" s="73"/>
      <c r="K71" s="73"/>
      <c r="L71" s="75" t="str">
        <f aca="false">IF(OR($A71&lt;&gt;"",$E71&lt;&gt;""),N($F71)+N($H71),"")</f>
        <v/>
      </c>
      <c r="M71" s="76" t="str">
        <f aca="false">IF(OR($O71="",$O71="Cancelled",$O71="Amount missing"),"",IF($O71="Realised",0,$E71-N($F71)-N($H71)))</f>
        <v/>
      </c>
      <c r="N71" s="77" t="str">
        <f aca="false">IF(OR($M71="",FX=""),"",$M71*FX)</f>
        <v/>
      </c>
      <c r="O71" s="78" t="str">
        <f aca="false">IF(NOT(OR($A71&lt;&gt;"",$E71&lt;&gt;"")),"",IF($J71="Cancelled","Cancelled",IF($E71="","Amount missing",IF(OR($J71="Settled",$E71-N($F71)-N($H71)&lt;=0.005),"Realised",IF(N($H71)&gt;0,"Part realised",IF(N($F71)&gt;0,"Advance received","On hand"))))))</f>
        <v/>
      </c>
      <c r="P71" s="79" t="str">
        <f aca="false">IF(AND($V71=1,ISNUMBER($B71)),AsAt-$B71,"")</f>
        <v/>
      </c>
      <c r="Q71" s="78" t="str">
        <f aca="false">IF($V71&lt;&gt;1,"",IF($P71="","No invoice date",IF($P71&lt;=30,"0–30 days",IF($P71&lt;=60,"31–60 days",IF($P71&lt;=90,"61–90 days","Over 90 days")))))</f>
        <v/>
      </c>
      <c r="R71" s="80" t="str">
        <f aca="false">IF($V71=1,ROW(),"")</f>
        <v/>
      </c>
      <c r="S71" s="80" t="str">
        <f aca="false">IF(OR($A71&lt;&gt;"",$E71&lt;&gt;""),IF(TRIM($D71)="","Buyer not noted",TRIM($D71)),"")</f>
        <v/>
      </c>
      <c r="T71" s="80" t="n">
        <f aca="false">IF(AND($V71=1,ISNUMBER($M71)),$M71,0)</f>
        <v>0</v>
      </c>
      <c r="U71" s="80" t="str">
        <f aca="false">IF($V71=1,IF(COUNTIFS($S$7:$S71,$S71,$V$7:$V71,1)=1,SUMIFS($T$7:$T$1006,$S$7:$S$1006,$S71)-ROW()/1000000000,""),"")</f>
        <v/>
      </c>
      <c r="V71" s="80" t="n">
        <f aca="false">IF(OR($O71="On hand",$O71="Advance received",$O71="Part realised",$O71="Amount missing"),1,0)</f>
        <v>0</v>
      </c>
      <c r="W71" s="80" t="str">
        <f aca="false">IF(AND($V71=1,N($F71)&gt;0),ROW(),"")</f>
        <v/>
      </c>
      <c r="X71" s="80" t="n">
        <f aca="false">IF(AND(OR($A71&lt;&gt;"",$E71&lt;&gt;""),$O71&lt;&gt;"Cancelled",ISNUMBER($E71),N($F71)+N($H71)&gt;$E71+0.005),1,0)</f>
        <v>0</v>
      </c>
      <c r="Y71" s="80" t="n">
        <f aca="false">IF(AND(OR($A71&lt;&gt;"",$E71&lt;&gt;""),OR($A71="",$E71="")),1,0)</f>
        <v>0</v>
      </c>
      <c r="Z71" s="80" t="n">
        <f aca="false">IF(AND($A71&lt;&gt;"",COUNTIF($A$7:$A$1006,$A71)&gt;1),1,0)</f>
        <v>0</v>
      </c>
    </row>
    <row r="72" customFormat="false" ht="15" hidden="false" customHeight="false" outlineLevel="0" collapsed="false">
      <c r="A72" s="71"/>
      <c r="B72" s="72"/>
      <c r="C72" s="73"/>
      <c r="D72" s="73"/>
      <c r="E72" s="74"/>
      <c r="F72" s="74"/>
      <c r="G72" s="72"/>
      <c r="H72" s="74"/>
      <c r="I72" s="72"/>
      <c r="J72" s="73"/>
      <c r="K72" s="73"/>
      <c r="L72" s="75" t="str">
        <f aca="false">IF(OR($A72&lt;&gt;"",$E72&lt;&gt;""),N($F72)+N($H72),"")</f>
        <v/>
      </c>
      <c r="M72" s="76" t="str">
        <f aca="false">IF(OR($O72="",$O72="Cancelled",$O72="Amount missing"),"",IF($O72="Realised",0,$E72-N($F72)-N($H72)))</f>
        <v/>
      </c>
      <c r="N72" s="77" t="str">
        <f aca="false">IF(OR($M72="",FX=""),"",$M72*FX)</f>
        <v/>
      </c>
      <c r="O72" s="78" t="str">
        <f aca="false">IF(NOT(OR($A72&lt;&gt;"",$E72&lt;&gt;"")),"",IF($J72="Cancelled","Cancelled",IF($E72="","Amount missing",IF(OR($J72="Settled",$E72-N($F72)-N($H72)&lt;=0.005),"Realised",IF(N($H72)&gt;0,"Part realised",IF(N($F72)&gt;0,"Advance received","On hand"))))))</f>
        <v/>
      </c>
      <c r="P72" s="79" t="str">
        <f aca="false">IF(AND($V72=1,ISNUMBER($B72)),AsAt-$B72,"")</f>
        <v/>
      </c>
      <c r="Q72" s="78" t="str">
        <f aca="false">IF($V72&lt;&gt;1,"",IF($P72="","No invoice date",IF($P72&lt;=30,"0–30 days",IF($P72&lt;=60,"31–60 days",IF($P72&lt;=90,"61–90 days","Over 90 days")))))</f>
        <v/>
      </c>
      <c r="R72" s="80" t="str">
        <f aca="false">IF($V72=1,ROW(),"")</f>
        <v/>
      </c>
      <c r="S72" s="80" t="str">
        <f aca="false">IF(OR($A72&lt;&gt;"",$E72&lt;&gt;""),IF(TRIM($D72)="","Buyer not noted",TRIM($D72)),"")</f>
        <v/>
      </c>
      <c r="T72" s="80" t="n">
        <f aca="false">IF(AND($V72=1,ISNUMBER($M72)),$M72,0)</f>
        <v>0</v>
      </c>
      <c r="U72" s="80" t="str">
        <f aca="false">IF($V72=1,IF(COUNTIFS($S$7:$S72,$S72,$V$7:$V72,1)=1,SUMIFS($T$7:$T$1006,$S$7:$S$1006,$S72)-ROW()/1000000000,""),"")</f>
        <v/>
      </c>
      <c r="V72" s="80" t="n">
        <f aca="false">IF(OR($O72="On hand",$O72="Advance received",$O72="Part realised",$O72="Amount missing"),1,0)</f>
        <v>0</v>
      </c>
      <c r="W72" s="80" t="str">
        <f aca="false">IF(AND($V72=1,N($F72)&gt;0),ROW(),"")</f>
        <v/>
      </c>
      <c r="X72" s="80" t="n">
        <f aca="false">IF(AND(OR($A72&lt;&gt;"",$E72&lt;&gt;""),$O72&lt;&gt;"Cancelled",ISNUMBER($E72),N($F72)+N($H72)&gt;$E72+0.005),1,0)</f>
        <v>0</v>
      </c>
      <c r="Y72" s="80" t="n">
        <f aca="false">IF(AND(OR($A72&lt;&gt;"",$E72&lt;&gt;""),OR($A72="",$E72="")),1,0)</f>
        <v>0</v>
      </c>
      <c r="Z72" s="80" t="n">
        <f aca="false">IF(AND($A72&lt;&gt;"",COUNTIF($A$7:$A$1006,$A72)&gt;1),1,0)</f>
        <v>0</v>
      </c>
    </row>
    <row r="73" customFormat="false" ht="15" hidden="false" customHeight="false" outlineLevel="0" collapsed="false">
      <c r="A73" s="71"/>
      <c r="B73" s="72"/>
      <c r="C73" s="73"/>
      <c r="D73" s="73"/>
      <c r="E73" s="74"/>
      <c r="F73" s="74"/>
      <c r="G73" s="72"/>
      <c r="H73" s="74"/>
      <c r="I73" s="72"/>
      <c r="J73" s="73"/>
      <c r="K73" s="73"/>
      <c r="L73" s="75" t="str">
        <f aca="false">IF(OR($A73&lt;&gt;"",$E73&lt;&gt;""),N($F73)+N($H73),"")</f>
        <v/>
      </c>
      <c r="M73" s="76" t="str">
        <f aca="false">IF(OR($O73="",$O73="Cancelled",$O73="Amount missing"),"",IF($O73="Realised",0,$E73-N($F73)-N($H73)))</f>
        <v/>
      </c>
      <c r="N73" s="77" t="str">
        <f aca="false">IF(OR($M73="",FX=""),"",$M73*FX)</f>
        <v/>
      </c>
      <c r="O73" s="78" t="str">
        <f aca="false">IF(NOT(OR($A73&lt;&gt;"",$E73&lt;&gt;"")),"",IF($J73="Cancelled","Cancelled",IF($E73="","Amount missing",IF(OR($J73="Settled",$E73-N($F73)-N($H73)&lt;=0.005),"Realised",IF(N($H73)&gt;0,"Part realised",IF(N($F73)&gt;0,"Advance received","On hand"))))))</f>
        <v/>
      </c>
      <c r="P73" s="79" t="str">
        <f aca="false">IF(AND($V73=1,ISNUMBER($B73)),AsAt-$B73,"")</f>
        <v/>
      </c>
      <c r="Q73" s="78" t="str">
        <f aca="false">IF($V73&lt;&gt;1,"",IF($P73="","No invoice date",IF($P73&lt;=30,"0–30 days",IF($P73&lt;=60,"31–60 days",IF($P73&lt;=90,"61–90 days","Over 90 days")))))</f>
        <v/>
      </c>
      <c r="R73" s="80" t="str">
        <f aca="false">IF($V73=1,ROW(),"")</f>
        <v/>
      </c>
      <c r="S73" s="80" t="str">
        <f aca="false">IF(OR($A73&lt;&gt;"",$E73&lt;&gt;""),IF(TRIM($D73)="","Buyer not noted",TRIM($D73)),"")</f>
        <v/>
      </c>
      <c r="T73" s="80" t="n">
        <f aca="false">IF(AND($V73=1,ISNUMBER($M73)),$M73,0)</f>
        <v>0</v>
      </c>
      <c r="U73" s="80" t="str">
        <f aca="false">IF($V73=1,IF(COUNTIFS($S$7:$S73,$S73,$V$7:$V73,1)=1,SUMIFS($T$7:$T$1006,$S$7:$S$1006,$S73)-ROW()/1000000000,""),"")</f>
        <v/>
      </c>
      <c r="V73" s="80" t="n">
        <f aca="false">IF(OR($O73="On hand",$O73="Advance received",$O73="Part realised",$O73="Amount missing"),1,0)</f>
        <v>0</v>
      </c>
      <c r="W73" s="80" t="str">
        <f aca="false">IF(AND($V73=1,N($F73)&gt;0),ROW(),"")</f>
        <v/>
      </c>
      <c r="X73" s="80" t="n">
        <f aca="false">IF(AND(OR($A73&lt;&gt;"",$E73&lt;&gt;""),$O73&lt;&gt;"Cancelled",ISNUMBER($E73),N($F73)+N($H73)&gt;$E73+0.005),1,0)</f>
        <v>0</v>
      </c>
      <c r="Y73" s="80" t="n">
        <f aca="false">IF(AND(OR($A73&lt;&gt;"",$E73&lt;&gt;""),OR($A73="",$E73="")),1,0)</f>
        <v>0</v>
      </c>
      <c r="Z73" s="80" t="n">
        <f aca="false">IF(AND($A73&lt;&gt;"",COUNTIF($A$7:$A$1006,$A73)&gt;1),1,0)</f>
        <v>0</v>
      </c>
    </row>
    <row r="74" customFormat="false" ht="15" hidden="false" customHeight="false" outlineLevel="0" collapsed="false">
      <c r="A74" s="71"/>
      <c r="B74" s="72"/>
      <c r="C74" s="73"/>
      <c r="D74" s="73"/>
      <c r="E74" s="74"/>
      <c r="F74" s="74"/>
      <c r="G74" s="72"/>
      <c r="H74" s="74"/>
      <c r="I74" s="72"/>
      <c r="J74" s="73"/>
      <c r="K74" s="73"/>
      <c r="L74" s="75" t="str">
        <f aca="false">IF(OR($A74&lt;&gt;"",$E74&lt;&gt;""),N($F74)+N($H74),"")</f>
        <v/>
      </c>
      <c r="M74" s="76" t="str">
        <f aca="false">IF(OR($O74="",$O74="Cancelled",$O74="Amount missing"),"",IF($O74="Realised",0,$E74-N($F74)-N($H74)))</f>
        <v/>
      </c>
      <c r="N74" s="77" t="str">
        <f aca="false">IF(OR($M74="",FX=""),"",$M74*FX)</f>
        <v/>
      </c>
      <c r="O74" s="78" t="str">
        <f aca="false">IF(NOT(OR($A74&lt;&gt;"",$E74&lt;&gt;"")),"",IF($J74="Cancelled","Cancelled",IF($E74="","Amount missing",IF(OR($J74="Settled",$E74-N($F74)-N($H74)&lt;=0.005),"Realised",IF(N($H74)&gt;0,"Part realised",IF(N($F74)&gt;0,"Advance received","On hand"))))))</f>
        <v/>
      </c>
      <c r="P74" s="79" t="str">
        <f aca="false">IF(AND($V74=1,ISNUMBER($B74)),AsAt-$B74,"")</f>
        <v/>
      </c>
      <c r="Q74" s="78" t="str">
        <f aca="false">IF($V74&lt;&gt;1,"",IF($P74="","No invoice date",IF($P74&lt;=30,"0–30 days",IF($P74&lt;=60,"31–60 days",IF($P74&lt;=90,"61–90 days","Over 90 days")))))</f>
        <v/>
      </c>
      <c r="R74" s="80" t="str">
        <f aca="false">IF($V74=1,ROW(),"")</f>
        <v/>
      </c>
      <c r="S74" s="80" t="str">
        <f aca="false">IF(OR($A74&lt;&gt;"",$E74&lt;&gt;""),IF(TRIM($D74)="","Buyer not noted",TRIM($D74)),"")</f>
        <v/>
      </c>
      <c r="T74" s="80" t="n">
        <f aca="false">IF(AND($V74=1,ISNUMBER($M74)),$M74,0)</f>
        <v>0</v>
      </c>
      <c r="U74" s="80" t="str">
        <f aca="false">IF($V74=1,IF(COUNTIFS($S$7:$S74,$S74,$V$7:$V74,1)=1,SUMIFS($T$7:$T$1006,$S$7:$S$1006,$S74)-ROW()/1000000000,""),"")</f>
        <v/>
      </c>
      <c r="V74" s="80" t="n">
        <f aca="false">IF(OR($O74="On hand",$O74="Advance received",$O74="Part realised",$O74="Amount missing"),1,0)</f>
        <v>0</v>
      </c>
      <c r="W74" s="80" t="str">
        <f aca="false">IF(AND($V74=1,N($F74)&gt;0),ROW(),"")</f>
        <v/>
      </c>
      <c r="X74" s="80" t="n">
        <f aca="false">IF(AND(OR($A74&lt;&gt;"",$E74&lt;&gt;""),$O74&lt;&gt;"Cancelled",ISNUMBER($E74),N($F74)+N($H74)&gt;$E74+0.005),1,0)</f>
        <v>0</v>
      </c>
      <c r="Y74" s="80" t="n">
        <f aca="false">IF(AND(OR($A74&lt;&gt;"",$E74&lt;&gt;""),OR($A74="",$E74="")),1,0)</f>
        <v>0</v>
      </c>
      <c r="Z74" s="80" t="n">
        <f aca="false">IF(AND($A74&lt;&gt;"",COUNTIF($A$7:$A$1006,$A74)&gt;1),1,0)</f>
        <v>0</v>
      </c>
    </row>
    <row r="75" customFormat="false" ht="15" hidden="false" customHeight="false" outlineLevel="0" collapsed="false">
      <c r="A75" s="71"/>
      <c r="B75" s="72"/>
      <c r="C75" s="73"/>
      <c r="D75" s="73"/>
      <c r="E75" s="74"/>
      <c r="F75" s="74"/>
      <c r="G75" s="72"/>
      <c r="H75" s="74"/>
      <c r="I75" s="72"/>
      <c r="J75" s="73"/>
      <c r="K75" s="73"/>
      <c r="L75" s="75" t="str">
        <f aca="false">IF(OR($A75&lt;&gt;"",$E75&lt;&gt;""),N($F75)+N($H75),"")</f>
        <v/>
      </c>
      <c r="M75" s="76" t="str">
        <f aca="false">IF(OR($O75="",$O75="Cancelled",$O75="Amount missing"),"",IF($O75="Realised",0,$E75-N($F75)-N($H75)))</f>
        <v/>
      </c>
      <c r="N75" s="77" t="str">
        <f aca="false">IF(OR($M75="",FX=""),"",$M75*FX)</f>
        <v/>
      </c>
      <c r="O75" s="78" t="str">
        <f aca="false">IF(NOT(OR($A75&lt;&gt;"",$E75&lt;&gt;"")),"",IF($J75="Cancelled","Cancelled",IF($E75="","Amount missing",IF(OR($J75="Settled",$E75-N($F75)-N($H75)&lt;=0.005),"Realised",IF(N($H75)&gt;0,"Part realised",IF(N($F75)&gt;0,"Advance received","On hand"))))))</f>
        <v/>
      </c>
      <c r="P75" s="79" t="str">
        <f aca="false">IF(AND($V75=1,ISNUMBER($B75)),AsAt-$B75,"")</f>
        <v/>
      </c>
      <c r="Q75" s="78" t="str">
        <f aca="false">IF($V75&lt;&gt;1,"",IF($P75="","No invoice date",IF($P75&lt;=30,"0–30 days",IF($P75&lt;=60,"31–60 days",IF($P75&lt;=90,"61–90 days","Over 90 days")))))</f>
        <v/>
      </c>
      <c r="R75" s="80" t="str">
        <f aca="false">IF($V75=1,ROW(),"")</f>
        <v/>
      </c>
      <c r="S75" s="80" t="str">
        <f aca="false">IF(OR($A75&lt;&gt;"",$E75&lt;&gt;""),IF(TRIM($D75)="","Buyer not noted",TRIM($D75)),"")</f>
        <v/>
      </c>
      <c r="T75" s="80" t="n">
        <f aca="false">IF(AND($V75=1,ISNUMBER($M75)),$M75,0)</f>
        <v>0</v>
      </c>
      <c r="U75" s="80" t="str">
        <f aca="false">IF($V75=1,IF(COUNTIFS($S$7:$S75,$S75,$V$7:$V75,1)=1,SUMIFS($T$7:$T$1006,$S$7:$S$1006,$S75)-ROW()/1000000000,""),"")</f>
        <v/>
      </c>
      <c r="V75" s="80" t="n">
        <f aca="false">IF(OR($O75="On hand",$O75="Advance received",$O75="Part realised",$O75="Amount missing"),1,0)</f>
        <v>0</v>
      </c>
      <c r="W75" s="80" t="str">
        <f aca="false">IF(AND($V75=1,N($F75)&gt;0),ROW(),"")</f>
        <v/>
      </c>
      <c r="X75" s="80" t="n">
        <f aca="false">IF(AND(OR($A75&lt;&gt;"",$E75&lt;&gt;""),$O75&lt;&gt;"Cancelled",ISNUMBER($E75),N($F75)+N($H75)&gt;$E75+0.005),1,0)</f>
        <v>0</v>
      </c>
      <c r="Y75" s="80" t="n">
        <f aca="false">IF(AND(OR($A75&lt;&gt;"",$E75&lt;&gt;""),OR($A75="",$E75="")),1,0)</f>
        <v>0</v>
      </c>
      <c r="Z75" s="80" t="n">
        <f aca="false">IF(AND($A75&lt;&gt;"",COUNTIF($A$7:$A$1006,$A75)&gt;1),1,0)</f>
        <v>0</v>
      </c>
    </row>
    <row r="76" customFormat="false" ht="15" hidden="false" customHeight="false" outlineLevel="0" collapsed="false">
      <c r="A76" s="71"/>
      <c r="B76" s="72"/>
      <c r="C76" s="73"/>
      <c r="D76" s="73"/>
      <c r="E76" s="74"/>
      <c r="F76" s="74"/>
      <c r="G76" s="72"/>
      <c r="H76" s="74"/>
      <c r="I76" s="72"/>
      <c r="J76" s="73"/>
      <c r="K76" s="73"/>
      <c r="L76" s="75" t="str">
        <f aca="false">IF(OR($A76&lt;&gt;"",$E76&lt;&gt;""),N($F76)+N($H76),"")</f>
        <v/>
      </c>
      <c r="M76" s="76" t="str">
        <f aca="false">IF(OR($O76="",$O76="Cancelled",$O76="Amount missing"),"",IF($O76="Realised",0,$E76-N($F76)-N($H76)))</f>
        <v/>
      </c>
      <c r="N76" s="77" t="str">
        <f aca="false">IF(OR($M76="",FX=""),"",$M76*FX)</f>
        <v/>
      </c>
      <c r="O76" s="78" t="str">
        <f aca="false">IF(NOT(OR($A76&lt;&gt;"",$E76&lt;&gt;"")),"",IF($J76="Cancelled","Cancelled",IF($E76="","Amount missing",IF(OR($J76="Settled",$E76-N($F76)-N($H76)&lt;=0.005),"Realised",IF(N($H76)&gt;0,"Part realised",IF(N($F76)&gt;0,"Advance received","On hand"))))))</f>
        <v/>
      </c>
      <c r="P76" s="79" t="str">
        <f aca="false">IF(AND($V76=1,ISNUMBER($B76)),AsAt-$B76,"")</f>
        <v/>
      </c>
      <c r="Q76" s="78" t="str">
        <f aca="false">IF($V76&lt;&gt;1,"",IF($P76="","No invoice date",IF($P76&lt;=30,"0–30 days",IF($P76&lt;=60,"31–60 days",IF($P76&lt;=90,"61–90 days","Over 90 days")))))</f>
        <v/>
      </c>
      <c r="R76" s="80" t="str">
        <f aca="false">IF($V76=1,ROW(),"")</f>
        <v/>
      </c>
      <c r="S76" s="80" t="str">
        <f aca="false">IF(OR($A76&lt;&gt;"",$E76&lt;&gt;""),IF(TRIM($D76)="","Buyer not noted",TRIM($D76)),"")</f>
        <v/>
      </c>
      <c r="T76" s="80" t="n">
        <f aca="false">IF(AND($V76=1,ISNUMBER($M76)),$M76,0)</f>
        <v>0</v>
      </c>
      <c r="U76" s="80" t="str">
        <f aca="false">IF($V76=1,IF(COUNTIFS($S$7:$S76,$S76,$V$7:$V76,1)=1,SUMIFS($T$7:$T$1006,$S$7:$S$1006,$S76)-ROW()/1000000000,""),"")</f>
        <v/>
      </c>
      <c r="V76" s="80" t="n">
        <f aca="false">IF(OR($O76="On hand",$O76="Advance received",$O76="Part realised",$O76="Amount missing"),1,0)</f>
        <v>0</v>
      </c>
      <c r="W76" s="80" t="str">
        <f aca="false">IF(AND($V76=1,N($F76)&gt;0),ROW(),"")</f>
        <v/>
      </c>
      <c r="X76" s="80" t="n">
        <f aca="false">IF(AND(OR($A76&lt;&gt;"",$E76&lt;&gt;""),$O76&lt;&gt;"Cancelled",ISNUMBER($E76),N($F76)+N($H76)&gt;$E76+0.005),1,0)</f>
        <v>0</v>
      </c>
      <c r="Y76" s="80" t="n">
        <f aca="false">IF(AND(OR($A76&lt;&gt;"",$E76&lt;&gt;""),OR($A76="",$E76="")),1,0)</f>
        <v>0</v>
      </c>
      <c r="Z76" s="80" t="n">
        <f aca="false">IF(AND($A76&lt;&gt;"",COUNTIF($A$7:$A$1006,$A76)&gt;1),1,0)</f>
        <v>0</v>
      </c>
    </row>
    <row r="77" customFormat="false" ht="15" hidden="false" customHeight="false" outlineLevel="0" collapsed="false">
      <c r="A77" s="71"/>
      <c r="B77" s="72"/>
      <c r="C77" s="73"/>
      <c r="D77" s="73"/>
      <c r="E77" s="74"/>
      <c r="F77" s="74"/>
      <c r="G77" s="72"/>
      <c r="H77" s="74"/>
      <c r="I77" s="72"/>
      <c r="J77" s="73"/>
      <c r="K77" s="73"/>
      <c r="L77" s="75" t="str">
        <f aca="false">IF(OR($A77&lt;&gt;"",$E77&lt;&gt;""),N($F77)+N($H77),"")</f>
        <v/>
      </c>
      <c r="M77" s="76" t="str">
        <f aca="false">IF(OR($O77="",$O77="Cancelled",$O77="Amount missing"),"",IF($O77="Realised",0,$E77-N($F77)-N($H77)))</f>
        <v/>
      </c>
      <c r="N77" s="77" t="str">
        <f aca="false">IF(OR($M77="",FX=""),"",$M77*FX)</f>
        <v/>
      </c>
      <c r="O77" s="78" t="str">
        <f aca="false">IF(NOT(OR($A77&lt;&gt;"",$E77&lt;&gt;"")),"",IF($J77="Cancelled","Cancelled",IF($E77="","Amount missing",IF(OR($J77="Settled",$E77-N($F77)-N($H77)&lt;=0.005),"Realised",IF(N($H77)&gt;0,"Part realised",IF(N($F77)&gt;0,"Advance received","On hand"))))))</f>
        <v/>
      </c>
      <c r="P77" s="79" t="str">
        <f aca="false">IF(AND($V77=1,ISNUMBER($B77)),AsAt-$B77,"")</f>
        <v/>
      </c>
      <c r="Q77" s="78" t="str">
        <f aca="false">IF($V77&lt;&gt;1,"",IF($P77="","No invoice date",IF($P77&lt;=30,"0–30 days",IF($P77&lt;=60,"31–60 days",IF($P77&lt;=90,"61–90 days","Over 90 days")))))</f>
        <v/>
      </c>
      <c r="R77" s="80" t="str">
        <f aca="false">IF($V77=1,ROW(),"")</f>
        <v/>
      </c>
      <c r="S77" s="80" t="str">
        <f aca="false">IF(OR($A77&lt;&gt;"",$E77&lt;&gt;""),IF(TRIM($D77)="","Buyer not noted",TRIM($D77)),"")</f>
        <v/>
      </c>
      <c r="T77" s="80" t="n">
        <f aca="false">IF(AND($V77=1,ISNUMBER($M77)),$M77,0)</f>
        <v>0</v>
      </c>
      <c r="U77" s="80" t="str">
        <f aca="false">IF($V77=1,IF(COUNTIFS($S$7:$S77,$S77,$V$7:$V77,1)=1,SUMIFS($T$7:$T$1006,$S$7:$S$1006,$S77)-ROW()/1000000000,""),"")</f>
        <v/>
      </c>
      <c r="V77" s="80" t="n">
        <f aca="false">IF(OR($O77="On hand",$O77="Advance received",$O77="Part realised",$O77="Amount missing"),1,0)</f>
        <v>0</v>
      </c>
      <c r="W77" s="80" t="str">
        <f aca="false">IF(AND($V77=1,N($F77)&gt;0),ROW(),"")</f>
        <v/>
      </c>
      <c r="X77" s="80" t="n">
        <f aca="false">IF(AND(OR($A77&lt;&gt;"",$E77&lt;&gt;""),$O77&lt;&gt;"Cancelled",ISNUMBER($E77),N($F77)+N($H77)&gt;$E77+0.005),1,0)</f>
        <v>0</v>
      </c>
      <c r="Y77" s="80" t="n">
        <f aca="false">IF(AND(OR($A77&lt;&gt;"",$E77&lt;&gt;""),OR($A77="",$E77="")),1,0)</f>
        <v>0</v>
      </c>
      <c r="Z77" s="80" t="n">
        <f aca="false">IF(AND($A77&lt;&gt;"",COUNTIF($A$7:$A$1006,$A77)&gt;1),1,0)</f>
        <v>0</v>
      </c>
    </row>
    <row r="78" customFormat="false" ht="15" hidden="false" customHeight="false" outlineLevel="0" collapsed="false">
      <c r="A78" s="71"/>
      <c r="B78" s="72"/>
      <c r="C78" s="73"/>
      <c r="D78" s="73"/>
      <c r="E78" s="74"/>
      <c r="F78" s="74"/>
      <c r="G78" s="72"/>
      <c r="H78" s="74"/>
      <c r="I78" s="72"/>
      <c r="J78" s="73"/>
      <c r="K78" s="73"/>
      <c r="L78" s="75" t="str">
        <f aca="false">IF(OR($A78&lt;&gt;"",$E78&lt;&gt;""),N($F78)+N($H78),"")</f>
        <v/>
      </c>
      <c r="M78" s="76" t="str">
        <f aca="false">IF(OR($O78="",$O78="Cancelled",$O78="Amount missing"),"",IF($O78="Realised",0,$E78-N($F78)-N($H78)))</f>
        <v/>
      </c>
      <c r="N78" s="77" t="str">
        <f aca="false">IF(OR($M78="",FX=""),"",$M78*FX)</f>
        <v/>
      </c>
      <c r="O78" s="78" t="str">
        <f aca="false">IF(NOT(OR($A78&lt;&gt;"",$E78&lt;&gt;"")),"",IF($J78="Cancelled","Cancelled",IF($E78="","Amount missing",IF(OR($J78="Settled",$E78-N($F78)-N($H78)&lt;=0.005),"Realised",IF(N($H78)&gt;0,"Part realised",IF(N($F78)&gt;0,"Advance received","On hand"))))))</f>
        <v/>
      </c>
      <c r="P78" s="79" t="str">
        <f aca="false">IF(AND($V78=1,ISNUMBER($B78)),AsAt-$B78,"")</f>
        <v/>
      </c>
      <c r="Q78" s="78" t="str">
        <f aca="false">IF($V78&lt;&gt;1,"",IF($P78="","No invoice date",IF($P78&lt;=30,"0–30 days",IF($P78&lt;=60,"31–60 days",IF($P78&lt;=90,"61–90 days","Over 90 days")))))</f>
        <v/>
      </c>
      <c r="R78" s="80" t="str">
        <f aca="false">IF($V78=1,ROW(),"")</f>
        <v/>
      </c>
      <c r="S78" s="80" t="str">
        <f aca="false">IF(OR($A78&lt;&gt;"",$E78&lt;&gt;""),IF(TRIM($D78)="","Buyer not noted",TRIM($D78)),"")</f>
        <v/>
      </c>
      <c r="T78" s="80" t="n">
        <f aca="false">IF(AND($V78=1,ISNUMBER($M78)),$M78,0)</f>
        <v>0</v>
      </c>
      <c r="U78" s="80" t="str">
        <f aca="false">IF($V78=1,IF(COUNTIFS($S$7:$S78,$S78,$V$7:$V78,1)=1,SUMIFS($T$7:$T$1006,$S$7:$S$1006,$S78)-ROW()/1000000000,""),"")</f>
        <v/>
      </c>
      <c r="V78" s="80" t="n">
        <f aca="false">IF(OR($O78="On hand",$O78="Advance received",$O78="Part realised",$O78="Amount missing"),1,0)</f>
        <v>0</v>
      </c>
      <c r="W78" s="80" t="str">
        <f aca="false">IF(AND($V78=1,N($F78)&gt;0),ROW(),"")</f>
        <v/>
      </c>
      <c r="X78" s="80" t="n">
        <f aca="false">IF(AND(OR($A78&lt;&gt;"",$E78&lt;&gt;""),$O78&lt;&gt;"Cancelled",ISNUMBER($E78),N($F78)+N($H78)&gt;$E78+0.005),1,0)</f>
        <v>0</v>
      </c>
      <c r="Y78" s="80" t="n">
        <f aca="false">IF(AND(OR($A78&lt;&gt;"",$E78&lt;&gt;""),OR($A78="",$E78="")),1,0)</f>
        <v>0</v>
      </c>
      <c r="Z78" s="80" t="n">
        <f aca="false">IF(AND($A78&lt;&gt;"",COUNTIF($A$7:$A$1006,$A78)&gt;1),1,0)</f>
        <v>0</v>
      </c>
    </row>
    <row r="79" customFormat="false" ht="15" hidden="false" customHeight="false" outlineLevel="0" collapsed="false">
      <c r="A79" s="71"/>
      <c r="B79" s="72"/>
      <c r="C79" s="73"/>
      <c r="D79" s="73"/>
      <c r="E79" s="74"/>
      <c r="F79" s="74"/>
      <c r="G79" s="72"/>
      <c r="H79" s="74"/>
      <c r="I79" s="72"/>
      <c r="J79" s="73"/>
      <c r="K79" s="73"/>
      <c r="L79" s="75" t="str">
        <f aca="false">IF(OR($A79&lt;&gt;"",$E79&lt;&gt;""),N($F79)+N($H79),"")</f>
        <v/>
      </c>
      <c r="M79" s="76" t="str">
        <f aca="false">IF(OR($O79="",$O79="Cancelled",$O79="Amount missing"),"",IF($O79="Realised",0,$E79-N($F79)-N($H79)))</f>
        <v/>
      </c>
      <c r="N79" s="77" t="str">
        <f aca="false">IF(OR($M79="",FX=""),"",$M79*FX)</f>
        <v/>
      </c>
      <c r="O79" s="78" t="str">
        <f aca="false">IF(NOT(OR($A79&lt;&gt;"",$E79&lt;&gt;"")),"",IF($J79="Cancelled","Cancelled",IF($E79="","Amount missing",IF(OR($J79="Settled",$E79-N($F79)-N($H79)&lt;=0.005),"Realised",IF(N($H79)&gt;0,"Part realised",IF(N($F79)&gt;0,"Advance received","On hand"))))))</f>
        <v/>
      </c>
      <c r="P79" s="79" t="str">
        <f aca="false">IF(AND($V79=1,ISNUMBER($B79)),AsAt-$B79,"")</f>
        <v/>
      </c>
      <c r="Q79" s="78" t="str">
        <f aca="false">IF($V79&lt;&gt;1,"",IF($P79="","No invoice date",IF($P79&lt;=30,"0–30 days",IF($P79&lt;=60,"31–60 days",IF($P79&lt;=90,"61–90 days","Over 90 days")))))</f>
        <v/>
      </c>
      <c r="R79" s="80" t="str">
        <f aca="false">IF($V79=1,ROW(),"")</f>
        <v/>
      </c>
      <c r="S79" s="80" t="str">
        <f aca="false">IF(OR($A79&lt;&gt;"",$E79&lt;&gt;""),IF(TRIM($D79)="","Buyer not noted",TRIM($D79)),"")</f>
        <v/>
      </c>
      <c r="T79" s="80" t="n">
        <f aca="false">IF(AND($V79=1,ISNUMBER($M79)),$M79,0)</f>
        <v>0</v>
      </c>
      <c r="U79" s="80" t="str">
        <f aca="false">IF($V79=1,IF(COUNTIFS($S$7:$S79,$S79,$V$7:$V79,1)=1,SUMIFS($T$7:$T$1006,$S$7:$S$1006,$S79)-ROW()/1000000000,""),"")</f>
        <v/>
      </c>
      <c r="V79" s="80" t="n">
        <f aca="false">IF(OR($O79="On hand",$O79="Advance received",$O79="Part realised",$O79="Amount missing"),1,0)</f>
        <v>0</v>
      </c>
      <c r="W79" s="80" t="str">
        <f aca="false">IF(AND($V79=1,N($F79)&gt;0),ROW(),"")</f>
        <v/>
      </c>
      <c r="X79" s="80" t="n">
        <f aca="false">IF(AND(OR($A79&lt;&gt;"",$E79&lt;&gt;""),$O79&lt;&gt;"Cancelled",ISNUMBER($E79),N($F79)+N($H79)&gt;$E79+0.005),1,0)</f>
        <v>0</v>
      </c>
      <c r="Y79" s="80" t="n">
        <f aca="false">IF(AND(OR($A79&lt;&gt;"",$E79&lt;&gt;""),OR($A79="",$E79="")),1,0)</f>
        <v>0</v>
      </c>
      <c r="Z79" s="80" t="n">
        <f aca="false">IF(AND($A79&lt;&gt;"",COUNTIF($A$7:$A$1006,$A79)&gt;1),1,0)</f>
        <v>0</v>
      </c>
    </row>
    <row r="80" customFormat="false" ht="15" hidden="false" customHeight="false" outlineLevel="0" collapsed="false">
      <c r="A80" s="71"/>
      <c r="B80" s="72"/>
      <c r="C80" s="73"/>
      <c r="D80" s="73"/>
      <c r="E80" s="74"/>
      <c r="F80" s="74"/>
      <c r="G80" s="72"/>
      <c r="H80" s="74"/>
      <c r="I80" s="72"/>
      <c r="J80" s="73"/>
      <c r="K80" s="73"/>
      <c r="L80" s="75" t="str">
        <f aca="false">IF(OR($A80&lt;&gt;"",$E80&lt;&gt;""),N($F80)+N($H80),"")</f>
        <v/>
      </c>
      <c r="M80" s="76" t="str">
        <f aca="false">IF(OR($O80="",$O80="Cancelled",$O80="Amount missing"),"",IF($O80="Realised",0,$E80-N($F80)-N($H80)))</f>
        <v/>
      </c>
      <c r="N80" s="77" t="str">
        <f aca="false">IF(OR($M80="",FX=""),"",$M80*FX)</f>
        <v/>
      </c>
      <c r="O80" s="78" t="str">
        <f aca="false">IF(NOT(OR($A80&lt;&gt;"",$E80&lt;&gt;"")),"",IF($J80="Cancelled","Cancelled",IF($E80="","Amount missing",IF(OR($J80="Settled",$E80-N($F80)-N($H80)&lt;=0.005),"Realised",IF(N($H80)&gt;0,"Part realised",IF(N($F80)&gt;0,"Advance received","On hand"))))))</f>
        <v/>
      </c>
      <c r="P80" s="79" t="str">
        <f aca="false">IF(AND($V80=1,ISNUMBER($B80)),AsAt-$B80,"")</f>
        <v/>
      </c>
      <c r="Q80" s="78" t="str">
        <f aca="false">IF($V80&lt;&gt;1,"",IF($P80="","No invoice date",IF($P80&lt;=30,"0–30 days",IF($P80&lt;=60,"31–60 days",IF($P80&lt;=90,"61–90 days","Over 90 days")))))</f>
        <v/>
      </c>
      <c r="R80" s="80" t="str">
        <f aca="false">IF($V80=1,ROW(),"")</f>
        <v/>
      </c>
      <c r="S80" s="80" t="str">
        <f aca="false">IF(OR($A80&lt;&gt;"",$E80&lt;&gt;""),IF(TRIM($D80)="","Buyer not noted",TRIM($D80)),"")</f>
        <v/>
      </c>
      <c r="T80" s="80" t="n">
        <f aca="false">IF(AND($V80=1,ISNUMBER($M80)),$M80,0)</f>
        <v>0</v>
      </c>
      <c r="U80" s="80" t="str">
        <f aca="false">IF($V80=1,IF(COUNTIFS($S$7:$S80,$S80,$V$7:$V80,1)=1,SUMIFS($T$7:$T$1006,$S$7:$S$1006,$S80)-ROW()/1000000000,""),"")</f>
        <v/>
      </c>
      <c r="V80" s="80" t="n">
        <f aca="false">IF(OR($O80="On hand",$O80="Advance received",$O80="Part realised",$O80="Amount missing"),1,0)</f>
        <v>0</v>
      </c>
      <c r="W80" s="80" t="str">
        <f aca="false">IF(AND($V80=1,N($F80)&gt;0),ROW(),"")</f>
        <v/>
      </c>
      <c r="X80" s="80" t="n">
        <f aca="false">IF(AND(OR($A80&lt;&gt;"",$E80&lt;&gt;""),$O80&lt;&gt;"Cancelled",ISNUMBER($E80),N($F80)+N($H80)&gt;$E80+0.005),1,0)</f>
        <v>0</v>
      </c>
      <c r="Y80" s="80" t="n">
        <f aca="false">IF(AND(OR($A80&lt;&gt;"",$E80&lt;&gt;""),OR($A80="",$E80="")),1,0)</f>
        <v>0</v>
      </c>
      <c r="Z80" s="80" t="n">
        <f aca="false">IF(AND($A80&lt;&gt;"",COUNTIF($A$7:$A$1006,$A80)&gt;1),1,0)</f>
        <v>0</v>
      </c>
    </row>
    <row r="81" customFormat="false" ht="15" hidden="false" customHeight="false" outlineLevel="0" collapsed="false">
      <c r="A81" s="71"/>
      <c r="B81" s="72"/>
      <c r="C81" s="73"/>
      <c r="D81" s="73"/>
      <c r="E81" s="74"/>
      <c r="F81" s="74"/>
      <c r="G81" s="72"/>
      <c r="H81" s="74"/>
      <c r="I81" s="72"/>
      <c r="J81" s="73"/>
      <c r="K81" s="73"/>
      <c r="L81" s="75" t="str">
        <f aca="false">IF(OR($A81&lt;&gt;"",$E81&lt;&gt;""),N($F81)+N($H81),"")</f>
        <v/>
      </c>
      <c r="M81" s="76" t="str">
        <f aca="false">IF(OR($O81="",$O81="Cancelled",$O81="Amount missing"),"",IF($O81="Realised",0,$E81-N($F81)-N($H81)))</f>
        <v/>
      </c>
      <c r="N81" s="77" t="str">
        <f aca="false">IF(OR($M81="",FX=""),"",$M81*FX)</f>
        <v/>
      </c>
      <c r="O81" s="78" t="str">
        <f aca="false">IF(NOT(OR($A81&lt;&gt;"",$E81&lt;&gt;"")),"",IF($J81="Cancelled","Cancelled",IF($E81="","Amount missing",IF(OR($J81="Settled",$E81-N($F81)-N($H81)&lt;=0.005),"Realised",IF(N($H81)&gt;0,"Part realised",IF(N($F81)&gt;0,"Advance received","On hand"))))))</f>
        <v/>
      </c>
      <c r="P81" s="79" t="str">
        <f aca="false">IF(AND($V81=1,ISNUMBER($B81)),AsAt-$B81,"")</f>
        <v/>
      </c>
      <c r="Q81" s="78" t="str">
        <f aca="false">IF($V81&lt;&gt;1,"",IF($P81="","No invoice date",IF($P81&lt;=30,"0–30 days",IF($P81&lt;=60,"31–60 days",IF($P81&lt;=90,"61–90 days","Over 90 days")))))</f>
        <v/>
      </c>
      <c r="R81" s="80" t="str">
        <f aca="false">IF($V81=1,ROW(),"")</f>
        <v/>
      </c>
      <c r="S81" s="80" t="str">
        <f aca="false">IF(OR($A81&lt;&gt;"",$E81&lt;&gt;""),IF(TRIM($D81)="","Buyer not noted",TRIM($D81)),"")</f>
        <v/>
      </c>
      <c r="T81" s="80" t="n">
        <f aca="false">IF(AND($V81=1,ISNUMBER($M81)),$M81,0)</f>
        <v>0</v>
      </c>
      <c r="U81" s="80" t="str">
        <f aca="false">IF($V81=1,IF(COUNTIFS($S$7:$S81,$S81,$V$7:$V81,1)=1,SUMIFS($T$7:$T$1006,$S$7:$S$1006,$S81)-ROW()/1000000000,""),"")</f>
        <v/>
      </c>
      <c r="V81" s="80" t="n">
        <f aca="false">IF(OR($O81="On hand",$O81="Advance received",$O81="Part realised",$O81="Amount missing"),1,0)</f>
        <v>0</v>
      </c>
      <c r="W81" s="80" t="str">
        <f aca="false">IF(AND($V81=1,N($F81)&gt;0),ROW(),"")</f>
        <v/>
      </c>
      <c r="X81" s="80" t="n">
        <f aca="false">IF(AND(OR($A81&lt;&gt;"",$E81&lt;&gt;""),$O81&lt;&gt;"Cancelled",ISNUMBER($E81),N($F81)+N($H81)&gt;$E81+0.005),1,0)</f>
        <v>0</v>
      </c>
      <c r="Y81" s="80" t="n">
        <f aca="false">IF(AND(OR($A81&lt;&gt;"",$E81&lt;&gt;""),OR($A81="",$E81="")),1,0)</f>
        <v>0</v>
      </c>
      <c r="Z81" s="80" t="n">
        <f aca="false">IF(AND($A81&lt;&gt;"",COUNTIF($A$7:$A$1006,$A81)&gt;1),1,0)</f>
        <v>0</v>
      </c>
    </row>
    <row r="82" customFormat="false" ht="15" hidden="false" customHeight="false" outlineLevel="0" collapsed="false">
      <c r="A82" s="71"/>
      <c r="B82" s="72"/>
      <c r="C82" s="73"/>
      <c r="D82" s="73"/>
      <c r="E82" s="74"/>
      <c r="F82" s="74"/>
      <c r="G82" s="72"/>
      <c r="H82" s="74"/>
      <c r="I82" s="72"/>
      <c r="J82" s="73"/>
      <c r="K82" s="73"/>
      <c r="L82" s="75" t="str">
        <f aca="false">IF(OR($A82&lt;&gt;"",$E82&lt;&gt;""),N($F82)+N($H82),"")</f>
        <v/>
      </c>
      <c r="M82" s="76" t="str">
        <f aca="false">IF(OR($O82="",$O82="Cancelled",$O82="Amount missing"),"",IF($O82="Realised",0,$E82-N($F82)-N($H82)))</f>
        <v/>
      </c>
      <c r="N82" s="77" t="str">
        <f aca="false">IF(OR($M82="",FX=""),"",$M82*FX)</f>
        <v/>
      </c>
      <c r="O82" s="78" t="str">
        <f aca="false">IF(NOT(OR($A82&lt;&gt;"",$E82&lt;&gt;"")),"",IF($J82="Cancelled","Cancelled",IF($E82="","Amount missing",IF(OR($J82="Settled",$E82-N($F82)-N($H82)&lt;=0.005),"Realised",IF(N($H82)&gt;0,"Part realised",IF(N($F82)&gt;0,"Advance received","On hand"))))))</f>
        <v/>
      </c>
      <c r="P82" s="79" t="str">
        <f aca="false">IF(AND($V82=1,ISNUMBER($B82)),AsAt-$B82,"")</f>
        <v/>
      </c>
      <c r="Q82" s="78" t="str">
        <f aca="false">IF($V82&lt;&gt;1,"",IF($P82="","No invoice date",IF($P82&lt;=30,"0–30 days",IF($P82&lt;=60,"31–60 days",IF($P82&lt;=90,"61–90 days","Over 90 days")))))</f>
        <v/>
      </c>
      <c r="R82" s="80" t="str">
        <f aca="false">IF($V82=1,ROW(),"")</f>
        <v/>
      </c>
      <c r="S82" s="80" t="str">
        <f aca="false">IF(OR($A82&lt;&gt;"",$E82&lt;&gt;""),IF(TRIM($D82)="","Buyer not noted",TRIM($D82)),"")</f>
        <v/>
      </c>
      <c r="T82" s="80" t="n">
        <f aca="false">IF(AND($V82=1,ISNUMBER($M82)),$M82,0)</f>
        <v>0</v>
      </c>
      <c r="U82" s="80" t="str">
        <f aca="false">IF($V82=1,IF(COUNTIFS($S$7:$S82,$S82,$V$7:$V82,1)=1,SUMIFS($T$7:$T$1006,$S$7:$S$1006,$S82)-ROW()/1000000000,""),"")</f>
        <v/>
      </c>
      <c r="V82" s="80" t="n">
        <f aca="false">IF(OR($O82="On hand",$O82="Advance received",$O82="Part realised",$O82="Amount missing"),1,0)</f>
        <v>0</v>
      </c>
      <c r="W82" s="80" t="str">
        <f aca="false">IF(AND($V82=1,N($F82)&gt;0),ROW(),"")</f>
        <v/>
      </c>
      <c r="X82" s="80" t="n">
        <f aca="false">IF(AND(OR($A82&lt;&gt;"",$E82&lt;&gt;""),$O82&lt;&gt;"Cancelled",ISNUMBER($E82),N($F82)+N($H82)&gt;$E82+0.005),1,0)</f>
        <v>0</v>
      </c>
      <c r="Y82" s="80" t="n">
        <f aca="false">IF(AND(OR($A82&lt;&gt;"",$E82&lt;&gt;""),OR($A82="",$E82="")),1,0)</f>
        <v>0</v>
      </c>
      <c r="Z82" s="80" t="n">
        <f aca="false">IF(AND($A82&lt;&gt;"",COUNTIF($A$7:$A$1006,$A82)&gt;1),1,0)</f>
        <v>0</v>
      </c>
    </row>
    <row r="83" customFormat="false" ht="15" hidden="false" customHeight="false" outlineLevel="0" collapsed="false">
      <c r="A83" s="71"/>
      <c r="B83" s="72"/>
      <c r="C83" s="73"/>
      <c r="D83" s="73"/>
      <c r="E83" s="74"/>
      <c r="F83" s="74"/>
      <c r="G83" s="72"/>
      <c r="H83" s="74"/>
      <c r="I83" s="72"/>
      <c r="J83" s="73"/>
      <c r="K83" s="73"/>
      <c r="L83" s="75" t="str">
        <f aca="false">IF(OR($A83&lt;&gt;"",$E83&lt;&gt;""),N($F83)+N($H83),"")</f>
        <v/>
      </c>
      <c r="M83" s="76" t="str">
        <f aca="false">IF(OR($O83="",$O83="Cancelled",$O83="Amount missing"),"",IF($O83="Realised",0,$E83-N($F83)-N($H83)))</f>
        <v/>
      </c>
      <c r="N83" s="77" t="str">
        <f aca="false">IF(OR($M83="",FX=""),"",$M83*FX)</f>
        <v/>
      </c>
      <c r="O83" s="78" t="str">
        <f aca="false">IF(NOT(OR($A83&lt;&gt;"",$E83&lt;&gt;"")),"",IF($J83="Cancelled","Cancelled",IF($E83="","Amount missing",IF(OR($J83="Settled",$E83-N($F83)-N($H83)&lt;=0.005),"Realised",IF(N($H83)&gt;0,"Part realised",IF(N($F83)&gt;0,"Advance received","On hand"))))))</f>
        <v/>
      </c>
      <c r="P83" s="79" t="str">
        <f aca="false">IF(AND($V83=1,ISNUMBER($B83)),AsAt-$B83,"")</f>
        <v/>
      </c>
      <c r="Q83" s="78" t="str">
        <f aca="false">IF($V83&lt;&gt;1,"",IF($P83="","No invoice date",IF($P83&lt;=30,"0–30 days",IF($P83&lt;=60,"31–60 days",IF($P83&lt;=90,"61–90 days","Over 90 days")))))</f>
        <v/>
      </c>
      <c r="R83" s="80" t="str">
        <f aca="false">IF($V83=1,ROW(),"")</f>
        <v/>
      </c>
      <c r="S83" s="80" t="str">
        <f aca="false">IF(OR($A83&lt;&gt;"",$E83&lt;&gt;""),IF(TRIM($D83)="","Buyer not noted",TRIM($D83)),"")</f>
        <v/>
      </c>
      <c r="T83" s="80" t="n">
        <f aca="false">IF(AND($V83=1,ISNUMBER($M83)),$M83,0)</f>
        <v>0</v>
      </c>
      <c r="U83" s="80" t="str">
        <f aca="false">IF($V83=1,IF(COUNTIFS($S$7:$S83,$S83,$V$7:$V83,1)=1,SUMIFS($T$7:$T$1006,$S$7:$S$1006,$S83)-ROW()/1000000000,""),"")</f>
        <v/>
      </c>
      <c r="V83" s="80" t="n">
        <f aca="false">IF(OR($O83="On hand",$O83="Advance received",$O83="Part realised",$O83="Amount missing"),1,0)</f>
        <v>0</v>
      </c>
      <c r="W83" s="80" t="str">
        <f aca="false">IF(AND($V83=1,N($F83)&gt;0),ROW(),"")</f>
        <v/>
      </c>
      <c r="X83" s="80" t="n">
        <f aca="false">IF(AND(OR($A83&lt;&gt;"",$E83&lt;&gt;""),$O83&lt;&gt;"Cancelled",ISNUMBER($E83),N($F83)+N($H83)&gt;$E83+0.005),1,0)</f>
        <v>0</v>
      </c>
      <c r="Y83" s="80" t="n">
        <f aca="false">IF(AND(OR($A83&lt;&gt;"",$E83&lt;&gt;""),OR($A83="",$E83="")),1,0)</f>
        <v>0</v>
      </c>
      <c r="Z83" s="80" t="n">
        <f aca="false">IF(AND($A83&lt;&gt;"",COUNTIF($A$7:$A$1006,$A83)&gt;1),1,0)</f>
        <v>0</v>
      </c>
    </row>
    <row r="84" customFormat="false" ht="15" hidden="false" customHeight="false" outlineLevel="0" collapsed="false">
      <c r="A84" s="71"/>
      <c r="B84" s="72"/>
      <c r="C84" s="73"/>
      <c r="D84" s="73"/>
      <c r="E84" s="74"/>
      <c r="F84" s="74"/>
      <c r="G84" s="72"/>
      <c r="H84" s="74"/>
      <c r="I84" s="72"/>
      <c r="J84" s="73"/>
      <c r="K84" s="73"/>
      <c r="L84" s="75" t="str">
        <f aca="false">IF(OR($A84&lt;&gt;"",$E84&lt;&gt;""),N($F84)+N($H84),"")</f>
        <v/>
      </c>
      <c r="M84" s="76" t="str">
        <f aca="false">IF(OR($O84="",$O84="Cancelled",$O84="Amount missing"),"",IF($O84="Realised",0,$E84-N($F84)-N($H84)))</f>
        <v/>
      </c>
      <c r="N84" s="77" t="str">
        <f aca="false">IF(OR($M84="",FX=""),"",$M84*FX)</f>
        <v/>
      </c>
      <c r="O84" s="78" t="str">
        <f aca="false">IF(NOT(OR($A84&lt;&gt;"",$E84&lt;&gt;"")),"",IF($J84="Cancelled","Cancelled",IF($E84="","Amount missing",IF(OR($J84="Settled",$E84-N($F84)-N($H84)&lt;=0.005),"Realised",IF(N($H84)&gt;0,"Part realised",IF(N($F84)&gt;0,"Advance received","On hand"))))))</f>
        <v/>
      </c>
      <c r="P84" s="79" t="str">
        <f aca="false">IF(AND($V84=1,ISNUMBER($B84)),AsAt-$B84,"")</f>
        <v/>
      </c>
      <c r="Q84" s="78" t="str">
        <f aca="false">IF($V84&lt;&gt;1,"",IF($P84="","No invoice date",IF($P84&lt;=30,"0–30 days",IF($P84&lt;=60,"31–60 days",IF($P84&lt;=90,"61–90 days","Over 90 days")))))</f>
        <v/>
      </c>
      <c r="R84" s="80" t="str">
        <f aca="false">IF($V84=1,ROW(),"")</f>
        <v/>
      </c>
      <c r="S84" s="80" t="str">
        <f aca="false">IF(OR($A84&lt;&gt;"",$E84&lt;&gt;""),IF(TRIM($D84)="","Buyer not noted",TRIM($D84)),"")</f>
        <v/>
      </c>
      <c r="T84" s="80" t="n">
        <f aca="false">IF(AND($V84=1,ISNUMBER($M84)),$M84,0)</f>
        <v>0</v>
      </c>
      <c r="U84" s="80" t="str">
        <f aca="false">IF($V84=1,IF(COUNTIFS($S$7:$S84,$S84,$V$7:$V84,1)=1,SUMIFS($T$7:$T$1006,$S$7:$S$1006,$S84)-ROW()/1000000000,""),"")</f>
        <v/>
      </c>
      <c r="V84" s="80" t="n">
        <f aca="false">IF(OR($O84="On hand",$O84="Advance received",$O84="Part realised",$O84="Amount missing"),1,0)</f>
        <v>0</v>
      </c>
      <c r="W84" s="80" t="str">
        <f aca="false">IF(AND($V84=1,N($F84)&gt;0),ROW(),"")</f>
        <v/>
      </c>
      <c r="X84" s="80" t="n">
        <f aca="false">IF(AND(OR($A84&lt;&gt;"",$E84&lt;&gt;""),$O84&lt;&gt;"Cancelled",ISNUMBER($E84),N($F84)+N($H84)&gt;$E84+0.005),1,0)</f>
        <v>0</v>
      </c>
      <c r="Y84" s="80" t="n">
        <f aca="false">IF(AND(OR($A84&lt;&gt;"",$E84&lt;&gt;""),OR($A84="",$E84="")),1,0)</f>
        <v>0</v>
      </c>
      <c r="Z84" s="80" t="n">
        <f aca="false">IF(AND($A84&lt;&gt;"",COUNTIF($A$7:$A$1006,$A84)&gt;1),1,0)</f>
        <v>0</v>
      </c>
    </row>
    <row r="85" customFormat="false" ht="15" hidden="false" customHeight="false" outlineLevel="0" collapsed="false">
      <c r="A85" s="71"/>
      <c r="B85" s="72"/>
      <c r="C85" s="73"/>
      <c r="D85" s="73"/>
      <c r="E85" s="74"/>
      <c r="F85" s="74"/>
      <c r="G85" s="72"/>
      <c r="H85" s="74"/>
      <c r="I85" s="72"/>
      <c r="J85" s="73"/>
      <c r="K85" s="73"/>
      <c r="L85" s="75" t="str">
        <f aca="false">IF(OR($A85&lt;&gt;"",$E85&lt;&gt;""),N($F85)+N($H85),"")</f>
        <v/>
      </c>
      <c r="M85" s="76" t="str">
        <f aca="false">IF(OR($O85="",$O85="Cancelled",$O85="Amount missing"),"",IF($O85="Realised",0,$E85-N($F85)-N($H85)))</f>
        <v/>
      </c>
      <c r="N85" s="77" t="str">
        <f aca="false">IF(OR($M85="",FX=""),"",$M85*FX)</f>
        <v/>
      </c>
      <c r="O85" s="78" t="str">
        <f aca="false">IF(NOT(OR($A85&lt;&gt;"",$E85&lt;&gt;"")),"",IF($J85="Cancelled","Cancelled",IF($E85="","Amount missing",IF(OR($J85="Settled",$E85-N($F85)-N($H85)&lt;=0.005),"Realised",IF(N($H85)&gt;0,"Part realised",IF(N($F85)&gt;0,"Advance received","On hand"))))))</f>
        <v/>
      </c>
      <c r="P85" s="79" t="str">
        <f aca="false">IF(AND($V85=1,ISNUMBER($B85)),AsAt-$B85,"")</f>
        <v/>
      </c>
      <c r="Q85" s="78" t="str">
        <f aca="false">IF($V85&lt;&gt;1,"",IF($P85="","No invoice date",IF($P85&lt;=30,"0–30 days",IF($P85&lt;=60,"31–60 days",IF($P85&lt;=90,"61–90 days","Over 90 days")))))</f>
        <v/>
      </c>
      <c r="R85" s="80" t="str">
        <f aca="false">IF($V85=1,ROW(),"")</f>
        <v/>
      </c>
      <c r="S85" s="80" t="str">
        <f aca="false">IF(OR($A85&lt;&gt;"",$E85&lt;&gt;""),IF(TRIM($D85)="","Buyer not noted",TRIM($D85)),"")</f>
        <v/>
      </c>
      <c r="T85" s="80" t="n">
        <f aca="false">IF(AND($V85=1,ISNUMBER($M85)),$M85,0)</f>
        <v>0</v>
      </c>
      <c r="U85" s="80" t="str">
        <f aca="false">IF($V85=1,IF(COUNTIFS($S$7:$S85,$S85,$V$7:$V85,1)=1,SUMIFS($T$7:$T$1006,$S$7:$S$1006,$S85)-ROW()/1000000000,""),"")</f>
        <v/>
      </c>
      <c r="V85" s="80" t="n">
        <f aca="false">IF(OR($O85="On hand",$O85="Advance received",$O85="Part realised",$O85="Amount missing"),1,0)</f>
        <v>0</v>
      </c>
      <c r="W85" s="80" t="str">
        <f aca="false">IF(AND($V85=1,N($F85)&gt;0),ROW(),"")</f>
        <v/>
      </c>
      <c r="X85" s="80" t="n">
        <f aca="false">IF(AND(OR($A85&lt;&gt;"",$E85&lt;&gt;""),$O85&lt;&gt;"Cancelled",ISNUMBER($E85),N($F85)+N($H85)&gt;$E85+0.005),1,0)</f>
        <v>0</v>
      </c>
      <c r="Y85" s="80" t="n">
        <f aca="false">IF(AND(OR($A85&lt;&gt;"",$E85&lt;&gt;""),OR($A85="",$E85="")),1,0)</f>
        <v>0</v>
      </c>
      <c r="Z85" s="80" t="n">
        <f aca="false">IF(AND($A85&lt;&gt;"",COUNTIF($A$7:$A$1006,$A85)&gt;1),1,0)</f>
        <v>0</v>
      </c>
    </row>
    <row r="86" customFormat="false" ht="15" hidden="false" customHeight="false" outlineLevel="0" collapsed="false">
      <c r="A86" s="71"/>
      <c r="B86" s="72"/>
      <c r="C86" s="73"/>
      <c r="D86" s="73"/>
      <c r="E86" s="74"/>
      <c r="F86" s="74"/>
      <c r="G86" s="72"/>
      <c r="H86" s="74"/>
      <c r="I86" s="72"/>
      <c r="J86" s="73"/>
      <c r="K86" s="73"/>
      <c r="L86" s="75" t="str">
        <f aca="false">IF(OR($A86&lt;&gt;"",$E86&lt;&gt;""),N($F86)+N($H86),"")</f>
        <v/>
      </c>
      <c r="M86" s="76" t="str">
        <f aca="false">IF(OR($O86="",$O86="Cancelled",$O86="Amount missing"),"",IF($O86="Realised",0,$E86-N($F86)-N($H86)))</f>
        <v/>
      </c>
      <c r="N86" s="77" t="str">
        <f aca="false">IF(OR($M86="",FX=""),"",$M86*FX)</f>
        <v/>
      </c>
      <c r="O86" s="78" t="str">
        <f aca="false">IF(NOT(OR($A86&lt;&gt;"",$E86&lt;&gt;"")),"",IF($J86="Cancelled","Cancelled",IF($E86="","Amount missing",IF(OR($J86="Settled",$E86-N($F86)-N($H86)&lt;=0.005),"Realised",IF(N($H86)&gt;0,"Part realised",IF(N($F86)&gt;0,"Advance received","On hand"))))))</f>
        <v/>
      </c>
      <c r="P86" s="79" t="str">
        <f aca="false">IF(AND($V86=1,ISNUMBER($B86)),AsAt-$B86,"")</f>
        <v/>
      </c>
      <c r="Q86" s="78" t="str">
        <f aca="false">IF($V86&lt;&gt;1,"",IF($P86="","No invoice date",IF($P86&lt;=30,"0–30 days",IF($P86&lt;=60,"31–60 days",IF($P86&lt;=90,"61–90 days","Over 90 days")))))</f>
        <v/>
      </c>
      <c r="R86" s="80" t="str">
        <f aca="false">IF($V86=1,ROW(),"")</f>
        <v/>
      </c>
      <c r="S86" s="80" t="str">
        <f aca="false">IF(OR($A86&lt;&gt;"",$E86&lt;&gt;""),IF(TRIM($D86)="","Buyer not noted",TRIM($D86)),"")</f>
        <v/>
      </c>
      <c r="T86" s="80" t="n">
        <f aca="false">IF(AND($V86=1,ISNUMBER($M86)),$M86,0)</f>
        <v>0</v>
      </c>
      <c r="U86" s="80" t="str">
        <f aca="false">IF($V86=1,IF(COUNTIFS($S$7:$S86,$S86,$V$7:$V86,1)=1,SUMIFS($T$7:$T$1006,$S$7:$S$1006,$S86)-ROW()/1000000000,""),"")</f>
        <v/>
      </c>
      <c r="V86" s="80" t="n">
        <f aca="false">IF(OR($O86="On hand",$O86="Advance received",$O86="Part realised",$O86="Amount missing"),1,0)</f>
        <v>0</v>
      </c>
      <c r="W86" s="80" t="str">
        <f aca="false">IF(AND($V86=1,N($F86)&gt;0),ROW(),"")</f>
        <v/>
      </c>
      <c r="X86" s="80" t="n">
        <f aca="false">IF(AND(OR($A86&lt;&gt;"",$E86&lt;&gt;""),$O86&lt;&gt;"Cancelled",ISNUMBER($E86),N($F86)+N($H86)&gt;$E86+0.005),1,0)</f>
        <v>0</v>
      </c>
      <c r="Y86" s="80" t="n">
        <f aca="false">IF(AND(OR($A86&lt;&gt;"",$E86&lt;&gt;""),OR($A86="",$E86="")),1,0)</f>
        <v>0</v>
      </c>
      <c r="Z86" s="80" t="n">
        <f aca="false">IF(AND($A86&lt;&gt;"",COUNTIF($A$7:$A$1006,$A86)&gt;1),1,0)</f>
        <v>0</v>
      </c>
    </row>
    <row r="87" customFormat="false" ht="15" hidden="false" customHeight="false" outlineLevel="0" collapsed="false">
      <c r="A87" s="71"/>
      <c r="B87" s="72"/>
      <c r="C87" s="73"/>
      <c r="D87" s="73"/>
      <c r="E87" s="74"/>
      <c r="F87" s="74"/>
      <c r="G87" s="72"/>
      <c r="H87" s="74"/>
      <c r="I87" s="72"/>
      <c r="J87" s="73"/>
      <c r="K87" s="73"/>
      <c r="L87" s="75" t="str">
        <f aca="false">IF(OR($A87&lt;&gt;"",$E87&lt;&gt;""),N($F87)+N($H87),"")</f>
        <v/>
      </c>
      <c r="M87" s="76" t="str">
        <f aca="false">IF(OR($O87="",$O87="Cancelled",$O87="Amount missing"),"",IF($O87="Realised",0,$E87-N($F87)-N($H87)))</f>
        <v/>
      </c>
      <c r="N87" s="77" t="str">
        <f aca="false">IF(OR($M87="",FX=""),"",$M87*FX)</f>
        <v/>
      </c>
      <c r="O87" s="78" t="str">
        <f aca="false">IF(NOT(OR($A87&lt;&gt;"",$E87&lt;&gt;"")),"",IF($J87="Cancelled","Cancelled",IF($E87="","Amount missing",IF(OR($J87="Settled",$E87-N($F87)-N($H87)&lt;=0.005),"Realised",IF(N($H87)&gt;0,"Part realised",IF(N($F87)&gt;0,"Advance received","On hand"))))))</f>
        <v/>
      </c>
      <c r="P87" s="79" t="str">
        <f aca="false">IF(AND($V87=1,ISNUMBER($B87)),AsAt-$B87,"")</f>
        <v/>
      </c>
      <c r="Q87" s="78" t="str">
        <f aca="false">IF($V87&lt;&gt;1,"",IF($P87="","No invoice date",IF($P87&lt;=30,"0–30 days",IF($P87&lt;=60,"31–60 days",IF($P87&lt;=90,"61–90 days","Over 90 days")))))</f>
        <v/>
      </c>
      <c r="R87" s="80" t="str">
        <f aca="false">IF($V87=1,ROW(),"")</f>
        <v/>
      </c>
      <c r="S87" s="80" t="str">
        <f aca="false">IF(OR($A87&lt;&gt;"",$E87&lt;&gt;""),IF(TRIM($D87)="","Buyer not noted",TRIM($D87)),"")</f>
        <v/>
      </c>
      <c r="T87" s="80" t="n">
        <f aca="false">IF(AND($V87=1,ISNUMBER($M87)),$M87,0)</f>
        <v>0</v>
      </c>
      <c r="U87" s="80" t="str">
        <f aca="false">IF($V87=1,IF(COUNTIFS($S$7:$S87,$S87,$V$7:$V87,1)=1,SUMIFS($T$7:$T$1006,$S$7:$S$1006,$S87)-ROW()/1000000000,""),"")</f>
        <v/>
      </c>
      <c r="V87" s="80" t="n">
        <f aca="false">IF(OR($O87="On hand",$O87="Advance received",$O87="Part realised",$O87="Amount missing"),1,0)</f>
        <v>0</v>
      </c>
      <c r="W87" s="80" t="str">
        <f aca="false">IF(AND($V87=1,N($F87)&gt;0),ROW(),"")</f>
        <v/>
      </c>
      <c r="X87" s="80" t="n">
        <f aca="false">IF(AND(OR($A87&lt;&gt;"",$E87&lt;&gt;""),$O87&lt;&gt;"Cancelled",ISNUMBER($E87),N($F87)+N($H87)&gt;$E87+0.005),1,0)</f>
        <v>0</v>
      </c>
      <c r="Y87" s="80" t="n">
        <f aca="false">IF(AND(OR($A87&lt;&gt;"",$E87&lt;&gt;""),OR($A87="",$E87="")),1,0)</f>
        <v>0</v>
      </c>
      <c r="Z87" s="80" t="n">
        <f aca="false">IF(AND($A87&lt;&gt;"",COUNTIF($A$7:$A$1006,$A87)&gt;1),1,0)</f>
        <v>0</v>
      </c>
    </row>
    <row r="88" customFormat="false" ht="15" hidden="false" customHeight="false" outlineLevel="0" collapsed="false">
      <c r="A88" s="71"/>
      <c r="B88" s="72"/>
      <c r="C88" s="73"/>
      <c r="D88" s="73"/>
      <c r="E88" s="74"/>
      <c r="F88" s="74"/>
      <c r="G88" s="72"/>
      <c r="H88" s="74"/>
      <c r="I88" s="72"/>
      <c r="J88" s="73"/>
      <c r="K88" s="73"/>
      <c r="L88" s="75" t="str">
        <f aca="false">IF(OR($A88&lt;&gt;"",$E88&lt;&gt;""),N($F88)+N($H88),"")</f>
        <v/>
      </c>
      <c r="M88" s="76" t="str">
        <f aca="false">IF(OR($O88="",$O88="Cancelled",$O88="Amount missing"),"",IF($O88="Realised",0,$E88-N($F88)-N($H88)))</f>
        <v/>
      </c>
      <c r="N88" s="77" t="str">
        <f aca="false">IF(OR($M88="",FX=""),"",$M88*FX)</f>
        <v/>
      </c>
      <c r="O88" s="78" t="str">
        <f aca="false">IF(NOT(OR($A88&lt;&gt;"",$E88&lt;&gt;"")),"",IF($J88="Cancelled","Cancelled",IF($E88="","Amount missing",IF(OR($J88="Settled",$E88-N($F88)-N($H88)&lt;=0.005),"Realised",IF(N($H88)&gt;0,"Part realised",IF(N($F88)&gt;0,"Advance received","On hand"))))))</f>
        <v/>
      </c>
      <c r="P88" s="79" t="str">
        <f aca="false">IF(AND($V88=1,ISNUMBER($B88)),AsAt-$B88,"")</f>
        <v/>
      </c>
      <c r="Q88" s="78" t="str">
        <f aca="false">IF($V88&lt;&gt;1,"",IF($P88="","No invoice date",IF($P88&lt;=30,"0–30 days",IF($P88&lt;=60,"31–60 days",IF($P88&lt;=90,"61–90 days","Over 90 days")))))</f>
        <v/>
      </c>
      <c r="R88" s="80" t="str">
        <f aca="false">IF($V88=1,ROW(),"")</f>
        <v/>
      </c>
      <c r="S88" s="80" t="str">
        <f aca="false">IF(OR($A88&lt;&gt;"",$E88&lt;&gt;""),IF(TRIM($D88)="","Buyer not noted",TRIM($D88)),"")</f>
        <v/>
      </c>
      <c r="T88" s="80" t="n">
        <f aca="false">IF(AND($V88=1,ISNUMBER($M88)),$M88,0)</f>
        <v>0</v>
      </c>
      <c r="U88" s="80" t="str">
        <f aca="false">IF($V88=1,IF(COUNTIFS($S$7:$S88,$S88,$V$7:$V88,1)=1,SUMIFS($T$7:$T$1006,$S$7:$S$1006,$S88)-ROW()/1000000000,""),"")</f>
        <v/>
      </c>
      <c r="V88" s="80" t="n">
        <f aca="false">IF(OR($O88="On hand",$O88="Advance received",$O88="Part realised",$O88="Amount missing"),1,0)</f>
        <v>0</v>
      </c>
      <c r="W88" s="80" t="str">
        <f aca="false">IF(AND($V88=1,N($F88)&gt;0),ROW(),"")</f>
        <v/>
      </c>
      <c r="X88" s="80" t="n">
        <f aca="false">IF(AND(OR($A88&lt;&gt;"",$E88&lt;&gt;""),$O88&lt;&gt;"Cancelled",ISNUMBER($E88),N($F88)+N($H88)&gt;$E88+0.005),1,0)</f>
        <v>0</v>
      </c>
      <c r="Y88" s="80" t="n">
        <f aca="false">IF(AND(OR($A88&lt;&gt;"",$E88&lt;&gt;""),OR($A88="",$E88="")),1,0)</f>
        <v>0</v>
      </c>
      <c r="Z88" s="80" t="n">
        <f aca="false">IF(AND($A88&lt;&gt;"",COUNTIF($A$7:$A$1006,$A88)&gt;1),1,0)</f>
        <v>0</v>
      </c>
    </row>
    <row r="89" customFormat="false" ht="15" hidden="false" customHeight="false" outlineLevel="0" collapsed="false">
      <c r="A89" s="71"/>
      <c r="B89" s="72"/>
      <c r="C89" s="73"/>
      <c r="D89" s="73"/>
      <c r="E89" s="74"/>
      <c r="F89" s="74"/>
      <c r="G89" s="72"/>
      <c r="H89" s="74"/>
      <c r="I89" s="72"/>
      <c r="J89" s="73"/>
      <c r="K89" s="73"/>
      <c r="L89" s="75" t="str">
        <f aca="false">IF(OR($A89&lt;&gt;"",$E89&lt;&gt;""),N($F89)+N($H89),"")</f>
        <v/>
      </c>
      <c r="M89" s="76" t="str">
        <f aca="false">IF(OR($O89="",$O89="Cancelled",$O89="Amount missing"),"",IF($O89="Realised",0,$E89-N($F89)-N($H89)))</f>
        <v/>
      </c>
      <c r="N89" s="77" t="str">
        <f aca="false">IF(OR($M89="",FX=""),"",$M89*FX)</f>
        <v/>
      </c>
      <c r="O89" s="78" t="str">
        <f aca="false">IF(NOT(OR($A89&lt;&gt;"",$E89&lt;&gt;"")),"",IF($J89="Cancelled","Cancelled",IF($E89="","Amount missing",IF(OR($J89="Settled",$E89-N($F89)-N($H89)&lt;=0.005),"Realised",IF(N($H89)&gt;0,"Part realised",IF(N($F89)&gt;0,"Advance received","On hand"))))))</f>
        <v/>
      </c>
      <c r="P89" s="79" t="str">
        <f aca="false">IF(AND($V89=1,ISNUMBER($B89)),AsAt-$B89,"")</f>
        <v/>
      </c>
      <c r="Q89" s="78" t="str">
        <f aca="false">IF($V89&lt;&gt;1,"",IF($P89="","No invoice date",IF($P89&lt;=30,"0–30 days",IF($P89&lt;=60,"31–60 days",IF($P89&lt;=90,"61–90 days","Over 90 days")))))</f>
        <v/>
      </c>
      <c r="R89" s="80" t="str">
        <f aca="false">IF($V89=1,ROW(),"")</f>
        <v/>
      </c>
      <c r="S89" s="80" t="str">
        <f aca="false">IF(OR($A89&lt;&gt;"",$E89&lt;&gt;""),IF(TRIM($D89)="","Buyer not noted",TRIM($D89)),"")</f>
        <v/>
      </c>
      <c r="T89" s="80" t="n">
        <f aca="false">IF(AND($V89=1,ISNUMBER($M89)),$M89,0)</f>
        <v>0</v>
      </c>
      <c r="U89" s="80" t="str">
        <f aca="false">IF($V89=1,IF(COUNTIFS($S$7:$S89,$S89,$V$7:$V89,1)=1,SUMIFS($T$7:$T$1006,$S$7:$S$1006,$S89)-ROW()/1000000000,""),"")</f>
        <v/>
      </c>
      <c r="V89" s="80" t="n">
        <f aca="false">IF(OR($O89="On hand",$O89="Advance received",$O89="Part realised",$O89="Amount missing"),1,0)</f>
        <v>0</v>
      </c>
      <c r="W89" s="80" t="str">
        <f aca="false">IF(AND($V89=1,N($F89)&gt;0),ROW(),"")</f>
        <v/>
      </c>
      <c r="X89" s="80" t="n">
        <f aca="false">IF(AND(OR($A89&lt;&gt;"",$E89&lt;&gt;""),$O89&lt;&gt;"Cancelled",ISNUMBER($E89),N($F89)+N($H89)&gt;$E89+0.005),1,0)</f>
        <v>0</v>
      </c>
      <c r="Y89" s="80" t="n">
        <f aca="false">IF(AND(OR($A89&lt;&gt;"",$E89&lt;&gt;""),OR($A89="",$E89="")),1,0)</f>
        <v>0</v>
      </c>
      <c r="Z89" s="80" t="n">
        <f aca="false">IF(AND($A89&lt;&gt;"",COUNTIF($A$7:$A$1006,$A89)&gt;1),1,0)</f>
        <v>0</v>
      </c>
    </row>
    <row r="90" customFormat="false" ht="15" hidden="false" customHeight="false" outlineLevel="0" collapsed="false">
      <c r="A90" s="71"/>
      <c r="B90" s="72"/>
      <c r="C90" s="73"/>
      <c r="D90" s="73"/>
      <c r="E90" s="74"/>
      <c r="F90" s="74"/>
      <c r="G90" s="72"/>
      <c r="H90" s="74"/>
      <c r="I90" s="72"/>
      <c r="J90" s="73"/>
      <c r="K90" s="73"/>
      <c r="L90" s="75" t="str">
        <f aca="false">IF(OR($A90&lt;&gt;"",$E90&lt;&gt;""),N($F90)+N($H90),"")</f>
        <v/>
      </c>
      <c r="M90" s="76" t="str">
        <f aca="false">IF(OR($O90="",$O90="Cancelled",$O90="Amount missing"),"",IF($O90="Realised",0,$E90-N($F90)-N($H90)))</f>
        <v/>
      </c>
      <c r="N90" s="77" t="str">
        <f aca="false">IF(OR($M90="",FX=""),"",$M90*FX)</f>
        <v/>
      </c>
      <c r="O90" s="78" t="str">
        <f aca="false">IF(NOT(OR($A90&lt;&gt;"",$E90&lt;&gt;"")),"",IF($J90="Cancelled","Cancelled",IF($E90="","Amount missing",IF(OR($J90="Settled",$E90-N($F90)-N($H90)&lt;=0.005),"Realised",IF(N($H90)&gt;0,"Part realised",IF(N($F90)&gt;0,"Advance received","On hand"))))))</f>
        <v/>
      </c>
      <c r="P90" s="79" t="str">
        <f aca="false">IF(AND($V90=1,ISNUMBER($B90)),AsAt-$B90,"")</f>
        <v/>
      </c>
      <c r="Q90" s="78" t="str">
        <f aca="false">IF($V90&lt;&gt;1,"",IF($P90="","No invoice date",IF($P90&lt;=30,"0–30 days",IF($P90&lt;=60,"31–60 days",IF($P90&lt;=90,"61–90 days","Over 90 days")))))</f>
        <v/>
      </c>
      <c r="R90" s="80" t="str">
        <f aca="false">IF($V90=1,ROW(),"")</f>
        <v/>
      </c>
      <c r="S90" s="80" t="str">
        <f aca="false">IF(OR($A90&lt;&gt;"",$E90&lt;&gt;""),IF(TRIM($D90)="","Buyer not noted",TRIM($D90)),"")</f>
        <v/>
      </c>
      <c r="T90" s="80" t="n">
        <f aca="false">IF(AND($V90=1,ISNUMBER($M90)),$M90,0)</f>
        <v>0</v>
      </c>
      <c r="U90" s="80" t="str">
        <f aca="false">IF($V90=1,IF(COUNTIFS($S$7:$S90,$S90,$V$7:$V90,1)=1,SUMIFS($T$7:$T$1006,$S$7:$S$1006,$S90)-ROW()/1000000000,""),"")</f>
        <v/>
      </c>
      <c r="V90" s="80" t="n">
        <f aca="false">IF(OR($O90="On hand",$O90="Advance received",$O90="Part realised",$O90="Amount missing"),1,0)</f>
        <v>0</v>
      </c>
      <c r="W90" s="80" t="str">
        <f aca="false">IF(AND($V90=1,N($F90)&gt;0),ROW(),"")</f>
        <v/>
      </c>
      <c r="X90" s="80" t="n">
        <f aca="false">IF(AND(OR($A90&lt;&gt;"",$E90&lt;&gt;""),$O90&lt;&gt;"Cancelled",ISNUMBER($E90),N($F90)+N($H90)&gt;$E90+0.005),1,0)</f>
        <v>0</v>
      </c>
      <c r="Y90" s="80" t="n">
        <f aca="false">IF(AND(OR($A90&lt;&gt;"",$E90&lt;&gt;""),OR($A90="",$E90="")),1,0)</f>
        <v>0</v>
      </c>
      <c r="Z90" s="80" t="n">
        <f aca="false">IF(AND($A90&lt;&gt;"",COUNTIF($A$7:$A$1006,$A90)&gt;1),1,0)</f>
        <v>0</v>
      </c>
    </row>
    <row r="91" customFormat="false" ht="15" hidden="false" customHeight="false" outlineLevel="0" collapsed="false">
      <c r="A91" s="71"/>
      <c r="B91" s="72"/>
      <c r="C91" s="73"/>
      <c r="D91" s="73"/>
      <c r="E91" s="74"/>
      <c r="F91" s="74"/>
      <c r="G91" s="72"/>
      <c r="H91" s="74"/>
      <c r="I91" s="72"/>
      <c r="J91" s="73"/>
      <c r="K91" s="73"/>
      <c r="L91" s="75" t="str">
        <f aca="false">IF(OR($A91&lt;&gt;"",$E91&lt;&gt;""),N($F91)+N($H91),"")</f>
        <v/>
      </c>
      <c r="M91" s="76" t="str">
        <f aca="false">IF(OR($O91="",$O91="Cancelled",$O91="Amount missing"),"",IF($O91="Realised",0,$E91-N($F91)-N($H91)))</f>
        <v/>
      </c>
      <c r="N91" s="77" t="str">
        <f aca="false">IF(OR($M91="",FX=""),"",$M91*FX)</f>
        <v/>
      </c>
      <c r="O91" s="78" t="str">
        <f aca="false">IF(NOT(OR($A91&lt;&gt;"",$E91&lt;&gt;"")),"",IF($J91="Cancelled","Cancelled",IF($E91="","Amount missing",IF(OR($J91="Settled",$E91-N($F91)-N($H91)&lt;=0.005),"Realised",IF(N($H91)&gt;0,"Part realised",IF(N($F91)&gt;0,"Advance received","On hand"))))))</f>
        <v/>
      </c>
      <c r="P91" s="79" t="str">
        <f aca="false">IF(AND($V91=1,ISNUMBER($B91)),AsAt-$B91,"")</f>
        <v/>
      </c>
      <c r="Q91" s="78" t="str">
        <f aca="false">IF($V91&lt;&gt;1,"",IF($P91="","No invoice date",IF($P91&lt;=30,"0–30 days",IF($P91&lt;=60,"31–60 days",IF($P91&lt;=90,"61–90 days","Over 90 days")))))</f>
        <v/>
      </c>
      <c r="R91" s="80" t="str">
        <f aca="false">IF($V91=1,ROW(),"")</f>
        <v/>
      </c>
      <c r="S91" s="80" t="str">
        <f aca="false">IF(OR($A91&lt;&gt;"",$E91&lt;&gt;""),IF(TRIM($D91)="","Buyer not noted",TRIM($D91)),"")</f>
        <v/>
      </c>
      <c r="T91" s="80" t="n">
        <f aca="false">IF(AND($V91=1,ISNUMBER($M91)),$M91,0)</f>
        <v>0</v>
      </c>
      <c r="U91" s="80" t="str">
        <f aca="false">IF($V91=1,IF(COUNTIFS($S$7:$S91,$S91,$V$7:$V91,1)=1,SUMIFS($T$7:$T$1006,$S$7:$S$1006,$S91)-ROW()/1000000000,""),"")</f>
        <v/>
      </c>
      <c r="V91" s="80" t="n">
        <f aca="false">IF(OR($O91="On hand",$O91="Advance received",$O91="Part realised",$O91="Amount missing"),1,0)</f>
        <v>0</v>
      </c>
      <c r="W91" s="80" t="str">
        <f aca="false">IF(AND($V91=1,N($F91)&gt;0),ROW(),"")</f>
        <v/>
      </c>
      <c r="X91" s="80" t="n">
        <f aca="false">IF(AND(OR($A91&lt;&gt;"",$E91&lt;&gt;""),$O91&lt;&gt;"Cancelled",ISNUMBER($E91),N($F91)+N($H91)&gt;$E91+0.005),1,0)</f>
        <v>0</v>
      </c>
      <c r="Y91" s="80" t="n">
        <f aca="false">IF(AND(OR($A91&lt;&gt;"",$E91&lt;&gt;""),OR($A91="",$E91="")),1,0)</f>
        <v>0</v>
      </c>
      <c r="Z91" s="80" t="n">
        <f aca="false">IF(AND($A91&lt;&gt;"",COUNTIF($A$7:$A$1006,$A91)&gt;1),1,0)</f>
        <v>0</v>
      </c>
    </row>
    <row r="92" customFormat="false" ht="15" hidden="false" customHeight="false" outlineLevel="0" collapsed="false">
      <c r="A92" s="71"/>
      <c r="B92" s="72"/>
      <c r="C92" s="73"/>
      <c r="D92" s="73"/>
      <c r="E92" s="74"/>
      <c r="F92" s="74"/>
      <c r="G92" s="72"/>
      <c r="H92" s="74"/>
      <c r="I92" s="72"/>
      <c r="J92" s="73"/>
      <c r="K92" s="73"/>
      <c r="L92" s="75" t="str">
        <f aca="false">IF(OR($A92&lt;&gt;"",$E92&lt;&gt;""),N($F92)+N($H92),"")</f>
        <v/>
      </c>
      <c r="M92" s="76" t="str">
        <f aca="false">IF(OR($O92="",$O92="Cancelled",$O92="Amount missing"),"",IF($O92="Realised",0,$E92-N($F92)-N($H92)))</f>
        <v/>
      </c>
      <c r="N92" s="77" t="str">
        <f aca="false">IF(OR($M92="",FX=""),"",$M92*FX)</f>
        <v/>
      </c>
      <c r="O92" s="78" t="str">
        <f aca="false">IF(NOT(OR($A92&lt;&gt;"",$E92&lt;&gt;"")),"",IF($J92="Cancelled","Cancelled",IF($E92="","Amount missing",IF(OR($J92="Settled",$E92-N($F92)-N($H92)&lt;=0.005),"Realised",IF(N($H92)&gt;0,"Part realised",IF(N($F92)&gt;0,"Advance received","On hand"))))))</f>
        <v/>
      </c>
      <c r="P92" s="79" t="str">
        <f aca="false">IF(AND($V92=1,ISNUMBER($B92)),AsAt-$B92,"")</f>
        <v/>
      </c>
      <c r="Q92" s="78" t="str">
        <f aca="false">IF($V92&lt;&gt;1,"",IF($P92="","No invoice date",IF($P92&lt;=30,"0–30 days",IF($P92&lt;=60,"31–60 days",IF($P92&lt;=90,"61–90 days","Over 90 days")))))</f>
        <v/>
      </c>
      <c r="R92" s="80" t="str">
        <f aca="false">IF($V92=1,ROW(),"")</f>
        <v/>
      </c>
      <c r="S92" s="80" t="str">
        <f aca="false">IF(OR($A92&lt;&gt;"",$E92&lt;&gt;""),IF(TRIM($D92)="","Buyer not noted",TRIM($D92)),"")</f>
        <v/>
      </c>
      <c r="T92" s="80" t="n">
        <f aca="false">IF(AND($V92=1,ISNUMBER($M92)),$M92,0)</f>
        <v>0</v>
      </c>
      <c r="U92" s="80" t="str">
        <f aca="false">IF($V92=1,IF(COUNTIFS($S$7:$S92,$S92,$V$7:$V92,1)=1,SUMIFS($T$7:$T$1006,$S$7:$S$1006,$S92)-ROW()/1000000000,""),"")</f>
        <v/>
      </c>
      <c r="V92" s="80" t="n">
        <f aca="false">IF(OR($O92="On hand",$O92="Advance received",$O92="Part realised",$O92="Amount missing"),1,0)</f>
        <v>0</v>
      </c>
      <c r="W92" s="80" t="str">
        <f aca="false">IF(AND($V92=1,N($F92)&gt;0),ROW(),"")</f>
        <v/>
      </c>
      <c r="X92" s="80" t="n">
        <f aca="false">IF(AND(OR($A92&lt;&gt;"",$E92&lt;&gt;""),$O92&lt;&gt;"Cancelled",ISNUMBER($E92),N($F92)+N($H92)&gt;$E92+0.005),1,0)</f>
        <v>0</v>
      </c>
      <c r="Y92" s="80" t="n">
        <f aca="false">IF(AND(OR($A92&lt;&gt;"",$E92&lt;&gt;""),OR($A92="",$E92="")),1,0)</f>
        <v>0</v>
      </c>
      <c r="Z92" s="80" t="n">
        <f aca="false">IF(AND($A92&lt;&gt;"",COUNTIF($A$7:$A$1006,$A92)&gt;1),1,0)</f>
        <v>0</v>
      </c>
    </row>
    <row r="93" customFormat="false" ht="15" hidden="false" customHeight="false" outlineLevel="0" collapsed="false">
      <c r="A93" s="71"/>
      <c r="B93" s="72"/>
      <c r="C93" s="73"/>
      <c r="D93" s="73"/>
      <c r="E93" s="74"/>
      <c r="F93" s="74"/>
      <c r="G93" s="72"/>
      <c r="H93" s="74"/>
      <c r="I93" s="72"/>
      <c r="J93" s="73"/>
      <c r="K93" s="73"/>
      <c r="L93" s="75" t="str">
        <f aca="false">IF(OR($A93&lt;&gt;"",$E93&lt;&gt;""),N($F93)+N($H93),"")</f>
        <v/>
      </c>
      <c r="M93" s="76" t="str">
        <f aca="false">IF(OR($O93="",$O93="Cancelled",$O93="Amount missing"),"",IF($O93="Realised",0,$E93-N($F93)-N($H93)))</f>
        <v/>
      </c>
      <c r="N93" s="77" t="str">
        <f aca="false">IF(OR($M93="",FX=""),"",$M93*FX)</f>
        <v/>
      </c>
      <c r="O93" s="78" t="str">
        <f aca="false">IF(NOT(OR($A93&lt;&gt;"",$E93&lt;&gt;"")),"",IF($J93="Cancelled","Cancelled",IF($E93="","Amount missing",IF(OR($J93="Settled",$E93-N($F93)-N($H93)&lt;=0.005),"Realised",IF(N($H93)&gt;0,"Part realised",IF(N($F93)&gt;0,"Advance received","On hand"))))))</f>
        <v/>
      </c>
      <c r="P93" s="79" t="str">
        <f aca="false">IF(AND($V93=1,ISNUMBER($B93)),AsAt-$B93,"")</f>
        <v/>
      </c>
      <c r="Q93" s="78" t="str">
        <f aca="false">IF($V93&lt;&gt;1,"",IF($P93="","No invoice date",IF($P93&lt;=30,"0–30 days",IF($P93&lt;=60,"31–60 days",IF($P93&lt;=90,"61–90 days","Over 90 days")))))</f>
        <v/>
      </c>
      <c r="R93" s="80" t="str">
        <f aca="false">IF($V93=1,ROW(),"")</f>
        <v/>
      </c>
      <c r="S93" s="80" t="str">
        <f aca="false">IF(OR($A93&lt;&gt;"",$E93&lt;&gt;""),IF(TRIM($D93)="","Buyer not noted",TRIM($D93)),"")</f>
        <v/>
      </c>
      <c r="T93" s="80" t="n">
        <f aca="false">IF(AND($V93=1,ISNUMBER($M93)),$M93,0)</f>
        <v>0</v>
      </c>
      <c r="U93" s="80" t="str">
        <f aca="false">IF($V93=1,IF(COUNTIFS($S$7:$S93,$S93,$V$7:$V93,1)=1,SUMIFS($T$7:$T$1006,$S$7:$S$1006,$S93)-ROW()/1000000000,""),"")</f>
        <v/>
      </c>
      <c r="V93" s="80" t="n">
        <f aca="false">IF(OR($O93="On hand",$O93="Advance received",$O93="Part realised",$O93="Amount missing"),1,0)</f>
        <v>0</v>
      </c>
      <c r="W93" s="80" t="str">
        <f aca="false">IF(AND($V93=1,N($F93)&gt;0),ROW(),"")</f>
        <v/>
      </c>
      <c r="X93" s="80" t="n">
        <f aca="false">IF(AND(OR($A93&lt;&gt;"",$E93&lt;&gt;""),$O93&lt;&gt;"Cancelled",ISNUMBER($E93),N($F93)+N($H93)&gt;$E93+0.005),1,0)</f>
        <v>0</v>
      </c>
      <c r="Y93" s="80" t="n">
        <f aca="false">IF(AND(OR($A93&lt;&gt;"",$E93&lt;&gt;""),OR($A93="",$E93="")),1,0)</f>
        <v>0</v>
      </c>
      <c r="Z93" s="80" t="n">
        <f aca="false">IF(AND($A93&lt;&gt;"",COUNTIF($A$7:$A$1006,$A93)&gt;1),1,0)</f>
        <v>0</v>
      </c>
    </row>
    <row r="94" customFormat="false" ht="15" hidden="false" customHeight="false" outlineLevel="0" collapsed="false">
      <c r="A94" s="71"/>
      <c r="B94" s="72"/>
      <c r="C94" s="73"/>
      <c r="D94" s="73"/>
      <c r="E94" s="74"/>
      <c r="F94" s="74"/>
      <c r="G94" s="72"/>
      <c r="H94" s="74"/>
      <c r="I94" s="72"/>
      <c r="J94" s="73"/>
      <c r="K94" s="73"/>
      <c r="L94" s="75" t="str">
        <f aca="false">IF(OR($A94&lt;&gt;"",$E94&lt;&gt;""),N($F94)+N($H94),"")</f>
        <v/>
      </c>
      <c r="M94" s="76" t="str">
        <f aca="false">IF(OR($O94="",$O94="Cancelled",$O94="Amount missing"),"",IF($O94="Realised",0,$E94-N($F94)-N($H94)))</f>
        <v/>
      </c>
      <c r="N94" s="77" t="str">
        <f aca="false">IF(OR($M94="",FX=""),"",$M94*FX)</f>
        <v/>
      </c>
      <c r="O94" s="78" t="str">
        <f aca="false">IF(NOT(OR($A94&lt;&gt;"",$E94&lt;&gt;"")),"",IF($J94="Cancelled","Cancelled",IF($E94="","Amount missing",IF(OR($J94="Settled",$E94-N($F94)-N($H94)&lt;=0.005),"Realised",IF(N($H94)&gt;0,"Part realised",IF(N($F94)&gt;0,"Advance received","On hand"))))))</f>
        <v/>
      </c>
      <c r="P94" s="79" t="str">
        <f aca="false">IF(AND($V94=1,ISNUMBER($B94)),AsAt-$B94,"")</f>
        <v/>
      </c>
      <c r="Q94" s="78" t="str">
        <f aca="false">IF($V94&lt;&gt;1,"",IF($P94="","No invoice date",IF($P94&lt;=30,"0–30 days",IF($P94&lt;=60,"31–60 days",IF($P94&lt;=90,"61–90 days","Over 90 days")))))</f>
        <v/>
      </c>
      <c r="R94" s="80" t="str">
        <f aca="false">IF($V94=1,ROW(),"")</f>
        <v/>
      </c>
      <c r="S94" s="80" t="str">
        <f aca="false">IF(OR($A94&lt;&gt;"",$E94&lt;&gt;""),IF(TRIM($D94)="","Buyer not noted",TRIM($D94)),"")</f>
        <v/>
      </c>
      <c r="T94" s="80" t="n">
        <f aca="false">IF(AND($V94=1,ISNUMBER($M94)),$M94,0)</f>
        <v>0</v>
      </c>
      <c r="U94" s="80" t="str">
        <f aca="false">IF($V94=1,IF(COUNTIFS($S$7:$S94,$S94,$V$7:$V94,1)=1,SUMIFS($T$7:$T$1006,$S$7:$S$1006,$S94)-ROW()/1000000000,""),"")</f>
        <v/>
      </c>
      <c r="V94" s="80" t="n">
        <f aca="false">IF(OR($O94="On hand",$O94="Advance received",$O94="Part realised",$O94="Amount missing"),1,0)</f>
        <v>0</v>
      </c>
      <c r="W94" s="80" t="str">
        <f aca="false">IF(AND($V94=1,N($F94)&gt;0),ROW(),"")</f>
        <v/>
      </c>
      <c r="X94" s="80" t="n">
        <f aca="false">IF(AND(OR($A94&lt;&gt;"",$E94&lt;&gt;""),$O94&lt;&gt;"Cancelled",ISNUMBER($E94),N($F94)+N($H94)&gt;$E94+0.005),1,0)</f>
        <v>0</v>
      </c>
      <c r="Y94" s="80" t="n">
        <f aca="false">IF(AND(OR($A94&lt;&gt;"",$E94&lt;&gt;""),OR($A94="",$E94="")),1,0)</f>
        <v>0</v>
      </c>
      <c r="Z94" s="80" t="n">
        <f aca="false">IF(AND($A94&lt;&gt;"",COUNTIF($A$7:$A$1006,$A94)&gt;1),1,0)</f>
        <v>0</v>
      </c>
    </row>
    <row r="95" customFormat="false" ht="15" hidden="false" customHeight="false" outlineLevel="0" collapsed="false">
      <c r="A95" s="71"/>
      <c r="B95" s="72"/>
      <c r="C95" s="73"/>
      <c r="D95" s="73"/>
      <c r="E95" s="74"/>
      <c r="F95" s="74"/>
      <c r="G95" s="72"/>
      <c r="H95" s="74"/>
      <c r="I95" s="72"/>
      <c r="J95" s="73"/>
      <c r="K95" s="73"/>
      <c r="L95" s="75" t="str">
        <f aca="false">IF(OR($A95&lt;&gt;"",$E95&lt;&gt;""),N($F95)+N($H95),"")</f>
        <v/>
      </c>
      <c r="M95" s="76" t="str">
        <f aca="false">IF(OR($O95="",$O95="Cancelled",$O95="Amount missing"),"",IF($O95="Realised",0,$E95-N($F95)-N($H95)))</f>
        <v/>
      </c>
      <c r="N95" s="77" t="str">
        <f aca="false">IF(OR($M95="",FX=""),"",$M95*FX)</f>
        <v/>
      </c>
      <c r="O95" s="78" t="str">
        <f aca="false">IF(NOT(OR($A95&lt;&gt;"",$E95&lt;&gt;"")),"",IF($J95="Cancelled","Cancelled",IF($E95="","Amount missing",IF(OR($J95="Settled",$E95-N($F95)-N($H95)&lt;=0.005),"Realised",IF(N($H95)&gt;0,"Part realised",IF(N($F95)&gt;0,"Advance received","On hand"))))))</f>
        <v/>
      </c>
      <c r="P95" s="79" t="str">
        <f aca="false">IF(AND($V95=1,ISNUMBER($B95)),AsAt-$B95,"")</f>
        <v/>
      </c>
      <c r="Q95" s="78" t="str">
        <f aca="false">IF($V95&lt;&gt;1,"",IF($P95="","No invoice date",IF($P95&lt;=30,"0–30 days",IF($P95&lt;=60,"31–60 days",IF($P95&lt;=90,"61–90 days","Over 90 days")))))</f>
        <v/>
      </c>
      <c r="R95" s="80" t="str">
        <f aca="false">IF($V95=1,ROW(),"")</f>
        <v/>
      </c>
      <c r="S95" s="80" t="str">
        <f aca="false">IF(OR($A95&lt;&gt;"",$E95&lt;&gt;""),IF(TRIM($D95)="","Buyer not noted",TRIM($D95)),"")</f>
        <v/>
      </c>
      <c r="T95" s="80" t="n">
        <f aca="false">IF(AND($V95=1,ISNUMBER($M95)),$M95,0)</f>
        <v>0</v>
      </c>
      <c r="U95" s="80" t="str">
        <f aca="false">IF($V95=1,IF(COUNTIFS($S$7:$S95,$S95,$V$7:$V95,1)=1,SUMIFS($T$7:$T$1006,$S$7:$S$1006,$S95)-ROW()/1000000000,""),"")</f>
        <v/>
      </c>
      <c r="V95" s="80" t="n">
        <f aca="false">IF(OR($O95="On hand",$O95="Advance received",$O95="Part realised",$O95="Amount missing"),1,0)</f>
        <v>0</v>
      </c>
      <c r="W95" s="80" t="str">
        <f aca="false">IF(AND($V95=1,N($F95)&gt;0),ROW(),"")</f>
        <v/>
      </c>
      <c r="X95" s="80" t="n">
        <f aca="false">IF(AND(OR($A95&lt;&gt;"",$E95&lt;&gt;""),$O95&lt;&gt;"Cancelled",ISNUMBER($E95),N($F95)+N($H95)&gt;$E95+0.005),1,0)</f>
        <v>0</v>
      </c>
      <c r="Y95" s="80" t="n">
        <f aca="false">IF(AND(OR($A95&lt;&gt;"",$E95&lt;&gt;""),OR($A95="",$E95="")),1,0)</f>
        <v>0</v>
      </c>
      <c r="Z95" s="80" t="n">
        <f aca="false">IF(AND($A95&lt;&gt;"",COUNTIF($A$7:$A$1006,$A95)&gt;1),1,0)</f>
        <v>0</v>
      </c>
    </row>
    <row r="96" customFormat="false" ht="15" hidden="false" customHeight="false" outlineLevel="0" collapsed="false">
      <c r="A96" s="71"/>
      <c r="B96" s="72"/>
      <c r="C96" s="73"/>
      <c r="D96" s="73"/>
      <c r="E96" s="74"/>
      <c r="F96" s="74"/>
      <c r="G96" s="72"/>
      <c r="H96" s="74"/>
      <c r="I96" s="72"/>
      <c r="J96" s="73"/>
      <c r="K96" s="73"/>
      <c r="L96" s="75" t="str">
        <f aca="false">IF(OR($A96&lt;&gt;"",$E96&lt;&gt;""),N($F96)+N($H96),"")</f>
        <v/>
      </c>
      <c r="M96" s="76" t="str">
        <f aca="false">IF(OR($O96="",$O96="Cancelled",$O96="Amount missing"),"",IF($O96="Realised",0,$E96-N($F96)-N($H96)))</f>
        <v/>
      </c>
      <c r="N96" s="77" t="str">
        <f aca="false">IF(OR($M96="",FX=""),"",$M96*FX)</f>
        <v/>
      </c>
      <c r="O96" s="78" t="str">
        <f aca="false">IF(NOT(OR($A96&lt;&gt;"",$E96&lt;&gt;"")),"",IF($J96="Cancelled","Cancelled",IF($E96="","Amount missing",IF(OR($J96="Settled",$E96-N($F96)-N($H96)&lt;=0.005),"Realised",IF(N($H96)&gt;0,"Part realised",IF(N($F96)&gt;0,"Advance received","On hand"))))))</f>
        <v/>
      </c>
      <c r="P96" s="79" t="str">
        <f aca="false">IF(AND($V96=1,ISNUMBER($B96)),AsAt-$B96,"")</f>
        <v/>
      </c>
      <c r="Q96" s="78" t="str">
        <f aca="false">IF($V96&lt;&gt;1,"",IF($P96="","No invoice date",IF($P96&lt;=30,"0–30 days",IF($P96&lt;=60,"31–60 days",IF($P96&lt;=90,"61–90 days","Over 90 days")))))</f>
        <v/>
      </c>
      <c r="R96" s="80" t="str">
        <f aca="false">IF($V96=1,ROW(),"")</f>
        <v/>
      </c>
      <c r="S96" s="80" t="str">
        <f aca="false">IF(OR($A96&lt;&gt;"",$E96&lt;&gt;""),IF(TRIM($D96)="","Buyer not noted",TRIM($D96)),"")</f>
        <v/>
      </c>
      <c r="T96" s="80" t="n">
        <f aca="false">IF(AND($V96=1,ISNUMBER($M96)),$M96,0)</f>
        <v>0</v>
      </c>
      <c r="U96" s="80" t="str">
        <f aca="false">IF($V96=1,IF(COUNTIFS($S$7:$S96,$S96,$V$7:$V96,1)=1,SUMIFS($T$7:$T$1006,$S$7:$S$1006,$S96)-ROW()/1000000000,""),"")</f>
        <v/>
      </c>
      <c r="V96" s="80" t="n">
        <f aca="false">IF(OR($O96="On hand",$O96="Advance received",$O96="Part realised",$O96="Amount missing"),1,0)</f>
        <v>0</v>
      </c>
      <c r="W96" s="80" t="str">
        <f aca="false">IF(AND($V96=1,N($F96)&gt;0),ROW(),"")</f>
        <v/>
      </c>
      <c r="X96" s="80" t="n">
        <f aca="false">IF(AND(OR($A96&lt;&gt;"",$E96&lt;&gt;""),$O96&lt;&gt;"Cancelled",ISNUMBER($E96),N($F96)+N($H96)&gt;$E96+0.005),1,0)</f>
        <v>0</v>
      </c>
      <c r="Y96" s="80" t="n">
        <f aca="false">IF(AND(OR($A96&lt;&gt;"",$E96&lt;&gt;""),OR($A96="",$E96="")),1,0)</f>
        <v>0</v>
      </c>
      <c r="Z96" s="80" t="n">
        <f aca="false">IF(AND($A96&lt;&gt;"",COUNTIF($A$7:$A$1006,$A96)&gt;1),1,0)</f>
        <v>0</v>
      </c>
    </row>
    <row r="97" customFormat="false" ht="15" hidden="false" customHeight="false" outlineLevel="0" collapsed="false">
      <c r="A97" s="71"/>
      <c r="B97" s="72"/>
      <c r="C97" s="73"/>
      <c r="D97" s="73"/>
      <c r="E97" s="74"/>
      <c r="F97" s="74"/>
      <c r="G97" s="72"/>
      <c r="H97" s="74"/>
      <c r="I97" s="72"/>
      <c r="J97" s="73"/>
      <c r="K97" s="73"/>
      <c r="L97" s="75" t="str">
        <f aca="false">IF(OR($A97&lt;&gt;"",$E97&lt;&gt;""),N($F97)+N($H97),"")</f>
        <v/>
      </c>
      <c r="M97" s="76" t="str">
        <f aca="false">IF(OR($O97="",$O97="Cancelled",$O97="Amount missing"),"",IF($O97="Realised",0,$E97-N($F97)-N($H97)))</f>
        <v/>
      </c>
      <c r="N97" s="77" t="str">
        <f aca="false">IF(OR($M97="",FX=""),"",$M97*FX)</f>
        <v/>
      </c>
      <c r="O97" s="78" t="str">
        <f aca="false">IF(NOT(OR($A97&lt;&gt;"",$E97&lt;&gt;"")),"",IF($J97="Cancelled","Cancelled",IF($E97="","Amount missing",IF(OR($J97="Settled",$E97-N($F97)-N($H97)&lt;=0.005),"Realised",IF(N($H97)&gt;0,"Part realised",IF(N($F97)&gt;0,"Advance received","On hand"))))))</f>
        <v/>
      </c>
      <c r="P97" s="79" t="str">
        <f aca="false">IF(AND($V97=1,ISNUMBER($B97)),AsAt-$B97,"")</f>
        <v/>
      </c>
      <c r="Q97" s="78" t="str">
        <f aca="false">IF($V97&lt;&gt;1,"",IF($P97="","No invoice date",IF($P97&lt;=30,"0–30 days",IF($P97&lt;=60,"31–60 days",IF($P97&lt;=90,"61–90 days","Over 90 days")))))</f>
        <v/>
      </c>
      <c r="R97" s="80" t="str">
        <f aca="false">IF($V97=1,ROW(),"")</f>
        <v/>
      </c>
      <c r="S97" s="80" t="str">
        <f aca="false">IF(OR($A97&lt;&gt;"",$E97&lt;&gt;""),IF(TRIM($D97)="","Buyer not noted",TRIM($D97)),"")</f>
        <v/>
      </c>
      <c r="T97" s="80" t="n">
        <f aca="false">IF(AND($V97=1,ISNUMBER($M97)),$M97,0)</f>
        <v>0</v>
      </c>
      <c r="U97" s="80" t="str">
        <f aca="false">IF($V97=1,IF(COUNTIFS($S$7:$S97,$S97,$V$7:$V97,1)=1,SUMIFS($T$7:$T$1006,$S$7:$S$1006,$S97)-ROW()/1000000000,""),"")</f>
        <v/>
      </c>
      <c r="V97" s="80" t="n">
        <f aca="false">IF(OR($O97="On hand",$O97="Advance received",$O97="Part realised",$O97="Amount missing"),1,0)</f>
        <v>0</v>
      </c>
      <c r="W97" s="80" t="str">
        <f aca="false">IF(AND($V97=1,N($F97)&gt;0),ROW(),"")</f>
        <v/>
      </c>
      <c r="X97" s="80" t="n">
        <f aca="false">IF(AND(OR($A97&lt;&gt;"",$E97&lt;&gt;""),$O97&lt;&gt;"Cancelled",ISNUMBER($E97),N($F97)+N($H97)&gt;$E97+0.005),1,0)</f>
        <v>0</v>
      </c>
      <c r="Y97" s="80" t="n">
        <f aca="false">IF(AND(OR($A97&lt;&gt;"",$E97&lt;&gt;""),OR($A97="",$E97="")),1,0)</f>
        <v>0</v>
      </c>
      <c r="Z97" s="80" t="n">
        <f aca="false">IF(AND($A97&lt;&gt;"",COUNTIF($A$7:$A$1006,$A97)&gt;1),1,0)</f>
        <v>0</v>
      </c>
    </row>
    <row r="98" customFormat="false" ht="15" hidden="false" customHeight="false" outlineLevel="0" collapsed="false">
      <c r="A98" s="71"/>
      <c r="B98" s="72"/>
      <c r="C98" s="73"/>
      <c r="D98" s="73"/>
      <c r="E98" s="74"/>
      <c r="F98" s="74"/>
      <c r="G98" s="72"/>
      <c r="H98" s="74"/>
      <c r="I98" s="72"/>
      <c r="J98" s="73"/>
      <c r="K98" s="73"/>
      <c r="L98" s="75" t="str">
        <f aca="false">IF(OR($A98&lt;&gt;"",$E98&lt;&gt;""),N($F98)+N($H98),"")</f>
        <v/>
      </c>
      <c r="M98" s="76" t="str">
        <f aca="false">IF(OR($O98="",$O98="Cancelled",$O98="Amount missing"),"",IF($O98="Realised",0,$E98-N($F98)-N($H98)))</f>
        <v/>
      </c>
      <c r="N98" s="77" t="str">
        <f aca="false">IF(OR($M98="",FX=""),"",$M98*FX)</f>
        <v/>
      </c>
      <c r="O98" s="78" t="str">
        <f aca="false">IF(NOT(OR($A98&lt;&gt;"",$E98&lt;&gt;"")),"",IF($J98="Cancelled","Cancelled",IF($E98="","Amount missing",IF(OR($J98="Settled",$E98-N($F98)-N($H98)&lt;=0.005),"Realised",IF(N($H98)&gt;0,"Part realised",IF(N($F98)&gt;0,"Advance received","On hand"))))))</f>
        <v/>
      </c>
      <c r="P98" s="79" t="str">
        <f aca="false">IF(AND($V98=1,ISNUMBER($B98)),AsAt-$B98,"")</f>
        <v/>
      </c>
      <c r="Q98" s="78" t="str">
        <f aca="false">IF($V98&lt;&gt;1,"",IF($P98="","No invoice date",IF($P98&lt;=30,"0–30 days",IF($P98&lt;=60,"31–60 days",IF($P98&lt;=90,"61–90 days","Over 90 days")))))</f>
        <v/>
      </c>
      <c r="R98" s="80" t="str">
        <f aca="false">IF($V98=1,ROW(),"")</f>
        <v/>
      </c>
      <c r="S98" s="80" t="str">
        <f aca="false">IF(OR($A98&lt;&gt;"",$E98&lt;&gt;""),IF(TRIM($D98)="","Buyer not noted",TRIM($D98)),"")</f>
        <v/>
      </c>
      <c r="T98" s="80" t="n">
        <f aca="false">IF(AND($V98=1,ISNUMBER($M98)),$M98,0)</f>
        <v>0</v>
      </c>
      <c r="U98" s="80" t="str">
        <f aca="false">IF($V98=1,IF(COUNTIFS($S$7:$S98,$S98,$V$7:$V98,1)=1,SUMIFS($T$7:$T$1006,$S$7:$S$1006,$S98)-ROW()/1000000000,""),"")</f>
        <v/>
      </c>
      <c r="V98" s="80" t="n">
        <f aca="false">IF(OR($O98="On hand",$O98="Advance received",$O98="Part realised",$O98="Amount missing"),1,0)</f>
        <v>0</v>
      </c>
      <c r="W98" s="80" t="str">
        <f aca="false">IF(AND($V98=1,N($F98)&gt;0),ROW(),"")</f>
        <v/>
      </c>
      <c r="X98" s="80" t="n">
        <f aca="false">IF(AND(OR($A98&lt;&gt;"",$E98&lt;&gt;""),$O98&lt;&gt;"Cancelled",ISNUMBER($E98),N($F98)+N($H98)&gt;$E98+0.005),1,0)</f>
        <v>0</v>
      </c>
      <c r="Y98" s="80" t="n">
        <f aca="false">IF(AND(OR($A98&lt;&gt;"",$E98&lt;&gt;""),OR($A98="",$E98="")),1,0)</f>
        <v>0</v>
      </c>
      <c r="Z98" s="80" t="n">
        <f aca="false">IF(AND($A98&lt;&gt;"",COUNTIF($A$7:$A$1006,$A98)&gt;1),1,0)</f>
        <v>0</v>
      </c>
    </row>
    <row r="99" customFormat="false" ht="15" hidden="false" customHeight="false" outlineLevel="0" collapsed="false">
      <c r="A99" s="71"/>
      <c r="B99" s="72"/>
      <c r="C99" s="73"/>
      <c r="D99" s="73"/>
      <c r="E99" s="74"/>
      <c r="F99" s="74"/>
      <c r="G99" s="72"/>
      <c r="H99" s="74"/>
      <c r="I99" s="72"/>
      <c r="J99" s="73"/>
      <c r="K99" s="73"/>
      <c r="L99" s="75" t="str">
        <f aca="false">IF(OR($A99&lt;&gt;"",$E99&lt;&gt;""),N($F99)+N($H99),"")</f>
        <v/>
      </c>
      <c r="M99" s="76" t="str">
        <f aca="false">IF(OR($O99="",$O99="Cancelled",$O99="Amount missing"),"",IF($O99="Realised",0,$E99-N($F99)-N($H99)))</f>
        <v/>
      </c>
      <c r="N99" s="77" t="str">
        <f aca="false">IF(OR($M99="",FX=""),"",$M99*FX)</f>
        <v/>
      </c>
      <c r="O99" s="78" t="str">
        <f aca="false">IF(NOT(OR($A99&lt;&gt;"",$E99&lt;&gt;"")),"",IF($J99="Cancelled","Cancelled",IF($E99="","Amount missing",IF(OR($J99="Settled",$E99-N($F99)-N($H99)&lt;=0.005),"Realised",IF(N($H99)&gt;0,"Part realised",IF(N($F99)&gt;0,"Advance received","On hand"))))))</f>
        <v/>
      </c>
      <c r="P99" s="79" t="str">
        <f aca="false">IF(AND($V99=1,ISNUMBER($B99)),AsAt-$B99,"")</f>
        <v/>
      </c>
      <c r="Q99" s="78" t="str">
        <f aca="false">IF($V99&lt;&gt;1,"",IF($P99="","No invoice date",IF($P99&lt;=30,"0–30 days",IF($P99&lt;=60,"31–60 days",IF($P99&lt;=90,"61–90 days","Over 90 days")))))</f>
        <v/>
      </c>
      <c r="R99" s="80" t="str">
        <f aca="false">IF($V99=1,ROW(),"")</f>
        <v/>
      </c>
      <c r="S99" s="80" t="str">
        <f aca="false">IF(OR($A99&lt;&gt;"",$E99&lt;&gt;""),IF(TRIM($D99)="","Buyer not noted",TRIM($D99)),"")</f>
        <v/>
      </c>
      <c r="T99" s="80" t="n">
        <f aca="false">IF(AND($V99=1,ISNUMBER($M99)),$M99,0)</f>
        <v>0</v>
      </c>
      <c r="U99" s="80" t="str">
        <f aca="false">IF($V99=1,IF(COUNTIFS($S$7:$S99,$S99,$V$7:$V99,1)=1,SUMIFS($T$7:$T$1006,$S$7:$S$1006,$S99)-ROW()/1000000000,""),"")</f>
        <v/>
      </c>
      <c r="V99" s="80" t="n">
        <f aca="false">IF(OR($O99="On hand",$O99="Advance received",$O99="Part realised",$O99="Amount missing"),1,0)</f>
        <v>0</v>
      </c>
      <c r="W99" s="80" t="str">
        <f aca="false">IF(AND($V99=1,N($F99)&gt;0),ROW(),"")</f>
        <v/>
      </c>
      <c r="X99" s="80" t="n">
        <f aca="false">IF(AND(OR($A99&lt;&gt;"",$E99&lt;&gt;""),$O99&lt;&gt;"Cancelled",ISNUMBER($E99),N($F99)+N($H99)&gt;$E99+0.005),1,0)</f>
        <v>0</v>
      </c>
      <c r="Y99" s="80" t="n">
        <f aca="false">IF(AND(OR($A99&lt;&gt;"",$E99&lt;&gt;""),OR($A99="",$E99="")),1,0)</f>
        <v>0</v>
      </c>
      <c r="Z99" s="80" t="n">
        <f aca="false">IF(AND($A99&lt;&gt;"",COUNTIF($A$7:$A$1006,$A99)&gt;1),1,0)</f>
        <v>0</v>
      </c>
    </row>
    <row r="100" customFormat="false" ht="15" hidden="false" customHeight="false" outlineLevel="0" collapsed="false">
      <c r="A100" s="71"/>
      <c r="B100" s="72"/>
      <c r="C100" s="73"/>
      <c r="D100" s="73"/>
      <c r="E100" s="74"/>
      <c r="F100" s="74"/>
      <c r="G100" s="72"/>
      <c r="H100" s="74"/>
      <c r="I100" s="72"/>
      <c r="J100" s="73"/>
      <c r="K100" s="73"/>
      <c r="L100" s="75" t="str">
        <f aca="false">IF(OR($A100&lt;&gt;"",$E100&lt;&gt;""),N($F100)+N($H100),"")</f>
        <v/>
      </c>
      <c r="M100" s="76" t="str">
        <f aca="false">IF(OR($O100="",$O100="Cancelled",$O100="Amount missing"),"",IF($O100="Realised",0,$E100-N($F100)-N($H100)))</f>
        <v/>
      </c>
      <c r="N100" s="77" t="str">
        <f aca="false">IF(OR($M100="",FX=""),"",$M100*FX)</f>
        <v/>
      </c>
      <c r="O100" s="78" t="str">
        <f aca="false">IF(NOT(OR($A100&lt;&gt;"",$E100&lt;&gt;"")),"",IF($J100="Cancelled","Cancelled",IF($E100="","Amount missing",IF(OR($J100="Settled",$E100-N($F100)-N($H100)&lt;=0.005),"Realised",IF(N($H100)&gt;0,"Part realised",IF(N($F100)&gt;0,"Advance received","On hand"))))))</f>
        <v/>
      </c>
      <c r="P100" s="79" t="str">
        <f aca="false">IF(AND($V100=1,ISNUMBER($B100)),AsAt-$B100,"")</f>
        <v/>
      </c>
      <c r="Q100" s="78" t="str">
        <f aca="false">IF($V100&lt;&gt;1,"",IF($P100="","No invoice date",IF($P100&lt;=30,"0–30 days",IF($P100&lt;=60,"31–60 days",IF($P100&lt;=90,"61–90 days","Over 90 days")))))</f>
        <v/>
      </c>
      <c r="R100" s="80" t="str">
        <f aca="false">IF($V100=1,ROW(),"")</f>
        <v/>
      </c>
      <c r="S100" s="80" t="str">
        <f aca="false">IF(OR($A100&lt;&gt;"",$E100&lt;&gt;""),IF(TRIM($D100)="","Buyer not noted",TRIM($D100)),"")</f>
        <v/>
      </c>
      <c r="T100" s="80" t="n">
        <f aca="false">IF(AND($V100=1,ISNUMBER($M100)),$M100,0)</f>
        <v>0</v>
      </c>
      <c r="U100" s="80" t="str">
        <f aca="false">IF($V100=1,IF(COUNTIFS($S$7:$S100,$S100,$V$7:$V100,1)=1,SUMIFS($T$7:$T$1006,$S$7:$S$1006,$S100)-ROW()/1000000000,""),"")</f>
        <v/>
      </c>
      <c r="V100" s="80" t="n">
        <f aca="false">IF(OR($O100="On hand",$O100="Advance received",$O100="Part realised",$O100="Amount missing"),1,0)</f>
        <v>0</v>
      </c>
      <c r="W100" s="80" t="str">
        <f aca="false">IF(AND($V100=1,N($F100)&gt;0),ROW(),"")</f>
        <v/>
      </c>
      <c r="X100" s="80" t="n">
        <f aca="false">IF(AND(OR($A100&lt;&gt;"",$E100&lt;&gt;""),$O100&lt;&gt;"Cancelled",ISNUMBER($E100),N($F100)+N($H100)&gt;$E100+0.005),1,0)</f>
        <v>0</v>
      </c>
      <c r="Y100" s="80" t="n">
        <f aca="false">IF(AND(OR($A100&lt;&gt;"",$E100&lt;&gt;""),OR($A100="",$E100="")),1,0)</f>
        <v>0</v>
      </c>
      <c r="Z100" s="80" t="n">
        <f aca="false">IF(AND($A100&lt;&gt;"",COUNTIF($A$7:$A$1006,$A100)&gt;1),1,0)</f>
        <v>0</v>
      </c>
    </row>
    <row r="101" customFormat="false" ht="15" hidden="false" customHeight="false" outlineLevel="0" collapsed="false">
      <c r="A101" s="71"/>
      <c r="B101" s="72"/>
      <c r="C101" s="73"/>
      <c r="D101" s="73"/>
      <c r="E101" s="74"/>
      <c r="F101" s="74"/>
      <c r="G101" s="72"/>
      <c r="H101" s="74"/>
      <c r="I101" s="72"/>
      <c r="J101" s="73"/>
      <c r="K101" s="73"/>
      <c r="L101" s="75" t="str">
        <f aca="false">IF(OR($A101&lt;&gt;"",$E101&lt;&gt;""),N($F101)+N($H101),"")</f>
        <v/>
      </c>
      <c r="M101" s="76" t="str">
        <f aca="false">IF(OR($O101="",$O101="Cancelled",$O101="Amount missing"),"",IF($O101="Realised",0,$E101-N($F101)-N($H101)))</f>
        <v/>
      </c>
      <c r="N101" s="77" t="str">
        <f aca="false">IF(OR($M101="",FX=""),"",$M101*FX)</f>
        <v/>
      </c>
      <c r="O101" s="78" t="str">
        <f aca="false">IF(NOT(OR($A101&lt;&gt;"",$E101&lt;&gt;"")),"",IF($J101="Cancelled","Cancelled",IF($E101="","Amount missing",IF(OR($J101="Settled",$E101-N($F101)-N($H101)&lt;=0.005),"Realised",IF(N($H101)&gt;0,"Part realised",IF(N($F101)&gt;0,"Advance received","On hand"))))))</f>
        <v/>
      </c>
      <c r="P101" s="79" t="str">
        <f aca="false">IF(AND($V101=1,ISNUMBER($B101)),AsAt-$B101,"")</f>
        <v/>
      </c>
      <c r="Q101" s="78" t="str">
        <f aca="false">IF($V101&lt;&gt;1,"",IF($P101="","No invoice date",IF($P101&lt;=30,"0–30 days",IF($P101&lt;=60,"31–60 days",IF($P101&lt;=90,"61–90 days","Over 90 days")))))</f>
        <v/>
      </c>
      <c r="R101" s="80" t="str">
        <f aca="false">IF($V101=1,ROW(),"")</f>
        <v/>
      </c>
      <c r="S101" s="80" t="str">
        <f aca="false">IF(OR($A101&lt;&gt;"",$E101&lt;&gt;""),IF(TRIM($D101)="","Buyer not noted",TRIM($D101)),"")</f>
        <v/>
      </c>
      <c r="T101" s="80" t="n">
        <f aca="false">IF(AND($V101=1,ISNUMBER($M101)),$M101,0)</f>
        <v>0</v>
      </c>
      <c r="U101" s="80" t="str">
        <f aca="false">IF($V101=1,IF(COUNTIFS($S$7:$S101,$S101,$V$7:$V101,1)=1,SUMIFS($T$7:$T$1006,$S$7:$S$1006,$S101)-ROW()/1000000000,""),"")</f>
        <v/>
      </c>
      <c r="V101" s="80" t="n">
        <f aca="false">IF(OR($O101="On hand",$O101="Advance received",$O101="Part realised",$O101="Amount missing"),1,0)</f>
        <v>0</v>
      </c>
      <c r="W101" s="80" t="str">
        <f aca="false">IF(AND($V101=1,N($F101)&gt;0),ROW(),"")</f>
        <v/>
      </c>
      <c r="X101" s="80" t="n">
        <f aca="false">IF(AND(OR($A101&lt;&gt;"",$E101&lt;&gt;""),$O101&lt;&gt;"Cancelled",ISNUMBER($E101),N($F101)+N($H101)&gt;$E101+0.005),1,0)</f>
        <v>0</v>
      </c>
      <c r="Y101" s="80" t="n">
        <f aca="false">IF(AND(OR($A101&lt;&gt;"",$E101&lt;&gt;""),OR($A101="",$E101="")),1,0)</f>
        <v>0</v>
      </c>
      <c r="Z101" s="80" t="n">
        <f aca="false">IF(AND($A101&lt;&gt;"",COUNTIF($A$7:$A$1006,$A101)&gt;1),1,0)</f>
        <v>0</v>
      </c>
    </row>
    <row r="102" customFormat="false" ht="15" hidden="false" customHeight="false" outlineLevel="0" collapsed="false">
      <c r="A102" s="71"/>
      <c r="B102" s="72"/>
      <c r="C102" s="73"/>
      <c r="D102" s="73"/>
      <c r="E102" s="74"/>
      <c r="F102" s="74"/>
      <c r="G102" s="72"/>
      <c r="H102" s="74"/>
      <c r="I102" s="72"/>
      <c r="J102" s="73"/>
      <c r="K102" s="73"/>
      <c r="L102" s="75" t="str">
        <f aca="false">IF(OR($A102&lt;&gt;"",$E102&lt;&gt;""),N($F102)+N($H102),"")</f>
        <v/>
      </c>
      <c r="M102" s="76" t="str">
        <f aca="false">IF(OR($O102="",$O102="Cancelled",$O102="Amount missing"),"",IF($O102="Realised",0,$E102-N($F102)-N($H102)))</f>
        <v/>
      </c>
      <c r="N102" s="77" t="str">
        <f aca="false">IF(OR($M102="",FX=""),"",$M102*FX)</f>
        <v/>
      </c>
      <c r="O102" s="78" t="str">
        <f aca="false">IF(NOT(OR($A102&lt;&gt;"",$E102&lt;&gt;"")),"",IF($J102="Cancelled","Cancelled",IF($E102="","Amount missing",IF(OR($J102="Settled",$E102-N($F102)-N($H102)&lt;=0.005),"Realised",IF(N($H102)&gt;0,"Part realised",IF(N($F102)&gt;0,"Advance received","On hand"))))))</f>
        <v/>
      </c>
      <c r="P102" s="79" t="str">
        <f aca="false">IF(AND($V102=1,ISNUMBER($B102)),AsAt-$B102,"")</f>
        <v/>
      </c>
      <c r="Q102" s="78" t="str">
        <f aca="false">IF($V102&lt;&gt;1,"",IF($P102="","No invoice date",IF($P102&lt;=30,"0–30 days",IF($P102&lt;=60,"31–60 days",IF($P102&lt;=90,"61–90 days","Over 90 days")))))</f>
        <v/>
      </c>
      <c r="R102" s="80" t="str">
        <f aca="false">IF($V102=1,ROW(),"")</f>
        <v/>
      </c>
      <c r="S102" s="80" t="str">
        <f aca="false">IF(OR($A102&lt;&gt;"",$E102&lt;&gt;""),IF(TRIM($D102)="","Buyer not noted",TRIM($D102)),"")</f>
        <v/>
      </c>
      <c r="T102" s="80" t="n">
        <f aca="false">IF(AND($V102=1,ISNUMBER($M102)),$M102,0)</f>
        <v>0</v>
      </c>
      <c r="U102" s="80" t="str">
        <f aca="false">IF($V102=1,IF(COUNTIFS($S$7:$S102,$S102,$V$7:$V102,1)=1,SUMIFS($T$7:$T$1006,$S$7:$S$1006,$S102)-ROW()/1000000000,""),"")</f>
        <v/>
      </c>
      <c r="V102" s="80" t="n">
        <f aca="false">IF(OR($O102="On hand",$O102="Advance received",$O102="Part realised",$O102="Amount missing"),1,0)</f>
        <v>0</v>
      </c>
      <c r="W102" s="80" t="str">
        <f aca="false">IF(AND($V102=1,N($F102)&gt;0),ROW(),"")</f>
        <v/>
      </c>
      <c r="X102" s="80" t="n">
        <f aca="false">IF(AND(OR($A102&lt;&gt;"",$E102&lt;&gt;""),$O102&lt;&gt;"Cancelled",ISNUMBER($E102),N($F102)+N($H102)&gt;$E102+0.005),1,0)</f>
        <v>0</v>
      </c>
      <c r="Y102" s="80" t="n">
        <f aca="false">IF(AND(OR($A102&lt;&gt;"",$E102&lt;&gt;""),OR($A102="",$E102="")),1,0)</f>
        <v>0</v>
      </c>
      <c r="Z102" s="80" t="n">
        <f aca="false">IF(AND($A102&lt;&gt;"",COUNTIF($A$7:$A$1006,$A102)&gt;1),1,0)</f>
        <v>0</v>
      </c>
    </row>
    <row r="103" customFormat="false" ht="15" hidden="false" customHeight="false" outlineLevel="0" collapsed="false">
      <c r="A103" s="71"/>
      <c r="B103" s="72"/>
      <c r="C103" s="73"/>
      <c r="D103" s="73"/>
      <c r="E103" s="74"/>
      <c r="F103" s="74"/>
      <c r="G103" s="72"/>
      <c r="H103" s="74"/>
      <c r="I103" s="72"/>
      <c r="J103" s="73"/>
      <c r="K103" s="73"/>
      <c r="L103" s="75" t="str">
        <f aca="false">IF(OR($A103&lt;&gt;"",$E103&lt;&gt;""),N($F103)+N($H103),"")</f>
        <v/>
      </c>
      <c r="M103" s="76" t="str">
        <f aca="false">IF(OR($O103="",$O103="Cancelled",$O103="Amount missing"),"",IF($O103="Realised",0,$E103-N($F103)-N($H103)))</f>
        <v/>
      </c>
      <c r="N103" s="77" t="str">
        <f aca="false">IF(OR($M103="",FX=""),"",$M103*FX)</f>
        <v/>
      </c>
      <c r="O103" s="78" t="str">
        <f aca="false">IF(NOT(OR($A103&lt;&gt;"",$E103&lt;&gt;"")),"",IF($J103="Cancelled","Cancelled",IF($E103="","Amount missing",IF(OR($J103="Settled",$E103-N($F103)-N($H103)&lt;=0.005),"Realised",IF(N($H103)&gt;0,"Part realised",IF(N($F103)&gt;0,"Advance received","On hand"))))))</f>
        <v/>
      </c>
      <c r="P103" s="79" t="str">
        <f aca="false">IF(AND($V103=1,ISNUMBER($B103)),AsAt-$B103,"")</f>
        <v/>
      </c>
      <c r="Q103" s="78" t="str">
        <f aca="false">IF($V103&lt;&gt;1,"",IF($P103="","No invoice date",IF($P103&lt;=30,"0–30 days",IF($P103&lt;=60,"31–60 days",IF($P103&lt;=90,"61–90 days","Over 90 days")))))</f>
        <v/>
      </c>
      <c r="R103" s="80" t="str">
        <f aca="false">IF($V103=1,ROW(),"")</f>
        <v/>
      </c>
      <c r="S103" s="80" t="str">
        <f aca="false">IF(OR($A103&lt;&gt;"",$E103&lt;&gt;""),IF(TRIM($D103)="","Buyer not noted",TRIM($D103)),"")</f>
        <v/>
      </c>
      <c r="T103" s="80" t="n">
        <f aca="false">IF(AND($V103=1,ISNUMBER($M103)),$M103,0)</f>
        <v>0</v>
      </c>
      <c r="U103" s="80" t="str">
        <f aca="false">IF($V103=1,IF(COUNTIFS($S$7:$S103,$S103,$V$7:$V103,1)=1,SUMIFS($T$7:$T$1006,$S$7:$S$1006,$S103)-ROW()/1000000000,""),"")</f>
        <v/>
      </c>
      <c r="V103" s="80" t="n">
        <f aca="false">IF(OR($O103="On hand",$O103="Advance received",$O103="Part realised",$O103="Amount missing"),1,0)</f>
        <v>0</v>
      </c>
      <c r="W103" s="80" t="str">
        <f aca="false">IF(AND($V103=1,N($F103)&gt;0),ROW(),"")</f>
        <v/>
      </c>
      <c r="X103" s="80" t="n">
        <f aca="false">IF(AND(OR($A103&lt;&gt;"",$E103&lt;&gt;""),$O103&lt;&gt;"Cancelled",ISNUMBER($E103),N($F103)+N($H103)&gt;$E103+0.005),1,0)</f>
        <v>0</v>
      </c>
      <c r="Y103" s="80" t="n">
        <f aca="false">IF(AND(OR($A103&lt;&gt;"",$E103&lt;&gt;""),OR($A103="",$E103="")),1,0)</f>
        <v>0</v>
      </c>
      <c r="Z103" s="80" t="n">
        <f aca="false">IF(AND($A103&lt;&gt;"",COUNTIF($A$7:$A$1006,$A103)&gt;1),1,0)</f>
        <v>0</v>
      </c>
    </row>
    <row r="104" customFormat="false" ht="15" hidden="false" customHeight="false" outlineLevel="0" collapsed="false">
      <c r="A104" s="71"/>
      <c r="B104" s="72"/>
      <c r="C104" s="73"/>
      <c r="D104" s="73"/>
      <c r="E104" s="74"/>
      <c r="F104" s="74"/>
      <c r="G104" s="72"/>
      <c r="H104" s="74"/>
      <c r="I104" s="72"/>
      <c r="J104" s="73"/>
      <c r="K104" s="73"/>
      <c r="L104" s="75" t="str">
        <f aca="false">IF(OR($A104&lt;&gt;"",$E104&lt;&gt;""),N($F104)+N($H104),"")</f>
        <v/>
      </c>
      <c r="M104" s="76" t="str">
        <f aca="false">IF(OR($O104="",$O104="Cancelled",$O104="Amount missing"),"",IF($O104="Realised",0,$E104-N($F104)-N($H104)))</f>
        <v/>
      </c>
      <c r="N104" s="77" t="str">
        <f aca="false">IF(OR($M104="",FX=""),"",$M104*FX)</f>
        <v/>
      </c>
      <c r="O104" s="78" t="str">
        <f aca="false">IF(NOT(OR($A104&lt;&gt;"",$E104&lt;&gt;"")),"",IF($J104="Cancelled","Cancelled",IF($E104="","Amount missing",IF(OR($J104="Settled",$E104-N($F104)-N($H104)&lt;=0.005),"Realised",IF(N($H104)&gt;0,"Part realised",IF(N($F104)&gt;0,"Advance received","On hand"))))))</f>
        <v/>
      </c>
      <c r="P104" s="79" t="str">
        <f aca="false">IF(AND($V104=1,ISNUMBER($B104)),AsAt-$B104,"")</f>
        <v/>
      </c>
      <c r="Q104" s="78" t="str">
        <f aca="false">IF($V104&lt;&gt;1,"",IF($P104="","No invoice date",IF($P104&lt;=30,"0–30 days",IF($P104&lt;=60,"31–60 days",IF($P104&lt;=90,"61–90 days","Over 90 days")))))</f>
        <v/>
      </c>
      <c r="R104" s="80" t="str">
        <f aca="false">IF($V104=1,ROW(),"")</f>
        <v/>
      </c>
      <c r="S104" s="80" t="str">
        <f aca="false">IF(OR($A104&lt;&gt;"",$E104&lt;&gt;""),IF(TRIM($D104)="","Buyer not noted",TRIM($D104)),"")</f>
        <v/>
      </c>
      <c r="T104" s="80" t="n">
        <f aca="false">IF(AND($V104=1,ISNUMBER($M104)),$M104,0)</f>
        <v>0</v>
      </c>
      <c r="U104" s="80" t="str">
        <f aca="false">IF($V104=1,IF(COUNTIFS($S$7:$S104,$S104,$V$7:$V104,1)=1,SUMIFS($T$7:$T$1006,$S$7:$S$1006,$S104)-ROW()/1000000000,""),"")</f>
        <v/>
      </c>
      <c r="V104" s="80" t="n">
        <f aca="false">IF(OR($O104="On hand",$O104="Advance received",$O104="Part realised",$O104="Amount missing"),1,0)</f>
        <v>0</v>
      </c>
      <c r="W104" s="80" t="str">
        <f aca="false">IF(AND($V104=1,N($F104)&gt;0),ROW(),"")</f>
        <v/>
      </c>
      <c r="X104" s="80" t="n">
        <f aca="false">IF(AND(OR($A104&lt;&gt;"",$E104&lt;&gt;""),$O104&lt;&gt;"Cancelled",ISNUMBER($E104),N($F104)+N($H104)&gt;$E104+0.005),1,0)</f>
        <v>0</v>
      </c>
      <c r="Y104" s="80" t="n">
        <f aca="false">IF(AND(OR($A104&lt;&gt;"",$E104&lt;&gt;""),OR($A104="",$E104="")),1,0)</f>
        <v>0</v>
      </c>
      <c r="Z104" s="80" t="n">
        <f aca="false">IF(AND($A104&lt;&gt;"",COUNTIF($A$7:$A$1006,$A104)&gt;1),1,0)</f>
        <v>0</v>
      </c>
    </row>
    <row r="105" customFormat="false" ht="15" hidden="false" customHeight="false" outlineLevel="0" collapsed="false">
      <c r="A105" s="71"/>
      <c r="B105" s="72"/>
      <c r="C105" s="73"/>
      <c r="D105" s="73"/>
      <c r="E105" s="74"/>
      <c r="F105" s="74"/>
      <c r="G105" s="72"/>
      <c r="H105" s="74"/>
      <c r="I105" s="72"/>
      <c r="J105" s="73"/>
      <c r="K105" s="73"/>
      <c r="L105" s="75" t="str">
        <f aca="false">IF(OR($A105&lt;&gt;"",$E105&lt;&gt;""),N($F105)+N($H105),"")</f>
        <v/>
      </c>
      <c r="M105" s="76" t="str">
        <f aca="false">IF(OR($O105="",$O105="Cancelled",$O105="Amount missing"),"",IF($O105="Realised",0,$E105-N($F105)-N($H105)))</f>
        <v/>
      </c>
      <c r="N105" s="77" t="str">
        <f aca="false">IF(OR($M105="",FX=""),"",$M105*FX)</f>
        <v/>
      </c>
      <c r="O105" s="78" t="str">
        <f aca="false">IF(NOT(OR($A105&lt;&gt;"",$E105&lt;&gt;"")),"",IF($J105="Cancelled","Cancelled",IF($E105="","Amount missing",IF(OR($J105="Settled",$E105-N($F105)-N($H105)&lt;=0.005),"Realised",IF(N($H105)&gt;0,"Part realised",IF(N($F105)&gt;0,"Advance received","On hand"))))))</f>
        <v/>
      </c>
      <c r="P105" s="79" t="str">
        <f aca="false">IF(AND($V105=1,ISNUMBER($B105)),AsAt-$B105,"")</f>
        <v/>
      </c>
      <c r="Q105" s="78" t="str">
        <f aca="false">IF($V105&lt;&gt;1,"",IF($P105="","No invoice date",IF($P105&lt;=30,"0–30 days",IF($P105&lt;=60,"31–60 days",IF($P105&lt;=90,"61–90 days","Over 90 days")))))</f>
        <v/>
      </c>
      <c r="R105" s="80" t="str">
        <f aca="false">IF($V105=1,ROW(),"")</f>
        <v/>
      </c>
      <c r="S105" s="80" t="str">
        <f aca="false">IF(OR($A105&lt;&gt;"",$E105&lt;&gt;""),IF(TRIM($D105)="","Buyer not noted",TRIM($D105)),"")</f>
        <v/>
      </c>
      <c r="T105" s="80" t="n">
        <f aca="false">IF(AND($V105=1,ISNUMBER($M105)),$M105,0)</f>
        <v>0</v>
      </c>
      <c r="U105" s="80" t="str">
        <f aca="false">IF($V105=1,IF(COUNTIFS($S$7:$S105,$S105,$V$7:$V105,1)=1,SUMIFS($T$7:$T$1006,$S$7:$S$1006,$S105)-ROW()/1000000000,""),"")</f>
        <v/>
      </c>
      <c r="V105" s="80" t="n">
        <f aca="false">IF(OR($O105="On hand",$O105="Advance received",$O105="Part realised",$O105="Amount missing"),1,0)</f>
        <v>0</v>
      </c>
      <c r="W105" s="80" t="str">
        <f aca="false">IF(AND($V105=1,N($F105)&gt;0),ROW(),"")</f>
        <v/>
      </c>
      <c r="X105" s="80" t="n">
        <f aca="false">IF(AND(OR($A105&lt;&gt;"",$E105&lt;&gt;""),$O105&lt;&gt;"Cancelled",ISNUMBER($E105),N($F105)+N($H105)&gt;$E105+0.005),1,0)</f>
        <v>0</v>
      </c>
      <c r="Y105" s="80" t="n">
        <f aca="false">IF(AND(OR($A105&lt;&gt;"",$E105&lt;&gt;""),OR($A105="",$E105="")),1,0)</f>
        <v>0</v>
      </c>
      <c r="Z105" s="80" t="n">
        <f aca="false">IF(AND($A105&lt;&gt;"",COUNTIF($A$7:$A$1006,$A105)&gt;1),1,0)</f>
        <v>0</v>
      </c>
    </row>
    <row r="106" customFormat="false" ht="15" hidden="false" customHeight="false" outlineLevel="0" collapsed="false">
      <c r="A106" s="71"/>
      <c r="B106" s="72"/>
      <c r="C106" s="73"/>
      <c r="D106" s="73"/>
      <c r="E106" s="74"/>
      <c r="F106" s="74"/>
      <c r="G106" s="72"/>
      <c r="H106" s="74"/>
      <c r="I106" s="72"/>
      <c r="J106" s="73"/>
      <c r="K106" s="73"/>
      <c r="L106" s="75" t="str">
        <f aca="false">IF(OR($A106&lt;&gt;"",$E106&lt;&gt;""),N($F106)+N($H106),"")</f>
        <v/>
      </c>
      <c r="M106" s="76" t="str">
        <f aca="false">IF(OR($O106="",$O106="Cancelled",$O106="Amount missing"),"",IF($O106="Realised",0,$E106-N($F106)-N($H106)))</f>
        <v/>
      </c>
      <c r="N106" s="77" t="str">
        <f aca="false">IF(OR($M106="",FX=""),"",$M106*FX)</f>
        <v/>
      </c>
      <c r="O106" s="78" t="str">
        <f aca="false">IF(NOT(OR($A106&lt;&gt;"",$E106&lt;&gt;"")),"",IF($J106="Cancelled","Cancelled",IF($E106="","Amount missing",IF(OR($J106="Settled",$E106-N($F106)-N($H106)&lt;=0.005),"Realised",IF(N($H106)&gt;0,"Part realised",IF(N($F106)&gt;0,"Advance received","On hand"))))))</f>
        <v/>
      </c>
      <c r="P106" s="79" t="str">
        <f aca="false">IF(AND($V106=1,ISNUMBER($B106)),AsAt-$B106,"")</f>
        <v/>
      </c>
      <c r="Q106" s="78" t="str">
        <f aca="false">IF($V106&lt;&gt;1,"",IF($P106="","No invoice date",IF($P106&lt;=30,"0–30 days",IF($P106&lt;=60,"31–60 days",IF($P106&lt;=90,"61–90 days","Over 90 days")))))</f>
        <v/>
      </c>
      <c r="R106" s="80" t="str">
        <f aca="false">IF($V106=1,ROW(),"")</f>
        <v/>
      </c>
      <c r="S106" s="80" t="str">
        <f aca="false">IF(OR($A106&lt;&gt;"",$E106&lt;&gt;""),IF(TRIM($D106)="","Buyer not noted",TRIM($D106)),"")</f>
        <v/>
      </c>
      <c r="T106" s="80" t="n">
        <f aca="false">IF(AND($V106=1,ISNUMBER($M106)),$M106,0)</f>
        <v>0</v>
      </c>
      <c r="U106" s="80" t="str">
        <f aca="false">IF($V106=1,IF(COUNTIFS($S$7:$S106,$S106,$V$7:$V106,1)=1,SUMIFS($T$7:$T$1006,$S$7:$S$1006,$S106)-ROW()/1000000000,""),"")</f>
        <v/>
      </c>
      <c r="V106" s="80" t="n">
        <f aca="false">IF(OR($O106="On hand",$O106="Advance received",$O106="Part realised",$O106="Amount missing"),1,0)</f>
        <v>0</v>
      </c>
      <c r="W106" s="80" t="str">
        <f aca="false">IF(AND($V106=1,N($F106)&gt;0),ROW(),"")</f>
        <v/>
      </c>
      <c r="X106" s="80" t="n">
        <f aca="false">IF(AND(OR($A106&lt;&gt;"",$E106&lt;&gt;""),$O106&lt;&gt;"Cancelled",ISNUMBER($E106),N($F106)+N($H106)&gt;$E106+0.005),1,0)</f>
        <v>0</v>
      </c>
      <c r="Y106" s="80" t="n">
        <f aca="false">IF(AND(OR($A106&lt;&gt;"",$E106&lt;&gt;""),OR($A106="",$E106="")),1,0)</f>
        <v>0</v>
      </c>
      <c r="Z106" s="80" t="n">
        <f aca="false">IF(AND($A106&lt;&gt;"",COUNTIF($A$7:$A$1006,$A106)&gt;1),1,0)</f>
        <v>0</v>
      </c>
    </row>
    <row r="107" customFormat="false" ht="15" hidden="false" customHeight="false" outlineLevel="0" collapsed="false">
      <c r="A107" s="71"/>
      <c r="B107" s="72"/>
      <c r="C107" s="73"/>
      <c r="D107" s="73"/>
      <c r="E107" s="74"/>
      <c r="F107" s="74"/>
      <c r="G107" s="72"/>
      <c r="H107" s="74"/>
      <c r="I107" s="72"/>
      <c r="J107" s="73"/>
      <c r="K107" s="73"/>
      <c r="L107" s="75" t="str">
        <f aca="false">IF(OR($A107&lt;&gt;"",$E107&lt;&gt;""),N($F107)+N($H107),"")</f>
        <v/>
      </c>
      <c r="M107" s="76" t="str">
        <f aca="false">IF(OR($O107="",$O107="Cancelled",$O107="Amount missing"),"",IF($O107="Realised",0,$E107-N($F107)-N($H107)))</f>
        <v/>
      </c>
      <c r="N107" s="77" t="str">
        <f aca="false">IF(OR($M107="",FX=""),"",$M107*FX)</f>
        <v/>
      </c>
      <c r="O107" s="78" t="str">
        <f aca="false">IF(NOT(OR($A107&lt;&gt;"",$E107&lt;&gt;"")),"",IF($J107="Cancelled","Cancelled",IF($E107="","Amount missing",IF(OR($J107="Settled",$E107-N($F107)-N($H107)&lt;=0.005),"Realised",IF(N($H107)&gt;0,"Part realised",IF(N($F107)&gt;0,"Advance received","On hand"))))))</f>
        <v/>
      </c>
      <c r="P107" s="79" t="str">
        <f aca="false">IF(AND($V107=1,ISNUMBER($B107)),AsAt-$B107,"")</f>
        <v/>
      </c>
      <c r="Q107" s="78" t="str">
        <f aca="false">IF($V107&lt;&gt;1,"",IF($P107="","No invoice date",IF($P107&lt;=30,"0–30 days",IF($P107&lt;=60,"31–60 days",IF($P107&lt;=90,"61–90 days","Over 90 days")))))</f>
        <v/>
      </c>
      <c r="R107" s="80" t="str">
        <f aca="false">IF($V107=1,ROW(),"")</f>
        <v/>
      </c>
      <c r="S107" s="80" t="str">
        <f aca="false">IF(OR($A107&lt;&gt;"",$E107&lt;&gt;""),IF(TRIM($D107)="","Buyer not noted",TRIM($D107)),"")</f>
        <v/>
      </c>
      <c r="T107" s="80" t="n">
        <f aca="false">IF(AND($V107=1,ISNUMBER($M107)),$M107,0)</f>
        <v>0</v>
      </c>
      <c r="U107" s="80" t="str">
        <f aca="false">IF($V107=1,IF(COUNTIFS($S$7:$S107,$S107,$V$7:$V107,1)=1,SUMIFS($T$7:$T$1006,$S$7:$S$1006,$S107)-ROW()/1000000000,""),"")</f>
        <v/>
      </c>
      <c r="V107" s="80" t="n">
        <f aca="false">IF(OR($O107="On hand",$O107="Advance received",$O107="Part realised",$O107="Amount missing"),1,0)</f>
        <v>0</v>
      </c>
      <c r="W107" s="80" t="str">
        <f aca="false">IF(AND($V107=1,N($F107)&gt;0),ROW(),"")</f>
        <v/>
      </c>
      <c r="X107" s="80" t="n">
        <f aca="false">IF(AND(OR($A107&lt;&gt;"",$E107&lt;&gt;""),$O107&lt;&gt;"Cancelled",ISNUMBER($E107),N($F107)+N($H107)&gt;$E107+0.005),1,0)</f>
        <v>0</v>
      </c>
      <c r="Y107" s="80" t="n">
        <f aca="false">IF(AND(OR($A107&lt;&gt;"",$E107&lt;&gt;""),OR($A107="",$E107="")),1,0)</f>
        <v>0</v>
      </c>
      <c r="Z107" s="80" t="n">
        <f aca="false">IF(AND($A107&lt;&gt;"",COUNTIF($A$7:$A$1006,$A107)&gt;1),1,0)</f>
        <v>0</v>
      </c>
    </row>
    <row r="108" customFormat="false" ht="15" hidden="false" customHeight="false" outlineLevel="0" collapsed="false">
      <c r="A108" s="71"/>
      <c r="B108" s="72"/>
      <c r="C108" s="73"/>
      <c r="D108" s="73"/>
      <c r="E108" s="74"/>
      <c r="F108" s="74"/>
      <c r="G108" s="72"/>
      <c r="H108" s="74"/>
      <c r="I108" s="72"/>
      <c r="J108" s="73"/>
      <c r="K108" s="73"/>
      <c r="L108" s="75" t="str">
        <f aca="false">IF(OR($A108&lt;&gt;"",$E108&lt;&gt;""),N($F108)+N($H108),"")</f>
        <v/>
      </c>
      <c r="M108" s="76" t="str">
        <f aca="false">IF(OR($O108="",$O108="Cancelled",$O108="Amount missing"),"",IF($O108="Realised",0,$E108-N($F108)-N($H108)))</f>
        <v/>
      </c>
      <c r="N108" s="77" t="str">
        <f aca="false">IF(OR($M108="",FX=""),"",$M108*FX)</f>
        <v/>
      </c>
      <c r="O108" s="78" t="str">
        <f aca="false">IF(NOT(OR($A108&lt;&gt;"",$E108&lt;&gt;"")),"",IF($J108="Cancelled","Cancelled",IF($E108="","Amount missing",IF(OR($J108="Settled",$E108-N($F108)-N($H108)&lt;=0.005),"Realised",IF(N($H108)&gt;0,"Part realised",IF(N($F108)&gt;0,"Advance received","On hand"))))))</f>
        <v/>
      </c>
      <c r="P108" s="79" t="str">
        <f aca="false">IF(AND($V108=1,ISNUMBER($B108)),AsAt-$B108,"")</f>
        <v/>
      </c>
      <c r="Q108" s="78" t="str">
        <f aca="false">IF($V108&lt;&gt;1,"",IF($P108="","No invoice date",IF($P108&lt;=30,"0–30 days",IF($P108&lt;=60,"31–60 days",IF($P108&lt;=90,"61–90 days","Over 90 days")))))</f>
        <v/>
      </c>
      <c r="R108" s="80" t="str">
        <f aca="false">IF($V108=1,ROW(),"")</f>
        <v/>
      </c>
      <c r="S108" s="80" t="str">
        <f aca="false">IF(OR($A108&lt;&gt;"",$E108&lt;&gt;""),IF(TRIM($D108)="","Buyer not noted",TRIM($D108)),"")</f>
        <v/>
      </c>
      <c r="T108" s="80" t="n">
        <f aca="false">IF(AND($V108=1,ISNUMBER($M108)),$M108,0)</f>
        <v>0</v>
      </c>
      <c r="U108" s="80" t="str">
        <f aca="false">IF($V108=1,IF(COUNTIFS($S$7:$S108,$S108,$V$7:$V108,1)=1,SUMIFS($T$7:$T$1006,$S$7:$S$1006,$S108)-ROW()/1000000000,""),"")</f>
        <v/>
      </c>
      <c r="V108" s="80" t="n">
        <f aca="false">IF(OR($O108="On hand",$O108="Advance received",$O108="Part realised",$O108="Amount missing"),1,0)</f>
        <v>0</v>
      </c>
      <c r="W108" s="80" t="str">
        <f aca="false">IF(AND($V108=1,N($F108)&gt;0),ROW(),"")</f>
        <v/>
      </c>
      <c r="X108" s="80" t="n">
        <f aca="false">IF(AND(OR($A108&lt;&gt;"",$E108&lt;&gt;""),$O108&lt;&gt;"Cancelled",ISNUMBER($E108),N($F108)+N($H108)&gt;$E108+0.005),1,0)</f>
        <v>0</v>
      </c>
      <c r="Y108" s="80" t="n">
        <f aca="false">IF(AND(OR($A108&lt;&gt;"",$E108&lt;&gt;""),OR($A108="",$E108="")),1,0)</f>
        <v>0</v>
      </c>
      <c r="Z108" s="80" t="n">
        <f aca="false">IF(AND($A108&lt;&gt;"",COUNTIF($A$7:$A$1006,$A108)&gt;1),1,0)</f>
        <v>0</v>
      </c>
    </row>
    <row r="109" customFormat="false" ht="15" hidden="false" customHeight="false" outlineLevel="0" collapsed="false">
      <c r="A109" s="71"/>
      <c r="B109" s="72"/>
      <c r="C109" s="73"/>
      <c r="D109" s="73"/>
      <c r="E109" s="74"/>
      <c r="F109" s="74"/>
      <c r="G109" s="72"/>
      <c r="H109" s="74"/>
      <c r="I109" s="72"/>
      <c r="J109" s="73"/>
      <c r="K109" s="73"/>
      <c r="L109" s="75" t="str">
        <f aca="false">IF(OR($A109&lt;&gt;"",$E109&lt;&gt;""),N($F109)+N($H109),"")</f>
        <v/>
      </c>
      <c r="M109" s="76" t="str">
        <f aca="false">IF(OR($O109="",$O109="Cancelled",$O109="Amount missing"),"",IF($O109="Realised",0,$E109-N($F109)-N($H109)))</f>
        <v/>
      </c>
      <c r="N109" s="77" t="str">
        <f aca="false">IF(OR($M109="",FX=""),"",$M109*FX)</f>
        <v/>
      </c>
      <c r="O109" s="78" t="str">
        <f aca="false">IF(NOT(OR($A109&lt;&gt;"",$E109&lt;&gt;"")),"",IF($J109="Cancelled","Cancelled",IF($E109="","Amount missing",IF(OR($J109="Settled",$E109-N($F109)-N($H109)&lt;=0.005),"Realised",IF(N($H109)&gt;0,"Part realised",IF(N($F109)&gt;0,"Advance received","On hand"))))))</f>
        <v/>
      </c>
      <c r="P109" s="79" t="str">
        <f aca="false">IF(AND($V109=1,ISNUMBER($B109)),AsAt-$B109,"")</f>
        <v/>
      </c>
      <c r="Q109" s="78" t="str">
        <f aca="false">IF($V109&lt;&gt;1,"",IF($P109="","No invoice date",IF($P109&lt;=30,"0–30 days",IF($P109&lt;=60,"31–60 days",IF($P109&lt;=90,"61–90 days","Over 90 days")))))</f>
        <v/>
      </c>
      <c r="R109" s="80" t="str">
        <f aca="false">IF($V109=1,ROW(),"")</f>
        <v/>
      </c>
      <c r="S109" s="80" t="str">
        <f aca="false">IF(OR($A109&lt;&gt;"",$E109&lt;&gt;""),IF(TRIM($D109)="","Buyer not noted",TRIM($D109)),"")</f>
        <v/>
      </c>
      <c r="T109" s="80" t="n">
        <f aca="false">IF(AND($V109=1,ISNUMBER($M109)),$M109,0)</f>
        <v>0</v>
      </c>
      <c r="U109" s="80" t="str">
        <f aca="false">IF($V109=1,IF(COUNTIFS($S$7:$S109,$S109,$V$7:$V109,1)=1,SUMIFS($T$7:$T$1006,$S$7:$S$1006,$S109)-ROW()/1000000000,""),"")</f>
        <v/>
      </c>
      <c r="V109" s="80" t="n">
        <f aca="false">IF(OR($O109="On hand",$O109="Advance received",$O109="Part realised",$O109="Amount missing"),1,0)</f>
        <v>0</v>
      </c>
      <c r="W109" s="80" t="str">
        <f aca="false">IF(AND($V109=1,N($F109)&gt;0),ROW(),"")</f>
        <v/>
      </c>
      <c r="X109" s="80" t="n">
        <f aca="false">IF(AND(OR($A109&lt;&gt;"",$E109&lt;&gt;""),$O109&lt;&gt;"Cancelled",ISNUMBER($E109),N($F109)+N($H109)&gt;$E109+0.005),1,0)</f>
        <v>0</v>
      </c>
      <c r="Y109" s="80" t="n">
        <f aca="false">IF(AND(OR($A109&lt;&gt;"",$E109&lt;&gt;""),OR($A109="",$E109="")),1,0)</f>
        <v>0</v>
      </c>
      <c r="Z109" s="80" t="n">
        <f aca="false">IF(AND($A109&lt;&gt;"",COUNTIF($A$7:$A$1006,$A109)&gt;1),1,0)</f>
        <v>0</v>
      </c>
    </row>
    <row r="110" customFormat="false" ht="15" hidden="false" customHeight="false" outlineLevel="0" collapsed="false">
      <c r="A110" s="71"/>
      <c r="B110" s="72"/>
      <c r="C110" s="73"/>
      <c r="D110" s="73"/>
      <c r="E110" s="74"/>
      <c r="F110" s="74"/>
      <c r="G110" s="72"/>
      <c r="H110" s="74"/>
      <c r="I110" s="72"/>
      <c r="J110" s="73"/>
      <c r="K110" s="73"/>
      <c r="L110" s="75" t="str">
        <f aca="false">IF(OR($A110&lt;&gt;"",$E110&lt;&gt;""),N($F110)+N($H110),"")</f>
        <v/>
      </c>
      <c r="M110" s="76" t="str">
        <f aca="false">IF(OR($O110="",$O110="Cancelled",$O110="Amount missing"),"",IF($O110="Realised",0,$E110-N($F110)-N($H110)))</f>
        <v/>
      </c>
      <c r="N110" s="77" t="str">
        <f aca="false">IF(OR($M110="",FX=""),"",$M110*FX)</f>
        <v/>
      </c>
      <c r="O110" s="78" t="str">
        <f aca="false">IF(NOT(OR($A110&lt;&gt;"",$E110&lt;&gt;"")),"",IF($J110="Cancelled","Cancelled",IF($E110="","Amount missing",IF(OR($J110="Settled",$E110-N($F110)-N($H110)&lt;=0.005),"Realised",IF(N($H110)&gt;0,"Part realised",IF(N($F110)&gt;0,"Advance received","On hand"))))))</f>
        <v/>
      </c>
      <c r="P110" s="79" t="str">
        <f aca="false">IF(AND($V110=1,ISNUMBER($B110)),AsAt-$B110,"")</f>
        <v/>
      </c>
      <c r="Q110" s="78" t="str">
        <f aca="false">IF($V110&lt;&gt;1,"",IF($P110="","No invoice date",IF($P110&lt;=30,"0–30 days",IF($P110&lt;=60,"31–60 days",IF($P110&lt;=90,"61–90 days","Over 90 days")))))</f>
        <v/>
      </c>
      <c r="R110" s="80" t="str">
        <f aca="false">IF($V110=1,ROW(),"")</f>
        <v/>
      </c>
      <c r="S110" s="80" t="str">
        <f aca="false">IF(OR($A110&lt;&gt;"",$E110&lt;&gt;""),IF(TRIM($D110)="","Buyer not noted",TRIM($D110)),"")</f>
        <v/>
      </c>
      <c r="T110" s="80" t="n">
        <f aca="false">IF(AND($V110=1,ISNUMBER($M110)),$M110,0)</f>
        <v>0</v>
      </c>
      <c r="U110" s="80" t="str">
        <f aca="false">IF($V110=1,IF(COUNTIFS($S$7:$S110,$S110,$V$7:$V110,1)=1,SUMIFS($T$7:$T$1006,$S$7:$S$1006,$S110)-ROW()/1000000000,""),"")</f>
        <v/>
      </c>
      <c r="V110" s="80" t="n">
        <f aca="false">IF(OR($O110="On hand",$O110="Advance received",$O110="Part realised",$O110="Amount missing"),1,0)</f>
        <v>0</v>
      </c>
      <c r="W110" s="80" t="str">
        <f aca="false">IF(AND($V110=1,N($F110)&gt;0),ROW(),"")</f>
        <v/>
      </c>
      <c r="X110" s="80" t="n">
        <f aca="false">IF(AND(OR($A110&lt;&gt;"",$E110&lt;&gt;""),$O110&lt;&gt;"Cancelled",ISNUMBER($E110),N($F110)+N($H110)&gt;$E110+0.005),1,0)</f>
        <v>0</v>
      </c>
      <c r="Y110" s="80" t="n">
        <f aca="false">IF(AND(OR($A110&lt;&gt;"",$E110&lt;&gt;""),OR($A110="",$E110="")),1,0)</f>
        <v>0</v>
      </c>
      <c r="Z110" s="80" t="n">
        <f aca="false">IF(AND($A110&lt;&gt;"",COUNTIF($A$7:$A$1006,$A110)&gt;1),1,0)</f>
        <v>0</v>
      </c>
    </row>
    <row r="111" customFormat="false" ht="15" hidden="false" customHeight="false" outlineLevel="0" collapsed="false">
      <c r="A111" s="71"/>
      <c r="B111" s="72"/>
      <c r="C111" s="73"/>
      <c r="D111" s="73"/>
      <c r="E111" s="74"/>
      <c r="F111" s="74"/>
      <c r="G111" s="72"/>
      <c r="H111" s="74"/>
      <c r="I111" s="72"/>
      <c r="J111" s="73"/>
      <c r="K111" s="73"/>
      <c r="L111" s="75" t="str">
        <f aca="false">IF(OR($A111&lt;&gt;"",$E111&lt;&gt;""),N($F111)+N($H111),"")</f>
        <v/>
      </c>
      <c r="M111" s="76" t="str">
        <f aca="false">IF(OR($O111="",$O111="Cancelled",$O111="Amount missing"),"",IF($O111="Realised",0,$E111-N($F111)-N($H111)))</f>
        <v/>
      </c>
      <c r="N111" s="77" t="str">
        <f aca="false">IF(OR($M111="",FX=""),"",$M111*FX)</f>
        <v/>
      </c>
      <c r="O111" s="78" t="str">
        <f aca="false">IF(NOT(OR($A111&lt;&gt;"",$E111&lt;&gt;"")),"",IF($J111="Cancelled","Cancelled",IF($E111="","Amount missing",IF(OR($J111="Settled",$E111-N($F111)-N($H111)&lt;=0.005),"Realised",IF(N($H111)&gt;0,"Part realised",IF(N($F111)&gt;0,"Advance received","On hand"))))))</f>
        <v/>
      </c>
      <c r="P111" s="79" t="str">
        <f aca="false">IF(AND($V111=1,ISNUMBER($B111)),AsAt-$B111,"")</f>
        <v/>
      </c>
      <c r="Q111" s="78" t="str">
        <f aca="false">IF($V111&lt;&gt;1,"",IF($P111="","No invoice date",IF($P111&lt;=30,"0–30 days",IF($P111&lt;=60,"31–60 days",IF($P111&lt;=90,"61–90 days","Over 90 days")))))</f>
        <v/>
      </c>
      <c r="R111" s="80" t="str">
        <f aca="false">IF($V111=1,ROW(),"")</f>
        <v/>
      </c>
      <c r="S111" s="80" t="str">
        <f aca="false">IF(OR($A111&lt;&gt;"",$E111&lt;&gt;""),IF(TRIM($D111)="","Buyer not noted",TRIM($D111)),"")</f>
        <v/>
      </c>
      <c r="T111" s="80" t="n">
        <f aca="false">IF(AND($V111=1,ISNUMBER($M111)),$M111,0)</f>
        <v>0</v>
      </c>
      <c r="U111" s="80" t="str">
        <f aca="false">IF($V111=1,IF(COUNTIFS($S$7:$S111,$S111,$V$7:$V111,1)=1,SUMIFS($T$7:$T$1006,$S$7:$S$1006,$S111)-ROW()/1000000000,""),"")</f>
        <v/>
      </c>
      <c r="V111" s="80" t="n">
        <f aca="false">IF(OR($O111="On hand",$O111="Advance received",$O111="Part realised",$O111="Amount missing"),1,0)</f>
        <v>0</v>
      </c>
      <c r="W111" s="80" t="str">
        <f aca="false">IF(AND($V111=1,N($F111)&gt;0),ROW(),"")</f>
        <v/>
      </c>
      <c r="X111" s="80" t="n">
        <f aca="false">IF(AND(OR($A111&lt;&gt;"",$E111&lt;&gt;""),$O111&lt;&gt;"Cancelled",ISNUMBER($E111),N($F111)+N($H111)&gt;$E111+0.005),1,0)</f>
        <v>0</v>
      </c>
      <c r="Y111" s="80" t="n">
        <f aca="false">IF(AND(OR($A111&lt;&gt;"",$E111&lt;&gt;""),OR($A111="",$E111="")),1,0)</f>
        <v>0</v>
      </c>
      <c r="Z111" s="80" t="n">
        <f aca="false">IF(AND($A111&lt;&gt;"",COUNTIF($A$7:$A$1006,$A111)&gt;1),1,0)</f>
        <v>0</v>
      </c>
    </row>
    <row r="112" customFormat="false" ht="15" hidden="false" customHeight="false" outlineLevel="0" collapsed="false">
      <c r="A112" s="71"/>
      <c r="B112" s="72"/>
      <c r="C112" s="73"/>
      <c r="D112" s="73"/>
      <c r="E112" s="74"/>
      <c r="F112" s="74"/>
      <c r="G112" s="72"/>
      <c r="H112" s="74"/>
      <c r="I112" s="72"/>
      <c r="J112" s="73"/>
      <c r="K112" s="73"/>
      <c r="L112" s="75" t="str">
        <f aca="false">IF(OR($A112&lt;&gt;"",$E112&lt;&gt;""),N($F112)+N($H112),"")</f>
        <v/>
      </c>
      <c r="M112" s="76" t="str">
        <f aca="false">IF(OR($O112="",$O112="Cancelled",$O112="Amount missing"),"",IF($O112="Realised",0,$E112-N($F112)-N($H112)))</f>
        <v/>
      </c>
      <c r="N112" s="77" t="str">
        <f aca="false">IF(OR($M112="",FX=""),"",$M112*FX)</f>
        <v/>
      </c>
      <c r="O112" s="78" t="str">
        <f aca="false">IF(NOT(OR($A112&lt;&gt;"",$E112&lt;&gt;"")),"",IF($J112="Cancelled","Cancelled",IF($E112="","Amount missing",IF(OR($J112="Settled",$E112-N($F112)-N($H112)&lt;=0.005),"Realised",IF(N($H112)&gt;0,"Part realised",IF(N($F112)&gt;0,"Advance received","On hand"))))))</f>
        <v/>
      </c>
      <c r="P112" s="79" t="str">
        <f aca="false">IF(AND($V112=1,ISNUMBER($B112)),AsAt-$B112,"")</f>
        <v/>
      </c>
      <c r="Q112" s="78" t="str">
        <f aca="false">IF($V112&lt;&gt;1,"",IF($P112="","No invoice date",IF($P112&lt;=30,"0–30 days",IF($P112&lt;=60,"31–60 days",IF($P112&lt;=90,"61–90 days","Over 90 days")))))</f>
        <v/>
      </c>
      <c r="R112" s="80" t="str">
        <f aca="false">IF($V112=1,ROW(),"")</f>
        <v/>
      </c>
      <c r="S112" s="80" t="str">
        <f aca="false">IF(OR($A112&lt;&gt;"",$E112&lt;&gt;""),IF(TRIM($D112)="","Buyer not noted",TRIM($D112)),"")</f>
        <v/>
      </c>
      <c r="T112" s="80" t="n">
        <f aca="false">IF(AND($V112=1,ISNUMBER($M112)),$M112,0)</f>
        <v>0</v>
      </c>
      <c r="U112" s="80" t="str">
        <f aca="false">IF($V112=1,IF(COUNTIFS($S$7:$S112,$S112,$V$7:$V112,1)=1,SUMIFS($T$7:$T$1006,$S$7:$S$1006,$S112)-ROW()/1000000000,""),"")</f>
        <v/>
      </c>
      <c r="V112" s="80" t="n">
        <f aca="false">IF(OR($O112="On hand",$O112="Advance received",$O112="Part realised",$O112="Amount missing"),1,0)</f>
        <v>0</v>
      </c>
      <c r="W112" s="80" t="str">
        <f aca="false">IF(AND($V112=1,N($F112)&gt;0),ROW(),"")</f>
        <v/>
      </c>
      <c r="X112" s="80" t="n">
        <f aca="false">IF(AND(OR($A112&lt;&gt;"",$E112&lt;&gt;""),$O112&lt;&gt;"Cancelled",ISNUMBER($E112),N($F112)+N($H112)&gt;$E112+0.005),1,0)</f>
        <v>0</v>
      </c>
      <c r="Y112" s="80" t="n">
        <f aca="false">IF(AND(OR($A112&lt;&gt;"",$E112&lt;&gt;""),OR($A112="",$E112="")),1,0)</f>
        <v>0</v>
      </c>
      <c r="Z112" s="80" t="n">
        <f aca="false">IF(AND($A112&lt;&gt;"",COUNTIF($A$7:$A$1006,$A112)&gt;1),1,0)</f>
        <v>0</v>
      </c>
    </row>
    <row r="113" customFormat="false" ht="15" hidden="false" customHeight="false" outlineLevel="0" collapsed="false">
      <c r="A113" s="71"/>
      <c r="B113" s="72"/>
      <c r="C113" s="73"/>
      <c r="D113" s="73"/>
      <c r="E113" s="74"/>
      <c r="F113" s="74"/>
      <c r="G113" s="72"/>
      <c r="H113" s="74"/>
      <c r="I113" s="72"/>
      <c r="J113" s="73"/>
      <c r="K113" s="73"/>
      <c r="L113" s="75" t="str">
        <f aca="false">IF(OR($A113&lt;&gt;"",$E113&lt;&gt;""),N($F113)+N($H113),"")</f>
        <v/>
      </c>
      <c r="M113" s="76" t="str">
        <f aca="false">IF(OR($O113="",$O113="Cancelled",$O113="Amount missing"),"",IF($O113="Realised",0,$E113-N($F113)-N($H113)))</f>
        <v/>
      </c>
      <c r="N113" s="77" t="str">
        <f aca="false">IF(OR($M113="",FX=""),"",$M113*FX)</f>
        <v/>
      </c>
      <c r="O113" s="78" t="str">
        <f aca="false">IF(NOT(OR($A113&lt;&gt;"",$E113&lt;&gt;"")),"",IF($J113="Cancelled","Cancelled",IF($E113="","Amount missing",IF(OR($J113="Settled",$E113-N($F113)-N($H113)&lt;=0.005),"Realised",IF(N($H113)&gt;0,"Part realised",IF(N($F113)&gt;0,"Advance received","On hand"))))))</f>
        <v/>
      </c>
      <c r="P113" s="79" t="str">
        <f aca="false">IF(AND($V113=1,ISNUMBER($B113)),AsAt-$B113,"")</f>
        <v/>
      </c>
      <c r="Q113" s="78" t="str">
        <f aca="false">IF($V113&lt;&gt;1,"",IF($P113="","No invoice date",IF($P113&lt;=30,"0–30 days",IF($P113&lt;=60,"31–60 days",IF($P113&lt;=90,"61–90 days","Over 90 days")))))</f>
        <v/>
      </c>
      <c r="R113" s="80" t="str">
        <f aca="false">IF($V113=1,ROW(),"")</f>
        <v/>
      </c>
      <c r="S113" s="80" t="str">
        <f aca="false">IF(OR($A113&lt;&gt;"",$E113&lt;&gt;""),IF(TRIM($D113)="","Buyer not noted",TRIM($D113)),"")</f>
        <v/>
      </c>
      <c r="T113" s="80" t="n">
        <f aca="false">IF(AND($V113=1,ISNUMBER($M113)),$M113,0)</f>
        <v>0</v>
      </c>
      <c r="U113" s="80" t="str">
        <f aca="false">IF($V113=1,IF(COUNTIFS($S$7:$S113,$S113,$V$7:$V113,1)=1,SUMIFS($T$7:$T$1006,$S$7:$S$1006,$S113)-ROW()/1000000000,""),"")</f>
        <v/>
      </c>
      <c r="V113" s="80" t="n">
        <f aca="false">IF(OR($O113="On hand",$O113="Advance received",$O113="Part realised",$O113="Amount missing"),1,0)</f>
        <v>0</v>
      </c>
      <c r="W113" s="80" t="str">
        <f aca="false">IF(AND($V113=1,N($F113)&gt;0),ROW(),"")</f>
        <v/>
      </c>
      <c r="X113" s="80" t="n">
        <f aca="false">IF(AND(OR($A113&lt;&gt;"",$E113&lt;&gt;""),$O113&lt;&gt;"Cancelled",ISNUMBER($E113),N($F113)+N($H113)&gt;$E113+0.005),1,0)</f>
        <v>0</v>
      </c>
      <c r="Y113" s="80" t="n">
        <f aca="false">IF(AND(OR($A113&lt;&gt;"",$E113&lt;&gt;""),OR($A113="",$E113="")),1,0)</f>
        <v>0</v>
      </c>
      <c r="Z113" s="80" t="n">
        <f aca="false">IF(AND($A113&lt;&gt;"",COUNTIF($A$7:$A$1006,$A113)&gt;1),1,0)</f>
        <v>0</v>
      </c>
    </row>
    <row r="114" customFormat="false" ht="15" hidden="false" customHeight="false" outlineLevel="0" collapsed="false">
      <c r="A114" s="71"/>
      <c r="B114" s="72"/>
      <c r="C114" s="73"/>
      <c r="D114" s="73"/>
      <c r="E114" s="74"/>
      <c r="F114" s="74"/>
      <c r="G114" s="72"/>
      <c r="H114" s="74"/>
      <c r="I114" s="72"/>
      <c r="J114" s="73"/>
      <c r="K114" s="73"/>
      <c r="L114" s="75" t="str">
        <f aca="false">IF(OR($A114&lt;&gt;"",$E114&lt;&gt;""),N($F114)+N($H114),"")</f>
        <v/>
      </c>
      <c r="M114" s="76" t="str">
        <f aca="false">IF(OR($O114="",$O114="Cancelled",$O114="Amount missing"),"",IF($O114="Realised",0,$E114-N($F114)-N($H114)))</f>
        <v/>
      </c>
      <c r="N114" s="77" t="str">
        <f aca="false">IF(OR($M114="",FX=""),"",$M114*FX)</f>
        <v/>
      </c>
      <c r="O114" s="78" t="str">
        <f aca="false">IF(NOT(OR($A114&lt;&gt;"",$E114&lt;&gt;"")),"",IF($J114="Cancelled","Cancelled",IF($E114="","Amount missing",IF(OR($J114="Settled",$E114-N($F114)-N($H114)&lt;=0.005),"Realised",IF(N($H114)&gt;0,"Part realised",IF(N($F114)&gt;0,"Advance received","On hand"))))))</f>
        <v/>
      </c>
      <c r="P114" s="79" t="str">
        <f aca="false">IF(AND($V114=1,ISNUMBER($B114)),AsAt-$B114,"")</f>
        <v/>
      </c>
      <c r="Q114" s="78" t="str">
        <f aca="false">IF($V114&lt;&gt;1,"",IF($P114="","No invoice date",IF($P114&lt;=30,"0–30 days",IF($P114&lt;=60,"31–60 days",IF($P114&lt;=90,"61–90 days","Over 90 days")))))</f>
        <v/>
      </c>
      <c r="R114" s="80" t="str">
        <f aca="false">IF($V114=1,ROW(),"")</f>
        <v/>
      </c>
      <c r="S114" s="80" t="str">
        <f aca="false">IF(OR($A114&lt;&gt;"",$E114&lt;&gt;""),IF(TRIM($D114)="","Buyer not noted",TRIM($D114)),"")</f>
        <v/>
      </c>
      <c r="T114" s="80" t="n">
        <f aca="false">IF(AND($V114=1,ISNUMBER($M114)),$M114,0)</f>
        <v>0</v>
      </c>
      <c r="U114" s="80" t="str">
        <f aca="false">IF($V114=1,IF(COUNTIFS($S$7:$S114,$S114,$V$7:$V114,1)=1,SUMIFS($T$7:$T$1006,$S$7:$S$1006,$S114)-ROW()/1000000000,""),"")</f>
        <v/>
      </c>
      <c r="V114" s="80" t="n">
        <f aca="false">IF(OR($O114="On hand",$O114="Advance received",$O114="Part realised",$O114="Amount missing"),1,0)</f>
        <v>0</v>
      </c>
      <c r="W114" s="80" t="str">
        <f aca="false">IF(AND($V114=1,N($F114)&gt;0),ROW(),"")</f>
        <v/>
      </c>
      <c r="X114" s="80" t="n">
        <f aca="false">IF(AND(OR($A114&lt;&gt;"",$E114&lt;&gt;""),$O114&lt;&gt;"Cancelled",ISNUMBER($E114),N($F114)+N($H114)&gt;$E114+0.005),1,0)</f>
        <v>0</v>
      </c>
      <c r="Y114" s="80" t="n">
        <f aca="false">IF(AND(OR($A114&lt;&gt;"",$E114&lt;&gt;""),OR($A114="",$E114="")),1,0)</f>
        <v>0</v>
      </c>
      <c r="Z114" s="80" t="n">
        <f aca="false">IF(AND($A114&lt;&gt;"",COUNTIF($A$7:$A$1006,$A114)&gt;1),1,0)</f>
        <v>0</v>
      </c>
    </row>
    <row r="115" customFormat="false" ht="15" hidden="false" customHeight="false" outlineLevel="0" collapsed="false">
      <c r="A115" s="71"/>
      <c r="B115" s="72"/>
      <c r="C115" s="73"/>
      <c r="D115" s="73"/>
      <c r="E115" s="74"/>
      <c r="F115" s="74"/>
      <c r="G115" s="72"/>
      <c r="H115" s="74"/>
      <c r="I115" s="72"/>
      <c r="J115" s="73"/>
      <c r="K115" s="73"/>
      <c r="L115" s="75" t="str">
        <f aca="false">IF(OR($A115&lt;&gt;"",$E115&lt;&gt;""),N($F115)+N($H115),"")</f>
        <v/>
      </c>
      <c r="M115" s="76" t="str">
        <f aca="false">IF(OR($O115="",$O115="Cancelled",$O115="Amount missing"),"",IF($O115="Realised",0,$E115-N($F115)-N($H115)))</f>
        <v/>
      </c>
      <c r="N115" s="77" t="str">
        <f aca="false">IF(OR($M115="",FX=""),"",$M115*FX)</f>
        <v/>
      </c>
      <c r="O115" s="78" t="str">
        <f aca="false">IF(NOT(OR($A115&lt;&gt;"",$E115&lt;&gt;"")),"",IF($J115="Cancelled","Cancelled",IF($E115="","Amount missing",IF(OR($J115="Settled",$E115-N($F115)-N($H115)&lt;=0.005),"Realised",IF(N($H115)&gt;0,"Part realised",IF(N($F115)&gt;0,"Advance received","On hand"))))))</f>
        <v/>
      </c>
      <c r="P115" s="79" t="str">
        <f aca="false">IF(AND($V115=1,ISNUMBER($B115)),AsAt-$B115,"")</f>
        <v/>
      </c>
      <c r="Q115" s="78" t="str">
        <f aca="false">IF($V115&lt;&gt;1,"",IF($P115="","No invoice date",IF($P115&lt;=30,"0–30 days",IF($P115&lt;=60,"31–60 days",IF($P115&lt;=90,"61–90 days","Over 90 days")))))</f>
        <v/>
      </c>
      <c r="R115" s="80" t="str">
        <f aca="false">IF($V115=1,ROW(),"")</f>
        <v/>
      </c>
      <c r="S115" s="80" t="str">
        <f aca="false">IF(OR($A115&lt;&gt;"",$E115&lt;&gt;""),IF(TRIM($D115)="","Buyer not noted",TRIM($D115)),"")</f>
        <v/>
      </c>
      <c r="T115" s="80" t="n">
        <f aca="false">IF(AND($V115=1,ISNUMBER($M115)),$M115,0)</f>
        <v>0</v>
      </c>
      <c r="U115" s="80" t="str">
        <f aca="false">IF($V115=1,IF(COUNTIFS($S$7:$S115,$S115,$V$7:$V115,1)=1,SUMIFS($T$7:$T$1006,$S$7:$S$1006,$S115)-ROW()/1000000000,""),"")</f>
        <v/>
      </c>
      <c r="V115" s="80" t="n">
        <f aca="false">IF(OR($O115="On hand",$O115="Advance received",$O115="Part realised",$O115="Amount missing"),1,0)</f>
        <v>0</v>
      </c>
      <c r="W115" s="80" t="str">
        <f aca="false">IF(AND($V115=1,N($F115)&gt;0),ROW(),"")</f>
        <v/>
      </c>
      <c r="X115" s="80" t="n">
        <f aca="false">IF(AND(OR($A115&lt;&gt;"",$E115&lt;&gt;""),$O115&lt;&gt;"Cancelled",ISNUMBER($E115),N($F115)+N($H115)&gt;$E115+0.005),1,0)</f>
        <v>0</v>
      </c>
      <c r="Y115" s="80" t="n">
        <f aca="false">IF(AND(OR($A115&lt;&gt;"",$E115&lt;&gt;""),OR($A115="",$E115="")),1,0)</f>
        <v>0</v>
      </c>
      <c r="Z115" s="80" t="n">
        <f aca="false">IF(AND($A115&lt;&gt;"",COUNTIF($A$7:$A$1006,$A115)&gt;1),1,0)</f>
        <v>0</v>
      </c>
    </row>
    <row r="116" customFormat="false" ht="15" hidden="false" customHeight="false" outlineLevel="0" collapsed="false">
      <c r="A116" s="71"/>
      <c r="B116" s="72"/>
      <c r="C116" s="73"/>
      <c r="D116" s="73"/>
      <c r="E116" s="74"/>
      <c r="F116" s="74"/>
      <c r="G116" s="72"/>
      <c r="H116" s="74"/>
      <c r="I116" s="72"/>
      <c r="J116" s="73"/>
      <c r="K116" s="73"/>
      <c r="L116" s="75" t="str">
        <f aca="false">IF(OR($A116&lt;&gt;"",$E116&lt;&gt;""),N($F116)+N($H116),"")</f>
        <v/>
      </c>
      <c r="M116" s="76" t="str">
        <f aca="false">IF(OR($O116="",$O116="Cancelled",$O116="Amount missing"),"",IF($O116="Realised",0,$E116-N($F116)-N($H116)))</f>
        <v/>
      </c>
      <c r="N116" s="77" t="str">
        <f aca="false">IF(OR($M116="",FX=""),"",$M116*FX)</f>
        <v/>
      </c>
      <c r="O116" s="78" t="str">
        <f aca="false">IF(NOT(OR($A116&lt;&gt;"",$E116&lt;&gt;"")),"",IF($J116="Cancelled","Cancelled",IF($E116="","Amount missing",IF(OR($J116="Settled",$E116-N($F116)-N($H116)&lt;=0.005),"Realised",IF(N($H116)&gt;0,"Part realised",IF(N($F116)&gt;0,"Advance received","On hand"))))))</f>
        <v/>
      </c>
      <c r="P116" s="79" t="str">
        <f aca="false">IF(AND($V116=1,ISNUMBER($B116)),AsAt-$B116,"")</f>
        <v/>
      </c>
      <c r="Q116" s="78" t="str">
        <f aca="false">IF($V116&lt;&gt;1,"",IF($P116="","No invoice date",IF($P116&lt;=30,"0–30 days",IF($P116&lt;=60,"31–60 days",IF($P116&lt;=90,"61–90 days","Over 90 days")))))</f>
        <v/>
      </c>
      <c r="R116" s="80" t="str">
        <f aca="false">IF($V116=1,ROW(),"")</f>
        <v/>
      </c>
      <c r="S116" s="80" t="str">
        <f aca="false">IF(OR($A116&lt;&gt;"",$E116&lt;&gt;""),IF(TRIM($D116)="","Buyer not noted",TRIM($D116)),"")</f>
        <v/>
      </c>
      <c r="T116" s="80" t="n">
        <f aca="false">IF(AND($V116=1,ISNUMBER($M116)),$M116,0)</f>
        <v>0</v>
      </c>
      <c r="U116" s="80" t="str">
        <f aca="false">IF($V116=1,IF(COUNTIFS($S$7:$S116,$S116,$V$7:$V116,1)=1,SUMIFS($T$7:$T$1006,$S$7:$S$1006,$S116)-ROW()/1000000000,""),"")</f>
        <v/>
      </c>
      <c r="V116" s="80" t="n">
        <f aca="false">IF(OR($O116="On hand",$O116="Advance received",$O116="Part realised",$O116="Amount missing"),1,0)</f>
        <v>0</v>
      </c>
      <c r="W116" s="80" t="str">
        <f aca="false">IF(AND($V116=1,N($F116)&gt;0),ROW(),"")</f>
        <v/>
      </c>
      <c r="X116" s="80" t="n">
        <f aca="false">IF(AND(OR($A116&lt;&gt;"",$E116&lt;&gt;""),$O116&lt;&gt;"Cancelled",ISNUMBER($E116),N($F116)+N($H116)&gt;$E116+0.005),1,0)</f>
        <v>0</v>
      </c>
      <c r="Y116" s="80" t="n">
        <f aca="false">IF(AND(OR($A116&lt;&gt;"",$E116&lt;&gt;""),OR($A116="",$E116="")),1,0)</f>
        <v>0</v>
      </c>
      <c r="Z116" s="80" t="n">
        <f aca="false">IF(AND($A116&lt;&gt;"",COUNTIF($A$7:$A$1006,$A116)&gt;1),1,0)</f>
        <v>0</v>
      </c>
    </row>
    <row r="117" customFormat="false" ht="15" hidden="false" customHeight="false" outlineLevel="0" collapsed="false">
      <c r="A117" s="71"/>
      <c r="B117" s="72"/>
      <c r="C117" s="73"/>
      <c r="D117" s="73"/>
      <c r="E117" s="74"/>
      <c r="F117" s="74"/>
      <c r="G117" s="72"/>
      <c r="H117" s="74"/>
      <c r="I117" s="72"/>
      <c r="J117" s="73"/>
      <c r="K117" s="73"/>
      <c r="L117" s="75" t="str">
        <f aca="false">IF(OR($A117&lt;&gt;"",$E117&lt;&gt;""),N($F117)+N($H117),"")</f>
        <v/>
      </c>
      <c r="M117" s="76" t="str">
        <f aca="false">IF(OR($O117="",$O117="Cancelled",$O117="Amount missing"),"",IF($O117="Realised",0,$E117-N($F117)-N($H117)))</f>
        <v/>
      </c>
      <c r="N117" s="77" t="str">
        <f aca="false">IF(OR($M117="",FX=""),"",$M117*FX)</f>
        <v/>
      </c>
      <c r="O117" s="78" t="str">
        <f aca="false">IF(NOT(OR($A117&lt;&gt;"",$E117&lt;&gt;"")),"",IF($J117="Cancelled","Cancelled",IF($E117="","Amount missing",IF(OR($J117="Settled",$E117-N($F117)-N($H117)&lt;=0.005),"Realised",IF(N($H117)&gt;0,"Part realised",IF(N($F117)&gt;0,"Advance received","On hand"))))))</f>
        <v/>
      </c>
      <c r="P117" s="79" t="str">
        <f aca="false">IF(AND($V117=1,ISNUMBER($B117)),AsAt-$B117,"")</f>
        <v/>
      </c>
      <c r="Q117" s="78" t="str">
        <f aca="false">IF($V117&lt;&gt;1,"",IF($P117="","No invoice date",IF($P117&lt;=30,"0–30 days",IF($P117&lt;=60,"31–60 days",IF($P117&lt;=90,"61–90 days","Over 90 days")))))</f>
        <v/>
      </c>
      <c r="R117" s="80" t="str">
        <f aca="false">IF($V117=1,ROW(),"")</f>
        <v/>
      </c>
      <c r="S117" s="80" t="str">
        <f aca="false">IF(OR($A117&lt;&gt;"",$E117&lt;&gt;""),IF(TRIM($D117)="","Buyer not noted",TRIM($D117)),"")</f>
        <v/>
      </c>
      <c r="T117" s="80" t="n">
        <f aca="false">IF(AND($V117=1,ISNUMBER($M117)),$M117,0)</f>
        <v>0</v>
      </c>
      <c r="U117" s="80" t="str">
        <f aca="false">IF($V117=1,IF(COUNTIFS($S$7:$S117,$S117,$V$7:$V117,1)=1,SUMIFS($T$7:$T$1006,$S$7:$S$1006,$S117)-ROW()/1000000000,""),"")</f>
        <v/>
      </c>
      <c r="V117" s="80" t="n">
        <f aca="false">IF(OR($O117="On hand",$O117="Advance received",$O117="Part realised",$O117="Amount missing"),1,0)</f>
        <v>0</v>
      </c>
      <c r="W117" s="80" t="str">
        <f aca="false">IF(AND($V117=1,N($F117)&gt;0),ROW(),"")</f>
        <v/>
      </c>
      <c r="X117" s="80" t="n">
        <f aca="false">IF(AND(OR($A117&lt;&gt;"",$E117&lt;&gt;""),$O117&lt;&gt;"Cancelled",ISNUMBER($E117),N($F117)+N($H117)&gt;$E117+0.005),1,0)</f>
        <v>0</v>
      </c>
      <c r="Y117" s="80" t="n">
        <f aca="false">IF(AND(OR($A117&lt;&gt;"",$E117&lt;&gt;""),OR($A117="",$E117="")),1,0)</f>
        <v>0</v>
      </c>
      <c r="Z117" s="80" t="n">
        <f aca="false">IF(AND($A117&lt;&gt;"",COUNTIF($A$7:$A$1006,$A117)&gt;1),1,0)</f>
        <v>0</v>
      </c>
    </row>
    <row r="118" customFormat="false" ht="15" hidden="false" customHeight="false" outlineLevel="0" collapsed="false">
      <c r="A118" s="71"/>
      <c r="B118" s="72"/>
      <c r="C118" s="73"/>
      <c r="D118" s="73"/>
      <c r="E118" s="74"/>
      <c r="F118" s="74"/>
      <c r="G118" s="72"/>
      <c r="H118" s="74"/>
      <c r="I118" s="72"/>
      <c r="J118" s="73"/>
      <c r="K118" s="73"/>
      <c r="L118" s="75" t="str">
        <f aca="false">IF(OR($A118&lt;&gt;"",$E118&lt;&gt;""),N($F118)+N($H118),"")</f>
        <v/>
      </c>
      <c r="M118" s="76" t="str">
        <f aca="false">IF(OR($O118="",$O118="Cancelled",$O118="Amount missing"),"",IF($O118="Realised",0,$E118-N($F118)-N($H118)))</f>
        <v/>
      </c>
      <c r="N118" s="77" t="str">
        <f aca="false">IF(OR($M118="",FX=""),"",$M118*FX)</f>
        <v/>
      </c>
      <c r="O118" s="78" t="str">
        <f aca="false">IF(NOT(OR($A118&lt;&gt;"",$E118&lt;&gt;"")),"",IF($J118="Cancelled","Cancelled",IF($E118="","Amount missing",IF(OR($J118="Settled",$E118-N($F118)-N($H118)&lt;=0.005),"Realised",IF(N($H118)&gt;0,"Part realised",IF(N($F118)&gt;0,"Advance received","On hand"))))))</f>
        <v/>
      </c>
      <c r="P118" s="79" t="str">
        <f aca="false">IF(AND($V118=1,ISNUMBER($B118)),AsAt-$B118,"")</f>
        <v/>
      </c>
      <c r="Q118" s="78" t="str">
        <f aca="false">IF($V118&lt;&gt;1,"",IF($P118="","No invoice date",IF($P118&lt;=30,"0–30 days",IF($P118&lt;=60,"31–60 days",IF($P118&lt;=90,"61–90 days","Over 90 days")))))</f>
        <v/>
      </c>
      <c r="R118" s="80" t="str">
        <f aca="false">IF($V118=1,ROW(),"")</f>
        <v/>
      </c>
      <c r="S118" s="80" t="str">
        <f aca="false">IF(OR($A118&lt;&gt;"",$E118&lt;&gt;""),IF(TRIM($D118)="","Buyer not noted",TRIM($D118)),"")</f>
        <v/>
      </c>
      <c r="T118" s="80" t="n">
        <f aca="false">IF(AND($V118=1,ISNUMBER($M118)),$M118,0)</f>
        <v>0</v>
      </c>
      <c r="U118" s="80" t="str">
        <f aca="false">IF($V118=1,IF(COUNTIFS($S$7:$S118,$S118,$V$7:$V118,1)=1,SUMIFS($T$7:$T$1006,$S$7:$S$1006,$S118)-ROW()/1000000000,""),"")</f>
        <v/>
      </c>
      <c r="V118" s="80" t="n">
        <f aca="false">IF(OR($O118="On hand",$O118="Advance received",$O118="Part realised",$O118="Amount missing"),1,0)</f>
        <v>0</v>
      </c>
      <c r="W118" s="80" t="str">
        <f aca="false">IF(AND($V118=1,N($F118)&gt;0),ROW(),"")</f>
        <v/>
      </c>
      <c r="X118" s="80" t="n">
        <f aca="false">IF(AND(OR($A118&lt;&gt;"",$E118&lt;&gt;""),$O118&lt;&gt;"Cancelled",ISNUMBER($E118),N($F118)+N($H118)&gt;$E118+0.005),1,0)</f>
        <v>0</v>
      </c>
      <c r="Y118" s="80" t="n">
        <f aca="false">IF(AND(OR($A118&lt;&gt;"",$E118&lt;&gt;""),OR($A118="",$E118="")),1,0)</f>
        <v>0</v>
      </c>
      <c r="Z118" s="80" t="n">
        <f aca="false">IF(AND($A118&lt;&gt;"",COUNTIF($A$7:$A$1006,$A118)&gt;1),1,0)</f>
        <v>0</v>
      </c>
    </row>
    <row r="119" customFormat="false" ht="15" hidden="false" customHeight="false" outlineLevel="0" collapsed="false">
      <c r="A119" s="71"/>
      <c r="B119" s="72"/>
      <c r="C119" s="73"/>
      <c r="D119" s="73"/>
      <c r="E119" s="74"/>
      <c r="F119" s="74"/>
      <c r="G119" s="72"/>
      <c r="H119" s="74"/>
      <c r="I119" s="72"/>
      <c r="J119" s="73"/>
      <c r="K119" s="73"/>
      <c r="L119" s="75" t="str">
        <f aca="false">IF(OR($A119&lt;&gt;"",$E119&lt;&gt;""),N($F119)+N($H119),"")</f>
        <v/>
      </c>
      <c r="M119" s="76" t="str">
        <f aca="false">IF(OR($O119="",$O119="Cancelled",$O119="Amount missing"),"",IF($O119="Realised",0,$E119-N($F119)-N($H119)))</f>
        <v/>
      </c>
      <c r="N119" s="77" t="str">
        <f aca="false">IF(OR($M119="",FX=""),"",$M119*FX)</f>
        <v/>
      </c>
      <c r="O119" s="78" t="str">
        <f aca="false">IF(NOT(OR($A119&lt;&gt;"",$E119&lt;&gt;"")),"",IF($J119="Cancelled","Cancelled",IF($E119="","Amount missing",IF(OR($J119="Settled",$E119-N($F119)-N($H119)&lt;=0.005),"Realised",IF(N($H119)&gt;0,"Part realised",IF(N($F119)&gt;0,"Advance received","On hand"))))))</f>
        <v/>
      </c>
      <c r="P119" s="79" t="str">
        <f aca="false">IF(AND($V119=1,ISNUMBER($B119)),AsAt-$B119,"")</f>
        <v/>
      </c>
      <c r="Q119" s="78" t="str">
        <f aca="false">IF($V119&lt;&gt;1,"",IF($P119="","No invoice date",IF($P119&lt;=30,"0–30 days",IF($P119&lt;=60,"31–60 days",IF($P119&lt;=90,"61–90 days","Over 90 days")))))</f>
        <v/>
      </c>
      <c r="R119" s="80" t="str">
        <f aca="false">IF($V119=1,ROW(),"")</f>
        <v/>
      </c>
      <c r="S119" s="80" t="str">
        <f aca="false">IF(OR($A119&lt;&gt;"",$E119&lt;&gt;""),IF(TRIM($D119)="","Buyer not noted",TRIM($D119)),"")</f>
        <v/>
      </c>
      <c r="T119" s="80" t="n">
        <f aca="false">IF(AND($V119=1,ISNUMBER($M119)),$M119,0)</f>
        <v>0</v>
      </c>
      <c r="U119" s="80" t="str">
        <f aca="false">IF($V119=1,IF(COUNTIFS($S$7:$S119,$S119,$V$7:$V119,1)=1,SUMIFS($T$7:$T$1006,$S$7:$S$1006,$S119)-ROW()/1000000000,""),"")</f>
        <v/>
      </c>
      <c r="V119" s="80" t="n">
        <f aca="false">IF(OR($O119="On hand",$O119="Advance received",$O119="Part realised",$O119="Amount missing"),1,0)</f>
        <v>0</v>
      </c>
      <c r="W119" s="80" t="str">
        <f aca="false">IF(AND($V119=1,N($F119)&gt;0),ROW(),"")</f>
        <v/>
      </c>
      <c r="X119" s="80" t="n">
        <f aca="false">IF(AND(OR($A119&lt;&gt;"",$E119&lt;&gt;""),$O119&lt;&gt;"Cancelled",ISNUMBER($E119),N($F119)+N($H119)&gt;$E119+0.005),1,0)</f>
        <v>0</v>
      </c>
      <c r="Y119" s="80" t="n">
        <f aca="false">IF(AND(OR($A119&lt;&gt;"",$E119&lt;&gt;""),OR($A119="",$E119="")),1,0)</f>
        <v>0</v>
      </c>
      <c r="Z119" s="80" t="n">
        <f aca="false">IF(AND($A119&lt;&gt;"",COUNTIF($A$7:$A$1006,$A119)&gt;1),1,0)</f>
        <v>0</v>
      </c>
    </row>
    <row r="120" customFormat="false" ht="15" hidden="false" customHeight="false" outlineLevel="0" collapsed="false">
      <c r="A120" s="71"/>
      <c r="B120" s="72"/>
      <c r="C120" s="73"/>
      <c r="D120" s="73"/>
      <c r="E120" s="74"/>
      <c r="F120" s="74"/>
      <c r="G120" s="72"/>
      <c r="H120" s="74"/>
      <c r="I120" s="72"/>
      <c r="J120" s="73"/>
      <c r="K120" s="73"/>
      <c r="L120" s="75" t="str">
        <f aca="false">IF(OR($A120&lt;&gt;"",$E120&lt;&gt;""),N($F120)+N($H120),"")</f>
        <v/>
      </c>
      <c r="M120" s="76" t="str">
        <f aca="false">IF(OR($O120="",$O120="Cancelled",$O120="Amount missing"),"",IF($O120="Realised",0,$E120-N($F120)-N($H120)))</f>
        <v/>
      </c>
      <c r="N120" s="77" t="str">
        <f aca="false">IF(OR($M120="",FX=""),"",$M120*FX)</f>
        <v/>
      </c>
      <c r="O120" s="78" t="str">
        <f aca="false">IF(NOT(OR($A120&lt;&gt;"",$E120&lt;&gt;"")),"",IF($J120="Cancelled","Cancelled",IF($E120="","Amount missing",IF(OR($J120="Settled",$E120-N($F120)-N($H120)&lt;=0.005),"Realised",IF(N($H120)&gt;0,"Part realised",IF(N($F120)&gt;0,"Advance received","On hand"))))))</f>
        <v/>
      </c>
      <c r="P120" s="79" t="str">
        <f aca="false">IF(AND($V120=1,ISNUMBER($B120)),AsAt-$B120,"")</f>
        <v/>
      </c>
      <c r="Q120" s="78" t="str">
        <f aca="false">IF($V120&lt;&gt;1,"",IF($P120="","No invoice date",IF($P120&lt;=30,"0–30 days",IF($P120&lt;=60,"31–60 days",IF($P120&lt;=90,"61–90 days","Over 90 days")))))</f>
        <v/>
      </c>
      <c r="R120" s="80" t="str">
        <f aca="false">IF($V120=1,ROW(),"")</f>
        <v/>
      </c>
      <c r="S120" s="80" t="str">
        <f aca="false">IF(OR($A120&lt;&gt;"",$E120&lt;&gt;""),IF(TRIM($D120)="","Buyer not noted",TRIM($D120)),"")</f>
        <v/>
      </c>
      <c r="T120" s="80" t="n">
        <f aca="false">IF(AND($V120=1,ISNUMBER($M120)),$M120,0)</f>
        <v>0</v>
      </c>
      <c r="U120" s="80" t="str">
        <f aca="false">IF($V120=1,IF(COUNTIFS($S$7:$S120,$S120,$V$7:$V120,1)=1,SUMIFS($T$7:$T$1006,$S$7:$S$1006,$S120)-ROW()/1000000000,""),"")</f>
        <v/>
      </c>
      <c r="V120" s="80" t="n">
        <f aca="false">IF(OR($O120="On hand",$O120="Advance received",$O120="Part realised",$O120="Amount missing"),1,0)</f>
        <v>0</v>
      </c>
      <c r="W120" s="80" t="str">
        <f aca="false">IF(AND($V120=1,N($F120)&gt;0),ROW(),"")</f>
        <v/>
      </c>
      <c r="X120" s="80" t="n">
        <f aca="false">IF(AND(OR($A120&lt;&gt;"",$E120&lt;&gt;""),$O120&lt;&gt;"Cancelled",ISNUMBER($E120),N($F120)+N($H120)&gt;$E120+0.005),1,0)</f>
        <v>0</v>
      </c>
      <c r="Y120" s="80" t="n">
        <f aca="false">IF(AND(OR($A120&lt;&gt;"",$E120&lt;&gt;""),OR($A120="",$E120="")),1,0)</f>
        <v>0</v>
      </c>
      <c r="Z120" s="80" t="n">
        <f aca="false">IF(AND($A120&lt;&gt;"",COUNTIF($A$7:$A$1006,$A120)&gt;1),1,0)</f>
        <v>0</v>
      </c>
    </row>
    <row r="121" customFormat="false" ht="15" hidden="false" customHeight="false" outlineLevel="0" collapsed="false">
      <c r="A121" s="71"/>
      <c r="B121" s="72"/>
      <c r="C121" s="73"/>
      <c r="D121" s="73"/>
      <c r="E121" s="74"/>
      <c r="F121" s="74"/>
      <c r="G121" s="72"/>
      <c r="H121" s="74"/>
      <c r="I121" s="72"/>
      <c r="J121" s="73"/>
      <c r="K121" s="73"/>
      <c r="L121" s="75" t="str">
        <f aca="false">IF(OR($A121&lt;&gt;"",$E121&lt;&gt;""),N($F121)+N($H121),"")</f>
        <v/>
      </c>
      <c r="M121" s="76" t="str">
        <f aca="false">IF(OR($O121="",$O121="Cancelled",$O121="Amount missing"),"",IF($O121="Realised",0,$E121-N($F121)-N($H121)))</f>
        <v/>
      </c>
      <c r="N121" s="77" t="str">
        <f aca="false">IF(OR($M121="",FX=""),"",$M121*FX)</f>
        <v/>
      </c>
      <c r="O121" s="78" t="str">
        <f aca="false">IF(NOT(OR($A121&lt;&gt;"",$E121&lt;&gt;"")),"",IF($J121="Cancelled","Cancelled",IF($E121="","Amount missing",IF(OR($J121="Settled",$E121-N($F121)-N($H121)&lt;=0.005),"Realised",IF(N($H121)&gt;0,"Part realised",IF(N($F121)&gt;0,"Advance received","On hand"))))))</f>
        <v/>
      </c>
      <c r="P121" s="79" t="str">
        <f aca="false">IF(AND($V121=1,ISNUMBER($B121)),AsAt-$B121,"")</f>
        <v/>
      </c>
      <c r="Q121" s="78" t="str">
        <f aca="false">IF($V121&lt;&gt;1,"",IF($P121="","No invoice date",IF($P121&lt;=30,"0–30 days",IF($P121&lt;=60,"31–60 days",IF($P121&lt;=90,"61–90 days","Over 90 days")))))</f>
        <v/>
      </c>
      <c r="R121" s="80" t="str">
        <f aca="false">IF($V121=1,ROW(),"")</f>
        <v/>
      </c>
      <c r="S121" s="80" t="str">
        <f aca="false">IF(OR($A121&lt;&gt;"",$E121&lt;&gt;""),IF(TRIM($D121)="","Buyer not noted",TRIM($D121)),"")</f>
        <v/>
      </c>
      <c r="T121" s="80" t="n">
        <f aca="false">IF(AND($V121=1,ISNUMBER($M121)),$M121,0)</f>
        <v>0</v>
      </c>
      <c r="U121" s="80" t="str">
        <f aca="false">IF($V121=1,IF(COUNTIFS($S$7:$S121,$S121,$V$7:$V121,1)=1,SUMIFS($T$7:$T$1006,$S$7:$S$1006,$S121)-ROW()/1000000000,""),"")</f>
        <v/>
      </c>
      <c r="V121" s="80" t="n">
        <f aca="false">IF(OR($O121="On hand",$O121="Advance received",$O121="Part realised",$O121="Amount missing"),1,0)</f>
        <v>0</v>
      </c>
      <c r="W121" s="80" t="str">
        <f aca="false">IF(AND($V121=1,N($F121)&gt;0),ROW(),"")</f>
        <v/>
      </c>
      <c r="X121" s="80" t="n">
        <f aca="false">IF(AND(OR($A121&lt;&gt;"",$E121&lt;&gt;""),$O121&lt;&gt;"Cancelled",ISNUMBER($E121),N($F121)+N($H121)&gt;$E121+0.005),1,0)</f>
        <v>0</v>
      </c>
      <c r="Y121" s="80" t="n">
        <f aca="false">IF(AND(OR($A121&lt;&gt;"",$E121&lt;&gt;""),OR($A121="",$E121="")),1,0)</f>
        <v>0</v>
      </c>
      <c r="Z121" s="80" t="n">
        <f aca="false">IF(AND($A121&lt;&gt;"",COUNTIF($A$7:$A$1006,$A121)&gt;1),1,0)</f>
        <v>0</v>
      </c>
    </row>
    <row r="122" customFormat="false" ht="15" hidden="false" customHeight="false" outlineLevel="0" collapsed="false">
      <c r="A122" s="71"/>
      <c r="B122" s="72"/>
      <c r="C122" s="73"/>
      <c r="D122" s="73"/>
      <c r="E122" s="74"/>
      <c r="F122" s="74"/>
      <c r="G122" s="72"/>
      <c r="H122" s="74"/>
      <c r="I122" s="72"/>
      <c r="J122" s="73"/>
      <c r="K122" s="73"/>
      <c r="L122" s="75" t="str">
        <f aca="false">IF(OR($A122&lt;&gt;"",$E122&lt;&gt;""),N($F122)+N($H122),"")</f>
        <v/>
      </c>
      <c r="M122" s="76" t="str">
        <f aca="false">IF(OR($O122="",$O122="Cancelled",$O122="Amount missing"),"",IF($O122="Realised",0,$E122-N($F122)-N($H122)))</f>
        <v/>
      </c>
      <c r="N122" s="77" t="str">
        <f aca="false">IF(OR($M122="",FX=""),"",$M122*FX)</f>
        <v/>
      </c>
      <c r="O122" s="78" t="str">
        <f aca="false">IF(NOT(OR($A122&lt;&gt;"",$E122&lt;&gt;"")),"",IF($J122="Cancelled","Cancelled",IF($E122="","Amount missing",IF(OR($J122="Settled",$E122-N($F122)-N($H122)&lt;=0.005),"Realised",IF(N($H122)&gt;0,"Part realised",IF(N($F122)&gt;0,"Advance received","On hand"))))))</f>
        <v/>
      </c>
      <c r="P122" s="79" t="str">
        <f aca="false">IF(AND($V122=1,ISNUMBER($B122)),AsAt-$B122,"")</f>
        <v/>
      </c>
      <c r="Q122" s="78" t="str">
        <f aca="false">IF($V122&lt;&gt;1,"",IF($P122="","No invoice date",IF($P122&lt;=30,"0–30 days",IF($P122&lt;=60,"31–60 days",IF($P122&lt;=90,"61–90 days","Over 90 days")))))</f>
        <v/>
      </c>
      <c r="R122" s="80" t="str">
        <f aca="false">IF($V122=1,ROW(),"")</f>
        <v/>
      </c>
      <c r="S122" s="80" t="str">
        <f aca="false">IF(OR($A122&lt;&gt;"",$E122&lt;&gt;""),IF(TRIM($D122)="","Buyer not noted",TRIM($D122)),"")</f>
        <v/>
      </c>
      <c r="T122" s="80" t="n">
        <f aca="false">IF(AND($V122=1,ISNUMBER($M122)),$M122,0)</f>
        <v>0</v>
      </c>
      <c r="U122" s="80" t="str">
        <f aca="false">IF($V122=1,IF(COUNTIFS($S$7:$S122,$S122,$V$7:$V122,1)=1,SUMIFS($T$7:$T$1006,$S$7:$S$1006,$S122)-ROW()/1000000000,""),"")</f>
        <v/>
      </c>
      <c r="V122" s="80" t="n">
        <f aca="false">IF(OR($O122="On hand",$O122="Advance received",$O122="Part realised",$O122="Amount missing"),1,0)</f>
        <v>0</v>
      </c>
      <c r="W122" s="80" t="str">
        <f aca="false">IF(AND($V122=1,N($F122)&gt;0),ROW(),"")</f>
        <v/>
      </c>
      <c r="X122" s="80" t="n">
        <f aca="false">IF(AND(OR($A122&lt;&gt;"",$E122&lt;&gt;""),$O122&lt;&gt;"Cancelled",ISNUMBER($E122),N($F122)+N($H122)&gt;$E122+0.005),1,0)</f>
        <v>0</v>
      </c>
      <c r="Y122" s="80" t="n">
        <f aca="false">IF(AND(OR($A122&lt;&gt;"",$E122&lt;&gt;""),OR($A122="",$E122="")),1,0)</f>
        <v>0</v>
      </c>
      <c r="Z122" s="80" t="n">
        <f aca="false">IF(AND($A122&lt;&gt;"",COUNTIF($A$7:$A$1006,$A122)&gt;1),1,0)</f>
        <v>0</v>
      </c>
    </row>
    <row r="123" customFormat="false" ht="15" hidden="false" customHeight="false" outlineLevel="0" collapsed="false">
      <c r="A123" s="71"/>
      <c r="B123" s="72"/>
      <c r="C123" s="73"/>
      <c r="D123" s="73"/>
      <c r="E123" s="74"/>
      <c r="F123" s="74"/>
      <c r="G123" s="72"/>
      <c r="H123" s="74"/>
      <c r="I123" s="72"/>
      <c r="J123" s="73"/>
      <c r="K123" s="73"/>
      <c r="L123" s="75" t="str">
        <f aca="false">IF(OR($A123&lt;&gt;"",$E123&lt;&gt;""),N($F123)+N($H123),"")</f>
        <v/>
      </c>
      <c r="M123" s="76" t="str">
        <f aca="false">IF(OR($O123="",$O123="Cancelled",$O123="Amount missing"),"",IF($O123="Realised",0,$E123-N($F123)-N($H123)))</f>
        <v/>
      </c>
      <c r="N123" s="77" t="str">
        <f aca="false">IF(OR($M123="",FX=""),"",$M123*FX)</f>
        <v/>
      </c>
      <c r="O123" s="78" t="str">
        <f aca="false">IF(NOT(OR($A123&lt;&gt;"",$E123&lt;&gt;"")),"",IF($J123="Cancelled","Cancelled",IF($E123="","Amount missing",IF(OR($J123="Settled",$E123-N($F123)-N($H123)&lt;=0.005),"Realised",IF(N($H123)&gt;0,"Part realised",IF(N($F123)&gt;0,"Advance received","On hand"))))))</f>
        <v/>
      </c>
      <c r="P123" s="79" t="str">
        <f aca="false">IF(AND($V123=1,ISNUMBER($B123)),AsAt-$B123,"")</f>
        <v/>
      </c>
      <c r="Q123" s="78" t="str">
        <f aca="false">IF($V123&lt;&gt;1,"",IF($P123="","No invoice date",IF($P123&lt;=30,"0–30 days",IF($P123&lt;=60,"31–60 days",IF($P123&lt;=90,"61–90 days","Over 90 days")))))</f>
        <v/>
      </c>
      <c r="R123" s="80" t="str">
        <f aca="false">IF($V123=1,ROW(),"")</f>
        <v/>
      </c>
      <c r="S123" s="80" t="str">
        <f aca="false">IF(OR($A123&lt;&gt;"",$E123&lt;&gt;""),IF(TRIM($D123)="","Buyer not noted",TRIM($D123)),"")</f>
        <v/>
      </c>
      <c r="T123" s="80" t="n">
        <f aca="false">IF(AND($V123=1,ISNUMBER($M123)),$M123,0)</f>
        <v>0</v>
      </c>
      <c r="U123" s="80" t="str">
        <f aca="false">IF($V123=1,IF(COUNTIFS($S$7:$S123,$S123,$V$7:$V123,1)=1,SUMIFS($T$7:$T$1006,$S$7:$S$1006,$S123)-ROW()/1000000000,""),"")</f>
        <v/>
      </c>
      <c r="V123" s="80" t="n">
        <f aca="false">IF(OR($O123="On hand",$O123="Advance received",$O123="Part realised",$O123="Amount missing"),1,0)</f>
        <v>0</v>
      </c>
      <c r="W123" s="80" t="str">
        <f aca="false">IF(AND($V123=1,N($F123)&gt;0),ROW(),"")</f>
        <v/>
      </c>
      <c r="X123" s="80" t="n">
        <f aca="false">IF(AND(OR($A123&lt;&gt;"",$E123&lt;&gt;""),$O123&lt;&gt;"Cancelled",ISNUMBER($E123),N($F123)+N($H123)&gt;$E123+0.005),1,0)</f>
        <v>0</v>
      </c>
      <c r="Y123" s="80" t="n">
        <f aca="false">IF(AND(OR($A123&lt;&gt;"",$E123&lt;&gt;""),OR($A123="",$E123="")),1,0)</f>
        <v>0</v>
      </c>
      <c r="Z123" s="80" t="n">
        <f aca="false">IF(AND($A123&lt;&gt;"",COUNTIF($A$7:$A$1006,$A123)&gt;1),1,0)</f>
        <v>0</v>
      </c>
    </row>
    <row r="124" customFormat="false" ht="15" hidden="false" customHeight="false" outlineLevel="0" collapsed="false">
      <c r="A124" s="71"/>
      <c r="B124" s="72"/>
      <c r="C124" s="73"/>
      <c r="D124" s="73"/>
      <c r="E124" s="74"/>
      <c r="F124" s="74"/>
      <c r="G124" s="72"/>
      <c r="H124" s="74"/>
      <c r="I124" s="72"/>
      <c r="J124" s="73"/>
      <c r="K124" s="73"/>
      <c r="L124" s="75" t="str">
        <f aca="false">IF(OR($A124&lt;&gt;"",$E124&lt;&gt;""),N($F124)+N($H124),"")</f>
        <v/>
      </c>
      <c r="M124" s="76" t="str">
        <f aca="false">IF(OR($O124="",$O124="Cancelled",$O124="Amount missing"),"",IF($O124="Realised",0,$E124-N($F124)-N($H124)))</f>
        <v/>
      </c>
      <c r="N124" s="77" t="str">
        <f aca="false">IF(OR($M124="",FX=""),"",$M124*FX)</f>
        <v/>
      </c>
      <c r="O124" s="78" t="str">
        <f aca="false">IF(NOT(OR($A124&lt;&gt;"",$E124&lt;&gt;"")),"",IF($J124="Cancelled","Cancelled",IF($E124="","Amount missing",IF(OR($J124="Settled",$E124-N($F124)-N($H124)&lt;=0.005),"Realised",IF(N($H124)&gt;0,"Part realised",IF(N($F124)&gt;0,"Advance received","On hand"))))))</f>
        <v/>
      </c>
      <c r="P124" s="79" t="str">
        <f aca="false">IF(AND($V124=1,ISNUMBER($B124)),AsAt-$B124,"")</f>
        <v/>
      </c>
      <c r="Q124" s="78" t="str">
        <f aca="false">IF($V124&lt;&gt;1,"",IF($P124="","No invoice date",IF($P124&lt;=30,"0–30 days",IF($P124&lt;=60,"31–60 days",IF($P124&lt;=90,"61–90 days","Over 90 days")))))</f>
        <v/>
      </c>
      <c r="R124" s="80" t="str">
        <f aca="false">IF($V124=1,ROW(),"")</f>
        <v/>
      </c>
      <c r="S124" s="80" t="str">
        <f aca="false">IF(OR($A124&lt;&gt;"",$E124&lt;&gt;""),IF(TRIM($D124)="","Buyer not noted",TRIM($D124)),"")</f>
        <v/>
      </c>
      <c r="T124" s="80" t="n">
        <f aca="false">IF(AND($V124=1,ISNUMBER($M124)),$M124,0)</f>
        <v>0</v>
      </c>
      <c r="U124" s="80" t="str">
        <f aca="false">IF($V124=1,IF(COUNTIFS($S$7:$S124,$S124,$V$7:$V124,1)=1,SUMIFS($T$7:$T$1006,$S$7:$S$1006,$S124)-ROW()/1000000000,""),"")</f>
        <v/>
      </c>
      <c r="V124" s="80" t="n">
        <f aca="false">IF(OR($O124="On hand",$O124="Advance received",$O124="Part realised",$O124="Amount missing"),1,0)</f>
        <v>0</v>
      </c>
      <c r="W124" s="80" t="str">
        <f aca="false">IF(AND($V124=1,N($F124)&gt;0),ROW(),"")</f>
        <v/>
      </c>
      <c r="X124" s="80" t="n">
        <f aca="false">IF(AND(OR($A124&lt;&gt;"",$E124&lt;&gt;""),$O124&lt;&gt;"Cancelled",ISNUMBER($E124),N($F124)+N($H124)&gt;$E124+0.005),1,0)</f>
        <v>0</v>
      </c>
      <c r="Y124" s="80" t="n">
        <f aca="false">IF(AND(OR($A124&lt;&gt;"",$E124&lt;&gt;""),OR($A124="",$E124="")),1,0)</f>
        <v>0</v>
      </c>
      <c r="Z124" s="80" t="n">
        <f aca="false">IF(AND($A124&lt;&gt;"",COUNTIF($A$7:$A$1006,$A124)&gt;1),1,0)</f>
        <v>0</v>
      </c>
    </row>
    <row r="125" customFormat="false" ht="15" hidden="false" customHeight="false" outlineLevel="0" collapsed="false">
      <c r="A125" s="71"/>
      <c r="B125" s="72"/>
      <c r="C125" s="73"/>
      <c r="D125" s="73"/>
      <c r="E125" s="74"/>
      <c r="F125" s="74"/>
      <c r="G125" s="72"/>
      <c r="H125" s="74"/>
      <c r="I125" s="72"/>
      <c r="J125" s="73"/>
      <c r="K125" s="73"/>
      <c r="L125" s="75" t="str">
        <f aca="false">IF(OR($A125&lt;&gt;"",$E125&lt;&gt;""),N($F125)+N($H125),"")</f>
        <v/>
      </c>
      <c r="M125" s="76" t="str">
        <f aca="false">IF(OR($O125="",$O125="Cancelled",$O125="Amount missing"),"",IF($O125="Realised",0,$E125-N($F125)-N($H125)))</f>
        <v/>
      </c>
      <c r="N125" s="77" t="str">
        <f aca="false">IF(OR($M125="",FX=""),"",$M125*FX)</f>
        <v/>
      </c>
      <c r="O125" s="78" t="str">
        <f aca="false">IF(NOT(OR($A125&lt;&gt;"",$E125&lt;&gt;"")),"",IF($J125="Cancelled","Cancelled",IF($E125="","Amount missing",IF(OR($J125="Settled",$E125-N($F125)-N($H125)&lt;=0.005),"Realised",IF(N($H125)&gt;0,"Part realised",IF(N($F125)&gt;0,"Advance received","On hand"))))))</f>
        <v/>
      </c>
      <c r="P125" s="79" t="str">
        <f aca="false">IF(AND($V125=1,ISNUMBER($B125)),AsAt-$B125,"")</f>
        <v/>
      </c>
      <c r="Q125" s="78" t="str">
        <f aca="false">IF($V125&lt;&gt;1,"",IF($P125="","No invoice date",IF($P125&lt;=30,"0–30 days",IF($P125&lt;=60,"31–60 days",IF($P125&lt;=90,"61–90 days","Over 90 days")))))</f>
        <v/>
      </c>
      <c r="R125" s="80" t="str">
        <f aca="false">IF($V125=1,ROW(),"")</f>
        <v/>
      </c>
      <c r="S125" s="80" t="str">
        <f aca="false">IF(OR($A125&lt;&gt;"",$E125&lt;&gt;""),IF(TRIM($D125)="","Buyer not noted",TRIM($D125)),"")</f>
        <v/>
      </c>
      <c r="T125" s="80" t="n">
        <f aca="false">IF(AND($V125=1,ISNUMBER($M125)),$M125,0)</f>
        <v>0</v>
      </c>
      <c r="U125" s="80" t="str">
        <f aca="false">IF($V125=1,IF(COUNTIFS($S$7:$S125,$S125,$V$7:$V125,1)=1,SUMIFS($T$7:$T$1006,$S$7:$S$1006,$S125)-ROW()/1000000000,""),"")</f>
        <v/>
      </c>
      <c r="V125" s="80" t="n">
        <f aca="false">IF(OR($O125="On hand",$O125="Advance received",$O125="Part realised",$O125="Amount missing"),1,0)</f>
        <v>0</v>
      </c>
      <c r="W125" s="80" t="str">
        <f aca="false">IF(AND($V125=1,N($F125)&gt;0),ROW(),"")</f>
        <v/>
      </c>
      <c r="X125" s="80" t="n">
        <f aca="false">IF(AND(OR($A125&lt;&gt;"",$E125&lt;&gt;""),$O125&lt;&gt;"Cancelled",ISNUMBER($E125),N($F125)+N($H125)&gt;$E125+0.005),1,0)</f>
        <v>0</v>
      </c>
      <c r="Y125" s="80" t="n">
        <f aca="false">IF(AND(OR($A125&lt;&gt;"",$E125&lt;&gt;""),OR($A125="",$E125="")),1,0)</f>
        <v>0</v>
      </c>
      <c r="Z125" s="80" t="n">
        <f aca="false">IF(AND($A125&lt;&gt;"",COUNTIF($A$7:$A$1006,$A125)&gt;1),1,0)</f>
        <v>0</v>
      </c>
    </row>
    <row r="126" customFormat="false" ht="15" hidden="false" customHeight="false" outlineLevel="0" collapsed="false">
      <c r="A126" s="71"/>
      <c r="B126" s="72"/>
      <c r="C126" s="73"/>
      <c r="D126" s="73"/>
      <c r="E126" s="74"/>
      <c r="F126" s="74"/>
      <c r="G126" s="72"/>
      <c r="H126" s="74"/>
      <c r="I126" s="72"/>
      <c r="J126" s="73"/>
      <c r="K126" s="73"/>
      <c r="L126" s="75" t="str">
        <f aca="false">IF(OR($A126&lt;&gt;"",$E126&lt;&gt;""),N($F126)+N($H126),"")</f>
        <v/>
      </c>
      <c r="M126" s="76" t="str">
        <f aca="false">IF(OR($O126="",$O126="Cancelled",$O126="Amount missing"),"",IF($O126="Realised",0,$E126-N($F126)-N($H126)))</f>
        <v/>
      </c>
      <c r="N126" s="77" t="str">
        <f aca="false">IF(OR($M126="",FX=""),"",$M126*FX)</f>
        <v/>
      </c>
      <c r="O126" s="78" t="str">
        <f aca="false">IF(NOT(OR($A126&lt;&gt;"",$E126&lt;&gt;"")),"",IF($J126="Cancelled","Cancelled",IF($E126="","Amount missing",IF(OR($J126="Settled",$E126-N($F126)-N($H126)&lt;=0.005),"Realised",IF(N($H126)&gt;0,"Part realised",IF(N($F126)&gt;0,"Advance received","On hand"))))))</f>
        <v/>
      </c>
      <c r="P126" s="79" t="str">
        <f aca="false">IF(AND($V126=1,ISNUMBER($B126)),AsAt-$B126,"")</f>
        <v/>
      </c>
      <c r="Q126" s="78" t="str">
        <f aca="false">IF($V126&lt;&gt;1,"",IF($P126="","No invoice date",IF($P126&lt;=30,"0–30 days",IF($P126&lt;=60,"31–60 days",IF($P126&lt;=90,"61–90 days","Over 90 days")))))</f>
        <v/>
      </c>
      <c r="R126" s="80" t="str">
        <f aca="false">IF($V126=1,ROW(),"")</f>
        <v/>
      </c>
      <c r="S126" s="80" t="str">
        <f aca="false">IF(OR($A126&lt;&gt;"",$E126&lt;&gt;""),IF(TRIM($D126)="","Buyer not noted",TRIM($D126)),"")</f>
        <v/>
      </c>
      <c r="T126" s="80" t="n">
        <f aca="false">IF(AND($V126=1,ISNUMBER($M126)),$M126,0)</f>
        <v>0</v>
      </c>
      <c r="U126" s="80" t="str">
        <f aca="false">IF($V126=1,IF(COUNTIFS($S$7:$S126,$S126,$V$7:$V126,1)=1,SUMIFS($T$7:$T$1006,$S$7:$S$1006,$S126)-ROW()/1000000000,""),"")</f>
        <v/>
      </c>
      <c r="V126" s="80" t="n">
        <f aca="false">IF(OR($O126="On hand",$O126="Advance received",$O126="Part realised",$O126="Amount missing"),1,0)</f>
        <v>0</v>
      </c>
      <c r="W126" s="80" t="str">
        <f aca="false">IF(AND($V126=1,N($F126)&gt;0),ROW(),"")</f>
        <v/>
      </c>
      <c r="X126" s="80" t="n">
        <f aca="false">IF(AND(OR($A126&lt;&gt;"",$E126&lt;&gt;""),$O126&lt;&gt;"Cancelled",ISNUMBER($E126),N($F126)+N($H126)&gt;$E126+0.005),1,0)</f>
        <v>0</v>
      </c>
      <c r="Y126" s="80" t="n">
        <f aca="false">IF(AND(OR($A126&lt;&gt;"",$E126&lt;&gt;""),OR($A126="",$E126="")),1,0)</f>
        <v>0</v>
      </c>
      <c r="Z126" s="80" t="n">
        <f aca="false">IF(AND($A126&lt;&gt;"",COUNTIF($A$7:$A$1006,$A126)&gt;1),1,0)</f>
        <v>0</v>
      </c>
    </row>
    <row r="127" customFormat="false" ht="15" hidden="false" customHeight="false" outlineLevel="0" collapsed="false">
      <c r="A127" s="71"/>
      <c r="B127" s="72"/>
      <c r="C127" s="73"/>
      <c r="D127" s="73"/>
      <c r="E127" s="74"/>
      <c r="F127" s="74"/>
      <c r="G127" s="72"/>
      <c r="H127" s="74"/>
      <c r="I127" s="72"/>
      <c r="J127" s="73"/>
      <c r="K127" s="73"/>
      <c r="L127" s="75" t="str">
        <f aca="false">IF(OR($A127&lt;&gt;"",$E127&lt;&gt;""),N($F127)+N($H127),"")</f>
        <v/>
      </c>
      <c r="M127" s="76" t="str">
        <f aca="false">IF(OR($O127="",$O127="Cancelled",$O127="Amount missing"),"",IF($O127="Realised",0,$E127-N($F127)-N($H127)))</f>
        <v/>
      </c>
      <c r="N127" s="77" t="str">
        <f aca="false">IF(OR($M127="",FX=""),"",$M127*FX)</f>
        <v/>
      </c>
      <c r="O127" s="78" t="str">
        <f aca="false">IF(NOT(OR($A127&lt;&gt;"",$E127&lt;&gt;"")),"",IF($J127="Cancelled","Cancelled",IF($E127="","Amount missing",IF(OR($J127="Settled",$E127-N($F127)-N($H127)&lt;=0.005),"Realised",IF(N($H127)&gt;0,"Part realised",IF(N($F127)&gt;0,"Advance received","On hand"))))))</f>
        <v/>
      </c>
      <c r="P127" s="79" t="str">
        <f aca="false">IF(AND($V127=1,ISNUMBER($B127)),AsAt-$B127,"")</f>
        <v/>
      </c>
      <c r="Q127" s="78" t="str">
        <f aca="false">IF($V127&lt;&gt;1,"",IF($P127="","No invoice date",IF($P127&lt;=30,"0–30 days",IF($P127&lt;=60,"31–60 days",IF($P127&lt;=90,"61–90 days","Over 90 days")))))</f>
        <v/>
      </c>
      <c r="R127" s="80" t="str">
        <f aca="false">IF($V127=1,ROW(),"")</f>
        <v/>
      </c>
      <c r="S127" s="80" t="str">
        <f aca="false">IF(OR($A127&lt;&gt;"",$E127&lt;&gt;""),IF(TRIM($D127)="","Buyer not noted",TRIM($D127)),"")</f>
        <v/>
      </c>
      <c r="T127" s="80" t="n">
        <f aca="false">IF(AND($V127=1,ISNUMBER($M127)),$M127,0)</f>
        <v>0</v>
      </c>
      <c r="U127" s="80" t="str">
        <f aca="false">IF($V127=1,IF(COUNTIFS($S$7:$S127,$S127,$V$7:$V127,1)=1,SUMIFS($T$7:$T$1006,$S$7:$S$1006,$S127)-ROW()/1000000000,""),"")</f>
        <v/>
      </c>
      <c r="V127" s="80" t="n">
        <f aca="false">IF(OR($O127="On hand",$O127="Advance received",$O127="Part realised",$O127="Amount missing"),1,0)</f>
        <v>0</v>
      </c>
      <c r="W127" s="80" t="str">
        <f aca="false">IF(AND($V127=1,N($F127)&gt;0),ROW(),"")</f>
        <v/>
      </c>
      <c r="X127" s="80" t="n">
        <f aca="false">IF(AND(OR($A127&lt;&gt;"",$E127&lt;&gt;""),$O127&lt;&gt;"Cancelled",ISNUMBER($E127),N($F127)+N($H127)&gt;$E127+0.005),1,0)</f>
        <v>0</v>
      </c>
      <c r="Y127" s="80" t="n">
        <f aca="false">IF(AND(OR($A127&lt;&gt;"",$E127&lt;&gt;""),OR($A127="",$E127="")),1,0)</f>
        <v>0</v>
      </c>
      <c r="Z127" s="80" t="n">
        <f aca="false">IF(AND($A127&lt;&gt;"",COUNTIF($A$7:$A$1006,$A127)&gt;1),1,0)</f>
        <v>0</v>
      </c>
    </row>
    <row r="128" customFormat="false" ht="15" hidden="false" customHeight="false" outlineLevel="0" collapsed="false">
      <c r="A128" s="71"/>
      <c r="B128" s="72"/>
      <c r="C128" s="73"/>
      <c r="D128" s="73"/>
      <c r="E128" s="74"/>
      <c r="F128" s="74"/>
      <c r="G128" s="72"/>
      <c r="H128" s="74"/>
      <c r="I128" s="72"/>
      <c r="J128" s="73"/>
      <c r="K128" s="73"/>
      <c r="L128" s="75" t="str">
        <f aca="false">IF(OR($A128&lt;&gt;"",$E128&lt;&gt;""),N($F128)+N($H128),"")</f>
        <v/>
      </c>
      <c r="M128" s="76" t="str">
        <f aca="false">IF(OR($O128="",$O128="Cancelled",$O128="Amount missing"),"",IF($O128="Realised",0,$E128-N($F128)-N($H128)))</f>
        <v/>
      </c>
      <c r="N128" s="77" t="str">
        <f aca="false">IF(OR($M128="",FX=""),"",$M128*FX)</f>
        <v/>
      </c>
      <c r="O128" s="78" t="str">
        <f aca="false">IF(NOT(OR($A128&lt;&gt;"",$E128&lt;&gt;"")),"",IF($J128="Cancelled","Cancelled",IF($E128="","Amount missing",IF(OR($J128="Settled",$E128-N($F128)-N($H128)&lt;=0.005),"Realised",IF(N($H128)&gt;0,"Part realised",IF(N($F128)&gt;0,"Advance received","On hand"))))))</f>
        <v/>
      </c>
      <c r="P128" s="79" t="str">
        <f aca="false">IF(AND($V128=1,ISNUMBER($B128)),AsAt-$B128,"")</f>
        <v/>
      </c>
      <c r="Q128" s="78" t="str">
        <f aca="false">IF($V128&lt;&gt;1,"",IF($P128="","No invoice date",IF($P128&lt;=30,"0–30 days",IF($P128&lt;=60,"31–60 days",IF($P128&lt;=90,"61–90 days","Over 90 days")))))</f>
        <v/>
      </c>
      <c r="R128" s="80" t="str">
        <f aca="false">IF($V128=1,ROW(),"")</f>
        <v/>
      </c>
      <c r="S128" s="80" t="str">
        <f aca="false">IF(OR($A128&lt;&gt;"",$E128&lt;&gt;""),IF(TRIM($D128)="","Buyer not noted",TRIM($D128)),"")</f>
        <v/>
      </c>
      <c r="T128" s="80" t="n">
        <f aca="false">IF(AND($V128=1,ISNUMBER($M128)),$M128,0)</f>
        <v>0</v>
      </c>
      <c r="U128" s="80" t="str">
        <f aca="false">IF($V128=1,IF(COUNTIFS($S$7:$S128,$S128,$V$7:$V128,1)=1,SUMIFS($T$7:$T$1006,$S$7:$S$1006,$S128)-ROW()/1000000000,""),"")</f>
        <v/>
      </c>
      <c r="V128" s="80" t="n">
        <f aca="false">IF(OR($O128="On hand",$O128="Advance received",$O128="Part realised",$O128="Amount missing"),1,0)</f>
        <v>0</v>
      </c>
      <c r="W128" s="80" t="str">
        <f aca="false">IF(AND($V128=1,N($F128)&gt;0),ROW(),"")</f>
        <v/>
      </c>
      <c r="X128" s="80" t="n">
        <f aca="false">IF(AND(OR($A128&lt;&gt;"",$E128&lt;&gt;""),$O128&lt;&gt;"Cancelled",ISNUMBER($E128),N($F128)+N($H128)&gt;$E128+0.005),1,0)</f>
        <v>0</v>
      </c>
      <c r="Y128" s="80" t="n">
        <f aca="false">IF(AND(OR($A128&lt;&gt;"",$E128&lt;&gt;""),OR($A128="",$E128="")),1,0)</f>
        <v>0</v>
      </c>
      <c r="Z128" s="80" t="n">
        <f aca="false">IF(AND($A128&lt;&gt;"",COUNTIF($A$7:$A$1006,$A128)&gt;1),1,0)</f>
        <v>0</v>
      </c>
    </row>
    <row r="129" customFormat="false" ht="15" hidden="false" customHeight="false" outlineLevel="0" collapsed="false">
      <c r="A129" s="71"/>
      <c r="B129" s="72"/>
      <c r="C129" s="73"/>
      <c r="D129" s="73"/>
      <c r="E129" s="74"/>
      <c r="F129" s="74"/>
      <c r="G129" s="72"/>
      <c r="H129" s="74"/>
      <c r="I129" s="72"/>
      <c r="J129" s="73"/>
      <c r="K129" s="73"/>
      <c r="L129" s="75" t="str">
        <f aca="false">IF(OR($A129&lt;&gt;"",$E129&lt;&gt;""),N($F129)+N($H129),"")</f>
        <v/>
      </c>
      <c r="M129" s="76" t="str">
        <f aca="false">IF(OR($O129="",$O129="Cancelled",$O129="Amount missing"),"",IF($O129="Realised",0,$E129-N($F129)-N($H129)))</f>
        <v/>
      </c>
      <c r="N129" s="77" t="str">
        <f aca="false">IF(OR($M129="",FX=""),"",$M129*FX)</f>
        <v/>
      </c>
      <c r="O129" s="78" t="str">
        <f aca="false">IF(NOT(OR($A129&lt;&gt;"",$E129&lt;&gt;"")),"",IF($J129="Cancelled","Cancelled",IF($E129="","Amount missing",IF(OR($J129="Settled",$E129-N($F129)-N($H129)&lt;=0.005),"Realised",IF(N($H129)&gt;0,"Part realised",IF(N($F129)&gt;0,"Advance received","On hand"))))))</f>
        <v/>
      </c>
      <c r="P129" s="79" t="str">
        <f aca="false">IF(AND($V129=1,ISNUMBER($B129)),AsAt-$B129,"")</f>
        <v/>
      </c>
      <c r="Q129" s="78" t="str">
        <f aca="false">IF($V129&lt;&gt;1,"",IF($P129="","No invoice date",IF($P129&lt;=30,"0–30 days",IF($P129&lt;=60,"31–60 days",IF($P129&lt;=90,"61–90 days","Over 90 days")))))</f>
        <v/>
      </c>
      <c r="R129" s="80" t="str">
        <f aca="false">IF($V129=1,ROW(),"")</f>
        <v/>
      </c>
      <c r="S129" s="80" t="str">
        <f aca="false">IF(OR($A129&lt;&gt;"",$E129&lt;&gt;""),IF(TRIM($D129)="","Buyer not noted",TRIM($D129)),"")</f>
        <v/>
      </c>
      <c r="T129" s="80" t="n">
        <f aca="false">IF(AND($V129=1,ISNUMBER($M129)),$M129,0)</f>
        <v>0</v>
      </c>
      <c r="U129" s="80" t="str">
        <f aca="false">IF($V129=1,IF(COUNTIFS($S$7:$S129,$S129,$V$7:$V129,1)=1,SUMIFS($T$7:$T$1006,$S$7:$S$1006,$S129)-ROW()/1000000000,""),"")</f>
        <v/>
      </c>
      <c r="V129" s="80" t="n">
        <f aca="false">IF(OR($O129="On hand",$O129="Advance received",$O129="Part realised",$O129="Amount missing"),1,0)</f>
        <v>0</v>
      </c>
      <c r="W129" s="80" t="str">
        <f aca="false">IF(AND($V129=1,N($F129)&gt;0),ROW(),"")</f>
        <v/>
      </c>
      <c r="X129" s="80" t="n">
        <f aca="false">IF(AND(OR($A129&lt;&gt;"",$E129&lt;&gt;""),$O129&lt;&gt;"Cancelled",ISNUMBER($E129),N($F129)+N($H129)&gt;$E129+0.005),1,0)</f>
        <v>0</v>
      </c>
      <c r="Y129" s="80" t="n">
        <f aca="false">IF(AND(OR($A129&lt;&gt;"",$E129&lt;&gt;""),OR($A129="",$E129="")),1,0)</f>
        <v>0</v>
      </c>
      <c r="Z129" s="80" t="n">
        <f aca="false">IF(AND($A129&lt;&gt;"",COUNTIF($A$7:$A$1006,$A129)&gt;1),1,0)</f>
        <v>0</v>
      </c>
    </row>
    <row r="130" customFormat="false" ht="15" hidden="false" customHeight="false" outlineLevel="0" collapsed="false">
      <c r="A130" s="71"/>
      <c r="B130" s="72"/>
      <c r="C130" s="73"/>
      <c r="D130" s="73"/>
      <c r="E130" s="74"/>
      <c r="F130" s="74"/>
      <c r="G130" s="72"/>
      <c r="H130" s="74"/>
      <c r="I130" s="72"/>
      <c r="J130" s="73"/>
      <c r="K130" s="73"/>
      <c r="L130" s="75" t="str">
        <f aca="false">IF(OR($A130&lt;&gt;"",$E130&lt;&gt;""),N($F130)+N($H130),"")</f>
        <v/>
      </c>
      <c r="M130" s="76" t="str">
        <f aca="false">IF(OR($O130="",$O130="Cancelled",$O130="Amount missing"),"",IF($O130="Realised",0,$E130-N($F130)-N($H130)))</f>
        <v/>
      </c>
      <c r="N130" s="77" t="str">
        <f aca="false">IF(OR($M130="",FX=""),"",$M130*FX)</f>
        <v/>
      </c>
      <c r="O130" s="78" t="str">
        <f aca="false">IF(NOT(OR($A130&lt;&gt;"",$E130&lt;&gt;"")),"",IF($J130="Cancelled","Cancelled",IF($E130="","Amount missing",IF(OR($J130="Settled",$E130-N($F130)-N($H130)&lt;=0.005),"Realised",IF(N($H130)&gt;0,"Part realised",IF(N($F130)&gt;0,"Advance received","On hand"))))))</f>
        <v/>
      </c>
      <c r="P130" s="79" t="str">
        <f aca="false">IF(AND($V130=1,ISNUMBER($B130)),AsAt-$B130,"")</f>
        <v/>
      </c>
      <c r="Q130" s="78" t="str">
        <f aca="false">IF($V130&lt;&gt;1,"",IF($P130="","No invoice date",IF($P130&lt;=30,"0–30 days",IF($P130&lt;=60,"31–60 days",IF($P130&lt;=90,"61–90 days","Over 90 days")))))</f>
        <v/>
      </c>
      <c r="R130" s="80" t="str">
        <f aca="false">IF($V130=1,ROW(),"")</f>
        <v/>
      </c>
      <c r="S130" s="80" t="str">
        <f aca="false">IF(OR($A130&lt;&gt;"",$E130&lt;&gt;""),IF(TRIM($D130)="","Buyer not noted",TRIM($D130)),"")</f>
        <v/>
      </c>
      <c r="T130" s="80" t="n">
        <f aca="false">IF(AND($V130=1,ISNUMBER($M130)),$M130,0)</f>
        <v>0</v>
      </c>
      <c r="U130" s="80" t="str">
        <f aca="false">IF($V130=1,IF(COUNTIFS($S$7:$S130,$S130,$V$7:$V130,1)=1,SUMIFS($T$7:$T$1006,$S$7:$S$1006,$S130)-ROW()/1000000000,""),"")</f>
        <v/>
      </c>
      <c r="V130" s="80" t="n">
        <f aca="false">IF(OR($O130="On hand",$O130="Advance received",$O130="Part realised",$O130="Amount missing"),1,0)</f>
        <v>0</v>
      </c>
      <c r="W130" s="80" t="str">
        <f aca="false">IF(AND($V130=1,N($F130)&gt;0),ROW(),"")</f>
        <v/>
      </c>
      <c r="X130" s="80" t="n">
        <f aca="false">IF(AND(OR($A130&lt;&gt;"",$E130&lt;&gt;""),$O130&lt;&gt;"Cancelled",ISNUMBER($E130),N($F130)+N($H130)&gt;$E130+0.005),1,0)</f>
        <v>0</v>
      </c>
      <c r="Y130" s="80" t="n">
        <f aca="false">IF(AND(OR($A130&lt;&gt;"",$E130&lt;&gt;""),OR($A130="",$E130="")),1,0)</f>
        <v>0</v>
      </c>
      <c r="Z130" s="80" t="n">
        <f aca="false">IF(AND($A130&lt;&gt;"",COUNTIF($A$7:$A$1006,$A130)&gt;1),1,0)</f>
        <v>0</v>
      </c>
    </row>
    <row r="131" customFormat="false" ht="15" hidden="false" customHeight="false" outlineLevel="0" collapsed="false">
      <c r="A131" s="71"/>
      <c r="B131" s="72"/>
      <c r="C131" s="73"/>
      <c r="D131" s="73"/>
      <c r="E131" s="74"/>
      <c r="F131" s="74"/>
      <c r="G131" s="72"/>
      <c r="H131" s="74"/>
      <c r="I131" s="72"/>
      <c r="J131" s="73"/>
      <c r="K131" s="73"/>
      <c r="L131" s="75" t="str">
        <f aca="false">IF(OR($A131&lt;&gt;"",$E131&lt;&gt;""),N($F131)+N($H131),"")</f>
        <v/>
      </c>
      <c r="M131" s="76" t="str">
        <f aca="false">IF(OR($O131="",$O131="Cancelled",$O131="Amount missing"),"",IF($O131="Realised",0,$E131-N($F131)-N($H131)))</f>
        <v/>
      </c>
      <c r="N131" s="77" t="str">
        <f aca="false">IF(OR($M131="",FX=""),"",$M131*FX)</f>
        <v/>
      </c>
      <c r="O131" s="78" t="str">
        <f aca="false">IF(NOT(OR($A131&lt;&gt;"",$E131&lt;&gt;"")),"",IF($J131="Cancelled","Cancelled",IF($E131="","Amount missing",IF(OR($J131="Settled",$E131-N($F131)-N($H131)&lt;=0.005),"Realised",IF(N($H131)&gt;0,"Part realised",IF(N($F131)&gt;0,"Advance received","On hand"))))))</f>
        <v/>
      </c>
      <c r="P131" s="79" t="str">
        <f aca="false">IF(AND($V131=1,ISNUMBER($B131)),AsAt-$B131,"")</f>
        <v/>
      </c>
      <c r="Q131" s="78" t="str">
        <f aca="false">IF($V131&lt;&gt;1,"",IF($P131="","No invoice date",IF($P131&lt;=30,"0–30 days",IF($P131&lt;=60,"31–60 days",IF($P131&lt;=90,"61–90 days","Over 90 days")))))</f>
        <v/>
      </c>
      <c r="R131" s="80" t="str">
        <f aca="false">IF($V131=1,ROW(),"")</f>
        <v/>
      </c>
      <c r="S131" s="80" t="str">
        <f aca="false">IF(OR($A131&lt;&gt;"",$E131&lt;&gt;""),IF(TRIM($D131)="","Buyer not noted",TRIM($D131)),"")</f>
        <v/>
      </c>
      <c r="T131" s="80" t="n">
        <f aca="false">IF(AND($V131=1,ISNUMBER($M131)),$M131,0)</f>
        <v>0</v>
      </c>
      <c r="U131" s="80" t="str">
        <f aca="false">IF($V131=1,IF(COUNTIFS($S$7:$S131,$S131,$V$7:$V131,1)=1,SUMIFS($T$7:$T$1006,$S$7:$S$1006,$S131)-ROW()/1000000000,""),"")</f>
        <v/>
      </c>
      <c r="V131" s="80" t="n">
        <f aca="false">IF(OR($O131="On hand",$O131="Advance received",$O131="Part realised",$O131="Amount missing"),1,0)</f>
        <v>0</v>
      </c>
      <c r="W131" s="80" t="str">
        <f aca="false">IF(AND($V131=1,N($F131)&gt;0),ROW(),"")</f>
        <v/>
      </c>
      <c r="X131" s="80" t="n">
        <f aca="false">IF(AND(OR($A131&lt;&gt;"",$E131&lt;&gt;""),$O131&lt;&gt;"Cancelled",ISNUMBER($E131),N($F131)+N($H131)&gt;$E131+0.005),1,0)</f>
        <v>0</v>
      </c>
      <c r="Y131" s="80" t="n">
        <f aca="false">IF(AND(OR($A131&lt;&gt;"",$E131&lt;&gt;""),OR($A131="",$E131="")),1,0)</f>
        <v>0</v>
      </c>
      <c r="Z131" s="80" t="n">
        <f aca="false">IF(AND($A131&lt;&gt;"",COUNTIF($A$7:$A$1006,$A131)&gt;1),1,0)</f>
        <v>0</v>
      </c>
    </row>
    <row r="132" customFormat="false" ht="15" hidden="false" customHeight="false" outlineLevel="0" collapsed="false">
      <c r="A132" s="71"/>
      <c r="B132" s="72"/>
      <c r="C132" s="73"/>
      <c r="D132" s="73"/>
      <c r="E132" s="74"/>
      <c r="F132" s="74"/>
      <c r="G132" s="72"/>
      <c r="H132" s="74"/>
      <c r="I132" s="72"/>
      <c r="J132" s="73"/>
      <c r="K132" s="73"/>
      <c r="L132" s="75" t="str">
        <f aca="false">IF(OR($A132&lt;&gt;"",$E132&lt;&gt;""),N($F132)+N($H132),"")</f>
        <v/>
      </c>
      <c r="M132" s="76" t="str">
        <f aca="false">IF(OR($O132="",$O132="Cancelled",$O132="Amount missing"),"",IF($O132="Realised",0,$E132-N($F132)-N($H132)))</f>
        <v/>
      </c>
      <c r="N132" s="77" t="str">
        <f aca="false">IF(OR($M132="",FX=""),"",$M132*FX)</f>
        <v/>
      </c>
      <c r="O132" s="78" t="str">
        <f aca="false">IF(NOT(OR($A132&lt;&gt;"",$E132&lt;&gt;"")),"",IF($J132="Cancelled","Cancelled",IF($E132="","Amount missing",IF(OR($J132="Settled",$E132-N($F132)-N($H132)&lt;=0.005),"Realised",IF(N($H132)&gt;0,"Part realised",IF(N($F132)&gt;0,"Advance received","On hand"))))))</f>
        <v/>
      </c>
      <c r="P132" s="79" t="str">
        <f aca="false">IF(AND($V132=1,ISNUMBER($B132)),AsAt-$B132,"")</f>
        <v/>
      </c>
      <c r="Q132" s="78" t="str">
        <f aca="false">IF($V132&lt;&gt;1,"",IF($P132="","No invoice date",IF($P132&lt;=30,"0–30 days",IF($P132&lt;=60,"31–60 days",IF($P132&lt;=90,"61–90 days","Over 90 days")))))</f>
        <v/>
      </c>
      <c r="R132" s="80" t="str">
        <f aca="false">IF($V132=1,ROW(),"")</f>
        <v/>
      </c>
      <c r="S132" s="80" t="str">
        <f aca="false">IF(OR($A132&lt;&gt;"",$E132&lt;&gt;""),IF(TRIM($D132)="","Buyer not noted",TRIM($D132)),"")</f>
        <v/>
      </c>
      <c r="T132" s="80" t="n">
        <f aca="false">IF(AND($V132=1,ISNUMBER($M132)),$M132,0)</f>
        <v>0</v>
      </c>
      <c r="U132" s="80" t="str">
        <f aca="false">IF($V132=1,IF(COUNTIFS($S$7:$S132,$S132,$V$7:$V132,1)=1,SUMIFS($T$7:$T$1006,$S$7:$S$1006,$S132)-ROW()/1000000000,""),"")</f>
        <v/>
      </c>
      <c r="V132" s="80" t="n">
        <f aca="false">IF(OR($O132="On hand",$O132="Advance received",$O132="Part realised",$O132="Amount missing"),1,0)</f>
        <v>0</v>
      </c>
      <c r="W132" s="80" t="str">
        <f aca="false">IF(AND($V132=1,N($F132)&gt;0),ROW(),"")</f>
        <v/>
      </c>
      <c r="X132" s="80" t="n">
        <f aca="false">IF(AND(OR($A132&lt;&gt;"",$E132&lt;&gt;""),$O132&lt;&gt;"Cancelled",ISNUMBER($E132),N($F132)+N($H132)&gt;$E132+0.005),1,0)</f>
        <v>0</v>
      </c>
      <c r="Y132" s="80" t="n">
        <f aca="false">IF(AND(OR($A132&lt;&gt;"",$E132&lt;&gt;""),OR($A132="",$E132="")),1,0)</f>
        <v>0</v>
      </c>
      <c r="Z132" s="80" t="n">
        <f aca="false">IF(AND($A132&lt;&gt;"",COUNTIF($A$7:$A$1006,$A132)&gt;1),1,0)</f>
        <v>0</v>
      </c>
    </row>
    <row r="133" customFormat="false" ht="15" hidden="false" customHeight="false" outlineLevel="0" collapsed="false">
      <c r="A133" s="71"/>
      <c r="B133" s="72"/>
      <c r="C133" s="73"/>
      <c r="D133" s="73"/>
      <c r="E133" s="74"/>
      <c r="F133" s="74"/>
      <c r="G133" s="72"/>
      <c r="H133" s="74"/>
      <c r="I133" s="72"/>
      <c r="J133" s="73"/>
      <c r="K133" s="73"/>
      <c r="L133" s="75" t="str">
        <f aca="false">IF(OR($A133&lt;&gt;"",$E133&lt;&gt;""),N($F133)+N($H133),"")</f>
        <v/>
      </c>
      <c r="M133" s="76" t="str">
        <f aca="false">IF(OR($O133="",$O133="Cancelled",$O133="Amount missing"),"",IF($O133="Realised",0,$E133-N($F133)-N($H133)))</f>
        <v/>
      </c>
      <c r="N133" s="77" t="str">
        <f aca="false">IF(OR($M133="",FX=""),"",$M133*FX)</f>
        <v/>
      </c>
      <c r="O133" s="78" t="str">
        <f aca="false">IF(NOT(OR($A133&lt;&gt;"",$E133&lt;&gt;"")),"",IF($J133="Cancelled","Cancelled",IF($E133="","Amount missing",IF(OR($J133="Settled",$E133-N($F133)-N($H133)&lt;=0.005),"Realised",IF(N($H133)&gt;0,"Part realised",IF(N($F133)&gt;0,"Advance received","On hand"))))))</f>
        <v/>
      </c>
      <c r="P133" s="79" t="str">
        <f aca="false">IF(AND($V133=1,ISNUMBER($B133)),AsAt-$B133,"")</f>
        <v/>
      </c>
      <c r="Q133" s="78" t="str">
        <f aca="false">IF($V133&lt;&gt;1,"",IF($P133="","No invoice date",IF($P133&lt;=30,"0–30 days",IF($P133&lt;=60,"31–60 days",IF($P133&lt;=90,"61–90 days","Over 90 days")))))</f>
        <v/>
      </c>
      <c r="R133" s="80" t="str">
        <f aca="false">IF($V133=1,ROW(),"")</f>
        <v/>
      </c>
      <c r="S133" s="80" t="str">
        <f aca="false">IF(OR($A133&lt;&gt;"",$E133&lt;&gt;""),IF(TRIM($D133)="","Buyer not noted",TRIM($D133)),"")</f>
        <v/>
      </c>
      <c r="T133" s="80" t="n">
        <f aca="false">IF(AND($V133=1,ISNUMBER($M133)),$M133,0)</f>
        <v>0</v>
      </c>
      <c r="U133" s="80" t="str">
        <f aca="false">IF($V133=1,IF(COUNTIFS($S$7:$S133,$S133,$V$7:$V133,1)=1,SUMIFS($T$7:$T$1006,$S$7:$S$1006,$S133)-ROW()/1000000000,""),"")</f>
        <v/>
      </c>
      <c r="V133" s="80" t="n">
        <f aca="false">IF(OR($O133="On hand",$O133="Advance received",$O133="Part realised",$O133="Amount missing"),1,0)</f>
        <v>0</v>
      </c>
      <c r="W133" s="80" t="str">
        <f aca="false">IF(AND($V133=1,N($F133)&gt;0),ROW(),"")</f>
        <v/>
      </c>
      <c r="X133" s="80" t="n">
        <f aca="false">IF(AND(OR($A133&lt;&gt;"",$E133&lt;&gt;""),$O133&lt;&gt;"Cancelled",ISNUMBER($E133),N($F133)+N($H133)&gt;$E133+0.005),1,0)</f>
        <v>0</v>
      </c>
      <c r="Y133" s="80" t="n">
        <f aca="false">IF(AND(OR($A133&lt;&gt;"",$E133&lt;&gt;""),OR($A133="",$E133="")),1,0)</f>
        <v>0</v>
      </c>
      <c r="Z133" s="80" t="n">
        <f aca="false">IF(AND($A133&lt;&gt;"",COUNTIF($A$7:$A$1006,$A133)&gt;1),1,0)</f>
        <v>0</v>
      </c>
    </row>
    <row r="134" customFormat="false" ht="15" hidden="false" customHeight="false" outlineLevel="0" collapsed="false">
      <c r="A134" s="71"/>
      <c r="B134" s="72"/>
      <c r="C134" s="73"/>
      <c r="D134" s="73"/>
      <c r="E134" s="74"/>
      <c r="F134" s="74"/>
      <c r="G134" s="72"/>
      <c r="H134" s="74"/>
      <c r="I134" s="72"/>
      <c r="J134" s="73"/>
      <c r="K134" s="73"/>
      <c r="L134" s="75" t="str">
        <f aca="false">IF(OR($A134&lt;&gt;"",$E134&lt;&gt;""),N($F134)+N($H134),"")</f>
        <v/>
      </c>
      <c r="M134" s="76" t="str">
        <f aca="false">IF(OR($O134="",$O134="Cancelled",$O134="Amount missing"),"",IF($O134="Realised",0,$E134-N($F134)-N($H134)))</f>
        <v/>
      </c>
      <c r="N134" s="77" t="str">
        <f aca="false">IF(OR($M134="",FX=""),"",$M134*FX)</f>
        <v/>
      </c>
      <c r="O134" s="78" t="str">
        <f aca="false">IF(NOT(OR($A134&lt;&gt;"",$E134&lt;&gt;"")),"",IF($J134="Cancelled","Cancelled",IF($E134="","Amount missing",IF(OR($J134="Settled",$E134-N($F134)-N($H134)&lt;=0.005),"Realised",IF(N($H134)&gt;0,"Part realised",IF(N($F134)&gt;0,"Advance received","On hand"))))))</f>
        <v/>
      </c>
      <c r="P134" s="79" t="str">
        <f aca="false">IF(AND($V134=1,ISNUMBER($B134)),AsAt-$B134,"")</f>
        <v/>
      </c>
      <c r="Q134" s="78" t="str">
        <f aca="false">IF($V134&lt;&gt;1,"",IF($P134="","No invoice date",IF($P134&lt;=30,"0–30 days",IF($P134&lt;=60,"31–60 days",IF($P134&lt;=90,"61–90 days","Over 90 days")))))</f>
        <v/>
      </c>
      <c r="R134" s="80" t="str">
        <f aca="false">IF($V134=1,ROW(),"")</f>
        <v/>
      </c>
      <c r="S134" s="80" t="str">
        <f aca="false">IF(OR($A134&lt;&gt;"",$E134&lt;&gt;""),IF(TRIM($D134)="","Buyer not noted",TRIM($D134)),"")</f>
        <v/>
      </c>
      <c r="T134" s="80" t="n">
        <f aca="false">IF(AND($V134=1,ISNUMBER($M134)),$M134,0)</f>
        <v>0</v>
      </c>
      <c r="U134" s="80" t="str">
        <f aca="false">IF($V134=1,IF(COUNTIFS($S$7:$S134,$S134,$V$7:$V134,1)=1,SUMIFS($T$7:$T$1006,$S$7:$S$1006,$S134)-ROW()/1000000000,""),"")</f>
        <v/>
      </c>
      <c r="V134" s="80" t="n">
        <f aca="false">IF(OR($O134="On hand",$O134="Advance received",$O134="Part realised",$O134="Amount missing"),1,0)</f>
        <v>0</v>
      </c>
      <c r="W134" s="80" t="str">
        <f aca="false">IF(AND($V134=1,N($F134)&gt;0),ROW(),"")</f>
        <v/>
      </c>
      <c r="X134" s="80" t="n">
        <f aca="false">IF(AND(OR($A134&lt;&gt;"",$E134&lt;&gt;""),$O134&lt;&gt;"Cancelled",ISNUMBER($E134),N($F134)+N($H134)&gt;$E134+0.005),1,0)</f>
        <v>0</v>
      </c>
      <c r="Y134" s="80" t="n">
        <f aca="false">IF(AND(OR($A134&lt;&gt;"",$E134&lt;&gt;""),OR($A134="",$E134="")),1,0)</f>
        <v>0</v>
      </c>
      <c r="Z134" s="80" t="n">
        <f aca="false">IF(AND($A134&lt;&gt;"",COUNTIF($A$7:$A$1006,$A134)&gt;1),1,0)</f>
        <v>0</v>
      </c>
    </row>
    <row r="135" customFormat="false" ht="15" hidden="false" customHeight="false" outlineLevel="0" collapsed="false">
      <c r="A135" s="71"/>
      <c r="B135" s="72"/>
      <c r="C135" s="73"/>
      <c r="D135" s="73"/>
      <c r="E135" s="74"/>
      <c r="F135" s="74"/>
      <c r="G135" s="72"/>
      <c r="H135" s="74"/>
      <c r="I135" s="72"/>
      <c r="J135" s="73"/>
      <c r="K135" s="73"/>
      <c r="L135" s="75" t="str">
        <f aca="false">IF(OR($A135&lt;&gt;"",$E135&lt;&gt;""),N($F135)+N($H135),"")</f>
        <v/>
      </c>
      <c r="M135" s="76" t="str">
        <f aca="false">IF(OR($O135="",$O135="Cancelled",$O135="Amount missing"),"",IF($O135="Realised",0,$E135-N($F135)-N($H135)))</f>
        <v/>
      </c>
      <c r="N135" s="77" t="str">
        <f aca="false">IF(OR($M135="",FX=""),"",$M135*FX)</f>
        <v/>
      </c>
      <c r="O135" s="78" t="str">
        <f aca="false">IF(NOT(OR($A135&lt;&gt;"",$E135&lt;&gt;"")),"",IF($J135="Cancelled","Cancelled",IF($E135="","Amount missing",IF(OR($J135="Settled",$E135-N($F135)-N($H135)&lt;=0.005),"Realised",IF(N($H135)&gt;0,"Part realised",IF(N($F135)&gt;0,"Advance received","On hand"))))))</f>
        <v/>
      </c>
      <c r="P135" s="79" t="str">
        <f aca="false">IF(AND($V135=1,ISNUMBER($B135)),AsAt-$B135,"")</f>
        <v/>
      </c>
      <c r="Q135" s="78" t="str">
        <f aca="false">IF($V135&lt;&gt;1,"",IF($P135="","No invoice date",IF($P135&lt;=30,"0–30 days",IF($P135&lt;=60,"31–60 days",IF($P135&lt;=90,"61–90 days","Over 90 days")))))</f>
        <v/>
      </c>
      <c r="R135" s="80" t="str">
        <f aca="false">IF($V135=1,ROW(),"")</f>
        <v/>
      </c>
      <c r="S135" s="80" t="str">
        <f aca="false">IF(OR($A135&lt;&gt;"",$E135&lt;&gt;""),IF(TRIM($D135)="","Buyer not noted",TRIM($D135)),"")</f>
        <v/>
      </c>
      <c r="T135" s="80" t="n">
        <f aca="false">IF(AND($V135=1,ISNUMBER($M135)),$M135,0)</f>
        <v>0</v>
      </c>
      <c r="U135" s="80" t="str">
        <f aca="false">IF($V135=1,IF(COUNTIFS($S$7:$S135,$S135,$V$7:$V135,1)=1,SUMIFS($T$7:$T$1006,$S$7:$S$1006,$S135)-ROW()/1000000000,""),"")</f>
        <v/>
      </c>
      <c r="V135" s="80" t="n">
        <f aca="false">IF(OR($O135="On hand",$O135="Advance received",$O135="Part realised",$O135="Amount missing"),1,0)</f>
        <v>0</v>
      </c>
      <c r="W135" s="80" t="str">
        <f aca="false">IF(AND($V135=1,N($F135)&gt;0),ROW(),"")</f>
        <v/>
      </c>
      <c r="X135" s="80" t="n">
        <f aca="false">IF(AND(OR($A135&lt;&gt;"",$E135&lt;&gt;""),$O135&lt;&gt;"Cancelled",ISNUMBER($E135),N($F135)+N($H135)&gt;$E135+0.005),1,0)</f>
        <v>0</v>
      </c>
      <c r="Y135" s="80" t="n">
        <f aca="false">IF(AND(OR($A135&lt;&gt;"",$E135&lt;&gt;""),OR($A135="",$E135="")),1,0)</f>
        <v>0</v>
      </c>
      <c r="Z135" s="80" t="n">
        <f aca="false">IF(AND($A135&lt;&gt;"",COUNTIF($A$7:$A$1006,$A135)&gt;1),1,0)</f>
        <v>0</v>
      </c>
    </row>
    <row r="136" customFormat="false" ht="15" hidden="false" customHeight="false" outlineLevel="0" collapsed="false">
      <c r="A136" s="71"/>
      <c r="B136" s="72"/>
      <c r="C136" s="73"/>
      <c r="D136" s="73"/>
      <c r="E136" s="74"/>
      <c r="F136" s="74"/>
      <c r="G136" s="72"/>
      <c r="H136" s="74"/>
      <c r="I136" s="72"/>
      <c r="J136" s="73"/>
      <c r="K136" s="73"/>
      <c r="L136" s="75" t="str">
        <f aca="false">IF(OR($A136&lt;&gt;"",$E136&lt;&gt;""),N($F136)+N($H136),"")</f>
        <v/>
      </c>
      <c r="M136" s="76" t="str">
        <f aca="false">IF(OR($O136="",$O136="Cancelled",$O136="Amount missing"),"",IF($O136="Realised",0,$E136-N($F136)-N($H136)))</f>
        <v/>
      </c>
      <c r="N136" s="77" t="str">
        <f aca="false">IF(OR($M136="",FX=""),"",$M136*FX)</f>
        <v/>
      </c>
      <c r="O136" s="78" t="str">
        <f aca="false">IF(NOT(OR($A136&lt;&gt;"",$E136&lt;&gt;"")),"",IF($J136="Cancelled","Cancelled",IF($E136="","Amount missing",IF(OR($J136="Settled",$E136-N($F136)-N($H136)&lt;=0.005),"Realised",IF(N($H136)&gt;0,"Part realised",IF(N($F136)&gt;0,"Advance received","On hand"))))))</f>
        <v/>
      </c>
      <c r="P136" s="79" t="str">
        <f aca="false">IF(AND($V136=1,ISNUMBER($B136)),AsAt-$B136,"")</f>
        <v/>
      </c>
      <c r="Q136" s="78" t="str">
        <f aca="false">IF($V136&lt;&gt;1,"",IF($P136="","No invoice date",IF($P136&lt;=30,"0–30 days",IF($P136&lt;=60,"31–60 days",IF($P136&lt;=90,"61–90 days","Over 90 days")))))</f>
        <v/>
      </c>
      <c r="R136" s="80" t="str">
        <f aca="false">IF($V136=1,ROW(),"")</f>
        <v/>
      </c>
      <c r="S136" s="80" t="str">
        <f aca="false">IF(OR($A136&lt;&gt;"",$E136&lt;&gt;""),IF(TRIM($D136)="","Buyer not noted",TRIM($D136)),"")</f>
        <v/>
      </c>
      <c r="T136" s="80" t="n">
        <f aca="false">IF(AND($V136=1,ISNUMBER($M136)),$M136,0)</f>
        <v>0</v>
      </c>
      <c r="U136" s="80" t="str">
        <f aca="false">IF($V136=1,IF(COUNTIFS($S$7:$S136,$S136,$V$7:$V136,1)=1,SUMIFS($T$7:$T$1006,$S$7:$S$1006,$S136)-ROW()/1000000000,""),"")</f>
        <v/>
      </c>
      <c r="V136" s="80" t="n">
        <f aca="false">IF(OR($O136="On hand",$O136="Advance received",$O136="Part realised",$O136="Amount missing"),1,0)</f>
        <v>0</v>
      </c>
      <c r="W136" s="80" t="str">
        <f aca="false">IF(AND($V136=1,N($F136)&gt;0),ROW(),"")</f>
        <v/>
      </c>
      <c r="X136" s="80" t="n">
        <f aca="false">IF(AND(OR($A136&lt;&gt;"",$E136&lt;&gt;""),$O136&lt;&gt;"Cancelled",ISNUMBER($E136),N($F136)+N($H136)&gt;$E136+0.005),1,0)</f>
        <v>0</v>
      </c>
      <c r="Y136" s="80" t="n">
        <f aca="false">IF(AND(OR($A136&lt;&gt;"",$E136&lt;&gt;""),OR($A136="",$E136="")),1,0)</f>
        <v>0</v>
      </c>
      <c r="Z136" s="80" t="n">
        <f aca="false">IF(AND($A136&lt;&gt;"",COUNTIF($A$7:$A$1006,$A136)&gt;1),1,0)</f>
        <v>0</v>
      </c>
    </row>
    <row r="137" customFormat="false" ht="15" hidden="false" customHeight="false" outlineLevel="0" collapsed="false">
      <c r="A137" s="71"/>
      <c r="B137" s="72"/>
      <c r="C137" s="73"/>
      <c r="D137" s="73"/>
      <c r="E137" s="74"/>
      <c r="F137" s="74"/>
      <c r="G137" s="72"/>
      <c r="H137" s="74"/>
      <c r="I137" s="72"/>
      <c r="J137" s="73"/>
      <c r="K137" s="73"/>
      <c r="L137" s="75" t="str">
        <f aca="false">IF(OR($A137&lt;&gt;"",$E137&lt;&gt;""),N($F137)+N($H137),"")</f>
        <v/>
      </c>
      <c r="M137" s="76" t="str">
        <f aca="false">IF(OR($O137="",$O137="Cancelled",$O137="Amount missing"),"",IF($O137="Realised",0,$E137-N($F137)-N($H137)))</f>
        <v/>
      </c>
      <c r="N137" s="77" t="str">
        <f aca="false">IF(OR($M137="",FX=""),"",$M137*FX)</f>
        <v/>
      </c>
      <c r="O137" s="78" t="str">
        <f aca="false">IF(NOT(OR($A137&lt;&gt;"",$E137&lt;&gt;"")),"",IF($J137="Cancelled","Cancelled",IF($E137="","Amount missing",IF(OR($J137="Settled",$E137-N($F137)-N($H137)&lt;=0.005),"Realised",IF(N($H137)&gt;0,"Part realised",IF(N($F137)&gt;0,"Advance received","On hand"))))))</f>
        <v/>
      </c>
      <c r="P137" s="79" t="str">
        <f aca="false">IF(AND($V137=1,ISNUMBER($B137)),AsAt-$B137,"")</f>
        <v/>
      </c>
      <c r="Q137" s="78" t="str">
        <f aca="false">IF($V137&lt;&gt;1,"",IF($P137="","No invoice date",IF($P137&lt;=30,"0–30 days",IF($P137&lt;=60,"31–60 days",IF($P137&lt;=90,"61–90 days","Over 90 days")))))</f>
        <v/>
      </c>
      <c r="R137" s="80" t="str">
        <f aca="false">IF($V137=1,ROW(),"")</f>
        <v/>
      </c>
      <c r="S137" s="80" t="str">
        <f aca="false">IF(OR($A137&lt;&gt;"",$E137&lt;&gt;""),IF(TRIM($D137)="","Buyer not noted",TRIM($D137)),"")</f>
        <v/>
      </c>
      <c r="T137" s="80" t="n">
        <f aca="false">IF(AND($V137=1,ISNUMBER($M137)),$M137,0)</f>
        <v>0</v>
      </c>
      <c r="U137" s="80" t="str">
        <f aca="false">IF($V137=1,IF(COUNTIFS($S$7:$S137,$S137,$V$7:$V137,1)=1,SUMIFS($T$7:$T$1006,$S$7:$S$1006,$S137)-ROW()/1000000000,""),"")</f>
        <v/>
      </c>
      <c r="V137" s="80" t="n">
        <f aca="false">IF(OR($O137="On hand",$O137="Advance received",$O137="Part realised",$O137="Amount missing"),1,0)</f>
        <v>0</v>
      </c>
      <c r="W137" s="80" t="str">
        <f aca="false">IF(AND($V137=1,N($F137)&gt;0),ROW(),"")</f>
        <v/>
      </c>
      <c r="X137" s="80" t="n">
        <f aca="false">IF(AND(OR($A137&lt;&gt;"",$E137&lt;&gt;""),$O137&lt;&gt;"Cancelled",ISNUMBER($E137),N($F137)+N($H137)&gt;$E137+0.005),1,0)</f>
        <v>0</v>
      </c>
      <c r="Y137" s="80" t="n">
        <f aca="false">IF(AND(OR($A137&lt;&gt;"",$E137&lt;&gt;""),OR($A137="",$E137="")),1,0)</f>
        <v>0</v>
      </c>
      <c r="Z137" s="80" t="n">
        <f aca="false">IF(AND($A137&lt;&gt;"",COUNTIF($A$7:$A$1006,$A137)&gt;1),1,0)</f>
        <v>0</v>
      </c>
    </row>
    <row r="138" customFormat="false" ht="15" hidden="false" customHeight="false" outlineLevel="0" collapsed="false">
      <c r="A138" s="71"/>
      <c r="B138" s="72"/>
      <c r="C138" s="73"/>
      <c r="D138" s="73"/>
      <c r="E138" s="74"/>
      <c r="F138" s="74"/>
      <c r="G138" s="72"/>
      <c r="H138" s="74"/>
      <c r="I138" s="72"/>
      <c r="J138" s="73"/>
      <c r="K138" s="73"/>
      <c r="L138" s="75" t="str">
        <f aca="false">IF(OR($A138&lt;&gt;"",$E138&lt;&gt;""),N($F138)+N($H138),"")</f>
        <v/>
      </c>
      <c r="M138" s="76" t="str">
        <f aca="false">IF(OR($O138="",$O138="Cancelled",$O138="Amount missing"),"",IF($O138="Realised",0,$E138-N($F138)-N($H138)))</f>
        <v/>
      </c>
      <c r="N138" s="77" t="str">
        <f aca="false">IF(OR($M138="",FX=""),"",$M138*FX)</f>
        <v/>
      </c>
      <c r="O138" s="78" t="str">
        <f aca="false">IF(NOT(OR($A138&lt;&gt;"",$E138&lt;&gt;"")),"",IF($J138="Cancelled","Cancelled",IF($E138="","Amount missing",IF(OR($J138="Settled",$E138-N($F138)-N($H138)&lt;=0.005),"Realised",IF(N($H138)&gt;0,"Part realised",IF(N($F138)&gt;0,"Advance received","On hand"))))))</f>
        <v/>
      </c>
      <c r="P138" s="79" t="str">
        <f aca="false">IF(AND($V138=1,ISNUMBER($B138)),AsAt-$B138,"")</f>
        <v/>
      </c>
      <c r="Q138" s="78" t="str">
        <f aca="false">IF($V138&lt;&gt;1,"",IF($P138="","No invoice date",IF($P138&lt;=30,"0–30 days",IF($P138&lt;=60,"31–60 days",IF($P138&lt;=90,"61–90 days","Over 90 days")))))</f>
        <v/>
      </c>
      <c r="R138" s="80" t="str">
        <f aca="false">IF($V138=1,ROW(),"")</f>
        <v/>
      </c>
      <c r="S138" s="80" t="str">
        <f aca="false">IF(OR($A138&lt;&gt;"",$E138&lt;&gt;""),IF(TRIM($D138)="","Buyer not noted",TRIM($D138)),"")</f>
        <v/>
      </c>
      <c r="T138" s="80" t="n">
        <f aca="false">IF(AND($V138=1,ISNUMBER($M138)),$M138,0)</f>
        <v>0</v>
      </c>
      <c r="U138" s="80" t="str">
        <f aca="false">IF($V138=1,IF(COUNTIFS($S$7:$S138,$S138,$V$7:$V138,1)=1,SUMIFS($T$7:$T$1006,$S$7:$S$1006,$S138)-ROW()/1000000000,""),"")</f>
        <v/>
      </c>
      <c r="V138" s="80" t="n">
        <f aca="false">IF(OR($O138="On hand",$O138="Advance received",$O138="Part realised",$O138="Amount missing"),1,0)</f>
        <v>0</v>
      </c>
      <c r="W138" s="80" t="str">
        <f aca="false">IF(AND($V138=1,N($F138)&gt;0),ROW(),"")</f>
        <v/>
      </c>
      <c r="X138" s="80" t="n">
        <f aca="false">IF(AND(OR($A138&lt;&gt;"",$E138&lt;&gt;""),$O138&lt;&gt;"Cancelled",ISNUMBER($E138),N($F138)+N($H138)&gt;$E138+0.005),1,0)</f>
        <v>0</v>
      </c>
      <c r="Y138" s="80" t="n">
        <f aca="false">IF(AND(OR($A138&lt;&gt;"",$E138&lt;&gt;""),OR($A138="",$E138="")),1,0)</f>
        <v>0</v>
      </c>
      <c r="Z138" s="80" t="n">
        <f aca="false">IF(AND($A138&lt;&gt;"",COUNTIF($A$7:$A$1006,$A138)&gt;1),1,0)</f>
        <v>0</v>
      </c>
    </row>
    <row r="139" customFormat="false" ht="15" hidden="false" customHeight="false" outlineLevel="0" collapsed="false">
      <c r="A139" s="71"/>
      <c r="B139" s="72"/>
      <c r="C139" s="73"/>
      <c r="D139" s="73"/>
      <c r="E139" s="74"/>
      <c r="F139" s="74"/>
      <c r="G139" s="72"/>
      <c r="H139" s="74"/>
      <c r="I139" s="72"/>
      <c r="J139" s="73"/>
      <c r="K139" s="73"/>
      <c r="L139" s="75" t="str">
        <f aca="false">IF(OR($A139&lt;&gt;"",$E139&lt;&gt;""),N($F139)+N($H139),"")</f>
        <v/>
      </c>
      <c r="M139" s="76" t="str">
        <f aca="false">IF(OR($O139="",$O139="Cancelled",$O139="Amount missing"),"",IF($O139="Realised",0,$E139-N($F139)-N($H139)))</f>
        <v/>
      </c>
      <c r="N139" s="77" t="str">
        <f aca="false">IF(OR($M139="",FX=""),"",$M139*FX)</f>
        <v/>
      </c>
      <c r="O139" s="78" t="str">
        <f aca="false">IF(NOT(OR($A139&lt;&gt;"",$E139&lt;&gt;"")),"",IF($J139="Cancelled","Cancelled",IF($E139="","Amount missing",IF(OR($J139="Settled",$E139-N($F139)-N($H139)&lt;=0.005),"Realised",IF(N($H139)&gt;0,"Part realised",IF(N($F139)&gt;0,"Advance received","On hand"))))))</f>
        <v/>
      </c>
      <c r="P139" s="79" t="str">
        <f aca="false">IF(AND($V139=1,ISNUMBER($B139)),AsAt-$B139,"")</f>
        <v/>
      </c>
      <c r="Q139" s="78" t="str">
        <f aca="false">IF($V139&lt;&gt;1,"",IF($P139="","No invoice date",IF($P139&lt;=30,"0–30 days",IF($P139&lt;=60,"31–60 days",IF($P139&lt;=90,"61–90 days","Over 90 days")))))</f>
        <v/>
      </c>
      <c r="R139" s="80" t="str">
        <f aca="false">IF($V139=1,ROW(),"")</f>
        <v/>
      </c>
      <c r="S139" s="80" t="str">
        <f aca="false">IF(OR($A139&lt;&gt;"",$E139&lt;&gt;""),IF(TRIM($D139)="","Buyer not noted",TRIM($D139)),"")</f>
        <v/>
      </c>
      <c r="T139" s="80" t="n">
        <f aca="false">IF(AND($V139=1,ISNUMBER($M139)),$M139,0)</f>
        <v>0</v>
      </c>
      <c r="U139" s="80" t="str">
        <f aca="false">IF($V139=1,IF(COUNTIFS($S$7:$S139,$S139,$V$7:$V139,1)=1,SUMIFS($T$7:$T$1006,$S$7:$S$1006,$S139)-ROW()/1000000000,""),"")</f>
        <v/>
      </c>
      <c r="V139" s="80" t="n">
        <f aca="false">IF(OR($O139="On hand",$O139="Advance received",$O139="Part realised",$O139="Amount missing"),1,0)</f>
        <v>0</v>
      </c>
      <c r="W139" s="80" t="str">
        <f aca="false">IF(AND($V139=1,N($F139)&gt;0),ROW(),"")</f>
        <v/>
      </c>
      <c r="X139" s="80" t="n">
        <f aca="false">IF(AND(OR($A139&lt;&gt;"",$E139&lt;&gt;""),$O139&lt;&gt;"Cancelled",ISNUMBER($E139),N($F139)+N($H139)&gt;$E139+0.005),1,0)</f>
        <v>0</v>
      </c>
      <c r="Y139" s="80" t="n">
        <f aca="false">IF(AND(OR($A139&lt;&gt;"",$E139&lt;&gt;""),OR($A139="",$E139="")),1,0)</f>
        <v>0</v>
      </c>
      <c r="Z139" s="80" t="n">
        <f aca="false">IF(AND($A139&lt;&gt;"",COUNTIF($A$7:$A$1006,$A139)&gt;1),1,0)</f>
        <v>0</v>
      </c>
    </row>
    <row r="140" customFormat="false" ht="15" hidden="false" customHeight="false" outlineLevel="0" collapsed="false">
      <c r="A140" s="71"/>
      <c r="B140" s="72"/>
      <c r="C140" s="73"/>
      <c r="D140" s="73"/>
      <c r="E140" s="74"/>
      <c r="F140" s="74"/>
      <c r="G140" s="72"/>
      <c r="H140" s="74"/>
      <c r="I140" s="72"/>
      <c r="J140" s="73"/>
      <c r="K140" s="73"/>
      <c r="L140" s="75" t="str">
        <f aca="false">IF(OR($A140&lt;&gt;"",$E140&lt;&gt;""),N($F140)+N($H140),"")</f>
        <v/>
      </c>
      <c r="M140" s="76" t="str">
        <f aca="false">IF(OR($O140="",$O140="Cancelled",$O140="Amount missing"),"",IF($O140="Realised",0,$E140-N($F140)-N($H140)))</f>
        <v/>
      </c>
      <c r="N140" s="77" t="str">
        <f aca="false">IF(OR($M140="",FX=""),"",$M140*FX)</f>
        <v/>
      </c>
      <c r="O140" s="78" t="str">
        <f aca="false">IF(NOT(OR($A140&lt;&gt;"",$E140&lt;&gt;"")),"",IF($J140="Cancelled","Cancelled",IF($E140="","Amount missing",IF(OR($J140="Settled",$E140-N($F140)-N($H140)&lt;=0.005),"Realised",IF(N($H140)&gt;0,"Part realised",IF(N($F140)&gt;0,"Advance received","On hand"))))))</f>
        <v/>
      </c>
      <c r="P140" s="79" t="str">
        <f aca="false">IF(AND($V140=1,ISNUMBER($B140)),AsAt-$B140,"")</f>
        <v/>
      </c>
      <c r="Q140" s="78" t="str">
        <f aca="false">IF($V140&lt;&gt;1,"",IF($P140="","No invoice date",IF($P140&lt;=30,"0–30 days",IF($P140&lt;=60,"31–60 days",IF($P140&lt;=90,"61–90 days","Over 90 days")))))</f>
        <v/>
      </c>
      <c r="R140" s="80" t="str">
        <f aca="false">IF($V140=1,ROW(),"")</f>
        <v/>
      </c>
      <c r="S140" s="80" t="str">
        <f aca="false">IF(OR($A140&lt;&gt;"",$E140&lt;&gt;""),IF(TRIM($D140)="","Buyer not noted",TRIM($D140)),"")</f>
        <v/>
      </c>
      <c r="T140" s="80" t="n">
        <f aca="false">IF(AND($V140=1,ISNUMBER($M140)),$M140,0)</f>
        <v>0</v>
      </c>
      <c r="U140" s="80" t="str">
        <f aca="false">IF($V140=1,IF(COUNTIFS($S$7:$S140,$S140,$V$7:$V140,1)=1,SUMIFS($T$7:$T$1006,$S$7:$S$1006,$S140)-ROW()/1000000000,""),"")</f>
        <v/>
      </c>
      <c r="V140" s="80" t="n">
        <f aca="false">IF(OR($O140="On hand",$O140="Advance received",$O140="Part realised",$O140="Amount missing"),1,0)</f>
        <v>0</v>
      </c>
      <c r="W140" s="80" t="str">
        <f aca="false">IF(AND($V140=1,N($F140)&gt;0),ROW(),"")</f>
        <v/>
      </c>
      <c r="X140" s="80" t="n">
        <f aca="false">IF(AND(OR($A140&lt;&gt;"",$E140&lt;&gt;""),$O140&lt;&gt;"Cancelled",ISNUMBER($E140),N($F140)+N($H140)&gt;$E140+0.005),1,0)</f>
        <v>0</v>
      </c>
      <c r="Y140" s="80" t="n">
        <f aca="false">IF(AND(OR($A140&lt;&gt;"",$E140&lt;&gt;""),OR($A140="",$E140="")),1,0)</f>
        <v>0</v>
      </c>
      <c r="Z140" s="80" t="n">
        <f aca="false">IF(AND($A140&lt;&gt;"",COUNTIF($A$7:$A$1006,$A140)&gt;1),1,0)</f>
        <v>0</v>
      </c>
    </row>
    <row r="141" customFormat="false" ht="15" hidden="false" customHeight="false" outlineLevel="0" collapsed="false">
      <c r="A141" s="71"/>
      <c r="B141" s="72"/>
      <c r="C141" s="73"/>
      <c r="D141" s="73"/>
      <c r="E141" s="74"/>
      <c r="F141" s="74"/>
      <c r="G141" s="72"/>
      <c r="H141" s="74"/>
      <c r="I141" s="72"/>
      <c r="J141" s="73"/>
      <c r="K141" s="73"/>
      <c r="L141" s="75" t="str">
        <f aca="false">IF(OR($A141&lt;&gt;"",$E141&lt;&gt;""),N($F141)+N($H141),"")</f>
        <v/>
      </c>
      <c r="M141" s="76" t="str">
        <f aca="false">IF(OR($O141="",$O141="Cancelled",$O141="Amount missing"),"",IF($O141="Realised",0,$E141-N($F141)-N($H141)))</f>
        <v/>
      </c>
      <c r="N141" s="77" t="str">
        <f aca="false">IF(OR($M141="",FX=""),"",$M141*FX)</f>
        <v/>
      </c>
      <c r="O141" s="78" t="str">
        <f aca="false">IF(NOT(OR($A141&lt;&gt;"",$E141&lt;&gt;"")),"",IF($J141="Cancelled","Cancelled",IF($E141="","Amount missing",IF(OR($J141="Settled",$E141-N($F141)-N($H141)&lt;=0.005),"Realised",IF(N($H141)&gt;0,"Part realised",IF(N($F141)&gt;0,"Advance received","On hand"))))))</f>
        <v/>
      </c>
      <c r="P141" s="79" t="str">
        <f aca="false">IF(AND($V141=1,ISNUMBER($B141)),AsAt-$B141,"")</f>
        <v/>
      </c>
      <c r="Q141" s="78" t="str">
        <f aca="false">IF($V141&lt;&gt;1,"",IF($P141="","No invoice date",IF($P141&lt;=30,"0–30 days",IF($P141&lt;=60,"31–60 days",IF($P141&lt;=90,"61–90 days","Over 90 days")))))</f>
        <v/>
      </c>
      <c r="R141" s="80" t="str">
        <f aca="false">IF($V141=1,ROW(),"")</f>
        <v/>
      </c>
      <c r="S141" s="80" t="str">
        <f aca="false">IF(OR($A141&lt;&gt;"",$E141&lt;&gt;""),IF(TRIM($D141)="","Buyer not noted",TRIM($D141)),"")</f>
        <v/>
      </c>
      <c r="T141" s="80" t="n">
        <f aca="false">IF(AND($V141=1,ISNUMBER($M141)),$M141,0)</f>
        <v>0</v>
      </c>
      <c r="U141" s="80" t="str">
        <f aca="false">IF($V141=1,IF(COUNTIFS($S$7:$S141,$S141,$V$7:$V141,1)=1,SUMIFS($T$7:$T$1006,$S$7:$S$1006,$S141)-ROW()/1000000000,""),"")</f>
        <v/>
      </c>
      <c r="V141" s="80" t="n">
        <f aca="false">IF(OR($O141="On hand",$O141="Advance received",$O141="Part realised",$O141="Amount missing"),1,0)</f>
        <v>0</v>
      </c>
      <c r="W141" s="80" t="str">
        <f aca="false">IF(AND($V141=1,N($F141)&gt;0),ROW(),"")</f>
        <v/>
      </c>
      <c r="X141" s="80" t="n">
        <f aca="false">IF(AND(OR($A141&lt;&gt;"",$E141&lt;&gt;""),$O141&lt;&gt;"Cancelled",ISNUMBER($E141),N($F141)+N($H141)&gt;$E141+0.005),1,0)</f>
        <v>0</v>
      </c>
      <c r="Y141" s="80" t="n">
        <f aca="false">IF(AND(OR($A141&lt;&gt;"",$E141&lt;&gt;""),OR($A141="",$E141="")),1,0)</f>
        <v>0</v>
      </c>
      <c r="Z141" s="80" t="n">
        <f aca="false">IF(AND($A141&lt;&gt;"",COUNTIF($A$7:$A$1006,$A141)&gt;1),1,0)</f>
        <v>0</v>
      </c>
    </row>
    <row r="142" customFormat="false" ht="15" hidden="false" customHeight="false" outlineLevel="0" collapsed="false">
      <c r="A142" s="71"/>
      <c r="B142" s="72"/>
      <c r="C142" s="73"/>
      <c r="D142" s="73"/>
      <c r="E142" s="74"/>
      <c r="F142" s="74"/>
      <c r="G142" s="72"/>
      <c r="H142" s="74"/>
      <c r="I142" s="72"/>
      <c r="J142" s="73"/>
      <c r="K142" s="73"/>
      <c r="L142" s="75" t="str">
        <f aca="false">IF(OR($A142&lt;&gt;"",$E142&lt;&gt;""),N($F142)+N($H142),"")</f>
        <v/>
      </c>
      <c r="M142" s="76" t="str">
        <f aca="false">IF(OR($O142="",$O142="Cancelled",$O142="Amount missing"),"",IF($O142="Realised",0,$E142-N($F142)-N($H142)))</f>
        <v/>
      </c>
      <c r="N142" s="77" t="str">
        <f aca="false">IF(OR($M142="",FX=""),"",$M142*FX)</f>
        <v/>
      </c>
      <c r="O142" s="78" t="str">
        <f aca="false">IF(NOT(OR($A142&lt;&gt;"",$E142&lt;&gt;"")),"",IF($J142="Cancelled","Cancelled",IF($E142="","Amount missing",IF(OR($J142="Settled",$E142-N($F142)-N($H142)&lt;=0.005),"Realised",IF(N($H142)&gt;0,"Part realised",IF(N($F142)&gt;0,"Advance received","On hand"))))))</f>
        <v/>
      </c>
      <c r="P142" s="79" t="str">
        <f aca="false">IF(AND($V142=1,ISNUMBER($B142)),AsAt-$B142,"")</f>
        <v/>
      </c>
      <c r="Q142" s="78" t="str">
        <f aca="false">IF($V142&lt;&gt;1,"",IF($P142="","No invoice date",IF($P142&lt;=30,"0–30 days",IF($P142&lt;=60,"31–60 days",IF($P142&lt;=90,"61–90 days","Over 90 days")))))</f>
        <v/>
      </c>
      <c r="R142" s="80" t="str">
        <f aca="false">IF($V142=1,ROW(),"")</f>
        <v/>
      </c>
      <c r="S142" s="80" t="str">
        <f aca="false">IF(OR($A142&lt;&gt;"",$E142&lt;&gt;""),IF(TRIM($D142)="","Buyer not noted",TRIM($D142)),"")</f>
        <v/>
      </c>
      <c r="T142" s="80" t="n">
        <f aca="false">IF(AND($V142=1,ISNUMBER($M142)),$M142,0)</f>
        <v>0</v>
      </c>
      <c r="U142" s="80" t="str">
        <f aca="false">IF($V142=1,IF(COUNTIFS($S$7:$S142,$S142,$V$7:$V142,1)=1,SUMIFS($T$7:$T$1006,$S$7:$S$1006,$S142)-ROW()/1000000000,""),"")</f>
        <v/>
      </c>
      <c r="V142" s="80" t="n">
        <f aca="false">IF(OR($O142="On hand",$O142="Advance received",$O142="Part realised",$O142="Amount missing"),1,0)</f>
        <v>0</v>
      </c>
      <c r="W142" s="80" t="str">
        <f aca="false">IF(AND($V142=1,N($F142)&gt;0),ROW(),"")</f>
        <v/>
      </c>
      <c r="X142" s="80" t="n">
        <f aca="false">IF(AND(OR($A142&lt;&gt;"",$E142&lt;&gt;""),$O142&lt;&gt;"Cancelled",ISNUMBER($E142),N($F142)+N($H142)&gt;$E142+0.005),1,0)</f>
        <v>0</v>
      </c>
      <c r="Y142" s="80" t="n">
        <f aca="false">IF(AND(OR($A142&lt;&gt;"",$E142&lt;&gt;""),OR($A142="",$E142="")),1,0)</f>
        <v>0</v>
      </c>
      <c r="Z142" s="80" t="n">
        <f aca="false">IF(AND($A142&lt;&gt;"",COUNTIF($A$7:$A$1006,$A142)&gt;1),1,0)</f>
        <v>0</v>
      </c>
    </row>
    <row r="143" customFormat="false" ht="15" hidden="false" customHeight="false" outlineLevel="0" collapsed="false">
      <c r="A143" s="71"/>
      <c r="B143" s="72"/>
      <c r="C143" s="73"/>
      <c r="D143" s="73"/>
      <c r="E143" s="74"/>
      <c r="F143" s="74"/>
      <c r="G143" s="72"/>
      <c r="H143" s="74"/>
      <c r="I143" s="72"/>
      <c r="J143" s="73"/>
      <c r="K143" s="73"/>
      <c r="L143" s="75" t="str">
        <f aca="false">IF(OR($A143&lt;&gt;"",$E143&lt;&gt;""),N($F143)+N($H143),"")</f>
        <v/>
      </c>
      <c r="M143" s="76" t="str">
        <f aca="false">IF(OR($O143="",$O143="Cancelled",$O143="Amount missing"),"",IF($O143="Realised",0,$E143-N($F143)-N($H143)))</f>
        <v/>
      </c>
      <c r="N143" s="77" t="str">
        <f aca="false">IF(OR($M143="",FX=""),"",$M143*FX)</f>
        <v/>
      </c>
      <c r="O143" s="78" t="str">
        <f aca="false">IF(NOT(OR($A143&lt;&gt;"",$E143&lt;&gt;"")),"",IF($J143="Cancelled","Cancelled",IF($E143="","Amount missing",IF(OR($J143="Settled",$E143-N($F143)-N($H143)&lt;=0.005),"Realised",IF(N($H143)&gt;0,"Part realised",IF(N($F143)&gt;0,"Advance received","On hand"))))))</f>
        <v/>
      </c>
      <c r="P143" s="79" t="str">
        <f aca="false">IF(AND($V143=1,ISNUMBER($B143)),AsAt-$B143,"")</f>
        <v/>
      </c>
      <c r="Q143" s="78" t="str">
        <f aca="false">IF($V143&lt;&gt;1,"",IF($P143="","No invoice date",IF($P143&lt;=30,"0–30 days",IF($P143&lt;=60,"31–60 days",IF($P143&lt;=90,"61–90 days","Over 90 days")))))</f>
        <v/>
      </c>
      <c r="R143" s="80" t="str">
        <f aca="false">IF($V143=1,ROW(),"")</f>
        <v/>
      </c>
      <c r="S143" s="80" t="str">
        <f aca="false">IF(OR($A143&lt;&gt;"",$E143&lt;&gt;""),IF(TRIM($D143)="","Buyer not noted",TRIM($D143)),"")</f>
        <v/>
      </c>
      <c r="T143" s="80" t="n">
        <f aca="false">IF(AND($V143=1,ISNUMBER($M143)),$M143,0)</f>
        <v>0</v>
      </c>
      <c r="U143" s="80" t="str">
        <f aca="false">IF($V143=1,IF(COUNTIFS($S$7:$S143,$S143,$V$7:$V143,1)=1,SUMIFS($T$7:$T$1006,$S$7:$S$1006,$S143)-ROW()/1000000000,""),"")</f>
        <v/>
      </c>
      <c r="V143" s="80" t="n">
        <f aca="false">IF(OR($O143="On hand",$O143="Advance received",$O143="Part realised",$O143="Amount missing"),1,0)</f>
        <v>0</v>
      </c>
      <c r="W143" s="80" t="str">
        <f aca="false">IF(AND($V143=1,N($F143)&gt;0),ROW(),"")</f>
        <v/>
      </c>
      <c r="X143" s="80" t="n">
        <f aca="false">IF(AND(OR($A143&lt;&gt;"",$E143&lt;&gt;""),$O143&lt;&gt;"Cancelled",ISNUMBER($E143),N($F143)+N($H143)&gt;$E143+0.005),1,0)</f>
        <v>0</v>
      </c>
      <c r="Y143" s="80" t="n">
        <f aca="false">IF(AND(OR($A143&lt;&gt;"",$E143&lt;&gt;""),OR($A143="",$E143="")),1,0)</f>
        <v>0</v>
      </c>
      <c r="Z143" s="80" t="n">
        <f aca="false">IF(AND($A143&lt;&gt;"",COUNTIF($A$7:$A$1006,$A143)&gt;1),1,0)</f>
        <v>0</v>
      </c>
    </row>
    <row r="144" customFormat="false" ht="15" hidden="false" customHeight="false" outlineLevel="0" collapsed="false">
      <c r="A144" s="71"/>
      <c r="B144" s="72"/>
      <c r="C144" s="73"/>
      <c r="D144" s="73"/>
      <c r="E144" s="74"/>
      <c r="F144" s="74"/>
      <c r="G144" s="72"/>
      <c r="H144" s="74"/>
      <c r="I144" s="72"/>
      <c r="J144" s="73"/>
      <c r="K144" s="73"/>
      <c r="L144" s="75" t="str">
        <f aca="false">IF(OR($A144&lt;&gt;"",$E144&lt;&gt;""),N($F144)+N($H144),"")</f>
        <v/>
      </c>
      <c r="M144" s="76" t="str">
        <f aca="false">IF(OR($O144="",$O144="Cancelled",$O144="Amount missing"),"",IF($O144="Realised",0,$E144-N($F144)-N($H144)))</f>
        <v/>
      </c>
      <c r="N144" s="77" t="str">
        <f aca="false">IF(OR($M144="",FX=""),"",$M144*FX)</f>
        <v/>
      </c>
      <c r="O144" s="78" t="str">
        <f aca="false">IF(NOT(OR($A144&lt;&gt;"",$E144&lt;&gt;"")),"",IF($J144="Cancelled","Cancelled",IF($E144="","Amount missing",IF(OR($J144="Settled",$E144-N($F144)-N($H144)&lt;=0.005),"Realised",IF(N($H144)&gt;0,"Part realised",IF(N($F144)&gt;0,"Advance received","On hand"))))))</f>
        <v/>
      </c>
      <c r="P144" s="79" t="str">
        <f aca="false">IF(AND($V144=1,ISNUMBER($B144)),AsAt-$B144,"")</f>
        <v/>
      </c>
      <c r="Q144" s="78" t="str">
        <f aca="false">IF($V144&lt;&gt;1,"",IF($P144="","No invoice date",IF($P144&lt;=30,"0–30 days",IF($P144&lt;=60,"31–60 days",IF($P144&lt;=90,"61–90 days","Over 90 days")))))</f>
        <v/>
      </c>
      <c r="R144" s="80" t="str">
        <f aca="false">IF($V144=1,ROW(),"")</f>
        <v/>
      </c>
      <c r="S144" s="80" t="str">
        <f aca="false">IF(OR($A144&lt;&gt;"",$E144&lt;&gt;""),IF(TRIM($D144)="","Buyer not noted",TRIM($D144)),"")</f>
        <v/>
      </c>
      <c r="T144" s="80" t="n">
        <f aca="false">IF(AND($V144=1,ISNUMBER($M144)),$M144,0)</f>
        <v>0</v>
      </c>
      <c r="U144" s="80" t="str">
        <f aca="false">IF($V144=1,IF(COUNTIFS($S$7:$S144,$S144,$V$7:$V144,1)=1,SUMIFS($T$7:$T$1006,$S$7:$S$1006,$S144)-ROW()/1000000000,""),"")</f>
        <v/>
      </c>
      <c r="V144" s="80" t="n">
        <f aca="false">IF(OR($O144="On hand",$O144="Advance received",$O144="Part realised",$O144="Amount missing"),1,0)</f>
        <v>0</v>
      </c>
      <c r="W144" s="80" t="str">
        <f aca="false">IF(AND($V144=1,N($F144)&gt;0),ROW(),"")</f>
        <v/>
      </c>
      <c r="X144" s="80" t="n">
        <f aca="false">IF(AND(OR($A144&lt;&gt;"",$E144&lt;&gt;""),$O144&lt;&gt;"Cancelled",ISNUMBER($E144),N($F144)+N($H144)&gt;$E144+0.005),1,0)</f>
        <v>0</v>
      </c>
      <c r="Y144" s="80" t="n">
        <f aca="false">IF(AND(OR($A144&lt;&gt;"",$E144&lt;&gt;""),OR($A144="",$E144="")),1,0)</f>
        <v>0</v>
      </c>
      <c r="Z144" s="80" t="n">
        <f aca="false">IF(AND($A144&lt;&gt;"",COUNTIF($A$7:$A$1006,$A144)&gt;1),1,0)</f>
        <v>0</v>
      </c>
    </row>
    <row r="145" customFormat="false" ht="15" hidden="false" customHeight="false" outlineLevel="0" collapsed="false">
      <c r="A145" s="71"/>
      <c r="B145" s="72"/>
      <c r="C145" s="73"/>
      <c r="D145" s="73"/>
      <c r="E145" s="74"/>
      <c r="F145" s="74"/>
      <c r="G145" s="72"/>
      <c r="H145" s="74"/>
      <c r="I145" s="72"/>
      <c r="J145" s="73"/>
      <c r="K145" s="73"/>
      <c r="L145" s="75" t="str">
        <f aca="false">IF(OR($A145&lt;&gt;"",$E145&lt;&gt;""),N($F145)+N($H145),"")</f>
        <v/>
      </c>
      <c r="M145" s="76" t="str">
        <f aca="false">IF(OR($O145="",$O145="Cancelled",$O145="Amount missing"),"",IF($O145="Realised",0,$E145-N($F145)-N($H145)))</f>
        <v/>
      </c>
      <c r="N145" s="77" t="str">
        <f aca="false">IF(OR($M145="",FX=""),"",$M145*FX)</f>
        <v/>
      </c>
      <c r="O145" s="78" t="str">
        <f aca="false">IF(NOT(OR($A145&lt;&gt;"",$E145&lt;&gt;"")),"",IF($J145="Cancelled","Cancelled",IF($E145="","Amount missing",IF(OR($J145="Settled",$E145-N($F145)-N($H145)&lt;=0.005),"Realised",IF(N($H145)&gt;0,"Part realised",IF(N($F145)&gt;0,"Advance received","On hand"))))))</f>
        <v/>
      </c>
      <c r="P145" s="79" t="str">
        <f aca="false">IF(AND($V145=1,ISNUMBER($B145)),AsAt-$B145,"")</f>
        <v/>
      </c>
      <c r="Q145" s="78" t="str">
        <f aca="false">IF($V145&lt;&gt;1,"",IF($P145="","No invoice date",IF($P145&lt;=30,"0–30 days",IF($P145&lt;=60,"31–60 days",IF($P145&lt;=90,"61–90 days","Over 90 days")))))</f>
        <v/>
      </c>
      <c r="R145" s="80" t="str">
        <f aca="false">IF($V145=1,ROW(),"")</f>
        <v/>
      </c>
      <c r="S145" s="80" t="str">
        <f aca="false">IF(OR($A145&lt;&gt;"",$E145&lt;&gt;""),IF(TRIM($D145)="","Buyer not noted",TRIM($D145)),"")</f>
        <v/>
      </c>
      <c r="T145" s="80" t="n">
        <f aca="false">IF(AND($V145=1,ISNUMBER($M145)),$M145,0)</f>
        <v>0</v>
      </c>
      <c r="U145" s="80" t="str">
        <f aca="false">IF($V145=1,IF(COUNTIFS($S$7:$S145,$S145,$V$7:$V145,1)=1,SUMIFS($T$7:$T$1006,$S$7:$S$1006,$S145)-ROW()/1000000000,""),"")</f>
        <v/>
      </c>
      <c r="V145" s="80" t="n">
        <f aca="false">IF(OR($O145="On hand",$O145="Advance received",$O145="Part realised",$O145="Amount missing"),1,0)</f>
        <v>0</v>
      </c>
      <c r="W145" s="80" t="str">
        <f aca="false">IF(AND($V145=1,N($F145)&gt;0),ROW(),"")</f>
        <v/>
      </c>
      <c r="X145" s="80" t="n">
        <f aca="false">IF(AND(OR($A145&lt;&gt;"",$E145&lt;&gt;""),$O145&lt;&gt;"Cancelled",ISNUMBER($E145),N($F145)+N($H145)&gt;$E145+0.005),1,0)</f>
        <v>0</v>
      </c>
      <c r="Y145" s="80" t="n">
        <f aca="false">IF(AND(OR($A145&lt;&gt;"",$E145&lt;&gt;""),OR($A145="",$E145="")),1,0)</f>
        <v>0</v>
      </c>
      <c r="Z145" s="80" t="n">
        <f aca="false">IF(AND($A145&lt;&gt;"",COUNTIF($A$7:$A$1006,$A145)&gt;1),1,0)</f>
        <v>0</v>
      </c>
    </row>
    <row r="146" customFormat="false" ht="15" hidden="false" customHeight="false" outlineLevel="0" collapsed="false">
      <c r="A146" s="71"/>
      <c r="B146" s="72"/>
      <c r="C146" s="73"/>
      <c r="D146" s="73"/>
      <c r="E146" s="74"/>
      <c r="F146" s="74"/>
      <c r="G146" s="72"/>
      <c r="H146" s="74"/>
      <c r="I146" s="72"/>
      <c r="J146" s="73"/>
      <c r="K146" s="73"/>
      <c r="L146" s="75" t="str">
        <f aca="false">IF(OR($A146&lt;&gt;"",$E146&lt;&gt;""),N($F146)+N($H146),"")</f>
        <v/>
      </c>
      <c r="M146" s="76" t="str">
        <f aca="false">IF(OR($O146="",$O146="Cancelled",$O146="Amount missing"),"",IF($O146="Realised",0,$E146-N($F146)-N($H146)))</f>
        <v/>
      </c>
      <c r="N146" s="77" t="str">
        <f aca="false">IF(OR($M146="",FX=""),"",$M146*FX)</f>
        <v/>
      </c>
      <c r="O146" s="78" t="str">
        <f aca="false">IF(NOT(OR($A146&lt;&gt;"",$E146&lt;&gt;"")),"",IF($J146="Cancelled","Cancelled",IF($E146="","Amount missing",IF(OR($J146="Settled",$E146-N($F146)-N($H146)&lt;=0.005),"Realised",IF(N($H146)&gt;0,"Part realised",IF(N($F146)&gt;0,"Advance received","On hand"))))))</f>
        <v/>
      </c>
      <c r="P146" s="79" t="str">
        <f aca="false">IF(AND($V146=1,ISNUMBER($B146)),AsAt-$B146,"")</f>
        <v/>
      </c>
      <c r="Q146" s="78" t="str">
        <f aca="false">IF($V146&lt;&gt;1,"",IF($P146="","No invoice date",IF($P146&lt;=30,"0–30 days",IF($P146&lt;=60,"31–60 days",IF($P146&lt;=90,"61–90 days","Over 90 days")))))</f>
        <v/>
      </c>
      <c r="R146" s="80" t="str">
        <f aca="false">IF($V146=1,ROW(),"")</f>
        <v/>
      </c>
      <c r="S146" s="80" t="str">
        <f aca="false">IF(OR($A146&lt;&gt;"",$E146&lt;&gt;""),IF(TRIM($D146)="","Buyer not noted",TRIM($D146)),"")</f>
        <v/>
      </c>
      <c r="T146" s="80" t="n">
        <f aca="false">IF(AND($V146=1,ISNUMBER($M146)),$M146,0)</f>
        <v>0</v>
      </c>
      <c r="U146" s="80" t="str">
        <f aca="false">IF($V146=1,IF(COUNTIFS($S$7:$S146,$S146,$V$7:$V146,1)=1,SUMIFS($T$7:$T$1006,$S$7:$S$1006,$S146)-ROW()/1000000000,""),"")</f>
        <v/>
      </c>
      <c r="V146" s="80" t="n">
        <f aca="false">IF(OR($O146="On hand",$O146="Advance received",$O146="Part realised",$O146="Amount missing"),1,0)</f>
        <v>0</v>
      </c>
      <c r="W146" s="80" t="str">
        <f aca="false">IF(AND($V146=1,N($F146)&gt;0),ROW(),"")</f>
        <v/>
      </c>
      <c r="X146" s="80" t="n">
        <f aca="false">IF(AND(OR($A146&lt;&gt;"",$E146&lt;&gt;""),$O146&lt;&gt;"Cancelled",ISNUMBER($E146),N($F146)+N($H146)&gt;$E146+0.005),1,0)</f>
        <v>0</v>
      </c>
      <c r="Y146" s="80" t="n">
        <f aca="false">IF(AND(OR($A146&lt;&gt;"",$E146&lt;&gt;""),OR($A146="",$E146="")),1,0)</f>
        <v>0</v>
      </c>
      <c r="Z146" s="80" t="n">
        <f aca="false">IF(AND($A146&lt;&gt;"",COUNTIF($A$7:$A$1006,$A146)&gt;1),1,0)</f>
        <v>0</v>
      </c>
    </row>
    <row r="147" customFormat="false" ht="15" hidden="false" customHeight="false" outlineLevel="0" collapsed="false">
      <c r="A147" s="71"/>
      <c r="B147" s="72"/>
      <c r="C147" s="73"/>
      <c r="D147" s="73"/>
      <c r="E147" s="74"/>
      <c r="F147" s="74"/>
      <c r="G147" s="72"/>
      <c r="H147" s="74"/>
      <c r="I147" s="72"/>
      <c r="J147" s="73"/>
      <c r="K147" s="73"/>
      <c r="L147" s="75" t="str">
        <f aca="false">IF(OR($A147&lt;&gt;"",$E147&lt;&gt;""),N($F147)+N($H147),"")</f>
        <v/>
      </c>
      <c r="M147" s="76" t="str">
        <f aca="false">IF(OR($O147="",$O147="Cancelled",$O147="Amount missing"),"",IF($O147="Realised",0,$E147-N($F147)-N($H147)))</f>
        <v/>
      </c>
      <c r="N147" s="77" t="str">
        <f aca="false">IF(OR($M147="",FX=""),"",$M147*FX)</f>
        <v/>
      </c>
      <c r="O147" s="78" t="str">
        <f aca="false">IF(NOT(OR($A147&lt;&gt;"",$E147&lt;&gt;"")),"",IF($J147="Cancelled","Cancelled",IF($E147="","Amount missing",IF(OR($J147="Settled",$E147-N($F147)-N($H147)&lt;=0.005),"Realised",IF(N($H147)&gt;0,"Part realised",IF(N($F147)&gt;0,"Advance received","On hand"))))))</f>
        <v/>
      </c>
      <c r="P147" s="79" t="str">
        <f aca="false">IF(AND($V147=1,ISNUMBER($B147)),AsAt-$B147,"")</f>
        <v/>
      </c>
      <c r="Q147" s="78" t="str">
        <f aca="false">IF($V147&lt;&gt;1,"",IF($P147="","No invoice date",IF($P147&lt;=30,"0–30 days",IF($P147&lt;=60,"31–60 days",IF($P147&lt;=90,"61–90 days","Over 90 days")))))</f>
        <v/>
      </c>
      <c r="R147" s="80" t="str">
        <f aca="false">IF($V147=1,ROW(),"")</f>
        <v/>
      </c>
      <c r="S147" s="80" t="str">
        <f aca="false">IF(OR($A147&lt;&gt;"",$E147&lt;&gt;""),IF(TRIM($D147)="","Buyer not noted",TRIM($D147)),"")</f>
        <v/>
      </c>
      <c r="T147" s="80" t="n">
        <f aca="false">IF(AND($V147=1,ISNUMBER($M147)),$M147,0)</f>
        <v>0</v>
      </c>
      <c r="U147" s="80" t="str">
        <f aca="false">IF($V147=1,IF(COUNTIFS($S$7:$S147,$S147,$V$7:$V147,1)=1,SUMIFS($T$7:$T$1006,$S$7:$S$1006,$S147)-ROW()/1000000000,""),"")</f>
        <v/>
      </c>
      <c r="V147" s="80" t="n">
        <f aca="false">IF(OR($O147="On hand",$O147="Advance received",$O147="Part realised",$O147="Amount missing"),1,0)</f>
        <v>0</v>
      </c>
      <c r="W147" s="80" t="str">
        <f aca="false">IF(AND($V147=1,N($F147)&gt;0),ROW(),"")</f>
        <v/>
      </c>
      <c r="X147" s="80" t="n">
        <f aca="false">IF(AND(OR($A147&lt;&gt;"",$E147&lt;&gt;""),$O147&lt;&gt;"Cancelled",ISNUMBER($E147),N($F147)+N($H147)&gt;$E147+0.005),1,0)</f>
        <v>0</v>
      </c>
      <c r="Y147" s="80" t="n">
        <f aca="false">IF(AND(OR($A147&lt;&gt;"",$E147&lt;&gt;""),OR($A147="",$E147="")),1,0)</f>
        <v>0</v>
      </c>
      <c r="Z147" s="80" t="n">
        <f aca="false">IF(AND($A147&lt;&gt;"",COUNTIF($A$7:$A$1006,$A147)&gt;1),1,0)</f>
        <v>0</v>
      </c>
    </row>
    <row r="148" customFormat="false" ht="15" hidden="false" customHeight="false" outlineLevel="0" collapsed="false">
      <c r="A148" s="71"/>
      <c r="B148" s="72"/>
      <c r="C148" s="73"/>
      <c r="D148" s="73"/>
      <c r="E148" s="74"/>
      <c r="F148" s="74"/>
      <c r="G148" s="72"/>
      <c r="H148" s="74"/>
      <c r="I148" s="72"/>
      <c r="J148" s="73"/>
      <c r="K148" s="73"/>
      <c r="L148" s="75" t="str">
        <f aca="false">IF(OR($A148&lt;&gt;"",$E148&lt;&gt;""),N($F148)+N($H148),"")</f>
        <v/>
      </c>
      <c r="M148" s="76" t="str">
        <f aca="false">IF(OR($O148="",$O148="Cancelled",$O148="Amount missing"),"",IF($O148="Realised",0,$E148-N($F148)-N($H148)))</f>
        <v/>
      </c>
      <c r="N148" s="77" t="str">
        <f aca="false">IF(OR($M148="",FX=""),"",$M148*FX)</f>
        <v/>
      </c>
      <c r="O148" s="78" t="str">
        <f aca="false">IF(NOT(OR($A148&lt;&gt;"",$E148&lt;&gt;"")),"",IF($J148="Cancelled","Cancelled",IF($E148="","Amount missing",IF(OR($J148="Settled",$E148-N($F148)-N($H148)&lt;=0.005),"Realised",IF(N($H148)&gt;0,"Part realised",IF(N($F148)&gt;0,"Advance received","On hand"))))))</f>
        <v/>
      </c>
      <c r="P148" s="79" t="str">
        <f aca="false">IF(AND($V148=1,ISNUMBER($B148)),AsAt-$B148,"")</f>
        <v/>
      </c>
      <c r="Q148" s="78" t="str">
        <f aca="false">IF($V148&lt;&gt;1,"",IF($P148="","No invoice date",IF($P148&lt;=30,"0–30 days",IF($P148&lt;=60,"31–60 days",IF($P148&lt;=90,"61–90 days","Over 90 days")))))</f>
        <v/>
      </c>
      <c r="R148" s="80" t="str">
        <f aca="false">IF($V148=1,ROW(),"")</f>
        <v/>
      </c>
      <c r="S148" s="80" t="str">
        <f aca="false">IF(OR($A148&lt;&gt;"",$E148&lt;&gt;""),IF(TRIM($D148)="","Buyer not noted",TRIM($D148)),"")</f>
        <v/>
      </c>
      <c r="T148" s="80" t="n">
        <f aca="false">IF(AND($V148=1,ISNUMBER($M148)),$M148,0)</f>
        <v>0</v>
      </c>
      <c r="U148" s="80" t="str">
        <f aca="false">IF($V148=1,IF(COUNTIFS($S$7:$S148,$S148,$V$7:$V148,1)=1,SUMIFS($T$7:$T$1006,$S$7:$S$1006,$S148)-ROW()/1000000000,""),"")</f>
        <v/>
      </c>
      <c r="V148" s="80" t="n">
        <f aca="false">IF(OR($O148="On hand",$O148="Advance received",$O148="Part realised",$O148="Amount missing"),1,0)</f>
        <v>0</v>
      </c>
      <c r="W148" s="80" t="str">
        <f aca="false">IF(AND($V148=1,N($F148)&gt;0),ROW(),"")</f>
        <v/>
      </c>
      <c r="X148" s="80" t="n">
        <f aca="false">IF(AND(OR($A148&lt;&gt;"",$E148&lt;&gt;""),$O148&lt;&gt;"Cancelled",ISNUMBER($E148),N($F148)+N($H148)&gt;$E148+0.005),1,0)</f>
        <v>0</v>
      </c>
      <c r="Y148" s="80" t="n">
        <f aca="false">IF(AND(OR($A148&lt;&gt;"",$E148&lt;&gt;""),OR($A148="",$E148="")),1,0)</f>
        <v>0</v>
      </c>
      <c r="Z148" s="80" t="n">
        <f aca="false">IF(AND($A148&lt;&gt;"",COUNTIF($A$7:$A$1006,$A148)&gt;1),1,0)</f>
        <v>0</v>
      </c>
    </row>
    <row r="149" customFormat="false" ht="15" hidden="false" customHeight="false" outlineLevel="0" collapsed="false">
      <c r="A149" s="71"/>
      <c r="B149" s="72"/>
      <c r="C149" s="73"/>
      <c r="D149" s="73"/>
      <c r="E149" s="74"/>
      <c r="F149" s="74"/>
      <c r="G149" s="72"/>
      <c r="H149" s="74"/>
      <c r="I149" s="72"/>
      <c r="J149" s="73"/>
      <c r="K149" s="73"/>
      <c r="L149" s="75" t="str">
        <f aca="false">IF(OR($A149&lt;&gt;"",$E149&lt;&gt;""),N($F149)+N($H149),"")</f>
        <v/>
      </c>
      <c r="M149" s="76" t="str">
        <f aca="false">IF(OR($O149="",$O149="Cancelled",$O149="Amount missing"),"",IF($O149="Realised",0,$E149-N($F149)-N($H149)))</f>
        <v/>
      </c>
      <c r="N149" s="77" t="str">
        <f aca="false">IF(OR($M149="",FX=""),"",$M149*FX)</f>
        <v/>
      </c>
      <c r="O149" s="78" t="str">
        <f aca="false">IF(NOT(OR($A149&lt;&gt;"",$E149&lt;&gt;"")),"",IF($J149="Cancelled","Cancelled",IF($E149="","Amount missing",IF(OR($J149="Settled",$E149-N($F149)-N($H149)&lt;=0.005),"Realised",IF(N($H149)&gt;0,"Part realised",IF(N($F149)&gt;0,"Advance received","On hand"))))))</f>
        <v/>
      </c>
      <c r="P149" s="79" t="str">
        <f aca="false">IF(AND($V149=1,ISNUMBER($B149)),AsAt-$B149,"")</f>
        <v/>
      </c>
      <c r="Q149" s="78" t="str">
        <f aca="false">IF($V149&lt;&gt;1,"",IF($P149="","No invoice date",IF($P149&lt;=30,"0–30 days",IF($P149&lt;=60,"31–60 days",IF($P149&lt;=90,"61–90 days","Over 90 days")))))</f>
        <v/>
      </c>
      <c r="R149" s="80" t="str">
        <f aca="false">IF($V149=1,ROW(),"")</f>
        <v/>
      </c>
      <c r="S149" s="80" t="str">
        <f aca="false">IF(OR($A149&lt;&gt;"",$E149&lt;&gt;""),IF(TRIM($D149)="","Buyer not noted",TRIM($D149)),"")</f>
        <v/>
      </c>
      <c r="T149" s="80" t="n">
        <f aca="false">IF(AND($V149=1,ISNUMBER($M149)),$M149,0)</f>
        <v>0</v>
      </c>
      <c r="U149" s="80" t="str">
        <f aca="false">IF($V149=1,IF(COUNTIFS($S$7:$S149,$S149,$V$7:$V149,1)=1,SUMIFS($T$7:$T$1006,$S$7:$S$1006,$S149)-ROW()/1000000000,""),"")</f>
        <v/>
      </c>
      <c r="V149" s="80" t="n">
        <f aca="false">IF(OR($O149="On hand",$O149="Advance received",$O149="Part realised",$O149="Amount missing"),1,0)</f>
        <v>0</v>
      </c>
      <c r="W149" s="80" t="str">
        <f aca="false">IF(AND($V149=1,N($F149)&gt;0),ROW(),"")</f>
        <v/>
      </c>
      <c r="X149" s="80" t="n">
        <f aca="false">IF(AND(OR($A149&lt;&gt;"",$E149&lt;&gt;""),$O149&lt;&gt;"Cancelled",ISNUMBER($E149),N($F149)+N($H149)&gt;$E149+0.005),1,0)</f>
        <v>0</v>
      </c>
      <c r="Y149" s="80" t="n">
        <f aca="false">IF(AND(OR($A149&lt;&gt;"",$E149&lt;&gt;""),OR($A149="",$E149="")),1,0)</f>
        <v>0</v>
      </c>
      <c r="Z149" s="80" t="n">
        <f aca="false">IF(AND($A149&lt;&gt;"",COUNTIF($A$7:$A$1006,$A149)&gt;1),1,0)</f>
        <v>0</v>
      </c>
    </row>
    <row r="150" customFormat="false" ht="15" hidden="false" customHeight="false" outlineLevel="0" collapsed="false">
      <c r="A150" s="71"/>
      <c r="B150" s="72"/>
      <c r="C150" s="73"/>
      <c r="D150" s="73"/>
      <c r="E150" s="74"/>
      <c r="F150" s="74"/>
      <c r="G150" s="72"/>
      <c r="H150" s="74"/>
      <c r="I150" s="72"/>
      <c r="J150" s="73"/>
      <c r="K150" s="73"/>
      <c r="L150" s="75" t="str">
        <f aca="false">IF(OR($A150&lt;&gt;"",$E150&lt;&gt;""),N($F150)+N($H150),"")</f>
        <v/>
      </c>
      <c r="M150" s="76" t="str">
        <f aca="false">IF(OR($O150="",$O150="Cancelled",$O150="Amount missing"),"",IF($O150="Realised",0,$E150-N($F150)-N($H150)))</f>
        <v/>
      </c>
      <c r="N150" s="77" t="str">
        <f aca="false">IF(OR($M150="",FX=""),"",$M150*FX)</f>
        <v/>
      </c>
      <c r="O150" s="78" t="str">
        <f aca="false">IF(NOT(OR($A150&lt;&gt;"",$E150&lt;&gt;"")),"",IF($J150="Cancelled","Cancelled",IF($E150="","Amount missing",IF(OR($J150="Settled",$E150-N($F150)-N($H150)&lt;=0.005),"Realised",IF(N($H150)&gt;0,"Part realised",IF(N($F150)&gt;0,"Advance received","On hand"))))))</f>
        <v/>
      </c>
      <c r="P150" s="79" t="str">
        <f aca="false">IF(AND($V150=1,ISNUMBER($B150)),AsAt-$B150,"")</f>
        <v/>
      </c>
      <c r="Q150" s="78" t="str">
        <f aca="false">IF($V150&lt;&gt;1,"",IF($P150="","No invoice date",IF($P150&lt;=30,"0–30 days",IF($P150&lt;=60,"31–60 days",IF($P150&lt;=90,"61–90 days","Over 90 days")))))</f>
        <v/>
      </c>
      <c r="R150" s="80" t="str">
        <f aca="false">IF($V150=1,ROW(),"")</f>
        <v/>
      </c>
      <c r="S150" s="80" t="str">
        <f aca="false">IF(OR($A150&lt;&gt;"",$E150&lt;&gt;""),IF(TRIM($D150)="","Buyer not noted",TRIM($D150)),"")</f>
        <v/>
      </c>
      <c r="T150" s="80" t="n">
        <f aca="false">IF(AND($V150=1,ISNUMBER($M150)),$M150,0)</f>
        <v>0</v>
      </c>
      <c r="U150" s="80" t="str">
        <f aca="false">IF($V150=1,IF(COUNTIFS($S$7:$S150,$S150,$V$7:$V150,1)=1,SUMIFS($T$7:$T$1006,$S$7:$S$1006,$S150)-ROW()/1000000000,""),"")</f>
        <v/>
      </c>
      <c r="V150" s="80" t="n">
        <f aca="false">IF(OR($O150="On hand",$O150="Advance received",$O150="Part realised",$O150="Amount missing"),1,0)</f>
        <v>0</v>
      </c>
      <c r="W150" s="80" t="str">
        <f aca="false">IF(AND($V150=1,N($F150)&gt;0),ROW(),"")</f>
        <v/>
      </c>
      <c r="X150" s="80" t="n">
        <f aca="false">IF(AND(OR($A150&lt;&gt;"",$E150&lt;&gt;""),$O150&lt;&gt;"Cancelled",ISNUMBER($E150),N($F150)+N($H150)&gt;$E150+0.005),1,0)</f>
        <v>0</v>
      </c>
      <c r="Y150" s="80" t="n">
        <f aca="false">IF(AND(OR($A150&lt;&gt;"",$E150&lt;&gt;""),OR($A150="",$E150="")),1,0)</f>
        <v>0</v>
      </c>
      <c r="Z150" s="80" t="n">
        <f aca="false">IF(AND($A150&lt;&gt;"",COUNTIF($A$7:$A$1006,$A150)&gt;1),1,0)</f>
        <v>0</v>
      </c>
    </row>
    <row r="151" customFormat="false" ht="15" hidden="false" customHeight="false" outlineLevel="0" collapsed="false">
      <c r="A151" s="71"/>
      <c r="B151" s="72"/>
      <c r="C151" s="73"/>
      <c r="D151" s="73"/>
      <c r="E151" s="74"/>
      <c r="F151" s="74"/>
      <c r="G151" s="72"/>
      <c r="H151" s="74"/>
      <c r="I151" s="72"/>
      <c r="J151" s="73"/>
      <c r="K151" s="73"/>
      <c r="L151" s="75" t="str">
        <f aca="false">IF(OR($A151&lt;&gt;"",$E151&lt;&gt;""),N($F151)+N($H151),"")</f>
        <v/>
      </c>
      <c r="M151" s="76" t="str">
        <f aca="false">IF(OR($O151="",$O151="Cancelled",$O151="Amount missing"),"",IF($O151="Realised",0,$E151-N($F151)-N($H151)))</f>
        <v/>
      </c>
      <c r="N151" s="77" t="str">
        <f aca="false">IF(OR($M151="",FX=""),"",$M151*FX)</f>
        <v/>
      </c>
      <c r="O151" s="78" t="str">
        <f aca="false">IF(NOT(OR($A151&lt;&gt;"",$E151&lt;&gt;"")),"",IF($J151="Cancelled","Cancelled",IF($E151="","Amount missing",IF(OR($J151="Settled",$E151-N($F151)-N($H151)&lt;=0.005),"Realised",IF(N($H151)&gt;0,"Part realised",IF(N($F151)&gt;0,"Advance received","On hand"))))))</f>
        <v/>
      </c>
      <c r="P151" s="79" t="str">
        <f aca="false">IF(AND($V151=1,ISNUMBER($B151)),AsAt-$B151,"")</f>
        <v/>
      </c>
      <c r="Q151" s="78" t="str">
        <f aca="false">IF($V151&lt;&gt;1,"",IF($P151="","No invoice date",IF($P151&lt;=30,"0–30 days",IF($P151&lt;=60,"31–60 days",IF($P151&lt;=90,"61–90 days","Over 90 days")))))</f>
        <v/>
      </c>
      <c r="R151" s="80" t="str">
        <f aca="false">IF($V151=1,ROW(),"")</f>
        <v/>
      </c>
      <c r="S151" s="80" t="str">
        <f aca="false">IF(OR($A151&lt;&gt;"",$E151&lt;&gt;""),IF(TRIM($D151)="","Buyer not noted",TRIM($D151)),"")</f>
        <v/>
      </c>
      <c r="T151" s="80" t="n">
        <f aca="false">IF(AND($V151=1,ISNUMBER($M151)),$M151,0)</f>
        <v>0</v>
      </c>
      <c r="U151" s="80" t="str">
        <f aca="false">IF($V151=1,IF(COUNTIFS($S$7:$S151,$S151,$V$7:$V151,1)=1,SUMIFS($T$7:$T$1006,$S$7:$S$1006,$S151)-ROW()/1000000000,""),"")</f>
        <v/>
      </c>
      <c r="V151" s="80" t="n">
        <f aca="false">IF(OR($O151="On hand",$O151="Advance received",$O151="Part realised",$O151="Amount missing"),1,0)</f>
        <v>0</v>
      </c>
      <c r="W151" s="80" t="str">
        <f aca="false">IF(AND($V151=1,N($F151)&gt;0),ROW(),"")</f>
        <v/>
      </c>
      <c r="X151" s="80" t="n">
        <f aca="false">IF(AND(OR($A151&lt;&gt;"",$E151&lt;&gt;""),$O151&lt;&gt;"Cancelled",ISNUMBER($E151),N($F151)+N($H151)&gt;$E151+0.005),1,0)</f>
        <v>0</v>
      </c>
      <c r="Y151" s="80" t="n">
        <f aca="false">IF(AND(OR($A151&lt;&gt;"",$E151&lt;&gt;""),OR($A151="",$E151="")),1,0)</f>
        <v>0</v>
      </c>
      <c r="Z151" s="80" t="n">
        <f aca="false">IF(AND($A151&lt;&gt;"",COUNTIF($A$7:$A$1006,$A151)&gt;1),1,0)</f>
        <v>0</v>
      </c>
    </row>
    <row r="152" customFormat="false" ht="15" hidden="false" customHeight="false" outlineLevel="0" collapsed="false">
      <c r="A152" s="71"/>
      <c r="B152" s="72"/>
      <c r="C152" s="73"/>
      <c r="D152" s="73"/>
      <c r="E152" s="74"/>
      <c r="F152" s="74"/>
      <c r="G152" s="72"/>
      <c r="H152" s="74"/>
      <c r="I152" s="72"/>
      <c r="J152" s="73"/>
      <c r="K152" s="73"/>
      <c r="L152" s="75" t="str">
        <f aca="false">IF(OR($A152&lt;&gt;"",$E152&lt;&gt;""),N($F152)+N($H152),"")</f>
        <v/>
      </c>
      <c r="M152" s="76" t="str">
        <f aca="false">IF(OR($O152="",$O152="Cancelled",$O152="Amount missing"),"",IF($O152="Realised",0,$E152-N($F152)-N($H152)))</f>
        <v/>
      </c>
      <c r="N152" s="77" t="str">
        <f aca="false">IF(OR($M152="",FX=""),"",$M152*FX)</f>
        <v/>
      </c>
      <c r="O152" s="78" t="str">
        <f aca="false">IF(NOT(OR($A152&lt;&gt;"",$E152&lt;&gt;"")),"",IF($J152="Cancelled","Cancelled",IF($E152="","Amount missing",IF(OR($J152="Settled",$E152-N($F152)-N($H152)&lt;=0.005),"Realised",IF(N($H152)&gt;0,"Part realised",IF(N($F152)&gt;0,"Advance received","On hand"))))))</f>
        <v/>
      </c>
      <c r="P152" s="79" t="str">
        <f aca="false">IF(AND($V152=1,ISNUMBER($B152)),AsAt-$B152,"")</f>
        <v/>
      </c>
      <c r="Q152" s="78" t="str">
        <f aca="false">IF($V152&lt;&gt;1,"",IF($P152="","No invoice date",IF($P152&lt;=30,"0–30 days",IF($P152&lt;=60,"31–60 days",IF($P152&lt;=90,"61–90 days","Over 90 days")))))</f>
        <v/>
      </c>
      <c r="R152" s="80" t="str">
        <f aca="false">IF($V152=1,ROW(),"")</f>
        <v/>
      </c>
      <c r="S152" s="80" t="str">
        <f aca="false">IF(OR($A152&lt;&gt;"",$E152&lt;&gt;""),IF(TRIM($D152)="","Buyer not noted",TRIM($D152)),"")</f>
        <v/>
      </c>
      <c r="T152" s="80" t="n">
        <f aca="false">IF(AND($V152=1,ISNUMBER($M152)),$M152,0)</f>
        <v>0</v>
      </c>
      <c r="U152" s="80" t="str">
        <f aca="false">IF($V152=1,IF(COUNTIFS($S$7:$S152,$S152,$V$7:$V152,1)=1,SUMIFS($T$7:$T$1006,$S$7:$S$1006,$S152)-ROW()/1000000000,""),"")</f>
        <v/>
      </c>
      <c r="V152" s="80" t="n">
        <f aca="false">IF(OR($O152="On hand",$O152="Advance received",$O152="Part realised",$O152="Amount missing"),1,0)</f>
        <v>0</v>
      </c>
      <c r="W152" s="80" t="str">
        <f aca="false">IF(AND($V152=1,N($F152)&gt;0),ROW(),"")</f>
        <v/>
      </c>
      <c r="X152" s="80" t="n">
        <f aca="false">IF(AND(OR($A152&lt;&gt;"",$E152&lt;&gt;""),$O152&lt;&gt;"Cancelled",ISNUMBER($E152),N($F152)+N($H152)&gt;$E152+0.005),1,0)</f>
        <v>0</v>
      </c>
      <c r="Y152" s="80" t="n">
        <f aca="false">IF(AND(OR($A152&lt;&gt;"",$E152&lt;&gt;""),OR($A152="",$E152="")),1,0)</f>
        <v>0</v>
      </c>
      <c r="Z152" s="80" t="n">
        <f aca="false">IF(AND($A152&lt;&gt;"",COUNTIF($A$7:$A$1006,$A152)&gt;1),1,0)</f>
        <v>0</v>
      </c>
    </row>
    <row r="153" customFormat="false" ht="15" hidden="false" customHeight="false" outlineLevel="0" collapsed="false">
      <c r="A153" s="71"/>
      <c r="B153" s="72"/>
      <c r="C153" s="73"/>
      <c r="D153" s="73"/>
      <c r="E153" s="74"/>
      <c r="F153" s="74"/>
      <c r="G153" s="72"/>
      <c r="H153" s="74"/>
      <c r="I153" s="72"/>
      <c r="J153" s="73"/>
      <c r="K153" s="73"/>
      <c r="L153" s="75" t="str">
        <f aca="false">IF(OR($A153&lt;&gt;"",$E153&lt;&gt;""),N($F153)+N($H153),"")</f>
        <v/>
      </c>
      <c r="M153" s="76" t="str">
        <f aca="false">IF(OR($O153="",$O153="Cancelled",$O153="Amount missing"),"",IF($O153="Realised",0,$E153-N($F153)-N($H153)))</f>
        <v/>
      </c>
      <c r="N153" s="77" t="str">
        <f aca="false">IF(OR($M153="",FX=""),"",$M153*FX)</f>
        <v/>
      </c>
      <c r="O153" s="78" t="str">
        <f aca="false">IF(NOT(OR($A153&lt;&gt;"",$E153&lt;&gt;"")),"",IF($J153="Cancelled","Cancelled",IF($E153="","Amount missing",IF(OR($J153="Settled",$E153-N($F153)-N($H153)&lt;=0.005),"Realised",IF(N($H153)&gt;0,"Part realised",IF(N($F153)&gt;0,"Advance received","On hand"))))))</f>
        <v/>
      </c>
      <c r="P153" s="79" t="str">
        <f aca="false">IF(AND($V153=1,ISNUMBER($B153)),AsAt-$B153,"")</f>
        <v/>
      </c>
      <c r="Q153" s="78" t="str">
        <f aca="false">IF($V153&lt;&gt;1,"",IF($P153="","No invoice date",IF($P153&lt;=30,"0–30 days",IF($P153&lt;=60,"31–60 days",IF($P153&lt;=90,"61–90 days","Over 90 days")))))</f>
        <v/>
      </c>
      <c r="R153" s="80" t="str">
        <f aca="false">IF($V153=1,ROW(),"")</f>
        <v/>
      </c>
      <c r="S153" s="80" t="str">
        <f aca="false">IF(OR($A153&lt;&gt;"",$E153&lt;&gt;""),IF(TRIM($D153)="","Buyer not noted",TRIM($D153)),"")</f>
        <v/>
      </c>
      <c r="T153" s="80" t="n">
        <f aca="false">IF(AND($V153=1,ISNUMBER($M153)),$M153,0)</f>
        <v>0</v>
      </c>
      <c r="U153" s="80" t="str">
        <f aca="false">IF($V153=1,IF(COUNTIFS($S$7:$S153,$S153,$V$7:$V153,1)=1,SUMIFS($T$7:$T$1006,$S$7:$S$1006,$S153)-ROW()/1000000000,""),"")</f>
        <v/>
      </c>
      <c r="V153" s="80" t="n">
        <f aca="false">IF(OR($O153="On hand",$O153="Advance received",$O153="Part realised",$O153="Amount missing"),1,0)</f>
        <v>0</v>
      </c>
      <c r="W153" s="80" t="str">
        <f aca="false">IF(AND($V153=1,N($F153)&gt;0),ROW(),"")</f>
        <v/>
      </c>
      <c r="X153" s="80" t="n">
        <f aca="false">IF(AND(OR($A153&lt;&gt;"",$E153&lt;&gt;""),$O153&lt;&gt;"Cancelled",ISNUMBER($E153),N($F153)+N($H153)&gt;$E153+0.005),1,0)</f>
        <v>0</v>
      </c>
      <c r="Y153" s="80" t="n">
        <f aca="false">IF(AND(OR($A153&lt;&gt;"",$E153&lt;&gt;""),OR($A153="",$E153="")),1,0)</f>
        <v>0</v>
      </c>
      <c r="Z153" s="80" t="n">
        <f aca="false">IF(AND($A153&lt;&gt;"",COUNTIF($A$7:$A$1006,$A153)&gt;1),1,0)</f>
        <v>0</v>
      </c>
    </row>
    <row r="154" customFormat="false" ht="15" hidden="false" customHeight="false" outlineLevel="0" collapsed="false">
      <c r="A154" s="71"/>
      <c r="B154" s="72"/>
      <c r="C154" s="73"/>
      <c r="D154" s="73"/>
      <c r="E154" s="74"/>
      <c r="F154" s="74"/>
      <c r="G154" s="72"/>
      <c r="H154" s="74"/>
      <c r="I154" s="72"/>
      <c r="J154" s="73"/>
      <c r="K154" s="73"/>
      <c r="L154" s="75" t="str">
        <f aca="false">IF(OR($A154&lt;&gt;"",$E154&lt;&gt;""),N($F154)+N($H154),"")</f>
        <v/>
      </c>
      <c r="M154" s="76" t="str">
        <f aca="false">IF(OR($O154="",$O154="Cancelled",$O154="Amount missing"),"",IF($O154="Realised",0,$E154-N($F154)-N($H154)))</f>
        <v/>
      </c>
      <c r="N154" s="77" t="str">
        <f aca="false">IF(OR($M154="",FX=""),"",$M154*FX)</f>
        <v/>
      </c>
      <c r="O154" s="78" t="str">
        <f aca="false">IF(NOT(OR($A154&lt;&gt;"",$E154&lt;&gt;"")),"",IF($J154="Cancelled","Cancelled",IF($E154="","Amount missing",IF(OR($J154="Settled",$E154-N($F154)-N($H154)&lt;=0.005),"Realised",IF(N($H154)&gt;0,"Part realised",IF(N($F154)&gt;0,"Advance received","On hand"))))))</f>
        <v/>
      </c>
      <c r="P154" s="79" t="str">
        <f aca="false">IF(AND($V154=1,ISNUMBER($B154)),AsAt-$B154,"")</f>
        <v/>
      </c>
      <c r="Q154" s="78" t="str">
        <f aca="false">IF($V154&lt;&gt;1,"",IF($P154="","No invoice date",IF($P154&lt;=30,"0–30 days",IF($P154&lt;=60,"31–60 days",IF($P154&lt;=90,"61–90 days","Over 90 days")))))</f>
        <v/>
      </c>
      <c r="R154" s="80" t="str">
        <f aca="false">IF($V154=1,ROW(),"")</f>
        <v/>
      </c>
      <c r="S154" s="80" t="str">
        <f aca="false">IF(OR($A154&lt;&gt;"",$E154&lt;&gt;""),IF(TRIM($D154)="","Buyer not noted",TRIM($D154)),"")</f>
        <v/>
      </c>
      <c r="T154" s="80" t="n">
        <f aca="false">IF(AND($V154=1,ISNUMBER($M154)),$M154,0)</f>
        <v>0</v>
      </c>
      <c r="U154" s="80" t="str">
        <f aca="false">IF($V154=1,IF(COUNTIFS($S$7:$S154,$S154,$V$7:$V154,1)=1,SUMIFS($T$7:$T$1006,$S$7:$S$1006,$S154)-ROW()/1000000000,""),"")</f>
        <v/>
      </c>
      <c r="V154" s="80" t="n">
        <f aca="false">IF(OR($O154="On hand",$O154="Advance received",$O154="Part realised",$O154="Amount missing"),1,0)</f>
        <v>0</v>
      </c>
      <c r="W154" s="80" t="str">
        <f aca="false">IF(AND($V154=1,N($F154)&gt;0),ROW(),"")</f>
        <v/>
      </c>
      <c r="X154" s="80" t="n">
        <f aca="false">IF(AND(OR($A154&lt;&gt;"",$E154&lt;&gt;""),$O154&lt;&gt;"Cancelled",ISNUMBER($E154),N($F154)+N($H154)&gt;$E154+0.005),1,0)</f>
        <v>0</v>
      </c>
      <c r="Y154" s="80" t="n">
        <f aca="false">IF(AND(OR($A154&lt;&gt;"",$E154&lt;&gt;""),OR($A154="",$E154="")),1,0)</f>
        <v>0</v>
      </c>
      <c r="Z154" s="80" t="n">
        <f aca="false">IF(AND($A154&lt;&gt;"",COUNTIF($A$7:$A$1006,$A154)&gt;1),1,0)</f>
        <v>0</v>
      </c>
    </row>
    <row r="155" customFormat="false" ht="15" hidden="false" customHeight="false" outlineLevel="0" collapsed="false">
      <c r="A155" s="71"/>
      <c r="B155" s="72"/>
      <c r="C155" s="73"/>
      <c r="D155" s="73"/>
      <c r="E155" s="74"/>
      <c r="F155" s="74"/>
      <c r="G155" s="72"/>
      <c r="H155" s="74"/>
      <c r="I155" s="72"/>
      <c r="J155" s="73"/>
      <c r="K155" s="73"/>
      <c r="L155" s="75" t="str">
        <f aca="false">IF(OR($A155&lt;&gt;"",$E155&lt;&gt;""),N($F155)+N($H155),"")</f>
        <v/>
      </c>
      <c r="M155" s="76" t="str">
        <f aca="false">IF(OR($O155="",$O155="Cancelled",$O155="Amount missing"),"",IF($O155="Realised",0,$E155-N($F155)-N($H155)))</f>
        <v/>
      </c>
      <c r="N155" s="77" t="str">
        <f aca="false">IF(OR($M155="",FX=""),"",$M155*FX)</f>
        <v/>
      </c>
      <c r="O155" s="78" t="str">
        <f aca="false">IF(NOT(OR($A155&lt;&gt;"",$E155&lt;&gt;"")),"",IF($J155="Cancelled","Cancelled",IF($E155="","Amount missing",IF(OR($J155="Settled",$E155-N($F155)-N($H155)&lt;=0.005),"Realised",IF(N($H155)&gt;0,"Part realised",IF(N($F155)&gt;0,"Advance received","On hand"))))))</f>
        <v/>
      </c>
      <c r="P155" s="79" t="str">
        <f aca="false">IF(AND($V155=1,ISNUMBER($B155)),AsAt-$B155,"")</f>
        <v/>
      </c>
      <c r="Q155" s="78" t="str">
        <f aca="false">IF($V155&lt;&gt;1,"",IF($P155="","No invoice date",IF($P155&lt;=30,"0–30 days",IF($P155&lt;=60,"31–60 days",IF($P155&lt;=90,"61–90 days","Over 90 days")))))</f>
        <v/>
      </c>
      <c r="R155" s="80" t="str">
        <f aca="false">IF($V155=1,ROW(),"")</f>
        <v/>
      </c>
      <c r="S155" s="80" t="str">
        <f aca="false">IF(OR($A155&lt;&gt;"",$E155&lt;&gt;""),IF(TRIM($D155)="","Buyer not noted",TRIM($D155)),"")</f>
        <v/>
      </c>
      <c r="T155" s="80" t="n">
        <f aca="false">IF(AND($V155=1,ISNUMBER($M155)),$M155,0)</f>
        <v>0</v>
      </c>
      <c r="U155" s="80" t="str">
        <f aca="false">IF($V155=1,IF(COUNTIFS($S$7:$S155,$S155,$V$7:$V155,1)=1,SUMIFS($T$7:$T$1006,$S$7:$S$1006,$S155)-ROW()/1000000000,""),"")</f>
        <v/>
      </c>
      <c r="V155" s="80" t="n">
        <f aca="false">IF(OR($O155="On hand",$O155="Advance received",$O155="Part realised",$O155="Amount missing"),1,0)</f>
        <v>0</v>
      </c>
      <c r="W155" s="80" t="str">
        <f aca="false">IF(AND($V155=1,N($F155)&gt;0),ROW(),"")</f>
        <v/>
      </c>
      <c r="X155" s="80" t="n">
        <f aca="false">IF(AND(OR($A155&lt;&gt;"",$E155&lt;&gt;""),$O155&lt;&gt;"Cancelled",ISNUMBER($E155),N($F155)+N($H155)&gt;$E155+0.005),1,0)</f>
        <v>0</v>
      </c>
      <c r="Y155" s="80" t="n">
        <f aca="false">IF(AND(OR($A155&lt;&gt;"",$E155&lt;&gt;""),OR($A155="",$E155="")),1,0)</f>
        <v>0</v>
      </c>
      <c r="Z155" s="80" t="n">
        <f aca="false">IF(AND($A155&lt;&gt;"",COUNTIF($A$7:$A$1006,$A155)&gt;1),1,0)</f>
        <v>0</v>
      </c>
    </row>
    <row r="156" customFormat="false" ht="15" hidden="false" customHeight="false" outlineLevel="0" collapsed="false">
      <c r="A156" s="71"/>
      <c r="B156" s="72"/>
      <c r="C156" s="73"/>
      <c r="D156" s="73"/>
      <c r="E156" s="74"/>
      <c r="F156" s="74"/>
      <c r="G156" s="72"/>
      <c r="H156" s="74"/>
      <c r="I156" s="72"/>
      <c r="J156" s="73"/>
      <c r="K156" s="73"/>
      <c r="L156" s="75" t="str">
        <f aca="false">IF(OR($A156&lt;&gt;"",$E156&lt;&gt;""),N($F156)+N($H156),"")</f>
        <v/>
      </c>
      <c r="M156" s="76" t="str">
        <f aca="false">IF(OR($O156="",$O156="Cancelled",$O156="Amount missing"),"",IF($O156="Realised",0,$E156-N($F156)-N($H156)))</f>
        <v/>
      </c>
      <c r="N156" s="77" t="str">
        <f aca="false">IF(OR($M156="",FX=""),"",$M156*FX)</f>
        <v/>
      </c>
      <c r="O156" s="78" t="str">
        <f aca="false">IF(NOT(OR($A156&lt;&gt;"",$E156&lt;&gt;"")),"",IF($J156="Cancelled","Cancelled",IF($E156="","Amount missing",IF(OR($J156="Settled",$E156-N($F156)-N($H156)&lt;=0.005),"Realised",IF(N($H156)&gt;0,"Part realised",IF(N($F156)&gt;0,"Advance received","On hand"))))))</f>
        <v/>
      </c>
      <c r="P156" s="79" t="str">
        <f aca="false">IF(AND($V156=1,ISNUMBER($B156)),AsAt-$B156,"")</f>
        <v/>
      </c>
      <c r="Q156" s="78" t="str">
        <f aca="false">IF($V156&lt;&gt;1,"",IF($P156="","No invoice date",IF($P156&lt;=30,"0–30 days",IF($P156&lt;=60,"31–60 days",IF($P156&lt;=90,"61–90 days","Over 90 days")))))</f>
        <v/>
      </c>
      <c r="R156" s="80" t="str">
        <f aca="false">IF($V156=1,ROW(),"")</f>
        <v/>
      </c>
      <c r="S156" s="80" t="str">
        <f aca="false">IF(OR($A156&lt;&gt;"",$E156&lt;&gt;""),IF(TRIM($D156)="","Buyer not noted",TRIM($D156)),"")</f>
        <v/>
      </c>
      <c r="T156" s="80" t="n">
        <f aca="false">IF(AND($V156=1,ISNUMBER($M156)),$M156,0)</f>
        <v>0</v>
      </c>
      <c r="U156" s="80" t="str">
        <f aca="false">IF($V156=1,IF(COUNTIFS($S$7:$S156,$S156,$V$7:$V156,1)=1,SUMIFS($T$7:$T$1006,$S$7:$S$1006,$S156)-ROW()/1000000000,""),"")</f>
        <v/>
      </c>
      <c r="V156" s="80" t="n">
        <f aca="false">IF(OR($O156="On hand",$O156="Advance received",$O156="Part realised",$O156="Amount missing"),1,0)</f>
        <v>0</v>
      </c>
      <c r="W156" s="80" t="str">
        <f aca="false">IF(AND($V156=1,N($F156)&gt;0),ROW(),"")</f>
        <v/>
      </c>
      <c r="X156" s="80" t="n">
        <f aca="false">IF(AND(OR($A156&lt;&gt;"",$E156&lt;&gt;""),$O156&lt;&gt;"Cancelled",ISNUMBER($E156),N($F156)+N($H156)&gt;$E156+0.005),1,0)</f>
        <v>0</v>
      </c>
      <c r="Y156" s="80" t="n">
        <f aca="false">IF(AND(OR($A156&lt;&gt;"",$E156&lt;&gt;""),OR($A156="",$E156="")),1,0)</f>
        <v>0</v>
      </c>
      <c r="Z156" s="80" t="n">
        <f aca="false">IF(AND($A156&lt;&gt;"",COUNTIF($A$7:$A$1006,$A156)&gt;1),1,0)</f>
        <v>0</v>
      </c>
    </row>
    <row r="157" customFormat="false" ht="15" hidden="false" customHeight="false" outlineLevel="0" collapsed="false">
      <c r="A157" s="71"/>
      <c r="B157" s="72"/>
      <c r="C157" s="73"/>
      <c r="D157" s="73"/>
      <c r="E157" s="74"/>
      <c r="F157" s="74"/>
      <c r="G157" s="72"/>
      <c r="H157" s="74"/>
      <c r="I157" s="72"/>
      <c r="J157" s="73"/>
      <c r="K157" s="73"/>
      <c r="L157" s="75" t="str">
        <f aca="false">IF(OR($A157&lt;&gt;"",$E157&lt;&gt;""),N($F157)+N($H157),"")</f>
        <v/>
      </c>
      <c r="M157" s="76" t="str">
        <f aca="false">IF(OR($O157="",$O157="Cancelled",$O157="Amount missing"),"",IF($O157="Realised",0,$E157-N($F157)-N($H157)))</f>
        <v/>
      </c>
      <c r="N157" s="77" t="str">
        <f aca="false">IF(OR($M157="",FX=""),"",$M157*FX)</f>
        <v/>
      </c>
      <c r="O157" s="78" t="str">
        <f aca="false">IF(NOT(OR($A157&lt;&gt;"",$E157&lt;&gt;"")),"",IF($J157="Cancelled","Cancelled",IF($E157="","Amount missing",IF(OR($J157="Settled",$E157-N($F157)-N($H157)&lt;=0.005),"Realised",IF(N($H157)&gt;0,"Part realised",IF(N($F157)&gt;0,"Advance received","On hand"))))))</f>
        <v/>
      </c>
      <c r="P157" s="79" t="str">
        <f aca="false">IF(AND($V157=1,ISNUMBER($B157)),AsAt-$B157,"")</f>
        <v/>
      </c>
      <c r="Q157" s="78" t="str">
        <f aca="false">IF($V157&lt;&gt;1,"",IF($P157="","No invoice date",IF($P157&lt;=30,"0–30 days",IF($P157&lt;=60,"31–60 days",IF($P157&lt;=90,"61–90 days","Over 90 days")))))</f>
        <v/>
      </c>
      <c r="R157" s="80" t="str">
        <f aca="false">IF($V157=1,ROW(),"")</f>
        <v/>
      </c>
      <c r="S157" s="80" t="str">
        <f aca="false">IF(OR($A157&lt;&gt;"",$E157&lt;&gt;""),IF(TRIM($D157)="","Buyer not noted",TRIM($D157)),"")</f>
        <v/>
      </c>
      <c r="T157" s="80" t="n">
        <f aca="false">IF(AND($V157=1,ISNUMBER($M157)),$M157,0)</f>
        <v>0</v>
      </c>
      <c r="U157" s="80" t="str">
        <f aca="false">IF($V157=1,IF(COUNTIFS($S$7:$S157,$S157,$V$7:$V157,1)=1,SUMIFS($T$7:$T$1006,$S$7:$S$1006,$S157)-ROW()/1000000000,""),"")</f>
        <v/>
      </c>
      <c r="V157" s="80" t="n">
        <f aca="false">IF(OR($O157="On hand",$O157="Advance received",$O157="Part realised",$O157="Amount missing"),1,0)</f>
        <v>0</v>
      </c>
      <c r="W157" s="80" t="str">
        <f aca="false">IF(AND($V157=1,N($F157)&gt;0),ROW(),"")</f>
        <v/>
      </c>
      <c r="X157" s="80" t="n">
        <f aca="false">IF(AND(OR($A157&lt;&gt;"",$E157&lt;&gt;""),$O157&lt;&gt;"Cancelled",ISNUMBER($E157),N($F157)+N($H157)&gt;$E157+0.005),1,0)</f>
        <v>0</v>
      </c>
      <c r="Y157" s="80" t="n">
        <f aca="false">IF(AND(OR($A157&lt;&gt;"",$E157&lt;&gt;""),OR($A157="",$E157="")),1,0)</f>
        <v>0</v>
      </c>
      <c r="Z157" s="80" t="n">
        <f aca="false">IF(AND($A157&lt;&gt;"",COUNTIF($A$7:$A$1006,$A157)&gt;1),1,0)</f>
        <v>0</v>
      </c>
    </row>
    <row r="158" customFormat="false" ht="15" hidden="false" customHeight="false" outlineLevel="0" collapsed="false">
      <c r="A158" s="71"/>
      <c r="B158" s="72"/>
      <c r="C158" s="73"/>
      <c r="D158" s="73"/>
      <c r="E158" s="74"/>
      <c r="F158" s="74"/>
      <c r="G158" s="72"/>
      <c r="H158" s="74"/>
      <c r="I158" s="72"/>
      <c r="J158" s="73"/>
      <c r="K158" s="73"/>
      <c r="L158" s="75" t="str">
        <f aca="false">IF(OR($A158&lt;&gt;"",$E158&lt;&gt;""),N($F158)+N($H158),"")</f>
        <v/>
      </c>
      <c r="M158" s="76" t="str">
        <f aca="false">IF(OR($O158="",$O158="Cancelled",$O158="Amount missing"),"",IF($O158="Realised",0,$E158-N($F158)-N($H158)))</f>
        <v/>
      </c>
      <c r="N158" s="77" t="str">
        <f aca="false">IF(OR($M158="",FX=""),"",$M158*FX)</f>
        <v/>
      </c>
      <c r="O158" s="78" t="str">
        <f aca="false">IF(NOT(OR($A158&lt;&gt;"",$E158&lt;&gt;"")),"",IF($J158="Cancelled","Cancelled",IF($E158="","Amount missing",IF(OR($J158="Settled",$E158-N($F158)-N($H158)&lt;=0.005),"Realised",IF(N($H158)&gt;0,"Part realised",IF(N($F158)&gt;0,"Advance received","On hand"))))))</f>
        <v/>
      </c>
      <c r="P158" s="79" t="str">
        <f aca="false">IF(AND($V158=1,ISNUMBER($B158)),AsAt-$B158,"")</f>
        <v/>
      </c>
      <c r="Q158" s="78" t="str">
        <f aca="false">IF($V158&lt;&gt;1,"",IF($P158="","No invoice date",IF($P158&lt;=30,"0–30 days",IF($P158&lt;=60,"31–60 days",IF($P158&lt;=90,"61–90 days","Over 90 days")))))</f>
        <v/>
      </c>
      <c r="R158" s="80" t="str">
        <f aca="false">IF($V158=1,ROW(),"")</f>
        <v/>
      </c>
      <c r="S158" s="80" t="str">
        <f aca="false">IF(OR($A158&lt;&gt;"",$E158&lt;&gt;""),IF(TRIM($D158)="","Buyer not noted",TRIM($D158)),"")</f>
        <v/>
      </c>
      <c r="T158" s="80" t="n">
        <f aca="false">IF(AND($V158=1,ISNUMBER($M158)),$M158,0)</f>
        <v>0</v>
      </c>
      <c r="U158" s="80" t="str">
        <f aca="false">IF($V158=1,IF(COUNTIFS($S$7:$S158,$S158,$V$7:$V158,1)=1,SUMIFS($T$7:$T$1006,$S$7:$S$1006,$S158)-ROW()/1000000000,""),"")</f>
        <v/>
      </c>
      <c r="V158" s="80" t="n">
        <f aca="false">IF(OR($O158="On hand",$O158="Advance received",$O158="Part realised",$O158="Amount missing"),1,0)</f>
        <v>0</v>
      </c>
      <c r="W158" s="80" t="str">
        <f aca="false">IF(AND($V158=1,N($F158)&gt;0),ROW(),"")</f>
        <v/>
      </c>
      <c r="X158" s="80" t="n">
        <f aca="false">IF(AND(OR($A158&lt;&gt;"",$E158&lt;&gt;""),$O158&lt;&gt;"Cancelled",ISNUMBER($E158),N($F158)+N($H158)&gt;$E158+0.005),1,0)</f>
        <v>0</v>
      </c>
      <c r="Y158" s="80" t="n">
        <f aca="false">IF(AND(OR($A158&lt;&gt;"",$E158&lt;&gt;""),OR($A158="",$E158="")),1,0)</f>
        <v>0</v>
      </c>
      <c r="Z158" s="80" t="n">
        <f aca="false">IF(AND($A158&lt;&gt;"",COUNTIF($A$7:$A$1006,$A158)&gt;1),1,0)</f>
        <v>0</v>
      </c>
    </row>
    <row r="159" customFormat="false" ht="15" hidden="false" customHeight="false" outlineLevel="0" collapsed="false">
      <c r="A159" s="71"/>
      <c r="B159" s="72"/>
      <c r="C159" s="73"/>
      <c r="D159" s="73"/>
      <c r="E159" s="74"/>
      <c r="F159" s="74"/>
      <c r="G159" s="72"/>
      <c r="H159" s="74"/>
      <c r="I159" s="72"/>
      <c r="J159" s="73"/>
      <c r="K159" s="73"/>
      <c r="L159" s="75" t="str">
        <f aca="false">IF(OR($A159&lt;&gt;"",$E159&lt;&gt;""),N($F159)+N($H159),"")</f>
        <v/>
      </c>
      <c r="M159" s="76" t="str">
        <f aca="false">IF(OR($O159="",$O159="Cancelled",$O159="Amount missing"),"",IF($O159="Realised",0,$E159-N($F159)-N($H159)))</f>
        <v/>
      </c>
      <c r="N159" s="77" t="str">
        <f aca="false">IF(OR($M159="",FX=""),"",$M159*FX)</f>
        <v/>
      </c>
      <c r="O159" s="78" t="str">
        <f aca="false">IF(NOT(OR($A159&lt;&gt;"",$E159&lt;&gt;"")),"",IF($J159="Cancelled","Cancelled",IF($E159="","Amount missing",IF(OR($J159="Settled",$E159-N($F159)-N($H159)&lt;=0.005),"Realised",IF(N($H159)&gt;0,"Part realised",IF(N($F159)&gt;0,"Advance received","On hand"))))))</f>
        <v/>
      </c>
      <c r="P159" s="79" t="str">
        <f aca="false">IF(AND($V159=1,ISNUMBER($B159)),AsAt-$B159,"")</f>
        <v/>
      </c>
      <c r="Q159" s="78" t="str">
        <f aca="false">IF($V159&lt;&gt;1,"",IF($P159="","No invoice date",IF($P159&lt;=30,"0–30 days",IF($P159&lt;=60,"31–60 days",IF($P159&lt;=90,"61–90 days","Over 90 days")))))</f>
        <v/>
      </c>
      <c r="R159" s="80" t="str">
        <f aca="false">IF($V159=1,ROW(),"")</f>
        <v/>
      </c>
      <c r="S159" s="80" t="str">
        <f aca="false">IF(OR($A159&lt;&gt;"",$E159&lt;&gt;""),IF(TRIM($D159)="","Buyer not noted",TRIM($D159)),"")</f>
        <v/>
      </c>
      <c r="T159" s="80" t="n">
        <f aca="false">IF(AND($V159=1,ISNUMBER($M159)),$M159,0)</f>
        <v>0</v>
      </c>
      <c r="U159" s="80" t="str">
        <f aca="false">IF($V159=1,IF(COUNTIFS($S$7:$S159,$S159,$V$7:$V159,1)=1,SUMIFS($T$7:$T$1006,$S$7:$S$1006,$S159)-ROW()/1000000000,""),"")</f>
        <v/>
      </c>
      <c r="V159" s="80" t="n">
        <f aca="false">IF(OR($O159="On hand",$O159="Advance received",$O159="Part realised",$O159="Amount missing"),1,0)</f>
        <v>0</v>
      </c>
      <c r="W159" s="80" t="str">
        <f aca="false">IF(AND($V159=1,N($F159)&gt;0),ROW(),"")</f>
        <v/>
      </c>
      <c r="X159" s="80" t="n">
        <f aca="false">IF(AND(OR($A159&lt;&gt;"",$E159&lt;&gt;""),$O159&lt;&gt;"Cancelled",ISNUMBER($E159),N($F159)+N($H159)&gt;$E159+0.005),1,0)</f>
        <v>0</v>
      </c>
      <c r="Y159" s="80" t="n">
        <f aca="false">IF(AND(OR($A159&lt;&gt;"",$E159&lt;&gt;""),OR($A159="",$E159="")),1,0)</f>
        <v>0</v>
      </c>
      <c r="Z159" s="80" t="n">
        <f aca="false">IF(AND($A159&lt;&gt;"",COUNTIF($A$7:$A$1006,$A159)&gt;1),1,0)</f>
        <v>0</v>
      </c>
    </row>
    <row r="160" customFormat="false" ht="15" hidden="false" customHeight="false" outlineLevel="0" collapsed="false">
      <c r="A160" s="71"/>
      <c r="B160" s="72"/>
      <c r="C160" s="73"/>
      <c r="D160" s="73"/>
      <c r="E160" s="74"/>
      <c r="F160" s="74"/>
      <c r="G160" s="72"/>
      <c r="H160" s="74"/>
      <c r="I160" s="72"/>
      <c r="J160" s="73"/>
      <c r="K160" s="73"/>
      <c r="L160" s="75" t="str">
        <f aca="false">IF(OR($A160&lt;&gt;"",$E160&lt;&gt;""),N($F160)+N($H160),"")</f>
        <v/>
      </c>
      <c r="M160" s="76" t="str">
        <f aca="false">IF(OR($O160="",$O160="Cancelled",$O160="Amount missing"),"",IF($O160="Realised",0,$E160-N($F160)-N($H160)))</f>
        <v/>
      </c>
      <c r="N160" s="77" t="str">
        <f aca="false">IF(OR($M160="",FX=""),"",$M160*FX)</f>
        <v/>
      </c>
      <c r="O160" s="78" t="str">
        <f aca="false">IF(NOT(OR($A160&lt;&gt;"",$E160&lt;&gt;"")),"",IF($J160="Cancelled","Cancelled",IF($E160="","Amount missing",IF(OR($J160="Settled",$E160-N($F160)-N($H160)&lt;=0.005),"Realised",IF(N($H160)&gt;0,"Part realised",IF(N($F160)&gt;0,"Advance received","On hand"))))))</f>
        <v/>
      </c>
      <c r="P160" s="79" t="str">
        <f aca="false">IF(AND($V160=1,ISNUMBER($B160)),AsAt-$B160,"")</f>
        <v/>
      </c>
      <c r="Q160" s="78" t="str">
        <f aca="false">IF($V160&lt;&gt;1,"",IF($P160="","No invoice date",IF($P160&lt;=30,"0–30 days",IF($P160&lt;=60,"31–60 days",IF($P160&lt;=90,"61–90 days","Over 90 days")))))</f>
        <v/>
      </c>
      <c r="R160" s="80" t="str">
        <f aca="false">IF($V160=1,ROW(),"")</f>
        <v/>
      </c>
      <c r="S160" s="80" t="str">
        <f aca="false">IF(OR($A160&lt;&gt;"",$E160&lt;&gt;""),IF(TRIM($D160)="","Buyer not noted",TRIM($D160)),"")</f>
        <v/>
      </c>
      <c r="T160" s="80" t="n">
        <f aca="false">IF(AND($V160=1,ISNUMBER($M160)),$M160,0)</f>
        <v>0</v>
      </c>
      <c r="U160" s="80" t="str">
        <f aca="false">IF($V160=1,IF(COUNTIFS($S$7:$S160,$S160,$V$7:$V160,1)=1,SUMIFS($T$7:$T$1006,$S$7:$S$1006,$S160)-ROW()/1000000000,""),"")</f>
        <v/>
      </c>
      <c r="V160" s="80" t="n">
        <f aca="false">IF(OR($O160="On hand",$O160="Advance received",$O160="Part realised",$O160="Amount missing"),1,0)</f>
        <v>0</v>
      </c>
      <c r="W160" s="80" t="str">
        <f aca="false">IF(AND($V160=1,N($F160)&gt;0),ROW(),"")</f>
        <v/>
      </c>
      <c r="X160" s="80" t="n">
        <f aca="false">IF(AND(OR($A160&lt;&gt;"",$E160&lt;&gt;""),$O160&lt;&gt;"Cancelled",ISNUMBER($E160),N($F160)+N($H160)&gt;$E160+0.005),1,0)</f>
        <v>0</v>
      </c>
      <c r="Y160" s="80" t="n">
        <f aca="false">IF(AND(OR($A160&lt;&gt;"",$E160&lt;&gt;""),OR($A160="",$E160="")),1,0)</f>
        <v>0</v>
      </c>
      <c r="Z160" s="80" t="n">
        <f aca="false">IF(AND($A160&lt;&gt;"",COUNTIF($A$7:$A$1006,$A160)&gt;1),1,0)</f>
        <v>0</v>
      </c>
    </row>
    <row r="161" customFormat="false" ht="15" hidden="false" customHeight="false" outlineLevel="0" collapsed="false">
      <c r="A161" s="71"/>
      <c r="B161" s="72"/>
      <c r="C161" s="73"/>
      <c r="D161" s="73"/>
      <c r="E161" s="74"/>
      <c r="F161" s="74"/>
      <c r="G161" s="72"/>
      <c r="H161" s="74"/>
      <c r="I161" s="72"/>
      <c r="J161" s="73"/>
      <c r="K161" s="73"/>
      <c r="L161" s="75" t="str">
        <f aca="false">IF(OR($A161&lt;&gt;"",$E161&lt;&gt;""),N($F161)+N($H161),"")</f>
        <v/>
      </c>
      <c r="M161" s="76" t="str">
        <f aca="false">IF(OR($O161="",$O161="Cancelled",$O161="Amount missing"),"",IF($O161="Realised",0,$E161-N($F161)-N($H161)))</f>
        <v/>
      </c>
      <c r="N161" s="77" t="str">
        <f aca="false">IF(OR($M161="",FX=""),"",$M161*FX)</f>
        <v/>
      </c>
      <c r="O161" s="78" t="str">
        <f aca="false">IF(NOT(OR($A161&lt;&gt;"",$E161&lt;&gt;"")),"",IF($J161="Cancelled","Cancelled",IF($E161="","Amount missing",IF(OR($J161="Settled",$E161-N($F161)-N($H161)&lt;=0.005),"Realised",IF(N($H161)&gt;0,"Part realised",IF(N($F161)&gt;0,"Advance received","On hand"))))))</f>
        <v/>
      </c>
      <c r="P161" s="79" t="str">
        <f aca="false">IF(AND($V161=1,ISNUMBER($B161)),AsAt-$B161,"")</f>
        <v/>
      </c>
      <c r="Q161" s="78" t="str">
        <f aca="false">IF($V161&lt;&gt;1,"",IF($P161="","No invoice date",IF($P161&lt;=30,"0–30 days",IF($P161&lt;=60,"31–60 days",IF($P161&lt;=90,"61–90 days","Over 90 days")))))</f>
        <v/>
      </c>
      <c r="R161" s="80" t="str">
        <f aca="false">IF($V161=1,ROW(),"")</f>
        <v/>
      </c>
      <c r="S161" s="80" t="str">
        <f aca="false">IF(OR($A161&lt;&gt;"",$E161&lt;&gt;""),IF(TRIM($D161)="","Buyer not noted",TRIM($D161)),"")</f>
        <v/>
      </c>
      <c r="T161" s="80" t="n">
        <f aca="false">IF(AND($V161=1,ISNUMBER($M161)),$M161,0)</f>
        <v>0</v>
      </c>
      <c r="U161" s="80" t="str">
        <f aca="false">IF($V161=1,IF(COUNTIFS($S$7:$S161,$S161,$V$7:$V161,1)=1,SUMIFS($T$7:$T$1006,$S$7:$S$1006,$S161)-ROW()/1000000000,""),"")</f>
        <v/>
      </c>
      <c r="V161" s="80" t="n">
        <f aca="false">IF(OR($O161="On hand",$O161="Advance received",$O161="Part realised",$O161="Amount missing"),1,0)</f>
        <v>0</v>
      </c>
      <c r="W161" s="80" t="str">
        <f aca="false">IF(AND($V161=1,N($F161)&gt;0),ROW(),"")</f>
        <v/>
      </c>
      <c r="X161" s="80" t="n">
        <f aca="false">IF(AND(OR($A161&lt;&gt;"",$E161&lt;&gt;""),$O161&lt;&gt;"Cancelled",ISNUMBER($E161),N($F161)+N($H161)&gt;$E161+0.005),1,0)</f>
        <v>0</v>
      </c>
      <c r="Y161" s="80" t="n">
        <f aca="false">IF(AND(OR($A161&lt;&gt;"",$E161&lt;&gt;""),OR($A161="",$E161="")),1,0)</f>
        <v>0</v>
      </c>
      <c r="Z161" s="80" t="n">
        <f aca="false">IF(AND($A161&lt;&gt;"",COUNTIF($A$7:$A$1006,$A161)&gt;1),1,0)</f>
        <v>0</v>
      </c>
    </row>
    <row r="162" customFormat="false" ht="15" hidden="false" customHeight="false" outlineLevel="0" collapsed="false">
      <c r="A162" s="71"/>
      <c r="B162" s="72"/>
      <c r="C162" s="73"/>
      <c r="D162" s="73"/>
      <c r="E162" s="74"/>
      <c r="F162" s="74"/>
      <c r="G162" s="72"/>
      <c r="H162" s="74"/>
      <c r="I162" s="72"/>
      <c r="J162" s="73"/>
      <c r="K162" s="73"/>
      <c r="L162" s="75" t="str">
        <f aca="false">IF(OR($A162&lt;&gt;"",$E162&lt;&gt;""),N($F162)+N($H162),"")</f>
        <v/>
      </c>
      <c r="M162" s="76" t="str">
        <f aca="false">IF(OR($O162="",$O162="Cancelled",$O162="Amount missing"),"",IF($O162="Realised",0,$E162-N($F162)-N($H162)))</f>
        <v/>
      </c>
      <c r="N162" s="77" t="str">
        <f aca="false">IF(OR($M162="",FX=""),"",$M162*FX)</f>
        <v/>
      </c>
      <c r="O162" s="78" t="str">
        <f aca="false">IF(NOT(OR($A162&lt;&gt;"",$E162&lt;&gt;"")),"",IF($J162="Cancelled","Cancelled",IF($E162="","Amount missing",IF(OR($J162="Settled",$E162-N($F162)-N($H162)&lt;=0.005),"Realised",IF(N($H162)&gt;0,"Part realised",IF(N($F162)&gt;0,"Advance received","On hand"))))))</f>
        <v/>
      </c>
      <c r="P162" s="79" t="str">
        <f aca="false">IF(AND($V162=1,ISNUMBER($B162)),AsAt-$B162,"")</f>
        <v/>
      </c>
      <c r="Q162" s="78" t="str">
        <f aca="false">IF($V162&lt;&gt;1,"",IF($P162="","No invoice date",IF($P162&lt;=30,"0–30 days",IF($P162&lt;=60,"31–60 days",IF($P162&lt;=90,"61–90 days","Over 90 days")))))</f>
        <v/>
      </c>
      <c r="R162" s="80" t="str">
        <f aca="false">IF($V162=1,ROW(),"")</f>
        <v/>
      </c>
      <c r="S162" s="80" t="str">
        <f aca="false">IF(OR($A162&lt;&gt;"",$E162&lt;&gt;""),IF(TRIM($D162)="","Buyer not noted",TRIM($D162)),"")</f>
        <v/>
      </c>
      <c r="T162" s="80" t="n">
        <f aca="false">IF(AND($V162=1,ISNUMBER($M162)),$M162,0)</f>
        <v>0</v>
      </c>
      <c r="U162" s="80" t="str">
        <f aca="false">IF($V162=1,IF(COUNTIFS($S$7:$S162,$S162,$V$7:$V162,1)=1,SUMIFS($T$7:$T$1006,$S$7:$S$1006,$S162)-ROW()/1000000000,""),"")</f>
        <v/>
      </c>
      <c r="V162" s="80" t="n">
        <f aca="false">IF(OR($O162="On hand",$O162="Advance received",$O162="Part realised",$O162="Amount missing"),1,0)</f>
        <v>0</v>
      </c>
      <c r="W162" s="80" t="str">
        <f aca="false">IF(AND($V162=1,N($F162)&gt;0),ROW(),"")</f>
        <v/>
      </c>
      <c r="X162" s="80" t="n">
        <f aca="false">IF(AND(OR($A162&lt;&gt;"",$E162&lt;&gt;""),$O162&lt;&gt;"Cancelled",ISNUMBER($E162),N($F162)+N($H162)&gt;$E162+0.005),1,0)</f>
        <v>0</v>
      </c>
      <c r="Y162" s="80" t="n">
        <f aca="false">IF(AND(OR($A162&lt;&gt;"",$E162&lt;&gt;""),OR($A162="",$E162="")),1,0)</f>
        <v>0</v>
      </c>
      <c r="Z162" s="80" t="n">
        <f aca="false">IF(AND($A162&lt;&gt;"",COUNTIF($A$7:$A$1006,$A162)&gt;1),1,0)</f>
        <v>0</v>
      </c>
    </row>
    <row r="163" customFormat="false" ht="15" hidden="false" customHeight="false" outlineLevel="0" collapsed="false">
      <c r="A163" s="71"/>
      <c r="B163" s="72"/>
      <c r="C163" s="73"/>
      <c r="D163" s="73"/>
      <c r="E163" s="74"/>
      <c r="F163" s="74"/>
      <c r="G163" s="72"/>
      <c r="H163" s="74"/>
      <c r="I163" s="72"/>
      <c r="J163" s="73"/>
      <c r="K163" s="73"/>
      <c r="L163" s="75" t="str">
        <f aca="false">IF(OR($A163&lt;&gt;"",$E163&lt;&gt;""),N($F163)+N($H163),"")</f>
        <v/>
      </c>
      <c r="M163" s="76" t="str">
        <f aca="false">IF(OR($O163="",$O163="Cancelled",$O163="Amount missing"),"",IF($O163="Realised",0,$E163-N($F163)-N($H163)))</f>
        <v/>
      </c>
      <c r="N163" s="77" t="str">
        <f aca="false">IF(OR($M163="",FX=""),"",$M163*FX)</f>
        <v/>
      </c>
      <c r="O163" s="78" t="str">
        <f aca="false">IF(NOT(OR($A163&lt;&gt;"",$E163&lt;&gt;"")),"",IF($J163="Cancelled","Cancelled",IF($E163="","Amount missing",IF(OR($J163="Settled",$E163-N($F163)-N($H163)&lt;=0.005),"Realised",IF(N($H163)&gt;0,"Part realised",IF(N($F163)&gt;0,"Advance received","On hand"))))))</f>
        <v/>
      </c>
      <c r="P163" s="79" t="str">
        <f aca="false">IF(AND($V163=1,ISNUMBER($B163)),AsAt-$B163,"")</f>
        <v/>
      </c>
      <c r="Q163" s="78" t="str">
        <f aca="false">IF($V163&lt;&gt;1,"",IF($P163="","No invoice date",IF($P163&lt;=30,"0–30 days",IF($P163&lt;=60,"31–60 days",IF($P163&lt;=90,"61–90 days","Over 90 days")))))</f>
        <v/>
      </c>
      <c r="R163" s="80" t="str">
        <f aca="false">IF($V163=1,ROW(),"")</f>
        <v/>
      </c>
      <c r="S163" s="80" t="str">
        <f aca="false">IF(OR($A163&lt;&gt;"",$E163&lt;&gt;""),IF(TRIM($D163)="","Buyer not noted",TRIM($D163)),"")</f>
        <v/>
      </c>
      <c r="T163" s="80" t="n">
        <f aca="false">IF(AND($V163=1,ISNUMBER($M163)),$M163,0)</f>
        <v>0</v>
      </c>
      <c r="U163" s="80" t="str">
        <f aca="false">IF($V163=1,IF(COUNTIFS($S$7:$S163,$S163,$V$7:$V163,1)=1,SUMIFS($T$7:$T$1006,$S$7:$S$1006,$S163)-ROW()/1000000000,""),"")</f>
        <v/>
      </c>
      <c r="V163" s="80" t="n">
        <f aca="false">IF(OR($O163="On hand",$O163="Advance received",$O163="Part realised",$O163="Amount missing"),1,0)</f>
        <v>0</v>
      </c>
      <c r="W163" s="80" t="str">
        <f aca="false">IF(AND($V163=1,N($F163)&gt;0),ROW(),"")</f>
        <v/>
      </c>
      <c r="X163" s="80" t="n">
        <f aca="false">IF(AND(OR($A163&lt;&gt;"",$E163&lt;&gt;""),$O163&lt;&gt;"Cancelled",ISNUMBER($E163),N($F163)+N($H163)&gt;$E163+0.005),1,0)</f>
        <v>0</v>
      </c>
      <c r="Y163" s="80" t="n">
        <f aca="false">IF(AND(OR($A163&lt;&gt;"",$E163&lt;&gt;""),OR($A163="",$E163="")),1,0)</f>
        <v>0</v>
      </c>
      <c r="Z163" s="80" t="n">
        <f aca="false">IF(AND($A163&lt;&gt;"",COUNTIF($A$7:$A$1006,$A163)&gt;1),1,0)</f>
        <v>0</v>
      </c>
    </row>
    <row r="164" customFormat="false" ht="15" hidden="false" customHeight="false" outlineLevel="0" collapsed="false">
      <c r="A164" s="71"/>
      <c r="B164" s="72"/>
      <c r="C164" s="73"/>
      <c r="D164" s="73"/>
      <c r="E164" s="74"/>
      <c r="F164" s="74"/>
      <c r="G164" s="72"/>
      <c r="H164" s="74"/>
      <c r="I164" s="72"/>
      <c r="J164" s="73"/>
      <c r="K164" s="73"/>
      <c r="L164" s="75" t="str">
        <f aca="false">IF(OR($A164&lt;&gt;"",$E164&lt;&gt;""),N($F164)+N($H164),"")</f>
        <v/>
      </c>
      <c r="M164" s="76" t="str">
        <f aca="false">IF(OR($O164="",$O164="Cancelled",$O164="Amount missing"),"",IF($O164="Realised",0,$E164-N($F164)-N($H164)))</f>
        <v/>
      </c>
      <c r="N164" s="77" t="str">
        <f aca="false">IF(OR($M164="",FX=""),"",$M164*FX)</f>
        <v/>
      </c>
      <c r="O164" s="78" t="str">
        <f aca="false">IF(NOT(OR($A164&lt;&gt;"",$E164&lt;&gt;"")),"",IF($J164="Cancelled","Cancelled",IF($E164="","Amount missing",IF(OR($J164="Settled",$E164-N($F164)-N($H164)&lt;=0.005),"Realised",IF(N($H164)&gt;0,"Part realised",IF(N($F164)&gt;0,"Advance received","On hand"))))))</f>
        <v/>
      </c>
      <c r="P164" s="79" t="str">
        <f aca="false">IF(AND($V164=1,ISNUMBER($B164)),AsAt-$B164,"")</f>
        <v/>
      </c>
      <c r="Q164" s="78" t="str">
        <f aca="false">IF($V164&lt;&gt;1,"",IF($P164="","No invoice date",IF($P164&lt;=30,"0–30 days",IF($P164&lt;=60,"31–60 days",IF($P164&lt;=90,"61–90 days","Over 90 days")))))</f>
        <v/>
      </c>
      <c r="R164" s="80" t="str">
        <f aca="false">IF($V164=1,ROW(),"")</f>
        <v/>
      </c>
      <c r="S164" s="80" t="str">
        <f aca="false">IF(OR($A164&lt;&gt;"",$E164&lt;&gt;""),IF(TRIM($D164)="","Buyer not noted",TRIM($D164)),"")</f>
        <v/>
      </c>
      <c r="T164" s="80" t="n">
        <f aca="false">IF(AND($V164=1,ISNUMBER($M164)),$M164,0)</f>
        <v>0</v>
      </c>
      <c r="U164" s="80" t="str">
        <f aca="false">IF($V164=1,IF(COUNTIFS($S$7:$S164,$S164,$V$7:$V164,1)=1,SUMIFS($T$7:$T$1006,$S$7:$S$1006,$S164)-ROW()/1000000000,""),"")</f>
        <v/>
      </c>
      <c r="V164" s="80" t="n">
        <f aca="false">IF(OR($O164="On hand",$O164="Advance received",$O164="Part realised",$O164="Amount missing"),1,0)</f>
        <v>0</v>
      </c>
      <c r="W164" s="80" t="str">
        <f aca="false">IF(AND($V164=1,N($F164)&gt;0),ROW(),"")</f>
        <v/>
      </c>
      <c r="X164" s="80" t="n">
        <f aca="false">IF(AND(OR($A164&lt;&gt;"",$E164&lt;&gt;""),$O164&lt;&gt;"Cancelled",ISNUMBER($E164),N($F164)+N($H164)&gt;$E164+0.005),1,0)</f>
        <v>0</v>
      </c>
      <c r="Y164" s="80" t="n">
        <f aca="false">IF(AND(OR($A164&lt;&gt;"",$E164&lt;&gt;""),OR($A164="",$E164="")),1,0)</f>
        <v>0</v>
      </c>
      <c r="Z164" s="80" t="n">
        <f aca="false">IF(AND($A164&lt;&gt;"",COUNTIF($A$7:$A$1006,$A164)&gt;1),1,0)</f>
        <v>0</v>
      </c>
    </row>
    <row r="165" customFormat="false" ht="15" hidden="false" customHeight="false" outlineLevel="0" collapsed="false">
      <c r="A165" s="71"/>
      <c r="B165" s="72"/>
      <c r="C165" s="73"/>
      <c r="D165" s="73"/>
      <c r="E165" s="74"/>
      <c r="F165" s="74"/>
      <c r="G165" s="72"/>
      <c r="H165" s="74"/>
      <c r="I165" s="72"/>
      <c r="J165" s="73"/>
      <c r="K165" s="73"/>
      <c r="L165" s="75" t="str">
        <f aca="false">IF(OR($A165&lt;&gt;"",$E165&lt;&gt;""),N($F165)+N($H165),"")</f>
        <v/>
      </c>
      <c r="M165" s="76" t="str">
        <f aca="false">IF(OR($O165="",$O165="Cancelled",$O165="Amount missing"),"",IF($O165="Realised",0,$E165-N($F165)-N($H165)))</f>
        <v/>
      </c>
      <c r="N165" s="77" t="str">
        <f aca="false">IF(OR($M165="",FX=""),"",$M165*FX)</f>
        <v/>
      </c>
      <c r="O165" s="78" t="str">
        <f aca="false">IF(NOT(OR($A165&lt;&gt;"",$E165&lt;&gt;"")),"",IF($J165="Cancelled","Cancelled",IF($E165="","Amount missing",IF(OR($J165="Settled",$E165-N($F165)-N($H165)&lt;=0.005),"Realised",IF(N($H165)&gt;0,"Part realised",IF(N($F165)&gt;0,"Advance received","On hand"))))))</f>
        <v/>
      </c>
      <c r="P165" s="79" t="str">
        <f aca="false">IF(AND($V165=1,ISNUMBER($B165)),AsAt-$B165,"")</f>
        <v/>
      </c>
      <c r="Q165" s="78" t="str">
        <f aca="false">IF($V165&lt;&gt;1,"",IF($P165="","No invoice date",IF($P165&lt;=30,"0–30 days",IF($P165&lt;=60,"31–60 days",IF($P165&lt;=90,"61–90 days","Over 90 days")))))</f>
        <v/>
      </c>
      <c r="R165" s="80" t="str">
        <f aca="false">IF($V165=1,ROW(),"")</f>
        <v/>
      </c>
      <c r="S165" s="80" t="str">
        <f aca="false">IF(OR($A165&lt;&gt;"",$E165&lt;&gt;""),IF(TRIM($D165)="","Buyer not noted",TRIM($D165)),"")</f>
        <v/>
      </c>
      <c r="T165" s="80" t="n">
        <f aca="false">IF(AND($V165=1,ISNUMBER($M165)),$M165,0)</f>
        <v>0</v>
      </c>
      <c r="U165" s="80" t="str">
        <f aca="false">IF($V165=1,IF(COUNTIFS($S$7:$S165,$S165,$V$7:$V165,1)=1,SUMIFS($T$7:$T$1006,$S$7:$S$1006,$S165)-ROW()/1000000000,""),"")</f>
        <v/>
      </c>
      <c r="V165" s="80" t="n">
        <f aca="false">IF(OR($O165="On hand",$O165="Advance received",$O165="Part realised",$O165="Amount missing"),1,0)</f>
        <v>0</v>
      </c>
      <c r="W165" s="80" t="str">
        <f aca="false">IF(AND($V165=1,N($F165)&gt;0),ROW(),"")</f>
        <v/>
      </c>
      <c r="X165" s="80" t="n">
        <f aca="false">IF(AND(OR($A165&lt;&gt;"",$E165&lt;&gt;""),$O165&lt;&gt;"Cancelled",ISNUMBER($E165),N($F165)+N($H165)&gt;$E165+0.005),1,0)</f>
        <v>0</v>
      </c>
      <c r="Y165" s="80" t="n">
        <f aca="false">IF(AND(OR($A165&lt;&gt;"",$E165&lt;&gt;""),OR($A165="",$E165="")),1,0)</f>
        <v>0</v>
      </c>
      <c r="Z165" s="80" t="n">
        <f aca="false">IF(AND($A165&lt;&gt;"",COUNTIF($A$7:$A$1006,$A165)&gt;1),1,0)</f>
        <v>0</v>
      </c>
    </row>
    <row r="166" customFormat="false" ht="15" hidden="false" customHeight="false" outlineLevel="0" collapsed="false">
      <c r="A166" s="71"/>
      <c r="B166" s="72"/>
      <c r="C166" s="73"/>
      <c r="D166" s="73"/>
      <c r="E166" s="74"/>
      <c r="F166" s="74"/>
      <c r="G166" s="72"/>
      <c r="H166" s="74"/>
      <c r="I166" s="72"/>
      <c r="J166" s="73"/>
      <c r="K166" s="73"/>
      <c r="L166" s="75" t="str">
        <f aca="false">IF(OR($A166&lt;&gt;"",$E166&lt;&gt;""),N($F166)+N($H166),"")</f>
        <v/>
      </c>
      <c r="M166" s="76" t="str">
        <f aca="false">IF(OR($O166="",$O166="Cancelled",$O166="Amount missing"),"",IF($O166="Realised",0,$E166-N($F166)-N($H166)))</f>
        <v/>
      </c>
      <c r="N166" s="77" t="str">
        <f aca="false">IF(OR($M166="",FX=""),"",$M166*FX)</f>
        <v/>
      </c>
      <c r="O166" s="78" t="str">
        <f aca="false">IF(NOT(OR($A166&lt;&gt;"",$E166&lt;&gt;"")),"",IF($J166="Cancelled","Cancelled",IF($E166="","Amount missing",IF(OR($J166="Settled",$E166-N($F166)-N($H166)&lt;=0.005),"Realised",IF(N($H166)&gt;0,"Part realised",IF(N($F166)&gt;0,"Advance received","On hand"))))))</f>
        <v/>
      </c>
      <c r="P166" s="79" t="str">
        <f aca="false">IF(AND($V166=1,ISNUMBER($B166)),AsAt-$B166,"")</f>
        <v/>
      </c>
      <c r="Q166" s="78" t="str">
        <f aca="false">IF($V166&lt;&gt;1,"",IF($P166="","No invoice date",IF($P166&lt;=30,"0–30 days",IF($P166&lt;=60,"31–60 days",IF($P166&lt;=90,"61–90 days","Over 90 days")))))</f>
        <v/>
      </c>
      <c r="R166" s="80" t="str">
        <f aca="false">IF($V166=1,ROW(),"")</f>
        <v/>
      </c>
      <c r="S166" s="80" t="str">
        <f aca="false">IF(OR($A166&lt;&gt;"",$E166&lt;&gt;""),IF(TRIM($D166)="","Buyer not noted",TRIM($D166)),"")</f>
        <v/>
      </c>
      <c r="T166" s="80" t="n">
        <f aca="false">IF(AND($V166=1,ISNUMBER($M166)),$M166,0)</f>
        <v>0</v>
      </c>
      <c r="U166" s="80" t="str">
        <f aca="false">IF($V166=1,IF(COUNTIFS($S$7:$S166,$S166,$V$7:$V166,1)=1,SUMIFS($T$7:$T$1006,$S$7:$S$1006,$S166)-ROW()/1000000000,""),"")</f>
        <v/>
      </c>
      <c r="V166" s="80" t="n">
        <f aca="false">IF(OR($O166="On hand",$O166="Advance received",$O166="Part realised",$O166="Amount missing"),1,0)</f>
        <v>0</v>
      </c>
      <c r="W166" s="80" t="str">
        <f aca="false">IF(AND($V166=1,N($F166)&gt;0),ROW(),"")</f>
        <v/>
      </c>
      <c r="X166" s="80" t="n">
        <f aca="false">IF(AND(OR($A166&lt;&gt;"",$E166&lt;&gt;""),$O166&lt;&gt;"Cancelled",ISNUMBER($E166),N($F166)+N($H166)&gt;$E166+0.005),1,0)</f>
        <v>0</v>
      </c>
      <c r="Y166" s="80" t="n">
        <f aca="false">IF(AND(OR($A166&lt;&gt;"",$E166&lt;&gt;""),OR($A166="",$E166="")),1,0)</f>
        <v>0</v>
      </c>
      <c r="Z166" s="80" t="n">
        <f aca="false">IF(AND($A166&lt;&gt;"",COUNTIF($A$7:$A$1006,$A166)&gt;1),1,0)</f>
        <v>0</v>
      </c>
    </row>
    <row r="167" customFormat="false" ht="15" hidden="false" customHeight="false" outlineLevel="0" collapsed="false">
      <c r="A167" s="71"/>
      <c r="B167" s="72"/>
      <c r="C167" s="73"/>
      <c r="D167" s="73"/>
      <c r="E167" s="74"/>
      <c r="F167" s="74"/>
      <c r="G167" s="72"/>
      <c r="H167" s="74"/>
      <c r="I167" s="72"/>
      <c r="J167" s="73"/>
      <c r="K167" s="73"/>
      <c r="L167" s="75" t="str">
        <f aca="false">IF(OR($A167&lt;&gt;"",$E167&lt;&gt;""),N($F167)+N($H167),"")</f>
        <v/>
      </c>
      <c r="M167" s="76" t="str">
        <f aca="false">IF(OR($O167="",$O167="Cancelled",$O167="Amount missing"),"",IF($O167="Realised",0,$E167-N($F167)-N($H167)))</f>
        <v/>
      </c>
      <c r="N167" s="77" t="str">
        <f aca="false">IF(OR($M167="",FX=""),"",$M167*FX)</f>
        <v/>
      </c>
      <c r="O167" s="78" t="str">
        <f aca="false">IF(NOT(OR($A167&lt;&gt;"",$E167&lt;&gt;"")),"",IF($J167="Cancelled","Cancelled",IF($E167="","Amount missing",IF(OR($J167="Settled",$E167-N($F167)-N($H167)&lt;=0.005),"Realised",IF(N($H167)&gt;0,"Part realised",IF(N($F167)&gt;0,"Advance received","On hand"))))))</f>
        <v/>
      </c>
      <c r="P167" s="79" t="str">
        <f aca="false">IF(AND($V167=1,ISNUMBER($B167)),AsAt-$B167,"")</f>
        <v/>
      </c>
      <c r="Q167" s="78" t="str">
        <f aca="false">IF($V167&lt;&gt;1,"",IF($P167="","No invoice date",IF($P167&lt;=30,"0–30 days",IF($P167&lt;=60,"31–60 days",IF($P167&lt;=90,"61–90 days","Over 90 days")))))</f>
        <v/>
      </c>
      <c r="R167" s="80" t="str">
        <f aca="false">IF($V167=1,ROW(),"")</f>
        <v/>
      </c>
      <c r="S167" s="80" t="str">
        <f aca="false">IF(OR($A167&lt;&gt;"",$E167&lt;&gt;""),IF(TRIM($D167)="","Buyer not noted",TRIM($D167)),"")</f>
        <v/>
      </c>
      <c r="T167" s="80" t="n">
        <f aca="false">IF(AND($V167=1,ISNUMBER($M167)),$M167,0)</f>
        <v>0</v>
      </c>
      <c r="U167" s="80" t="str">
        <f aca="false">IF($V167=1,IF(COUNTIFS($S$7:$S167,$S167,$V$7:$V167,1)=1,SUMIFS($T$7:$T$1006,$S$7:$S$1006,$S167)-ROW()/1000000000,""),"")</f>
        <v/>
      </c>
      <c r="V167" s="80" t="n">
        <f aca="false">IF(OR($O167="On hand",$O167="Advance received",$O167="Part realised",$O167="Amount missing"),1,0)</f>
        <v>0</v>
      </c>
      <c r="W167" s="80" t="str">
        <f aca="false">IF(AND($V167=1,N($F167)&gt;0),ROW(),"")</f>
        <v/>
      </c>
      <c r="X167" s="80" t="n">
        <f aca="false">IF(AND(OR($A167&lt;&gt;"",$E167&lt;&gt;""),$O167&lt;&gt;"Cancelled",ISNUMBER($E167),N($F167)+N($H167)&gt;$E167+0.005),1,0)</f>
        <v>0</v>
      </c>
      <c r="Y167" s="80" t="n">
        <f aca="false">IF(AND(OR($A167&lt;&gt;"",$E167&lt;&gt;""),OR($A167="",$E167="")),1,0)</f>
        <v>0</v>
      </c>
      <c r="Z167" s="80" t="n">
        <f aca="false">IF(AND($A167&lt;&gt;"",COUNTIF($A$7:$A$1006,$A167)&gt;1),1,0)</f>
        <v>0</v>
      </c>
    </row>
    <row r="168" customFormat="false" ht="15" hidden="false" customHeight="false" outlineLevel="0" collapsed="false">
      <c r="A168" s="71"/>
      <c r="B168" s="72"/>
      <c r="C168" s="73"/>
      <c r="D168" s="73"/>
      <c r="E168" s="74"/>
      <c r="F168" s="74"/>
      <c r="G168" s="72"/>
      <c r="H168" s="74"/>
      <c r="I168" s="72"/>
      <c r="J168" s="73"/>
      <c r="K168" s="73"/>
      <c r="L168" s="75" t="str">
        <f aca="false">IF(OR($A168&lt;&gt;"",$E168&lt;&gt;""),N($F168)+N($H168),"")</f>
        <v/>
      </c>
      <c r="M168" s="76" t="str">
        <f aca="false">IF(OR($O168="",$O168="Cancelled",$O168="Amount missing"),"",IF($O168="Realised",0,$E168-N($F168)-N($H168)))</f>
        <v/>
      </c>
      <c r="N168" s="77" t="str">
        <f aca="false">IF(OR($M168="",FX=""),"",$M168*FX)</f>
        <v/>
      </c>
      <c r="O168" s="78" t="str">
        <f aca="false">IF(NOT(OR($A168&lt;&gt;"",$E168&lt;&gt;"")),"",IF($J168="Cancelled","Cancelled",IF($E168="","Amount missing",IF(OR($J168="Settled",$E168-N($F168)-N($H168)&lt;=0.005),"Realised",IF(N($H168)&gt;0,"Part realised",IF(N($F168)&gt;0,"Advance received","On hand"))))))</f>
        <v/>
      </c>
      <c r="P168" s="79" t="str">
        <f aca="false">IF(AND($V168=1,ISNUMBER($B168)),AsAt-$B168,"")</f>
        <v/>
      </c>
      <c r="Q168" s="78" t="str">
        <f aca="false">IF($V168&lt;&gt;1,"",IF($P168="","No invoice date",IF($P168&lt;=30,"0–30 days",IF($P168&lt;=60,"31–60 days",IF($P168&lt;=90,"61–90 days","Over 90 days")))))</f>
        <v/>
      </c>
      <c r="R168" s="80" t="str">
        <f aca="false">IF($V168=1,ROW(),"")</f>
        <v/>
      </c>
      <c r="S168" s="80" t="str">
        <f aca="false">IF(OR($A168&lt;&gt;"",$E168&lt;&gt;""),IF(TRIM($D168)="","Buyer not noted",TRIM($D168)),"")</f>
        <v/>
      </c>
      <c r="T168" s="80" t="n">
        <f aca="false">IF(AND($V168=1,ISNUMBER($M168)),$M168,0)</f>
        <v>0</v>
      </c>
      <c r="U168" s="80" t="str">
        <f aca="false">IF($V168=1,IF(COUNTIFS($S$7:$S168,$S168,$V$7:$V168,1)=1,SUMIFS($T$7:$T$1006,$S$7:$S$1006,$S168)-ROW()/1000000000,""),"")</f>
        <v/>
      </c>
      <c r="V168" s="80" t="n">
        <f aca="false">IF(OR($O168="On hand",$O168="Advance received",$O168="Part realised",$O168="Amount missing"),1,0)</f>
        <v>0</v>
      </c>
      <c r="W168" s="80" t="str">
        <f aca="false">IF(AND($V168=1,N($F168)&gt;0),ROW(),"")</f>
        <v/>
      </c>
      <c r="X168" s="80" t="n">
        <f aca="false">IF(AND(OR($A168&lt;&gt;"",$E168&lt;&gt;""),$O168&lt;&gt;"Cancelled",ISNUMBER($E168),N($F168)+N($H168)&gt;$E168+0.005),1,0)</f>
        <v>0</v>
      </c>
      <c r="Y168" s="80" t="n">
        <f aca="false">IF(AND(OR($A168&lt;&gt;"",$E168&lt;&gt;""),OR($A168="",$E168="")),1,0)</f>
        <v>0</v>
      </c>
      <c r="Z168" s="80" t="n">
        <f aca="false">IF(AND($A168&lt;&gt;"",COUNTIF($A$7:$A$1006,$A168)&gt;1),1,0)</f>
        <v>0</v>
      </c>
    </row>
    <row r="169" customFormat="false" ht="15" hidden="false" customHeight="false" outlineLevel="0" collapsed="false">
      <c r="A169" s="71"/>
      <c r="B169" s="72"/>
      <c r="C169" s="73"/>
      <c r="D169" s="73"/>
      <c r="E169" s="74"/>
      <c r="F169" s="74"/>
      <c r="G169" s="72"/>
      <c r="H169" s="74"/>
      <c r="I169" s="72"/>
      <c r="J169" s="73"/>
      <c r="K169" s="73"/>
      <c r="L169" s="75" t="str">
        <f aca="false">IF(OR($A169&lt;&gt;"",$E169&lt;&gt;""),N($F169)+N($H169),"")</f>
        <v/>
      </c>
      <c r="M169" s="76" t="str">
        <f aca="false">IF(OR($O169="",$O169="Cancelled",$O169="Amount missing"),"",IF($O169="Realised",0,$E169-N($F169)-N($H169)))</f>
        <v/>
      </c>
      <c r="N169" s="77" t="str">
        <f aca="false">IF(OR($M169="",FX=""),"",$M169*FX)</f>
        <v/>
      </c>
      <c r="O169" s="78" t="str">
        <f aca="false">IF(NOT(OR($A169&lt;&gt;"",$E169&lt;&gt;"")),"",IF($J169="Cancelled","Cancelled",IF($E169="","Amount missing",IF(OR($J169="Settled",$E169-N($F169)-N($H169)&lt;=0.005),"Realised",IF(N($H169)&gt;0,"Part realised",IF(N($F169)&gt;0,"Advance received","On hand"))))))</f>
        <v/>
      </c>
      <c r="P169" s="79" t="str">
        <f aca="false">IF(AND($V169=1,ISNUMBER($B169)),AsAt-$B169,"")</f>
        <v/>
      </c>
      <c r="Q169" s="78" t="str">
        <f aca="false">IF($V169&lt;&gt;1,"",IF($P169="","No invoice date",IF($P169&lt;=30,"0–30 days",IF($P169&lt;=60,"31–60 days",IF($P169&lt;=90,"61–90 days","Over 90 days")))))</f>
        <v/>
      </c>
      <c r="R169" s="80" t="str">
        <f aca="false">IF($V169=1,ROW(),"")</f>
        <v/>
      </c>
      <c r="S169" s="80" t="str">
        <f aca="false">IF(OR($A169&lt;&gt;"",$E169&lt;&gt;""),IF(TRIM($D169)="","Buyer not noted",TRIM($D169)),"")</f>
        <v/>
      </c>
      <c r="T169" s="80" t="n">
        <f aca="false">IF(AND($V169=1,ISNUMBER($M169)),$M169,0)</f>
        <v>0</v>
      </c>
      <c r="U169" s="80" t="str">
        <f aca="false">IF($V169=1,IF(COUNTIFS($S$7:$S169,$S169,$V$7:$V169,1)=1,SUMIFS($T$7:$T$1006,$S$7:$S$1006,$S169)-ROW()/1000000000,""),"")</f>
        <v/>
      </c>
      <c r="V169" s="80" t="n">
        <f aca="false">IF(OR($O169="On hand",$O169="Advance received",$O169="Part realised",$O169="Amount missing"),1,0)</f>
        <v>0</v>
      </c>
      <c r="W169" s="80" t="str">
        <f aca="false">IF(AND($V169=1,N($F169)&gt;0),ROW(),"")</f>
        <v/>
      </c>
      <c r="X169" s="80" t="n">
        <f aca="false">IF(AND(OR($A169&lt;&gt;"",$E169&lt;&gt;""),$O169&lt;&gt;"Cancelled",ISNUMBER($E169),N($F169)+N($H169)&gt;$E169+0.005),1,0)</f>
        <v>0</v>
      </c>
      <c r="Y169" s="80" t="n">
        <f aca="false">IF(AND(OR($A169&lt;&gt;"",$E169&lt;&gt;""),OR($A169="",$E169="")),1,0)</f>
        <v>0</v>
      </c>
      <c r="Z169" s="80" t="n">
        <f aca="false">IF(AND($A169&lt;&gt;"",COUNTIF($A$7:$A$1006,$A169)&gt;1),1,0)</f>
        <v>0</v>
      </c>
    </row>
    <row r="170" customFormat="false" ht="15" hidden="false" customHeight="false" outlineLevel="0" collapsed="false">
      <c r="A170" s="71"/>
      <c r="B170" s="72"/>
      <c r="C170" s="73"/>
      <c r="D170" s="73"/>
      <c r="E170" s="74"/>
      <c r="F170" s="74"/>
      <c r="G170" s="72"/>
      <c r="H170" s="74"/>
      <c r="I170" s="72"/>
      <c r="J170" s="73"/>
      <c r="K170" s="73"/>
      <c r="L170" s="75" t="str">
        <f aca="false">IF(OR($A170&lt;&gt;"",$E170&lt;&gt;""),N($F170)+N($H170),"")</f>
        <v/>
      </c>
      <c r="M170" s="76" t="str">
        <f aca="false">IF(OR($O170="",$O170="Cancelled",$O170="Amount missing"),"",IF($O170="Realised",0,$E170-N($F170)-N($H170)))</f>
        <v/>
      </c>
      <c r="N170" s="77" t="str">
        <f aca="false">IF(OR($M170="",FX=""),"",$M170*FX)</f>
        <v/>
      </c>
      <c r="O170" s="78" t="str">
        <f aca="false">IF(NOT(OR($A170&lt;&gt;"",$E170&lt;&gt;"")),"",IF($J170="Cancelled","Cancelled",IF($E170="","Amount missing",IF(OR($J170="Settled",$E170-N($F170)-N($H170)&lt;=0.005),"Realised",IF(N($H170)&gt;0,"Part realised",IF(N($F170)&gt;0,"Advance received","On hand"))))))</f>
        <v/>
      </c>
      <c r="P170" s="79" t="str">
        <f aca="false">IF(AND($V170=1,ISNUMBER($B170)),AsAt-$B170,"")</f>
        <v/>
      </c>
      <c r="Q170" s="78" t="str">
        <f aca="false">IF($V170&lt;&gt;1,"",IF($P170="","No invoice date",IF($P170&lt;=30,"0–30 days",IF($P170&lt;=60,"31–60 days",IF($P170&lt;=90,"61–90 days","Over 90 days")))))</f>
        <v/>
      </c>
      <c r="R170" s="80" t="str">
        <f aca="false">IF($V170=1,ROW(),"")</f>
        <v/>
      </c>
      <c r="S170" s="80" t="str">
        <f aca="false">IF(OR($A170&lt;&gt;"",$E170&lt;&gt;""),IF(TRIM($D170)="","Buyer not noted",TRIM($D170)),"")</f>
        <v/>
      </c>
      <c r="T170" s="80" t="n">
        <f aca="false">IF(AND($V170=1,ISNUMBER($M170)),$M170,0)</f>
        <v>0</v>
      </c>
      <c r="U170" s="80" t="str">
        <f aca="false">IF($V170=1,IF(COUNTIFS($S$7:$S170,$S170,$V$7:$V170,1)=1,SUMIFS($T$7:$T$1006,$S$7:$S$1006,$S170)-ROW()/1000000000,""),"")</f>
        <v/>
      </c>
      <c r="V170" s="80" t="n">
        <f aca="false">IF(OR($O170="On hand",$O170="Advance received",$O170="Part realised",$O170="Amount missing"),1,0)</f>
        <v>0</v>
      </c>
      <c r="W170" s="80" t="str">
        <f aca="false">IF(AND($V170=1,N($F170)&gt;0),ROW(),"")</f>
        <v/>
      </c>
      <c r="X170" s="80" t="n">
        <f aca="false">IF(AND(OR($A170&lt;&gt;"",$E170&lt;&gt;""),$O170&lt;&gt;"Cancelled",ISNUMBER($E170),N($F170)+N($H170)&gt;$E170+0.005),1,0)</f>
        <v>0</v>
      </c>
      <c r="Y170" s="80" t="n">
        <f aca="false">IF(AND(OR($A170&lt;&gt;"",$E170&lt;&gt;""),OR($A170="",$E170="")),1,0)</f>
        <v>0</v>
      </c>
      <c r="Z170" s="80" t="n">
        <f aca="false">IF(AND($A170&lt;&gt;"",COUNTIF($A$7:$A$1006,$A170)&gt;1),1,0)</f>
        <v>0</v>
      </c>
    </row>
    <row r="171" customFormat="false" ht="15" hidden="false" customHeight="false" outlineLevel="0" collapsed="false">
      <c r="A171" s="71"/>
      <c r="B171" s="72"/>
      <c r="C171" s="73"/>
      <c r="D171" s="73"/>
      <c r="E171" s="74"/>
      <c r="F171" s="74"/>
      <c r="G171" s="72"/>
      <c r="H171" s="74"/>
      <c r="I171" s="72"/>
      <c r="J171" s="73"/>
      <c r="K171" s="73"/>
      <c r="L171" s="75" t="str">
        <f aca="false">IF(OR($A171&lt;&gt;"",$E171&lt;&gt;""),N($F171)+N($H171),"")</f>
        <v/>
      </c>
      <c r="M171" s="76" t="str">
        <f aca="false">IF(OR($O171="",$O171="Cancelled",$O171="Amount missing"),"",IF($O171="Realised",0,$E171-N($F171)-N($H171)))</f>
        <v/>
      </c>
      <c r="N171" s="77" t="str">
        <f aca="false">IF(OR($M171="",FX=""),"",$M171*FX)</f>
        <v/>
      </c>
      <c r="O171" s="78" t="str">
        <f aca="false">IF(NOT(OR($A171&lt;&gt;"",$E171&lt;&gt;"")),"",IF($J171="Cancelled","Cancelled",IF($E171="","Amount missing",IF(OR($J171="Settled",$E171-N($F171)-N($H171)&lt;=0.005),"Realised",IF(N($H171)&gt;0,"Part realised",IF(N($F171)&gt;0,"Advance received","On hand"))))))</f>
        <v/>
      </c>
      <c r="P171" s="79" t="str">
        <f aca="false">IF(AND($V171=1,ISNUMBER($B171)),AsAt-$B171,"")</f>
        <v/>
      </c>
      <c r="Q171" s="78" t="str">
        <f aca="false">IF($V171&lt;&gt;1,"",IF($P171="","No invoice date",IF($P171&lt;=30,"0–30 days",IF($P171&lt;=60,"31–60 days",IF($P171&lt;=90,"61–90 days","Over 90 days")))))</f>
        <v/>
      </c>
      <c r="R171" s="80" t="str">
        <f aca="false">IF($V171=1,ROW(),"")</f>
        <v/>
      </c>
      <c r="S171" s="80" t="str">
        <f aca="false">IF(OR($A171&lt;&gt;"",$E171&lt;&gt;""),IF(TRIM($D171)="","Buyer not noted",TRIM($D171)),"")</f>
        <v/>
      </c>
      <c r="T171" s="80" t="n">
        <f aca="false">IF(AND($V171=1,ISNUMBER($M171)),$M171,0)</f>
        <v>0</v>
      </c>
      <c r="U171" s="80" t="str">
        <f aca="false">IF($V171=1,IF(COUNTIFS($S$7:$S171,$S171,$V$7:$V171,1)=1,SUMIFS($T$7:$T$1006,$S$7:$S$1006,$S171)-ROW()/1000000000,""),"")</f>
        <v/>
      </c>
      <c r="V171" s="80" t="n">
        <f aca="false">IF(OR($O171="On hand",$O171="Advance received",$O171="Part realised",$O171="Amount missing"),1,0)</f>
        <v>0</v>
      </c>
      <c r="W171" s="80" t="str">
        <f aca="false">IF(AND($V171=1,N($F171)&gt;0),ROW(),"")</f>
        <v/>
      </c>
      <c r="X171" s="80" t="n">
        <f aca="false">IF(AND(OR($A171&lt;&gt;"",$E171&lt;&gt;""),$O171&lt;&gt;"Cancelled",ISNUMBER($E171),N($F171)+N($H171)&gt;$E171+0.005),1,0)</f>
        <v>0</v>
      </c>
      <c r="Y171" s="80" t="n">
        <f aca="false">IF(AND(OR($A171&lt;&gt;"",$E171&lt;&gt;""),OR($A171="",$E171="")),1,0)</f>
        <v>0</v>
      </c>
      <c r="Z171" s="80" t="n">
        <f aca="false">IF(AND($A171&lt;&gt;"",COUNTIF($A$7:$A$1006,$A171)&gt;1),1,0)</f>
        <v>0</v>
      </c>
    </row>
    <row r="172" customFormat="false" ht="15" hidden="false" customHeight="false" outlineLevel="0" collapsed="false">
      <c r="A172" s="71"/>
      <c r="B172" s="72"/>
      <c r="C172" s="73"/>
      <c r="D172" s="73"/>
      <c r="E172" s="74"/>
      <c r="F172" s="74"/>
      <c r="G172" s="72"/>
      <c r="H172" s="74"/>
      <c r="I172" s="72"/>
      <c r="J172" s="73"/>
      <c r="K172" s="73"/>
      <c r="L172" s="75" t="str">
        <f aca="false">IF(OR($A172&lt;&gt;"",$E172&lt;&gt;""),N($F172)+N($H172),"")</f>
        <v/>
      </c>
      <c r="M172" s="76" t="str">
        <f aca="false">IF(OR($O172="",$O172="Cancelled",$O172="Amount missing"),"",IF($O172="Realised",0,$E172-N($F172)-N($H172)))</f>
        <v/>
      </c>
      <c r="N172" s="77" t="str">
        <f aca="false">IF(OR($M172="",FX=""),"",$M172*FX)</f>
        <v/>
      </c>
      <c r="O172" s="78" t="str">
        <f aca="false">IF(NOT(OR($A172&lt;&gt;"",$E172&lt;&gt;"")),"",IF($J172="Cancelled","Cancelled",IF($E172="","Amount missing",IF(OR($J172="Settled",$E172-N($F172)-N($H172)&lt;=0.005),"Realised",IF(N($H172)&gt;0,"Part realised",IF(N($F172)&gt;0,"Advance received","On hand"))))))</f>
        <v/>
      </c>
      <c r="P172" s="79" t="str">
        <f aca="false">IF(AND($V172=1,ISNUMBER($B172)),AsAt-$B172,"")</f>
        <v/>
      </c>
      <c r="Q172" s="78" t="str">
        <f aca="false">IF($V172&lt;&gt;1,"",IF($P172="","No invoice date",IF($P172&lt;=30,"0–30 days",IF($P172&lt;=60,"31–60 days",IF($P172&lt;=90,"61–90 days","Over 90 days")))))</f>
        <v/>
      </c>
      <c r="R172" s="80" t="str">
        <f aca="false">IF($V172=1,ROW(),"")</f>
        <v/>
      </c>
      <c r="S172" s="80" t="str">
        <f aca="false">IF(OR($A172&lt;&gt;"",$E172&lt;&gt;""),IF(TRIM($D172)="","Buyer not noted",TRIM($D172)),"")</f>
        <v/>
      </c>
      <c r="T172" s="80" t="n">
        <f aca="false">IF(AND($V172=1,ISNUMBER($M172)),$M172,0)</f>
        <v>0</v>
      </c>
      <c r="U172" s="80" t="str">
        <f aca="false">IF($V172=1,IF(COUNTIFS($S$7:$S172,$S172,$V$7:$V172,1)=1,SUMIFS($T$7:$T$1006,$S$7:$S$1006,$S172)-ROW()/1000000000,""),"")</f>
        <v/>
      </c>
      <c r="V172" s="80" t="n">
        <f aca="false">IF(OR($O172="On hand",$O172="Advance received",$O172="Part realised",$O172="Amount missing"),1,0)</f>
        <v>0</v>
      </c>
      <c r="W172" s="80" t="str">
        <f aca="false">IF(AND($V172=1,N($F172)&gt;0),ROW(),"")</f>
        <v/>
      </c>
      <c r="X172" s="80" t="n">
        <f aca="false">IF(AND(OR($A172&lt;&gt;"",$E172&lt;&gt;""),$O172&lt;&gt;"Cancelled",ISNUMBER($E172),N($F172)+N($H172)&gt;$E172+0.005),1,0)</f>
        <v>0</v>
      </c>
      <c r="Y172" s="80" t="n">
        <f aca="false">IF(AND(OR($A172&lt;&gt;"",$E172&lt;&gt;""),OR($A172="",$E172="")),1,0)</f>
        <v>0</v>
      </c>
      <c r="Z172" s="80" t="n">
        <f aca="false">IF(AND($A172&lt;&gt;"",COUNTIF($A$7:$A$1006,$A172)&gt;1),1,0)</f>
        <v>0</v>
      </c>
    </row>
    <row r="173" customFormat="false" ht="15" hidden="false" customHeight="false" outlineLevel="0" collapsed="false">
      <c r="A173" s="71"/>
      <c r="B173" s="72"/>
      <c r="C173" s="73"/>
      <c r="D173" s="73"/>
      <c r="E173" s="74"/>
      <c r="F173" s="74"/>
      <c r="G173" s="72"/>
      <c r="H173" s="74"/>
      <c r="I173" s="72"/>
      <c r="J173" s="73"/>
      <c r="K173" s="73"/>
      <c r="L173" s="75" t="str">
        <f aca="false">IF(OR($A173&lt;&gt;"",$E173&lt;&gt;""),N($F173)+N($H173),"")</f>
        <v/>
      </c>
      <c r="M173" s="76" t="str">
        <f aca="false">IF(OR($O173="",$O173="Cancelled",$O173="Amount missing"),"",IF($O173="Realised",0,$E173-N($F173)-N($H173)))</f>
        <v/>
      </c>
      <c r="N173" s="77" t="str">
        <f aca="false">IF(OR($M173="",FX=""),"",$M173*FX)</f>
        <v/>
      </c>
      <c r="O173" s="78" t="str">
        <f aca="false">IF(NOT(OR($A173&lt;&gt;"",$E173&lt;&gt;"")),"",IF($J173="Cancelled","Cancelled",IF($E173="","Amount missing",IF(OR($J173="Settled",$E173-N($F173)-N($H173)&lt;=0.005),"Realised",IF(N($H173)&gt;0,"Part realised",IF(N($F173)&gt;0,"Advance received","On hand"))))))</f>
        <v/>
      </c>
      <c r="P173" s="79" t="str">
        <f aca="false">IF(AND($V173=1,ISNUMBER($B173)),AsAt-$B173,"")</f>
        <v/>
      </c>
      <c r="Q173" s="78" t="str">
        <f aca="false">IF($V173&lt;&gt;1,"",IF($P173="","No invoice date",IF($P173&lt;=30,"0–30 days",IF($P173&lt;=60,"31–60 days",IF($P173&lt;=90,"61–90 days","Over 90 days")))))</f>
        <v/>
      </c>
      <c r="R173" s="80" t="str">
        <f aca="false">IF($V173=1,ROW(),"")</f>
        <v/>
      </c>
      <c r="S173" s="80" t="str">
        <f aca="false">IF(OR($A173&lt;&gt;"",$E173&lt;&gt;""),IF(TRIM($D173)="","Buyer not noted",TRIM($D173)),"")</f>
        <v/>
      </c>
      <c r="T173" s="80" t="n">
        <f aca="false">IF(AND($V173=1,ISNUMBER($M173)),$M173,0)</f>
        <v>0</v>
      </c>
      <c r="U173" s="80" t="str">
        <f aca="false">IF($V173=1,IF(COUNTIFS($S$7:$S173,$S173,$V$7:$V173,1)=1,SUMIFS($T$7:$T$1006,$S$7:$S$1006,$S173)-ROW()/1000000000,""),"")</f>
        <v/>
      </c>
      <c r="V173" s="80" t="n">
        <f aca="false">IF(OR($O173="On hand",$O173="Advance received",$O173="Part realised",$O173="Amount missing"),1,0)</f>
        <v>0</v>
      </c>
      <c r="W173" s="80" t="str">
        <f aca="false">IF(AND($V173=1,N($F173)&gt;0),ROW(),"")</f>
        <v/>
      </c>
      <c r="X173" s="80" t="n">
        <f aca="false">IF(AND(OR($A173&lt;&gt;"",$E173&lt;&gt;""),$O173&lt;&gt;"Cancelled",ISNUMBER($E173),N($F173)+N($H173)&gt;$E173+0.005),1,0)</f>
        <v>0</v>
      </c>
      <c r="Y173" s="80" t="n">
        <f aca="false">IF(AND(OR($A173&lt;&gt;"",$E173&lt;&gt;""),OR($A173="",$E173="")),1,0)</f>
        <v>0</v>
      </c>
      <c r="Z173" s="80" t="n">
        <f aca="false">IF(AND($A173&lt;&gt;"",COUNTIF($A$7:$A$1006,$A173)&gt;1),1,0)</f>
        <v>0</v>
      </c>
    </row>
    <row r="174" customFormat="false" ht="15" hidden="false" customHeight="false" outlineLevel="0" collapsed="false">
      <c r="A174" s="71"/>
      <c r="B174" s="72"/>
      <c r="C174" s="73"/>
      <c r="D174" s="73"/>
      <c r="E174" s="74"/>
      <c r="F174" s="74"/>
      <c r="G174" s="72"/>
      <c r="H174" s="74"/>
      <c r="I174" s="72"/>
      <c r="J174" s="73"/>
      <c r="K174" s="73"/>
      <c r="L174" s="75" t="str">
        <f aca="false">IF(OR($A174&lt;&gt;"",$E174&lt;&gt;""),N($F174)+N($H174),"")</f>
        <v/>
      </c>
      <c r="M174" s="76" t="str">
        <f aca="false">IF(OR($O174="",$O174="Cancelled",$O174="Amount missing"),"",IF($O174="Realised",0,$E174-N($F174)-N($H174)))</f>
        <v/>
      </c>
      <c r="N174" s="77" t="str">
        <f aca="false">IF(OR($M174="",FX=""),"",$M174*FX)</f>
        <v/>
      </c>
      <c r="O174" s="78" t="str">
        <f aca="false">IF(NOT(OR($A174&lt;&gt;"",$E174&lt;&gt;"")),"",IF($J174="Cancelled","Cancelled",IF($E174="","Amount missing",IF(OR($J174="Settled",$E174-N($F174)-N($H174)&lt;=0.005),"Realised",IF(N($H174)&gt;0,"Part realised",IF(N($F174)&gt;0,"Advance received","On hand"))))))</f>
        <v/>
      </c>
      <c r="P174" s="79" t="str">
        <f aca="false">IF(AND($V174=1,ISNUMBER($B174)),AsAt-$B174,"")</f>
        <v/>
      </c>
      <c r="Q174" s="78" t="str">
        <f aca="false">IF($V174&lt;&gt;1,"",IF($P174="","No invoice date",IF($P174&lt;=30,"0–30 days",IF($P174&lt;=60,"31–60 days",IF($P174&lt;=90,"61–90 days","Over 90 days")))))</f>
        <v/>
      </c>
      <c r="R174" s="80" t="str">
        <f aca="false">IF($V174=1,ROW(),"")</f>
        <v/>
      </c>
      <c r="S174" s="80" t="str">
        <f aca="false">IF(OR($A174&lt;&gt;"",$E174&lt;&gt;""),IF(TRIM($D174)="","Buyer not noted",TRIM($D174)),"")</f>
        <v/>
      </c>
      <c r="T174" s="80" t="n">
        <f aca="false">IF(AND($V174=1,ISNUMBER($M174)),$M174,0)</f>
        <v>0</v>
      </c>
      <c r="U174" s="80" t="str">
        <f aca="false">IF($V174=1,IF(COUNTIFS($S$7:$S174,$S174,$V$7:$V174,1)=1,SUMIFS($T$7:$T$1006,$S$7:$S$1006,$S174)-ROW()/1000000000,""),"")</f>
        <v/>
      </c>
      <c r="V174" s="80" t="n">
        <f aca="false">IF(OR($O174="On hand",$O174="Advance received",$O174="Part realised",$O174="Amount missing"),1,0)</f>
        <v>0</v>
      </c>
      <c r="W174" s="80" t="str">
        <f aca="false">IF(AND($V174=1,N($F174)&gt;0),ROW(),"")</f>
        <v/>
      </c>
      <c r="X174" s="80" t="n">
        <f aca="false">IF(AND(OR($A174&lt;&gt;"",$E174&lt;&gt;""),$O174&lt;&gt;"Cancelled",ISNUMBER($E174),N($F174)+N($H174)&gt;$E174+0.005),1,0)</f>
        <v>0</v>
      </c>
      <c r="Y174" s="80" t="n">
        <f aca="false">IF(AND(OR($A174&lt;&gt;"",$E174&lt;&gt;""),OR($A174="",$E174="")),1,0)</f>
        <v>0</v>
      </c>
      <c r="Z174" s="80" t="n">
        <f aca="false">IF(AND($A174&lt;&gt;"",COUNTIF($A$7:$A$1006,$A174)&gt;1),1,0)</f>
        <v>0</v>
      </c>
    </row>
    <row r="175" customFormat="false" ht="15" hidden="false" customHeight="false" outlineLevel="0" collapsed="false">
      <c r="A175" s="71"/>
      <c r="B175" s="72"/>
      <c r="C175" s="73"/>
      <c r="D175" s="73"/>
      <c r="E175" s="74"/>
      <c r="F175" s="74"/>
      <c r="G175" s="72"/>
      <c r="H175" s="74"/>
      <c r="I175" s="72"/>
      <c r="J175" s="73"/>
      <c r="K175" s="73"/>
      <c r="L175" s="75" t="str">
        <f aca="false">IF(OR($A175&lt;&gt;"",$E175&lt;&gt;""),N($F175)+N($H175),"")</f>
        <v/>
      </c>
      <c r="M175" s="76" t="str">
        <f aca="false">IF(OR($O175="",$O175="Cancelled",$O175="Amount missing"),"",IF($O175="Realised",0,$E175-N($F175)-N($H175)))</f>
        <v/>
      </c>
      <c r="N175" s="77" t="str">
        <f aca="false">IF(OR($M175="",FX=""),"",$M175*FX)</f>
        <v/>
      </c>
      <c r="O175" s="78" t="str">
        <f aca="false">IF(NOT(OR($A175&lt;&gt;"",$E175&lt;&gt;"")),"",IF($J175="Cancelled","Cancelled",IF($E175="","Amount missing",IF(OR($J175="Settled",$E175-N($F175)-N($H175)&lt;=0.005),"Realised",IF(N($H175)&gt;0,"Part realised",IF(N($F175)&gt;0,"Advance received","On hand"))))))</f>
        <v/>
      </c>
      <c r="P175" s="79" t="str">
        <f aca="false">IF(AND($V175=1,ISNUMBER($B175)),AsAt-$B175,"")</f>
        <v/>
      </c>
      <c r="Q175" s="78" t="str">
        <f aca="false">IF($V175&lt;&gt;1,"",IF($P175="","No invoice date",IF($P175&lt;=30,"0–30 days",IF($P175&lt;=60,"31–60 days",IF($P175&lt;=90,"61–90 days","Over 90 days")))))</f>
        <v/>
      </c>
      <c r="R175" s="80" t="str">
        <f aca="false">IF($V175=1,ROW(),"")</f>
        <v/>
      </c>
      <c r="S175" s="80" t="str">
        <f aca="false">IF(OR($A175&lt;&gt;"",$E175&lt;&gt;""),IF(TRIM($D175)="","Buyer not noted",TRIM($D175)),"")</f>
        <v/>
      </c>
      <c r="T175" s="80" t="n">
        <f aca="false">IF(AND($V175=1,ISNUMBER($M175)),$M175,0)</f>
        <v>0</v>
      </c>
      <c r="U175" s="80" t="str">
        <f aca="false">IF($V175=1,IF(COUNTIFS($S$7:$S175,$S175,$V$7:$V175,1)=1,SUMIFS($T$7:$T$1006,$S$7:$S$1006,$S175)-ROW()/1000000000,""),"")</f>
        <v/>
      </c>
      <c r="V175" s="80" t="n">
        <f aca="false">IF(OR($O175="On hand",$O175="Advance received",$O175="Part realised",$O175="Amount missing"),1,0)</f>
        <v>0</v>
      </c>
      <c r="W175" s="80" t="str">
        <f aca="false">IF(AND($V175=1,N($F175)&gt;0),ROW(),"")</f>
        <v/>
      </c>
      <c r="X175" s="80" t="n">
        <f aca="false">IF(AND(OR($A175&lt;&gt;"",$E175&lt;&gt;""),$O175&lt;&gt;"Cancelled",ISNUMBER($E175),N($F175)+N($H175)&gt;$E175+0.005),1,0)</f>
        <v>0</v>
      </c>
      <c r="Y175" s="80" t="n">
        <f aca="false">IF(AND(OR($A175&lt;&gt;"",$E175&lt;&gt;""),OR($A175="",$E175="")),1,0)</f>
        <v>0</v>
      </c>
      <c r="Z175" s="80" t="n">
        <f aca="false">IF(AND($A175&lt;&gt;"",COUNTIF($A$7:$A$1006,$A175)&gt;1),1,0)</f>
        <v>0</v>
      </c>
    </row>
    <row r="176" customFormat="false" ht="15" hidden="false" customHeight="false" outlineLevel="0" collapsed="false">
      <c r="A176" s="71"/>
      <c r="B176" s="72"/>
      <c r="C176" s="73"/>
      <c r="D176" s="73"/>
      <c r="E176" s="74"/>
      <c r="F176" s="74"/>
      <c r="G176" s="72"/>
      <c r="H176" s="74"/>
      <c r="I176" s="72"/>
      <c r="J176" s="73"/>
      <c r="K176" s="73"/>
      <c r="L176" s="75" t="str">
        <f aca="false">IF(OR($A176&lt;&gt;"",$E176&lt;&gt;""),N($F176)+N($H176),"")</f>
        <v/>
      </c>
      <c r="M176" s="76" t="str">
        <f aca="false">IF(OR($O176="",$O176="Cancelled",$O176="Amount missing"),"",IF($O176="Realised",0,$E176-N($F176)-N($H176)))</f>
        <v/>
      </c>
      <c r="N176" s="77" t="str">
        <f aca="false">IF(OR($M176="",FX=""),"",$M176*FX)</f>
        <v/>
      </c>
      <c r="O176" s="78" t="str">
        <f aca="false">IF(NOT(OR($A176&lt;&gt;"",$E176&lt;&gt;"")),"",IF($J176="Cancelled","Cancelled",IF($E176="","Amount missing",IF(OR($J176="Settled",$E176-N($F176)-N($H176)&lt;=0.005),"Realised",IF(N($H176)&gt;0,"Part realised",IF(N($F176)&gt;0,"Advance received","On hand"))))))</f>
        <v/>
      </c>
      <c r="P176" s="79" t="str">
        <f aca="false">IF(AND($V176=1,ISNUMBER($B176)),AsAt-$B176,"")</f>
        <v/>
      </c>
      <c r="Q176" s="78" t="str">
        <f aca="false">IF($V176&lt;&gt;1,"",IF($P176="","No invoice date",IF($P176&lt;=30,"0–30 days",IF($P176&lt;=60,"31–60 days",IF($P176&lt;=90,"61–90 days","Over 90 days")))))</f>
        <v/>
      </c>
      <c r="R176" s="80" t="str">
        <f aca="false">IF($V176=1,ROW(),"")</f>
        <v/>
      </c>
      <c r="S176" s="80" t="str">
        <f aca="false">IF(OR($A176&lt;&gt;"",$E176&lt;&gt;""),IF(TRIM($D176)="","Buyer not noted",TRIM($D176)),"")</f>
        <v/>
      </c>
      <c r="T176" s="80" t="n">
        <f aca="false">IF(AND($V176=1,ISNUMBER($M176)),$M176,0)</f>
        <v>0</v>
      </c>
      <c r="U176" s="80" t="str">
        <f aca="false">IF($V176=1,IF(COUNTIFS($S$7:$S176,$S176,$V$7:$V176,1)=1,SUMIFS($T$7:$T$1006,$S$7:$S$1006,$S176)-ROW()/1000000000,""),"")</f>
        <v/>
      </c>
      <c r="V176" s="80" t="n">
        <f aca="false">IF(OR($O176="On hand",$O176="Advance received",$O176="Part realised",$O176="Amount missing"),1,0)</f>
        <v>0</v>
      </c>
      <c r="W176" s="80" t="str">
        <f aca="false">IF(AND($V176=1,N($F176)&gt;0),ROW(),"")</f>
        <v/>
      </c>
      <c r="X176" s="80" t="n">
        <f aca="false">IF(AND(OR($A176&lt;&gt;"",$E176&lt;&gt;""),$O176&lt;&gt;"Cancelled",ISNUMBER($E176),N($F176)+N($H176)&gt;$E176+0.005),1,0)</f>
        <v>0</v>
      </c>
      <c r="Y176" s="80" t="n">
        <f aca="false">IF(AND(OR($A176&lt;&gt;"",$E176&lt;&gt;""),OR($A176="",$E176="")),1,0)</f>
        <v>0</v>
      </c>
      <c r="Z176" s="80" t="n">
        <f aca="false">IF(AND($A176&lt;&gt;"",COUNTIF($A$7:$A$1006,$A176)&gt;1),1,0)</f>
        <v>0</v>
      </c>
    </row>
    <row r="177" customFormat="false" ht="15" hidden="false" customHeight="false" outlineLevel="0" collapsed="false">
      <c r="A177" s="71"/>
      <c r="B177" s="72"/>
      <c r="C177" s="73"/>
      <c r="D177" s="73"/>
      <c r="E177" s="74"/>
      <c r="F177" s="74"/>
      <c r="G177" s="72"/>
      <c r="H177" s="74"/>
      <c r="I177" s="72"/>
      <c r="J177" s="73"/>
      <c r="K177" s="73"/>
      <c r="L177" s="75" t="str">
        <f aca="false">IF(OR($A177&lt;&gt;"",$E177&lt;&gt;""),N($F177)+N($H177),"")</f>
        <v/>
      </c>
      <c r="M177" s="76" t="str">
        <f aca="false">IF(OR($O177="",$O177="Cancelled",$O177="Amount missing"),"",IF($O177="Realised",0,$E177-N($F177)-N($H177)))</f>
        <v/>
      </c>
      <c r="N177" s="77" t="str">
        <f aca="false">IF(OR($M177="",FX=""),"",$M177*FX)</f>
        <v/>
      </c>
      <c r="O177" s="78" t="str">
        <f aca="false">IF(NOT(OR($A177&lt;&gt;"",$E177&lt;&gt;"")),"",IF($J177="Cancelled","Cancelled",IF($E177="","Amount missing",IF(OR($J177="Settled",$E177-N($F177)-N($H177)&lt;=0.005),"Realised",IF(N($H177)&gt;0,"Part realised",IF(N($F177)&gt;0,"Advance received","On hand"))))))</f>
        <v/>
      </c>
      <c r="P177" s="79" t="str">
        <f aca="false">IF(AND($V177=1,ISNUMBER($B177)),AsAt-$B177,"")</f>
        <v/>
      </c>
      <c r="Q177" s="78" t="str">
        <f aca="false">IF($V177&lt;&gt;1,"",IF($P177="","No invoice date",IF($P177&lt;=30,"0–30 days",IF($P177&lt;=60,"31–60 days",IF($P177&lt;=90,"61–90 days","Over 90 days")))))</f>
        <v/>
      </c>
      <c r="R177" s="80" t="str">
        <f aca="false">IF($V177=1,ROW(),"")</f>
        <v/>
      </c>
      <c r="S177" s="80" t="str">
        <f aca="false">IF(OR($A177&lt;&gt;"",$E177&lt;&gt;""),IF(TRIM($D177)="","Buyer not noted",TRIM($D177)),"")</f>
        <v/>
      </c>
      <c r="T177" s="80" t="n">
        <f aca="false">IF(AND($V177=1,ISNUMBER($M177)),$M177,0)</f>
        <v>0</v>
      </c>
      <c r="U177" s="80" t="str">
        <f aca="false">IF($V177=1,IF(COUNTIFS($S$7:$S177,$S177,$V$7:$V177,1)=1,SUMIFS($T$7:$T$1006,$S$7:$S$1006,$S177)-ROW()/1000000000,""),"")</f>
        <v/>
      </c>
      <c r="V177" s="80" t="n">
        <f aca="false">IF(OR($O177="On hand",$O177="Advance received",$O177="Part realised",$O177="Amount missing"),1,0)</f>
        <v>0</v>
      </c>
      <c r="W177" s="80" t="str">
        <f aca="false">IF(AND($V177=1,N($F177)&gt;0),ROW(),"")</f>
        <v/>
      </c>
      <c r="X177" s="80" t="n">
        <f aca="false">IF(AND(OR($A177&lt;&gt;"",$E177&lt;&gt;""),$O177&lt;&gt;"Cancelled",ISNUMBER($E177),N($F177)+N($H177)&gt;$E177+0.005),1,0)</f>
        <v>0</v>
      </c>
      <c r="Y177" s="80" t="n">
        <f aca="false">IF(AND(OR($A177&lt;&gt;"",$E177&lt;&gt;""),OR($A177="",$E177="")),1,0)</f>
        <v>0</v>
      </c>
      <c r="Z177" s="80" t="n">
        <f aca="false">IF(AND($A177&lt;&gt;"",COUNTIF($A$7:$A$1006,$A177)&gt;1),1,0)</f>
        <v>0</v>
      </c>
    </row>
    <row r="178" customFormat="false" ht="15" hidden="false" customHeight="false" outlineLevel="0" collapsed="false">
      <c r="A178" s="71"/>
      <c r="B178" s="72"/>
      <c r="C178" s="73"/>
      <c r="D178" s="73"/>
      <c r="E178" s="74"/>
      <c r="F178" s="74"/>
      <c r="G178" s="72"/>
      <c r="H178" s="74"/>
      <c r="I178" s="72"/>
      <c r="J178" s="73"/>
      <c r="K178" s="73"/>
      <c r="L178" s="75" t="str">
        <f aca="false">IF(OR($A178&lt;&gt;"",$E178&lt;&gt;""),N($F178)+N($H178),"")</f>
        <v/>
      </c>
      <c r="M178" s="76" t="str">
        <f aca="false">IF(OR($O178="",$O178="Cancelled",$O178="Amount missing"),"",IF($O178="Realised",0,$E178-N($F178)-N($H178)))</f>
        <v/>
      </c>
      <c r="N178" s="77" t="str">
        <f aca="false">IF(OR($M178="",FX=""),"",$M178*FX)</f>
        <v/>
      </c>
      <c r="O178" s="78" t="str">
        <f aca="false">IF(NOT(OR($A178&lt;&gt;"",$E178&lt;&gt;"")),"",IF($J178="Cancelled","Cancelled",IF($E178="","Amount missing",IF(OR($J178="Settled",$E178-N($F178)-N($H178)&lt;=0.005),"Realised",IF(N($H178)&gt;0,"Part realised",IF(N($F178)&gt;0,"Advance received","On hand"))))))</f>
        <v/>
      </c>
      <c r="P178" s="79" t="str">
        <f aca="false">IF(AND($V178=1,ISNUMBER($B178)),AsAt-$B178,"")</f>
        <v/>
      </c>
      <c r="Q178" s="78" t="str">
        <f aca="false">IF($V178&lt;&gt;1,"",IF($P178="","No invoice date",IF($P178&lt;=30,"0–30 days",IF($P178&lt;=60,"31–60 days",IF($P178&lt;=90,"61–90 days","Over 90 days")))))</f>
        <v/>
      </c>
      <c r="R178" s="80" t="str">
        <f aca="false">IF($V178=1,ROW(),"")</f>
        <v/>
      </c>
      <c r="S178" s="80" t="str">
        <f aca="false">IF(OR($A178&lt;&gt;"",$E178&lt;&gt;""),IF(TRIM($D178)="","Buyer not noted",TRIM($D178)),"")</f>
        <v/>
      </c>
      <c r="T178" s="80" t="n">
        <f aca="false">IF(AND($V178=1,ISNUMBER($M178)),$M178,0)</f>
        <v>0</v>
      </c>
      <c r="U178" s="80" t="str">
        <f aca="false">IF($V178=1,IF(COUNTIFS($S$7:$S178,$S178,$V$7:$V178,1)=1,SUMIFS($T$7:$T$1006,$S$7:$S$1006,$S178)-ROW()/1000000000,""),"")</f>
        <v/>
      </c>
      <c r="V178" s="80" t="n">
        <f aca="false">IF(OR($O178="On hand",$O178="Advance received",$O178="Part realised",$O178="Amount missing"),1,0)</f>
        <v>0</v>
      </c>
      <c r="W178" s="80" t="str">
        <f aca="false">IF(AND($V178=1,N($F178)&gt;0),ROW(),"")</f>
        <v/>
      </c>
      <c r="X178" s="80" t="n">
        <f aca="false">IF(AND(OR($A178&lt;&gt;"",$E178&lt;&gt;""),$O178&lt;&gt;"Cancelled",ISNUMBER($E178),N($F178)+N($H178)&gt;$E178+0.005),1,0)</f>
        <v>0</v>
      </c>
      <c r="Y178" s="80" t="n">
        <f aca="false">IF(AND(OR($A178&lt;&gt;"",$E178&lt;&gt;""),OR($A178="",$E178="")),1,0)</f>
        <v>0</v>
      </c>
      <c r="Z178" s="80" t="n">
        <f aca="false">IF(AND($A178&lt;&gt;"",COUNTIF($A$7:$A$1006,$A178)&gt;1),1,0)</f>
        <v>0</v>
      </c>
    </row>
    <row r="179" customFormat="false" ht="15" hidden="false" customHeight="false" outlineLevel="0" collapsed="false">
      <c r="A179" s="71"/>
      <c r="B179" s="72"/>
      <c r="C179" s="73"/>
      <c r="D179" s="73"/>
      <c r="E179" s="74"/>
      <c r="F179" s="74"/>
      <c r="G179" s="72"/>
      <c r="H179" s="74"/>
      <c r="I179" s="72"/>
      <c r="J179" s="73"/>
      <c r="K179" s="73"/>
      <c r="L179" s="75" t="str">
        <f aca="false">IF(OR($A179&lt;&gt;"",$E179&lt;&gt;""),N($F179)+N($H179),"")</f>
        <v/>
      </c>
      <c r="M179" s="76" t="str">
        <f aca="false">IF(OR($O179="",$O179="Cancelled",$O179="Amount missing"),"",IF($O179="Realised",0,$E179-N($F179)-N($H179)))</f>
        <v/>
      </c>
      <c r="N179" s="77" t="str">
        <f aca="false">IF(OR($M179="",FX=""),"",$M179*FX)</f>
        <v/>
      </c>
      <c r="O179" s="78" t="str">
        <f aca="false">IF(NOT(OR($A179&lt;&gt;"",$E179&lt;&gt;"")),"",IF($J179="Cancelled","Cancelled",IF($E179="","Amount missing",IF(OR($J179="Settled",$E179-N($F179)-N($H179)&lt;=0.005),"Realised",IF(N($H179)&gt;0,"Part realised",IF(N($F179)&gt;0,"Advance received","On hand"))))))</f>
        <v/>
      </c>
      <c r="P179" s="79" t="str">
        <f aca="false">IF(AND($V179=1,ISNUMBER($B179)),AsAt-$B179,"")</f>
        <v/>
      </c>
      <c r="Q179" s="78" t="str">
        <f aca="false">IF($V179&lt;&gt;1,"",IF($P179="","No invoice date",IF($P179&lt;=30,"0–30 days",IF($P179&lt;=60,"31–60 days",IF($P179&lt;=90,"61–90 days","Over 90 days")))))</f>
        <v/>
      </c>
      <c r="R179" s="80" t="str">
        <f aca="false">IF($V179=1,ROW(),"")</f>
        <v/>
      </c>
      <c r="S179" s="80" t="str">
        <f aca="false">IF(OR($A179&lt;&gt;"",$E179&lt;&gt;""),IF(TRIM($D179)="","Buyer not noted",TRIM($D179)),"")</f>
        <v/>
      </c>
      <c r="T179" s="80" t="n">
        <f aca="false">IF(AND($V179=1,ISNUMBER($M179)),$M179,0)</f>
        <v>0</v>
      </c>
      <c r="U179" s="80" t="str">
        <f aca="false">IF($V179=1,IF(COUNTIFS($S$7:$S179,$S179,$V$7:$V179,1)=1,SUMIFS($T$7:$T$1006,$S$7:$S$1006,$S179)-ROW()/1000000000,""),"")</f>
        <v/>
      </c>
      <c r="V179" s="80" t="n">
        <f aca="false">IF(OR($O179="On hand",$O179="Advance received",$O179="Part realised",$O179="Amount missing"),1,0)</f>
        <v>0</v>
      </c>
      <c r="W179" s="80" t="str">
        <f aca="false">IF(AND($V179=1,N($F179)&gt;0),ROW(),"")</f>
        <v/>
      </c>
      <c r="X179" s="80" t="n">
        <f aca="false">IF(AND(OR($A179&lt;&gt;"",$E179&lt;&gt;""),$O179&lt;&gt;"Cancelled",ISNUMBER($E179),N($F179)+N($H179)&gt;$E179+0.005),1,0)</f>
        <v>0</v>
      </c>
      <c r="Y179" s="80" t="n">
        <f aca="false">IF(AND(OR($A179&lt;&gt;"",$E179&lt;&gt;""),OR($A179="",$E179="")),1,0)</f>
        <v>0</v>
      </c>
      <c r="Z179" s="80" t="n">
        <f aca="false">IF(AND($A179&lt;&gt;"",COUNTIF($A$7:$A$1006,$A179)&gt;1),1,0)</f>
        <v>0</v>
      </c>
    </row>
    <row r="180" customFormat="false" ht="15" hidden="false" customHeight="false" outlineLevel="0" collapsed="false">
      <c r="A180" s="71"/>
      <c r="B180" s="72"/>
      <c r="C180" s="73"/>
      <c r="D180" s="73"/>
      <c r="E180" s="74"/>
      <c r="F180" s="74"/>
      <c r="G180" s="72"/>
      <c r="H180" s="74"/>
      <c r="I180" s="72"/>
      <c r="J180" s="73"/>
      <c r="K180" s="73"/>
      <c r="L180" s="75" t="str">
        <f aca="false">IF(OR($A180&lt;&gt;"",$E180&lt;&gt;""),N($F180)+N($H180),"")</f>
        <v/>
      </c>
      <c r="M180" s="76" t="str">
        <f aca="false">IF(OR($O180="",$O180="Cancelled",$O180="Amount missing"),"",IF($O180="Realised",0,$E180-N($F180)-N($H180)))</f>
        <v/>
      </c>
      <c r="N180" s="77" t="str">
        <f aca="false">IF(OR($M180="",FX=""),"",$M180*FX)</f>
        <v/>
      </c>
      <c r="O180" s="78" t="str">
        <f aca="false">IF(NOT(OR($A180&lt;&gt;"",$E180&lt;&gt;"")),"",IF($J180="Cancelled","Cancelled",IF($E180="","Amount missing",IF(OR($J180="Settled",$E180-N($F180)-N($H180)&lt;=0.005),"Realised",IF(N($H180)&gt;0,"Part realised",IF(N($F180)&gt;0,"Advance received","On hand"))))))</f>
        <v/>
      </c>
      <c r="P180" s="79" t="str">
        <f aca="false">IF(AND($V180=1,ISNUMBER($B180)),AsAt-$B180,"")</f>
        <v/>
      </c>
      <c r="Q180" s="78" t="str">
        <f aca="false">IF($V180&lt;&gt;1,"",IF($P180="","No invoice date",IF($P180&lt;=30,"0–30 days",IF($P180&lt;=60,"31–60 days",IF($P180&lt;=90,"61–90 days","Over 90 days")))))</f>
        <v/>
      </c>
      <c r="R180" s="80" t="str">
        <f aca="false">IF($V180=1,ROW(),"")</f>
        <v/>
      </c>
      <c r="S180" s="80" t="str">
        <f aca="false">IF(OR($A180&lt;&gt;"",$E180&lt;&gt;""),IF(TRIM($D180)="","Buyer not noted",TRIM($D180)),"")</f>
        <v/>
      </c>
      <c r="T180" s="80" t="n">
        <f aca="false">IF(AND($V180=1,ISNUMBER($M180)),$M180,0)</f>
        <v>0</v>
      </c>
      <c r="U180" s="80" t="str">
        <f aca="false">IF($V180=1,IF(COUNTIFS($S$7:$S180,$S180,$V$7:$V180,1)=1,SUMIFS($T$7:$T$1006,$S$7:$S$1006,$S180)-ROW()/1000000000,""),"")</f>
        <v/>
      </c>
      <c r="V180" s="80" t="n">
        <f aca="false">IF(OR($O180="On hand",$O180="Advance received",$O180="Part realised",$O180="Amount missing"),1,0)</f>
        <v>0</v>
      </c>
      <c r="W180" s="80" t="str">
        <f aca="false">IF(AND($V180=1,N($F180)&gt;0),ROW(),"")</f>
        <v/>
      </c>
      <c r="X180" s="80" t="n">
        <f aca="false">IF(AND(OR($A180&lt;&gt;"",$E180&lt;&gt;""),$O180&lt;&gt;"Cancelled",ISNUMBER($E180),N($F180)+N($H180)&gt;$E180+0.005),1,0)</f>
        <v>0</v>
      </c>
      <c r="Y180" s="80" t="n">
        <f aca="false">IF(AND(OR($A180&lt;&gt;"",$E180&lt;&gt;""),OR($A180="",$E180="")),1,0)</f>
        <v>0</v>
      </c>
      <c r="Z180" s="80" t="n">
        <f aca="false">IF(AND($A180&lt;&gt;"",COUNTIF($A$7:$A$1006,$A180)&gt;1),1,0)</f>
        <v>0</v>
      </c>
    </row>
    <row r="181" customFormat="false" ht="15" hidden="false" customHeight="false" outlineLevel="0" collapsed="false">
      <c r="A181" s="71"/>
      <c r="B181" s="72"/>
      <c r="C181" s="73"/>
      <c r="D181" s="73"/>
      <c r="E181" s="74"/>
      <c r="F181" s="74"/>
      <c r="G181" s="72"/>
      <c r="H181" s="74"/>
      <c r="I181" s="72"/>
      <c r="J181" s="73"/>
      <c r="K181" s="73"/>
      <c r="L181" s="75" t="str">
        <f aca="false">IF(OR($A181&lt;&gt;"",$E181&lt;&gt;""),N($F181)+N($H181),"")</f>
        <v/>
      </c>
      <c r="M181" s="76" t="str">
        <f aca="false">IF(OR($O181="",$O181="Cancelled",$O181="Amount missing"),"",IF($O181="Realised",0,$E181-N($F181)-N($H181)))</f>
        <v/>
      </c>
      <c r="N181" s="77" t="str">
        <f aca="false">IF(OR($M181="",FX=""),"",$M181*FX)</f>
        <v/>
      </c>
      <c r="O181" s="78" t="str">
        <f aca="false">IF(NOT(OR($A181&lt;&gt;"",$E181&lt;&gt;"")),"",IF($J181="Cancelled","Cancelled",IF($E181="","Amount missing",IF(OR($J181="Settled",$E181-N($F181)-N($H181)&lt;=0.005),"Realised",IF(N($H181)&gt;0,"Part realised",IF(N($F181)&gt;0,"Advance received","On hand"))))))</f>
        <v/>
      </c>
      <c r="P181" s="79" t="str">
        <f aca="false">IF(AND($V181=1,ISNUMBER($B181)),AsAt-$B181,"")</f>
        <v/>
      </c>
      <c r="Q181" s="78" t="str">
        <f aca="false">IF($V181&lt;&gt;1,"",IF($P181="","No invoice date",IF($P181&lt;=30,"0–30 days",IF($P181&lt;=60,"31–60 days",IF($P181&lt;=90,"61–90 days","Over 90 days")))))</f>
        <v/>
      </c>
      <c r="R181" s="80" t="str">
        <f aca="false">IF($V181=1,ROW(),"")</f>
        <v/>
      </c>
      <c r="S181" s="80" t="str">
        <f aca="false">IF(OR($A181&lt;&gt;"",$E181&lt;&gt;""),IF(TRIM($D181)="","Buyer not noted",TRIM($D181)),"")</f>
        <v/>
      </c>
      <c r="T181" s="80" t="n">
        <f aca="false">IF(AND($V181=1,ISNUMBER($M181)),$M181,0)</f>
        <v>0</v>
      </c>
      <c r="U181" s="80" t="str">
        <f aca="false">IF($V181=1,IF(COUNTIFS($S$7:$S181,$S181,$V$7:$V181,1)=1,SUMIFS($T$7:$T$1006,$S$7:$S$1006,$S181)-ROW()/1000000000,""),"")</f>
        <v/>
      </c>
      <c r="V181" s="80" t="n">
        <f aca="false">IF(OR($O181="On hand",$O181="Advance received",$O181="Part realised",$O181="Amount missing"),1,0)</f>
        <v>0</v>
      </c>
      <c r="W181" s="80" t="str">
        <f aca="false">IF(AND($V181=1,N($F181)&gt;0),ROW(),"")</f>
        <v/>
      </c>
      <c r="X181" s="80" t="n">
        <f aca="false">IF(AND(OR($A181&lt;&gt;"",$E181&lt;&gt;""),$O181&lt;&gt;"Cancelled",ISNUMBER($E181),N($F181)+N($H181)&gt;$E181+0.005),1,0)</f>
        <v>0</v>
      </c>
      <c r="Y181" s="80" t="n">
        <f aca="false">IF(AND(OR($A181&lt;&gt;"",$E181&lt;&gt;""),OR($A181="",$E181="")),1,0)</f>
        <v>0</v>
      </c>
      <c r="Z181" s="80" t="n">
        <f aca="false">IF(AND($A181&lt;&gt;"",COUNTIF($A$7:$A$1006,$A181)&gt;1),1,0)</f>
        <v>0</v>
      </c>
    </row>
    <row r="182" customFormat="false" ht="15" hidden="false" customHeight="false" outlineLevel="0" collapsed="false">
      <c r="A182" s="71"/>
      <c r="B182" s="72"/>
      <c r="C182" s="73"/>
      <c r="D182" s="73"/>
      <c r="E182" s="74"/>
      <c r="F182" s="74"/>
      <c r="G182" s="72"/>
      <c r="H182" s="74"/>
      <c r="I182" s="72"/>
      <c r="J182" s="73"/>
      <c r="K182" s="73"/>
      <c r="L182" s="75" t="str">
        <f aca="false">IF(OR($A182&lt;&gt;"",$E182&lt;&gt;""),N($F182)+N($H182),"")</f>
        <v/>
      </c>
      <c r="M182" s="76" t="str">
        <f aca="false">IF(OR($O182="",$O182="Cancelled",$O182="Amount missing"),"",IF($O182="Realised",0,$E182-N($F182)-N($H182)))</f>
        <v/>
      </c>
      <c r="N182" s="77" t="str">
        <f aca="false">IF(OR($M182="",FX=""),"",$M182*FX)</f>
        <v/>
      </c>
      <c r="O182" s="78" t="str">
        <f aca="false">IF(NOT(OR($A182&lt;&gt;"",$E182&lt;&gt;"")),"",IF($J182="Cancelled","Cancelled",IF($E182="","Amount missing",IF(OR($J182="Settled",$E182-N($F182)-N($H182)&lt;=0.005),"Realised",IF(N($H182)&gt;0,"Part realised",IF(N($F182)&gt;0,"Advance received","On hand"))))))</f>
        <v/>
      </c>
      <c r="P182" s="79" t="str">
        <f aca="false">IF(AND($V182=1,ISNUMBER($B182)),AsAt-$B182,"")</f>
        <v/>
      </c>
      <c r="Q182" s="78" t="str">
        <f aca="false">IF($V182&lt;&gt;1,"",IF($P182="","No invoice date",IF($P182&lt;=30,"0–30 days",IF($P182&lt;=60,"31–60 days",IF($P182&lt;=90,"61–90 days","Over 90 days")))))</f>
        <v/>
      </c>
      <c r="R182" s="80" t="str">
        <f aca="false">IF($V182=1,ROW(),"")</f>
        <v/>
      </c>
      <c r="S182" s="80" t="str">
        <f aca="false">IF(OR($A182&lt;&gt;"",$E182&lt;&gt;""),IF(TRIM($D182)="","Buyer not noted",TRIM($D182)),"")</f>
        <v/>
      </c>
      <c r="T182" s="80" t="n">
        <f aca="false">IF(AND($V182=1,ISNUMBER($M182)),$M182,0)</f>
        <v>0</v>
      </c>
      <c r="U182" s="80" t="str">
        <f aca="false">IF($V182=1,IF(COUNTIFS($S$7:$S182,$S182,$V$7:$V182,1)=1,SUMIFS($T$7:$T$1006,$S$7:$S$1006,$S182)-ROW()/1000000000,""),"")</f>
        <v/>
      </c>
      <c r="V182" s="80" t="n">
        <f aca="false">IF(OR($O182="On hand",$O182="Advance received",$O182="Part realised",$O182="Amount missing"),1,0)</f>
        <v>0</v>
      </c>
      <c r="W182" s="80" t="str">
        <f aca="false">IF(AND($V182=1,N($F182)&gt;0),ROW(),"")</f>
        <v/>
      </c>
      <c r="X182" s="80" t="n">
        <f aca="false">IF(AND(OR($A182&lt;&gt;"",$E182&lt;&gt;""),$O182&lt;&gt;"Cancelled",ISNUMBER($E182),N($F182)+N($H182)&gt;$E182+0.005),1,0)</f>
        <v>0</v>
      </c>
      <c r="Y182" s="80" t="n">
        <f aca="false">IF(AND(OR($A182&lt;&gt;"",$E182&lt;&gt;""),OR($A182="",$E182="")),1,0)</f>
        <v>0</v>
      </c>
      <c r="Z182" s="80" t="n">
        <f aca="false">IF(AND($A182&lt;&gt;"",COUNTIF($A$7:$A$1006,$A182)&gt;1),1,0)</f>
        <v>0</v>
      </c>
    </row>
    <row r="183" customFormat="false" ht="15" hidden="false" customHeight="false" outlineLevel="0" collapsed="false">
      <c r="A183" s="71"/>
      <c r="B183" s="72"/>
      <c r="C183" s="73"/>
      <c r="D183" s="73"/>
      <c r="E183" s="74"/>
      <c r="F183" s="74"/>
      <c r="G183" s="72"/>
      <c r="H183" s="74"/>
      <c r="I183" s="72"/>
      <c r="J183" s="73"/>
      <c r="K183" s="73"/>
      <c r="L183" s="75" t="str">
        <f aca="false">IF(OR($A183&lt;&gt;"",$E183&lt;&gt;""),N($F183)+N($H183),"")</f>
        <v/>
      </c>
      <c r="M183" s="76" t="str">
        <f aca="false">IF(OR($O183="",$O183="Cancelled",$O183="Amount missing"),"",IF($O183="Realised",0,$E183-N($F183)-N($H183)))</f>
        <v/>
      </c>
      <c r="N183" s="77" t="str">
        <f aca="false">IF(OR($M183="",FX=""),"",$M183*FX)</f>
        <v/>
      </c>
      <c r="O183" s="78" t="str">
        <f aca="false">IF(NOT(OR($A183&lt;&gt;"",$E183&lt;&gt;"")),"",IF($J183="Cancelled","Cancelled",IF($E183="","Amount missing",IF(OR($J183="Settled",$E183-N($F183)-N($H183)&lt;=0.005),"Realised",IF(N($H183)&gt;0,"Part realised",IF(N($F183)&gt;0,"Advance received","On hand"))))))</f>
        <v/>
      </c>
      <c r="P183" s="79" t="str">
        <f aca="false">IF(AND($V183=1,ISNUMBER($B183)),AsAt-$B183,"")</f>
        <v/>
      </c>
      <c r="Q183" s="78" t="str">
        <f aca="false">IF($V183&lt;&gt;1,"",IF($P183="","No invoice date",IF($P183&lt;=30,"0–30 days",IF($P183&lt;=60,"31–60 days",IF($P183&lt;=90,"61–90 days","Over 90 days")))))</f>
        <v/>
      </c>
      <c r="R183" s="80" t="str">
        <f aca="false">IF($V183=1,ROW(),"")</f>
        <v/>
      </c>
      <c r="S183" s="80" t="str">
        <f aca="false">IF(OR($A183&lt;&gt;"",$E183&lt;&gt;""),IF(TRIM($D183)="","Buyer not noted",TRIM($D183)),"")</f>
        <v/>
      </c>
      <c r="T183" s="80" t="n">
        <f aca="false">IF(AND($V183=1,ISNUMBER($M183)),$M183,0)</f>
        <v>0</v>
      </c>
      <c r="U183" s="80" t="str">
        <f aca="false">IF($V183=1,IF(COUNTIFS($S$7:$S183,$S183,$V$7:$V183,1)=1,SUMIFS($T$7:$T$1006,$S$7:$S$1006,$S183)-ROW()/1000000000,""),"")</f>
        <v/>
      </c>
      <c r="V183" s="80" t="n">
        <f aca="false">IF(OR($O183="On hand",$O183="Advance received",$O183="Part realised",$O183="Amount missing"),1,0)</f>
        <v>0</v>
      </c>
      <c r="W183" s="80" t="str">
        <f aca="false">IF(AND($V183=1,N($F183)&gt;0),ROW(),"")</f>
        <v/>
      </c>
      <c r="X183" s="80" t="n">
        <f aca="false">IF(AND(OR($A183&lt;&gt;"",$E183&lt;&gt;""),$O183&lt;&gt;"Cancelled",ISNUMBER($E183),N($F183)+N($H183)&gt;$E183+0.005),1,0)</f>
        <v>0</v>
      </c>
      <c r="Y183" s="80" t="n">
        <f aca="false">IF(AND(OR($A183&lt;&gt;"",$E183&lt;&gt;""),OR($A183="",$E183="")),1,0)</f>
        <v>0</v>
      </c>
      <c r="Z183" s="80" t="n">
        <f aca="false">IF(AND($A183&lt;&gt;"",COUNTIF($A$7:$A$1006,$A183)&gt;1),1,0)</f>
        <v>0</v>
      </c>
    </row>
    <row r="184" customFormat="false" ht="15" hidden="false" customHeight="false" outlineLevel="0" collapsed="false">
      <c r="A184" s="71"/>
      <c r="B184" s="72"/>
      <c r="C184" s="73"/>
      <c r="D184" s="73"/>
      <c r="E184" s="74"/>
      <c r="F184" s="74"/>
      <c r="G184" s="72"/>
      <c r="H184" s="74"/>
      <c r="I184" s="72"/>
      <c r="J184" s="73"/>
      <c r="K184" s="73"/>
      <c r="L184" s="75" t="str">
        <f aca="false">IF(OR($A184&lt;&gt;"",$E184&lt;&gt;""),N($F184)+N($H184),"")</f>
        <v/>
      </c>
      <c r="M184" s="76" t="str">
        <f aca="false">IF(OR($O184="",$O184="Cancelled",$O184="Amount missing"),"",IF($O184="Realised",0,$E184-N($F184)-N($H184)))</f>
        <v/>
      </c>
      <c r="N184" s="77" t="str">
        <f aca="false">IF(OR($M184="",FX=""),"",$M184*FX)</f>
        <v/>
      </c>
      <c r="O184" s="78" t="str">
        <f aca="false">IF(NOT(OR($A184&lt;&gt;"",$E184&lt;&gt;"")),"",IF($J184="Cancelled","Cancelled",IF($E184="","Amount missing",IF(OR($J184="Settled",$E184-N($F184)-N($H184)&lt;=0.005),"Realised",IF(N($H184)&gt;0,"Part realised",IF(N($F184)&gt;0,"Advance received","On hand"))))))</f>
        <v/>
      </c>
      <c r="P184" s="79" t="str">
        <f aca="false">IF(AND($V184=1,ISNUMBER($B184)),AsAt-$B184,"")</f>
        <v/>
      </c>
      <c r="Q184" s="78" t="str">
        <f aca="false">IF($V184&lt;&gt;1,"",IF($P184="","No invoice date",IF($P184&lt;=30,"0–30 days",IF($P184&lt;=60,"31–60 days",IF($P184&lt;=90,"61–90 days","Over 90 days")))))</f>
        <v/>
      </c>
      <c r="R184" s="80" t="str">
        <f aca="false">IF($V184=1,ROW(),"")</f>
        <v/>
      </c>
      <c r="S184" s="80" t="str">
        <f aca="false">IF(OR($A184&lt;&gt;"",$E184&lt;&gt;""),IF(TRIM($D184)="","Buyer not noted",TRIM($D184)),"")</f>
        <v/>
      </c>
      <c r="T184" s="80" t="n">
        <f aca="false">IF(AND($V184=1,ISNUMBER($M184)),$M184,0)</f>
        <v>0</v>
      </c>
      <c r="U184" s="80" t="str">
        <f aca="false">IF($V184=1,IF(COUNTIFS($S$7:$S184,$S184,$V$7:$V184,1)=1,SUMIFS($T$7:$T$1006,$S$7:$S$1006,$S184)-ROW()/1000000000,""),"")</f>
        <v/>
      </c>
      <c r="V184" s="80" t="n">
        <f aca="false">IF(OR($O184="On hand",$O184="Advance received",$O184="Part realised",$O184="Amount missing"),1,0)</f>
        <v>0</v>
      </c>
      <c r="W184" s="80" t="str">
        <f aca="false">IF(AND($V184=1,N($F184)&gt;0),ROW(),"")</f>
        <v/>
      </c>
      <c r="X184" s="80" t="n">
        <f aca="false">IF(AND(OR($A184&lt;&gt;"",$E184&lt;&gt;""),$O184&lt;&gt;"Cancelled",ISNUMBER($E184),N($F184)+N($H184)&gt;$E184+0.005),1,0)</f>
        <v>0</v>
      </c>
      <c r="Y184" s="80" t="n">
        <f aca="false">IF(AND(OR($A184&lt;&gt;"",$E184&lt;&gt;""),OR($A184="",$E184="")),1,0)</f>
        <v>0</v>
      </c>
      <c r="Z184" s="80" t="n">
        <f aca="false">IF(AND($A184&lt;&gt;"",COUNTIF($A$7:$A$1006,$A184)&gt;1),1,0)</f>
        <v>0</v>
      </c>
    </row>
    <row r="185" customFormat="false" ht="15" hidden="false" customHeight="false" outlineLevel="0" collapsed="false">
      <c r="A185" s="71"/>
      <c r="B185" s="72"/>
      <c r="C185" s="73"/>
      <c r="D185" s="73"/>
      <c r="E185" s="74"/>
      <c r="F185" s="74"/>
      <c r="G185" s="72"/>
      <c r="H185" s="74"/>
      <c r="I185" s="72"/>
      <c r="J185" s="73"/>
      <c r="K185" s="73"/>
      <c r="L185" s="75" t="str">
        <f aca="false">IF(OR($A185&lt;&gt;"",$E185&lt;&gt;""),N($F185)+N($H185),"")</f>
        <v/>
      </c>
      <c r="M185" s="76" t="str">
        <f aca="false">IF(OR($O185="",$O185="Cancelled",$O185="Amount missing"),"",IF($O185="Realised",0,$E185-N($F185)-N($H185)))</f>
        <v/>
      </c>
      <c r="N185" s="77" t="str">
        <f aca="false">IF(OR($M185="",FX=""),"",$M185*FX)</f>
        <v/>
      </c>
      <c r="O185" s="78" t="str">
        <f aca="false">IF(NOT(OR($A185&lt;&gt;"",$E185&lt;&gt;"")),"",IF($J185="Cancelled","Cancelled",IF($E185="","Amount missing",IF(OR($J185="Settled",$E185-N($F185)-N($H185)&lt;=0.005),"Realised",IF(N($H185)&gt;0,"Part realised",IF(N($F185)&gt;0,"Advance received","On hand"))))))</f>
        <v/>
      </c>
      <c r="P185" s="79" t="str">
        <f aca="false">IF(AND($V185=1,ISNUMBER($B185)),AsAt-$B185,"")</f>
        <v/>
      </c>
      <c r="Q185" s="78" t="str">
        <f aca="false">IF($V185&lt;&gt;1,"",IF($P185="","No invoice date",IF($P185&lt;=30,"0–30 days",IF($P185&lt;=60,"31–60 days",IF($P185&lt;=90,"61–90 days","Over 90 days")))))</f>
        <v/>
      </c>
      <c r="R185" s="80" t="str">
        <f aca="false">IF($V185=1,ROW(),"")</f>
        <v/>
      </c>
      <c r="S185" s="80" t="str">
        <f aca="false">IF(OR($A185&lt;&gt;"",$E185&lt;&gt;""),IF(TRIM($D185)="","Buyer not noted",TRIM($D185)),"")</f>
        <v/>
      </c>
      <c r="T185" s="80" t="n">
        <f aca="false">IF(AND($V185=1,ISNUMBER($M185)),$M185,0)</f>
        <v>0</v>
      </c>
      <c r="U185" s="80" t="str">
        <f aca="false">IF($V185=1,IF(COUNTIFS($S$7:$S185,$S185,$V$7:$V185,1)=1,SUMIFS($T$7:$T$1006,$S$7:$S$1006,$S185)-ROW()/1000000000,""),"")</f>
        <v/>
      </c>
      <c r="V185" s="80" t="n">
        <f aca="false">IF(OR($O185="On hand",$O185="Advance received",$O185="Part realised",$O185="Amount missing"),1,0)</f>
        <v>0</v>
      </c>
      <c r="W185" s="80" t="str">
        <f aca="false">IF(AND($V185=1,N($F185)&gt;0),ROW(),"")</f>
        <v/>
      </c>
      <c r="X185" s="80" t="n">
        <f aca="false">IF(AND(OR($A185&lt;&gt;"",$E185&lt;&gt;""),$O185&lt;&gt;"Cancelled",ISNUMBER($E185),N($F185)+N($H185)&gt;$E185+0.005),1,0)</f>
        <v>0</v>
      </c>
      <c r="Y185" s="80" t="n">
        <f aca="false">IF(AND(OR($A185&lt;&gt;"",$E185&lt;&gt;""),OR($A185="",$E185="")),1,0)</f>
        <v>0</v>
      </c>
      <c r="Z185" s="80" t="n">
        <f aca="false">IF(AND($A185&lt;&gt;"",COUNTIF($A$7:$A$1006,$A185)&gt;1),1,0)</f>
        <v>0</v>
      </c>
    </row>
    <row r="186" customFormat="false" ht="15" hidden="false" customHeight="false" outlineLevel="0" collapsed="false">
      <c r="A186" s="71"/>
      <c r="B186" s="72"/>
      <c r="C186" s="73"/>
      <c r="D186" s="73"/>
      <c r="E186" s="74"/>
      <c r="F186" s="74"/>
      <c r="G186" s="72"/>
      <c r="H186" s="74"/>
      <c r="I186" s="72"/>
      <c r="J186" s="73"/>
      <c r="K186" s="73"/>
      <c r="L186" s="75" t="str">
        <f aca="false">IF(OR($A186&lt;&gt;"",$E186&lt;&gt;""),N($F186)+N($H186),"")</f>
        <v/>
      </c>
      <c r="M186" s="76" t="str">
        <f aca="false">IF(OR($O186="",$O186="Cancelled",$O186="Amount missing"),"",IF($O186="Realised",0,$E186-N($F186)-N($H186)))</f>
        <v/>
      </c>
      <c r="N186" s="77" t="str">
        <f aca="false">IF(OR($M186="",FX=""),"",$M186*FX)</f>
        <v/>
      </c>
      <c r="O186" s="78" t="str">
        <f aca="false">IF(NOT(OR($A186&lt;&gt;"",$E186&lt;&gt;"")),"",IF($J186="Cancelled","Cancelled",IF($E186="","Amount missing",IF(OR($J186="Settled",$E186-N($F186)-N($H186)&lt;=0.005),"Realised",IF(N($H186)&gt;0,"Part realised",IF(N($F186)&gt;0,"Advance received","On hand"))))))</f>
        <v/>
      </c>
      <c r="P186" s="79" t="str">
        <f aca="false">IF(AND($V186=1,ISNUMBER($B186)),AsAt-$B186,"")</f>
        <v/>
      </c>
      <c r="Q186" s="78" t="str">
        <f aca="false">IF($V186&lt;&gt;1,"",IF($P186="","No invoice date",IF($P186&lt;=30,"0–30 days",IF($P186&lt;=60,"31–60 days",IF($P186&lt;=90,"61–90 days","Over 90 days")))))</f>
        <v/>
      </c>
      <c r="R186" s="80" t="str">
        <f aca="false">IF($V186=1,ROW(),"")</f>
        <v/>
      </c>
      <c r="S186" s="80" t="str">
        <f aca="false">IF(OR($A186&lt;&gt;"",$E186&lt;&gt;""),IF(TRIM($D186)="","Buyer not noted",TRIM($D186)),"")</f>
        <v/>
      </c>
      <c r="T186" s="80" t="n">
        <f aca="false">IF(AND($V186=1,ISNUMBER($M186)),$M186,0)</f>
        <v>0</v>
      </c>
      <c r="U186" s="80" t="str">
        <f aca="false">IF($V186=1,IF(COUNTIFS($S$7:$S186,$S186,$V$7:$V186,1)=1,SUMIFS($T$7:$T$1006,$S$7:$S$1006,$S186)-ROW()/1000000000,""),"")</f>
        <v/>
      </c>
      <c r="V186" s="80" t="n">
        <f aca="false">IF(OR($O186="On hand",$O186="Advance received",$O186="Part realised",$O186="Amount missing"),1,0)</f>
        <v>0</v>
      </c>
      <c r="W186" s="80" t="str">
        <f aca="false">IF(AND($V186=1,N($F186)&gt;0),ROW(),"")</f>
        <v/>
      </c>
      <c r="X186" s="80" t="n">
        <f aca="false">IF(AND(OR($A186&lt;&gt;"",$E186&lt;&gt;""),$O186&lt;&gt;"Cancelled",ISNUMBER($E186),N($F186)+N($H186)&gt;$E186+0.005),1,0)</f>
        <v>0</v>
      </c>
      <c r="Y186" s="80" t="n">
        <f aca="false">IF(AND(OR($A186&lt;&gt;"",$E186&lt;&gt;""),OR($A186="",$E186="")),1,0)</f>
        <v>0</v>
      </c>
      <c r="Z186" s="80" t="n">
        <f aca="false">IF(AND($A186&lt;&gt;"",COUNTIF($A$7:$A$1006,$A186)&gt;1),1,0)</f>
        <v>0</v>
      </c>
    </row>
    <row r="187" customFormat="false" ht="15" hidden="false" customHeight="false" outlineLevel="0" collapsed="false">
      <c r="A187" s="71"/>
      <c r="B187" s="72"/>
      <c r="C187" s="73"/>
      <c r="D187" s="73"/>
      <c r="E187" s="74"/>
      <c r="F187" s="74"/>
      <c r="G187" s="72"/>
      <c r="H187" s="74"/>
      <c r="I187" s="72"/>
      <c r="J187" s="73"/>
      <c r="K187" s="73"/>
      <c r="L187" s="75" t="str">
        <f aca="false">IF(OR($A187&lt;&gt;"",$E187&lt;&gt;""),N($F187)+N($H187),"")</f>
        <v/>
      </c>
      <c r="M187" s="76" t="str">
        <f aca="false">IF(OR($O187="",$O187="Cancelled",$O187="Amount missing"),"",IF($O187="Realised",0,$E187-N($F187)-N($H187)))</f>
        <v/>
      </c>
      <c r="N187" s="77" t="str">
        <f aca="false">IF(OR($M187="",FX=""),"",$M187*FX)</f>
        <v/>
      </c>
      <c r="O187" s="78" t="str">
        <f aca="false">IF(NOT(OR($A187&lt;&gt;"",$E187&lt;&gt;"")),"",IF($J187="Cancelled","Cancelled",IF($E187="","Amount missing",IF(OR($J187="Settled",$E187-N($F187)-N($H187)&lt;=0.005),"Realised",IF(N($H187)&gt;0,"Part realised",IF(N($F187)&gt;0,"Advance received","On hand"))))))</f>
        <v/>
      </c>
      <c r="P187" s="79" t="str">
        <f aca="false">IF(AND($V187=1,ISNUMBER($B187)),AsAt-$B187,"")</f>
        <v/>
      </c>
      <c r="Q187" s="78" t="str">
        <f aca="false">IF($V187&lt;&gt;1,"",IF($P187="","No invoice date",IF($P187&lt;=30,"0–30 days",IF($P187&lt;=60,"31–60 days",IF($P187&lt;=90,"61–90 days","Over 90 days")))))</f>
        <v/>
      </c>
      <c r="R187" s="80" t="str">
        <f aca="false">IF($V187=1,ROW(),"")</f>
        <v/>
      </c>
      <c r="S187" s="80" t="str">
        <f aca="false">IF(OR($A187&lt;&gt;"",$E187&lt;&gt;""),IF(TRIM($D187)="","Buyer not noted",TRIM($D187)),"")</f>
        <v/>
      </c>
      <c r="T187" s="80" t="n">
        <f aca="false">IF(AND($V187=1,ISNUMBER($M187)),$M187,0)</f>
        <v>0</v>
      </c>
      <c r="U187" s="80" t="str">
        <f aca="false">IF($V187=1,IF(COUNTIFS($S$7:$S187,$S187,$V$7:$V187,1)=1,SUMIFS($T$7:$T$1006,$S$7:$S$1006,$S187)-ROW()/1000000000,""),"")</f>
        <v/>
      </c>
      <c r="V187" s="80" t="n">
        <f aca="false">IF(OR($O187="On hand",$O187="Advance received",$O187="Part realised",$O187="Amount missing"),1,0)</f>
        <v>0</v>
      </c>
      <c r="W187" s="80" t="str">
        <f aca="false">IF(AND($V187=1,N($F187)&gt;0),ROW(),"")</f>
        <v/>
      </c>
      <c r="X187" s="80" t="n">
        <f aca="false">IF(AND(OR($A187&lt;&gt;"",$E187&lt;&gt;""),$O187&lt;&gt;"Cancelled",ISNUMBER($E187),N($F187)+N($H187)&gt;$E187+0.005),1,0)</f>
        <v>0</v>
      </c>
      <c r="Y187" s="80" t="n">
        <f aca="false">IF(AND(OR($A187&lt;&gt;"",$E187&lt;&gt;""),OR($A187="",$E187="")),1,0)</f>
        <v>0</v>
      </c>
      <c r="Z187" s="80" t="n">
        <f aca="false">IF(AND($A187&lt;&gt;"",COUNTIF($A$7:$A$1006,$A187)&gt;1),1,0)</f>
        <v>0</v>
      </c>
    </row>
    <row r="188" customFormat="false" ht="15" hidden="false" customHeight="false" outlineLevel="0" collapsed="false">
      <c r="A188" s="71"/>
      <c r="B188" s="72"/>
      <c r="C188" s="73"/>
      <c r="D188" s="73"/>
      <c r="E188" s="74"/>
      <c r="F188" s="74"/>
      <c r="G188" s="72"/>
      <c r="H188" s="74"/>
      <c r="I188" s="72"/>
      <c r="J188" s="73"/>
      <c r="K188" s="73"/>
      <c r="L188" s="75" t="str">
        <f aca="false">IF(OR($A188&lt;&gt;"",$E188&lt;&gt;""),N($F188)+N($H188),"")</f>
        <v/>
      </c>
      <c r="M188" s="76" t="str">
        <f aca="false">IF(OR($O188="",$O188="Cancelled",$O188="Amount missing"),"",IF($O188="Realised",0,$E188-N($F188)-N($H188)))</f>
        <v/>
      </c>
      <c r="N188" s="77" t="str">
        <f aca="false">IF(OR($M188="",FX=""),"",$M188*FX)</f>
        <v/>
      </c>
      <c r="O188" s="78" t="str">
        <f aca="false">IF(NOT(OR($A188&lt;&gt;"",$E188&lt;&gt;"")),"",IF($J188="Cancelled","Cancelled",IF($E188="","Amount missing",IF(OR($J188="Settled",$E188-N($F188)-N($H188)&lt;=0.005),"Realised",IF(N($H188)&gt;0,"Part realised",IF(N($F188)&gt;0,"Advance received","On hand"))))))</f>
        <v/>
      </c>
      <c r="P188" s="79" t="str">
        <f aca="false">IF(AND($V188=1,ISNUMBER($B188)),AsAt-$B188,"")</f>
        <v/>
      </c>
      <c r="Q188" s="78" t="str">
        <f aca="false">IF($V188&lt;&gt;1,"",IF($P188="","No invoice date",IF($P188&lt;=30,"0–30 days",IF($P188&lt;=60,"31–60 days",IF($P188&lt;=90,"61–90 days","Over 90 days")))))</f>
        <v/>
      </c>
      <c r="R188" s="80" t="str">
        <f aca="false">IF($V188=1,ROW(),"")</f>
        <v/>
      </c>
      <c r="S188" s="80" t="str">
        <f aca="false">IF(OR($A188&lt;&gt;"",$E188&lt;&gt;""),IF(TRIM($D188)="","Buyer not noted",TRIM($D188)),"")</f>
        <v/>
      </c>
      <c r="T188" s="80" t="n">
        <f aca="false">IF(AND($V188=1,ISNUMBER($M188)),$M188,0)</f>
        <v>0</v>
      </c>
      <c r="U188" s="80" t="str">
        <f aca="false">IF($V188=1,IF(COUNTIFS($S$7:$S188,$S188,$V$7:$V188,1)=1,SUMIFS($T$7:$T$1006,$S$7:$S$1006,$S188)-ROW()/1000000000,""),"")</f>
        <v/>
      </c>
      <c r="V188" s="80" t="n">
        <f aca="false">IF(OR($O188="On hand",$O188="Advance received",$O188="Part realised",$O188="Amount missing"),1,0)</f>
        <v>0</v>
      </c>
      <c r="W188" s="80" t="str">
        <f aca="false">IF(AND($V188=1,N($F188)&gt;0),ROW(),"")</f>
        <v/>
      </c>
      <c r="X188" s="80" t="n">
        <f aca="false">IF(AND(OR($A188&lt;&gt;"",$E188&lt;&gt;""),$O188&lt;&gt;"Cancelled",ISNUMBER($E188),N($F188)+N($H188)&gt;$E188+0.005),1,0)</f>
        <v>0</v>
      </c>
      <c r="Y188" s="80" t="n">
        <f aca="false">IF(AND(OR($A188&lt;&gt;"",$E188&lt;&gt;""),OR($A188="",$E188="")),1,0)</f>
        <v>0</v>
      </c>
      <c r="Z188" s="80" t="n">
        <f aca="false">IF(AND($A188&lt;&gt;"",COUNTIF($A$7:$A$1006,$A188)&gt;1),1,0)</f>
        <v>0</v>
      </c>
    </row>
    <row r="189" customFormat="false" ht="15" hidden="false" customHeight="false" outlineLevel="0" collapsed="false">
      <c r="A189" s="71"/>
      <c r="B189" s="72"/>
      <c r="C189" s="73"/>
      <c r="D189" s="73"/>
      <c r="E189" s="74"/>
      <c r="F189" s="74"/>
      <c r="G189" s="72"/>
      <c r="H189" s="74"/>
      <c r="I189" s="72"/>
      <c r="J189" s="73"/>
      <c r="K189" s="73"/>
      <c r="L189" s="75" t="str">
        <f aca="false">IF(OR($A189&lt;&gt;"",$E189&lt;&gt;""),N($F189)+N($H189),"")</f>
        <v/>
      </c>
      <c r="M189" s="76" t="str">
        <f aca="false">IF(OR($O189="",$O189="Cancelled",$O189="Amount missing"),"",IF($O189="Realised",0,$E189-N($F189)-N($H189)))</f>
        <v/>
      </c>
      <c r="N189" s="77" t="str">
        <f aca="false">IF(OR($M189="",FX=""),"",$M189*FX)</f>
        <v/>
      </c>
      <c r="O189" s="78" t="str">
        <f aca="false">IF(NOT(OR($A189&lt;&gt;"",$E189&lt;&gt;"")),"",IF($J189="Cancelled","Cancelled",IF($E189="","Amount missing",IF(OR($J189="Settled",$E189-N($F189)-N($H189)&lt;=0.005),"Realised",IF(N($H189)&gt;0,"Part realised",IF(N($F189)&gt;0,"Advance received","On hand"))))))</f>
        <v/>
      </c>
      <c r="P189" s="79" t="str">
        <f aca="false">IF(AND($V189=1,ISNUMBER($B189)),AsAt-$B189,"")</f>
        <v/>
      </c>
      <c r="Q189" s="78" t="str">
        <f aca="false">IF($V189&lt;&gt;1,"",IF($P189="","No invoice date",IF($P189&lt;=30,"0–30 days",IF($P189&lt;=60,"31–60 days",IF($P189&lt;=90,"61–90 days","Over 90 days")))))</f>
        <v/>
      </c>
      <c r="R189" s="80" t="str">
        <f aca="false">IF($V189=1,ROW(),"")</f>
        <v/>
      </c>
      <c r="S189" s="80" t="str">
        <f aca="false">IF(OR($A189&lt;&gt;"",$E189&lt;&gt;""),IF(TRIM($D189)="","Buyer not noted",TRIM($D189)),"")</f>
        <v/>
      </c>
      <c r="T189" s="80" t="n">
        <f aca="false">IF(AND($V189=1,ISNUMBER($M189)),$M189,0)</f>
        <v>0</v>
      </c>
      <c r="U189" s="80" t="str">
        <f aca="false">IF($V189=1,IF(COUNTIFS($S$7:$S189,$S189,$V$7:$V189,1)=1,SUMIFS($T$7:$T$1006,$S$7:$S$1006,$S189)-ROW()/1000000000,""),"")</f>
        <v/>
      </c>
      <c r="V189" s="80" t="n">
        <f aca="false">IF(OR($O189="On hand",$O189="Advance received",$O189="Part realised",$O189="Amount missing"),1,0)</f>
        <v>0</v>
      </c>
      <c r="W189" s="80" t="str">
        <f aca="false">IF(AND($V189=1,N($F189)&gt;0),ROW(),"")</f>
        <v/>
      </c>
      <c r="X189" s="80" t="n">
        <f aca="false">IF(AND(OR($A189&lt;&gt;"",$E189&lt;&gt;""),$O189&lt;&gt;"Cancelled",ISNUMBER($E189),N($F189)+N($H189)&gt;$E189+0.005),1,0)</f>
        <v>0</v>
      </c>
      <c r="Y189" s="80" t="n">
        <f aca="false">IF(AND(OR($A189&lt;&gt;"",$E189&lt;&gt;""),OR($A189="",$E189="")),1,0)</f>
        <v>0</v>
      </c>
      <c r="Z189" s="80" t="n">
        <f aca="false">IF(AND($A189&lt;&gt;"",COUNTIF($A$7:$A$1006,$A189)&gt;1),1,0)</f>
        <v>0</v>
      </c>
    </row>
    <row r="190" customFormat="false" ht="15" hidden="false" customHeight="false" outlineLevel="0" collapsed="false">
      <c r="A190" s="71"/>
      <c r="B190" s="72"/>
      <c r="C190" s="73"/>
      <c r="D190" s="73"/>
      <c r="E190" s="74"/>
      <c r="F190" s="74"/>
      <c r="G190" s="72"/>
      <c r="H190" s="74"/>
      <c r="I190" s="72"/>
      <c r="J190" s="73"/>
      <c r="K190" s="73"/>
      <c r="L190" s="75" t="str">
        <f aca="false">IF(OR($A190&lt;&gt;"",$E190&lt;&gt;""),N($F190)+N($H190),"")</f>
        <v/>
      </c>
      <c r="M190" s="76" t="str">
        <f aca="false">IF(OR($O190="",$O190="Cancelled",$O190="Amount missing"),"",IF($O190="Realised",0,$E190-N($F190)-N($H190)))</f>
        <v/>
      </c>
      <c r="N190" s="77" t="str">
        <f aca="false">IF(OR($M190="",FX=""),"",$M190*FX)</f>
        <v/>
      </c>
      <c r="O190" s="78" t="str">
        <f aca="false">IF(NOT(OR($A190&lt;&gt;"",$E190&lt;&gt;"")),"",IF($J190="Cancelled","Cancelled",IF($E190="","Amount missing",IF(OR($J190="Settled",$E190-N($F190)-N($H190)&lt;=0.005),"Realised",IF(N($H190)&gt;0,"Part realised",IF(N($F190)&gt;0,"Advance received","On hand"))))))</f>
        <v/>
      </c>
      <c r="P190" s="79" t="str">
        <f aca="false">IF(AND($V190=1,ISNUMBER($B190)),AsAt-$B190,"")</f>
        <v/>
      </c>
      <c r="Q190" s="78" t="str">
        <f aca="false">IF($V190&lt;&gt;1,"",IF($P190="","No invoice date",IF($P190&lt;=30,"0–30 days",IF($P190&lt;=60,"31–60 days",IF($P190&lt;=90,"61–90 days","Over 90 days")))))</f>
        <v/>
      </c>
      <c r="R190" s="80" t="str">
        <f aca="false">IF($V190=1,ROW(),"")</f>
        <v/>
      </c>
      <c r="S190" s="80" t="str">
        <f aca="false">IF(OR($A190&lt;&gt;"",$E190&lt;&gt;""),IF(TRIM($D190)="","Buyer not noted",TRIM($D190)),"")</f>
        <v/>
      </c>
      <c r="T190" s="80" t="n">
        <f aca="false">IF(AND($V190=1,ISNUMBER($M190)),$M190,0)</f>
        <v>0</v>
      </c>
      <c r="U190" s="80" t="str">
        <f aca="false">IF($V190=1,IF(COUNTIFS($S$7:$S190,$S190,$V$7:$V190,1)=1,SUMIFS($T$7:$T$1006,$S$7:$S$1006,$S190)-ROW()/1000000000,""),"")</f>
        <v/>
      </c>
      <c r="V190" s="80" t="n">
        <f aca="false">IF(OR($O190="On hand",$O190="Advance received",$O190="Part realised",$O190="Amount missing"),1,0)</f>
        <v>0</v>
      </c>
      <c r="W190" s="80" t="str">
        <f aca="false">IF(AND($V190=1,N($F190)&gt;0),ROW(),"")</f>
        <v/>
      </c>
      <c r="X190" s="80" t="n">
        <f aca="false">IF(AND(OR($A190&lt;&gt;"",$E190&lt;&gt;""),$O190&lt;&gt;"Cancelled",ISNUMBER($E190),N($F190)+N($H190)&gt;$E190+0.005),1,0)</f>
        <v>0</v>
      </c>
      <c r="Y190" s="80" t="n">
        <f aca="false">IF(AND(OR($A190&lt;&gt;"",$E190&lt;&gt;""),OR($A190="",$E190="")),1,0)</f>
        <v>0</v>
      </c>
      <c r="Z190" s="80" t="n">
        <f aca="false">IF(AND($A190&lt;&gt;"",COUNTIF($A$7:$A$1006,$A190)&gt;1),1,0)</f>
        <v>0</v>
      </c>
    </row>
    <row r="191" customFormat="false" ht="15" hidden="false" customHeight="false" outlineLevel="0" collapsed="false">
      <c r="A191" s="71"/>
      <c r="B191" s="72"/>
      <c r="C191" s="73"/>
      <c r="D191" s="73"/>
      <c r="E191" s="74"/>
      <c r="F191" s="74"/>
      <c r="G191" s="72"/>
      <c r="H191" s="74"/>
      <c r="I191" s="72"/>
      <c r="J191" s="73"/>
      <c r="K191" s="73"/>
      <c r="L191" s="75" t="str">
        <f aca="false">IF(OR($A191&lt;&gt;"",$E191&lt;&gt;""),N($F191)+N($H191),"")</f>
        <v/>
      </c>
      <c r="M191" s="76" t="str">
        <f aca="false">IF(OR($O191="",$O191="Cancelled",$O191="Amount missing"),"",IF($O191="Realised",0,$E191-N($F191)-N($H191)))</f>
        <v/>
      </c>
      <c r="N191" s="77" t="str">
        <f aca="false">IF(OR($M191="",FX=""),"",$M191*FX)</f>
        <v/>
      </c>
      <c r="O191" s="78" t="str">
        <f aca="false">IF(NOT(OR($A191&lt;&gt;"",$E191&lt;&gt;"")),"",IF($J191="Cancelled","Cancelled",IF($E191="","Amount missing",IF(OR($J191="Settled",$E191-N($F191)-N($H191)&lt;=0.005),"Realised",IF(N($H191)&gt;0,"Part realised",IF(N($F191)&gt;0,"Advance received","On hand"))))))</f>
        <v/>
      </c>
      <c r="P191" s="79" t="str">
        <f aca="false">IF(AND($V191=1,ISNUMBER($B191)),AsAt-$B191,"")</f>
        <v/>
      </c>
      <c r="Q191" s="78" t="str">
        <f aca="false">IF($V191&lt;&gt;1,"",IF($P191="","No invoice date",IF($P191&lt;=30,"0–30 days",IF($P191&lt;=60,"31–60 days",IF($P191&lt;=90,"61–90 days","Over 90 days")))))</f>
        <v/>
      </c>
      <c r="R191" s="80" t="str">
        <f aca="false">IF($V191=1,ROW(),"")</f>
        <v/>
      </c>
      <c r="S191" s="80" t="str">
        <f aca="false">IF(OR($A191&lt;&gt;"",$E191&lt;&gt;""),IF(TRIM($D191)="","Buyer not noted",TRIM($D191)),"")</f>
        <v/>
      </c>
      <c r="T191" s="80" t="n">
        <f aca="false">IF(AND($V191=1,ISNUMBER($M191)),$M191,0)</f>
        <v>0</v>
      </c>
      <c r="U191" s="80" t="str">
        <f aca="false">IF($V191=1,IF(COUNTIFS($S$7:$S191,$S191,$V$7:$V191,1)=1,SUMIFS($T$7:$T$1006,$S$7:$S$1006,$S191)-ROW()/1000000000,""),"")</f>
        <v/>
      </c>
      <c r="V191" s="80" t="n">
        <f aca="false">IF(OR($O191="On hand",$O191="Advance received",$O191="Part realised",$O191="Amount missing"),1,0)</f>
        <v>0</v>
      </c>
      <c r="W191" s="80" t="str">
        <f aca="false">IF(AND($V191=1,N($F191)&gt;0),ROW(),"")</f>
        <v/>
      </c>
      <c r="X191" s="80" t="n">
        <f aca="false">IF(AND(OR($A191&lt;&gt;"",$E191&lt;&gt;""),$O191&lt;&gt;"Cancelled",ISNUMBER($E191),N($F191)+N($H191)&gt;$E191+0.005),1,0)</f>
        <v>0</v>
      </c>
      <c r="Y191" s="80" t="n">
        <f aca="false">IF(AND(OR($A191&lt;&gt;"",$E191&lt;&gt;""),OR($A191="",$E191="")),1,0)</f>
        <v>0</v>
      </c>
      <c r="Z191" s="80" t="n">
        <f aca="false">IF(AND($A191&lt;&gt;"",COUNTIF($A$7:$A$1006,$A191)&gt;1),1,0)</f>
        <v>0</v>
      </c>
    </row>
    <row r="192" customFormat="false" ht="15" hidden="false" customHeight="false" outlineLevel="0" collapsed="false">
      <c r="A192" s="71"/>
      <c r="B192" s="72"/>
      <c r="C192" s="73"/>
      <c r="D192" s="73"/>
      <c r="E192" s="74"/>
      <c r="F192" s="74"/>
      <c r="G192" s="72"/>
      <c r="H192" s="74"/>
      <c r="I192" s="72"/>
      <c r="J192" s="73"/>
      <c r="K192" s="73"/>
      <c r="L192" s="75" t="str">
        <f aca="false">IF(OR($A192&lt;&gt;"",$E192&lt;&gt;""),N($F192)+N($H192),"")</f>
        <v/>
      </c>
      <c r="M192" s="76" t="str">
        <f aca="false">IF(OR($O192="",$O192="Cancelled",$O192="Amount missing"),"",IF($O192="Realised",0,$E192-N($F192)-N($H192)))</f>
        <v/>
      </c>
      <c r="N192" s="77" t="str">
        <f aca="false">IF(OR($M192="",FX=""),"",$M192*FX)</f>
        <v/>
      </c>
      <c r="O192" s="78" t="str">
        <f aca="false">IF(NOT(OR($A192&lt;&gt;"",$E192&lt;&gt;"")),"",IF($J192="Cancelled","Cancelled",IF($E192="","Amount missing",IF(OR($J192="Settled",$E192-N($F192)-N($H192)&lt;=0.005),"Realised",IF(N($H192)&gt;0,"Part realised",IF(N($F192)&gt;0,"Advance received","On hand"))))))</f>
        <v/>
      </c>
      <c r="P192" s="79" t="str">
        <f aca="false">IF(AND($V192=1,ISNUMBER($B192)),AsAt-$B192,"")</f>
        <v/>
      </c>
      <c r="Q192" s="78" t="str">
        <f aca="false">IF($V192&lt;&gt;1,"",IF($P192="","No invoice date",IF($P192&lt;=30,"0–30 days",IF($P192&lt;=60,"31–60 days",IF($P192&lt;=90,"61–90 days","Over 90 days")))))</f>
        <v/>
      </c>
      <c r="R192" s="80" t="str">
        <f aca="false">IF($V192=1,ROW(),"")</f>
        <v/>
      </c>
      <c r="S192" s="80" t="str">
        <f aca="false">IF(OR($A192&lt;&gt;"",$E192&lt;&gt;""),IF(TRIM($D192)="","Buyer not noted",TRIM($D192)),"")</f>
        <v/>
      </c>
      <c r="T192" s="80" t="n">
        <f aca="false">IF(AND($V192=1,ISNUMBER($M192)),$M192,0)</f>
        <v>0</v>
      </c>
      <c r="U192" s="80" t="str">
        <f aca="false">IF($V192=1,IF(COUNTIFS($S$7:$S192,$S192,$V$7:$V192,1)=1,SUMIFS($T$7:$T$1006,$S$7:$S$1006,$S192)-ROW()/1000000000,""),"")</f>
        <v/>
      </c>
      <c r="V192" s="80" t="n">
        <f aca="false">IF(OR($O192="On hand",$O192="Advance received",$O192="Part realised",$O192="Amount missing"),1,0)</f>
        <v>0</v>
      </c>
      <c r="W192" s="80" t="str">
        <f aca="false">IF(AND($V192=1,N($F192)&gt;0),ROW(),"")</f>
        <v/>
      </c>
      <c r="X192" s="80" t="n">
        <f aca="false">IF(AND(OR($A192&lt;&gt;"",$E192&lt;&gt;""),$O192&lt;&gt;"Cancelled",ISNUMBER($E192),N($F192)+N($H192)&gt;$E192+0.005),1,0)</f>
        <v>0</v>
      </c>
      <c r="Y192" s="80" t="n">
        <f aca="false">IF(AND(OR($A192&lt;&gt;"",$E192&lt;&gt;""),OR($A192="",$E192="")),1,0)</f>
        <v>0</v>
      </c>
      <c r="Z192" s="80" t="n">
        <f aca="false">IF(AND($A192&lt;&gt;"",COUNTIF($A$7:$A$1006,$A192)&gt;1),1,0)</f>
        <v>0</v>
      </c>
    </row>
    <row r="193" customFormat="false" ht="15" hidden="false" customHeight="false" outlineLevel="0" collapsed="false">
      <c r="A193" s="71"/>
      <c r="B193" s="72"/>
      <c r="C193" s="73"/>
      <c r="D193" s="73"/>
      <c r="E193" s="74"/>
      <c r="F193" s="74"/>
      <c r="G193" s="72"/>
      <c r="H193" s="74"/>
      <c r="I193" s="72"/>
      <c r="J193" s="73"/>
      <c r="K193" s="73"/>
      <c r="L193" s="75" t="str">
        <f aca="false">IF(OR($A193&lt;&gt;"",$E193&lt;&gt;""),N($F193)+N($H193),"")</f>
        <v/>
      </c>
      <c r="M193" s="76" t="str">
        <f aca="false">IF(OR($O193="",$O193="Cancelled",$O193="Amount missing"),"",IF($O193="Realised",0,$E193-N($F193)-N($H193)))</f>
        <v/>
      </c>
      <c r="N193" s="77" t="str">
        <f aca="false">IF(OR($M193="",FX=""),"",$M193*FX)</f>
        <v/>
      </c>
      <c r="O193" s="78" t="str">
        <f aca="false">IF(NOT(OR($A193&lt;&gt;"",$E193&lt;&gt;"")),"",IF($J193="Cancelled","Cancelled",IF($E193="","Amount missing",IF(OR($J193="Settled",$E193-N($F193)-N($H193)&lt;=0.005),"Realised",IF(N($H193)&gt;0,"Part realised",IF(N($F193)&gt;0,"Advance received","On hand"))))))</f>
        <v/>
      </c>
      <c r="P193" s="79" t="str">
        <f aca="false">IF(AND($V193=1,ISNUMBER($B193)),AsAt-$B193,"")</f>
        <v/>
      </c>
      <c r="Q193" s="78" t="str">
        <f aca="false">IF($V193&lt;&gt;1,"",IF($P193="","No invoice date",IF($P193&lt;=30,"0–30 days",IF($P193&lt;=60,"31–60 days",IF($P193&lt;=90,"61–90 days","Over 90 days")))))</f>
        <v/>
      </c>
      <c r="R193" s="80" t="str">
        <f aca="false">IF($V193=1,ROW(),"")</f>
        <v/>
      </c>
      <c r="S193" s="80" t="str">
        <f aca="false">IF(OR($A193&lt;&gt;"",$E193&lt;&gt;""),IF(TRIM($D193)="","Buyer not noted",TRIM($D193)),"")</f>
        <v/>
      </c>
      <c r="T193" s="80" t="n">
        <f aca="false">IF(AND($V193=1,ISNUMBER($M193)),$M193,0)</f>
        <v>0</v>
      </c>
      <c r="U193" s="80" t="str">
        <f aca="false">IF($V193=1,IF(COUNTIFS($S$7:$S193,$S193,$V$7:$V193,1)=1,SUMIFS($T$7:$T$1006,$S$7:$S$1006,$S193)-ROW()/1000000000,""),"")</f>
        <v/>
      </c>
      <c r="V193" s="80" t="n">
        <f aca="false">IF(OR($O193="On hand",$O193="Advance received",$O193="Part realised",$O193="Amount missing"),1,0)</f>
        <v>0</v>
      </c>
      <c r="W193" s="80" t="str">
        <f aca="false">IF(AND($V193=1,N($F193)&gt;0),ROW(),"")</f>
        <v/>
      </c>
      <c r="X193" s="80" t="n">
        <f aca="false">IF(AND(OR($A193&lt;&gt;"",$E193&lt;&gt;""),$O193&lt;&gt;"Cancelled",ISNUMBER($E193),N($F193)+N($H193)&gt;$E193+0.005),1,0)</f>
        <v>0</v>
      </c>
      <c r="Y193" s="80" t="n">
        <f aca="false">IF(AND(OR($A193&lt;&gt;"",$E193&lt;&gt;""),OR($A193="",$E193="")),1,0)</f>
        <v>0</v>
      </c>
      <c r="Z193" s="80" t="n">
        <f aca="false">IF(AND($A193&lt;&gt;"",COUNTIF($A$7:$A$1006,$A193)&gt;1),1,0)</f>
        <v>0</v>
      </c>
    </row>
    <row r="194" customFormat="false" ht="15" hidden="false" customHeight="false" outlineLevel="0" collapsed="false">
      <c r="A194" s="71"/>
      <c r="B194" s="72"/>
      <c r="C194" s="73"/>
      <c r="D194" s="73"/>
      <c r="E194" s="74"/>
      <c r="F194" s="74"/>
      <c r="G194" s="72"/>
      <c r="H194" s="74"/>
      <c r="I194" s="72"/>
      <c r="J194" s="73"/>
      <c r="K194" s="73"/>
      <c r="L194" s="75" t="str">
        <f aca="false">IF(OR($A194&lt;&gt;"",$E194&lt;&gt;""),N($F194)+N($H194),"")</f>
        <v/>
      </c>
      <c r="M194" s="76" t="str">
        <f aca="false">IF(OR($O194="",$O194="Cancelled",$O194="Amount missing"),"",IF($O194="Realised",0,$E194-N($F194)-N($H194)))</f>
        <v/>
      </c>
      <c r="N194" s="77" t="str">
        <f aca="false">IF(OR($M194="",FX=""),"",$M194*FX)</f>
        <v/>
      </c>
      <c r="O194" s="78" t="str">
        <f aca="false">IF(NOT(OR($A194&lt;&gt;"",$E194&lt;&gt;"")),"",IF($J194="Cancelled","Cancelled",IF($E194="","Amount missing",IF(OR($J194="Settled",$E194-N($F194)-N($H194)&lt;=0.005),"Realised",IF(N($H194)&gt;0,"Part realised",IF(N($F194)&gt;0,"Advance received","On hand"))))))</f>
        <v/>
      </c>
      <c r="P194" s="79" t="str">
        <f aca="false">IF(AND($V194=1,ISNUMBER($B194)),AsAt-$B194,"")</f>
        <v/>
      </c>
      <c r="Q194" s="78" t="str">
        <f aca="false">IF($V194&lt;&gt;1,"",IF($P194="","No invoice date",IF($P194&lt;=30,"0–30 days",IF($P194&lt;=60,"31–60 days",IF($P194&lt;=90,"61–90 days","Over 90 days")))))</f>
        <v/>
      </c>
      <c r="R194" s="80" t="str">
        <f aca="false">IF($V194=1,ROW(),"")</f>
        <v/>
      </c>
      <c r="S194" s="80" t="str">
        <f aca="false">IF(OR($A194&lt;&gt;"",$E194&lt;&gt;""),IF(TRIM($D194)="","Buyer not noted",TRIM($D194)),"")</f>
        <v/>
      </c>
      <c r="T194" s="80" t="n">
        <f aca="false">IF(AND($V194=1,ISNUMBER($M194)),$M194,0)</f>
        <v>0</v>
      </c>
      <c r="U194" s="80" t="str">
        <f aca="false">IF($V194=1,IF(COUNTIFS($S$7:$S194,$S194,$V$7:$V194,1)=1,SUMIFS($T$7:$T$1006,$S$7:$S$1006,$S194)-ROW()/1000000000,""),"")</f>
        <v/>
      </c>
      <c r="V194" s="80" t="n">
        <f aca="false">IF(OR($O194="On hand",$O194="Advance received",$O194="Part realised",$O194="Amount missing"),1,0)</f>
        <v>0</v>
      </c>
      <c r="W194" s="80" t="str">
        <f aca="false">IF(AND($V194=1,N($F194)&gt;0),ROW(),"")</f>
        <v/>
      </c>
      <c r="X194" s="80" t="n">
        <f aca="false">IF(AND(OR($A194&lt;&gt;"",$E194&lt;&gt;""),$O194&lt;&gt;"Cancelled",ISNUMBER($E194),N($F194)+N($H194)&gt;$E194+0.005),1,0)</f>
        <v>0</v>
      </c>
      <c r="Y194" s="80" t="n">
        <f aca="false">IF(AND(OR($A194&lt;&gt;"",$E194&lt;&gt;""),OR($A194="",$E194="")),1,0)</f>
        <v>0</v>
      </c>
      <c r="Z194" s="80" t="n">
        <f aca="false">IF(AND($A194&lt;&gt;"",COUNTIF($A$7:$A$1006,$A194)&gt;1),1,0)</f>
        <v>0</v>
      </c>
    </row>
    <row r="195" customFormat="false" ht="15" hidden="false" customHeight="false" outlineLevel="0" collapsed="false">
      <c r="A195" s="71"/>
      <c r="B195" s="72"/>
      <c r="C195" s="73"/>
      <c r="D195" s="73"/>
      <c r="E195" s="74"/>
      <c r="F195" s="74"/>
      <c r="G195" s="72"/>
      <c r="H195" s="74"/>
      <c r="I195" s="72"/>
      <c r="J195" s="73"/>
      <c r="K195" s="73"/>
      <c r="L195" s="75" t="str">
        <f aca="false">IF(OR($A195&lt;&gt;"",$E195&lt;&gt;""),N($F195)+N($H195),"")</f>
        <v/>
      </c>
      <c r="M195" s="76" t="str">
        <f aca="false">IF(OR($O195="",$O195="Cancelled",$O195="Amount missing"),"",IF($O195="Realised",0,$E195-N($F195)-N($H195)))</f>
        <v/>
      </c>
      <c r="N195" s="77" t="str">
        <f aca="false">IF(OR($M195="",FX=""),"",$M195*FX)</f>
        <v/>
      </c>
      <c r="O195" s="78" t="str">
        <f aca="false">IF(NOT(OR($A195&lt;&gt;"",$E195&lt;&gt;"")),"",IF($J195="Cancelled","Cancelled",IF($E195="","Amount missing",IF(OR($J195="Settled",$E195-N($F195)-N($H195)&lt;=0.005),"Realised",IF(N($H195)&gt;0,"Part realised",IF(N($F195)&gt;0,"Advance received","On hand"))))))</f>
        <v/>
      </c>
      <c r="P195" s="79" t="str">
        <f aca="false">IF(AND($V195=1,ISNUMBER($B195)),AsAt-$B195,"")</f>
        <v/>
      </c>
      <c r="Q195" s="78" t="str">
        <f aca="false">IF($V195&lt;&gt;1,"",IF($P195="","No invoice date",IF($P195&lt;=30,"0–30 days",IF($P195&lt;=60,"31–60 days",IF($P195&lt;=90,"61–90 days","Over 90 days")))))</f>
        <v/>
      </c>
      <c r="R195" s="80" t="str">
        <f aca="false">IF($V195=1,ROW(),"")</f>
        <v/>
      </c>
      <c r="S195" s="80" t="str">
        <f aca="false">IF(OR($A195&lt;&gt;"",$E195&lt;&gt;""),IF(TRIM($D195)="","Buyer not noted",TRIM($D195)),"")</f>
        <v/>
      </c>
      <c r="T195" s="80" t="n">
        <f aca="false">IF(AND($V195=1,ISNUMBER($M195)),$M195,0)</f>
        <v>0</v>
      </c>
      <c r="U195" s="80" t="str">
        <f aca="false">IF($V195=1,IF(COUNTIFS($S$7:$S195,$S195,$V$7:$V195,1)=1,SUMIFS($T$7:$T$1006,$S$7:$S$1006,$S195)-ROW()/1000000000,""),"")</f>
        <v/>
      </c>
      <c r="V195" s="80" t="n">
        <f aca="false">IF(OR($O195="On hand",$O195="Advance received",$O195="Part realised",$O195="Amount missing"),1,0)</f>
        <v>0</v>
      </c>
      <c r="W195" s="80" t="str">
        <f aca="false">IF(AND($V195=1,N($F195)&gt;0),ROW(),"")</f>
        <v/>
      </c>
      <c r="X195" s="80" t="n">
        <f aca="false">IF(AND(OR($A195&lt;&gt;"",$E195&lt;&gt;""),$O195&lt;&gt;"Cancelled",ISNUMBER($E195),N($F195)+N($H195)&gt;$E195+0.005),1,0)</f>
        <v>0</v>
      </c>
      <c r="Y195" s="80" t="n">
        <f aca="false">IF(AND(OR($A195&lt;&gt;"",$E195&lt;&gt;""),OR($A195="",$E195="")),1,0)</f>
        <v>0</v>
      </c>
      <c r="Z195" s="80" t="n">
        <f aca="false">IF(AND($A195&lt;&gt;"",COUNTIF($A$7:$A$1006,$A195)&gt;1),1,0)</f>
        <v>0</v>
      </c>
    </row>
    <row r="196" customFormat="false" ht="15" hidden="false" customHeight="false" outlineLevel="0" collapsed="false">
      <c r="A196" s="71"/>
      <c r="B196" s="72"/>
      <c r="C196" s="73"/>
      <c r="D196" s="73"/>
      <c r="E196" s="74"/>
      <c r="F196" s="74"/>
      <c r="G196" s="72"/>
      <c r="H196" s="74"/>
      <c r="I196" s="72"/>
      <c r="J196" s="73"/>
      <c r="K196" s="73"/>
      <c r="L196" s="75" t="str">
        <f aca="false">IF(OR($A196&lt;&gt;"",$E196&lt;&gt;""),N($F196)+N($H196),"")</f>
        <v/>
      </c>
      <c r="M196" s="76" t="str">
        <f aca="false">IF(OR($O196="",$O196="Cancelled",$O196="Amount missing"),"",IF($O196="Realised",0,$E196-N($F196)-N($H196)))</f>
        <v/>
      </c>
      <c r="N196" s="77" t="str">
        <f aca="false">IF(OR($M196="",FX=""),"",$M196*FX)</f>
        <v/>
      </c>
      <c r="O196" s="78" t="str">
        <f aca="false">IF(NOT(OR($A196&lt;&gt;"",$E196&lt;&gt;"")),"",IF($J196="Cancelled","Cancelled",IF($E196="","Amount missing",IF(OR($J196="Settled",$E196-N($F196)-N($H196)&lt;=0.005),"Realised",IF(N($H196)&gt;0,"Part realised",IF(N($F196)&gt;0,"Advance received","On hand"))))))</f>
        <v/>
      </c>
      <c r="P196" s="79" t="str">
        <f aca="false">IF(AND($V196=1,ISNUMBER($B196)),AsAt-$B196,"")</f>
        <v/>
      </c>
      <c r="Q196" s="78" t="str">
        <f aca="false">IF($V196&lt;&gt;1,"",IF($P196="","No invoice date",IF($P196&lt;=30,"0–30 days",IF($P196&lt;=60,"31–60 days",IF($P196&lt;=90,"61–90 days","Over 90 days")))))</f>
        <v/>
      </c>
      <c r="R196" s="80" t="str">
        <f aca="false">IF($V196=1,ROW(),"")</f>
        <v/>
      </c>
      <c r="S196" s="80" t="str">
        <f aca="false">IF(OR($A196&lt;&gt;"",$E196&lt;&gt;""),IF(TRIM($D196)="","Buyer not noted",TRIM($D196)),"")</f>
        <v/>
      </c>
      <c r="T196" s="80" t="n">
        <f aca="false">IF(AND($V196=1,ISNUMBER($M196)),$M196,0)</f>
        <v>0</v>
      </c>
      <c r="U196" s="80" t="str">
        <f aca="false">IF($V196=1,IF(COUNTIFS($S$7:$S196,$S196,$V$7:$V196,1)=1,SUMIFS($T$7:$T$1006,$S$7:$S$1006,$S196)-ROW()/1000000000,""),"")</f>
        <v/>
      </c>
      <c r="V196" s="80" t="n">
        <f aca="false">IF(OR($O196="On hand",$O196="Advance received",$O196="Part realised",$O196="Amount missing"),1,0)</f>
        <v>0</v>
      </c>
      <c r="W196" s="80" t="str">
        <f aca="false">IF(AND($V196=1,N($F196)&gt;0),ROW(),"")</f>
        <v/>
      </c>
      <c r="X196" s="80" t="n">
        <f aca="false">IF(AND(OR($A196&lt;&gt;"",$E196&lt;&gt;""),$O196&lt;&gt;"Cancelled",ISNUMBER($E196),N($F196)+N($H196)&gt;$E196+0.005),1,0)</f>
        <v>0</v>
      </c>
      <c r="Y196" s="80" t="n">
        <f aca="false">IF(AND(OR($A196&lt;&gt;"",$E196&lt;&gt;""),OR($A196="",$E196="")),1,0)</f>
        <v>0</v>
      </c>
      <c r="Z196" s="80" t="n">
        <f aca="false">IF(AND($A196&lt;&gt;"",COUNTIF($A$7:$A$1006,$A196)&gt;1),1,0)</f>
        <v>0</v>
      </c>
    </row>
    <row r="197" customFormat="false" ht="15" hidden="false" customHeight="false" outlineLevel="0" collapsed="false">
      <c r="A197" s="71"/>
      <c r="B197" s="72"/>
      <c r="C197" s="73"/>
      <c r="D197" s="73"/>
      <c r="E197" s="74"/>
      <c r="F197" s="74"/>
      <c r="G197" s="72"/>
      <c r="H197" s="74"/>
      <c r="I197" s="72"/>
      <c r="J197" s="73"/>
      <c r="K197" s="73"/>
      <c r="L197" s="75" t="str">
        <f aca="false">IF(OR($A197&lt;&gt;"",$E197&lt;&gt;""),N($F197)+N($H197),"")</f>
        <v/>
      </c>
      <c r="M197" s="76" t="str">
        <f aca="false">IF(OR($O197="",$O197="Cancelled",$O197="Amount missing"),"",IF($O197="Realised",0,$E197-N($F197)-N($H197)))</f>
        <v/>
      </c>
      <c r="N197" s="77" t="str">
        <f aca="false">IF(OR($M197="",FX=""),"",$M197*FX)</f>
        <v/>
      </c>
      <c r="O197" s="78" t="str">
        <f aca="false">IF(NOT(OR($A197&lt;&gt;"",$E197&lt;&gt;"")),"",IF($J197="Cancelled","Cancelled",IF($E197="","Amount missing",IF(OR($J197="Settled",$E197-N($F197)-N($H197)&lt;=0.005),"Realised",IF(N($H197)&gt;0,"Part realised",IF(N($F197)&gt;0,"Advance received","On hand"))))))</f>
        <v/>
      </c>
      <c r="P197" s="79" t="str">
        <f aca="false">IF(AND($V197=1,ISNUMBER($B197)),AsAt-$B197,"")</f>
        <v/>
      </c>
      <c r="Q197" s="78" t="str">
        <f aca="false">IF($V197&lt;&gt;1,"",IF($P197="","No invoice date",IF($P197&lt;=30,"0–30 days",IF($P197&lt;=60,"31–60 days",IF($P197&lt;=90,"61–90 days","Over 90 days")))))</f>
        <v/>
      </c>
      <c r="R197" s="80" t="str">
        <f aca="false">IF($V197=1,ROW(),"")</f>
        <v/>
      </c>
      <c r="S197" s="80" t="str">
        <f aca="false">IF(OR($A197&lt;&gt;"",$E197&lt;&gt;""),IF(TRIM($D197)="","Buyer not noted",TRIM($D197)),"")</f>
        <v/>
      </c>
      <c r="T197" s="80" t="n">
        <f aca="false">IF(AND($V197=1,ISNUMBER($M197)),$M197,0)</f>
        <v>0</v>
      </c>
      <c r="U197" s="80" t="str">
        <f aca="false">IF($V197=1,IF(COUNTIFS($S$7:$S197,$S197,$V$7:$V197,1)=1,SUMIFS($T$7:$T$1006,$S$7:$S$1006,$S197)-ROW()/1000000000,""),"")</f>
        <v/>
      </c>
      <c r="V197" s="80" t="n">
        <f aca="false">IF(OR($O197="On hand",$O197="Advance received",$O197="Part realised",$O197="Amount missing"),1,0)</f>
        <v>0</v>
      </c>
      <c r="W197" s="80" t="str">
        <f aca="false">IF(AND($V197=1,N($F197)&gt;0),ROW(),"")</f>
        <v/>
      </c>
      <c r="X197" s="80" t="n">
        <f aca="false">IF(AND(OR($A197&lt;&gt;"",$E197&lt;&gt;""),$O197&lt;&gt;"Cancelled",ISNUMBER($E197),N($F197)+N($H197)&gt;$E197+0.005),1,0)</f>
        <v>0</v>
      </c>
      <c r="Y197" s="80" t="n">
        <f aca="false">IF(AND(OR($A197&lt;&gt;"",$E197&lt;&gt;""),OR($A197="",$E197="")),1,0)</f>
        <v>0</v>
      </c>
      <c r="Z197" s="80" t="n">
        <f aca="false">IF(AND($A197&lt;&gt;"",COUNTIF($A$7:$A$1006,$A197)&gt;1),1,0)</f>
        <v>0</v>
      </c>
    </row>
    <row r="198" customFormat="false" ht="15" hidden="false" customHeight="false" outlineLevel="0" collapsed="false">
      <c r="A198" s="71"/>
      <c r="B198" s="72"/>
      <c r="C198" s="73"/>
      <c r="D198" s="73"/>
      <c r="E198" s="74"/>
      <c r="F198" s="74"/>
      <c r="G198" s="72"/>
      <c r="H198" s="74"/>
      <c r="I198" s="72"/>
      <c r="J198" s="73"/>
      <c r="K198" s="73"/>
      <c r="L198" s="75" t="str">
        <f aca="false">IF(OR($A198&lt;&gt;"",$E198&lt;&gt;""),N($F198)+N($H198),"")</f>
        <v/>
      </c>
      <c r="M198" s="76" t="str">
        <f aca="false">IF(OR($O198="",$O198="Cancelled",$O198="Amount missing"),"",IF($O198="Realised",0,$E198-N($F198)-N($H198)))</f>
        <v/>
      </c>
      <c r="N198" s="77" t="str">
        <f aca="false">IF(OR($M198="",FX=""),"",$M198*FX)</f>
        <v/>
      </c>
      <c r="O198" s="78" t="str">
        <f aca="false">IF(NOT(OR($A198&lt;&gt;"",$E198&lt;&gt;"")),"",IF($J198="Cancelled","Cancelled",IF($E198="","Amount missing",IF(OR($J198="Settled",$E198-N($F198)-N($H198)&lt;=0.005),"Realised",IF(N($H198)&gt;0,"Part realised",IF(N($F198)&gt;0,"Advance received","On hand"))))))</f>
        <v/>
      </c>
      <c r="P198" s="79" t="str">
        <f aca="false">IF(AND($V198=1,ISNUMBER($B198)),AsAt-$B198,"")</f>
        <v/>
      </c>
      <c r="Q198" s="78" t="str">
        <f aca="false">IF($V198&lt;&gt;1,"",IF($P198="","No invoice date",IF($P198&lt;=30,"0–30 days",IF($P198&lt;=60,"31–60 days",IF($P198&lt;=90,"61–90 days","Over 90 days")))))</f>
        <v/>
      </c>
      <c r="R198" s="80" t="str">
        <f aca="false">IF($V198=1,ROW(),"")</f>
        <v/>
      </c>
      <c r="S198" s="80" t="str">
        <f aca="false">IF(OR($A198&lt;&gt;"",$E198&lt;&gt;""),IF(TRIM($D198)="","Buyer not noted",TRIM($D198)),"")</f>
        <v/>
      </c>
      <c r="T198" s="80" t="n">
        <f aca="false">IF(AND($V198=1,ISNUMBER($M198)),$M198,0)</f>
        <v>0</v>
      </c>
      <c r="U198" s="80" t="str">
        <f aca="false">IF($V198=1,IF(COUNTIFS($S$7:$S198,$S198,$V$7:$V198,1)=1,SUMIFS($T$7:$T$1006,$S$7:$S$1006,$S198)-ROW()/1000000000,""),"")</f>
        <v/>
      </c>
      <c r="V198" s="80" t="n">
        <f aca="false">IF(OR($O198="On hand",$O198="Advance received",$O198="Part realised",$O198="Amount missing"),1,0)</f>
        <v>0</v>
      </c>
      <c r="W198" s="80" t="str">
        <f aca="false">IF(AND($V198=1,N($F198)&gt;0),ROW(),"")</f>
        <v/>
      </c>
      <c r="X198" s="80" t="n">
        <f aca="false">IF(AND(OR($A198&lt;&gt;"",$E198&lt;&gt;""),$O198&lt;&gt;"Cancelled",ISNUMBER($E198),N($F198)+N($H198)&gt;$E198+0.005),1,0)</f>
        <v>0</v>
      </c>
      <c r="Y198" s="80" t="n">
        <f aca="false">IF(AND(OR($A198&lt;&gt;"",$E198&lt;&gt;""),OR($A198="",$E198="")),1,0)</f>
        <v>0</v>
      </c>
      <c r="Z198" s="80" t="n">
        <f aca="false">IF(AND($A198&lt;&gt;"",COUNTIF($A$7:$A$1006,$A198)&gt;1),1,0)</f>
        <v>0</v>
      </c>
    </row>
    <row r="199" customFormat="false" ht="15" hidden="false" customHeight="false" outlineLevel="0" collapsed="false">
      <c r="A199" s="71"/>
      <c r="B199" s="72"/>
      <c r="C199" s="73"/>
      <c r="D199" s="73"/>
      <c r="E199" s="74"/>
      <c r="F199" s="74"/>
      <c r="G199" s="72"/>
      <c r="H199" s="74"/>
      <c r="I199" s="72"/>
      <c r="J199" s="73"/>
      <c r="K199" s="73"/>
      <c r="L199" s="75" t="str">
        <f aca="false">IF(OR($A199&lt;&gt;"",$E199&lt;&gt;""),N($F199)+N($H199),"")</f>
        <v/>
      </c>
      <c r="M199" s="76" t="str">
        <f aca="false">IF(OR($O199="",$O199="Cancelled",$O199="Amount missing"),"",IF($O199="Realised",0,$E199-N($F199)-N($H199)))</f>
        <v/>
      </c>
      <c r="N199" s="77" t="str">
        <f aca="false">IF(OR($M199="",FX=""),"",$M199*FX)</f>
        <v/>
      </c>
      <c r="O199" s="78" t="str">
        <f aca="false">IF(NOT(OR($A199&lt;&gt;"",$E199&lt;&gt;"")),"",IF($J199="Cancelled","Cancelled",IF($E199="","Amount missing",IF(OR($J199="Settled",$E199-N($F199)-N($H199)&lt;=0.005),"Realised",IF(N($H199)&gt;0,"Part realised",IF(N($F199)&gt;0,"Advance received","On hand"))))))</f>
        <v/>
      </c>
      <c r="P199" s="79" t="str">
        <f aca="false">IF(AND($V199=1,ISNUMBER($B199)),AsAt-$B199,"")</f>
        <v/>
      </c>
      <c r="Q199" s="78" t="str">
        <f aca="false">IF($V199&lt;&gt;1,"",IF($P199="","No invoice date",IF($P199&lt;=30,"0–30 days",IF($P199&lt;=60,"31–60 days",IF($P199&lt;=90,"61–90 days","Over 90 days")))))</f>
        <v/>
      </c>
      <c r="R199" s="80" t="str">
        <f aca="false">IF($V199=1,ROW(),"")</f>
        <v/>
      </c>
      <c r="S199" s="80" t="str">
        <f aca="false">IF(OR($A199&lt;&gt;"",$E199&lt;&gt;""),IF(TRIM($D199)="","Buyer not noted",TRIM($D199)),"")</f>
        <v/>
      </c>
      <c r="T199" s="80" t="n">
        <f aca="false">IF(AND($V199=1,ISNUMBER($M199)),$M199,0)</f>
        <v>0</v>
      </c>
      <c r="U199" s="80" t="str">
        <f aca="false">IF($V199=1,IF(COUNTIFS($S$7:$S199,$S199,$V$7:$V199,1)=1,SUMIFS($T$7:$T$1006,$S$7:$S$1006,$S199)-ROW()/1000000000,""),"")</f>
        <v/>
      </c>
      <c r="V199" s="80" t="n">
        <f aca="false">IF(OR($O199="On hand",$O199="Advance received",$O199="Part realised",$O199="Amount missing"),1,0)</f>
        <v>0</v>
      </c>
      <c r="W199" s="80" t="str">
        <f aca="false">IF(AND($V199=1,N($F199)&gt;0),ROW(),"")</f>
        <v/>
      </c>
      <c r="X199" s="80" t="n">
        <f aca="false">IF(AND(OR($A199&lt;&gt;"",$E199&lt;&gt;""),$O199&lt;&gt;"Cancelled",ISNUMBER($E199),N($F199)+N($H199)&gt;$E199+0.005),1,0)</f>
        <v>0</v>
      </c>
      <c r="Y199" s="80" t="n">
        <f aca="false">IF(AND(OR($A199&lt;&gt;"",$E199&lt;&gt;""),OR($A199="",$E199="")),1,0)</f>
        <v>0</v>
      </c>
      <c r="Z199" s="80" t="n">
        <f aca="false">IF(AND($A199&lt;&gt;"",COUNTIF($A$7:$A$1006,$A199)&gt;1),1,0)</f>
        <v>0</v>
      </c>
    </row>
    <row r="200" customFormat="false" ht="15" hidden="false" customHeight="false" outlineLevel="0" collapsed="false">
      <c r="A200" s="71"/>
      <c r="B200" s="72"/>
      <c r="C200" s="73"/>
      <c r="D200" s="73"/>
      <c r="E200" s="74"/>
      <c r="F200" s="74"/>
      <c r="G200" s="72"/>
      <c r="H200" s="74"/>
      <c r="I200" s="72"/>
      <c r="J200" s="73"/>
      <c r="K200" s="73"/>
      <c r="L200" s="75" t="str">
        <f aca="false">IF(OR($A200&lt;&gt;"",$E200&lt;&gt;""),N($F200)+N($H200),"")</f>
        <v/>
      </c>
      <c r="M200" s="76" t="str">
        <f aca="false">IF(OR($O200="",$O200="Cancelled",$O200="Amount missing"),"",IF($O200="Realised",0,$E200-N($F200)-N($H200)))</f>
        <v/>
      </c>
      <c r="N200" s="77" t="str">
        <f aca="false">IF(OR($M200="",FX=""),"",$M200*FX)</f>
        <v/>
      </c>
      <c r="O200" s="78" t="str">
        <f aca="false">IF(NOT(OR($A200&lt;&gt;"",$E200&lt;&gt;"")),"",IF($J200="Cancelled","Cancelled",IF($E200="","Amount missing",IF(OR($J200="Settled",$E200-N($F200)-N($H200)&lt;=0.005),"Realised",IF(N($H200)&gt;0,"Part realised",IF(N($F200)&gt;0,"Advance received","On hand"))))))</f>
        <v/>
      </c>
      <c r="P200" s="79" t="str">
        <f aca="false">IF(AND($V200=1,ISNUMBER($B200)),AsAt-$B200,"")</f>
        <v/>
      </c>
      <c r="Q200" s="78" t="str">
        <f aca="false">IF($V200&lt;&gt;1,"",IF($P200="","No invoice date",IF($P200&lt;=30,"0–30 days",IF($P200&lt;=60,"31–60 days",IF($P200&lt;=90,"61–90 days","Over 90 days")))))</f>
        <v/>
      </c>
      <c r="R200" s="80" t="str">
        <f aca="false">IF($V200=1,ROW(),"")</f>
        <v/>
      </c>
      <c r="S200" s="80" t="str">
        <f aca="false">IF(OR($A200&lt;&gt;"",$E200&lt;&gt;""),IF(TRIM($D200)="","Buyer not noted",TRIM($D200)),"")</f>
        <v/>
      </c>
      <c r="T200" s="80" t="n">
        <f aca="false">IF(AND($V200=1,ISNUMBER($M200)),$M200,0)</f>
        <v>0</v>
      </c>
      <c r="U200" s="80" t="str">
        <f aca="false">IF($V200=1,IF(COUNTIFS($S$7:$S200,$S200,$V$7:$V200,1)=1,SUMIFS($T$7:$T$1006,$S$7:$S$1006,$S200)-ROW()/1000000000,""),"")</f>
        <v/>
      </c>
      <c r="V200" s="80" t="n">
        <f aca="false">IF(OR($O200="On hand",$O200="Advance received",$O200="Part realised",$O200="Amount missing"),1,0)</f>
        <v>0</v>
      </c>
      <c r="W200" s="80" t="str">
        <f aca="false">IF(AND($V200=1,N($F200)&gt;0),ROW(),"")</f>
        <v/>
      </c>
      <c r="X200" s="80" t="n">
        <f aca="false">IF(AND(OR($A200&lt;&gt;"",$E200&lt;&gt;""),$O200&lt;&gt;"Cancelled",ISNUMBER($E200),N($F200)+N($H200)&gt;$E200+0.005),1,0)</f>
        <v>0</v>
      </c>
      <c r="Y200" s="80" t="n">
        <f aca="false">IF(AND(OR($A200&lt;&gt;"",$E200&lt;&gt;""),OR($A200="",$E200="")),1,0)</f>
        <v>0</v>
      </c>
      <c r="Z200" s="80" t="n">
        <f aca="false">IF(AND($A200&lt;&gt;"",COUNTIF($A$7:$A$1006,$A200)&gt;1),1,0)</f>
        <v>0</v>
      </c>
    </row>
    <row r="201" customFormat="false" ht="15" hidden="false" customHeight="false" outlineLevel="0" collapsed="false">
      <c r="A201" s="71"/>
      <c r="B201" s="72"/>
      <c r="C201" s="73"/>
      <c r="D201" s="73"/>
      <c r="E201" s="74"/>
      <c r="F201" s="74"/>
      <c r="G201" s="72"/>
      <c r="H201" s="74"/>
      <c r="I201" s="72"/>
      <c r="J201" s="73"/>
      <c r="K201" s="73"/>
      <c r="L201" s="75" t="str">
        <f aca="false">IF(OR($A201&lt;&gt;"",$E201&lt;&gt;""),N($F201)+N($H201),"")</f>
        <v/>
      </c>
      <c r="M201" s="76" t="str">
        <f aca="false">IF(OR($O201="",$O201="Cancelled",$O201="Amount missing"),"",IF($O201="Realised",0,$E201-N($F201)-N($H201)))</f>
        <v/>
      </c>
      <c r="N201" s="77" t="str">
        <f aca="false">IF(OR($M201="",FX=""),"",$M201*FX)</f>
        <v/>
      </c>
      <c r="O201" s="78" t="str">
        <f aca="false">IF(NOT(OR($A201&lt;&gt;"",$E201&lt;&gt;"")),"",IF($J201="Cancelled","Cancelled",IF($E201="","Amount missing",IF(OR($J201="Settled",$E201-N($F201)-N($H201)&lt;=0.005),"Realised",IF(N($H201)&gt;0,"Part realised",IF(N($F201)&gt;0,"Advance received","On hand"))))))</f>
        <v/>
      </c>
      <c r="P201" s="79" t="str">
        <f aca="false">IF(AND($V201=1,ISNUMBER($B201)),AsAt-$B201,"")</f>
        <v/>
      </c>
      <c r="Q201" s="78" t="str">
        <f aca="false">IF($V201&lt;&gt;1,"",IF($P201="","No invoice date",IF($P201&lt;=30,"0–30 days",IF($P201&lt;=60,"31–60 days",IF($P201&lt;=90,"61–90 days","Over 90 days")))))</f>
        <v/>
      </c>
      <c r="R201" s="80" t="str">
        <f aca="false">IF($V201=1,ROW(),"")</f>
        <v/>
      </c>
      <c r="S201" s="80" t="str">
        <f aca="false">IF(OR($A201&lt;&gt;"",$E201&lt;&gt;""),IF(TRIM($D201)="","Buyer not noted",TRIM($D201)),"")</f>
        <v/>
      </c>
      <c r="T201" s="80" t="n">
        <f aca="false">IF(AND($V201=1,ISNUMBER($M201)),$M201,0)</f>
        <v>0</v>
      </c>
      <c r="U201" s="80" t="str">
        <f aca="false">IF($V201=1,IF(COUNTIFS($S$7:$S201,$S201,$V$7:$V201,1)=1,SUMIFS($T$7:$T$1006,$S$7:$S$1006,$S201)-ROW()/1000000000,""),"")</f>
        <v/>
      </c>
      <c r="V201" s="80" t="n">
        <f aca="false">IF(OR($O201="On hand",$O201="Advance received",$O201="Part realised",$O201="Amount missing"),1,0)</f>
        <v>0</v>
      </c>
      <c r="W201" s="80" t="str">
        <f aca="false">IF(AND($V201=1,N($F201)&gt;0),ROW(),"")</f>
        <v/>
      </c>
      <c r="X201" s="80" t="n">
        <f aca="false">IF(AND(OR($A201&lt;&gt;"",$E201&lt;&gt;""),$O201&lt;&gt;"Cancelled",ISNUMBER($E201),N($F201)+N($H201)&gt;$E201+0.005),1,0)</f>
        <v>0</v>
      </c>
      <c r="Y201" s="80" t="n">
        <f aca="false">IF(AND(OR($A201&lt;&gt;"",$E201&lt;&gt;""),OR($A201="",$E201="")),1,0)</f>
        <v>0</v>
      </c>
      <c r="Z201" s="80" t="n">
        <f aca="false">IF(AND($A201&lt;&gt;"",COUNTIF($A$7:$A$1006,$A201)&gt;1),1,0)</f>
        <v>0</v>
      </c>
    </row>
    <row r="202" customFormat="false" ht="15" hidden="false" customHeight="false" outlineLevel="0" collapsed="false">
      <c r="A202" s="71"/>
      <c r="B202" s="72"/>
      <c r="C202" s="73"/>
      <c r="D202" s="73"/>
      <c r="E202" s="74"/>
      <c r="F202" s="74"/>
      <c r="G202" s="72"/>
      <c r="H202" s="74"/>
      <c r="I202" s="72"/>
      <c r="J202" s="73"/>
      <c r="K202" s="73"/>
      <c r="L202" s="75" t="str">
        <f aca="false">IF(OR($A202&lt;&gt;"",$E202&lt;&gt;""),N($F202)+N($H202),"")</f>
        <v/>
      </c>
      <c r="M202" s="76" t="str">
        <f aca="false">IF(OR($O202="",$O202="Cancelled",$O202="Amount missing"),"",IF($O202="Realised",0,$E202-N($F202)-N($H202)))</f>
        <v/>
      </c>
      <c r="N202" s="77" t="str">
        <f aca="false">IF(OR($M202="",FX=""),"",$M202*FX)</f>
        <v/>
      </c>
      <c r="O202" s="78" t="str">
        <f aca="false">IF(NOT(OR($A202&lt;&gt;"",$E202&lt;&gt;"")),"",IF($J202="Cancelled","Cancelled",IF($E202="","Amount missing",IF(OR($J202="Settled",$E202-N($F202)-N($H202)&lt;=0.005),"Realised",IF(N($H202)&gt;0,"Part realised",IF(N($F202)&gt;0,"Advance received","On hand"))))))</f>
        <v/>
      </c>
      <c r="P202" s="79" t="str">
        <f aca="false">IF(AND($V202=1,ISNUMBER($B202)),AsAt-$B202,"")</f>
        <v/>
      </c>
      <c r="Q202" s="78" t="str">
        <f aca="false">IF($V202&lt;&gt;1,"",IF($P202="","No invoice date",IF($P202&lt;=30,"0–30 days",IF($P202&lt;=60,"31–60 days",IF($P202&lt;=90,"61–90 days","Over 90 days")))))</f>
        <v/>
      </c>
      <c r="R202" s="80" t="str">
        <f aca="false">IF($V202=1,ROW(),"")</f>
        <v/>
      </c>
      <c r="S202" s="80" t="str">
        <f aca="false">IF(OR($A202&lt;&gt;"",$E202&lt;&gt;""),IF(TRIM($D202)="","Buyer not noted",TRIM($D202)),"")</f>
        <v/>
      </c>
      <c r="T202" s="80" t="n">
        <f aca="false">IF(AND($V202=1,ISNUMBER($M202)),$M202,0)</f>
        <v>0</v>
      </c>
      <c r="U202" s="80" t="str">
        <f aca="false">IF($V202=1,IF(COUNTIFS($S$7:$S202,$S202,$V$7:$V202,1)=1,SUMIFS($T$7:$T$1006,$S$7:$S$1006,$S202)-ROW()/1000000000,""),"")</f>
        <v/>
      </c>
      <c r="V202" s="80" t="n">
        <f aca="false">IF(OR($O202="On hand",$O202="Advance received",$O202="Part realised",$O202="Amount missing"),1,0)</f>
        <v>0</v>
      </c>
      <c r="W202" s="80" t="str">
        <f aca="false">IF(AND($V202=1,N($F202)&gt;0),ROW(),"")</f>
        <v/>
      </c>
      <c r="X202" s="80" t="n">
        <f aca="false">IF(AND(OR($A202&lt;&gt;"",$E202&lt;&gt;""),$O202&lt;&gt;"Cancelled",ISNUMBER($E202),N($F202)+N($H202)&gt;$E202+0.005),1,0)</f>
        <v>0</v>
      </c>
      <c r="Y202" s="80" t="n">
        <f aca="false">IF(AND(OR($A202&lt;&gt;"",$E202&lt;&gt;""),OR($A202="",$E202="")),1,0)</f>
        <v>0</v>
      </c>
      <c r="Z202" s="80" t="n">
        <f aca="false">IF(AND($A202&lt;&gt;"",COUNTIF($A$7:$A$1006,$A202)&gt;1),1,0)</f>
        <v>0</v>
      </c>
    </row>
    <row r="203" customFormat="false" ht="15" hidden="false" customHeight="false" outlineLevel="0" collapsed="false">
      <c r="A203" s="71"/>
      <c r="B203" s="72"/>
      <c r="C203" s="73"/>
      <c r="D203" s="73"/>
      <c r="E203" s="74"/>
      <c r="F203" s="74"/>
      <c r="G203" s="72"/>
      <c r="H203" s="74"/>
      <c r="I203" s="72"/>
      <c r="J203" s="73"/>
      <c r="K203" s="73"/>
      <c r="L203" s="75" t="str">
        <f aca="false">IF(OR($A203&lt;&gt;"",$E203&lt;&gt;""),N($F203)+N($H203),"")</f>
        <v/>
      </c>
      <c r="M203" s="76" t="str">
        <f aca="false">IF(OR($O203="",$O203="Cancelled",$O203="Amount missing"),"",IF($O203="Realised",0,$E203-N($F203)-N($H203)))</f>
        <v/>
      </c>
      <c r="N203" s="77" t="str">
        <f aca="false">IF(OR($M203="",FX=""),"",$M203*FX)</f>
        <v/>
      </c>
      <c r="O203" s="78" t="str">
        <f aca="false">IF(NOT(OR($A203&lt;&gt;"",$E203&lt;&gt;"")),"",IF($J203="Cancelled","Cancelled",IF($E203="","Amount missing",IF(OR($J203="Settled",$E203-N($F203)-N($H203)&lt;=0.005),"Realised",IF(N($H203)&gt;0,"Part realised",IF(N($F203)&gt;0,"Advance received","On hand"))))))</f>
        <v/>
      </c>
      <c r="P203" s="79" t="str">
        <f aca="false">IF(AND($V203=1,ISNUMBER($B203)),AsAt-$B203,"")</f>
        <v/>
      </c>
      <c r="Q203" s="78" t="str">
        <f aca="false">IF($V203&lt;&gt;1,"",IF($P203="","No invoice date",IF($P203&lt;=30,"0–30 days",IF($P203&lt;=60,"31–60 days",IF($P203&lt;=90,"61–90 days","Over 90 days")))))</f>
        <v/>
      </c>
      <c r="R203" s="80" t="str">
        <f aca="false">IF($V203=1,ROW(),"")</f>
        <v/>
      </c>
      <c r="S203" s="80" t="str">
        <f aca="false">IF(OR($A203&lt;&gt;"",$E203&lt;&gt;""),IF(TRIM($D203)="","Buyer not noted",TRIM($D203)),"")</f>
        <v/>
      </c>
      <c r="T203" s="80" t="n">
        <f aca="false">IF(AND($V203=1,ISNUMBER($M203)),$M203,0)</f>
        <v>0</v>
      </c>
      <c r="U203" s="80" t="str">
        <f aca="false">IF($V203=1,IF(COUNTIFS($S$7:$S203,$S203,$V$7:$V203,1)=1,SUMIFS($T$7:$T$1006,$S$7:$S$1006,$S203)-ROW()/1000000000,""),"")</f>
        <v/>
      </c>
      <c r="V203" s="80" t="n">
        <f aca="false">IF(OR($O203="On hand",$O203="Advance received",$O203="Part realised",$O203="Amount missing"),1,0)</f>
        <v>0</v>
      </c>
      <c r="W203" s="80" t="str">
        <f aca="false">IF(AND($V203=1,N($F203)&gt;0),ROW(),"")</f>
        <v/>
      </c>
      <c r="X203" s="80" t="n">
        <f aca="false">IF(AND(OR($A203&lt;&gt;"",$E203&lt;&gt;""),$O203&lt;&gt;"Cancelled",ISNUMBER($E203),N($F203)+N($H203)&gt;$E203+0.005),1,0)</f>
        <v>0</v>
      </c>
      <c r="Y203" s="80" t="n">
        <f aca="false">IF(AND(OR($A203&lt;&gt;"",$E203&lt;&gt;""),OR($A203="",$E203="")),1,0)</f>
        <v>0</v>
      </c>
      <c r="Z203" s="80" t="n">
        <f aca="false">IF(AND($A203&lt;&gt;"",COUNTIF($A$7:$A$1006,$A203)&gt;1),1,0)</f>
        <v>0</v>
      </c>
    </row>
    <row r="204" customFormat="false" ht="15" hidden="false" customHeight="false" outlineLevel="0" collapsed="false">
      <c r="A204" s="71"/>
      <c r="B204" s="72"/>
      <c r="C204" s="73"/>
      <c r="D204" s="73"/>
      <c r="E204" s="74"/>
      <c r="F204" s="74"/>
      <c r="G204" s="72"/>
      <c r="H204" s="74"/>
      <c r="I204" s="72"/>
      <c r="J204" s="73"/>
      <c r="K204" s="73"/>
      <c r="L204" s="75" t="str">
        <f aca="false">IF(OR($A204&lt;&gt;"",$E204&lt;&gt;""),N($F204)+N($H204),"")</f>
        <v/>
      </c>
      <c r="M204" s="76" t="str">
        <f aca="false">IF(OR($O204="",$O204="Cancelled",$O204="Amount missing"),"",IF($O204="Realised",0,$E204-N($F204)-N($H204)))</f>
        <v/>
      </c>
      <c r="N204" s="77" t="str">
        <f aca="false">IF(OR($M204="",FX=""),"",$M204*FX)</f>
        <v/>
      </c>
      <c r="O204" s="78" t="str">
        <f aca="false">IF(NOT(OR($A204&lt;&gt;"",$E204&lt;&gt;"")),"",IF($J204="Cancelled","Cancelled",IF($E204="","Amount missing",IF(OR($J204="Settled",$E204-N($F204)-N($H204)&lt;=0.005),"Realised",IF(N($H204)&gt;0,"Part realised",IF(N($F204)&gt;0,"Advance received","On hand"))))))</f>
        <v/>
      </c>
      <c r="P204" s="79" t="str">
        <f aca="false">IF(AND($V204=1,ISNUMBER($B204)),AsAt-$B204,"")</f>
        <v/>
      </c>
      <c r="Q204" s="78" t="str">
        <f aca="false">IF($V204&lt;&gt;1,"",IF($P204="","No invoice date",IF($P204&lt;=30,"0–30 days",IF($P204&lt;=60,"31–60 days",IF($P204&lt;=90,"61–90 days","Over 90 days")))))</f>
        <v/>
      </c>
      <c r="R204" s="80" t="str">
        <f aca="false">IF($V204=1,ROW(),"")</f>
        <v/>
      </c>
      <c r="S204" s="80" t="str">
        <f aca="false">IF(OR($A204&lt;&gt;"",$E204&lt;&gt;""),IF(TRIM($D204)="","Buyer not noted",TRIM($D204)),"")</f>
        <v/>
      </c>
      <c r="T204" s="80" t="n">
        <f aca="false">IF(AND($V204=1,ISNUMBER($M204)),$M204,0)</f>
        <v>0</v>
      </c>
      <c r="U204" s="80" t="str">
        <f aca="false">IF($V204=1,IF(COUNTIFS($S$7:$S204,$S204,$V$7:$V204,1)=1,SUMIFS($T$7:$T$1006,$S$7:$S$1006,$S204)-ROW()/1000000000,""),"")</f>
        <v/>
      </c>
      <c r="V204" s="80" t="n">
        <f aca="false">IF(OR($O204="On hand",$O204="Advance received",$O204="Part realised",$O204="Amount missing"),1,0)</f>
        <v>0</v>
      </c>
      <c r="W204" s="80" t="str">
        <f aca="false">IF(AND($V204=1,N($F204)&gt;0),ROW(),"")</f>
        <v/>
      </c>
      <c r="X204" s="80" t="n">
        <f aca="false">IF(AND(OR($A204&lt;&gt;"",$E204&lt;&gt;""),$O204&lt;&gt;"Cancelled",ISNUMBER($E204),N($F204)+N($H204)&gt;$E204+0.005),1,0)</f>
        <v>0</v>
      </c>
      <c r="Y204" s="80" t="n">
        <f aca="false">IF(AND(OR($A204&lt;&gt;"",$E204&lt;&gt;""),OR($A204="",$E204="")),1,0)</f>
        <v>0</v>
      </c>
      <c r="Z204" s="80" t="n">
        <f aca="false">IF(AND($A204&lt;&gt;"",COUNTIF($A$7:$A$1006,$A204)&gt;1),1,0)</f>
        <v>0</v>
      </c>
    </row>
    <row r="205" customFormat="false" ht="15" hidden="false" customHeight="false" outlineLevel="0" collapsed="false">
      <c r="A205" s="71"/>
      <c r="B205" s="72"/>
      <c r="C205" s="73"/>
      <c r="D205" s="73"/>
      <c r="E205" s="74"/>
      <c r="F205" s="74"/>
      <c r="G205" s="72"/>
      <c r="H205" s="74"/>
      <c r="I205" s="72"/>
      <c r="J205" s="73"/>
      <c r="K205" s="73"/>
      <c r="L205" s="75" t="str">
        <f aca="false">IF(OR($A205&lt;&gt;"",$E205&lt;&gt;""),N($F205)+N($H205),"")</f>
        <v/>
      </c>
      <c r="M205" s="76" t="str">
        <f aca="false">IF(OR($O205="",$O205="Cancelled",$O205="Amount missing"),"",IF($O205="Realised",0,$E205-N($F205)-N($H205)))</f>
        <v/>
      </c>
      <c r="N205" s="77" t="str">
        <f aca="false">IF(OR($M205="",FX=""),"",$M205*FX)</f>
        <v/>
      </c>
      <c r="O205" s="78" t="str">
        <f aca="false">IF(NOT(OR($A205&lt;&gt;"",$E205&lt;&gt;"")),"",IF($J205="Cancelled","Cancelled",IF($E205="","Amount missing",IF(OR($J205="Settled",$E205-N($F205)-N($H205)&lt;=0.005),"Realised",IF(N($H205)&gt;0,"Part realised",IF(N($F205)&gt;0,"Advance received","On hand"))))))</f>
        <v/>
      </c>
      <c r="P205" s="79" t="str">
        <f aca="false">IF(AND($V205=1,ISNUMBER($B205)),AsAt-$B205,"")</f>
        <v/>
      </c>
      <c r="Q205" s="78" t="str">
        <f aca="false">IF($V205&lt;&gt;1,"",IF($P205="","No invoice date",IF($P205&lt;=30,"0–30 days",IF($P205&lt;=60,"31–60 days",IF($P205&lt;=90,"61–90 days","Over 90 days")))))</f>
        <v/>
      </c>
      <c r="R205" s="80" t="str">
        <f aca="false">IF($V205=1,ROW(),"")</f>
        <v/>
      </c>
      <c r="S205" s="80" t="str">
        <f aca="false">IF(OR($A205&lt;&gt;"",$E205&lt;&gt;""),IF(TRIM($D205)="","Buyer not noted",TRIM($D205)),"")</f>
        <v/>
      </c>
      <c r="T205" s="80" t="n">
        <f aca="false">IF(AND($V205=1,ISNUMBER($M205)),$M205,0)</f>
        <v>0</v>
      </c>
      <c r="U205" s="80" t="str">
        <f aca="false">IF($V205=1,IF(COUNTIFS($S$7:$S205,$S205,$V$7:$V205,1)=1,SUMIFS($T$7:$T$1006,$S$7:$S$1006,$S205)-ROW()/1000000000,""),"")</f>
        <v/>
      </c>
      <c r="V205" s="80" t="n">
        <f aca="false">IF(OR($O205="On hand",$O205="Advance received",$O205="Part realised",$O205="Amount missing"),1,0)</f>
        <v>0</v>
      </c>
      <c r="W205" s="80" t="str">
        <f aca="false">IF(AND($V205=1,N($F205)&gt;0),ROW(),"")</f>
        <v/>
      </c>
      <c r="X205" s="80" t="n">
        <f aca="false">IF(AND(OR($A205&lt;&gt;"",$E205&lt;&gt;""),$O205&lt;&gt;"Cancelled",ISNUMBER($E205),N($F205)+N($H205)&gt;$E205+0.005),1,0)</f>
        <v>0</v>
      </c>
      <c r="Y205" s="80" t="n">
        <f aca="false">IF(AND(OR($A205&lt;&gt;"",$E205&lt;&gt;""),OR($A205="",$E205="")),1,0)</f>
        <v>0</v>
      </c>
      <c r="Z205" s="80" t="n">
        <f aca="false">IF(AND($A205&lt;&gt;"",COUNTIF($A$7:$A$1006,$A205)&gt;1),1,0)</f>
        <v>0</v>
      </c>
    </row>
    <row r="206" customFormat="false" ht="15" hidden="false" customHeight="false" outlineLevel="0" collapsed="false">
      <c r="A206" s="71"/>
      <c r="B206" s="72"/>
      <c r="C206" s="73"/>
      <c r="D206" s="73"/>
      <c r="E206" s="74"/>
      <c r="F206" s="74"/>
      <c r="G206" s="72"/>
      <c r="H206" s="74"/>
      <c r="I206" s="72"/>
      <c r="J206" s="73"/>
      <c r="K206" s="73"/>
      <c r="L206" s="75" t="str">
        <f aca="false">IF(OR($A206&lt;&gt;"",$E206&lt;&gt;""),N($F206)+N($H206),"")</f>
        <v/>
      </c>
      <c r="M206" s="76" t="str">
        <f aca="false">IF(OR($O206="",$O206="Cancelled",$O206="Amount missing"),"",IF($O206="Realised",0,$E206-N($F206)-N($H206)))</f>
        <v/>
      </c>
      <c r="N206" s="77" t="str">
        <f aca="false">IF(OR($M206="",FX=""),"",$M206*FX)</f>
        <v/>
      </c>
      <c r="O206" s="78" t="str">
        <f aca="false">IF(NOT(OR($A206&lt;&gt;"",$E206&lt;&gt;"")),"",IF($J206="Cancelled","Cancelled",IF($E206="","Amount missing",IF(OR($J206="Settled",$E206-N($F206)-N($H206)&lt;=0.005),"Realised",IF(N($H206)&gt;0,"Part realised",IF(N($F206)&gt;0,"Advance received","On hand"))))))</f>
        <v/>
      </c>
      <c r="P206" s="79" t="str">
        <f aca="false">IF(AND($V206=1,ISNUMBER($B206)),AsAt-$B206,"")</f>
        <v/>
      </c>
      <c r="Q206" s="78" t="str">
        <f aca="false">IF($V206&lt;&gt;1,"",IF($P206="","No invoice date",IF($P206&lt;=30,"0–30 days",IF($P206&lt;=60,"31–60 days",IF($P206&lt;=90,"61–90 days","Over 90 days")))))</f>
        <v/>
      </c>
      <c r="R206" s="80" t="str">
        <f aca="false">IF($V206=1,ROW(),"")</f>
        <v/>
      </c>
      <c r="S206" s="80" t="str">
        <f aca="false">IF(OR($A206&lt;&gt;"",$E206&lt;&gt;""),IF(TRIM($D206)="","Buyer not noted",TRIM($D206)),"")</f>
        <v/>
      </c>
      <c r="T206" s="80" t="n">
        <f aca="false">IF(AND($V206=1,ISNUMBER($M206)),$M206,0)</f>
        <v>0</v>
      </c>
      <c r="U206" s="80" t="str">
        <f aca="false">IF($V206=1,IF(COUNTIFS($S$7:$S206,$S206,$V$7:$V206,1)=1,SUMIFS($T$7:$T$1006,$S$7:$S$1006,$S206)-ROW()/1000000000,""),"")</f>
        <v/>
      </c>
      <c r="V206" s="80" t="n">
        <f aca="false">IF(OR($O206="On hand",$O206="Advance received",$O206="Part realised",$O206="Amount missing"),1,0)</f>
        <v>0</v>
      </c>
      <c r="W206" s="80" t="str">
        <f aca="false">IF(AND($V206=1,N($F206)&gt;0),ROW(),"")</f>
        <v/>
      </c>
      <c r="X206" s="80" t="n">
        <f aca="false">IF(AND(OR($A206&lt;&gt;"",$E206&lt;&gt;""),$O206&lt;&gt;"Cancelled",ISNUMBER($E206),N($F206)+N($H206)&gt;$E206+0.005),1,0)</f>
        <v>0</v>
      </c>
      <c r="Y206" s="80" t="n">
        <f aca="false">IF(AND(OR($A206&lt;&gt;"",$E206&lt;&gt;""),OR($A206="",$E206="")),1,0)</f>
        <v>0</v>
      </c>
      <c r="Z206" s="80" t="n">
        <f aca="false">IF(AND($A206&lt;&gt;"",COUNTIF($A$7:$A$1006,$A206)&gt;1),1,0)</f>
        <v>0</v>
      </c>
    </row>
    <row r="207" customFormat="false" ht="15" hidden="false" customHeight="false" outlineLevel="0" collapsed="false">
      <c r="A207" s="71"/>
      <c r="B207" s="72"/>
      <c r="C207" s="73"/>
      <c r="D207" s="73"/>
      <c r="E207" s="74"/>
      <c r="F207" s="74"/>
      <c r="G207" s="72"/>
      <c r="H207" s="74"/>
      <c r="I207" s="72"/>
      <c r="J207" s="73"/>
      <c r="K207" s="73"/>
      <c r="L207" s="75" t="str">
        <f aca="false">IF(OR($A207&lt;&gt;"",$E207&lt;&gt;""),N($F207)+N($H207),"")</f>
        <v/>
      </c>
      <c r="M207" s="76" t="str">
        <f aca="false">IF(OR($O207="",$O207="Cancelled",$O207="Amount missing"),"",IF($O207="Realised",0,$E207-N($F207)-N($H207)))</f>
        <v/>
      </c>
      <c r="N207" s="77" t="str">
        <f aca="false">IF(OR($M207="",FX=""),"",$M207*FX)</f>
        <v/>
      </c>
      <c r="O207" s="78" t="str">
        <f aca="false">IF(NOT(OR($A207&lt;&gt;"",$E207&lt;&gt;"")),"",IF($J207="Cancelled","Cancelled",IF($E207="","Amount missing",IF(OR($J207="Settled",$E207-N($F207)-N($H207)&lt;=0.005),"Realised",IF(N($H207)&gt;0,"Part realised",IF(N($F207)&gt;0,"Advance received","On hand"))))))</f>
        <v/>
      </c>
      <c r="P207" s="79" t="str">
        <f aca="false">IF(AND($V207=1,ISNUMBER($B207)),AsAt-$B207,"")</f>
        <v/>
      </c>
      <c r="Q207" s="78" t="str">
        <f aca="false">IF($V207&lt;&gt;1,"",IF($P207="","No invoice date",IF($P207&lt;=30,"0–30 days",IF($P207&lt;=60,"31–60 days",IF($P207&lt;=90,"61–90 days","Over 90 days")))))</f>
        <v/>
      </c>
      <c r="R207" s="80" t="str">
        <f aca="false">IF($V207=1,ROW(),"")</f>
        <v/>
      </c>
      <c r="S207" s="80" t="str">
        <f aca="false">IF(OR($A207&lt;&gt;"",$E207&lt;&gt;""),IF(TRIM($D207)="","Buyer not noted",TRIM($D207)),"")</f>
        <v/>
      </c>
      <c r="T207" s="80" t="n">
        <f aca="false">IF(AND($V207=1,ISNUMBER($M207)),$M207,0)</f>
        <v>0</v>
      </c>
      <c r="U207" s="80" t="str">
        <f aca="false">IF($V207=1,IF(COUNTIFS($S$7:$S207,$S207,$V$7:$V207,1)=1,SUMIFS($T$7:$T$1006,$S$7:$S$1006,$S207)-ROW()/1000000000,""),"")</f>
        <v/>
      </c>
      <c r="V207" s="80" t="n">
        <f aca="false">IF(OR($O207="On hand",$O207="Advance received",$O207="Part realised",$O207="Amount missing"),1,0)</f>
        <v>0</v>
      </c>
      <c r="W207" s="80" t="str">
        <f aca="false">IF(AND($V207=1,N($F207)&gt;0),ROW(),"")</f>
        <v/>
      </c>
      <c r="X207" s="80" t="n">
        <f aca="false">IF(AND(OR($A207&lt;&gt;"",$E207&lt;&gt;""),$O207&lt;&gt;"Cancelled",ISNUMBER($E207),N($F207)+N($H207)&gt;$E207+0.005),1,0)</f>
        <v>0</v>
      </c>
      <c r="Y207" s="80" t="n">
        <f aca="false">IF(AND(OR($A207&lt;&gt;"",$E207&lt;&gt;""),OR($A207="",$E207="")),1,0)</f>
        <v>0</v>
      </c>
      <c r="Z207" s="80" t="n">
        <f aca="false">IF(AND($A207&lt;&gt;"",COUNTIF($A$7:$A$1006,$A207)&gt;1),1,0)</f>
        <v>0</v>
      </c>
    </row>
    <row r="208" customFormat="false" ht="15" hidden="false" customHeight="false" outlineLevel="0" collapsed="false">
      <c r="A208" s="71"/>
      <c r="B208" s="72"/>
      <c r="C208" s="73"/>
      <c r="D208" s="73"/>
      <c r="E208" s="74"/>
      <c r="F208" s="74"/>
      <c r="G208" s="72"/>
      <c r="H208" s="74"/>
      <c r="I208" s="72"/>
      <c r="J208" s="73"/>
      <c r="K208" s="73"/>
      <c r="L208" s="75" t="str">
        <f aca="false">IF(OR($A208&lt;&gt;"",$E208&lt;&gt;""),N($F208)+N($H208),"")</f>
        <v/>
      </c>
      <c r="M208" s="76" t="str">
        <f aca="false">IF(OR($O208="",$O208="Cancelled",$O208="Amount missing"),"",IF($O208="Realised",0,$E208-N($F208)-N($H208)))</f>
        <v/>
      </c>
      <c r="N208" s="77" t="str">
        <f aca="false">IF(OR($M208="",FX=""),"",$M208*FX)</f>
        <v/>
      </c>
      <c r="O208" s="78" t="str">
        <f aca="false">IF(NOT(OR($A208&lt;&gt;"",$E208&lt;&gt;"")),"",IF($J208="Cancelled","Cancelled",IF($E208="","Amount missing",IF(OR($J208="Settled",$E208-N($F208)-N($H208)&lt;=0.005),"Realised",IF(N($H208)&gt;0,"Part realised",IF(N($F208)&gt;0,"Advance received","On hand"))))))</f>
        <v/>
      </c>
      <c r="P208" s="79" t="str">
        <f aca="false">IF(AND($V208=1,ISNUMBER($B208)),AsAt-$B208,"")</f>
        <v/>
      </c>
      <c r="Q208" s="78" t="str">
        <f aca="false">IF($V208&lt;&gt;1,"",IF($P208="","No invoice date",IF($P208&lt;=30,"0–30 days",IF($P208&lt;=60,"31–60 days",IF($P208&lt;=90,"61–90 days","Over 90 days")))))</f>
        <v/>
      </c>
      <c r="R208" s="80" t="str">
        <f aca="false">IF($V208=1,ROW(),"")</f>
        <v/>
      </c>
      <c r="S208" s="80" t="str">
        <f aca="false">IF(OR($A208&lt;&gt;"",$E208&lt;&gt;""),IF(TRIM($D208)="","Buyer not noted",TRIM($D208)),"")</f>
        <v/>
      </c>
      <c r="T208" s="80" t="n">
        <f aca="false">IF(AND($V208=1,ISNUMBER($M208)),$M208,0)</f>
        <v>0</v>
      </c>
      <c r="U208" s="80" t="str">
        <f aca="false">IF($V208=1,IF(COUNTIFS($S$7:$S208,$S208,$V$7:$V208,1)=1,SUMIFS($T$7:$T$1006,$S$7:$S$1006,$S208)-ROW()/1000000000,""),"")</f>
        <v/>
      </c>
      <c r="V208" s="80" t="n">
        <f aca="false">IF(OR($O208="On hand",$O208="Advance received",$O208="Part realised",$O208="Amount missing"),1,0)</f>
        <v>0</v>
      </c>
      <c r="W208" s="80" t="str">
        <f aca="false">IF(AND($V208=1,N($F208)&gt;0),ROW(),"")</f>
        <v/>
      </c>
      <c r="X208" s="80" t="n">
        <f aca="false">IF(AND(OR($A208&lt;&gt;"",$E208&lt;&gt;""),$O208&lt;&gt;"Cancelled",ISNUMBER($E208),N($F208)+N($H208)&gt;$E208+0.005),1,0)</f>
        <v>0</v>
      </c>
      <c r="Y208" s="80" t="n">
        <f aca="false">IF(AND(OR($A208&lt;&gt;"",$E208&lt;&gt;""),OR($A208="",$E208="")),1,0)</f>
        <v>0</v>
      </c>
      <c r="Z208" s="80" t="n">
        <f aca="false">IF(AND($A208&lt;&gt;"",COUNTIF($A$7:$A$1006,$A208)&gt;1),1,0)</f>
        <v>0</v>
      </c>
    </row>
    <row r="209" customFormat="false" ht="15" hidden="false" customHeight="false" outlineLevel="0" collapsed="false">
      <c r="A209" s="71"/>
      <c r="B209" s="72"/>
      <c r="C209" s="73"/>
      <c r="D209" s="73"/>
      <c r="E209" s="74"/>
      <c r="F209" s="74"/>
      <c r="G209" s="72"/>
      <c r="H209" s="74"/>
      <c r="I209" s="72"/>
      <c r="J209" s="73"/>
      <c r="K209" s="73"/>
      <c r="L209" s="75" t="str">
        <f aca="false">IF(OR($A209&lt;&gt;"",$E209&lt;&gt;""),N($F209)+N($H209),"")</f>
        <v/>
      </c>
      <c r="M209" s="76" t="str">
        <f aca="false">IF(OR($O209="",$O209="Cancelled",$O209="Amount missing"),"",IF($O209="Realised",0,$E209-N($F209)-N($H209)))</f>
        <v/>
      </c>
      <c r="N209" s="77" t="str">
        <f aca="false">IF(OR($M209="",FX=""),"",$M209*FX)</f>
        <v/>
      </c>
      <c r="O209" s="78" t="str">
        <f aca="false">IF(NOT(OR($A209&lt;&gt;"",$E209&lt;&gt;"")),"",IF($J209="Cancelled","Cancelled",IF($E209="","Amount missing",IF(OR($J209="Settled",$E209-N($F209)-N($H209)&lt;=0.005),"Realised",IF(N($H209)&gt;0,"Part realised",IF(N($F209)&gt;0,"Advance received","On hand"))))))</f>
        <v/>
      </c>
      <c r="P209" s="79" t="str">
        <f aca="false">IF(AND($V209=1,ISNUMBER($B209)),AsAt-$B209,"")</f>
        <v/>
      </c>
      <c r="Q209" s="78" t="str">
        <f aca="false">IF($V209&lt;&gt;1,"",IF($P209="","No invoice date",IF($P209&lt;=30,"0–30 days",IF($P209&lt;=60,"31–60 days",IF($P209&lt;=90,"61–90 days","Over 90 days")))))</f>
        <v/>
      </c>
      <c r="R209" s="80" t="str">
        <f aca="false">IF($V209=1,ROW(),"")</f>
        <v/>
      </c>
      <c r="S209" s="80" t="str">
        <f aca="false">IF(OR($A209&lt;&gt;"",$E209&lt;&gt;""),IF(TRIM($D209)="","Buyer not noted",TRIM($D209)),"")</f>
        <v/>
      </c>
      <c r="T209" s="80" t="n">
        <f aca="false">IF(AND($V209=1,ISNUMBER($M209)),$M209,0)</f>
        <v>0</v>
      </c>
      <c r="U209" s="80" t="str">
        <f aca="false">IF($V209=1,IF(COUNTIFS($S$7:$S209,$S209,$V$7:$V209,1)=1,SUMIFS($T$7:$T$1006,$S$7:$S$1006,$S209)-ROW()/1000000000,""),"")</f>
        <v/>
      </c>
      <c r="V209" s="80" t="n">
        <f aca="false">IF(OR($O209="On hand",$O209="Advance received",$O209="Part realised",$O209="Amount missing"),1,0)</f>
        <v>0</v>
      </c>
      <c r="W209" s="80" t="str">
        <f aca="false">IF(AND($V209=1,N($F209)&gt;0),ROW(),"")</f>
        <v/>
      </c>
      <c r="X209" s="80" t="n">
        <f aca="false">IF(AND(OR($A209&lt;&gt;"",$E209&lt;&gt;""),$O209&lt;&gt;"Cancelled",ISNUMBER($E209),N($F209)+N($H209)&gt;$E209+0.005),1,0)</f>
        <v>0</v>
      </c>
      <c r="Y209" s="80" t="n">
        <f aca="false">IF(AND(OR($A209&lt;&gt;"",$E209&lt;&gt;""),OR($A209="",$E209="")),1,0)</f>
        <v>0</v>
      </c>
      <c r="Z209" s="80" t="n">
        <f aca="false">IF(AND($A209&lt;&gt;"",COUNTIF($A$7:$A$1006,$A209)&gt;1),1,0)</f>
        <v>0</v>
      </c>
    </row>
    <row r="210" customFormat="false" ht="15" hidden="false" customHeight="false" outlineLevel="0" collapsed="false">
      <c r="A210" s="71"/>
      <c r="B210" s="72"/>
      <c r="C210" s="73"/>
      <c r="D210" s="73"/>
      <c r="E210" s="74"/>
      <c r="F210" s="74"/>
      <c r="G210" s="72"/>
      <c r="H210" s="74"/>
      <c r="I210" s="72"/>
      <c r="J210" s="73"/>
      <c r="K210" s="73"/>
      <c r="L210" s="75" t="str">
        <f aca="false">IF(OR($A210&lt;&gt;"",$E210&lt;&gt;""),N($F210)+N($H210),"")</f>
        <v/>
      </c>
      <c r="M210" s="76" t="str">
        <f aca="false">IF(OR($O210="",$O210="Cancelled",$O210="Amount missing"),"",IF($O210="Realised",0,$E210-N($F210)-N($H210)))</f>
        <v/>
      </c>
      <c r="N210" s="77" t="str">
        <f aca="false">IF(OR($M210="",FX=""),"",$M210*FX)</f>
        <v/>
      </c>
      <c r="O210" s="78" t="str">
        <f aca="false">IF(NOT(OR($A210&lt;&gt;"",$E210&lt;&gt;"")),"",IF($J210="Cancelled","Cancelled",IF($E210="","Amount missing",IF(OR($J210="Settled",$E210-N($F210)-N($H210)&lt;=0.005),"Realised",IF(N($H210)&gt;0,"Part realised",IF(N($F210)&gt;0,"Advance received","On hand"))))))</f>
        <v/>
      </c>
      <c r="P210" s="79" t="str">
        <f aca="false">IF(AND($V210=1,ISNUMBER($B210)),AsAt-$B210,"")</f>
        <v/>
      </c>
      <c r="Q210" s="78" t="str">
        <f aca="false">IF($V210&lt;&gt;1,"",IF($P210="","No invoice date",IF($P210&lt;=30,"0–30 days",IF($P210&lt;=60,"31–60 days",IF($P210&lt;=90,"61–90 days","Over 90 days")))))</f>
        <v/>
      </c>
      <c r="R210" s="80" t="str">
        <f aca="false">IF($V210=1,ROW(),"")</f>
        <v/>
      </c>
      <c r="S210" s="80" t="str">
        <f aca="false">IF(OR($A210&lt;&gt;"",$E210&lt;&gt;""),IF(TRIM($D210)="","Buyer not noted",TRIM($D210)),"")</f>
        <v/>
      </c>
      <c r="T210" s="80" t="n">
        <f aca="false">IF(AND($V210=1,ISNUMBER($M210)),$M210,0)</f>
        <v>0</v>
      </c>
      <c r="U210" s="80" t="str">
        <f aca="false">IF($V210=1,IF(COUNTIFS($S$7:$S210,$S210,$V$7:$V210,1)=1,SUMIFS($T$7:$T$1006,$S$7:$S$1006,$S210)-ROW()/1000000000,""),"")</f>
        <v/>
      </c>
      <c r="V210" s="80" t="n">
        <f aca="false">IF(OR($O210="On hand",$O210="Advance received",$O210="Part realised",$O210="Amount missing"),1,0)</f>
        <v>0</v>
      </c>
      <c r="W210" s="80" t="str">
        <f aca="false">IF(AND($V210=1,N($F210)&gt;0),ROW(),"")</f>
        <v/>
      </c>
      <c r="X210" s="80" t="n">
        <f aca="false">IF(AND(OR($A210&lt;&gt;"",$E210&lt;&gt;""),$O210&lt;&gt;"Cancelled",ISNUMBER($E210),N($F210)+N($H210)&gt;$E210+0.005),1,0)</f>
        <v>0</v>
      </c>
      <c r="Y210" s="80" t="n">
        <f aca="false">IF(AND(OR($A210&lt;&gt;"",$E210&lt;&gt;""),OR($A210="",$E210="")),1,0)</f>
        <v>0</v>
      </c>
      <c r="Z210" s="80" t="n">
        <f aca="false">IF(AND($A210&lt;&gt;"",COUNTIF($A$7:$A$1006,$A210)&gt;1),1,0)</f>
        <v>0</v>
      </c>
    </row>
    <row r="211" customFormat="false" ht="15" hidden="false" customHeight="false" outlineLevel="0" collapsed="false">
      <c r="A211" s="71"/>
      <c r="B211" s="72"/>
      <c r="C211" s="73"/>
      <c r="D211" s="73"/>
      <c r="E211" s="74"/>
      <c r="F211" s="74"/>
      <c r="G211" s="72"/>
      <c r="H211" s="74"/>
      <c r="I211" s="72"/>
      <c r="J211" s="73"/>
      <c r="K211" s="73"/>
      <c r="L211" s="75" t="str">
        <f aca="false">IF(OR($A211&lt;&gt;"",$E211&lt;&gt;""),N($F211)+N($H211),"")</f>
        <v/>
      </c>
      <c r="M211" s="76" t="str">
        <f aca="false">IF(OR($O211="",$O211="Cancelled",$O211="Amount missing"),"",IF($O211="Realised",0,$E211-N($F211)-N($H211)))</f>
        <v/>
      </c>
      <c r="N211" s="77" t="str">
        <f aca="false">IF(OR($M211="",FX=""),"",$M211*FX)</f>
        <v/>
      </c>
      <c r="O211" s="78" t="str">
        <f aca="false">IF(NOT(OR($A211&lt;&gt;"",$E211&lt;&gt;"")),"",IF($J211="Cancelled","Cancelled",IF($E211="","Amount missing",IF(OR($J211="Settled",$E211-N($F211)-N($H211)&lt;=0.005),"Realised",IF(N($H211)&gt;0,"Part realised",IF(N($F211)&gt;0,"Advance received","On hand"))))))</f>
        <v/>
      </c>
      <c r="P211" s="79" t="str">
        <f aca="false">IF(AND($V211=1,ISNUMBER($B211)),AsAt-$B211,"")</f>
        <v/>
      </c>
      <c r="Q211" s="78" t="str">
        <f aca="false">IF($V211&lt;&gt;1,"",IF($P211="","No invoice date",IF($P211&lt;=30,"0–30 days",IF($P211&lt;=60,"31–60 days",IF($P211&lt;=90,"61–90 days","Over 90 days")))))</f>
        <v/>
      </c>
      <c r="R211" s="80" t="str">
        <f aca="false">IF($V211=1,ROW(),"")</f>
        <v/>
      </c>
      <c r="S211" s="80" t="str">
        <f aca="false">IF(OR($A211&lt;&gt;"",$E211&lt;&gt;""),IF(TRIM($D211)="","Buyer not noted",TRIM($D211)),"")</f>
        <v/>
      </c>
      <c r="T211" s="80" t="n">
        <f aca="false">IF(AND($V211=1,ISNUMBER($M211)),$M211,0)</f>
        <v>0</v>
      </c>
      <c r="U211" s="80" t="str">
        <f aca="false">IF($V211=1,IF(COUNTIFS($S$7:$S211,$S211,$V$7:$V211,1)=1,SUMIFS($T$7:$T$1006,$S$7:$S$1006,$S211)-ROW()/1000000000,""),"")</f>
        <v/>
      </c>
      <c r="V211" s="80" t="n">
        <f aca="false">IF(OR($O211="On hand",$O211="Advance received",$O211="Part realised",$O211="Amount missing"),1,0)</f>
        <v>0</v>
      </c>
      <c r="W211" s="80" t="str">
        <f aca="false">IF(AND($V211=1,N($F211)&gt;0),ROW(),"")</f>
        <v/>
      </c>
      <c r="X211" s="80" t="n">
        <f aca="false">IF(AND(OR($A211&lt;&gt;"",$E211&lt;&gt;""),$O211&lt;&gt;"Cancelled",ISNUMBER($E211),N($F211)+N($H211)&gt;$E211+0.005),1,0)</f>
        <v>0</v>
      </c>
      <c r="Y211" s="80" t="n">
        <f aca="false">IF(AND(OR($A211&lt;&gt;"",$E211&lt;&gt;""),OR($A211="",$E211="")),1,0)</f>
        <v>0</v>
      </c>
      <c r="Z211" s="80" t="n">
        <f aca="false">IF(AND($A211&lt;&gt;"",COUNTIF($A$7:$A$1006,$A211)&gt;1),1,0)</f>
        <v>0</v>
      </c>
    </row>
    <row r="212" customFormat="false" ht="15" hidden="false" customHeight="false" outlineLevel="0" collapsed="false">
      <c r="A212" s="71"/>
      <c r="B212" s="72"/>
      <c r="C212" s="73"/>
      <c r="D212" s="73"/>
      <c r="E212" s="74"/>
      <c r="F212" s="74"/>
      <c r="G212" s="72"/>
      <c r="H212" s="74"/>
      <c r="I212" s="72"/>
      <c r="J212" s="73"/>
      <c r="K212" s="73"/>
      <c r="L212" s="75" t="str">
        <f aca="false">IF(OR($A212&lt;&gt;"",$E212&lt;&gt;""),N($F212)+N($H212),"")</f>
        <v/>
      </c>
      <c r="M212" s="76" t="str">
        <f aca="false">IF(OR($O212="",$O212="Cancelled",$O212="Amount missing"),"",IF($O212="Realised",0,$E212-N($F212)-N($H212)))</f>
        <v/>
      </c>
      <c r="N212" s="77" t="str">
        <f aca="false">IF(OR($M212="",FX=""),"",$M212*FX)</f>
        <v/>
      </c>
      <c r="O212" s="78" t="str">
        <f aca="false">IF(NOT(OR($A212&lt;&gt;"",$E212&lt;&gt;"")),"",IF($J212="Cancelled","Cancelled",IF($E212="","Amount missing",IF(OR($J212="Settled",$E212-N($F212)-N($H212)&lt;=0.005),"Realised",IF(N($H212)&gt;0,"Part realised",IF(N($F212)&gt;0,"Advance received","On hand"))))))</f>
        <v/>
      </c>
      <c r="P212" s="79" t="str">
        <f aca="false">IF(AND($V212=1,ISNUMBER($B212)),AsAt-$B212,"")</f>
        <v/>
      </c>
      <c r="Q212" s="78" t="str">
        <f aca="false">IF($V212&lt;&gt;1,"",IF($P212="","No invoice date",IF($P212&lt;=30,"0–30 days",IF($P212&lt;=60,"31–60 days",IF($P212&lt;=90,"61–90 days","Over 90 days")))))</f>
        <v/>
      </c>
      <c r="R212" s="80" t="str">
        <f aca="false">IF($V212=1,ROW(),"")</f>
        <v/>
      </c>
      <c r="S212" s="80" t="str">
        <f aca="false">IF(OR($A212&lt;&gt;"",$E212&lt;&gt;""),IF(TRIM($D212)="","Buyer not noted",TRIM($D212)),"")</f>
        <v/>
      </c>
      <c r="T212" s="80" t="n">
        <f aca="false">IF(AND($V212=1,ISNUMBER($M212)),$M212,0)</f>
        <v>0</v>
      </c>
      <c r="U212" s="80" t="str">
        <f aca="false">IF($V212=1,IF(COUNTIFS($S$7:$S212,$S212,$V$7:$V212,1)=1,SUMIFS($T$7:$T$1006,$S$7:$S$1006,$S212)-ROW()/1000000000,""),"")</f>
        <v/>
      </c>
      <c r="V212" s="80" t="n">
        <f aca="false">IF(OR($O212="On hand",$O212="Advance received",$O212="Part realised",$O212="Amount missing"),1,0)</f>
        <v>0</v>
      </c>
      <c r="W212" s="80" t="str">
        <f aca="false">IF(AND($V212=1,N($F212)&gt;0),ROW(),"")</f>
        <v/>
      </c>
      <c r="X212" s="80" t="n">
        <f aca="false">IF(AND(OR($A212&lt;&gt;"",$E212&lt;&gt;""),$O212&lt;&gt;"Cancelled",ISNUMBER($E212),N($F212)+N($H212)&gt;$E212+0.005),1,0)</f>
        <v>0</v>
      </c>
      <c r="Y212" s="80" t="n">
        <f aca="false">IF(AND(OR($A212&lt;&gt;"",$E212&lt;&gt;""),OR($A212="",$E212="")),1,0)</f>
        <v>0</v>
      </c>
      <c r="Z212" s="80" t="n">
        <f aca="false">IF(AND($A212&lt;&gt;"",COUNTIF($A$7:$A$1006,$A212)&gt;1),1,0)</f>
        <v>0</v>
      </c>
    </row>
    <row r="213" customFormat="false" ht="15" hidden="false" customHeight="false" outlineLevel="0" collapsed="false">
      <c r="A213" s="71"/>
      <c r="B213" s="72"/>
      <c r="C213" s="73"/>
      <c r="D213" s="73"/>
      <c r="E213" s="74"/>
      <c r="F213" s="74"/>
      <c r="G213" s="72"/>
      <c r="H213" s="74"/>
      <c r="I213" s="72"/>
      <c r="J213" s="73"/>
      <c r="K213" s="73"/>
      <c r="L213" s="75" t="str">
        <f aca="false">IF(OR($A213&lt;&gt;"",$E213&lt;&gt;""),N($F213)+N($H213),"")</f>
        <v/>
      </c>
      <c r="M213" s="76" t="str">
        <f aca="false">IF(OR($O213="",$O213="Cancelled",$O213="Amount missing"),"",IF($O213="Realised",0,$E213-N($F213)-N($H213)))</f>
        <v/>
      </c>
      <c r="N213" s="77" t="str">
        <f aca="false">IF(OR($M213="",FX=""),"",$M213*FX)</f>
        <v/>
      </c>
      <c r="O213" s="78" t="str">
        <f aca="false">IF(NOT(OR($A213&lt;&gt;"",$E213&lt;&gt;"")),"",IF($J213="Cancelled","Cancelled",IF($E213="","Amount missing",IF(OR($J213="Settled",$E213-N($F213)-N($H213)&lt;=0.005),"Realised",IF(N($H213)&gt;0,"Part realised",IF(N($F213)&gt;0,"Advance received","On hand"))))))</f>
        <v/>
      </c>
      <c r="P213" s="79" t="str">
        <f aca="false">IF(AND($V213=1,ISNUMBER($B213)),AsAt-$B213,"")</f>
        <v/>
      </c>
      <c r="Q213" s="78" t="str">
        <f aca="false">IF($V213&lt;&gt;1,"",IF($P213="","No invoice date",IF($P213&lt;=30,"0–30 days",IF($P213&lt;=60,"31–60 days",IF($P213&lt;=90,"61–90 days","Over 90 days")))))</f>
        <v/>
      </c>
      <c r="R213" s="80" t="str">
        <f aca="false">IF($V213=1,ROW(),"")</f>
        <v/>
      </c>
      <c r="S213" s="80" t="str">
        <f aca="false">IF(OR($A213&lt;&gt;"",$E213&lt;&gt;""),IF(TRIM($D213)="","Buyer not noted",TRIM($D213)),"")</f>
        <v/>
      </c>
      <c r="T213" s="80" t="n">
        <f aca="false">IF(AND($V213=1,ISNUMBER($M213)),$M213,0)</f>
        <v>0</v>
      </c>
      <c r="U213" s="80" t="str">
        <f aca="false">IF($V213=1,IF(COUNTIFS($S$7:$S213,$S213,$V$7:$V213,1)=1,SUMIFS($T$7:$T$1006,$S$7:$S$1006,$S213)-ROW()/1000000000,""),"")</f>
        <v/>
      </c>
      <c r="V213" s="80" t="n">
        <f aca="false">IF(OR($O213="On hand",$O213="Advance received",$O213="Part realised",$O213="Amount missing"),1,0)</f>
        <v>0</v>
      </c>
      <c r="W213" s="80" t="str">
        <f aca="false">IF(AND($V213=1,N($F213)&gt;0),ROW(),"")</f>
        <v/>
      </c>
      <c r="X213" s="80" t="n">
        <f aca="false">IF(AND(OR($A213&lt;&gt;"",$E213&lt;&gt;""),$O213&lt;&gt;"Cancelled",ISNUMBER($E213),N($F213)+N($H213)&gt;$E213+0.005),1,0)</f>
        <v>0</v>
      </c>
      <c r="Y213" s="80" t="n">
        <f aca="false">IF(AND(OR($A213&lt;&gt;"",$E213&lt;&gt;""),OR($A213="",$E213="")),1,0)</f>
        <v>0</v>
      </c>
      <c r="Z213" s="80" t="n">
        <f aca="false">IF(AND($A213&lt;&gt;"",COUNTIF($A$7:$A$1006,$A213)&gt;1),1,0)</f>
        <v>0</v>
      </c>
    </row>
    <row r="214" customFormat="false" ht="15" hidden="false" customHeight="false" outlineLevel="0" collapsed="false">
      <c r="A214" s="71"/>
      <c r="B214" s="72"/>
      <c r="C214" s="73"/>
      <c r="D214" s="73"/>
      <c r="E214" s="74"/>
      <c r="F214" s="74"/>
      <c r="G214" s="72"/>
      <c r="H214" s="74"/>
      <c r="I214" s="72"/>
      <c r="J214" s="73"/>
      <c r="K214" s="73"/>
      <c r="L214" s="75" t="str">
        <f aca="false">IF(OR($A214&lt;&gt;"",$E214&lt;&gt;""),N($F214)+N($H214),"")</f>
        <v/>
      </c>
      <c r="M214" s="76" t="str">
        <f aca="false">IF(OR($O214="",$O214="Cancelled",$O214="Amount missing"),"",IF($O214="Realised",0,$E214-N($F214)-N($H214)))</f>
        <v/>
      </c>
      <c r="N214" s="77" t="str">
        <f aca="false">IF(OR($M214="",FX=""),"",$M214*FX)</f>
        <v/>
      </c>
      <c r="O214" s="78" t="str">
        <f aca="false">IF(NOT(OR($A214&lt;&gt;"",$E214&lt;&gt;"")),"",IF($J214="Cancelled","Cancelled",IF($E214="","Amount missing",IF(OR($J214="Settled",$E214-N($F214)-N($H214)&lt;=0.005),"Realised",IF(N($H214)&gt;0,"Part realised",IF(N($F214)&gt;0,"Advance received","On hand"))))))</f>
        <v/>
      </c>
      <c r="P214" s="79" t="str">
        <f aca="false">IF(AND($V214=1,ISNUMBER($B214)),AsAt-$B214,"")</f>
        <v/>
      </c>
      <c r="Q214" s="78" t="str">
        <f aca="false">IF($V214&lt;&gt;1,"",IF($P214="","No invoice date",IF($P214&lt;=30,"0–30 days",IF($P214&lt;=60,"31–60 days",IF($P214&lt;=90,"61–90 days","Over 90 days")))))</f>
        <v/>
      </c>
      <c r="R214" s="80" t="str">
        <f aca="false">IF($V214=1,ROW(),"")</f>
        <v/>
      </c>
      <c r="S214" s="80" t="str">
        <f aca="false">IF(OR($A214&lt;&gt;"",$E214&lt;&gt;""),IF(TRIM($D214)="","Buyer not noted",TRIM($D214)),"")</f>
        <v/>
      </c>
      <c r="T214" s="80" t="n">
        <f aca="false">IF(AND($V214=1,ISNUMBER($M214)),$M214,0)</f>
        <v>0</v>
      </c>
      <c r="U214" s="80" t="str">
        <f aca="false">IF($V214=1,IF(COUNTIFS($S$7:$S214,$S214,$V$7:$V214,1)=1,SUMIFS($T$7:$T$1006,$S$7:$S$1006,$S214)-ROW()/1000000000,""),"")</f>
        <v/>
      </c>
      <c r="V214" s="80" t="n">
        <f aca="false">IF(OR($O214="On hand",$O214="Advance received",$O214="Part realised",$O214="Amount missing"),1,0)</f>
        <v>0</v>
      </c>
      <c r="W214" s="80" t="str">
        <f aca="false">IF(AND($V214=1,N($F214)&gt;0),ROW(),"")</f>
        <v/>
      </c>
      <c r="X214" s="80" t="n">
        <f aca="false">IF(AND(OR($A214&lt;&gt;"",$E214&lt;&gt;""),$O214&lt;&gt;"Cancelled",ISNUMBER($E214),N($F214)+N($H214)&gt;$E214+0.005),1,0)</f>
        <v>0</v>
      </c>
      <c r="Y214" s="80" t="n">
        <f aca="false">IF(AND(OR($A214&lt;&gt;"",$E214&lt;&gt;""),OR($A214="",$E214="")),1,0)</f>
        <v>0</v>
      </c>
      <c r="Z214" s="80" t="n">
        <f aca="false">IF(AND($A214&lt;&gt;"",COUNTIF($A$7:$A$1006,$A214)&gt;1),1,0)</f>
        <v>0</v>
      </c>
    </row>
    <row r="215" customFormat="false" ht="15" hidden="false" customHeight="false" outlineLevel="0" collapsed="false">
      <c r="A215" s="71"/>
      <c r="B215" s="72"/>
      <c r="C215" s="73"/>
      <c r="D215" s="73"/>
      <c r="E215" s="74"/>
      <c r="F215" s="74"/>
      <c r="G215" s="72"/>
      <c r="H215" s="74"/>
      <c r="I215" s="72"/>
      <c r="J215" s="73"/>
      <c r="K215" s="73"/>
      <c r="L215" s="75" t="str">
        <f aca="false">IF(OR($A215&lt;&gt;"",$E215&lt;&gt;""),N($F215)+N($H215),"")</f>
        <v/>
      </c>
      <c r="M215" s="76" t="str">
        <f aca="false">IF(OR($O215="",$O215="Cancelled",$O215="Amount missing"),"",IF($O215="Realised",0,$E215-N($F215)-N($H215)))</f>
        <v/>
      </c>
      <c r="N215" s="77" t="str">
        <f aca="false">IF(OR($M215="",FX=""),"",$M215*FX)</f>
        <v/>
      </c>
      <c r="O215" s="78" t="str">
        <f aca="false">IF(NOT(OR($A215&lt;&gt;"",$E215&lt;&gt;"")),"",IF($J215="Cancelled","Cancelled",IF($E215="","Amount missing",IF(OR($J215="Settled",$E215-N($F215)-N($H215)&lt;=0.005),"Realised",IF(N($H215)&gt;0,"Part realised",IF(N($F215)&gt;0,"Advance received","On hand"))))))</f>
        <v/>
      </c>
      <c r="P215" s="79" t="str">
        <f aca="false">IF(AND($V215=1,ISNUMBER($B215)),AsAt-$B215,"")</f>
        <v/>
      </c>
      <c r="Q215" s="78" t="str">
        <f aca="false">IF($V215&lt;&gt;1,"",IF($P215="","No invoice date",IF($P215&lt;=30,"0–30 days",IF($P215&lt;=60,"31–60 days",IF($P215&lt;=90,"61–90 days","Over 90 days")))))</f>
        <v/>
      </c>
      <c r="R215" s="80" t="str">
        <f aca="false">IF($V215=1,ROW(),"")</f>
        <v/>
      </c>
      <c r="S215" s="80" t="str">
        <f aca="false">IF(OR($A215&lt;&gt;"",$E215&lt;&gt;""),IF(TRIM($D215)="","Buyer not noted",TRIM($D215)),"")</f>
        <v/>
      </c>
      <c r="T215" s="80" t="n">
        <f aca="false">IF(AND($V215=1,ISNUMBER($M215)),$M215,0)</f>
        <v>0</v>
      </c>
      <c r="U215" s="80" t="str">
        <f aca="false">IF($V215=1,IF(COUNTIFS($S$7:$S215,$S215,$V$7:$V215,1)=1,SUMIFS($T$7:$T$1006,$S$7:$S$1006,$S215)-ROW()/1000000000,""),"")</f>
        <v/>
      </c>
      <c r="V215" s="80" t="n">
        <f aca="false">IF(OR($O215="On hand",$O215="Advance received",$O215="Part realised",$O215="Amount missing"),1,0)</f>
        <v>0</v>
      </c>
      <c r="W215" s="80" t="str">
        <f aca="false">IF(AND($V215=1,N($F215)&gt;0),ROW(),"")</f>
        <v/>
      </c>
      <c r="X215" s="80" t="n">
        <f aca="false">IF(AND(OR($A215&lt;&gt;"",$E215&lt;&gt;""),$O215&lt;&gt;"Cancelled",ISNUMBER($E215),N($F215)+N($H215)&gt;$E215+0.005),1,0)</f>
        <v>0</v>
      </c>
      <c r="Y215" s="80" t="n">
        <f aca="false">IF(AND(OR($A215&lt;&gt;"",$E215&lt;&gt;""),OR($A215="",$E215="")),1,0)</f>
        <v>0</v>
      </c>
      <c r="Z215" s="80" t="n">
        <f aca="false">IF(AND($A215&lt;&gt;"",COUNTIF($A$7:$A$1006,$A215)&gt;1),1,0)</f>
        <v>0</v>
      </c>
    </row>
    <row r="216" customFormat="false" ht="15" hidden="false" customHeight="false" outlineLevel="0" collapsed="false">
      <c r="A216" s="71"/>
      <c r="B216" s="72"/>
      <c r="C216" s="73"/>
      <c r="D216" s="73"/>
      <c r="E216" s="74"/>
      <c r="F216" s="74"/>
      <c r="G216" s="72"/>
      <c r="H216" s="74"/>
      <c r="I216" s="72"/>
      <c r="J216" s="73"/>
      <c r="K216" s="73"/>
      <c r="L216" s="75" t="str">
        <f aca="false">IF(OR($A216&lt;&gt;"",$E216&lt;&gt;""),N($F216)+N($H216),"")</f>
        <v/>
      </c>
      <c r="M216" s="76" t="str">
        <f aca="false">IF(OR($O216="",$O216="Cancelled",$O216="Amount missing"),"",IF($O216="Realised",0,$E216-N($F216)-N($H216)))</f>
        <v/>
      </c>
      <c r="N216" s="77" t="str">
        <f aca="false">IF(OR($M216="",FX=""),"",$M216*FX)</f>
        <v/>
      </c>
      <c r="O216" s="78" t="str">
        <f aca="false">IF(NOT(OR($A216&lt;&gt;"",$E216&lt;&gt;"")),"",IF($J216="Cancelled","Cancelled",IF($E216="","Amount missing",IF(OR($J216="Settled",$E216-N($F216)-N($H216)&lt;=0.005),"Realised",IF(N($H216)&gt;0,"Part realised",IF(N($F216)&gt;0,"Advance received","On hand"))))))</f>
        <v/>
      </c>
      <c r="P216" s="79" t="str">
        <f aca="false">IF(AND($V216=1,ISNUMBER($B216)),AsAt-$B216,"")</f>
        <v/>
      </c>
      <c r="Q216" s="78" t="str">
        <f aca="false">IF($V216&lt;&gt;1,"",IF($P216="","No invoice date",IF($P216&lt;=30,"0–30 days",IF($P216&lt;=60,"31–60 days",IF($P216&lt;=90,"61–90 days","Over 90 days")))))</f>
        <v/>
      </c>
      <c r="R216" s="80" t="str">
        <f aca="false">IF($V216=1,ROW(),"")</f>
        <v/>
      </c>
      <c r="S216" s="80" t="str">
        <f aca="false">IF(OR($A216&lt;&gt;"",$E216&lt;&gt;""),IF(TRIM($D216)="","Buyer not noted",TRIM($D216)),"")</f>
        <v/>
      </c>
      <c r="T216" s="80" t="n">
        <f aca="false">IF(AND($V216=1,ISNUMBER($M216)),$M216,0)</f>
        <v>0</v>
      </c>
      <c r="U216" s="80" t="str">
        <f aca="false">IF($V216=1,IF(COUNTIFS($S$7:$S216,$S216,$V$7:$V216,1)=1,SUMIFS($T$7:$T$1006,$S$7:$S$1006,$S216)-ROW()/1000000000,""),"")</f>
        <v/>
      </c>
      <c r="V216" s="80" t="n">
        <f aca="false">IF(OR($O216="On hand",$O216="Advance received",$O216="Part realised",$O216="Amount missing"),1,0)</f>
        <v>0</v>
      </c>
      <c r="W216" s="80" t="str">
        <f aca="false">IF(AND($V216=1,N($F216)&gt;0),ROW(),"")</f>
        <v/>
      </c>
      <c r="X216" s="80" t="n">
        <f aca="false">IF(AND(OR($A216&lt;&gt;"",$E216&lt;&gt;""),$O216&lt;&gt;"Cancelled",ISNUMBER($E216),N($F216)+N($H216)&gt;$E216+0.005),1,0)</f>
        <v>0</v>
      </c>
      <c r="Y216" s="80" t="n">
        <f aca="false">IF(AND(OR($A216&lt;&gt;"",$E216&lt;&gt;""),OR($A216="",$E216="")),1,0)</f>
        <v>0</v>
      </c>
      <c r="Z216" s="80" t="n">
        <f aca="false">IF(AND($A216&lt;&gt;"",COUNTIF($A$7:$A$1006,$A216)&gt;1),1,0)</f>
        <v>0</v>
      </c>
    </row>
    <row r="217" customFormat="false" ht="15" hidden="false" customHeight="false" outlineLevel="0" collapsed="false">
      <c r="A217" s="71"/>
      <c r="B217" s="72"/>
      <c r="C217" s="73"/>
      <c r="D217" s="73"/>
      <c r="E217" s="74"/>
      <c r="F217" s="74"/>
      <c r="G217" s="72"/>
      <c r="H217" s="74"/>
      <c r="I217" s="72"/>
      <c r="J217" s="73"/>
      <c r="K217" s="73"/>
      <c r="L217" s="75" t="str">
        <f aca="false">IF(OR($A217&lt;&gt;"",$E217&lt;&gt;""),N($F217)+N($H217),"")</f>
        <v/>
      </c>
      <c r="M217" s="76" t="str">
        <f aca="false">IF(OR($O217="",$O217="Cancelled",$O217="Amount missing"),"",IF($O217="Realised",0,$E217-N($F217)-N($H217)))</f>
        <v/>
      </c>
      <c r="N217" s="77" t="str">
        <f aca="false">IF(OR($M217="",FX=""),"",$M217*FX)</f>
        <v/>
      </c>
      <c r="O217" s="78" t="str">
        <f aca="false">IF(NOT(OR($A217&lt;&gt;"",$E217&lt;&gt;"")),"",IF($J217="Cancelled","Cancelled",IF($E217="","Amount missing",IF(OR($J217="Settled",$E217-N($F217)-N($H217)&lt;=0.005),"Realised",IF(N($H217)&gt;0,"Part realised",IF(N($F217)&gt;0,"Advance received","On hand"))))))</f>
        <v/>
      </c>
      <c r="P217" s="79" t="str">
        <f aca="false">IF(AND($V217=1,ISNUMBER($B217)),AsAt-$B217,"")</f>
        <v/>
      </c>
      <c r="Q217" s="78" t="str">
        <f aca="false">IF($V217&lt;&gt;1,"",IF($P217="","No invoice date",IF($P217&lt;=30,"0–30 days",IF($P217&lt;=60,"31–60 days",IF($P217&lt;=90,"61–90 days","Over 90 days")))))</f>
        <v/>
      </c>
      <c r="R217" s="80" t="str">
        <f aca="false">IF($V217=1,ROW(),"")</f>
        <v/>
      </c>
      <c r="S217" s="80" t="str">
        <f aca="false">IF(OR($A217&lt;&gt;"",$E217&lt;&gt;""),IF(TRIM($D217)="","Buyer not noted",TRIM($D217)),"")</f>
        <v/>
      </c>
      <c r="T217" s="80" t="n">
        <f aca="false">IF(AND($V217=1,ISNUMBER($M217)),$M217,0)</f>
        <v>0</v>
      </c>
      <c r="U217" s="80" t="str">
        <f aca="false">IF($V217=1,IF(COUNTIFS($S$7:$S217,$S217,$V$7:$V217,1)=1,SUMIFS($T$7:$T$1006,$S$7:$S$1006,$S217)-ROW()/1000000000,""),"")</f>
        <v/>
      </c>
      <c r="V217" s="80" t="n">
        <f aca="false">IF(OR($O217="On hand",$O217="Advance received",$O217="Part realised",$O217="Amount missing"),1,0)</f>
        <v>0</v>
      </c>
      <c r="W217" s="80" t="str">
        <f aca="false">IF(AND($V217=1,N($F217)&gt;0),ROW(),"")</f>
        <v/>
      </c>
      <c r="X217" s="80" t="n">
        <f aca="false">IF(AND(OR($A217&lt;&gt;"",$E217&lt;&gt;""),$O217&lt;&gt;"Cancelled",ISNUMBER($E217),N($F217)+N($H217)&gt;$E217+0.005),1,0)</f>
        <v>0</v>
      </c>
      <c r="Y217" s="80" t="n">
        <f aca="false">IF(AND(OR($A217&lt;&gt;"",$E217&lt;&gt;""),OR($A217="",$E217="")),1,0)</f>
        <v>0</v>
      </c>
      <c r="Z217" s="80" t="n">
        <f aca="false">IF(AND($A217&lt;&gt;"",COUNTIF($A$7:$A$1006,$A217)&gt;1),1,0)</f>
        <v>0</v>
      </c>
    </row>
    <row r="218" customFormat="false" ht="15" hidden="false" customHeight="false" outlineLevel="0" collapsed="false">
      <c r="A218" s="71"/>
      <c r="B218" s="72"/>
      <c r="C218" s="73"/>
      <c r="D218" s="73"/>
      <c r="E218" s="74"/>
      <c r="F218" s="74"/>
      <c r="G218" s="72"/>
      <c r="H218" s="74"/>
      <c r="I218" s="72"/>
      <c r="J218" s="73"/>
      <c r="K218" s="73"/>
      <c r="L218" s="75" t="str">
        <f aca="false">IF(OR($A218&lt;&gt;"",$E218&lt;&gt;""),N($F218)+N($H218),"")</f>
        <v/>
      </c>
      <c r="M218" s="76" t="str">
        <f aca="false">IF(OR($O218="",$O218="Cancelled",$O218="Amount missing"),"",IF($O218="Realised",0,$E218-N($F218)-N($H218)))</f>
        <v/>
      </c>
      <c r="N218" s="77" t="str">
        <f aca="false">IF(OR($M218="",FX=""),"",$M218*FX)</f>
        <v/>
      </c>
      <c r="O218" s="78" t="str">
        <f aca="false">IF(NOT(OR($A218&lt;&gt;"",$E218&lt;&gt;"")),"",IF($J218="Cancelled","Cancelled",IF($E218="","Amount missing",IF(OR($J218="Settled",$E218-N($F218)-N($H218)&lt;=0.005),"Realised",IF(N($H218)&gt;0,"Part realised",IF(N($F218)&gt;0,"Advance received","On hand"))))))</f>
        <v/>
      </c>
      <c r="P218" s="79" t="str">
        <f aca="false">IF(AND($V218=1,ISNUMBER($B218)),AsAt-$B218,"")</f>
        <v/>
      </c>
      <c r="Q218" s="78" t="str">
        <f aca="false">IF($V218&lt;&gt;1,"",IF($P218="","No invoice date",IF($P218&lt;=30,"0–30 days",IF($P218&lt;=60,"31–60 days",IF($P218&lt;=90,"61–90 days","Over 90 days")))))</f>
        <v/>
      </c>
      <c r="R218" s="80" t="str">
        <f aca="false">IF($V218=1,ROW(),"")</f>
        <v/>
      </c>
      <c r="S218" s="80" t="str">
        <f aca="false">IF(OR($A218&lt;&gt;"",$E218&lt;&gt;""),IF(TRIM($D218)="","Buyer not noted",TRIM($D218)),"")</f>
        <v/>
      </c>
      <c r="T218" s="80" t="n">
        <f aca="false">IF(AND($V218=1,ISNUMBER($M218)),$M218,0)</f>
        <v>0</v>
      </c>
      <c r="U218" s="80" t="str">
        <f aca="false">IF($V218=1,IF(COUNTIFS($S$7:$S218,$S218,$V$7:$V218,1)=1,SUMIFS($T$7:$T$1006,$S$7:$S$1006,$S218)-ROW()/1000000000,""),"")</f>
        <v/>
      </c>
      <c r="V218" s="80" t="n">
        <f aca="false">IF(OR($O218="On hand",$O218="Advance received",$O218="Part realised",$O218="Amount missing"),1,0)</f>
        <v>0</v>
      </c>
      <c r="W218" s="80" t="str">
        <f aca="false">IF(AND($V218=1,N($F218)&gt;0),ROW(),"")</f>
        <v/>
      </c>
      <c r="X218" s="80" t="n">
        <f aca="false">IF(AND(OR($A218&lt;&gt;"",$E218&lt;&gt;""),$O218&lt;&gt;"Cancelled",ISNUMBER($E218),N($F218)+N($H218)&gt;$E218+0.005),1,0)</f>
        <v>0</v>
      </c>
      <c r="Y218" s="80" t="n">
        <f aca="false">IF(AND(OR($A218&lt;&gt;"",$E218&lt;&gt;""),OR($A218="",$E218="")),1,0)</f>
        <v>0</v>
      </c>
      <c r="Z218" s="80" t="n">
        <f aca="false">IF(AND($A218&lt;&gt;"",COUNTIF($A$7:$A$1006,$A218)&gt;1),1,0)</f>
        <v>0</v>
      </c>
    </row>
    <row r="219" customFormat="false" ht="15" hidden="false" customHeight="false" outlineLevel="0" collapsed="false">
      <c r="A219" s="71"/>
      <c r="B219" s="72"/>
      <c r="C219" s="73"/>
      <c r="D219" s="73"/>
      <c r="E219" s="74"/>
      <c r="F219" s="74"/>
      <c r="G219" s="72"/>
      <c r="H219" s="74"/>
      <c r="I219" s="72"/>
      <c r="J219" s="73"/>
      <c r="K219" s="73"/>
      <c r="L219" s="75" t="str">
        <f aca="false">IF(OR($A219&lt;&gt;"",$E219&lt;&gt;""),N($F219)+N($H219),"")</f>
        <v/>
      </c>
      <c r="M219" s="76" t="str">
        <f aca="false">IF(OR($O219="",$O219="Cancelled",$O219="Amount missing"),"",IF($O219="Realised",0,$E219-N($F219)-N($H219)))</f>
        <v/>
      </c>
      <c r="N219" s="77" t="str">
        <f aca="false">IF(OR($M219="",FX=""),"",$M219*FX)</f>
        <v/>
      </c>
      <c r="O219" s="78" t="str">
        <f aca="false">IF(NOT(OR($A219&lt;&gt;"",$E219&lt;&gt;"")),"",IF($J219="Cancelled","Cancelled",IF($E219="","Amount missing",IF(OR($J219="Settled",$E219-N($F219)-N($H219)&lt;=0.005),"Realised",IF(N($H219)&gt;0,"Part realised",IF(N($F219)&gt;0,"Advance received","On hand"))))))</f>
        <v/>
      </c>
      <c r="P219" s="79" t="str">
        <f aca="false">IF(AND($V219=1,ISNUMBER($B219)),AsAt-$B219,"")</f>
        <v/>
      </c>
      <c r="Q219" s="78" t="str">
        <f aca="false">IF($V219&lt;&gt;1,"",IF($P219="","No invoice date",IF($P219&lt;=30,"0–30 days",IF($P219&lt;=60,"31–60 days",IF($P219&lt;=90,"61–90 days","Over 90 days")))))</f>
        <v/>
      </c>
      <c r="R219" s="80" t="str">
        <f aca="false">IF($V219=1,ROW(),"")</f>
        <v/>
      </c>
      <c r="S219" s="80" t="str">
        <f aca="false">IF(OR($A219&lt;&gt;"",$E219&lt;&gt;""),IF(TRIM($D219)="","Buyer not noted",TRIM($D219)),"")</f>
        <v/>
      </c>
      <c r="T219" s="80" t="n">
        <f aca="false">IF(AND($V219=1,ISNUMBER($M219)),$M219,0)</f>
        <v>0</v>
      </c>
      <c r="U219" s="80" t="str">
        <f aca="false">IF($V219=1,IF(COUNTIFS($S$7:$S219,$S219,$V$7:$V219,1)=1,SUMIFS($T$7:$T$1006,$S$7:$S$1006,$S219)-ROW()/1000000000,""),"")</f>
        <v/>
      </c>
      <c r="V219" s="80" t="n">
        <f aca="false">IF(OR($O219="On hand",$O219="Advance received",$O219="Part realised",$O219="Amount missing"),1,0)</f>
        <v>0</v>
      </c>
      <c r="W219" s="80" t="str">
        <f aca="false">IF(AND($V219=1,N($F219)&gt;0),ROW(),"")</f>
        <v/>
      </c>
      <c r="X219" s="80" t="n">
        <f aca="false">IF(AND(OR($A219&lt;&gt;"",$E219&lt;&gt;""),$O219&lt;&gt;"Cancelled",ISNUMBER($E219),N($F219)+N($H219)&gt;$E219+0.005),1,0)</f>
        <v>0</v>
      </c>
      <c r="Y219" s="80" t="n">
        <f aca="false">IF(AND(OR($A219&lt;&gt;"",$E219&lt;&gt;""),OR($A219="",$E219="")),1,0)</f>
        <v>0</v>
      </c>
      <c r="Z219" s="80" t="n">
        <f aca="false">IF(AND($A219&lt;&gt;"",COUNTIF($A$7:$A$1006,$A219)&gt;1),1,0)</f>
        <v>0</v>
      </c>
    </row>
    <row r="220" customFormat="false" ht="15" hidden="false" customHeight="false" outlineLevel="0" collapsed="false">
      <c r="A220" s="71"/>
      <c r="B220" s="72"/>
      <c r="C220" s="73"/>
      <c r="D220" s="73"/>
      <c r="E220" s="74"/>
      <c r="F220" s="74"/>
      <c r="G220" s="72"/>
      <c r="H220" s="74"/>
      <c r="I220" s="72"/>
      <c r="J220" s="73"/>
      <c r="K220" s="73"/>
      <c r="L220" s="75" t="str">
        <f aca="false">IF(OR($A220&lt;&gt;"",$E220&lt;&gt;""),N($F220)+N($H220),"")</f>
        <v/>
      </c>
      <c r="M220" s="76" t="str">
        <f aca="false">IF(OR($O220="",$O220="Cancelled",$O220="Amount missing"),"",IF($O220="Realised",0,$E220-N($F220)-N($H220)))</f>
        <v/>
      </c>
      <c r="N220" s="77" t="str">
        <f aca="false">IF(OR($M220="",FX=""),"",$M220*FX)</f>
        <v/>
      </c>
      <c r="O220" s="78" t="str">
        <f aca="false">IF(NOT(OR($A220&lt;&gt;"",$E220&lt;&gt;"")),"",IF($J220="Cancelled","Cancelled",IF($E220="","Amount missing",IF(OR($J220="Settled",$E220-N($F220)-N($H220)&lt;=0.005),"Realised",IF(N($H220)&gt;0,"Part realised",IF(N($F220)&gt;0,"Advance received","On hand"))))))</f>
        <v/>
      </c>
      <c r="P220" s="79" t="str">
        <f aca="false">IF(AND($V220=1,ISNUMBER($B220)),AsAt-$B220,"")</f>
        <v/>
      </c>
      <c r="Q220" s="78" t="str">
        <f aca="false">IF($V220&lt;&gt;1,"",IF($P220="","No invoice date",IF($P220&lt;=30,"0–30 days",IF($P220&lt;=60,"31–60 days",IF($P220&lt;=90,"61–90 days","Over 90 days")))))</f>
        <v/>
      </c>
      <c r="R220" s="80" t="str">
        <f aca="false">IF($V220=1,ROW(),"")</f>
        <v/>
      </c>
      <c r="S220" s="80" t="str">
        <f aca="false">IF(OR($A220&lt;&gt;"",$E220&lt;&gt;""),IF(TRIM($D220)="","Buyer not noted",TRIM($D220)),"")</f>
        <v/>
      </c>
      <c r="T220" s="80" t="n">
        <f aca="false">IF(AND($V220=1,ISNUMBER($M220)),$M220,0)</f>
        <v>0</v>
      </c>
      <c r="U220" s="80" t="str">
        <f aca="false">IF($V220=1,IF(COUNTIFS($S$7:$S220,$S220,$V$7:$V220,1)=1,SUMIFS($T$7:$T$1006,$S$7:$S$1006,$S220)-ROW()/1000000000,""),"")</f>
        <v/>
      </c>
      <c r="V220" s="80" t="n">
        <f aca="false">IF(OR($O220="On hand",$O220="Advance received",$O220="Part realised",$O220="Amount missing"),1,0)</f>
        <v>0</v>
      </c>
      <c r="W220" s="80" t="str">
        <f aca="false">IF(AND($V220=1,N($F220)&gt;0),ROW(),"")</f>
        <v/>
      </c>
      <c r="X220" s="80" t="n">
        <f aca="false">IF(AND(OR($A220&lt;&gt;"",$E220&lt;&gt;""),$O220&lt;&gt;"Cancelled",ISNUMBER($E220),N($F220)+N($H220)&gt;$E220+0.005),1,0)</f>
        <v>0</v>
      </c>
      <c r="Y220" s="80" t="n">
        <f aca="false">IF(AND(OR($A220&lt;&gt;"",$E220&lt;&gt;""),OR($A220="",$E220="")),1,0)</f>
        <v>0</v>
      </c>
      <c r="Z220" s="80" t="n">
        <f aca="false">IF(AND($A220&lt;&gt;"",COUNTIF($A$7:$A$1006,$A220)&gt;1),1,0)</f>
        <v>0</v>
      </c>
    </row>
    <row r="221" customFormat="false" ht="15" hidden="false" customHeight="false" outlineLevel="0" collapsed="false">
      <c r="A221" s="71"/>
      <c r="B221" s="72"/>
      <c r="C221" s="73"/>
      <c r="D221" s="73"/>
      <c r="E221" s="74"/>
      <c r="F221" s="74"/>
      <c r="G221" s="72"/>
      <c r="H221" s="74"/>
      <c r="I221" s="72"/>
      <c r="J221" s="73"/>
      <c r="K221" s="73"/>
      <c r="L221" s="75" t="str">
        <f aca="false">IF(OR($A221&lt;&gt;"",$E221&lt;&gt;""),N($F221)+N($H221),"")</f>
        <v/>
      </c>
      <c r="M221" s="76" t="str">
        <f aca="false">IF(OR($O221="",$O221="Cancelled",$O221="Amount missing"),"",IF($O221="Realised",0,$E221-N($F221)-N($H221)))</f>
        <v/>
      </c>
      <c r="N221" s="77" t="str">
        <f aca="false">IF(OR($M221="",FX=""),"",$M221*FX)</f>
        <v/>
      </c>
      <c r="O221" s="78" t="str">
        <f aca="false">IF(NOT(OR($A221&lt;&gt;"",$E221&lt;&gt;"")),"",IF($J221="Cancelled","Cancelled",IF($E221="","Amount missing",IF(OR($J221="Settled",$E221-N($F221)-N($H221)&lt;=0.005),"Realised",IF(N($H221)&gt;0,"Part realised",IF(N($F221)&gt;0,"Advance received","On hand"))))))</f>
        <v/>
      </c>
      <c r="P221" s="79" t="str">
        <f aca="false">IF(AND($V221=1,ISNUMBER($B221)),AsAt-$B221,"")</f>
        <v/>
      </c>
      <c r="Q221" s="78" t="str">
        <f aca="false">IF($V221&lt;&gt;1,"",IF($P221="","No invoice date",IF($P221&lt;=30,"0–30 days",IF($P221&lt;=60,"31–60 days",IF($P221&lt;=90,"61–90 days","Over 90 days")))))</f>
        <v/>
      </c>
      <c r="R221" s="80" t="str">
        <f aca="false">IF($V221=1,ROW(),"")</f>
        <v/>
      </c>
      <c r="S221" s="80" t="str">
        <f aca="false">IF(OR($A221&lt;&gt;"",$E221&lt;&gt;""),IF(TRIM($D221)="","Buyer not noted",TRIM($D221)),"")</f>
        <v/>
      </c>
      <c r="T221" s="80" t="n">
        <f aca="false">IF(AND($V221=1,ISNUMBER($M221)),$M221,0)</f>
        <v>0</v>
      </c>
      <c r="U221" s="80" t="str">
        <f aca="false">IF($V221=1,IF(COUNTIFS($S$7:$S221,$S221,$V$7:$V221,1)=1,SUMIFS($T$7:$T$1006,$S$7:$S$1006,$S221)-ROW()/1000000000,""),"")</f>
        <v/>
      </c>
      <c r="V221" s="80" t="n">
        <f aca="false">IF(OR($O221="On hand",$O221="Advance received",$O221="Part realised",$O221="Amount missing"),1,0)</f>
        <v>0</v>
      </c>
      <c r="W221" s="80" t="str">
        <f aca="false">IF(AND($V221=1,N($F221)&gt;0),ROW(),"")</f>
        <v/>
      </c>
      <c r="X221" s="80" t="n">
        <f aca="false">IF(AND(OR($A221&lt;&gt;"",$E221&lt;&gt;""),$O221&lt;&gt;"Cancelled",ISNUMBER($E221),N($F221)+N($H221)&gt;$E221+0.005),1,0)</f>
        <v>0</v>
      </c>
      <c r="Y221" s="80" t="n">
        <f aca="false">IF(AND(OR($A221&lt;&gt;"",$E221&lt;&gt;""),OR($A221="",$E221="")),1,0)</f>
        <v>0</v>
      </c>
      <c r="Z221" s="80" t="n">
        <f aca="false">IF(AND($A221&lt;&gt;"",COUNTIF($A$7:$A$1006,$A221)&gt;1),1,0)</f>
        <v>0</v>
      </c>
    </row>
    <row r="222" customFormat="false" ht="15" hidden="false" customHeight="false" outlineLevel="0" collapsed="false">
      <c r="A222" s="71"/>
      <c r="B222" s="72"/>
      <c r="C222" s="73"/>
      <c r="D222" s="73"/>
      <c r="E222" s="74"/>
      <c r="F222" s="74"/>
      <c r="G222" s="72"/>
      <c r="H222" s="74"/>
      <c r="I222" s="72"/>
      <c r="J222" s="73"/>
      <c r="K222" s="73"/>
      <c r="L222" s="75" t="str">
        <f aca="false">IF(OR($A222&lt;&gt;"",$E222&lt;&gt;""),N($F222)+N($H222),"")</f>
        <v/>
      </c>
      <c r="M222" s="76" t="str">
        <f aca="false">IF(OR($O222="",$O222="Cancelled",$O222="Amount missing"),"",IF($O222="Realised",0,$E222-N($F222)-N($H222)))</f>
        <v/>
      </c>
      <c r="N222" s="77" t="str">
        <f aca="false">IF(OR($M222="",FX=""),"",$M222*FX)</f>
        <v/>
      </c>
      <c r="O222" s="78" t="str">
        <f aca="false">IF(NOT(OR($A222&lt;&gt;"",$E222&lt;&gt;"")),"",IF($J222="Cancelled","Cancelled",IF($E222="","Amount missing",IF(OR($J222="Settled",$E222-N($F222)-N($H222)&lt;=0.005),"Realised",IF(N($H222)&gt;0,"Part realised",IF(N($F222)&gt;0,"Advance received","On hand"))))))</f>
        <v/>
      </c>
      <c r="P222" s="79" t="str">
        <f aca="false">IF(AND($V222=1,ISNUMBER($B222)),AsAt-$B222,"")</f>
        <v/>
      </c>
      <c r="Q222" s="78" t="str">
        <f aca="false">IF($V222&lt;&gt;1,"",IF($P222="","No invoice date",IF($P222&lt;=30,"0–30 days",IF($P222&lt;=60,"31–60 days",IF($P222&lt;=90,"61–90 days","Over 90 days")))))</f>
        <v/>
      </c>
      <c r="R222" s="80" t="str">
        <f aca="false">IF($V222=1,ROW(),"")</f>
        <v/>
      </c>
      <c r="S222" s="80" t="str">
        <f aca="false">IF(OR($A222&lt;&gt;"",$E222&lt;&gt;""),IF(TRIM($D222)="","Buyer not noted",TRIM($D222)),"")</f>
        <v/>
      </c>
      <c r="T222" s="80" t="n">
        <f aca="false">IF(AND($V222=1,ISNUMBER($M222)),$M222,0)</f>
        <v>0</v>
      </c>
      <c r="U222" s="80" t="str">
        <f aca="false">IF($V222=1,IF(COUNTIFS($S$7:$S222,$S222,$V$7:$V222,1)=1,SUMIFS($T$7:$T$1006,$S$7:$S$1006,$S222)-ROW()/1000000000,""),"")</f>
        <v/>
      </c>
      <c r="V222" s="80" t="n">
        <f aca="false">IF(OR($O222="On hand",$O222="Advance received",$O222="Part realised",$O222="Amount missing"),1,0)</f>
        <v>0</v>
      </c>
      <c r="W222" s="80" t="str">
        <f aca="false">IF(AND($V222=1,N($F222)&gt;0),ROW(),"")</f>
        <v/>
      </c>
      <c r="X222" s="80" t="n">
        <f aca="false">IF(AND(OR($A222&lt;&gt;"",$E222&lt;&gt;""),$O222&lt;&gt;"Cancelled",ISNUMBER($E222),N($F222)+N($H222)&gt;$E222+0.005),1,0)</f>
        <v>0</v>
      </c>
      <c r="Y222" s="80" t="n">
        <f aca="false">IF(AND(OR($A222&lt;&gt;"",$E222&lt;&gt;""),OR($A222="",$E222="")),1,0)</f>
        <v>0</v>
      </c>
      <c r="Z222" s="80" t="n">
        <f aca="false">IF(AND($A222&lt;&gt;"",COUNTIF($A$7:$A$1006,$A222)&gt;1),1,0)</f>
        <v>0</v>
      </c>
    </row>
    <row r="223" customFormat="false" ht="15" hidden="false" customHeight="false" outlineLevel="0" collapsed="false">
      <c r="A223" s="71"/>
      <c r="B223" s="72"/>
      <c r="C223" s="73"/>
      <c r="D223" s="73"/>
      <c r="E223" s="74"/>
      <c r="F223" s="74"/>
      <c r="G223" s="72"/>
      <c r="H223" s="74"/>
      <c r="I223" s="72"/>
      <c r="J223" s="73"/>
      <c r="K223" s="73"/>
      <c r="L223" s="75" t="str">
        <f aca="false">IF(OR($A223&lt;&gt;"",$E223&lt;&gt;""),N($F223)+N($H223),"")</f>
        <v/>
      </c>
      <c r="M223" s="76" t="str">
        <f aca="false">IF(OR($O223="",$O223="Cancelled",$O223="Amount missing"),"",IF($O223="Realised",0,$E223-N($F223)-N($H223)))</f>
        <v/>
      </c>
      <c r="N223" s="77" t="str">
        <f aca="false">IF(OR($M223="",FX=""),"",$M223*FX)</f>
        <v/>
      </c>
      <c r="O223" s="78" t="str">
        <f aca="false">IF(NOT(OR($A223&lt;&gt;"",$E223&lt;&gt;"")),"",IF($J223="Cancelled","Cancelled",IF($E223="","Amount missing",IF(OR($J223="Settled",$E223-N($F223)-N($H223)&lt;=0.005),"Realised",IF(N($H223)&gt;0,"Part realised",IF(N($F223)&gt;0,"Advance received","On hand"))))))</f>
        <v/>
      </c>
      <c r="P223" s="79" t="str">
        <f aca="false">IF(AND($V223=1,ISNUMBER($B223)),AsAt-$B223,"")</f>
        <v/>
      </c>
      <c r="Q223" s="78" t="str">
        <f aca="false">IF($V223&lt;&gt;1,"",IF($P223="","No invoice date",IF($P223&lt;=30,"0–30 days",IF($P223&lt;=60,"31–60 days",IF($P223&lt;=90,"61–90 days","Over 90 days")))))</f>
        <v/>
      </c>
      <c r="R223" s="80" t="str">
        <f aca="false">IF($V223=1,ROW(),"")</f>
        <v/>
      </c>
      <c r="S223" s="80" t="str">
        <f aca="false">IF(OR($A223&lt;&gt;"",$E223&lt;&gt;""),IF(TRIM($D223)="","Buyer not noted",TRIM($D223)),"")</f>
        <v/>
      </c>
      <c r="T223" s="80" t="n">
        <f aca="false">IF(AND($V223=1,ISNUMBER($M223)),$M223,0)</f>
        <v>0</v>
      </c>
      <c r="U223" s="80" t="str">
        <f aca="false">IF($V223=1,IF(COUNTIFS($S$7:$S223,$S223,$V$7:$V223,1)=1,SUMIFS($T$7:$T$1006,$S$7:$S$1006,$S223)-ROW()/1000000000,""),"")</f>
        <v/>
      </c>
      <c r="V223" s="80" t="n">
        <f aca="false">IF(OR($O223="On hand",$O223="Advance received",$O223="Part realised",$O223="Amount missing"),1,0)</f>
        <v>0</v>
      </c>
      <c r="W223" s="80" t="str">
        <f aca="false">IF(AND($V223=1,N($F223)&gt;0),ROW(),"")</f>
        <v/>
      </c>
      <c r="X223" s="80" t="n">
        <f aca="false">IF(AND(OR($A223&lt;&gt;"",$E223&lt;&gt;""),$O223&lt;&gt;"Cancelled",ISNUMBER($E223),N($F223)+N($H223)&gt;$E223+0.005),1,0)</f>
        <v>0</v>
      </c>
      <c r="Y223" s="80" t="n">
        <f aca="false">IF(AND(OR($A223&lt;&gt;"",$E223&lt;&gt;""),OR($A223="",$E223="")),1,0)</f>
        <v>0</v>
      </c>
      <c r="Z223" s="80" t="n">
        <f aca="false">IF(AND($A223&lt;&gt;"",COUNTIF($A$7:$A$1006,$A223)&gt;1),1,0)</f>
        <v>0</v>
      </c>
    </row>
    <row r="224" customFormat="false" ht="15" hidden="false" customHeight="false" outlineLevel="0" collapsed="false">
      <c r="A224" s="71"/>
      <c r="B224" s="72"/>
      <c r="C224" s="73"/>
      <c r="D224" s="73"/>
      <c r="E224" s="74"/>
      <c r="F224" s="74"/>
      <c r="G224" s="72"/>
      <c r="H224" s="74"/>
      <c r="I224" s="72"/>
      <c r="J224" s="73"/>
      <c r="K224" s="73"/>
      <c r="L224" s="75" t="str">
        <f aca="false">IF(OR($A224&lt;&gt;"",$E224&lt;&gt;""),N($F224)+N($H224),"")</f>
        <v/>
      </c>
      <c r="M224" s="76" t="str">
        <f aca="false">IF(OR($O224="",$O224="Cancelled",$O224="Amount missing"),"",IF($O224="Realised",0,$E224-N($F224)-N($H224)))</f>
        <v/>
      </c>
      <c r="N224" s="77" t="str">
        <f aca="false">IF(OR($M224="",FX=""),"",$M224*FX)</f>
        <v/>
      </c>
      <c r="O224" s="78" t="str">
        <f aca="false">IF(NOT(OR($A224&lt;&gt;"",$E224&lt;&gt;"")),"",IF($J224="Cancelled","Cancelled",IF($E224="","Amount missing",IF(OR($J224="Settled",$E224-N($F224)-N($H224)&lt;=0.005),"Realised",IF(N($H224)&gt;0,"Part realised",IF(N($F224)&gt;0,"Advance received","On hand"))))))</f>
        <v/>
      </c>
      <c r="P224" s="79" t="str">
        <f aca="false">IF(AND($V224=1,ISNUMBER($B224)),AsAt-$B224,"")</f>
        <v/>
      </c>
      <c r="Q224" s="78" t="str">
        <f aca="false">IF($V224&lt;&gt;1,"",IF($P224="","No invoice date",IF($P224&lt;=30,"0–30 days",IF($P224&lt;=60,"31–60 days",IF($P224&lt;=90,"61–90 days","Over 90 days")))))</f>
        <v/>
      </c>
      <c r="R224" s="80" t="str">
        <f aca="false">IF($V224=1,ROW(),"")</f>
        <v/>
      </c>
      <c r="S224" s="80" t="str">
        <f aca="false">IF(OR($A224&lt;&gt;"",$E224&lt;&gt;""),IF(TRIM($D224)="","Buyer not noted",TRIM($D224)),"")</f>
        <v/>
      </c>
      <c r="T224" s="80" t="n">
        <f aca="false">IF(AND($V224=1,ISNUMBER($M224)),$M224,0)</f>
        <v>0</v>
      </c>
      <c r="U224" s="80" t="str">
        <f aca="false">IF($V224=1,IF(COUNTIFS($S$7:$S224,$S224,$V$7:$V224,1)=1,SUMIFS($T$7:$T$1006,$S$7:$S$1006,$S224)-ROW()/1000000000,""),"")</f>
        <v/>
      </c>
      <c r="V224" s="80" t="n">
        <f aca="false">IF(OR($O224="On hand",$O224="Advance received",$O224="Part realised",$O224="Amount missing"),1,0)</f>
        <v>0</v>
      </c>
      <c r="W224" s="80" t="str">
        <f aca="false">IF(AND($V224=1,N($F224)&gt;0),ROW(),"")</f>
        <v/>
      </c>
      <c r="X224" s="80" t="n">
        <f aca="false">IF(AND(OR($A224&lt;&gt;"",$E224&lt;&gt;""),$O224&lt;&gt;"Cancelled",ISNUMBER($E224),N($F224)+N($H224)&gt;$E224+0.005),1,0)</f>
        <v>0</v>
      </c>
      <c r="Y224" s="80" t="n">
        <f aca="false">IF(AND(OR($A224&lt;&gt;"",$E224&lt;&gt;""),OR($A224="",$E224="")),1,0)</f>
        <v>0</v>
      </c>
      <c r="Z224" s="80" t="n">
        <f aca="false">IF(AND($A224&lt;&gt;"",COUNTIF($A$7:$A$1006,$A224)&gt;1),1,0)</f>
        <v>0</v>
      </c>
    </row>
    <row r="225" customFormat="false" ht="15" hidden="false" customHeight="false" outlineLevel="0" collapsed="false">
      <c r="A225" s="71"/>
      <c r="B225" s="72"/>
      <c r="C225" s="73"/>
      <c r="D225" s="73"/>
      <c r="E225" s="74"/>
      <c r="F225" s="74"/>
      <c r="G225" s="72"/>
      <c r="H225" s="74"/>
      <c r="I225" s="72"/>
      <c r="J225" s="73"/>
      <c r="K225" s="73"/>
      <c r="L225" s="75" t="str">
        <f aca="false">IF(OR($A225&lt;&gt;"",$E225&lt;&gt;""),N($F225)+N($H225),"")</f>
        <v/>
      </c>
      <c r="M225" s="76" t="str">
        <f aca="false">IF(OR($O225="",$O225="Cancelled",$O225="Amount missing"),"",IF($O225="Realised",0,$E225-N($F225)-N($H225)))</f>
        <v/>
      </c>
      <c r="N225" s="77" t="str">
        <f aca="false">IF(OR($M225="",FX=""),"",$M225*FX)</f>
        <v/>
      </c>
      <c r="O225" s="78" t="str">
        <f aca="false">IF(NOT(OR($A225&lt;&gt;"",$E225&lt;&gt;"")),"",IF($J225="Cancelled","Cancelled",IF($E225="","Amount missing",IF(OR($J225="Settled",$E225-N($F225)-N($H225)&lt;=0.005),"Realised",IF(N($H225)&gt;0,"Part realised",IF(N($F225)&gt;0,"Advance received","On hand"))))))</f>
        <v/>
      </c>
      <c r="P225" s="79" t="str">
        <f aca="false">IF(AND($V225=1,ISNUMBER($B225)),AsAt-$B225,"")</f>
        <v/>
      </c>
      <c r="Q225" s="78" t="str">
        <f aca="false">IF($V225&lt;&gt;1,"",IF($P225="","No invoice date",IF($P225&lt;=30,"0–30 days",IF($P225&lt;=60,"31–60 days",IF($P225&lt;=90,"61–90 days","Over 90 days")))))</f>
        <v/>
      </c>
      <c r="R225" s="80" t="str">
        <f aca="false">IF($V225=1,ROW(),"")</f>
        <v/>
      </c>
      <c r="S225" s="80" t="str">
        <f aca="false">IF(OR($A225&lt;&gt;"",$E225&lt;&gt;""),IF(TRIM($D225)="","Buyer not noted",TRIM($D225)),"")</f>
        <v/>
      </c>
      <c r="T225" s="80" t="n">
        <f aca="false">IF(AND($V225=1,ISNUMBER($M225)),$M225,0)</f>
        <v>0</v>
      </c>
      <c r="U225" s="80" t="str">
        <f aca="false">IF($V225=1,IF(COUNTIFS($S$7:$S225,$S225,$V$7:$V225,1)=1,SUMIFS($T$7:$T$1006,$S$7:$S$1006,$S225)-ROW()/1000000000,""),"")</f>
        <v/>
      </c>
      <c r="V225" s="80" t="n">
        <f aca="false">IF(OR($O225="On hand",$O225="Advance received",$O225="Part realised",$O225="Amount missing"),1,0)</f>
        <v>0</v>
      </c>
      <c r="W225" s="80" t="str">
        <f aca="false">IF(AND($V225=1,N($F225)&gt;0),ROW(),"")</f>
        <v/>
      </c>
      <c r="X225" s="80" t="n">
        <f aca="false">IF(AND(OR($A225&lt;&gt;"",$E225&lt;&gt;""),$O225&lt;&gt;"Cancelled",ISNUMBER($E225),N($F225)+N($H225)&gt;$E225+0.005),1,0)</f>
        <v>0</v>
      </c>
      <c r="Y225" s="80" t="n">
        <f aca="false">IF(AND(OR($A225&lt;&gt;"",$E225&lt;&gt;""),OR($A225="",$E225="")),1,0)</f>
        <v>0</v>
      </c>
      <c r="Z225" s="80" t="n">
        <f aca="false">IF(AND($A225&lt;&gt;"",COUNTIF($A$7:$A$1006,$A225)&gt;1),1,0)</f>
        <v>0</v>
      </c>
    </row>
    <row r="226" customFormat="false" ht="15" hidden="false" customHeight="false" outlineLevel="0" collapsed="false">
      <c r="A226" s="71"/>
      <c r="B226" s="72"/>
      <c r="C226" s="73"/>
      <c r="D226" s="73"/>
      <c r="E226" s="74"/>
      <c r="F226" s="74"/>
      <c r="G226" s="72"/>
      <c r="H226" s="74"/>
      <c r="I226" s="72"/>
      <c r="J226" s="73"/>
      <c r="K226" s="73"/>
      <c r="L226" s="75" t="str">
        <f aca="false">IF(OR($A226&lt;&gt;"",$E226&lt;&gt;""),N($F226)+N($H226),"")</f>
        <v/>
      </c>
      <c r="M226" s="76" t="str">
        <f aca="false">IF(OR($O226="",$O226="Cancelled",$O226="Amount missing"),"",IF($O226="Realised",0,$E226-N($F226)-N($H226)))</f>
        <v/>
      </c>
      <c r="N226" s="77" t="str">
        <f aca="false">IF(OR($M226="",FX=""),"",$M226*FX)</f>
        <v/>
      </c>
      <c r="O226" s="78" t="str">
        <f aca="false">IF(NOT(OR($A226&lt;&gt;"",$E226&lt;&gt;"")),"",IF($J226="Cancelled","Cancelled",IF($E226="","Amount missing",IF(OR($J226="Settled",$E226-N($F226)-N($H226)&lt;=0.005),"Realised",IF(N($H226)&gt;0,"Part realised",IF(N($F226)&gt;0,"Advance received","On hand"))))))</f>
        <v/>
      </c>
      <c r="P226" s="79" t="str">
        <f aca="false">IF(AND($V226=1,ISNUMBER($B226)),AsAt-$B226,"")</f>
        <v/>
      </c>
      <c r="Q226" s="78" t="str">
        <f aca="false">IF($V226&lt;&gt;1,"",IF($P226="","No invoice date",IF($P226&lt;=30,"0–30 days",IF($P226&lt;=60,"31–60 days",IF($P226&lt;=90,"61–90 days","Over 90 days")))))</f>
        <v/>
      </c>
      <c r="R226" s="80" t="str">
        <f aca="false">IF($V226=1,ROW(),"")</f>
        <v/>
      </c>
      <c r="S226" s="80" t="str">
        <f aca="false">IF(OR($A226&lt;&gt;"",$E226&lt;&gt;""),IF(TRIM($D226)="","Buyer not noted",TRIM($D226)),"")</f>
        <v/>
      </c>
      <c r="T226" s="80" t="n">
        <f aca="false">IF(AND($V226=1,ISNUMBER($M226)),$M226,0)</f>
        <v>0</v>
      </c>
      <c r="U226" s="80" t="str">
        <f aca="false">IF($V226=1,IF(COUNTIFS($S$7:$S226,$S226,$V$7:$V226,1)=1,SUMIFS($T$7:$T$1006,$S$7:$S$1006,$S226)-ROW()/1000000000,""),"")</f>
        <v/>
      </c>
      <c r="V226" s="80" t="n">
        <f aca="false">IF(OR($O226="On hand",$O226="Advance received",$O226="Part realised",$O226="Amount missing"),1,0)</f>
        <v>0</v>
      </c>
      <c r="W226" s="80" t="str">
        <f aca="false">IF(AND($V226=1,N($F226)&gt;0),ROW(),"")</f>
        <v/>
      </c>
      <c r="X226" s="80" t="n">
        <f aca="false">IF(AND(OR($A226&lt;&gt;"",$E226&lt;&gt;""),$O226&lt;&gt;"Cancelled",ISNUMBER($E226),N($F226)+N($H226)&gt;$E226+0.005),1,0)</f>
        <v>0</v>
      </c>
      <c r="Y226" s="80" t="n">
        <f aca="false">IF(AND(OR($A226&lt;&gt;"",$E226&lt;&gt;""),OR($A226="",$E226="")),1,0)</f>
        <v>0</v>
      </c>
      <c r="Z226" s="80" t="n">
        <f aca="false">IF(AND($A226&lt;&gt;"",COUNTIF($A$7:$A$1006,$A226)&gt;1),1,0)</f>
        <v>0</v>
      </c>
    </row>
    <row r="227" customFormat="false" ht="15" hidden="false" customHeight="false" outlineLevel="0" collapsed="false">
      <c r="A227" s="71"/>
      <c r="B227" s="72"/>
      <c r="C227" s="73"/>
      <c r="D227" s="73"/>
      <c r="E227" s="74"/>
      <c r="F227" s="74"/>
      <c r="G227" s="72"/>
      <c r="H227" s="74"/>
      <c r="I227" s="72"/>
      <c r="J227" s="73"/>
      <c r="K227" s="73"/>
      <c r="L227" s="75" t="str">
        <f aca="false">IF(OR($A227&lt;&gt;"",$E227&lt;&gt;""),N($F227)+N($H227),"")</f>
        <v/>
      </c>
      <c r="M227" s="76" t="str">
        <f aca="false">IF(OR($O227="",$O227="Cancelled",$O227="Amount missing"),"",IF($O227="Realised",0,$E227-N($F227)-N($H227)))</f>
        <v/>
      </c>
      <c r="N227" s="77" t="str">
        <f aca="false">IF(OR($M227="",FX=""),"",$M227*FX)</f>
        <v/>
      </c>
      <c r="O227" s="78" t="str">
        <f aca="false">IF(NOT(OR($A227&lt;&gt;"",$E227&lt;&gt;"")),"",IF($J227="Cancelled","Cancelled",IF($E227="","Amount missing",IF(OR($J227="Settled",$E227-N($F227)-N($H227)&lt;=0.005),"Realised",IF(N($H227)&gt;0,"Part realised",IF(N($F227)&gt;0,"Advance received","On hand"))))))</f>
        <v/>
      </c>
      <c r="P227" s="79" t="str">
        <f aca="false">IF(AND($V227=1,ISNUMBER($B227)),AsAt-$B227,"")</f>
        <v/>
      </c>
      <c r="Q227" s="78" t="str">
        <f aca="false">IF($V227&lt;&gt;1,"",IF($P227="","No invoice date",IF($P227&lt;=30,"0–30 days",IF($P227&lt;=60,"31–60 days",IF($P227&lt;=90,"61–90 days","Over 90 days")))))</f>
        <v/>
      </c>
      <c r="R227" s="80" t="str">
        <f aca="false">IF($V227=1,ROW(),"")</f>
        <v/>
      </c>
      <c r="S227" s="80" t="str">
        <f aca="false">IF(OR($A227&lt;&gt;"",$E227&lt;&gt;""),IF(TRIM($D227)="","Buyer not noted",TRIM($D227)),"")</f>
        <v/>
      </c>
      <c r="T227" s="80" t="n">
        <f aca="false">IF(AND($V227=1,ISNUMBER($M227)),$M227,0)</f>
        <v>0</v>
      </c>
      <c r="U227" s="80" t="str">
        <f aca="false">IF($V227=1,IF(COUNTIFS($S$7:$S227,$S227,$V$7:$V227,1)=1,SUMIFS($T$7:$T$1006,$S$7:$S$1006,$S227)-ROW()/1000000000,""),"")</f>
        <v/>
      </c>
      <c r="V227" s="80" t="n">
        <f aca="false">IF(OR($O227="On hand",$O227="Advance received",$O227="Part realised",$O227="Amount missing"),1,0)</f>
        <v>0</v>
      </c>
      <c r="W227" s="80" t="str">
        <f aca="false">IF(AND($V227=1,N($F227)&gt;0),ROW(),"")</f>
        <v/>
      </c>
      <c r="X227" s="80" t="n">
        <f aca="false">IF(AND(OR($A227&lt;&gt;"",$E227&lt;&gt;""),$O227&lt;&gt;"Cancelled",ISNUMBER($E227),N($F227)+N($H227)&gt;$E227+0.005),1,0)</f>
        <v>0</v>
      </c>
      <c r="Y227" s="80" t="n">
        <f aca="false">IF(AND(OR($A227&lt;&gt;"",$E227&lt;&gt;""),OR($A227="",$E227="")),1,0)</f>
        <v>0</v>
      </c>
      <c r="Z227" s="80" t="n">
        <f aca="false">IF(AND($A227&lt;&gt;"",COUNTIF($A$7:$A$1006,$A227)&gt;1),1,0)</f>
        <v>0</v>
      </c>
    </row>
    <row r="228" customFormat="false" ht="15" hidden="false" customHeight="false" outlineLevel="0" collapsed="false">
      <c r="A228" s="71"/>
      <c r="B228" s="72"/>
      <c r="C228" s="73"/>
      <c r="D228" s="73"/>
      <c r="E228" s="74"/>
      <c r="F228" s="74"/>
      <c r="G228" s="72"/>
      <c r="H228" s="74"/>
      <c r="I228" s="72"/>
      <c r="J228" s="73"/>
      <c r="K228" s="73"/>
      <c r="L228" s="75" t="str">
        <f aca="false">IF(OR($A228&lt;&gt;"",$E228&lt;&gt;""),N($F228)+N($H228),"")</f>
        <v/>
      </c>
      <c r="M228" s="76" t="str">
        <f aca="false">IF(OR($O228="",$O228="Cancelled",$O228="Amount missing"),"",IF($O228="Realised",0,$E228-N($F228)-N($H228)))</f>
        <v/>
      </c>
      <c r="N228" s="77" t="str">
        <f aca="false">IF(OR($M228="",FX=""),"",$M228*FX)</f>
        <v/>
      </c>
      <c r="O228" s="78" t="str">
        <f aca="false">IF(NOT(OR($A228&lt;&gt;"",$E228&lt;&gt;"")),"",IF($J228="Cancelled","Cancelled",IF($E228="","Amount missing",IF(OR($J228="Settled",$E228-N($F228)-N($H228)&lt;=0.005),"Realised",IF(N($H228)&gt;0,"Part realised",IF(N($F228)&gt;0,"Advance received","On hand"))))))</f>
        <v/>
      </c>
      <c r="P228" s="79" t="str">
        <f aca="false">IF(AND($V228=1,ISNUMBER($B228)),AsAt-$B228,"")</f>
        <v/>
      </c>
      <c r="Q228" s="78" t="str">
        <f aca="false">IF($V228&lt;&gt;1,"",IF($P228="","No invoice date",IF($P228&lt;=30,"0–30 days",IF($P228&lt;=60,"31–60 days",IF($P228&lt;=90,"61–90 days","Over 90 days")))))</f>
        <v/>
      </c>
      <c r="R228" s="80" t="str">
        <f aca="false">IF($V228=1,ROW(),"")</f>
        <v/>
      </c>
      <c r="S228" s="80" t="str">
        <f aca="false">IF(OR($A228&lt;&gt;"",$E228&lt;&gt;""),IF(TRIM($D228)="","Buyer not noted",TRIM($D228)),"")</f>
        <v/>
      </c>
      <c r="T228" s="80" t="n">
        <f aca="false">IF(AND($V228=1,ISNUMBER($M228)),$M228,0)</f>
        <v>0</v>
      </c>
      <c r="U228" s="80" t="str">
        <f aca="false">IF($V228=1,IF(COUNTIFS($S$7:$S228,$S228,$V$7:$V228,1)=1,SUMIFS($T$7:$T$1006,$S$7:$S$1006,$S228)-ROW()/1000000000,""),"")</f>
        <v/>
      </c>
      <c r="V228" s="80" t="n">
        <f aca="false">IF(OR($O228="On hand",$O228="Advance received",$O228="Part realised",$O228="Amount missing"),1,0)</f>
        <v>0</v>
      </c>
      <c r="W228" s="80" t="str">
        <f aca="false">IF(AND($V228=1,N($F228)&gt;0),ROW(),"")</f>
        <v/>
      </c>
      <c r="X228" s="80" t="n">
        <f aca="false">IF(AND(OR($A228&lt;&gt;"",$E228&lt;&gt;""),$O228&lt;&gt;"Cancelled",ISNUMBER($E228),N($F228)+N($H228)&gt;$E228+0.005),1,0)</f>
        <v>0</v>
      </c>
      <c r="Y228" s="80" t="n">
        <f aca="false">IF(AND(OR($A228&lt;&gt;"",$E228&lt;&gt;""),OR($A228="",$E228="")),1,0)</f>
        <v>0</v>
      </c>
      <c r="Z228" s="80" t="n">
        <f aca="false">IF(AND($A228&lt;&gt;"",COUNTIF($A$7:$A$1006,$A228)&gt;1),1,0)</f>
        <v>0</v>
      </c>
    </row>
    <row r="229" customFormat="false" ht="15" hidden="false" customHeight="false" outlineLevel="0" collapsed="false">
      <c r="A229" s="71"/>
      <c r="B229" s="72"/>
      <c r="C229" s="73"/>
      <c r="D229" s="73"/>
      <c r="E229" s="74"/>
      <c r="F229" s="74"/>
      <c r="G229" s="72"/>
      <c r="H229" s="74"/>
      <c r="I229" s="72"/>
      <c r="J229" s="73"/>
      <c r="K229" s="73"/>
      <c r="L229" s="75" t="str">
        <f aca="false">IF(OR($A229&lt;&gt;"",$E229&lt;&gt;""),N($F229)+N($H229),"")</f>
        <v/>
      </c>
      <c r="M229" s="76" t="str">
        <f aca="false">IF(OR($O229="",$O229="Cancelled",$O229="Amount missing"),"",IF($O229="Realised",0,$E229-N($F229)-N($H229)))</f>
        <v/>
      </c>
      <c r="N229" s="77" t="str">
        <f aca="false">IF(OR($M229="",FX=""),"",$M229*FX)</f>
        <v/>
      </c>
      <c r="O229" s="78" t="str">
        <f aca="false">IF(NOT(OR($A229&lt;&gt;"",$E229&lt;&gt;"")),"",IF($J229="Cancelled","Cancelled",IF($E229="","Amount missing",IF(OR($J229="Settled",$E229-N($F229)-N($H229)&lt;=0.005),"Realised",IF(N($H229)&gt;0,"Part realised",IF(N($F229)&gt;0,"Advance received","On hand"))))))</f>
        <v/>
      </c>
      <c r="P229" s="79" t="str">
        <f aca="false">IF(AND($V229=1,ISNUMBER($B229)),AsAt-$B229,"")</f>
        <v/>
      </c>
      <c r="Q229" s="78" t="str">
        <f aca="false">IF($V229&lt;&gt;1,"",IF($P229="","No invoice date",IF($P229&lt;=30,"0–30 days",IF($P229&lt;=60,"31–60 days",IF($P229&lt;=90,"61–90 days","Over 90 days")))))</f>
        <v/>
      </c>
      <c r="R229" s="80" t="str">
        <f aca="false">IF($V229=1,ROW(),"")</f>
        <v/>
      </c>
      <c r="S229" s="80" t="str">
        <f aca="false">IF(OR($A229&lt;&gt;"",$E229&lt;&gt;""),IF(TRIM($D229)="","Buyer not noted",TRIM($D229)),"")</f>
        <v/>
      </c>
      <c r="T229" s="80" t="n">
        <f aca="false">IF(AND($V229=1,ISNUMBER($M229)),$M229,0)</f>
        <v>0</v>
      </c>
      <c r="U229" s="80" t="str">
        <f aca="false">IF($V229=1,IF(COUNTIFS($S$7:$S229,$S229,$V$7:$V229,1)=1,SUMIFS($T$7:$T$1006,$S$7:$S$1006,$S229)-ROW()/1000000000,""),"")</f>
        <v/>
      </c>
      <c r="V229" s="80" t="n">
        <f aca="false">IF(OR($O229="On hand",$O229="Advance received",$O229="Part realised",$O229="Amount missing"),1,0)</f>
        <v>0</v>
      </c>
      <c r="W229" s="80" t="str">
        <f aca="false">IF(AND($V229=1,N($F229)&gt;0),ROW(),"")</f>
        <v/>
      </c>
      <c r="X229" s="80" t="n">
        <f aca="false">IF(AND(OR($A229&lt;&gt;"",$E229&lt;&gt;""),$O229&lt;&gt;"Cancelled",ISNUMBER($E229),N($F229)+N($H229)&gt;$E229+0.005),1,0)</f>
        <v>0</v>
      </c>
      <c r="Y229" s="80" t="n">
        <f aca="false">IF(AND(OR($A229&lt;&gt;"",$E229&lt;&gt;""),OR($A229="",$E229="")),1,0)</f>
        <v>0</v>
      </c>
      <c r="Z229" s="80" t="n">
        <f aca="false">IF(AND($A229&lt;&gt;"",COUNTIF($A$7:$A$1006,$A229)&gt;1),1,0)</f>
        <v>0</v>
      </c>
    </row>
    <row r="230" customFormat="false" ht="15" hidden="false" customHeight="false" outlineLevel="0" collapsed="false">
      <c r="A230" s="71"/>
      <c r="B230" s="72"/>
      <c r="C230" s="73"/>
      <c r="D230" s="73"/>
      <c r="E230" s="74"/>
      <c r="F230" s="74"/>
      <c r="G230" s="72"/>
      <c r="H230" s="74"/>
      <c r="I230" s="72"/>
      <c r="J230" s="73"/>
      <c r="K230" s="73"/>
      <c r="L230" s="75" t="str">
        <f aca="false">IF(OR($A230&lt;&gt;"",$E230&lt;&gt;""),N($F230)+N($H230),"")</f>
        <v/>
      </c>
      <c r="M230" s="76" t="str">
        <f aca="false">IF(OR($O230="",$O230="Cancelled",$O230="Amount missing"),"",IF($O230="Realised",0,$E230-N($F230)-N($H230)))</f>
        <v/>
      </c>
      <c r="N230" s="77" t="str">
        <f aca="false">IF(OR($M230="",FX=""),"",$M230*FX)</f>
        <v/>
      </c>
      <c r="O230" s="78" t="str">
        <f aca="false">IF(NOT(OR($A230&lt;&gt;"",$E230&lt;&gt;"")),"",IF($J230="Cancelled","Cancelled",IF($E230="","Amount missing",IF(OR($J230="Settled",$E230-N($F230)-N($H230)&lt;=0.005),"Realised",IF(N($H230)&gt;0,"Part realised",IF(N($F230)&gt;0,"Advance received","On hand"))))))</f>
        <v/>
      </c>
      <c r="P230" s="79" t="str">
        <f aca="false">IF(AND($V230=1,ISNUMBER($B230)),AsAt-$B230,"")</f>
        <v/>
      </c>
      <c r="Q230" s="78" t="str">
        <f aca="false">IF($V230&lt;&gt;1,"",IF($P230="","No invoice date",IF($P230&lt;=30,"0–30 days",IF($P230&lt;=60,"31–60 days",IF($P230&lt;=90,"61–90 days","Over 90 days")))))</f>
        <v/>
      </c>
      <c r="R230" s="80" t="str">
        <f aca="false">IF($V230=1,ROW(),"")</f>
        <v/>
      </c>
      <c r="S230" s="80" t="str">
        <f aca="false">IF(OR($A230&lt;&gt;"",$E230&lt;&gt;""),IF(TRIM($D230)="","Buyer not noted",TRIM($D230)),"")</f>
        <v/>
      </c>
      <c r="T230" s="80" t="n">
        <f aca="false">IF(AND($V230=1,ISNUMBER($M230)),$M230,0)</f>
        <v>0</v>
      </c>
      <c r="U230" s="80" t="str">
        <f aca="false">IF($V230=1,IF(COUNTIFS($S$7:$S230,$S230,$V$7:$V230,1)=1,SUMIFS($T$7:$T$1006,$S$7:$S$1006,$S230)-ROW()/1000000000,""),"")</f>
        <v/>
      </c>
      <c r="V230" s="80" t="n">
        <f aca="false">IF(OR($O230="On hand",$O230="Advance received",$O230="Part realised",$O230="Amount missing"),1,0)</f>
        <v>0</v>
      </c>
      <c r="W230" s="80" t="str">
        <f aca="false">IF(AND($V230=1,N($F230)&gt;0),ROW(),"")</f>
        <v/>
      </c>
      <c r="X230" s="80" t="n">
        <f aca="false">IF(AND(OR($A230&lt;&gt;"",$E230&lt;&gt;""),$O230&lt;&gt;"Cancelled",ISNUMBER($E230),N($F230)+N($H230)&gt;$E230+0.005),1,0)</f>
        <v>0</v>
      </c>
      <c r="Y230" s="80" t="n">
        <f aca="false">IF(AND(OR($A230&lt;&gt;"",$E230&lt;&gt;""),OR($A230="",$E230="")),1,0)</f>
        <v>0</v>
      </c>
      <c r="Z230" s="80" t="n">
        <f aca="false">IF(AND($A230&lt;&gt;"",COUNTIF($A$7:$A$1006,$A230)&gt;1),1,0)</f>
        <v>0</v>
      </c>
    </row>
    <row r="231" customFormat="false" ht="15" hidden="false" customHeight="false" outlineLevel="0" collapsed="false">
      <c r="A231" s="71"/>
      <c r="B231" s="72"/>
      <c r="C231" s="73"/>
      <c r="D231" s="73"/>
      <c r="E231" s="74"/>
      <c r="F231" s="74"/>
      <c r="G231" s="72"/>
      <c r="H231" s="74"/>
      <c r="I231" s="72"/>
      <c r="J231" s="73"/>
      <c r="K231" s="73"/>
      <c r="L231" s="75" t="str">
        <f aca="false">IF(OR($A231&lt;&gt;"",$E231&lt;&gt;""),N($F231)+N($H231),"")</f>
        <v/>
      </c>
      <c r="M231" s="76" t="str">
        <f aca="false">IF(OR($O231="",$O231="Cancelled",$O231="Amount missing"),"",IF($O231="Realised",0,$E231-N($F231)-N($H231)))</f>
        <v/>
      </c>
      <c r="N231" s="77" t="str">
        <f aca="false">IF(OR($M231="",FX=""),"",$M231*FX)</f>
        <v/>
      </c>
      <c r="O231" s="78" t="str">
        <f aca="false">IF(NOT(OR($A231&lt;&gt;"",$E231&lt;&gt;"")),"",IF($J231="Cancelled","Cancelled",IF($E231="","Amount missing",IF(OR($J231="Settled",$E231-N($F231)-N($H231)&lt;=0.005),"Realised",IF(N($H231)&gt;0,"Part realised",IF(N($F231)&gt;0,"Advance received","On hand"))))))</f>
        <v/>
      </c>
      <c r="P231" s="79" t="str">
        <f aca="false">IF(AND($V231=1,ISNUMBER($B231)),AsAt-$B231,"")</f>
        <v/>
      </c>
      <c r="Q231" s="78" t="str">
        <f aca="false">IF($V231&lt;&gt;1,"",IF($P231="","No invoice date",IF($P231&lt;=30,"0–30 days",IF($P231&lt;=60,"31–60 days",IF($P231&lt;=90,"61–90 days","Over 90 days")))))</f>
        <v/>
      </c>
      <c r="R231" s="80" t="str">
        <f aca="false">IF($V231=1,ROW(),"")</f>
        <v/>
      </c>
      <c r="S231" s="80" t="str">
        <f aca="false">IF(OR($A231&lt;&gt;"",$E231&lt;&gt;""),IF(TRIM($D231)="","Buyer not noted",TRIM($D231)),"")</f>
        <v/>
      </c>
      <c r="T231" s="80" t="n">
        <f aca="false">IF(AND($V231=1,ISNUMBER($M231)),$M231,0)</f>
        <v>0</v>
      </c>
      <c r="U231" s="80" t="str">
        <f aca="false">IF($V231=1,IF(COUNTIFS($S$7:$S231,$S231,$V$7:$V231,1)=1,SUMIFS($T$7:$T$1006,$S$7:$S$1006,$S231)-ROW()/1000000000,""),"")</f>
        <v/>
      </c>
      <c r="V231" s="80" t="n">
        <f aca="false">IF(OR($O231="On hand",$O231="Advance received",$O231="Part realised",$O231="Amount missing"),1,0)</f>
        <v>0</v>
      </c>
      <c r="W231" s="80" t="str">
        <f aca="false">IF(AND($V231=1,N($F231)&gt;0),ROW(),"")</f>
        <v/>
      </c>
      <c r="X231" s="80" t="n">
        <f aca="false">IF(AND(OR($A231&lt;&gt;"",$E231&lt;&gt;""),$O231&lt;&gt;"Cancelled",ISNUMBER($E231),N($F231)+N($H231)&gt;$E231+0.005),1,0)</f>
        <v>0</v>
      </c>
      <c r="Y231" s="80" t="n">
        <f aca="false">IF(AND(OR($A231&lt;&gt;"",$E231&lt;&gt;""),OR($A231="",$E231="")),1,0)</f>
        <v>0</v>
      </c>
      <c r="Z231" s="80" t="n">
        <f aca="false">IF(AND($A231&lt;&gt;"",COUNTIF($A$7:$A$1006,$A231)&gt;1),1,0)</f>
        <v>0</v>
      </c>
    </row>
    <row r="232" customFormat="false" ht="15" hidden="false" customHeight="false" outlineLevel="0" collapsed="false">
      <c r="A232" s="71"/>
      <c r="B232" s="72"/>
      <c r="C232" s="73"/>
      <c r="D232" s="73"/>
      <c r="E232" s="74"/>
      <c r="F232" s="74"/>
      <c r="G232" s="72"/>
      <c r="H232" s="74"/>
      <c r="I232" s="72"/>
      <c r="J232" s="73"/>
      <c r="K232" s="73"/>
      <c r="L232" s="75" t="str">
        <f aca="false">IF(OR($A232&lt;&gt;"",$E232&lt;&gt;""),N($F232)+N($H232),"")</f>
        <v/>
      </c>
      <c r="M232" s="76" t="str">
        <f aca="false">IF(OR($O232="",$O232="Cancelled",$O232="Amount missing"),"",IF($O232="Realised",0,$E232-N($F232)-N($H232)))</f>
        <v/>
      </c>
      <c r="N232" s="77" t="str">
        <f aca="false">IF(OR($M232="",FX=""),"",$M232*FX)</f>
        <v/>
      </c>
      <c r="O232" s="78" t="str">
        <f aca="false">IF(NOT(OR($A232&lt;&gt;"",$E232&lt;&gt;"")),"",IF($J232="Cancelled","Cancelled",IF($E232="","Amount missing",IF(OR($J232="Settled",$E232-N($F232)-N($H232)&lt;=0.005),"Realised",IF(N($H232)&gt;0,"Part realised",IF(N($F232)&gt;0,"Advance received","On hand"))))))</f>
        <v/>
      </c>
      <c r="P232" s="79" t="str">
        <f aca="false">IF(AND($V232=1,ISNUMBER($B232)),AsAt-$B232,"")</f>
        <v/>
      </c>
      <c r="Q232" s="78" t="str">
        <f aca="false">IF($V232&lt;&gt;1,"",IF($P232="","No invoice date",IF($P232&lt;=30,"0–30 days",IF($P232&lt;=60,"31–60 days",IF($P232&lt;=90,"61–90 days","Over 90 days")))))</f>
        <v/>
      </c>
      <c r="R232" s="80" t="str">
        <f aca="false">IF($V232=1,ROW(),"")</f>
        <v/>
      </c>
      <c r="S232" s="80" t="str">
        <f aca="false">IF(OR($A232&lt;&gt;"",$E232&lt;&gt;""),IF(TRIM($D232)="","Buyer not noted",TRIM($D232)),"")</f>
        <v/>
      </c>
      <c r="T232" s="80" t="n">
        <f aca="false">IF(AND($V232=1,ISNUMBER($M232)),$M232,0)</f>
        <v>0</v>
      </c>
      <c r="U232" s="80" t="str">
        <f aca="false">IF($V232=1,IF(COUNTIFS($S$7:$S232,$S232,$V$7:$V232,1)=1,SUMIFS($T$7:$T$1006,$S$7:$S$1006,$S232)-ROW()/1000000000,""),"")</f>
        <v/>
      </c>
      <c r="V232" s="80" t="n">
        <f aca="false">IF(OR($O232="On hand",$O232="Advance received",$O232="Part realised",$O232="Amount missing"),1,0)</f>
        <v>0</v>
      </c>
      <c r="W232" s="80" t="str">
        <f aca="false">IF(AND($V232=1,N($F232)&gt;0),ROW(),"")</f>
        <v/>
      </c>
      <c r="X232" s="80" t="n">
        <f aca="false">IF(AND(OR($A232&lt;&gt;"",$E232&lt;&gt;""),$O232&lt;&gt;"Cancelled",ISNUMBER($E232),N($F232)+N($H232)&gt;$E232+0.005),1,0)</f>
        <v>0</v>
      </c>
      <c r="Y232" s="80" t="n">
        <f aca="false">IF(AND(OR($A232&lt;&gt;"",$E232&lt;&gt;""),OR($A232="",$E232="")),1,0)</f>
        <v>0</v>
      </c>
      <c r="Z232" s="80" t="n">
        <f aca="false">IF(AND($A232&lt;&gt;"",COUNTIF($A$7:$A$1006,$A232)&gt;1),1,0)</f>
        <v>0</v>
      </c>
    </row>
    <row r="233" customFormat="false" ht="15" hidden="false" customHeight="false" outlineLevel="0" collapsed="false">
      <c r="A233" s="71"/>
      <c r="B233" s="72"/>
      <c r="C233" s="73"/>
      <c r="D233" s="73"/>
      <c r="E233" s="74"/>
      <c r="F233" s="74"/>
      <c r="G233" s="72"/>
      <c r="H233" s="74"/>
      <c r="I233" s="72"/>
      <c r="J233" s="73"/>
      <c r="K233" s="73"/>
      <c r="L233" s="75" t="str">
        <f aca="false">IF(OR($A233&lt;&gt;"",$E233&lt;&gt;""),N($F233)+N($H233),"")</f>
        <v/>
      </c>
      <c r="M233" s="76" t="str">
        <f aca="false">IF(OR($O233="",$O233="Cancelled",$O233="Amount missing"),"",IF($O233="Realised",0,$E233-N($F233)-N($H233)))</f>
        <v/>
      </c>
      <c r="N233" s="77" t="str">
        <f aca="false">IF(OR($M233="",FX=""),"",$M233*FX)</f>
        <v/>
      </c>
      <c r="O233" s="78" t="str">
        <f aca="false">IF(NOT(OR($A233&lt;&gt;"",$E233&lt;&gt;"")),"",IF($J233="Cancelled","Cancelled",IF($E233="","Amount missing",IF(OR($J233="Settled",$E233-N($F233)-N($H233)&lt;=0.005),"Realised",IF(N($H233)&gt;0,"Part realised",IF(N($F233)&gt;0,"Advance received","On hand"))))))</f>
        <v/>
      </c>
      <c r="P233" s="79" t="str">
        <f aca="false">IF(AND($V233=1,ISNUMBER($B233)),AsAt-$B233,"")</f>
        <v/>
      </c>
      <c r="Q233" s="78" t="str">
        <f aca="false">IF($V233&lt;&gt;1,"",IF($P233="","No invoice date",IF($P233&lt;=30,"0–30 days",IF($P233&lt;=60,"31–60 days",IF($P233&lt;=90,"61–90 days","Over 90 days")))))</f>
        <v/>
      </c>
      <c r="R233" s="80" t="str">
        <f aca="false">IF($V233=1,ROW(),"")</f>
        <v/>
      </c>
      <c r="S233" s="80" t="str">
        <f aca="false">IF(OR($A233&lt;&gt;"",$E233&lt;&gt;""),IF(TRIM($D233)="","Buyer not noted",TRIM($D233)),"")</f>
        <v/>
      </c>
      <c r="T233" s="80" t="n">
        <f aca="false">IF(AND($V233=1,ISNUMBER($M233)),$M233,0)</f>
        <v>0</v>
      </c>
      <c r="U233" s="80" t="str">
        <f aca="false">IF($V233=1,IF(COUNTIFS($S$7:$S233,$S233,$V$7:$V233,1)=1,SUMIFS($T$7:$T$1006,$S$7:$S$1006,$S233)-ROW()/1000000000,""),"")</f>
        <v/>
      </c>
      <c r="V233" s="80" t="n">
        <f aca="false">IF(OR($O233="On hand",$O233="Advance received",$O233="Part realised",$O233="Amount missing"),1,0)</f>
        <v>0</v>
      </c>
      <c r="W233" s="80" t="str">
        <f aca="false">IF(AND($V233=1,N($F233)&gt;0),ROW(),"")</f>
        <v/>
      </c>
      <c r="X233" s="80" t="n">
        <f aca="false">IF(AND(OR($A233&lt;&gt;"",$E233&lt;&gt;""),$O233&lt;&gt;"Cancelled",ISNUMBER($E233),N($F233)+N($H233)&gt;$E233+0.005),1,0)</f>
        <v>0</v>
      </c>
      <c r="Y233" s="80" t="n">
        <f aca="false">IF(AND(OR($A233&lt;&gt;"",$E233&lt;&gt;""),OR($A233="",$E233="")),1,0)</f>
        <v>0</v>
      </c>
      <c r="Z233" s="80" t="n">
        <f aca="false">IF(AND($A233&lt;&gt;"",COUNTIF($A$7:$A$1006,$A233)&gt;1),1,0)</f>
        <v>0</v>
      </c>
    </row>
    <row r="234" customFormat="false" ht="15" hidden="false" customHeight="false" outlineLevel="0" collapsed="false">
      <c r="A234" s="71"/>
      <c r="B234" s="72"/>
      <c r="C234" s="73"/>
      <c r="D234" s="73"/>
      <c r="E234" s="74"/>
      <c r="F234" s="74"/>
      <c r="G234" s="72"/>
      <c r="H234" s="74"/>
      <c r="I234" s="72"/>
      <c r="J234" s="73"/>
      <c r="K234" s="73"/>
      <c r="L234" s="75" t="str">
        <f aca="false">IF(OR($A234&lt;&gt;"",$E234&lt;&gt;""),N($F234)+N($H234),"")</f>
        <v/>
      </c>
      <c r="M234" s="76" t="str">
        <f aca="false">IF(OR($O234="",$O234="Cancelled",$O234="Amount missing"),"",IF($O234="Realised",0,$E234-N($F234)-N($H234)))</f>
        <v/>
      </c>
      <c r="N234" s="77" t="str">
        <f aca="false">IF(OR($M234="",FX=""),"",$M234*FX)</f>
        <v/>
      </c>
      <c r="O234" s="78" t="str">
        <f aca="false">IF(NOT(OR($A234&lt;&gt;"",$E234&lt;&gt;"")),"",IF($J234="Cancelled","Cancelled",IF($E234="","Amount missing",IF(OR($J234="Settled",$E234-N($F234)-N($H234)&lt;=0.005),"Realised",IF(N($H234)&gt;0,"Part realised",IF(N($F234)&gt;0,"Advance received","On hand"))))))</f>
        <v/>
      </c>
      <c r="P234" s="79" t="str">
        <f aca="false">IF(AND($V234=1,ISNUMBER($B234)),AsAt-$B234,"")</f>
        <v/>
      </c>
      <c r="Q234" s="78" t="str">
        <f aca="false">IF($V234&lt;&gt;1,"",IF($P234="","No invoice date",IF($P234&lt;=30,"0–30 days",IF($P234&lt;=60,"31–60 days",IF($P234&lt;=90,"61–90 days","Over 90 days")))))</f>
        <v/>
      </c>
      <c r="R234" s="80" t="str">
        <f aca="false">IF($V234=1,ROW(),"")</f>
        <v/>
      </c>
      <c r="S234" s="80" t="str">
        <f aca="false">IF(OR($A234&lt;&gt;"",$E234&lt;&gt;""),IF(TRIM($D234)="","Buyer not noted",TRIM($D234)),"")</f>
        <v/>
      </c>
      <c r="T234" s="80" t="n">
        <f aca="false">IF(AND($V234=1,ISNUMBER($M234)),$M234,0)</f>
        <v>0</v>
      </c>
      <c r="U234" s="80" t="str">
        <f aca="false">IF($V234=1,IF(COUNTIFS($S$7:$S234,$S234,$V$7:$V234,1)=1,SUMIFS($T$7:$T$1006,$S$7:$S$1006,$S234)-ROW()/1000000000,""),"")</f>
        <v/>
      </c>
      <c r="V234" s="80" t="n">
        <f aca="false">IF(OR($O234="On hand",$O234="Advance received",$O234="Part realised",$O234="Amount missing"),1,0)</f>
        <v>0</v>
      </c>
      <c r="W234" s="80" t="str">
        <f aca="false">IF(AND($V234=1,N($F234)&gt;0),ROW(),"")</f>
        <v/>
      </c>
      <c r="X234" s="80" t="n">
        <f aca="false">IF(AND(OR($A234&lt;&gt;"",$E234&lt;&gt;""),$O234&lt;&gt;"Cancelled",ISNUMBER($E234),N($F234)+N($H234)&gt;$E234+0.005),1,0)</f>
        <v>0</v>
      </c>
      <c r="Y234" s="80" t="n">
        <f aca="false">IF(AND(OR($A234&lt;&gt;"",$E234&lt;&gt;""),OR($A234="",$E234="")),1,0)</f>
        <v>0</v>
      </c>
      <c r="Z234" s="80" t="n">
        <f aca="false">IF(AND($A234&lt;&gt;"",COUNTIF($A$7:$A$1006,$A234)&gt;1),1,0)</f>
        <v>0</v>
      </c>
    </row>
    <row r="235" customFormat="false" ht="15" hidden="false" customHeight="false" outlineLevel="0" collapsed="false">
      <c r="A235" s="71"/>
      <c r="B235" s="72"/>
      <c r="C235" s="73"/>
      <c r="D235" s="73"/>
      <c r="E235" s="74"/>
      <c r="F235" s="74"/>
      <c r="G235" s="72"/>
      <c r="H235" s="74"/>
      <c r="I235" s="72"/>
      <c r="J235" s="73"/>
      <c r="K235" s="73"/>
      <c r="L235" s="75" t="str">
        <f aca="false">IF(OR($A235&lt;&gt;"",$E235&lt;&gt;""),N($F235)+N($H235),"")</f>
        <v/>
      </c>
      <c r="M235" s="76" t="str">
        <f aca="false">IF(OR($O235="",$O235="Cancelled",$O235="Amount missing"),"",IF($O235="Realised",0,$E235-N($F235)-N($H235)))</f>
        <v/>
      </c>
      <c r="N235" s="77" t="str">
        <f aca="false">IF(OR($M235="",FX=""),"",$M235*FX)</f>
        <v/>
      </c>
      <c r="O235" s="78" t="str">
        <f aca="false">IF(NOT(OR($A235&lt;&gt;"",$E235&lt;&gt;"")),"",IF($J235="Cancelled","Cancelled",IF($E235="","Amount missing",IF(OR($J235="Settled",$E235-N($F235)-N($H235)&lt;=0.005),"Realised",IF(N($H235)&gt;0,"Part realised",IF(N($F235)&gt;0,"Advance received","On hand"))))))</f>
        <v/>
      </c>
      <c r="P235" s="79" t="str">
        <f aca="false">IF(AND($V235=1,ISNUMBER($B235)),AsAt-$B235,"")</f>
        <v/>
      </c>
      <c r="Q235" s="78" t="str">
        <f aca="false">IF($V235&lt;&gt;1,"",IF($P235="","No invoice date",IF($P235&lt;=30,"0–30 days",IF($P235&lt;=60,"31–60 days",IF($P235&lt;=90,"61–90 days","Over 90 days")))))</f>
        <v/>
      </c>
      <c r="R235" s="80" t="str">
        <f aca="false">IF($V235=1,ROW(),"")</f>
        <v/>
      </c>
      <c r="S235" s="80" t="str">
        <f aca="false">IF(OR($A235&lt;&gt;"",$E235&lt;&gt;""),IF(TRIM($D235)="","Buyer not noted",TRIM($D235)),"")</f>
        <v/>
      </c>
      <c r="T235" s="80" t="n">
        <f aca="false">IF(AND($V235=1,ISNUMBER($M235)),$M235,0)</f>
        <v>0</v>
      </c>
      <c r="U235" s="80" t="str">
        <f aca="false">IF($V235=1,IF(COUNTIFS($S$7:$S235,$S235,$V$7:$V235,1)=1,SUMIFS($T$7:$T$1006,$S$7:$S$1006,$S235)-ROW()/1000000000,""),"")</f>
        <v/>
      </c>
      <c r="V235" s="80" t="n">
        <f aca="false">IF(OR($O235="On hand",$O235="Advance received",$O235="Part realised",$O235="Amount missing"),1,0)</f>
        <v>0</v>
      </c>
      <c r="W235" s="80" t="str">
        <f aca="false">IF(AND($V235=1,N($F235)&gt;0),ROW(),"")</f>
        <v/>
      </c>
      <c r="X235" s="80" t="n">
        <f aca="false">IF(AND(OR($A235&lt;&gt;"",$E235&lt;&gt;""),$O235&lt;&gt;"Cancelled",ISNUMBER($E235),N($F235)+N($H235)&gt;$E235+0.005),1,0)</f>
        <v>0</v>
      </c>
      <c r="Y235" s="80" t="n">
        <f aca="false">IF(AND(OR($A235&lt;&gt;"",$E235&lt;&gt;""),OR($A235="",$E235="")),1,0)</f>
        <v>0</v>
      </c>
      <c r="Z235" s="80" t="n">
        <f aca="false">IF(AND($A235&lt;&gt;"",COUNTIF($A$7:$A$1006,$A235)&gt;1),1,0)</f>
        <v>0</v>
      </c>
    </row>
    <row r="236" customFormat="false" ht="15" hidden="false" customHeight="false" outlineLevel="0" collapsed="false">
      <c r="A236" s="71"/>
      <c r="B236" s="72"/>
      <c r="C236" s="73"/>
      <c r="D236" s="73"/>
      <c r="E236" s="74"/>
      <c r="F236" s="74"/>
      <c r="G236" s="72"/>
      <c r="H236" s="74"/>
      <c r="I236" s="72"/>
      <c r="J236" s="73"/>
      <c r="K236" s="73"/>
      <c r="L236" s="75" t="str">
        <f aca="false">IF(OR($A236&lt;&gt;"",$E236&lt;&gt;""),N($F236)+N($H236),"")</f>
        <v/>
      </c>
      <c r="M236" s="76" t="str">
        <f aca="false">IF(OR($O236="",$O236="Cancelled",$O236="Amount missing"),"",IF($O236="Realised",0,$E236-N($F236)-N($H236)))</f>
        <v/>
      </c>
      <c r="N236" s="77" t="str">
        <f aca="false">IF(OR($M236="",FX=""),"",$M236*FX)</f>
        <v/>
      </c>
      <c r="O236" s="78" t="str">
        <f aca="false">IF(NOT(OR($A236&lt;&gt;"",$E236&lt;&gt;"")),"",IF($J236="Cancelled","Cancelled",IF($E236="","Amount missing",IF(OR($J236="Settled",$E236-N($F236)-N($H236)&lt;=0.005),"Realised",IF(N($H236)&gt;0,"Part realised",IF(N($F236)&gt;0,"Advance received","On hand"))))))</f>
        <v/>
      </c>
      <c r="P236" s="79" t="str">
        <f aca="false">IF(AND($V236=1,ISNUMBER($B236)),AsAt-$B236,"")</f>
        <v/>
      </c>
      <c r="Q236" s="78" t="str">
        <f aca="false">IF($V236&lt;&gt;1,"",IF($P236="","No invoice date",IF($P236&lt;=30,"0–30 days",IF($P236&lt;=60,"31–60 days",IF($P236&lt;=90,"61–90 days","Over 90 days")))))</f>
        <v/>
      </c>
      <c r="R236" s="80" t="str">
        <f aca="false">IF($V236=1,ROW(),"")</f>
        <v/>
      </c>
      <c r="S236" s="80" t="str">
        <f aca="false">IF(OR($A236&lt;&gt;"",$E236&lt;&gt;""),IF(TRIM($D236)="","Buyer not noted",TRIM($D236)),"")</f>
        <v/>
      </c>
      <c r="T236" s="80" t="n">
        <f aca="false">IF(AND($V236=1,ISNUMBER($M236)),$M236,0)</f>
        <v>0</v>
      </c>
      <c r="U236" s="80" t="str">
        <f aca="false">IF($V236=1,IF(COUNTIFS($S$7:$S236,$S236,$V$7:$V236,1)=1,SUMIFS($T$7:$T$1006,$S$7:$S$1006,$S236)-ROW()/1000000000,""),"")</f>
        <v/>
      </c>
      <c r="V236" s="80" t="n">
        <f aca="false">IF(OR($O236="On hand",$O236="Advance received",$O236="Part realised",$O236="Amount missing"),1,0)</f>
        <v>0</v>
      </c>
      <c r="W236" s="80" t="str">
        <f aca="false">IF(AND($V236=1,N($F236)&gt;0),ROW(),"")</f>
        <v/>
      </c>
      <c r="X236" s="80" t="n">
        <f aca="false">IF(AND(OR($A236&lt;&gt;"",$E236&lt;&gt;""),$O236&lt;&gt;"Cancelled",ISNUMBER($E236),N($F236)+N($H236)&gt;$E236+0.005),1,0)</f>
        <v>0</v>
      </c>
      <c r="Y236" s="80" t="n">
        <f aca="false">IF(AND(OR($A236&lt;&gt;"",$E236&lt;&gt;""),OR($A236="",$E236="")),1,0)</f>
        <v>0</v>
      </c>
      <c r="Z236" s="80" t="n">
        <f aca="false">IF(AND($A236&lt;&gt;"",COUNTIF($A$7:$A$1006,$A236)&gt;1),1,0)</f>
        <v>0</v>
      </c>
    </row>
    <row r="237" customFormat="false" ht="15" hidden="false" customHeight="false" outlineLevel="0" collapsed="false">
      <c r="A237" s="71"/>
      <c r="B237" s="72"/>
      <c r="C237" s="73"/>
      <c r="D237" s="73"/>
      <c r="E237" s="74"/>
      <c r="F237" s="74"/>
      <c r="G237" s="72"/>
      <c r="H237" s="74"/>
      <c r="I237" s="72"/>
      <c r="J237" s="73"/>
      <c r="K237" s="73"/>
      <c r="L237" s="75" t="str">
        <f aca="false">IF(OR($A237&lt;&gt;"",$E237&lt;&gt;""),N($F237)+N($H237),"")</f>
        <v/>
      </c>
      <c r="M237" s="76" t="str">
        <f aca="false">IF(OR($O237="",$O237="Cancelled",$O237="Amount missing"),"",IF($O237="Realised",0,$E237-N($F237)-N($H237)))</f>
        <v/>
      </c>
      <c r="N237" s="77" t="str">
        <f aca="false">IF(OR($M237="",FX=""),"",$M237*FX)</f>
        <v/>
      </c>
      <c r="O237" s="78" t="str">
        <f aca="false">IF(NOT(OR($A237&lt;&gt;"",$E237&lt;&gt;"")),"",IF($J237="Cancelled","Cancelled",IF($E237="","Amount missing",IF(OR($J237="Settled",$E237-N($F237)-N($H237)&lt;=0.005),"Realised",IF(N($H237)&gt;0,"Part realised",IF(N($F237)&gt;0,"Advance received","On hand"))))))</f>
        <v/>
      </c>
      <c r="P237" s="79" t="str">
        <f aca="false">IF(AND($V237=1,ISNUMBER($B237)),AsAt-$B237,"")</f>
        <v/>
      </c>
      <c r="Q237" s="78" t="str">
        <f aca="false">IF($V237&lt;&gt;1,"",IF($P237="","No invoice date",IF($P237&lt;=30,"0–30 days",IF($P237&lt;=60,"31–60 days",IF($P237&lt;=90,"61–90 days","Over 90 days")))))</f>
        <v/>
      </c>
      <c r="R237" s="80" t="str">
        <f aca="false">IF($V237=1,ROW(),"")</f>
        <v/>
      </c>
      <c r="S237" s="80" t="str">
        <f aca="false">IF(OR($A237&lt;&gt;"",$E237&lt;&gt;""),IF(TRIM($D237)="","Buyer not noted",TRIM($D237)),"")</f>
        <v/>
      </c>
      <c r="T237" s="80" t="n">
        <f aca="false">IF(AND($V237=1,ISNUMBER($M237)),$M237,0)</f>
        <v>0</v>
      </c>
      <c r="U237" s="80" t="str">
        <f aca="false">IF($V237=1,IF(COUNTIFS($S$7:$S237,$S237,$V$7:$V237,1)=1,SUMIFS($T$7:$T$1006,$S$7:$S$1006,$S237)-ROW()/1000000000,""),"")</f>
        <v/>
      </c>
      <c r="V237" s="80" t="n">
        <f aca="false">IF(OR($O237="On hand",$O237="Advance received",$O237="Part realised",$O237="Amount missing"),1,0)</f>
        <v>0</v>
      </c>
      <c r="W237" s="80" t="str">
        <f aca="false">IF(AND($V237=1,N($F237)&gt;0),ROW(),"")</f>
        <v/>
      </c>
      <c r="X237" s="80" t="n">
        <f aca="false">IF(AND(OR($A237&lt;&gt;"",$E237&lt;&gt;""),$O237&lt;&gt;"Cancelled",ISNUMBER($E237),N($F237)+N($H237)&gt;$E237+0.005),1,0)</f>
        <v>0</v>
      </c>
      <c r="Y237" s="80" t="n">
        <f aca="false">IF(AND(OR($A237&lt;&gt;"",$E237&lt;&gt;""),OR($A237="",$E237="")),1,0)</f>
        <v>0</v>
      </c>
      <c r="Z237" s="80" t="n">
        <f aca="false">IF(AND($A237&lt;&gt;"",COUNTIF($A$7:$A$1006,$A237)&gt;1),1,0)</f>
        <v>0</v>
      </c>
    </row>
    <row r="238" customFormat="false" ht="15" hidden="false" customHeight="false" outlineLevel="0" collapsed="false">
      <c r="A238" s="71"/>
      <c r="B238" s="72"/>
      <c r="C238" s="73"/>
      <c r="D238" s="73"/>
      <c r="E238" s="74"/>
      <c r="F238" s="74"/>
      <c r="G238" s="72"/>
      <c r="H238" s="74"/>
      <c r="I238" s="72"/>
      <c r="J238" s="73"/>
      <c r="K238" s="73"/>
      <c r="L238" s="75" t="str">
        <f aca="false">IF(OR($A238&lt;&gt;"",$E238&lt;&gt;""),N($F238)+N($H238),"")</f>
        <v/>
      </c>
      <c r="M238" s="76" t="str">
        <f aca="false">IF(OR($O238="",$O238="Cancelled",$O238="Amount missing"),"",IF($O238="Realised",0,$E238-N($F238)-N($H238)))</f>
        <v/>
      </c>
      <c r="N238" s="77" t="str">
        <f aca="false">IF(OR($M238="",FX=""),"",$M238*FX)</f>
        <v/>
      </c>
      <c r="O238" s="78" t="str">
        <f aca="false">IF(NOT(OR($A238&lt;&gt;"",$E238&lt;&gt;"")),"",IF($J238="Cancelled","Cancelled",IF($E238="","Amount missing",IF(OR($J238="Settled",$E238-N($F238)-N($H238)&lt;=0.005),"Realised",IF(N($H238)&gt;0,"Part realised",IF(N($F238)&gt;0,"Advance received","On hand"))))))</f>
        <v/>
      </c>
      <c r="P238" s="79" t="str">
        <f aca="false">IF(AND($V238=1,ISNUMBER($B238)),AsAt-$B238,"")</f>
        <v/>
      </c>
      <c r="Q238" s="78" t="str">
        <f aca="false">IF($V238&lt;&gt;1,"",IF($P238="","No invoice date",IF($P238&lt;=30,"0–30 days",IF($P238&lt;=60,"31–60 days",IF($P238&lt;=90,"61–90 days","Over 90 days")))))</f>
        <v/>
      </c>
      <c r="R238" s="80" t="str">
        <f aca="false">IF($V238=1,ROW(),"")</f>
        <v/>
      </c>
      <c r="S238" s="80" t="str">
        <f aca="false">IF(OR($A238&lt;&gt;"",$E238&lt;&gt;""),IF(TRIM($D238)="","Buyer not noted",TRIM($D238)),"")</f>
        <v/>
      </c>
      <c r="T238" s="80" t="n">
        <f aca="false">IF(AND($V238=1,ISNUMBER($M238)),$M238,0)</f>
        <v>0</v>
      </c>
      <c r="U238" s="80" t="str">
        <f aca="false">IF($V238=1,IF(COUNTIFS($S$7:$S238,$S238,$V$7:$V238,1)=1,SUMIFS($T$7:$T$1006,$S$7:$S$1006,$S238)-ROW()/1000000000,""),"")</f>
        <v/>
      </c>
      <c r="V238" s="80" t="n">
        <f aca="false">IF(OR($O238="On hand",$O238="Advance received",$O238="Part realised",$O238="Amount missing"),1,0)</f>
        <v>0</v>
      </c>
      <c r="W238" s="80" t="str">
        <f aca="false">IF(AND($V238=1,N($F238)&gt;0),ROW(),"")</f>
        <v/>
      </c>
      <c r="X238" s="80" t="n">
        <f aca="false">IF(AND(OR($A238&lt;&gt;"",$E238&lt;&gt;""),$O238&lt;&gt;"Cancelled",ISNUMBER($E238),N($F238)+N($H238)&gt;$E238+0.005),1,0)</f>
        <v>0</v>
      </c>
      <c r="Y238" s="80" t="n">
        <f aca="false">IF(AND(OR($A238&lt;&gt;"",$E238&lt;&gt;""),OR($A238="",$E238="")),1,0)</f>
        <v>0</v>
      </c>
      <c r="Z238" s="80" t="n">
        <f aca="false">IF(AND($A238&lt;&gt;"",COUNTIF($A$7:$A$1006,$A238)&gt;1),1,0)</f>
        <v>0</v>
      </c>
    </row>
    <row r="239" customFormat="false" ht="15" hidden="false" customHeight="false" outlineLevel="0" collapsed="false">
      <c r="A239" s="71"/>
      <c r="B239" s="72"/>
      <c r="C239" s="73"/>
      <c r="D239" s="73"/>
      <c r="E239" s="74"/>
      <c r="F239" s="74"/>
      <c r="G239" s="72"/>
      <c r="H239" s="74"/>
      <c r="I239" s="72"/>
      <c r="J239" s="73"/>
      <c r="K239" s="73"/>
      <c r="L239" s="75" t="str">
        <f aca="false">IF(OR($A239&lt;&gt;"",$E239&lt;&gt;""),N($F239)+N($H239),"")</f>
        <v/>
      </c>
      <c r="M239" s="76" t="str">
        <f aca="false">IF(OR($O239="",$O239="Cancelled",$O239="Amount missing"),"",IF($O239="Realised",0,$E239-N($F239)-N($H239)))</f>
        <v/>
      </c>
      <c r="N239" s="77" t="str">
        <f aca="false">IF(OR($M239="",FX=""),"",$M239*FX)</f>
        <v/>
      </c>
      <c r="O239" s="78" t="str">
        <f aca="false">IF(NOT(OR($A239&lt;&gt;"",$E239&lt;&gt;"")),"",IF($J239="Cancelled","Cancelled",IF($E239="","Amount missing",IF(OR($J239="Settled",$E239-N($F239)-N($H239)&lt;=0.005),"Realised",IF(N($H239)&gt;0,"Part realised",IF(N($F239)&gt;0,"Advance received","On hand"))))))</f>
        <v/>
      </c>
      <c r="P239" s="79" t="str">
        <f aca="false">IF(AND($V239=1,ISNUMBER($B239)),AsAt-$B239,"")</f>
        <v/>
      </c>
      <c r="Q239" s="78" t="str">
        <f aca="false">IF($V239&lt;&gt;1,"",IF($P239="","No invoice date",IF($P239&lt;=30,"0–30 days",IF($P239&lt;=60,"31–60 days",IF($P239&lt;=90,"61–90 days","Over 90 days")))))</f>
        <v/>
      </c>
      <c r="R239" s="80" t="str">
        <f aca="false">IF($V239=1,ROW(),"")</f>
        <v/>
      </c>
      <c r="S239" s="80" t="str">
        <f aca="false">IF(OR($A239&lt;&gt;"",$E239&lt;&gt;""),IF(TRIM($D239)="","Buyer not noted",TRIM($D239)),"")</f>
        <v/>
      </c>
      <c r="T239" s="80" t="n">
        <f aca="false">IF(AND($V239=1,ISNUMBER($M239)),$M239,0)</f>
        <v>0</v>
      </c>
      <c r="U239" s="80" t="str">
        <f aca="false">IF($V239=1,IF(COUNTIFS($S$7:$S239,$S239,$V$7:$V239,1)=1,SUMIFS($T$7:$T$1006,$S$7:$S$1006,$S239)-ROW()/1000000000,""),"")</f>
        <v/>
      </c>
      <c r="V239" s="80" t="n">
        <f aca="false">IF(OR($O239="On hand",$O239="Advance received",$O239="Part realised",$O239="Amount missing"),1,0)</f>
        <v>0</v>
      </c>
      <c r="W239" s="80" t="str">
        <f aca="false">IF(AND($V239=1,N($F239)&gt;0),ROW(),"")</f>
        <v/>
      </c>
      <c r="X239" s="80" t="n">
        <f aca="false">IF(AND(OR($A239&lt;&gt;"",$E239&lt;&gt;""),$O239&lt;&gt;"Cancelled",ISNUMBER($E239),N($F239)+N($H239)&gt;$E239+0.005),1,0)</f>
        <v>0</v>
      </c>
      <c r="Y239" s="80" t="n">
        <f aca="false">IF(AND(OR($A239&lt;&gt;"",$E239&lt;&gt;""),OR($A239="",$E239="")),1,0)</f>
        <v>0</v>
      </c>
      <c r="Z239" s="80" t="n">
        <f aca="false">IF(AND($A239&lt;&gt;"",COUNTIF($A$7:$A$1006,$A239)&gt;1),1,0)</f>
        <v>0</v>
      </c>
    </row>
    <row r="240" customFormat="false" ht="15" hidden="false" customHeight="false" outlineLevel="0" collapsed="false">
      <c r="A240" s="71"/>
      <c r="B240" s="72"/>
      <c r="C240" s="73"/>
      <c r="D240" s="73"/>
      <c r="E240" s="74"/>
      <c r="F240" s="74"/>
      <c r="G240" s="72"/>
      <c r="H240" s="74"/>
      <c r="I240" s="72"/>
      <c r="J240" s="73"/>
      <c r="K240" s="73"/>
      <c r="L240" s="75" t="str">
        <f aca="false">IF(OR($A240&lt;&gt;"",$E240&lt;&gt;""),N($F240)+N($H240),"")</f>
        <v/>
      </c>
      <c r="M240" s="76" t="str">
        <f aca="false">IF(OR($O240="",$O240="Cancelled",$O240="Amount missing"),"",IF($O240="Realised",0,$E240-N($F240)-N($H240)))</f>
        <v/>
      </c>
      <c r="N240" s="77" t="str">
        <f aca="false">IF(OR($M240="",FX=""),"",$M240*FX)</f>
        <v/>
      </c>
      <c r="O240" s="78" t="str">
        <f aca="false">IF(NOT(OR($A240&lt;&gt;"",$E240&lt;&gt;"")),"",IF($J240="Cancelled","Cancelled",IF($E240="","Amount missing",IF(OR($J240="Settled",$E240-N($F240)-N($H240)&lt;=0.005),"Realised",IF(N($H240)&gt;0,"Part realised",IF(N($F240)&gt;0,"Advance received","On hand"))))))</f>
        <v/>
      </c>
      <c r="P240" s="79" t="str">
        <f aca="false">IF(AND($V240=1,ISNUMBER($B240)),AsAt-$B240,"")</f>
        <v/>
      </c>
      <c r="Q240" s="78" t="str">
        <f aca="false">IF($V240&lt;&gt;1,"",IF($P240="","No invoice date",IF($P240&lt;=30,"0–30 days",IF($P240&lt;=60,"31–60 days",IF($P240&lt;=90,"61–90 days","Over 90 days")))))</f>
        <v/>
      </c>
      <c r="R240" s="80" t="str">
        <f aca="false">IF($V240=1,ROW(),"")</f>
        <v/>
      </c>
      <c r="S240" s="80" t="str">
        <f aca="false">IF(OR($A240&lt;&gt;"",$E240&lt;&gt;""),IF(TRIM($D240)="","Buyer not noted",TRIM($D240)),"")</f>
        <v/>
      </c>
      <c r="T240" s="80" t="n">
        <f aca="false">IF(AND($V240=1,ISNUMBER($M240)),$M240,0)</f>
        <v>0</v>
      </c>
      <c r="U240" s="80" t="str">
        <f aca="false">IF($V240=1,IF(COUNTIFS($S$7:$S240,$S240,$V$7:$V240,1)=1,SUMIFS($T$7:$T$1006,$S$7:$S$1006,$S240)-ROW()/1000000000,""),"")</f>
        <v/>
      </c>
      <c r="V240" s="80" t="n">
        <f aca="false">IF(OR($O240="On hand",$O240="Advance received",$O240="Part realised",$O240="Amount missing"),1,0)</f>
        <v>0</v>
      </c>
      <c r="W240" s="80" t="str">
        <f aca="false">IF(AND($V240=1,N($F240)&gt;0),ROW(),"")</f>
        <v/>
      </c>
      <c r="X240" s="80" t="n">
        <f aca="false">IF(AND(OR($A240&lt;&gt;"",$E240&lt;&gt;""),$O240&lt;&gt;"Cancelled",ISNUMBER($E240),N($F240)+N($H240)&gt;$E240+0.005),1,0)</f>
        <v>0</v>
      </c>
      <c r="Y240" s="80" t="n">
        <f aca="false">IF(AND(OR($A240&lt;&gt;"",$E240&lt;&gt;""),OR($A240="",$E240="")),1,0)</f>
        <v>0</v>
      </c>
      <c r="Z240" s="80" t="n">
        <f aca="false">IF(AND($A240&lt;&gt;"",COUNTIF($A$7:$A$1006,$A240)&gt;1),1,0)</f>
        <v>0</v>
      </c>
    </row>
    <row r="241" customFormat="false" ht="15" hidden="false" customHeight="false" outlineLevel="0" collapsed="false">
      <c r="A241" s="71"/>
      <c r="B241" s="72"/>
      <c r="C241" s="73"/>
      <c r="D241" s="73"/>
      <c r="E241" s="74"/>
      <c r="F241" s="74"/>
      <c r="G241" s="72"/>
      <c r="H241" s="74"/>
      <c r="I241" s="72"/>
      <c r="J241" s="73"/>
      <c r="K241" s="73"/>
      <c r="L241" s="75" t="str">
        <f aca="false">IF(OR($A241&lt;&gt;"",$E241&lt;&gt;""),N($F241)+N($H241),"")</f>
        <v/>
      </c>
      <c r="M241" s="76" t="str">
        <f aca="false">IF(OR($O241="",$O241="Cancelled",$O241="Amount missing"),"",IF($O241="Realised",0,$E241-N($F241)-N($H241)))</f>
        <v/>
      </c>
      <c r="N241" s="77" t="str">
        <f aca="false">IF(OR($M241="",FX=""),"",$M241*FX)</f>
        <v/>
      </c>
      <c r="O241" s="78" t="str">
        <f aca="false">IF(NOT(OR($A241&lt;&gt;"",$E241&lt;&gt;"")),"",IF($J241="Cancelled","Cancelled",IF($E241="","Amount missing",IF(OR($J241="Settled",$E241-N($F241)-N($H241)&lt;=0.005),"Realised",IF(N($H241)&gt;0,"Part realised",IF(N($F241)&gt;0,"Advance received","On hand"))))))</f>
        <v/>
      </c>
      <c r="P241" s="79" t="str">
        <f aca="false">IF(AND($V241=1,ISNUMBER($B241)),AsAt-$B241,"")</f>
        <v/>
      </c>
      <c r="Q241" s="78" t="str">
        <f aca="false">IF($V241&lt;&gt;1,"",IF($P241="","No invoice date",IF($P241&lt;=30,"0–30 days",IF($P241&lt;=60,"31–60 days",IF($P241&lt;=90,"61–90 days","Over 90 days")))))</f>
        <v/>
      </c>
      <c r="R241" s="80" t="str">
        <f aca="false">IF($V241=1,ROW(),"")</f>
        <v/>
      </c>
      <c r="S241" s="80" t="str">
        <f aca="false">IF(OR($A241&lt;&gt;"",$E241&lt;&gt;""),IF(TRIM($D241)="","Buyer not noted",TRIM($D241)),"")</f>
        <v/>
      </c>
      <c r="T241" s="80" t="n">
        <f aca="false">IF(AND($V241=1,ISNUMBER($M241)),$M241,0)</f>
        <v>0</v>
      </c>
      <c r="U241" s="80" t="str">
        <f aca="false">IF($V241=1,IF(COUNTIFS($S$7:$S241,$S241,$V$7:$V241,1)=1,SUMIFS($T$7:$T$1006,$S$7:$S$1006,$S241)-ROW()/1000000000,""),"")</f>
        <v/>
      </c>
      <c r="V241" s="80" t="n">
        <f aca="false">IF(OR($O241="On hand",$O241="Advance received",$O241="Part realised",$O241="Amount missing"),1,0)</f>
        <v>0</v>
      </c>
      <c r="W241" s="80" t="str">
        <f aca="false">IF(AND($V241=1,N($F241)&gt;0),ROW(),"")</f>
        <v/>
      </c>
      <c r="X241" s="80" t="n">
        <f aca="false">IF(AND(OR($A241&lt;&gt;"",$E241&lt;&gt;""),$O241&lt;&gt;"Cancelled",ISNUMBER($E241),N($F241)+N($H241)&gt;$E241+0.005),1,0)</f>
        <v>0</v>
      </c>
      <c r="Y241" s="80" t="n">
        <f aca="false">IF(AND(OR($A241&lt;&gt;"",$E241&lt;&gt;""),OR($A241="",$E241="")),1,0)</f>
        <v>0</v>
      </c>
      <c r="Z241" s="80" t="n">
        <f aca="false">IF(AND($A241&lt;&gt;"",COUNTIF($A$7:$A$1006,$A241)&gt;1),1,0)</f>
        <v>0</v>
      </c>
    </row>
    <row r="242" customFormat="false" ht="15" hidden="false" customHeight="false" outlineLevel="0" collapsed="false">
      <c r="A242" s="71"/>
      <c r="B242" s="72"/>
      <c r="C242" s="73"/>
      <c r="D242" s="73"/>
      <c r="E242" s="74"/>
      <c r="F242" s="74"/>
      <c r="G242" s="72"/>
      <c r="H242" s="74"/>
      <c r="I242" s="72"/>
      <c r="J242" s="73"/>
      <c r="K242" s="73"/>
      <c r="L242" s="75" t="str">
        <f aca="false">IF(OR($A242&lt;&gt;"",$E242&lt;&gt;""),N($F242)+N($H242),"")</f>
        <v/>
      </c>
      <c r="M242" s="76" t="str">
        <f aca="false">IF(OR($O242="",$O242="Cancelled",$O242="Amount missing"),"",IF($O242="Realised",0,$E242-N($F242)-N($H242)))</f>
        <v/>
      </c>
      <c r="N242" s="77" t="str">
        <f aca="false">IF(OR($M242="",FX=""),"",$M242*FX)</f>
        <v/>
      </c>
      <c r="O242" s="78" t="str">
        <f aca="false">IF(NOT(OR($A242&lt;&gt;"",$E242&lt;&gt;"")),"",IF($J242="Cancelled","Cancelled",IF($E242="","Amount missing",IF(OR($J242="Settled",$E242-N($F242)-N($H242)&lt;=0.005),"Realised",IF(N($H242)&gt;0,"Part realised",IF(N($F242)&gt;0,"Advance received","On hand"))))))</f>
        <v/>
      </c>
      <c r="P242" s="79" t="str">
        <f aca="false">IF(AND($V242=1,ISNUMBER($B242)),AsAt-$B242,"")</f>
        <v/>
      </c>
      <c r="Q242" s="78" t="str">
        <f aca="false">IF($V242&lt;&gt;1,"",IF($P242="","No invoice date",IF($P242&lt;=30,"0–30 days",IF($P242&lt;=60,"31–60 days",IF($P242&lt;=90,"61–90 days","Over 90 days")))))</f>
        <v/>
      </c>
      <c r="R242" s="80" t="str">
        <f aca="false">IF($V242=1,ROW(),"")</f>
        <v/>
      </c>
      <c r="S242" s="80" t="str">
        <f aca="false">IF(OR($A242&lt;&gt;"",$E242&lt;&gt;""),IF(TRIM($D242)="","Buyer not noted",TRIM($D242)),"")</f>
        <v/>
      </c>
      <c r="T242" s="80" t="n">
        <f aca="false">IF(AND($V242=1,ISNUMBER($M242)),$M242,0)</f>
        <v>0</v>
      </c>
      <c r="U242" s="80" t="str">
        <f aca="false">IF($V242=1,IF(COUNTIFS($S$7:$S242,$S242,$V$7:$V242,1)=1,SUMIFS($T$7:$T$1006,$S$7:$S$1006,$S242)-ROW()/1000000000,""),"")</f>
        <v/>
      </c>
      <c r="V242" s="80" t="n">
        <f aca="false">IF(OR($O242="On hand",$O242="Advance received",$O242="Part realised",$O242="Amount missing"),1,0)</f>
        <v>0</v>
      </c>
      <c r="W242" s="80" t="str">
        <f aca="false">IF(AND($V242=1,N($F242)&gt;0),ROW(),"")</f>
        <v/>
      </c>
      <c r="X242" s="80" t="n">
        <f aca="false">IF(AND(OR($A242&lt;&gt;"",$E242&lt;&gt;""),$O242&lt;&gt;"Cancelled",ISNUMBER($E242),N($F242)+N($H242)&gt;$E242+0.005),1,0)</f>
        <v>0</v>
      </c>
      <c r="Y242" s="80" t="n">
        <f aca="false">IF(AND(OR($A242&lt;&gt;"",$E242&lt;&gt;""),OR($A242="",$E242="")),1,0)</f>
        <v>0</v>
      </c>
      <c r="Z242" s="80" t="n">
        <f aca="false">IF(AND($A242&lt;&gt;"",COUNTIF($A$7:$A$1006,$A242)&gt;1),1,0)</f>
        <v>0</v>
      </c>
    </row>
    <row r="243" customFormat="false" ht="15" hidden="false" customHeight="false" outlineLevel="0" collapsed="false">
      <c r="A243" s="71"/>
      <c r="B243" s="72"/>
      <c r="C243" s="73"/>
      <c r="D243" s="73"/>
      <c r="E243" s="74"/>
      <c r="F243" s="74"/>
      <c r="G243" s="72"/>
      <c r="H243" s="74"/>
      <c r="I243" s="72"/>
      <c r="J243" s="73"/>
      <c r="K243" s="73"/>
      <c r="L243" s="75" t="str">
        <f aca="false">IF(OR($A243&lt;&gt;"",$E243&lt;&gt;""),N($F243)+N($H243),"")</f>
        <v/>
      </c>
      <c r="M243" s="76" t="str">
        <f aca="false">IF(OR($O243="",$O243="Cancelled",$O243="Amount missing"),"",IF($O243="Realised",0,$E243-N($F243)-N($H243)))</f>
        <v/>
      </c>
      <c r="N243" s="77" t="str">
        <f aca="false">IF(OR($M243="",FX=""),"",$M243*FX)</f>
        <v/>
      </c>
      <c r="O243" s="78" t="str">
        <f aca="false">IF(NOT(OR($A243&lt;&gt;"",$E243&lt;&gt;"")),"",IF($J243="Cancelled","Cancelled",IF($E243="","Amount missing",IF(OR($J243="Settled",$E243-N($F243)-N($H243)&lt;=0.005),"Realised",IF(N($H243)&gt;0,"Part realised",IF(N($F243)&gt;0,"Advance received","On hand"))))))</f>
        <v/>
      </c>
      <c r="P243" s="79" t="str">
        <f aca="false">IF(AND($V243=1,ISNUMBER($B243)),AsAt-$B243,"")</f>
        <v/>
      </c>
      <c r="Q243" s="78" t="str">
        <f aca="false">IF($V243&lt;&gt;1,"",IF($P243="","No invoice date",IF($P243&lt;=30,"0–30 days",IF($P243&lt;=60,"31–60 days",IF($P243&lt;=90,"61–90 days","Over 90 days")))))</f>
        <v/>
      </c>
      <c r="R243" s="80" t="str">
        <f aca="false">IF($V243=1,ROW(),"")</f>
        <v/>
      </c>
      <c r="S243" s="80" t="str">
        <f aca="false">IF(OR($A243&lt;&gt;"",$E243&lt;&gt;""),IF(TRIM($D243)="","Buyer not noted",TRIM($D243)),"")</f>
        <v/>
      </c>
      <c r="T243" s="80" t="n">
        <f aca="false">IF(AND($V243=1,ISNUMBER($M243)),$M243,0)</f>
        <v>0</v>
      </c>
      <c r="U243" s="80" t="str">
        <f aca="false">IF($V243=1,IF(COUNTIFS($S$7:$S243,$S243,$V$7:$V243,1)=1,SUMIFS($T$7:$T$1006,$S$7:$S$1006,$S243)-ROW()/1000000000,""),"")</f>
        <v/>
      </c>
      <c r="V243" s="80" t="n">
        <f aca="false">IF(OR($O243="On hand",$O243="Advance received",$O243="Part realised",$O243="Amount missing"),1,0)</f>
        <v>0</v>
      </c>
      <c r="W243" s="80" t="str">
        <f aca="false">IF(AND($V243=1,N($F243)&gt;0),ROW(),"")</f>
        <v/>
      </c>
      <c r="X243" s="80" t="n">
        <f aca="false">IF(AND(OR($A243&lt;&gt;"",$E243&lt;&gt;""),$O243&lt;&gt;"Cancelled",ISNUMBER($E243),N($F243)+N($H243)&gt;$E243+0.005),1,0)</f>
        <v>0</v>
      </c>
      <c r="Y243" s="80" t="n">
        <f aca="false">IF(AND(OR($A243&lt;&gt;"",$E243&lt;&gt;""),OR($A243="",$E243="")),1,0)</f>
        <v>0</v>
      </c>
      <c r="Z243" s="80" t="n">
        <f aca="false">IF(AND($A243&lt;&gt;"",COUNTIF($A$7:$A$1006,$A243)&gt;1),1,0)</f>
        <v>0</v>
      </c>
    </row>
    <row r="244" customFormat="false" ht="15" hidden="false" customHeight="false" outlineLevel="0" collapsed="false">
      <c r="A244" s="71"/>
      <c r="B244" s="72"/>
      <c r="C244" s="73"/>
      <c r="D244" s="73"/>
      <c r="E244" s="74"/>
      <c r="F244" s="74"/>
      <c r="G244" s="72"/>
      <c r="H244" s="74"/>
      <c r="I244" s="72"/>
      <c r="J244" s="73"/>
      <c r="K244" s="73"/>
      <c r="L244" s="75" t="str">
        <f aca="false">IF(OR($A244&lt;&gt;"",$E244&lt;&gt;""),N($F244)+N($H244),"")</f>
        <v/>
      </c>
      <c r="M244" s="76" t="str">
        <f aca="false">IF(OR($O244="",$O244="Cancelled",$O244="Amount missing"),"",IF($O244="Realised",0,$E244-N($F244)-N($H244)))</f>
        <v/>
      </c>
      <c r="N244" s="77" t="str">
        <f aca="false">IF(OR($M244="",FX=""),"",$M244*FX)</f>
        <v/>
      </c>
      <c r="O244" s="78" t="str">
        <f aca="false">IF(NOT(OR($A244&lt;&gt;"",$E244&lt;&gt;"")),"",IF($J244="Cancelled","Cancelled",IF($E244="","Amount missing",IF(OR($J244="Settled",$E244-N($F244)-N($H244)&lt;=0.005),"Realised",IF(N($H244)&gt;0,"Part realised",IF(N($F244)&gt;0,"Advance received","On hand"))))))</f>
        <v/>
      </c>
      <c r="P244" s="79" t="str">
        <f aca="false">IF(AND($V244=1,ISNUMBER($B244)),AsAt-$B244,"")</f>
        <v/>
      </c>
      <c r="Q244" s="78" t="str">
        <f aca="false">IF($V244&lt;&gt;1,"",IF($P244="","No invoice date",IF($P244&lt;=30,"0–30 days",IF($P244&lt;=60,"31–60 days",IF($P244&lt;=90,"61–90 days","Over 90 days")))))</f>
        <v/>
      </c>
      <c r="R244" s="80" t="str">
        <f aca="false">IF($V244=1,ROW(),"")</f>
        <v/>
      </c>
      <c r="S244" s="80" t="str">
        <f aca="false">IF(OR($A244&lt;&gt;"",$E244&lt;&gt;""),IF(TRIM($D244)="","Buyer not noted",TRIM($D244)),"")</f>
        <v/>
      </c>
      <c r="T244" s="80" t="n">
        <f aca="false">IF(AND($V244=1,ISNUMBER($M244)),$M244,0)</f>
        <v>0</v>
      </c>
      <c r="U244" s="80" t="str">
        <f aca="false">IF($V244=1,IF(COUNTIFS($S$7:$S244,$S244,$V$7:$V244,1)=1,SUMIFS($T$7:$T$1006,$S$7:$S$1006,$S244)-ROW()/1000000000,""),"")</f>
        <v/>
      </c>
      <c r="V244" s="80" t="n">
        <f aca="false">IF(OR($O244="On hand",$O244="Advance received",$O244="Part realised",$O244="Amount missing"),1,0)</f>
        <v>0</v>
      </c>
      <c r="W244" s="80" t="str">
        <f aca="false">IF(AND($V244=1,N($F244)&gt;0),ROW(),"")</f>
        <v/>
      </c>
      <c r="X244" s="80" t="n">
        <f aca="false">IF(AND(OR($A244&lt;&gt;"",$E244&lt;&gt;""),$O244&lt;&gt;"Cancelled",ISNUMBER($E244),N($F244)+N($H244)&gt;$E244+0.005),1,0)</f>
        <v>0</v>
      </c>
      <c r="Y244" s="80" t="n">
        <f aca="false">IF(AND(OR($A244&lt;&gt;"",$E244&lt;&gt;""),OR($A244="",$E244="")),1,0)</f>
        <v>0</v>
      </c>
      <c r="Z244" s="80" t="n">
        <f aca="false">IF(AND($A244&lt;&gt;"",COUNTIF($A$7:$A$1006,$A244)&gt;1),1,0)</f>
        <v>0</v>
      </c>
    </row>
    <row r="245" customFormat="false" ht="15" hidden="false" customHeight="false" outlineLevel="0" collapsed="false">
      <c r="A245" s="71"/>
      <c r="B245" s="72"/>
      <c r="C245" s="73"/>
      <c r="D245" s="73"/>
      <c r="E245" s="74"/>
      <c r="F245" s="74"/>
      <c r="G245" s="72"/>
      <c r="H245" s="74"/>
      <c r="I245" s="72"/>
      <c r="J245" s="73"/>
      <c r="K245" s="73"/>
      <c r="L245" s="75" t="str">
        <f aca="false">IF(OR($A245&lt;&gt;"",$E245&lt;&gt;""),N($F245)+N($H245),"")</f>
        <v/>
      </c>
      <c r="M245" s="76" t="str">
        <f aca="false">IF(OR($O245="",$O245="Cancelled",$O245="Amount missing"),"",IF($O245="Realised",0,$E245-N($F245)-N($H245)))</f>
        <v/>
      </c>
      <c r="N245" s="77" t="str">
        <f aca="false">IF(OR($M245="",FX=""),"",$M245*FX)</f>
        <v/>
      </c>
      <c r="O245" s="78" t="str">
        <f aca="false">IF(NOT(OR($A245&lt;&gt;"",$E245&lt;&gt;"")),"",IF($J245="Cancelled","Cancelled",IF($E245="","Amount missing",IF(OR($J245="Settled",$E245-N($F245)-N($H245)&lt;=0.005),"Realised",IF(N($H245)&gt;0,"Part realised",IF(N($F245)&gt;0,"Advance received","On hand"))))))</f>
        <v/>
      </c>
      <c r="P245" s="79" t="str">
        <f aca="false">IF(AND($V245=1,ISNUMBER($B245)),AsAt-$B245,"")</f>
        <v/>
      </c>
      <c r="Q245" s="78" t="str">
        <f aca="false">IF($V245&lt;&gt;1,"",IF($P245="","No invoice date",IF($P245&lt;=30,"0–30 days",IF($P245&lt;=60,"31–60 days",IF($P245&lt;=90,"61–90 days","Over 90 days")))))</f>
        <v/>
      </c>
      <c r="R245" s="80" t="str">
        <f aca="false">IF($V245=1,ROW(),"")</f>
        <v/>
      </c>
      <c r="S245" s="80" t="str">
        <f aca="false">IF(OR($A245&lt;&gt;"",$E245&lt;&gt;""),IF(TRIM($D245)="","Buyer not noted",TRIM($D245)),"")</f>
        <v/>
      </c>
      <c r="T245" s="80" t="n">
        <f aca="false">IF(AND($V245=1,ISNUMBER($M245)),$M245,0)</f>
        <v>0</v>
      </c>
      <c r="U245" s="80" t="str">
        <f aca="false">IF($V245=1,IF(COUNTIFS($S$7:$S245,$S245,$V$7:$V245,1)=1,SUMIFS($T$7:$T$1006,$S$7:$S$1006,$S245)-ROW()/1000000000,""),"")</f>
        <v/>
      </c>
      <c r="V245" s="80" t="n">
        <f aca="false">IF(OR($O245="On hand",$O245="Advance received",$O245="Part realised",$O245="Amount missing"),1,0)</f>
        <v>0</v>
      </c>
      <c r="W245" s="80" t="str">
        <f aca="false">IF(AND($V245=1,N($F245)&gt;0),ROW(),"")</f>
        <v/>
      </c>
      <c r="X245" s="80" t="n">
        <f aca="false">IF(AND(OR($A245&lt;&gt;"",$E245&lt;&gt;""),$O245&lt;&gt;"Cancelled",ISNUMBER($E245),N($F245)+N($H245)&gt;$E245+0.005),1,0)</f>
        <v>0</v>
      </c>
      <c r="Y245" s="80" t="n">
        <f aca="false">IF(AND(OR($A245&lt;&gt;"",$E245&lt;&gt;""),OR($A245="",$E245="")),1,0)</f>
        <v>0</v>
      </c>
      <c r="Z245" s="80" t="n">
        <f aca="false">IF(AND($A245&lt;&gt;"",COUNTIF($A$7:$A$1006,$A245)&gt;1),1,0)</f>
        <v>0</v>
      </c>
    </row>
    <row r="246" customFormat="false" ht="15" hidden="false" customHeight="false" outlineLevel="0" collapsed="false">
      <c r="A246" s="71"/>
      <c r="B246" s="72"/>
      <c r="C246" s="73"/>
      <c r="D246" s="73"/>
      <c r="E246" s="74"/>
      <c r="F246" s="74"/>
      <c r="G246" s="72"/>
      <c r="H246" s="74"/>
      <c r="I246" s="72"/>
      <c r="J246" s="73"/>
      <c r="K246" s="73"/>
      <c r="L246" s="75" t="str">
        <f aca="false">IF(OR($A246&lt;&gt;"",$E246&lt;&gt;""),N($F246)+N($H246),"")</f>
        <v/>
      </c>
      <c r="M246" s="76" t="str">
        <f aca="false">IF(OR($O246="",$O246="Cancelled",$O246="Amount missing"),"",IF($O246="Realised",0,$E246-N($F246)-N($H246)))</f>
        <v/>
      </c>
      <c r="N246" s="77" t="str">
        <f aca="false">IF(OR($M246="",FX=""),"",$M246*FX)</f>
        <v/>
      </c>
      <c r="O246" s="78" t="str">
        <f aca="false">IF(NOT(OR($A246&lt;&gt;"",$E246&lt;&gt;"")),"",IF($J246="Cancelled","Cancelled",IF($E246="","Amount missing",IF(OR($J246="Settled",$E246-N($F246)-N($H246)&lt;=0.005),"Realised",IF(N($H246)&gt;0,"Part realised",IF(N($F246)&gt;0,"Advance received","On hand"))))))</f>
        <v/>
      </c>
      <c r="P246" s="79" t="str">
        <f aca="false">IF(AND($V246=1,ISNUMBER($B246)),AsAt-$B246,"")</f>
        <v/>
      </c>
      <c r="Q246" s="78" t="str">
        <f aca="false">IF($V246&lt;&gt;1,"",IF($P246="","No invoice date",IF($P246&lt;=30,"0–30 days",IF($P246&lt;=60,"31–60 days",IF($P246&lt;=90,"61–90 days","Over 90 days")))))</f>
        <v/>
      </c>
      <c r="R246" s="80" t="str">
        <f aca="false">IF($V246=1,ROW(),"")</f>
        <v/>
      </c>
      <c r="S246" s="80" t="str">
        <f aca="false">IF(OR($A246&lt;&gt;"",$E246&lt;&gt;""),IF(TRIM($D246)="","Buyer not noted",TRIM($D246)),"")</f>
        <v/>
      </c>
      <c r="T246" s="80" t="n">
        <f aca="false">IF(AND($V246=1,ISNUMBER($M246)),$M246,0)</f>
        <v>0</v>
      </c>
      <c r="U246" s="80" t="str">
        <f aca="false">IF($V246=1,IF(COUNTIFS($S$7:$S246,$S246,$V$7:$V246,1)=1,SUMIFS($T$7:$T$1006,$S$7:$S$1006,$S246)-ROW()/1000000000,""),"")</f>
        <v/>
      </c>
      <c r="V246" s="80" t="n">
        <f aca="false">IF(OR($O246="On hand",$O246="Advance received",$O246="Part realised",$O246="Amount missing"),1,0)</f>
        <v>0</v>
      </c>
      <c r="W246" s="80" t="str">
        <f aca="false">IF(AND($V246=1,N($F246)&gt;0),ROW(),"")</f>
        <v/>
      </c>
      <c r="X246" s="80" t="n">
        <f aca="false">IF(AND(OR($A246&lt;&gt;"",$E246&lt;&gt;""),$O246&lt;&gt;"Cancelled",ISNUMBER($E246),N($F246)+N($H246)&gt;$E246+0.005),1,0)</f>
        <v>0</v>
      </c>
      <c r="Y246" s="80" t="n">
        <f aca="false">IF(AND(OR($A246&lt;&gt;"",$E246&lt;&gt;""),OR($A246="",$E246="")),1,0)</f>
        <v>0</v>
      </c>
      <c r="Z246" s="80" t="n">
        <f aca="false">IF(AND($A246&lt;&gt;"",COUNTIF($A$7:$A$1006,$A246)&gt;1),1,0)</f>
        <v>0</v>
      </c>
    </row>
    <row r="247" customFormat="false" ht="15" hidden="false" customHeight="false" outlineLevel="0" collapsed="false">
      <c r="A247" s="71"/>
      <c r="B247" s="72"/>
      <c r="C247" s="73"/>
      <c r="D247" s="73"/>
      <c r="E247" s="74"/>
      <c r="F247" s="74"/>
      <c r="G247" s="72"/>
      <c r="H247" s="74"/>
      <c r="I247" s="72"/>
      <c r="J247" s="73"/>
      <c r="K247" s="73"/>
      <c r="L247" s="75" t="str">
        <f aca="false">IF(OR($A247&lt;&gt;"",$E247&lt;&gt;""),N($F247)+N($H247),"")</f>
        <v/>
      </c>
      <c r="M247" s="76" t="str">
        <f aca="false">IF(OR($O247="",$O247="Cancelled",$O247="Amount missing"),"",IF($O247="Realised",0,$E247-N($F247)-N($H247)))</f>
        <v/>
      </c>
      <c r="N247" s="77" t="str">
        <f aca="false">IF(OR($M247="",FX=""),"",$M247*FX)</f>
        <v/>
      </c>
      <c r="O247" s="78" t="str">
        <f aca="false">IF(NOT(OR($A247&lt;&gt;"",$E247&lt;&gt;"")),"",IF($J247="Cancelled","Cancelled",IF($E247="","Amount missing",IF(OR($J247="Settled",$E247-N($F247)-N($H247)&lt;=0.005),"Realised",IF(N($H247)&gt;0,"Part realised",IF(N($F247)&gt;0,"Advance received","On hand"))))))</f>
        <v/>
      </c>
      <c r="P247" s="79" t="str">
        <f aca="false">IF(AND($V247=1,ISNUMBER($B247)),AsAt-$B247,"")</f>
        <v/>
      </c>
      <c r="Q247" s="78" t="str">
        <f aca="false">IF($V247&lt;&gt;1,"",IF($P247="","No invoice date",IF($P247&lt;=30,"0–30 days",IF($P247&lt;=60,"31–60 days",IF($P247&lt;=90,"61–90 days","Over 90 days")))))</f>
        <v/>
      </c>
      <c r="R247" s="80" t="str">
        <f aca="false">IF($V247=1,ROW(),"")</f>
        <v/>
      </c>
      <c r="S247" s="80" t="str">
        <f aca="false">IF(OR($A247&lt;&gt;"",$E247&lt;&gt;""),IF(TRIM($D247)="","Buyer not noted",TRIM($D247)),"")</f>
        <v/>
      </c>
      <c r="T247" s="80" t="n">
        <f aca="false">IF(AND($V247=1,ISNUMBER($M247)),$M247,0)</f>
        <v>0</v>
      </c>
      <c r="U247" s="80" t="str">
        <f aca="false">IF($V247=1,IF(COUNTIFS($S$7:$S247,$S247,$V$7:$V247,1)=1,SUMIFS($T$7:$T$1006,$S$7:$S$1006,$S247)-ROW()/1000000000,""),"")</f>
        <v/>
      </c>
      <c r="V247" s="80" t="n">
        <f aca="false">IF(OR($O247="On hand",$O247="Advance received",$O247="Part realised",$O247="Amount missing"),1,0)</f>
        <v>0</v>
      </c>
      <c r="W247" s="80" t="str">
        <f aca="false">IF(AND($V247=1,N($F247)&gt;0),ROW(),"")</f>
        <v/>
      </c>
      <c r="X247" s="80" t="n">
        <f aca="false">IF(AND(OR($A247&lt;&gt;"",$E247&lt;&gt;""),$O247&lt;&gt;"Cancelled",ISNUMBER($E247),N($F247)+N($H247)&gt;$E247+0.005),1,0)</f>
        <v>0</v>
      </c>
      <c r="Y247" s="80" t="n">
        <f aca="false">IF(AND(OR($A247&lt;&gt;"",$E247&lt;&gt;""),OR($A247="",$E247="")),1,0)</f>
        <v>0</v>
      </c>
      <c r="Z247" s="80" t="n">
        <f aca="false">IF(AND($A247&lt;&gt;"",COUNTIF($A$7:$A$1006,$A247)&gt;1),1,0)</f>
        <v>0</v>
      </c>
    </row>
    <row r="248" customFormat="false" ht="15" hidden="false" customHeight="false" outlineLevel="0" collapsed="false">
      <c r="A248" s="71"/>
      <c r="B248" s="72"/>
      <c r="C248" s="73"/>
      <c r="D248" s="73"/>
      <c r="E248" s="74"/>
      <c r="F248" s="74"/>
      <c r="G248" s="72"/>
      <c r="H248" s="74"/>
      <c r="I248" s="72"/>
      <c r="J248" s="73"/>
      <c r="K248" s="73"/>
      <c r="L248" s="75" t="str">
        <f aca="false">IF(OR($A248&lt;&gt;"",$E248&lt;&gt;""),N($F248)+N($H248),"")</f>
        <v/>
      </c>
      <c r="M248" s="76" t="str">
        <f aca="false">IF(OR($O248="",$O248="Cancelled",$O248="Amount missing"),"",IF($O248="Realised",0,$E248-N($F248)-N($H248)))</f>
        <v/>
      </c>
      <c r="N248" s="77" t="str">
        <f aca="false">IF(OR($M248="",FX=""),"",$M248*FX)</f>
        <v/>
      </c>
      <c r="O248" s="78" t="str">
        <f aca="false">IF(NOT(OR($A248&lt;&gt;"",$E248&lt;&gt;"")),"",IF($J248="Cancelled","Cancelled",IF($E248="","Amount missing",IF(OR($J248="Settled",$E248-N($F248)-N($H248)&lt;=0.005),"Realised",IF(N($H248)&gt;0,"Part realised",IF(N($F248)&gt;0,"Advance received","On hand"))))))</f>
        <v/>
      </c>
      <c r="P248" s="79" t="str">
        <f aca="false">IF(AND($V248=1,ISNUMBER($B248)),AsAt-$B248,"")</f>
        <v/>
      </c>
      <c r="Q248" s="78" t="str">
        <f aca="false">IF($V248&lt;&gt;1,"",IF($P248="","No invoice date",IF($P248&lt;=30,"0–30 days",IF($P248&lt;=60,"31–60 days",IF($P248&lt;=90,"61–90 days","Over 90 days")))))</f>
        <v/>
      </c>
      <c r="R248" s="80" t="str">
        <f aca="false">IF($V248=1,ROW(),"")</f>
        <v/>
      </c>
      <c r="S248" s="80" t="str">
        <f aca="false">IF(OR($A248&lt;&gt;"",$E248&lt;&gt;""),IF(TRIM($D248)="","Buyer not noted",TRIM($D248)),"")</f>
        <v/>
      </c>
      <c r="T248" s="80" t="n">
        <f aca="false">IF(AND($V248=1,ISNUMBER($M248)),$M248,0)</f>
        <v>0</v>
      </c>
      <c r="U248" s="80" t="str">
        <f aca="false">IF($V248=1,IF(COUNTIFS($S$7:$S248,$S248,$V$7:$V248,1)=1,SUMIFS($T$7:$T$1006,$S$7:$S$1006,$S248)-ROW()/1000000000,""),"")</f>
        <v/>
      </c>
      <c r="V248" s="80" t="n">
        <f aca="false">IF(OR($O248="On hand",$O248="Advance received",$O248="Part realised",$O248="Amount missing"),1,0)</f>
        <v>0</v>
      </c>
      <c r="W248" s="80" t="str">
        <f aca="false">IF(AND($V248=1,N($F248)&gt;0),ROW(),"")</f>
        <v/>
      </c>
      <c r="X248" s="80" t="n">
        <f aca="false">IF(AND(OR($A248&lt;&gt;"",$E248&lt;&gt;""),$O248&lt;&gt;"Cancelled",ISNUMBER($E248),N($F248)+N($H248)&gt;$E248+0.005),1,0)</f>
        <v>0</v>
      </c>
      <c r="Y248" s="80" t="n">
        <f aca="false">IF(AND(OR($A248&lt;&gt;"",$E248&lt;&gt;""),OR($A248="",$E248="")),1,0)</f>
        <v>0</v>
      </c>
      <c r="Z248" s="80" t="n">
        <f aca="false">IF(AND($A248&lt;&gt;"",COUNTIF($A$7:$A$1006,$A248)&gt;1),1,0)</f>
        <v>0</v>
      </c>
    </row>
    <row r="249" customFormat="false" ht="15" hidden="false" customHeight="false" outlineLevel="0" collapsed="false">
      <c r="A249" s="71"/>
      <c r="B249" s="72"/>
      <c r="C249" s="73"/>
      <c r="D249" s="73"/>
      <c r="E249" s="74"/>
      <c r="F249" s="74"/>
      <c r="G249" s="72"/>
      <c r="H249" s="74"/>
      <c r="I249" s="72"/>
      <c r="J249" s="73"/>
      <c r="K249" s="73"/>
      <c r="L249" s="75" t="str">
        <f aca="false">IF(OR($A249&lt;&gt;"",$E249&lt;&gt;""),N($F249)+N($H249),"")</f>
        <v/>
      </c>
      <c r="M249" s="76" t="str">
        <f aca="false">IF(OR($O249="",$O249="Cancelled",$O249="Amount missing"),"",IF($O249="Realised",0,$E249-N($F249)-N($H249)))</f>
        <v/>
      </c>
      <c r="N249" s="77" t="str">
        <f aca="false">IF(OR($M249="",FX=""),"",$M249*FX)</f>
        <v/>
      </c>
      <c r="O249" s="78" t="str">
        <f aca="false">IF(NOT(OR($A249&lt;&gt;"",$E249&lt;&gt;"")),"",IF($J249="Cancelled","Cancelled",IF($E249="","Amount missing",IF(OR($J249="Settled",$E249-N($F249)-N($H249)&lt;=0.005),"Realised",IF(N($H249)&gt;0,"Part realised",IF(N($F249)&gt;0,"Advance received","On hand"))))))</f>
        <v/>
      </c>
      <c r="P249" s="79" t="str">
        <f aca="false">IF(AND($V249=1,ISNUMBER($B249)),AsAt-$B249,"")</f>
        <v/>
      </c>
      <c r="Q249" s="78" t="str">
        <f aca="false">IF($V249&lt;&gt;1,"",IF($P249="","No invoice date",IF($P249&lt;=30,"0–30 days",IF($P249&lt;=60,"31–60 days",IF($P249&lt;=90,"61–90 days","Over 90 days")))))</f>
        <v/>
      </c>
      <c r="R249" s="80" t="str">
        <f aca="false">IF($V249=1,ROW(),"")</f>
        <v/>
      </c>
      <c r="S249" s="80" t="str">
        <f aca="false">IF(OR($A249&lt;&gt;"",$E249&lt;&gt;""),IF(TRIM($D249)="","Buyer not noted",TRIM($D249)),"")</f>
        <v/>
      </c>
      <c r="T249" s="80" t="n">
        <f aca="false">IF(AND($V249=1,ISNUMBER($M249)),$M249,0)</f>
        <v>0</v>
      </c>
      <c r="U249" s="80" t="str">
        <f aca="false">IF($V249=1,IF(COUNTIFS($S$7:$S249,$S249,$V$7:$V249,1)=1,SUMIFS($T$7:$T$1006,$S$7:$S$1006,$S249)-ROW()/1000000000,""),"")</f>
        <v/>
      </c>
      <c r="V249" s="80" t="n">
        <f aca="false">IF(OR($O249="On hand",$O249="Advance received",$O249="Part realised",$O249="Amount missing"),1,0)</f>
        <v>0</v>
      </c>
      <c r="W249" s="80" t="str">
        <f aca="false">IF(AND($V249=1,N($F249)&gt;0),ROW(),"")</f>
        <v/>
      </c>
      <c r="X249" s="80" t="n">
        <f aca="false">IF(AND(OR($A249&lt;&gt;"",$E249&lt;&gt;""),$O249&lt;&gt;"Cancelled",ISNUMBER($E249),N($F249)+N($H249)&gt;$E249+0.005),1,0)</f>
        <v>0</v>
      </c>
      <c r="Y249" s="80" t="n">
        <f aca="false">IF(AND(OR($A249&lt;&gt;"",$E249&lt;&gt;""),OR($A249="",$E249="")),1,0)</f>
        <v>0</v>
      </c>
      <c r="Z249" s="80" t="n">
        <f aca="false">IF(AND($A249&lt;&gt;"",COUNTIF($A$7:$A$1006,$A249)&gt;1),1,0)</f>
        <v>0</v>
      </c>
    </row>
    <row r="250" customFormat="false" ht="15" hidden="false" customHeight="false" outlineLevel="0" collapsed="false">
      <c r="A250" s="71"/>
      <c r="B250" s="72"/>
      <c r="C250" s="73"/>
      <c r="D250" s="73"/>
      <c r="E250" s="74"/>
      <c r="F250" s="74"/>
      <c r="G250" s="72"/>
      <c r="H250" s="74"/>
      <c r="I250" s="72"/>
      <c r="J250" s="73"/>
      <c r="K250" s="73"/>
      <c r="L250" s="75" t="str">
        <f aca="false">IF(OR($A250&lt;&gt;"",$E250&lt;&gt;""),N($F250)+N($H250),"")</f>
        <v/>
      </c>
      <c r="M250" s="76" t="str">
        <f aca="false">IF(OR($O250="",$O250="Cancelled",$O250="Amount missing"),"",IF($O250="Realised",0,$E250-N($F250)-N($H250)))</f>
        <v/>
      </c>
      <c r="N250" s="77" t="str">
        <f aca="false">IF(OR($M250="",FX=""),"",$M250*FX)</f>
        <v/>
      </c>
      <c r="O250" s="78" t="str">
        <f aca="false">IF(NOT(OR($A250&lt;&gt;"",$E250&lt;&gt;"")),"",IF($J250="Cancelled","Cancelled",IF($E250="","Amount missing",IF(OR($J250="Settled",$E250-N($F250)-N($H250)&lt;=0.005),"Realised",IF(N($H250)&gt;0,"Part realised",IF(N($F250)&gt;0,"Advance received","On hand"))))))</f>
        <v/>
      </c>
      <c r="P250" s="79" t="str">
        <f aca="false">IF(AND($V250=1,ISNUMBER($B250)),AsAt-$B250,"")</f>
        <v/>
      </c>
      <c r="Q250" s="78" t="str">
        <f aca="false">IF($V250&lt;&gt;1,"",IF($P250="","No invoice date",IF($P250&lt;=30,"0–30 days",IF($P250&lt;=60,"31–60 days",IF($P250&lt;=90,"61–90 days","Over 90 days")))))</f>
        <v/>
      </c>
      <c r="R250" s="80" t="str">
        <f aca="false">IF($V250=1,ROW(),"")</f>
        <v/>
      </c>
      <c r="S250" s="80" t="str">
        <f aca="false">IF(OR($A250&lt;&gt;"",$E250&lt;&gt;""),IF(TRIM($D250)="","Buyer not noted",TRIM($D250)),"")</f>
        <v/>
      </c>
      <c r="T250" s="80" t="n">
        <f aca="false">IF(AND($V250=1,ISNUMBER($M250)),$M250,0)</f>
        <v>0</v>
      </c>
      <c r="U250" s="80" t="str">
        <f aca="false">IF($V250=1,IF(COUNTIFS($S$7:$S250,$S250,$V$7:$V250,1)=1,SUMIFS($T$7:$T$1006,$S$7:$S$1006,$S250)-ROW()/1000000000,""),"")</f>
        <v/>
      </c>
      <c r="V250" s="80" t="n">
        <f aca="false">IF(OR($O250="On hand",$O250="Advance received",$O250="Part realised",$O250="Amount missing"),1,0)</f>
        <v>0</v>
      </c>
      <c r="W250" s="80" t="str">
        <f aca="false">IF(AND($V250=1,N($F250)&gt;0),ROW(),"")</f>
        <v/>
      </c>
      <c r="X250" s="80" t="n">
        <f aca="false">IF(AND(OR($A250&lt;&gt;"",$E250&lt;&gt;""),$O250&lt;&gt;"Cancelled",ISNUMBER($E250),N($F250)+N($H250)&gt;$E250+0.005),1,0)</f>
        <v>0</v>
      </c>
      <c r="Y250" s="80" t="n">
        <f aca="false">IF(AND(OR($A250&lt;&gt;"",$E250&lt;&gt;""),OR($A250="",$E250="")),1,0)</f>
        <v>0</v>
      </c>
      <c r="Z250" s="80" t="n">
        <f aca="false">IF(AND($A250&lt;&gt;"",COUNTIF($A$7:$A$1006,$A250)&gt;1),1,0)</f>
        <v>0</v>
      </c>
    </row>
    <row r="251" customFormat="false" ht="15" hidden="false" customHeight="false" outlineLevel="0" collapsed="false">
      <c r="A251" s="71"/>
      <c r="B251" s="72"/>
      <c r="C251" s="73"/>
      <c r="D251" s="73"/>
      <c r="E251" s="74"/>
      <c r="F251" s="74"/>
      <c r="G251" s="72"/>
      <c r="H251" s="74"/>
      <c r="I251" s="72"/>
      <c r="J251" s="73"/>
      <c r="K251" s="73"/>
      <c r="L251" s="75" t="str">
        <f aca="false">IF(OR($A251&lt;&gt;"",$E251&lt;&gt;""),N($F251)+N($H251),"")</f>
        <v/>
      </c>
      <c r="M251" s="76" t="str">
        <f aca="false">IF(OR($O251="",$O251="Cancelled",$O251="Amount missing"),"",IF($O251="Realised",0,$E251-N($F251)-N($H251)))</f>
        <v/>
      </c>
      <c r="N251" s="77" t="str">
        <f aca="false">IF(OR($M251="",FX=""),"",$M251*FX)</f>
        <v/>
      </c>
      <c r="O251" s="78" t="str">
        <f aca="false">IF(NOT(OR($A251&lt;&gt;"",$E251&lt;&gt;"")),"",IF($J251="Cancelled","Cancelled",IF($E251="","Amount missing",IF(OR($J251="Settled",$E251-N($F251)-N($H251)&lt;=0.005),"Realised",IF(N($H251)&gt;0,"Part realised",IF(N($F251)&gt;0,"Advance received","On hand"))))))</f>
        <v/>
      </c>
      <c r="P251" s="79" t="str">
        <f aca="false">IF(AND($V251=1,ISNUMBER($B251)),AsAt-$B251,"")</f>
        <v/>
      </c>
      <c r="Q251" s="78" t="str">
        <f aca="false">IF($V251&lt;&gt;1,"",IF($P251="","No invoice date",IF($P251&lt;=30,"0–30 days",IF($P251&lt;=60,"31–60 days",IF($P251&lt;=90,"61–90 days","Over 90 days")))))</f>
        <v/>
      </c>
      <c r="R251" s="80" t="str">
        <f aca="false">IF($V251=1,ROW(),"")</f>
        <v/>
      </c>
      <c r="S251" s="80" t="str">
        <f aca="false">IF(OR($A251&lt;&gt;"",$E251&lt;&gt;""),IF(TRIM($D251)="","Buyer not noted",TRIM($D251)),"")</f>
        <v/>
      </c>
      <c r="T251" s="80" t="n">
        <f aca="false">IF(AND($V251=1,ISNUMBER($M251)),$M251,0)</f>
        <v>0</v>
      </c>
      <c r="U251" s="80" t="str">
        <f aca="false">IF($V251=1,IF(COUNTIFS($S$7:$S251,$S251,$V$7:$V251,1)=1,SUMIFS($T$7:$T$1006,$S$7:$S$1006,$S251)-ROW()/1000000000,""),"")</f>
        <v/>
      </c>
      <c r="V251" s="80" t="n">
        <f aca="false">IF(OR($O251="On hand",$O251="Advance received",$O251="Part realised",$O251="Amount missing"),1,0)</f>
        <v>0</v>
      </c>
      <c r="W251" s="80" t="str">
        <f aca="false">IF(AND($V251=1,N($F251)&gt;0),ROW(),"")</f>
        <v/>
      </c>
      <c r="X251" s="80" t="n">
        <f aca="false">IF(AND(OR($A251&lt;&gt;"",$E251&lt;&gt;""),$O251&lt;&gt;"Cancelled",ISNUMBER($E251),N($F251)+N($H251)&gt;$E251+0.005),1,0)</f>
        <v>0</v>
      </c>
      <c r="Y251" s="80" t="n">
        <f aca="false">IF(AND(OR($A251&lt;&gt;"",$E251&lt;&gt;""),OR($A251="",$E251="")),1,0)</f>
        <v>0</v>
      </c>
      <c r="Z251" s="80" t="n">
        <f aca="false">IF(AND($A251&lt;&gt;"",COUNTIF($A$7:$A$1006,$A251)&gt;1),1,0)</f>
        <v>0</v>
      </c>
    </row>
    <row r="252" customFormat="false" ht="15" hidden="false" customHeight="false" outlineLevel="0" collapsed="false">
      <c r="A252" s="71"/>
      <c r="B252" s="72"/>
      <c r="C252" s="73"/>
      <c r="D252" s="73"/>
      <c r="E252" s="74"/>
      <c r="F252" s="74"/>
      <c r="G252" s="72"/>
      <c r="H252" s="74"/>
      <c r="I252" s="72"/>
      <c r="J252" s="73"/>
      <c r="K252" s="73"/>
      <c r="L252" s="75" t="str">
        <f aca="false">IF(OR($A252&lt;&gt;"",$E252&lt;&gt;""),N($F252)+N($H252),"")</f>
        <v/>
      </c>
      <c r="M252" s="76" t="str">
        <f aca="false">IF(OR($O252="",$O252="Cancelled",$O252="Amount missing"),"",IF($O252="Realised",0,$E252-N($F252)-N($H252)))</f>
        <v/>
      </c>
      <c r="N252" s="77" t="str">
        <f aca="false">IF(OR($M252="",FX=""),"",$M252*FX)</f>
        <v/>
      </c>
      <c r="O252" s="78" t="str">
        <f aca="false">IF(NOT(OR($A252&lt;&gt;"",$E252&lt;&gt;"")),"",IF($J252="Cancelled","Cancelled",IF($E252="","Amount missing",IF(OR($J252="Settled",$E252-N($F252)-N($H252)&lt;=0.005),"Realised",IF(N($H252)&gt;0,"Part realised",IF(N($F252)&gt;0,"Advance received","On hand"))))))</f>
        <v/>
      </c>
      <c r="P252" s="79" t="str">
        <f aca="false">IF(AND($V252=1,ISNUMBER($B252)),AsAt-$B252,"")</f>
        <v/>
      </c>
      <c r="Q252" s="78" t="str">
        <f aca="false">IF($V252&lt;&gt;1,"",IF($P252="","No invoice date",IF($P252&lt;=30,"0–30 days",IF($P252&lt;=60,"31–60 days",IF($P252&lt;=90,"61–90 days","Over 90 days")))))</f>
        <v/>
      </c>
      <c r="R252" s="80" t="str">
        <f aca="false">IF($V252=1,ROW(),"")</f>
        <v/>
      </c>
      <c r="S252" s="80" t="str">
        <f aca="false">IF(OR($A252&lt;&gt;"",$E252&lt;&gt;""),IF(TRIM($D252)="","Buyer not noted",TRIM($D252)),"")</f>
        <v/>
      </c>
      <c r="T252" s="80" t="n">
        <f aca="false">IF(AND($V252=1,ISNUMBER($M252)),$M252,0)</f>
        <v>0</v>
      </c>
      <c r="U252" s="80" t="str">
        <f aca="false">IF($V252=1,IF(COUNTIFS($S$7:$S252,$S252,$V$7:$V252,1)=1,SUMIFS($T$7:$T$1006,$S$7:$S$1006,$S252)-ROW()/1000000000,""),"")</f>
        <v/>
      </c>
      <c r="V252" s="80" t="n">
        <f aca="false">IF(OR($O252="On hand",$O252="Advance received",$O252="Part realised",$O252="Amount missing"),1,0)</f>
        <v>0</v>
      </c>
      <c r="W252" s="80" t="str">
        <f aca="false">IF(AND($V252=1,N($F252)&gt;0),ROW(),"")</f>
        <v/>
      </c>
      <c r="X252" s="80" t="n">
        <f aca="false">IF(AND(OR($A252&lt;&gt;"",$E252&lt;&gt;""),$O252&lt;&gt;"Cancelled",ISNUMBER($E252),N($F252)+N($H252)&gt;$E252+0.005),1,0)</f>
        <v>0</v>
      </c>
      <c r="Y252" s="80" t="n">
        <f aca="false">IF(AND(OR($A252&lt;&gt;"",$E252&lt;&gt;""),OR($A252="",$E252="")),1,0)</f>
        <v>0</v>
      </c>
      <c r="Z252" s="80" t="n">
        <f aca="false">IF(AND($A252&lt;&gt;"",COUNTIF($A$7:$A$1006,$A252)&gt;1),1,0)</f>
        <v>0</v>
      </c>
    </row>
    <row r="253" customFormat="false" ht="15" hidden="false" customHeight="false" outlineLevel="0" collapsed="false">
      <c r="A253" s="71"/>
      <c r="B253" s="72"/>
      <c r="C253" s="73"/>
      <c r="D253" s="73"/>
      <c r="E253" s="74"/>
      <c r="F253" s="74"/>
      <c r="G253" s="72"/>
      <c r="H253" s="74"/>
      <c r="I253" s="72"/>
      <c r="J253" s="73"/>
      <c r="K253" s="73"/>
      <c r="L253" s="75" t="str">
        <f aca="false">IF(OR($A253&lt;&gt;"",$E253&lt;&gt;""),N($F253)+N($H253),"")</f>
        <v/>
      </c>
      <c r="M253" s="76" t="str">
        <f aca="false">IF(OR($O253="",$O253="Cancelled",$O253="Amount missing"),"",IF($O253="Realised",0,$E253-N($F253)-N($H253)))</f>
        <v/>
      </c>
      <c r="N253" s="77" t="str">
        <f aca="false">IF(OR($M253="",FX=""),"",$M253*FX)</f>
        <v/>
      </c>
      <c r="O253" s="78" t="str">
        <f aca="false">IF(NOT(OR($A253&lt;&gt;"",$E253&lt;&gt;"")),"",IF($J253="Cancelled","Cancelled",IF($E253="","Amount missing",IF(OR($J253="Settled",$E253-N($F253)-N($H253)&lt;=0.005),"Realised",IF(N($H253)&gt;0,"Part realised",IF(N($F253)&gt;0,"Advance received","On hand"))))))</f>
        <v/>
      </c>
      <c r="P253" s="79" t="str">
        <f aca="false">IF(AND($V253=1,ISNUMBER($B253)),AsAt-$B253,"")</f>
        <v/>
      </c>
      <c r="Q253" s="78" t="str">
        <f aca="false">IF($V253&lt;&gt;1,"",IF($P253="","No invoice date",IF($P253&lt;=30,"0–30 days",IF($P253&lt;=60,"31–60 days",IF($P253&lt;=90,"61–90 days","Over 90 days")))))</f>
        <v/>
      </c>
      <c r="R253" s="80" t="str">
        <f aca="false">IF($V253=1,ROW(),"")</f>
        <v/>
      </c>
      <c r="S253" s="80" t="str">
        <f aca="false">IF(OR($A253&lt;&gt;"",$E253&lt;&gt;""),IF(TRIM($D253)="","Buyer not noted",TRIM($D253)),"")</f>
        <v/>
      </c>
      <c r="T253" s="80" t="n">
        <f aca="false">IF(AND($V253=1,ISNUMBER($M253)),$M253,0)</f>
        <v>0</v>
      </c>
      <c r="U253" s="80" t="str">
        <f aca="false">IF($V253=1,IF(COUNTIFS($S$7:$S253,$S253,$V$7:$V253,1)=1,SUMIFS($T$7:$T$1006,$S$7:$S$1006,$S253)-ROW()/1000000000,""),"")</f>
        <v/>
      </c>
      <c r="V253" s="80" t="n">
        <f aca="false">IF(OR($O253="On hand",$O253="Advance received",$O253="Part realised",$O253="Amount missing"),1,0)</f>
        <v>0</v>
      </c>
      <c r="W253" s="80" t="str">
        <f aca="false">IF(AND($V253=1,N($F253)&gt;0),ROW(),"")</f>
        <v/>
      </c>
      <c r="X253" s="80" t="n">
        <f aca="false">IF(AND(OR($A253&lt;&gt;"",$E253&lt;&gt;""),$O253&lt;&gt;"Cancelled",ISNUMBER($E253),N($F253)+N($H253)&gt;$E253+0.005),1,0)</f>
        <v>0</v>
      </c>
      <c r="Y253" s="80" t="n">
        <f aca="false">IF(AND(OR($A253&lt;&gt;"",$E253&lt;&gt;""),OR($A253="",$E253="")),1,0)</f>
        <v>0</v>
      </c>
      <c r="Z253" s="80" t="n">
        <f aca="false">IF(AND($A253&lt;&gt;"",COUNTIF($A$7:$A$1006,$A253)&gt;1),1,0)</f>
        <v>0</v>
      </c>
    </row>
    <row r="254" customFormat="false" ht="15" hidden="false" customHeight="false" outlineLevel="0" collapsed="false">
      <c r="A254" s="71"/>
      <c r="B254" s="72"/>
      <c r="C254" s="73"/>
      <c r="D254" s="73"/>
      <c r="E254" s="74"/>
      <c r="F254" s="74"/>
      <c r="G254" s="72"/>
      <c r="H254" s="74"/>
      <c r="I254" s="72"/>
      <c r="J254" s="73"/>
      <c r="K254" s="73"/>
      <c r="L254" s="75" t="str">
        <f aca="false">IF(OR($A254&lt;&gt;"",$E254&lt;&gt;""),N($F254)+N($H254),"")</f>
        <v/>
      </c>
      <c r="M254" s="76" t="str">
        <f aca="false">IF(OR($O254="",$O254="Cancelled",$O254="Amount missing"),"",IF($O254="Realised",0,$E254-N($F254)-N($H254)))</f>
        <v/>
      </c>
      <c r="N254" s="77" t="str">
        <f aca="false">IF(OR($M254="",FX=""),"",$M254*FX)</f>
        <v/>
      </c>
      <c r="O254" s="78" t="str">
        <f aca="false">IF(NOT(OR($A254&lt;&gt;"",$E254&lt;&gt;"")),"",IF($J254="Cancelled","Cancelled",IF($E254="","Amount missing",IF(OR($J254="Settled",$E254-N($F254)-N($H254)&lt;=0.005),"Realised",IF(N($H254)&gt;0,"Part realised",IF(N($F254)&gt;0,"Advance received","On hand"))))))</f>
        <v/>
      </c>
      <c r="P254" s="79" t="str">
        <f aca="false">IF(AND($V254=1,ISNUMBER($B254)),AsAt-$B254,"")</f>
        <v/>
      </c>
      <c r="Q254" s="78" t="str">
        <f aca="false">IF($V254&lt;&gt;1,"",IF($P254="","No invoice date",IF($P254&lt;=30,"0–30 days",IF($P254&lt;=60,"31–60 days",IF($P254&lt;=90,"61–90 days","Over 90 days")))))</f>
        <v/>
      </c>
      <c r="R254" s="80" t="str">
        <f aca="false">IF($V254=1,ROW(),"")</f>
        <v/>
      </c>
      <c r="S254" s="80" t="str">
        <f aca="false">IF(OR($A254&lt;&gt;"",$E254&lt;&gt;""),IF(TRIM($D254)="","Buyer not noted",TRIM($D254)),"")</f>
        <v/>
      </c>
      <c r="T254" s="80" t="n">
        <f aca="false">IF(AND($V254=1,ISNUMBER($M254)),$M254,0)</f>
        <v>0</v>
      </c>
      <c r="U254" s="80" t="str">
        <f aca="false">IF($V254=1,IF(COUNTIFS($S$7:$S254,$S254,$V$7:$V254,1)=1,SUMIFS($T$7:$T$1006,$S$7:$S$1006,$S254)-ROW()/1000000000,""),"")</f>
        <v/>
      </c>
      <c r="V254" s="80" t="n">
        <f aca="false">IF(OR($O254="On hand",$O254="Advance received",$O254="Part realised",$O254="Amount missing"),1,0)</f>
        <v>0</v>
      </c>
      <c r="W254" s="80" t="str">
        <f aca="false">IF(AND($V254=1,N($F254)&gt;0),ROW(),"")</f>
        <v/>
      </c>
      <c r="X254" s="80" t="n">
        <f aca="false">IF(AND(OR($A254&lt;&gt;"",$E254&lt;&gt;""),$O254&lt;&gt;"Cancelled",ISNUMBER($E254),N($F254)+N($H254)&gt;$E254+0.005),1,0)</f>
        <v>0</v>
      </c>
      <c r="Y254" s="80" t="n">
        <f aca="false">IF(AND(OR($A254&lt;&gt;"",$E254&lt;&gt;""),OR($A254="",$E254="")),1,0)</f>
        <v>0</v>
      </c>
      <c r="Z254" s="80" t="n">
        <f aca="false">IF(AND($A254&lt;&gt;"",COUNTIF($A$7:$A$1006,$A254)&gt;1),1,0)</f>
        <v>0</v>
      </c>
    </row>
    <row r="255" customFormat="false" ht="15" hidden="false" customHeight="false" outlineLevel="0" collapsed="false">
      <c r="A255" s="71"/>
      <c r="B255" s="72"/>
      <c r="C255" s="73"/>
      <c r="D255" s="73"/>
      <c r="E255" s="74"/>
      <c r="F255" s="74"/>
      <c r="G255" s="72"/>
      <c r="H255" s="74"/>
      <c r="I255" s="72"/>
      <c r="J255" s="73"/>
      <c r="K255" s="73"/>
      <c r="L255" s="75" t="str">
        <f aca="false">IF(OR($A255&lt;&gt;"",$E255&lt;&gt;""),N($F255)+N($H255),"")</f>
        <v/>
      </c>
      <c r="M255" s="76" t="str">
        <f aca="false">IF(OR($O255="",$O255="Cancelled",$O255="Amount missing"),"",IF($O255="Realised",0,$E255-N($F255)-N($H255)))</f>
        <v/>
      </c>
      <c r="N255" s="77" t="str">
        <f aca="false">IF(OR($M255="",FX=""),"",$M255*FX)</f>
        <v/>
      </c>
      <c r="O255" s="78" t="str">
        <f aca="false">IF(NOT(OR($A255&lt;&gt;"",$E255&lt;&gt;"")),"",IF($J255="Cancelled","Cancelled",IF($E255="","Amount missing",IF(OR($J255="Settled",$E255-N($F255)-N($H255)&lt;=0.005),"Realised",IF(N($H255)&gt;0,"Part realised",IF(N($F255)&gt;0,"Advance received","On hand"))))))</f>
        <v/>
      </c>
      <c r="P255" s="79" t="str">
        <f aca="false">IF(AND($V255=1,ISNUMBER($B255)),AsAt-$B255,"")</f>
        <v/>
      </c>
      <c r="Q255" s="78" t="str">
        <f aca="false">IF($V255&lt;&gt;1,"",IF($P255="","No invoice date",IF($P255&lt;=30,"0–30 days",IF($P255&lt;=60,"31–60 days",IF($P255&lt;=90,"61–90 days","Over 90 days")))))</f>
        <v/>
      </c>
      <c r="R255" s="80" t="str">
        <f aca="false">IF($V255=1,ROW(),"")</f>
        <v/>
      </c>
      <c r="S255" s="80" t="str">
        <f aca="false">IF(OR($A255&lt;&gt;"",$E255&lt;&gt;""),IF(TRIM($D255)="","Buyer not noted",TRIM($D255)),"")</f>
        <v/>
      </c>
      <c r="T255" s="80" t="n">
        <f aca="false">IF(AND($V255=1,ISNUMBER($M255)),$M255,0)</f>
        <v>0</v>
      </c>
      <c r="U255" s="80" t="str">
        <f aca="false">IF($V255=1,IF(COUNTIFS($S$7:$S255,$S255,$V$7:$V255,1)=1,SUMIFS($T$7:$T$1006,$S$7:$S$1006,$S255)-ROW()/1000000000,""),"")</f>
        <v/>
      </c>
      <c r="V255" s="80" t="n">
        <f aca="false">IF(OR($O255="On hand",$O255="Advance received",$O255="Part realised",$O255="Amount missing"),1,0)</f>
        <v>0</v>
      </c>
      <c r="W255" s="80" t="str">
        <f aca="false">IF(AND($V255=1,N($F255)&gt;0),ROW(),"")</f>
        <v/>
      </c>
      <c r="X255" s="80" t="n">
        <f aca="false">IF(AND(OR($A255&lt;&gt;"",$E255&lt;&gt;""),$O255&lt;&gt;"Cancelled",ISNUMBER($E255),N($F255)+N($H255)&gt;$E255+0.005),1,0)</f>
        <v>0</v>
      </c>
      <c r="Y255" s="80" t="n">
        <f aca="false">IF(AND(OR($A255&lt;&gt;"",$E255&lt;&gt;""),OR($A255="",$E255="")),1,0)</f>
        <v>0</v>
      </c>
      <c r="Z255" s="80" t="n">
        <f aca="false">IF(AND($A255&lt;&gt;"",COUNTIF($A$7:$A$1006,$A255)&gt;1),1,0)</f>
        <v>0</v>
      </c>
    </row>
    <row r="256" customFormat="false" ht="15" hidden="false" customHeight="false" outlineLevel="0" collapsed="false">
      <c r="A256" s="71"/>
      <c r="B256" s="72"/>
      <c r="C256" s="73"/>
      <c r="D256" s="73"/>
      <c r="E256" s="74"/>
      <c r="F256" s="74"/>
      <c r="G256" s="72"/>
      <c r="H256" s="74"/>
      <c r="I256" s="72"/>
      <c r="J256" s="73"/>
      <c r="K256" s="73"/>
      <c r="L256" s="75" t="str">
        <f aca="false">IF(OR($A256&lt;&gt;"",$E256&lt;&gt;""),N($F256)+N($H256),"")</f>
        <v/>
      </c>
      <c r="M256" s="76" t="str">
        <f aca="false">IF(OR($O256="",$O256="Cancelled",$O256="Amount missing"),"",IF($O256="Realised",0,$E256-N($F256)-N($H256)))</f>
        <v/>
      </c>
      <c r="N256" s="77" t="str">
        <f aca="false">IF(OR($M256="",FX=""),"",$M256*FX)</f>
        <v/>
      </c>
      <c r="O256" s="78" t="str">
        <f aca="false">IF(NOT(OR($A256&lt;&gt;"",$E256&lt;&gt;"")),"",IF($J256="Cancelled","Cancelled",IF($E256="","Amount missing",IF(OR($J256="Settled",$E256-N($F256)-N($H256)&lt;=0.005),"Realised",IF(N($H256)&gt;0,"Part realised",IF(N($F256)&gt;0,"Advance received","On hand"))))))</f>
        <v/>
      </c>
      <c r="P256" s="79" t="str">
        <f aca="false">IF(AND($V256=1,ISNUMBER($B256)),AsAt-$B256,"")</f>
        <v/>
      </c>
      <c r="Q256" s="78" t="str">
        <f aca="false">IF($V256&lt;&gt;1,"",IF($P256="","No invoice date",IF($P256&lt;=30,"0–30 days",IF($P256&lt;=60,"31–60 days",IF($P256&lt;=90,"61–90 days","Over 90 days")))))</f>
        <v/>
      </c>
      <c r="R256" s="80" t="str">
        <f aca="false">IF($V256=1,ROW(),"")</f>
        <v/>
      </c>
      <c r="S256" s="80" t="str">
        <f aca="false">IF(OR($A256&lt;&gt;"",$E256&lt;&gt;""),IF(TRIM($D256)="","Buyer not noted",TRIM($D256)),"")</f>
        <v/>
      </c>
      <c r="T256" s="80" t="n">
        <f aca="false">IF(AND($V256=1,ISNUMBER($M256)),$M256,0)</f>
        <v>0</v>
      </c>
      <c r="U256" s="80" t="str">
        <f aca="false">IF($V256=1,IF(COUNTIFS($S$7:$S256,$S256,$V$7:$V256,1)=1,SUMIFS($T$7:$T$1006,$S$7:$S$1006,$S256)-ROW()/1000000000,""),"")</f>
        <v/>
      </c>
      <c r="V256" s="80" t="n">
        <f aca="false">IF(OR($O256="On hand",$O256="Advance received",$O256="Part realised",$O256="Amount missing"),1,0)</f>
        <v>0</v>
      </c>
      <c r="W256" s="80" t="str">
        <f aca="false">IF(AND($V256=1,N($F256)&gt;0),ROW(),"")</f>
        <v/>
      </c>
      <c r="X256" s="80" t="n">
        <f aca="false">IF(AND(OR($A256&lt;&gt;"",$E256&lt;&gt;""),$O256&lt;&gt;"Cancelled",ISNUMBER($E256),N($F256)+N($H256)&gt;$E256+0.005),1,0)</f>
        <v>0</v>
      </c>
      <c r="Y256" s="80" t="n">
        <f aca="false">IF(AND(OR($A256&lt;&gt;"",$E256&lt;&gt;""),OR($A256="",$E256="")),1,0)</f>
        <v>0</v>
      </c>
      <c r="Z256" s="80" t="n">
        <f aca="false">IF(AND($A256&lt;&gt;"",COUNTIF($A$7:$A$1006,$A256)&gt;1),1,0)</f>
        <v>0</v>
      </c>
    </row>
    <row r="257" customFormat="false" ht="15" hidden="false" customHeight="false" outlineLevel="0" collapsed="false">
      <c r="A257" s="71"/>
      <c r="B257" s="72"/>
      <c r="C257" s="73"/>
      <c r="D257" s="73"/>
      <c r="E257" s="74"/>
      <c r="F257" s="74"/>
      <c r="G257" s="72"/>
      <c r="H257" s="74"/>
      <c r="I257" s="72"/>
      <c r="J257" s="73"/>
      <c r="K257" s="73"/>
      <c r="L257" s="75" t="str">
        <f aca="false">IF(OR($A257&lt;&gt;"",$E257&lt;&gt;""),N($F257)+N($H257),"")</f>
        <v/>
      </c>
      <c r="M257" s="76" t="str">
        <f aca="false">IF(OR($O257="",$O257="Cancelled",$O257="Amount missing"),"",IF($O257="Realised",0,$E257-N($F257)-N($H257)))</f>
        <v/>
      </c>
      <c r="N257" s="77" t="str">
        <f aca="false">IF(OR($M257="",FX=""),"",$M257*FX)</f>
        <v/>
      </c>
      <c r="O257" s="78" t="str">
        <f aca="false">IF(NOT(OR($A257&lt;&gt;"",$E257&lt;&gt;"")),"",IF($J257="Cancelled","Cancelled",IF($E257="","Amount missing",IF(OR($J257="Settled",$E257-N($F257)-N($H257)&lt;=0.005),"Realised",IF(N($H257)&gt;0,"Part realised",IF(N($F257)&gt;0,"Advance received","On hand"))))))</f>
        <v/>
      </c>
      <c r="P257" s="79" t="str">
        <f aca="false">IF(AND($V257=1,ISNUMBER($B257)),AsAt-$B257,"")</f>
        <v/>
      </c>
      <c r="Q257" s="78" t="str">
        <f aca="false">IF($V257&lt;&gt;1,"",IF($P257="","No invoice date",IF($P257&lt;=30,"0–30 days",IF($P257&lt;=60,"31–60 days",IF($P257&lt;=90,"61–90 days","Over 90 days")))))</f>
        <v/>
      </c>
      <c r="R257" s="80" t="str">
        <f aca="false">IF($V257=1,ROW(),"")</f>
        <v/>
      </c>
      <c r="S257" s="80" t="str">
        <f aca="false">IF(OR($A257&lt;&gt;"",$E257&lt;&gt;""),IF(TRIM($D257)="","Buyer not noted",TRIM($D257)),"")</f>
        <v/>
      </c>
      <c r="T257" s="80" t="n">
        <f aca="false">IF(AND($V257=1,ISNUMBER($M257)),$M257,0)</f>
        <v>0</v>
      </c>
      <c r="U257" s="80" t="str">
        <f aca="false">IF($V257=1,IF(COUNTIFS($S$7:$S257,$S257,$V$7:$V257,1)=1,SUMIFS($T$7:$T$1006,$S$7:$S$1006,$S257)-ROW()/1000000000,""),"")</f>
        <v/>
      </c>
      <c r="V257" s="80" t="n">
        <f aca="false">IF(OR($O257="On hand",$O257="Advance received",$O257="Part realised",$O257="Amount missing"),1,0)</f>
        <v>0</v>
      </c>
      <c r="W257" s="80" t="str">
        <f aca="false">IF(AND($V257=1,N($F257)&gt;0),ROW(),"")</f>
        <v/>
      </c>
      <c r="X257" s="80" t="n">
        <f aca="false">IF(AND(OR($A257&lt;&gt;"",$E257&lt;&gt;""),$O257&lt;&gt;"Cancelled",ISNUMBER($E257),N($F257)+N($H257)&gt;$E257+0.005),1,0)</f>
        <v>0</v>
      </c>
      <c r="Y257" s="80" t="n">
        <f aca="false">IF(AND(OR($A257&lt;&gt;"",$E257&lt;&gt;""),OR($A257="",$E257="")),1,0)</f>
        <v>0</v>
      </c>
      <c r="Z257" s="80" t="n">
        <f aca="false">IF(AND($A257&lt;&gt;"",COUNTIF($A$7:$A$1006,$A257)&gt;1),1,0)</f>
        <v>0</v>
      </c>
    </row>
    <row r="258" customFormat="false" ht="15" hidden="false" customHeight="false" outlineLevel="0" collapsed="false">
      <c r="A258" s="71"/>
      <c r="B258" s="72"/>
      <c r="C258" s="73"/>
      <c r="D258" s="73"/>
      <c r="E258" s="74"/>
      <c r="F258" s="74"/>
      <c r="G258" s="72"/>
      <c r="H258" s="74"/>
      <c r="I258" s="72"/>
      <c r="J258" s="73"/>
      <c r="K258" s="73"/>
      <c r="L258" s="75" t="str">
        <f aca="false">IF(OR($A258&lt;&gt;"",$E258&lt;&gt;""),N($F258)+N($H258),"")</f>
        <v/>
      </c>
      <c r="M258" s="76" t="str">
        <f aca="false">IF(OR($O258="",$O258="Cancelled",$O258="Amount missing"),"",IF($O258="Realised",0,$E258-N($F258)-N($H258)))</f>
        <v/>
      </c>
      <c r="N258" s="77" t="str">
        <f aca="false">IF(OR($M258="",FX=""),"",$M258*FX)</f>
        <v/>
      </c>
      <c r="O258" s="78" t="str">
        <f aca="false">IF(NOT(OR($A258&lt;&gt;"",$E258&lt;&gt;"")),"",IF($J258="Cancelled","Cancelled",IF($E258="","Amount missing",IF(OR($J258="Settled",$E258-N($F258)-N($H258)&lt;=0.005),"Realised",IF(N($H258)&gt;0,"Part realised",IF(N($F258)&gt;0,"Advance received","On hand"))))))</f>
        <v/>
      </c>
      <c r="P258" s="79" t="str">
        <f aca="false">IF(AND($V258=1,ISNUMBER($B258)),AsAt-$B258,"")</f>
        <v/>
      </c>
      <c r="Q258" s="78" t="str">
        <f aca="false">IF($V258&lt;&gt;1,"",IF($P258="","No invoice date",IF($P258&lt;=30,"0–30 days",IF($P258&lt;=60,"31–60 days",IF($P258&lt;=90,"61–90 days","Over 90 days")))))</f>
        <v/>
      </c>
      <c r="R258" s="80" t="str">
        <f aca="false">IF($V258=1,ROW(),"")</f>
        <v/>
      </c>
      <c r="S258" s="80" t="str">
        <f aca="false">IF(OR($A258&lt;&gt;"",$E258&lt;&gt;""),IF(TRIM($D258)="","Buyer not noted",TRIM($D258)),"")</f>
        <v/>
      </c>
      <c r="T258" s="80" t="n">
        <f aca="false">IF(AND($V258=1,ISNUMBER($M258)),$M258,0)</f>
        <v>0</v>
      </c>
      <c r="U258" s="80" t="str">
        <f aca="false">IF($V258=1,IF(COUNTIFS($S$7:$S258,$S258,$V$7:$V258,1)=1,SUMIFS($T$7:$T$1006,$S$7:$S$1006,$S258)-ROW()/1000000000,""),"")</f>
        <v/>
      </c>
      <c r="V258" s="80" t="n">
        <f aca="false">IF(OR($O258="On hand",$O258="Advance received",$O258="Part realised",$O258="Amount missing"),1,0)</f>
        <v>0</v>
      </c>
      <c r="W258" s="80" t="str">
        <f aca="false">IF(AND($V258=1,N($F258)&gt;0),ROW(),"")</f>
        <v/>
      </c>
      <c r="X258" s="80" t="n">
        <f aca="false">IF(AND(OR($A258&lt;&gt;"",$E258&lt;&gt;""),$O258&lt;&gt;"Cancelled",ISNUMBER($E258),N($F258)+N($H258)&gt;$E258+0.005),1,0)</f>
        <v>0</v>
      </c>
      <c r="Y258" s="80" t="n">
        <f aca="false">IF(AND(OR($A258&lt;&gt;"",$E258&lt;&gt;""),OR($A258="",$E258="")),1,0)</f>
        <v>0</v>
      </c>
      <c r="Z258" s="80" t="n">
        <f aca="false">IF(AND($A258&lt;&gt;"",COUNTIF($A$7:$A$1006,$A258)&gt;1),1,0)</f>
        <v>0</v>
      </c>
    </row>
    <row r="259" customFormat="false" ht="15" hidden="false" customHeight="false" outlineLevel="0" collapsed="false">
      <c r="A259" s="71"/>
      <c r="B259" s="72"/>
      <c r="C259" s="73"/>
      <c r="D259" s="73"/>
      <c r="E259" s="74"/>
      <c r="F259" s="74"/>
      <c r="G259" s="72"/>
      <c r="H259" s="74"/>
      <c r="I259" s="72"/>
      <c r="J259" s="73"/>
      <c r="K259" s="73"/>
      <c r="L259" s="75" t="str">
        <f aca="false">IF(OR($A259&lt;&gt;"",$E259&lt;&gt;""),N($F259)+N($H259),"")</f>
        <v/>
      </c>
      <c r="M259" s="76" t="str">
        <f aca="false">IF(OR($O259="",$O259="Cancelled",$O259="Amount missing"),"",IF($O259="Realised",0,$E259-N($F259)-N($H259)))</f>
        <v/>
      </c>
      <c r="N259" s="77" t="str">
        <f aca="false">IF(OR($M259="",FX=""),"",$M259*FX)</f>
        <v/>
      </c>
      <c r="O259" s="78" t="str">
        <f aca="false">IF(NOT(OR($A259&lt;&gt;"",$E259&lt;&gt;"")),"",IF($J259="Cancelled","Cancelled",IF($E259="","Amount missing",IF(OR($J259="Settled",$E259-N($F259)-N($H259)&lt;=0.005),"Realised",IF(N($H259)&gt;0,"Part realised",IF(N($F259)&gt;0,"Advance received","On hand"))))))</f>
        <v/>
      </c>
      <c r="P259" s="79" t="str">
        <f aca="false">IF(AND($V259=1,ISNUMBER($B259)),AsAt-$B259,"")</f>
        <v/>
      </c>
      <c r="Q259" s="78" t="str">
        <f aca="false">IF($V259&lt;&gt;1,"",IF($P259="","No invoice date",IF($P259&lt;=30,"0–30 days",IF($P259&lt;=60,"31–60 days",IF($P259&lt;=90,"61–90 days","Over 90 days")))))</f>
        <v/>
      </c>
      <c r="R259" s="80" t="str">
        <f aca="false">IF($V259=1,ROW(),"")</f>
        <v/>
      </c>
      <c r="S259" s="80" t="str">
        <f aca="false">IF(OR($A259&lt;&gt;"",$E259&lt;&gt;""),IF(TRIM($D259)="","Buyer not noted",TRIM($D259)),"")</f>
        <v/>
      </c>
      <c r="T259" s="80" t="n">
        <f aca="false">IF(AND($V259=1,ISNUMBER($M259)),$M259,0)</f>
        <v>0</v>
      </c>
      <c r="U259" s="80" t="str">
        <f aca="false">IF($V259=1,IF(COUNTIFS($S$7:$S259,$S259,$V$7:$V259,1)=1,SUMIFS($T$7:$T$1006,$S$7:$S$1006,$S259)-ROW()/1000000000,""),"")</f>
        <v/>
      </c>
      <c r="V259" s="80" t="n">
        <f aca="false">IF(OR($O259="On hand",$O259="Advance received",$O259="Part realised",$O259="Amount missing"),1,0)</f>
        <v>0</v>
      </c>
      <c r="W259" s="80" t="str">
        <f aca="false">IF(AND($V259=1,N($F259)&gt;0),ROW(),"")</f>
        <v/>
      </c>
      <c r="X259" s="80" t="n">
        <f aca="false">IF(AND(OR($A259&lt;&gt;"",$E259&lt;&gt;""),$O259&lt;&gt;"Cancelled",ISNUMBER($E259),N($F259)+N($H259)&gt;$E259+0.005),1,0)</f>
        <v>0</v>
      </c>
      <c r="Y259" s="80" t="n">
        <f aca="false">IF(AND(OR($A259&lt;&gt;"",$E259&lt;&gt;""),OR($A259="",$E259="")),1,0)</f>
        <v>0</v>
      </c>
      <c r="Z259" s="80" t="n">
        <f aca="false">IF(AND($A259&lt;&gt;"",COUNTIF($A$7:$A$1006,$A259)&gt;1),1,0)</f>
        <v>0</v>
      </c>
    </row>
    <row r="260" customFormat="false" ht="15" hidden="false" customHeight="false" outlineLevel="0" collapsed="false">
      <c r="A260" s="71"/>
      <c r="B260" s="72"/>
      <c r="C260" s="73"/>
      <c r="D260" s="73"/>
      <c r="E260" s="74"/>
      <c r="F260" s="74"/>
      <c r="G260" s="72"/>
      <c r="H260" s="74"/>
      <c r="I260" s="72"/>
      <c r="J260" s="73"/>
      <c r="K260" s="73"/>
      <c r="L260" s="75" t="str">
        <f aca="false">IF(OR($A260&lt;&gt;"",$E260&lt;&gt;""),N($F260)+N($H260),"")</f>
        <v/>
      </c>
      <c r="M260" s="76" t="str">
        <f aca="false">IF(OR($O260="",$O260="Cancelled",$O260="Amount missing"),"",IF($O260="Realised",0,$E260-N($F260)-N($H260)))</f>
        <v/>
      </c>
      <c r="N260" s="77" t="str">
        <f aca="false">IF(OR($M260="",FX=""),"",$M260*FX)</f>
        <v/>
      </c>
      <c r="O260" s="78" t="str">
        <f aca="false">IF(NOT(OR($A260&lt;&gt;"",$E260&lt;&gt;"")),"",IF($J260="Cancelled","Cancelled",IF($E260="","Amount missing",IF(OR($J260="Settled",$E260-N($F260)-N($H260)&lt;=0.005),"Realised",IF(N($H260)&gt;0,"Part realised",IF(N($F260)&gt;0,"Advance received","On hand"))))))</f>
        <v/>
      </c>
      <c r="P260" s="79" t="str">
        <f aca="false">IF(AND($V260=1,ISNUMBER($B260)),AsAt-$B260,"")</f>
        <v/>
      </c>
      <c r="Q260" s="78" t="str">
        <f aca="false">IF($V260&lt;&gt;1,"",IF($P260="","No invoice date",IF($P260&lt;=30,"0–30 days",IF($P260&lt;=60,"31–60 days",IF($P260&lt;=90,"61–90 days","Over 90 days")))))</f>
        <v/>
      </c>
      <c r="R260" s="80" t="str">
        <f aca="false">IF($V260=1,ROW(),"")</f>
        <v/>
      </c>
      <c r="S260" s="80" t="str">
        <f aca="false">IF(OR($A260&lt;&gt;"",$E260&lt;&gt;""),IF(TRIM($D260)="","Buyer not noted",TRIM($D260)),"")</f>
        <v/>
      </c>
      <c r="T260" s="80" t="n">
        <f aca="false">IF(AND($V260=1,ISNUMBER($M260)),$M260,0)</f>
        <v>0</v>
      </c>
      <c r="U260" s="80" t="str">
        <f aca="false">IF($V260=1,IF(COUNTIFS($S$7:$S260,$S260,$V$7:$V260,1)=1,SUMIFS($T$7:$T$1006,$S$7:$S$1006,$S260)-ROW()/1000000000,""),"")</f>
        <v/>
      </c>
      <c r="V260" s="80" t="n">
        <f aca="false">IF(OR($O260="On hand",$O260="Advance received",$O260="Part realised",$O260="Amount missing"),1,0)</f>
        <v>0</v>
      </c>
      <c r="W260" s="80" t="str">
        <f aca="false">IF(AND($V260=1,N($F260)&gt;0),ROW(),"")</f>
        <v/>
      </c>
      <c r="X260" s="80" t="n">
        <f aca="false">IF(AND(OR($A260&lt;&gt;"",$E260&lt;&gt;""),$O260&lt;&gt;"Cancelled",ISNUMBER($E260),N($F260)+N($H260)&gt;$E260+0.005),1,0)</f>
        <v>0</v>
      </c>
      <c r="Y260" s="80" t="n">
        <f aca="false">IF(AND(OR($A260&lt;&gt;"",$E260&lt;&gt;""),OR($A260="",$E260="")),1,0)</f>
        <v>0</v>
      </c>
      <c r="Z260" s="80" t="n">
        <f aca="false">IF(AND($A260&lt;&gt;"",COUNTIF($A$7:$A$1006,$A260)&gt;1),1,0)</f>
        <v>0</v>
      </c>
    </row>
    <row r="261" customFormat="false" ht="15" hidden="false" customHeight="false" outlineLevel="0" collapsed="false">
      <c r="A261" s="71"/>
      <c r="B261" s="72"/>
      <c r="C261" s="73"/>
      <c r="D261" s="73"/>
      <c r="E261" s="74"/>
      <c r="F261" s="74"/>
      <c r="G261" s="72"/>
      <c r="H261" s="74"/>
      <c r="I261" s="72"/>
      <c r="J261" s="73"/>
      <c r="K261" s="73"/>
      <c r="L261" s="75" t="str">
        <f aca="false">IF(OR($A261&lt;&gt;"",$E261&lt;&gt;""),N($F261)+N($H261),"")</f>
        <v/>
      </c>
      <c r="M261" s="76" t="str">
        <f aca="false">IF(OR($O261="",$O261="Cancelled",$O261="Amount missing"),"",IF($O261="Realised",0,$E261-N($F261)-N($H261)))</f>
        <v/>
      </c>
      <c r="N261" s="77" t="str">
        <f aca="false">IF(OR($M261="",FX=""),"",$M261*FX)</f>
        <v/>
      </c>
      <c r="O261" s="78" t="str">
        <f aca="false">IF(NOT(OR($A261&lt;&gt;"",$E261&lt;&gt;"")),"",IF($J261="Cancelled","Cancelled",IF($E261="","Amount missing",IF(OR($J261="Settled",$E261-N($F261)-N($H261)&lt;=0.005),"Realised",IF(N($H261)&gt;0,"Part realised",IF(N($F261)&gt;0,"Advance received","On hand"))))))</f>
        <v/>
      </c>
      <c r="P261" s="79" t="str">
        <f aca="false">IF(AND($V261=1,ISNUMBER($B261)),AsAt-$B261,"")</f>
        <v/>
      </c>
      <c r="Q261" s="78" t="str">
        <f aca="false">IF($V261&lt;&gt;1,"",IF($P261="","No invoice date",IF($P261&lt;=30,"0–30 days",IF($P261&lt;=60,"31–60 days",IF($P261&lt;=90,"61–90 days","Over 90 days")))))</f>
        <v/>
      </c>
      <c r="R261" s="80" t="str">
        <f aca="false">IF($V261=1,ROW(),"")</f>
        <v/>
      </c>
      <c r="S261" s="80" t="str">
        <f aca="false">IF(OR($A261&lt;&gt;"",$E261&lt;&gt;""),IF(TRIM($D261)="","Buyer not noted",TRIM($D261)),"")</f>
        <v/>
      </c>
      <c r="T261" s="80" t="n">
        <f aca="false">IF(AND($V261=1,ISNUMBER($M261)),$M261,0)</f>
        <v>0</v>
      </c>
      <c r="U261" s="80" t="str">
        <f aca="false">IF($V261=1,IF(COUNTIFS($S$7:$S261,$S261,$V$7:$V261,1)=1,SUMIFS($T$7:$T$1006,$S$7:$S$1006,$S261)-ROW()/1000000000,""),"")</f>
        <v/>
      </c>
      <c r="V261" s="80" t="n">
        <f aca="false">IF(OR($O261="On hand",$O261="Advance received",$O261="Part realised",$O261="Amount missing"),1,0)</f>
        <v>0</v>
      </c>
      <c r="W261" s="80" t="str">
        <f aca="false">IF(AND($V261=1,N($F261)&gt;0),ROW(),"")</f>
        <v/>
      </c>
      <c r="X261" s="80" t="n">
        <f aca="false">IF(AND(OR($A261&lt;&gt;"",$E261&lt;&gt;""),$O261&lt;&gt;"Cancelled",ISNUMBER($E261),N($F261)+N($H261)&gt;$E261+0.005),1,0)</f>
        <v>0</v>
      </c>
      <c r="Y261" s="80" t="n">
        <f aca="false">IF(AND(OR($A261&lt;&gt;"",$E261&lt;&gt;""),OR($A261="",$E261="")),1,0)</f>
        <v>0</v>
      </c>
      <c r="Z261" s="80" t="n">
        <f aca="false">IF(AND($A261&lt;&gt;"",COUNTIF($A$7:$A$1006,$A261)&gt;1),1,0)</f>
        <v>0</v>
      </c>
    </row>
    <row r="262" customFormat="false" ht="15" hidden="false" customHeight="false" outlineLevel="0" collapsed="false">
      <c r="A262" s="71"/>
      <c r="B262" s="72"/>
      <c r="C262" s="73"/>
      <c r="D262" s="73"/>
      <c r="E262" s="74"/>
      <c r="F262" s="74"/>
      <c r="G262" s="72"/>
      <c r="H262" s="74"/>
      <c r="I262" s="72"/>
      <c r="J262" s="73"/>
      <c r="K262" s="73"/>
      <c r="L262" s="75" t="str">
        <f aca="false">IF(OR($A262&lt;&gt;"",$E262&lt;&gt;""),N($F262)+N($H262),"")</f>
        <v/>
      </c>
      <c r="M262" s="76" t="str">
        <f aca="false">IF(OR($O262="",$O262="Cancelled",$O262="Amount missing"),"",IF($O262="Realised",0,$E262-N($F262)-N($H262)))</f>
        <v/>
      </c>
      <c r="N262" s="77" t="str">
        <f aca="false">IF(OR($M262="",FX=""),"",$M262*FX)</f>
        <v/>
      </c>
      <c r="O262" s="78" t="str">
        <f aca="false">IF(NOT(OR($A262&lt;&gt;"",$E262&lt;&gt;"")),"",IF($J262="Cancelled","Cancelled",IF($E262="","Amount missing",IF(OR($J262="Settled",$E262-N($F262)-N($H262)&lt;=0.005),"Realised",IF(N($H262)&gt;0,"Part realised",IF(N($F262)&gt;0,"Advance received","On hand"))))))</f>
        <v/>
      </c>
      <c r="P262" s="79" t="str">
        <f aca="false">IF(AND($V262=1,ISNUMBER($B262)),AsAt-$B262,"")</f>
        <v/>
      </c>
      <c r="Q262" s="78" t="str">
        <f aca="false">IF($V262&lt;&gt;1,"",IF($P262="","No invoice date",IF($P262&lt;=30,"0–30 days",IF($P262&lt;=60,"31–60 days",IF($P262&lt;=90,"61–90 days","Over 90 days")))))</f>
        <v/>
      </c>
      <c r="R262" s="80" t="str">
        <f aca="false">IF($V262=1,ROW(),"")</f>
        <v/>
      </c>
      <c r="S262" s="80" t="str">
        <f aca="false">IF(OR($A262&lt;&gt;"",$E262&lt;&gt;""),IF(TRIM($D262)="","Buyer not noted",TRIM($D262)),"")</f>
        <v/>
      </c>
      <c r="T262" s="80" t="n">
        <f aca="false">IF(AND($V262=1,ISNUMBER($M262)),$M262,0)</f>
        <v>0</v>
      </c>
      <c r="U262" s="80" t="str">
        <f aca="false">IF($V262=1,IF(COUNTIFS($S$7:$S262,$S262,$V$7:$V262,1)=1,SUMIFS($T$7:$T$1006,$S$7:$S$1006,$S262)-ROW()/1000000000,""),"")</f>
        <v/>
      </c>
      <c r="V262" s="80" t="n">
        <f aca="false">IF(OR($O262="On hand",$O262="Advance received",$O262="Part realised",$O262="Amount missing"),1,0)</f>
        <v>0</v>
      </c>
      <c r="W262" s="80" t="str">
        <f aca="false">IF(AND($V262=1,N($F262)&gt;0),ROW(),"")</f>
        <v/>
      </c>
      <c r="X262" s="80" t="n">
        <f aca="false">IF(AND(OR($A262&lt;&gt;"",$E262&lt;&gt;""),$O262&lt;&gt;"Cancelled",ISNUMBER($E262),N($F262)+N($H262)&gt;$E262+0.005),1,0)</f>
        <v>0</v>
      </c>
      <c r="Y262" s="80" t="n">
        <f aca="false">IF(AND(OR($A262&lt;&gt;"",$E262&lt;&gt;""),OR($A262="",$E262="")),1,0)</f>
        <v>0</v>
      </c>
      <c r="Z262" s="80" t="n">
        <f aca="false">IF(AND($A262&lt;&gt;"",COUNTIF($A$7:$A$1006,$A262)&gt;1),1,0)</f>
        <v>0</v>
      </c>
    </row>
    <row r="263" customFormat="false" ht="15" hidden="false" customHeight="false" outlineLevel="0" collapsed="false">
      <c r="A263" s="71"/>
      <c r="B263" s="72"/>
      <c r="C263" s="73"/>
      <c r="D263" s="73"/>
      <c r="E263" s="74"/>
      <c r="F263" s="74"/>
      <c r="G263" s="72"/>
      <c r="H263" s="74"/>
      <c r="I263" s="72"/>
      <c r="J263" s="73"/>
      <c r="K263" s="73"/>
      <c r="L263" s="75" t="str">
        <f aca="false">IF(OR($A263&lt;&gt;"",$E263&lt;&gt;""),N($F263)+N($H263),"")</f>
        <v/>
      </c>
      <c r="M263" s="76" t="str">
        <f aca="false">IF(OR($O263="",$O263="Cancelled",$O263="Amount missing"),"",IF($O263="Realised",0,$E263-N($F263)-N($H263)))</f>
        <v/>
      </c>
      <c r="N263" s="77" t="str">
        <f aca="false">IF(OR($M263="",FX=""),"",$M263*FX)</f>
        <v/>
      </c>
      <c r="O263" s="78" t="str">
        <f aca="false">IF(NOT(OR($A263&lt;&gt;"",$E263&lt;&gt;"")),"",IF($J263="Cancelled","Cancelled",IF($E263="","Amount missing",IF(OR($J263="Settled",$E263-N($F263)-N($H263)&lt;=0.005),"Realised",IF(N($H263)&gt;0,"Part realised",IF(N($F263)&gt;0,"Advance received","On hand"))))))</f>
        <v/>
      </c>
      <c r="P263" s="79" t="str">
        <f aca="false">IF(AND($V263=1,ISNUMBER($B263)),AsAt-$B263,"")</f>
        <v/>
      </c>
      <c r="Q263" s="78" t="str">
        <f aca="false">IF($V263&lt;&gt;1,"",IF($P263="","No invoice date",IF($P263&lt;=30,"0–30 days",IF($P263&lt;=60,"31–60 days",IF($P263&lt;=90,"61–90 days","Over 90 days")))))</f>
        <v/>
      </c>
      <c r="R263" s="80" t="str">
        <f aca="false">IF($V263=1,ROW(),"")</f>
        <v/>
      </c>
      <c r="S263" s="80" t="str">
        <f aca="false">IF(OR($A263&lt;&gt;"",$E263&lt;&gt;""),IF(TRIM($D263)="","Buyer not noted",TRIM($D263)),"")</f>
        <v/>
      </c>
      <c r="T263" s="80" t="n">
        <f aca="false">IF(AND($V263=1,ISNUMBER($M263)),$M263,0)</f>
        <v>0</v>
      </c>
      <c r="U263" s="80" t="str">
        <f aca="false">IF($V263=1,IF(COUNTIFS($S$7:$S263,$S263,$V$7:$V263,1)=1,SUMIFS($T$7:$T$1006,$S$7:$S$1006,$S263)-ROW()/1000000000,""),"")</f>
        <v/>
      </c>
      <c r="V263" s="80" t="n">
        <f aca="false">IF(OR($O263="On hand",$O263="Advance received",$O263="Part realised",$O263="Amount missing"),1,0)</f>
        <v>0</v>
      </c>
      <c r="W263" s="80" t="str">
        <f aca="false">IF(AND($V263=1,N($F263)&gt;0),ROW(),"")</f>
        <v/>
      </c>
      <c r="X263" s="80" t="n">
        <f aca="false">IF(AND(OR($A263&lt;&gt;"",$E263&lt;&gt;""),$O263&lt;&gt;"Cancelled",ISNUMBER($E263),N($F263)+N($H263)&gt;$E263+0.005),1,0)</f>
        <v>0</v>
      </c>
      <c r="Y263" s="80" t="n">
        <f aca="false">IF(AND(OR($A263&lt;&gt;"",$E263&lt;&gt;""),OR($A263="",$E263="")),1,0)</f>
        <v>0</v>
      </c>
      <c r="Z263" s="80" t="n">
        <f aca="false">IF(AND($A263&lt;&gt;"",COUNTIF($A$7:$A$1006,$A263)&gt;1),1,0)</f>
        <v>0</v>
      </c>
    </row>
    <row r="264" customFormat="false" ht="15" hidden="false" customHeight="false" outlineLevel="0" collapsed="false">
      <c r="A264" s="71"/>
      <c r="B264" s="72"/>
      <c r="C264" s="73"/>
      <c r="D264" s="73"/>
      <c r="E264" s="74"/>
      <c r="F264" s="74"/>
      <c r="G264" s="72"/>
      <c r="H264" s="74"/>
      <c r="I264" s="72"/>
      <c r="J264" s="73"/>
      <c r="K264" s="73"/>
      <c r="L264" s="75" t="str">
        <f aca="false">IF(OR($A264&lt;&gt;"",$E264&lt;&gt;""),N($F264)+N($H264),"")</f>
        <v/>
      </c>
      <c r="M264" s="76" t="str">
        <f aca="false">IF(OR($O264="",$O264="Cancelled",$O264="Amount missing"),"",IF($O264="Realised",0,$E264-N($F264)-N($H264)))</f>
        <v/>
      </c>
      <c r="N264" s="77" t="str">
        <f aca="false">IF(OR($M264="",FX=""),"",$M264*FX)</f>
        <v/>
      </c>
      <c r="O264" s="78" t="str">
        <f aca="false">IF(NOT(OR($A264&lt;&gt;"",$E264&lt;&gt;"")),"",IF($J264="Cancelled","Cancelled",IF($E264="","Amount missing",IF(OR($J264="Settled",$E264-N($F264)-N($H264)&lt;=0.005),"Realised",IF(N($H264)&gt;0,"Part realised",IF(N($F264)&gt;0,"Advance received","On hand"))))))</f>
        <v/>
      </c>
      <c r="P264" s="79" t="str">
        <f aca="false">IF(AND($V264=1,ISNUMBER($B264)),AsAt-$B264,"")</f>
        <v/>
      </c>
      <c r="Q264" s="78" t="str">
        <f aca="false">IF($V264&lt;&gt;1,"",IF($P264="","No invoice date",IF($P264&lt;=30,"0–30 days",IF($P264&lt;=60,"31–60 days",IF($P264&lt;=90,"61–90 days","Over 90 days")))))</f>
        <v/>
      </c>
      <c r="R264" s="80" t="str">
        <f aca="false">IF($V264=1,ROW(),"")</f>
        <v/>
      </c>
      <c r="S264" s="80" t="str">
        <f aca="false">IF(OR($A264&lt;&gt;"",$E264&lt;&gt;""),IF(TRIM($D264)="","Buyer not noted",TRIM($D264)),"")</f>
        <v/>
      </c>
      <c r="T264" s="80" t="n">
        <f aca="false">IF(AND($V264=1,ISNUMBER($M264)),$M264,0)</f>
        <v>0</v>
      </c>
      <c r="U264" s="80" t="str">
        <f aca="false">IF($V264=1,IF(COUNTIFS($S$7:$S264,$S264,$V$7:$V264,1)=1,SUMIFS($T$7:$T$1006,$S$7:$S$1006,$S264)-ROW()/1000000000,""),"")</f>
        <v/>
      </c>
      <c r="V264" s="80" t="n">
        <f aca="false">IF(OR($O264="On hand",$O264="Advance received",$O264="Part realised",$O264="Amount missing"),1,0)</f>
        <v>0</v>
      </c>
      <c r="W264" s="80" t="str">
        <f aca="false">IF(AND($V264=1,N($F264)&gt;0),ROW(),"")</f>
        <v/>
      </c>
      <c r="X264" s="80" t="n">
        <f aca="false">IF(AND(OR($A264&lt;&gt;"",$E264&lt;&gt;""),$O264&lt;&gt;"Cancelled",ISNUMBER($E264),N($F264)+N($H264)&gt;$E264+0.005),1,0)</f>
        <v>0</v>
      </c>
      <c r="Y264" s="80" t="n">
        <f aca="false">IF(AND(OR($A264&lt;&gt;"",$E264&lt;&gt;""),OR($A264="",$E264="")),1,0)</f>
        <v>0</v>
      </c>
      <c r="Z264" s="80" t="n">
        <f aca="false">IF(AND($A264&lt;&gt;"",COUNTIF($A$7:$A$1006,$A264)&gt;1),1,0)</f>
        <v>0</v>
      </c>
    </row>
    <row r="265" customFormat="false" ht="15" hidden="false" customHeight="false" outlineLevel="0" collapsed="false">
      <c r="A265" s="71"/>
      <c r="B265" s="72"/>
      <c r="C265" s="73"/>
      <c r="D265" s="73"/>
      <c r="E265" s="74"/>
      <c r="F265" s="74"/>
      <c r="G265" s="72"/>
      <c r="H265" s="74"/>
      <c r="I265" s="72"/>
      <c r="J265" s="73"/>
      <c r="K265" s="73"/>
      <c r="L265" s="75" t="str">
        <f aca="false">IF(OR($A265&lt;&gt;"",$E265&lt;&gt;""),N($F265)+N($H265),"")</f>
        <v/>
      </c>
      <c r="M265" s="76" t="str">
        <f aca="false">IF(OR($O265="",$O265="Cancelled",$O265="Amount missing"),"",IF($O265="Realised",0,$E265-N($F265)-N($H265)))</f>
        <v/>
      </c>
      <c r="N265" s="77" t="str">
        <f aca="false">IF(OR($M265="",FX=""),"",$M265*FX)</f>
        <v/>
      </c>
      <c r="O265" s="78" t="str">
        <f aca="false">IF(NOT(OR($A265&lt;&gt;"",$E265&lt;&gt;"")),"",IF($J265="Cancelled","Cancelled",IF($E265="","Amount missing",IF(OR($J265="Settled",$E265-N($F265)-N($H265)&lt;=0.005),"Realised",IF(N($H265)&gt;0,"Part realised",IF(N($F265)&gt;0,"Advance received","On hand"))))))</f>
        <v/>
      </c>
      <c r="P265" s="79" t="str">
        <f aca="false">IF(AND($V265=1,ISNUMBER($B265)),AsAt-$B265,"")</f>
        <v/>
      </c>
      <c r="Q265" s="78" t="str">
        <f aca="false">IF($V265&lt;&gt;1,"",IF($P265="","No invoice date",IF($P265&lt;=30,"0–30 days",IF($P265&lt;=60,"31–60 days",IF($P265&lt;=90,"61–90 days","Over 90 days")))))</f>
        <v/>
      </c>
      <c r="R265" s="80" t="str">
        <f aca="false">IF($V265=1,ROW(),"")</f>
        <v/>
      </c>
      <c r="S265" s="80" t="str">
        <f aca="false">IF(OR($A265&lt;&gt;"",$E265&lt;&gt;""),IF(TRIM($D265)="","Buyer not noted",TRIM($D265)),"")</f>
        <v/>
      </c>
      <c r="T265" s="80" t="n">
        <f aca="false">IF(AND($V265=1,ISNUMBER($M265)),$M265,0)</f>
        <v>0</v>
      </c>
      <c r="U265" s="80" t="str">
        <f aca="false">IF($V265=1,IF(COUNTIFS($S$7:$S265,$S265,$V$7:$V265,1)=1,SUMIFS($T$7:$T$1006,$S$7:$S$1006,$S265)-ROW()/1000000000,""),"")</f>
        <v/>
      </c>
      <c r="V265" s="80" t="n">
        <f aca="false">IF(OR($O265="On hand",$O265="Advance received",$O265="Part realised",$O265="Amount missing"),1,0)</f>
        <v>0</v>
      </c>
      <c r="W265" s="80" t="str">
        <f aca="false">IF(AND($V265=1,N($F265)&gt;0),ROW(),"")</f>
        <v/>
      </c>
      <c r="X265" s="80" t="n">
        <f aca="false">IF(AND(OR($A265&lt;&gt;"",$E265&lt;&gt;""),$O265&lt;&gt;"Cancelled",ISNUMBER($E265),N($F265)+N($H265)&gt;$E265+0.005),1,0)</f>
        <v>0</v>
      </c>
      <c r="Y265" s="80" t="n">
        <f aca="false">IF(AND(OR($A265&lt;&gt;"",$E265&lt;&gt;""),OR($A265="",$E265="")),1,0)</f>
        <v>0</v>
      </c>
      <c r="Z265" s="80" t="n">
        <f aca="false">IF(AND($A265&lt;&gt;"",COUNTIF($A$7:$A$1006,$A265)&gt;1),1,0)</f>
        <v>0</v>
      </c>
    </row>
    <row r="266" customFormat="false" ht="15" hidden="false" customHeight="false" outlineLevel="0" collapsed="false">
      <c r="A266" s="71"/>
      <c r="B266" s="72"/>
      <c r="C266" s="73"/>
      <c r="D266" s="73"/>
      <c r="E266" s="74"/>
      <c r="F266" s="74"/>
      <c r="G266" s="72"/>
      <c r="H266" s="74"/>
      <c r="I266" s="72"/>
      <c r="J266" s="73"/>
      <c r="K266" s="73"/>
      <c r="L266" s="75" t="str">
        <f aca="false">IF(OR($A266&lt;&gt;"",$E266&lt;&gt;""),N($F266)+N($H266),"")</f>
        <v/>
      </c>
      <c r="M266" s="76" t="str">
        <f aca="false">IF(OR($O266="",$O266="Cancelled",$O266="Amount missing"),"",IF($O266="Realised",0,$E266-N($F266)-N($H266)))</f>
        <v/>
      </c>
      <c r="N266" s="77" t="str">
        <f aca="false">IF(OR($M266="",FX=""),"",$M266*FX)</f>
        <v/>
      </c>
      <c r="O266" s="78" t="str">
        <f aca="false">IF(NOT(OR($A266&lt;&gt;"",$E266&lt;&gt;"")),"",IF($J266="Cancelled","Cancelled",IF($E266="","Amount missing",IF(OR($J266="Settled",$E266-N($F266)-N($H266)&lt;=0.005),"Realised",IF(N($H266)&gt;0,"Part realised",IF(N($F266)&gt;0,"Advance received","On hand"))))))</f>
        <v/>
      </c>
      <c r="P266" s="79" t="str">
        <f aca="false">IF(AND($V266=1,ISNUMBER($B266)),AsAt-$B266,"")</f>
        <v/>
      </c>
      <c r="Q266" s="78" t="str">
        <f aca="false">IF($V266&lt;&gt;1,"",IF($P266="","No invoice date",IF($P266&lt;=30,"0–30 days",IF($P266&lt;=60,"31–60 days",IF($P266&lt;=90,"61–90 days","Over 90 days")))))</f>
        <v/>
      </c>
      <c r="R266" s="80" t="str">
        <f aca="false">IF($V266=1,ROW(),"")</f>
        <v/>
      </c>
      <c r="S266" s="80" t="str">
        <f aca="false">IF(OR($A266&lt;&gt;"",$E266&lt;&gt;""),IF(TRIM($D266)="","Buyer not noted",TRIM($D266)),"")</f>
        <v/>
      </c>
      <c r="T266" s="80" t="n">
        <f aca="false">IF(AND($V266=1,ISNUMBER($M266)),$M266,0)</f>
        <v>0</v>
      </c>
      <c r="U266" s="80" t="str">
        <f aca="false">IF($V266=1,IF(COUNTIFS($S$7:$S266,$S266,$V$7:$V266,1)=1,SUMIFS($T$7:$T$1006,$S$7:$S$1006,$S266)-ROW()/1000000000,""),"")</f>
        <v/>
      </c>
      <c r="V266" s="80" t="n">
        <f aca="false">IF(OR($O266="On hand",$O266="Advance received",$O266="Part realised",$O266="Amount missing"),1,0)</f>
        <v>0</v>
      </c>
      <c r="W266" s="80" t="str">
        <f aca="false">IF(AND($V266=1,N($F266)&gt;0),ROW(),"")</f>
        <v/>
      </c>
      <c r="X266" s="80" t="n">
        <f aca="false">IF(AND(OR($A266&lt;&gt;"",$E266&lt;&gt;""),$O266&lt;&gt;"Cancelled",ISNUMBER($E266),N($F266)+N($H266)&gt;$E266+0.005),1,0)</f>
        <v>0</v>
      </c>
      <c r="Y266" s="80" t="n">
        <f aca="false">IF(AND(OR($A266&lt;&gt;"",$E266&lt;&gt;""),OR($A266="",$E266="")),1,0)</f>
        <v>0</v>
      </c>
      <c r="Z266" s="80" t="n">
        <f aca="false">IF(AND($A266&lt;&gt;"",COUNTIF($A$7:$A$1006,$A266)&gt;1),1,0)</f>
        <v>0</v>
      </c>
    </row>
    <row r="267" customFormat="false" ht="15" hidden="false" customHeight="false" outlineLevel="0" collapsed="false">
      <c r="A267" s="71"/>
      <c r="B267" s="72"/>
      <c r="C267" s="73"/>
      <c r="D267" s="73"/>
      <c r="E267" s="74"/>
      <c r="F267" s="74"/>
      <c r="G267" s="72"/>
      <c r="H267" s="74"/>
      <c r="I267" s="72"/>
      <c r="J267" s="73"/>
      <c r="K267" s="73"/>
      <c r="L267" s="75" t="str">
        <f aca="false">IF(OR($A267&lt;&gt;"",$E267&lt;&gt;""),N($F267)+N($H267),"")</f>
        <v/>
      </c>
      <c r="M267" s="76" t="str">
        <f aca="false">IF(OR($O267="",$O267="Cancelled",$O267="Amount missing"),"",IF($O267="Realised",0,$E267-N($F267)-N($H267)))</f>
        <v/>
      </c>
      <c r="N267" s="77" t="str">
        <f aca="false">IF(OR($M267="",FX=""),"",$M267*FX)</f>
        <v/>
      </c>
      <c r="O267" s="78" t="str">
        <f aca="false">IF(NOT(OR($A267&lt;&gt;"",$E267&lt;&gt;"")),"",IF($J267="Cancelled","Cancelled",IF($E267="","Amount missing",IF(OR($J267="Settled",$E267-N($F267)-N($H267)&lt;=0.005),"Realised",IF(N($H267)&gt;0,"Part realised",IF(N($F267)&gt;0,"Advance received","On hand"))))))</f>
        <v/>
      </c>
      <c r="P267" s="79" t="str">
        <f aca="false">IF(AND($V267=1,ISNUMBER($B267)),AsAt-$B267,"")</f>
        <v/>
      </c>
      <c r="Q267" s="78" t="str">
        <f aca="false">IF($V267&lt;&gt;1,"",IF($P267="","No invoice date",IF($P267&lt;=30,"0–30 days",IF($P267&lt;=60,"31–60 days",IF($P267&lt;=90,"61–90 days","Over 90 days")))))</f>
        <v/>
      </c>
      <c r="R267" s="80" t="str">
        <f aca="false">IF($V267=1,ROW(),"")</f>
        <v/>
      </c>
      <c r="S267" s="80" t="str">
        <f aca="false">IF(OR($A267&lt;&gt;"",$E267&lt;&gt;""),IF(TRIM($D267)="","Buyer not noted",TRIM($D267)),"")</f>
        <v/>
      </c>
      <c r="T267" s="80" t="n">
        <f aca="false">IF(AND($V267=1,ISNUMBER($M267)),$M267,0)</f>
        <v>0</v>
      </c>
      <c r="U267" s="80" t="str">
        <f aca="false">IF($V267=1,IF(COUNTIFS($S$7:$S267,$S267,$V$7:$V267,1)=1,SUMIFS($T$7:$T$1006,$S$7:$S$1006,$S267)-ROW()/1000000000,""),"")</f>
        <v/>
      </c>
      <c r="V267" s="80" t="n">
        <f aca="false">IF(OR($O267="On hand",$O267="Advance received",$O267="Part realised",$O267="Amount missing"),1,0)</f>
        <v>0</v>
      </c>
      <c r="W267" s="80" t="str">
        <f aca="false">IF(AND($V267=1,N($F267)&gt;0),ROW(),"")</f>
        <v/>
      </c>
      <c r="X267" s="80" t="n">
        <f aca="false">IF(AND(OR($A267&lt;&gt;"",$E267&lt;&gt;""),$O267&lt;&gt;"Cancelled",ISNUMBER($E267),N($F267)+N($H267)&gt;$E267+0.005),1,0)</f>
        <v>0</v>
      </c>
      <c r="Y267" s="80" t="n">
        <f aca="false">IF(AND(OR($A267&lt;&gt;"",$E267&lt;&gt;""),OR($A267="",$E267="")),1,0)</f>
        <v>0</v>
      </c>
      <c r="Z267" s="80" t="n">
        <f aca="false">IF(AND($A267&lt;&gt;"",COUNTIF($A$7:$A$1006,$A267)&gt;1),1,0)</f>
        <v>0</v>
      </c>
    </row>
    <row r="268" customFormat="false" ht="15" hidden="false" customHeight="false" outlineLevel="0" collapsed="false">
      <c r="A268" s="71"/>
      <c r="B268" s="72"/>
      <c r="C268" s="73"/>
      <c r="D268" s="73"/>
      <c r="E268" s="74"/>
      <c r="F268" s="74"/>
      <c r="G268" s="72"/>
      <c r="H268" s="74"/>
      <c r="I268" s="72"/>
      <c r="J268" s="73"/>
      <c r="K268" s="73"/>
      <c r="L268" s="75" t="str">
        <f aca="false">IF(OR($A268&lt;&gt;"",$E268&lt;&gt;""),N($F268)+N($H268),"")</f>
        <v/>
      </c>
      <c r="M268" s="76" t="str">
        <f aca="false">IF(OR($O268="",$O268="Cancelled",$O268="Amount missing"),"",IF($O268="Realised",0,$E268-N($F268)-N($H268)))</f>
        <v/>
      </c>
      <c r="N268" s="77" t="str">
        <f aca="false">IF(OR($M268="",FX=""),"",$M268*FX)</f>
        <v/>
      </c>
      <c r="O268" s="78" t="str">
        <f aca="false">IF(NOT(OR($A268&lt;&gt;"",$E268&lt;&gt;"")),"",IF($J268="Cancelled","Cancelled",IF($E268="","Amount missing",IF(OR($J268="Settled",$E268-N($F268)-N($H268)&lt;=0.005),"Realised",IF(N($H268)&gt;0,"Part realised",IF(N($F268)&gt;0,"Advance received","On hand"))))))</f>
        <v/>
      </c>
      <c r="P268" s="79" t="str">
        <f aca="false">IF(AND($V268=1,ISNUMBER($B268)),AsAt-$B268,"")</f>
        <v/>
      </c>
      <c r="Q268" s="78" t="str">
        <f aca="false">IF($V268&lt;&gt;1,"",IF($P268="","No invoice date",IF($P268&lt;=30,"0–30 days",IF($P268&lt;=60,"31–60 days",IF($P268&lt;=90,"61–90 days","Over 90 days")))))</f>
        <v/>
      </c>
      <c r="R268" s="80" t="str">
        <f aca="false">IF($V268=1,ROW(),"")</f>
        <v/>
      </c>
      <c r="S268" s="80" t="str">
        <f aca="false">IF(OR($A268&lt;&gt;"",$E268&lt;&gt;""),IF(TRIM($D268)="","Buyer not noted",TRIM($D268)),"")</f>
        <v/>
      </c>
      <c r="T268" s="80" t="n">
        <f aca="false">IF(AND($V268=1,ISNUMBER($M268)),$M268,0)</f>
        <v>0</v>
      </c>
      <c r="U268" s="80" t="str">
        <f aca="false">IF($V268=1,IF(COUNTIFS($S$7:$S268,$S268,$V$7:$V268,1)=1,SUMIFS($T$7:$T$1006,$S$7:$S$1006,$S268)-ROW()/1000000000,""),"")</f>
        <v/>
      </c>
      <c r="V268" s="80" t="n">
        <f aca="false">IF(OR($O268="On hand",$O268="Advance received",$O268="Part realised",$O268="Amount missing"),1,0)</f>
        <v>0</v>
      </c>
      <c r="W268" s="80" t="str">
        <f aca="false">IF(AND($V268=1,N($F268)&gt;0),ROW(),"")</f>
        <v/>
      </c>
      <c r="X268" s="80" t="n">
        <f aca="false">IF(AND(OR($A268&lt;&gt;"",$E268&lt;&gt;""),$O268&lt;&gt;"Cancelled",ISNUMBER($E268),N($F268)+N($H268)&gt;$E268+0.005),1,0)</f>
        <v>0</v>
      </c>
      <c r="Y268" s="80" t="n">
        <f aca="false">IF(AND(OR($A268&lt;&gt;"",$E268&lt;&gt;""),OR($A268="",$E268="")),1,0)</f>
        <v>0</v>
      </c>
      <c r="Z268" s="80" t="n">
        <f aca="false">IF(AND($A268&lt;&gt;"",COUNTIF($A$7:$A$1006,$A268)&gt;1),1,0)</f>
        <v>0</v>
      </c>
    </row>
    <row r="269" customFormat="false" ht="15" hidden="false" customHeight="false" outlineLevel="0" collapsed="false">
      <c r="A269" s="71"/>
      <c r="B269" s="72"/>
      <c r="C269" s="73"/>
      <c r="D269" s="73"/>
      <c r="E269" s="74"/>
      <c r="F269" s="74"/>
      <c r="G269" s="72"/>
      <c r="H269" s="74"/>
      <c r="I269" s="72"/>
      <c r="J269" s="73"/>
      <c r="K269" s="73"/>
      <c r="L269" s="75" t="str">
        <f aca="false">IF(OR($A269&lt;&gt;"",$E269&lt;&gt;""),N($F269)+N($H269),"")</f>
        <v/>
      </c>
      <c r="M269" s="76" t="str">
        <f aca="false">IF(OR($O269="",$O269="Cancelled",$O269="Amount missing"),"",IF($O269="Realised",0,$E269-N($F269)-N($H269)))</f>
        <v/>
      </c>
      <c r="N269" s="77" t="str">
        <f aca="false">IF(OR($M269="",FX=""),"",$M269*FX)</f>
        <v/>
      </c>
      <c r="O269" s="78" t="str">
        <f aca="false">IF(NOT(OR($A269&lt;&gt;"",$E269&lt;&gt;"")),"",IF($J269="Cancelled","Cancelled",IF($E269="","Amount missing",IF(OR($J269="Settled",$E269-N($F269)-N($H269)&lt;=0.005),"Realised",IF(N($H269)&gt;0,"Part realised",IF(N($F269)&gt;0,"Advance received","On hand"))))))</f>
        <v/>
      </c>
      <c r="P269" s="79" t="str">
        <f aca="false">IF(AND($V269=1,ISNUMBER($B269)),AsAt-$B269,"")</f>
        <v/>
      </c>
      <c r="Q269" s="78" t="str">
        <f aca="false">IF($V269&lt;&gt;1,"",IF($P269="","No invoice date",IF($P269&lt;=30,"0–30 days",IF($P269&lt;=60,"31–60 days",IF($P269&lt;=90,"61–90 days","Over 90 days")))))</f>
        <v/>
      </c>
      <c r="R269" s="80" t="str">
        <f aca="false">IF($V269=1,ROW(),"")</f>
        <v/>
      </c>
      <c r="S269" s="80" t="str">
        <f aca="false">IF(OR($A269&lt;&gt;"",$E269&lt;&gt;""),IF(TRIM($D269)="","Buyer not noted",TRIM($D269)),"")</f>
        <v/>
      </c>
      <c r="T269" s="80" t="n">
        <f aca="false">IF(AND($V269=1,ISNUMBER($M269)),$M269,0)</f>
        <v>0</v>
      </c>
      <c r="U269" s="80" t="str">
        <f aca="false">IF($V269=1,IF(COUNTIFS($S$7:$S269,$S269,$V$7:$V269,1)=1,SUMIFS($T$7:$T$1006,$S$7:$S$1006,$S269)-ROW()/1000000000,""),"")</f>
        <v/>
      </c>
      <c r="V269" s="80" t="n">
        <f aca="false">IF(OR($O269="On hand",$O269="Advance received",$O269="Part realised",$O269="Amount missing"),1,0)</f>
        <v>0</v>
      </c>
      <c r="W269" s="80" t="str">
        <f aca="false">IF(AND($V269=1,N($F269)&gt;0),ROW(),"")</f>
        <v/>
      </c>
      <c r="X269" s="80" t="n">
        <f aca="false">IF(AND(OR($A269&lt;&gt;"",$E269&lt;&gt;""),$O269&lt;&gt;"Cancelled",ISNUMBER($E269),N($F269)+N($H269)&gt;$E269+0.005),1,0)</f>
        <v>0</v>
      </c>
      <c r="Y269" s="80" t="n">
        <f aca="false">IF(AND(OR($A269&lt;&gt;"",$E269&lt;&gt;""),OR($A269="",$E269="")),1,0)</f>
        <v>0</v>
      </c>
      <c r="Z269" s="80" t="n">
        <f aca="false">IF(AND($A269&lt;&gt;"",COUNTIF($A$7:$A$1006,$A269)&gt;1),1,0)</f>
        <v>0</v>
      </c>
    </row>
    <row r="270" customFormat="false" ht="15" hidden="false" customHeight="false" outlineLevel="0" collapsed="false">
      <c r="A270" s="71"/>
      <c r="B270" s="72"/>
      <c r="C270" s="73"/>
      <c r="D270" s="73"/>
      <c r="E270" s="74"/>
      <c r="F270" s="74"/>
      <c r="G270" s="72"/>
      <c r="H270" s="74"/>
      <c r="I270" s="72"/>
      <c r="J270" s="73"/>
      <c r="K270" s="73"/>
      <c r="L270" s="75" t="str">
        <f aca="false">IF(OR($A270&lt;&gt;"",$E270&lt;&gt;""),N($F270)+N($H270),"")</f>
        <v/>
      </c>
      <c r="M270" s="76" t="str">
        <f aca="false">IF(OR($O270="",$O270="Cancelled",$O270="Amount missing"),"",IF($O270="Realised",0,$E270-N($F270)-N($H270)))</f>
        <v/>
      </c>
      <c r="N270" s="77" t="str">
        <f aca="false">IF(OR($M270="",FX=""),"",$M270*FX)</f>
        <v/>
      </c>
      <c r="O270" s="78" t="str">
        <f aca="false">IF(NOT(OR($A270&lt;&gt;"",$E270&lt;&gt;"")),"",IF($J270="Cancelled","Cancelled",IF($E270="","Amount missing",IF(OR($J270="Settled",$E270-N($F270)-N($H270)&lt;=0.005),"Realised",IF(N($H270)&gt;0,"Part realised",IF(N($F270)&gt;0,"Advance received","On hand"))))))</f>
        <v/>
      </c>
      <c r="P270" s="79" t="str">
        <f aca="false">IF(AND($V270=1,ISNUMBER($B270)),AsAt-$B270,"")</f>
        <v/>
      </c>
      <c r="Q270" s="78" t="str">
        <f aca="false">IF($V270&lt;&gt;1,"",IF($P270="","No invoice date",IF($P270&lt;=30,"0–30 days",IF($P270&lt;=60,"31–60 days",IF($P270&lt;=90,"61–90 days","Over 90 days")))))</f>
        <v/>
      </c>
      <c r="R270" s="80" t="str">
        <f aca="false">IF($V270=1,ROW(),"")</f>
        <v/>
      </c>
      <c r="S270" s="80" t="str">
        <f aca="false">IF(OR($A270&lt;&gt;"",$E270&lt;&gt;""),IF(TRIM($D270)="","Buyer not noted",TRIM($D270)),"")</f>
        <v/>
      </c>
      <c r="T270" s="80" t="n">
        <f aca="false">IF(AND($V270=1,ISNUMBER($M270)),$M270,0)</f>
        <v>0</v>
      </c>
      <c r="U270" s="80" t="str">
        <f aca="false">IF($V270=1,IF(COUNTIFS($S$7:$S270,$S270,$V$7:$V270,1)=1,SUMIFS($T$7:$T$1006,$S$7:$S$1006,$S270)-ROW()/1000000000,""),"")</f>
        <v/>
      </c>
      <c r="V270" s="80" t="n">
        <f aca="false">IF(OR($O270="On hand",$O270="Advance received",$O270="Part realised",$O270="Amount missing"),1,0)</f>
        <v>0</v>
      </c>
      <c r="W270" s="80" t="str">
        <f aca="false">IF(AND($V270=1,N($F270)&gt;0),ROW(),"")</f>
        <v/>
      </c>
      <c r="X270" s="80" t="n">
        <f aca="false">IF(AND(OR($A270&lt;&gt;"",$E270&lt;&gt;""),$O270&lt;&gt;"Cancelled",ISNUMBER($E270),N($F270)+N($H270)&gt;$E270+0.005),1,0)</f>
        <v>0</v>
      </c>
      <c r="Y270" s="80" t="n">
        <f aca="false">IF(AND(OR($A270&lt;&gt;"",$E270&lt;&gt;""),OR($A270="",$E270="")),1,0)</f>
        <v>0</v>
      </c>
      <c r="Z270" s="80" t="n">
        <f aca="false">IF(AND($A270&lt;&gt;"",COUNTIF($A$7:$A$1006,$A270)&gt;1),1,0)</f>
        <v>0</v>
      </c>
    </row>
    <row r="271" customFormat="false" ht="15" hidden="false" customHeight="false" outlineLevel="0" collapsed="false">
      <c r="A271" s="71"/>
      <c r="B271" s="72"/>
      <c r="C271" s="73"/>
      <c r="D271" s="73"/>
      <c r="E271" s="74"/>
      <c r="F271" s="74"/>
      <c r="G271" s="72"/>
      <c r="H271" s="74"/>
      <c r="I271" s="72"/>
      <c r="J271" s="73"/>
      <c r="K271" s="73"/>
      <c r="L271" s="75" t="str">
        <f aca="false">IF(OR($A271&lt;&gt;"",$E271&lt;&gt;""),N($F271)+N($H271),"")</f>
        <v/>
      </c>
      <c r="M271" s="76" t="str">
        <f aca="false">IF(OR($O271="",$O271="Cancelled",$O271="Amount missing"),"",IF($O271="Realised",0,$E271-N($F271)-N($H271)))</f>
        <v/>
      </c>
      <c r="N271" s="77" t="str">
        <f aca="false">IF(OR($M271="",FX=""),"",$M271*FX)</f>
        <v/>
      </c>
      <c r="O271" s="78" t="str">
        <f aca="false">IF(NOT(OR($A271&lt;&gt;"",$E271&lt;&gt;"")),"",IF($J271="Cancelled","Cancelled",IF($E271="","Amount missing",IF(OR($J271="Settled",$E271-N($F271)-N($H271)&lt;=0.005),"Realised",IF(N($H271)&gt;0,"Part realised",IF(N($F271)&gt;0,"Advance received","On hand"))))))</f>
        <v/>
      </c>
      <c r="P271" s="79" t="str">
        <f aca="false">IF(AND($V271=1,ISNUMBER($B271)),AsAt-$B271,"")</f>
        <v/>
      </c>
      <c r="Q271" s="78" t="str">
        <f aca="false">IF($V271&lt;&gt;1,"",IF($P271="","No invoice date",IF($P271&lt;=30,"0–30 days",IF($P271&lt;=60,"31–60 days",IF($P271&lt;=90,"61–90 days","Over 90 days")))))</f>
        <v/>
      </c>
      <c r="R271" s="80" t="str">
        <f aca="false">IF($V271=1,ROW(),"")</f>
        <v/>
      </c>
      <c r="S271" s="80" t="str">
        <f aca="false">IF(OR($A271&lt;&gt;"",$E271&lt;&gt;""),IF(TRIM($D271)="","Buyer not noted",TRIM($D271)),"")</f>
        <v/>
      </c>
      <c r="T271" s="80" t="n">
        <f aca="false">IF(AND($V271=1,ISNUMBER($M271)),$M271,0)</f>
        <v>0</v>
      </c>
      <c r="U271" s="80" t="str">
        <f aca="false">IF($V271=1,IF(COUNTIFS($S$7:$S271,$S271,$V$7:$V271,1)=1,SUMIFS($T$7:$T$1006,$S$7:$S$1006,$S271)-ROW()/1000000000,""),"")</f>
        <v/>
      </c>
      <c r="V271" s="80" t="n">
        <f aca="false">IF(OR($O271="On hand",$O271="Advance received",$O271="Part realised",$O271="Amount missing"),1,0)</f>
        <v>0</v>
      </c>
      <c r="W271" s="80" t="str">
        <f aca="false">IF(AND($V271=1,N($F271)&gt;0),ROW(),"")</f>
        <v/>
      </c>
      <c r="X271" s="80" t="n">
        <f aca="false">IF(AND(OR($A271&lt;&gt;"",$E271&lt;&gt;""),$O271&lt;&gt;"Cancelled",ISNUMBER($E271),N($F271)+N($H271)&gt;$E271+0.005),1,0)</f>
        <v>0</v>
      </c>
      <c r="Y271" s="80" t="n">
        <f aca="false">IF(AND(OR($A271&lt;&gt;"",$E271&lt;&gt;""),OR($A271="",$E271="")),1,0)</f>
        <v>0</v>
      </c>
      <c r="Z271" s="80" t="n">
        <f aca="false">IF(AND($A271&lt;&gt;"",COUNTIF($A$7:$A$1006,$A271)&gt;1),1,0)</f>
        <v>0</v>
      </c>
    </row>
    <row r="272" customFormat="false" ht="15" hidden="false" customHeight="false" outlineLevel="0" collapsed="false">
      <c r="A272" s="71"/>
      <c r="B272" s="72"/>
      <c r="C272" s="73"/>
      <c r="D272" s="73"/>
      <c r="E272" s="74"/>
      <c r="F272" s="74"/>
      <c r="G272" s="72"/>
      <c r="H272" s="74"/>
      <c r="I272" s="72"/>
      <c r="J272" s="73"/>
      <c r="K272" s="73"/>
      <c r="L272" s="75" t="str">
        <f aca="false">IF(OR($A272&lt;&gt;"",$E272&lt;&gt;""),N($F272)+N($H272),"")</f>
        <v/>
      </c>
      <c r="M272" s="76" t="str">
        <f aca="false">IF(OR($O272="",$O272="Cancelled",$O272="Amount missing"),"",IF($O272="Realised",0,$E272-N($F272)-N($H272)))</f>
        <v/>
      </c>
      <c r="N272" s="77" t="str">
        <f aca="false">IF(OR($M272="",FX=""),"",$M272*FX)</f>
        <v/>
      </c>
      <c r="O272" s="78" t="str">
        <f aca="false">IF(NOT(OR($A272&lt;&gt;"",$E272&lt;&gt;"")),"",IF($J272="Cancelled","Cancelled",IF($E272="","Amount missing",IF(OR($J272="Settled",$E272-N($F272)-N($H272)&lt;=0.005),"Realised",IF(N($H272)&gt;0,"Part realised",IF(N($F272)&gt;0,"Advance received","On hand"))))))</f>
        <v/>
      </c>
      <c r="P272" s="79" t="str">
        <f aca="false">IF(AND($V272=1,ISNUMBER($B272)),AsAt-$B272,"")</f>
        <v/>
      </c>
      <c r="Q272" s="78" t="str">
        <f aca="false">IF($V272&lt;&gt;1,"",IF($P272="","No invoice date",IF($P272&lt;=30,"0–30 days",IF($P272&lt;=60,"31–60 days",IF($P272&lt;=90,"61–90 days","Over 90 days")))))</f>
        <v/>
      </c>
      <c r="R272" s="80" t="str">
        <f aca="false">IF($V272=1,ROW(),"")</f>
        <v/>
      </c>
      <c r="S272" s="80" t="str">
        <f aca="false">IF(OR($A272&lt;&gt;"",$E272&lt;&gt;""),IF(TRIM($D272)="","Buyer not noted",TRIM($D272)),"")</f>
        <v/>
      </c>
      <c r="T272" s="80" t="n">
        <f aca="false">IF(AND($V272=1,ISNUMBER($M272)),$M272,0)</f>
        <v>0</v>
      </c>
      <c r="U272" s="80" t="str">
        <f aca="false">IF($V272=1,IF(COUNTIFS($S$7:$S272,$S272,$V$7:$V272,1)=1,SUMIFS($T$7:$T$1006,$S$7:$S$1006,$S272)-ROW()/1000000000,""),"")</f>
        <v/>
      </c>
      <c r="V272" s="80" t="n">
        <f aca="false">IF(OR($O272="On hand",$O272="Advance received",$O272="Part realised",$O272="Amount missing"),1,0)</f>
        <v>0</v>
      </c>
      <c r="W272" s="80" t="str">
        <f aca="false">IF(AND($V272=1,N($F272)&gt;0),ROW(),"")</f>
        <v/>
      </c>
      <c r="X272" s="80" t="n">
        <f aca="false">IF(AND(OR($A272&lt;&gt;"",$E272&lt;&gt;""),$O272&lt;&gt;"Cancelled",ISNUMBER($E272),N($F272)+N($H272)&gt;$E272+0.005),1,0)</f>
        <v>0</v>
      </c>
      <c r="Y272" s="80" t="n">
        <f aca="false">IF(AND(OR($A272&lt;&gt;"",$E272&lt;&gt;""),OR($A272="",$E272="")),1,0)</f>
        <v>0</v>
      </c>
      <c r="Z272" s="80" t="n">
        <f aca="false">IF(AND($A272&lt;&gt;"",COUNTIF($A$7:$A$1006,$A272)&gt;1),1,0)</f>
        <v>0</v>
      </c>
    </row>
    <row r="273" customFormat="false" ht="15" hidden="false" customHeight="false" outlineLevel="0" collapsed="false">
      <c r="A273" s="71"/>
      <c r="B273" s="72"/>
      <c r="C273" s="73"/>
      <c r="D273" s="73"/>
      <c r="E273" s="74"/>
      <c r="F273" s="74"/>
      <c r="G273" s="72"/>
      <c r="H273" s="74"/>
      <c r="I273" s="72"/>
      <c r="J273" s="73"/>
      <c r="K273" s="73"/>
      <c r="L273" s="75" t="str">
        <f aca="false">IF(OR($A273&lt;&gt;"",$E273&lt;&gt;""),N($F273)+N($H273),"")</f>
        <v/>
      </c>
      <c r="M273" s="76" t="str">
        <f aca="false">IF(OR($O273="",$O273="Cancelled",$O273="Amount missing"),"",IF($O273="Realised",0,$E273-N($F273)-N($H273)))</f>
        <v/>
      </c>
      <c r="N273" s="77" t="str">
        <f aca="false">IF(OR($M273="",FX=""),"",$M273*FX)</f>
        <v/>
      </c>
      <c r="O273" s="78" t="str">
        <f aca="false">IF(NOT(OR($A273&lt;&gt;"",$E273&lt;&gt;"")),"",IF($J273="Cancelled","Cancelled",IF($E273="","Amount missing",IF(OR($J273="Settled",$E273-N($F273)-N($H273)&lt;=0.005),"Realised",IF(N($H273)&gt;0,"Part realised",IF(N($F273)&gt;0,"Advance received","On hand"))))))</f>
        <v/>
      </c>
      <c r="P273" s="79" t="str">
        <f aca="false">IF(AND($V273=1,ISNUMBER($B273)),AsAt-$B273,"")</f>
        <v/>
      </c>
      <c r="Q273" s="78" t="str">
        <f aca="false">IF($V273&lt;&gt;1,"",IF($P273="","No invoice date",IF($P273&lt;=30,"0–30 days",IF($P273&lt;=60,"31–60 days",IF($P273&lt;=90,"61–90 days","Over 90 days")))))</f>
        <v/>
      </c>
      <c r="R273" s="80" t="str">
        <f aca="false">IF($V273=1,ROW(),"")</f>
        <v/>
      </c>
      <c r="S273" s="80" t="str">
        <f aca="false">IF(OR($A273&lt;&gt;"",$E273&lt;&gt;""),IF(TRIM($D273)="","Buyer not noted",TRIM($D273)),"")</f>
        <v/>
      </c>
      <c r="T273" s="80" t="n">
        <f aca="false">IF(AND($V273=1,ISNUMBER($M273)),$M273,0)</f>
        <v>0</v>
      </c>
      <c r="U273" s="80" t="str">
        <f aca="false">IF($V273=1,IF(COUNTIFS($S$7:$S273,$S273,$V$7:$V273,1)=1,SUMIFS($T$7:$T$1006,$S$7:$S$1006,$S273)-ROW()/1000000000,""),"")</f>
        <v/>
      </c>
      <c r="V273" s="80" t="n">
        <f aca="false">IF(OR($O273="On hand",$O273="Advance received",$O273="Part realised",$O273="Amount missing"),1,0)</f>
        <v>0</v>
      </c>
      <c r="W273" s="80" t="str">
        <f aca="false">IF(AND($V273=1,N($F273)&gt;0),ROW(),"")</f>
        <v/>
      </c>
      <c r="X273" s="80" t="n">
        <f aca="false">IF(AND(OR($A273&lt;&gt;"",$E273&lt;&gt;""),$O273&lt;&gt;"Cancelled",ISNUMBER($E273),N($F273)+N($H273)&gt;$E273+0.005),1,0)</f>
        <v>0</v>
      </c>
      <c r="Y273" s="80" t="n">
        <f aca="false">IF(AND(OR($A273&lt;&gt;"",$E273&lt;&gt;""),OR($A273="",$E273="")),1,0)</f>
        <v>0</v>
      </c>
      <c r="Z273" s="80" t="n">
        <f aca="false">IF(AND($A273&lt;&gt;"",COUNTIF($A$7:$A$1006,$A273)&gt;1),1,0)</f>
        <v>0</v>
      </c>
    </row>
    <row r="274" customFormat="false" ht="15" hidden="false" customHeight="false" outlineLevel="0" collapsed="false">
      <c r="A274" s="71"/>
      <c r="B274" s="72"/>
      <c r="C274" s="73"/>
      <c r="D274" s="73"/>
      <c r="E274" s="74"/>
      <c r="F274" s="74"/>
      <c r="G274" s="72"/>
      <c r="H274" s="74"/>
      <c r="I274" s="72"/>
      <c r="J274" s="73"/>
      <c r="K274" s="73"/>
      <c r="L274" s="75" t="str">
        <f aca="false">IF(OR($A274&lt;&gt;"",$E274&lt;&gt;""),N($F274)+N($H274),"")</f>
        <v/>
      </c>
      <c r="M274" s="76" t="str">
        <f aca="false">IF(OR($O274="",$O274="Cancelled",$O274="Amount missing"),"",IF($O274="Realised",0,$E274-N($F274)-N($H274)))</f>
        <v/>
      </c>
      <c r="N274" s="77" t="str">
        <f aca="false">IF(OR($M274="",FX=""),"",$M274*FX)</f>
        <v/>
      </c>
      <c r="O274" s="78" t="str">
        <f aca="false">IF(NOT(OR($A274&lt;&gt;"",$E274&lt;&gt;"")),"",IF($J274="Cancelled","Cancelled",IF($E274="","Amount missing",IF(OR($J274="Settled",$E274-N($F274)-N($H274)&lt;=0.005),"Realised",IF(N($H274)&gt;0,"Part realised",IF(N($F274)&gt;0,"Advance received","On hand"))))))</f>
        <v/>
      </c>
      <c r="P274" s="79" t="str">
        <f aca="false">IF(AND($V274=1,ISNUMBER($B274)),AsAt-$B274,"")</f>
        <v/>
      </c>
      <c r="Q274" s="78" t="str">
        <f aca="false">IF($V274&lt;&gt;1,"",IF($P274="","No invoice date",IF($P274&lt;=30,"0–30 days",IF($P274&lt;=60,"31–60 days",IF($P274&lt;=90,"61–90 days","Over 90 days")))))</f>
        <v/>
      </c>
      <c r="R274" s="80" t="str">
        <f aca="false">IF($V274=1,ROW(),"")</f>
        <v/>
      </c>
      <c r="S274" s="80" t="str">
        <f aca="false">IF(OR($A274&lt;&gt;"",$E274&lt;&gt;""),IF(TRIM($D274)="","Buyer not noted",TRIM($D274)),"")</f>
        <v/>
      </c>
      <c r="T274" s="80" t="n">
        <f aca="false">IF(AND($V274=1,ISNUMBER($M274)),$M274,0)</f>
        <v>0</v>
      </c>
      <c r="U274" s="80" t="str">
        <f aca="false">IF($V274=1,IF(COUNTIFS($S$7:$S274,$S274,$V$7:$V274,1)=1,SUMIFS($T$7:$T$1006,$S$7:$S$1006,$S274)-ROW()/1000000000,""),"")</f>
        <v/>
      </c>
      <c r="V274" s="80" t="n">
        <f aca="false">IF(OR($O274="On hand",$O274="Advance received",$O274="Part realised",$O274="Amount missing"),1,0)</f>
        <v>0</v>
      </c>
      <c r="W274" s="80" t="str">
        <f aca="false">IF(AND($V274=1,N($F274)&gt;0),ROW(),"")</f>
        <v/>
      </c>
      <c r="X274" s="80" t="n">
        <f aca="false">IF(AND(OR($A274&lt;&gt;"",$E274&lt;&gt;""),$O274&lt;&gt;"Cancelled",ISNUMBER($E274),N($F274)+N($H274)&gt;$E274+0.005),1,0)</f>
        <v>0</v>
      </c>
      <c r="Y274" s="80" t="n">
        <f aca="false">IF(AND(OR($A274&lt;&gt;"",$E274&lt;&gt;""),OR($A274="",$E274="")),1,0)</f>
        <v>0</v>
      </c>
      <c r="Z274" s="80" t="n">
        <f aca="false">IF(AND($A274&lt;&gt;"",COUNTIF($A$7:$A$1006,$A274)&gt;1),1,0)</f>
        <v>0</v>
      </c>
    </row>
    <row r="275" customFormat="false" ht="15" hidden="false" customHeight="false" outlineLevel="0" collapsed="false">
      <c r="A275" s="71"/>
      <c r="B275" s="72"/>
      <c r="C275" s="73"/>
      <c r="D275" s="73"/>
      <c r="E275" s="74"/>
      <c r="F275" s="74"/>
      <c r="G275" s="72"/>
      <c r="H275" s="74"/>
      <c r="I275" s="72"/>
      <c r="J275" s="73"/>
      <c r="K275" s="73"/>
      <c r="L275" s="75" t="str">
        <f aca="false">IF(OR($A275&lt;&gt;"",$E275&lt;&gt;""),N($F275)+N($H275),"")</f>
        <v/>
      </c>
      <c r="M275" s="76" t="str">
        <f aca="false">IF(OR($O275="",$O275="Cancelled",$O275="Amount missing"),"",IF($O275="Realised",0,$E275-N($F275)-N($H275)))</f>
        <v/>
      </c>
      <c r="N275" s="77" t="str">
        <f aca="false">IF(OR($M275="",FX=""),"",$M275*FX)</f>
        <v/>
      </c>
      <c r="O275" s="78" t="str">
        <f aca="false">IF(NOT(OR($A275&lt;&gt;"",$E275&lt;&gt;"")),"",IF($J275="Cancelled","Cancelled",IF($E275="","Amount missing",IF(OR($J275="Settled",$E275-N($F275)-N($H275)&lt;=0.005),"Realised",IF(N($H275)&gt;0,"Part realised",IF(N($F275)&gt;0,"Advance received","On hand"))))))</f>
        <v/>
      </c>
      <c r="P275" s="79" t="str">
        <f aca="false">IF(AND($V275=1,ISNUMBER($B275)),AsAt-$B275,"")</f>
        <v/>
      </c>
      <c r="Q275" s="78" t="str">
        <f aca="false">IF($V275&lt;&gt;1,"",IF($P275="","No invoice date",IF($P275&lt;=30,"0–30 days",IF($P275&lt;=60,"31–60 days",IF($P275&lt;=90,"61–90 days","Over 90 days")))))</f>
        <v/>
      </c>
      <c r="R275" s="80" t="str">
        <f aca="false">IF($V275=1,ROW(),"")</f>
        <v/>
      </c>
      <c r="S275" s="80" t="str">
        <f aca="false">IF(OR($A275&lt;&gt;"",$E275&lt;&gt;""),IF(TRIM($D275)="","Buyer not noted",TRIM($D275)),"")</f>
        <v/>
      </c>
      <c r="T275" s="80" t="n">
        <f aca="false">IF(AND($V275=1,ISNUMBER($M275)),$M275,0)</f>
        <v>0</v>
      </c>
      <c r="U275" s="80" t="str">
        <f aca="false">IF($V275=1,IF(COUNTIFS($S$7:$S275,$S275,$V$7:$V275,1)=1,SUMIFS($T$7:$T$1006,$S$7:$S$1006,$S275)-ROW()/1000000000,""),"")</f>
        <v/>
      </c>
      <c r="V275" s="80" t="n">
        <f aca="false">IF(OR($O275="On hand",$O275="Advance received",$O275="Part realised",$O275="Amount missing"),1,0)</f>
        <v>0</v>
      </c>
      <c r="W275" s="80" t="str">
        <f aca="false">IF(AND($V275=1,N($F275)&gt;0),ROW(),"")</f>
        <v/>
      </c>
      <c r="X275" s="80" t="n">
        <f aca="false">IF(AND(OR($A275&lt;&gt;"",$E275&lt;&gt;""),$O275&lt;&gt;"Cancelled",ISNUMBER($E275),N($F275)+N($H275)&gt;$E275+0.005),1,0)</f>
        <v>0</v>
      </c>
      <c r="Y275" s="80" t="n">
        <f aca="false">IF(AND(OR($A275&lt;&gt;"",$E275&lt;&gt;""),OR($A275="",$E275="")),1,0)</f>
        <v>0</v>
      </c>
      <c r="Z275" s="80" t="n">
        <f aca="false">IF(AND($A275&lt;&gt;"",COUNTIF($A$7:$A$1006,$A275)&gt;1),1,0)</f>
        <v>0</v>
      </c>
    </row>
    <row r="276" customFormat="false" ht="15" hidden="false" customHeight="false" outlineLevel="0" collapsed="false">
      <c r="A276" s="71"/>
      <c r="B276" s="72"/>
      <c r="C276" s="73"/>
      <c r="D276" s="73"/>
      <c r="E276" s="74"/>
      <c r="F276" s="74"/>
      <c r="G276" s="72"/>
      <c r="H276" s="74"/>
      <c r="I276" s="72"/>
      <c r="J276" s="73"/>
      <c r="K276" s="73"/>
      <c r="L276" s="75" t="str">
        <f aca="false">IF(OR($A276&lt;&gt;"",$E276&lt;&gt;""),N($F276)+N($H276),"")</f>
        <v/>
      </c>
      <c r="M276" s="76" t="str">
        <f aca="false">IF(OR($O276="",$O276="Cancelled",$O276="Amount missing"),"",IF($O276="Realised",0,$E276-N($F276)-N($H276)))</f>
        <v/>
      </c>
      <c r="N276" s="77" t="str">
        <f aca="false">IF(OR($M276="",FX=""),"",$M276*FX)</f>
        <v/>
      </c>
      <c r="O276" s="78" t="str">
        <f aca="false">IF(NOT(OR($A276&lt;&gt;"",$E276&lt;&gt;"")),"",IF($J276="Cancelled","Cancelled",IF($E276="","Amount missing",IF(OR($J276="Settled",$E276-N($F276)-N($H276)&lt;=0.005),"Realised",IF(N($H276)&gt;0,"Part realised",IF(N($F276)&gt;0,"Advance received","On hand"))))))</f>
        <v/>
      </c>
      <c r="P276" s="79" t="str">
        <f aca="false">IF(AND($V276=1,ISNUMBER($B276)),AsAt-$B276,"")</f>
        <v/>
      </c>
      <c r="Q276" s="78" t="str">
        <f aca="false">IF($V276&lt;&gt;1,"",IF($P276="","No invoice date",IF($P276&lt;=30,"0–30 days",IF($P276&lt;=60,"31–60 days",IF($P276&lt;=90,"61–90 days","Over 90 days")))))</f>
        <v/>
      </c>
      <c r="R276" s="80" t="str">
        <f aca="false">IF($V276=1,ROW(),"")</f>
        <v/>
      </c>
      <c r="S276" s="80" t="str">
        <f aca="false">IF(OR($A276&lt;&gt;"",$E276&lt;&gt;""),IF(TRIM($D276)="","Buyer not noted",TRIM($D276)),"")</f>
        <v/>
      </c>
      <c r="T276" s="80" t="n">
        <f aca="false">IF(AND($V276=1,ISNUMBER($M276)),$M276,0)</f>
        <v>0</v>
      </c>
      <c r="U276" s="80" t="str">
        <f aca="false">IF($V276=1,IF(COUNTIFS($S$7:$S276,$S276,$V$7:$V276,1)=1,SUMIFS($T$7:$T$1006,$S$7:$S$1006,$S276)-ROW()/1000000000,""),"")</f>
        <v/>
      </c>
      <c r="V276" s="80" t="n">
        <f aca="false">IF(OR($O276="On hand",$O276="Advance received",$O276="Part realised",$O276="Amount missing"),1,0)</f>
        <v>0</v>
      </c>
      <c r="W276" s="80" t="str">
        <f aca="false">IF(AND($V276=1,N($F276)&gt;0),ROW(),"")</f>
        <v/>
      </c>
      <c r="X276" s="80" t="n">
        <f aca="false">IF(AND(OR($A276&lt;&gt;"",$E276&lt;&gt;""),$O276&lt;&gt;"Cancelled",ISNUMBER($E276),N($F276)+N($H276)&gt;$E276+0.005),1,0)</f>
        <v>0</v>
      </c>
      <c r="Y276" s="80" t="n">
        <f aca="false">IF(AND(OR($A276&lt;&gt;"",$E276&lt;&gt;""),OR($A276="",$E276="")),1,0)</f>
        <v>0</v>
      </c>
      <c r="Z276" s="80" t="n">
        <f aca="false">IF(AND($A276&lt;&gt;"",COUNTIF($A$7:$A$1006,$A276)&gt;1),1,0)</f>
        <v>0</v>
      </c>
    </row>
    <row r="277" customFormat="false" ht="15" hidden="false" customHeight="false" outlineLevel="0" collapsed="false">
      <c r="A277" s="71"/>
      <c r="B277" s="72"/>
      <c r="C277" s="73"/>
      <c r="D277" s="73"/>
      <c r="E277" s="74"/>
      <c r="F277" s="74"/>
      <c r="G277" s="72"/>
      <c r="H277" s="74"/>
      <c r="I277" s="72"/>
      <c r="J277" s="73"/>
      <c r="K277" s="73"/>
      <c r="L277" s="75" t="str">
        <f aca="false">IF(OR($A277&lt;&gt;"",$E277&lt;&gt;""),N($F277)+N($H277),"")</f>
        <v/>
      </c>
      <c r="M277" s="76" t="str">
        <f aca="false">IF(OR($O277="",$O277="Cancelled",$O277="Amount missing"),"",IF($O277="Realised",0,$E277-N($F277)-N($H277)))</f>
        <v/>
      </c>
      <c r="N277" s="77" t="str">
        <f aca="false">IF(OR($M277="",FX=""),"",$M277*FX)</f>
        <v/>
      </c>
      <c r="O277" s="78" t="str">
        <f aca="false">IF(NOT(OR($A277&lt;&gt;"",$E277&lt;&gt;"")),"",IF($J277="Cancelled","Cancelled",IF($E277="","Amount missing",IF(OR($J277="Settled",$E277-N($F277)-N($H277)&lt;=0.005),"Realised",IF(N($H277)&gt;0,"Part realised",IF(N($F277)&gt;0,"Advance received","On hand"))))))</f>
        <v/>
      </c>
      <c r="P277" s="79" t="str">
        <f aca="false">IF(AND($V277=1,ISNUMBER($B277)),AsAt-$B277,"")</f>
        <v/>
      </c>
      <c r="Q277" s="78" t="str">
        <f aca="false">IF($V277&lt;&gt;1,"",IF($P277="","No invoice date",IF($P277&lt;=30,"0–30 days",IF($P277&lt;=60,"31–60 days",IF($P277&lt;=90,"61–90 days","Over 90 days")))))</f>
        <v/>
      </c>
      <c r="R277" s="80" t="str">
        <f aca="false">IF($V277=1,ROW(),"")</f>
        <v/>
      </c>
      <c r="S277" s="80" t="str">
        <f aca="false">IF(OR($A277&lt;&gt;"",$E277&lt;&gt;""),IF(TRIM($D277)="","Buyer not noted",TRIM($D277)),"")</f>
        <v/>
      </c>
      <c r="T277" s="80" t="n">
        <f aca="false">IF(AND($V277=1,ISNUMBER($M277)),$M277,0)</f>
        <v>0</v>
      </c>
      <c r="U277" s="80" t="str">
        <f aca="false">IF($V277=1,IF(COUNTIFS($S$7:$S277,$S277,$V$7:$V277,1)=1,SUMIFS($T$7:$T$1006,$S$7:$S$1006,$S277)-ROW()/1000000000,""),"")</f>
        <v/>
      </c>
      <c r="V277" s="80" t="n">
        <f aca="false">IF(OR($O277="On hand",$O277="Advance received",$O277="Part realised",$O277="Amount missing"),1,0)</f>
        <v>0</v>
      </c>
      <c r="W277" s="80" t="str">
        <f aca="false">IF(AND($V277=1,N($F277)&gt;0),ROW(),"")</f>
        <v/>
      </c>
      <c r="X277" s="80" t="n">
        <f aca="false">IF(AND(OR($A277&lt;&gt;"",$E277&lt;&gt;""),$O277&lt;&gt;"Cancelled",ISNUMBER($E277),N($F277)+N($H277)&gt;$E277+0.005),1,0)</f>
        <v>0</v>
      </c>
      <c r="Y277" s="80" t="n">
        <f aca="false">IF(AND(OR($A277&lt;&gt;"",$E277&lt;&gt;""),OR($A277="",$E277="")),1,0)</f>
        <v>0</v>
      </c>
      <c r="Z277" s="80" t="n">
        <f aca="false">IF(AND($A277&lt;&gt;"",COUNTIF($A$7:$A$1006,$A277)&gt;1),1,0)</f>
        <v>0</v>
      </c>
    </row>
    <row r="278" customFormat="false" ht="15" hidden="false" customHeight="false" outlineLevel="0" collapsed="false">
      <c r="A278" s="71"/>
      <c r="B278" s="72"/>
      <c r="C278" s="73"/>
      <c r="D278" s="73"/>
      <c r="E278" s="74"/>
      <c r="F278" s="74"/>
      <c r="G278" s="72"/>
      <c r="H278" s="74"/>
      <c r="I278" s="72"/>
      <c r="J278" s="73"/>
      <c r="K278" s="73"/>
      <c r="L278" s="75" t="str">
        <f aca="false">IF(OR($A278&lt;&gt;"",$E278&lt;&gt;""),N($F278)+N($H278),"")</f>
        <v/>
      </c>
      <c r="M278" s="76" t="str">
        <f aca="false">IF(OR($O278="",$O278="Cancelled",$O278="Amount missing"),"",IF($O278="Realised",0,$E278-N($F278)-N($H278)))</f>
        <v/>
      </c>
      <c r="N278" s="77" t="str">
        <f aca="false">IF(OR($M278="",FX=""),"",$M278*FX)</f>
        <v/>
      </c>
      <c r="O278" s="78" t="str">
        <f aca="false">IF(NOT(OR($A278&lt;&gt;"",$E278&lt;&gt;"")),"",IF($J278="Cancelled","Cancelled",IF($E278="","Amount missing",IF(OR($J278="Settled",$E278-N($F278)-N($H278)&lt;=0.005),"Realised",IF(N($H278)&gt;0,"Part realised",IF(N($F278)&gt;0,"Advance received","On hand"))))))</f>
        <v/>
      </c>
      <c r="P278" s="79" t="str">
        <f aca="false">IF(AND($V278=1,ISNUMBER($B278)),AsAt-$B278,"")</f>
        <v/>
      </c>
      <c r="Q278" s="78" t="str">
        <f aca="false">IF($V278&lt;&gt;1,"",IF($P278="","No invoice date",IF($P278&lt;=30,"0–30 days",IF($P278&lt;=60,"31–60 days",IF($P278&lt;=90,"61–90 days","Over 90 days")))))</f>
        <v/>
      </c>
      <c r="R278" s="80" t="str">
        <f aca="false">IF($V278=1,ROW(),"")</f>
        <v/>
      </c>
      <c r="S278" s="80" t="str">
        <f aca="false">IF(OR($A278&lt;&gt;"",$E278&lt;&gt;""),IF(TRIM($D278)="","Buyer not noted",TRIM($D278)),"")</f>
        <v/>
      </c>
      <c r="T278" s="80" t="n">
        <f aca="false">IF(AND($V278=1,ISNUMBER($M278)),$M278,0)</f>
        <v>0</v>
      </c>
      <c r="U278" s="80" t="str">
        <f aca="false">IF($V278=1,IF(COUNTIFS($S$7:$S278,$S278,$V$7:$V278,1)=1,SUMIFS($T$7:$T$1006,$S$7:$S$1006,$S278)-ROW()/1000000000,""),"")</f>
        <v/>
      </c>
      <c r="V278" s="80" t="n">
        <f aca="false">IF(OR($O278="On hand",$O278="Advance received",$O278="Part realised",$O278="Amount missing"),1,0)</f>
        <v>0</v>
      </c>
      <c r="W278" s="80" t="str">
        <f aca="false">IF(AND($V278=1,N($F278)&gt;0),ROW(),"")</f>
        <v/>
      </c>
      <c r="X278" s="80" t="n">
        <f aca="false">IF(AND(OR($A278&lt;&gt;"",$E278&lt;&gt;""),$O278&lt;&gt;"Cancelled",ISNUMBER($E278),N($F278)+N($H278)&gt;$E278+0.005),1,0)</f>
        <v>0</v>
      </c>
      <c r="Y278" s="80" t="n">
        <f aca="false">IF(AND(OR($A278&lt;&gt;"",$E278&lt;&gt;""),OR($A278="",$E278="")),1,0)</f>
        <v>0</v>
      </c>
      <c r="Z278" s="80" t="n">
        <f aca="false">IF(AND($A278&lt;&gt;"",COUNTIF($A$7:$A$1006,$A278)&gt;1),1,0)</f>
        <v>0</v>
      </c>
    </row>
    <row r="279" customFormat="false" ht="15" hidden="false" customHeight="false" outlineLevel="0" collapsed="false">
      <c r="A279" s="71"/>
      <c r="B279" s="72"/>
      <c r="C279" s="73"/>
      <c r="D279" s="73"/>
      <c r="E279" s="74"/>
      <c r="F279" s="74"/>
      <c r="G279" s="72"/>
      <c r="H279" s="74"/>
      <c r="I279" s="72"/>
      <c r="J279" s="73"/>
      <c r="K279" s="73"/>
      <c r="L279" s="75" t="str">
        <f aca="false">IF(OR($A279&lt;&gt;"",$E279&lt;&gt;""),N($F279)+N($H279),"")</f>
        <v/>
      </c>
      <c r="M279" s="76" t="str">
        <f aca="false">IF(OR($O279="",$O279="Cancelled",$O279="Amount missing"),"",IF($O279="Realised",0,$E279-N($F279)-N($H279)))</f>
        <v/>
      </c>
      <c r="N279" s="77" t="str">
        <f aca="false">IF(OR($M279="",FX=""),"",$M279*FX)</f>
        <v/>
      </c>
      <c r="O279" s="78" t="str">
        <f aca="false">IF(NOT(OR($A279&lt;&gt;"",$E279&lt;&gt;"")),"",IF($J279="Cancelled","Cancelled",IF($E279="","Amount missing",IF(OR($J279="Settled",$E279-N($F279)-N($H279)&lt;=0.005),"Realised",IF(N($H279)&gt;0,"Part realised",IF(N($F279)&gt;0,"Advance received","On hand"))))))</f>
        <v/>
      </c>
      <c r="P279" s="79" t="str">
        <f aca="false">IF(AND($V279=1,ISNUMBER($B279)),AsAt-$B279,"")</f>
        <v/>
      </c>
      <c r="Q279" s="78" t="str">
        <f aca="false">IF($V279&lt;&gt;1,"",IF($P279="","No invoice date",IF($P279&lt;=30,"0–30 days",IF($P279&lt;=60,"31–60 days",IF($P279&lt;=90,"61–90 days","Over 90 days")))))</f>
        <v/>
      </c>
      <c r="R279" s="80" t="str">
        <f aca="false">IF($V279=1,ROW(),"")</f>
        <v/>
      </c>
      <c r="S279" s="80" t="str">
        <f aca="false">IF(OR($A279&lt;&gt;"",$E279&lt;&gt;""),IF(TRIM($D279)="","Buyer not noted",TRIM($D279)),"")</f>
        <v/>
      </c>
      <c r="T279" s="80" t="n">
        <f aca="false">IF(AND($V279=1,ISNUMBER($M279)),$M279,0)</f>
        <v>0</v>
      </c>
      <c r="U279" s="80" t="str">
        <f aca="false">IF($V279=1,IF(COUNTIFS($S$7:$S279,$S279,$V$7:$V279,1)=1,SUMIFS($T$7:$T$1006,$S$7:$S$1006,$S279)-ROW()/1000000000,""),"")</f>
        <v/>
      </c>
      <c r="V279" s="80" t="n">
        <f aca="false">IF(OR($O279="On hand",$O279="Advance received",$O279="Part realised",$O279="Amount missing"),1,0)</f>
        <v>0</v>
      </c>
      <c r="W279" s="80" t="str">
        <f aca="false">IF(AND($V279=1,N($F279)&gt;0),ROW(),"")</f>
        <v/>
      </c>
      <c r="X279" s="80" t="n">
        <f aca="false">IF(AND(OR($A279&lt;&gt;"",$E279&lt;&gt;""),$O279&lt;&gt;"Cancelled",ISNUMBER($E279),N($F279)+N($H279)&gt;$E279+0.005),1,0)</f>
        <v>0</v>
      </c>
      <c r="Y279" s="80" t="n">
        <f aca="false">IF(AND(OR($A279&lt;&gt;"",$E279&lt;&gt;""),OR($A279="",$E279="")),1,0)</f>
        <v>0</v>
      </c>
      <c r="Z279" s="80" t="n">
        <f aca="false">IF(AND($A279&lt;&gt;"",COUNTIF($A$7:$A$1006,$A279)&gt;1),1,0)</f>
        <v>0</v>
      </c>
    </row>
    <row r="280" customFormat="false" ht="15" hidden="false" customHeight="false" outlineLevel="0" collapsed="false">
      <c r="A280" s="71"/>
      <c r="B280" s="72"/>
      <c r="C280" s="73"/>
      <c r="D280" s="73"/>
      <c r="E280" s="74"/>
      <c r="F280" s="74"/>
      <c r="G280" s="72"/>
      <c r="H280" s="74"/>
      <c r="I280" s="72"/>
      <c r="J280" s="73"/>
      <c r="K280" s="73"/>
      <c r="L280" s="75" t="str">
        <f aca="false">IF(OR($A280&lt;&gt;"",$E280&lt;&gt;""),N($F280)+N($H280),"")</f>
        <v/>
      </c>
      <c r="M280" s="76" t="str">
        <f aca="false">IF(OR($O280="",$O280="Cancelled",$O280="Amount missing"),"",IF($O280="Realised",0,$E280-N($F280)-N($H280)))</f>
        <v/>
      </c>
      <c r="N280" s="77" t="str">
        <f aca="false">IF(OR($M280="",FX=""),"",$M280*FX)</f>
        <v/>
      </c>
      <c r="O280" s="78" t="str">
        <f aca="false">IF(NOT(OR($A280&lt;&gt;"",$E280&lt;&gt;"")),"",IF($J280="Cancelled","Cancelled",IF($E280="","Amount missing",IF(OR($J280="Settled",$E280-N($F280)-N($H280)&lt;=0.005),"Realised",IF(N($H280)&gt;0,"Part realised",IF(N($F280)&gt;0,"Advance received","On hand"))))))</f>
        <v/>
      </c>
      <c r="P280" s="79" t="str">
        <f aca="false">IF(AND($V280=1,ISNUMBER($B280)),AsAt-$B280,"")</f>
        <v/>
      </c>
      <c r="Q280" s="78" t="str">
        <f aca="false">IF($V280&lt;&gt;1,"",IF($P280="","No invoice date",IF($P280&lt;=30,"0–30 days",IF($P280&lt;=60,"31–60 days",IF($P280&lt;=90,"61–90 days","Over 90 days")))))</f>
        <v/>
      </c>
      <c r="R280" s="80" t="str">
        <f aca="false">IF($V280=1,ROW(),"")</f>
        <v/>
      </c>
      <c r="S280" s="80" t="str">
        <f aca="false">IF(OR($A280&lt;&gt;"",$E280&lt;&gt;""),IF(TRIM($D280)="","Buyer not noted",TRIM($D280)),"")</f>
        <v/>
      </c>
      <c r="T280" s="80" t="n">
        <f aca="false">IF(AND($V280=1,ISNUMBER($M280)),$M280,0)</f>
        <v>0</v>
      </c>
      <c r="U280" s="80" t="str">
        <f aca="false">IF($V280=1,IF(COUNTIFS($S$7:$S280,$S280,$V$7:$V280,1)=1,SUMIFS($T$7:$T$1006,$S$7:$S$1006,$S280)-ROW()/1000000000,""),"")</f>
        <v/>
      </c>
      <c r="V280" s="80" t="n">
        <f aca="false">IF(OR($O280="On hand",$O280="Advance received",$O280="Part realised",$O280="Amount missing"),1,0)</f>
        <v>0</v>
      </c>
      <c r="W280" s="80" t="str">
        <f aca="false">IF(AND($V280=1,N($F280)&gt;0),ROW(),"")</f>
        <v/>
      </c>
      <c r="X280" s="80" t="n">
        <f aca="false">IF(AND(OR($A280&lt;&gt;"",$E280&lt;&gt;""),$O280&lt;&gt;"Cancelled",ISNUMBER($E280),N($F280)+N($H280)&gt;$E280+0.005),1,0)</f>
        <v>0</v>
      </c>
      <c r="Y280" s="80" t="n">
        <f aca="false">IF(AND(OR($A280&lt;&gt;"",$E280&lt;&gt;""),OR($A280="",$E280="")),1,0)</f>
        <v>0</v>
      </c>
      <c r="Z280" s="80" t="n">
        <f aca="false">IF(AND($A280&lt;&gt;"",COUNTIF($A$7:$A$1006,$A280)&gt;1),1,0)</f>
        <v>0</v>
      </c>
    </row>
    <row r="281" customFormat="false" ht="15" hidden="false" customHeight="false" outlineLevel="0" collapsed="false">
      <c r="A281" s="71"/>
      <c r="B281" s="72"/>
      <c r="C281" s="73"/>
      <c r="D281" s="73"/>
      <c r="E281" s="74"/>
      <c r="F281" s="74"/>
      <c r="G281" s="72"/>
      <c r="H281" s="74"/>
      <c r="I281" s="72"/>
      <c r="J281" s="73"/>
      <c r="K281" s="73"/>
      <c r="L281" s="75" t="str">
        <f aca="false">IF(OR($A281&lt;&gt;"",$E281&lt;&gt;""),N($F281)+N($H281),"")</f>
        <v/>
      </c>
      <c r="M281" s="76" t="str">
        <f aca="false">IF(OR($O281="",$O281="Cancelled",$O281="Amount missing"),"",IF($O281="Realised",0,$E281-N($F281)-N($H281)))</f>
        <v/>
      </c>
      <c r="N281" s="77" t="str">
        <f aca="false">IF(OR($M281="",FX=""),"",$M281*FX)</f>
        <v/>
      </c>
      <c r="O281" s="78" t="str">
        <f aca="false">IF(NOT(OR($A281&lt;&gt;"",$E281&lt;&gt;"")),"",IF($J281="Cancelled","Cancelled",IF($E281="","Amount missing",IF(OR($J281="Settled",$E281-N($F281)-N($H281)&lt;=0.005),"Realised",IF(N($H281)&gt;0,"Part realised",IF(N($F281)&gt;0,"Advance received","On hand"))))))</f>
        <v/>
      </c>
      <c r="P281" s="79" t="str">
        <f aca="false">IF(AND($V281=1,ISNUMBER($B281)),AsAt-$B281,"")</f>
        <v/>
      </c>
      <c r="Q281" s="78" t="str">
        <f aca="false">IF($V281&lt;&gt;1,"",IF($P281="","No invoice date",IF($P281&lt;=30,"0–30 days",IF($P281&lt;=60,"31–60 days",IF($P281&lt;=90,"61–90 days","Over 90 days")))))</f>
        <v/>
      </c>
      <c r="R281" s="80" t="str">
        <f aca="false">IF($V281=1,ROW(),"")</f>
        <v/>
      </c>
      <c r="S281" s="80" t="str">
        <f aca="false">IF(OR($A281&lt;&gt;"",$E281&lt;&gt;""),IF(TRIM($D281)="","Buyer not noted",TRIM($D281)),"")</f>
        <v/>
      </c>
      <c r="T281" s="80" t="n">
        <f aca="false">IF(AND($V281=1,ISNUMBER($M281)),$M281,0)</f>
        <v>0</v>
      </c>
      <c r="U281" s="80" t="str">
        <f aca="false">IF($V281=1,IF(COUNTIFS($S$7:$S281,$S281,$V$7:$V281,1)=1,SUMIFS($T$7:$T$1006,$S$7:$S$1006,$S281)-ROW()/1000000000,""),"")</f>
        <v/>
      </c>
      <c r="V281" s="80" t="n">
        <f aca="false">IF(OR($O281="On hand",$O281="Advance received",$O281="Part realised",$O281="Amount missing"),1,0)</f>
        <v>0</v>
      </c>
      <c r="W281" s="80" t="str">
        <f aca="false">IF(AND($V281=1,N($F281)&gt;0),ROW(),"")</f>
        <v/>
      </c>
      <c r="X281" s="80" t="n">
        <f aca="false">IF(AND(OR($A281&lt;&gt;"",$E281&lt;&gt;""),$O281&lt;&gt;"Cancelled",ISNUMBER($E281),N($F281)+N($H281)&gt;$E281+0.005),1,0)</f>
        <v>0</v>
      </c>
      <c r="Y281" s="80" t="n">
        <f aca="false">IF(AND(OR($A281&lt;&gt;"",$E281&lt;&gt;""),OR($A281="",$E281="")),1,0)</f>
        <v>0</v>
      </c>
      <c r="Z281" s="80" t="n">
        <f aca="false">IF(AND($A281&lt;&gt;"",COUNTIF($A$7:$A$1006,$A281)&gt;1),1,0)</f>
        <v>0</v>
      </c>
    </row>
    <row r="282" customFormat="false" ht="15" hidden="false" customHeight="false" outlineLevel="0" collapsed="false">
      <c r="A282" s="71"/>
      <c r="B282" s="72"/>
      <c r="C282" s="73"/>
      <c r="D282" s="73"/>
      <c r="E282" s="74"/>
      <c r="F282" s="74"/>
      <c r="G282" s="72"/>
      <c r="H282" s="74"/>
      <c r="I282" s="72"/>
      <c r="J282" s="73"/>
      <c r="K282" s="73"/>
      <c r="L282" s="75" t="str">
        <f aca="false">IF(OR($A282&lt;&gt;"",$E282&lt;&gt;""),N($F282)+N($H282),"")</f>
        <v/>
      </c>
      <c r="M282" s="76" t="str">
        <f aca="false">IF(OR($O282="",$O282="Cancelled",$O282="Amount missing"),"",IF($O282="Realised",0,$E282-N($F282)-N($H282)))</f>
        <v/>
      </c>
      <c r="N282" s="77" t="str">
        <f aca="false">IF(OR($M282="",FX=""),"",$M282*FX)</f>
        <v/>
      </c>
      <c r="O282" s="78" t="str">
        <f aca="false">IF(NOT(OR($A282&lt;&gt;"",$E282&lt;&gt;"")),"",IF($J282="Cancelled","Cancelled",IF($E282="","Amount missing",IF(OR($J282="Settled",$E282-N($F282)-N($H282)&lt;=0.005),"Realised",IF(N($H282)&gt;0,"Part realised",IF(N($F282)&gt;0,"Advance received","On hand"))))))</f>
        <v/>
      </c>
      <c r="P282" s="79" t="str">
        <f aca="false">IF(AND($V282=1,ISNUMBER($B282)),AsAt-$B282,"")</f>
        <v/>
      </c>
      <c r="Q282" s="78" t="str">
        <f aca="false">IF($V282&lt;&gt;1,"",IF($P282="","No invoice date",IF($P282&lt;=30,"0–30 days",IF($P282&lt;=60,"31–60 days",IF($P282&lt;=90,"61–90 days","Over 90 days")))))</f>
        <v/>
      </c>
      <c r="R282" s="80" t="str">
        <f aca="false">IF($V282=1,ROW(),"")</f>
        <v/>
      </c>
      <c r="S282" s="80" t="str">
        <f aca="false">IF(OR($A282&lt;&gt;"",$E282&lt;&gt;""),IF(TRIM($D282)="","Buyer not noted",TRIM($D282)),"")</f>
        <v/>
      </c>
      <c r="T282" s="80" t="n">
        <f aca="false">IF(AND($V282=1,ISNUMBER($M282)),$M282,0)</f>
        <v>0</v>
      </c>
      <c r="U282" s="80" t="str">
        <f aca="false">IF($V282=1,IF(COUNTIFS($S$7:$S282,$S282,$V$7:$V282,1)=1,SUMIFS($T$7:$T$1006,$S$7:$S$1006,$S282)-ROW()/1000000000,""),"")</f>
        <v/>
      </c>
      <c r="V282" s="80" t="n">
        <f aca="false">IF(OR($O282="On hand",$O282="Advance received",$O282="Part realised",$O282="Amount missing"),1,0)</f>
        <v>0</v>
      </c>
      <c r="W282" s="80" t="str">
        <f aca="false">IF(AND($V282=1,N($F282)&gt;0),ROW(),"")</f>
        <v/>
      </c>
      <c r="X282" s="80" t="n">
        <f aca="false">IF(AND(OR($A282&lt;&gt;"",$E282&lt;&gt;""),$O282&lt;&gt;"Cancelled",ISNUMBER($E282),N($F282)+N($H282)&gt;$E282+0.005),1,0)</f>
        <v>0</v>
      </c>
      <c r="Y282" s="80" t="n">
        <f aca="false">IF(AND(OR($A282&lt;&gt;"",$E282&lt;&gt;""),OR($A282="",$E282="")),1,0)</f>
        <v>0</v>
      </c>
      <c r="Z282" s="80" t="n">
        <f aca="false">IF(AND($A282&lt;&gt;"",COUNTIF($A$7:$A$1006,$A282)&gt;1),1,0)</f>
        <v>0</v>
      </c>
    </row>
    <row r="283" customFormat="false" ht="15" hidden="false" customHeight="false" outlineLevel="0" collapsed="false">
      <c r="A283" s="71"/>
      <c r="B283" s="72"/>
      <c r="C283" s="73"/>
      <c r="D283" s="73"/>
      <c r="E283" s="74"/>
      <c r="F283" s="74"/>
      <c r="G283" s="72"/>
      <c r="H283" s="74"/>
      <c r="I283" s="72"/>
      <c r="J283" s="73"/>
      <c r="K283" s="73"/>
      <c r="L283" s="75" t="str">
        <f aca="false">IF(OR($A283&lt;&gt;"",$E283&lt;&gt;""),N($F283)+N($H283),"")</f>
        <v/>
      </c>
      <c r="M283" s="76" t="str">
        <f aca="false">IF(OR($O283="",$O283="Cancelled",$O283="Amount missing"),"",IF($O283="Realised",0,$E283-N($F283)-N($H283)))</f>
        <v/>
      </c>
      <c r="N283" s="77" t="str">
        <f aca="false">IF(OR($M283="",FX=""),"",$M283*FX)</f>
        <v/>
      </c>
      <c r="O283" s="78" t="str">
        <f aca="false">IF(NOT(OR($A283&lt;&gt;"",$E283&lt;&gt;"")),"",IF($J283="Cancelled","Cancelled",IF($E283="","Amount missing",IF(OR($J283="Settled",$E283-N($F283)-N($H283)&lt;=0.005),"Realised",IF(N($H283)&gt;0,"Part realised",IF(N($F283)&gt;0,"Advance received","On hand"))))))</f>
        <v/>
      </c>
      <c r="P283" s="79" t="str">
        <f aca="false">IF(AND($V283=1,ISNUMBER($B283)),AsAt-$B283,"")</f>
        <v/>
      </c>
      <c r="Q283" s="78" t="str">
        <f aca="false">IF($V283&lt;&gt;1,"",IF($P283="","No invoice date",IF($P283&lt;=30,"0–30 days",IF($P283&lt;=60,"31–60 days",IF($P283&lt;=90,"61–90 days","Over 90 days")))))</f>
        <v/>
      </c>
      <c r="R283" s="80" t="str">
        <f aca="false">IF($V283=1,ROW(),"")</f>
        <v/>
      </c>
      <c r="S283" s="80" t="str">
        <f aca="false">IF(OR($A283&lt;&gt;"",$E283&lt;&gt;""),IF(TRIM($D283)="","Buyer not noted",TRIM($D283)),"")</f>
        <v/>
      </c>
      <c r="T283" s="80" t="n">
        <f aca="false">IF(AND($V283=1,ISNUMBER($M283)),$M283,0)</f>
        <v>0</v>
      </c>
      <c r="U283" s="80" t="str">
        <f aca="false">IF($V283=1,IF(COUNTIFS($S$7:$S283,$S283,$V$7:$V283,1)=1,SUMIFS($T$7:$T$1006,$S$7:$S$1006,$S283)-ROW()/1000000000,""),"")</f>
        <v/>
      </c>
      <c r="V283" s="80" t="n">
        <f aca="false">IF(OR($O283="On hand",$O283="Advance received",$O283="Part realised",$O283="Amount missing"),1,0)</f>
        <v>0</v>
      </c>
      <c r="W283" s="80" t="str">
        <f aca="false">IF(AND($V283=1,N($F283)&gt;0),ROW(),"")</f>
        <v/>
      </c>
      <c r="X283" s="80" t="n">
        <f aca="false">IF(AND(OR($A283&lt;&gt;"",$E283&lt;&gt;""),$O283&lt;&gt;"Cancelled",ISNUMBER($E283),N($F283)+N($H283)&gt;$E283+0.005),1,0)</f>
        <v>0</v>
      </c>
      <c r="Y283" s="80" t="n">
        <f aca="false">IF(AND(OR($A283&lt;&gt;"",$E283&lt;&gt;""),OR($A283="",$E283="")),1,0)</f>
        <v>0</v>
      </c>
      <c r="Z283" s="80" t="n">
        <f aca="false">IF(AND($A283&lt;&gt;"",COUNTIF($A$7:$A$1006,$A283)&gt;1),1,0)</f>
        <v>0</v>
      </c>
    </row>
    <row r="284" customFormat="false" ht="15" hidden="false" customHeight="false" outlineLevel="0" collapsed="false">
      <c r="A284" s="71"/>
      <c r="B284" s="72"/>
      <c r="C284" s="73"/>
      <c r="D284" s="73"/>
      <c r="E284" s="74"/>
      <c r="F284" s="74"/>
      <c r="G284" s="72"/>
      <c r="H284" s="74"/>
      <c r="I284" s="72"/>
      <c r="J284" s="73"/>
      <c r="K284" s="73"/>
      <c r="L284" s="75" t="str">
        <f aca="false">IF(OR($A284&lt;&gt;"",$E284&lt;&gt;""),N($F284)+N($H284),"")</f>
        <v/>
      </c>
      <c r="M284" s="76" t="str">
        <f aca="false">IF(OR($O284="",$O284="Cancelled",$O284="Amount missing"),"",IF($O284="Realised",0,$E284-N($F284)-N($H284)))</f>
        <v/>
      </c>
      <c r="N284" s="77" t="str">
        <f aca="false">IF(OR($M284="",FX=""),"",$M284*FX)</f>
        <v/>
      </c>
      <c r="O284" s="78" t="str">
        <f aca="false">IF(NOT(OR($A284&lt;&gt;"",$E284&lt;&gt;"")),"",IF($J284="Cancelled","Cancelled",IF($E284="","Amount missing",IF(OR($J284="Settled",$E284-N($F284)-N($H284)&lt;=0.005),"Realised",IF(N($H284)&gt;0,"Part realised",IF(N($F284)&gt;0,"Advance received","On hand"))))))</f>
        <v/>
      </c>
      <c r="P284" s="79" t="str">
        <f aca="false">IF(AND($V284=1,ISNUMBER($B284)),AsAt-$B284,"")</f>
        <v/>
      </c>
      <c r="Q284" s="78" t="str">
        <f aca="false">IF($V284&lt;&gt;1,"",IF($P284="","No invoice date",IF($P284&lt;=30,"0–30 days",IF($P284&lt;=60,"31–60 days",IF($P284&lt;=90,"61–90 days","Over 90 days")))))</f>
        <v/>
      </c>
      <c r="R284" s="80" t="str">
        <f aca="false">IF($V284=1,ROW(),"")</f>
        <v/>
      </c>
      <c r="S284" s="80" t="str">
        <f aca="false">IF(OR($A284&lt;&gt;"",$E284&lt;&gt;""),IF(TRIM($D284)="","Buyer not noted",TRIM($D284)),"")</f>
        <v/>
      </c>
      <c r="T284" s="80" t="n">
        <f aca="false">IF(AND($V284=1,ISNUMBER($M284)),$M284,0)</f>
        <v>0</v>
      </c>
      <c r="U284" s="80" t="str">
        <f aca="false">IF($V284=1,IF(COUNTIFS($S$7:$S284,$S284,$V$7:$V284,1)=1,SUMIFS($T$7:$T$1006,$S$7:$S$1006,$S284)-ROW()/1000000000,""),"")</f>
        <v/>
      </c>
      <c r="V284" s="80" t="n">
        <f aca="false">IF(OR($O284="On hand",$O284="Advance received",$O284="Part realised",$O284="Amount missing"),1,0)</f>
        <v>0</v>
      </c>
      <c r="W284" s="80" t="str">
        <f aca="false">IF(AND($V284=1,N($F284)&gt;0),ROW(),"")</f>
        <v/>
      </c>
      <c r="X284" s="80" t="n">
        <f aca="false">IF(AND(OR($A284&lt;&gt;"",$E284&lt;&gt;""),$O284&lt;&gt;"Cancelled",ISNUMBER($E284),N($F284)+N($H284)&gt;$E284+0.005),1,0)</f>
        <v>0</v>
      </c>
      <c r="Y284" s="80" t="n">
        <f aca="false">IF(AND(OR($A284&lt;&gt;"",$E284&lt;&gt;""),OR($A284="",$E284="")),1,0)</f>
        <v>0</v>
      </c>
      <c r="Z284" s="80" t="n">
        <f aca="false">IF(AND($A284&lt;&gt;"",COUNTIF($A$7:$A$1006,$A284)&gt;1),1,0)</f>
        <v>0</v>
      </c>
    </row>
    <row r="285" customFormat="false" ht="15" hidden="false" customHeight="false" outlineLevel="0" collapsed="false">
      <c r="A285" s="71"/>
      <c r="B285" s="72"/>
      <c r="C285" s="73"/>
      <c r="D285" s="73"/>
      <c r="E285" s="74"/>
      <c r="F285" s="74"/>
      <c r="G285" s="72"/>
      <c r="H285" s="74"/>
      <c r="I285" s="72"/>
      <c r="J285" s="73"/>
      <c r="K285" s="73"/>
      <c r="L285" s="75" t="str">
        <f aca="false">IF(OR($A285&lt;&gt;"",$E285&lt;&gt;""),N($F285)+N($H285),"")</f>
        <v/>
      </c>
      <c r="M285" s="76" t="str">
        <f aca="false">IF(OR($O285="",$O285="Cancelled",$O285="Amount missing"),"",IF($O285="Realised",0,$E285-N($F285)-N($H285)))</f>
        <v/>
      </c>
      <c r="N285" s="77" t="str">
        <f aca="false">IF(OR($M285="",FX=""),"",$M285*FX)</f>
        <v/>
      </c>
      <c r="O285" s="78" t="str">
        <f aca="false">IF(NOT(OR($A285&lt;&gt;"",$E285&lt;&gt;"")),"",IF($J285="Cancelled","Cancelled",IF($E285="","Amount missing",IF(OR($J285="Settled",$E285-N($F285)-N($H285)&lt;=0.005),"Realised",IF(N($H285)&gt;0,"Part realised",IF(N($F285)&gt;0,"Advance received","On hand"))))))</f>
        <v/>
      </c>
      <c r="P285" s="79" t="str">
        <f aca="false">IF(AND($V285=1,ISNUMBER($B285)),AsAt-$B285,"")</f>
        <v/>
      </c>
      <c r="Q285" s="78" t="str">
        <f aca="false">IF($V285&lt;&gt;1,"",IF($P285="","No invoice date",IF($P285&lt;=30,"0–30 days",IF($P285&lt;=60,"31–60 days",IF($P285&lt;=90,"61–90 days","Over 90 days")))))</f>
        <v/>
      </c>
      <c r="R285" s="80" t="str">
        <f aca="false">IF($V285=1,ROW(),"")</f>
        <v/>
      </c>
      <c r="S285" s="80" t="str">
        <f aca="false">IF(OR($A285&lt;&gt;"",$E285&lt;&gt;""),IF(TRIM($D285)="","Buyer not noted",TRIM($D285)),"")</f>
        <v/>
      </c>
      <c r="T285" s="80" t="n">
        <f aca="false">IF(AND($V285=1,ISNUMBER($M285)),$M285,0)</f>
        <v>0</v>
      </c>
      <c r="U285" s="80" t="str">
        <f aca="false">IF($V285=1,IF(COUNTIFS($S$7:$S285,$S285,$V$7:$V285,1)=1,SUMIFS($T$7:$T$1006,$S$7:$S$1006,$S285)-ROW()/1000000000,""),"")</f>
        <v/>
      </c>
      <c r="V285" s="80" t="n">
        <f aca="false">IF(OR($O285="On hand",$O285="Advance received",$O285="Part realised",$O285="Amount missing"),1,0)</f>
        <v>0</v>
      </c>
      <c r="W285" s="80" t="str">
        <f aca="false">IF(AND($V285=1,N($F285)&gt;0),ROW(),"")</f>
        <v/>
      </c>
      <c r="X285" s="80" t="n">
        <f aca="false">IF(AND(OR($A285&lt;&gt;"",$E285&lt;&gt;""),$O285&lt;&gt;"Cancelled",ISNUMBER($E285),N($F285)+N($H285)&gt;$E285+0.005),1,0)</f>
        <v>0</v>
      </c>
      <c r="Y285" s="80" t="n">
        <f aca="false">IF(AND(OR($A285&lt;&gt;"",$E285&lt;&gt;""),OR($A285="",$E285="")),1,0)</f>
        <v>0</v>
      </c>
      <c r="Z285" s="80" t="n">
        <f aca="false">IF(AND($A285&lt;&gt;"",COUNTIF($A$7:$A$1006,$A285)&gt;1),1,0)</f>
        <v>0</v>
      </c>
    </row>
    <row r="286" customFormat="false" ht="15" hidden="false" customHeight="false" outlineLevel="0" collapsed="false">
      <c r="A286" s="71"/>
      <c r="B286" s="72"/>
      <c r="C286" s="73"/>
      <c r="D286" s="73"/>
      <c r="E286" s="74"/>
      <c r="F286" s="74"/>
      <c r="G286" s="72"/>
      <c r="H286" s="74"/>
      <c r="I286" s="72"/>
      <c r="J286" s="73"/>
      <c r="K286" s="73"/>
      <c r="L286" s="75" t="str">
        <f aca="false">IF(OR($A286&lt;&gt;"",$E286&lt;&gt;""),N($F286)+N($H286),"")</f>
        <v/>
      </c>
      <c r="M286" s="76" t="str">
        <f aca="false">IF(OR($O286="",$O286="Cancelled",$O286="Amount missing"),"",IF($O286="Realised",0,$E286-N($F286)-N($H286)))</f>
        <v/>
      </c>
      <c r="N286" s="77" t="str">
        <f aca="false">IF(OR($M286="",FX=""),"",$M286*FX)</f>
        <v/>
      </c>
      <c r="O286" s="78" t="str">
        <f aca="false">IF(NOT(OR($A286&lt;&gt;"",$E286&lt;&gt;"")),"",IF($J286="Cancelled","Cancelled",IF($E286="","Amount missing",IF(OR($J286="Settled",$E286-N($F286)-N($H286)&lt;=0.005),"Realised",IF(N($H286)&gt;0,"Part realised",IF(N($F286)&gt;0,"Advance received","On hand"))))))</f>
        <v/>
      </c>
      <c r="P286" s="79" t="str">
        <f aca="false">IF(AND($V286=1,ISNUMBER($B286)),AsAt-$B286,"")</f>
        <v/>
      </c>
      <c r="Q286" s="78" t="str">
        <f aca="false">IF($V286&lt;&gt;1,"",IF($P286="","No invoice date",IF($P286&lt;=30,"0–30 days",IF($P286&lt;=60,"31–60 days",IF($P286&lt;=90,"61–90 days","Over 90 days")))))</f>
        <v/>
      </c>
      <c r="R286" s="80" t="str">
        <f aca="false">IF($V286=1,ROW(),"")</f>
        <v/>
      </c>
      <c r="S286" s="80" t="str">
        <f aca="false">IF(OR($A286&lt;&gt;"",$E286&lt;&gt;""),IF(TRIM($D286)="","Buyer not noted",TRIM($D286)),"")</f>
        <v/>
      </c>
      <c r="T286" s="80" t="n">
        <f aca="false">IF(AND($V286=1,ISNUMBER($M286)),$M286,0)</f>
        <v>0</v>
      </c>
      <c r="U286" s="80" t="str">
        <f aca="false">IF($V286=1,IF(COUNTIFS($S$7:$S286,$S286,$V$7:$V286,1)=1,SUMIFS($T$7:$T$1006,$S$7:$S$1006,$S286)-ROW()/1000000000,""),"")</f>
        <v/>
      </c>
      <c r="V286" s="80" t="n">
        <f aca="false">IF(OR($O286="On hand",$O286="Advance received",$O286="Part realised",$O286="Amount missing"),1,0)</f>
        <v>0</v>
      </c>
      <c r="W286" s="80" t="str">
        <f aca="false">IF(AND($V286=1,N($F286)&gt;0),ROW(),"")</f>
        <v/>
      </c>
      <c r="X286" s="80" t="n">
        <f aca="false">IF(AND(OR($A286&lt;&gt;"",$E286&lt;&gt;""),$O286&lt;&gt;"Cancelled",ISNUMBER($E286),N($F286)+N($H286)&gt;$E286+0.005),1,0)</f>
        <v>0</v>
      </c>
      <c r="Y286" s="80" t="n">
        <f aca="false">IF(AND(OR($A286&lt;&gt;"",$E286&lt;&gt;""),OR($A286="",$E286="")),1,0)</f>
        <v>0</v>
      </c>
      <c r="Z286" s="80" t="n">
        <f aca="false">IF(AND($A286&lt;&gt;"",COUNTIF($A$7:$A$1006,$A286)&gt;1),1,0)</f>
        <v>0</v>
      </c>
    </row>
    <row r="287" customFormat="false" ht="15" hidden="false" customHeight="false" outlineLevel="0" collapsed="false">
      <c r="A287" s="71"/>
      <c r="B287" s="72"/>
      <c r="C287" s="73"/>
      <c r="D287" s="73"/>
      <c r="E287" s="74"/>
      <c r="F287" s="74"/>
      <c r="G287" s="72"/>
      <c r="H287" s="74"/>
      <c r="I287" s="72"/>
      <c r="J287" s="73"/>
      <c r="K287" s="73"/>
      <c r="L287" s="75" t="str">
        <f aca="false">IF(OR($A287&lt;&gt;"",$E287&lt;&gt;""),N($F287)+N($H287),"")</f>
        <v/>
      </c>
      <c r="M287" s="76" t="str">
        <f aca="false">IF(OR($O287="",$O287="Cancelled",$O287="Amount missing"),"",IF($O287="Realised",0,$E287-N($F287)-N($H287)))</f>
        <v/>
      </c>
      <c r="N287" s="77" t="str">
        <f aca="false">IF(OR($M287="",FX=""),"",$M287*FX)</f>
        <v/>
      </c>
      <c r="O287" s="78" t="str">
        <f aca="false">IF(NOT(OR($A287&lt;&gt;"",$E287&lt;&gt;"")),"",IF($J287="Cancelled","Cancelled",IF($E287="","Amount missing",IF(OR($J287="Settled",$E287-N($F287)-N($H287)&lt;=0.005),"Realised",IF(N($H287)&gt;0,"Part realised",IF(N($F287)&gt;0,"Advance received","On hand"))))))</f>
        <v/>
      </c>
      <c r="P287" s="79" t="str">
        <f aca="false">IF(AND($V287=1,ISNUMBER($B287)),AsAt-$B287,"")</f>
        <v/>
      </c>
      <c r="Q287" s="78" t="str">
        <f aca="false">IF($V287&lt;&gt;1,"",IF($P287="","No invoice date",IF($P287&lt;=30,"0–30 days",IF($P287&lt;=60,"31–60 days",IF($P287&lt;=90,"61–90 days","Over 90 days")))))</f>
        <v/>
      </c>
      <c r="R287" s="80" t="str">
        <f aca="false">IF($V287=1,ROW(),"")</f>
        <v/>
      </c>
      <c r="S287" s="80" t="str">
        <f aca="false">IF(OR($A287&lt;&gt;"",$E287&lt;&gt;""),IF(TRIM($D287)="","Buyer not noted",TRIM($D287)),"")</f>
        <v/>
      </c>
      <c r="T287" s="80" t="n">
        <f aca="false">IF(AND($V287=1,ISNUMBER($M287)),$M287,0)</f>
        <v>0</v>
      </c>
      <c r="U287" s="80" t="str">
        <f aca="false">IF($V287=1,IF(COUNTIFS($S$7:$S287,$S287,$V$7:$V287,1)=1,SUMIFS($T$7:$T$1006,$S$7:$S$1006,$S287)-ROW()/1000000000,""),"")</f>
        <v/>
      </c>
      <c r="V287" s="80" t="n">
        <f aca="false">IF(OR($O287="On hand",$O287="Advance received",$O287="Part realised",$O287="Amount missing"),1,0)</f>
        <v>0</v>
      </c>
      <c r="W287" s="80" t="str">
        <f aca="false">IF(AND($V287=1,N($F287)&gt;0),ROW(),"")</f>
        <v/>
      </c>
      <c r="X287" s="80" t="n">
        <f aca="false">IF(AND(OR($A287&lt;&gt;"",$E287&lt;&gt;""),$O287&lt;&gt;"Cancelled",ISNUMBER($E287),N($F287)+N($H287)&gt;$E287+0.005),1,0)</f>
        <v>0</v>
      </c>
      <c r="Y287" s="80" t="n">
        <f aca="false">IF(AND(OR($A287&lt;&gt;"",$E287&lt;&gt;""),OR($A287="",$E287="")),1,0)</f>
        <v>0</v>
      </c>
      <c r="Z287" s="80" t="n">
        <f aca="false">IF(AND($A287&lt;&gt;"",COUNTIF($A$7:$A$1006,$A287)&gt;1),1,0)</f>
        <v>0</v>
      </c>
    </row>
    <row r="288" customFormat="false" ht="15" hidden="false" customHeight="false" outlineLevel="0" collapsed="false">
      <c r="A288" s="71"/>
      <c r="B288" s="72"/>
      <c r="C288" s="73"/>
      <c r="D288" s="73"/>
      <c r="E288" s="74"/>
      <c r="F288" s="74"/>
      <c r="G288" s="72"/>
      <c r="H288" s="74"/>
      <c r="I288" s="72"/>
      <c r="J288" s="73"/>
      <c r="K288" s="73"/>
      <c r="L288" s="75" t="str">
        <f aca="false">IF(OR($A288&lt;&gt;"",$E288&lt;&gt;""),N($F288)+N($H288),"")</f>
        <v/>
      </c>
      <c r="M288" s="76" t="str">
        <f aca="false">IF(OR($O288="",$O288="Cancelled",$O288="Amount missing"),"",IF($O288="Realised",0,$E288-N($F288)-N($H288)))</f>
        <v/>
      </c>
      <c r="N288" s="77" t="str">
        <f aca="false">IF(OR($M288="",FX=""),"",$M288*FX)</f>
        <v/>
      </c>
      <c r="O288" s="78" t="str">
        <f aca="false">IF(NOT(OR($A288&lt;&gt;"",$E288&lt;&gt;"")),"",IF($J288="Cancelled","Cancelled",IF($E288="","Amount missing",IF(OR($J288="Settled",$E288-N($F288)-N($H288)&lt;=0.005),"Realised",IF(N($H288)&gt;0,"Part realised",IF(N($F288)&gt;0,"Advance received","On hand"))))))</f>
        <v/>
      </c>
      <c r="P288" s="79" t="str">
        <f aca="false">IF(AND($V288=1,ISNUMBER($B288)),AsAt-$B288,"")</f>
        <v/>
      </c>
      <c r="Q288" s="78" t="str">
        <f aca="false">IF($V288&lt;&gt;1,"",IF($P288="","No invoice date",IF($P288&lt;=30,"0–30 days",IF($P288&lt;=60,"31–60 days",IF($P288&lt;=90,"61–90 days","Over 90 days")))))</f>
        <v/>
      </c>
      <c r="R288" s="80" t="str">
        <f aca="false">IF($V288=1,ROW(),"")</f>
        <v/>
      </c>
      <c r="S288" s="80" t="str">
        <f aca="false">IF(OR($A288&lt;&gt;"",$E288&lt;&gt;""),IF(TRIM($D288)="","Buyer not noted",TRIM($D288)),"")</f>
        <v/>
      </c>
      <c r="T288" s="80" t="n">
        <f aca="false">IF(AND($V288=1,ISNUMBER($M288)),$M288,0)</f>
        <v>0</v>
      </c>
      <c r="U288" s="80" t="str">
        <f aca="false">IF($V288=1,IF(COUNTIFS($S$7:$S288,$S288,$V$7:$V288,1)=1,SUMIFS($T$7:$T$1006,$S$7:$S$1006,$S288)-ROW()/1000000000,""),"")</f>
        <v/>
      </c>
      <c r="V288" s="80" t="n">
        <f aca="false">IF(OR($O288="On hand",$O288="Advance received",$O288="Part realised",$O288="Amount missing"),1,0)</f>
        <v>0</v>
      </c>
      <c r="W288" s="80" t="str">
        <f aca="false">IF(AND($V288=1,N($F288)&gt;0),ROW(),"")</f>
        <v/>
      </c>
      <c r="X288" s="80" t="n">
        <f aca="false">IF(AND(OR($A288&lt;&gt;"",$E288&lt;&gt;""),$O288&lt;&gt;"Cancelled",ISNUMBER($E288),N($F288)+N($H288)&gt;$E288+0.005),1,0)</f>
        <v>0</v>
      </c>
      <c r="Y288" s="80" t="n">
        <f aca="false">IF(AND(OR($A288&lt;&gt;"",$E288&lt;&gt;""),OR($A288="",$E288="")),1,0)</f>
        <v>0</v>
      </c>
      <c r="Z288" s="80" t="n">
        <f aca="false">IF(AND($A288&lt;&gt;"",COUNTIF($A$7:$A$1006,$A288)&gt;1),1,0)</f>
        <v>0</v>
      </c>
    </row>
    <row r="289" customFormat="false" ht="15" hidden="false" customHeight="false" outlineLevel="0" collapsed="false">
      <c r="A289" s="71"/>
      <c r="B289" s="72"/>
      <c r="C289" s="73"/>
      <c r="D289" s="73"/>
      <c r="E289" s="74"/>
      <c r="F289" s="74"/>
      <c r="G289" s="72"/>
      <c r="H289" s="74"/>
      <c r="I289" s="72"/>
      <c r="J289" s="73"/>
      <c r="K289" s="73"/>
      <c r="L289" s="75" t="str">
        <f aca="false">IF(OR($A289&lt;&gt;"",$E289&lt;&gt;""),N($F289)+N($H289),"")</f>
        <v/>
      </c>
      <c r="M289" s="76" t="str">
        <f aca="false">IF(OR($O289="",$O289="Cancelled",$O289="Amount missing"),"",IF($O289="Realised",0,$E289-N($F289)-N($H289)))</f>
        <v/>
      </c>
      <c r="N289" s="77" t="str">
        <f aca="false">IF(OR($M289="",FX=""),"",$M289*FX)</f>
        <v/>
      </c>
      <c r="O289" s="78" t="str">
        <f aca="false">IF(NOT(OR($A289&lt;&gt;"",$E289&lt;&gt;"")),"",IF($J289="Cancelled","Cancelled",IF($E289="","Amount missing",IF(OR($J289="Settled",$E289-N($F289)-N($H289)&lt;=0.005),"Realised",IF(N($H289)&gt;0,"Part realised",IF(N($F289)&gt;0,"Advance received","On hand"))))))</f>
        <v/>
      </c>
      <c r="P289" s="79" t="str">
        <f aca="false">IF(AND($V289=1,ISNUMBER($B289)),AsAt-$B289,"")</f>
        <v/>
      </c>
      <c r="Q289" s="78" t="str">
        <f aca="false">IF($V289&lt;&gt;1,"",IF($P289="","No invoice date",IF($P289&lt;=30,"0–30 days",IF($P289&lt;=60,"31–60 days",IF($P289&lt;=90,"61–90 days","Over 90 days")))))</f>
        <v/>
      </c>
      <c r="R289" s="80" t="str">
        <f aca="false">IF($V289=1,ROW(),"")</f>
        <v/>
      </c>
      <c r="S289" s="80" t="str">
        <f aca="false">IF(OR($A289&lt;&gt;"",$E289&lt;&gt;""),IF(TRIM($D289)="","Buyer not noted",TRIM($D289)),"")</f>
        <v/>
      </c>
      <c r="T289" s="80" t="n">
        <f aca="false">IF(AND($V289=1,ISNUMBER($M289)),$M289,0)</f>
        <v>0</v>
      </c>
      <c r="U289" s="80" t="str">
        <f aca="false">IF($V289=1,IF(COUNTIFS($S$7:$S289,$S289,$V$7:$V289,1)=1,SUMIFS($T$7:$T$1006,$S$7:$S$1006,$S289)-ROW()/1000000000,""),"")</f>
        <v/>
      </c>
      <c r="V289" s="80" t="n">
        <f aca="false">IF(OR($O289="On hand",$O289="Advance received",$O289="Part realised",$O289="Amount missing"),1,0)</f>
        <v>0</v>
      </c>
      <c r="W289" s="80" t="str">
        <f aca="false">IF(AND($V289=1,N($F289)&gt;0),ROW(),"")</f>
        <v/>
      </c>
      <c r="X289" s="80" t="n">
        <f aca="false">IF(AND(OR($A289&lt;&gt;"",$E289&lt;&gt;""),$O289&lt;&gt;"Cancelled",ISNUMBER($E289),N($F289)+N($H289)&gt;$E289+0.005),1,0)</f>
        <v>0</v>
      </c>
      <c r="Y289" s="80" t="n">
        <f aca="false">IF(AND(OR($A289&lt;&gt;"",$E289&lt;&gt;""),OR($A289="",$E289="")),1,0)</f>
        <v>0</v>
      </c>
      <c r="Z289" s="80" t="n">
        <f aca="false">IF(AND($A289&lt;&gt;"",COUNTIF($A$7:$A$1006,$A289)&gt;1),1,0)</f>
        <v>0</v>
      </c>
    </row>
    <row r="290" customFormat="false" ht="15" hidden="false" customHeight="false" outlineLevel="0" collapsed="false">
      <c r="A290" s="71"/>
      <c r="B290" s="72"/>
      <c r="C290" s="73"/>
      <c r="D290" s="73"/>
      <c r="E290" s="74"/>
      <c r="F290" s="74"/>
      <c r="G290" s="72"/>
      <c r="H290" s="74"/>
      <c r="I290" s="72"/>
      <c r="J290" s="73"/>
      <c r="K290" s="73"/>
      <c r="L290" s="75" t="str">
        <f aca="false">IF(OR($A290&lt;&gt;"",$E290&lt;&gt;""),N($F290)+N($H290),"")</f>
        <v/>
      </c>
      <c r="M290" s="76" t="str">
        <f aca="false">IF(OR($O290="",$O290="Cancelled",$O290="Amount missing"),"",IF($O290="Realised",0,$E290-N($F290)-N($H290)))</f>
        <v/>
      </c>
      <c r="N290" s="77" t="str">
        <f aca="false">IF(OR($M290="",FX=""),"",$M290*FX)</f>
        <v/>
      </c>
      <c r="O290" s="78" t="str">
        <f aca="false">IF(NOT(OR($A290&lt;&gt;"",$E290&lt;&gt;"")),"",IF($J290="Cancelled","Cancelled",IF($E290="","Amount missing",IF(OR($J290="Settled",$E290-N($F290)-N($H290)&lt;=0.005),"Realised",IF(N($H290)&gt;0,"Part realised",IF(N($F290)&gt;0,"Advance received","On hand"))))))</f>
        <v/>
      </c>
      <c r="P290" s="79" t="str">
        <f aca="false">IF(AND($V290=1,ISNUMBER($B290)),AsAt-$B290,"")</f>
        <v/>
      </c>
      <c r="Q290" s="78" t="str">
        <f aca="false">IF($V290&lt;&gt;1,"",IF($P290="","No invoice date",IF($P290&lt;=30,"0–30 days",IF($P290&lt;=60,"31–60 days",IF($P290&lt;=90,"61–90 days","Over 90 days")))))</f>
        <v/>
      </c>
      <c r="R290" s="80" t="str">
        <f aca="false">IF($V290=1,ROW(),"")</f>
        <v/>
      </c>
      <c r="S290" s="80" t="str">
        <f aca="false">IF(OR($A290&lt;&gt;"",$E290&lt;&gt;""),IF(TRIM($D290)="","Buyer not noted",TRIM($D290)),"")</f>
        <v/>
      </c>
      <c r="T290" s="80" t="n">
        <f aca="false">IF(AND($V290=1,ISNUMBER($M290)),$M290,0)</f>
        <v>0</v>
      </c>
      <c r="U290" s="80" t="str">
        <f aca="false">IF($V290=1,IF(COUNTIFS($S$7:$S290,$S290,$V$7:$V290,1)=1,SUMIFS($T$7:$T$1006,$S$7:$S$1006,$S290)-ROW()/1000000000,""),"")</f>
        <v/>
      </c>
      <c r="V290" s="80" t="n">
        <f aca="false">IF(OR($O290="On hand",$O290="Advance received",$O290="Part realised",$O290="Amount missing"),1,0)</f>
        <v>0</v>
      </c>
      <c r="W290" s="80" t="str">
        <f aca="false">IF(AND($V290=1,N($F290)&gt;0),ROW(),"")</f>
        <v/>
      </c>
      <c r="X290" s="80" t="n">
        <f aca="false">IF(AND(OR($A290&lt;&gt;"",$E290&lt;&gt;""),$O290&lt;&gt;"Cancelled",ISNUMBER($E290),N($F290)+N($H290)&gt;$E290+0.005),1,0)</f>
        <v>0</v>
      </c>
      <c r="Y290" s="80" t="n">
        <f aca="false">IF(AND(OR($A290&lt;&gt;"",$E290&lt;&gt;""),OR($A290="",$E290="")),1,0)</f>
        <v>0</v>
      </c>
      <c r="Z290" s="80" t="n">
        <f aca="false">IF(AND($A290&lt;&gt;"",COUNTIF($A$7:$A$1006,$A290)&gt;1),1,0)</f>
        <v>0</v>
      </c>
    </row>
    <row r="291" customFormat="false" ht="15" hidden="false" customHeight="false" outlineLevel="0" collapsed="false">
      <c r="A291" s="71"/>
      <c r="B291" s="72"/>
      <c r="C291" s="73"/>
      <c r="D291" s="73"/>
      <c r="E291" s="74"/>
      <c r="F291" s="74"/>
      <c r="G291" s="72"/>
      <c r="H291" s="74"/>
      <c r="I291" s="72"/>
      <c r="J291" s="73"/>
      <c r="K291" s="73"/>
      <c r="L291" s="75" t="str">
        <f aca="false">IF(OR($A291&lt;&gt;"",$E291&lt;&gt;""),N($F291)+N($H291),"")</f>
        <v/>
      </c>
      <c r="M291" s="76" t="str">
        <f aca="false">IF(OR($O291="",$O291="Cancelled",$O291="Amount missing"),"",IF($O291="Realised",0,$E291-N($F291)-N($H291)))</f>
        <v/>
      </c>
      <c r="N291" s="77" t="str">
        <f aca="false">IF(OR($M291="",FX=""),"",$M291*FX)</f>
        <v/>
      </c>
      <c r="O291" s="78" t="str">
        <f aca="false">IF(NOT(OR($A291&lt;&gt;"",$E291&lt;&gt;"")),"",IF($J291="Cancelled","Cancelled",IF($E291="","Amount missing",IF(OR($J291="Settled",$E291-N($F291)-N($H291)&lt;=0.005),"Realised",IF(N($H291)&gt;0,"Part realised",IF(N($F291)&gt;0,"Advance received","On hand"))))))</f>
        <v/>
      </c>
      <c r="P291" s="79" t="str">
        <f aca="false">IF(AND($V291=1,ISNUMBER($B291)),AsAt-$B291,"")</f>
        <v/>
      </c>
      <c r="Q291" s="78" t="str">
        <f aca="false">IF($V291&lt;&gt;1,"",IF($P291="","No invoice date",IF($P291&lt;=30,"0–30 days",IF($P291&lt;=60,"31–60 days",IF($P291&lt;=90,"61–90 days","Over 90 days")))))</f>
        <v/>
      </c>
      <c r="R291" s="80" t="str">
        <f aca="false">IF($V291=1,ROW(),"")</f>
        <v/>
      </c>
      <c r="S291" s="80" t="str">
        <f aca="false">IF(OR($A291&lt;&gt;"",$E291&lt;&gt;""),IF(TRIM($D291)="","Buyer not noted",TRIM($D291)),"")</f>
        <v/>
      </c>
      <c r="T291" s="80" t="n">
        <f aca="false">IF(AND($V291=1,ISNUMBER($M291)),$M291,0)</f>
        <v>0</v>
      </c>
      <c r="U291" s="80" t="str">
        <f aca="false">IF($V291=1,IF(COUNTIFS($S$7:$S291,$S291,$V$7:$V291,1)=1,SUMIFS($T$7:$T$1006,$S$7:$S$1006,$S291)-ROW()/1000000000,""),"")</f>
        <v/>
      </c>
      <c r="V291" s="80" t="n">
        <f aca="false">IF(OR($O291="On hand",$O291="Advance received",$O291="Part realised",$O291="Amount missing"),1,0)</f>
        <v>0</v>
      </c>
      <c r="W291" s="80" t="str">
        <f aca="false">IF(AND($V291=1,N($F291)&gt;0),ROW(),"")</f>
        <v/>
      </c>
      <c r="X291" s="80" t="n">
        <f aca="false">IF(AND(OR($A291&lt;&gt;"",$E291&lt;&gt;""),$O291&lt;&gt;"Cancelled",ISNUMBER($E291),N($F291)+N($H291)&gt;$E291+0.005),1,0)</f>
        <v>0</v>
      </c>
      <c r="Y291" s="80" t="n">
        <f aca="false">IF(AND(OR($A291&lt;&gt;"",$E291&lt;&gt;""),OR($A291="",$E291="")),1,0)</f>
        <v>0</v>
      </c>
      <c r="Z291" s="80" t="n">
        <f aca="false">IF(AND($A291&lt;&gt;"",COUNTIF($A$7:$A$1006,$A291)&gt;1),1,0)</f>
        <v>0</v>
      </c>
    </row>
    <row r="292" customFormat="false" ht="15" hidden="false" customHeight="false" outlineLevel="0" collapsed="false">
      <c r="A292" s="71"/>
      <c r="B292" s="72"/>
      <c r="C292" s="73"/>
      <c r="D292" s="73"/>
      <c r="E292" s="74"/>
      <c r="F292" s="74"/>
      <c r="G292" s="72"/>
      <c r="H292" s="74"/>
      <c r="I292" s="72"/>
      <c r="J292" s="73"/>
      <c r="K292" s="73"/>
      <c r="L292" s="75" t="str">
        <f aca="false">IF(OR($A292&lt;&gt;"",$E292&lt;&gt;""),N($F292)+N($H292),"")</f>
        <v/>
      </c>
      <c r="M292" s="76" t="str">
        <f aca="false">IF(OR($O292="",$O292="Cancelled",$O292="Amount missing"),"",IF($O292="Realised",0,$E292-N($F292)-N($H292)))</f>
        <v/>
      </c>
      <c r="N292" s="77" t="str">
        <f aca="false">IF(OR($M292="",FX=""),"",$M292*FX)</f>
        <v/>
      </c>
      <c r="O292" s="78" t="str">
        <f aca="false">IF(NOT(OR($A292&lt;&gt;"",$E292&lt;&gt;"")),"",IF($J292="Cancelled","Cancelled",IF($E292="","Amount missing",IF(OR($J292="Settled",$E292-N($F292)-N($H292)&lt;=0.005),"Realised",IF(N($H292)&gt;0,"Part realised",IF(N($F292)&gt;0,"Advance received","On hand"))))))</f>
        <v/>
      </c>
      <c r="P292" s="79" t="str">
        <f aca="false">IF(AND($V292=1,ISNUMBER($B292)),AsAt-$B292,"")</f>
        <v/>
      </c>
      <c r="Q292" s="78" t="str">
        <f aca="false">IF($V292&lt;&gt;1,"",IF($P292="","No invoice date",IF($P292&lt;=30,"0–30 days",IF($P292&lt;=60,"31–60 days",IF($P292&lt;=90,"61–90 days","Over 90 days")))))</f>
        <v/>
      </c>
      <c r="R292" s="80" t="str">
        <f aca="false">IF($V292=1,ROW(),"")</f>
        <v/>
      </c>
      <c r="S292" s="80" t="str">
        <f aca="false">IF(OR($A292&lt;&gt;"",$E292&lt;&gt;""),IF(TRIM($D292)="","Buyer not noted",TRIM($D292)),"")</f>
        <v/>
      </c>
      <c r="T292" s="80" t="n">
        <f aca="false">IF(AND($V292=1,ISNUMBER($M292)),$M292,0)</f>
        <v>0</v>
      </c>
      <c r="U292" s="80" t="str">
        <f aca="false">IF($V292=1,IF(COUNTIFS($S$7:$S292,$S292,$V$7:$V292,1)=1,SUMIFS($T$7:$T$1006,$S$7:$S$1006,$S292)-ROW()/1000000000,""),"")</f>
        <v/>
      </c>
      <c r="V292" s="80" t="n">
        <f aca="false">IF(OR($O292="On hand",$O292="Advance received",$O292="Part realised",$O292="Amount missing"),1,0)</f>
        <v>0</v>
      </c>
      <c r="W292" s="80" t="str">
        <f aca="false">IF(AND($V292=1,N($F292)&gt;0),ROW(),"")</f>
        <v/>
      </c>
      <c r="X292" s="80" t="n">
        <f aca="false">IF(AND(OR($A292&lt;&gt;"",$E292&lt;&gt;""),$O292&lt;&gt;"Cancelled",ISNUMBER($E292),N($F292)+N($H292)&gt;$E292+0.005),1,0)</f>
        <v>0</v>
      </c>
      <c r="Y292" s="80" t="n">
        <f aca="false">IF(AND(OR($A292&lt;&gt;"",$E292&lt;&gt;""),OR($A292="",$E292="")),1,0)</f>
        <v>0</v>
      </c>
      <c r="Z292" s="80" t="n">
        <f aca="false">IF(AND($A292&lt;&gt;"",COUNTIF($A$7:$A$1006,$A292)&gt;1),1,0)</f>
        <v>0</v>
      </c>
    </row>
    <row r="293" customFormat="false" ht="15" hidden="false" customHeight="false" outlineLevel="0" collapsed="false">
      <c r="A293" s="71"/>
      <c r="B293" s="72"/>
      <c r="C293" s="73"/>
      <c r="D293" s="73"/>
      <c r="E293" s="74"/>
      <c r="F293" s="74"/>
      <c r="G293" s="72"/>
      <c r="H293" s="74"/>
      <c r="I293" s="72"/>
      <c r="J293" s="73"/>
      <c r="K293" s="73"/>
      <c r="L293" s="75" t="str">
        <f aca="false">IF(OR($A293&lt;&gt;"",$E293&lt;&gt;""),N($F293)+N($H293),"")</f>
        <v/>
      </c>
      <c r="M293" s="76" t="str">
        <f aca="false">IF(OR($O293="",$O293="Cancelled",$O293="Amount missing"),"",IF($O293="Realised",0,$E293-N($F293)-N($H293)))</f>
        <v/>
      </c>
      <c r="N293" s="77" t="str">
        <f aca="false">IF(OR($M293="",FX=""),"",$M293*FX)</f>
        <v/>
      </c>
      <c r="O293" s="78" t="str">
        <f aca="false">IF(NOT(OR($A293&lt;&gt;"",$E293&lt;&gt;"")),"",IF($J293="Cancelled","Cancelled",IF($E293="","Amount missing",IF(OR($J293="Settled",$E293-N($F293)-N($H293)&lt;=0.005),"Realised",IF(N($H293)&gt;0,"Part realised",IF(N($F293)&gt;0,"Advance received","On hand"))))))</f>
        <v/>
      </c>
      <c r="P293" s="79" t="str">
        <f aca="false">IF(AND($V293=1,ISNUMBER($B293)),AsAt-$B293,"")</f>
        <v/>
      </c>
      <c r="Q293" s="78" t="str">
        <f aca="false">IF($V293&lt;&gt;1,"",IF($P293="","No invoice date",IF($P293&lt;=30,"0–30 days",IF($P293&lt;=60,"31–60 days",IF($P293&lt;=90,"61–90 days","Over 90 days")))))</f>
        <v/>
      </c>
      <c r="R293" s="80" t="str">
        <f aca="false">IF($V293=1,ROW(),"")</f>
        <v/>
      </c>
      <c r="S293" s="80" t="str">
        <f aca="false">IF(OR($A293&lt;&gt;"",$E293&lt;&gt;""),IF(TRIM($D293)="","Buyer not noted",TRIM($D293)),"")</f>
        <v/>
      </c>
      <c r="T293" s="80" t="n">
        <f aca="false">IF(AND($V293=1,ISNUMBER($M293)),$M293,0)</f>
        <v>0</v>
      </c>
      <c r="U293" s="80" t="str">
        <f aca="false">IF($V293=1,IF(COUNTIFS($S$7:$S293,$S293,$V$7:$V293,1)=1,SUMIFS($T$7:$T$1006,$S$7:$S$1006,$S293)-ROW()/1000000000,""),"")</f>
        <v/>
      </c>
      <c r="V293" s="80" t="n">
        <f aca="false">IF(OR($O293="On hand",$O293="Advance received",$O293="Part realised",$O293="Amount missing"),1,0)</f>
        <v>0</v>
      </c>
      <c r="W293" s="80" t="str">
        <f aca="false">IF(AND($V293=1,N($F293)&gt;0),ROW(),"")</f>
        <v/>
      </c>
      <c r="X293" s="80" t="n">
        <f aca="false">IF(AND(OR($A293&lt;&gt;"",$E293&lt;&gt;""),$O293&lt;&gt;"Cancelled",ISNUMBER($E293),N($F293)+N($H293)&gt;$E293+0.005),1,0)</f>
        <v>0</v>
      </c>
      <c r="Y293" s="80" t="n">
        <f aca="false">IF(AND(OR($A293&lt;&gt;"",$E293&lt;&gt;""),OR($A293="",$E293="")),1,0)</f>
        <v>0</v>
      </c>
      <c r="Z293" s="80" t="n">
        <f aca="false">IF(AND($A293&lt;&gt;"",COUNTIF($A$7:$A$1006,$A293)&gt;1),1,0)</f>
        <v>0</v>
      </c>
    </row>
    <row r="294" customFormat="false" ht="15" hidden="false" customHeight="false" outlineLevel="0" collapsed="false">
      <c r="A294" s="71"/>
      <c r="B294" s="72"/>
      <c r="C294" s="73"/>
      <c r="D294" s="73"/>
      <c r="E294" s="74"/>
      <c r="F294" s="74"/>
      <c r="G294" s="72"/>
      <c r="H294" s="74"/>
      <c r="I294" s="72"/>
      <c r="J294" s="73"/>
      <c r="K294" s="73"/>
      <c r="L294" s="75" t="str">
        <f aca="false">IF(OR($A294&lt;&gt;"",$E294&lt;&gt;""),N($F294)+N($H294),"")</f>
        <v/>
      </c>
      <c r="M294" s="76" t="str">
        <f aca="false">IF(OR($O294="",$O294="Cancelled",$O294="Amount missing"),"",IF($O294="Realised",0,$E294-N($F294)-N($H294)))</f>
        <v/>
      </c>
      <c r="N294" s="77" t="str">
        <f aca="false">IF(OR($M294="",FX=""),"",$M294*FX)</f>
        <v/>
      </c>
      <c r="O294" s="78" t="str">
        <f aca="false">IF(NOT(OR($A294&lt;&gt;"",$E294&lt;&gt;"")),"",IF($J294="Cancelled","Cancelled",IF($E294="","Amount missing",IF(OR($J294="Settled",$E294-N($F294)-N($H294)&lt;=0.005),"Realised",IF(N($H294)&gt;0,"Part realised",IF(N($F294)&gt;0,"Advance received","On hand"))))))</f>
        <v/>
      </c>
      <c r="P294" s="79" t="str">
        <f aca="false">IF(AND($V294=1,ISNUMBER($B294)),AsAt-$B294,"")</f>
        <v/>
      </c>
      <c r="Q294" s="78" t="str">
        <f aca="false">IF($V294&lt;&gt;1,"",IF($P294="","No invoice date",IF($P294&lt;=30,"0–30 days",IF($P294&lt;=60,"31–60 days",IF($P294&lt;=90,"61–90 days","Over 90 days")))))</f>
        <v/>
      </c>
      <c r="R294" s="80" t="str">
        <f aca="false">IF($V294=1,ROW(),"")</f>
        <v/>
      </c>
      <c r="S294" s="80" t="str">
        <f aca="false">IF(OR($A294&lt;&gt;"",$E294&lt;&gt;""),IF(TRIM($D294)="","Buyer not noted",TRIM($D294)),"")</f>
        <v/>
      </c>
      <c r="T294" s="80" t="n">
        <f aca="false">IF(AND($V294=1,ISNUMBER($M294)),$M294,0)</f>
        <v>0</v>
      </c>
      <c r="U294" s="80" t="str">
        <f aca="false">IF($V294=1,IF(COUNTIFS($S$7:$S294,$S294,$V$7:$V294,1)=1,SUMIFS($T$7:$T$1006,$S$7:$S$1006,$S294)-ROW()/1000000000,""),"")</f>
        <v/>
      </c>
      <c r="V294" s="80" t="n">
        <f aca="false">IF(OR($O294="On hand",$O294="Advance received",$O294="Part realised",$O294="Amount missing"),1,0)</f>
        <v>0</v>
      </c>
      <c r="W294" s="80" t="str">
        <f aca="false">IF(AND($V294=1,N($F294)&gt;0),ROW(),"")</f>
        <v/>
      </c>
      <c r="X294" s="80" t="n">
        <f aca="false">IF(AND(OR($A294&lt;&gt;"",$E294&lt;&gt;""),$O294&lt;&gt;"Cancelled",ISNUMBER($E294),N($F294)+N($H294)&gt;$E294+0.005),1,0)</f>
        <v>0</v>
      </c>
      <c r="Y294" s="80" t="n">
        <f aca="false">IF(AND(OR($A294&lt;&gt;"",$E294&lt;&gt;""),OR($A294="",$E294="")),1,0)</f>
        <v>0</v>
      </c>
      <c r="Z294" s="80" t="n">
        <f aca="false">IF(AND($A294&lt;&gt;"",COUNTIF($A$7:$A$1006,$A294)&gt;1),1,0)</f>
        <v>0</v>
      </c>
    </row>
    <row r="295" customFormat="false" ht="15" hidden="false" customHeight="false" outlineLevel="0" collapsed="false">
      <c r="A295" s="71"/>
      <c r="B295" s="72"/>
      <c r="C295" s="73"/>
      <c r="D295" s="73"/>
      <c r="E295" s="74"/>
      <c r="F295" s="74"/>
      <c r="G295" s="72"/>
      <c r="H295" s="74"/>
      <c r="I295" s="72"/>
      <c r="J295" s="73"/>
      <c r="K295" s="73"/>
      <c r="L295" s="75" t="str">
        <f aca="false">IF(OR($A295&lt;&gt;"",$E295&lt;&gt;""),N($F295)+N($H295),"")</f>
        <v/>
      </c>
      <c r="M295" s="76" t="str">
        <f aca="false">IF(OR($O295="",$O295="Cancelled",$O295="Amount missing"),"",IF($O295="Realised",0,$E295-N($F295)-N($H295)))</f>
        <v/>
      </c>
      <c r="N295" s="77" t="str">
        <f aca="false">IF(OR($M295="",FX=""),"",$M295*FX)</f>
        <v/>
      </c>
      <c r="O295" s="78" t="str">
        <f aca="false">IF(NOT(OR($A295&lt;&gt;"",$E295&lt;&gt;"")),"",IF($J295="Cancelled","Cancelled",IF($E295="","Amount missing",IF(OR($J295="Settled",$E295-N($F295)-N($H295)&lt;=0.005),"Realised",IF(N($H295)&gt;0,"Part realised",IF(N($F295)&gt;0,"Advance received","On hand"))))))</f>
        <v/>
      </c>
      <c r="P295" s="79" t="str">
        <f aca="false">IF(AND($V295=1,ISNUMBER($B295)),AsAt-$B295,"")</f>
        <v/>
      </c>
      <c r="Q295" s="78" t="str">
        <f aca="false">IF($V295&lt;&gt;1,"",IF($P295="","No invoice date",IF($P295&lt;=30,"0–30 days",IF($P295&lt;=60,"31–60 days",IF($P295&lt;=90,"61–90 days","Over 90 days")))))</f>
        <v/>
      </c>
      <c r="R295" s="80" t="str">
        <f aca="false">IF($V295=1,ROW(),"")</f>
        <v/>
      </c>
      <c r="S295" s="80" t="str">
        <f aca="false">IF(OR($A295&lt;&gt;"",$E295&lt;&gt;""),IF(TRIM($D295)="","Buyer not noted",TRIM($D295)),"")</f>
        <v/>
      </c>
      <c r="T295" s="80" t="n">
        <f aca="false">IF(AND($V295=1,ISNUMBER($M295)),$M295,0)</f>
        <v>0</v>
      </c>
      <c r="U295" s="80" t="str">
        <f aca="false">IF($V295=1,IF(COUNTIFS($S$7:$S295,$S295,$V$7:$V295,1)=1,SUMIFS($T$7:$T$1006,$S$7:$S$1006,$S295)-ROW()/1000000000,""),"")</f>
        <v/>
      </c>
      <c r="V295" s="80" t="n">
        <f aca="false">IF(OR($O295="On hand",$O295="Advance received",$O295="Part realised",$O295="Amount missing"),1,0)</f>
        <v>0</v>
      </c>
      <c r="W295" s="80" t="str">
        <f aca="false">IF(AND($V295=1,N($F295)&gt;0),ROW(),"")</f>
        <v/>
      </c>
      <c r="X295" s="80" t="n">
        <f aca="false">IF(AND(OR($A295&lt;&gt;"",$E295&lt;&gt;""),$O295&lt;&gt;"Cancelled",ISNUMBER($E295),N($F295)+N($H295)&gt;$E295+0.005),1,0)</f>
        <v>0</v>
      </c>
      <c r="Y295" s="80" t="n">
        <f aca="false">IF(AND(OR($A295&lt;&gt;"",$E295&lt;&gt;""),OR($A295="",$E295="")),1,0)</f>
        <v>0</v>
      </c>
      <c r="Z295" s="80" t="n">
        <f aca="false">IF(AND($A295&lt;&gt;"",COUNTIF($A$7:$A$1006,$A295)&gt;1),1,0)</f>
        <v>0</v>
      </c>
    </row>
    <row r="296" customFormat="false" ht="15" hidden="false" customHeight="false" outlineLevel="0" collapsed="false">
      <c r="A296" s="71"/>
      <c r="B296" s="72"/>
      <c r="C296" s="73"/>
      <c r="D296" s="73"/>
      <c r="E296" s="74"/>
      <c r="F296" s="74"/>
      <c r="G296" s="72"/>
      <c r="H296" s="74"/>
      <c r="I296" s="72"/>
      <c r="J296" s="73"/>
      <c r="K296" s="73"/>
      <c r="L296" s="75" t="str">
        <f aca="false">IF(OR($A296&lt;&gt;"",$E296&lt;&gt;""),N($F296)+N($H296),"")</f>
        <v/>
      </c>
      <c r="M296" s="76" t="str">
        <f aca="false">IF(OR($O296="",$O296="Cancelled",$O296="Amount missing"),"",IF($O296="Realised",0,$E296-N($F296)-N($H296)))</f>
        <v/>
      </c>
      <c r="N296" s="77" t="str">
        <f aca="false">IF(OR($M296="",FX=""),"",$M296*FX)</f>
        <v/>
      </c>
      <c r="O296" s="78" t="str">
        <f aca="false">IF(NOT(OR($A296&lt;&gt;"",$E296&lt;&gt;"")),"",IF($J296="Cancelled","Cancelled",IF($E296="","Amount missing",IF(OR($J296="Settled",$E296-N($F296)-N($H296)&lt;=0.005),"Realised",IF(N($H296)&gt;0,"Part realised",IF(N($F296)&gt;0,"Advance received","On hand"))))))</f>
        <v/>
      </c>
      <c r="P296" s="79" t="str">
        <f aca="false">IF(AND($V296=1,ISNUMBER($B296)),AsAt-$B296,"")</f>
        <v/>
      </c>
      <c r="Q296" s="78" t="str">
        <f aca="false">IF($V296&lt;&gt;1,"",IF($P296="","No invoice date",IF($P296&lt;=30,"0–30 days",IF($P296&lt;=60,"31–60 days",IF($P296&lt;=90,"61–90 days","Over 90 days")))))</f>
        <v/>
      </c>
      <c r="R296" s="80" t="str">
        <f aca="false">IF($V296=1,ROW(),"")</f>
        <v/>
      </c>
      <c r="S296" s="80" t="str">
        <f aca="false">IF(OR($A296&lt;&gt;"",$E296&lt;&gt;""),IF(TRIM($D296)="","Buyer not noted",TRIM($D296)),"")</f>
        <v/>
      </c>
      <c r="T296" s="80" t="n">
        <f aca="false">IF(AND($V296=1,ISNUMBER($M296)),$M296,0)</f>
        <v>0</v>
      </c>
      <c r="U296" s="80" t="str">
        <f aca="false">IF($V296=1,IF(COUNTIFS($S$7:$S296,$S296,$V$7:$V296,1)=1,SUMIFS($T$7:$T$1006,$S$7:$S$1006,$S296)-ROW()/1000000000,""),"")</f>
        <v/>
      </c>
      <c r="V296" s="80" t="n">
        <f aca="false">IF(OR($O296="On hand",$O296="Advance received",$O296="Part realised",$O296="Amount missing"),1,0)</f>
        <v>0</v>
      </c>
      <c r="W296" s="80" t="str">
        <f aca="false">IF(AND($V296=1,N($F296)&gt;0),ROW(),"")</f>
        <v/>
      </c>
      <c r="X296" s="80" t="n">
        <f aca="false">IF(AND(OR($A296&lt;&gt;"",$E296&lt;&gt;""),$O296&lt;&gt;"Cancelled",ISNUMBER($E296),N($F296)+N($H296)&gt;$E296+0.005),1,0)</f>
        <v>0</v>
      </c>
      <c r="Y296" s="80" t="n">
        <f aca="false">IF(AND(OR($A296&lt;&gt;"",$E296&lt;&gt;""),OR($A296="",$E296="")),1,0)</f>
        <v>0</v>
      </c>
      <c r="Z296" s="80" t="n">
        <f aca="false">IF(AND($A296&lt;&gt;"",COUNTIF($A$7:$A$1006,$A296)&gt;1),1,0)</f>
        <v>0</v>
      </c>
    </row>
    <row r="297" customFormat="false" ht="15" hidden="false" customHeight="false" outlineLevel="0" collapsed="false">
      <c r="A297" s="71"/>
      <c r="B297" s="72"/>
      <c r="C297" s="73"/>
      <c r="D297" s="73"/>
      <c r="E297" s="74"/>
      <c r="F297" s="74"/>
      <c r="G297" s="72"/>
      <c r="H297" s="74"/>
      <c r="I297" s="72"/>
      <c r="J297" s="73"/>
      <c r="K297" s="73"/>
      <c r="L297" s="75" t="str">
        <f aca="false">IF(OR($A297&lt;&gt;"",$E297&lt;&gt;""),N($F297)+N($H297),"")</f>
        <v/>
      </c>
      <c r="M297" s="76" t="str">
        <f aca="false">IF(OR($O297="",$O297="Cancelled",$O297="Amount missing"),"",IF($O297="Realised",0,$E297-N($F297)-N($H297)))</f>
        <v/>
      </c>
      <c r="N297" s="77" t="str">
        <f aca="false">IF(OR($M297="",FX=""),"",$M297*FX)</f>
        <v/>
      </c>
      <c r="O297" s="78" t="str">
        <f aca="false">IF(NOT(OR($A297&lt;&gt;"",$E297&lt;&gt;"")),"",IF($J297="Cancelled","Cancelled",IF($E297="","Amount missing",IF(OR($J297="Settled",$E297-N($F297)-N($H297)&lt;=0.005),"Realised",IF(N($H297)&gt;0,"Part realised",IF(N($F297)&gt;0,"Advance received","On hand"))))))</f>
        <v/>
      </c>
      <c r="P297" s="79" t="str">
        <f aca="false">IF(AND($V297=1,ISNUMBER($B297)),AsAt-$B297,"")</f>
        <v/>
      </c>
      <c r="Q297" s="78" t="str">
        <f aca="false">IF($V297&lt;&gt;1,"",IF($P297="","No invoice date",IF($P297&lt;=30,"0–30 days",IF($P297&lt;=60,"31–60 days",IF($P297&lt;=90,"61–90 days","Over 90 days")))))</f>
        <v/>
      </c>
      <c r="R297" s="80" t="str">
        <f aca="false">IF($V297=1,ROW(),"")</f>
        <v/>
      </c>
      <c r="S297" s="80" t="str">
        <f aca="false">IF(OR($A297&lt;&gt;"",$E297&lt;&gt;""),IF(TRIM($D297)="","Buyer not noted",TRIM($D297)),"")</f>
        <v/>
      </c>
      <c r="T297" s="80" t="n">
        <f aca="false">IF(AND($V297=1,ISNUMBER($M297)),$M297,0)</f>
        <v>0</v>
      </c>
      <c r="U297" s="80" t="str">
        <f aca="false">IF($V297=1,IF(COUNTIFS($S$7:$S297,$S297,$V$7:$V297,1)=1,SUMIFS($T$7:$T$1006,$S$7:$S$1006,$S297)-ROW()/1000000000,""),"")</f>
        <v/>
      </c>
      <c r="V297" s="80" t="n">
        <f aca="false">IF(OR($O297="On hand",$O297="Advance received",$O297="Part realised",$O297="Amount missing"),1,0)</f>
        <v>0</v>
      </c>
      <c r="W297" s="80" t="str">
        <f aca="false">IF(AND($V297=1,N($F297)&gt;0),ROW(),"")</f>
        <v/>
      </c>
      <c r="X297" s="80" t="n">
        <f aca="false">IF(AND(OR($A297&lt;&gt;"",$E297&lt;&gt;""),$O297&lt;&gt;"Cancelled",ISNUMBER($E297),N($F297)+N($H297)&gt;$E297+0.005),1,0)</f>
        <v>0</v>
      </c>
      <c r="Y297" s="80" t="n">
        <f aca="false">IF(AND(OR($A297&lt;&gt;"",$E297&lt;&gt;""),OR($A297="",$E297="")),1,0)</f>
        <v>0</v>
      </c>
      <c r="Z297" s="80" t="n">
        <f aca="false">IF(AND($A297&lt;&gt;"",COUNTIF($A$7:$A$1006,$A297)&gt;1),1,0)</f>
        <v>0</v>
      </c>
    </row>
    <row r="298" customFormat="false" ht="15" hidden="false" customHeight="false" outlineLevel="0" collapsed="false">
      <c r="A298" s="71"/>
      <c r="B298" s="72"/>
      <c r="C298" s="73"/>
      <c r="D298" s="73"/>
      <c r="E298" s="74"/>
      <c r="F298" s="74"/>
      <c r="G298" s="72"/>
      <c r="H298" s="74"/>
      <c r="I298" s="72"/>
      <c r="J298" s="73"/>
      <c r="K298" s="73"/>
      <c r="L298" s="75" t="str">
        <f aca="false">IF(OR($A298&lt;&gt;"",$E298&lt;&gt;""),N($F298)+N($H298),"")</f>
        <v/>
      </c>
      <c r="M298" s="76" t="str">
        <f aca="false">IF(OR($O298="",$O298="Cancelled",$O298="Amount missing"),"",IF($O298="Realised",0,$E298-N($F298)-N($H298)))</f>
        <v/>
      </c>
      <c r="N298" s="77" t="str">
        <f aca="false">IF(OR($M298="",FX=""),"",$M298*FX)</f>
        <v/>
      </c>
      <c r="O298" s="78" t="str">
        <f aca="false">IF(NOT(OR($A298&lt;&gt;"",$E298&lt;&gt;"")),"",IF($J298="Cancelled","Cancelled",IF($E298="","Amount missing",IF(OR($J298="Settled",$E298-N($F298)-N($H298)&lt;=0.005),"Realised",IF(N($H298)&gt;0,"Part realised",IF(N($F298)&gt;0,"Advance received","On hand"))))))</f>
        <v/>
      </c>
      <c r="P298" s="79" t="str">
        <f aca="false">IF(AND($V298=1,ISNUMBER($B298)),AsAt-$B298,"")</f>
        <v/>
      </c>
      <c r="Q298" s="78" t="str">
        <f aca="false">IF($V298&lt;&gt;1,"",IF($P298="","No invoice date",IF($P298&lt;=30,"0–30 days",IF($P298&lt;=60,"31–60 days",IF($P298&lt;=90,"61–90 days","Over 90 days")))))</f>
        <v/>
      </c>
      <c r="R298" s="80" t="str">
        <f aca="false">IF($V298=1,ROW(),"")</f>
        <v/>
      </c>
      <c r="S298" s="80" t="str">
        <f aca="false">IF(OR($A298&lt;&gt;"",$E298&lt;&gt;""),IF(TRIM($D298)="","Buyer not noted",TRIM($D298)),"")</f>
        <v/>
      </c>
      <c r="T298" s="80" t="n">
        <f aca="false">IF(AND($V298=1,ISNUMBER($M298)),$M298,0)</f>
        <v>0</v>
      </c>
      <c r="U298" s="80" t="str">
        <f aca="false">IF($V298=1,IF(COUNTIFS($S$7:$S298,$S298,$V$7:$V298,1)=1,SUMIFS($T$7:$T$1006,$S$7:$S$1006,$S298)-ROW()/1000000000,""),"")</f>
        <v/>
      </c>
      <c r="V298" s="80" t="n">
        <f aca="false">IF(OR($O298="On hand",$O298="Advance received",$O298="Part realised",$O298="Amount missing"),1,0)</f>
        <v>0</v>
      </c>
      <c r="W298" s="80" t="str">
        <f aca="false">IF(AND($V298=1,N($F298)&gt;0),ROW(),"")</f>
        <v/>
      </c>
      <c r="X298" s="80" t="n">
        <f aca="false">IF(AND(OR($A298&lt;&gt;"",$E298&lt;&gt;""),$O298&lt;&gt;"Cancelled",ISNUMBER($E298),N($F298)+N($H298)&gt;$E298+0.005),1,0)</f>
        <v>0</v>
      </c>
      <c r="Y298" s="80" t="n">
        <f aca="false">IF(AND(OR($A298&lt;&gt;"",$E298&lt;&gt;""),OR($A298="",$E298="")),1,0)</f>
        <v>0</v>
      </c>
      <c r="Z298" s="80" t="n">
        <f aca="false">IF(AND($A298&lt;&gt;"",COUNTIF($A$7:$A$1006,$A298)&gt;1),1,0)</f>
        <v>0</v>
      </c>
    </row>
    <row r="299" customFormat="false" ht="15" hidden="false" customHeight="false" outlineLevel="0" collapsed="false">
      <c r="A299" s="71"/>
      <c r="B299" s="72"/>
      <c r="C299" s="73"/>
      <c r="D299" s="73"/>
      <c r="E299" s="74"/>
      <c r="F299" s="74"/>
      <c r="G299" s="72"/>
      <c r="H299" s="74"/>
      <c r="I299" s="72"/>
      <c r="J299" s="73"/>
      <c r="K299" s="73"/>
      <c r="L299" s="75" t="str">
        <f aca="false">IF(OR($A299&lt;&gt;"",$E299&lt;&gt;""),N($F299)+N($H299),"")</f>
        <v/>
      </c>
      <c r="M299" s="76" t="str">
        <f aca="false">IF(OR($O299="",$O299="Cancelled",$O299="Amount missing"),"",IF($O299="Realised",0,$E299-N($F299)-N($H299)))</f>
        <v/>
      </c>
      <c r="N299" s="77" t="str">
        <f aca="false">IF(OR($M299="",FX=""),"",$M299*FX)</f>
        <v/>
      </c>
      <c r="O299" s="78" t="str">
        <f aca="false">IF(NOT(OR($A299&lt;&gt;"",$E299&lt;&gt;"")),"",IF($J299="Cancelled","Cancelled",IF($E299="","Amount missing",IF(OR($J299="Settled",$E299-N($F299)-N($H299)&lt;=0.005),"Realised",IF(N($H299)&gt;0,"Part realised",IF(N($F299)&gt;0,"Advance received","On hand"))))))</f>
        <v/>
      </c>
      <c r="P299" s="79" t="str">
        <f aca="false">IF(AND($V299=1,ISNUMBER($B299)),AsAt-$B299,"")</f>
        <v/>
      </c>
      <c r="Q299" s="78" t="str">
        <f aca="false">IF($V299&lt;&gt;1,"",IF($P299="","No invoice date",IF($P299&lt;=30,"0–30 days",IF($P299&lt;=60,"31–60 days",IF($P299&lt;=90,"61–90 days","Over 90 days")))))</f>
        <v/>
      </c>
      <c r="R299" s="80" t="str">
        <f aca="false">IF($V299=1,ROW(),"")</f>
        <v/>
      </c>
      <c r="S299" s="80" t="str">
        <f aca="false">IF(OR($A299&lt;&gt;"",$E299&lt;&gt;""),IF(TRIM($D299)="","Buyer not noted",TRIM($D299)),"")</f>
        <v/>
      </c>
      <c r="T299" s="80" t="n">
        <f aca="false">IF(AND($V299=1,ISNUMBER($M299)),$M299,0)</f>
        <v>0</v>
      </c>
      <c r="U299" s="80" t="str">
        <f aca="false">IF($V299=1,IF(COUNTIFS($S$7:$S299,$S299,$V$7:$V299,1)=1,SUMIFS($T$7:$T$1006,$S$7:$S$1006,$S299)-ROW()/1000000000,""),"")</f>
        <v/>
      </c>
      <c r="V299" s="80" t="n">
        <f aca="false">IF(OR($O299="On hand",$O299="Advance received",$O299="Part realised",$O299="Amount missing"),1,0)</f>
        <v>0</v>
      </c>
      <c r="W299" s="80" t="str">
        <f aca="false">IF(AND($V299=1,N($F299)&gt;0),ROW(),"")</f>
        <v/>
      </c>
      <c r="X299" s="80" t="n">
        <f aca="false">IF(AND(OR($A299&lt;&gt;"",$E299&lt;&gt;""),$O299&lt;&gt;"Cancelled",ISNUMBER($E299),N($F299)+N($H299)&gt;$E299+0.005),1,0)</f>
        <v>0</v>
      </c>
      <c r="Y299" s="80" t="n">
        <f aca="false">IF(AND(OR($A299&lt;&gt;"",$E299&lt;&gt;""),OR($A299="",$E299="")),1,0)</f>
        <v>0</v>
      </c>
      <c r="Z299" s="80" t="n">
        <f aca="false">IF(AND($A299&lt;&gt;"",COUNTIF($A$7:$A$1006,$A299)&gt;1),1,0)</f>
        <v>0</v>
      </c>
    </row>
    <row r="300" customFormat="false" ht="15" hidden="false" customHeight="false" outlineLevel="0" collapsed="false">
      <c r="A300" s="71"/>
      <c r="B300" s="72"/>
      <c r="C300" s="73"/>
      <c r="D300" s="73"/>
      <c r="E300" s="74"/>
      <c r="F300" s="74"/>
      <c r="G300" s="72"/>
      <c r="H300" s="74"/>
      <c r="I300" s="72"/>
      <c r="J300" s="73"/>
      <c r="K300" s="73"/>
      <c r="L300" s="75" t="str">
        <f aca="false">IF(OR($A300&lt;&gt;"",$E300&lt;&gt;""),N($F300)+N($H300),"")</f>
        <v/>
      </c>
      <c r="M300" s="76" t="str">
        <f aca="false">IF(OR($O300="",$O300="Cancelled",$O300="Amount missing"),"",IF($O300="Realised",0,$E300-N($F300)-N($H300)))</f>
        <v/>
      </c>
      <c r="N300" s="77" t="str">
        <f aca="false">IF(OR($M300="",FX=""),"",$M300*FX)</f>
        <v/>
      </c>
      <c r="O300" s="78" t="str">
        <f aca="false">IF(NOT(OR($A300&lt;&gt;"",$E300&lt;&gt;"")),"",IF($J300="Cancelled","Cancelled",IF($E300="","Amount missing",IF(OR($J300="Settled",$E300-N($F300)-N($H300)&lt;=0.005),"Realised",IF(N($H300)&gt;0,"Part realised",IF(N($F300)&gt;0,"Advance received","On hand"))))))</f>
        <v/>
      </c>
      <c r="P300" s="79" t="str">
        <f aca="false">IF(AND($V300=1,ISNUMBER($B300)),AsAt-$B300,"")</f>
        <v/>
      </c>
      <c r="Q300" s="78" t="str">
        <f aca="false">IF($V300&lt;&gt;1,"",IF($P300="","No invoice date",IF($P300&lt;=30,"0–30 days",IF($P300&lt;=60,"31–60 days",IF($P300&lt;=90,"61–90 days","Over 90 days")))))</f>
        <v/>
      </c>
      <c r="R300" s="80" t="str">
        <f aca="false">IF($V300=1,ROW(),"")</f>
        <v/>
      </c>
      <c r="S300" s="80" t="str">
        <f aca="false">IF(OR($A300&lt;&gt;"",$E300&lt;&gt;""),IF(TRIM($D300)="","Buyer not noted",TRIM($D300)),"")</f>
        <v/>
      </c>
      <c r="T300" s="80" t="n">
        <f aca="false">IF(AND($V300=1,ISNUMBER($M300)),$M300,0)</f>
        <v>0</v>
      </c>
      <c r="U300" s="80" t="str">
        <f aca="false">IF($V300=1,IF(COUNTIFS($S$7:$S300,$S300,$V$7:$V300,1)=1,SUMIFS($T$7:$T$1006,$S$7:$S$1006,$S300)-ROW()/1000000000,""),"")</f>
        <v/>
      </c>
      <c r="V300" s="80" t="n">
        <f aca="false">IF(OR($O300="On hand",$O300="Advance received",$O300="Part realised",$O300="Amount missing"),1,0)</f>
        <v>0</v>
      </c>
      <c r="W300" s="80" t="str">
        <f aca="false">IF(AND($V300=1,N($F300)&gt;0),ROW(),"")</f>
        <v/>
      </c>
      <c r="X300" s="80" t="n">
        <f aca="false">IF(AND(OR($A300&lt;&gt;"",$E300&lt;&gt;""),$O300&lt;&gt;"Cancelled",ISNUMBER($E300),N($F300)+N($H300)&gt;$E300+0.005),1,0)</f>
        <v>0</v>
      </c>
      <c r="Y300" s="80" t="n">
        <f aca="false">IF(AND(OR($A300&lt;&gt;"",$E300&lt;&gt;""),OR($A300="",$E300="")),1,0)</f>
        <v>0</v>
      </c>
      <c r="Z300" s="80" t="n">
        <f aca="false">IF(AND($A300&lt;&gt;"",COUNTIF($A$7:$A$1006,$A300)&gt;1),1,0)</f>
        <v>0</v>
      </c>
    </row>
    <row r="301" customFormat="false" ht="15" hidden="false" customHeight="false" outlineLevel="0" collapsed="false">
      <c r="A301" s="71"/>
      <c r="B301" s="72"/>
      <c r="C301" s="73"/>
      <c r="D301" s="73"/>
      <c r="E301" s="74"/>
      <c r="F301" s="74"/>
      <c r="G301" s="72"/>
      <c r="H301" s="74"/>
      <c r="I301" s="72"/>
      <c r="J301" s="73"/>
      <c r="K301" s="73"/>
      <c r="L301" s="75" t="str">
        <f aca="false">IF(OR($A301&lt;&gt;"",$E301&lt;&gt;""),N($F301)+N($H301),"")</f>
        <v/>
      </c>
      <c r="M301" s="76" t="str">
        <f aca="false">IF(OR($O301="",$O301="Cancelled",$O301="Amount missing"),"",IF($O301="Realised",0,$E301-N($F301)-N($H301)))</f>
        <v/>
      </c>
      <c r="N301" s="77" t="str">
        <f aca="false">IF(OR($M301="",FX=""),"",$M301*FX)</f>
        <v/>
      </c>
      <c r="O301" s="78" t="str">
        <f aca="false">IF(NOT(OR($A301&lt;&gt;"",$E301&lt;&gt;"")),"",IF($J301="Cancelled","Cancelled",IF($E301="","Amount missing",IF(OR($J301="Settled",$E301-N($F301)-N($H301)&lt;=0.005),"Realised",IF(N($H301)&gt;0,"Part realised",IF(N($F301)&gt;0,"Advance received","On hand"))))))</f>
        <v/>
      </c>
      <c r="P301" s="79" t="str">
        <f aca="false">IF(AND($V301=1,ISNUMBER($B301)),AsAt-$B301,"")</f>
        <v/>
      </c>
      <c r="Q301" s="78" t="str">
        <f aca="false">IF($V301&lt;&gt;1,"",IF($P301="","No invoice date",IF($P301&lt;=30,"0–30 days",IF($P301&lt;=60,"31–60 days",IF($P301&lt;=90,"61–90 days","Over 90 days")))))</f>
        <v/>
      </c>
      <c r="R301" s="80" t="str">
        <f aca="false">IF($V301=1,ROW(),"")</f>
        <v/>
      </c>
      <c r="S301" s="80" t="str">
        <f aca="false">IF(OR($A301&lt;&gt;"",$E301&lt;&gt;""),IF(TRIM($D301)="","Buyer not noted",TRIM($D301)),"")</f>
        <v/>
      </c>
      <c r="T301" s="80" t="n">
        <f aca="false">IF(AND($V301=1,ISNUMBER($M301)),$M301,0)</f>
        <v>0</v>
      </c>
      <c r="U301" s="80" t="str">
        <f aca="false">IF($V301=1,IF(COUNTIFS($S$7:$S301,$S301,$V$7:$V301,1)=1,SUMIFS($T$7:$T$1006,$S$7:$S$1006,$S301)-ROW()/1000000000,""),"")</f>
        <v/>
      </c>
      <c r="V301" s="80" t="n">
        <f aca="false">IF(OR($O301="On hand",$O301="Advance received",$O301="Part realised",$O301="Amount missing"),1,0)</f>
        <v>0</v>
      </c>
      <c r="W301" s="80" t="str">
        <f aca="false">IF(AND($V301=1,N($F301)&gt;0),ROW(),"")</f>
        <v/>
      </c>
      <c r="X301" s="80" t="n">
        <f aca="false">IF(AND(OR($A301&lt;&gt;"",$E301&lt;&gt;""),$O301&lt;&gt;"Cancelled",ISNUMBER($E301),N($F301)+N($H301)&gt;$E301+0.005),1,0)</f>
        <v>0</v>
      </c>
      <c r="Y301" s="80" t="n">
        <f aca="false">IF(AND(OR($A301&lt;&gt;"",$E301&lt;&gt;""),OR($A301="",$E301="")),1,0)</f>
        <v>0</v>
      </c>
      <c r="Z301" s="80" t="n">
        <f aca="false">IF(AND($A301&lt;&gt;"",COUNTIF($A$7:$A$1006,$A301)&gt;1),1,0)</f>
        <v>0</v>
      </c>
    </row>
    <row r="302" customFormat="false" ht="15" hidden="false" customHeight="false" outlineLevel="0" collapsed="false">
      <c r="A302" s="71"/>
      <c r="B302" s="72"/>
      <c r="C302" s="73"/>
      <c r="D302" s="73"/>
      <c r="E302" s="74"/>
      <c r="F302" s="74"/>
      <c r="G302" s="72"/>
      <c r="H302" s="74"/>
      <c r="I302" s="72"/>
      <c r="J302" s="73"/>
      <c r="K302" s="73"/>
      <c r="L302" s="75" t="str">
        <f aca="false">IF(OR($A302&lt;&gt;"",$E302&lt;&gt;""),N($F302)+N($H302),"")</f>
        <v/>
      </c>
      <c r="M302" s="76" t="str">
        <f aca="false">IF(OR($O302="",$O302="Cancelled",$O302="Amount missing"),"",IF($O302="Realised",0,$E302-N($F302)-N($H302)))</f>
        <v/>
      </c>
      <c r="N302" s="77" t="str">
        <f aca="false">IF(OR($M302="",FX=""),"",$M302*FX)</f>
        <v/>
      </c>
      <c r="O302" s="78" t="str">
        <f aca="false">IF(NOT(OR($A302&lt;&gt;"",$E302&lt;&gt;"")),"",IF($J302="Cancelled","Cancelled",IF($E302="","Amount missing",IF(OR($J302="Settled",$E302-N($F302)-N($H302)&lt;=0.005),"Realised",IF(N($H302)&gt;0,"Part realised",IF(N($F302)&gt;0,"Advance received","On hand"))))))</f>
        <v/>
      </c>
      <c r="P302" s="79" t="str">
        <f aca="false">IF(AND($V302=1,ISNUMBER($B302)),AsAt-$B302,"")</f>
        <v/>
      </c>
      <c r="Q302" s="78" t="str">
        <f aca="false">IF($V302&lt;&gt;1,"",IF($P302="","No invoice date",IF($P302&lt;=30,"0–30 days",IF($P302&lt;=60,"31–60 days",IF($P302&lt;=90,"61–90 days","Over 90 days")))))</f>
        <v/>
      </c>
      <c r="R302" s="80" t="str">
        <f aca="false">IF($V302=1,ROW(),"")</f>
        <v/>
      </c>
      <c r="S302" s="80" t="str">
        <f aca="false">IF(OR($A302&lt;&gt;"",$E302&lt;&gt;""),IF(TRIM($D302)="","Buyer not noted",TRIM($D302)),"")</f>
        <v/>
      </c>
      <c r="T302" s="80" t="n">
        <f aca="false">IF(AND($V302=1,ISNUMBER($M302)),$M302,0)</f>
        <v>0</v>
      </c>
      <c r="U302" s="80" t="str">
        <f aca="false">IF($V302=1,IF(COUNTIFS($S$7:$S302,$S302,$V$7:$V302,1)=1,SUMIFS($T$7:$T$1006,$S$7:$S$1006,$S302)-ROW()/1000000000,""),"")</f>
        <v/>
      </c>
      <c r="V302" s="80" t="n">
        <f aca="false">IF(OR($O302="On hand",$O302="Advance received",$O302="Part realised",$O302="Amount missing"),1,0)</f>
        <v>0</v>
      </c>
      <c r="W302" s="80" t="str">
        <f aca="false">IF(AND($V302=1,N($F302)&gt;0),ROW(),"")</f>
        <v/>
      </c>
      <c r="X302" s="80" t="n">
        <f aca="false">IF(AND(OR($A302&lt;&gt;"",$E302&lt;&gt;""),$O302&lt;&gt;"Cancelled",ISNUMBER($E302),N($F302)+N($H302)&gt;$E302+0.005),1,0)</f>
        <v>0</v>
      </c>
      <c r="Y302" s="80" t="n">
        <f aca="false">IF(AND(OR($A302&lt;&gt;"",$E302&lt;&gt;""),OR($A302="",$E302="")),1,0)</f>
        <v>0</v>
      </c>
      <c r="Z302" s="80" t="n">
        <f aca="false">IF(AND($A302&lt;&gt;"",COUNTIF($A$7:$A$1006,$A302)&gt;1),1,0)</f>
        <v>0</v>
      </c>
    </row>
    <row r="303" customFormat="false" ht="15" hidden="false" customHeight="false" outlineLevel="0" collapsed="false">
      <c r="A303" s="71"/>
      <c r="B303" s="72"/>
      <c r="C303" s="73"/>
      <c r="D303" s="73"/>
      <c r="E303" s="74"/>
      <c r="F303" s="74"/>
      <c r="G303" s="72"/>
      <c r="H303" s="74"/>
      <c r="I303" s="72"/>
      <c r="J303" s="73"/>
      <c r="K303" s="73"/>
      <c r="L303" s="75" t="str">
        <f aca="false">IF(OR($A303&lt;&gt;"",$E303&lt;&gt;""),N($F303)+N($H303),"")</f>
        <v/>
      </c>
      <c r="M303" s="76" t="str">
        <f aca="false">IF(OR($O303="",$O303="Cancelled",$O303="Amount missing"),"",IF($O303="Realised",0,$E303-N($F303)-N($H303)))</f>
        <v/>
      </c>
      <c r="N303" s="77" t="str">
        <f aca="false">IF(OR($M303="",FX=""),"",$M303*FX)</f>
        <v/>
      </c>
      <c r="O303" s="78" t="str">
        <f aca="false">IF(NOT(OR($A303&lt;&gt;"",$E303&lt;&gt;"")),"",IF($J303="Cancelled","Cancelled",IF($E303="","Amount missing",IF(OR($J303="Settled",$E303-N($F303)-N($H303)&lt;=0.005),"Realised",IF(N($H303)&gt;0,"Part realised",IF(N($F303)&gt;0,"Advance received","On hand"))))))</f>
        <v/>
      </c>
      <c r="P303" s="79" t="str">
        <f aca="false">IF(AND($V303=1,ISNUMBER($B303)),AsAt-$B303,"")</f>
        <v/>
      </c>
      <c r="Q303" s="78" t="str">
        <f aca="false">IF($V303&lt;&gt;1,"",IF($P303="","No invoice date",IF($P303&lt;=30,"0–30 days",IF($P303&lt;=60,"31–60 days",IF($P303&lt;=90,"61–90 days","Over 90 days")))))</f>
        <v/>
      </c>
      <c r="R303" s="80" t="str">
        <f aca="false">IF($V303=1,ROW(),"")</f>
        <v/>
      </c>
      <c r="S303" s="80" t="str">
        <f aca="false">IF(OR($A303&lt;&gt;"",$E303&lt;&gt;""),IF(TRIM($D303)="","Buyer not noted",TRIM($D303)),"")</f>
        <v/>
      </c>
      <c r="T303" s="80" t="n">
        <f aca="false">IF(AND($V303=1,ISNUMBER($M303)),$M303,0)</f>
        <v>0</v>
      </c>
      <c r="U303" s="80" t="str">
        <f aca="false">IF($V303=1,IF(COUNTIFS($S$7:$S303,$S303,$V$7:$V303,1)=1,SUMIFS($T$7:$T$1006,$S$7:$S$1006,$S303)-ROW()/1000000000,""),"")</f>
        <v/>
      </c>
      <c r="V303" s="80" t="n">
        <f aca="false">IF(OR($O303="On hand",$O303="Advance received",$O303="Part realised",$O303="Amount missing"),1,0)</f>
        <v>0</v>
      </c>
      <c r="W303" s="80" t="str">
        <f aca="false">IF(AND($V303=1,N($F303)&gt;0),ROW(),"")</f>
        <v/>
      </c>
      <c r="X303" s="80" t="n">
        <f aca="false">IF(AND(OR($A303&lt;&gt;"",$E303&lt;&gt;""),$O303&lt;&gt;"Cancelled",ISNUMBER($E303),N($F303)+N($H303)&gt;$E303+0.005),1,0)</f>
        <v>0</v>
      </c>
      <c r="Y303" s="80" t="n">
        <f aca="false">IF(AND(OR($A303&lt;&gt;"",$E303&lt;&gt;""),OR($A303="",$E303="")),1,0)</f>
        <v>0</v>
      </c>
      <c r="Z303" s="80" t="n">
        <f aca="false">IF(AND($A303&lt;&gt;"",COUNTIF($A$7:$A$1006,$A303)&gt;1),1,0)</f>
        <v>0</v>
      </c>
    </row>
    <row r="304" customFormat="false" ht="15" hidden="false" customHeight="false" outlineLevel="0" collapsed="false">
      <c r="A304" s="71"/>
      <c r="B304" s="72"/>
      <c r="C304" s="73"/>
      <c r="D304" s="73"/>
      <c r="E304" s="74"/>
      <c r="F304" s="74"/>
      <c r="G304" s="72"/>
      <c r="H304" s="74"/>
      <c r="I304" s="72"/>
      <c r="J304" s="73"/>
      <c r="K304" s="73"/>
      <c r="L304" s="75" t="str">
        <f aca="false">IF(OR($A304&lt;&gt;"",$E304&lt;&gt;""),N($F304)+N($H304),"")</f>
        <v/>
      </c>
      <c r="M304" s="76" t="str">
        <f aca="false">IF(OR($O304="",$O304="Cancelled",$O304="Amount missing"),"",IF($O304="Realised",0,$E304-N($F304)-N($H304)))</f>
        <v/>
      </c>
      <c r="N304" s="77" t="str">
        <f aca="false">IF(OR($M304="",FX=""),"",$M304*FX)</f>
        <v/>
      </c>
      <c r="O304" s="78" t="str">
        <f aca="false">IF(NOT(OR($A304&lt;&gt;"",$E304&lt;&gt;"")),"",IF($J304="Cancelled","Cancelled",IF($E304="","Amount missing",IF(OR($J304="Settled",$E304-N($F304)-N($H304)&lt;=0.005),"Realised",IF(N($H304)&gt;0,"Part realised",IF(N($F304)&gt;0,"Advance received","On hand"))))))</f>
        <v/>
      </c>
      <c r="P304" s="79" t="str">
        <f aca="false">IF(AND($V304=1,ISNUMBER($B304)),AsAt-$B304,"")</f>
        <v/>
      </c>
      <c r="Q304" s="78" t="str">
        <f aca="false">IF($V304&lt;&gt;1,"",IF($P304="","No invoice date",IF($P304&lt;=30,"0–30 days",IF($P304&lt;=60,"31–60 days",IF($P304&lt;=90,"61–90 days","Over 90 days")))))</f>
        <v/>
      </c>
      <c r="R304" s="80" t="str">
        <f aca="false">IF($V304=1,ROW(),"")</f>
        <v/>
      </c>
      <c r="S304" s="80" t="str">
        <f aca="false">IF(OR($A304&lt;&gt;"",$E304&lt;&gt;""),IF(TRIM($D304)="","Buyer not noted",TRIM($D304)),"")</f>
        <v/>
      </c>
      <c r="T304" s="80" t="n">
        <f aca="false">IF(AND($V304=1,ISNUMBER($M304)),$M304,0)</f>
        <v>0</v>
      </c>
      <c r="U304" s="80" t="str">
        <f aca="false">IF($V304=1,IF(COUNTIFS($S$7:$S304,$S304,$V$7:$V304,1)=1,SUMIFS($T$7:$T$1006,$S$7:$S$1006,$S304)-ROW()/1000000000,""),"")</f>
        <v/>
      </c>
      <c r="V304" s="80" t="n">
        <f aca="false">IF(OR($O304="On hand",$O304="Advance received",$O304="Part realised",$O304="Amount missing"),1,0)</f>
        <v>0</v>
      </c>
      <c r="W304" s="80" t="str">
        <f aca="false">IF(AND($V304=1,N($F304)&gt;0),ROW(),"")</f>
        <v/>
      </c>
      <c r="X304" s="80" t="n">
        <f aca="false">IF(AND(OR($A304&lt;&gt;"",$E304&lt;&gt;""),$O304&lt;&gt;"Cancelled",ISNUMBER($E304),N($F304)+N($H304)&gt;$E304+0.005),1,0)</f>
        <v>0</v>
      </c>
      <c r="Y304" s="80" t="n">
        <f aca="false">IF(AND(OR($A304&lt;&gt;"",$E304&lt;&gt;""),OR($A304="",$E304="")),1,0)</f>
        <v>0</v>
      </c>
      <c r="Z304" s="80" t="n">
        <f aca="false">IF(AND($A304&lt;&gt;"",COUNTIF($A$7:$A$1006,$A304)&gt;1),1,0)</f>
        <v>0</v>
      </c>
    </row>
    <row r="305" customFormat="false" ht="15" hidden="false" customHeight="false" outlineLevel="0" collapsed="false">
      <c r="A305" s="71"/>
      <c r="B305" s="72"/>
      <c r="C305" s="73"/>
      <c r="D305" s="73"/>
      <c r="E305" s="74"/>
      <c r="F305" s="74"/>
      <c r="G305" s="72"/>
      <c r="H305" s="74"/>
      <c r="I305" s="72"/>
      <c r="J305" s="73"/>
      <c r="K305" s="73"/>
      <c r="L305" s="75" t="str">
        <f aca="false">IF(OR($A305&lt;&gt;"",$E305&lt;&gt;""),N($F305)+N($H305),"")</f>
        <v/>
      </c>
      <c r="M305" s="76" t="str">
        <f aca="false">IF(OR($O305="",$O305="Cancelled",$O305="Amount missing"),"",IF($O305="Realised",0,$E305-N($F305)-N($H305)))</f>
        <v/>
      </c>
      <c r="N305" s="77" t="str">
        <f aca="false">IF(OR($M305="",FX=""),"",$M305*FX)</f>
        <v/>
      </c>
      <c r="O305" s="78" t="str">
        <f aca="false">IF(NOT(OR($A305&lt;&gt;"",$E305&lt;&gt;"")),"",IF($J305="Cancelled","Cancelled",IF($E305="","Amount missing",IF(OR($J305="Settled",$E305-N($F305)-N($H305)&lt;=0.005),"Realised",IF(N($H305)&gt;0,"Part realised",IF(N($F305)&gt;0,"Advance received","On hand"))))))</f>
        <v/>
      </c>
      <c r="P305" s="79" t="str">
        <f aca="false">IF(AND($V305=1,ISNUMBER($B305)),AsAt-$B305,"")</f>
        <v/>
      </c>
      <c r="Q305" s="78" t="str">
        <f aca="false">IF($V305&lt;&gt;1,"",IF($P305="","No invoice date",IF($P305&lt;=30,"0–30 days",IF($P305&lt;=60,"31–60 days",IF($P305&lt;=90,"61–90 days","Over 90 days")))))</f>
        <v/>
      </c>
      <c r="R305" s="80" t="str">
        <f aca="false">IF($V305=1,ROW(),"")</f>
        <v/>
      </c>
      <c r="S305" s="80" t="str">
        <f aca="false">IF(OR($A305&lt;&gt;"",$E305&lt;&gt;""),IF(TRIM($D305)="","Buyer not noted",TRIM($D305)),"")</f>
        <v/>
      </c>
      <c r="T305" s="80" t="n">
        <f aca="false">IF(AND($V305=1,ISNUMBER($M305)),$M305,0)</f>
        <v>0</v>
      </c>
      <c r="U305" s="80" t="str">
        <f aca="false">IF($V305=1,IF(COUNTIFS($S$7:$S305,$S305,$V$7:$V305,1)=1,SUMIFS($T$7:$T$1006,$S$7:$S$1006,$S305)-ROW()/1000000000,""),"")</f>
        <v/>
      </c>
      <c r="V305" s="80" t="n">
        <f aca="false">IF(OR($O305="On hand",$O305="Advance received",$O305="Part realised",$O305="Amount missing"),1,0)</f>
        <v>0</v>
      </c>
      <c r="W305" s="80" t="str">
        <f aca="false">IF(AND($V305=1,N($F305)&gt;0),ROW(),"")</f>
        <v/>
      </c>
      <c r="X305" s="80" t="n">
        <f aca="false">IF(AND(OR($A305&lt;&gt;"",$E305&lt;&gt;""),$O305&lt;&gt;"Cancelled",ISNUMBER($E305),N($F305)+N($H305)&gt;$E305+0.005),1,0)</f>
        <v>0</v>
      </c>
      <c r="Y305" s="80" t="n">
        <f aca="false">IF(AND(OR($A305&lt;&gt;"",$E305&lt;&gt;""),OR($A305="",$E305="")),1,0)</f>
        <v>0</v>
      </c>
      <c r="Z305" s="80" t="n">
        <f aca="false">IF(AND($A305&lt;&gt;"",COUNTIF($A$7:$A$1006,$A305)&gt;1),1,0)</f>
        <v>0</v>
      </c>
    </row>
    <row r="306" customFormat="false" ht="15" hidden="false" customHeight="false" outlineLevel="0" collapsed="false">
      <c r="A306" s="71"/>
      <c r="B306" s="72"/>
      <c r="C306" s="73"/>
      <c r="D306" s="73"/>
      <c r="E306" s="74"/>
      <c r="F306" s="74"/>
      <c r="G306" s="72"/>
      <c r="H306" s="74"/>
      <c r="I306" s="72"/>
      <c r="J306" s="73"/>
      <c r="K306" s="73"/>
      <c r="L306" s="75" t="str">
        <f aca="false">IF(OR($A306&lt;&gt;"",$E306&lt;&gt;""),N($F306)+N($H306),"")</f>
        <v/>
      </c>
      <c r="M306" s="76" t="str">
        <f aca="false">IF(OR($O306="",$O306="Cancelled",$O306="Amount missing"),"",IF($O306="Realised",0,$E306-N($F306)-N($H306)))</f>
        <v/>
      </c>
      <c r="N306" s="77" t="str">
        <f aca="false">IF(OR($M306="",FX=""),"",$M306*FX)</f>
        <v/>
      </c>
      <c r="O306" s="78" t="str">
        <f aca="false">IF(NOT(OR($A306&lt;&gt;"",$E306&lt;&gt;"")),"",IF($J306="Cancelled","Cancelled",IF($E306="","Amount missing",IF(OR($J306="Settled",$E306-N($F306)-N($H306)&lt;=0.005),"Realised",IF(N($H306)&gt;0,"Part realised",IF(N($F306)&gt;0,"Advance received","On hand"))))))</f>
        <v/>
      </c>
      <c r="P306" s="79" t="str">
        <f aca="false">IF(AND($V306=1,ISNUMBER($B306)),AsAt-$B306,"")</f>
        <v/>
      </c>
      <c r="Q306" s="78" t="str">
        <f aca="false">IF($V306&lt;&gt;1,"",IF($P306="","No invoice date",IF($P306&lt;=30,"0–30 days",IF($P306&lt;=60,"31–60 days",IF($P306&lt;=90,"61–90 days","Over 90 days")))))</f>
        <v/>
      </c>
      <c r="R306" s="80" t="str">
        <f aca="false">IF($V306=1,ROW(),"")</f>
        <v/>
      </c>
      <c r="S306" s="80" t="str">
        <f aca="false">IF(OR($A306&lt;&gt;"",$E306&lt;&gt;""),IF(TRIM($D306)="","Buyer not noted",TRIM($D306)),"")</f>
        <v/>
      </c>
      <c r="T306" s="80" t="n">
        <f aca="false">IF(AND($V306=1,ISNUMBER($M306)),$M306,0)</f>
        <v>0</v>
      </c>
      <c r="U306" s="80" t="str">
        <f aca="false">IF($V306=1,IF(COUNTIFS($S$7:$S306,$S306,$V$7:$V306,1)=1,SUMIFS($T$7:$T$1006,$S$7:$S$1006,$S306)-ROW()/1000000000,""),"")</f>
        <v/>
      </c>
      <c r="V306" s="80" t="n">
        <f aca="false">IF(OR($O306="On hand",$O306="Advance received",$O306="Part realised",$O306="Amount missing"),1,0)</f>
        <v>0</v>
      </c>
      <c r="W306" s="80" t="str">
        <f aca="false">IF(AND($V306=1,N($F306)&gt;0),ROW(),"")</f>
        <v/>
      </c>
      <c r="X306" s="80" t="n">
        <f aca="false">IF(AND(OR($A306&lt;&gt;"",$E306&lt;&gt;""),$O306&lt;&gt;"Cancelled",ISNUMBER($E306),N($F306)+N($H306)&gt;$E306+0.005),1,0)</f>
        <v>0</v>
      </c>
      <c r="Y306" s="80" t="n">
        <f aca="false">IF(AND(OR($A306&lt;&gt;"",$E306&lt;&gt;""),OR($A306="",$E306="")),1,0)</f>
        <v>0</v>
      </c>
      <c r="Z306" s="80" t="n">
        <f aca="false">IF(AND($A306&lt;&gt;"",COUNTIF($A$7:$A$1006,$A306)&gt;1),1,0)</f>
        <v>0</v>
      </c>
    </row>
    <row r="307" customFormat="false" ht="15" hidden="false" customHeight="false" outlineLevel="0" collapsed="false">
      <c r="A307" s="71"/>
      <c r="B307" s="72"/>
      <c r="C307" s="73"/>
      <c r="D307" s="73"/>
      <c r="E307" s="74"/>
      <c r="F307" s="74"/>
      <c r="G307" s="72"/>
      <c r="H307" s="74"/>
      <c r="I307" s="72"/>
      <c r="J307" s="73"/>
      <c r="K307" s="73"/>
      <c r="L307" s="75" t="str">
        <f aca="false">IF(OR($A307&lt;&gt;"",$E307&lt;&gt;""),N($F307)+N($H307),"")</f>
        <v/>
      </c>
      <c r="M307" s="76" t="str">
        <f aca="false">IF(OR($O307="",$O307="Cancelled",$O307="Amount missing"),"",IF($O307="Realised",0,$E307-N($F307)-N($H307)))</f>
        <v/>
      </c>
      <c r="N307" s="77" t="str">
        <f aca="false">IF(OR($M307="",FX=""),"",$M307*FX)</f>
        <v/>
      </c>
      <c r="O307" s="78" t="str">
        <f aca="false">IF(NOT(OR($A307&lt;&gt;"",$E307&lt;&gt;"")),"",IF($J307="Cancelled","Cancelled",IF($E307="","Amount missing",IF(OR($J307="Settled",$E307-N($F307)-N($H307)&lt;=0.005),"Realised",IF(N($H307)&gt;0,"Part realised",IF(N($F307)&gt;0,"Advance received","On hand"))))))</f>
        <v/>
      </c>
      <c r="P307" s="79" t="str">
        <f aca="false">IF(AND($V307=1,ISNUMBER($B307)),AsAt-$B307,"")</f>
        <v/>
      </c>
      <c r="Q307" s="78" t="str">
        <f aca="false">IF($V307&lt;&gt;1,"",IF($P307="","No invoice date",IF($P307&lt;=30,"0–30 days",IF($P307&lt;=60,"31–60 days",IF($P307&lt;=90,"61–90 days","Over 90 days")))))</f>
        <v/>
      </c>
      <c r="R307" s="80" t="str">
        <f aca="false">IF($V307=1,ROW(),"")</f>
        <v/>
      </c>
      <c r="S307" s="80" t="str">
        <f aca="false">IF(OR($A307&lt;&gt;"",$E307&lt;&gt;""),IF(TRIM($D307)="","Buyer not noted",TRIM($D307)),"")</f>
        <v/>
      </c>
      <c r="T307" s="80" t="n">
        <f aca="false">IF(AND($V307=1,ISNUMBER($M307)),$M307,0)</f>
        <v>0</v>
      </c>
      <c r="U307" s="80" t="str">
        <f aca="false">IF($V307=1,IF(COUNTIFS($S$7:$S307,$S307,$V$7:$V307,1)=1,SUMIFS($T$7:$T$1006,$S$7:$S$1006,$S307)-ROW()/1000000000,""),"")</f>
        <v/>
      </c>
      <c r="V307" s="80" t="n">
        <f aca="false">IF(OR($O307="On hand",$O307="Advance received",$O307="Part realised",$O307="Amount missing"),1,0)</f>
        <v>0</v>
      </c>
      <c r="W307" s="80" t="str">
        <f aca="false">IF(AND($V307=1,N($F307)&gt;0),ROW(),"")</f>
        <v/>
      </c>
      <c r="X307" s="80" t="n">
        <f aca="false">IF(AND(OR($A307&lt;&gt;"",$E307&lt;&gt;""),$O307&lt;&gt;"Cancelled",ISNUMBER($E307),N($F307)+N($H307)&gt;$E307+0.005),1,0)</f>
        <v>0</v>
      </c>
      <c r="Y307" s="80" t="n">
        <f aca="false">IF(AND(OR($A307&lt;&gt;"",$E307&lt;&gt;""),OR($A307="",$E307="")),1,0)</f>
        <v>0</v>
      </c>
      <c r="Z307" s="80" t="n">
        <f aca="false">IF(AND($A307&lt;&gt;"",COUNTIF($A$7:$A$1006,$A307)&gt;1),1,0)</f>
        <v>0</v>
      </c>
    </row>
    <row r="308" customFormat="false" ht="15" hidden="false" customHeight="false" outlineLevel="0" collapsed="false">
      <c r="A308" s="71"/>
      <c r="B308" s="72"/>
      <c r="C308" s="73"/>
      <c r="D308" s="73"/>
      <c r="E308" s="74"/>
      <c r="F308" s="74"/>
      <c r="G308" s="72"/>
      <c r="H308" s="74"/>
      <c r="I308" s="72"/>
      <c r="J308" s="73"/>
      <c r="K308" s="73"/>
      <c r="L308" s="75" t="str">
        <f aca="false">IF(OR($A308&lt;&gt;"",$E308&lt;&gt;""),N($F308)+N($H308),"")</f>
        <v/>
      </c>
      <c r="M308" s="76" t="str">
        <f aca="false">IF(OR($O308="",$O308="Cancelled",$O308="Amount missing"),"",IF($O308="Realised",0,$E308-N($F308)-N($H308)))</f>
        <v/>
      </c>
      <c r="N308" s="77" t="str">
        <f aca="false">IF(OR($M308="",FX=""),"",$M308*FX)</f>
        <v/>
      </c>
      <c r="O308" s="78" t="str">
        <f aca="false">IF(NOT(OR($A308&lt;&gt;"",$E308&lt;&gt;"")),"",IF($J308="Cancelled","Cancelled",IF($E308="","Amount missing",IF(OR($J308="Settled",$E308-N($F308)-N($H308)&lt;=0.005),"Realised",IF(N($H308)&gt;0,"Part realised",IF(N($F308)&gt;0,"Advance received","On hand"))))))</f>
        <v/>
      </c>
      <c r="P308" s="79" t="str">
        <f aca="false">IF(AND($V308=1,ISNUMBER($B308)),AsAt-$B308,"")</f>
        <v/>
      </c>
      <c r="Q308" s="78" t="str">
        <f aca="false">IF($V308&lt;&gt;1,"",IF($P308="","No invoice date",IF($P308&lt;=30,"0–30 days",IF($P308&lt;=60,"31–60 days",IF($P308&lt;=90,"61–90 days","Over 90 days")))))</f>
        <v/>
      </c>
      <c r="R308" s="80" t="str">
        <f aca="false">IF($V308=1,ROW(),"")</f>
        <v/>
      </c>
      <c r="S308" s="80" t="str">
        <f aca="false">IF(OR($A308&lt;&gt;"",$E308&lt;&gt;""),IF(TRIM($D308)="","Buyer not noted",TRIM($D308)),"")</f>
        <v/>
      </c>
      <c r="T308" s="80" t="n">
        <f aca="false">IF(AND($V308=1,ISNUMBER($M308)),$M308,0)</f>
        <v>0</v>
      </c>
      <c r="U308" s="80" t="str">
        <f aca="false">IF($V308=1,IF(COUNTIFS($S$7:$S308,$S308,$V$7:$V308,1)=1,SUMIFS($T$7:$T$1006,$S$7:$S$1006,$S308)-ROW()/1000000000,""),"")</f>
        <v/>
      </c>
      <c r="V308" s="80" t="n">
        <f aca="false">IF(OR($O308="On hand",$O308="Advance received",$O308="Part realised",$O308="Amount missing"),1,0)</f>
        <v>0</v>
      </c>
      <c r="W308" s="80" t="str">
        <f aca="false">IF(AND($V308=1,N($F308)&gt;0),ROW(),"")</f>
        <v/>
      </c>
      <c r="X308" s="80" t="n">
        <f aca="false">IF(AND(OR($A308&lt;&gt;"",$E308&lt;&gt;""),$O308&lt;&gt;"Cancelled",ISNUMBER($E308),N($F308)+N($H308)&gt;$E308+0.005),1,0)</f>
        <v>0</v>
      </c>
      <c r="Y308" s="80" t="n">
        <f aca="false">IF(AND(OR($A308&lt;&gt;"",$E308&lt;&gt;""),OR($A308="",$E308="")),1,0)</f>
        <v>0</v>
      </c>
      <c r="Z308" s="80" t="n">
        <f aca="false">IF(AND($A308&lt;&gt;"",COUNTIF($A$7:$A$1006,$A308)&gt;1),1,0)</f>
        <v>0</v>
      </c>
    </row>
    <row r="309" customFormat="false" ht="15" hidden="false" customHeight="false" outlineLevel="0" collapsed="false">
      <c r="A309" s="71"/>
      <c r="B309" s="72"/>
      <c r="C309" s="73"/>
      <c r="D309" s="73"/>
      <c r="E309" s="74"/>
      <c r="F309" s="74"/>
      <c r="G309" s="72"/>
      <c r="H309" s="74"/>
      <c r="I309" s="72"/>
      <c r="J309" s="73"/>
      <c r="K309" s="73"/>
      <c r="L309" s="75" t="str">
        <f aca="false">IF(OR($A309&lt;&gt;"",$E309&lt;&gt;""),N($F309)+N($H309),"")</f>
        <v/>
      </c>
      <c r="M309" s="76" t="str">
        <f aca="false">IF(OR($O309="",$O309="Cancelled",$O309="Amount missing"),"",IF($O309="Realised",0,$E309-N($F309)-N($H309)))</f>
        <v/>
      </c>
      <c r="N309" s="77" t="str">
        <f aca="false">IF(OR($M309="",FX=""),"",$M309*FX)</f>
        <v/>
      </c>
      <c r="O309" s="78" t="str">
        <f aca="false">IF(NOT(OR($A309&lt;&gt;"",$E309&lt;&gt;"")),"",IF($J309="Cancelled","Cancelled",IF($E309="","Amount missing",IF(OR($J309="Settled",$E309-N($F309)-N($H309)&lt;=0.005),"Realised",IF(N($H309)&gt;0,"Part realised",IF(N($F309)&gt;0,"Advance received","On hand"))))))</f>
        <v/>
      </c>
      <c r="P309" s="79" t="str">
        <f aca="false">IF(AND($V309=1,ISNUMBER($B309)),AsAt-$B309,"")</f>
        <v/>
      </c>
      <c r="Q309" s="78" t="str">
        <f aca="false">IF($V309&lt;&gt;1,"",IF($P309="","No invoice date",IF($P309&lt;=30,"0–30 days",IF($P309&lt;=60,"31–60 days",IF($P309&lt;=90,"61–90 days","Over 90 days")))))</f>
        <v/>
      </c>
      <c r="R309" s="80" t="str">
        <f aca="false">IF($V309=1,ROW(),"")</f>
        <v/>
      </c>
      <c r="S309" s="80" t="str">
        <f aca="false">IF(OR($A309&lt;&gt;"",$E309&lt;&gt;""),IF(TRIM($D309)="","Buyer not noted",TRIM($D309)),"")</f>
        <v/>
      </c>
      <c r="T309" s="80" t="n">
        <f aca="false">IF(AND($V309=1,ISNUMBER($M309)),$M309,0)</f>
        <v>0</v>
      </c>
      <c r="U309" s="80" t="str">
        <f aca="false">IF($V309=1,IF(COUNTIFS($S$7:$S309,$S309,$V$7:$V309,1)=1,SUMIFS($T$7:$T$1006,$S$7:$S$1006,$S309)-ROW()/1000000000,""),"")</f>
        <v/>
      </c>
      <c r="V309" s="80" t="n">
        <f aca="false">IF(OR($O309="On hand",$O309="Advance received",$O309="Part realised",$O309="Amount missing"),1,0)</f>
        <v>0</v>
      </c>
      <c r="W309" s="80" t="str">
        <f aca="false">IF(AND($V309=1,N($F309)&gt;0),ROW(),"")</f>
        <v/>
      </c>
      <c r="X309" s="80" t="n">
        <f aca="false">IF(AND(OR($A309&lt;&gt;"",$E309&lt;&gt;""),$O309&lt;&gt;"Cancelled",ISNUMBER($E309),N($F309)+N($H309)&gt;$E309+0.005),1,0)</f>
        <v>0</v>
      </c>
      <c r="Y309" s="80" t="n">
        <f aca="false">IF(AND(OR($A309&lt;&gt;"",$E309&lt;&gt;""),OR($A309="",$E309="")),1,0)</f>
        <v>0</v>
      </c>
      <c r="Z309" s="80" t="n">
        <f aca="false">IF(AND($A309&lt;&gt;"",COUNTIF($A$7:$A$1006,$A309)&gt;1),1,0)</f>
        <v>0</v>
      </c>
    </row>
    <row r="310" customFormat="false" ht="15" hidden="false" customHeight="false" outlineLevel="0" collapsed="false">
      <c r="A310" s="71"/>
      <c r="B310" s="72"/>
      <c r="C310" s="73"/>
      <c r="D310" s="73"/>
      <c r="E310" s="74"/>
      <c r="F310" s="74"/>
      <c r="G310" s="72"/>
      <c r="H310" s="74"/>
      <c r="I310" s="72"/>
      <c r="J310" s="73"/>
      <c r="K310" s="73"/>
      <c r="L310" s="75" t="str">
        <f aca="false">IF(OR($A310&lt;&gt;"",$E310&lt;&gt;""),N($F310)+N($H310),"")</f>
        <v/>
      </c>
      <c r="M310" s="76" t="str">
        <f aca="false">IF(OR($O310="",$O310="Cancelled",$O310="Amount missing"),"",IF($O310="Realised",0,$E310-N($F310)-N($H310)))</f>
        <v/>
      </c>
      <c r="N310" s="77" t="str">
        <f aca="false">IF(OR($M310="",FX=""),"",$M310*FX)</f>
        <v/>
      </c>
      <c r="O310" s="78" t="str">
        <f aca="false">IF(NOT(OR($A310&lt;&gt;"",$E310&lt;&gt;"")),"",IF($J310="Cancelled","Cancelled",IF($E310="","Amount missing",IF(OR($J310="Settled",$E310-N($F310)-N($H310)&lt;=0.005),"Realised",IF(N($H310)&gt;0,"Part realised",IF(N($F310)&gt;0,"Advance received","On hand"))))))</f>
        <v/>
      </c>
      <c r="P310" s="79" t="str">
        <f aca="false">IF(AND($V310=1,ISNUMBER($B310)),AsAt-$B310,"")</f>
        <v/>
      </c>
      <c r="Q310" s="78" t="str">
        <f aca="false">IF($V310&lt;&gt;1,"",IF($P310="","No invoice date",IF($P310&lt;=30,"0–30 days",IF($P310&lt;=60,"31–60 days",IF($P310&lt;=90,"61–90 days","Over 90 days")))))</f>
        <v/>
      </c>
      <c r="R310" s="80" t="str">
        <f aca="false">IF($V310=1,ROW(),"")</f>
        <v/>
      </c>
      <c r="S310" s="80" t="str">
        <f aca="false">IF(OR($A310&lt;&gt;"",$E310&lt;&gt;""),IF(TRIM($D310)="","Buyer not noted",TRIM($D310)),"")</f>
        <v/>
      </c>
      <c r="T310" s="80" t="n">
        <f aca="false">IF(AND($V310=1,ISNUMBER($M310)),$M310,0)</f>
        <v>0</v>
      </c>
      <c r="U310" s="80" t="str">
        <f aca="false">IF($V310=1,IF(COUNTIFS($S$7:$S310,$S310,$V$7:$V310,1)=1,SUMIFS($T$7:$T$1006,$S$7:$S$1006,$S310)-ROW()/1000000000,""),"")</f>
        <v/>
      </c>
      <c r="V310" s="80" t="n">
        <f aca="false">IF(OR($O310="On hand",$O310="Advance received",$O310="Part realised",$O310="Amount missing"),1,0)</f>
        <v>0</v>
      </c>
      <c r="W310" s="80" t="str">
        <f aca="false">IF(AND($V310=1,N($F310)&gt;0),ROW(),"")</f>
        <v/>
      </c>
      <c r="X310" s="80" t="n">
        <f aca="false">IF(AND(OR($A310&lt;&gt;"",$E310&lt;&gt;""),$O310&lt;&gt;"Cancelled",ISNUMBER($E310),N($F310)+N($H310)&gt;$E310+0.005),1,0)</f>
        <v>0</v>
      </c>
      <c r="Y310" s="80" t="n">
        <f aca="false">IF(AND(OR($A310&lt;&gt;"",$E310&lt;&gt;""),OR($A310="",$E310="")),1,0)</f>
        <v>0</v>
      </c>
      <c r="Z310" s="80" t="n">
        <f aca="false">IF(AND($A310&lt;&gt;"",COUNTIF($A$7:$A$1006,$A310)&gt;1),1,0)</f>
        <v>0</v>
      </c>
    </row>
    <row r="311" customFormat="false" ht="15" hidden="false" customHeight="false" outlineLevel="0" collapsed="false">
      <c r="A311" s="71"/>
      <c r="B311" s="72"/>
      <c r="C311" s="73"/>
      <c r="D311" s="73"/>
      <c r="E311" s="74"/>
      <c r="F311" s="74"/>
      <c r="G311" s="72"/>
      <c r="H311" s="74"/>
      <c r="I311" s="72"/>
      <c r="J311" s="73"/>
      <c r="K311" s="73"/>
      <c r="L311" s="75" t="str">
        <f aca="false">IF(OR($A311&lt;&gt;"",$E311&lt;&gt;""),N($F311)+N($H311),"")</f>
        <v/>
      </c>
      <c r="M311" s="76" t="str">
        <f aca="false">IF(OR($O311="",$O311="Cancelled",$O311="Amount missing"),"",IF($O311="Realised",0,$E311-N($F311)-N($H311)))</f>
        <v/>
      </c>
      <c r="N311" s="77" t="str">
        <f aca="false">IF(OR($M311="",FX=""),"",$M311*FX)</f>
        <v/>
      </c>
      <c r="O311" s="78" t="str">
        <f aca="false">IF(NOT(OR($A311&lt;&gt;"",$E311&lt;&gt;"")),"",IF($J311="Cancelled","Cancelled",IF($E311="","Amount missing",IF(OR($J311="Settled",$E311-N($F311)-N($H311)&lt;=0.005),"Realised",IF(N($H311)&gt;0,"Part realised",IF(N($F311)&gt;0,"Advance received","On hand"))))))</f>
        <v/>
      </c>
      <c r="P311" s="79" t="str">
        <f aca="false">IF(AND($V311=1,ISNUMBER($B311)),AsAt-$B311,"")</f>
        <v/>
      </c>
      <c r="Q311" s="78" t="str">
        <f aca="false">IF($V311&lt;&gt;1,"",IF($P311="","No invoice date",IF($P311&lt;=30,"0–30 days",IF($P311&lt;=60,"31–60 days",IF($P311&lt;=90,"61–90 days","Over 90 days")))))</f>
        <v/>
      </c>
      <c r="R311" s="80" t="str">
        <f aca="false">IF($V311=1,ROW(),"")</f>
        <v/>
      </c>
      <c r="S311" s="80" t="str">
        <f aca="false">IF(OR($A311&lt;&gt;"",$E311&lt;&gt;""),IF(TRIM($D311)="","Buyer not noted",TRIM($D311)),"")</f>
        <v/>
      </c>
      <c r="T311" s="80" t="n">
        <f aca="false">IF(AND($V311=1,ISNUMBER($M311)),$M311,0)</f>
        <v>0</v>
      </c>
      <c r="U311" s="80" t="str">
        <f aca="false">IF($V311=1,IF(COUNTIFS($S$7:$S311,$S311,$V$7:$V311,1)=1,SUMIFS($T$7:$T$1006,$S$7:$S$1006,$S311)-ROW()/1000000000,""),"")</f>
        <v/>
      </c>
      <c r="V311" s="80" t="n">
        <f aca="false">IF(OR($O311="On hand",$O311="Advance received",$O311="Part realised",$O311="Amount missing"),1,0)</f>
        <v>0</v>
      </c>
      <c r="W311" s="80" t="str">
        <f aca="false">IF(AND($V311=1,N($F311)&gt;0),ROW(),"")</f>
        <v/>
      </c>
      <c r="X311" s="80" t="n">
        <f aca="false">IF(AND(OR($A311&lt;&gt;"",$E311&lt;&gt;""),$O311&lt;&gt;"Cancelled",ISNUMBER($E311),N($F311)+N($H311)&gt;$E311+0.005),1,0)</f>
        <v>0</v>
      </c>
      <c r="Y311" s="80" t="n">
        <f aca="false">IF(AND(OR($A311&lt;&gt;"",$E311&lt;&gt;""),OR($A311="",$E311="")),1,0)</f>
        <v>0</v>
      </c>
      <c r="Z311" s="80" t="n">
        <f aca="false">IF(AND($A311&lt;&gt;"",COUNTIF($A$7:$A$1006,$A311)&gt;1),1,0)</f>
        <v>0</v>
      </c>
    </row>
    <row r="312" customFormat="false" ht="15" hidden="false" customHeight="false" outlineLevel="0" collapsed="false">
      <c r="A312" s="71"/>
      <c r="B312" s="72"/>
      <c r="C312" s="73"/>
      <c r="D312" s="73"/>
      <c r="E312" s="74"/>
      <c r="F312" s="74"/>
      <c r="G312" s="72"/>
      <c r="H312" s="74"/>
      <c r="I312" s="72"/>
      <c r="J312" s="73"/>
      <c r="K312" s="73"/>
      <c r="L312" s="75" t="str">
        <f aca="false">IF(OR($A312&lt;&gt;"",$E312&lt;&gt;""),N($F312)+N($H312),"")</f>
        <v/>
      </c>
      <c r="M312" s="76" t="str">
        <f aca="false">IF(OR($O312="",$O312="Cancelled",$O312="Amount missing"),"",IF($O312="Realised",0,$E312-N($F312)-N($H312)))</f>
        <v/>
      </c>
      <c r="N312" s="77" t="str">
        <f aca="false">IF(OR($M312="",FX=""),"",$M312*FX)</f>
        <v/>
      </c>
      <c r="O312" s="78" t="str">
        <f aca="false">IF(NOT(OR($A312&lt;&gt;"",$E312&lt;&gt;"")),"",IF($J312="Cancelled","Cancelled",IF($E312="","Amount missing",IF(OR($J312="Settled",$E312-N($F312)-N($H312)&lt;=0.005),"Realised",IF(N($H312)&gt;0,"Part realised",IF(N($F312)&gt;0,"Advance received","On hand"))))))</f>
        <v/>
      </c>
      <c r="P312" s="79" t="str">
        <f aca="false">IF(AND($V312=1,ISNUMBER($B312)),AsAt-$B312,"")</f>
        <v/>
      </c>
      <c r="Q312" s="78" t="str">
        <f aca="false">IF($V312&lt;&gt;1,"",IF($P312="","No invoice date",IF($P312&lt;=30,"0–30 days",IF($P312&lt;=60,"31–60 days",IF($P312&lt;=90,"61–90 days","Over 90 days")))))</f>
        <v/>
      </c>
      <c r="R312" s="80" t="str">
        <f aca="false">IF($V312=1,ROW(),"")</f>
        <v/>
      </c>
      <c r="S312" s="80" t="str">
        <f aca="false">IF(OR($A312&lt;&gt;"",$E312&lt;&gt;""),IF(TRIM($D312)="","Buyer not noted",TRIM($D312)),"")</f>
        <v/>
      </c>
      <c r="T312" s="80" t="n">
        <f aca="false">IF(AND($V312=1,ISNUMBER($M312)),$M312,0)</f>
        <v>0</v>
      </c>
      <c r="U312" s="80" t="str">
        <f aca="false">IF($V312=1,IF(COUNTIFS($S$7:$S312,$S312,$V$7:$V312,1)=1,SUMIFS($T$7:$T$1006,$S$7:$S$1006,$S312)-ROW()/1000000000,""),"")</f>
        <v/>
      </c>
      <c r="V312" s="80" t="n">
        <f aca="false">IF(OR($O312="On hand",$O312="Advance received",$O312="Part realised",$O312="Amount missing"),1,0)</f>
        <v>0</v>
      </c>
      <c r="W312" s="80" t="str">
        <f aca="false">IF(AND($V312=1,N($F312)&gt;0),ROW(),"")</f>
        <v/>
      </c>
      <c r="X312" s="80" t="n">
        <f aca="false">IF(AND(OR($A312&lt;&gt;"",$E312&lt;&gt;""),$O312&lt;&gt;"Cancelled",ISNUMBER($E312),N($F312)+N($H312)&gt;$E312+0.005),1,0)</f>
        <v>0</v>
      </c>
      <c r="Y312" s="80" t="n">
        <f aca="false">IF(AND(OR($A312&lt;&gt;"",$E312&lt;&gt;""),OR($A312="",$E312="")),1,0)</f>
        <v>0</v>
      </c>
      <c r="Z312" s="80" t="n">
        <f aca="false">IF(AND($A312&lt;&gt;"",COUNTIF($A$7:$A$1006,$A312)&gt;1),1,0)</f>
        <v>0</v>
      </c>
    </row>
    <row r="313" customFormat="false" ht="15" hidden="false" customHeight="false" outlineLevel="0" collapsed="false">
      <c r="A313" s="71"/>
      <c r="B313" s="72"/>
      <c r="C313" s="73"/>
      <c r="D313" s="73"/>
      <c r="E313" s="74"/>
      <c r="F313" s="74"/>
      <c r="G313" s="72"/>
      <c r="H313" s="74"/>
      <c r="I313" s="72"/>
      <c r="J313" s="73"/>
      <c r="K313" s="73"/>
      <c r="L313" s="75" t="str">
        <f aca="false">IF(OR($A313&lt;&gt;"",$E313&lt;&gt;""),N($F313)+N($H313),"")</f>
        <v/>
      </c>
      <c r="M313" s="76" t="str">
        <f aca="false">IF(OR($O313="",$O313="Cancelled",$O313="Amount missing"),"",IF($O313="Realised",0,$E313-N($F313)-N($H313)))</f>
        <v/>
      </c>
      <c r="N313" s="77" t="str">
        <f aca="false">IF(OR($M313="",FX=""),"",$M313*FX)</f>
        <v/>
      </c>
      <c r="O313" s="78" t="str">
        <f aca="false">IF(NOT(OR($A313&lt;&gt;"",$E313&lt;&gt;"")),"",IF($J313="Cancelled","Cancelled",IF($E313="","Amount missing",IF(OR($J313="Settled",$E313-N($F313)-N($H313)&lt;=0.005),"Realised",IF(N($H313)&gt;0,"Part realised",IF(N($F313)&gt;0,"Advance received","On hand"))))))</f>
        <v/>
      </c>
      <c r="P313" s="79" t="str">
        <f aca="false">IF(AND($V313=1,ISNUMBER($B313)),AsAt-$B313,"")</f>
        <v/>
      </c>
      <c r="Q313" s="78" t="str">
        <f aca="false">IF($V313&lt;&gt;1,"",IF($P313="","No invoice date",IF($P313&lt;=30,"0–30 days",IF($P313&lt;=60,"31–60 days",IF($P313&lt;=90,"61–90 days","Over 90 days")))))</f>
        <v/>
      </c>
      <c r="R313" s="80" t="str">
        <f aca="false">IF($V313=1,ROW(),"")</f>
        <v/>
      </c>
      <c r="S313" s="80" t="str">
        <f aca="false">IF(OR($A313&lt;&gt;"",$E313&lt;&gt;""),IF(TRIM($D313)="","Buyer not noted",TRIM($D313)),"")</f>
        <v/>
      </c>
      <c r="T313" s="80" t="n">
        <f aca="false">IF(AND($V313=1,ISNUMBER($M313)),$M313,0)</f>
        <v>0</v>
      </c>
      <c r="U313" s="80" t="str">
        <f aca="false">IF($V313=1,IF(COUNTIFS($S$7:$S313,$S313,$V$7:$V313,1)=1,SUMIFS($T$7:$T$1006,$S$7:$S$1006,$S313)-ROW()/1000000000,""),"")</f>
        <v/>
      </c>
      <c r="V313" s="80" t="n">
        <f aca="false">IF(OR($O313="On hand",$O313="Advance received",$O313="Part realised",$O313="Amount missing"),1,0)</f>
        <v>0</v>
      </c>
      <c r="W313" s="80" t="str">
        <f aca="false">IF(AND($V313=1,N($F313)&gt;0),ROW(),"")</f>
        <v/>
      </c>
      <c r="X313" s="80" t="n">
        <f aca="false">IF(AND(OR($A313&lt;&gt;"",$E313&lt;&gt;""),$O313&lt;&gt;"Cancelled",ISNUMBER($E313),N($F313)+N($H313)&gt;$E313+0.005),1,0)</f>
        <v>0</v>
      </c>
      <c r="Y313" s="80" t="n">
        <f aca="false">IF(AND(OR($A313&lt;&gt;"",$E313&lt;&gt;""),OR($A313="",$E313="")),1,0)</f>
        <v>0</v>
      </c>
      <c r="Z313" s="80" t="n">
        <f aca="false">IF(AND($A313&lt;&gt;"",COUNTIF($A$7:$A$1006,$A313)&gt;1),1,0)</f>
        <v>0</v>
      </c>
    </row>
    <row r="314" customFormat="false" ht="15" hidden="false" customHeight="false" outlineLevel="0" collapsed="false">
      <c r="A314" s="71"/>
      <c r="B314" s="72"/>
      <c r="C314" s="73"/>
      <c r="D314" s="73"/>
      <c r="E314" s="74"/>
      <c r="F314" s="74"/>
      <c r="G314" s="72"/>
      <c r="H314" s="74"/>
      <c r="I314" s="72"/>
      <c r="J314" s="73"/>
      <c r="K314" s="73"/>
      <c r="L314" s="75" t="str">
        <f aca="false">IF(OR($A314&lt;&gt;"",$E314&lt;&gt;""),N($F314)+N($H314),"")</f>
        <v/>
      </c>
      <c r="M314" s="76" t="str">
        <f aca="false">IF(OR($O314="",$O314="Cancelled",$O314="Amount missing"),"",IF($O314="Realised",0,$E314-N($F314)-N($H314)))</f>
        <v/>
      </c>
      <c r="N314" s="77" t="str">
        <f aca="false">IF(OR($M314="",FX=""),"",$M314*FX)</f>
        <v/>
      </c>
      <c r="O314" s="78" t="str">
        <f aca="false">IF(NOT(OR($A314&lt;&gt;"",$E314&lt;&gt;"")),"",IF($J314="Cancelled","Cancelled",IF($E314="","Amount missing",IF(OR($J314="Settled",$E314-N($F314)-N($H314)&lt;=0.005),"Realised",IF(N($H314)&gt;0,"Part realised",IF(N($F314)&gt;0,"Advance received","On hand"))))))</f>
        <v/>
      </c>
      <c r="P314" s="79" t="str">
        <f aca="false">IF(AND($V314=1,ISNUMBER($B314)),AsAt-$B314,"")</f>
        <v/>
      </c>
      <c r="Q314" s="78" t="str">
        <f aca="false">IF($V314&lt;&gt;1,"",IF($P314="","No invoice date",IF($P314&lt;=30,"0–30 days",IF($P314&lt;=60,"31–60 days",IF($P314&lt;=90,"61–90 days","Over 90 days")))))</f>
        <v/>
      </c>
      <c r="R314" s="80" t="str">
        <f aca="false">IF($V314=1,ROW(),"")</f>
        <v/>
      </c>
      <c r="S314" s="80" t="str">
        <f aca="false">IF(OR($A314&lt;&gt;"",$E314&lt;&gt;""),IF(TRIM($D314)="","Buyer not noted",TRIM($D314)),"")</f>
        <v/>
      </c>
      <c r="T314" s="80" t="n">
        <f aca="false">IF(AND($V314=1,ISNUMBER($M314)),$M314,0)</f>
        <v>0</v>
      </c>
      <c r="U314" s="80" t="str">
        <f aca="false">IF($V314=1,IF(COUNTIFS($S$7:$S314,$S314,$V$7:$V314,1)=1,SUMIFS($T$7:$T$1006,$S$7:$S$1006,$S314)-ROW()/1000000000,""),"")</f>
        <v/>
      </c>
      <c r="V314" s="80" t="n">
        <f aca="false">IF(OR($O314="On hand",$O314="Advance received",$O314="Part realised",$O314="Amount missing"),1,0)</f>
        <v>0</v>
      </c>
      <c r="W314" s="80" t="str">
        <f aca="false">IF(AND($V314=1,N($F314)&gt;0),ROW(),"")</f>
        <v/>
      </c>
      <c r="X314" s="80" t="n">
        <f aca="false">IF(AND(OR($A314&lt;&gt;"",$E314&lt;&gt;""),$O314&lt;&gt;"Cancelled",ISNUMBER($E314),N($F314)+N($H314)&gt;$E314+0.005),1,0)</f>
        <v>0</v>
      </c>
      <c r="Y314" s="80" t="n">
        <f aca="false">IF(AND(OR($A314&lt;&gt;"",$E314&lt;&gt;""),OR($A314="",$E314="")),1,0)</f>
        <v>0</v>
      </c>
      <c r="Z314" s="80" t="n">
        <f aca="false">IF(AND($A314&lt;&gt;"",COUNTIF($A$7:$A$1006,$A314)&gt;1),1,0)</f>
        <v>0</v>
      </c>
    </row>
    <row r="315" customFormat="false" ht="15" hidden="false" customHeight="false" outlineLevel="0" collapsed="false">
      <c r="A315" s="71"/>
      <c r="B315" s="72"/>
      <c r="C315" s="73"/>
      <c r="D315" s="73"/>
      <c r="E315" s="74"/>
      <c r="F315" s="74"/>
      <c r="G315" s="72"/>
      <c r="H315" s="74"/>
      <c r="I315" s="72"/>
      <c r="J315" s="73"/>
      <c r="K315" s="73"/>
      <c r="L315" s="75" t="str">
        <f aca="false">IF(OR($A315&lt;&gt;"",$E315&lt;&gt;""),N($F315)+N($H315),"")</f>
        <v/>
      </c>
      <c r="M315" s="76" t="str">
        <f aca="false">IF(OR($O315="",$O315="Cancelled",$O315="Amount missing"),"",IF($O315="Realised",0,$E315-N($F315)-N($H315)))</f>
        <v/>
      </c>
      <c r="N315" s="77" t="str">
        <f aca="false">IF(OR($M315="",FX=""),"",$M315*FX)</f>
        <v/>
      </c>
      <c r="O315" s="78" t="str">
        <f aca="false">IF(NOT(OR($A315&lt;&gt;"",$E315&lt;&gt;"")),"",IF($J315="Cancelled","Cancelled",IF($E315="","Amount missing",IF(OR($J315="Settled",$E315-N($F315)-N($H315)&lt;=0.005),"Realised",IF(N($H315)&gt;0,"Part realised",IF(N($F315)&gt;0,"Advance received","On hand"))))))</f>
        <v/>
      </c>
      <c r="P315" s="79" t="str">
        <f aca="false">IF(AND($V315=1,ISNUMBER($B315)),AsAt-$B315,"")</f>
        <v/>
      </c>
      <c r="Q315" s="78" t="str">
        <f aca="false">IF($V315&lt;&gt;1,"",IF($P315="","No invoice date",IF($P315&lt;=30,"0–30 days",IF($P315&lt;=60,"31–60 days",IF($P315&lt;=90,"61–90 days","Over 90 days")))))</f>
        <v/>
      </c>
      <c r="R315" s="80" t="str">
        <f aca="false">IF($V315=1,ROW(),"")</f>
        <v/>
      </c>
      <c r="S315" s="80" t="str">
        <f aca="false">IF(OR($A315&lt;&gt;"",$E315&lt;&gt;""),IF(TRIM($D315)="","Buyer not noted",TRIM($D315)),"")</f>
        <v/>
      </c>
      <c r="T315" s="80" t="n">
        <f aca="false">IF(AND($V315=1,ISNUMBER($M315)),$M315,0)</f>
        <v>0</v>
      </c>
      <c r="U315" s="80" t="str">
        <f aca="false">IF($V315=1,IF(COUNTIFS($S$7:$S315,$S315,$V$7:$V315,1)=1,SUMIFS($T$7:$T$1006,$S$7:$S$1006,$S315)-ROW()/1000000000,""),"")</f>
        <v/>
      </c>
      <c r="V315" s="80" t="n">
        <f aca="false">IF(OR($O315="On hand",$O315="Advance received",$O315="Part realised",$O315="Amount missing"),1,0)</f>
        <v>0</v>
      </c>
      <c r="W315" s="80" t="str">
        <f aca="false">IF(AND($V315=1,N($F315)&gt;0),ROW(),"")</f>
        <v/>
      </c>
      <c r="X315" s="80" t="n">
        <f aca="false">IF(AND(OR($A315&lt;&gt;"",$E315&lt;&gt;""),$O315&lt;&gt;"Cancelled",ISNUMBER($E315),N($F315)+N($H315)&gt;$E315+0.005),1,0)</f>
        <v>0</v>
      </c>
      <c r="Y315" s="80" t="n">
        <f aca="false">IF(AND(OR($A315&lt;&gt;"",$E315&lt;&gt;""),OR($A315="",$E315="")),1,0)</f>
        <v>0</v>
      </c>
      <c r="Z315" s="80" t="n">
        <f aca="false">IF(AND($A315&lt;&gt;"",COUNTIF($A$7:$A$1006,$A315)&gt;1),1,0)</f>
        <v>0</v>
      </c>
    </row>
    <row r="316" customFormat="false" ht="15" hidden="false" customHeight="false" outlineLevel="0" collapsed="false">
      <c r="A316" s="71"/>
      <c r="B316" s="72"/>
      <c r="C316" s="73"/>
      <c r="D316" s="73"/>
      <c r="E316" s="74"/>
      <c r="F316" s="74"/>
      <c r="G316" s="72"/>
      <c r="H316" s="74"/>
      <c r="I316" s="72"/>
      <c r="J316" s="73"/>
      <c r="K316" s="73"/>
      <c r="L316" s="75" t="str">
        <f aca="false">IF(OR($A316&lt;&gt;"",$E316&lt;&gt;""),N($F316)+N($H316),"")</f>
        <v/>
      </c>
      <c r="M316" s="76" t="str">
        <f aca="false">IF(OR($O316="",$O316="Cancelled",$O316="Amount missing"),"",IF($O316="Realised",0,$E316-N($F316)-N($H316)))</f>
        <v/>
      </c>
      <c r="N316" s="77" t="str">
        <f aca="false">IF(OR($M316="",FX=""),"",$M316*FX)</f>
        <v/>
      </c>
      <c r="O316" s="78" t="str">
        <f aca="false">IF(NOT(OR($A316&lt;&gt;"",$E316&lt;&gt;"")),"",IF($J316="Cancelled","Cancelled",IF($E316="","Amount missing",IF(OR($J316="Settled",$E316-N($F316)-N($H316)&lt;=0.005),"Realised",IF(N($H316)&gt;0,"Part realised",IF(N($F316)&gt;0,"Advance received","On hand"))))))</f>
        <v/>
      </c>
      <c r="P316" s="79" t="str">
        <f aca="false">IF(AND($V316=1,ISNUMBER($B316)),AsAt-$B316,"")</f>
        <v/>
      </c>
      <c r="Q316" s="78" t="str">
        <f aca="false">IF($V316&lt;&gt;1,"",IF($P316="","No invoice date",IF($P316&lt;=30,"0–30 days",IF($P316&lt;=60,"31–60 days",IF($P316&lt;=90,"61–90 days","Over 90 days")))))</f>
        <v/>
      </c>
      <c r="R316" s="80" t="str">
        <f aca="false">IF($V316=1,ROW(),"")</f>
        <v/>
      </c>
      <c r="S316" s="80" t="str">
        <f aca="false">IF(OR($A316&lt;&gt;"",$E316&lt;&gt;""),IF(TRIM($D316)="","Buyer not noted",TRIM($D316)),"")</f>
        <v/>
      </c>
      <c r="T316" s="80" t="n">
        <f aca="false">IF(AND($V316=1,ISNUMBER($M316)),$M316,0)</f>
        <v>0</v>
      </c>
      <c r="U316" s="80" t="str">
        <f aca="false">IF($V316=1,IF(COUNTIFS($S$7:$S316,$S316,$V$7:$V316,1)=1,SUMIFS($T$7:$T$1006,$S$7:$S$1006,$S316)-ROW()/1000000000,""),"")</f>
        <v/>
      </c>
      <c r="V316" s="80" t="n">
        <f aca="false">IF(OR($O316="On hand",$O316="Advance received",$O316="Part realised",$O316="Amount missing"),1,0)</f>
        <v>0</v>
      </c>
      <c r="W316" s="80" t="str">
        <f aca="false">IF(AND($V316=1,N($F316)&gt;0),ROW(),"")</f>
        <v/>
      </c>
      <c r="X316" s="80" t="n">
        <f aca="false">IF(AND(OR($A316&lt;&gt;"",$E316&lt;&gt;""),$O316&lt;&gt;"Cancelled",ISNUMBER($E316),N($F316)+N($H316)&gt;$E316+0.005),1,0)</f>
        <v>0</v>
      </c>
      <c r="Y316" s="80" t="n">
        <f aca="false">IF(AND(OR($A316&lt;&gt;"",$E316&lt;&gt;""),OR($A316="",$E316="")),1,0)</f>
        <v>0</v>
      </c>
      <c r="Z316" s="80" t="n">
        <f aca="false">IF(AND($A316&lt;&gt;"",COUNTIF($A$7:$A$1006,$A316)&gt;1),1,0)</f>
        <v>0</v>
      </c>
    </row>
    <row r="317" customFormat="false" ht="15" hidden="false" customHeight="false" outlineLevel="0" collapsed="false">
      <c r="A317" s="71"/>
      <c r="B317" s="72"/>
      <c r="C317" s="73"/>
      <c r="D317" s="73"/>
      <c r="E317" s="74"/>
      <c r="F317" s="74"/>
      <c r="G317" s="72"/>
      <c r="H317" s="74"/>
      <c r="I317" s="72"/>
      <c r="J317" s="73"/>
      <c r="K317" s="73"/>
      <c r="L317" s="75" t="str">
        <f aca="false">IF(OR($A317&lt;&gt;"",$E317&lt;&gt;""),N($F317)+N($H317),"")</f>
        <v/>
      </c>
      <c r="M317" s="76" t="str">
        <f aca="false">IF(OR($O317="",$O317="Cancelled",$O317="Amount missing"),"",IF($O317="Realised",0,$E317-N($F317)-N($H317)))</f>
        <v/>
      </c>
      <c r="N317" s="77" t="str">
        <f aca="false">IF(OR($M317="",FX=""),"",$M317*FX)</f>
        <v/>
      </c>
      <c r="O317" s="78" t="str">
        <f aca="false">IF(NOT(OR($A317&lt;&gt;"",$E317&lt;&gt;"")),"",IF($J317="Cancelled","Cancelled",IF($E317="","Amount missing",IF(OR($J317="Settled",$E317-N($F317)-N($H317)&lt;=0.005),"Realised",IF(N($H317)&gt;0,"Part realised",IF(N($F317)&gt;0,"Advance received","On hand"))))))</f>
        <v/>
      </c>
      <c r="P317" s="79" t="str">
        <f aca="false">IF(AND($V317=1,ISNUMBER($B317)),AsAt-$B317,"")</f>
        <v/>
      </c>
      <c r="Q317" s="78" t="str">
        <f aca="false">IF($V317&lt;&gt;1,"",IF($P317="","No invoice date",IF($P317&lt;=30,"0–30 days",IF($P317&lt;=60,"31–60 days",IF($P317&lt;=90,"61–90 days","Over 90 days")))))</f>
        <v/>
      </c>
      <c r="R317" s="80" t="str">
        <f aca="false">IF($V317=1,ROW(),"")</f>
        <v/>
      </c>
      <c r="S317" s="80" t="str">
        <f aca="false">IF(OR($A317&lt;&gt;"",$E317&lt;&gt;""),IF(TRIM($D317)="","Buyer not noted",TRIM($D317)),"")</f>
        <v/>
      </c>
      <c r="T317" s="80" t="n">
        <f aca="false">IF(AND($V317=1,ISNUMBER($M317)),$M317,0)</f>
        <v>0</v>
      </c>
      <c r="U317" s="80" t="str">
        <f aca="false">IF($V317=1,IF(COUNTIFS($S$7:$S317,$S317,$V$7:$V317,1)=1,SUMIFS($T$7:$T$1006,$S$7:$S$1006,$S317)-ROW()/1000000000,""),"")</f>
        <v/>
      </c>
      <c r="V317" s="80" t="n">
        <f aca="false">IF(OR($O317="On hand",$O317="Advance received",$O317="Part realised",$O317="Amount missing"),1,0)</f>
        <v>0</v>
      </c>
      <c r="W317" s="80" t="str">
        <f aca="false">IF(AND($V317=1,N($F317)&gt;0),ROW(),"")</f>
        <v/>
      </c>
      <c r="X317" s="80" t="n">
        <f aca="false">IF(AND(OR($A317&lt;&gt;"",$E317&lt;&gt;""),$O317&lt;&gt;"Cancelled",ISNUMBER($E317),N($F317)+N($H317)&gt;$E317+0.005),1,0)</f>
        <v>0</v>
      </c>
      <c r="Y317" s="80" t="n">
        <f aca="false">IF(AND(OR($A317&lt;&gt;"",$E317&lt;&gt;""),OR($A317="",$E317="")),1,0)</f>
        <v>0</v>
      </c>
      <c r="Z317" s="80" t="n">
        <f aca="false">IF(AND($A317&lt;&gt;"",COUNTIF($A$7:$A$1006,$A317)&gt;1),1,0)</f>
        <v>0</v>
      </c>
    </row>
    <row r="318" customFormat="false" ht="15" hidden="false" customHeight="false" outlineLevel="0" collapsed="false">
      <c r="A318" s="71"/>
      <c r="B318" s="72"/>
      <c r="C318" s="73"/>
      <c r="D318" s="73"/>
      <c r="E318" s="74"/>
      <c r="F318" s="74"/>
      <c r="G318" s="72"/>
      <c r="H318" s="74"/>
      <c r="I318" s="72"/>
      <c r="J318" s="73"/>
      <c r="K318" s="73"/>
      <c r="L318" s="75" t="str">
        <f aca="false">IF(OR($A318&lt;&gt;"",$E318&lt;&gt;""),N($F318)+N($H318),"")</f>
        <v/>
      </c>
      <c r="M318" s="76" t="str">
        <f aca="false">IF(OR($O318="",$O318="Cancelled",$O318="Amount missing"),"",IF($O318="Realised",0,$E318-N($F318)-N($H318)))</f>
        <v/>
      </c>
      <c r="N318" s="77" t="str">
        <f aca="false">IF(OR($M318="",FX=""),"",$M318*FX)</f>
        <v/>
      </c>
      <c r="O318" s="78" t="str">
        <f aca="false">IF(NOT(OR($A318&lt;&gt;"",$E318&lt;&gt;"")),"",IF($J318="Cancelled","Cancelled",IF($E318="","Amount missing",IF(OR($J318="Settled",$E318-N($F318)-N($H318)&lt;=0.005),"Realised",IF(N($H318)&gt;0,"Part realised",IF(N($F318)&gt;0,"Advance received","On hand"))))))</f>
        <v/>
      </c>
      <c r="P318" s="79" t="str">
        <f aca="false">IF(AND($V318=1,ISNUMBER($B318)),AsAt-$B318,"")</f>
        <v/>
      </c>
      <c r="Q318" s="78" t="str">
        <f aca="false">IF($V318&lt;&gt;1,"",IF($P318="","No invoice date",IF($P318&lt;=30,"0–30 days",IF($P318&lt;=60,"31–60 days",IF($P318&lt;=90,"61–90 days","Over 90 days")))))</f>
        <v/>
      </c>
      <c r="R318" s="80" t="str">
        <f aca="false">IF($V318=1,ROW(),"")</f>
        <v/>
      </c>
      <c r="S318" s="80" t="str">
        <f aca="false">IF(OR($A318&lt;&gt;"",$E318&lt;&gt;""),IF(TRIM($D318)="","Buyer not noted",TRIM($D318)),"")</f>
        <v/>
      </c>
      <c r="T318" s="80" t="n">
        <f aca="false">IF(AND($V318=1,ISNUMBER($M318)),$M318,0)</f>
        <v>0</v>
      </c>
      <c r="U318" s="80" t="str">
        <f aca="false">IF($V318=1,IF(COUNTIFS($S$7:$S318,$S318,$V$7:$V318,1)=1,SUMIFS($T$7:$T$1006,$S$7:$S$1006,$S318)-ROW()/1000000000,""),"")</f>
        <v/>
      </c>
      <c r="V318" s="80" t="n">
        <f aca="false">IF(OR($O318="On hand",$O318="Advance received",$O318="Part realised",$O318="Amount missing"),1,0)</f>
        <v>0</v>
      </c>
      <c r="W318" s="80" t="str">
        <f aca="false">IF(AND($V318=1,N($F318)&gt;0),ROW(),"")</f>
        <v/>
      </c>
      <c r="X318" s="80" t="n">
        <f aca="false">IF(AND(OR($A318&lt;&gt;"",$E318&lt;&gt;""),$O318&lt;&gt;"Cancelled",ISNUMBER($E318),N($F318)+N($H318)&gt;$E318+0.005),1,0)</f>
        <v>0</v>
      </c>
      <c r="Y318" s="80" t="n">
        <f aca="false">IF(AND(OR($A318&lt;&gt;"",$E318&lt;&gt;""),OR($A318="",$E318="")),1,0)</f>
        <v>0</v>
      </c>
      <c r="Z318" s="80" t="n">
        <f aca="false">IF(AND($A318&lt;&gt;"",COUNTIF($A$7:$A$1006,$A318)&gt;1),1,0)</f>
        <v>0</v>
      </c>
    </row>
    <row r="319" customFormat="false" ht="15" hidden="false" customHeight="false" outlineLevel="0" collapsed="false">
      <c r="A319" s="71"/>
      <c r="B319" s="72"/>
      <c r="C319" s="73"/>
      <c r="D319" s="73"/>
      <c r="E319" s="74"/>
      <c r="F319" s="74"/>
      <c r="G319" s="72"/>
      <c r="H319" s="74"/>
      <c r="I319" s="72"/>
      <c r="J319" s="73"/>
      <c r="K319" s="73"/>
      <c r="L319" s="75" t="str">
        <f aca="false">IF(OR($A319&lt;&gt;"",$E319&lt;&gt;""),N($F319)+N($H319),"")</f>
        <v/>
      </c>
      <c r="M319" s="76" t="str">
        <f aca="false">IF(OR($O319="",$O319="Cancelled",$O319="Amount missing"),"",IF($O319="Realised",0,$E319-N($F319)-N($H319)))</f>
        <v/>
      </c>
      <c r="N319" s="77" t="str">
        <f aca="false">IF(OR($M319="",FX=""),"",$M319*FX)</f>
        <v/>
      </c>
      <c r="O319" s="78" t="str">
        <f aca="false">IF(NOT(OR($A319&lt;&gt;"",$E319&lt;&gt;"")),"",IF($J319="Cancelled","Cancelled",IF($E319="","Amount missing",IF(OR($J319="Settled",$E319-N($F319)-N($H319)&lt;=0.005),"Realised",IF(N($H319)&gt;0,"Part realised",IF(N($F319)&gt;0,"Advance received","On hand"))))))</f>
        <v/>
      </c>
      <c r="P319" s="79" t="str">
        <f aca="false">IF(AND($V319=1,ISNUMBER($B319)),AsAt-$B319,"")</f>
        <v/>
      </c>
      <c r="Q319" s="78" t="str">
        <f aca="false">IF($V319&lt;&gt;1,"",IF($P319="","No invoice date",IF($P319&lt;=30,"0–30 days",IF($P319&lt;=60,"31–60 days",IF($P319&lt;=90,"61–90 days","Over 90 days")))))</f>
        <v/>
      </c>
      <c r="R319" s="80" t="str">
        <f aca="false">IF($V319=1,ROW(),"")</f>
        <v/>
      </c>
      <c r="S319" s="80" t="str">
        <f aca="false">IF(OR($A319&lt;&gt;"",$E319&lt;&gt;""),IF(TRIM($D319)="","Buyer not noted",TRIM($D319)),"")</f>
        <v/>
      </c>
      <c r="T319" s="80" t="n">
        <f aca="false">IF(AND($V319=1,ISNUMBER($M319)),$M319,0)</f>
        <v>0</v>
      </c>
      <c r="U319" s="80" t="str">
        <f aca="false">IF($V319=1,IF(COUNTIFS($S$7:$S319,$S319,$V$7:$V319,1)=1,SUMIFS($T$7:$T$1006,$S$7:$S$1006,$S319)-ROW()/1000000000,""),"")</f>
        <v/>
      </c>
      <c r="V319" s="80" t="n">
        <f aca="false">IF(OR($O319="On hand",$O319="Advance received",$O319="Part realised",$O319="Amount missing"),1,0)</f>
        <v>0</v>
      </c>
      <c r="W319" s="80" t="str">
        <f aca="false">IF(AND($V319=1,N($F319)&gt;0),ROW(),"")</f>
        <v/>
      </c>
      <c r="X319" s="80" t="n">
        <f aca="false">IF(AND(OR($A319&lt;&gt;"",$E319&lt;&gt;""),$O319&lt;&gt;"Cancelled",ISNUMBER($E319),N($F319)+N($H319)&gt;$E319+0.005),1,0)</f>
        <v>0</v>
      </c>
      <c r="Y319" s="80" t="n">
        <f aca="false">IF(AND(OR($A319&lt;&gt;"",$E319&lt;&gt;""),OR($A319="",$E319="")),1,0)</f>
        <v>0</v>
      </c>
      <c r="Z319" s="80" t="n">
        <f aca="false">IF(AND($A319&lt;&gt;"",COUNTIF($A$7:$A$1006,$A319)&gt;1),1,0)</f>
        <v>0</v>
      </c>
    </row>
    <row r="320" customFormat="false" ht="15" hidden="false" customHeight="false" outlineLevel="0" collapsed="false">
      <c r="A320" s="71"/>
      <c r="B320" s="72"/>
      <c r="C320" s="73"/>
      <c r="D320" s="73"/>
      <c r="E320" s="74"/>
      <c r="F320" s="74"/>
      <c r="G320" s="72"/>
      <c r="H320" s="74"/>
      <c r="I320" s="72"/>
      <c r="J320" s="73"/>
      <c r="K320" s="73"/>
      <c r="L320" s="75" t="str">
        <f aca="false">IF(OR($A320&lt;&gt;"",$E320&lt;&gt;""),N($F320)+N($H320),"")</f>
        <v/>
      </c>
      <c r="M320" s="76" t="str">
        <f aca="false">IF(OR($O320="",$O320="Cancelled",$O320="Amount missing"),"",IF($O320="Realised",0,$E320-N($F320)-N($H320)))</f>
        <v/>
      </c>
      <c r="N320" s="77" t="str">
        <f aca="false">IF(OR($M320="",FX=""),"",$M320*FX)</f>
        <v/>
      </c>
      <c r="O320" s="78" t="str">
        <f aca="false">IF(NOT(OR($A320&lt;&gt;"",$E320&lt;&gt;"")),"",IF($J320="Cancelled","Cancelled",IF($E320="","Amount missing",IF(OR($J320="Settled",$E320-N($F320)-N($H320)&lt;=0.005),"Realised",IF(N($H320)&gt;0,"Part realised",IF(N($F320)&gt;0,"Advance received","On hand"))))))</f>
        <v/>
      </c>
      <c r="P320" s="79" t="str">
        <f aca="false">IF(AND($V320=1,ISNUMBER($B320)),AsAt-$B320,"")</f>
        <v/>
      </c>
      <c r="Q320" s="78" t="str">
        <f aca="false">IF($V320&lt;&gt;1,"",IF($P320="","No invoice date",IF($P320&lt;=30,"0–30 days",IF($P320&lt;=60,"31–60 days",IF($P320&lt;=90,"61–90 days","Over 90 days")))))</f>
        <v/>
      </c>
      <c r="R320" s="80" t="str">
        <f aca="false">IF($V320=1,ROW(),"")</f>
        <v/>
      </c>
      <c r="S320" s="80" t="str">
        <f aca="false">IF(OR($A320&lt;&gt;"",$E320&lt;&gt;""),IF(TRIM($D320)="","Buyer not noted",TRIM($D320)),"")</f>
        <v/>
      </c>
      <c r="T320" s="80" t="n">
        <f aca="false">IF(AND($V320=1,ISNUMBER($M320)),$M320,0)</f>
        <v>0</v>
      </c>
      <c r="U320" s="80" t="str">
        <f aca="false">IF($V320=1,IF(COUNTIFS($S$7:$S320,$S320,$V$7:$V320,1)=1,SUMIFS($T$7:$T$1006,$S$7:$S$1006,$S320)-ROW()/1000000000,""),"")</f>
        <v/>
      </c>
      <c r="V320" s="80" t="n">
        <f aca="false">IF(OR($O320="On hand",$O320="Advance received",$O320="Part realised",$O320="Amount missing"),1,0)</f>
        <v>0</v>
      </c>
      <c r="W320" s="80" t="str">
        <f aca="false">IF(AND($V320=1,N($F320)&gt;0),ROW(),"")</f>
        <v/>
      </c>
      <c r="X320" s="80" t="n">
        <f aca="false">IF(AND(OR($A320&lt;&gt;"",$E320&lt;&gt;""),$O320&lt;&gt;"Cancelled",ISNUMBER($E320),N($F320)+N($H320)&gt;$E320+0.005),1,0)</f>
        <v>0</v>
      </c>
      <c r="Y320" s="80" t="n">
        <f aca="false">IF(AND(OR($A320&lt;&gt;"",$E320&lt;&gt;""),OR($A320="",$E320="")),1,0)</f>
        <v>0</v>
      </c>
      <c r="Z320" s="80" t="n">
        <f aca="false">IF(AND($A320&lt;&gt;"",COUNTIF($A$7:$A$1006,$A320)&gt;1),1,0)</f>
        <v>0</v>
      </c>
    </row>
    <row r="321" customFormat="false" ht="15" hidden="false" customHeight="false" outlineLevel="0" collapsed="false">
      <c r="A321" s="71"/>
      <c r="B321" s="72"/>
      <c r="C321" s="73"/>
      <c r="D321" s="73"/>
      <c r="E321" s="74"/>
      <c r="F321" s="74"/>
      <c r="G321" s="72"/>
      <c r="H321" s="74"/>
      <c r="I321" s="72"/>
      <c r="J321" s="73"/>
      <c r="K321" s="73"/>
      <c r="L321" s="75" t="str">
        <f aca="false">IF(OR($A321&lt;&gt;"",$E321&lt;&gt;""),N($F321)+N($H321),"")</f>
        <v/>
      </c>
      <c r="M321" s="76" t="str">
        <f aca="false">IF(OR($O321="",$O321="Cancelled",$O321="Amount missing"),"",IF($O321="Realised",0,$E321-N($F321)-N($H321)))</f>
        <v/>
      </c>
      <c r="N321" s="77" t="str">
        <f aca="false">IF(OR($M321="",FX=""),"",$M321*FX)</f>
        <v/>
      </c>
      <c r="O321" s="78" t="str">
        <f aca="false">IF(NOT(OR($A321&lt;&gt;"",$E321&lt;&gt;"")),"",IF($J321="Cancelled","Cancelled",IF($E321="","Amount missing",IF(OR($J321="Settled",$E321-N($F321)-N($H321)&lt;=0.005),"Realised",IF(N($H321)&gt;0,"Part realised",IF(N($F321)&gt;0,"Advance received","On hand"))))))</f>
        <v/>
      </c>
      <c r="P321" s="79" t="str">
        <f aca="false">IF(AND($V321=1,ISNUMBER($B321)),AsAt-$B321,"")</f>
        <v/>
      </c>
      <c r="Q321" s="78" t="str">
        <f aca="false">IF($V321&lt;&gt;1,"",IF($P321="","No invoice date",IF($P321&lt;=30,"0–30 days",IF($P321&lt;=60,"31–60 days",IF($P321&lt;=90,"61–90 days","Over 90 days")))))</f>
        <v/>
      </c>
      <c r="R321" s="80" t="str">
        <f aca="false">IF($V321=1,ROW(),"")</f>
        <v/>
      </c>
      <c r="S321" s="80" t="str">
        <f aca="false">IF(OR($A321&lt;&gt;"",$E321&lt;&gt;""),IF(TRIM($D321)="","Buyer not noted",TRIM($D321)),"")</f>
        <v/>
      </c>
      <c r="T321" s="80" t="n">
        <f aca="false">IF(AND($V321=1,ISNUMBER($M321)),$M321,0)</f>
        <v>0</v>
      </c>
      <c r="U321" s="80" t="str">
        <f aca="false">IF($V321=1,IF(COUNTIFS($S$7:$S321,$S321,$V$7:$V321,1)=1,SUMIFS($T$7:$T$1006,$S$7:$S$1006,$S321)-ROW()/1000000000,""),"")</f>
        <v/>
      </c>
      <c r="V321" s="80" t="n">
        <f aca="false">IF(OR($O321="On hand",$O321="Advance received",$O321="Part realised",$O321="Amount missing"),1,0)</f>
        <v>0</v>
      </c>
      <c r="W321" s="80" t="str">
        <f aca="false">IF(AND($V321=1,N($F321)&gt;0),ROW(),"")</f>
        <v/>
      </c>
      <c r="X321" s="80" t="n">
        <f aca="false">IF(AND(OR($A321&lt;&gt;"",$E321&lt;&gt;""),$O321&lt;&gt;"Cancelled",ISNUMBER($E321),N($F321)+N($H321)&gt;$E321+0.005),1,0)</f>
        <v>0</v>
      </c>
      <c r="Y321" s="80" t="n">
        <f aca="false">IF(AND(OR($A321&lt;&gt;"",$E321&lt;&gt;""),OR($A321="",$E321="")),1,0)</f>
        <v>0</v>
      </c>
      <c r="Z321" s="80" t="n">
        <f aca="false">IF(AND($A321&lt;&gt;"",COUNTIF($A$7:$A$1006,$A321)&gt;1),1,0)</f>
        <v>0</v>
      </c>
    </row>
    <row r="322" customFormat="false" ht="15" hidden="false" customHeight="false" outlineLevel="0" collapsed="false">
      <c r="A322" s="71"/>
      <c r="B322" s="72"/>
      <c r="C322" s="73"/>
      <c r="D322" s="73"/>
      <c r="E322" s="74"/>
      <c r="F322" s="74"/>
      <c r="G322" s="72"/>
      <c r="H322" s="74"/>
      <c r="I322" s="72"/>
      <c r="J322" s="73"/>
      <c r="K322" s="73"/>
      <c r="L322" s="75" t="str">
        <f aca="false">IF(OR($A322&lt;&gt;"",$E322&lt;&gt;""),N($F322)+N($H322),"")</f>
        <v/>
      </c>
      <c r="M322" s="76" t="str">
        <f aca="false">IF(OR($O322="",$O322="Cancelled",$O322="Amount missing"),"",IF($O322="Realised",0,$E322-N($F322)-N($H322)))</f>
        <v/>
      </c>
      <c r="N322" s="77" t="str">
        <f aca="false">IF(OR($M322="",FX=""),"",$M322*FX)</f>
        <v/>
      </c>
      <c r="O322" s="78" t="str">
        <f aca="false">IF(NOT(OR($A322&lt;&gt;"",$E322&lt;&gt;"")),"",IF($J322="Cancelled","Cancelled",IF($E322="","Amount missing",IF(OR($J322="Settled",$E322-N($F322)-N($H322)&lt;=0.005),"Realised",IF(N($H322)&gt;0,"Part realised",IF(N($F322)&gt;0,"Advance received","On hand"))))))</f>
        <v/>
      </c>
      <c r="P322" s="79" t="str">
        <f aca="false">IF(AND($V322=1,ISNUMBER($B322)),AsAt-$B322,"")</f>
        <v/>
      </c>
      <c r="Q322" s="78" t="str">
        <f aca="false">IF($V322&lt;&gt;1,"",IF($P322="","No invoice date",IF($P322&lt;=30,"0–30 days",IF($P322&lt;=60,"31–60 days",IF($P322&lt;=90,"61–90 days","Over 90 days")))))</f>
        <v/>
      </c>
      <c r="R322" s="80" t="str">
        <f aca="false">IF($V322=1,ROW(),"")</f>
        <v/>
      </c>
      <c r="S322" s="80" t="str">
        <f aca="false">IF(OR($A322&lt;&gt;"",$E322&lt;&gt;""),IF(TRIM($D322)="","Buyer not noted",TRIM($D322)),"")</f>
        <v/>
      </c>
      <c r="T322" s="80" t="n">
        <f aca="false">IF(AND($V322=1,ISNUMBER($M322)),$M322,0)</f>
        <v>0</v>
      </c>
      <c r="U322" s="80" t="str">
        <f aca="false">IF($V322=1,IF(COUNTIFS($S$7:$S322,$S322,$V$7:$V322,1)=1,SUMIFS($T$7:$T$1006,$S$7:$S$1006,$S322)-ROW()/1000000000,""),"")</f>
        <v/>
      </c>
      <c r="V322" s="80" t="n">
        <f aca="false">IF(OR($O322="On hand",$O322="Advance received",$O322="Part realised",$O322="Amount missing"),1,0)</f>
        <v>0</v>
      </c>
      <c r="W322" s="80" t="str">
        <f aca="false">IF(AND($V322=1,N($F322)&gt;0),ROW(),"")</f>
        <v/>
      </c>
      <c r="X322" s="80" t="n">
        <f aca="false">IF(AND(OR($A322&lt;&gt;"",$E322&lt;&gt;""),$O322&lt;&gt;"Cancelled",ISNUMBER($E322),N($F322)+N($H322)&gt;$E322+0.005),1,0)</f>
        <v>0</v>
      </c>
      <c r="Y322" s="80" t="n">
        <f aca="false">IF(AND(OR($A322&lt;&gt;"",$E322&lt;&gt;""),OR($A322="",$E322="")),1,0)</f>
        <v>0</v>
      </c>
      <c r="Z322" s="80" t="n">
        <f aca="false">IF(AND($A322&lt;&gt;"",COUNTIF($A$7:$A$1006,$A322)&gt;1),1,0)</f>
        <v>0</v>
      </c>
    </row>
    <row r="323" customFormat="false" ht="15" hidden="false" customHeight="false" outlineLevel="0" collapsed="false">
      <c r="A323" s="71"/>
      <c r="B323" s="72"/>
      <c r="C323" s="73"/>
      <c r="D323" s="73"/>
      <c r="E323" s="74"/>
      <c r="F323" s="74"/>
      <c r="G323" s="72"/>
      <c r="H323" s="74"/>
      <c r="I323" s="72"/>
      <c r="J323" s="73"/>
      <c r="K323" s="73"/>
      <c r="L323" s="75" t="str">
        <f aca="false">IF(OR($A323&lt;&gt;"",$E323&lt;&gt;""),N($F323)+N($H323),"")</f>
        <v/>
      </c>
      <c r="M323" s="76" t="str">
        <f aca="false">IF(OR($O323="",$O323="Cancelled",$O323="Amount missing"),"",IF($O323="Realised",0,$E323-N($F323)-N($H323)))</f>
        <v/>
      </c>
      <c r="N323" s="77" t="str">
        <f aca="false">IF(OR($M323="",FX=""),"",$M323*FX)</f>
        <v/>
      </c>
      <c r="O323" s="78" t="str">
        <f aca="false">IF(NOT(OR($A323&lt;&gt;"",$E323&lt;&gt;"")),"",IF($J323="Cancelled","Cancelled",IF($E323="","Amount missing",IF(OR($J323="Settled",$E323-N($F323)-N($H323)&lt;=0.005),"Realised",IF(N($H323)&gt;0,"Part realised",IF(N($F323)&gt;0,"Advance received","On hand"))))))</f>
        <v/>
      </c>
      <c r="P323" s="79" t="str">
        <f aca="false">IF(AND($V323=1,ISNUMBER($B323)),AsAt-$B323,"")</f>
        <v/>
      </c>
      <c r="Q323" s="78" t="str">
        <f aca="false">IF($V323&lt;&gt;1,"",IF($P323="","No invoice date",IF($P323&lt;=30,"0–30 days",IF($P323&lt;=60,"31–60 days",IF($P323&lt;=90,"61–90 days","Over 90 days")))))</f>
        <v/>
      </c>
      <c r="R323" s="80" t="str">
        <f aca="false">IF($V323=1,ROW(),"")</f>
        <v/>
      </c>
      <c r="S323" s="80" t="str">
        <f aca="false">IF(OR($A323&lt;&gt;"",$E323&lt;&gt;""),IF(TRIM($D323)="","Buyer not noted",TRIM($D323)),"")</f>
        <v/>
      </c>
      <c r="T323" s="80" t="n">
        <f aca="false">IF(AND($V323=1,ISNUMBER($M323)),$M323,0)</f>
        <v>0</v>
      </c>
      <c r="U323" s="80" t="str">
        <f aca="false">IF($V323=1,IF(COUNTIFS($S$7:$S323,$S323,$V$7:$V323,1)=1,SUMIFS($T$7:$T$1006,$S$7:$S$1006,$S323)-ROW()/1000000000,""),"")</f>
        <v/>
      </c>
      <c r="V323" s="80" t="n">
        <f aca="false">IF(OR($O323="On hand",$O323="Advance received",$O323="Part realised",$O323="Amount missing"),1,0)</f>
        <v>0</v>
      </c>
      <c r="W323" s="80" t="str">
        <f aca="false">IF(AND($V323=1,N($F323)&gt;0),ROW(),"")</f>
        <v/>
      </c>
      <c r="X323" s="80" t="n">
        <f aca="false">IF(AND(OR($A323&lt;&gt;"",$E323&lt;&gt;""),$O323&lt;&gt;"Cancelled",ISNUMBER($E323),N($F323)+N($H323)&gt;$E323+0.005),1,0)</f>
        <v>0</v>
      </c>
      <c r="Y323" s="80" t="n">
        <f aca="false">IF(AND(OR($A323&lt;&gt;"",$E323&lt;&gt;""),OR($A323="",$E323="")),1,0)</f>
        <v>0</v>
      </c>
      <c r="Z323" s="80" t="n">
        <f aca="false">IF(AND($A323&lt;&gt;"",COUNTIF($A$7:$A$1006,$A323)&gt;1),1,0)</f>
        <v>0</v>
      </c>
    </row>
    <row r="324" customFormat="false" ht="15" hidden="false" customHeight="false" outlineLevel="0" collapsed="false">
      <c r="A324" s="71"/>
      <c r="B324" s="72"/>
      <c r="C324" s="73"/>
      <c r="D324" s="73"/>
      <c r="E324" s="74"/>
      <c r="F324" s="74"/>
      <c r="G324" s="72"/>
      <c r="H324" s="74"/>
      <c r="I324" s="72"/>
      <c r="J324" s="73"/>
      <c r="K324" s="73"/>
      <c r="L324" s="75" t="str">
        <f aca="false">IF(OR($A324&lt;&gt;"",$E324&lt;&gt;""),N($F324)+N($H324),"")</f>
        <v/>
      </c>
      <c r="M324" s="76" t="str">
        <f aca="false">IF(OR($O324="",$O324="Cancelled",$O324="Amount missing"),"",IF($O324="Realised",0,$E324-N($F324)-N($H324)))</f>
        <v/>
      </c>
      <c r="N324" s="77" t="str">
        <f aca="false">IF(OR($M324="",FX=""),"",$M324*FX)</f>
        <v/>
      </c>
      <c r="O324" s="78" t="str">
        <f aca="false">IF(NOT(OR($A324&lt;&gt;"",$E324&lt;&gt;"")),"",IF($J324="Cancelled","Cancelled",IF($E324="","Amount missing",IF(OR($J324="Settled",$E324-N($F324)-N($H324)&lt;=0.005),"Realised",IF(N($H324)&gt;0,"Part realised",IF(N($F324)&gt;0,"Advance received","On hand"))))))</f>
        <v/>
      </c>
      <c r="P324" s="79" t="str">
        <f aca="false">IF(AND($V324=1,ISNUMBER($B324)),AsAt-$B324,"")</f>
        <v/>
      </c>
      <c r="Q324" s="78" t="str">
        <f aca="false">IF($V324&lt;&gt;1,"",IF($P324="","No invoice date",IF($P324&lt;=30,"0–30 days",IF($P324&lt;=60,"31–60 days",IF($P324&lt;=90,"61–90 days","Over 90 days")))))</f>
        <v/>
      </c>
      <c r="R324" s="80" t="str">
        <f aca="false">IF($V324=1,ROW(),"")</f>
        <v/>
      </c>
      <c r="S324" s="80" t="str">
        <f aca="false">IF(OR($A324&lt;&gt;"",$E324&lt;&gt;""),IF(TRIM($D324)="","Buyer not noted",TRIM($D324)),"")</f>
        <v/>
      </c>
      <c r="T324" s="80" t="n">
        <f aca="false">IF(AND($V324=1,ISNUMBER($M324)),$M324,0)</f>
        <v>0</v>
      </c>
      <c r="U324" s="80" t="str">
        <f aca="false">IF($V324=1,IF(COUNTIFS($S$7:$S324,$S324,$V$7:$V324,1)=1,SUMIFS($T$7:$T$1006,$S$7:$S$1006,$S324)-ROW()/1000000000,""),"")</f>
        <v/>
      </c>
      <c r="V324" s="80" t="n">
        <f aca="false">IF(OR($O324="On hand",$O324="Advance received",$O324="Part realised",$O324="Amount missing"),1,0)</f>
        <v>0</v>
      </c>
      <c r="W324" s="80" t="str">
        <f aca="false">IF(AND($V324=1,N($F324)&gt;0),ROW(),"")</f>
        <v/>
      </c>
      <c r="X324" s="80" t="n">
        <f aca="false">IF(AND(OR($A324&lt;&gt;"",$E324&lt;&gt;""),$O324&lt;&gt;"Cancelled",ISNUMBER($E324),N($F324)+N($H324)&gt;$E324+0.005),1,0)</f>
        <v>0</v>
      </c>
      <c r="Y324" s="80" t="n">
        <f aca="false">IF(AND(OR($A324&lt;&gt;"",$E324&lt;&gt;""),OR($A324="",$E324="")),1,0)</f>
        <v>0</v>
      </c>
      <c r="Z324" s="80" t="n">
        <f aca="false">IF(AND($A324&lt;&gt;"",COUNTIF($A$7:$A$1006,$A324)&gt;1),1,0)</f>
        <v>0</v>
      </c>
    </row>
    <row r="325" customFormat="false" ht="15" hidden="false" customHeight="false" outlineLevel="0" collapsed="false">
      <c r="A325" s="71"/>
      <c r="B325" s="72"/>
      <c r="C325" s="73"/>
      <c r="D325" s="73"/>
      <c r="E325" s="74"/>
      <c r="F325" s="74"/>
      <c r="G325" s="72"/>
      <c r="H325" s="74"/>
      <c r="I325" s="72"/>
      <c r="J325" s="73"/>
      <c r="K325" s="73"/>
      <c r="L325" s="75" t="str">
        <f aca="false">IF(OR($A325&lt;&gt;"",$E325&lt;&gt;""),N($F325)+N($H325),"")</f>
        <v/>
      </c>
      <c r="M325" s="76" t="str">
        <f aca="false">IF(OR($O325="",$O325="Cancelled",$O325="Amount missing"),"",IF($O325="Realised",0,$E325-N($F325)-N($H325)))</f>
        <v/>
      </c>
      <c r="N325" s="77" t="str">
        <f aca="false">IF(OR($M325="",FX=""),"",$M325*FX)</f>
        <v/>
      </c>
      <c r="O325" s="78" t="str">
        <f aca="false">IF(NOT(OR($A325&lt;&gt;"",$E325&lt;&gt;"")),"",IF($J325="Cancelled","Cancelled",IF($E325="","Amount missing",IF(OR($J325="Settled",$E325-N($F325)-N($H325)&lt;=0.005),"Realised",IF(N($H325)&gt;0,"Part realised",IF(N($F325)&gt;0,"Advance received","On hand"))))))</f>
        <v/>
      </c>
      <c r="P325" s="79" t="str">
        <f aca="false">IF(AND($V325=1,ISNUMBER($B325)),AsAt-$B325,"")</f>
        <v/>
      </c>
      <c r="Q325" s="78" t="str">
        <f aca="false">IF($V325&lt;&gt;1,"",IF($P325="","No invoice date",IF($P325&lt;=30,"0–30 days",IF($P325&lt;=60,"31–60 days",IF($P325&lt;=90,"61–90 days","Over 90 days")))))</f>
        <v/>
      </c>
      <c r="R325" s="80" t="str">
        <f aca="false">IF($V325=1,ROW(),"")</f>
        <v/>
      </c>
      <c r="S325" s="80" t="str">
        <f aca="false">IF(OR($A325&lt;&gt;"",$E325&lt;&gt;""),IF(TRIM($D325)="","Buyer not noted",TRIM($D325)),"")</f>
        <v/>
      </c>
      <c r="T325" s="80" t="n">
        <f aca="false">IF(AND($V325=1,ISNUMBER($M325)),$M325,0)</f>
        <v>0</v>
      </c>
      <c r="U325" s="80" t="str">
        <f aca="false">IF($V325=1,IF(COUNTIFS($S$7:$S325,$S325,$V$7:$V325,1)=1,SUMIFS($T$7:$T$1006,$S$7:$S$1006,$S325)-ROW()/1000000000,""),"")</f>
        <v/>
      </c>
      <c r="V325" s="80" t="n">
        <f aca="false">IF(OR($O325="On hand",$O325="Advance received",$O325="Part realised",$O325="Amount missing"),1,0)</f>
        <v>0</v>
      </c>
      <c r="W325" s="80" t="str">
        <f aca="false">IF(AND($V325=1,N($F325)&gt;0),ROW(),"")</f>
        <v/>
      </c>
      <c r="X325" s="80" t="n">
        <f aca="false">IF(AND(OR($A325&lt;&gt;"",$E325&lt;&gt;""),$O325&lt;&gt;"Cancelled",ISNUMBER($E325),N($F325)+N($H325)&gt;$E325+0.005),1,0)</f>
        <v>0</v>
      </c>
      <c r="Y325" s="80" t="n">
        <f aca="false">IF(AND(OR($A325&lt;&gt;"",$E325&lt;&gt;""),OR($A325="",$E325="")),1,0)</f>
        <v>0</v>
      </c>
      <c r="Z325" s="80" t="n">
        <f aca="false">IF(AND($A325&lt;&gt;"",COUNTIF($A$7:$A$1006,$A325)&gt;1),1,0)</f>
        <v>0</v>
      </c>
    </row>
    <row r="326" customFormat="false" ht="15" hidden="false" customHeight="false" outlineLevel="0" collapsed="false">
      <c r="A326" s="71"/>
      <c r="B326" s="72"/>
      <c r="C326" s="73"/>
      <c r="D326" s="73"/>
      <c r="E326" s="74"/>
      <c r="F326" s="74"/>
      <c r="G326" s="72"/>
      <c r="H326" s="74"/>
      <c r="I326" s="72"/>
      <c r="J326" s="73"/>
      <c r="K326" s="73"/>
      <c r="L326" s="75" t="str">
        <f aca="false">IF(OR($A326&lt;&gt;"",$E326&lt;&gt;""),N($F326)+N($H326),"")</f>
        <v/>
      </c>
      <c r="M326" s="76" t="str">
        <f aca="false">IF(OR($O326="",$O326="Cancelled",$O326="Amount missing"),"",IF($O326="Realised",0,$E326-N($F326)-N($H326)))</f>
        <v/>
      </c>
      <c r="N326" s="77" t="str">
        <f aca="false">IF(OR($M326="",FX=""),"",$M326*FX)</f>
        <v/>
      </c>
      <c r="O326" s="78" t="str">
        <f aca="false">IF(NOT(OR($A326&lt;&gt;"",$E326&lt;&gt;"")),"",IF($J326="Cancelled","Cancelled",IF($E326="","Amount missing",IF(OR($J326="Settled",$E326-N($F326)-N($H326)&lt;=0.005),"Realised",IF(N($H326)&gt;0,"Part realised",IF(N($F326)&gt;0,"Advance received","On hand"))))))</f>
        <v/>
      </c>
      <c r="P326" s="79" t="str">
        <f aca="false">IF(AND($V326=1,ISNUMBER($B326)),AsAt-$B326,"")</f>
        <v/>
      </c>
      <c r="Q326" s="78" t="str">
        <f aca="false">IF($V326&lt;&gt;1,"",IF($P326="","No invoice date",IF($P326&lt;=30,"0–30 days",IF($P326&lt;=60,"31–60 days",IF($P326&lt;=90,"61–90 days","Over 90 days")))))</f>
        <v/>
      </c>
      <c r="R326" s="80" t="str">
        <f aca="false">IF($V326=1,ROW(),"")</f>
        <v/>
      </c>
      <c r="S326" s="80" t="str">
        <f aca="false">IF(OR($A326&lt;&gt;"",$E326&lt;&gt;""),IF(TRIM($D326)="","Buyer not noted",TRIM($D326)),"")</f>
        <v/>
      </c>
      <c r="T326" s="80" t="n">
        <f aca="false">IF(AND($V326=1,ISNUMBER($M326)),$M326,0)</f>
        <v>0</v>
      </c>
      <c r="U326" s="80" t="str">
        <f aca="false">IF($V326=1,IF(COUNTIFS($S$7:$S326,$S326,$V$7:$V326,1)=1,SUMIFS($T$7:$T$1006,$S$7:$S$1006,$S326)-ROW()/1000000000,""),"")</f>
        <v/>
      </c>
      <c r="V326" s="80" t="n">
        <f aca="false">IF(OR($O326="On hand",$O326="Advance received",$O326="Part realised",$O326="Amount missing"),1,0)</f>
        <v>0</v>
      </c>
      <c r="W326" s="80" t="str">
        <f aca="false">IF(AND($V326=1,N($F326)&gt;0),ROW(),"")</f>
        <v/>
      </c>
      <c r="X326" s="80" t="n">
        <f aca="false">IF(AND(OR($A326&lt;&gt;"",$E326&lt;&gt;""),$O326&lt;&gt;"Cancelled",ISNUMBER($E326),N($F326)+N($H326)&gt;$E326+0.005),1,0)</f>
        <v>0</v>
      </c>
      <c r="Y326" s="80" t="n">
        <f aca="false">IF(AND(OR($A326&lt;&gt;"",$E326&lt;&gt;""),OR($A326="",$E326="")),1,0)</f>
        <v>0</v>
      </c>
      <c r="Z326" s="80" t="n">
        <f aca="false">IF(AND($A326&lt;&gt;"",COUNTIF($A$7:$A$1006,$A326)&gt;1),1,0)</f>
        <v>0</v>
      </c>
    </row>
    <row r="327" customFormat="false" ht="15" hidden="false" customHeight="false" outlineLevel="0" collapsed="false">
      <c r="A327" s="71"/>
      <c r="B327" s="72"/>
      <c r="C327" s="73"/>
      <c r="D327" s="73"/>
      <c r="E327" s="74"/>
      <c r="F327" s="74"/>
      <c r="G327" s="72"/>
      <c r="H327" s="74"/>
      <c r="I327" s="72"/>
      <c r="J327" s="73"/>
      <c r="K327" s="73"/>
      <c r="L327" s="75" t="str">
        <f aca="false">IF(OR($A327&lt;&gt;"",$E327&lt;&gt;""),N($F327)+N($H327),"")</f>
        <v/>
      </c>
      <c r="M327" s="76" t="str">
        <f aca="false">IF(OR($O327="",$O327="Cancelled",$O327="Amount missing"),"",IF($O327="Realised",0,$E327-N($F327)-N($H327)))</f>
        <v/>
      </c>
      <c r="N327" s="77" t="str">
        <f aca="false">IF(OR($M327="",FX=""),"",$M327*FX)</f>
        <v/>
      </c>
      <c r="O327" s="78" t="str">
        <f aca="false">IF(NOT(OR($A327&lt;&gt;"",$E327&lt;&gt;"")),"",IF($J327="Cancelled","Cancelled",IF($E327="","Amount missing",IF(OR($J327="Settled",$E327-N($F327)-N($H327)&lt;=0.005),"Realised",IF(N($H327)&gt;0,"Part realised",IF(N($F327)&gt;0,"Advance received","On hand"))))))</f>
        <v/>
      </c>
      <c r="P327" s="79" t="str">
        <f aca="false">IF(AND($V327=1,ISNUMBER($B327)),AsAt-$B327,"")</f>
        <v/>
      </c>
      <c r="Q327" s="78" t="str">
        <f aca="false">IF($V327&lt;&gt;1,"",IF($P327="","No invoice date",IF($P327&lt;=30,"0–30 days",IF($P327&lt;=60,"31–60 days",IF($P327&lt;=90,"61–90 days","Over 90 days")))))</f>
        <v/>
      </c>
      <c r="R327" s="80" t="str">
        <f aca="false">IF($V327=1,ROW(),"")</f>
        <v/>
      </c>
      <c r="S327" s="80" t="str">
        <f aca="false">IF(OR($A327&lt;&gt;"",$E327&lt;&gt;""),IF(TRIM($D327)="","Buyer not noted",TRIM($D327)),"")</f>
        <v/>
      </c>
      <c r="T327" s="80" t="n">
        <f aca="false">IF(AND($V327=1,ISNUMBER($M327)),$M327,0)</f>
        <v>0</v>
      </c>
      <c r="U327" s="80" t="str">
        <f aca="false">IF($V327=1,IF(COUNTIFS($S$7:$S327,$S327,$V$7:$V327,1)=1,SUMIFS($T$7:$T$1006,$S$7:$S$1006,$S327)-ROW()/1000000000,""),"")</f>
        <v/>
      </c>
      <c r="V327" s="80" t="n">
        <f aca="false">IF(OR($O327="On hand",$O327="Advance received",$O327="Part realised",$O327="Amount missing"),1,0)</f>
        <v>0</v>
      </c>
      <c r="W327" s="80" t="str">
        <f aca="false">IF(AND($V327=1,N($F327)&gt;0),ROW(),"")</f>
        <v/>
      </c>
      <c r="X327" s="80" t="n">
        <f aca="false">IF(AND(OR($A327&lt;&gt;"",$E327&lt;&gt;""),$O327&lt;&gt;"Cancelled",ISNUMBER($E327),N($F327)+N($H327)&gt;$E327+0.005),1,0)</f>
        <v>0</v>
      </c>
      <c r="Y327" s="80" t="n">
        <f aca="false">IF(AND(OR($A327&lt;&gt;"",$E327&lt;&gt;""),OR($A327="",$E327="")),1,0)</f>
        <v>0</v>
      </c>
      <c r="Z327" s="80" t="n">
        <f aca="false">IF(AND($A327&lt;&gt;"",COUNTIF($A$7:$A$1006,$A327)&gt;1),1,0)</f>
        <v>0</v>
      </c>
    </row>
    <row r="328" customFormat="false" ht="15" hidden="false" customHeight="false" outlineLevel="0" collapsed="false">
      <c r="A328" s="71"/>
      <c r="B328" s="72"/>
      <c r="C328" s="73"/>
      <c r="D328" s="73"/>
      <c r="E328" s="74"/>
      <c r="F328" s="74"/>
      <c r="G328" s="72"/>
      <c r="H328" s="74"/>
      <c r="I328" s="72"/>
      <c r="J328" s="73"/>
      <c r="K328" s="73"/>
      <c r="L328" s="75" t="str">
        <f aca="false">IF(OR($A328&lt;&gt;"",$E328&lt;&gt;""),N($F328)+N($H328),"")</f>
        <v/>
      </c>
      <c r="M328" s="76" t="str">
        <f aca="false">IF(OR($O328="",$O328="Cancelled",$O328="Amount missing"),"",IF($O328="Realised",0,$E328-N($F328)-N($H328)))</f>
        <v/>
      </c>
      <c r="N328" s="77" t="str">
        <f aca="false">IF(OR($M328="",FX=""),"",$M328*FX)</f>
        <v/>
      </c>
      <c r="O328" s="78" t="str">
        <f aca="false">IF(NOT(OR($A328&lt;&gt;"",$E328&lt;&gt;"")),"",IF($J328="Cancelled","Cancelled",IF($E328="","Amount missing",IF(OR($J328="Settled",$E328-N($F328)-N($H328)&lt;=0.005),"Realised",IF(N($H328)&gt;0,"Part realised",IF(N($F328)&gt;0,"Advance received","On hand"))))))</f>
        <v/>
      </c>
      <c r="P328" s="79" t="str">
        <f aca="false">IF(AND($V328=1,ISNUMBER($B328)),AsAt-$B328,"")</f>
        <v/>
      </c>
      <c r="Q328" s="78" t="str">
        <f aca="false">IF($V328&lt;&gt;1,"",IF($P328="","No invoice date",IF($P328&lt;=30,"0–30 days",IF($P328&lt;=60,"31–60 days",IF($P328&lt;=90,"61–90 days","Over 90 days")))))</f>
        <v/>
      </c>
      <c r="R328" s="80" t="str">
        <f aca="false">IF($V328=1,ROW(),"")</f>
        <v/>
      </c>
      <c r="S328" s="80" t="str">
        <f aca="false">IF(OR($A328&lt;&gt;"",$E328&lt;&gt;""),IF(TRIM($D328)="","Buyer not noted",TRIM($D328)),"")</f>
        <v/>
      </c>
      <c r="T328" s="80" t="n">
        <f aca="false">IF(AND($V328=1,ISNUMBER($M328)),$M328,0)</f>
        <v>0</v>
      </c>
      <c r="U328" s="80" t="str">
        <f aca="false">IF($V328=1,IF(COUNTIFS($S$7:$S328,$S328,$V$7:$V328,1)=1,SUMIFS($T$7:$T$1006,$S$7:$S$1006,$S328)-ROW()/1000000000,""),"")</f>
        <v/>
      </c>
      <c r="V328" s="80" t="n">
        <f aca="false">IF(OR($O328="On hand",$O328="Advance received",$O328="Part realised",$O328="Amount missing"),1,0)</f>
        <v>0</v>
      </c>
      <c r="W328" s="80" t="str">
        <f aca="false">IF(AND($V328=1,N($F328)&gt;0),ROW(),"")</f>
        <v/>
      </c>
      <c r="X328" s="80" t="n">
        <f aca="false">IF(AND(OR($A328&lt;&gt;"",$E328&lt;&gt;""),$O328&lt;&gt;"Cancelled",ISNUMBER($E328),N($F328)+N($H328)&gt;$E328+0.005),1,0)</f>
        <v>0</v>
      </c>
      <c r="Y328" s="80" t="n">
        <f aca="false">IF(AND(OR($A328&lt;&gt;"",$E328&lt;&gt;""),OR($A328="",$E328="")),1,0)</f>
        <v>0</v>
      </c>
      <c r="Z328" s="80" t="n">
        <f aca="false">IF(AND($A328&lt;&gt;"",COUNTIF($A$7:$A$1006,$A328)&gt;1),1,0)</f>
        <v>0</v>
      </c>
    </row>
    <row r="329" customFormat="false" ht="15" hidden="false" customHeight="false" outlineLevel="0" collapsed="false">
      <c r="A329" s="71"/>
      <c r="B329" s="72"/>
      <c r="C329" s="73"/>
      <c r="D329" s="73"/>
      <c r="E329" s="74"/>
      <c r="F329" s="74"/>
      <c r="G329" s="72"/>
      <c r="H329" s="74"/>
      <c r="I329" s="72"/>
      <c r="J329" s="73"/>
      <c r="K329" s="73"/>
      <c r="L329" s="75" t="str">
        <f aca="false">IF(OR($A329&lt;&gt;"",$E329&lt;&gt;""),N($F329)+N($H329),"")</f>
        <v/>
      </c>
      <c r="M329" s="76" t="str">
        <f aca="false">IF(OR($O329="",$O329="Cancelled",$O329="Amount missing"),"",IF($O329="Realised",0,$E329-N($F329)-N($H329)))</f>
        <v/>
      </c>
      <c r="N329" s="77" t="str">
        <f aca="false">IF(OR($M329="",FX=""),"",$M329*FX)</f>
        <v/>
      </c>
      <c r="O329" s="78" t="str">
        <f aca="false">IF(NOT(OR($A329&lt;&gt;"",$E329&lt;&gt;"")),"",IF($J329="Cancelled","Cancelled",IF($E329="","Amount missing",IF(OR($J329="Settled",$E329-N($F329)-N($H329)&lt;=0.005),"Realised",IF(N($H329)&gt;0,"Part realised",IF(N($F329)&gt;0,"Advance received","On hand"))))))</f>
        <v/>
      </c>
      <c r="P329" s="79" t="str">
        <f aca="false">IF(AND($V329=1,ISNUMBER($B329)),AsAt-$B329,"")</f>
        <v/>
      </c>
      <c r="Q329" s="78" t="str">
        <f aca="false">IF($V329&lt;&gt;1,"",IF($P329="","No invoice date",IF($P329&lt;=30,"0–30 days",IF($P329&lt;=60,"31–60 days",IF($P329&lt;=90,"61–90 days","Over 90 days")))))</f>
        <v/>
      </c>
      <c r="R329" s="80" t="str">
        <f aca="false">IF($V329=1,ROW(),"")</f>
        <v/>
      </c>
      <c r="S329" s="80" t="str">
        <f aca="false">IF(OR($A329&lt;&gt;"",$E329&lt;&gt;""),IF(TRIM($D329)="","Buyer not noted",TRIM($D329)),"")</f>
        <v/>
      </c>
      <c r="T329" s="80" t="n">
        <f aca="false">IF(AND($V329=1,ISNUMBER($M329)),$M329,0)</f>
        <v>0</v>
      </c>
      <c r="U329" s="80" t="str">
        <f aca="false">IF($V329=1,IF(COUNTIFS($S$7:$S329,$S329,$V$7:$V329,1)=1,SUMIFS($T$7:$T$1006,$S$7:$S$1006,$S329)-ROW()/1000000000,""),"")</f>
        <v/>
      </c>
      <c r="V329" s="80" t="n">
        <f aca="false">IF(OR($O329="On hand",$O329="Advance received",$O329="Part realised",$O329="Amount missing"),1,0)</f>
        <v>0</v>
      </c>
      <c r="W329" s="80" t="str">
        <f aca="false">IF(AND($V329=1,N($F329)&gt;0),ROW(),"")</f>
        <v/>
      </c>
      <c r="X329" s="80" t="n">
        <f aca="false">IF(AND(OR($A329&lt;&gt;"",$E329&lt;&gt;""),$O329&lt;&gt;"Cancelled",ISNUMBER($E329),N($F329)+N($H329)&gt;$E329+0.005),1,0)</f>
        <v>0</v>
      </c>
      <c r="Y329" s="80" t="n">
        <f aca="false">IF(AND(OR($A329&lt;&gt;"",$E329&lt;&gt;""),OR($A329="",$E329="")),1,0)</f>
        <v>0</v>
      </c>
      <c r="Z329" s="80" t="n">
        <f aca="false">IF(AND($A329&lt;&gt;"",COUNTIF($A$7:$A$1006,$A329)&gt;1),1,0)</f>
        <v>0</v>
      </c>
    </row>
    <row r="330" customFormat="false" ht="15" hidden="false" customHeight="false" outlineLevel="0" collapsed="false">
      <c r="A330" s="71"/>
      <c r="B330" s="72"/>
      <c r="C330" s="73"/>
      <c r="D330" s="73"/>
      <c r="E330" s="74"/>
      <c r="F330" s="74"/>
      <c r="G330" s="72"/>
      <c r="H330" s="74"/>
      <c r="I330" s="72"/>
      <c r="J330" s="73"/>
      <c r="K330" s="73"/>
      <c r="L330" s="75" t="str">
        <f aca="false">IF(OR($A330&lt;&gt;"",$E330&lt;&gt;""),N($F330)+N($H330),"")</f>
        <v/>
      </c>
      <c r="M330" s="76" t="str">
        <f aca="false">IF(OR($O330="",$O330="Cancelled",$O330="Amount missing"),"",IF($O330="Realised",0,$E330-N($F330)-N($H330)))</f>
        <v/>
      </c>
      <c r="N330" s="77" t="str">
        <f aca="false">IF(OR($M330="",FX=""),"",$M330*FX)</f>
        <v/>
      </c>
      <c r="O330" s="78" t="str">
        <f aca="false">IF(NOT(OR($A330&lt;&gt;"",$E330&lt;&gt;"")),"",IF($J330="Cancelled","Cancelled",IF($E330="","Amount missing",IF(OR($J330="Settled",$E330-N($F330)-N($H330)&lt;=0.005),"Realised",IF(N($H330)&gt;0,"Part realised",IF(N($F330)&gt;0,"Advance received","On hand"))))))</f>
        <v/>
      </c>
      <c r="P330" s="79" t="str">
        <f aca="false">IF(AND($V330=1,ISNUMBER($B330)),AsAt-$B330,"")</f>
        <v/>
      </c>
      <c r="Q330" s="78" t="str">
        <f aca="false">IF($V330&lt;&gt;1,"",IF($P330="","No invoice date",IF($P330&lt;=30,"0–30 days",IF($P330&lt;=60,"31–60 days",IF($P330&lt;=90,"61–90 days","Over 90 days")))))</f>
        <v/>
      </c>
      <c r="R330" s="80" t="str">
        <f aca="false">IF($V330=1,ROW(),"")</f>
        <v/>
      </c>
      <c r="S330" s="80" t="str">
        <f aca="false">IF(OR($A330&lt;&gt;"",$E330&lt;&gt;""),IF(TRIM($D330)="","Buyer not noted",TRIM($D330)),"")</f>
        <v/>
      </c>
      <c r="T330" s="80" t="n">
        <f aca="false">IF(AND($V330=1,ISNUMBER($M330)),$M330,0)</f>
        <v>0</v>
      </c>
      <c r="U330" s="80" t="str">
        <f aca="false">IF($V330=1,IF(COUNTIFS($S$7:$S330,$S330,$V$7:$V330,1)=1,SUMIFS($T$7:$T$1006,$S$7:$S$1006,$S330)-ROW()/1000000000,""),"")</f>
        <v/>
      </c>
      <c r="V330" s="80" t="n">
        <f aca="false">IF(OR($O330="On hand",$O330="Advance received",$O330="Part realised",$O330="Amount missing"),1,0)</f>
        <v>0</v>
      </c>
      <c r="W330" s="80" t="str">
        <f aca="false">IF(AND($V330=1,N($F330)&gt;0),ROW(),"")</f>
        <v/>
      </c>
      <c r="X330" s="80" t="n">
        <f aca="false">IF(AND(OR($A330&lt;&gt;"",$E330&lt;&gt;""),$O330&lt;&gt;"Cancelled",ISNUMBER($E330),N($F330)+N($H330)&gt;$E330+0.005),1,0)</f>
        <v>0</v>
      </c>
      <c r="Y330" s="80" t="n">
        <f aca="false">IF(AND(OR($A330&lt;&gt;"",$E330&lt;&gt;""),OR($A330="",$E330="")),1,0)</f>
        <v>0</v>
      </c>
      <c r="Z330" s="80" t="n">
        <f aca="false">IF(AND($A330&lt;&gt;"",COUNTIF($A$7:$A$1006,$A330)&gt;1),1,0)</f>
        <v>0</v>
      </c>
    </row>
    <row r="331" customFormat="false" ht="15" hidden="false" customHeight="false" outlineLevel="0" collapsed="false">
      <c r="A331" s="71"/>
      <c r="B331" s="72"/>
      <c r="C331" s="73"/>
      <c r="D331" s="73"/>
      <c r="E331" s="74"/>
      <c r="F331" s="74"/>
      <c r="G331" s="72"/>
      <c r="H331" s="74"/>
      <c r="I331" s="72"/>
      <c r="J331" s="73"/>
      <c r="K331" s="73"/>
      <c r="L331" s="75" t="str">
        <f aca="false">IF(OR($A331&lt;&gt;"",$E331&lt;&gt;""),N($F331)+N($H331),"")</f>
        <v/>
      </c>
      <c r="M331" s="76" t="str">
        <f aca="false">IF(OR($O331="",$O331="Cancelled",$O331="Amount missing"),"",IF($O331="Realised",0,$E331-N($F331)-N($H331)))</f>
        <v/>
      </c>
      <c r="N331" s="77" t="str">
        <f aca="false">IF(OR($M331="",FX=""),"",$M331*FX)</f>
        <v/>
      </c>
      <c r="O331" s="78" t="str">
        <f aca="false">IF(NOT(OR($A331&lt;&gt;"",$E331&lt;&gt;"")),"",IF($J331="Cancelled","Cancelled",IF($E331="","Amount missing",IF(OR($J331="Settled",$E331-N($F331)-N($H331)&lt;=0.005),"Realised",IF(N($H331)&gt;0,"Part realised",IF(N($F331)&gt;0,"Advance received","On hand"))))))</f>
        <v/>
      </c>
      <c r="P331" s="79" t="str">
        <f aca="false">IF(AND($V331=1,ISNUMBER($B331)),AsAt-$B331,"")</f>
        <v/>
      </c>
      <c r="Q331" s="78" t="str">
        <f aca="false">IF($V331&lt;&gt;1,"",IF($P331="","No invoice date",IF($P331&lt;=30,"0–30 days",IF($P331&lt;=60,"31–60 days",IF($P331&lt;=90,"61–90 days","Over 90 days")))))</f>
        <v/>
      </c>
      <c r="R331" s="80" t="str">
        <f aca="false">IF($V331=1,ROW(),"")</f>
        <v/>
      </c>
      <c r="S331" s="80" t="str">
        <f aca="false">IF(OR($A331&lt;&gt;"",$E331&lt;&gt;""),IF(TRIM($D331)="","Buyer not noted",TRIM($D331)),"")</f>
        <v/>
      </c>
      <c r="T331" s="80" t="n">
        <f aca="false">IF(AND($V331=1,ISNUMBER($M331)),$M331,0)</f>
        <v>0</v>
      </c>
      <c r="U331" s="80" t="str">
        <f aca="false">IF($V331=1,IF(COUNTIFS($S$7:$S331,$S331,$V$7:$V331,1)=1,SUMIFS($T$7:$T$1006,$S$7:$S$1006,$S331)-ROW()/1000000000,""),"")</f>
        <v/>
      </c>
      <c r="V331" s="80" t="n">
        <f aca="false">IF(OR($O331="On hand",$O331="Advance received",$O331="Part realised",$O331="Amount missing"),1,0)</f>
        <v>0</v>
      </c>
      <c r="W331" s="80" t="str">
        <f aca="false">IF(AND($V331=1,N($F331)&gt;0),ROW(),"")</f>
        <v/>
      </c>
      <c r="X331" s="80" t="n">
        <f aca="false">IF(AND(OR($A331&lt;&gt;"",$E331&lt;&gt;""),$O331&lt;&gt;"Cancelled",ISNUMBER($E331),N($F331)+N($H331)&gt;$E331+0.005),1,0)</f>
        <v>0</v>
      </c>
      <c r="Y331" s="80" t="n">
        <f aca="false">IF(AND(OR($A331&lt;&gt;"",$E331&lt;&gt;""),OR($A331="",$E331="")),1,0)</f>
        <v>0</v>
      </c>
      <c r="Z331" s="80" t="n">
        <f aca="false">IF(AND($A331&lt;&gt;"",COUNTIF($A$7:$A$1006,$A331)&gt;1),1,0)</f>
        <v>0</v>
      </c>
    </row>
    <row r="332" customFormat="false" ht="15" hidden="false" customHeight="false" outlineLevel="0" collapsed="false">
      <c r="A332" s="71"/>
      <c r="B332" s="72"/>
      <c r="C332" s="73"/>
      <c r="D332" s="73"/>
      <c r="E332" s="74"/>
      <c r="F332" s="74"/>
      <c r="G332" s="72"/>
      <c r="H332" s="74"/>
      <c r="I332" s="72"/>
      <c r="J332" s="73"/>
      <c r="K332" s="73"/>
      <c r="L332" s="75" t="str">
        <f aca="false">IF(OR($A332&lt;&gt;"",$E332&lt;&gt;""),N($F332)+N($H332),"")</f>
        <v/>
      </c>
      <c r="M332" s="76" t="str">
        <f aca="false">IF(OR($O332="",$O332="Cancelled",$O332="Amount missing"),"",IF($O332="Realised",0,$E332-N($F332)-N($H332)))</f>
        <v/>
      </c>
      <c r="N332" s="77" t="str">
        <f aca="false">IF(OR($M332="",FX=""),"",$M332*FX)</f>
        <v/>
      </c>
      <c r="O332" s="78" t="str">
        <f aca="false">IF(NOT(OR($A332&lt;&gt;"",$E332&lt;&gt;"")),"",IF($J332="Cancelled","Cancelled",IF($E332="","Amount missing",IF(OR($J332="Settled",$E332-N($F332)-N($H332)&lt;=0.005),"Realised",IF(N($H332)&gt;0,"Part realised",IF(N($F332)&gt;0,"Advance received","On hand"))))))</f>
        <v/>
      </c>
      <c r="P332" s="79" t="str">
        <f aca="false">IF(AND($V332=1,ISNUMBER($B332)),AsAt-$B332,"")</f>
        <v/>
      </c>
      <c r="Q332" s="78" t="str">
        <f aca="false">IF($V332&lt;&gt;1,"",IF($P332="","No invoice date",IF($P332&lt;=30,"0–30 days",IF($P332&lt;=60,"31–60 days",IF($P332&lt;=90,"61–90 days","Over 90 days")))))</f>
        <v/>
      </c>
      <c r="R332" s="80" t="str">
        <f aca="false">IF($V332=1,ROW(),"")</f>
        <v/>
      </c>
      <c r="S332" s="80" t="str">
        <f aca="false">IF(OR($A332&lt;&gt;"",$E332&lt;&gt;""),IF(TRIM($D332)="","Buyer not noted",TRIM($D332)),"")</f>
        <v/>
      </c>
      <c r="T332" s="80" t="n">
        <f aca="false">IF(AND($V332=1,ISNUMBER($M332)),$M332,0)</f>
        <v>0</v>
      </c>
      <c r="U332" s="80" t="str">
        <f aca="false">IF($V332=1,IF(COUNTIFS($S$7:$S332,$S332,$V$7:$V332,1)=1,SUMIFS($T$7:$T$1006,$S$7:$S$1006,$S332)-ROW()/1000000000,""),"")</f>
        <v/>
      </c>
      <c r="V332" s="80" t="n">
        <f aca="false">IF(OR($O332="On hand",$O332="Advance received",$O332="Part realised",$O332="Amount missing"),1,0)</f>
        <v>0</v>
      </c>
      <c r="W332" s="80" t="str">
        <f aca="false">IF(AND($V332=1,N($F332)&gt;0),ROW(),"")</f>
        <v/>
      </c>
      <c r="X332" s="80" t="n">
        <f aca="false">IF(AND(OR($A332&lt;&gt;"",$E332&lt;&gt;""),$O332&lt;&gt;"Cancelled",ISNUMBER($E332),N($F332)+N($H332)&gt;$E332+0.005),1,0)</f>
        <v>0</v>
      </c>
      <c r="Y332" s="80" t="n">
        <f aca="false">IF(AND(OR($A332&lt;&gt;"",$E332&lt;&gt;""),OR($A332="",$E332="")),1,0)</f>
        <v>0</v>
      </c>
      <c r="Z332" s="80" t="n">
        <f aca="false">IF(AND($A332&lt;&gt;"",COUNTIF($A$7:$A$1006,$A332)&gt;1),1,0)</f>
        <v>0</v>
      </c>
    </row>
    <row r="333" customFormat="false" ht="15" hidden="false" customHeight="false" outlineLevel="0" collapsed="false">
      <c r="A333" s="71"/>
      <c r="B333" s="72"/>
      <c r="C333" s="73"/>
      <c r="D333" s="73"/>
      <c r="E333" s="74"/>
      <c r="F333" s="74"/>
      <c r="G333" s="72"/>
      <c r="H333" s="74"/>
      <c r="I333" s="72"/>
      <c r="J333" s="73"/>
      <c r="K333" s="73"/>
      <c r="L333" s="75" t="str">
        <f aca="false">IF(OR($A333&lt;&gt;"",$E333&lt;&gt;""),N($F333)+N($H333),"")</f>
        <v/>
      </c>
      <c r="M333" s="76" t="str">
        <f aca="false">IF(OR($O333="",$O333="Cancelled",$O333="Amount missing"),"",IF($O333="Realised",0,$E333-N($F333)-N($H333)))</f>
        <v/>
      </c>
      <c r="N333" s="77" t="str">
        <f aca="false">IF(OR($M333="",FX=""),"",$M333*FX)</f>
        <v/>
      </c>
      <c r="O333" s="78" t="str">
        <f aca="false">IF(NOT(OR($A333&lt;&gt;"",$E333&lt;&gt;"")),"",IF($J333="Cancelled","Cancelled",IF($E333="","Amount missing",IF(OR($J333="Settled",$E333-N($F333)-N($H333)&lt;=0.005),"Realised",IF(N($H333)&gt;0,"Part realised",IF(N($F333)&gt;0,"Advance received","On hand"))))))</f>
        <v/>
      </c>
      <c r="P333" s="79" t="str">
        <f aca="false">IF(AND($V333=1,ISNUMBER($B333)),AsAt-$B333,"")</f>
        <v/>
      </c>
      <c r="Q333" s="78" t="str">
        <f aca="false">IF($V333&lt;&gt;1,"",IF($P333="","No invoice date",IF($P333&lt;=30,"0–30 days",IF($P333&lt;=60,"31–60 days",IF($P333&lt;=90,"61–90 days","Over 90 days")))))</f>
        <v/>
      </c>
      <c r="R333" s="80" t="str">
        <f aca="false">IF($V333=1,ROW(),"")</f>
        <v/>
      </c>
      <c r="S333" s="80" t="str">
        <f aca="false">IF(OR($A333&lt;&gt;"",$E333&lt;&gt;""),IF(TRIM($D333)="","Buyer not noted",TRIM($D333)),"")</f>
        <v/>
      </c>
      <c r="T333" s="80" t="n">
        <f aca="false">IF(AND($V333=1,ISNUMBER($M333)),$M333,0)</f>
        <v>0</v>
      </c>
      <c r="U333" s="80" t="str">
        <f aca="false">IF($V333=1,IF(COUNTIFS($S$7:$S333,$S333,$V$7:$V333,1)=1,SUMIFS($T$7:$T$1006,$S$7:$S$1006,$S333)-ROW()/1000000000,""),"")</f>
        <v/>
      </c>
      <c r="V333" s="80" t="n">
        <f aca="false">IF(OR($O333="On hand",$O333="Advance received",$O333="Part realised",$O333="Amount missing"),1,0)</f>
        <v>0</v>
      </c>
      <c r="W333" s="80" t="str">
        <f aca="false">IF(AND($V333=1,N($F333)&gt;0),ROW(),"")</f>
        <v/>
      </c>
      <c r="X333" s="80" t="n">
        <f aca="false">IF(AND(OR($A333&lt;&gt;"",$E333&lt;&gt;""),$O333&lt;&gt;"Cancelled",ISNUMBER($E333),N($F333)+N($H333)&gt;$E333+0.005),1,0)</f>
        <v>0</v>
      </c>
      <c r="Y333" s="80" t="n">
        <f aca="false">IF(AND(OR($A333&lt;&gt;"",$E333&lt;&gt;""),OR($A333="",$E333="")),1,0)</f>
        <v>0</v>
      </c>
      <c r="Z333" s="80" t="n">
        <f aca="false">IF(AND($A333&lt;&gt;"",COUNTIF($A$7:$A$1006,$A333)&gt;1),1,0)</f>
        <v>0</v>
      </c>
    </row>
    <row r="334" customFormat="false" ht="15" hidden="false" customHeight="false" outlineLevel="0" collapsed="false">
      <c r="A334" s="71"/>
      <c r="B334" s="72"/>
      <c r="C334" s="73"/>
      <c r="D334" s="73"/>
      <c r="E334" s="74"/>
      <c r="F334" s="74"/>
      <c r="G334" s="72"/>
      <c r="H334" s="74"/>
      <c r="I334" s="72"/>
      <c r="J334" s="73"/>
      <c r="K334" s="73"/>
      <c r="L334" s="75" t="str">
        <f aca="false">IF(OR($A334&lt;&gt;"",$E334&lt;&gt;""),N($F334)+N($H334),"")</f>
        <v/>
      </c>
      <c r="M334" s="76" t="str">
        <f aca="false">IF(OR($O334="",$O334="Cancelled",$O334="Amount missing"),"",IF($O334="Realised",0,$E334-N($F334)-N($H334)))</f>
        <v/>
      </c>
      <c r="N334" s="77" t="str">
        <f aca="false">IF(OR($M334="",FX=""),"",$M334*FX)</f>
        <v/>
      </c>
      <c r="O334" s="78" t="str">
        <f aca="false">IF(NOT(OR($A334&lt;&gt;"",$E334&lt;&gt;"")),"",IF($J334="Cancelled","Cancelled",IF($E334="","Amount missing",IF(OR($J334="Settled",$E334-N($F334)-N($H334)&lt;=0.005),"Realised",IF(N($H334)&gt;0,"Part realised",IF(N($F334)&gt;0,"Advance received","On hand"))))))</f>
        <v/>
      </c>
      <c r="P334" s="79" t="str">
        <f aca="false">IF(AND($V334=1,ISNUMBER($B334)),AsAt-$B334,"")</f>
        <v/>
      </c>
      <c r="Q334" s="78" t="str">
        <f aca="false">IF($V334&lt;&gt;1,"",IF($P334="","No invoice date",IF($P334&lt;=30,"0–30 days",IF($P334&lt;=60,"31–60 days",IF($P334&lt;=90,"61–90 days","Over 90 days")))))</f>
        <v/>
      </c>
      <c r="R334" s="80" t="str">
        <f aca="false">IF($V334=1,ROW(),"")</f>
        <v/>
      </c>
      <c r="S334" s="80" t="str">
        <f aca="false">IF(OR($A334&lt;&gt;"",$E334&lt;&gt;""),IF(TRIM($D334)="","Buyer not noted",TRIM($D334)),"")</f>
        <v/>
      </c>
      <c r="T334" s="80" t="n">
        <f aca="false">IF(AND($V334=1,ISNUMBER($M334)),$M334,0)</f>
        <v>0</v>
      </c>
      <c r="U334" s="80" t="str">
        <f aca="false">IF($V334=1,IF(COUNTIFS($S$7:$S334,$S334,$V$7:$V334,1)=1,SUMIFS($T$7:$T$1006,$S$7:$S$1006,$S334)-ROW()/1000000000,""),"")</f>
        <v/>
      </c>
      <c r="V334" s="80" t="n">
        <f aca="false">IF(OR($O334="On hand",$O334="Advance received",$O334="Part realised",$O334="Amount missing"),1,0)</f>
        <v>0</v>
      </c>
      <c r="W334" s="80" t="str">
        <f aca="false">IF(AND($V334=1,N($F334)&gt;0),ROW(),"")</f>
        <v/>
      </c>
      <c r="X334" s="80" t="n">
        <f aca="false">IF(AND(OR($A334&lt;&gt;"",$E334&lt;&gt;""),$O334&lt;&gt;"Cancelled",ISNUMBER($E334),N($F334)+N($H334)&gt;$E334+0.005),1,0)</f>
        <v>0</v>
      </c>
      <c r="Y334" s="80" t="n">
        <f aca="false">IF(AND(OR($A334&lt;&gt;"",$E334&lt;&gt;""),OR($A334="",$E334="")),1,0)</f>
        <v>0</v>
      </c>
      <c r="Z334" s="80" t="n">
        <f aca="false">IF(AND($A334&lt;&gt;"",COUNTIF($A$7:$A$1006,$A334)&gt;1),1,0)</f>
        <v>0</v>
      </c>
    </row>
    <row r="335" customFormat="false" ht="15" hidden="false" customHeight="false" outlineLevel="0" collapsed="false">
      <c r="A335" s="71"/>
      <c r="B335" s="72"/>
      <c r="C335" s="73"/>
      <c r="D335" s="73"/>
      <c r="E335" s="74"/>
      <c r="F335" s="74"/>
      <c r="G335" s="72"/>
      <c r="H335" s="74"/>
      <c r="I335" s="72"/>
      <c r="J335" s="73"/>
      <c r="K335" s="73"/>
      <c r="L335" s="75" t="str">
        <f aca="false">IF(OR($A335&lt;&gt;"",$E335&lt;&gt;""),N($F335)+N($H335),"")</f>
        <v/>
      </c>
      <c r="M335" s="76" t="str">
        <f aca="false">IF(OR($O335="",$O335="Cancelled",$O335="Amount missing"),"",IF($O335="Realised",0,$E335-N($F335)-N($H335)))</f>
        <v/>
      </c>
      <c r="N335" s="77" t="str">
        <f aca="false">IF(OR($M335="",FX=""),"",$M335*FX)</f>
        <v/>
      </c>
      <c r="O335" s="78" t="str">
        <f aca="false">IF(NOT(OR($A335&lt;&gt;"",$E335&lt;&gt;"")),"",IF($J335="Cancelled","Cancelled",IF($E335="","Amount missing",IF(OR($J335="Settled",$E335-N($F335)-N($H335)&lt;=0.005),"Realised",IF(N($H335)&gt;0,"Part realised",IF(N($F335)&gt;0,"Advance received","On hand"))))))</f>
        <v/>
      </c>
      <c r="P335" s="79" t="str">
        <f aca="false">IF(AND($V335=1,ISNUMBER($B335)),AsAt-$B335,"")</f>
        <v/>
      </c>
      <c r="Q335" s="78" t="str">
        <f aca="false">IF($V335&lt;&gt;1,"",IF($P335="","No invoice date",IF($P335&lt;=30,"0–30 days",IF($P335&lt;=60,"31–60 days",IF($P335&lt;=90,"61–90 days","Over 90 days")))))</f>
        <v/>
      </c>
      <c r="R335" s="80" t="str">
        <f aca="false">IF($V335=1,ROW(),"")</f>
        <v/>
      </c>
      <c r="S335" s="80" t="str">
        <f aca="false">IF(OR($A335&lt;&gt;"",$E335&lt;&gt;""),IF(TRIM($D335)="","Buyer not noted",TRIM($D335)),"")</f>
        <v/>
      </c>
      <c r="T335" s="80" t="n">
        <f aca="false">IF(AND($V335=1,ISNUMBER($M335)),$M335,0)</f>
        <v>0</v>
      </c>
      <c r="U335" s="80" t="str">
        <f aca="false">IF($V335=1,IF(COUNTIFS($S$7:$S335,$S335,$V$7:$V335,1)=1,SUMIFS($T$7:$T$1006,$S$7:$S$1006,$S335)-ROW()/1000000000,""),"")</f>
        <v/>
      </c>
      <c r="V335" s="80" t="n">
        <f aca="false">IF(OR($O335="On hand",$O335="Advance received",$O335="Part realised",$O335="Amount missing"),1,0)</f>
        <v>0</v>
      </c>
      <c r="W335" s="80" t="str">
        <f aca="false">IF(AND($V335=1,N($F335)&gt;0),ROW(),"")</f>
        <v/>
      </c>
      <c r="X335" s="80" t="n">
        <f aca="false">IF(AND(OR($A335&lt;&gt;"",$E335&lt;&gt;""),$O335&lt;&gt;"Cancelled",ISNUMBER($E335),N($F335)+N($H335)&gt;$E335+0.005),1,0)</f>
        <v>0</v>
      </c>
      <c r="Y335" s="80" t="n">
        <f aca="false">IF(AND(OR($A335&lt;&gt;"",$E335&lt;&gt;""),OR($A335="",$E335="")),1,0)</f>
        <v>0</v>
      </c>
      <c r="Z335" s="80" t="n">
        <f aca="false">IF(AND($A335&lt;&gt;"",COUNTIF($A$7:$A$1006,$A335)&gt;1),1,0)</f>
        <v>0</v>
      </c>
    </row>
    <row r="336" customFormat="false" ht="15" hidden="false" customHeight="false" outlineLevel="0" collapsed="false">
      <c r="A336" s="71"/>
      <c r="B336" s="72"/>
      <c r="C336" s="73"/>
      <c r="D336" s="73"/>
      <c r="E336" s="74"/>
      <c r="F336" s="74"/>
      <c r="G336" s="72"/>
      <c r="H336" s="74"/>
      <c r="I336" s="72"/>
      <c r="J336" s="73"/>
      <c r="K336" s="73"/>
      <c r="L336" s="75" t="str">
        <f aca="false">IF(OR($A336&lt;&gt;"",$E336&lt;&gt;""),N($F336)+N($H336),"")</f>
        <v/>
      </c>
      <c r="M336" s="76" t="str">
        <f aca="false">IF(OR($O336="",$O336="Cancelled",$O336="Amount missing"),"",IF($O336="Realised",0,$E336-N($F336)-N($H336)))</f>
        <v/>
      </c>
      <c r="N336" s="77" t="str">
        <f aca="false">IF(OR($M336="",FX=""),"",$M336*FX)</f>
        <v/>
      </c>
      <c r="O336" s="78" t="str">
        <f aca="false">IF(NOT(OR($A336&lt;&gt;"",$E336&lt;&gt;"")),"",IF($J336="Cancelled","Cancelled",IF($E336="","Amount missing",IF(OR($J336="Settled",$E336-N($F336)-N($H336)&lt;=0.005),"Realised",IF(N($H336)&gt;0,"Part realised",IF(N($F336)&gt;0,"Advance received","On hand"))))))</f>
        <v/>
      </c>
      <c r="P336" s="79" t="str">
        <f aca="false">IF(AND($V336=1,ISNUMBER($B336)),AsAt-$B336,"")</f>
        <v/>
      </c>
      <c r="Q336" s="78" t="str">
        <f aca="false">IF($V336&lt;&gt;1,"",IF($P336="","No invoice date",IF($P336&lt;=30,"0–30 days",IF($P336&lt;=60,"31–60 days",IF($P336&lt;=90,"61–90 days","Over 90 days")))))</f>
        <v/>
      </c>
      <c r="R336" s="80" t="str">
        <f aca="false">IF($V336=1,ROW(),"")</f>
        <v/>
      </c>
      <c r="S336" s="80" t="str">
        <f aca="false">IF(OR($A336&lt;&gt;"",$E336&lt;&gt;""),IF(TRIM($D336)="","Buyer not noted",TRIM($D336)),"")</f>
        <v/>
      </c>
      <c r="T336" s="80" t="n">
        <f aca="false">IF(AND($V336=1,ISNUMBER($M336)),$M336,0)</f>
        <v>0</v>
      </c>
      <c r="U336" s="80" t="str">
        <f aca="false">IF($V336=1,IF(COUNTIFS($S$7:$S336,$S336,$V$7:$V336,1)=1,SUMIFS($T$7:$T$1006,$S$7:$S$1006,$S336)-ROW()/1000000000,""),"")</f>
        <v/>
      </c>
      <c r="V336" s="80" t="n">
        <f aca="false">IF(OR($O336="On hand",$O336="Advance received",$O336="Part realised",$O336="Amount missing"),1,0)</f>
        <v>0</v>
      </c>
      <c r="W336" s="80" t="str">
        <f aca="false">IF(AND($V336=1,N($F336)&gt;0),ROW(),"")</f>
        <v/>
      </c>
      <c r="X336" s="80" t="n">
        <f aca="false">IF(AND(OR($A336&lt;&gt;"",$E336&lt;&gt;""),$O336&lt;&gt;"Cancelled",ISNUMBER($E336),N($F336)+N($H336)&gt;$E336+0.005),1,0)</f>
        <v>0</v>
      </c>
      <c r="Y336" s="80" t="n">
        <f aca="false">IF(AND(OR($A336&lt;&gt;"",$E336&lt;&gt;""),OR($A336="",$E336="")),1,0)</f>
        <v>0</v>
      </c>
      <c r="Z336" s="80" t="n">
        <f aca="false">IF(AND($A336&lt;&gt;"",COUNTIF($A$7:$A$1006,$A336)&gt;1),1,0)</f>
        <v>0</v>
      </c>
    </row>
    <row r="337" customFormat="false" ht="15" hidden="false" customHeight="false" outlineLevel="0" collapsed="false">
      <c r="A337" s="71"/>
      <c r="B337" s="72"/>
      <c r="C337" s="73"/>
      <c r="D337" s="73"/>
      <c r="E337" s="74"/>
      <c r="F337" s="74"/>
      <c r="G337" s="72"/>
      <c r="H337" s="74"/>
      <c r="I337" s="72"/>
      <c r="J337" s="73"/>
      <c r="K337" s="73"/>
      <c r="L337" s="75" t="str">
        <f aca="false">IF(OR($A337&lt;&gt;"",$E337&lt;&gt;""),N($F337)+N($H337),"")</f>
        <v/>
      </c>
      <c r="M337" s="76" t="str">
        <f aca="false">IF(OR($O337="",$O337="Cancelled",$O337="Amount missing"),"",IF($O337="Realised",0,$E337-N($F337)-N($H337)))</f>
        <v/>
      </c>
      <c r="N337" s="77" t="str">
        <f aca="false">IF(OR($M337="",FX=""),"",$M337*FX)</f>
        <v/>
      </c>
      <c r="O337" s="78" t="str">
        <f aca="false">IF(NOT(OR($A337&lt;&gt;"",$E337&lt;&gt;"")),"",IF($J337="Cancelled","Cancelled",IF($E337="","Amount missing",IF(OR($J337="Settled",$E337-N($F337)-N($H337)&lt;=0.005),"Realised",IF(N($H337)&gt;0,"Part realised",IF(N($F337)&gt;0,"Advance received","On hand"))))))</f>
        <v/>
      </c>
      <c r="P337" s="79" t="str">
        <f aca="false">IF(AND($V337=1,ISNUMBER($B337)),AsAt-$B337,"")</f>
        <v/>
      </c>
      <c r="Q337" s="78" t="str">
        <f aca="false">IF($V337&lt;&gt;1,"",IF($P337="","No invoice date",IF($P337&lt;=30,"0–30 days",IF($P337&lt;=60,"31–60 days",IF($P337&lt;=90,"61–90 days","Over 90 days")))))</f>
        <v/>
      </c>
      <c r="R337" s="80" t="str">
        <f aca="false">IF($V337=1,ROW(),"")</f>
        <v/>
      </c>
      <c r="S337" s="80" t="str">
        <f aca="false">IF(OR($A337&lt;&gt;"",$E337&lt;&gt;""),IF(TRIM($D337)="","Buyer not noted",TRIM($D337)),"")</f>
        <v/>
      </c>
      <c r="T337" s="80" t="n">
        <f aca="false">IF(AND($V337=1,ISNUMBER($M337)),$M337,0)</f>
        <v>0</v>
      </c>
      <c r="U337" s="80" t="str">
        <f aca="false">IF($V337=1,IF(COUNTIFS($S$7:$S337,$S337,$V$7:$V337,1)=1,SUMIFS($T$7:$T$1006,$S$7:$S$1006,$S337)-ROW()/1000000000,""),"")</f>
        <v/>
      </c>
      <c r="V337" s="80" t="n">
        <f aca="false">IF(OR($O337="On hand",$O337="Advance received",$O337="Part realised",$O337="Amount missing"),1,0)</f>
        <v>0</v>
      </c>
      <c r="W337" s="80" t="str">
        <f aca="false">IF(AND($V337=1,N($F337)&gt;0),ROW(),"")</f>
        <v/>
      </c>
      <c r="X337" s="80" t="n">
        <f aca="false">IF(AND(OR($A337&lt;&gt;"",$E337&lt;&gt;""),$O337&lt;&gt;"Cancelled",ISNUMBER($E337),N($F337)+N($H337)&gt;$E337+0.005),1,0)</f>
        <v>0</v>
      </c>
      <c r="Y337" s="80" t="n">
        <f aca="false">IF(AND(OR($A337&lt;&gt;"",$E337&lt;&gt;""),OR($A337="",$E337="")),1,0)</f>
        <v>0</v>
      </c>
      <c r="Z337" s="80" t="n">
        <f aca="false">IF(AND($A337&lt;&gt;"",COUNTIF($A$7:$A$1006,$A337)&gt;1),1,0)</f>
        <v>0</v>
      </c>
    </row>
    <row r="338" customFormat="false" ht="15" hidden="false" customHeight="false" outlineLevel="0" collapsed="false">
      <c r="A338" s="71"/>
      <c r="B338" s="72"/>
      <c r="C338" s="73"/>
      <c r="D338" s="73"/>
      <c r="E338" s="74"/>
      <c r="F338" s="74"/>
      <c r="G338" s="72"/>
      <c r="H338" s="74"/>
      <c r="I338" s="72"/>
      <c r="J338" s="73"/>
      <c r="K338" s="73"/>
      <c r="L338" s="75" t="str">
        <f aca="false">IF(OR($A338&lt;&gt;"",$E338&lt;&gt;""),N($F338)+N($H338),"")</f>
        <v/>
      </c>
      <c r="M338" s="76" t="str">
        <f aca="false">IF(OR($O338="",$O338="Cancelled",$O338="Amount missing"),"",IF($O338="Realised",0,$E338-N($F338)-N($H338)))</f>
        <v/>
      </c>
      <c r="N338" s="77" t="str">
        <f aca="false">IF(OR($M338="",FX=""),"",$M338*FX)</f>
        <v/>
      </c>
      <c r="O338" s="78" t="str">
        <f aca="false">IF(NOT(OR($A338&lt;&gt;"",$E338&lt;&gt;"")),"",IF($J338="Cancelled","Cancelled",IF($E338="","Amount missing",IF(OR($J338="Settled",$E338-N($F338)-N($H338)&lt;=0.005),"Realised",IF(N($H338)&gt;0,"Part realised",IF(N($F338)&gt;0,"Advance received","On hand"))))))</f>
        <v/>
      </c>
      <c r="P338" s="79" t="str">
        <f aca="false">IF(AND($V338=1,ISNUMBER($B338)),AsAt-$B338,"")</f>
        <v/>
      </c>
      <c r="Q338" s="78" t="str">
        <f aca="false">IF($V338&lt;&gt;1,"",IF($P338="","No invoice date",IF($P338&lt;=30,"0–30 days",IF($P338&lt;=60,"31–60 days",IF($P338&lt;=90,"61–90 days","Over 90 days")))))</f>
        <v/>
      </c>
      <c r="R338" s="80" t="str">
        <f aca="false">IF($V338=1,ROW(),"")</f>
        <v/>
      </c>
      <c r="S338" s="80" t="str">
        <f aca="false">IF(OR($A338&lt;&gt;"",$E338&lt;&gt;""),IF(TRIM($D338)="","Buyer not noted",TRIM($D338)),"")</f>
        <v/>
      </c>
      <c r="T338" s="80" t="n">
        <f aca="false">IF(AND($V338=1,ISNUMBER($M338)),$M338,0)</f>
        <v>0</v>
      </c>
      <c r="U338" s="80" t="str">
        <f aca="false">IF($V338=1,IF(COUNTIFS($S$7:$S338,$S338,$V$7:$V338,1)=1,SUMIFS($T$7:$T$1006,$S$7:$S$1006,$S338)-ROW()/1000000000,""),"")</f>
        <v/>
      </c>
      <c r="V338" s="80" t="n">
        <f aca="false">IF(OR($O338="On hand",$O338="Advance received",$O338="Part realised",$O338="Amount missing"),1,0)</f>
        <v>0</v>
      </c>
      <c r="W338" s="80" t="str">
        <f aca="false">IF(AND($V338=1,N($F338)&gt;0),ROW(),"")</f>
        <v/>
      </c>
      <c r="X338" s="80" t="n">
        <f aca="false">IF(AND(OR($A338&lt;&gt;"",$E338&lt;&gt;""),$O338&lt;&gt;"Cancelled",ISNUMBER($E338),N($F338)+N($H338)&gt;$E338+0.005),1,0)</f>
        <v>0</v>
      </c>
      <c r="Y338" s="80" t="n">
        <f aca="false">IF(AND(OR($A338&lt;&gt;"",$E338&lt;&gt;""),OR($A338="",$E338="")),1,0)</f>
        <v>0</v>
      </c>
      <c r="Z338" s="80" t="n">
        <f aca="false">IF(AND($A338&lt;&gt;"",COUNTIF($A$7:$A$1006,$A338)&gt;1),1,0)</f>
        <v>0</v>
      </c>
    </row>
    <row r="339" customFormat="false" ht="15" hidden="false" customHeight="false" outlineLevel="0" collapsed="false">
      <c r="A339" s="71"/>
      <c r="B339" s="72"/>
      <c r="C339" s="73"/>
      <c r="D339" s="73"/>
      <c r="E339" s="74"/>
      <c r="F339" s="74"/>
      <c r="G339" s="72"/>
      <c r="H339" s="74"/>
      <c r="I339" s="72"/>
      <c r="J339" s="73"/>
      <c r="K339" s="73"/>
      <c r="L339" s="75" t="str">
        <f aca="false">IF(OR($A339&lt;&gt;"",$E339&lt;&gt;""),N($F339)+N($H339),"")</f>
        <v/>
      </c>
      <c r="M339" s="76" t="str">
        <f aca="false">IF(OR($O339="",$O339="Cancelled",$O339="Amount missing"),"",IF($O339="Realised",0,$E339-N($F339)-N($H339)))</f>
        <v/>
      </c>
      <c r="N339" s="77" t="str">
        <f aca="false">IF(OR($M339="",FX=""),"",$M339*FX)</f>
        <v/>
      </c>
      <c r="O339" s="78" t="str">
        <f aca="false">IF(NOT(OR($A339&lt;&gt;"",$E339&lt;&gt;"")),"",IF($J339="Cancelled","Cancelled",IF($E339="","Amount missing",IF(OR($J339="Settled",$E339-N($F339)-N($H339)&lt;=0.005),"Realised",IF(N($H339)&gt;0,"Part realised",IF(N($F339)&gt;0,"Advance received","On hand"))))))</f>
        <v/>
      </c>
      <c r="P339" s="79" t="str">
        <f aca="false">IF(AND($V339=1,ISNUMBER($B339)),AsAt-$B339,"")</f>
        <v/>
      </c>
      <c r="Q339" s="78" t="str">
        <f aca="false">IF($V339&lt;&gt;1,"",IF($P339="","No invoice date",IF($P339&lt;=30,"0–30 days",IF($P339&lt;=60,"31–60 days",IF($P339&lt;=90,"61–90 days","Over 90 days")))))</f>
        <v/>
      </c>
      <c r="R339" s="80" t="str">
        <f aca="false">IF($V339=1,ROW(),"")</f>
        <v/>
      </c>
      <c r="S339" s="80" t="str">
        <f aca="false">IF(OR($A339&lt;&gt;"",$E339&lt;&gt;""),IF(TRIM($D339)="","Buyer not noted",TRIM($D339)),"")</f>
        <v/>
      </c>
      <c r="T339" s="80" t="n">
        <f aca="false">IF(AND($V339=1,ISNUMBER($M339)),$M339,0)</f>
        <v>0</v>
      </c>
      <c r="U339" s="80" t="str">
        <f aca="false">IF($V339=1,IF(COUNTIFS($S$7:$S339,$S339,$V$7:$V339,1)=1,SUMIFS($T$7:$T$1006,$S$7:$S$1006,$S339)-ROW()/1000000000,""),"")</f>
        <v/>
      </c>
      <c r="V339" s="80" t="n">
        <f aca="false">IF(OR($O339="On hand",$O339="Advance received",$O339="Part realised",$O339="Amount missing"),1,0)</f>
        <v>0</v>
      </c>
      <c r="W339" s="80" t="str">
        <f aca="false">IF(AND($V339=1,N($F339)&gt;0),ROW(),"")</f>
        <v/>
      </c>
      <c r="X339" s="80" t="n">
        <f aca="false">IF(AND(OR($A339&lt;&gt;"",$E339&lt;&gt;""),$O339&lt;&gt;"Cancelled",ISNUMBER($E339),N($F339)+N($H339)&gt;$E339+0.005),1,0)</f>
        <v>0</v>
      </c>
      <c r="Y339" s="80" t="n">
        <f aca="false">IF(AND(OR($A339&lt;&gt;"",$E339&lt;&gt;""),OR($A339="",$E339="")),1,0)</f>
        <v>0</v>
      </c>
      <c r="Z339" s="80" t="n">
        <f aca="false">IF(AND($A339&lt;&gt;"",COUNTIF($A$7:$A$1006,$A339)&gt;1),1,0)</f>
        <v>0</v>
      </c>
    </row>
    <row r="340" customFormat="false" ht="15" hidden="false" customHeight="false" outlineLevel="0" collapsed="false">
      <c r="A340" s="71"/>
      <c r="B340" s="72"/>
      <c r="C340" s="73"/>
      <c r="D340" s="73"/>
      <c r="E340" s="74"/>
      <c r="F340" s="74"/>
      <c r="G340" s="72"/>
      <c r="H340" s="74"/>
      <c r="I340" s="72"/>
      <c r="J340" s="73"/>
      <c r="K340" s="73"/>
      <c r="L340" s="75" t="str">
        <f aca="false">IF(OR($A340&lt;&gt;"",$E340&lt;&gt;""),N($F340)+N($H340),"")</f>
        <v/>
      </c>
      <c r="M340" s="76" t="str">
        <f aca="false">IF(OR($O340="",$O340="Cancelled",$O340="Amount missing"),"",IF($O340="Realised",0,$E340-N($F340)-N($H340)))</f>
        <v/>
      </c>
      <c r="N340" s="77" t="str">
        <f aca="false">IF(OR($M340="",FX=""),"",$M340*FX)</f>
        <v/>
      </c>
      <c r="O340" s="78" t="str">
        <f aca="false">IF(NOT(OR($A340&lt;&gt;"",$E340&lt;&gt;"")),"",IF($J340="Cancelled","Cancelled",IF($E340="","Amount missing",IF(OR($J340="Settled",$E340-N($F340)-N($H340)&lt;=0.005),"Realised",IF(N($H340)&gt;0,"Part realised",IF(N($F340)&gt;0,"Advance received","On hand"))))))</f>
        <v/>
      </c>
      <c r="P340" s="79" t="str">
        <f aca="false">IF(AND($V340=1,ISNUMBER($B340)),AsAt-$B340,"")</f>
        <v/>
      </c>
      <c r="Q340" s="78" t="str">
        <f aca="false">IF($V340&lt;&gt;1,"",IF($P340="","No invoice date",IF($P340&lt;=30,"0–30 days",IF($P340&lt;=60,"31–60 days",IF($P340&lt;=90,"61–90 days","Over 90 days")))))</f>
        <v/>
      </c>
      <c r="R340" s="80" t="str">
        <f aca="false">IF($V340=1,ROW(),"")</f>
        <v/>
      </c>
      <c r="S340" s="80" t="str">
        <f aca="false">IF(OR($A340&lt;&gt;"",$E340&lt;&gt;""),IF(TRIM($D340)="","Buyer not noted",TRIM($D340)),"")</f>
        <v/>
      </c>
      <c r="T340" s="80" t="n">
        <f aca="false">IF(AND($V340=1,ISNUMBER($M340)),$M340,0)</f>
        <v>0</v>
      </c>
      <c r="U340" s="80" t="str">
        <f aca="false">IF($V340=1,IF(COUNTIFS($S$7:$S340,$S340,$V$7:$V340,1)=1,SUMIFS($T$7:$T$1006,$S$7:$S$1006,$S340)-ROW()/1000000000,""),"")</f>
        <v/>
      </c>
      <c r="V340" s="80" t="n">
        <f aca="false">IF(OR($O340="On hand",$O340="Advance received",$O340="Part realised",$O340="Amount missing"),1,0)</f>
        <v>0</v>
      </c>
      <c r="W340" s="80" t="str">
        <f aca="false">IF(AND($V340=1,N($F340)&gt;0),ROW(),"")</f>
        <v/>
      </c>
      <c r="X340" s="80" t="n">
        <f aca="false">IF(AND(OR($A340&lt;&gt;"",$E340&lt;&gt;""),$O340&lt;&gt;"Cancelled",ISNUMBER($E340),N($F340)+N($H340)&gt;$E340+0.005),1,0)</f>
        <v>0</v>
      </c>
      <c r="Y340" s="80" t="n">
        <f aca="false">IF(AND(OR($A340&lt;&gt;"",$E340&lt;&gt;""),OR($A340="",$E340="")),1,0)</f>
        <v>0</v>
      </c>
      <c r="Z340" s="80" t="n">
        <f aca="false">IF(AND($A340&lt;&gt;"",COUNTIF($A$7:$A$1006,$A340)&gt;1),1,0)</f>
        <v>0</v>
      </c>
    </row>
    <row r="341" customFormat="false" ht="15" hidden="false" customHeight="false" outlineLevel="0" collapsed="false">
      <c r="A341" s="71"/>
      <c r="B341" s="72"/>
      <c r="C341" s="73"/>
      <c r="D341" s="73"/>
      <c r="E341" s="74"/>
      <c r="F341" s="74"/>
      <c r="G341" s="72"/>
      <c r="H341" s="74"/>
      <c r="I341" s="72"/>
      <c r="J341" s="73"/>
      <c r="K341" s="73"/>
      <c r="L341" s="75" t="str">
        <f aca="false">IF(OR($A341&lt;&gt;"",$E341&lt;&gt;""),N($F341)+N($H341),"")</f>
        <v/>
      </c>
      <c r="M341" s="76" t="str">
        <f aca="false">IF(OR($O341="",$O341="Cancelled",$O341="Amount missing"),"",IF($O341="Realised",0,$E341-N($F341)-N($H341)))</f>
        <v/>
      </c>
      <c r="N341" s="77" t="str">
        <f aca="false">IF(OR($M341="",FX=""),"",$M341*FX)</f>
        <v/>
      </c>
      <c r="O341" s="78" t="str">
        <f aca="false">IF(NOT(OR($A341&lt;&gt;"",$E341&lt;&gt;"")),"",IF($J341="Cancelled","Cancelled",IF($E341="","Amount missing",IF(OR($J341="Settled",$E341-N($F341)-N($H341)&lt;=0.005),"Realised",IF(N($H341)&gt;0,"Part realised",IF(N($F341)&gt;0,"Advance received","On hand"))))))</f>
        <v/>
      </c>
      <c r="P341" s="79" t="str">
        <f aca="false">IF(AND($V341=1,ISNUMBER($B341)),AsAt-$B341,"")</f>
        <v/>
      </c>
      <c r="Q341" s="78" t="str">
        <f aca="false">IF($V341&lt;&gt;1,"",IF($P341="","No invoice date",IF($P341&lt;=30,"0–30 days",IF($P341&lt;=60,"31–60 days",IF($P341&lt;=90,"61–90 days","Over 90 days")))))</f>
        <v/>
      </c>
      <c r="R341" s="80" t="str">
        <f aca="false">IF($V341=1,ROW(),"")</f>
        <v/>
      </c>
      <c r="S341" s="80" t="str">
        <f aca="false">IF(OR($A341&lt;&gt;"",$E341&lt;&gt;""),IF(TRIM($D341)="","Buyer not noted",TRIM($D341)),"")</f>
        <v/>
      </c>
      <c r="T341" s="80" t="n">
        <f aca="false">IF(AND($V341=1,ISNUMBER($M341)),$M341,0)</f>
        <v>0</v>
      </c>
      <c r="U341" s="80" t="str">
        <f aca="false">IF($V341=1,IF(COUNTIFS($S$7:$S341,$S341,$V$7:$V341,1)=1,SUMIFS($T$7:$T$1006,$S$7:$S$1006,$S341)-ROW()/1000000000,""),"")</f>
        <v/>
      </c>
      <c r="V341" s="80" t="n">
        <f aca="false">IF(OR($O341="On hand",$O341="Advance received",$O341="Part realised",$O341="Amount missing"),1,0)</f>
        <v>0</v>
      </c>
      <c r="W341" s="80" t="str">
        <f aca="false">IF(AND($V341=1,N($F341)&gt;0),ROW(),"")</f>
        <v/>
      </c>
      <c r="X341" s="80" t="n">
        <f aca="false">IF(AND(OR($A341&lt;&gt;"",$E341&lt;&gt;""),$O341&lt;&gt;"Cancelled",ISNUMBER($E341),N($F341)+N($H341)&gt;$E341+0.005),1,0)</f>
        <v>0</v>
      </c>
      <c r="Y341" s="80" t="n">
        <f aca="false">IF(AND(OR($A341&lt;&gt;"",$E341&lt;&gt;""),OR($A341="",$E341="")),1,0)</f>
        <v>0</v>
      </c>
      <c r="Z341" s="80" t="n">
        <f aca="false">IF(AND($A341&lt;&gt;"",COUNTIF($A$7:$A$1006,$A341)&gt;1),1,0)</f>
        <v>0</v>
      </c>
    </row>
    <row r="342" customFormat="false" ht="15" hidden="false" customHeight="false" outlineLevel="0" collapsed="false">
      <c r="A342" s="71"/>
      <c r="B342" s="72"/>
      <c r="C342" s="73"/>
      <c r="D342" s="73"/>
      <c r="E342" s="74"/>
      <c r="F342" s="74"/>
      <c r="G342" s="72"/>
      <c r="H342" s="74"/>
      <c r="I342" s="72"/>
      <c r="J342" s="73"/>
      <c r="K342" s="73"/>
      <c r="L342" s="75" t="str">
        <f aca="false">IF(OR($A342&lt;&gt;"",$E342&lt;&gt;""),N($F342)+N($H342),"")</f>
        <v/>
      </c>
      <c r="M342" s="76" t="str">
        <f aca="false">IF(OR($O342="",$O342="Cancelled",$O342="Amount missing"),"",IF($O342="Realised",0,$E342-N($F342)-N($H342)))</f>
        <v/>
      </c>
      <c r="N342" s="77" t="str">
        <f aca="false">IF(OR($M342="",FX=""),"",$M342*FX)</f>
        <v/>
      </c>
      <c r="O342" s="78" t="str">
        <f aca="false">IF(NOT(OR($A342&lt;&gt;"",$E342&lt;&gt;"")),"",IF($J342="Cancelled","Cancelled",IF($E342="","Amount missing",IF(OR($J342="Settled",$E342-N($F342)-N($H342)&lt;=0.005),"Realised",IF(N($H342)&gt;0,"Part realised",IF(N($F342)&gt;0,"Advance received","On hand"))))))</f>
        <v/>
      </c>
      <c r="P342" s="79" t="str">
        <f aca="false">IF(AND($V342=1,ISNUMBER($B342)),AsAt-$B342,"")</f>
        <v/>
      </c>
      <c r="Q342" s="78" t="str">
        <f aca="false">IF($V342&lt;&gt;1,"",IF($P342="","No invoice date",IF($P342&lt;=30,"0–30 days",IF($P342&lt;=60,"31–60 days",IF($P342&lt;=90,"61–90 days","Over 90 days")))))</f>
        <v/>
      </c>
      <c r="R342" s="80" t="str">
        <f aca="false">IF($V342=1,ROW(),"")</f>
        <v/>
      </c>
      <c r="S342" s="80" t="str">
        <f aca="false">IF(OR($A342&lt;&gt;"",$E342&lt;&gt;""),IF(TRIM($D342)="","Buyer not noted",TRIM($D342)),"")</f>
        <v/>
      </c>
      <c r="T342" s="80" t="n">
        <f aca="false">IF(AND($V342=1,ISNUMBER($M342)),$M342,0)</f>
        <v>0</v>
      </c>
      <c r="U342" s="80" t="str">
        <f aca="false">IF($V342=1,IF(COUNTIFS($S$7:$S342,$S342,$V$7:$V342,1)=1,SUMIFS($T$7:$T$1006,$S$7:$S$1006,$S342)-ROW()/1000000000,""),"")</f>
        <v/>
      </c>
      <c r="V342" s="80" t="n">
        <f aca="false">IF(OR($O342="On hand",$O342="Advance received",$O342="Part realised",$O342="Amount missing"),1,0)</f>
        <v>0</v>
      </c>
      <c r="W342" s="80" t="str">
        <f aca="false">IF(AND($V342=1,N($F342)&gt;0),ROW(),"")</f>
        <v/>
      </c>
      <c r="X342" s="80" t="n">
        <f aca="false">IF(AND(OR($A342&lt;&gt;"",$E342&lt;&gt;""),$O342&lt;&gt;"Cancelled",ISNUMBER($E342),N($F342)+N($H342)&gt;$E342+0.005),1,0)</f>
        <v>0</v>
      </c>
      <c r="Y342" s="80" t="n">
        <f aca="false">IF(AND(OR($A342&lt;&gt;"",$E342&lt;&gt;""),OR($A342="",$E342="")),1,0)</f>
        <v>0</v>
      </c>
      <c r="Z342" s="80" t="n">
        <f aca="false">IF(AND($A342&lt;&gt;"",COUNTIF($A$7:$A$1006,$A342)&gt;1),1,0)</f>
        <v>0</v>
      </c>
    </row>
    <row r="343" customFormat="false" ht="15" hidden="false" customHeight="false" outlineLevel="0" collapsed="false">
      <c r="A343" s="71"/>
      <c r="B343" s="72"/>
      <c r="C343" s="73"/>
      <c r="D343" s="73"/>
      <c r="E343" s="74"/>
      <c r="F343" s="74"/>
      <c r="G343" s="72"/>
      <c r="H343" s="74"/>
      <c r="I343" s="72"/>
      <c r="J343" s="73"/>
      <c r="K343" s="73"/>
      <c r="L343" s="75" t="str">
        <f aca="false">IF(OR($A343&lt;&gt;"",$E343&lt;&gt;""),N($F343)+N($H343),"")</f>
        <v/>
      </c>
      <c r="M343" s="76" t="str">
        <f aca="false">IF(OR($O343="",$O343="Cancelled",$O343="Amount missing"),"",IF($O343="Realised",0,$E343-N($F343)-N($H343)))</f>
        <v/>
      </c>
      <c r="N343" s="77" t="str">
        <f aca="false">IF(OR($M343="",FX=""),"",$M343*FX)</f>
        <v/>
      </c>
      <c r="O343" s="78" t="str">
        <f aca="false">IF(NOT(OR($A343&lt;&gt;"",$E343&lt;&gt;"")),"",IF($J343="Cancelled","Cancelled",IF($E343="","Amount missing",IF(OR($J343="Settled",$E343-N($F343)-N($H343)&lt;=0.005),"Realised",IF(N($H343)&gt;0,"Part realised",IF(N($F343)&gt;0,"Advance received","On hand"))))))</f>
        <v/>
      </c>
      <c r="P343" s="79" t="str">
        <f aca="false">IF(AND($V343=1,ISNUMBER($B343)),AsAt-$B343,"")</f>
        <v/>
      </c>
      <c r="Q343" s="78" t="str">
        <f aca="false">IF($V343&lt;&gt;1,"",IF($P343="","No invoice date",IF($P343&lt;=30,"0–30 days",IF($P343&lt;=60,"31–60 days",IF($P343&lt;=90,"61–90 days","Over 90 days")))))</f>
        <v/>
      </c>
      <c r="R343" s="80" t="str">
        <f aca="false">IF($V343=1,ROW(),"")</f>
        <v/>
      </c>
      <c r="S343" s="80" t="str">
        <f aca="false">IF(OR($A343&lt;&gt;"",$E343&lt;&gt;""),IF(TRIM($D343)="","Buyer not noted",TRIM($D343)),"")</f>
        <v/>
      </c>
      <c r="T343" s="80" t="n">
        <f aca="false">IF(AND($V343=1,ISNUMBER($M343)),$M343,0)</f>
        <v>0</v>
      </c>
      <c r="U343" s="80" t="str">
        <f aca="false">IF($V343=1,IF(COUNTIFS($S$7:$S343,$S343,$V$7:$V343,1)=1,SUMIFS($T$7:$T$1006,$S$7:$S$1006,$S343)-ROW()/1000000000,""),"")</f>
        <v/>
      </c>
      <c r="V343" s="80" t="n">
        <f aca="false">IF(OR($O343="On hand",$O343="Advance received",$O343="Part realised",$O343="Amount missing"),1,0)</f>
        <v>0</v>
      </c>
      <c r="W343" s="80" t="str">
        <f aca="false">IF(AND($V343=1,N($F343)&gt;0),ROW(),"")</f>
        <v/>
      </c>
      <c r="X343" s="80" t="n">
        <f aca="false">IF(AND(OR($A343&lt;&gt;"",$E343&lt;&gt;""),$O343&lt;&gt;"Cancelled",ISNUMBER($E343),N($F343)+N($H343)&gt;$E343+0.005),1,0)</f>
        <v>0</v>
      </c>
      <c r="Y343" s="80" t="n">
        <f aca="false">IF(AND(OR($A343&lt;&gt;"",$E343&lt;&gt;""),OR($A343="",$E343="")),1,0)</f>
        <v>0</v>
      </c>
      <c r="Z343" s="80" t="n">
        <f aca="false">IF(AND($A343&lt;&gt;"",COUNTIF($A$7:$A$1006,$A343)&gt;1),1,0)</f>
        <v>0</v>
      </c>
    </row>
    <row r="344" customFormat="false" ht="15" hidden="false" customHeight="false" outlineLevel="0" collapsed="false">
      <c r="A344" s="71"/>
      <c r="B344" s="72"/>
      <c r="C344" s="73"/>
      <c r="D344" s="73"/>
      <c r="E344" s="74"/>
      <c r="F344" s="74"/>
      <c r="G344" s="72"/>
      <c r="H344" s="74"/>
      <c r="I344" s="72"/>
      <c r="J344" s="73"/>
      <c r="K344" s="73"/>
      <c r="L344" s="75" t="str">
        <f aca="false">IF(OR($A344&lt;&gt;"",$E344&lt;&gt;""),N($F344)+N($H344),"")</f>
        <v/>
      </c>
      <c r="M344" s="76" t="str">
        <f aca="false">IF(OR($O344="",$O344="Cancelled",$O344="Amount missing"),"",IF($O344="Realised",0,$E344-N($F344)-N($H344)))</f>
        <v/>
      </c>
      <c r="N344" s="77" t="str">
        <f aca="false">IF(OR($M344="",FX=""),"",$M344*FX)</f>
        <v/>
      </c>
      <c r="O344" s="78" t="str">
        <f aca="false">IF(NOT(OR($A344&lt;&gt;"",$E344&lt;&gt;"")),"",IF($J344="Cancelled","Cancelled",IF($E344="","Amount missing",IF(OR($J344="Settled",$E344-N($F344)-N($H344)&lt;=0.005),"Realised",IF(N($H344)&gt;0,"Part realised",IF(N($F344)&gt;0,"Advance received","On hand"))))))</f>
        <v/>
      </c>
      <c r="P344" s="79" t="str">
        <f aca="false">IF(AND($V344=1,ISNUMBER($B344)),AsAt-$B344,"")</f>
        <v/>
      </c>
      <c r="Q344" s="78" t="str">
        <f aca="false">IF($V344&lt;&gt;1,"",IF($P344="","No invoice date",IF($P344&lt;=30,"0–30 days",IF($P344&lt;=60,"31–60 days",IF($P344&lt;=90,"61–90 days","Over 90 days")))))</f>
        <v/>
      </c>
      <c r="R344" s="80" t="str">
        <f aca="false">IF($V344=1,ROW(),"")</f>
        <v/>
      </c>
      <c r="S344" s="80" t="str">
        <f aca="false">IF(OR($A344&lt;&gt;"",$E344&lt;&gt;""),IF(TRIM($D344)="","Buyer not noted",TRIM($D344)),"")</f>
        <v/>
      </c>
      <c r="T344" s="80" t="n">
        <f aca="false">IF(AND($V344=1,ISNUMBER($M344)),$M344,0)</f>
        <v>0</v>
      </c>
      <c r="U344" s="80" t="str">
        <f aca="false">IF($V344=1,IF(COUNTIFS($S$7:$S344,$S344,$V$7:$V344,1)=1,SUMIFS($T$7:$T$1006,$S$7:$S$1006,$S344)-ROW()/1000000000,""),"")</f>
        <v/>
      </c>
      <c r="V344" s="80" t="n">
        <f aca="false">IF(OR($O344="On hand",$O344="Advance received",$O344="Part realised",$O344="Amount missing"),1,0)</f>
        <v>0</v>
      </c>
      <c r="W344" s="80" t="str">
        <f aca="false">IF(AND($V344=1,N($F344)&gt;0),ROW(),"")</f>
        <v/>
      </c>
      <c r="X344" s="80" t="n">
        <f aca="false">IF(AND(OR($A344&lt;&gt;"",$E344&lt;&gt;""),$O344&lt;&gt;"Cancelled",ISNUMBER($E344),N($F344)+N($H344)&gt;$E344+0.005),1,0)</f>
        <v>0</v>
      </c>
      <c r="Y344" s="80" t="n">
        <f aca="false">IF(AND(OR($A344&lt;&gt;"",$E344&lt;&gt;""),OR($A344="",$E344="")),1,0)</f>
        <v>0</v>
      </c>
      <c r="Z344" s="80" t="n">
        <f aca="false">IF(AND($A344&lt;&gt;"",COUNTIF($A$7:$A$1006,$A344)&gt;1),1,0)</f>
        <v>0</v>
      </c>
    </row>
    <row r="345" customFormat="false" ht="15" hidden="false" customHeight="false" outlineLevel="0" collapsed="false">
      <c r="A345" s="71"/>
      <c r="B345" s="72"/>
      <c r="C345" s="73"/>
      <c r="D345" s="73"/>
      <c r="E345" s="74"/>
      <c r="F345" s="74"/>
      <c r="G345" s="72"/>
      <c r="H345" s="74"/>
      <c r="I345" s="72"/>
      <c r="J345" s="73"/>
      <c r="K345" s="73"/>
      <c r="L345" s="75" t="str">
        <f aca="false">IF(OR($A345&lt;&gt;"",$E345&lt;&gt;""),N($F345)+N($H345),"")</f>
        <v/>
      </c>
      <c r="M345" s="76" t="str">
        <f aca="false">IF(OR($O345="",$O345="Cancelled",$O345="Amount missing"),"",IF($O345="Realised",0,$E345-N($F345)-N($H345)))</f>
        <v/>
      </c>
      <c r="N345" s="77" t="str">
        <f aca="false">IF(OR($M345="",FX=""),"",$M345*FX)</f>
        <v/>
      </c>
      <c r="O345" s="78" t="str">
        <f aca="false">IF(NOT(OR($A345&lt;&gt;"",$E345&lt;&gt;"")),"",IF($J345="Cancelled","Cancelled",IF($E345="","Amount missing",IF(OR($J345="Settled",$E345-N($F345)-N($H345)&lt;=0.005),"Realised",IF(N($H345)&gt;0,"Part realised",IF(N($F345)&gt;0,"Advance received","On hand"))))))</f>
        <v/>
      </c>
      <c r="P345" s="79" t="str">
        <f aca="false">IF(AND($V345=1,ISNUMBER($B345)),AsAt-$B345,"")</f>
        <v/>
      </c>
      <c r="Q345" s="78" t="str">
        <f aca="false">IF($V345&lt;&gt;1,"",IF($P345="","No invoice date",IF($P345&lt;=30,"0–30 days",IF($P345&lt;=60,"31–60 days",IF($P345&lt;=90,"61–90 days","Over 90 days")))))</f>
        <v/>
      </c>
      <c r="R345" s="80" t="str">
        <f aca="false">IF($V345=1,ROW(),"")</f>
        <v/>
      </c>
      <c r="S345" s="80" t="str">
        <f aca="false">IF(OR($A345&lt;&gt;"",$E345&lt;&gt;""),IF(TRIM($D345)="","Buyer not noted",TRIM($D345)),"")</f>
        <v/>
      </c>
      <c r="T345" s="80" t="n">
        <f aca="false">IF(AND($V345=1,ISNUMBER($M345)),$M345,0)</f>
        <v>0</v>
      </c>
      <c r="U345" s="80" t="str">
        <f aca="false">IF($V345=1,IF(COUNTIFS($S$7:$S345,$S345,$V$7:$V345,1)=1,SUMIFS($T$7:$T$1006,$S$7:$S$1006,$S345)-ROW()/1000000000,""),"")</f>
        <v/>
      </c>
      <c r="V345" s="80" t="n">
        <f aca="false">IF(OR($O345="On hand",$O345="Advance received",$O345="Part realised",$O345="Amount missing"),1,0)</f>
        <v>0</v>
      </c>
      <c r="W345" s="80" t="str">
        <f aca="false">IF(AND($V345=1,N($F345)&gt;0),ROW(),"")</f>
        <v/>
      </c>
      <c r="X345" s="80" t="n">
        <f aca="false">IF(AND(OR($A345&lt;&gt;"",$E345&lt;&gt;""),$O345&lt;&gt;"Cancelled",ISNUMBER($E345),N($F345)+N($H345)&gt;$E345+0.005),1,0)</f>
        <v>0</v>
      </c>
      <c r="Y345" s="80" t="n">
        <f aca="false">IF(AND(OR($A345&lt;&gt;"",$E345&lt;&gt;""),OR($A345="",$E345="")),1,0)</f>
        <v>0</v>
      </c>
      <c r="Z345" s="80" t="n">
        <f aca="false">IF(AND($A345&lt;&gt;"",COUNTIF($A$7:$A$1006,$A345)&gt;1),1,0)</f>
        <v>0</v>
      </c>
    </row>
    <row r="346" customFormat="false" ht="15" hidden="false" customHeight="false" outlineLevel="0" collapsed="false">
      <c r="A346" s="71"/>
      <c r="B346" s="72"/>
      <c r="C346" s="73"/>
      <c r="D346" s="73"/>
      <c r="E346" s="74"/>
      <c r="F346" s="74"/>
      <c r="G346" s="72"/>
      <c r="H346" s="74"/>
      <c r="I346" s="72"/>
      <c r="J346" s="73"/>
      <c r="K346" s="73"/>
      <c r="L346" s="75" t="str">
        <f aca="false">IF(OR($A346&lt;&gt;"",$E346&lt;&gt;""),N($F346)+N($H346),"")</f>
        <v/>
      </c>
      <c r="M346" s="76" t="str">
        <f aca="false">IF(OR($O346="",$O346="Cancelled",$O346="Amount missing"),"",IF($O346="Realised",0,$E346-N($F346)-N($H346)))</f>
        <v/>
      </c>
      <c r="N346" s="77" t="str">
        <f aca="false">IF(OR($M346="",FX=""),"",$M346*FX)</f>
        <v/>
      </c>
      <c r="O346" s="78" t="str">
        <f aca="false">IF(NOT(OR($A346&lt;&gt;"",$E346&lt;&gt;"")),"",IF($J346="Cancelled","Cancelled",IF($E346="","Amount missing",IF(OR($J346="Settled",$E346-N($F346)-N($H346)&lt;=0.005),"Realised",IF(N($H346)&gt;0,"Part realised",IF(N($F346)&gt;0,"Advance received","On hand"))))))</f>
        <v/>
      </c>
      <c r="P346" s="79" t="str">
        <f aca="false">IF(AND($V346=1,ISNUMBER($B346)),AsAt-$B346,"")</f>
        <v/>
      </c>
      <c r="Q346" s="78" t="str">
        <f aca="false">IF($V346&lt;&gt;1,"",IF($P346="","No invoice date",IF($P346&lt;=30,"0–30 days",IF($P346&lt;=60,"31–60 days",IF($P346&lt;=90,"61–90 days","Over 90 days")))))</f>
        <v/>
      </c>
      <c r="R346" s="80" t="str">
        <f aca="false">IF($V346=1,ROW(),"")</f>
        <v/>
      </c>
      <c r="S346" s="80" t="str">
        <f aca="false">IF(OR($A346&lt;&gt;"",$E346&lt;&gt;""),IF(TRIM($D346)="","Buyer not noted",TRIM($D346)),"")</f>
        <v/>
      </c>
      <c r="T346" s="80" t="n">
        <f aca="false">IF(AND($V346=1,ISNUMBER($M346)),$M346,0)</f>
        <v>0</v>
      </c>
      <c r="U346" s="80" t="str">
        <f aca="false">IF($V346=1,IF(COUNTIFS($S$7:$S346,$S346,$V$7:$V346,1)=1,SUMIFS($T$7:$T$1006,$S$7:$S$1006,$S346)-ROW()/1000000000,""),"")</f>
        <v/>
      </c>
      <c r="V346" s="80" t="n">
        <f aca="false">IF(OR($O346="On hand",$O346="Advance received",$O346="Part realised",$O346="Amount missing"),1,0)</f>
        <v>0</v>
      </c>
      <c r="W346" s="80" t="str">
        <f aca="false">IF(AND($V346=1,N($F346)&gt;0),ROW(),"")</f>
        <v/>
      </c>
      <c r="X346" s="80" t="n">
        <f aca="false">IF(AND(OR($A346&lt;&gt;"",$E346&lt;&gt;""),$O346&lt;&gt;"Cancelled",ISNUMBER($E346),N($F346)+N($H346)&gt;$E346+0.005),1,0)</f>
        <v>0</v>
      </c>
      <c r="Y346" s="80" t="n">
        <f aca="false">IF(AND(OR($A346&lt;&gt;"",$E346&lt;&gt;""),OR($A346="",$E346="")),1,0)</f>
        <v>0</v>
      </c>
      <c r="Z346" s="80" t="n">
        <f aca="false">IF(AND($A346&lt;&gt;"",COUNTIF($A$7:$A$1006,$A346)&gt;1),1,0)</f>
        <v>0</v>
      </c>
    </row>
    <row r="347" customFormat="false" ht="15" hidden="false" customHeight="false" outlineLevel="0" collapsed="false">
      <c r="A347" s="71"/>
      <c r="B347" s="72"/>
      <c r="C347" s="73"/>
      <c r="D347" s="73"/>
      <c r="E347" s="74"/>
      <c r="F347" s="74"/>
      <c r="G347" s="72"/>
      <c r="H347" s="74"/>
      <c r="I347" s="72"/>
      <c r="J347" s="73"/>
      <c r="K347" s="73"/>
      <c r="L347" s="75" t="str">
        <f aca="false">IF(OR($A347&lt;&gt;"",$E347&lt;&gt;""),N($F347)+N($H347),"")</f>
        <v/>
      </c>
      <c r="M347" s="76" t="str">
        <f aca="false">IF(OR($O347="",$O347="Cancelled",$O347="Amount missing"),"",IF($O347="Realised",0,$E347-N($F347)-N($H347)))</f>
        <v/>
      </c>
      <c r="N347" s="77" t="str">
        <f aca="false">IF(OR($M347="",FX=""),"",$M347*FX)</f>
        <v/>
      </c>
      <c r="O347" s="78" t="str">
        <f aca="false">IF(NOT(OR($A347&lt;&gt;"",$E347&lt;&gt;"")),"",IF($J347="Cancelled","Cancelled",IF($E347="","Amount missing",IF(OR($J347="Settled",$E347-N($F347)-N($H347)&lt;=0.005),"Realised",IF(N($H347)&gt;0,"Part realised",IF(N($F347)&gt;0,"Advance received","On hand"))))))</f>
        <v/>
      </c>
      <c r="P347" s="79" t="str">
        <f aca="false">IF(AND($V347=1,ISNUMBER($B347)),AsAt-$B347,"")</f>
        <v/>
      </c>
      <c r="Q347" s="78" t="str">
        <f aca="false">IF($V347&lt;&gt;1,"",IF($P347="","No invoice date",IF($P347&lt;=30,"0–30 days",IF($P347&lt;=60,"31–60 days",IF($P347&lt;=90,"61–90 days","Over 90 days")))))</f>
        <v/>
      </c>
      <c r="R347" s="80" t="str">
        <f aca="false">IF($V347=1,ROW(),"")</f>
        <v/>
      </c>
      <c r="S347" s="80" t="str">
        <f aca="false">IF(OR($A347&lt;&gt;"",$E347&lt;&gt;""),IF(TRIM($D347)="","Buyer not noted",TRIM($D347)),"")</f>
        <v/>
      </c>
      <c r="T347" s="80" t="n">
        <f aca="false">IF(AND($V347=1,ISNUMBER($M347)),$M347,0)</f>
        <v>0</v>
      </c>
      <c r="U347" s="80" t="str">
        <f aca="false">IF($V347=1,IF(COUNTIFS($S$7:$S347,$S347,$V$7:$V347,1)=1,SUMIFS($T$7:$T$1006,$S$7:$S$1006,$S347)-ROW()/1000000000,""),"")</f>
        <v/>
      </c>
      <c r="V347" s="80" t="n">
        <f aca="false">IF(OR($O347="On hand",$O347="Advance received",$O347="Part realised",$O347="Amount missing"),1,0)</f>
        <v>0</v>
      </c>
      <c r="W347" s="80" t="str">
        <f aca="false">IF(AND($V347=1,N($F347)&gt;0),ROW(),"")</f>
        <v/>
      </c>
      <c r="X347" s="80" t="n">
        <f aca="false">IF(AND(OR($A347&lt;&gt;"",$E347&lt;&gt;""),$O347&lt;&gt;"Cancelled",ISNUMBER($E347),N($F347)+N($H347)&gt;$E347+0.005),1,0)</f>
        <v>0</v>
      </c>
      <c r="Y347" s="80" t="n">
        <f aca="false">IF(AND(OR($A347&lt;&gt;"",$E347&lt;&gt;""),OR($A347="",$E347="")),1,0)</f>
        <v>0</v>
      </c>
      <c r="Z347" s="80" t="n">
        <f aca="false">IF(AND($A347&lt;&gt;"",COUNTIF($A$7:$A$1006,$A347)&gt;1),1,0)</f>
        <v>0</v>
      </c>
    </row>
    <row r="348" customFormat="false" ht="15" hidden="false" customHeight="false" outlineLevel="0" collapsed="false">
      <c r="A348" s="71"/>
      <c r="B348" s="72"/>
      <c r="C348" s="73"/>
      <c r="D348" s="73"/>
      <c r="E348" s="74"/>
      <c r="F348" s="74"/>
      <c r="G348" s="72"/>
      <c r="H348" s="74"/>
      <c r="I348" s="72"/>
      <c r="J348" s="73"/>
      <c r="K348" s="73"/>
      <c r="L348" s="75" t="str">
        <f aca="false">IF(OR($A348&lt;&gt;"",$E348&lt;&gt;""),N($F348)+N($H348),"")</f>
        <v/>
      </c>
      <c r="M348" s="76" t="str">
        <f aca="false">IF(OR($O348="",$O348="Cancelled",$O348="Amount missing"),"",IF($O348="Realised",0,$E348-N($F348)-N($H348)))</f>
        <v/>
      </c>
      <c r="N348" s="77" t="str">
        <f aca="false">IF(OR($M348="",FX=""),"",$M348*FX)</f>
        <v/>
      </c>
      <c r="O348" s="78" t="str">
        <f aca="false">IF(NOT(OR($A348&lt;&gt;"",$E348&lt;&gt;"")),"",IF($J348="Cancelled","Cancelled",IF($E348="","Amount missing",IF(OR($J348="Settled",$E348-N($F348)-N($H348)&lt;=0.005),"Realised",IF(N($H348)&gt;0,"Part realised",IF(N($F348)&gt;0,"Advance received","On hand"))))))</f>
        <v/>
      </c>
      <c r="P348" s="79" t="str">
        <f aca="false">IF(AND($V348=1,ISNUMBER($B348)),AsAt-$B348,"")</f>
        <v/>
      </c>
      <c r="Q348" s="78" t="str">
        <f aca="false">IF($V348&lt;&gt;1,"",IF($P348="","No invoice date",IF($P348&lt;=30,"0–30 days",IF($P348&lt;=60,"31–60 days",IF($P348&lt;=90,"61–90 days","Over 90 days")))))</f>
        <v/>
      </c>
      <c r="R348" s="80" t="str">
        <f aca="false">IF($V348=1,ROW(),"")</f>
        <v/>
      </c>
      <c r="S348" s="80" t="str">
        <f aca="false">IF(OR($A348&lt;&gt;"",$E348&lt;&gt;""),IF(TRIM($D348)="","Buyer not noted",TRIM($D348)),"")</f>
        <v/>
      </c>
      <c r="T348" s="80" t="n">
        <f aca="false">IF(AND($V348=1,ISNUMBER($M348)),$M348,0)</f>
        <v>0</v>
      </c>
      <c r="U348" s="80" t="str">
        <f aca="false">IF($V348=1,IF(COUNTIFS($S$7:$S348,$S348,$V$7:$V348,1)=1,SUMIFS($T$7:$T$1006,$S$7:$S$1006,$S348)-ROW()/1000000000,""),"")</f>
        <v/>
      </c>
      <c r="V348" s="80" t="n">
        <f aca="false">IF(OR($O348="On hand",$O348="Advance received",$O348="Part realised",$O348="Amount missing"),1,0)</f>
        <v>0</v>
      </c>
      <c r="W348" s="80" t="str">
        <f aca="false">IF(AND($V348=1,N($F348)&gt;0),ROW(),"")</f>
        <v/>
      </c>
      <c r="X348" s="80" t="n">
        <f aca="false">IF(AND(OR($A348&lt;&gt;"",$E348&lt;&gt;""),$O348&lt;&gt;"Cancelled",ISNUMBER($E348),N($F348)+N($H348)&gt;$E348+0.005),1,0)</f>
        <v>0</v>
      </c>
      <c r="Y348" s="80" t="n">
        <f aca="false">IF(AND(OR($A348&lt;&gt;"",$E348&lt;&gt;""),OR($A348="",$E348="")),1,0)</f>
        <v>0</v>
      </c>
      <c r="Z348" s="80" t="n">
        <f aca="false">IF(AND($A348&lt;&gt;"",COUNTIF($A$7:$A$1006,$A348)&gt;1),1,0)</f>
        <v>0</v>
      </c>
    </row>
    <row r="349" customFormat="false" ht="15" hidden="false" customHeight="false" outlineLevel="0" collapsed="false">
      <c r="A349" s="71"/>
      <c r="B349" s="72"/>
      <c r="C349" s="73"/>
      <c r="D349" s="73"/>
      <c r="E349" s="74"/>
      <c r="F349" s="74"/>
      <c r="G349" s="72"/>
      <c r="H349" s="74"/>
      <c r="I349" s="72"/>
      <c r="J349" s="73"/>
      <c r="K349" s="73"/>
      <c r="L349" s="75" t="str">
        <f aca="false">IF(OR($A349&lt;&gt;"",$E349&lt;&gt;""),N($F349)+N($H349),"")</f>
        <v/>
      </c>
      <c r="M349" s="76" t="str">
        <f aca="false">IF(OR($O349="",$O349="Cancelled",$O349="Amount missing"),"",IF($O349="Realised",0,$E349-N($F349)-N($H349)))</f>
        <v/>
      </c>
      <c r="N349" s="77" t="str">
        <f aca="false">IF(OR($M349="",FX=""),"",$M349*FX)</f>
        <v/>
      </c>
      <c r="O349" s="78" t="str">
        <f aca="false">IF(NOT(OR($A349&lt;&gt;"",$E349&lt;&gt;"")),"",IF($J349="Cancelled","Cancelled",IF($E349="","Amount missing",IF(OR($J349="Settled",$E349-N($F349)-N($H349)&lt;=0.005),"Realised",IF(N($H349)&gt;0,"Part realised",IF(N($F349)&gt;0,"Advance received","On hand"))))))</f>
        <v/>
      </c>
      <c r="P349" s="79" t="str">
        <f aca="false">IF(AND($V349=1,ISNUMBER($B349)),AsAt-$B349,"")</f>
        <v/>
      </c>
      <c r="Q349" s="78" t="str">
        <f aca="false">IF($V349&lt;&gt;1,"",IF($P349="","No invoice date",IF($P349&lt;=30,"0–30 days",IF($P349&lt;=60,"31–60 days",IF($P349&lt;=90,"61–90 days","Over 90 days")))))</f>
        <v/>
      </c>
      <c r="R349" s="80" t="str">
        <f aca="false">IF($V349=1,ROW(),"")</f>
        <v/>
      </c>
      <c r="S349" s="80" t="str">
        <f aca="false">IF(OR($A349&lt;&gt;"",$E349&lt;&gt;""),IF(TRIM($D349)="","Buyer not noted",TRIM($D349)),"")</f>
        <v/>
      </c>
      <c r="T349" s="80" t="n">
        <f aca="false">IF(AND($V349=1,ISNUMBER($M349)),$M349,0)</f>
        <v>0</v>
      </c>
      <c r="U349" s="80" t="str">
        <f aca="false">IF($V349=1,IF(COUNTIFS($S$7:$S349,$S349,$V$7:$V349,1)=1,SUMIFS($T$7:$T$1006,$S$7:$S$1006,$S349)-ROW()/1000000000,""),"")</f>
        <v/>
      </c>
      <c r="V349" s="80" t="n">
        <f aca="false">IF(OR($O349="On hand",$O349="Advance received",$O349="Part realised",$O349="Amount missing"),1,0)</f>
        <v>0</v>
      </c>
      <c r="W349" s="80" t="str">
        <f aca="false">IF(AND($V349=1,N($F349)&gt;0),ROW(),"")</f>
        <v/>
      </c>
      <c r="X349" s="80" t="n">
        <f aca="false">IF(AND(OR($A349&lt;&gt;"",$E349&lt;&gt;""),$O349&lt;&gt;"Cancelled",ISNUMBER($E349),N($F349)+N($H349)&gt;$E349+0.005),1,0)</f>
        <v>0</v>
      </c>
      <c r="Y349" s="80" t="n">
        <f aca="false">IF(AND(OR($A349&lt;&gt;"",$E349&lt;&gt;""),OR($A349="",$E349="")),1,0)</f>
        <v>0</v>
      </c>
      <c r="Z349" s="80" t="n">
        <f aca="false">IF(AND($A349&lt;&gt;"",COUNTIF($A$7:$A$1006,$A349)&gt;1),1,0)</f>
        <v>0</v>
      </c>
    </row>
    <row r="350" customFormat="false" ht="15" hidden="false" customHeight="false" outlineLevel="0" collapsed="false">
      <c r="A350" s="71"/>
      <c r="B350" s="72"/>
      <c r="C350" s="73"/>
      <c r="D350" s="73"/>
      <c r="E350" s="74"/>
      <c r="F350" s="74"/>
      <c r="G350" s="72"/>
      <c r="H350" s="74"/>
      <c r="I350" s="72"/>
      <c r="J350" s="73"/>
      <c r="K350" s="73"/>
      <c r="L350" s="75" t="str">
        <f aca="false">IF(OR($A350&lt;&gt;"",$E350&lt;&gt;""),N($F350)+N($H350),"")</f>
        <v/>
      </c>
      <c r="M350" s="76" t="str">
        <f aca="false">IF(OR($O350="",$O350="Cancelled",$O350="Amount missing"),"",IF($O350="Realised",0,$E350-N($F350)-N($H350)))</f>
        <v/>
      </c>
      <c r="N350" s="77" t="str">
        <f aca="false">IF(OR($M350="",FX=""),"",$M350*FX)</f>
        <v/>
      </c>
      <c r="O350" s="78" t="str">
        <f aca="false">IF(NOT(OR($A350&lt;&gt;"",$E350&lt;&gt;"")),"",IF($J350="Cancelled","Cancelled",IF($E350="","Amount missing",IF(OR($J350="Settled",$E350-N($F350)-N($H350)&lt;=0.005),"Realised",IF(N($H350)&gt;0,"Part realised",IF(N($F350)&gt;0,"Advance received","On hand"))))))</f>
        <v/>
      </c>
      <c r="P350" s="79" t="str">
        <f aca="false">IF(AND($V350=1,ISNUMBER($B350)),AsAt-$B350,"")</f>
        <v/>
      </c>
      <c r="Q350" s="78" t="str">
        <f aca="false">IF($V350&lt;&gt;1,"",IF($P350="","No invoice date",IF($P350&lt;=30,"0–30 days",IF($P350&lt;=60,"31–60 days",IF($P350&lt;=90,"61–90 days","Over 90 days")))))</f>
        <v/>
      </c>
      <c r="R350" s="80" t="str">
        <f aca="false">IF($V350=1,ROW(),"")</f>
        <v/>
      </c>
      <c r="S350" s="80" t="str">
        <f aca="false">IF(OR($A350&lt;&gt;"",$E350&lt;&gt;""),IF(TRIM($D350)="","Buyer not noted",TRIM($D350)),"")</f>
        <v/>
      </c>
      <c r="T350" s="80" t="n">
        <f aca="false">IF(AND($V350=1,ISNUMBER($M350)),$M350,0)</f>
        <v>0</v>
      </c>
      <c r="U350" s="80" t="str">
        <f aca="false">IF($V350=1,IF(COUNTIFS($S$7:$S350,$S350,$V$7:$V350,1)=1,SUMIFS($T$7:$T$1006,$S$7:$S$1006,$S350)-ROW()/1000000000,""),"")</f>
        <v/>
      </c>
      <c r="V350" s="80" t="n">
        <f aca="false">IF(OR($O350="On hand",$O350="Advance received",$O350="Part realised",$O350="Amount missing"),1,0)</f>
        <v>0</v>
      </c>
      <c r="W350" s="80" t="str">
        <f aca="false">IF(AND($V350=1,N($F350)&gt;0),ROW(),"")</f>
        <v/>
      </c>
      <c r="X350" s="80" t="n">
        <f aca="false">IF(AND(OR($A350&lt;&gt;"",$E350&lt;&gt;""),$O350&lt;&gt;"Cancelled",ISNUMBER($E350),N($F350)+N($H350)&gt;$E350+0.005),1,0)</f>
        <v>0</v>
      </c>
      <c r="Y350" s="80" t="n">
        <f aca="false">IF(AND(OR($A350&lt;&gt;"",$E350&lt;&gt;""),OR($A350="",$E350="")),1,0)</f>
        <v>0</v>
      </c>
      <c r="Z350" s="80" t="n">
        <f aca="false">IF(AND($A350&lt;&gt;"",COUNTIF($A$7:$A$1006,$A350)&gt;1),1,0)</f>
        <v>0</v>
      </c>
    </row>
    <row r="351" customFormat="false" ht="15" hidden="false" customHeight="false" outlineLevel="0" collapsed="false">
      <c r="A351" s="71"/>
      <c r="B351" s="72"/>
      <c r="C351" s="73"/>
      <c r="D351" s="73"/>
      <c r="E351" s="74"/>
      <c r="F351" s="74"/>
      <c r="G351" s="72"/>
      <c r="H351" s="74"/>
      <c r="I351" s="72"/>
      <c r="J351" s="73"/>
      <c r="K351" s="73"/>
      <c r="L351" s="75" t="str">
        <f aca="false">IF(OR($A351&lt;&gt;"",$E351&lt;&gt;""),N($F351)+N($H351),"")</f>
        <v/>
      </c>
      <c r="M351" s="76" t="str">
        <f aca="false">IF(OR($O351="",$O351="Cancelled",$O351="Amount missing"),"",IF($O351="Realised",0,$E351-N($F351)-N($H351)))</f>
        <v/>
      </c>
      <c r="N351" s="77" t="str">
        <f aca="false">IF(OR($M351="",FX=""),"",$M351*FX)</f>
        <v/>
      </c>
      <c r="O351" s="78" t="str">
        <f aca="false">IF(NOT(OR($A351&lt;&gt;"",$E351&lt;&gt;"")),"",IF($J351="Cancelled","Cancelled",IF($E351="","Amount missing",IF(OR($J351="Settled",$E351-N($F351)-N($H351)&lt;=0.005),"Realised",IF(N($H351)&gt;0,"Part realised",IF(N($F351)&gt;0,"Advance received","On hand"))))))</f>
        <v/>
      </c>
      <c r="P351" s="79" t="str">
        <f aca="false">IF(AND($V351=1,ISNUMBER($B351)),AsAt-$B351,"")</f>
        <v/>
      </c>
      <c r="Q351" s="78" t="str">
        <f aca="false">IF($V351&lt;&gt;1,"",IF($P351="","No invoice date",IF($P351&lt;=30,"0–30 days",IF($P351&lt;=60,"31–60 days",IF($P351&lt;=90,"61–90 days","Over 90 days")))))</f>
        <v/>
      </c>
      <c r="R351" s="80" t="str">
        <f aca="false">IF($V351=1,ROW(),"")</f>
        <v/>
      </c>
      <c r="S351" s="80" t="str">
        <f aca="false">IF(OR($A351&lt;&gt;"",$E351&lt;&gt;""),IF(TRIM($D351)="","Buyer not noted",TRIM($D351)),"")</f>
        <v/>
      </c>
      <c r="T351" s="80" t="n">
        <f aca="false">IF(AND($V351=1,ISNUMBER($M351)),$M351,0)</f>
        <v>0</v>
      </c>
      <c r="U351" s="80" t="str">
        <f aca="false">IF($V351=1,IF(COUNTIFS($S$7:$S351,$S351,$V$7:$V351,1)=1,SUMIFS($T$7:$T$1006,$S$7:$S$1006,$S351)-ROW()/1000000000,""),"")</f>
        <v/>
      </c>
      <c r="V351" s="80" t="n">
        <f aca="false">IF(OR($O351="On hand",$O351="Advance received",$O351="Part realised",$O351="Amount missing"),1,0)</f>
        <v>0</v>
      </c>
      <c r="W351" s="80" t="str">
        <f aca="false">IF(AND($V351=1,N($F351)&gt;0),ROW(),"")</f>
        <v/>
      </c>
      <c r="X351" s="80" t="n">
        <f aca="false">IF(AND(OR($A351&lt;&gt;"",$E351&lt;&gt;""),$O351&lt;&gt;"Cancelled",ISNUMBER($E351),N($F351)+N($H351)&gt;$E351+0.005),1,0)</f>
        <v>0</v>
      </c>
      <c r="Y351" s="80" t="n">
        <f aca="false">IF(AND(OR($A351&lt;&gt;"",$E351&lt;&gt;""),OR($A351="",$E351="")),1,0)</f>
        <v>0</v>
      </c>
      <c r="Z351" s="80" t="n">
        <f aca="false">IF(AND($A351&lt;&gt;"",COUNTIF($A$7:$A$1006,$A351)&gt;1),1,0)</f>
        <v>0</v>
      </c>
    </row>
    <row r="352" customFormat="false" ht="15" hidden="false" customHeight="false" outlineLevel="0" collapsed="false">
      <c r="A352" s="71"/>
      <c r="B352" s="72"/>
      <c r="C352" s="73"/>
      <c r="D352" s="73"/>
      <c r="E352" s="74"/>
      <c r="F352" s="74"/>
      <c r="G352" s="72"/>
      <c r="H352" s="74"/>
      <c r="I352" s="72"/>
      <c r="J352" s="73"/>
      <c r="K352" s="73"/>
      <c r="L352" s="75" t="str">
        <f aca="false">IF(OR($A352&lt;&gt;"",$E352&lt;&gt;""),N($F352)+N($H352),"")</f>
        <v/>
      </c>
      <c r="M352" s="76" t="str">
        <f aca="false">IF(OR($O352="",$O352="Cancelled",$O352="Amount missing"),"",IF($O352="Realised",0,$E352-N($F352)-N($H352)))</f>
        <v/>
      </c>
      <c r="N352" s="77" t="str">
        <f aca="false">IF(OR($M352="",FX=""),"",$M352*FX)</f>
        <v/>
      </c>
      <c r="O352" s="78" t="str">
        <f aca="false">IF(NOT(OR($A352&lt;&gt;"",$E352&lt;&gt;"")),"",IF($J352="Cancelled","Cancelled",IF($E352="","Amount missing",IF(OR($J352="Settled",$E352-N($F352)-N($H352)&lt;=0.005),"Realised",IF(N($H352)&gt;0,"Part realised",IF(N($F352)&gt;0,"Advance received","On hand"))))))</f>
        <v/>
      </c>
      <c r="P352" s="79" t="str">
        <f aca="false">IF(AND($V352=1,ISNUMBER($B352)),AsAt-$B352,"")</f>
        <v/>
      </c>
      <c r="Q352" s="78" t="str">
        <f aca="false">IF($V352&lt;&gt;1,"",IF($P352="","No invoice date",IF($P352&lt;=30,"0–30 days",IF($P352&lt;=60,"31–60 days",IF($P352&lt;=90,"61–90 days","Over 90 days")))))</f>
        <v/>
      </c>
      <c r="R352" s="80" t="str">
        <f aca="false">IF($V352=1,ROW(),"")</f>
        <v/>
      </c>
      <c r="S352" s="80" t="str">
        <f aca="false">IF(OR($A352&lt;&gt;"",$E352&lt;&gt;""),IF(TRIM($D352)="","Buyer not noted",TRIM($D352)),"")</f>
        <v/>
      </c>
      <c r="T352" s="80" t="n">
        <f aca="false">IF(AND($V352=1,ISNUMBER($M352)),$M352,0)</f>
        <v>0</v>
      </c>
      <c r="U352" s="80" t="str">
        <f aca="false">IF($V352=1,IF(COUNTIFS($S$7:$S352,$S352,$V$7:$V352,1)=1,SUMIFS($T$7:$T$1006,$S$7:$S$1006,$S352)-ROW()/1000000000,""),"")</f>
        <v/>
      </c>
      <c r="V352" s="80" t="n">
        <f aca="false">IF(OR($O352="On hand",$O352="Advance received",$O352="Part realised",$O352="Amount missing"),1,0)</f>
        <v>0</v>
      </c>
      <c r="W352" s="80" t="str">
        <f aca="false">IF(AND($V352=1,N($F352)&gt;0),ROW(),"")</f>
        <v/>
      </c>
      <c r="X352" s="80" t="n">
        <f aca="false">IF(AND(OR($A352&lt;&gt;"",$E352&lt;&gt;""),$O352&lt;&gt;"Cancelled",ISNUMBER($E352),N($F352)+N($H352)&gt;$E352+0.005),1,0)</f>
        <v>0</v>
      </c>
      <c r="Y352" s="80" t="n">
        <f aca="false">IF(AND(OR($A352&lt;&gt;"",$E352&lt;&gt;""),OR($A352="",$E352="")),1,0)</f>
        <v>0</v>
      </c>
      <c r="Z352" s="80" t="n">
        <f aca="false">IF(AND($A352&lt;&gt;"",COUNTIF($A$7:$A$1006,$A352)&gt;1),1,0)</f>
        <v>0</v>
      </c>
    </row>
    <row r="353" customFormat="false" ht="15" hidden="false" customHeight="false" outlineLevel="0" collapsed="false">
      <c r="A353" s="71"/>
      <c r="B353" s="72"/>
      <c r="C353" s="73"/>
      <c r="D353" s="73"/>
      <c r="E353" s="74"/>
      <c r="F353" s="74"/>
      <c r="G353" s="72"/>
      <c r="H353" s="74"/>
      <c r="I353" s="72"/>
      <c r="J353" s="73"/>
      <c r="K353" s="73"/>
      <c r="L353" s="75" t="str">
        <f aca="false">IF(OR($A353&lt;&gt;"",$E353&lt;&gt;""),N($F353)+N($H353),"")</f>
        <v/>
      </c>
      <c r="M353" s="76" t="str">
        <f aca="false">IF(OR($O353="",$O353="Cancelled",$O353="Amount missing"),"",IF($O353="Realised",0,$E353-N($F353)-N($H353)))</f>
        <v/>
      </c>
      <c r="N353" s="77" t="str">
        <f aca="false">IF(OR($M353="",FX=""),"",$M353*FX)</f>
        <v/>
      </c>
      <c r="O353" s="78" t="str">
        <f aca="false">IF(NOT(OR($A353&lt;&gt;"",$E353&lt;&gt;"")),"",IF($J353="Cancelled","Cancelled",IF($E353="","Amount missing",IF(OR($J353="Settled",$E353-N($F353)-N($H353)&lt;=0.005),"Realised",IF(N($H353)&gt;0,"Part realised",IF(N($F353)&gt;0,"Advance received","On hand"))))))</f>
        <v/>
      </c>
      <c r="P353" s="79" t="str">
        <f aca="false">IF(AND($V353=1,ISNUMBER($B353)),AsAt-$B353,"")</f>
        <v/>
      </c>
      <c r="Q353" s="78" t="str">
        <f aca="false">IF($V353&lt;&gt;1,"",IF($P353="","No invoice date",IF($P353&lt;=30,"0–30 days",IF($P353&lt;=60,"31–60 days",IF($P353&lt;=90,"61–90 days","Over 90 days")))))</f>
        <v/>
      </c>
      <c r="R353" s="80" t="str">
        <f aca="false">IF($V353=1,ROW(),"")</f>
        <v/>
      </c>
      <c r="S353" s="80" t="str">
        <f aca="false">IF(OR($A353&lt;&gt;"",$E353&lt;&gt;""),IF(TRIM($D353)="","Buyer not noted",TRIM($D353)),"")</f>
        <v/>
      </c>
      <c r="T353" s="80" t="n">
        <f aca="false">IF(AND($V353=1,ISNUMBER($M353)),$M353,0)</f>
        <v>0</v>
      </c>
      <c r="U353" s="80" t="str">
        <f aca="false">IF($V353=1,IF(COUNTIFS($S$7:$S353,$S353,$V$7:$V353,1)=1,SUMIFS($T$7:$T$1006,$S$7:$S$1006,$S353)-ROW()/1000000000,""),"")</f>
        <v/>
      </c>
      <c r="V353" s="80" t="n">
        <f aca="false">IF(OR($O353="On hand",$O353="Advance received",$O353="Part realised",$O353="Amount missing"),1,0)</f>
        <v>0</v>
      </c>
      <c r="W353" s="80" t="str">
        <f aca="false">IF(AND($V353=1,N($F353)&gt;0),ROW(),"")</f>
        <v/>
      </c>
      <c r="X353" s="80" t="n">
        <f aca="false">IF(AND(OR($A353&lt;&gt;"",$E353&lt;&gt;""),$O353&lt;&gt;"Cancelled",ISNUMBER($E353),N($F353)+N($H353)&gt;$E353+0.005),1,0)</f>
        <v>0</v>
      </c>
      <c r="Y353" s="80" t="n">
        <f aca="false">IF(AND(OR($A353&lt;&gt;"",$E353&lt;&gt;""),OR($A353="",$E353="")),1,0)</f>
        <v>0</v>
      </c>
      <c r="Z353" s="80" t="n">
        <f aca="false">IF(AND($A353&lt;&gt;"",COUNTIF($A$7:$A$1006,$A353)&gt;1),1,0)</f>
        <v>0</v>
      </c>
    </row>
    <row r="354" customFormat="false" ht="15" hidden="false" customHeight="false" outlineLevel="0" collapsed="false">
      <c r="A354" s="71"/>
      <c r="B354" s="72"/>
      <c r="C354" s="73"/>
      <c r="D354" s="73"/>
      <c r="E354" s="74"/>
      <c r="F354" s="74"/>
      <c r="G354" s="72"/>
      <c r="H354" s="74"/>
      <c r="I354" s="72"/>
      <c r="J354" s="73"/>
      <c r="K354" s="73"/>
      <c r="L354" s="75" t="str">
        <f aca="false">IF(OR($A354&lt;&gt;"",$E354&lt;&gt;""),N($F354)+N($H354),"")</f>
        <v/>
      </c>
      <c r="M354" s="76" t="str">
        <f aca="false">IF(OR($O354="",$O354="Cancelled",$O354="Amount missing"),"",IF($O354="Realised",0,$E354-N($F354)-N($H354)))</f>
        <v/>
      </c>
      <c r="N354" s="77" t="str">
        <f aca="false">IF(OR($M354="",FX=""),"",$M354*FX)</f>
        <v/>
      </c>
      <c r="O354" s="78" t="str">
        <f aca="false">IF(NOT(OR($A354&lt;&gt;"",$E354&lt;&gt;"")),"",IF($J354="Cancelled","Cancelled",IF($E354="","Amount missing",IF(OR($J354="Settled",$E354-N($F354)-N($H354)&lt;=0.005),"Realised",IF(N($H354)&gt;0,"Part realised",IF(N($F354)&gt;0,"Advance received","On hand"))))))</f>
        <v/>
      </c>
      <c r="P354" s="79" t="str">
        <f aca="false">IF(AND($V354=1,ISNUMBER($B354)),AsAt-$B354,"")</f>
        <v/>
      </c>
      <c r="Q354" s="78" t="str">
        <f aca="false">IF($V354&lt;&gt;1,"",IF($P354="","No invoice date",IF($P354&lt;=30,"0–30 days",IF($P354&lt;=60,"31–60 days",IF($P354&lt;=90,"61–90 days","Over 90 days")))))</f>
        <v/>
      </c>
      <c r="R354" s="80" t="str">
        <f aca="false">IF($V354=1,ROW(),"")</f>
        <v/>
      </c>
      <c r="S354" s="80" t="str">
        <f aca="false">IF(OR($A354&lt;&gt;"",$E354&lt;&gt;""),IF(TRIM($D354)="","Buyer not noted",TRIM($D354)),"")</f>
        <v/>
      </c>
      <c r="T354" s="80" t="n">
        <f aca="false">IF(AND($V354=1,ISNUMBER($M354)),$M354,0)</f>
        <v>0</v>
      </c>
      <c r="U354" s="80" t="str">
        <f aca="false">IF($V354=1,IF(COUNTIFS($S$7:$S354,$S354,$V$7:$V354,1)=1,SUMIFS($T$7:$T$1006,$S$7:$S$1006,$S354)-ROW()/1000000000,""),"")</f>
        <v/>
      </c>
      <c r="V354" s="80" t="n">
        <f aca="false">IF(OR($O354="On hand",$O354="Advance received",$O354="Part realised",$O354="Amount missing"),1,0)</f>
        <v>0</v>
      </c>
      <c r="W354" s="80" t="str">
        <f aca="false">IF(AND($V354=1,N($F354)&gt;0),ROW(),"")</f>
        <v/>
      </c>
      <c r="X354" s="80" t="n">
        <f aca="false">IF(AND(OR($A354&lt;&gt;"",$E354&lt;&gt;""),$O354&lt;&gt;"Cancelled",ISNUMBER($E354),N($F354)+N($H354)&gt;$E354+0.005),1,0)</f>
        <v>0</v>
      </c>
      <c r="Y354" s="80" t="n">
        <f aca="false">IF(AND(OR($A354&lt;&gt;"",$E354&lt;&gt;""),OR($A354="",$E354="")),1,0)</f>
        <v>0</v>
      </c>
      <c r="Z354" s="80" t="n">
        <f aca="false">IF(AND($A354&lt;&gt;"",COUNTIF($A$7:$A$1006,$A354)&gt;1),1,0)</f>
        <v>0</v>
      </c>
    </row>
    <row r="355" customFormat="false" ht="15" hidden="false" customHeight="false" outlineLevel="0" collapsed="false">
      <c r="A355" s="71"/>
      <c r="B355" s="72"/>
      <c r="C355" s="73"/>
      <c r="D355" s="73"/>
      <c r="E355" s="74"/>
      <c r="F355" s="74"/>
      <c r="G355" s="72"/>
      <c r="H355" s="74"/>
      <c r="I355" s="72"/>
      <c r="J355" s="73"/>
      <c r="K355" s="73"/>
      <c r="L355" s="75" t="str">
        <f aca="false">IF(OR($A355&lt;&gt;"",$E355&lt;&gt;""),N($F355)+N($H355),"")</f>
        <v/>
      </c>
      <c r="M355" s="76" t="str">
        <f aca="false">IF(OR($O355="",$O355="Cancelled",$O355="Amount missing"),"",IF($O355="Realised",0,$E355-N($F355)-N($H355)))</f>
        <v/>
      </c>
      <c r="N355" s="77" t="str">
        <f aca="false">IF(OR($M355="",FX=""),"",$M355*FX)</f>
        <v/>
      </c>
      <c r="O355" s="78" t="str">
        <f aca="false">IF(NOT(OR($A355&lt;&gt;"",$E355&lt;&gt;"")),"",IF($J355="Cancelled","Cancelled",IF($E355="","Amount missing",IF(OR($J355="Settled",$E355-N($F355)-N($H355)&lt;=0.005),"Realised",IF(N($H355)&gt;0,"Part realised",IF(N($F355)&gt;0,"Advance received","On hand"))))))</f>
        <v/>
      </c>
      <c r="P355" s="79" t="str">
        <f aca="false">IF(AND($V355=1,ISNUMBER($B355)),AsAt-$B355,"")</f>
        <v/>
      </c>
      <c r="Q355" s="78" t="str">
        <f aca="false">IF($V355&lt;&gt;1,"",IF($P355="","No invoice date",IF($P355&lt;=30,"0–30 days",IF($P355&lt;=60,"31–60 days",IF($P355&lt;=90,"61–90 days","Over 90 days")))))</f>
        <v/>
      </c>
      <c r="R355" s="80" t="str">
        <f aca="false">IF($V355=1,ROW(),"")</f>
        <v/>
      </c>
      <c r="S355" s="80" t="str">
        <f aca="false">IF(OR($A355&lt;&gt;"",$E355&lt;&gt;""),IF(TRIM($D355)="","Buyer not noted",TRIM($D355)),"")</f>
        <v/>
      </c>
      <c r="T355" s="80" t="n">
        <f aca="false">IF(AND($V355=1,ISNUMBER($M355)),$M355,0)</f>
        <v>0</v>
      </c>
      <c r="U355" s="80" t="str">
        <f aca="false">IF($V355=1,IF(COUNTIFS($S$7:$S355,$S355,$V$7:$V355,1)=1,SUMIFS($T$7:$T$1006,$S$7:$S$1006,$S355)-ROW()/1000000000,""),"")</f>
        <v/>
      </c>
      <c r="V355" s="80" t="n">
        <f aca="false">IF(OR($O355="On hand",$O355="Advance received",$O355="Part realised",$O355="Amount missing"),1,0)</f>
        <v>0</v>
      </c>
      <c r="W355" s="80" t="str">
        <f aca="false">IF(AND($V355=1,N($F355)&gt;0),ROW(),"")</f>
        <v/>
      </c>
      <c r="X355" s="80" t="n">
        <f aca="false">IF(AND(OR($A355&lt;&gt;"",$E355&lt;&gt;""),$O355&lt;&gt;"Cancelled",ISNUMBER($E355),N($F355)+N($H355)&gt;$E355+0.005),1,0)</f>
        <v>0</v>
      </c>
      <c r="Y355" s="80" t="n">
        <f aca="false">IF(AND(OR($A355&lt;&gt;"",$E355&lt;&gt;""),OR($A355="",$E355="")),1,0)</f>
        <v>0</v>
      </c>
      <c r="Z355" s="80" t="n">
        <f aca="false">IF(AND($A355&lt;&gt;"",COUNTIF($A$7:$A$1006,$A355)&gt;1),1,0)</f>
        <v>0</v>
      </c>
    </row>
    <row r="356" customFormat="false" ht="15" hidden="false" customHeight="false" outlineLevel="0" collapsed="false">
      <c r="A356" s="71"/>
      <c r="B356" s="72"/>
      <c r="C356" s="73"/>
      <c r="D356" s="73"/>
      <c r="E356" s="74"/>
      <c r="F356" s="74"/>
      <c r="G356" s="72"/>
      <c r="H356" s="74"/>
      <c r="I356" s="72"/>
      <c r="J356" s="73"/>
      <c r="K356" s="73"/>
      <c r="L356" s="75" t="str">
        <f aca="false">IF(OR($A356&lt;&gt;"",$E356&lt;&gt;""),N($F356)+N($H356),"")</f>
        <v/>
      </c>
      <c r="M356" s="76" t="str">
        <f aca="false">IF(OR($O356="",$O356="Cancelled",$O356="Amount missing"),"",IF($O356="Realised",0,$E356-N($F356)-N($H356)))</f>
        <v/>
      </c>
      <c r="N356" s="77" t="str">
        <f aca="false">IF(OR($M356="",FX=""),"",$M356*FX)</f>
        <v/>
      </c>
      <c r="O356" s="78" t="str">
        <f aca="false">IF(NOT(OR($A356&lt;&gt;"",$E356&lt;&gt;"")),"",IF($J356="Cancelled","Cancelled",IF($E356="","Amount missing",IF(OR($J356="Settled",$E356-N($F356)-N($H356)&lt;=0.005),"Realised",IF(N($H356)&gt;0,"Part realised",IF(N($F356)&gt;0,"Advance received","On hand"))))))</f>
        <v/>
      </c>
      <c r="P356" s="79" t="str">
        <f aca="false">IF(AND($V356=1,ISNUMBER($B356)),AsAt-$B356,"")</f>
        <v/>
      </c>
      <c r="Q356" s="78" t="str">
        <f aca="false">IF($V356&lt;&gt;1,"",IF($P356="","No invoice date",IF($P356&lt;=30,"0–30 days",IF($P356&lt;=60,"31–60 days",IF($P356&lt;=90,"61–90 days","Over 90 days")))))</f>
        <v/>
      </c>
      <c r="R356" s="80" t="str">
        <f aca="false">IF($V356=1,ROW(),"")</f>
        <v/>
      </c>
      <c r="S356" s="80" t="str">
        <f aca="false">IF(OR($A356&lt;&gt;"",$E356&lt;&gt;""),IF(TRIM($D356)="","Buyer not noted",TRIM($D356)),"")</f>
        <v/>
      </c>
      <c r="T356" s="80" t="n">
        <f aca="false">IF(AND($V356=1,ISNUMBER($M356)),$M356,0)</f>
        <v>0</v>
      </c>
      <c r="U356" s="80" t="str">
        <f aca="false">IF($V356=1,IF(COUNTIFS($S$7:$S356,$S356,$V$7:$V356,1)=1,SUMIFS($T$7:$T$1006,$S$7:$S$1006,$S356)-ROW()/1000000000,""),"")</f>
        <v/>
      </c>
      <c r="V356" s="80" t="n">
        <f aca="false">IF(OR($O356="On hand",$O356="Advance received",$O356="Part realised",$O356="Amount missing"),1,0)</f>
        <v>0</v>
      </c>
      <c r="W356" s="80" t="str">
        <f aca="false">IF(AND($V356=1,N($F356)&gt;0),ROW(),"")</f>
        <v/>
      </c>
      <c r="X356" s="80" t="n">
        <f aca="false">IF(AND(OR($A356&lt;&gt;"",$E356&lt;&gt;""),$O356&lt;&gt;"Cancelled",ISNUMBER($E356),N($F356)+N($H356)&gt;$E356+0.005),1,0)</f>
        <v>0</v>
      </c>
      <c r="Y356" s="80" t="n">
        <f aca="false">IF(AND(OR($A356&lt;&gt;"",$E356&lt;&gt;""),OR($A356="",$E356="")),1,0)</f>
        <v>0</v>
      </c>
      <c r="Z356" s="80" t="n">
        <f aca="false">IF(AND($A356&lt;&gt;"",COUNTIF($A$7:$A$1006,$A356)&gt;1),1,0)</f>
        <v>0</v>
      </c>
    </row>
    <row r="357" customFormat="false" ht="15" hidden="false" customHeight="false" outlineLevel="0" collapsed="false">
      <c r="A357" s="71"/>
      <c r="B357" s="72"/>
      <c r="C357" s="73"/>
      <c r="D357" s="73"/>
      <c r="E357" s="74"/>
      <c r="F357" s="74"/>
      <c r="G357" s="72"/>
      <c r="H357" s="74"/>
      <c r="I357" s="72"/>
      <c r="J357" s="73"/>
      <c r="K357" s="73"/>
      <c r="L357" s="75" t="str">
        <f aca="false">IF(OR($A357&lt;&gt;"",$E357&lt;&gt;""),N($F357)+N($H357),"")</f>
        <v/>
      </c>
      <c r="M357" s="76" t="str">
        <f aca="false">IF(OR($O357="",$O357="Cancelled",$O357="Amount missing"),"",IF($O357="Realised",0,$E357-N($F357)-N($H357)))</f>
        <v/>
      </c>
      <c r="N357" s="77" t="str">
        <f aca="false">IF(OR($M357="",FX=""),"",$M357*FX)</f>
        <v/>
      </c>
      <c r="O357" s="78" t="str">
        <f aca="false">IF(NOT(OR($A357&lt;&gt;"",$E357&lt;&gt;"")),"",IF($J357="Cancelled","Cancelled",IF($E357="","Amount missing",IF(OR($J357="Settled",$E357-N($F357)-N($H357)&lt;=0.005),"Realised",IF(N($H357)&gt;0,"Part realised",IF(N($F357)&gt;0,"Advance received","On hand"))))))</f>
        <v/>
      </c>
      <c r="P357" s="79" t="str">
        <f aca="false">IF(AND($V357=1,ISNUMBER($B357)),AsAt-$B357,"")</f>
        <v/>
      </c>
      <c r="Q357" s="78" t="str">
        <f aca="false">IF($V357&lt;&gt;1,"",IF($P357="","No invoice date",IF($P357&lt;=30,"0–30 days",IF($P357&lt;=60,"31–60 days",IF($P357&lt;=90,"61–90 days","Over 90 days")))))</f>
        <v/>
      </c>
      <c r="R357" s="80" t="str">
        <f aca="false">IF($V357=1,ROW(),"")</f>
        <v/>
      </c>
      <c r="S357" s="80" t="str">
        <f aca="false">IF(OR($A357&lt;&gt;"",$E357&lt;&gt;""),IF(TRIM($D357)="","Buyer not noted",TRIM($D357)),"")</f>
        <v/>
      </c>
      <c r="T357" s="80" t="n">
        <f aca="false">IF(AND($V357=1,ISNUMBER($M357)),$M357,0)</f>
        <v>0</v>
      </c>
      <c r="U357" s="80" t="str">
        <f aca="false">IF($V357=1,IF(COUNTIFS($S$7:$S357,$S357,$V$7:$V357,1)=1,SUMIFS($T$7:$T$1006,$S$7:$S$1006,$S357)-ROW()/1000000000,""),"")</f>
        <v/>
      </c>
      <c r="V357" s="80" t="n">
        <f aca="false">IF(OR($O357="On hand",$O357="Advance received",$O357="Part realised",$O357="Amount missing"),1,0)</f>
        <v>0</v>
      </c>
      <c r="W357" s="80" t="str">
        <f aca="false">IF(AND($V357=1,N($F357)&gt;0),ROW(),"")</f>
        <v/>
      </c>
      <c r="X357" s="80" t="n">
        <f aca="false">IF(AND(OR($A357&lt;&gt;"",$E357&lt;&gt;""),$O357&lt;&gt;"Cancelled",ISNUMBER($E357),N($F357)+N($H357)&gt;$E357+0.005),1,0)</f>
        <v>0</v>
      </c>
      <c r="Y357" s="80" t="n">
        <f aca="false">IF(AND(OR($A357&lt;&gt;"",$E357&lt;&gt;""),OR($A357="",$E357="")),1,0)</f>
        <v>0</v>
      </c>
      <c r="Z357" s="80" t="n">
        <f aca="false">IF(AND($A357&lt;&gt;"",COUNTIF($A$7:$A$1006,$A357)&gt;1),1,0)</f>
        <v>0</v>
      </c>
    </row>
    <row r="358" customFormat="false" ht="15" hidden="false" customHeight="false" outlineLevel="0" collapsed="false">
      <c r="A358" s="71"/>
      <c r="B358" s="72"/>
      <c r="C358" s="73"/>
      <c r="D358" s="73"/>
      <c r="E358" s="74"/>
      <c r="F358" s="74"/>
      <c r="G358" s="72"/>
      <c r="H358" s="74"/>
      <c r="I358" s="72"/>
      <c r="J358" s="73"/>
      <c r="K358" s="73"/>
      <c r="L358" s="75" t="str">
        <f aca="false">IF(OR($A358&lt;&gt;"",$E358&lt;&gt;""),N($F358)+N($H358),"")</f>
        <v/>
      </c>
      <c r="M358" s="76" t="str">
        <f aca="false">IF(OR($O358="",$O358="Cancelled",$O358="Amount missing"),"",IF($O358="Realised",0,$E358-N($F358)-N($H358)))</f>
        <v/>
      </c>
      <c r="N358" s="77" t="str">
        <f aca="false">IF(OR($M358="",FX=""),"",$M358*FX)</f>
        <v/>
      </c>
      <c r="O358" s="78" t="str">
        <f aca="false">IF(NOT(OR($A358&lt;&gt;"",$E358&lt;&gt;"")),"",IF($J358="Cancelled","Cancelled",IF($E358="","Amount missing",IF(OR($J358="Settled",$E358-N($F358)-N($H358)&lt;=0.005),"Realised",IF(N($H358)&gt;0,"Part realised",IF(N($F358)&gt;0,"Advance received","On hand"))))))</f>
        <v/>
      </c>
      <c r="P358" s="79" t="str">
        <f aca="false">IF(AND($V358=1,ISNUMBER($B358)),AsAt-$B358,"")</f>
        <v/>
      </c>
      <c r="Q358" s="78" t="str">
        <f aca="false">IF($V358&lt;&gt;1,"",IF($P358="","No invoice date",IF($P358&lt;=30,"0–30 days",IF($P358&lt;=60,"31–60 days",IF($P358&lt;=90,"61–90 days","Over 90 days")))))</f>
        <v/>
      </c>
      <c r="R358" s="80" t="str">
        <f aca="false">IF($V358=1,ROW(),"")</f>
        <v/>
      </c>
      <c r="S358" s="80" t="str">
        <f aca="false">IF(OR($A358&lt;&gt;"",$E358&lt;&gt;""),IF(TRIM($D358)="","Buyer not noted",TRIM($D358)),"")</f>
        <v/>
      </c>
      <c r="T358" s="80" t="n">
        <f aca="false">IF(AND($V358=1,ISNUMBER($M358)),$M358,0)</f>
        <v>0</v>
      </c>
      <c r="U358" s="80" t="str">
        <f aca="false">IF($V358=1,IF(COUNTIFS($S$7:$S358,$S358,$V$7:$V358,1)=1,SUMIFS($T$7:$T$1006,$S$7:$S$1006,$S358)-ROW()/1000000000,""),"")</f>
        <v/>
      </c>
      <c r="V358" s="80" t="n">
        <f aca="false">IF(OR($O358="On hand",$O358="Advance received",$O358="Part realised",$O358="Amount missing"),1,0)</f>
        <v>0</v>
      </c>
      <c r="W358" s="80" t="str">
        <f aca="false">IF(AND($V358=1,N($F358)&gt;0),ROW(),"")</f>
        <v/>
      </c>
      <c r="X358" s="80" t="n">
        <f aca="false">IF(AND(OR($A358&lt;&gt;"",$E358&lt;&gt;""),$O358&lt;&gt;"Cancelled",ISNUMBER($E358),N($F358)+N($H358)&gt;$E358+0.005),1,0)</f>
        <v>0</v>
      </c>
      <c r="Y358" s="80" t="n">
        <f aca="false">IF(AND(OR($A358&lt;&gt;"",$E358&lt;&gt;""),OR($A358="",$E358="")),1,0)</f>
        <v>0</v>
      </c>
      <c r="Z358" s="80" t="n">
        <f aca="false">IF(AND($A358&lt;&gt;"",COUNTIF($A$7:$A$1006,$A358)&gt;1),1,0)</f>
        <v>0</v>
      </c>
    </row>
    <row r="359" customFormat="false" ht="15" hidden="false" customHeight="false" outlineLevel="0" collapsed="false">
      <c r="A359" s="71"/>
      <c r="B359" s="72"/>
      <c r="C359" s="73"/>
      <c r="D359" s="73"/>
      <c r="E359" s="74"/>
      <c r="F359" s="74"/>
      <c r="G359" s="72"/>
      <c r="H359" s="74"/>
      <c r="I359" s="72"/>
      <c r="J359" s="73"/>
      <c r="K359" s="73"/>
      <c r="L359" s="75" t="str">
        <f aca="false">IF(OR($A359&lt;&gt;"",$E359&lt;&gt;""),N($F359)+N($H359),"")</f>
        <v/>
      </c>
      <c r="M359" s="76" t="str">
        <f aca="false">IF(OR($O359="",$O359="Cancelled",$O359="Amount missing"),"",IF($O359="Realised",0,$E359-N($F359)-N($H359)))</f>
        <v/>
      </c>
      <c r="N359" s="77" t="str">
        <f aca="false">IF(OR($M359="",FX=""),"",$M359*FX)</f>
        <v/>
      </c>
      <c r="O359" s="78" t="str">
        <f aca="false">IF(NOT(OR($A359&lt;&gt;"",$E359&lt;&gt;"")),"",IF($J359="Cancelled","Cancelled",IF($E359="","Amount missing",IF(OR($J359="Settled",$E359-N($F359)-N($H359)&lt;=0.005),"Realised",IF(N($H359)&gt;0,"Part realised",IF(N($F359)&gt;0,"Advance received","On hand"))))))</f>
        <v/>
      </c>
      <c r="P359" s="79" t="str">
        <f aca="false">IF(AND($V359=1,ISNUMBER($B359)),AsAt-$B359,"")</f>
        <v/>
      </c>
      <c r="Q359" s="78" t="str">
        <f aca="false">IF($V359&lt;&gt;1,"",IF($P359="","No invoice date",IF($P359&lt;=30,"0–30 days",IF($P359&lt;=60,"31–60 days",IF($P359&lt;=90,"61–90 days","Over 90 days")))))</f>
        <v/>
      </c>
      <c r="R359" s="80" t="str">
        <f aca="false">IF($V359=1,ROW(),"")</f>
        <v/>
      </c>
      <c r="S359" s="80" t="str">
        <f aca="false">IF(OR($A359&lt;&gt;"",$E359&lt;&gt;""),IF(TRIM($D359)="","Buyer not noted",TRIM($D359)),"")</f>
        <v/>
      </c>
      <c r="T359" s="80" t="n">
        <f aca="false">IF(AND($V359=1,ISNUMBER($M359)),$M359,0)</f>
        <v>0</v>
      </c>
      <c r="U359" s="80" t="str">
        <f aca="false">IF($V359=1,IF(COUNTIFS($S$7:$S359,$S359,$V$7:$V359,1)=1,SUMIFS($T$7:$T$1006,$S$7:$S$1006,$S359)-ROW()/1000000000,""),"")</f>
        <v/>
      </c>
      <c r="V359" s="80" t="n">
        <f aca="false">IF(OR($O359="On hand",$O359="Advance received",$O359="Part realised",$O359="Amount missing"),1,0)</f>
        <v>0</v>
      </c>
      <c r="W359" s="80" t="str">
        <f aca="false">IF(AND($V359=1,N($F359)&gt;0),ROW(),"")</f>
        <v/>
      </c>
      <c r="X359" s="80" t="n">
        <f aca="false">IF(AND(OR($A359&lt;&gt;"",$E359&lt;&gt;""),$O359&lt;&gt;"Cancelled",ISNUMBER($E359),N($F359)+N($H359)&gt;$E359+0.005),1,0)</f>
        <v>0</v>
      </c>
      <c r="Y359" s="80" t="n">
        <f aca="false">IF(AND(OR($A359&lt;&gt;"",$E359&lt;&gt;""),OR($A359="",$E359="")),1,0)</f>
        <v>0</v>
      </c>
      <c r="Z359" s="80" t="n">
        <f aca="false">IF(AND($A359&lt;&gt;"",COUNTIF($A$7:$A$1006,$A359)&gt;1),1,0)</f>
        <v>0</v>
      </c>
    </row>
    <row r="360" customFormat="false" ht="15" hidden="false" customHeight="false" outlineLevel="0" collapsed="false">
      <c r="A360" s="71"/>
      <c r="B360" s="72"/>
      <c r="C360" s="73"/>
      <c r="D360" s="73"/>
      <c r="E360" s="74"/>
      <c r="F360" s="74"/>
      <c r="G360" s="72"/>
      <c r="H360" s="74"/>
      <c r="I360" s="72"/>
      <c r="J360" s="73"/>
      <c r="K360" s="73"/>
      <c r="L360" s="75" t="str">
        <f aca="false">IF(OR($A360&lt;&gt;"",$E360&lt;&gt;""),N($F360)+N($H360),"")</f>
        <v/>
      </c>
      <c r="M360" s="76" t="str">
        <f aca="false">IF(OR($O360="",$O360="Cancelled",$O360="Amount missing"),"",IF($O360="Realised",0,$E360-N($F360)-N($H360)))</f>
        <v/>
      </c>
      <c r="N360" s="77" t="str">
        <f aca="false">IF(OR($M360="",FX=""),"",$M360*FX)</f>
        <v/>
      </c>
      <c r="O360" s="78" t="str">
        <f aca="false">IF(NOT(OR($A360&lt;&gt;"",$E360&lt;&gt;"")),"",IF($J360="Cancelled","Cancelled",IF($E360="","Amount missing",IF(OR($J360="Settled",$E360-N($F360)-N($H360)&lt;=0.005),"Realised",IF(N($H360)&gt;0,"Part realised",IF(N($F360)&gt;0,"Advance received","On hand"))))))</f>
        <v/>
      </c>
      <c r="P360" s="79" t="str">
        <f aca="false">IF(AND($V360=1,ISNUMBER($B360)),AsAt-$B360,"")</f>
        <v/>
      </c>
      <c r="Q360" s="78" t="str">
        <f aca="false">IF($V360&lt;&gt;1,"",IF($P360="","No invoice date",IF($P360&lt;=30,"0–30 days",IF($P360&lt;=60,"31–60 days",IF($P360&lt;=90,"61–90 days","Over 90 days")))))</f>
        <v/>
      </c>
      <c r="R360" s="80" t="str">
        <f aca="false">IF($V360=1,ROW(),"")</f>
        <v/>
      </c>
      <c r="S360" s="80" t="str">
        <f aca="false">IF(OR($A360&lt;&gt;"",$E360&lt;&gt;""),IF(TRIM($D360)="","Buyer not noted",TRIM($D360)),"")</f>
        <v/>
      </c>
      <c r="T360" s="80" t="n">
        <f aca="false">IF(AND($V360=1,ISNUMBER($M360)),$M360,0)</f>
        <v>0</v>
      </c>
      <c r="U360" s="80" t="str">
        <f aca="false">IF($V360=1,IF(COUNTIFS($S$7:$S360,$S360,$V$7:$V360,1)=1,SUMIFS($T$7:$T$1006,$S$7:$S$1006,$S360)-ROW()/1000000000,""),"")</f>
        <v/>
      </c>
      <c r="V360" s="80" t="n">
        <f aca="false">IF(OR($O360="On hand",$O360="Advance received",$O360="Part realised",$O360="Amount missing"),1,0)</f>
        <v>0</v>
      </c>
      <c r="W360" s="80" t="str">
        <f aca="false">IF(AND($V360=1,N($F360)&gt;0),ROW(),"")</f>
        <v/>
      </c>
      <c r="X360" s="80" t="n">
        <f aca="false">IF(AND(OR($A360&lt;&gt;"",$E360&lt;&gt;""),$O360&lt;&gt;"Cancelled",ISNUMBER($E360),N($F360)+N($H360)&gt;$E360+0.005),1,0)</f>
        <v>0</v>
      </c>
      <c r="Y360" s="80" t="n">
        <f aca="false">IF(AND(OR($A360&lt;&gt;"",$E360&lt;&gt;""),OR($A360="",$E360="")),1,0)</f>
        <v>0</v>
      </c>
      <c r="Z360" s="80" t="n">
        <f aca="false">IF(AND($A360&lt;&gt;"",COUNTIF($A$7:$A$1006,$A360)&gt;1),1,0)</f>
        <v>0</v>
      </c>
    </row>
    <row r="361" customFormat="false" ht="15" hidden="false" customHeight="false" outlineLevel="0" collapsed="false">
      <c r="A361" s="71"/>
      <c r="B361" s="72"/>
      <c r="C361" s="73"/>
      <c r="D361" s="73"/>
      <c r="E361" s="74"/>
      <c r="F361" s="74"/>
      <c r="G361" s="72"/>
      <c r="H361" s="74"/>
      <c r="I361" s="72"/>
      <c r="J361" s="73"/>
      <c r="K361" s="73"/>
      <c r="L361" s="75" t="str">
        <f aca="false">IF(OR($A361&lt;&gt;"",$E361&lt;&gt;""),N($F361)+N($H361),"")</f>
        <v/>
      </c>
      <c r="M361" s="76" t="str">
        <f aca="false">IF(OR($O361="",$O361="Cancelled",$O361="Amount missing"),"",IF($O361="Realised",0,$E361-N($F361)-N($H361)))</f>
        <v/>
      </c>
      <c r="N361" s="77" t="str">
        <f aca="false">IF(OR($M361="",FX=""),"",$M361*FX)</f>
        <v/>
      </c>
      <c r="O361" s="78" t="str">
        <f aca="false">IF(NOT(OR($A361&lt;&gt;"",$E361&lt;&gt;"")),"",IF($J361="Cancelled","Cancelled",IF($E361="","Amount missing",IF(OR($J361="Settled",$E361-N($F361)-N($H361)&lt;=0.005),"Realised",IF(N($H361)&gt;0,"Part realised",IF(N($F361)&gt;0,"Advance received","On hand"))))))</f>
        <v/>
      </c>
      <c r="P361" s="79" t="str">
        <f aca="false">IF(AND($V361=1,ISNUMBER($B361)),AsAt-$B361,"")</f>
        <v/>
      </c>
      <c r="Q361" s="78" t="str">
        <f aca="false">IF($V361&lt;&gt;1,"",IF($P361="","No invoice date",IF($P361&lt;=30,"0–30 days",IF($P361&lt;=60,"31–60 days",IF($P361&lt;=90,"61–90 days","Over 90 days")))))</f>
        <v/>
      </c>
      <c r="R361" s="80" t="str">
        <f aca="false">IF($V361=1,ROW(),"")</f>
        <v/>
      </c>
      <c r="S361" s="80" t="str">
        <f aca="false">IF(OR($A361&lt;&gt;"",$E361&lt;&gt;""),IF(TRIM($D361)="","Buyer not noted",TRIM($D361)),"")</f>
        <v/>
      </c>
      <c r="T361" s="80" t="n">
        <f aca="false">IF(AND($V361=1,ISNUMBER($M361)),$M361,0)</f>
        <v>0</v>
      </c>
      <c r="U361" s="80" t="str">
        <f aca="false">IF($V361=1,IF(COUNTIFS($S$7:$S361,$S361,$V$7:$V361,1)=1,SUMIFS($T$7:$T$1006,$S$7:$S$1006,$S361)-ROW()/1000000000,""),"")</f>
        <v/>
      </c>
      <c r="V361" s="80" t="n">
        <f aca="false">IF(OR($O361="On hand",$O361="Advance received",$O361="Part realised",$O361="Amount missing"),1,0)</f>
        <v>0</v>
      </c>
      <c r="W361" s="80" t="str">
        <f aca="false">IF(AND($V361=1,N($F361)&gt;0),ROW(),"")</f>
        <v/>
      </c>
      <c r="X361" s="80" t="n">
        <f aca="false">IF(AND(OR($A361&lt;&gt;"",$E361&lt;&gt;""),$O361&lt;&gt;"Cancelled",ISNUMBER($E361),N($F361)+N($H361)&gt;$E361+0.005),1,0)</f>
        <v>0</v>
      </c>
      <c r="Y361" s="80" t="n">
        <f aca="false">IF(AND(OR($A361&lt;&gt;"",$E361&lt;&gt;""),OR($A361="",$E361="")),1,0)</f>
        <v>0</v>
      </c>
      <c r="Z361" s="80" t="n">
        <f aca="false">IF(AND($A361&lt;&gt;"",COUNTIF($A$7:$A$1006,$A361)&gt;1),1,0)</f>
        <v>0</v>
      </c>
    </row>
    <row r="362" customFormat="false" ht="15" hidden="false" customHeight="false" outlineLevel="0" collapsed="false">
      <c r="A362" s="71"/>
      <c r="B362" s="72"/>
      <c r="C362" s="73"/>
      <c r="D362" s="73"/>
      <c r="E362" s="74"/>
      <c r="F362" s="74"/>
      <c r="G362" s="72"/>
      <c r="H362" s="74"/>
      <c r="I362" s="72"/>
      <c r="J362" s="73"/>
      <c r="K362" s="73"/>
      <c r="L362" s="75" t="str">
        <f aca="false">IF(OR($A362&lt;&gt;"",$E362&lt;&gt;""),N($F362)+N($H362),"")</f>
        <v/>
      </c>
      <c r="M362" s="76" t="str">
        <f aca="false">IF(OR($O362="",$O362="Cancelled",$O362="Amount missing"),"",IF($O362="Realised",0,$E362-N($F362)-N($H362)))</f>
        <v/>
      </c>
      <c r="N362" s="77" t="str">
        <f aca="false">IF(OR($M362="",FX=""),"",$M362*FX)</f>
        <v/>
      </c>
      <c r="O362" s="78" t="str">
        <f aca="false">IF(NOT(OR($A362&lt;&gt;"",$E362&lt;&gt;"")),"",IF($J362="Cancelled","Cancelled",IF($E362="","Amount missing",IF(OR($J362="Settled",$E362-N($F362)-N($H362)&lt;=0.005),"Realised",IF(N($H362)&gt;0,"Part realised",IF(N($F362)&gt;0,"Advance received","On hand"))))))</f>
        <v/>
      </c>
      <c r="P362" s="79" t="str">
        <f aca="false">IF(AND($V362=1,ISNUMBER($B362)),AsAt-$B362,"")</f>
        <v/>
      </c>
      <c r="Q362" s="78" t="str">
        <f aca="false">IF($V362&lt;&gt;1,"",IF($P362="","No invoice date",IF($P362&lt;=30,"0–30 days",IF($P362&lt;=60,"31–60 days",IF($P362&lt;=90,"61–90 days","Over 90 days")))))</f>
        <v/>
      </c>
      <c r="R362" s="80" t="str">
        <f aca="false">IF($V362=1,ROW(),"")</f>
        <v/>
      </c>
      <c r="S362" s="80" t="str">
        <f aca="false">IF(OR($A362&lt;&gt;"",$E362&lt;&gt;""),IF(TRIM($D362)="","Buyer not noted",TRIM($D362)),"")</f>
        <v/>
      </c>
      <c r="T362" s="80" t="n">
        <f aca="false">IF(AND($V362=1,ISNUMBER($M362)),$M362,0)</f>
        <v>0</v>
      </c>
      <c r="U362" s="80" t="str">
        <f aca="false">IF($V362=1,IF(COUNTIFS($S$7:$S362,$S362,$V$7:$V362,1)=1,SUMIFS($T$7:$T$1006,$S$7:$S$1006,$S362)-ROW()/1000000000,""),"")</f>
        <v/>
      </c>
      <c r="V362" s="80" t="n">
        <f aca="false">IF(OR($O362="On hand",$O362="Advance received",$O362="Part realised",$O362="Amount missing"),1,0)</f>
        <v>0</v>
      </c>
      <c r="W362" s="80" t="str">
        <f aca="false">IF(AND($V362=1,N($F362)&gt;0),ROW(),"")</f>
        <v/>
      </c>
      <c r="X362" s="80" t="n">
        <f aca="false">IF(AND(OR($A362&lt;&gt;"",$E362&lt;&gt;""),$O362&lt;&gt;"Cancelled",ISNUMBER($E362),N($F362)+N($H362)&gt;$E362+0.005),1,0)</f>
        <v>0</v>
      </c>
      <c r="Y362" s="80" t="n">
        <f aca="false">IF(AND(OR($A362&lt;&gt;"",$E362&lt;&gt;""),OR($A362="",$E362="")),1,0)</f>
        <v>0</v>
      </c>
      <c r="Z362" s="80" t="n">
        <f aca="false">IF(AND($A362&lt;&gt;"",COUNTIF($A$7:$A$1006,$A362)&gt;1),1,0)</f>
        <v>0</v>
      </c>
    </row>
    <row r="363" customFormat="false" ht="15" hidden="false" customHeight="false" outlineLevel="0" collapsed="false">
      <c r="A363" s="71"/>
      <c r="B363" s="72"/>
      <c r="C363" s="73"/>
      <c r="D363" s="73"/>
      <c r="E363" s="74"/>
      <c r="F363" s="74"/>
      <c r="G363" s="72"/>
      <c r="H363" s="74"/>
      <c r="I363" s="72"/>
      <c r="J363" s="73"/>
      <c r="K363" s="73"/>
      <c r="L363" s="75" t="str">
        <f aca="false">IF(OR($A363&lt;&gt;"",$E363&lt;&gt;""),N($F363)+N($H363),"")</f>
        <v/>
      </c>
      <c r="M363" s="76" t="str">
        <f aca="false">IF(OR($O363="",$O363="Cancelled",$O363="Amount missing"),"",IF($O363="Realised",0,$E363-N($F363)-N($H363)))</f>
        <v/>
      </c>
      <c r="N363" s="77" t="str">
        <f aca="false">IF(OR($M363="",FX=""),"",$M363*FX)</f>
        <v/>
      </c>
      <c r="O363" s="78" t="str">
        <f aca="false">IF(NOT(OR($A363&lt;&gt;"",$E363&lt;&gt;"")),"",IF($J363="Cancelled","Cancelled",IF($E363="","Amount missing",IF(OR($J363="Settled",$E363-N($F363)-N($H363)&lt;=0.005),"Realised",IF(N($H363)&gt;0,"Part realised",IF(N($F363)&gt;0,"Advance received","On hand"))))))</f>
        <v/>
      </c>
      <c r="P363" s="79" t="str">
        <f aca="false">IF(AND($V363=1,ISNUMBER($B363)),AsAt-$B363,"")</f>
        <v/>
      </c>
      <c r="Q363" s="78" t="str">
        <f aca="false">IF($V363&lt;&gt;1,"",IF($P363="","No invoice date",IF($P363&lt;=30,"0–30 days",IF($P363&lt;=60,"31–60 days",IF($P363&lt;=90,"61–90 days","Over 90 days")))))</f>
        <v/>
      </c>
      <c r="R363" s="80" t="str">
        <f aca="false">IF($V363=1,ROW(),"")</f>
        <v/>
      </c>
      <c r="S363" s="80" t="str">
        <f aca="false">IF(OR($A363&lt;&gt;"",$E363&lt;&gt;""),IF(TRIM($D363)="","Buyer not noted",TRIM($D363)),"")</f>
        <v/>
      </c>
      <c r="T363" s="80" t="n">
        <f aca="false">IF(AND($V363=1,ISNUMBER($M363)),$M363,0)</f>
        <v>0</v>
      </c>
      <c r="U363" s="80" t="str">
        <f aca="false">IF($V363=1,IF(COUNTIFS($S$7:$S363,$S363,$V$7:$V363,1)=1,SUMIFS($T$7:$T$1006,$S$7:$S$1006,$S363)-ROW()/1000000000,""),"")</f>
        <v/>
      </c>
      <c r="V363" s="80" t="n">
        <f aca="false">IF(OR($O363="On hand",$O363="Advance received",$O363="Part realised",$O363="Amount missing"),1,0)</f>
        <v>0</v>
      </c>
      <c r="W363" s="80" t="str">
        <f aca="false">IF(AND($V363=1,N($F363)&gt;0),ROW(),"")</f>
        <v/>
      </c>
      <c r="X363" s="80" t="n">
        <f aca="false">IF(AND(OR($A363&lt;&gt;"",$E363&lt;&gt;""),$O363&lt;&gt;"Cancelled",ISNUMBER($E363),N($F363)+N($H363)&gt;$E363+0.005),1,0)</f>
        <v>0</v>
      </c>
      <c r="Y363" s="80" t="n">
        <f aca="false">IF(AND(OR($A363&lt;&gt;"",$E363&lt;&gt;""),OR($A363="",$E363="")),1,0)</f>
        <v>0</v>
      </c>
      <c r="Z363" s="80" t="n">
        <f aca="false">IF(AND($A363&lt;&gt;"",COUNTIF($A$7:$A$1006,$A363)&gt;1),1,0)</f>
        <v>0</v>
      </c>
    </row>
    <row r="364" customFormat="false" ht="15" hidden="false" customHeight="false" outlineLevel="0" collapsed="false">
      <c r="A364" s="71"/>
      <c r="B364" s="72"/>
      <c r="C364" s="73"/>
      <c r="D364" s="73"/>
      <c r="E364" s="74"/>
      <c r="F364" s="74"/>
      <c r="G364" s="72"/>
      <c r="H364" s="74"/>
      <c r="I364" s="72"/>
      <c r="J364" s="73"/>
      <c r="K364" s="73"/>
      <c r="L364" s="75" t="str">
        <f aca="false">IF(OR($A364&lt;&gt;"",$E364&lt;&gt;""),N($F364)+N($H364),"")</f>
        <v/>
      </c>
      <c r="M364" s="76" t="str">
        <f aca="false">IF(OR($O364="",$O364="Cancelled",$O364="Amount missing"),"",IF($O364="Realised",0,$E364-N($F364)-N($H364)))</f>
        <v/>
      </c>
      <c r="N364" s="77" t="str">
        <f aca="false">IF(OR($M364="",FX=""),"",$M364*FX)</f>
        <v/>
      </c>
      <c r="O364" s="78" t="str">
        <f aca="false">IF(NOT(OR($A364&lt;&gt;"",$E364&lt;&gt;"")),"",IF($J364="Cancelled","Cancelled",IF($E364="","Amount missing",IF(OR($J364="Settled",$E364-N($F364)-N($H364)&lt;=0.005),"Realised",IF(N($H364)&gt;0,"Part realised",IF(N($F364)&gt;0,"Advance received","On hand"))))))</f>
        <v/>
      </c>
      <c r="P364" s="79" t="str">
        <f aca="false">IF(AND($V364=1,ISNUMBER($B364)),AsAt-$B364,"")</f>
        <v/>
      </c>
      <c r="Q364" s="78" t="str">
        <f aca="false">IF($V364&lt;&gt;1,"",IF($P364="","No invoice date",IF($P364&lt;=30,"0–30 days",IF($P364&lt;=60,"31–60 days",IF($P364&lt;=90,"61–90 days","Over 90 days")))))</f>
        <v/>
      </c>
      <c r="R364" s="80" t="str">
        <f aca="false">IF($V364=1,ROW(),"")</f>
        <v/>
      </c>
      <c r="S364" s="80" t="str">
        <f aca="false">IF(OR($A364&lt;&gt;"",$E364&lt;&gt;""),IF(TRIM($D364)="","Buyer not noted",TRIM($D364)),"")</f>
        <v/>
      </c>
      <c r="T364" s="80" t="n">
        <f aca="false">IF(AND($V364=1,ISNUMBER($M364)),$M364,0)</f>
        <v>0</v>
      </c>
      <c r="U364" s="80" t="str">
        <f aca="false">IF($V364=1,IF(COUNTIFS($S$7:$S364,$S364,$V$7:$V364,1)=1,SUMIFS($T$7:$T$1006,$S$7:$S$1006,$S364)-ROW()/1000000000,""),"")</f>
        <v/>
      </c>
      <c r="V364" s="80" t="n">
        <f aca="false">IF(OR($O364="On hand",$O364="Advance received",$O364="Part realised",$O364="Amount missing"),1,0)</f>
        <v>0</v>
      </c>
      <c r="W364" s="80" t="str">
        <f aca="false">IF(AND($V364=1,N($F364)&gt;0),ROW(),"")</f>
        <v/>
      </c>
      <c r="X364" s="80" t="n">
        <f aca="false">IF(AND(OR($A364&lt;&gt;"",$E364&lt;&gt;""),$O364&lt;&gt;"Cancelled",ISNUMBER($E364),N($F364)+N($H364)&gt;$E364+0.005),1,0)</f>
        <v>0</v>
      </c>
      <c r="Y364" s="80" t="n">
        <f aca="false">IF(AND(OR($A364&lt;&gt;"",$E364&lt;&gt;""),OR($A364="",$E364="")),1,0)</f>
        <v>0</v>
      </c>
      <c r="Z364" s="80" t="n">
        <f aca="false">IF(AND($A364&lt;&gt;"",COUNTIF($A$7:$A$1006,$A364)&gt;1),1,0)</f>
        <v>0</v>
      </c>
    </row>
    <row r="365" customFormat="false" ht="15" hidden="false" customHeight="false" outlineLevel="0" collapsed="false">
      <c r="A365" s="71"/>
      <c r="B365" s="72"/>
      <c r="C365" s="73"/>
      <c r="D365" s="73"/>
      <c r="E365" s="74"/>
      <c r="F365" s="74"/>
      <c r="G365" s="72"/>
      <c r="H365" s="74"/>
      <c r="I365" s="72"/>
      <c r="J365" s="73"/>
      <c r="K365" s="73"/>
      <c r="L365" s="75" t="str">
        <f aca="false">IF(OR($A365&lt;&gt;"",$E365&lt;&gt;""),N($F365)+N($H365),"")</f>
        <v/>
      </c>
      <c r="M365" s="76" t="str">
        <f aca="false">IF(OR($O365="",$O365="Cancelled",$O365="Amount missing"),"",IF($O365="Realised",0,$E365-N($F365)-N($H365)))</f>
        <v/>
      </c>
      <c r="N365" s="77" t="str">
        <f aca="false">IF(OR($M365="",FX=""),"",$M365*FX)</f>
        <v/>
      </c>
      <c r="O365" s="78" t="str">
        <f aca="false">IF(NOT(OR($A365&lt;&gt;"",$E365&lt;&gt;"")),"",IF($J365="Cancelled","Cancelled",IF($E365="","Amount missing",IF(OR($J365="Settled",$E365-N($F365)-N($H365)&lt;=0.005),"Realised",IF(N($H365)&gt;0,"Part realised",IF(N($F365)&gt;0,"Advance received","On hand"))))))</f>
        <v/>
      </c>
      <c r="P365" s="79" t="str">
        <f aca="false">IF(AND($V365=1,ISNUMBER($B365)),AsAt-$B365,"")</f>
        <v/>
      </c>
      <c r="Q365" s="78" t="str">
        <f aca="false">IF($V365&lt;&gt;1,"",IF($P365="","No invoice date",IF($P365&lt;=30,"0–30 days",IF($P365&lt;=60,"31–60 days",IF($P365&lt;=90,"61–90 days","Over 90 days")))))</f>
        <v/>
      </c>
      <c r="R365" s="80" t="str">
        <f aca="false">IF($V365=1,ROW(),"")</f>
        <v/>
      </c>
      <c r="S365" s="80" t="str">
        <f aca="false">IF(OR($A365&lt;&gt;"",$E365&lt;&gt;""),IF(TRIM($D365)="","Buyer not noted",TRIM($D365)),"")</f>
        <v/>
      </c>
      <c r="T365" s="80" t="n">
        <f aca="false">IF(AND($V365=1,ISNUMBER($M365)),$M365,0)</f>
        <v>0</v>
      </c>
      <c r="U365" s="80" t="str">
        <f aca="false">IF($V365=1,IF(COUNTIFS($S$7:$S365,$S365,$V$7:$V365,1)=1,SUMIFS($T$7:$T$1006,$S$7:$S$1006,$S365)-ROW()/1000000000,""),"")</f>
        <v/>
      </c>
      <c r="V365" s="80" t="n">
        <f aca="false">IF(OR($O365="On hand",$O365="Advance received",$O365="Part realised",$O365="Amount missing"),1,0)</f>
        <v>0</v>
      </c>
      <c r="W365" s="80" t="str">
        <f aca="false">IF(AND($V365=1,N($F365)&gt;0),ROW(),"")</f>
        <v/>
      </c>
      <c r="X365" s="80" t="n">
        <f aca="false">IF(AND(OR($A365&lt;&gt;"",$E365&lt;&gt;""),$O365&lt;&gt;"Cancelled",ISNUMBER($E365),N($F365)+N($H365)&gt;$E365+0.005),1,0)</f>
        <v>0</v>
      </c>
      <c r="Y365" s="80" t="n">
        <f aca="false">IF(AND(OR($A365&lt;&gt;"",$E365&lt;&gt;""),OR($A365="",$E365="")),1,0)</f>
        <v>0</v>
      </c>
      <c r="Z365" s="80" t="n">
        <f aca="false">IF(AND($A365&lt;&gt;"",COUNTIF($A$7:$A$1006,$A365)&gt;1),1,0)</f>
        <v>0</v>
      </c>
    </row>
    <row r="366" customFormat="false" ht="15" hidden="false" customHeight="false" outlineLevel="0" collapsed="false">
      <c r="A366" s="71"/>
      <c r="B366" s="72"/>
      <c r="C366" s="73"/>
      <c r="D366" s="73"/>
      <c r="E366" s="74"/>
      <c r="F366" s="74"/>
      <c r="G366" s="72"/>
      <c r="H366" s="74"/>
      <c r="I366" s="72"/>
      <c r="J366" s="73"/>
      <c r="K366" s="73"/>
      <c r="L366" s="75" t="str">
        <f aca="false">IF(OR($A366&lt;&gt;"",$E366&lt;&gt;""),N($F366)+N($H366),"")</f>
        <v/>
      </c>
      <c r="M366" s="76" t="str">
        <f aca="false">IF(OR($O366="",$O366="Cancelled",$O366="Amount missing"),"",IF($O366="Realised",0,$E366-N($F366)-N($H366)))</f>
        <v/>
      </c>
      <c r="N366" s="77" t="str">
        <f aca="false">IF(OR($M366="",FX=""),"",$M366*FX)</f>
        <v/>
      </c>
      <c r="O366" s="78" t="str">
        <f aca="false">IF(NOT(OR($A366&lt;&gt;"",$E366&lt;&gt;"")),"",IF($J366="Cancelled","Cancelled",IF($E366="","Amount missing",IF(OR($J366="Settled",$E366-N($F366)-N($H366)&lt;=0.005),"Realised",IF(N($H366)&gt;0,"Part realised",IF(N($F366)&gt;0,"Advance received","On hand"))))))</f>
        <v/>
      </c>
      <c r="P366" s="79" t="str">
        <f aca="false">IF(AND($V366=1,ISNUMBER($B366)),AsAt-$B366,"")</f>
        <v/>
      </c>
      <c r="Q366" s="78" t="str">
        <f aca="false">IF($V366&lt;&gt;1,"",IF($P366="","No invoice date",IF($P366&lt;=30,"0–30 days",IF($P366&lt;=60,"31–60 days",IF($P366&lt;=90,"61–90 days","Over 90 days")))))</f>
        <v/>
      </c>
      <c r="R366" s="80" t="str">
        <f aca="false">IF($V366=1,ROW(),"")</f>
        <v/>
      </c>
      <c r="S366" s="80" t="str">
        <f aca="false">IF(OR($A366&lt;&gt;"",$E366&lt;&gt;""),IF(TRIM($D366)="","Buyer not noted",TRIM($D366)),"")</f>
        <v/>
      </c>
      <c r="T366" s="80" t="n">
        <f aca="false">IF(AND($V366=1,ISNUMBER($M366)),$M366,0)</f>
        <v>0</v>
      </c>
      <c r="U366" s="80" t="str">
        <f aca="false">IF($V366=1,IF(COUNTIFS($S$7:$S366,$S366,$V$7:$V366,1)=1,SUMIFS($T$7:$T$1006,$S$7:$S$1006,$S366)-ROW()/1000000000,""),"")</f>
        <v/>
      </c>
      <c r="V366" s="80" t="n">
        <f aca="false">IF(OR($O366="On hand",$O366="Advance received",$O366="Part realised",$O366="Amount missing"),1,0)</f>
        <v>0</v>
      </c>
      <c r="W366" s="80" t="str">
        <f aca="false">IF(AND($V366=1,N($F366)&gt;0),ROW(),"")</f>
        <v/>
      </c>
      <c r="X366" s="80" t="n">
        <f aca="false">IF(AND(OR($A366&lt;&gt;"",$E366&lt;&gt;""),$O366&lt;&gt;"Cancelled",ISNUMBER($E366),N($F366)+N($H366)&gt;$E366+0.005),1,0)</f>
        <v>0</v>
      </c>
      <c r="Y366" s="80" t="n">
        <f aca="false">IF(AND(OR($A366&lt;&gt;"",$E366&lt;&gt;""),OR($A366="",$E366="")),1,0)</f>
        <v>0</v>
      </c>
      <c r="Z366" s="80" t="n">
        <f aca="false">IF(AND($A366&lt;&gt;"",COUNTIF($A$7:$A$1006,$A366)&gt;1),1,0)</f>
        <v>0</v>
      </c>
    </row>
    <row r="367" customFormat="false" ht="15" hidden="false" customHeight="false" outlineLevel="0" collapsed="false">
      <c r="A367" s="71"/>
      <c r="B367" s="72"/>
      <c r="C367" s="73"/>
      <c r="D367" s="73"/>
      <c r="E367" s="74"/>
      <c r="F367" s="74"/>
      <c r="G367" s="72"/>
      <c r="H367" s="74"/>
      <c r="I367" s="72"/>
      <c r="J367" s="73"/>
      <c r="K367" s="73"/>
      <c r="L367" s="75" t="str">
        <f aca="false">IF(OR($A367&lt;&gt;"",$E367&lt;&gt;""),N($F367)+N($H367),"")</f>
        <v/>
      </c>
      <c r="M367" s="76" t="str">
        <f aca="false">IF(OR($O367="",$O367="Cancelled",$O367="Amount missing"),"",IF($O367="Realised",0,$E367-N($F367)-N($H367)))</f>
        <v/>
      </c>
      <c r="N367" s="77" t="str">
        <f aca="false">IF(OR($M367="",FX=""),"",$M367*FX)</f>
        <v/>
      </c>
      <c r="O367" s="78" t="str">
        <f aca="false">IF(NOT(OR($A367&lt;&gt;"",$E367&lt;&gt;"")),"",IF($J367="Cancelled","Cancelled",IF($E367="","Amount missing",IF(OR($J367="Settled",$E367-N($F367)-N($H367)&lt;=0.005),"Realised",IF(N($H367)&gt;0,"Part realised",IF(N($F367)&gt;0,"Advance received","On hand"))))))</f>
        <v/>
      </c>
      <c r="P367" s="79" t="str">
        <f aca="false">IF(AND($V367=1,ISNUMBER($B367)),AsAt-$B367,"")</f>
        <v/>
      </c>
      <c r="Q367" s="78" t="str">
        <f aca="false">IF($V367&lt;&gt;1,"",IF($P367="","No invoice date",IF($P367&lt;=30,"0–30 days",IF($P367&lt;=60,"31–60 days",IF($P367&lt;=90,"61–90 days","Over 90 days")))))</f>
        <v/>
      </c>
      <c r="R367" s="80" t="str">
        <f aca="false">IF($V367=1,ROW(),"")</f>
        <v/>
      </c>
      <c r="S367" s="80" t="str">
        <f aca="false">IF(OR($A367&lt;&gt;"",$E367&lt;&gt;""),IF(TRIM($D367)="","Buyer not noted",TRIM($D367)),"")</f>
        <v/>
      </c>
      <c r="T367" s="80" t="n">
        <f aca="false">IF(AND($V367=1,ISNUMBER($M367)),$M367,0)</f>
        <v>0</v>
      </c>
      <c r="U367" s="80" t="str">
        <f aca="false">IF($V367=1,IF(COUNTIFS($S$7:$S367,$S367,$V$7:$V367,1)=1,SUMIFS($T$7:$T$1006,$S$7:$S$1006,$S367)-ROW()/1000000000,""),"")</f>
        <v/>
      </c>
      <c r="V367" s="80" t="n">
        <f aca="false">IF(OR($O367="On hand",$O367="Advance received",$O367="Part realised",$O367="Amount missing"),1,0)</f>
        <v>0</v>
      </c>
      <c r="W367" s="80" t="str">
        <f aca="false">IF(AND($V367=1,N($F367)&gt;0),ROW(),"")</f>
        <v/>
      </c>
      <c r="X367" s="80" t="n">
        <f aca="false">IF(AND(OR($A367&lt;&gt;"",$E367&lt;&gt;""),$O367&lt;&gt;"Cancelled",ISNUMBER($E367),N($F367)+N($H367)&gt;$E367+0.005),1,0)</f>
        <v>0</v>
      </c>
      <c r="Y367" s="80" t="n">
        <f aca="false">IF(AND(OR($A367&lt;&gt;"",$E367&lt;&gt;""),OR($A367="",$E367="")),1,0)</f>
        <v>0</v>
      </c>
      <c r="Z367" s="80" t="n">
        <f aca="false">IF(AND($A367&lt;&gt;"",COUNTIF($A$7:$A$1006,$A367)&gt;1),1,0)</f>
        <v>0</v>
      </c>
    </row>
    <row r="368" customFormat="false" ht="15" hidden="false" customHeight="false" outlineLevel="0" collapsed="false">
      <c r="A368" s="71"/>
      <c r="B368" s="72"/>
      <c r="C368" s="73"/>
      <c r="D368" s="73"/>
      <c r="E368" s="74"/>
      <c r="F368" s="74"/>
      <c r="G368" s="72"/>
      <c r="H368" s="74"/>
      <c r="I368" s="72"/>
      <c r="J368" s="73"/>
      <c r="K368" s="73"/>
      <c r="L368" s="75" t="str">
        <f aca="false">IF(OR($A368&lt;&gt;"",$E368&lt;&gt;""),N($F368)+N($H368),"")</f>
        <v/>
      </c>
      <c r="M368" s="76" t="str">
        <f aca="false">IF(OR($O368="",$O368="Cancelled",$O368="Amount missing"),"",IF($O368="Realised",0,$E368-N($F368)-N($H368)))</f>
        <v/>
      </c>
      <c r="N368" s="77" t="str">
        <f aca="false">IF(OR($M368="",FX=""),"",$M368*FX)</f>
        <v/>
      </c>
      <c r="O368" s="78" t="str">
        <f aca="false">IF(NOT(OR($A368&lt;&gt;"",$E368&lt;&gt;"")),"",IF($J368="Cancelled","Cancelled",IF($E368="","Amount missing",IF(OR($J368="Settled",$E368-N($F368)-N($H368)&lt;=0.005),"Realised",IF(N($H368)&gt;0,"Part realised",IF(N($F368)&gt;0,"Advance received","On hand"))))))</f>
        <v/>
      </c>
      <c r="P368" s="79" t="str">
        <f aca="false">IF(AND($V368=1,ISNUMBER($B368)),AsAt-$B368,"")</f>
        <v/>
      </c>
      <c r="Q368" s="78" t="str">
        <f aca="false">IF($V368&lt;&gt;1,"",IF($P368="","No invoice date",IF($P368&lt;=30,"0–30 days",IF($P368&lt;=60,"31–60 days",IF($P368&lt;=90,"61–90 days","Over 90 days")))))</f>
        <v/>
      </c>
      <c r="R368" s="80" t="str">
        <f aca="false">IF($V368=1,ROW(),"")</f>
        <v/>
      </c>
      <c r="S368" s="80" t="str">
        <f aca="false">IF(OR($A368&lt;&gt;"",$E368&lt;&gt;""),IF(TRIM($D368)="","Buyer not noted",TRIM($D368)),"")</f>
        <v/>
      </c>
      <c r="T368" s="80" t="n">
        <f aca="false">IF(AND($V368=1,ISNUMBER($M368)),$M368,0)</f>
        <v>0</v>
      </c>
      <c r="U368" s="80" t="str">
        <f aca="false">IF($V368=1,IF(COUNTIFS($S$7:$S368,$S368,$V$7:$V368,1)=1,SUMIFS($T$7:$T$1006,$S$7:$S$1006,$S368)-ROW()/1000000000,""),"")</f>
        <v/>
      </c>
      <c r="V368" s="80" t="n">
        <f aca="false">IF(OR($O368="On hand",$O368="Advance received",$O368="Part realised",$O368="Amount missing"),1,0)</f>
        <v>0</v>
      </c>
      <c r="W368" s="80" t="str">
        <f aca="false">IF(AND($V368=1,N($F368)&gt;0),ROW(),"")</f>
        <v/>
      </c>
      <c r="X368" s="80" t="n">
        <f aca="false">IF(AND(OR($A368&lt;&gt;"",$E368&lt;&gt;""),$O368&lt;&gt;"Cancelled",ISNUMBER($E368),N($F368)+N($H368)&gt;$E368+0.005),1,0)</f>
        <v>0</v>
      </c>
      <c r="Y368" s="80" t="n">
        <f aca="false">IF(AND(OR($A368&lt;&gt;"",$E368&lt;&gt;""),OR($A368="",$E368="")),1,0)</f>
        <v>0</v>
      </c>
      <c r="Z368" s="80" t="n">
        <f aca="false">IF(AND($A368&lt;&gt;"",COUNTIF($A$7:$A$1006,$A368)&gt;1),1,0)</f>
        <v>0</v>
      </c>
    </row>
    <row r="369" customFormat="false" ht="15" hidden="false" customHeight="false" outlineLevel="0" collapsed="false">
      <c r="A369" s="71"/>
      <c r="B369" s="72"/>
      <c r="C369" s="73"/>
      <c r="D369" s="73"/>
      <c r="E369" s="74"/>
      <c r="F369" s="74"/>
      <c r="G369" s="72"/>
      <c r="H369" s="74"/>
      <c r="I369" s="72"/>
      <c r="J369" s="73"/>
      <c r="K369" s="73"/>
      <c r="L369" s="75" t="str">
        <f aca="false">IF(OR($A369&lt;&gt;"",$E369&lt;&gt;""),N($F369)+N($H369),"")</f>
        <v/>
      </c>
      <c r="M369" s="76" t="str">
        <f aca="false">IF(OR($O369="",$O369="Cancelled",$O369="Amount missing"),"",IF($O369="Realised",0,$E369-N($F369)-N($H369)))</f>
        <v/>
      </c>
      <c r="N369" s="77" t="str">
        <f aca="false">IF(OR($M369="",FX=""),"",$M369*FX)</f>
        <v/>
      </c>
      <c r="O369" s="78" t="str">
        <f aca="false">IF(NOT(OR($A369&lt;&gt;"",$E369&lt;&gt;"")),"",IF($J369="Cancelled","Cancelled",IF($E369="","Amount missing",IF(OR($J369="Settled",$E369-N($F369)-N($H369)&lt;=0.005),"Realised",IF(N($H369)&gt;0,"Part realised",IF(N($F369)&gt;0,"Advance received","On hand"))))))</f>
        <v/>
      </c>
      <c r="P369" s="79" t="str">
        <f aca="false">IF(AND($V369=1,ISNUMBER($B369)),AsAt-$B369,"")</f>
        <v/>
      </c>
      <c r="Q369" s="78" t="str">
        <f aca="false">IF($V369&lt;&gt;1,"",IF($P369="","No invoice date",IF($P369&lt;=30,"0–30 days",IF($P369&lt;=60,"31–60 days",IF($P369&lt;=90,"61–90 days","Over 90 days")))))</f>
        <v/>
      </c>
      <c r="R369" s="80" t="str">
        <f aca="false">IF($V369=1,ROW(),"")</f>
        <v/>
      </c>
      <c r="S369" s="80" t="str">
        <f aca="false">IF(OR($A369&lt;&gt;"",$E369&lt;&gt;""),IF(TRIM($D369)="","Buyer not noted",TRIM($D369)),"")</f>
        <v/>
      </c>
      <c r="T369" s="80" t="n">
        <f aca="false">IF(AND($V369=1,ISNUMBER($M369)),$M369,0)</f>
        <v>0</v>
      </c>
      <c r="U369" s="80" t="str">
        <f aca="false">IF($V369=1,IF(COUNTIFS($S$7:$S369,$S369,$V$7:$V369,1)=1,SUMIFS($T$7:$T$1006,$S$7:$S$1006,$S369)-ROW()/1000000000,""),"")</f>
        <v/>
      </c>
      <c r="V369" s="80" t="n">
        <f aca="false">IF(OR($O369="On hand",$O369="Advance received",$O369="Part realised",$O369="Amount missing"),1,0)</f>
        <v>0</v>
      </c>
      <c r="W369" s="80" t="str">
        <f aca="false">IF(AND($V369=1,N($F369)&gt;0),ROW(),"")</f>
        <v/>
      </c>
      <c r="X369" s="80" t="n">
        <f aca="false">IF(AND(OR($A369&lt;&gt;"",$E369&lt;&gt;""),$O369&lt;&gt;"Cancelled",ISNUMBER($E369),N($F369)+N($H369)&gt;$E369+0.005),1,0)</f>
        <v>0</v>
      </c>
      <c r="Y369" s="80" t="n">
        <f aca="false">IF(AND(OR($A369&lt;&gt;"",$E369&lt;&gt;""),OR($A369="",$E369="")),1,0)</f>
        <v>0</v>
      </c>
      <c r="Z369" s="80" t="n">
        <f aca="false">IF(AND($A369&lt;&gt;"",COUNTIF($A$7:$A$1006,$A369)&gt;1),1,0)</f>
        <v>0</v>
      </c>
    </row>
    <row r="370" customFormat="false" ht="15" hidden="false" customHeight="false" outlineLevel="0" collapsed="false">
      <c r="A370" s="71"/>
      <c r="B370" s="72"/>
      <c r="C370" s="73"/>
      <c r="D370" s="73"/>
      <c r="E370" s="74"/>
      <c r="F370" s="74"/>
      <c r="G370" s="72"/>
      <c r="H370" s="74"/>
      <c r="I370" s="72"/>
      <c r="J370" s="73"/>
      <c r="K370" s="73"/>
      <c r="L370" s="75" t="str">
        <f aca="false">IF(OR($A370&lt;&gt;"",$E370&lt;&gt;""),N($F370)+N($H370),"")</f>
        <v/>
      </c>
      <c r="M370" s="76" t="str">
        <f aca="false">IF(OR($O370="",$O370="Cancelled",$O370="Amount missing"),"",IF($O370="Realised",0,$E370-N($F370)-N($H370)))</f>
        <v/>
      </c>
      <c r="N370" s="77" t="str">
        <f aca="false">IF(OR($M370="",FX=""),"",$M370*FX)</f>
        <v/>
      </c>
      <c r="O370" s="78" t="str">
        <f aca="false">IF(NOT(OR($A370&lt;&gt;"",$E370&lt;&gt;"")),"",IF($J370="Cancelled","Cancelled",IF($E370="","Amount missing",IF(OR($J370="Settled",$E370-N($F370)-N($H370)&lt;=0.005),"Realised",IF(N($H370)&gt;0,"Part realised",IF(N($F370)&gt;0,"Advance received","On hand"))))))</f>
        <v/>
      </c>
      <c r="P370" s="79" t="str">
        <f aca="false">IF(AND($V370=1,ISNUMBER($B370)),AsAt-$B370,"")</f>
        <v/>
      </c>
      <c r="Q370" s="78" t="str">
        <f aca="false">IF($V370&lt;&gt;1,"",IF($P370="","No invoice date",IF($P370&lt;=30,"0–30 days",IF($P370&lt;=60,"31–60 days",IF($P370&lt;=90,"61–90 days","Over 90 days")))))</f>
        <v/>
      </c>
      <c r="R370" s="80" t="str">
        <f aca="false">IF($V370=1,ROW(),"")</f>
        <v/>
      </c>
      <c r="S370" s="80" t="str">
        <f aca="false">IF(OR($A370&lt;&gt;"",$E370&lt;&gt;""),IF(TRIM($D370)="","Buyer not noted",TRIM($D370)),"")</f>
        <v/>
      </c>
      <c r="T370" s="80" t="n">
        <f aca="false">IF(AND($V370=1,ISNUMBER($M370)),$M370,0)</f>
        <v>0</v>
      </c>
      <c r="U370" s="80" t="str">
        <f aca="false">IF($V370=1,IF(COUNTIFS($S$7:$S370,$S370,$V$7:$V370,1)=1,SUMIFS($T$7:$T$1006,$S$7:$S$1006,$S370)-ROW()/1000000000,""),"")</f>
        <v/>
      </c>
      <c r="V370" s="80" t="n">
        <f aca="false">IF(OR($O370="On hand",$O370="Advance received",$O370="Part realised",$O370="Amount missing"),1,0)</f>
        <v>0</v>
      </c>
      <c r="W370" s="80" t="str">
        <f aca="false">IF(AND($V370=1,N($F370)&gt;0),ROW(),"")</f>
        <v/>
      </c>
      <c r="X370" s="80" t="n">
        <f aca="false">IF(AND(OR($A370&lt;&gt;"",$E370&lt;&gt;""),$O370&lt;&gt;"Cancelled",ISNUMBER($E370),N($F370)+N($H370)&gt;$E370+0.005),1,0)</f>
        <v>0</v>
      </c>
      <c r="Y370" s="80" t="n">
        <f aca="false">IF(AND(OR($A370&lt;&gt;"",$E370&lt;&gt;""),OR($A370="",$E370="")),1,0)</f>
        <v>0</v>
      </c>
      <c r="Z370" s="80" t="n">
        <f aca="false">IF(AND($A370&lt;&gt;"",COUNTIF($A$7:$A$1006,$A370)&gt;1),1,0)</f>
        <v>0</v>
      </c>
    </row>
    <row r="371" customFormat="false" ht="15" hidden="false" customHeight="false" outlineLevel="0" collapsed="false">
      <c r="A371" s="71"/>
      <c r="B371" s="72"/>
      <c r="C371" s="73"/>
      <c r="D371" s="73"/>
      <c r="E371" s="74"/>
      <c r="F371" s="74"/>
      <c r="G371" s="72"/>
      <c r="H371" s="74"/>
      <c r="I371" s="72"/>
      <c r="J371" s="73"/>
      <c r="K371" s="73"/>
      <c r="L371" s="75" t="str">
        <f aca="false">IF(OR($A371&lt;&gt;"",$E371&lt;&gt;""),N($F371)+N($H371),"")</f>
        <v/>
      </c>
      <c r="M371" s="76" t="str">
        <f aca="false">IF(OR($O371="",$O371="Cancelled",$O371="Amount missing"),"",IF($O371="Realised",0,$E371-N($F371)-N($H371)))</f>
        <v/>
      </c>
      <c r="N371" s="77" t="str">
        <f aca="false">IF(OR($M371="",FX=""),"",$M371*FX)</f>
        <v/>
      </c>
      <c r="O371" s="78" t="str">
        <f aca="false">IF(NOT(OR($A371&lt;&gt;"",$E371&lt;&gt;"")),"",IF($J371="Cancelled","Cancelled",IF($E371="","Amount missing",IF(OR($J371="Settled",$E371-N($F371)-N($H371)&lt;=0.005),"Realised",IF(N($H371)&gt;0,"Part realised",IF(N($F371)&gt;0,"Advance received","On hand"))))))</f>
        <v/>
      </c>
      <c r="P371" s="79" t="str">
        <f aca="false">IF(AND($V371=1,ISNUMBER($B371)),AsAt-$B371,"")</f>
        <v/>
      </c>
      <c r="Q371" s="78" t="str">
        <f aca="false">IF($V371&lt;&gt;1,"",IF($P371="","No invoice date",IF($P371&lt;=30,"0–30 days",IF($P371&lt;=60,"31–60 days",IF($P371&lt;=90,"61–90 days","Over 90 days")))))</f>
        <v/>
      </c>
      <c r="R371" s="80" t="str">
        <f aca="false">IF($V371=1,ROW(),"")</f>
        <v/>
      </c>
      <c r="S371" s="80" t="str">
        <f aca="false">IF(OR($A371&lt;&gt;"",$E371&lt;&gt;""),IF(TRIM($D371)="","Buyer not noted",TRIM($D371)),"")</f>
        <v/>
      </c>
      <c r="T371" s="80" t="n">
        <f aca="false">IF(AND($V371=1,ISNUMBER($M371)),$M371,0)</f>
        <v>0</v>
      </c>
      <c r="U371" s="80" t="str">
        <f aca="false">IF($V371=1,IF(COUNTIFS($S$7:$S371,$S371,$V$7:$V371,1)=1,SUMIFS($T$7:$T$1006,$S$7:$S$1006,$S371)-ROW()/1000000000,""),"")</f>
        <v/>
      </c>
      <c r="V371" s="80" t="n">
        <f aca="false">IF(OR($O371="On hand",$O371="Advance received",$O371="Part realised",$O371="Amount missing"),1,0)</f>
        <v>0</v>
      </c>
      <c r="W371" s="80" t="str">
        <f aca="false">IF(AND($V371=1,N($F371)&gt;0),ROW(),"")</f>
        <v/>
      </c>
      <c r="X371" s="80" t="n">
        <f aca="false">IF(AND(OR($A371&lt;&gt;"",$E371&lt;&gt;""),$O371&lt;&gt;"Cancelled",ISNUMBER($E371),N($F371)+N($H371)&gt;$E371+0.005),1,0)</f>
        <v>0</v>
      </c>
      <c r="Y371" s="80" t="n">
        <f aca="false">IF(AND(OR($A371&lt;&gt;"",$E371&lt;&gt;""),OR($A371="",$E371="")),1,0)</f>
        <v>0</v>
      </c>
      <c r="Z371" s="80" t="n">
        <f aca="false">IF(AND($A371&lt;&gt;"",COUNTIF($A$7:$A$1006,$A371)&gt;1),1,0)</f>
        <v>0</v>
      </c>
    </row>
    <row r="372" customFormat="false" ht="15" hidden="false" customHeight="false" outlineLevel="0" collapsed="false">
      <c r="A372" s="71"/>
      <c r="B372" s="72"/>
      <c r="C372" s="73"/>
      <c r="D372" s="73"/>
      <c r="E372" s="74"/>
      <c r="F372" s="74"/>
      <c r="G372" s="72"/>
      <c r="H372" s="74"/>
      <c r="I372" s="72"/>
      <c r="J372" s="73"/>
      <c r="K372" s="73"/>
      <c r="L372" s="75" t="str">
        <f aca="false">IF(OR($A372&lt;&gt;"",$E372&lt;&gt;""),N($F372)+N($H372),"")</f>
        <v/>
      </c>
      <c r="M372" s="76" t="str">
        <f aca="false">IF(OR($O372="",$O372="Cancelled",$O372="Amount missing"),"",IF($O372="Realised",0,$E372-N($F372)-N($H372)))</f>
        <v/>
      </c>
      <c r="N372" s="77" t="str">
        <f aca="false">IF(OR($M372="",FX=""),"",$M372*FX)</f>
        <v/>
      </c>
      <c r="O372" s="78" t="str">
        <f aca="false">IF(NOT(OR($A372&lt;&gt;"",$E372&lt;&gt;"")),"",IF($J372="Cancelled","Cancelled",IF($E372="","Amount missing",IF(OR($J372="Settled",$E372-N($F372)-N($H372)&lt;=0.005),"Realised",IF(N($H372)&gt;0,"Part realised",IF(N($F372)&gt;0,"Advance received","On hand"))))))</f>
        <v/>
      </c>
      <c r="P372" s="79" t="str">
        <f aca="false">IF(AND($V372=1,ISNUMBER($B372)),AsAt-$B372,"")</f>
        <v/>
      </c>
      <c r="Q372" s="78" t="str">
        <f aca="false">IF($V372&lt;&gt;1,"",IF($P372="","No invoice date",IF($P372&lt;=30,"0–30 days",IF($P372&lt;=60,"31–60 days",IF($P372&lt;=90,"61–90 days","Over 90 days")))))</f>
        <v/>
      </c>
      <c r="R372" s="80" t="str">
        <f aca="false">IF($V372=1,ROW(),"")</f>
        <v/>
      </c>
      <c r="S372" s="80" t="str">
        <f aca="false">IF(OR($A372&lt;&gt;"",$E372&lt;&gt;""),IF(TRIM($D372)="","Buyer not noted",TRIM($D372)),"")</f>
        <v/>
      </c>
      <c r="T372" s="80" t="n">
        <f aca="false">IF(AND($V372=1,ISNUMBER($M372)),$M372,0)</f>
        <v>0</v>
      </c>
      <c r="U372" s="80" t="str">
        <f aca="false">IF($V372=1,IF(COUNTIFS($S$7:$S372,$S372,$V$7:$V372,1)=1,SUMIFS($T$7:$T$1006,$S$7:$S$1006,$S372)-ROW()/1000000000,""),"")</f>
        <v/>
      </c>
      <c r="V372" s="80" t="n">
        <f aca="false">IF(OR($O372="On hand",$O372="Advance received",$O372="Part realised",$O372="Amount missing"),1,0)</f>
        <v>0</v>
      </c>
      <c r="W372" s="80" t="str">
        <f aca="false">IF(AND($V372=1,N($F372)&gt;0),ROW(),"")</f>
        <v/>
      </c>
      <c r="X372" s="80" t="n">
        <f aca="false">IF(AND(OR($A372&lt;&gt;"",$E372&lt;&gt;""),$O372&lt;&gt;"Cancelled",ISNUMBER($E372),N($F372)+N($H372)&gt;$E372+0.005),1,0)</f>
        <v>0</v>
      </c>
      <c r="Y372" s="80" t="n">
        <f aca="false">IF(AND(OR($A372&lt;&gt;"",$E372&lt;&gt;""),OR($A372="",$E372="")),1,0)</f>
        <v>0</v>
      </c>
      <c r="Z372" s="80" t="n">
        <f aca="false">IF(AND($A372&lt;&gt;"",COUNTIF($A$7:$A$1006,$A372)&gt;1),1,0)</f>
        <v>0</v>
      </c>
    </row>
    <row r="373" customFormat="false" ht="15" hidden="false" customHeight="false" outlineLevel="0" collapsed="false">
      <c r="A373" s="71"/>
      <c r="B373" s="72"/>
      <c r="C373" s="73"/>
      <c r="D373" s="73"/>
      <c r="E373" s="74"/>
      <c r="F373" s="74"/>
      <c r="G373" s="72"/>
      <c r="H373" s="74"/>
      <c r="I373" s="72"/>
      <c r="J373" s="73"/>
      <c r="K373" s="73"/>
      <c r="L373" s="75" t="str">
        <f aca="false">IF(OR($A373&lt;&gt;"",$E373&lt;&gt;""),N($F373)+N($H373),"")</f>
        <v/>
      </c>
      <c r="M373" s="76" t="str">
        <f aca="false">IF(OR($O373="",$O373="Cancelled",$O373="Amount missing"),"",IF($O373="Realised",0,$E373-N($F373)-N($H373)))</f>
        <v/>
      </c>
      <c r="N373" s="77" t="str">
        <f aca="false">IF(OR($M373="",FX=""),"",$M373*FX)</f>
        <v/>
      </c>
      <c r="O373" s="78" t="str">
        <f aca="false">IF(NOT(OR($A373&lt;&gt;"",$E373&lt;&gt;"")),"",IF($J373="Cancelled","Cancelled",IF($E373="","Amount missing",IF(OR($J373="Settled",$E373-N($F373)-N($H373)&lt;=0.005),"Realised",IF(N($H373)&gt;0,"Part realised",IF(N($F373)&gt;0,"Advance received","On hand"))))))</f>
        <v/>
      </c>
      <c r="P373" s="79" t="str">
        <f aca="false">IF(AND($V373=1,ISNUMBER($B373)),AsAt-$B373,"")</f>
        <v/>
      </c>
      <c r="Q373" s="78" t="str">
        <f aca="false">IF($V373&lt;&gt;1,"",IF($P373="","No invoice date",IF($P373&lt;=30,"0–30 days",IF($P373&lt;=60,"31–60 days",IF($P373&lt;=90,"61–90 days","Over 90 days")))))</f>
        <v/>
      </c>
      <c r="R373" s="80" t="str">
        <f aca="false">IF($V373=1,ROW(),"")</f>
        <v/>
      </c>
      <c r="S373" s="80" t="str">
        <f aca="false">IF(OR($A373&lt;&gt;"",$E373&lt;&gt;""),IF(TRIM($D373)="","Buyer not noted",TRIM($D373)),"")</f>
        <v/>
      </c>
      <c r="T373" s="80" t="n">
        <f aca="false">IF(AND($V373=1,ISNUMBER($M373)),$M373,0)</f>
        <v>0</v>
      </c>
      <c r="U373" s="80" t="str">
        <f aca="false">IF($V373=1,IF(COUNTIFS($S$7:$S373,$S373,$V$7:$V373,1)=1,SUMIFS($T$7:$T$1006,$S$7:$S$1006,$S373)-ROW()/1000000000,""),"")</f>
        <v/>
      </c>
      <c r="V373" s="80" t="n">
        <f aca="false">IF(OR($O373="On hand",$O373="Advance received",$O373="Part realised",$O373="Amount missing"),1,0)</f>
        <v>0</v>
      </c>
      <c r="W373" s="80" t="str">
        <f aca="false">IF(AND($V373=1,N($F373)&gt;0),ROW(),"")</f>
        <v/>
      </c>
      <c r="X373" s="80" t="n">
        <f aca="false">IF(AND(OR($A373&lt;&gt;"",$E373&lt;&gt;""),$O373&lt;&gt;"Cancelled",ISNUMBER($E373),N($F373)+N($H373)&gt;$E373+0.005),1,0)</f>
        <v>0</v>
      </c>
      <c r="Y373" s="80" t="n">
        <f aca="false">IF(AND(OR($A373&lt;&gt;"",$E373&lt;&gt;""),OR($A373="",$E373="")),1,0)</f>
        <v>0</v>
      </c>
      <c r="Z373" s="80" t="n">
        <f aca="false">IF(AND($A373&lt;&gt;"",COUNTIF($A$7:$A$1006,$A373)&gt;1),1,0)</f>
        <v>0</v>
      </c>
    </row>
    <row r="374" customFormat="false" ht="15" hidden="false" customHeight="false" outlineLevel="0" collapsed="false">
      <c r="A374" s="71"/>
      <c r="B374" s="72"/>
      <c r="C374" s="73"/>
      <c r="D374" s="73"/>
      <c r="E374" s="74"/>
      <c r="F374" s="74"/>
      <c r="G374" s="72"/>
      <c r="H374" s="74"/>
      <c r="I374" s="72"/>
      <c r="J374" s="73"/>
      <c r="K374" s="73"/>
      <c r="L374" s="75" t="str">
        <f aca="false">IF(OR($A374&lt;&gt;"",$E374&lt;&gt;""),N($F374)+N($H374),"")</f>
        <v/>
      </c>
      <c r="M374" s="76" t="str">
        <f aca="false">IF(OR($O374="",$O374="Cancelled",$O374="Amount missing"),"",IF($O374="Realised",0,$E374-N($F374)-N($H374)))</f>
        <v/>
      </c>
      <c r="N374" s="77" t="str">
        <f aca="false">IF(OR($M374="",FX=""),"",$M374*FX)</f>
        <v/>
      </c>
      <c r="O374" s="78" t="str">
        <f aca="false">IF(NOT(OR($A374&lt;&gt;"",$E374&lt;&gt;"")),"",IF($J374="Cancelled","Cancelled",IF($E374="","Amount missing",IF(OR($J374="Settled",$E374-N($F374)-N($H374)&lt;=0.005),"Realised",IF(N($H374)&gt;0,"Part realised",IF(N($F374)&gt;0,"Advance received","On hand"))))))</f>
        <v/>
      </c>
      <c r="P374" s="79" t="str">
        <f aca="false">IF(AND($V374=1,ISNUMBER($B374)),AsAt-$B374,"")</f>
        <v/>
      </c>
      <c r="Q374" s="78" t="str">
        <f aca="false">IF($V374&lt;&gt;1,"",IF($P374="","No invoice date",IF($P374&lt;=30,"0–30 days",IF($P374&lt;=60,"31–60 days",IF($P374&lt;=90,"61–90 days","Over 90 days")))))</f>
        <v/>
      </c>
      <c r="R374" s="80" t="str">
        <f aca="false">IF($V374=1,ROW(),"")</f>
        <v/>
      </c>
      <c r="S374" s="80" t="str">
        <f aca="false">IF(OR($A374&lt;&gt;"",$E374&lt;&gt;""),IF(TRIM($D374)="","Buyer not noted",TRIM($D374)),"")</f>
        <v/>
      </c>
      <c r="T374" s="80" t="n">
        <f aca="false">IF(AND($V374=1,ISNUMBER($M374)),$M374,0)</f>
        <v>0</v>
      </c>
      <c r="U374" s="80" t="str">
        <f aca="false">IF($V374=1,IF(COUNTIFS($S$7:$S374,$S374,$V$7:$V374,1)=1,SUMIFS($T$7:$T$1006,$S$7:$S$1006,$S374)-ROW()/1000000000,""),"")</f>
        <v/>
      </c>
      <c r="V374" s="80" t="n">
        <f aca="false">IF(OR($O374="On hand",$O374="Advance received",$O374="Part realised",$O374="Amount missing"),1,0)</f>
        <v>0</v>
      </c>
      <c r="W374" s="80" t="str">
        <f aca="false">IF(AND($V374=1,N($F374)&gt;0),ROW(),"")</f>
        <v/>
      </c>
      <c r="X374" s="80" t="n">
        <f aca="false">IF(AND(OR($A374&lt;&gt;"",$E374&lt;&gt;""),$O374&lt;&gt;"Cancelled",ISNUMBER($E374),N($F374)+N($H374)&gt;$E374+0.005),1,0)</f>
        <v>0</v>
      </c>
      <c r="Y374" s="80" t="n">
        <f aca="false">IF(AND(OR($A374&lt;&gt;"",$E374&lt;&gt;""),OR($A374="",$E374="")),1,0)</f>
        <v>0</v>
      </c>
      <c r="Z374" s="80" t="n">
        <f aca="false">IF(AND($A374&lt;&gt;"",COUNTIF($A$7:$A$1006,$A374)&gt;1),1,0)</f>
        <v>0</v>
      </c>
    </row>
    <row r="375" customFormat="false" ht="15" hidden="false" customHeight="false" outlineLevel="0" collapsed="false">
      <c r="A375" s="71"/>
      <c r="B375" s="72"/>
      <c r="C375" s="73"/>
      <c r="D375" s="73"/>
      <c r="E375" s="74"/>
      <c r="F375" s="74"/>
      <c r="G375" s="72"/>
      <c r="H375" s="74"/>
      <c r="I375" s="72"/>
      <c r="J375" s="73"/>
      <c r="K375" s="73"/>
      <c r="L375" s="75" t="str">
        <f aca="false">IF(OR($A375&lt;&gt;"",$E375&lt;&gt;""),N($F375)+N($H375),"")</f>
        <v/>
      </c>
      <c r="M375" s="76" t="str">
        <f aca="false">IF(OR($O375="",$O375="Cancelled",$O375="Amount missing"),"",IF($O375="Realised",0,$E375-N($F375)-N($H375)))</f>
        <v/>
      </c>
      <c r="N375" s="77" t="str">
        <f aca="false">IF(OR($M375="",FX=""),"",$M375*FX)</f>
        <v/>
      </c>
      <c r="O375" s="78" t="str">
        <f aca="false">IF(NOT(OR($A375&lt;&gt;"",$E375&lt;&gt;"")),"",IF($J375="Cancelled","Cancelled",IF($E375="","Amount missing",IF(OR($J375="Settled",$E375-N($F375)-N($H375)&lt;=0.005),"Realised",IF(N($H375)&gt;0,"Part realised",IF(N($F375)&gt;0,"Advance received","On hand"))))))</f>
        <v/>
      </c>
      <c r="P375" s="79" t="str">
        <f aca="false">IF(AND($V375=1,ISNUMBER($B375)),AsAt-$B375,"")</f>
        <v/>
      </c>
      <c r="Q375" s="78" t="str">
        <f aca="false">IF($V375&lt;&gt;1,"",IF($P375="","No invoice date",IF($P375&lt;=30,"0–30 days",IF($P375&lt;=60,"31–60 days",IF($P375&lt;=90,"61–90 days","Over 90 days")))))</f>
        <v/>
      </c>
      <c r="R375" s="80" t="str">
        <f aca="false">IF($V375=1,ROW(),"")</f>
        <v/>
      </c>
      <c r="S375" s="80" t="str">
        <f aca="false">IF(OR($A375&lt;&gt;"",$E375&lt;&gt;""),IF(TRIM($D375)="","Buyer not noted",TRIM($D375)),"")</f>
        <v/>
      </c>
      <c r="T375" s="80" t="n">
        <f aca="false">IF(AND($V375=1,ISNUMBER($M375)),$M375,0)</f>
        <v>0</v>
      </c>
      <c r="U375" s="80" t="str">
        <f aca="false">IF($V375=1,IF(COUNTIFS($S$7:$S375,$S375,$V$7:$V375,1)=1,SUMIFS($T$7:$T$1006,$S$7:$S$1006,$S375)-ROW()/1000000000,""),"")</f>
        <v/>
      </c>
      <c r="V375" s="80" t="n">
        <f aca="false">IF(OR($O375="On hand",$O375="Advance received",$O375="Part realised",$O375="Amount missing"),1,0)</f>
        <v>0</v>
      </c>
      <c r="W375" s="80" t="str">
        <f aca="false">IF(AND($V375=1,N($F375)&gt;0),ROW(),"")</f>
        <v/>
      </c>
      <c r="X375" s="80" t="n">
        <f aca="false">IF(AND(OR($A375&lt;&gt;"",$E375&lt;&gt;""),$O375&lt;&gt;"Cancelled",ISNUMBER($E375),N($F375)+N($H375)&gt;$E375+0.005),1,0)</f>
        <v>0</v>
      </c>
      <c r="Y375" s="80" t="n">
        <f aca="false">IF(AND(OR($A375&lt;&gt;"",$E375&lt;&gt;""),OR($A375="",$E375="")),1,0)</f>
        <v>0</v>
      </c>
      <c r="Z375" s="80" t="n">
        <f aca="false">IF(AND($A375&lt;&gt;"",COUNTIF($A$7:$A$1006,$A375)&gt;1),1,0)</f>
        <v>0</v>
      </c>
    </row>
    <row r="376" customFormat="false" ht="15" hidden="false" customHeight="false" outlineLevel="0" collapsed="false">
      <c r="A376" s="71"/>
      <c r="B376" s="72"/>
      <c r="C376" s="73"/>
      <c r="D376" s="73"/>
      <c r="E376" s="74"/>
      <c r="F376" s="74"/>
      <c r="G376" s="72"/>
      <c r="H376" s="74"/>
      <c r="I376" s="72"/>
      <c r="J376" s="73"/>
      <c r="K376" s="73"/>
      <c r="L376" s="75" t="str">
        <f aca="false">IF(OR($A376&lt;&gt;"",$E376&lt;&gt;""),N($F376)+N($H376),"")</f>
        <v/>
      </c>
      <c r="M376" s="76" t="str">
        <f aca="false">IF(OR($O376="",$O376="Cancelled",$O376="Amount missing"),"",IF($O376="Realised",0,$E376-N($F376)-N($H376)))</f>
        <v/>
      </c>
      <c r="N376" s="77" t="str">
        <f aca="false">IF(OR($M376="",FX=""),"",$M376*FX)</f>
        <v/>
      </c>
      <c r="O376" s="78" t="str">
        <f aca="false">IF(NOT(OR($A376&lt;&gt;"",$E376&lt;&gt;"")),"",IF($J376="Cancelled","Cancelled",IF($E376="","Amount missing",IF(OR($J376="Settled",$E376-N($F376)-N($H376)&lt;=0.005),"Realised",IF(N($H376)&gt;0,"Part realised",IF(N($F376)&gt;0,"Advance received","On hand"))))))</f>
        <v/>
      </c>
      <c r="P376" s="79" t="str">
        <f aca="false">IF(AND($V376=1,ISNUMBER($B376)),AsAt-$B376,"")</f>
        <v/>
      </c>
      <c r="Q376" s="78" t="str">
        <f aca="false">IF($V376&lt;&gt;1,"",IF($P376="","No invoice date",IF($P376&lt;=30,"0–30 days",IF($P376&lt;=60,"31–60 days",IF($P376&lt;=90,"61–90 days","Over 90 days")))))</f>
        <v/>
      </c>
      <c r="R376" s="80" t="str">
        <f aca="false">IF($V376=1,ROW(),"")</f>
        <v/>
      </c>
      <c r="S376" s="80" t="str">
        <f aca="false">IF(OR($A376&lt;&gt;"",$E376&lt;&gt;""),IF(TRIM($D376)="","Buyer not noted",TRIM($D376)),"")</f>
        <v/>
      </c>
      <c r="T376" s="80" t="n">
        <f aca="false">IF(AND($V376=1,ISNUMBER($M376)),$M376,0)</f>
        <v>0</v>
      </c>
      <c r="U376" s="80" t="str">
        <f aca="false">IF($V376=1,IF(COUNTIFS($S$7:$S376,$S376,$V$7:$V376,1)=1,SUMIFS($T$7:$T$1006,$S$7:$S$1006,$S376)-ROW()/1000000000,""),"")</f>
        <v/>
      </c>
      <c r="V376" s="80" t="n">
        <f aca="false">IF(OR($O376="On hand",$O376="Advance received",$O376="Part realised",$O376="Amount missing"),1,0)</f>
        <v>0</v>
      </c>
      <c r="W376" s="80" t="str">
        <f aca="false">IF(AND($V376=1,N($F376)&gt;0),ROW(),"")</f>
        <v/>
      </c>
      <c r="X376" s="80" t="n">
        <f aca="false">IF(AND(OR($A376&lt;&gt;"",$E376&lt;&gt;""),$O376&lt;&gt;"Cancelled",ISNUMBER($E376),N($F376)+N($H376)&gt;$E376+0.005),1,0)</f>
        <v>0</v>
      </c>
      <c r="Y376" s="80" t="n">
        <f aca="false">IF(AND(OR($A376&lt;&gt;"",$E376&lt;&gt;""),OR($A376="",$E376="")),1,0)</f>
        <v>0</v>
      </c>
      <c r="Z376" s="80" t="n">
        <f aca="false">IF(AND($A376&lt;&gt;"",COUNTIF($A$7:$A$1006,$A376)&gt;1),1,0)</f>
        <v>0</v>
      </c>
    </row>
    <row r="377" customFormat="false" ht="15" hidden="false" customHeight="false" outlineLevel="0" collapsed="false">
      <c r="A377" s="71"/>
      <c r="B377" s="72"/>
      <c r="C377" s="73"/>
      <c r="D377" s="73"/>
      <c r="E377" s="74"/>
      <c r="F377" s="74"/>
      <c r="G377" s="72"/>
      <c r="H377" s="74"/>
      <c r="I377" s="72"/>
      <c r="J377" s="73"/>
      <c r="K377" s="73"/>
      <c r="L377" s="75" t="str">
        <f aca="false">IF(OR($A377&lt;&gt;"",$E377&lt;&gt;""),N($F377)+N($H377),"")</f>
        <v/>
      </c>
      <c r="M377" s="76" t="str">
        <f aca="false">IF(OR($O377="",$O377="Cancelled",$O377="Amount missing"),"",IF($O377="Realised",0,$E377-N($F377)-N($H377)))</f>
        <v/>
      </c>
      <c r="N377" s="77" t="str">
        <f aca="false">IF(OR($M377="",FX=""),"",$M377*FX)</f>
        <v/>
      </c>
      <c r="O377" s="78" t="str">
        <f aca="false">IF(NOT(OR($A377&lt;&gt;"",$E377&lt;&gt;"")),"",IF($J377="Cancelled","Cancelled",IF($E377="","Amount missing",IF(OR($J377="Settled",$E377-N($F377)-N($H377)&lt;=0.005),"Realised",IF(N($H377)&gt;0,"Part realised",IF(N($F377)&gt;0,"Advance received","On hand"))))))</f>
        <v/>
      </c>
      <c r="P377" s="79" t="str">
        <f aca="false">IF(AND($V377=1,ISNUMBER($B377)),AsAt-$B377,"")</f>
        <v/>
      </c>
      <c r="Q377" s="78" t="str">
        <f aca="false">IF($V377&lt;&gt;1,"",IF($P377="","No invoice date",IF($P377&lt;=30,"0–30 days",IF($P377&lt;=60,"31–60 days",IF($P377&lt;=90,"61–90 days","Over 90 days")))))</f>
        <v/>
      </c>
      <c r="R377" s="80" t="str">
        <f aca="false">IF($V377=1,ROW(),"")</f>
        <v/>
      </c>
      <c r="S377" s="80" t="str">
        <f aca="false">IF(OR($A377&lt;&gt;"",$E377&lt;&gt;""),IF(TRIM($D377)="","Buyer not noted",TRIM($D377)),"")</f>
        <v/>
      </c>
      <c r="T377" s="80" t="n">
        <f aca="false">IF(AND($V377=1,ISNUMBER($M377)),$M377,0)</f>
        <v>0</v>
      </c>
      <c r="U377" s="80" t="str">
        <f aca="false">IF($V377=1,IF(COUNTIFS($S$7:$S377,$S377,$V$7:$V377,1)=1,SUMIFS($T$7:$T$1006,$S$7:$S$1006,$S377)-ROW()/1000000000,""),"")</f>
        <v/>
      </c>
      <c r="V377" s="80" t="n">
        <f aca="false">IF(OR($O377="On hand",$O377="Advance received",$O377="Part realised",$O377="Amount missing"),1,0)</f>
        <v>0</v>
      </c>
      <c r="W377" s="80" t="str">
        <f aca="false">IF(AND($V377=1,N($F377)&gt;0),ROW(),"")</f>
        <v/>
      </c>
      <c r="X377" s="80" t="n">
        <f aca="false">IF(AND(OR($A377&lt;&gt;"",$E377&lt;&gt;""),$O377&lt;&gt;"Cancelled",ISNUMBER($E377),N($F377)+N($H377)&gt;$E377+0.005),1,0)</f>
        <v>0</v>
      </c>
      <c r="Y377" s="80" t="n">
        <f aca="false">IF(AND(OR($A377&lt;&gt;"",$E377&lt;&gt;""),OR($A377="",$E377="")),1,0)</f>
        <v>0</v>
      </c>
      <c r="Z377" s="80" t="n">
        <f aca="false">IF(AND($A377&lt;&gt;"",COUNTIF($A$7:$A$1006,$A377)&gt;1),1,0)</f>
        <v>0</v>
      </c>
    </row>
    <row r="378" customFormat="false" ht="15" hidden="false" customHeight="false" outlineLevel="0" collapsed="false">
      <c r="A378" s="71"/>
      <c r="B378" s="72"/>
      <c r="C378" s="73"/>
      <c r="D378" s="73"/>
      <c r="E378" s="74"/>
      <c r="F378" s="74"/>
      <c r="G378" s="72"/>
      <c r="H378" s="74"/>
      <c r="I378" s="72"/>
      <c r="J378" s="73"/>
      <c r="K378" s="73"/>
      <c r="L378" s="75" t="str">
        <f aca="false">IF(OR($A378&lt;&gt;"",$E378&lt;&gt;""),N($F378)+N($H378),"")</f>
        <v/>
      </c>
      <c r="M378" s="76" t="str">
        <f aca="false">IF(OR($O378="",$O378="Cancelled",$O378="Amount missing"),"",IF($O378="Realised",0,$E378-N($F378)-N($H378)))</f>
        <v/>
      </c>
      <c r="N378" s="77" t="str">
        <f aca="false">IF(OR($M378="",FX=""),"",$M378*FX)</f>
        <v/>
      </c>
      <c r="O378" s="78" t="str">
        <f aca="false">IF(NOT(OR($A378&lt;&gt;"",$E378&lt;&gt;"")),"",IF($J378="Cancelled","Cancelled",IF($E378="","Amount missing",IF(OR($J378="Settled",$E378-N($F378)-N($H378)&lt;=0.005),"Realised",IF(N($H378)&gt;0,"Part realised",IF(N($F378)&gt;0,"Advance received","On hand"))))))</f>
        <v/>
      </c>
      <c r="P378" s="79" t="str">
        <f aca="false">IF(AND($V378=1,ISNUMBER($B378)),AsAt-$B378,"")</f>
        <v/>
      </c>
      <c r="Q378" s="78" t="str">
        <f aca="false">IF($V378&lt;&gt;1,"",IF($P378="","No invoice date",IF($P378&lt;=30,"0–30 days",IF($P378&lt;=60,"31–60 days",IF($P378&lt;=90,"61–90 days","Over 90 days")))))</f>
        <v/>
      </c>
      <c r="R378" s="80" t="str">
        <f aca="false">IF($V378=1,ROW(),"")</f>
        <v/>
      </c>
      <c r="S378" s="80" t="str">
        <f aca="false">IF(OR($A378&lt;&gt;"",$E378&lt;&gt;""),IF(TRIM($D378)="","Buyer not noted",TRIM($D378)),"")</f>
        <v/>
      </c>
      <c r="T378" s="80" t="n">
        <f aca="false">IF(AND($V378=1,ISNUMBER($M378)),$M378,0)</f>
        <v>0</v>
      </c>
      <c r="U378" s="80" t="str">
        <f aca="false">IF($V378=1,IF(COUNTIFS($S$7:$S378,$S378,$V$7:$V378,1)=1,SUMIFS($T$7:$T$1006,$S$7:$S$1006,$S378)-ROW()/1000000000,""),"")</f>
        <v/>
      </c>
      <c r="V378" s="80" t="n">
        <f aca="false">IF(OR($O378="On hand",$O378="Advance received",$O378="Part realised",$O378="Amount missing"),1,0)</f>
        <v>0</v>
      </c>
      <c r="W378" s="80" t="str">
        <f aca="false">IF(AND($V378=1,N($F378)&gt;0),ROW(),"")</f>
        <v/>
      </c>
      <c r="X378" s="80" t="n">
        <f aca="false">IF(AND(OR($A378&lt;&gt;"",$E378&lt;&gt;""),$O378&lt;&gt;"Cancelled",ISNUMBER($E378),N($F378)+N($H378)&gt;$E378+0.005),1,0)</f>
        <v>0</v>
      </c>
      <c r="Y378" s="80" t="n">
        <f aca="false">IF(AND(OR($A378&lt;&gt;"",$E378&lt;&gt;""),OR($A378="",$E378="")),1,0)</f>
        <v>0</v>
      </c>
      <c r="Z378" s="80" t="n">
        <f aca="false">IF(AND($A378&lt;&gt;"",COUNTIF($A$7:$A$1006,$A378)&gt;1),1,0)</f>
        <v>0</v>
      </c>
    </row>
    <row r="379" customFormat="false" ht="15" hidden="false" customHeight="false" outlineLevel="0" collapsed="false">
      <c r="A379" s="71"/>
      <c r="B379" s="72"/>
      <c r="C379" s="73"/>
      <c r="D379" s="73"/>
      <c r="E379" s="74"/>
      <c r="F379" s="74"/>
      <c r="G379" s="72"/>
      <c r="H379" s="74"/>
      <c r="I379" s="72"/>
      <c r="J379" s="73"/>
      <c r="K379" s="73"/>
      <c r="L379" s="75" t="str">
        <f aca="false">IF(OR($A379&lt;&gt;"",$E379&lt;&gt;""),N($F379)+N($H379),"")</f>
        <v/>
      </c>
      <c r="M379" s="76" t="str">
        <f aca="false">IF(OR($O379="",$O379="Cancelled",$O379="Amount missing"),"",IF($O379="Realised",0,$E379-N($F379)-N($H379)))</f>
        <v/>
      </c>
      <c r="N379" s="77" t="str">
        <f aca="false">IF(OR($M379="",FX=""),"",$M379*FX)</f>
        <v/>
      </c>
      <c r="O379" s="78" t="str">
        <f aca="false">IF(NOT(OR($A379&lt;&gt;"",$E379&lt;&gt;"")),"",IF($J379="Cancelled","Cancelled",IF($E379="","Amount missing",IF(OR($J379="Settled",$E379-N($F379)-N($H379)&lt;=0.005),"Realised",IF(N($H379)&gt;0,"Part realised",IF(N($F379)&gt;0,"Advance received","On hand"))))))</f>
        <v/>
      </c>
      <c r="P379" s="79" t="str">
        <f aca="false">IF(AND($V379=1,ISNUMBER($B379)),AsAt-$B379,"")</f>
        <v/>
      </c>
      <c r="Q379" s="78" t="str">
        <f aca="false">IF($V379&lt;&gt;1,"",IF($P379="","No invoice date",IF($P379&lt;=30,"0–30 days",IF($P379&lt;=60,"31–60 days",IF($P379&lt;=90,"61–90 days","Over 90 days")))))</f>
        <v/>
      </c>
      <c r="R379" s="80" t="str">
        <f aca="false">IF($V379=1,ROW(),"")</f>
        <v/>
      </c>
      <c r="S379" s="80" t="str">
        <f aca="false">IF(OR($A379&lt;&gt;"",$E379&lt;&gt;""),IF(TRIM($D379)="","Buyer not noted",TRIM($D379)),"")</f>
        <v/>
      </c>
      <c r="T379" s="80" t="n">
        <f aca="false">IF(AND($V379=1,ISNUMBER($M379)),$M379,0)</f>
        <v>0</v>
      </c>
      <c r="U379" s="80" t="str">
        <f aca="false">IF($V379=1,IF(COUNTIFS($S$7:$S379,$S379,$V$7:$V379,1)=1,SUMIFS($T$7:$T$1006,$S$7:$S$1006,$S379)-ROW()/1000000000,""),"")</f>
        <v/>
      </c>
      <c r="V379" s="80" t="n">
        <f aca="false">IF(OR($O379="On hand",$O379="Advance received",$O379="Part realised",$O379="Amount missing"),1,0)</f>
        <v>0</v>
      </c>
      <c r="W379" s="80" t="str">
        <f aca="false">IF(AND($V379=1,N($F379)&gt;0),ROW(),"")</f>
        <v/>
      </c>
      <c r="X379" s="80" t="n">
        <f aca="false">IF(AND(OR($A379&lt;&gt;"",$E379&lt;&gt;""),$O379&lt;&gt;"Cancelled",ISNUMBER($E379),N($F379)+N($H379)&gt;$E379+0.005),1,0)</f>
        <v>0</v>
      </c>
      <c r="Y379" s="80" t="n">
        <f aca="false">IF(AND(OR($A379&lt;&gt;"",$E379&lt;&gt;""),OR($A379="",$E379="")),1,0)</f>
        <v>0</v>
      </c>
      <c r="Z379" s="80" t="n">
        <f aca="false">IF(AND($A379&lt;&gt;"",COUNTIF($A$7:$A$1006,$A379)&gt;1),1,0)</f>
        <v>0</v>
      </c>
    </row>
    <row r="380" customFormat="false" ht="15" hidden="false" customHeight="false" outlineLevel="0" collapsed="false">
      <c r="A380" s="71"/>
      <c r="B380" s="72"/>
      <c r="C380" s="73"/>
      <c r="D380" s="73"/>
      <c r="E380" s="74"/>
      <c r="F380" s="74"/>
      <c r="G380" s="72"/>
      <c r="H380" s="74"/>
      <c r="I380" s="72"/>
      <c r="J380" s="73"/>
      <c r="K380" s="73"/>
      <c r="L380" s="75" t="str">
        <f aca="false">IF(OR($A380&lt;&gt;"",$E380&lt;&gt;""),N($F380)+N($H380),"")</f>
        <v/>
      </c>
      <c r="M380" s="76" t="str">
        <f aca="false">IF(OR($O380="",$O380="Cancelled",$O380="Amount missing"),"",IF($O380="Realised",0,$E380-N($F380)-N($H380)))</f>
        <v/>
      </c>
      <c r="N380" s="77" t="str">
        <f aca="false">IF(OR($M380="",FX=""),"",$M380*FX)</f>
        <v/>
      </c>
      <c r="O380" s="78" t="str">
        <f aca="false">IF(NOT(OR($A380&lt;&gt;"",$E380&lt;&gt;"")),"",IF($J380="Cancelled","Cancelled",IF($E380="","Amount missing",IF(OR($J380="Settled",$E380-N($F380)-N($H380)&lt;=0.005),"Realised",IF(N($H380)&gt;0,"Part realised",IF(N($F380)&gt;0,"Advance received","On hand"))))))</f>
        <v/>
      </c>
      <c r="P380" s="79" t="str">
        <f aca="false">IF(AND($V380=1,ISNUMBER($B380)),AsAt-$B380,"")</f>
        <v/>
      </c>
      <c r="Q380" s="78" t="str">
        <f aca="false">IF($V380&lt;&gt;1,"",IF($P380="","No invoice date",IF($P380&lt;=30,"0–30 days",IF($P380&lt;=60,"31–60 days",IF($P380&lt;=90,"61–90 days","Over 90 days")))))</f>
        <v/>
      </c>
      <c r="R380" s="80" t="str">
        <f aca="false">IF($V380=1,ROW(),"")</f>
        <v/>
      </c>
      <c r="S380" s="80" t="str">
        <f aca="false">IF(OR($A380&lt;&gt;"",$E380&lt;&gt;""),IF(TRIM($D380)="","Buyer not noted",TRIM($D380)),"")</f>
        <v/>
      </c>
      <c r="T380" s="80" t="n">
        <f aca="false">IF(AND($V380=1,ISNUMBER($M380)),$M380,0)</f>
        <v>0</v>
      </c>
      <c r="U380" s="80" t="str">
        <f aca="false">IF($V380=1,IF(COUNTIFS($S$7:$S380,$S380,$V$7:$V380,1)=1,SUMIFS($T$7:$T$1006,$S$7:$S$1006,$S380)-ROW()/1000000000,""),"")</f>
        <v/>
      </c>
      <c r="V380" s="80" t="n">
        <f aca="false">IF(OR($O380="On hand",$O380="Advance received",$O380="Part realised",$O380="Amount missing"),1,0)</f>
        <v>0</v>
      </c>
      <c r="W380" s="80" t="str">
        <f aca="false">IF(AND($V380=1,N($F380)&gt;0),ROW(),"")</f>
        <v/>
      </c>
      <c r="X380" s="80" t="n">
        <f aca="false">IF(AND(OR($A380&lt;&gt;"",$E380&lt;&gt;""),$O380&lt;&gt;"Cancelled",ISNUMBER($E380),N($F380)+N($H380)&gt;$E380+0.005),1,0)</f>
        <v>0</v>
      </c>
      <c r="Y380" s="80" t="n">
        <f aca="false">IF(AND(OR($A380&lt;&gt;"",$E380&lt;&gt;""),OR($A380="",$E380="")),1,0)</f>
        <v>0</v>
      </c>
      <c r="Z380" s="80" t="n">
        <f aca="false">IF(AND($A380&lt;&gt;"",COUNTIF($A$7:$A$1006,$A380)&gt;1),1,0)</f>
        <v>0</v>
      </c>
    </row>
    <row r="381" customFormat="false" ht="15" hidden="false" customHeight="false" outlineLevel="0" collapsed="false">
      <c r="A381" s="71"/>
      <c r="B381" s="72"/>
      <c r="C381" s="73"/>
      <c r="D381" s="73"/>
      <c r="E381" s="74"/>
      <c r="F381" s="74"/>
      <c r="G381" s="72"/>
      <c r="H381" s="74"/>
      <c r="I381" s="72"/>
      <c r="J381" s="73"/>
      <c r="K381" s="73"/>
      <c r="L381" s="75" t="str">
        <f aca="false">IF(OR($A381&lt;&gt;"",$E381&lt;&gt;""),N($F381)+N($H381),"")</f>
        <v/>
      </c>
      <c r="M381" s="76" t="str">
        <f aca="false">IF(OR($O381="",$O381="Cancelled",$O381="Amount missing"),"",IF($O381="Realised",0,$E381-N($F381)-N($H381)))</f>
        <v/>
      </c>
      <c r="N381" s="77" t="str">
        <f aca="false">IF(OR($M381="",FX=""),"",$M381*FX)</f>
        <v/>
      </c>
      <c r="O381" s="78" t="str">
        <f aca="false">IF(NOT(OR($A381&lt;&gt;"",$E381&lt;&gt;"")),"",IF($J381="Cancelled","Cancelled",IF($E381="","Amount missing",IF(OR($J381="Settled",$E381-N($F381)-N($H381)&lt;=0.005),"Realised",IF(N($H381)&gt;0,"Part realised",IF(N($F381)&gt;0,"Advance received","On hand"))))))</f>
        <v/>
      </c>
      <c r="P381" s="79" t="str">
        <f aca="false">IF(AND($V381=1,ISNUMBER($B381)),AsAt-$B381,"")</f>
        <v/>
      </c>
      <c r="Q381" s="78" t="str">
        <f aca="false">IF($V381&lt;&gt;1,"",IF($P381="","No invoice date",IF($P381&lt;=30,"0–30 days",IF($P381&lt;=60,"31–60 days",IF($P381&lt;=90,"61–90 days","Over 90 days")))))</f>
        <v/>
      </c>
      <c r="R381" s="80" t="str">
        <f aca="false">IF($V381=1,ROW(),"")</f>
        <v/>
      </c>
      <c r="S381" s="80" t="str">
        <f aca="false">IF(OR($A381&lt;&gt;"",$E381&lt;&gt;""),IF(TRIM($D381)="","Buyer not noted",TRIM($D381)),"")</f>
        <v/>
      </c>
      <c r="T381" s="80" t="n">
        <f aca="false">IF(AND($V381=1,ISNUMBER($M381)),$M381,0)</f>
        <v>0</v>
      </c>
      <c r="U381" s="80" t="str">
        <f aca="false">IF($V381=1,IF(COUNTIFS($S$7:$S381,$S381,$V$7:$V381,1)=1,SUMIFS($T$7:$T$1006,$S$7:$S$1006,$S381)-ROW()/1000000000,""),"")</f>
        <v/>
      </c>
      <c r="V381" s="80" t="n">
        <f aca="false">IF(OR($O381="On hand",$O381="Advance received",$O381="Part realised",$O381="Amount missing"),1,0)</f>
        <v>0</v>
      </c>
      <c r="W381" s="80" t="str">
        <f aca="false">IF(AND($V381=1,N($F381)&gt;0),ROW(),"")</f>
        <v/>
      </c>
      <c r="X381" s="80" t="n">
        <f aca="false">IF(AND(OR($A381&lt;&gt;"",$E381&lt;&gt;""),$O381&lt;&gt;"Cancelled",ISNUMBER($E381),N($F381)+N($H381)&gt;$E381+0.005),1,0)</f>
        <v>0</v>
      </c>
      <c r="Y381" s="80" t="n">
        <f aca="false">IF(AND(OR($A381&lt;&gt;"",$E381&lt;&gt;""),OR($A381="",$E381="")),1,0)</f>
        <v>0</v>
      </c>
      <c r="Z381" s="80" t="n">
        <f aca="false">IF(AND($A381&lt;&gt;"",COUNTIF($A$7:$A$1006,$A381)&gt;1),1,0)</f>
        <v>0</v>
      </c>
    </row>
    <row r="382" customFormat="false" ht="15" hidden="false" customHeight="false" outlineLevel="0" collapsed="false">
      <c r="A382" s="71"/>
      <c r="B382" s="72"/>
      <c r="C382" s="73"/>
      <c r="D382" s="73"/>
      <c r="E382" s="74"/>
      <c r="F382" s="74"/>
      <c r="G382" s="72"/>
      <c r="H382" s="74"/>
      <c r="I382" s="72"/>
      <c r="J382" s="73"/>
      <c r="K382" s="73"/>
      <c r="L382" s="75" t="str">
        <f aca="false">IF(OR($A382&lt;&gt;"",$E382&lt;&gt;""),N($F382)+N($H382),"")</f>
        <v/>
      </c>
      <c r="M382" s="76" t="str">
        <f aca="false">IF(OR($O382="",$O382="Cancelled",$O382="Amount missing"),"",IF($O382="Realised",0,$E382-N($F382)-N($H382)))</f>
        <v/>
      </c>
      <c r="N382" s="77" t="str">
        <f aca="false">IF(OR($M382="",FX=""),"",$M382*FX)</f>
        <v/>
      </c>
      <c r="O382" s="78" t="str">
        <f aca="false">IF(NOT(OR($A382&lt;&gt;"",$E382&lt;&gt;"")),"",IF($J382="Cancelled","Cancelled",IF($E382="","Amount missing",IF(OR($J382="Settled",$E382-N($F382)-N($H382)&lt;=0.005),"Realised",IF(N($H382)&gt;0,"Part realised",IF(N($F382)&gt;0,"Advance received","On hand"))))))</f>
        <v/>
      </c>
      <c r="P382" s="79" t="str">
        <f aca="false">IF(AND($V382=1,ISNUMBER($B382)),AsAt-$B382,"")</f>
        <v/>
      </c>
      <c r="Q382" s="78" t="str">
        <f aca="false">IF($V382&lt;&gt;1,"",IF($P382="","No invoice date",IF($P382&lt;=30,"0–30 days",IF($P382&lt;=60,"31–60 days",IF($P382&lt;=90,"61–90 days","Over 90 days")))))</f>
        <v/>
      </c>
      <c r="R382" s="80" t="str">
        <f aca="false">IF($V382=1,ROW(),"")</f>
        <v/>
      </c>
      <c r="S382" s="80" t="str">
        <f aca="false">IF(OR($A382&lt;&gt;"",$E382&lt;&gt;""),IF(TRIM($D382)="","Buyer not noted",TRIM($D382)),"")</f>
        <v/>
      </c>
      <c r="T382" s="80" t="n">
        <f aca="false">IF(AND($V382=1,ISNUMBER($M382)),$M382,0)</f>
        <v>0</v>
      </c>
      <c r="U382" s="80" t="str">
        <f aca="false">IF($V382=1,IF(COUNTIFS($S$7:$S382,$S382,$V$7:$V382,1)=1,SUMIFS($T$7:$T$1006,$S$7:$S$1006,$S382)-ROW()/1000000000,""),"")</f>
        <v/>
      </c>
      <c r="V382" s="80" t="n">
        <f aca="false">IF(OR($O382="On hand",$O382="Advance received",$O382="Part realised",$O382="Amount missing"),1,0)</f>
        <v>0</v>
      </c>
      <c r="W382" s="80" t="str">
        <f aca="false">IF(AND($V382=1,N($F382)&gt;0),ROW(),"")</f>
        <v/>
      </c>
      <c r="X382" s="80" t="n">
        <f aca="false">IF(AND(OR($A382&lt;&gt;"",$E382&lt;&gt;""),$O382&lt;&gt;"Cancelled",ISNUMBER($E382),N($F382)+N($H382)&gt;$E382+0.005),1,0)</f>
        <v>0</v>
      </c>
      <c r="Y382" s="80" t="n">
        <f aca="false">IF(AND(OR($A382&lt;&gt;"",$E382&lt;&gt;""),OR($A382="",$E382="")),1,0)</f>
        <v>0</v>
      </c>
      <c r="Z382" s="80" t="n">
        <f aca="false">IF(AND($A382&lt;&gt;"",COUNTIF($A$7:$A$1006,$A382)&gt;1),1,0)</f>
        <v>0</v>
      </c>
    </row>
    <row r="383" customFormat="false" ht="15" hidden="false" customHeight="false" outlineLevel="0" collapsed="false">
      <c r="A383" s="71"/>
      <c r="B383" s="72"/>
      <c r="C383" s="73"/>
      <c r="D383" s="73"/>
      <c r="E383" s="74"/>
      <c r="F383" s="74"/>
      <c r="G383" s="72"/>
      <c r="H383" s="74"/>
      <c r="I383" s="72"/>
      <c r="J383" s="73"/>
      <c r="K383" s="73"/>
      <c r="L383" s="75" t="str">
        <f aca="false">IF(OR($A383&lt;&gt;"",$E383&lt;&gt;""),N($F383)+N($H383),"")</f>
        <v/>
      </c>
      <c r="M383" s="76" t="str">
        <f aca="false">IF(OR($O383="",$O383="Cancelled",$O383="Amount missing"),"",IF($O383="Realised",0,$E383-N($F383)-N($H383)))</f>
        <v/>
      </c>
      <c r="N383" s="77" t="str">
        <f aca="false">IF(OR($M383="",FX=""),"",$M383*FX)</f>
        <v/>
      </c>
      <c r="O383" s="78" t="str">
        <f aca="false">IF(NOT(OR($A383&lt;&gt;"",$E383&lt;&gt;"")),"",IF($J383="Cancelled","Cancelled",IF($E383="","Amount missing",IF(OR($J383="Settled",$E383-N($F383)-N($H383)&lt;=0.005),"Realised",IF(N($H383)&gt;0,"Part realised",IF(N($F383)&gt;0,"Advance received","On hand"))))))</f>
        <v/>
      </c>
      <c r="P383" s="79" t="str">
        <f aca="false">IF(AND($V383=1,ISNUMBER($B383)),AsAt-$B383,"")</f>
        <v/>
      </c>
      <c r="Q383" s="78" t="str">
        <f aca="false">IF($V383&lt;&gt;1,"",IF($P383="","No invoice date",IF($P383&lt;=30,"0–30 days",IF($P383&lt;=60,"31–60 days",IF($P383&lt;=90,"61–90 days","Over 90 days")))))</f>
        <v/>
      </c>
      <c r="R383" s="80" t="str">
        <f aca="false">IF($V383=1,ROW(),"")</f>
        <v/>
      </c>
      <c r="S383" s="80" t="str">
        <f aca="false">IF(OR($A383&lt;&gt;"",$E383&lt;&gt;""),IF(TRIM($D383)="","Buyer not noted",TRIM($D383)),"")</f>
        <v/>
      </c>
      <c r="T383" s="80" t="n">
        <f aca="false">IF(AND($V383=1,ISNUMBER($M383)),$M383,0)</f>
        <v>0</v>
      </c>
      <c r="U383" s="80" t="str">
        <f aca="false">IF($V383=1,IF(COUNTIFS($S$7:$S383,$S383,$V$7:$V383,1)=1,SUMIFS($T$7:$T$1006,$S$7:$S$1006,$S383)-ROW()/1000000000,""),"")</f>
        <v/>
      </c>
      <c r="V383" s="80" t="n">
        <f aca="false">IF(OR($O383="On hand",$O383="Advance received",$O383="Part realised",$O383="Amount missing"),1,0)</f>
        <v>0</v>
      </c>
      <c r="W383" s="80" t="str">
        <f aca="false">IF(AND($V383=1,N($F383)&gt;0),ROW(),"")</f>
        <v/>
      </c>
      <c r="X383" s="80" t="n">
        <f aca="false">IF(AND(OR($A383&lt;&gt;"",$E383&lt;&gt;""),$O383&lt;&gt;"Cancelled",ISNUMBER($E383),N($F383)+N($H383)&gt;$E383+0.005),1,0)</f>
        <v>0</v>
      </c>
      <c r="Y383" s="80" t="n">
        <f aca="false">IF(AND(OR($A383&lt;&gt;"",$E383&lt;&gt;""),OR($A383="",$E383="")),1,0)</f>
        <v>0</v>
      </c>
      <c r="Z383" s="80" t="n">
        <f aca="false">IF(AND($A383&lt;&gt;"",COUNTIF($A$7:$A$1006,$A383)&gt;1),1,0)</f>
        <v>0</v>
      </c>
    </row>
    <row r="384" customFormat="false" ht="15" hidden="false" customHeight="false" outlineLevel="0" collapsed="false">
      <c r="A384" s="71"/>
      <c r="B384" s="72"/>
      <c r="C384" s="73"/>
      <c r="D384" s="73"/>
      <c r="E384" s="74"/>
      <c r="F384" s="74"/>
      <c r="G384" s="72"/>
      <c r="H384" s="74"/>
      <c r="I384" s="72"/>
      <c r="J384" s="73"/>
      <c r="K384" s="73"/>
      <c r="L384" s="75" t="str">
        <f aca="false">IF(OR($A384&lt;&gt;"",$E384&lt;&gt;""),N($F384)+N($H384),"")</f>
        <v/>
      </c>
      <c r="M384" s="76" t="str">
        <f aca="false">IF(OR($O384="",$O384="Cancelled",$O384="Amount missing"),"",IF($O384="Realised",0,$E384-N($F384)-N($H384)))</f>
        <v/>
      </c>
      <c r="N384" s="77" t="str">
        <f aca="false">IF(OR($M384="",FX=""),"",$M384*FX)</f>
        <v/>
      </c>
      <c r="O384" s="78" t="str">
        <f aca="false">IF(NOT(OR($A384&lt;&gt;"",$E384&lt;&gt;"")),"",IF($J384="Cancelled","Cancelled",IF($E384="","Amount missing",IF(OR($J384="Settled",$E384-N($F384)-N($H384)&lt;=0.005),"Realised",IF(N($H384)&gt;0,"Part realised",IF(N($F384)&gt;0,"Advance received","On hand"))))))</f>
        <v/>
      </c>
      <c r="P384" s="79" t="str">
        <f aca="false">IF(AND($V384=1,ISNUMBER($B384)),AsAt-$B384,"")</f>
        <v/>
      </c>
      <c r="Q384" s="78" t="str">
        <f aca="false">IF($V384&lt;&gt;1,"",IF($P384="","No invoice date",IF($P384&lt;=30,"0–30 days",IF($P384&lt;=60,"31–60 days",IF($P384&lt;=90,"61–90 days","Over 90 days")))))</f>
        <v/>
      </c>
      <c r="R384" s="80" t="str">
        <f aca="false">IF($V384=1,ROW(),"")</f>
        <v/>
      </c>
      <c r="S384" s="80" t="str">
        <f aca="false">IF(OR($A384&lt;&gt;"",$E384&lt;&gt;""),IF(TRIM($D384)="","Buyer not noted",TRIM($D384)),"")</f>
        <v/>
      </c>
      <c r="T384" s="80" t="n">
        <f aca="false">IF(AND($V384=1,ISNUMBER($M384)),$M384,0)</f>
        <v>0</v>
      </c>
      <c r="U384" s="80" t="str">
        <f aca="false">IF($V384=1,IF(COUNTIFS($S$7:$S384,$S384,$V$7:$V384,1)=1,SUMIFS($T$7:$T$1006,$S$7:$S$1006,$S384)-ROW()/1000000000,""),"")</f>
        <v/>
      </c>
      <c r="V384" s="80" t="n">
        <f aca="false">IF(OR($O384="On hand",$O384="Advance received",$O384="Part realised",$O384="Amount missing"),1,0)</f>
        <v>0</v>
      </c>
      <c r="W384" s="80" t="str">
        <f aca="false">IF(AND($V384=1,N($F384)&gt;0),ROW(),"")</f>
        <v/>
      </c>
      <c r="X384" s="80" t="n">
        <f aca="false">IF(AND(OR($A384&lt;&gt;"",$E384&lt;&gt;""),$O384&lt;&gt;"Cancelled",ISNUMBER($E384),N($F384)+N($H384)&gt;$E384+0.005),1,0)</f>
        <v>0</v>
      </c>
      <c r="Y384" s="80" t="n">
        <f aca="false">IF(AND(OR($A384&lt;&gt;"",$E384&lt;&gt;""),OR($A384="",$E384="")),1,0)</f>
        <v>0</v>
      </c>
      <c r="Z384" s="80" t="n">
        <f aca="false">IF(AND($A384&lt;&gt;"",COUNTIF($A$7:$A$1006,$A384)&gt;1),1,0)</f>
        <v>0</v>
      </c>
    </row>
    <row r="385" customFormat="false" ht="15" hidden="false" customHeight="false" outlineLevel="0" collapsed="false">
      <c r="A385" s="71"/>
      <c r="B385" s="72"/>
      <c r="C385" s="73"/>
      <c r="D385" s="73"/>
      <c r="E385" s="74"/>
      <c r="F385" s="74"/>
      <c r="G385" s="72"/>
      <c r="H385" s="74"/>
      <c r="I385" s="72"/>
      <c r="J385" s="73"/>
      <c r="K385" s="73"/>
      <c r="L385" s="75" t="str">
        <f aca="false">IF(OR($A385&lt;&gt;"",$E385&lt;&gt;""),N($F385)+N($H385),"")</f>
        <v/>
      </c>
      <c r="M385" s="76" t="str">
        <f aca="false">IF(OR($O385="",$O385="Cancelled",$O385="Amount missing"),"",IF($O385="Realised",0,$E385-N($F385)-N($H385)))</f>
        <v/>
      </c>
      <c r="N385" s="77" t="str">
        <f aca="false">IF(OR($M385="",FX=""),"",$M385*FX)</f>
        <v/>
      </c>
      <c r="O385" s="78" t="str">
        <f aca="false">IF(NOT(OR($A385&lt;&gt;"",$E385&lt;&gt;"")),"",IF($J385="Cancelled","Cancelled",IF($E385="","Amount missing",IF(OR($J385="Settled",$E385-N($F385)-N($H385)&lt;=0.005),"Realised",IF(N($H385)&gt;0,"Part realised",IF(N($F385)&gt;0,"Advance received","On hand"))))))</f>
        <v/>
      </c>
      <c r="P385" s="79" t="str">
        <f aca="false">IF(AND($V385=1,ISNUMBER($B385)),AsAt-$B385,"")</f>
        <v/>
      </c>
      <c r="Q385" s="78" t="str">
        <f aca="false">IF($V385&lt;&gt;1,"",IF($P385="","No invoice date",IF($P385&lt;=30,"0–30 days",IF($P385&lt;=60,"31–60 days",IF($P385&lt;=90,"61–90 days","Over 90 days")))))</f>
        <v/>
      </c>
      <c r="R385" s="80" t="str">
        <f aca="false">IF($V385=1,ROW(),"")</f>
        <v/>
      </c>
      <c r="S385" s="80" t="str">
        <f aca="false">IF(OR($A385&lt;&gt;"",$E385&lt;&gt;""),IF(TRIM($D385)="","Buyer not noted",TRIM($D385)),"")</f>
        <v/>
      </c>
      <c r="T385" s="80" t="n">
        <f aca="false">IF(AND($V385=1,ISNUMBER($M385)),$M385,0)</f>
        <v>0</v>
      </c>
      <c r="U385" s="80" t="str">
        <f aca="false">IF($V385=1,IF(COUNTIFS($S$7:$S385,$S385,$V$7:$V385,1)=1,SUMIFS($T$7:$T$1006,$S$7:$S$1006,$S385)-ROW()/1000000000,""),"")</f>
        <v/>
      </c>
      <c r="V385" s="80" t="n">
        <f aca="false">IF(OR($O385="On hand",$O385="Advance received",$O385="Part realised",$O385="Amount missing"),1,0)</f>
        <v>0</v>
      </c>
      <c r="W385" s="80" t="str">
        <f aca="false">IF(AND($V385=1,N($F385)&gt;0),ROW(),"")</f>
        <v/>
      </c>
      <c r="X385" s="80" t="n">
        <f aca="false">IF(AND(OR($A385&lt;&gt;"",$E385&lt;&gt;""),$O385&lt;&gt;"Cancelled",ISNUMBER($E385),N($F385)+N($H385)&gt;$E385+0.005),1,0)</f>
        <v>0</v>
      </c>
      <c r="Y385" s="80" t="n">
        <f aca="false">IF(AND(OR($A385&lt;&gt;"",$E385&lt;&gt;""),OR($A385="",$E385="")),1,0)</f>
        <v>0</v>
      </c>
      <c r="Z385" s="80" t="n">
        <f aca="false">IF(AND($A385&lt;&gt;"",COUNTIF($A$7:$A$1006,$A385)&gt;1),1,0)</f>
        <v>0</v>
      </c>
    </row>
    <row r="386" customFormat="false" ht="15" hidden="false" customHeight="false" outlineLevel="0" collapsed="false">
      <c r="A386" s="71"/>
      <c r="B386" s="72"/>
      <c r="C386" s="73"/>
      <c r="D386" s="73"/>
      <c r="E386" s="74"/>
      <c r="F386" s="74"/>
      <c r="G386" s="72"/>
      <c r="H386" s="74"/>
      <c r="I386" s="72"/>
      <c r="J386" s="73"/>
      <c r="K386" s="73"/>
      <c r="L386" s="75" t="str">
        <f aca="false">IF(OR($A386&lt;&gt;"",$E386&lt;&gt;""),N($F386)+N($H386),"")</f>
        <v/>
      </c>
      <c r="M386" s="76" t="str">
        <f aca="false">IF(OR($O386="",$O386="Cancelled",$O386="Amount missing"),"",IF($O386="Realised",0,$E386-N($F386)-N($H386)))</f>
        <v/>
      </c>
      <c r="N386" s="77" t="str">
        <f aca="false">IF(OR($M386="",FX=""),"",$M386*FX)</f>
        <v/>
      </c>
      <c r="O386" s="78" t="str">
        <f aca="false">IF(NOT(OR($A386&lt;&gt;"",$E386&lt;&gt;"")),"",IF($J386="Cancelled","Cancelled",IF($E386="","Amount missing",IF(OR($J386="Settled",$E386-N($F386)-N($H386)&lt;=0.005),"Realised",IF(N($H386)&gt;0,"Part realised",IF(N($F386)&gt;0,"Advance received","On hand"))))))</f>
        <v/>
      </c>
      <c r="P386" s="79" t="str">
        <f aca="false">IF(AND($V386=1,ISNUMBER($B386)),AsAt-$B386,"")</f>
        <v/>
      </c>
      <c r="Q386" s="78" t="str">
        <f aca="false">IF($V386&lt;&gt;1,"",IF($P386="","No invoice date",IF($P386&lt;=30,"0–30 days",IF($P386&lt;=60,"31–60 days",IF($P386&lt;=90,"61–90 days","Over 90 days")))))</f>
        <v/>
      </c>
      <c r="R386" s="80" t="str">
        <f aca="false">IF($V386=1,ROW(),"")</f>
        <v/>
      </c>
      <c r="S386" s="80" t="str">
        <f aca="false">IF(OR($A386&lt;&gt;"",$E386&lt;&gt;""),IF(TRIM($D386)="","Buyer not noted",TRIM($D386)),"")</f>
        <v/>
      </c>
      <c r="T386" s="80" t="n">
        <f aca="false">IF(AND($V386=1,ISNUMBER($M386)),$M386,0)</f>
        <v>0</v>
      </c>
      <c r="U386" s="80" t="str">
        <f aca="false">IF($V386=1,IF(COUNTIFS($S$7:$S386,$S386,$V$7:$V386,1)=1,SUMIFS($T$7:$T$1006,$S$7:$S$1006,$S386)-ROW()/1000000000,""),"")</f>
        <v/>
      </c>
      <c r="V386" s="80" t="n">
        <f aca="false">IF(OR($O386="On hand",$O386="Advance received",$O386="Part realised",$O386="Amount missing"),1,0)</f>
        <v>0</v>
      </c>
      <c r="W386" s="80" t="str">
        <f aca="false">IF(AND($V386=1,N($F386)&gt;0),ROW(),"")</f>
        <v/>
      </c>
      <c r="X386" s="80" t="n">
        <f aca="false">IF(AND(OR($A386&lt;&gt;"",$E386&lt;&gt;""),$O386&lt;&gt;"Cancelled",ISNUMBER($E386),N($F386)+N($H386)&gt;$E386+0.005),1,0)</f>
        <v>0</v>
      </c>
      <c r="Y386" s="80" t="n">
        <f aca="false">IF(AND(OR($A386&lt;&gt;"",$E386&lt;&gt;""),OR($A386="",$E386="")),1,0)</f>
        <v>0</v>
      </c>
      <c r="Z386" s="80" t="n">
        <f aca="false">IF(AND($A386&lt;&gt;"",COUNTIF($A$7:$A$1006,$A386)&gt;1),1,0)</f>
        <v>0</v>
      </c>
    </row>
    <row r="387" customFormat="false" ht="15" hidden="false" customHeight="false" outlineLevel="0" collapsed="false">
      <c r="A387" s="71"/>
      <c r="B387" s="72"/>
      <c r="C387" s="73"/>
      <c r="D387" s="73"/>
      <c r="E387" s="74"/>
      <c r="F387" s="74"/>
      <c r="G387" s="72"/>
      <c r="H387" s="74"/>
      <c r="I387" s="72"/>
      <c r="J387" s="73"/>
      <c r="K387" s="73"/>
      <c r="L387" s="75" t="str">
        <f aca="false">IF(OR($A387&lt;&gt;"",$E387&lt;&gt;""),N($F387)+N($H387),"")</f>
        <v/>
      </c>
      <c r="M387" s="76" t="str">
        <f aca="false">IF(OR($O387="",$O387="Cancelled",$O387="Amount missing"),"",IF($O387="Realised",0,$E387-N($F387)-N($H387)))</f>
        <v/>
      </c>
      <c r="N387" s="77" t="str">
        <f aca="false">IF(OR($M387="",FX=""),"",$M387*FX)</f>
        <v/>
      </c>
      <c r="O387" s="78" t="str">
        <f aca="false">IF(NOT(OR($A387&lt;&gt;"",$E387&lt;&gt;"")),"",IF($J387="Cancelled","Cancelled",IF($E387="","Amount missing",IF(OR($J387="Settled",$E387-N($F387)-N($H387)&lt;=0.005),"Realised",IF(N($H387)&gt;0,"Part realised",IF(N($F387)&gt;0,"Advance received","On hand"))))))</f>
        <v/>
      </c>
      <c r="P387" s="79" t="str">
        <f aca="false">IF(AND($V387=1,ISNUMBER($B387)),AsAt-$B387,"")</f>
        <v/>
      </c>
      <c r="Q387" s="78" t="str">
        <f aca="false">IF($V387&lt;&gt;1,"",IF($P387="","No invoice date",IF($P387&lt;=30,"0–30 days",IF($P387&lt;=60,"31–60 days",IF($P387&lt;=90,"61–90 days","Over 90 days")))))</f>
        <v/>
      </c>
      <c r="R387" s="80" t="str">
        <f aca="false">IF($V387=1,ROW(),"")</f>
        <v/>
      </c>
      <c r="S387" s="80" t="str">
        <f aca="false">IF(OR($A387&lt;&gt;"",$E387&lt;&gt;""),IF(TRIM($D387)="","Buyer not noted",TRIM($D387)),"")</f>
        <v/>
      </c>
      <c r="T387" s="80" t="n">
        <f aca="false">IF(AND($V387=1,ISNUMBER($M387)),$M387,0)</f>
        <v>0</v>
      </c>
      <c r="U387" s="80" t="str">
        <f aca="false">IF($V387=1,IF(COUNTIFS($S$7:$S387,$S387,$V$7:$V387,1)=1,SUMIFS($T$7:$T$1006,$S$7:$S$1006,$S387)-ROW()/1000000000,""),"")</f>
        <v/>
      </c>
      <c r="V387" s="80" t="n">
        <f aca="false">IF(OR($O387="On hand",$O387="Advance received",$O387="Part realised",$O387="Amount missing"),1,0)</f>
        <v>0</v>
      </c>
      <c r="W387" s="80" t="str">
        <f aca="false">IF(AND($V387=1,N($F387)&gt;0),ROW(),"")</f>
        <v/>
      </c>
      <c r="X387" s="80" t="n">
        <f aca="false">IF(AND(OR($A387&lt;&gt;"",$E387&lt;&gt;""),$O387&lt;&gt;"Cancelled",ISNUMBER($E387),N($F387)+N($H387)&gt;$E387+0.005),1,0)</f>
        <v>0</v>
      </c>
      <c r="Y387" s="80" t="n">
        <f aca="false">IF(AND(OR($A387&lt;&gt;"",$E387&lt;&gt;""),OR($A387="",$E387="")),1,0)</f>
        <v>0</v>
      </c>
      <c r="Z387" s="80" t="n">
        <f aca="false">IF(AND($A387&lt;&gt;"",COUNTIF($A$7:$A$1006,$A387)&gt;1),1,0)</f>
        <v>0</v>
      </c>
    </row>
    <row r="388" customFormat="false" ht="15" hidden="false" customHeight="false" outlineLevel="0" collapsed="false">
      <c r="A388" s="71"/>
      <c r="B388" s="72"/>
      <c r="C388" s="73"/>
      <c r="D388" s="73"/>
      <c r="E388" s="74"/>
      <c r="F388" s="74"/>
      <c r="G388" s="72"/>
      <c r="H388" s="74"/>
      <c r="I388" s="72"/>
      <c r="J388" s="73"/>
      <c r="K388" s="73"/>
      <c r="L388" s="75" t="str">
        <f aca="false">IF(OR($A388&lt;&gt;"",$E388&lt;&gt;""),N($F388)+N($H388),"")</f>
        <v/>
      </c>
      <c r="M388" s="76" t="str">
        <f aca="false">IF(OR($O388="",$O388="Cancelled",$O388="Amount missing"),"",IF($O388="Realised",0,$E388-N($F388)-N($H388)))</f>
        <v/>
      </c>
      <c r="N388" s="77" t="str">
        <f aca="false">IF(OR($M388="",FX=""),"",$M388*FX)</f>
        <v/>
      </c>
      <c r="O388" s="78" t="str">
        <f aca="false">IF(NOT(OR($A388&lt;&gt;"",$E388&lt;&gt;"")),"",IF($J388="Cancelled","Cancelled",IF($E388="","Amount missing",IF(OR($J388="Settled",$E388-N($F388)-N($H388)&lt;=0.005),"Realised",IF(N($H388)&gt;0,"Part realised",IF(N($F388)&gt;0,"Advance received","On hand"))))))</f>
        <v/>
      </c>
      <c r="P388" s="79" t="str">
        <f aca="false">IF(AND($V388=1,ISNUMBER($B388)),AsAt-$B388,"")</f>
        <v/>
      </c>
      <c r="Q388" s="78" t="str">
        <f aca="false">IF($V388&lt;&gt;1,"",IF($P388="","No invoice date",IF($P388&lt;=30,"0–30 days",IF($P388&lt;=60,"31–60 days",IF($P388&lt;=90,"61–90 days","Over 90 days")))))</f>
        <v/>
      </c>
      <c r="R388" s="80" t="str">
        <f aca="false">IF($V388=1,ROW(),"")</f>
        <v/>
      </c>
      <c r="S388" s="80" t="str">
        <f aca="false">IF(OR($A388&lt;&gt;"",$E388&lt;&gt;""),IF(TRIM($D388)="","Buyer not noted",TRIM($D388)),"")</f>
        <v/>
      </c>
      <c r="T388" s="80" t="n">
        <f aca="false">IF(AND($V388=1,ISNUMBER($M388)),$M388,0)</f>
        <v>0</v>
      </c>
      <c r="U388" s="80" t="str">
        <f aca="false">IF($V388=1,IF(COUNTIFS($S$7:$S388,$S388,$V$7:$V388,1)=1,SUMIFS($T$7:$T$1006,$S$7:$S$1006,$S388)-ROW()/1000000000,""),"")</f>
        <v/>
      </c>
      <c r="V388" s="80" t="n">
        <f aca="false">IF(OR($O388="On hand",$O388="Advance received",$O388="Part realised",$O388="Amount missing"),1,0)</f>
        <v>0</v>
      </c>
      <c r="W388" s="80" t="str">
        <f aca="false">IF(AND($V388=1,N($F388)&gt;0),ROW(),"")</f>
        <v/>
      </c>
      <c r="X388" s="80" t="n">
        <f aca="false">IF(AND(OR($A388&lt;&gt;"",$E388&lt;&gt;""),$O388&lt;&gt;"Cancelled",ISNUMBER($E388),N($F388)+N($H388)&gt;$E388+0.005),1,0)</f>
        <v>0</v>
      </c>
      <c r="Y388" s="80" t="n">
        <f aca="false">IF(AND(OR($A388&lt;&gt;"",$E388&lt;&gt;""),OR($A388="",$E388="")),1,0)</f>
        <v>0</v>
      </c>
      <c r="Z388" s="80" t="n">
        <f aca="false">IF(AND($A388&lt;&gt;"",COUNTIF($A$7:$A$1006,$A388)&gt;1),1,0)</f>
        <v>0</v>
      </c>
    </row>
    <row r="389" customFormat="false" ht="15" hidden="false" customHeight="false" outlineLevel="0" collapsed="false">
      <c r="A389" s="71"/>
      <c r="B389" s="72"/>
      <c r="C389" s="73"/>
      <c r="D389" s="73"/>
      <c r="E389" s="74"/>
      <c r="F389" s="74"/>
      <c r="G389" s="72"/>
      <c r="H389" s="74"/>
      <c r="I389" s="72"/>
      <c r="J389" s="73"/>
      <c r="K389" s="73"/>
      <c r="L389" s="75" t="str">
        <f aca="false">IF(OR($A389&lt;&gt;"",$E389&lt;&gt;""),N($F389)+N($H389),"")</f>
        <v/>
      </c>
      <c r="M389" s="76" t="str">
        <f aca="false">IF(OR($O389="",$O389="Cancelled",$O389="Amount missing"),"",IF($O389="Realised",0,$E389-N($F389)-N($H389)))</f>
        <v/>
      </c>
      <c r="N389" s="77" t="str">
        <f aca="false">IF(OR($M389="",FX=""),"",$M389*FX)</f>
        <v/>
      </c>
      <c r="O389" s="78" t="str">
        <f aca="false">IF(NOT(OR($A389&lt;&gt;"",$E389&lt;&gt;"")),"",IF($J389="Cancelled","Cancelled",IF($E389="","Amount missing",IF(OR($J389="Settled",$E389-N($F389)-N($H389)&lt;=0.005),"Realised",IF(N($H389)&gt;0,"Part realised",IF(N($F389)&gt;0,"Advance received","On hand"))))))</f>
        <v/>
      </c>
      <c r="P389" s="79" t="str">
        <f aca="false">IF(AND($V389=1,ISNUMBER($B389)),AsAt-$B389,"")</f>
        <v/>
      </c>
      <c r="Q389" s="78" t="str">
        <f aca="false">IF($V389&lt;&gt;1,"",IF($P389="","No invoice date",IF($P389&lt;=30,"0–30 days",IF($P389&lt;=60,"31–60 days",IF($P389&lt;=90,"61–90 days","Over 90 days")))))</f>
        <v/>
      </c>
      <c r="R389" s="80" t="str">
        <f aca="false">IF($V389=1,ROW(),"")</f>
        <v/>
      </c>
      <c r="S389" s="80" t="str">
        <f aca="false">IF(OR($A389&lt;&gt;"",$E389&lt;&gt;""),IF(TRIM($D389)="","Buyer not noted",TRIM($D389)),"")</f>
        <v/>
      </c>
      <c r="T389" s="80" t="n">
        <f aca="false">IF(AND($V389=1,ISNUMBER($M389)),$M389,0)</f>
        <v>0</v>
      </c>
      <c r="U389" s="80" t="str">
        <f aca="false">IF($V389=1,IF(COUNTIFS($S$7:$S389,$S389,$V$7:$V389,1)=1,SUMIFS($T$7:$T$1006,$S$7:$S$1006,$S389)-ROW()/1000000000,""),"")</f>
        <v/>
      </c>
      <c r="V389" s="80" t="n">
        <f aca="false">IF(OR($O389="On hand",$O389="Advance received",$O389="Part realised",$O389="Amount missing"),1,0)</f>
        <v>0</v>
      </c>
      <c r="W389" s="80" t="str">
        <f aca="false">IF(AND($V389=1,N($F389)&gt;0),ROW(),"")</f>
        <v/>
      </c>
      <c r="X389" s="80" t="n">
        <f aca="false">IF(AND(OR($A389&lt;&gt;"",$E389&lt;&gt;""),$O389&lt;&gt;"Cancelled",ISNUMBER($E389),N($F389)+N($H389)&gt;$E389+0.005),1,0)</f>
        <v>0</v>
      </c>
      <c r="Y389" s="80" t="n">
        <f aca="false">IF(AND(OR($A389&lt;&gt;"",$E389&lt;&gt;""),OR($A389="",$E389="")),1,0)</f>
        <v>0</v>
      </c>
      <c r="Z389" s="80" t="n">
        <f aca="false">IF(AND($A389&lt;&gt;"",COUNTIF($A$7:$A$1006,$A389)&gt;1),1,0)</f>
        <v>0</v>
      </c>
    </row>
    <row r="390" customFormat="false" ht="15" hidden="false" customHeight="false" outlineLevel="0" collapsed="false">
      <c r="A390" s="71"/>
      <c r="B390" s="72"/>
      <c r="C390" s="73"/>
      <c r="D390" s="73"/>
      <c r="E390" s="74"/>
      <c r="F390" s="74"/>
      <c r="G390" s="72"/>
      <c r="H390" s="74"/>
      <c r="I390" s="72"/>
      <c r="J390" s="73"/>
      <c r="K390" s="73"/>
      <c r="L390" s="75" t="str">
        <f aca="false">IF(OR($A390&lt;&gt;"",$E390&lt;&gt;""),N($F390)+N($H390),"")</f>
        <v/>
      </c>
      <c r="M390" s="76" t="str">
        <f aca="false">IF(OR($O390="",$O390="Cancelled",$O390="Amount missing"),"",IF($O390="Realised",0,$E390-N($F390)-N($H390)))</f>
        <v/>
      </c>
      <c r="N390" s="77" t="str">
        <f aca="false">IF(OR($M390="",FX=""),"",$M390*FX)</f>
        <v/>
      </c>
      <c r="O390" s="78" t="str">
        <f aca="false">IF(NOT(OR($A390&lt;&gt;"",$E390&lt;&gt;"")),"",IF($J390="Cancelled","Cancelled",IF($E390="","Amount missing",IF(OR($J390="Settled",$E390-N($F390)-N($H390)&lt;=0.005),"Realised",IF(N($H390)&gt;0,"Part realised",IF(N($F390)&gt;0,"Advance received","On hand"))))))</f>
        <v/>
      </c>
      <c r="P390" s="79" t="str">
        <f aca="false">IF(AND($V390=1,ISNUMBER($B390)),AsAt-$B390,"")</f>
        <v/>
      </c>
      <c r="Q390" s="78" t="str">
        <f aca="false">IF($V390&lt;&gt;1,"",IF($P390="","No invoice date",IF($P390&lt;=30,"0–30 days",IF($P390&lt;=60,"31–60 days",IF($P390&lt;=90,"61–90 days","Over 90 days")))))</f>
        <v/>
      </c>
      <c r="R390" s="80" t="str">
        <f aca="false">IF($V390=1,ROW(),"")</f>
        <v/>
      </c>
      <c r="S390" s="80" t="str">
        <f aca="false">IF(OR($A390&lt;&gt;"",$E390&lt;&gt;""),IF(TRIM($D390)="","Buyer not noted",TRIM($D390)),"")</f>
        <v/>
      </c>
      <c r="T390" s="80" t="n">
        <f aca="false">IF(AND($V390=1,ISNUMBER($M390)),$M390,0)</f>
        <v>0</v>
      </c>
      <c r="U390" s="80" t="str">
        <f aca="false">IF($V390=1,IF(COUNTIFS($S$7:$S390,$S390,$V$7:$V390,1)=1,SUMIFS($T$7:$T$1006,$S$7:$S$1006,$S390)-ROW()/1000000000,""),"")</f>
        <v/>
      </c>
      <c r="V390" s="80" t="n">
        <f aca="false">IF(OR($O390="On hand",$O390="Advance received",$O390="Part realised",$O390="Amount missing"),1,0)</f>
        <v>0</v>
      </c>
      <c r="W390" s="80" t="str">
        <f aca="false">IF(AND($V390=1,N($F390)&gt;0),ROW(),"")</f>
        <v/>
      </c>
      <c r="X390" s="80" t="n">
        <f aca="false">IF(AND(OR($A390&lt;&gt;"",$E390&lt;&gt;""),$O390&lt;&gt;"Cancelled",ISNUMBER($E390),N($F390)+N($H390)&gt;$E390+0.005),1,0)</f>
        <v>0</v>
      </c>
      <c r="Y390" s="80" t="n">
        <f aca="false">IF(AND(OR($A390&lt;&gt;"",$E390&lt;&gt;""),OR($A390="",$E390="")),1,0)</f>
        <v>0</v>
      </c>
      <c r="Z390" s="80" t="n">
        <f aca="false">IF(AND($A390&lt;&gt;"",COUNTIF($A$7:$A$1006,$A390)&gt;1),1,0)</f>
        <v>0</v>
      </c>
    </row>
    <row r="391" customFormat="false" ht="15" hidden="false" customHeight="false" outlineLevel="0" collapsed="false">
      <c r="A391" s="71"/>
      <c r="B391" s="72"/>
      <c r="C391" s="73"/>
      <c r="D391" s="73"/>
      <c r="E391" s="74"/>
      <c r="F391" s="74"/>
      <c r="G391" s="72"/>
      <c r="H391" s="74"/>
      <c r="I391" s="72"/>
      <c r="J391" s="73"/>
      <c r="K391" s="73"/>
      <c r="L391" s="75" t="str">
        <f aca="false">IF(OR($A391&lt;&gt;"",$E391&lt;&gt;""),N($F391)+N($H391),"")</f>
        <v/>
      </c>
      <c r="M391" s="76" t="str">
        <f aca="false">IF(OR($O391="",$O391="Cancelled",$O391="Amount missing"),"",IF($O391="Realised",0,$E391-N($F391)-N($H391)))</f>
        <v/>
      </c>
      <c r="N391" s="77" t="str">
        <f aca="false">IF(OR($M391="",FX=""),"",$M391*FX)</f>
        <v/>
      </c>
      <c r="O391" s="78" t="str">
        <f aca="false">IF(NOT(OR($A391&lt;&gt;"",$E391&lt;&gt;"")),"",IF($J391="Cancelled","Cancelled",IF($E391="","Amount missing",IF(OR($J391="Settled",$E391-N($F391)-N($H391)&lt;=0.005),"Realised",IF(N($H391)&gt;0,"Part realised",IF(N($F391)&gt;0,"Advance received","On hand"))))))</f>
        <v/>
      </c>
      <c r="P391" s="79" t="str">
        <f aca="false">IF(AND($V391=1,ISNUMBER($B391)),AsAt-$B391,"")</f>
        <v/>
      </c>
      <c r="Q391" s="78" t="str">
        <f aca="false">IF($V391&lt;&gt;1,"",IF($P391="","No invoice date",IF($P391&lt;=30,"0–30 days",IF($P391&lt;=60,"31–60 days",IF($P391&lt;=90,"61–90 days","Over 90 days")))))</f>
        <v/>
      </c>
      <c r="R391" s="80" t="str">
        <f aca="false">IF($V391=1,ROW(),"")</f>
        <v/>
      </c>
      <c r="S391" s="80" t="str">
        <f aca="false">IF(OR($A391&lt;&gt;"",$E391&lt;&gt;""),IF(TRIM($D391)="","Buyer not noted",TRIM($D391)),"")</f>
        <v/>
      </c>
      <c r="T391" s="80" t="n">
        <f aca="false">IF(AND($V391=1,ISNUMBER($M391)),$M391,0)</f>
        <v>0</v>
      </c>
      <c r="U391" s="80" t="str">
        <f aca="false">IF($V391=1,IF(COUNTIFS($S$7:$S391,$S391,$V$7:$V391,1)=1,SUMIFS($T$7:$T$1006,$S$7:$S$1006,$S391)-ROW()/1000000000,""),"")</f>
        <v/>
      </c>
      <c r="V391" s="80" t="n">
        <f aca="false">IF(OR($O391="On hand",$O391="Advance received",$O391="Part realised",$O391="Amount missing"),1,0)</f>
        <v>0</v>
      </c>
      <c r="W391" s="80" t="str">
        <f aca="false">IF(AND($V391=1,N($F391)&gt;0),ROW(),"")</f>
        <v/>
      </c>
      <c r="X391" s="80" t="n">
        <f aca="false">IF(AND(OR($A391&lt;&gt;"",$E391&lt;&gt;""),$O391&lt;&gt;"Cancelled",ISNUMBER($E391),N($F391)+N($H391)&gt;$E391+0.005),1,0)</f>
        <v>0</v>
      </c>
      <c r="Y391" s="80" t="n">
        <f aca="false">IF(AND(OR($A391&lt;&gt;"",$E391&lt;&gt;""),OR($A391="",$E391="")),1,0)</f>
        <v>0</v>
      </c>
      <c r="Z391" s="80" t="n">
        <f aca="false">IF(AND($A391&lt;&gt;"",COUNTIF($A$7:$A$1006,$A391)&gt;1),1,0)</f>
        <v>0</v>
      </c>
    </row>
    <row r="392" customFormat="false" ht="15" hidden="false" customHeight="false" outlineLevel="0" collapsed="false">
      <c r="A392" s="71"/>
      <c r="B392" s="72"/>
      <c r="C392" s="73"/>
      <c r="D392" s="73"/>
      <c r="E392" s="74"/>
      <c r="F392" s="74"/>
      <c r="G392" s="72"/>
      <c r="H392" s="74"/>
      <c r="I392" s="72"/>
      <c r="J392" s="73"/>
      <c r="K392" s="73"/>
      <c r="L392" s="75" t="str">
        <f aca="false">IF(OR($A392&lt;&gt;"",$E392&lt;&gt;""),N($F392)+N($H392),"")</f>
        <v/>
      </c>
      <c r="M392" s="76" t="str">
        <f aca="false">IF(OR($O392="",$O392="Cancelled",$O392="Amount missing"),"",IF($O392="Realised",0,$E392-N($F392)-N($H392)))</f>
        <v/>
      </c>
      <c r="N392" s="77" t="str">
        <f aca="false">IF(OR($M392="",FX=""),"",$M392*FX)</f>
        <v/>
      </c>
      <c r="O392" s="78" t="str">
        <f aca="false">IF(NOT(OR($A392&lt;&gt;"",$E392&lt;&gt;"")),"",IF($J392="Cancelled","Cancelled",IF($E392="","Amount missing",IF(OR($J392="Settled",$E392-N($F392)-N($H392)&lt;=0.005),"Realised",IF(N($H392)&gt;0,"Part realised",IF(N($F392)&gt;0,"Advance received","On hand"))))))</f>
        <v/>
      </c>
      <c r="P392" s="79" t="str">
        <f aca="false">IF(AND($V392=1,ISNUMBER($B392)),AsAt-$B392,"")</f>
        <v/>
      </c>
      <c r="Q392" s="78" t="str">
        <f aca="false">IF($V392&lt;&gt;1,"",IF($P392="","No invoice date",IF($P392&lt;=30,"0–30 days",IF($P392&lt;=60,"31–60 days",IF($P392&lt;=90,"61–90 days","Over 90 days")))))</f>
        <v/>
      </c>
      <c r="R392" s="80" t="str">
        <f aca="false">IF($V392=1,ROW(),"")</f>
        <v/>
      </c>
      <c r="S392" s="80" t="str">
        <f aca="false">IF(OR($A392&lt;&gt;"",$E392&lt;&gt;""),IF(TRIM($D392)="","Buyer not noted",TRIM($D392)),"")</f>
        <v/>
      </c>
      <c r="T392" s="80" t="n">
        <f aca="false">IF(AND($V392=1,ISNUMBER($M392)),$M392,0)</f>
        <v>0</v>
      </c>
      <c r="U392" s="80" t="str">
        <f aca="false">IF($V392=1,IF(COUNTIFS($S$7:$S392,$S392,$V$7:$V392,1)=1,SUMIFS($T$7:$T$1006,$S$7:$S$1006,$S392)-ROW()/1000000000,""),"")</f>
        <v/>
      </c>
      <c r="V392" s="80" t="n">
        <f aca="false">IF(OR($O392="On hand",$O392="Advance received",$O392="Part realised",$O392="Amount missing"),1,0)</f>
        <v>0</v>
      </c>
      <c r="W392" s="80" t="str">
        <f aca="false">IF(AND($V392=1,N($F392)&gt;0),ROW(),"")</f>
        <v/>
      </c>
      <c r="X392" s="80" t="n">
        <f aca="false">IF(AND(OR($A392&lt;&gt;"",$E392&lt;&gt;""),$O392&lt;&gt;"Cancelled",ISNUMBER($E392),N($F392)+N($H392)&gt;$E392+0.005),1,0)</f>
        <v>0</v>
      </c>
      <c r="Y392" s="80" t="n">
        <f aca="false">IF(AND(OR($A392&lt;&gt;"",$E392&lt;&gt;""),OR($A392="",$E392="")),1,0)</f>
        <v>0</v>
      </c>
      <c r="Z392" s="80" t="n">
        <f aca="false">IF(AND($A392&lt;&gt;"",COUNTIF($A$7:$A$1006,$A392)&gt;1),1,0)</f>
        <v>0</v>
      </c>
    </row>
    <row r="393" customFormat="false" ht="15" hidden="false" customHeight="false" outlineLevel="0" collapsed="false">
      <c r="A393" s="71"/>
      <c r="B393" s="72"/>
      <c r="C393" s="73"/>
      <c r="D393" s="73"/>
      <c r="E393" s="74"/>
      <c r="F393" s="74"/>
      <c r="G393" s="72"/>
      <c r="H393" s="74"/>
      <c r="I393" s="72"/>
      <c r="J393" s="73"/>
      <c r="K393" s="73"/>
      <c r="L393" s="75" t="str">
        <f aca="false">IF(OR($A393&lt;&gt;"",$E393&lt;&gt;""),N($F393)+N($H393),"")</f>
        <v/>
      </c>
      <c r="M393" s="76" t="str">
        <f aca="false">IF(OR($O393="",$O393="Cancelled",$O393="Amount missing"),"",IF($O393="Realised",0,$E393-N($F393)-N($H393)))</f>
        <v/>
      </c>
      <c r="N393" s="77" t="str">
        <f aca="false">IF(OR($M393="",FX=""),"",$M393*FX)</f>
        <v/>
      </c>
      <c r="O393" s="78" t="str">
        <f aca="false">IF(NOT(OR($A393&lt;&gt;"",$E393&lt;&gt;"")),"",IF($J393="Cancelled","Cancelled",IF($E393="","Amount missing",IF(OR($J393="Settled",$E393-N($F393)-N($H393)&lt;=0.005),"Realised",IF(N($H393)&gt;0,"Part realised",IF(N($F393)&gt;0,"Advance received","On hand"))))))</f>
        <v/>
      </c>
      <c r="P393" s="79" t="str">
        <f aca="false">IF(AND($V393=1,ISNUMBER($B393)),AsAt-$B393,"")</f>
        <v/>
      </c>
      <c r="Q393" s="78" t="str">
        <f aca="false">IF($V393&lt;&gt;1,"",IF($P393="","No invoice date",IF($P393&lt;=30,"0–30 days",IF($P393&lt;=60,"31–60 days",IF($P393&lt;=90,"61–90 days","Over 90 days")))))</f>
        <v/>
      </c>
      <c r="R393" s="80" t="str">
        <f aca="false">IF($V393=1,ROW(),"")</f>
        <v/>
      </c>
      <c r="S393" s="80" t="str">
        <f aca="false">IF(OR($A393&lt;&gt;"",$E393&lt;&gt;""),IF(TRIM($D393)="","Buyer not noted",TRIM($D393)),"")</f>
        <v/>
      </c>
      <c r="T393" s="80" t="n">
        <f aca="false">IF(AND($V393=1,ISNUMBER($M393)),$M393,0)</f>
        <v>0</v>
      </c>
      <c r="U393" s="80" t="str">
        <f aca="false">IF($V393=1,IF(COUNTIFS($S$7:$S393,$S393,$V$7:$V393,1)=1,SUMIFS($T$7:$T$1006,$S$7:$S$1006,$S393)-ROW()/1000000000,""),"")</f>
        <v/>
      </c>
      <c r="V393" s="80" t="n">
        <f aca="false">IF(OR($O393="On hand",$O393="Advance received",$O393="Part realised",$O393="Amount missing"),1,0)</f>
        <v>0</v>
      </c>
      <c r="W393" s="80" t="str">
        <f aca="false">IF(AND($V393=1,N($F393)&gt;0),ROW(),"")</f>
        <v/>
      </c>
      <c r="X393" s="80" t="n">
        <f aca="false">IF(AND(OR($A393&lt;&gt;"",$E393&lt;&gt;""),$O393&lt;&gt;"Cancelled",ISNUMBER($E393),N($F393)+N($H393)&gt;$E393+0.005),1,0)</f>
        <v>0</v>
      </c>
      <c r="Y393" s="80" t="n">
        <f aca="false">IF(AND(OR($A393&lt;&gt;"",$E393&lt;&gt;""),OR($A393="",$E393="")),1,0)</f>
        <v>0</v>
      </c>
      <c r="Z393" s="80" t="n">
        <f aca="false">IF(AND($A393&lt;&gt;"",COUNTIF($A$7:$A$1006,$A393)&gt;1),1,0)</f>
        <v>0</v>
      </c>
    </row>
    <row r="394" customFormat="false" ht="15" hidden="false" customHeight="false" outlineLevel="0" collapsed="false">
      <c r="A394" s="71"/>
      <c r="B394" s="72"/>
      <c r="C394" s="73"/>
      <c r="D394" s="73"/>
      <c r="E394" s="74"/>
      <c r="F394" s="74"/>
      <c r="G394" s="72"/>
      <c r="H394" s="74"/>
      <c r="I394" s="72"/>
      <c r="J394" s="73"/>
      <c r="K394" s="73"/>
      <c r="L394" s="75" t="str">
        <f aca="false">IF(OR($A394&lt;&gt;"",$E394&lt;&gt;""),N($F394)+N($H394),"")</f>
        <v/>
      </c>
      <c r="M394" s="76" t="str">
        <f aca="false">IF(OR($O394="",$O394="Cancelled",$O394="Amount missing"),"",IF($O394="Realised",0,$E394-N($F394)-N($H394)))</f>
        <v/>
      </c>
      <c r="N394" s="77" t="str">
        <f aca="false">IF(OR($M394="",FX=""),"",$M394*FX)</f>
        <v/>
      </c>
      <c r="O394" s="78" t="str">
        <f aca="false">IF(NOT(OR($A394&lt;&gt;"",$E394&lt;&gt;"")),"",IF($J394="Cancelled","Cancelled",IF($E394="","Amount missing",IF(OR($J394="Settled",$E394-N($F394)-N($H394)&lt;=0.005),"Realised",IF(N($H394)&gt;0,"Part realised",IF(N($F394)&gt;0,"Advance received","On hand"))))))</f>
        <v/>
      </c>
      <c r="P394" s="79" t="str">
        <f aca="false">IF(AND($V394=1,ISNUMBER($B394)),AsAt-$B394,"")</f>
        <v/>
      </c>
      <c r="Q394" s="78" t="str">
        <f aca="false">IF($V394&lt;&gt;1,"",IF($P394="","No invoice date",IF($P394&lt;=30,"0–30 days",IF($P394&lt;=60,"31–60 days",IF($P394&lt;=90,"61–90 days","Over 90 days")))))</f>
        <v/>
      </c>
      <c r="R394" s="80" t="str">
        <f aca="false">IF($V394=1,ROW(),"")</f>
        <v/>
      </c>
      <c r="S394" s="80" t="str">
        <f aca="false">IF(OR($A394&lt;&gt;"",$E394&lt;&gt;""),IF(TRIM($D394)="","Buyer not noted",TRIM($D394)),"")</f>
        <v/>
      </c>
      <c r="T394" s="80" t="n">
        <f aca="false">IF(AND($V394=1,ISNUMBER($M394)),$M394,0)</f>
        <v>0</v>
      </c>
      <c r="U394" s="80" t="str">
        <f aca="false">IF($V394=1,IF(COUNTIFS($S$7:$S394,$S394,$V$7:$V394,1)=1,SUMIFS($T$7:$T$1006,$S$7:$S$1006,$S394)-ROW()/1000000000,""),"")</f>
        <v/>
      </c>
      <c r="V394" s="80" t="n">
        <f aca="false">IF(OR($O394="On hand",$O394="Advance received",$O394="Part realised",$O394="Amount missing"),1,0)</f>
        <v>0</v>
      </c>
      <c r="W394" s="80" t="str">
        <f aca="false">IF(AND($V394=1,N($F394)&gt;0),ROW(),"")</f>
        <v/>
      </c>
      <c r="X394" s="80" t="n">
        <f aca="false">IF(AND(OR($A394&lt;&gt;"",$E394&lt;&gt;""),$O394&lt;&gt;"Cancelled",ISNUMBER($E394),N($F394)+N($H394)&gt;$E394+0.005),1,0)</f>
        <v>0</v>
      </c>
      <c r="Y394" s="80" t="n">
        <f aca="false">IF(AND(OR($A394&lt;&gt;"",$E394&lt;&gt;""),OR($A394="",$E394="")),1,0)</f>
        <v>0</v>
      </c>
      <c r="Z394" s="80" t="n">
        <f aca="false">IF(AND($A394&lt;&gt;"",COUNTIF($A$7:$A$1006,$A394)&gt;1),1,0)</f>
        <v>0</v>
      </c>
    </row>
    <row r="395" customFormat="false" ht="15" hidden="false" customHeight="false" outlineLevel="0" collapsed="false">
      <c r="A395" s="71"/>
      <c r="B395" s="72"/>
      <c r="C395" s="73"/>
      <c r="D395" s="73"/>
      <c r="E395" s="74"/>
      <c r="F395" s="74"/>
      <c r="G395" s="72"/>
      <c r="H395" s="74"/>
      <c r="I395" s="72"/>
      <c r="J395" s="73"/>
      <c r="K395" s="73"/>
      <c r="L395" s="75" t="str">
        <f aca="false">IF(OR($A395&lt;&gt;"",$E395&lt;&gt;""),N($F395)+N($H395),"")</f>
        <v/>
      </c>
      <c r="M395" s="76" t="str">
        <f aca="false">IF(OR($O395="",$O395="Cancelled",$O395="Amount missing"),"",IF($O395="Realised",0,$E395-N($F395)-N($H395)))</f>
        <v/>
      </c>
      <c r="N395" s="77" t="str">
        <f aca="false">IF(OR($M395="",FX=""),"",$M395*FX)</f>
        <v/>
      </c>
      <c r="O395" s="78" t="str">
        <f aca="false">IF(NOT(OR($A395&lt;&gt;"",$E395&lt;&gt;"")),"",IF($J395="Cancelled","Cancelled",IF($E395="","Amount missing",IF(OR($J395="Settled",$E395-N($F395)-N($H395)&lt;=0.005),"Realised",IF(N($H395)&gt;0,"Part realised",IF(N($F395)&gt;0,"Advance received","On hand"))))))</f>
        <v/>
      </c>
      <c r="P395" s="79" t="str">
        <f aca="false">IF(AND($V395=1,ISNUMBER($B395)),AsAt-$B395,"")</f>
        <v/>
      </c>
      <c r="Q395" s="78" t="str">
        <f aca="false">IF($V395&lt;&gt;1,"",IF($P395="","No invoice date",IF($P395&lt;=30,"0–30 days",IF($P395&lt;=60,"31–60 days",IF($P395&lt;=90,"61–90 days","Over 90 days")))))</f>
        <v/>
      </c>
      <c r="R395" s="80" t="str">
        <f aca="false">IF($V395=1,ROW(),"")</f>
        <v/>
      </c>
      <c r="S395" s="80" t="str">
        <f aca="false">IF(OR($A395&lt;&gt;"",$E395&lt;&gt;""),IF(TRIM($D395)="","Buyer not noted",TRIM($D395)),"")</f>
        <v/>
      </c>
      <c r="T395" s="80" t="n">
        <f aca="false">IF(AND($V395=1,ISNUMBER($M395)),$M395,0)</f>
        <v>0</v>
      </c>
      <c r="U395" s="80" t="str">
        <f aca="false">IF($V395=1,IF(COUNTIFS($S$7:$S395,$S395,$V$7:$V395,1)=1,SUMIFS($T$7:$T$1006,$S$7:$S$1006,$S395)-ROW()/1000000000,""),"")</f>
        <v/>
      </c>
      <c r="V395" s="80" t="n">
        <f aca="false">IF(OR($O395="On hand",$O395="Advance received",$O395="Part realised",$O395="Amount missing"),1,0)</f>
        <v>0</v>
      </c>
      <c r="W395" s="80" t="str">
        <f aca="false">IF(AND($V395=1,N($F395)&gt;0),ROW(),"")</f>
        <v/>
      </c>
      <c r="X395" s="80" t="n">
        <f aca="false">IF(AND(OR($A395&lt;&gt;"",$E395&lt;&gt;""),$O395&lt;&gt;"Cancelled",ISNUMBER($E395),N($F395)+N($H395)&gt;$E395+0.005),1,0)</f>
        <v>0</v>
      </c>
      <c r="Y395" s="80" t="n">
        <f aca="false">IF(AND(OR($A395&lt;&gt;"",$E395&lt;&gt;""),OR($A395="",$E395="")),1,0)</f>
        <v>0</v>
      </c>
      <c r="Z395" s="80" t="n">
        <f aca="false">IF(AND($A395&lt;&gt;"",COUNTIF($A$7:$A$1006,$A395)&gt;1),1,0)</f>
        <v>0</v>
      </c>
    </row>
    <row r="396" customFormat="false" ht="15" hidden="false" customHeight="false" outlineLevel="0" collapsed="false">
      <c r="A396" s="71"/>
      <c r="B396" s="72"/>
      <c r="C396" s="73"/>
      <c r="D396" s="73"/>
      <c r="E396" s="74"/>
      <c r="F396" s="74"/>
      <c r="G396" s="72"/>
      <c r="H396" s="74"/>
      <c r="I396" s="72"/>
      <c r="J396" s="73"/>
      <c r="K396" s="73"/>
      <c r="L396" s="75" t="str">
        <f aca="false">IF(OR($A396&lt;&gt;"",$E396&lt;&gt;""),N($F396)+N($H396),"")</f>
        <v/>
      </c>
      <c r="M396" s="76" t="str">
        <f aca="false">IF(OR($O396="",$O396="Cancelled",$O396="Amount missing"),"",IF($O396="Realised",0,$E396-N($F396)-N($H396)))</f>
        <v/>
      </c>
      <c r="N396" s="77" t="str">
        <f aca="false">IF(OR($M396="",FX=""),"",$M396*FX)</f>
        <v/>
      </c>
      <c r="O396" s="78" t="str">
        <f aca="false">IF(NOT(OR($A396&lt;&gt;"",$E396&lt;&gt;"")),"",IF($J396="Cancelled","Cancelled",IF($E396="","Amount missing",IF(OR($J396="Settled",$E396-N($F396)-N($H396)&lt;=0.005),"Realised",IF(N($H396)&gt;0,"Part realised",IF(N($F396)&gt;0,"Advance received","On hand"))))))</f>
        <v/>
      </c>
      <c r="P396" s="79" t="str">
        <f aca="false">IF(AND($V396=1,ISNUMBER($B396)),AsAt-$B396,"")</f>
        <v/>
      </c>
      <c r="Q396" s="78" t="str">
        <f aca="false">IF($V396&lt;&gt;1,"",IF($P396="","No invoice date",IF($P396&lt;=30,"0–30 days",IF($P396&lt;=60,"31–60 days",IF($P396&lt;=90,"61–90 days","Over 90 days")))))</f>
        <v/>
      </c>
      <c r="R396" s="80" t="str">
        <f aca="false">IF($V396=1,ROW(),"")</f>
        <v/>
      </c>
      <c r="S396" s="80" t="str">
        <f aca="false">IF(OR($A396&lt;&gt;"",$E396&lt;&gt;""),IF(TRIM($D396)="","Buyer not noted",TRIM($D396)),"")</f>
        <v/>
      </c>
      <c r="T396" s="80" t="n">
        <f aca="false">IF(AND($V396=1,ISNUMBER($M396)),$M396,0)</f>
        <v>0</v>
      </c>
      <c r="U396" s="80" t="str">
        <f aca="false">IF($V396=1,IF(COUNTIFS($S$7:$S396,$S396,$V$7:$V396,1)=1,SUMIFS($T$7:$T$1006,$S$7:$S$1006,$S396)-ROW()/1000000000,""),"")</f>
        <v/>
      </c>
      <c r="V396" s="80" t="n">
        <f aca="false">IF(OR($O396="On hand",$O396="Advance received",$O396="Part realised",$O396="Amount missing"),1,0)</f>
        <v>0</v>
      </c>
      <c r="W396" s="80" t="str">
        <f aca="false">IF(AND($V396=1,N($F396)&gt;0),ROW(),"")</f>
        <v/>
      </c>
      <c r="X396" s="80" t="n">
        <f aca="false">IF(AND(OR($A396&lt;&gt;"",$E396&lt;&gt;""),$O396&lt;&gt;"Cancelled",ISNUMBER($E396),N($F396)+N($H396)&gt;$E396+0.005),1,0)</f>
        <v>0</v>
      </c>
      <c r="Y396" s="80" t="n">
        <f aca="false">IF(AND(OR($A396&lt;&gt;"",$E396&lt;&gt;""),OR($A396="",$E396="")),1,0)</f>
        <v>0</v>
      </c>
      <c r="Z396" s="80" t="n">
        <f aca="false">IF(AND($A396&lt;&gt;"",COUNTIF($A$7:$A$1006,$A396)&gt;1),1,0)</f>
        <v>0</v>
      </c>
    </row>
    <row r="397" customFormat="false" ht="15" hidden="false" customHeight="false" outlineLevel="0" collapsed="false">
      <c r="A397" s="71"/>
      <c r="B397" s="72"/>
      <c r="C397" s="73"/>
      <c r="D397" s="73"/>
      <c r="E397" s="74"/>
      <c r="F397" s="74"/>
      <c r="G397" s="72"/>
      <c r="H397" s="74"/>
      <c r="I397" s="72"/>
      <c r="J397" s="73"/>
      <c r="K397" s="73"/>
      <c r="L397" s="75" t="str">
        <f aca="false">IF(OR($A397&lt;&gt;"",$E397&lt;&gt;""),N($F397)+N($H397),"")</f>
        <v/>
      </c>
      <c r="M397" s="76" t="str">
        <f aca="false">IF(OR($O397="",$O397="Cancelled",$O397="Amount missing"),"",IF($O397="Realised",0,$E397-N($F397)-N($H397)))</f>
        <v/>
      </c>
      <c r="N397" s="77" t="str">
        <f aca="false">IF(OR($M397="",FX=""),"",$M397*FX)</f>
        <v/>
      </c>
      <c r="O397" s="78" t="str">
        <f aca="false">IF(NOT(OR($A397&lt;&gt;"",$E397&lt;&gt;"")),"",IF($J397="Cancelled","Cancelled",IF($E397="","Amount missing",IF(OR($J397="Settled",$E397-N($F397)-N($H397)&lt;=0.005),"Realised",IF(N($H397)&gt;0,"Part realised",IF(N($F397)&gt;0,"Advance received","On hand"))))))</f>
        <v/>
      </c>
      <c r="P397" s="79" t="str">
        <f aca="false">IF(AND($V397=1,ISNUMBER($B397)),AsAt-$B397,"")</f>
        <v/>
      </c>
      <c r="Q397" s="78" t="str">
        <f aca="false">IF($V397&lt;&gt;1,"",IF($P397="","No invoice date",IF($P397&lt;=30,"0–30 days",IF($P397&lt;=60,"31–60 days",IF($P397&lt;=90,"61–90 days","Over 90 days")))))</f>
        <v/>
      </c>
      <c r="R397" s="80" t="str">
        <f aca="false">IF($V397=1,ROW(),"")</f>
        <v/>
      </c>
      <c r="S397" s="80" t="str">
        <f aca="false">IF(OR($A397&lt;&gt;"",$E397&lt;&gt;""),IF(TRIM($D397)="","Buyer not noted",TRIM($D397)),"")</f>
        <v/>
      </c>
      <c r="T397" s="80" t="n">
        <f aca="false">IF(AND($V397=1,ISNUMBER($M397)),$M397,0)</f>
        <v>0</v>
      </c>
      <c r="U397" s="80" t="str">
        <f aca="false">IF($V397=1,IF(COUNTIFS($S$7:$S397,$S397,$V$7:$V397,1)=1,SUMIFS($T$7:$T$1006,$S$7:$S$1006,$S397)-ROW()/1000000000,""),"")</f>
        <v/>
      </c>
      <c r="V397" s="80" t="n">
        <f aca="false">IF(OR($O397="On hand",$O397="Advance received",$O397="Part realised",$O397="Amount missing"),1,0)</f>
        <v>0</v>
      </c>
      <c r="W397" s="80" t="str">
        <f aca="false">IF(AND($V397=1,N($F397)&gt;0),ROW(),"")</f>
        <v/>
      </c>
      <c r="X397" s="80" t="n">
        <f aca="false">IF(AND(OR($A397&lt;&gt;"",$E397&lt;&gt;""),$O397&lt;&gt;"Cancelled",ISNUMBER($E397),N($F397)+N($H397)&gt;$E397+0.005),1,0)</f>
        <v>0</v>
      </c>
      <c r="Y397" s="80" t="n">
        <f aca="false">IF(AND(OR($A397&lt;&gt;"",$E397&lt;&gt;""),OR($A397="",$E397="")),1,0)</f>
        <v>0</v>
      </c>
      <c r="Z397" s="80" t="n">
        <f aca="false">IF(AND($A397&lt;&gt;"",COUNTIF($A$7:$A$1006,$A397)&gt;1),1,0)</f>
        <v>0</v>
      </c>
    </row>
    <row r="398" customFormat="false" ht="15" hidden="false" customHeight="false" outlineLevel="0" collapsed="false">
      <c r="A398" s="71"/>
      <c r="B398" s="72"/>
      <c r="C398" s="73"/>
      <c r="D398" s="73"/>
      <c r="E398" s="74"/>
      <c r="F398" s="74"/>
      <c r="G398" s="72"/>
      <c r="H398" s="74"/>
      <c r="I398" s="72"/>
      <c r="J398" s="73"/>
      <c r="K398" s="73"/>
      <c r="L398" s="75" t="str">
        <f aca="false">IF(OR($A398&lt;&gt;"",$E398&lt;&gt;""),N($F398)+N($H398),"")</f>
        <v/>
      </c>
      <c r="M398" s="76" t="str">
        <f aca="false">IF(OR($O398="",$O398="Cancelled",$O398="Amount missing"),"",IF($O398="Realised",0,$E398-N($F398)-N($H398)))</f>
        <v/>
      </c>
      <c r="N398" s="77" t="str">
        <f aca="false">IF(OR($M398="",FX=""),"",$M398*FX)</f>
        <v/>
      </c>
      <c r="O398" s="78" t="str">
        <f aca="false">IF(NOT(OR($A398&lt;&gt;"",$E398&lt;&gt;"")),"",IF($J398="Cancelled","Cancelled",IF($E398="","Amount missing",IF(OR($J398="Settled",$E398-N($F398)-N($H398)&lt;=0.005),"Realised",IF(N($H398)&gt;0,"Part realised",IF(N($F398)&gt;0,"Advance received","On hand"))))))</f>
        <v/>
      </c>
      <c r="P398" s="79" t="str">
        <f aca="false">IF(AND($V398=1,ISNUMBER($B398)),AsAt-$B398,"")</f>
        <v/>
      </c>
      <c r="Q398" s="78" t="str">
        <f aca="false">IF($V398&lt;&gt;1,"",IF($P398="","No invoice date",IF($P398&lt;=30,"0–30 days",IF($P398&lt;=60,"31–60 days",IF($P398&lt;=90,"61–90 days","Over 90 days")))))</f>
        <v/>
      </c>
      <c r="R398" s="80" t="str">
        <f aca="false">IF($V398=1,ROW(),"")</f>
        <v/>
      </c>
      <c r="S398" s="80" t="str">
        <f aca="false">IF(OR($A398&lt;&gt;"",$E398&lt;&gt;""),IF(TRIM($D398)="","Buyer not noted",TRIM($D398)),"")</f>
        <v/>
      </c>
      <c r="T398" s="80" t="n">
        <f aca="false">IF(AND($V398=1,ISNUMBER($M398)),$M398,0)</f>
        <v>0</v>
      </c>
      <c r="U398" s="80" t="str">
        <f aca="false">IF($V398=1,IF(COUNTIFS($S$7:$S398,$S398,$V$7:$V398,1)=1,SUMIFS($T$7:$T$1006,$S$7:$S$1006,$S398)-ROW()/1000000000,""),"")</f>
        <v/>
      </c>
      <c r="V398" s="80" t="n">
        <f aca="false">IF(OR($O398="On hand",$O398="Advance received",$O398="Part realised",$O398="Amount missing"),1,0)</f>
        <v>0</v>
      </c>
      <c r="W398" s="80" t="str">
        <f aca="false">IF(AND($V398=1,N($F398)&gt;0),ROW(),"")</f>
        <v/>
      </c>
      <c r="X398" s="80" t="n">
        <f aca="false">IF(AND(OR($A398&lt;&gt;"",$E398&lt;&gt;""),$O398&lt;&gt;"Cancelled",ISNUMBER($E398),N($F398)+N($H398)&gt;$E398+0.005),1,0)</f>
        <v>0</v>
      </c>
      <c r="Y398" s="80" t="n">
        <f aca="false">IF(AND(OR($A398&lt;&gt;"",$E398&lt;&gt;""),OR($A398="",$E398="")),1,0)</f>
        <v>0</v>
      </c>
      <c r="Z398" s="80" t="n">
        <f aca="false">IF(AND($A398&lt;&gt;"",COUNTIF($A$7:$A$1006,$A398)&gt;1),1,0)</f>
        <v>0</v>
      </c>
    </row>
    <row r="399" customFormat="false" ht="15" hidden="false" customHeight="false" outlineLevel="0" collapsed="false">
      <c r="A399" s="71"/>
      <c r="B399" s="72"/>
      <c r="C399" s="73"/>
      <c r="D399" s="73"/>
      <c r="E399" s="74"/>
      <c r="F399" s="74"/>
      <c r="G399" s="72"/>
      <c r="H399" s="74"/>
      <c r="I399" s="72"/>
      <c r="J399" s="73"/>
      <c r="K399" s="73"/>
      <c r="L399" s="75" t="str">
        <f aca="false">IF(OR($A399&lt;&gt;"",$E399&lt;&gt;""),N($F399)+N($H399),"")</f>
        <v/>
      </c>
      <c r="M399" s="76" t="str">
        <f aca="false">IF(OR($O399="",$O399="Cancelled",$O399="Amount missing"),"",IF($O399="Realised",0,$E399-N($F399)-N($H399)))</f>
        <v/>
      </c>
      <c r="N399" s="77" t="str">
        <f aca="false">IF(OR($M399="",FX=""),"",$M399*FX)</f>
        <v/>
      </c>
      <c r="O399" s="78" t="str">
        <f aca="false">IF(NOT(OR($A399&lt;&gt;"",$E399&lt;&gt;"")),"",IF($J399="Cancelled","Cancelled",IF($E399="","Amount missing",IF(OR($J399="Settled",$E399-N($F399)-N($H399)&lt;=0.005),"Realised",IF(N($H399)&gt;0,"Part realised",IF(N($F399)&gt;0,"Advance received","On hand"))))))</f>
        <v/>
      </c>
      <c r="P399" s="79" t="str">
        <f aca="false">IF(AND($V399=1,ISNUMBER($B399)),AsAt-$B399,"")</f>
        <v/>
      </c>
      <c r="Q399" s="78" t="str">
        <f aca="false">IF($V399&lt;&gt;1,"",IF($P399="","No invoice date",IF($P399&lt;=30,"0–30 days",IF($P399&lt;=60,"31–60 days",IF($P399&lt;=90,"61–90 days","Over 90 days")))))</f>
        <v/>
      </c>
      <c r="R399" s="80" t="str">
        <f aca="false">IF($V399=1,ROW(),"")</f>
        <v/>
      </c>
      <c r="S399" s="80" t="str">
        <f aca="false">IF(OR($A399&lt;&gt;"",$E399&lt;&gt;""),IF(TRIM($D399)="","Buyer not noted",TRIM($D399)),"")</f>
        <v/>
      </c>
      <c r="T399" s="80" t="n">
        <f aca="false">IF(AND($V399=1,ISNUMBER($M399)),$M399,0)</f>
        <v>0</v>
      </c>
      <c r="U399" s="80" t="str">
        <f aca="false">IF($V399=1,IF(COUNTIFS($S$7:$S399,$S399,$V$7:$V399,1)=1,SUMIFS($T$7:$T$1006,$S$7:$S$1006,$S399)-ROW()/1000000000,""),"")</f>
        <v/>
      </c>
      <c r="V399" s="80" t="n">
        <f aca="false">IF(OR($O399="On hand",$O399="Advance received",$O399="Part realised",$O399="Amount missing"),1,0)</f>
        <v>0</v>
      </c>
      <c r="W399" s="80" t="str">
        <f aca="false">IF(AND($V399=1,N($F399)&gt;0),ROW(),"")</f>
        <v/>
      </c>
      <c r="X399" s="80" t="n">
        <f aca="false">IF(AND(OR($A399&lt;&gt;"",$E399&lt;&gt;""),$O399&lt;&gt;"Cancelled",ISNUMBER($E399),N($F399)+N($H399)&gt;$E399+0.005),1,0)</f>
        <v>0</v>
      </c>
      <c r="Y399" s="80" t="n">
        <f aca="false">IF(AND(OR($A399&lt;&gt;"",$E399&lt;&gt;""),OR($A399="",$E399="")),1,0)</f>
        <v>0</v>
      </c>
      <c r="Z399" s="80" t="n">
        <f aca="false">IF(AND($A399&lt;&gt;"",COUNTIF($A$7:$A$1006,$A399)&gt;1),1,0)</f>
        <v>0</v>
      </c>
    </row>
    <row r="400" customFormat="false" ht="15" hidden="false" customHeight="false" outlineLevel="0" collapsed="false">
      <c r="A400" s="71"/>
      <c r="B400" s="72"/>
      <c r="C400" s="73"/>
      <c r="D400" s="73"/>
      <c r="E400" s="74"/>
      <c r="F400" s="74"/>
      <c r="G400" s="72"/>
      <c r="H400" s="74"/>
      <c r="I400" s="72"/>
      <c r="J400" s="73"/>
      <c r="K400" s="73"/>
      <c r="L400" s="75" t="str">
        <f aca="false">IF(OR($A400&lt;&gt;"",$E400&lt;&gt;""),N($F400)+N($H400),"")</f>
        <v/>
      </c>
      <c r="M400" s="76" t="str">
        <f aca="false">IF(OR($O400="",$O400="Cancelled",$O400="Amount missing"),"",IF($O400="Realised",0,$E400-N($F400)-N($H400)))</f>
        <v/>
      </c>
      <c r="N400" s="77" t="str">
        <f aca="false">IF(OR($M400="",FX=""),"",$M400*FX)</f>
        <v/>
      </c>
      <c r="O400" s="78" t="str">
        <f aca="false">IF(NOT(OR($A400&lt;&gt;"",$E400&lt;&gt;"")),"",IF($J400="Cancelled","Cancelled",IF($E400="","Amount missing",IF(OR($J400="Settled",$E400-N($F400)-N($H400)&lt;=0.005),"Realised",IF(N($H400)&gt;0,"Part realised",IF(N($F400)&gt;0,"Advance received","On hand"))))))</f>
        <v/>
      </c>
      <c r="P400" s="79" t="str">
        <f aca="false">IF(AND($V400=1,ISNUMBER($B400)),AsAt-$B400,"")</f>
        <v/>
      </c>
      <c r="Q400" s="78" t="str">
        <f aca="false">IF($V400&lt;&gt;1,"",IF($P400="","No invoice date",IF($P400&lt;=30,"0–30 days",IF($P400&lt;=60,"31–60 days",IF($P400&lt;=90,"61–90 days","Over 90 days")))))</f>
        <v/>
      </c>
      <c r="R400" s="80" t="str">
        <f aca="false">IF($V400=1,ROW(),"")</f>
        <v/>
      </c>
      <c r="S400" s="80" t="str">
        <f aca="false">IF(OR($A400&lt;&gt;"",$E400&lt;&gt;""),IF(TRIM($D400)="","Buyer not noted",TRIM($D400)),"")</f>
        <v/>
      </c>
      <c r="T400" s="80" t="n">
        <f aca="false">IF(AND($V400=1,ISNUMBER($M400)),$M400,0)</f>
        <v>0</v>
      </c>
      <c r="U400" s="80" t="str">
        <f aca="false">IF($V400=1,IF(COUNTIFS($S$7:$S400,$S400,$V$7:$V400,1)=1,SUMIFS($T$7:$T$1006,$S$7:$S$1006,$S400)-ROW()/1000000000,""),"")</f>
        <v/>
      </c>
      <c r="V400" s="80" t="n">
        <f aca="false">IF(OR($O400="On hand",$O400="Advance received",$O400="Part realised",$O400="Amount missing"),1,0)</f>
        <v>0</v>
      </c>
      <c r="W400" s="80" t="str">
        <f aca="false">IF(AND($V400=1,N($F400)&gt;0),ROW(),"")</f>
        <v/>
      </c>
      <c r="X400" s="80" t="n">
        <f aca="false">IF(AND(OR($A400&lt;&gt;"",$E400&lt;&gt;""),$O400&lt;&gt;"Cancelled",ISNUMBER($E400),N($F400)+N($H400)&gt;$E400+0.005),1,0)</f>
        <v>0</v>
      </c>
      <c r="Y400" s="80" t="n">
        <f aca="false">IF(AND(OR($A400&lt;&gt;"",$E400&lt;&gt;""),OR($A400="",$E400="")),1,0)</f>
        <v>0</v>
      </c>
      <c r="Z400" s="80" t="n">
        <f aca="false">IF(AND($A400&lt;&gt;"",COUNTIF($A$7:$A$1006,$A400)&gt;1),1,0)</f>
        <v>0</v>
      </c>
    </row>
    <row r="401" customFormat="false" ht="15" hidden="false" customHeight="false" outlineLevel="0" collapsed="false">
      <c r="A401" s="71"/>
      <c r="B401" s="72"/>
      <c r="C401" s="73"/>
      <c r="D401" s="73"/>
      <c r="E401" s="74"/>
      <c r="F401" s="74"/>
      <c r="G401" s="72"/>
      <c r="H401" s="74"/>
      <c r="I401" s="72"/>
      <c r="J401" s="73"/>
      <c r="K401" s="73"/>
      <c r="L401" s="75" t="str">
        <f aca="false">IF(OR($A401&lt;&gt;"",$E401&lt;&gt;""),N($F401)+N($H401),"")</f>
        <v/>
      </c>
      <c r="M401" s="76" t="str">
        <f aca="false">IF(OR($O401="",$O401="Cancelled",$O401="Amount missing"),"",IF($O401="Realised",0,$E401-N($F401)-N($H401)))</f>
        <v/>
      </c>
      <c r="N401" s="77" t="str">
        <f aca="false">IF(OR($M401="",FX=""),"",$M401*FX)</f>
        <v/>
      </c>
      <c r="O401" s="78" t="str">
        <f aca="false">IF(NOT(OR($A401&lt;&gt;"",$E401&lt;&gt;"")),"",IF($J401="Cancelled","Cancelled",IF($E401="","Amount missing",IF(OR($J401="Settled",$E401-N($F401)-N($H401)&lt;=0.005),"Realised",IF(N($H401)&gt;0,"Part realised",IF(N($F401)&gt;0,"Advance received","On hand"))))))</f>
        <v/>
      </c>
      <c r="P401" s="79" t="str">
        <f aca="false">IF(AND($V401=1,ISNUMBER($B401)),AsAt-$B401,"")</f>
        <v/>
      </c>
      <c r="Q401" s="78" t="str">
        <f aca="false">IF($V401&lt;&gt;1,"",IF($P401="","No invoice date",IF($P401&lt;=30,"0–30 days",IF($P401&lt;=60,"31–60 days",IF($P401&lt;=90,"61–90 days","Over 90 days")))))</f>
        <v/>
      </c>
      <c r="R401" s="80" t="str">
        <f aca="false">IF($V401=1,ROW(),"")</f>
        <v/>
      </c>
      <c r="S401" s="80" t="str">
        <f aca="false">IF(OR($A401&lt;&gt;"",$E401&lt;&gt;""),IF(TRIM($D401)="","Buyer not noted",TRIM($D401)),"")</f>
        <v/>
      </c>
      <c r="T401" s="80" t="n">
        <f aca="false">IF(AND($V401=1,ISNUMBER($M401)),$M401,0)</f>
        <v>0</v>
      </c>
      <c r="U401" s="80" t="str">
        <f aca="false">IF($V401=1,IF(COUNTIFS($S$7:$S401,$S401,$V$7:$V401,1)=1,SUMIFS($T$7:$T$1006,$S$7:$S$1006,$S401)-ROW()/1000000000,""),"")</f>
        <v/>
      </c>
      <c r="V401" s="80" t="n">
        <f aca="false">IF(OR($O401="On hand",$O401="Advance received",$O401="Part realised",$O401="Amount missing"),1,0)</f>
        <v>0</v>
      </c>
      <c r="W401" s="80" t="str">
        <f aca="false">IF(AND($V401=1,N($F401)&gt;0),ROW(),"")</f>
        <v/>
      </c>
      <c r="X401" s="80" t="n">
        <f aca="false">IF(AND(OR($A401&lt;&gt;"",$E401&lt;&gt;""),$O401&lt;&gt;"Cancelled",ISNUMBER($E401),N($F401)+N($H401)&gt;$E401+0.005),1,0)</f>
        <v>0</v>
      </c>
      <c r="Y401" s="80" t="n">
        <f aca="false">IF(AND(OR($A401&lt;&gt;"",$E401&lt;&gt;""),OR($A401="",$E401="")),1,0)</f>
        <v>0</v>
      </c>
      <c r="Z401" s="80" t="n">
        <f aca="false">IF(AND($A401&lt;&gt;"",COUNTIF($A$7:$A$1006,$A401)&gt;1),1,0)</f>
        <v>0</v>
      </c>
    </row>
    <row r="402" customFormat="false" ht="15" hidden="false" customHeight="false" outlineLevel="0" collapsed="false">
      <c r="A402" s="71"/>
      <c r="B402" s="72"/>
      <c r="C402" s="73"/>
      <c r="D402" s="73"/>
      <c r="E402" s="74"/>
      <c r="F402" s="74"/>
      <c r="G402" s="72"/>
      <c r="H402" s="74"/>
      <c r="I402" s="72"/>
      <c r="J402" s="73"/>
      <c r="K402" s="73"/>
      <c r="L402" s="75" t="str">
        <f aca="false">IF(OR($A402&lt;&gt;"",$E402&lt;&gt;""),N($F402)+N($H402),"")</f>
        <v/>
      </c>
      <c r="M402" s="76" t="str">
        <f aca="false">IF(OR($O402="",$O402="Cancelled",$O402="Amount missing"),"",IF($O402="Realised",0,$E402-N($F402)-N($H402)))</f>
        <v/>
      </c>
      <c r="N402" s="77" t="str">
        <f aca="false">IF(OR($M402="",FX=""),"",$M402*FX)</f>
        <v/>
      </c>
      <c r="O402" s="78" t="str">
        <f aca="false">IF(NOT(OR($A402&lt;&gt;"",$E402&lt;&gt;"")),"",IF($J402="Cancelled","Cancelled",IF($E402="","Amount missing",IF(OR($J402="Settled",$E402-N($F402)-N($H402)&lt;=0.005),"Realised",IF(N($H402)&gt;0,"Part realised",IF(N($F402)&gt;0,"Advance received","On hand"))))))</f>
        <v/>
      </c>
      <c r="P402" s="79" t="str">
        <f aca="false">IF(AND($V402=1,ISNUMBER($B402)),AsAt-$B402,"")</f>
        <v/>
      </c>
      <c r="Q402" s="78" t="str">
        <f aca="false">IF($V402&lt;&gt;1,"",IF($P402="","No invoice date",IF($P402&lt;=30,"0–30 days",IF($P402&lt;=60,"31–60 days",IF($P402&lt;=90,"61–90 days","Over 90 days")))))</f>
        <v/>
      </c>
      <c r="R402" s="80" t="str">
        <f aca="false">IF($V402=1,ROW(),"")</f>
        <v/>
      </c>
      <c r="S402" s="80" t="str">
        <f aca="false">IF(OR($A402&lt;&gt;"",$E402&lt;&gt;""),IF(TRIM($D402)="","Buyer not noted",TRIM($D402)),"")</f>
        <v/>
      </c>
      <c r="T402" s="80" t="n">
        <f aca="false">IF(AND($V402=1,ISNUMBER($M402)),$M402,0)</f>
        <v>0</v>
      </c>
      <c r="U402" s="80" t="str">
        <f aca="false">IF($V402=1,IF(COUNTIFS($S$7:$S402,$S402,$V$7:$V402,1)=1,SUMIFS($T$7:$T$1006,$S$7:$S$1006,$S402)-ROW()/1000000000,""),"")</f>
        <v/>
      </c>
      <c r="V402" s="80" t="n">
        <f aca="false">IF(OR($O402="On hand",$O402="Advance received",$O402="Part realised",$O402="Amount missing"),1,0)</f>
        <v>0</v>
      </c>
      <c r="W402" s="80" t="str">
        <f aca="false">IF(AND($V402=1,N($F402)&gt;0),ROW(),"")</f>
        <v/>
      </c>
      <c r="X402" s="80" t="n">
        <f aca="false">IF(AND(OR($A402&lt;&gt;"",$E402&lt;&gt;""),$O402&lt;&gt;"Cancelled",ISNUMBER($E402),N($F402)+N($H402)&gt;$E402+0.005),1,0)</f>
        <v>0</v>
      </c>
      <c r="Y402" s="80" t="n">
        <f aca="false">IF(AND(OR($A402&lt;&gt;"",$E402&lt;&gt;""),OR($A402="",$E402="")),1,0)</f>
        <v>0</v>
      </c>
      <c r="Z402" s="80" t="n">
        <f aca="false">IF(AND($A402&lt;&gt;"",COUNTIF($A$7:$A$1006,$A402)&gt;1),1,0)</f>
        <v>0</v>
      </c>
    </row>
    <row r="403" customFormat="false" ht="15" hidden="false" customHeight="false" outlineLevel="0" collapsed="false">
      <c r="A403" s="71"/>
      <c r="B403" s="72"/>
      <c r="C403" s="73"/>
      <c r="D403" s="73"/>
      <c r="E403" s="74"/>
      <c r="F403" s="74"/>
      <c r="G403" s="72"/>
      <c r="H403" s="74"/>
      <c r="I403" s="72"/>
      <c r="J403" s="73"/>
      <c r="K403" s="73"/>
      <c r="L403" s="75" t="str">
        <f aca="false">IF(OR($A403&lt;&gt;"",$E403&lt;&gt;""),N($F403)+N($H403),"")</f>
        <v/>
      </c>
      <c r="M403" s="76" t="str">
        <f aca="false">IF(OR($O403="",$O403="Cancelled",$O403="Amount missing"),"",IF($O403="Realised",0,$E403-N($F403)-N($H403)))</f>
        <v/>
      </c>
      <c r="N403" s="77" t="str">
        <f aca="false">IF(OR($M403="",FX=""),"",$M403*FX)</f>
        <v/>
      </c>
      <c r="O403" s="78" t="str">
        <f aca="false">IF(NOT(OR($A403&lt;&gt;"",$E403&lt;&gt;"")),"",IF($J403="Cancelled","Cancelled",IF($E403="","Amount missing",IF(OR($J403="Settled",$E403-N($F403)-N($H403)&lt;=0.005),"Realised",IF(N($H403)&gt;0,"Part realised",IF(N($F403)&gt;0,"Advance received","On hand"))))))</f>
        <v/>
      </c>
      <c r="P403" s="79" t="str">
        <f aca="false">IF(AND($V403=1,ISNUMBER($B403)),AsAt-$B403,"")</f>
        <v/>
      </c>
      <c r="Q403" s="78" t="str">
        <f aca="false">IF($V403&lt;&gt;1,"",IF($P403="","No invoice date",IF($P403&lt;=30,"0–30 days",IF($P403&lt;=60,"31–60 days",IF($P403&lt;=90,"61–90 days","Over 90 days")))))</f>
        <v/>
      </c>
      <c r="R403" s="80" t="str">
        <f aca="false">IF($V403=1,ROW(),"")</f>
        <v/>
      </c>
      <c r="S403" s="80" t="str">
        <f aca="false">IF(OR($A403&lt;&gt;"",$E403&lt;&gt;""),IF(TRIM($D403)="","Buyer not noted",TRIM($D403)),"")</f>
        <v/>
      </c>
      <c r="T403" s="80" t="n">
        <f aca="false">IF(AND($V403=1,ISNUMBER($M403)),$M403,0)</f>
        <v>0</v>
      </c>
      <c r="U403" s="80" t="str">
        <f aca="false">IF($V403=1,IF(COUNTIFS($S$7:$S403,$S403,$V$7:$V403,1)=1,SUMIFS($T$7:$T$1006,$S$7:$S$1006,$S403)-ROW()/1000000000,""),"")</f>
        <v/>
      </c>
      <c r="V403" s="80" t="n">
        <f aca="false">IF(OR($O403="On hand",$O403="Advance received",$O403="Part realised",$O403="Amount missing"),1,0)</f>
        <v>0</v>
      </c>
      <c r="W403" s="80" t="str">
        <f aca="false">IF(AND($V403=1,N($F403)&gt;0),ROW(),"")</f>
        <v/>
      </c>
      <c r="X403" s="80" t="n">
        <f aca="false">IF(AND(OR($A403&lt;&gt;"",$E403&lt;&gt;""),$O403&lt;&gt;"Cancelled",ISNUMBER($E403),N($F403)+N($H403)&gt;$E403+0.005),1,0)</f>
        <v>0</v>
      </c>
      <c r="Y403" s="80" t="n">
        <f aca="false">IF(AND(OR($A403&lt;&gt;"",$E403&lt;&gt;""),OR($A403="",$E403="")),1,0)</f>
        <v>0</v>
      </c>
      <c r="Z403" s="80" t="n">
        <f aca="false">IF(AND($A403&lt;&gt;"",COUNTIF($A$7:$A$1006,$A403)&gt;1),1,0)</f>
        <v>0</v>
      </c>
    </row>
    <row r="404" customFormat="false" ht="15" hidden="false" customHeight="false" outlineLevel="0" collapsed="false">
      <c r="A404" s="71"/>
      <c r="B404" s="72"/>
      <c r="C404" s="73"/>
      <c r="D404" s="73"/>
      <c r="E404" s="74"/>
      <c r="F404" s="74"/>
      <c r="G404" s="72"/>
      <c r="H404" s="74"/>
      <c r="I404" s="72"/>
      <c r="J404" s="73"/>
      <c r="K404" s="73"/>
      <c r="L404" s="75" t="str">
        <f aca="false">IF(OR($A404&lt;&gt;"",$E404&lt;&gt;""),N($F404)+N($H404),"")</f>
        <v/>
      </c>
      <c r="M404" s="76" t="str">
        <f aca="false">IF(OR($O404="",$O404="Cancelled",$O404="Amount missing"),"",IF($O404="Realised",0,$E404-N($F404)-N($H404)))</f>
        <v/>
      </c>
      <c r="N404" s="77" t="str">
        <f aca="false">IF(OR($M404="",FX=""),"",$M404*FX)</f>
        <v/>
      </c>
      <c r="O404" s="78" t="str">
        <f aca="false">IF(NOT(OR($A404&lt;&gt;"",$E404&lt;&gt;"")),"",IF($J404="Cancelled","Cancelled",IF($E404="","Amount missing",IF(OR($J404="Settled",$E404-N($F404)-N($H404)&lt;=0.005),"Realised",IF(N($H404)&gt;0,"Part realised",IF(N($F404)&gt;0,"Advance received","On hand"))))))</f>
        <v/>
      </c>
      <c r="P404" s="79" t="str">
        <f aca="false">IF(AND($V404=1,ISNUMBER($B404)),AsAt-$B404,"")</f>
        <v/>
      </c>
      <c r="Q404" s="78" t="str">
        <f aca="false">IF($V404&lt;&gt;1,"",IF($P404="","No invoice date",IF($P404&lt;=30,"0–30 days",IF($P404&lt;=60,"31–60 days",IF($P404&lt;=90,"61–90 days","Over 90 days")))))</f>
        <v/>
      </c>
      <c r="R404" s="80" t="str">
        <f aca="false">IF($V404=1,ROW(),"")</f>
        <v/>
      </c>
      <c r="S404" s="80" t="str">
        <f aca="false">IF(OR($A404&lt;&gt;"",$E404&lt;&gt;""),IF(TRIM($D404)="","Buyer not noted",TRIM($D404)),"")</f>
        <v/>
      </c>
      <c r="T404" s="80" t="n">
        <f aca="false">IF(AND($V404=1,ISNUMBER($M404)),$M404,0)</f>
        <v>0</v>
      </c>
      <c r="U404" s="80" t="str">
        <f aca="false">IF($V404=1,IF(COUNTIFS($S$7:$S404,$S404,$V$7:$V404,1)=1,SUMIFS($T$7:$T$1006,$S$7:$S$1006,$S404)-ROW()/1000000000,""),"")</f>
        <v/>
      </c>
      <c r="V404" s="80" t="n">
        <f aca="false">IF(OR($O404="On hand",$O404="Advance received",$O404="Part realised",$O404="Amount missing"),1,0)</f>
        <v>0</v>
      </c>
      <c r="W404" s="80" t="str">
        <f aca="false">IF(AND($V404=1,N($F404)&gt;0),ROW(),"")</f>
        <v/>
      </c>
      <c r="X404" s="80" t="n">
        <f aca="false">IF(AND(OR($A404&lt;&gt;"",$E404&lt;&gt;""),$O404&lt;&gt;"Cancelled",ISNUMBER($E404),N($F404)+N($H404)&gt;$E404+0.005),1,0)</f>
        <v>0</v>
      </c>
      <c r="Y404" s="80" t="n">
        <f aca="false">IF(AND(OR($A404&lt;&gt;"",$E404&lt;&gt;""),OR($A404="",$E404="")),1,0)</f>
        <v>0</v>
      </c>
      <c r="Z404" s="80" t="n">
        <f aca="false">IF(AND($A404&lt;&gt;"",COUNTIF($A$7:$A$1006,$A404)&gt;1),1,0)</f>
        <v>0</v>
      </c>
    </row>
    <row r="405" customFormat="false" ht="15" hidden="false" customHeight="false" outlineLevel="0" collapsed="false">
      <c r="A405" s="71"/>
      <c r="B405" s="72"/>
      <c r="C405" s="73"/>
      <c r="D405" s="73"/>
      <c r="E405" s="74"/>
      <c r="F405" s="74"/>
      <c r="G405" s="72"/>
      <c r="H405" s="74"/>
      <c r="I405" s="72"/>
      <c r="J405" s="73"/>
      <c r="K405" s="73"/>
      <c r="L405" s="75" t="str">
        <f aca="false">IF(OR($A405&lt;&gt;"",$E405&lt;&gt;""),N($F405)+N($H405),"")</f>
        <v/>
      </c>
      <c r="M405" s="76" t="str">
        <f aca="false">IF(OR($O405="",$O405="Cancelled",$O405="Amount missing"),"",IF($O405="Realised",0,$E405-N($F405)-N($H405)))</f>
        <v/>
      </c>
      <c r="N405" s="77" t="str">
        <f aca="false">IF(OR($M405="",FX=""),"",$M405*FX)</f>
        <v/>
      </c>
      <c r="O405" s="78" t="str">
        <f aca="false">IF(NOT(OR($A405&lt;&gt;"",$E405&lt;&gt;"")),"",IF($J405="Cancelled","Cancelled",IF($E405="","Amount missing",IF(OR($J405="Settled",$E405-N($F405)-N($H405)&lt;=0.005),"Realised",IF(N($H405)&gt;0,"Part realised",IF(N($F405)&gt;0,"Advance received","On hand"))))))</f>
        <v/>
      </c>
      <c r="P405" s="79" t="str">
        <f aca="false">IF(AND($V405=1,ISNUMBER($B405)),AsAt-$B405,"")</f>
        <v/>
      </c>
      <c r="Q405" s="78" t="str">
        <f aca="false">IF($V405&lt;&gt;1,"",IF($P405="","No invoice date",IF($P405&lt;=30,"0–30 days",IF($P405&lt;=60,"31–60 days",IF($P405&lt;=90,"61–90 days","Over 90 days")))))</f>
        <v/>
      </c>
      <c r="R405" s="80" t="str">
        <f aca="false">IF($V405=1,ROW(),"")</f>
        <v/>
      </c>
      <c r="S405" s="80" t="str">
        <f aca="false">IF(OR($A405&lt;&gt;"",$E405&lt;&gt;""),IF(TRIM($D405)="","Buyer not noted",TRIM($D405)),"")</f>
        <v/>
      </c>
      <c r="T405" s="80" t="n">
        <f aca="false">IF(AND($V405=1,ISNUMBER($M405)),$M405,0)</f>
        <v>0</v>
      </c>
      <c r="U405" s="80" t="str">
        <f aca="false">IF($V405=1,IF(COUNTIFS($S$7:$S405,$S405,$V$7:$V405,1)=1,SUMIFS($T$7:$T$1006,$S$7:$S$1006,$S405)-ROW()/1000000000,""),"")</f>
        <v/>
      </c>
      <c r="V405" s="80" t="n">
        <f aca="false">IF(OR($O405="On hand",$O405="Advance received",$O405="Part realised",$O405="Amount missing"),1,0)</f>
        <v>0</v>
      </c>
      <c r="W405" s="80" t="str">
        <f aca="false">IF(AND($V405=1,N($F405)&gt;0),ROW(),"")</f>
        <v/>
      </c>
      <c r="X405" s="80" t="n">
        <f aca="false">IF(AND(OR($A405&lt;&gt;"",$E405&lt;&gt;""),$O405&lt;&gt;"Cancelled",ISNUMBER($E405),N($F405)+N($H405)&gt;$E405+0.005),1,0)</f>
        <v>0</v>
      </c>
      <c r="Y405" s="80" t="n">
        <f aca="false">IF(AND(OR($A405&lt;&gt;"",$E405&lt;&gt;""),OR($A405="",$E405="")),1,0)</f>
        <v>0</v>
      </c>
      <c r="Z405" s="80" t="n">
        <f aca="false">IF(AND($A405&lt;&gt;"",COUNTIF($A$7:$A$1006,$A405)&gt;1),1,0)</f>
        <v>0</v>
      </c>
    </row>
    <row r="406" customFormat="false" ht="15" hidden="false" customHeight="false" outlineLevel="0" collapsed="false">
      <c r="A406" s="71"/>
      <c r="B406" s="72"/>
      <c r="C406" s="73"/>
      <c r="D406" s="73"/>
      <c r="E406" s="74"/>
      <c r="F406" s="74"/>
      <c r="G406" s="72"/>
      <c r="H406" s="74"/>
      <c r="I406" s="72"/>
      <c r="J406" s="73"/>
      <c r="K406" s="73"/>
      <c r="L406" s="75" t="str">
        <f aca="false">IF(OR($A406&lt;&gt;"",$E406&lt;&gt;""),N($F406)+N($H406),"")</f>
        <v/>
      </c>
      <c r="M406" s="76" t="str">
        <f aca="false">IF(OR($O406="",$O406="Cancelled",$O406="Amount missing"),"",IF($O406="Realised",0,$E406-N($F406)-N($H406)))</f>
        <v/>
      </c>
      <c r="N406" s="77" t="str">
        <f aca="false">IF(OR($M406="",FX=""),"",$M406*FX)</f>
        <v/>
      </c>
      <c r="O406" s="78" t="str">
        <f aca="false">IF(NOT(OR($A406&lt;&gt;"",$E406&lt;&gt;"")),"",IF($J406="Cancelled","Cancelled",IF($E406="","Amount missing",IF(OR($J406="Settled",$E406-N($F406)-N($H406)&lt;=0.005),"Realised",IF(N($H406)&gt;0,"Part realised",IF(N($F406)&gt;0,"Advance received","On hand"))))))</f>
        <v/>
      </c>
      <c r="P406" s="79" t="str">
        <f aca="false">IF(AND($V406=1,ISNUMBER($B406)),AsAt-$B406,"")</f>
        <v/>
      </c>
      <c r="Q406" s="78" t="str">
        <f aca="false">IF($V406&lt;&gt;1,"",IF($P406="","No invoice date",IF($P406&lt;=30,"0–30 days",IF($P406&lt;=60,"31–60 days",IF($P406&lt;=90,"61–90 days","Over 90 days")))))</f>
        <v/>
      </c>
      <c r="R406" s="80" t="str">
        <f aca="false">IF($V406=1,ROW(),"")</f>
        <v/>
      </c>
      <c r="S406" s="80" t="str">
        <f aca="false">IF(OR($A406&lt;&gt;"",$E406&lt;&gt;""),IF(TRIM($D406)="","Buyer not noted",TRIM($D406)),"")</f>
        <v/>
      </c>
      <c r="T406" s="80" t="n">
        <f aca="false">IF(AND($V406=1,ISNUMBER($M406)),$M406,0)</f>
        <v>0</v>
      </c>
      <c r="U406" s="80" t="str">
        <f aca="false">IF($V406=1,IF(COUNTIFS($S$7:$S406,$S406,$V$7:$V406,1)=1,SUMIFS($T$7:$T$1006,$S$7:$S$1006,$S406)-ROW()/1000000000,""),"")</f>
        <v/>
      </c>
      <c r="V406" s="80" t="n">
        <f aca="false">IF(OR($O406="On hand",$O406="Advance received",$O406="Part realised",$O406="Amount missing"),1,0)</f>
        <v>0</v>
      </c>
      <c r="W406" s="80" t="str">
        <f aca="false">IF(AND($V406=1,N($F406)&gt;0),ROW(),"")</f>
        <v/>
      </c>
      <c r="X406" s="80" t="n">
        <f aca="false">IF(AND(OR($A406&lt;&gt;"",$E406&lt;&gt;""),$O406&lt;&gt;"Cancelled",ISNUMBER($E406),N($F406)+N($H406)&gt;$E406+0.005),1,0)</f>
        <v>0</v>
      </c>
      <c r="Y406" s="80" t="n">
        <f aca="false">IF(AND(OR($A406&lt;&gt;"",$E406&lt;&gt;""),OR($A406="",$E406="")),1,0)</f>
        <v>0</v>
      </c>
      <c r="Z406" s="80" t="n">
        <f aca="false">IF(AND($A406&lt;&gt;"",COUNTIF($A$7:$A$1006,$A406)&gt;1),1,0)</f>
        <v>0</v>
      </c>
    </row>
    <row r="407" customFormat="false" ht="15" hidden="false" customHeight="false" outlineLevel="0" collapsed="false">
      <c r="A407" s="71"/>
      <c r="B407" s="72"/>
      <c r="C407" s="73"/>
      <c r="D407" s="73"/>
      <c r="E407" s="74"/>
      <c r="F407" s="74"/>
      <c r="G407" s="72"/>
      <c r="H407" s="74"/>
      <c r="I407" s="72"/>
      <c r="J407" s="73"/>
      <c r="K407" s="73"/>
      <c r="L407" s="75" t="str">
        <f aca="false">IF(OR($A407&lt;&gt;"",$E407&lt;&gt;""),N($F407)+N($H407),"")</f>
        <v/>
      </c>
      <c r="M407" s="76" t="str">
        <f aca="false">IF(OR($O407="",$O407="Cancelled",$O407="Amount missing"),"",IF($O407="Realised",0,$E407-N($F407)-N($H407)))</f>
        <v/>
      </c>
      <c r="N407" s="77" t="str">
        <f aca="false">IF(OR($M407="",FX=""),"",$M407*FX)</f>
        <v/>
      </c>
      <c r="O407" s="78" t="str">
        <f aca="false">IF(NOT(OR($A407&lt;&gt;"",$E407&lt;&gt;"")),"",IF($J407="Cancelled","Cancelled",IF($E407="","Amount missing",IF(OR($J407="Settled",$E407-N($F407)-N($H407)&lt;=0.005),"Realised",IF(N($H407)&gt;0,"Part realised",IF(N($F407)&gt;0,"Advance received","On hand"))))))</f>
        <v/>
      </c>
      <c r="P407" s="79" t="str">
        <f aca="false">IF(AND($V407=1,ISNUMBER($B407)),AsAt-$B407,"")</f>
        <v/>
      </c>
      <c r="Q407" s="78" t="str">
        <f aca="false">IF($V407&lt;&gt;1,"",IF($P407="","No invoice date",IF($P407&lt;=30,"0–30 days",IF($P407&lt;=60,"31–60 days",IF($P407&lt;=90,"61–90 days","Over 90 days")))))</f>
        <v/>
      </c>
      <c r="R407" s="80" t="str">
        <f aca="false">IF($V407=1,ROW(),"")</f>
        <v/>
      </c>
      <c r="S407" s="80" t="str">
        <f aca="false">IF(OR($A407&lt;&gt;"",$E407&lt;&gt;""),IF(TRIM($D407)="","Buyer not noted",TRIM($D407)),"")</f>
        <v/>
      </c>
      <c r="T407" s="80" t="n">
        <f aca="false">IF(AND($V407=1,ISNUMBER($M407)),$M407,0)</f>
        <v>0</v>
      </c>
      <c r="U407" s="80" t="str">
        <f aca="false">IF($V407=1,IF(COUNTIFS($S$7:$S407,$S407,$V$7:$V407,1)=1,SUMIFS($T$7:$T$1006,$S$7:$S$1006,$S407)-ROW()/1000000000,""),"")</f>
        <v/>
      </c>
      <c r="V407" s="80" t="n">
        <f aca="false">IF(OR($O407="On hand",$O407="Advance received",$O407="Part realised",$O407="Amount missing"),1,0)</f>
        <v>0</v>
      </c>
      <c r="W407" s="80" t="str">
        <f aca="false">IF(AND($V407=1,N($F407)&gt;0),ROW(),"")</f>
        <v/>
      </c>
      <c r="X407" s="80" t="n">
        <f aca="false">IF(AND(OR($A407&lt;&gt;"",$E407&lt;&gt;""),$O407&lt;&gt;"Cancelled",ISNUMBER($E407),N($F407)+N($H407)&gt;$E407+0.005),1,0)</f>
        <v>0</v>
      </c>
      <c r="Y407" s="80" t="n">
        <f aca="false">IF(AND(OR($A407&lt;&gt;"",$E407&lt;&gt;""),OR($A407="",$E407="")),1,0)</f>
        <v>0</v>
      </c>
      <c r="Z407" s="80" t="n">
        <f aca="false">IF(AND($A407&lt;&gt;"",COUNTIF($A$7:$A$1006,$A407)&gt;1),1,0)</f>
        <v>0</v>
      </c>
    </row>
    <row r="408" customFormat="false" ht="15" hidden="false" customHeight="false" outlineLevel="0" collapsed="false">
      <c r="A408" s="71"/>
      <c r="B408" s="72"/>
      <c r="C408" s="73"/>
      <c r="D408" s="73"/>
      <c r="E408" s="74"/>
      <c r="F408" s="74"/>
      <c r="G408" s="72"/>
      <c r="H408" s="74"/>
      <c r="I408" s="72"/>
      <c r="J408" s="73"/>
      <c r="K408" s="73"/>
      <c r="L408" s="75" t="str">
        <f aca="false">IF(OR($A408&lt;&gt;"",$E408&lt;&gt;""),N($F408)+N($H408),"")</f>
        <v/>
      </c>
      <c r="M408" s="76" t="str">
        <f aca="false">IF(OR($O408="",$O408="Cancelled",$O408="Amount missing"),"",IF($O408="Realised",0,$E408-N($F408)-N($H408)))</f>
        <v/>
      </c>
      <c r="N408" s="77" t="str">
        <f aca="false">IF(OR($M408="",FX=""),"",$M408*FX)</f>
        <v/>
      </c>
      <c r="O408" s="78" t="str">
        <f aca="false">IF(NOT(OR($A408&lt;&gt;"",$E408&lt;&gt;"")),"",IF($J408="Cancelled","Cancelled",IF($E408="","Amount missing",IF(OR($J408="Settled",$E408-N($F408)-N($H408)&lt;=0.005),"Realised",IF(N($H408)&gt;0,"Part realised",IF(N($F408)&gt;0,"Advance received","On hand"))))))</f>
        <v/>
      </c>
      <c r="P408" s="79" t="str">
        <f aca="false">IF(AND($V408=1,ISNUMBER($B408)),AsAt-$B408,"")</f>
        <v/>
      </c>
      <c r="Q408" s="78" t="str">
        <f aca="false">IF($V408&lt;&gt;1,"",IF($P408="","No invoice date",IF($P408&lt;=30,"0–30 days",IF($P408&lt;=60,"31–60 days",IF($P408&lt;=90,"61–90 days","Over 90 days")))))</f>
        <v/>
      </c>
      <c r="R408" s="80" t="str">
        <f aca="false">IF($V408=1,ROW(),"")</f>
        <v/>
      </c>
      <c r="S408" s="80" t="str">
        <f aca="false">IF(OR($A408&lt;&gt;"",$E408&lt;&gt;""),IF(TRIM($D408)="","Buyer not noted",TRIM($D408)),"")</f>
        <v/>
      </c>
      <c r="T408" s="80" t="n">
        <f aca="false">IF(AND($V408=1,ISNUMBER($M408)),$M408,0)</f>
        <v>0</v>
      </c>
      <c r="U408" s="80" t="str">
        <f aca="false">IF($V408=1,IF(COUNTIFS($S$7:$S408,$S408,$V$7:$V408,1)=1,SUMIFS($T$7:$T$1006,$S$7:$S$1006,$S408)-ROW()/1000000000,""),"")</f>
        <v/>
      </c>
      <c r="V408" s="80" t="n">
        <f aca="false">IF(OR($O408="On hand",$O408="Advance received",$O408="Part realised",$O408="Amount missing"),1,0)</f>
        <v>0</v>
      </c>
      <c r="W408" s="80" t="str">
        <f aca="false">IF(AND($V408=1,N($F408)&gt;0),ROW(),"")</f>
        <v/>
      </c>
      <c r="X408" s="80" t="n">
        <f aca="false">IF(AND(OR($A408&lt;&gt;"",$E408&lt;&gt;""),$O408&lt;&gt;"Cancelled",ISNUMBER($E408),N($F408)+N($H408)&gt;$E408+0.005),1,0)</f>
        <v>0</v>
      </c>
      <c r="Y408" s="80" t="n">
        <f aca="false">IF(AND(OR($A408&lt;&gt;"",$E408&lt;&gt;""),OR($A408="",$E408="")),1,0)</f>
        <v>0</v>
      </c>
      <c r="Z408" s="80" t="n">
        <f aca="false">IF(AND($A408&lt;&gt;"",COUNTIF($A$7:$A$1006,$A408)&gt;1),1,0)</f>
        <v>0</v>
      </c>
    </row>
    <row r="409" customFormat="false" ht="15" hidden="false" customHeight="false" outlineLevel="0" collapsed="false">
      <c r="A409" s="71"/>
      <c r="B409" s="72"/>
      <c r="C409" s="73"/>
      <c r="D409" s="73"/>
      <c r="E409" s="74"/>
      <c r="F409" s="74"/>
      <c r="G409" s="72"/>
      <c r="H409" s="74"/>
      <c r="I409" s="72"/>
      <c r="J409" s="73"/>
      <c r="K409" s="73"/>
      <c r="L409" s="75" t="str">
        <f aca="false">IF(OR($A409&lt;&gt;"",$E409&lt;&gt;""),N($F409)+N($H409),"")</f>
        <v/>
      </c>
      <c r="M409" s="76" t="str">
        <f aca="false">IF(OR($O409="",$O409="Cancelled",$O409="Amount missing"),"",IF($O409="Realised",0,$E409-N($F409)-N($H409)))</f>
        <v/>
      </c>
      <c r="N409" s="77" t="str">
        <f aca="false">IF(OR($M409="",FX=""),"",$M409*FX)</f>
        <v/>
      </c>
      <c r="O409" s="78" t="str">
        <f aca="false">IF(NOT(OR($A409&lt;&gt;"",$E409&lt;&gt;"")),"",IF($J409="Cancelled","Cancelled",IF($E409="","Amount missing",IF(OR($J409="Settled",$E409-N($F409)-N($H409)&lt;=0.005),"Realised",IF(N($H409)&gt;0,"Part realised",IF(N($F409)&gt;0,"Advance received","On hand"))))))</f>
        <v/>
      </c>
      <c r="P409" s="79" t="str">
        <f aca="false">IF(AND($V409=1,ISNUMBER($B409)),AsAt-$B409,"")</f>
        <v/>
      </c>
      <c r="Q409" s="78" t="str">
        <f aca="false">IF($V409&lt;&gt;1,"",IF($P409="","No invoice date",IF($P409&lt;=30,"0–30 days",IF($P409&lt;=60,"31–60 days",IF($P409&lt;=90,"61–90 days","Over 90 days")))))</f>
        <v/>
      </c>
      <c r="R409" s="80" t="str">
        <f aca="false">IF($V409=1,ROW(),"")</f>
        <v/>
      </c>
      <c r="S409" s="80" t="str">
        <f aca="false">IF(OR($A409&lt;&gt;"",$E409&lt;&gt;""),IF(TRIM($D409)="","Buyer not noted",TRIM($D409)),"")</f>
        <v/>
      </c>
      <c r="T409" s="80" t="n">
        <f aca="false">IF(AND($V409=1,ISNUMBER($M409)),$M409,0)</f>
        <v>0</v>
      </c>
      <c r="U409" s="80" t="str">
        <f aca="false">IF($V409=1,IF(COUNTIFS($S$7:$S409,$S409,$V$7:$V409,1)=1,SUMIFS($T$7:$T$1006,$S$7:$S$1006,$S409)-ROW()/1000000000,""),"")</f>
        <v/>
      </c>
      <c r="V409" s="80" t="n">
        <f aca="false">IF(OR($O409="On hand",$O409="Advance received",$O409="Part realised",$O409="Amount missing"),1,0)</f>
        <v>0</v>
      </c>
      <c r="W409" s="80" t="str">
        <f aca="false">IF(AND($V409=1,N($F409)&gt;0),ROW(),"")</f>
        <v/>
      </c>
      <c r="X409" s="80" t="n">
        <f aca="false">IF(AND(OR($A409&lt;&gt;"",$E409&lt;&gt;""),$O409&lt;&gt;"Cancelled",ISNUMBER($E409),N($F409)+N($H409)&gt;$E409+0.005),1,0)</f>
        <v>0</v>
      </c>
      <c r="Y409" s="80" t="n">
        <f aca="false">IF(AND(OR($A409&lt;&gt;"",$E409&lt;&gt;""),OR($A409="",$E409="")),1,0)</f>
        <v>0</v>
      </c>
      <c r="Z409" s="80" t="n">
        <f aca="false">IF(AND($A409&lt;&gt;"",COUNTIF($A$7:$A$1006,$A409)&gt;1),1,0)</f>
        <v>0</v>
      </c>
    </row>
    <row r="410" customFormat="false" ht="15" hidden="false" customHeight="false" outlineLevel="0" collapsed="false">
      <c r="A410" s="71"/>
      <c r="B410" s="72"/>
      <c r="C410" s="73"/>
      <c r="D410" s="73"/>
      <c r="E410" s="74"/>
      <c r="F410" s="74"/>
      <c r="G410" s="72"/>
      <c r="H410" s="74"/>
      <c r="I410" s="72"/>
      <c r="J410" s="73"/>
      <c r="K410" s="73"/>
      <c r="L410" s="75" t="str">
        <f aca="false">IF(OR($A410&lt;&gt;"",$E410&lt;&gt;""),N($F410)+N($H410),"")</f>
        <v/>
      </c>
      <c r="M410" s="76" t="str">
        <f aca="false">IF(OR($O410="",$O410="Cancelled",$O410="Amount missing"),"",IF($O410="Realised",0,$E410-N($F410)-N($H410)))</f>
        <v/>
      </c>
      <c r="N410" s="77" t="str">
        <f aca="false">IF(OR($M410="",FX=""),"",$M410*FX)</f>
        <v/>
      </c>
      <c r="O410" s="78" t="str">
        <f aca="false">IF(NOT(OR($A410&lt;&gt;"",$E410&lt;&gt;"")),"",IF($J410="Cancelled","Cancelled",IF($E410="","Amount missing",IF(OR($J410="Settled",$E410-N($F410)-N($H410)&lt;=0.005),"Realised",IF(N($H410)&gt;0,"Part realised",IF(N($F410)&gt;0,"Advance received","On hand"))))))</f>
        <v/>
      </c>
      <c r="P410" s="79" t="str">
        <f aca="false">IF(AND($V410=1,ISNUMBER($B410)),AsAt-$B410,"")</f>
        <v/>
      </c>
      <c r="Q410" s="78" t="str">
        <f aca="false">IF($V410&lt;&gt;1,"",IF($P410="","No invoice date",IF($P410&lt;=30,"0–30 days",IF($P410&lt;=60,"31–60 days",IF($P410&lt;=90,"61–90 days","Over 90 days")))))</f>
        <v/>
      </c>
      <c r="R410" s="80" t="str">
        <f aca="false">IF($V410=1,ROW(),"")</f>
        <v/>
      </c>
      <c r="S410" s="80" t="str">
        <f aca="false">IF(OR($A410&lt;&gt;"",$E410&lt;&gt;""),IF(TRIM($D410)="","Buyer not noted",TRIM($D410)),"")</f>
        <v/>
      </c>
      <c r="T410" s="80" t="n">
        <f aca="false">IF(AND($V410=1,ISNUMBER($M410)),$M410,0)</f>
        <v>0</v>
      </c>
      <c r="U410" s="80" t="str">
        <f aca="false">IF($V410=1,IF(COUNTIFS($S$7:$S410,$S410,$V$7:$V410,1)=1,SUMIFS($T$7:$T$1006,$S$7:$S$1006,$S410)-ROW()/1000000000,""),"")</f>
        <v/>
      </c>
      <c r="V410" s="80" t="n">
        <f aca="false">IF(OR($O410="On hand",$O410="Advance received",$O410="Part realised",$O410="Amount missing"),1,0)</f>
        <v>0</v>
      </c>
      <c r="W410" s="80" t="str">
        <f aca="false">IF(AND($V410=1,N($F410)&gt;0),ROW(),"")</f>
        <v/>
      </c>
      <c r="X410" s="80" t="n">
        <f aca="false">IF(AND(OR($A410&lt;&gt;"",$E410&lt;&gt;""),$O410&lt;&gt;"Cancelled",ISNUMBER($E410),N($F410)+N($H410)&gt;$E410+0.005),1,0)</f>
        <v>0</v>
      </c>
      <c r="Y410" s="80" t="n">
        <f aca="false">IF(AND(OR($A410&lt;&gt;"",$E410&lt;&gt;""),OR($A410="",$E410="")),1,0)</f>
        <v>0</v>
      </c>
      <c r="Z410" s="80" t="n">
        <f aca="false">IF(AND($A410&lt;&gt;"",COUNTIF($A$7:$A$1006,$A410)&gt;1),1,0)</f>
        <v>0</v>
      </c>
    </row>
    <row r="411" customFormat="false" ht="15" hidden="false" customHeight="false" outlineLevel="0" collapsed="false">
      <c r="A411" s="71"/>
      <c r="B411" s="72"/>
      <c r="C411" s="73"/>
      <c r="D411" s="73"/>
      <c r="E411" s="74"/>
      <c r="F411" s="74"/>
      <c r="G411" s="72"/>
      <c r="H411" s="74"/>
      <c r="I411" s="72"/>
      <c r="J411" s="73"/>
      <c r="K411" s="73"/>
      <c r="L411" s="75" t="str">
        <f aca="false">IF(OR($A411&lt;&gt;"",$E411&lt;&gt;""),N($F411)+N($H411),"")</f>
        <v/>
      </c>
      <c r="M411" s="76" t="str">
        <f aca="false">IF(OR($O411="",$O411="Cancelled",$O411="Amount missing"),"",IF($O411="Realised",0,$E411-N($F411)-N($H411)))</f>
        <v/>
      </c>
      <c r="N411" s="77" t="str">
        <f aca="false">IF(OR($M411="",FX=""),"",$M411*FX)</f>
        <v/>
      </c>
      <c r="O411" s="78" t="str">
        <f aca="false">IF(NOT(OR($A411&lt;&gt;"",$E411&lt;&gt;"")),"",IF($J411="Cancelled","Cancelled",IF($E411="","Amount missing",IF(OR($J411="Settled",$E411-N($F411)-N($H411)&lt;=0.005),"Realised",IF(N($H411)&gt;0,"Part realised",IF(N($F411)&gt;0,"Advance received","On hand"))))))</f>
        <v/>
      </c>
      <c r="P411" s="79" t="str">
        <f aca="false">IF(AND($V411=1,ISNUMBER($B411)),AsAt-$B411,"")</f>
        <v/>
      </c>
      <c r="Q411" s="78" t="str">
        <f aca="false">IF($V411&lt;&gt;1,"",IF($P411="","No invoice date",IF($P411&lt;=30,"0–30 days",IF($P411&lt;=60,"31–60 days",IF($P411&lt;=90,"61–90 days","Over 90 days")))))</f>
        <v/>
      </c>
      <c r="R411" s="80" t="str">
        <f aca="false">IF($V411=1,ROW(),"")</f>
        <v/>
      </c>
      <c r="S411" s="80" t="str">
        <f aca="false">IF(OR($A411&lt;&gt;"",$E411&lt;&gt;""),IF(TRIM($D411)="","Buyer not noted",TRIM($D411)),"")</f>
        <v/>
      </c>
      <c r="T411" s="80" t="n">
        <f aca="false">IF(AND($V411=1,ISNUMBER($M411)),$M411,0)</f>
        <v>0</v>
      </c>
      <c r="U411" s="80" t="str">
        <f aca="false">IF($V411=1,IF(COUNTIFS($S$7:$S411,$S411,$V$7:$V411,1)=1,SUMIFS($T$7:$T$1006,$S$7:$S$1006,$S411)-ROW()/1000000000,""),"")</f>
        <v/>
      </c>
      <c r="V411" s="80" t="n">
        <f aca="false">IF(OR($O411="On hand",$O411="Advance received",$O411="Part realised",$O411="Amount missing"),1,0)</f>
        <v>0</v>
      </c>
      <c r="W411" s="80" t="str">
        <f aca="false">IF(AND($V411=1,N($F411)&gt;0),ROW(),"")</f>
        <v/>
      </c>
      <c r="X411" s="80" t="n">
        <f aca="false">IF(AND(OR($A411&lt;&gt;"",$E411&lt;&gt;""),$O411&lt;&gt;"Cancelled",ISNUMBER($E411),N($F411)+N($H411)&gt;$E411+0.005),1,0)</f>
        <v>0</v>
      </c>
      <c r="Y411" s="80" t="n">
        <f aca="false">IF(AND(OR($A411&lt;&gt;"",$E411&lt;&gt;""),OR($A411="",$E411="")),1,0)</f>
        <v>0</v>
      </c>
      <c r="Z411" s="80" t="n">
        <f aca="false">IF(AND($A411&lt;&gt;"",COUNTIF($A$7:$A$1006,$A411)&gt;1),1,0)</f>
        <v>0</v>
      </c>
    </row>
    <row r="412" customFormat="false" ht="15" hidden="false" customHeight="false" outlineLevel="0" collapsed="false">
      <c r="A412" s="71"/>
      <c r="B412" s="72"/>
      <c r="C412" s="73"/>
      <c r="D412" s="73"/>
      <c r="E412" s="74"/>
      <c r="F412" s="74"/>
      <c r="G412" s="72"/>
      <c r="H412" s="74"/>
      <c r="I412" s="72"/>
      <c r="J412" s="73"/>
      <c r="K412" s="73"/>
      <c r="L412" s="75" t="str">
        <f aca="false">IF(OR($A412&lt;&gt;"",$E412&lt;&gt;""),N($F412)+N($H412),"")</f>
        <v/>
      </c>
      <c r="M412" s="76" t="str">
        <f aca="false">IF(OR($O412="",$O412="Cancelled",$O412="Amount missing"),"",IF($O412="Realised",0,$E412-N($F412)-N($H412)))</f>
        <v/>
      </c>
      <c r="N412" s="77" t="str">
        <f aca="false">IF(OR($M412="",FX=""),"",$M412*FX)</f>
        <v/>
      </c>
      <c r="O412" s="78" t="str">
        <f aca="false">IF(NOT(OR($A412&lt;&gt;"",$E412&lt;&gt;"")),"",IF($J412="Cancelled","Cancelled",IF($E412="","Amount missing",IF(OR($J412="Settled",$E412-N($F412)-N($H412)&lt;=0.005),"Realised",IF(N($H412)&gt;0,"Part realised",IF(N($F412)&gt;0,"Advance received","On hand"))))))</f>
        <v/>
      </c>
      <c r="P412" s="79" t="str">
        <f aca="false">IF(AND($V412=1,ISNUMBER($B412)),AsAt-$B412,"")</f>
        <v/>
      </c>
      <c r="Q412" s="78" t="str">
        <f aca="false">IF($V412&lt;&gt;1,"",IF($P412="","No invoice date",IF($P412&lt;=30,"0–30 days",IF($P412&lt;=60,"31–60 days",IF($P412&lt;=90,"61–90 days","Over 90 days")))))</f>
        <v/>
      </c>
      <c r="R412" s="80" t="str">
        <f aca="false">IF($V412=1,ROW(),"")</f>
        <v/>
      </c>
      <c r="S412" s="80" t="str">
        <f aca="false">IF(OR($A412&lt;&gt;"",$E412&lt;&gt;""),IF(TRIM($D412)="","Buyer not noted",TRIM($D412)),"")</f>
        <v/>
      </c>
      <c r="T412" s="80" t="n">
        <f aca="false">IF(AND($V412=1,ISNUMBER($M412)),$M412,0)</f>
        <v>0</v>
      </c>
      <c r="U412" s="80" t="str">
        <f aca="false">IF($V412=1,IF(COUNTIFS($S$7:$S412,$S412,$V$7:$V412,1)=1,SUMIFS($T$7:$T$1006,$S$7:$S$1006,$S412)-ROW()/1000000000,""),"")</f>
        <v/>
      </c>
      <c r="V412" s="80" t="n">
        <f aca="false">IF(OR($O412="On hand",$O412="Advance received",$O412="Part realised",$O412="Amount missing"),1,0)</f>
        <v>0</v>
      </c>
      <c r="W412" s="80" t="str">
        <f aca="false">IF(AND($V412=1,N($F412)&gt;0),ROW(),"")</f>
        <v/>
      </c>
      <c r="X412" s="80" t="n">
        <f aca="false">IF(AND(OR($A412&lt;&gt;"",$E412&lt;&gt;""),$O412&lt;&gt;"Cancelled",ISNUMBER($E412),N($F412)+N($H412)&gt;$E412+0.005),1,0)</f>
        <v>0</v>
      </c>
      <c r="Y412" s="80" t="n">
        <f aca="false">IF(AND(OR($A412&lt;&gt;"",$E412&lt;&gt;""),OR($A412="",$E412="")),1,0)</f>
        <v>0</v>
      </c>
      <c r="Z412" s="80" t="n">
        <f aca="false">IF(AND($A412&lt;&gt;"",COUNTIF($A$7:$A$1006,$A412)&gt;1),1,0)</f>
        <v>0</v>
      </c>
    </row>
    <row r="413" customFormat="false" ht="15" hidden="false" customHeight="false" outlineLevel="0" collapsed="false">
      <c r="A413" s="71"/>
      <c r="B413" s="72"/>
      <c r="C413" s="73"/>
      <c r="D413" s="73"/>
      <c r="E413" s="74"/>
      <c r="F413" s="74"/>
      <c r="G413" s="72"/>
      <c r="H413" s="74"/>
      <c r="I413" s="72"/>
      <c r="J413" s="73"/>
      <c r="K413" s="73"/>
      <c r="L413" s="75" t="str">
        <f aca="false">IF(OR($A413&lt;&gt;"",$E413&lt;&gt;""),N($F413)+N($H413),"")</f>
        <v/>
      </c>
      <c r="M413" s="76" t="str">
        <f aca="false">IF(OR($O413="",$O413="Cancelled",$O413="Amount missing"),"",IF($O413="Realised",0,$E413-N($F413)-N($H413)))</f>
        <v/>
      </c>
      <c r="N413" s="77" t="str">
        <f aca="false">IF(OR($M413="",FX=""),"",$M413*FX)</f>
        <v/>
      </c>
      <c r="O413" s="78" t="str">
        <f aca="false">IF(NOT(OR($A413&lt;&gt;"",$E413&lt;&gt;"")),"",IF($J413="Cancelled","Cancelled",IF($E413="","Amount missing",IF(OR($J413="Settled",$E413-N($F413)-N($H413)&lt;=0.005),"Realised",IF(N($H413)&gt;0,"Part realised",IF(N($F413)&gt;0,"Advance received","On hand"))))))</f>
        <v/>
      </c>
      <c r="P413" s="79" t="str">
        <f aca="false">IF(AND($V413=1,ISNUMBER($B413)),AsAt-$B413,"")</f>
        <v/>
      </c>
      <c r="Q413" s="78" t="str">
        <f aca="false">IF($V413&lt;&gt;1,"",IF($P413="","No invoice date",IF($P413&lt;=30,"0–30 days",IF($P413&lt;=60,"31–60 days",IF($P413&lt;=90,"61–90 days","Over 90 days")))))</f>
        <v/>
      </c>
      <c r="R413" s="80" t="str">
        <f aca="false">IF($V413=1,ROW(),"")</f>
        <v/>
      </c>
      <c r="S413" s="80" t="str">
        <f aca="false">IF(OR($A413&lt;&gt;"",$E413&lt;&gt;""),IF(TRIM($D413)="","Buyer not noted",TRIM($D413)),"")</f>
        <v/>
      </c>
      <c r="T413" s="80" t="n">
        <f aca="false">IF(AND($V413=1,ISNUMBER($M413)),$M413,0)</f>
        <v>0</v>
      </c>
      <c r="U413" s="80" t="str">
        <f aca="false">IF($V413=1,IF(COUNTIFS($S$7:$S413,$S413,$V$7:$V413,1)=1,SUMIFS($T$7:$T$1006,$S$7:$S$1006,$S413)-ROW()/1000000000,""),"")</f>
        <v/>
      </c>
      <c r="V413" s="80" t="n">
        <f aca="false">IF(OR($O413="On hand",$O413="Advance received",$O413="Part realised",$O413="Amount missing"),1,0)</f>
        <v>0</v>
      </c>
      <c r="W413" s="80" t="str">
        <f aca="false">IF(AND($V413=1,N($F413)&gt;0),ROW(),"")</f>
        <v/>
      </c>
      <c r="X413" s="80" t="n">
        <f aca="false">IF(AND(OR($A413&lt;&gt;"",$E413&lt;&gt;""),$O413&lt;&gt;"Cancelled",ISNUMBER($E413),N($F413)+N($H413)&gt;$E413+0.005),1,0)</f>
        <v>0</v>
      </c>
      <c r="Y413" s="80" t="n">
        <f aca="false">IF(AND(OR($A413&lt;&gt;"",$E413&lt;&gt;""),OR($A413="",$E413="")),1,0)</f>
        <v>0</v>
      </c>
      <c r="Z413" s="80" t="n">
        <f aca="false">IF(AND($A413&lt;&gt;"",COUNTIF($A$7:$A$1006,$A413)&gt;1),1,0)</f>
        <v>0</v>
      </c>
    </row>
    <row r="414" customFormat="false" ht="15" hidden="false" customHeight="false" outlineLevel="0" collapsed="false">
      <c r="A414" s="71"/>
      <c r="B414" s="72"/>
      <c r="C414" s="73"/>
      <c r="D414" s="73"/>
      <c r="E414" s="74"/>
      <c r="F414" s="74"/>
      <c r="G414" s="72"/>
      <c r="H414" s="74"/>
      <c r="I414" s="72"/>
      <c r="J414" s="73"/>
      <c r="K414" s="73"/>
      <c r="L414" s="75" t="str">
        <f aca="false">IF(OR($A414&lt;&gt;"",$E414&lt;&gt;""),N($F414)+N($H414),"")</f>
        <v/>
      </c>
      <c r="M414" s="76" t="str">
        <f aca="false">IF(OR($O414="",$O414="Cancelled",$O414="Amount missing"),"",IF($O414="Realised",0,$E414-N($F414)-N($H414)))</f>
        <v/>
      </c>
      <c r="N414" s="77" t="str">
        <f aca="false">IF(OR($M414="",FX=""),"",$M414*FX)</f>
        <v/>
      </c>
      <c r="O414" s="78" t="str">
        <f aca="false">IF(NOT(OR($A414&lt;&gt;"",$E414&lt;&gt;"")),"",IF($J414="Cancelled","Cancelled",IF($E414="","Amount missing",IF(OR($J414="Settled",$E414-N($F414)-N($H414)&lt;=0.005),"Realised",IF(N($H414)&gt;0,"Part realised",IF(N($F414)&gt;0,"Advance received","On hand"))))))</f>
        <v/>
      </c>
      <c r="P414" s="79" t="str">
        <f aca="false">IF(AND($V414=1,ISNUMBER($B414)),AsAt-$B414,"")</f>
        <v/>
      </c>
      <c r="Q414" s="78" t="str">
        <f aca="false">IF($V414&lt;&gt;1,"",IF($P414="","No invoice date",IF($P414&lt;=30,"0–30 days",IF($P414&lt;=60,"31–60 days",IF($P414&lt;=90,"61–90 days","Over 90 days")))))</f>
        <v/>
      </c>
      <c r="R414" s="80" t="str">
        <f aca="false">IF($V414=1,ROW(),"")</f>
        <v/>
      </c>
      <c r="S414" s="80" t="str">
        <f aca="false">IF(OR($A414&lt;&gt;"",$E414&lt;&gt;""),IF(TRIM($D414)="","Buyer not noted",TRIM($D414)),"")</f>
        <v/>
      </c>
      <c r="T414" s="80" t="n">
        <f aca="false">IF(AND($V414=1,ISNUMBER($M414)),$M414,0)</f>
        <v>0</v>
      </c>
      <c r="U414" s="80" t="str">
        <f aca="false">IF($V414=1,IF(COUNTIFS($S$7:$S414,$S414,$V$7:$V414,1)=1,SUMIFS($T$7:$T$1006,$S$7:$S$1006,$S414)-ROW()/1000000000,""),"")</f>
        <v/>
      </c>
      <c r="V414" s="80" t="n">
        <f aca="false">IF(OR($O414="On hand",$O414="Advance received",$O414="Part realised",$O414="Amount missing"),1,0)</f>
        <v>0</v>
      </c>
      <c r="W414" s="80" t="str">
        <f aca="false">IF(AND($V414=1,N($F414)&gt;0),ROW(),"")</f>
        <v/>
      </c>
      <c r="X414" s="80" t="n">
        <f aca="false">IF(AND(OR($A414&lt;&gt;"",$E414&lt;&gt;""),$O414&lt;&gt;"Cancelled",ISNUMBER($E414),N($F414)+N($H414)&gt;$E414+0.005),1,0)</f>
        <v>0</v>
      </c>
      <c r="Y414" s="80" t="n">
        <f aca="false">IF(AND(OR($A414&lt;&gt;"",$E414&lt;&gt;""),OR($A414="",$E414="")),1,0)</f>
        <v>0</v>
      </c>
      <c r="Z414" s="80" t="n">
        <f aca="false">IF(AND($A414&lt;&gt;"",COUNTIF($A$7:$A$1006,$A414)&gt;1),1,0)</f>
        <v>0</v>
      </c>
    </row>
    <row r="415" customFormat="false" ht="15" hidden="false" customHeight="false" outlineLevel="0" collapsed="false">
      <c r="A415" s="71"/>
      <c r="B415" s="72"/>
      <c r="C415" s="73"/>
      <c r="D415" s="73"/>
      <c r="E415" s="74"/>
      <c r="F415" s="74"/>
      <c r="G415" s="72"/>
      <c r="H415" s="74"/>
      <c r="I415" s="72"/>
      <c r="J415" s="73"/>
      <c r="K415" s="73"/>
      <c r="L415" s="75" t="str">
        <f aca="false">IF(OR($A415&lt;&gt;"",$E415&lt;&gt;""),N($F415)+N($H415),"")</f>
        <v/>
      </c>
      <c r="M415" s="76" t="str">
        <f aca="false">IF(OR($O415="",$O415="Cancelled",$O415="Amount missing"),"",IF($O415="Realised",0,$E415-N($F415)-N($H415)))</f>
        <v/>
      </c>
      <c r="N415" s="77" t="str">
        <f aca="false">IF(OR($M415="",FX=""),"",$M415*FX)</f>
        <v/>
      </c>
      <c r="O415" s="78" t="str">
        <f aca="false">IF(NOT(OR($A415&lt;&gt;"",$E415&lt;&gt;"")),"",IF($J415="Cancelled","Cancelled",IF($E415="","Amount missing",IF(OR($J415="Settled",$E415-N($F415)-N($H415)&lt;=0.005),"Realised",IF(N($H415)&gt;0,"Part realised",IF(N($F415)&gt;0,"Advance received","On hand"))))))</f>
        <v/>
      </c>
      <c r="P415" s="79" t="str">
        <f aca="false">IF(AND($V415=1,ISNUMBER($B415)),AsAt-$B415,"")</f>
        <v/>
      </c>
      <c r="Q415" s="78" t="str">
        <f aca="false">IF($V415&lt;&gt;1,"",IF($P415="","No invoice date",IF($P415&lt;=30,"0–30 days",IF($P415&lt;=60,"31–60 days",IF($P415&lt;=90,"61–90 days","Over 90 days")))))</f>
        <v/>
      </c>
      <c r="R415" s="80" t="str">
        <f aca="false">IF($V415=1,ROW(),"")</f>
        <v/>
      </c>
      <c r="S415" s="80" t="str">
        <f aca="false">IF(OR($A415&lt;&gt;"",$E415&lt;&gt;""),IF(TRIM($D415)="","Buyer not noted",TRIM($D415)),"")</f>
        <v/>
      </c>
      <c r="T415" s="80" t="n">
        <f aca="false">IF(AND($V415=1,ISNUMBER($M415)),$M415,0)</f>
        <v>0</v>
      </c>
      <c r="U415" s="80" t="str">
        <f aca="false">IF($V415=1,IF(COUNTIFS($S$7:$S415,$S415,$V$7:$V415,1)=1,SUMIFS($T$7:$T$1006,$S$7:$S$1006,$S415)-ROW()/1000000000,""),"")</f>
        <v/>
      </c>
      <c r="V415" s="80" t="n">
        <f aca="false">IF(OR($O415="On hand",$O415="Advance received",$O415="Part realised",$O415="Amount missing"),1,0)</f>
        <v>0</v>
      </c>
      <c r="W415" s="80" t="str">
        <f aca="false">IF(AND($V415=1,N($F415)&gt;0),ROW(),"")</f>
        <v/>
      </c>
      <c r="X415" s="80" t="n">
        <f aca="false">IF(AND(OR($A415&lt;&gt;"",$E415&lt;&gt;""),$O415&lt;&gt;"Cancelled",ISNUMBER($E415),N($F415)+N($H415)&gt;$E415+0.005),1,0)</f>
        <v>0</v>
      </c>
      <c r="Y415" s="80" t="n">
        <f aca="false">IF(AND(OR($A415&lt;&gt;"",$E415&lt;&gt;""),OR($A415="",$E415="")),1,0)</f>
        <v>0</v>
      </c>
      <c r="Z415" s="80" t="n">
        <f aca="false">IF(AND($A415&lt;&gt;"",COUNTIF($A$7:$A$1006,$A415)&gt;1),1,0)</f>
        <v>0</v>
      </c>
    </row>
    <row r="416" customFormat="false" ht="15" hidden="false" customHeight="false" outlineLevel="0" collapsed="false">
      <c r="A416" s="71"/>
      <c r="B416" s="72"/>
      <c r="C416" s="73"/>
      <c r="D416" s="73"/>
      <c r="E416" s="74"/>
      <c r="F416" s="74"/>
      <c r="G416" s="72"/>
      <c r="H416" s="74"/>
      <c r="I416" s="72"/>
      <c r="J416" s="73"/>
      <c r="K416" s="73"/>
      <c r="L416" s="75" t="str">
        <f aca="false">IF(OR($A416&lt;&gt;"",$E416&lt;&gt;""),N($F416)+N($H416),"")</f>
        <v/>
      </c>
      <c r="M416" s="76" t="str">
        <f aca="false">IF(OR($O416="",$O416="Cancelled",$O416="Amount missing"),"",IF($O416="Realised",0,$E416-N($F416)-N($H416)))</f>
        <v/>
      </c>
      <c r="N416" s="77" t="str">
        <f aca="false">IF(OR($M416="",FX=""),"",$M416*FX)</f>
        <v/>
      </c>
      <c r="O416" s="78" t="str">
        <f aca="false">IF(NOT(OR($A416&lt;&gt;"",$E416&lt;&gt;"")),"",IF($J416="Cancelled","Cancelled",IF($E416="","Amount missing",IF(OR($J416="Settled",$E416-N($F416)-N($H416)&lt;=0.005),"Realised",IF(N($H416)&gt;0,"Part realised",IF(N($F416)&gt;0,"Advance received","On hand"))))))</f>
        <v/>
      </c>
      <c r="P416" s="79" t="str">
        <f aca="false">IF(AND($V416=1,ISNUMBER($B416)),AsAt-$B416,"")</f>
        <v/>
      </c>
      <c r="Q416" s="78" t="str">
        <f aca="false">IF($V416&lt;&gt;1,"",IF($P416="","No invoice date",IF($P416&lt;=30,"0–30 days",IF($P416&lt;=60,"31–60 days",IF($P416&lt;=90,"61–90 days","Over 90 days")))))</f>
        <v/>
      </c>
      <c r="R416" s="80" t="str">
        <f aca="false">IF($V416=1,ROW(),"")</f>
        <v/>
      </c>
      <c r="S416" s="80" t="str">
        <f aca="false">IF(OR($A416&lt;&gt;"",$E416&lt;&gt;""),IF(TRIM($D416)="","Buyer not noted",TRIM($D416)),"")</f>
        <v/>
      </c>
      <c r="T416" s="80" t="n">
        <f aca="false">IF(AND($V416=1,ISNUMBER($M416)),$M416,0)</f>
        <v>0</v>
      </c>
      <c r="U416" s="80" t="str">
        <f aca="false">IF($V416=1,IF(COUNTIFS($S$7:$S416,$S416,$V$7:$V416,1)=1,SUMIFS($T$7:$T$1006,$S$7:$S$1006,$S416)-ROW()/1000000000,""),"")</f>
        <v/>
      </c>
      <c r="V416" s="80" t="n">
        <f aca="false">IF(OR($O416="On hand",$O416="Advance received",$O416="Part realised",$O416="Amount missing"),1,0)</f>
        <v>0</v>
      </c>
      <c r="W416" s="80" t="str">
        <f aca="false">IF(AND($V416=1,N($F416)&gt;0),ROW(),"")</f>
        <v/>
      </c>
      <c r="X416" s="80" t="n">
        <f aca="false">IF(AND(OR($A416&lt;&gt;"",$E416&lt;&gt;""),$O416&lt;&gt;"Cancelled",ISNUMBER($E416),N($F416)+N($H416)&gt;$E416+0.005),1,0)</f>
        <v>0</v>
      </c>
      <c r="Y416" s="80" t="n">
        <f aca="false">IF(AND(OR($A416&lt;&gt;"",$E416&lt;&gt;""),OR($A416="",$E416="")),1,0)</f>
        <v>0</v>
      </c>
      <c r="Z416" s="80" t="n">
        <f aca="false">IF(AND($A416&lt;&gt;"",COUNTIF($A$7:$A$1006,$A416)&gt;1),1,0)</f>
        <v>0</v>
      </c>
    </row>
    <row r="417" customFormat="false" ht="15" hidden="false" customHeight="false" outlineLevel="0" collapsed="false">
      <c r="A417" s="71"/>
      <c r="B417" s="72"/>
      <c r="C417" s="73"/>
      <c r="D417" s="73"/>
      <c r="E417" s="74"/>
      <c r="F417" s="74"/>
      <c r="G417" s="72"/>
      <c r="H417" s="74"/>
      <c r="I417" s="72"/>
      <c r="J417" s="73"/>
      <c r="K417" s="73"/>
      <c r="L417" s="75" t="str">
        <f aca="false">IF(OR($A417&lt;&gt;"",$E417&lt;&gt;""),N($F417)+N($H417),"")</f>
        <v/>
      </c>
      <c r="M417" s="76" t="str">
        <f aca="false">IF(OR($O417="",$O417="Cancelled",$O417="Amount missing"),"",IF($O417="Realised",0,$E417-N($F417)-N($H417)))</f>
        <v/>
      </c>
      <c r="N417" s="77" t="str">
        <f aca="false">IF(OR($M417="",FX=""),"",$M417*FX)</f>
        <v/>
      </c>
      <c r="O417" s="78" t="str">
        <f aca="false">IF(NOT(OR($A417&lt;&gt;"",$E417&lt;&gt;"")),"",IF($J417="Cancelled","Cancelled",IF($E417="","Amount missing",IF(OR($J417="Settled",$E417-N($F417)-N($H417)&lt;=0.005),"Realised",IF(N($H417)&gt;0,"Part realised",IF(N($F417)&gt;0,"Advance received","On hand"))))))</f>
        <v/>
      </c>
      <c r="P417" s="79" t="str">
        <f aca="false">IF(AND($V417=1,ISNUMBER($B417)),AsAt-$B417,"")</f>
        <v/>
      </c>
      <c r="Q417" s="78" t="str">
        <f aca="false">IF($V417&lt;&gt;1,"",IF($P417="","No invoice date",IF($P417&lt;=30,"0–30 days",IF($P417&lt;=60,"31–60 days",IF($P417&lt;=90,"61–90 days","Over 90 days")))))</f>
        <v/>
      </c>
      <c r="R417" s="80" t="str">
        <f aca="false">IF($V417=1,ROW(),"")</f>
        <v/>
      </c>
      <c r="S417" s="80" t="str">
        <f aca="false">IF(OR($A417&lt;&gt;"",$E417&lt;&gt;""),IF(TRIM($D417)="","Buyer not noted",TRIM($D417)),"")</f>
        <v/>
      </c>
      <c r="T417" s="80" t="n">
        <f aca="false">IF(AND($V417=1,ISNUMBER($M417)),$M417,0)</f>
        <v>0</v>
      </c>
      <c r="U417" s="80" t="str">
        <f aca="false">IF($V417=1,IF(COUNTIFS($S$7:$S417,$S417,$V$7:$V417,1)=1,SUMIFS($T$7:$T$1006,$S$7:$S$1006,$S417)-ROW()/1000000000,""),"")</f>
        <v/>
      </c>
      <c r="V417" s="80" t="n">
        <f aca="false">IF(OR($O417="On hand",$O417="Advance received",$O417="Part realised",$O417="Amount missing"),1,0)</f>
        <v>0</v>
      </c>
      <c r="W417" s="80" t="str">
        <f aca="false">IF(AND($V417=1,N($F417)&gt;0),ROW(),"")</f>
        <v/>
      </c>
      <c r="X417" s="80" t="n">
        <f aca="false">IF(AND(OR($A417&lt;&gt;"",$E417&lt;&gt;""),$O417&lt;&gt;"Cancelled",ISNUMBER($E417),N($F417)+N($H417)&gt;$E417+0.005),1,0)</f>
        <v>0</v>
      </c>
      <c r="Y417" s="80" t="n">
        <f aca="false">IF(AND(OR($A417&lt;&gt;"",$E417&lt;&gt;""),OR($A417="",$E417="")),1,0)</f>
        <v>0</v>
      </c>
      <c r="Z417" s="80" t="n">
        <f aca="false">IF(AND($A417&lt;&gt;"",COUNTIF($A$7:$A$1006,$A417)&gt;1),1,0)</f>
        <v>0</v>
      </c>
    </row>
    <row r="418" customFormat="false" ht="15" hidden="false" customHeight="false" outlineLevel="0" collapsed="false">
      <c r="A418" s="71"/>
      <c r="B418" s="72"/>
      <c r="C418" s="73"/>
      <c r="D418" s="73"/>
      <c r="E418" s="74"/>
      <c r="F418" s="74"/>
      <c r="G418" s="72"/>
      <c r="H418" s="74"/>
      <c r="I418" s="72"/>
      <c r="J418" s="73"/>
      <c r="K418" s="73"/>
      <c r="L418" s="75" t="str">
        <f aca="false">IF(OR($A418&lt;&gt;"",$E418&lt;&gt;""),N($F418)+N($H418),"")</f>
        <v/>
      </c>
      <c r="M418" s="76" t="str">
        <f aca="false">IF(OR($O418="",$O418="Cancelled",$O418="Amount missing"),"",IF($O418="Realised",0,$E418-N($F418)-N($H418)))</f>
        <v/>
      </c>
      <c r="N418" s="77" t="str">
        <f aca="false">IF(OR($M418="",FX=""),"",$M418*FX)</f>
        <v/>
      </c>
      <c r="O418" s="78" t="str">
        <f aca="false">IF(NOT(OR($A418&lt;&gt;"",$E418&lt;&gt;"")),"",IF($J418="Cancelled","Cancelled",IF($E418="","Amount missing",IF(OR($J418="Settled",$E418-N($F418)-N($H418)&lt;=0.005),"Realised",IF(N($H418)&gt;0,"Part realised",IF(N($F418)&gt;0,"Advance received","On hand"))))))</f>
        <v/>
      </c>
      <c r="P418" s="79" t="str">
        <f aca="false">IF(AND($V418=1,ISNUMBER($B418)),AsAt-$B418,"")</f>
        <v/>
      </c>
      <c r="Q418" s="78" t="str">
        <f aca="false">IF($V418&lt;&gt;1,"",IF($P418="","No invoice date",IF($P418&lt;=30,"0–30 days",IF($P418&lt;=60,"31–60 days",IF($P418&lt;=90,"61–90 days","Over 90 days")))))</f>
        <v/>
      </c>
      <c r="R418" s="80" t="str">
        <f aca="false">IF($V418=1,ROW(),"")</f>
        <v/>
      </c>
      <c r="S418" s="80" t="str">
        <f aca="false">IF(OR($A418&lt;&gt;"",$E418&lt;&gt;""),IF(TRIM($D418)="","Buyer not noted",TRIM($D418)),"")</f>
        <v/>
      </c>
      <c r="T418" s="80" t="n">
        <f aca="false">IF(AND($V418=1,ISNUMBER($M418)),$M418,0)</f>
        <v>0</v>
      </c>
      <c r="U418" s="80" t="str">
        <f aca="false">IF($V418=1,IF(COUNTIFS($S$7:$S418,$S418,$V$7:$V418,1)=1,SUMIFS($T$7:$T$1006,$S$7:$S$1006,$S418)-ROW()/1000000000,""),"")</f>
        <v/>
      </c>
      <c r="V418" s="80" t="n">
        <f aca="false">IF(OR($O418="On hand",$O418="Advance received",$O418="Part realised",$O418="Amount missing"),1,0)</f>
        <v>0</v>
      </c>
      <c r="W418" s="80" t="str">
        <f aca="false">IF(AND($V418=1,N($F418)&gt;0),ROW(),"")</f>
        <v/>
      </c>
      <c r="X418" s="80" t="n">
        <f aca="false">IF(AND(OR($A418&lt;&gt;"",$E418&lt;&gt;""),$O418&lt;&gt;"Cancelled",ISNUMBER($E418),N($F418)+N($H418)&gt;$E418+0.005),1,0)</f>
        <v>0</v>
      </c>
      <c r="Y418" s="80" t="n">
        <f aca="false">IF(AND(OR($A418&lt;&gt;"",$E418&lt;&gt;""),OR($A418="",$E418="")),1,0)</f>
        <v>0</v>
      </c>
      <c r="Z418" s="80" t="n">
        <f aca="false">IF(AND($A418&lt;&gt;"",COUNTIF($A$7:$A$1006,$A418)&gt;1),1,0)</f>
        <v>0</v>
      </c>
    </row>
    <row r="419" customFormat="false" ht="15" hidden="false" customHeight="false" outlineLevel="0" collapsed="false">
      <c r="A419" s="71"/>
      <c r="B419" s="72"/>
      <c r="C419" s="73"/>
      <c r="D419" s="73"/>
      <c r="E419" s="74"/>
      <c r="F419" s="74"/>
      <c r="G419" s="72"/>
      <c r="H419" s="74"/>
      <c r="I419" s="72"/>
      <c r="J419" s="73"/>
      <c r="K419" s="73"/>
      <c r="L419" s="75" t="str">
        <f aca="false">IF(OR($A419&lt;&gt;"",$E419&lt;&gt;""),N($F419)+N($H419),"")</f>
        <v/>
      </c>
      <c r="M419" s="76" t="str">
        <f aca="false">IF(OR($O419="",$O419="Cancelled",$O419="Amount missing"),"",IF($O419="Realised",0,$E419-N($F419)-N($H419)))</f>
        <v/>
      </c>
      <c r="N419" s="77" t="str">
        <f aca="false">IF(OR($M419="",FX=""),"",$M419*FX)</f>
        <v/>
      </c>
      <c r="O419" s="78" t="str">
        <f aca="false">IF(NOT(OR($A419&lt;&gt;"",$E419&lt;&gt;"")),"",IF($J419="Cancelled","Cancelled",IF($E419="","Amount missing",IF(OR($J419="Settled",$E419-N($F419)-N($H419)&lt;=0.005),"Realised",IF(N($H419)&gt;0,"Part realised",IF(N($F419)&gt;0,"Advance received","On hand"))))))</f>
        <v/>
      </c>
      <c r="P419" s="79" t="str">
        <f aca="false">IF(AND($V419=1,ISNUMBER($B419)),AsAt-$B419,"")</f>
        <v/>
      </c>
      <c r="Q419" s="78" t="str">
        <f aca="false">IF($V419&lt;&gt;1,"",IF($P419="","No invoice date",IF($P419&lt;=30,"0–30 days",IF($P419&lt;=60,"31–60 days",IF($P419&lt;=90,"61–90 days","Over 90 days")))))</f>
        <v/>
      </c>
      <c r="R419" s="80" t="str">
        <f aca="false">IF($V419=1,ROW(),"")</f>
        <v/>
      </c>
      <c r="S419" s="80" t="str">
        <f aca="false">IF(OR($A419&lt;&gt;"",$E419&lt;&gt;""),IF(TRIM($D419)="","Buyer not noted",TRIM($D419)),"")</f>
        <v/>
      </c>
      <c r="T419" s="80" t="n">
        <f aca="false">IF(AND($V419=1,ISNUMBER($M419)),$M419,0)</f>
        <v>0</v>
      </c>
      <c r="U419" s="80" t="str">
        <f aca="false">IF($V419=1,IF(COUNTIFS($S$7:$S419,$S419,$V$7:$V419,1)=1,SUMIFS($T$7:$T$1006,$S$7:$S$1006,$S419)-ROW()/1000000000,""),"")</f>
        <v/>
      </c>
      <c r="V419" s="80" t="n">
        <f aca="false">IF(OR($O419="On hand",$O419="Advance received",$O419="Part realised",$O419="Amount missing"),1,0)</f>
        <v>0</v>
      </c>
      <c r="W419" s="80" t="str">
        <f aca="false">IF(AND($V419=1,N($F419)&gt;0),ROW(),"")</f>
        <v/>
      </c>
      <c r="X419" s="80" t="n">
        <f aca="false">IF(AND(OR($A419&lt;&gt;"",$E419&lt;&gt;""),$O419&lt;&gt;"Cancelled",ISNUMBER($E419),N($F419)+N($H419)&gt;$E419+0.005),1,0)</f>
        <v>0</v>
      </c>
      <c r="Y419" s="80" t="n">
        <f aca="false">IF(AND(OR($A419&lt;&gt;"",$E419&lt;&gt;""),OR($A419="",$E419="")),1,0)</f>
        <v>0</v>
      </c>
      <c r="Z419" s="80" t="n">
        <f aca="false">IF(AND($A419&lt;&gt;"",COUNTIF($A$7:$A$1006,$A419)&gt;1),1,0)</f>
        <v>0</v>
      </c>
    </row>
    <row r="420" customFormat="false" ht="15" hidden="false" customHeight="false" outlineLevel="0" collapsed="false">
      <c r="A420" s="71"/>
      <c r="B420" s="72"/>
      <c r="C420" s="73"/>
      <c r="D420" s="73"/>
      <c r="E420" s="74"/>
      <c r="F420" s="74"/>
      <c r="G420" s="72"/>
      <c r="H420" s="74"/>
      <c r="I420" s="72"/>
      <c r="J420" s="73"/>
      <c r="K420" s="73"/>
      <c r="L420" s="75" t="str">
        <f aca="false">IF(OR($A420&lt;&gt;"",$E420&lt;&gt;""),N($F420)+N($H420),"")</f>
        <v/>
      </c>
      <c r="M420" s="76" t="str">
        <f aca="false">IF(OR($O420="",$O420="Cancelled",$O420="Amount missing"),"",IF($O420="Realised",0,$E420-N($F420)-N($H420)))</f>
        <v/>
      </c>
      <c r="N420" s="77" t="str">
        <f aca="false">IF(OR($M420="",FX=""),"",$M420*FX)</f>
        <v/>
      </c>
      <c r="O420" s="78" t="str">
        <f aca="false">IF(NOT(OR($A420&lt;&gt;"",$E420&lt;&gt;"")),"",IF($J420="Cancelled","Cancelled",IF($E420="","Amount missing",IF(OR($J420="Settled",$E420-N($F420)-N($H420)&lt;=0.005),"Realised",IF(N($H420)&gt;0,"Part realised",IF(N($F420)&gt;0,"Advance received","On hand"))))))</f>
        <v/>
      </c>
      <c r="P420" s="79" t="str">
        <f aca="false">IF(AND($V420=1,ISNUMBER($B420)),AsAt-$B420,"")</f>
        <v/>
      </c>
      <c r="Q420" s="78" t="str">
        <f aca="false">IF($V420&lt;&gt;1,"",IF($P420="","No invoice date",IF($P420&lt;=30,"0–30 days",IF($P420&lt;=60,"31–60 days",IF($P420&lt;=90,"61–90 days","Over 90 days")))))</f>
        <v/>
      </c>
      <c r="R420" s="80" t="str">
        <f aca="false">IF($V420=1,ROW(),"")</f>
        <v/>
      </c>
      <c r="S420" s="80" t="str">
        <f aca="false">IF(OR($A420&lt;&gt;"",$E420&lt;&gt;""),IF(TRIM($D420)="","Buyer not noted",TRIM($D420)),"")</f>
        <v/>
      </c>
      <c r="T420" s="80" t="n">
        <f aca="false">IF(AND($V420=1,ISNUMBER($M420)),$M420,0)</f>
        <v>0</v>
      </c>
      <c r="U420" s="80" t="str">
        <f aca="false">IF($V420=1,IF(COUNTIFS($S$7:$S420,$S420,$V$7:$V420,1)=1,SUMIFS($T$7:$T$1006,$S$7:$S$1006,$S420)-ROW()/1000000000,""),"")</f>
        <v/>
      </c>
      <c r="V420" s="80" t="n">
        <f aca="false">IF(OR($O420="On hand",$O420="Advance received",$O420="Part realised",$O420="Amount missing"),1,0)</f>
        <v>0</v>
      </c>
      <c r="W420" s="80" t="str">
        <f aca="false">IF(AND($V420=1,N($F420)&gt;0),ROW(),"")</f>
        <v/>
      </c>
      <c r="X420" s="80" t="n">
        <f aca="false">IF(AND(OR($A420&lt;&gt;"",$E420&lt;&gt;""),$O420&lt;&gt;"Cancelled",ISNUMBER($E420),N($F420)+N($H420)&gt;$E420+0.005),1,0)</f>
        <v>0</v>
      </c>
      <c r="Y420" s="80" t="n">
        <f aca="false">IF(AND(OR($A420&lt;&gt;"",$E420&lt;&gt;""),OR($A420="",$E420="")),1,0)</f>
        <v>0</v>
      </c>
      <c r="Z420" s="80" t="n">
        <f aca="false">IF(AND($A420&lt;&gt;"",COUNTIF($A$7:$A$1006,$A420)&gt;1),1,0)</f>
        <v>0</v>
      </c>
    </row>
    <row r="421" customFormat="false" ht="15" hidden="false" customHeight="false" outlineLevel="0" collapsed="false">
      <c r="A421" s="71"/>
      <c r="B421" s="72"/>
      <c r="C421" s="73"/>
      <c r="D421" s="73"/>
      <c r="E421" s="74"/>
      <c r="F421" s="74"/>
      <c r="G421" s="72"/>
      <c r="H421" s="74"/>
      <c r="I421" s="72"/>
      <c r="J421" s="73"/>
      <c r="K421" s="73"/>
      <c r="L421" s="75" t="str">
        <f aca="false">IF(OR($A421&lt;&gt;"",$E421&lt;&gt;""),N($F421)+N($H421),"")</f>
        <v/>
      </c>
      <c r="M421" s="76" t="str">
        <f aca="false">IF(OR($O421="",$O421="Cancelled",$O421="Amount missing"),"",IF($O421="Realised",0,$E421-N($F421)-N($H421)))</f>
        <v/>
      </c>
      <c r="N421" s="77" t="str">
        <f aca="false">IF(OR($M421="",FX=""),"",$M421*FX)</f>
        <v/>
      </c>
      <c r="O421" s="78" t="str">
        <f aca="false">IF(NOT(OR($A421&lt;&gt;"",$E421&lt;&gt;"")),"",IF($J421="Cancelled","Cancelled",IF($E421="","Amount missing",IF(OR($J421="Settled",$E421-N($F421)-N($H421)&lt;=0.005),"Realised",IF(N($H421)&gt;0,"Part realised",IF(N($F421)&gt;0,"Advance received","On hand"))))))</f>
        <v/>
      </c>
      <c r="P421" s="79" t="str">
        <f aca="false">IF(AND($V421=1,ISNUMBER($B421)),AsAt-$B421,"")</f>
        <v/>
      </c>
      <c r="Q421" s="78" t="str">
        <f aca="false">IF($V421&lt;&gt;1,"",IF($P421="","No invoice date",IF($P421&lt;=30,"0–30 days",IF($P421&lt;=60,"31–60 days",IF($P421&lt;=90,"61–90 days","Over 90 days")))))</f>
        <v/>
      </c>
      <c r="R421" s="80" t="str">
        <f aca="false">IF($V421=1,ROW(),"")</f>
        <v/>
      </c>
      <c r="S421" s="80" t="str">
        <f aca="false">IF(OR($A421&lt;&gt;"",$E421&lt;&gt;""),IF(TRIM($D421)="","Buyer not noted",TRIM($D421)),"")</f>
        <v/>
      </c>
      <c r="T421" s="80" t="n">
        <f aca="false">IF(AND($V421=1,ISNUMBER($M421)),$M421,0)</f>
        <v>0</v>
      </c>
      <c r="U421" s="80" t="str">
        <f aca="false">IF($V421=1,IF(COUNTIFS($S$7:$S421,$S421,$V$7:$V421,1)=1,SUMIFS($T$7:$T$1006,$S$7:$S$1006,$S421)-ROW()/1000000000,""),"")</f>
        <v/>
      </c>
      <c r="V421" s="80" t="n">
        <f aca="false">IF(OR($O421="On hand",$O421="Advance received",$O421="Part realised",$O421="Amount missing"),1,0)</f>
        <v>0</v>
      </c>
      <c r="W421" s="80" t="str">
        <f aca="false">IF(AND($V421=1,N($F421)&gt;0),ROW(),"")</f>
        <v/>
      </c>
      <c r="X421" s="80" t="n">
        <f aca="false">IF(AND(OR($A421&lt;&gt;"",$E421&lt;&gt;""),$O421&lt;&gt;"Cancelled",ISNUMBER($E421),N($F421)+N($H421)&gt;$E421+0.005),1,0)</f>
        <v>0</v>
      </c>
      <c r="Y421" s="80" t="n">
        <f aca="false">IF(AND(OR($A421&lt;&gt;"",$E421&lt;&gt;""),OR($A421="",$E421="")),1,0)</f>
        <v>0</v>
      </c>
      <c r="Z421" s="80" t="n">
        <f aca="false">IF(AND($A421&lt;&gt;"",COUNTIF($A$7:$A$1006,$A421)&gt;1),1,0)</f>
        <v>0</v>
      </c>
    </row>
    <row r="422" customFormat="false" ht="15" hidden="false" customHeight="false" outlineLevel="0" collapsed="false">
      <c r="A422" s="71"/>
      <c r="B422" s="72"/>
      <c r="C422" s="73"/>
      <c r="D422" s="73"/>
      <c r="E422" s="74"/>
      <c r="F422" s="74"/>
      <c r="G422" s="72"/>
      <c r="H422" s="74"/>
      <c r="I422" s="72"/>
      <c r="J422" s="73"/>
      <c r="K422" s="73"/>
      <c r="L422" s="75" t="str">
        <f aca="false">IF(OR($A422&lt;&gt;"",$E422&lt;&gt;""),N($F422)+N($H422),"")</f>
        <v/>
      </c>
      <c r="M422" s="76" t="str">
        <f aca="false">IF(OR($O422="",$O422="Cancelled",$O422="Amount missing"),"",IF($O422="Realised",0,$E422-N($F422)-N($H422)))</f>
        <v/>
      </c>
      <c r="N422" s="77" t="str">
        <f aca="false">IF(OR($M422="",FX=""),"",$M422*FX)</f>
        <v/>
      </c>
      <c r="O422" s="78" t="str">
        <f aca="false">IF(NOT(OR($A422&lt;&gt;"",$E422&lt;&gt;"")),"",IF($J422="Cancelled","Cancelled",IF($E422="","Amount missing",IF(OR($J422="Settled",$E422-N($F422)-N($H422)&lt;=0.005),"Realised",IF(N($H422)&gt;0,"Part realised",IF(N($F422)&gt;0,"Advance received","On hand"))))))</f>
        <v/>
      </c>
      <c r="P422" s="79" t="str">
        <f aca="false">IF(AND($V422=1,ISNUMBER($B422)),AsAt-$B422,"")</f>
        <v/>
      </c>
      <c r="Q422" s="78" t="str">
        <f aca="false">IF($V422&lt;&gt;1,"",IF($P422="","No invoice date",IF($P422&lt;=30,"0–30 days",IF($P422&lt;=60,"31–60 days",IF($P422&lt;=90,"61–90 days","Over 90 days")))))</f>
        <v/>
      </c>
      <c r="R422" s="80" t="str">
        <f aca="false">IF($V422=1,ROW(),"")</f>
        <v/>
      </c>
      <c r="S422" s="80" t="str">
        <f aca="false">IF(OR($A422&lt;&gt;"",$E422&lt;&gt;""),IF(TRIM($D422)="","Buyer not noted",TRIM($D422)),"")</f>
        <v/>
      </c>
      <c r="T422" s="80" t="n">
        <f aca="false">IF(AND($V422=1,ISNUMBER($M422)),$M422,0)</f>
        <v>0</v>
      </c>
      <c r="U422" s="80" t="str">
        <f aca="false">IF($V422=1,IF(COUNTIFS($S$7:$S422,$S422,$V$7:$V422,1)=1,SUMIFS($T$7:$T$1006,$S$7:$S$1006,$S422)-ROW()/1000000000,""),"")</f>
        <v/>
      </c>
      <c r="V422" s="80" t="n">
        <f aca="false">IF(OR($O422="On hand",$O422="Advance received",$O422="Part realised",$O422="Amount missing"),1,0)</f>
        <v>0</v>
      </c>
      <c r="W422" s="80" t="str">
        <f aca="false">IF(AND($V422=1,N($F422)&gt;0),ROW(),"")</f>
        <v/>
      </c>
      <c r="X422" s="80" t="n">
        <f aca="false">IF(AND(OR($A422&lt;&gt;"",$E422&lt;&gt;""),$O422&lt;&gt;"Cancelled",ISNUMBER($E422),N($F422)+N($H422)&gt;$E422+0.005),1,0)</f>
        <v>0</v>
      </c>
      <c r="Y422" s="80" t="n">
        <f aca="false">IF(AND(OR($A422&lt;&gt;"",$E422&lt;&gt;""),OR($A422="",$E422="")),1,0)</f>
        <v>0</v>
      </c>
      <c r="Z422" s="80" t="n">
        <f aca="false">IF(AND($A422&lt;&gt;"",COUNTIF($A$7:$A$1006,$A422)&gt;1),1,0)</f>
        <v>0</v>
      </c>
    </row>
    <row r="423" customFormat="false" ht="15" hidden="false" customHeight="false" outlineLevel="0" collapsed="false">
      <c r="A423" s="71"/>
      <c r="B423" s="72"/>
      <c r="C423" s="73"/>
      <c r="D423" s="73"/>
      <c r="E423" s="74"/>
      <c r="F423" s="74"/>
      <c r="G423" s="72"/>
      <c r="H423" s="74"/>
      <c r="I423" s="72"/>
      <c r="J423" s="73"/>
      <c r="K423" s="73"/>
      <c r="L423" s="75" t="str">
        <f aca="false">IF(OR($A423&lt;&gt;"",$E423&lt;&gt;""),N($F423)+N($H423),"")</f>
        <v/>
      </c>
      <c r="M423" s="76" t="str">
        <f aca="false">IF(OR($O423="",$O423="Cancelled",$O423="Amount missing"),"",IF($O423="Realised",0,$E423-N($F423)-N($H423)))</f>
        <v/>
      </c>
      <c r="N423" s="77" t="str">
        <f aca="false">IF(OR($M423="",FX=""),"",$M423*FX)</f>
        <v/>
      </c>
      <c r="O423" s="78" t="str">
        <f aca="false">IF(NOT(OR($A423&lt;&gt;"",$E423&lt;&gt;"")),"",IF($J423="Cancelled","Cancelled",IF($E423="","Amount missing",IF(OR($J423="Settled",$E423-N($F423)-N($H423)&lt;=0.005),"Realised",IF(N($H423)&gt;0,"Part realised",IF(N($F423)&gt;0,"Advance received","On hand"))))))</f>
        <v/>
      </c>
      <c r="P423" s="79" t="str">
        <f aca="false">IF(AND($V423=1,ISNUMBER($B423)),AsAt-$B423,"")</f>
        <v/>
      </c>
      <c r="Q423" s="78" t="str">
        <f aca="false">IF($V423&lt;&gt;1,"",IF($P423="","No invoice date",IF($P423&lt;=30,"0–30 days",IF($P423&lt;=60,"31–60 days",IF($P423&lt;=90,"61–90 days","Over 90 days")))))</f>
        <v/>
      </c>
      <c r="R423" s="80" t="str">
        <f aca="false">IF($V423=1,ROW(),"")</f>
        <v/>
      </c>
      <c r="S423" s="80" t="str">
        <f aca="false">IF(OR($A423&lt;&gt;"",$E423&lt;&gt;""),IF(TRIM($D423)="","Buyer not noted",TRIM($D423)),"")</f>
        <v/>
      </c>
      <c r="T423" s="80" t="n">
        <f aca="false">IF(AND($V423=1,ISNUMBER($M423)),$M423,0)</f>
        <v>0</v>
      </c>
      <c r="U423" s="80" t="str">
        <f aca="false">IF($V423=1,IF(COUNTIFS($S$7:$S423,$S423,$V$7:$V423,1)=1,SUMIFS($T$7:$T$1006,$S$7:$S$1006,$S423)-ROW()/1000000000,""),"")</f>
        <v/>
      </c>
      <c r="V423" s="80" t="n">
        <f aca="false">IF(OR($O423="On hand",$O423="Advance received",$O423="Part realised",$O423="Amount missing"),1,0)</f>
        <v>0</v>
      </c>
      <c r="W423" s="80" t="str">
        <f aca="false">IF(AND($V423=1,N($F423)&gt;0),ROW(),"")</f>
        <v/>
      </c>
      <c r="X423" s="80" t="n">
        <f aca="false">IF(AND(OR($A423&lt;&gt;"",$E423&lt;&gt;""),$O423&lt;&gt;"Cancelled",ISNUMBER($E423),N($F423)+N($H423)&gt;$E423+0.005),1,0)</f>
        <v>0</v>
      </c>
      <c r="Y423" s="80" t="n">
        <f aca="false">IF(AND(OR($A423&lt;&gt;"",$E423&lt;&gt;""),OR($A423="",$E423="")),1,0)</f>
        <v>0</v>
      </c>
      <c r="Z423" s="80" t="n">
        <f aca="false">IF(AND($A423&lt;&gt;"",COUNTIF($A$7:$A$1006,$A423)&gt;1),1,0)</f>
        <v>0</v>
      </c>
    </row>
    <row r="424" customFormat="false" ht="15" hidden="false" customHeight="false" outlineLevel="0" collapsed="false">
      <c r="A424" s="71"/>
      <c r="B424" s="72"/>
      <c r="C424" s="73"/>
      <c r="D424" s="73"/>
      <c r="E424" s="74"/>
      <c r="F424" s="74"/>
      <c r="G424" s="72"/>
      <c r="H424" s="74"/>
      <c r="I424" s="72"/>
      <c r="J424" s="73"/>
      <c r="K424" s="73"/>
      <c r="L424" s="75" t="str">
        <f aca="false">IF(OR($A424&lt;&gt;"",$E424&lt;&gt;""),N($F424)+N($H424),"")</f>
        <v/>
      </c>
      <c r="M424" s="76" t="str">
        <f aca="false">IF(OR($O424="",$O424="Cancelled",$O424="Amount missing"),"",IF($O424="Realised",0,$E424-N($F424)-N($H424)))</f>
        <v/>
      </c>
      <c r="N424" s="77" t="str">
        <f aca="false">IF(OR($M424="",FX=""),"",$M424*FX)</f>
        <v/>
      </c>
      <c r="O424" s="78" t="str">
        <f aca="false">IF(NOT(OR($A424&lt;&gt;"",$E424&lt;&gt;"")),"",IF($J424="Cancelled","Cancelled",IF($E424="","Amount missing",IF(OR($J424="Settled",$E424-N($F424)-N($H424)&lt;=0.005),"Realised",IF(N($H424)&gt;0,"Part realised",IF(N($F424)&gt;0,"Advance received","On hand"))))))</f>
        <v/>
      </c>
      <c r="P424" s="79" t="str">
        <f aca="false">IF(AND($V424=1,ISNUMBER($B424)),AsAt-$B424,"")</f>
        <v/>
      </c>
      <c r="Q424" s="78" t="str">
        <f aca="false">IF($V424&lt;&gt;1,"",IF($P424="","No invoice date",IF($P424&lt;=30,"0–30 days",IF($P424&lt;=60,"31–60 days",IF($P424&lt;=90,"61–90 days","Over 90 days")))))</f>
        <v/>
      </c>
      <c r="R424" s="80" t="str">
        <f aca="false">IF($V424=1,ROW(),"")</f>
        <v/>
      </c>
      <c r="S424" s="80" t="str">
        <f aca="false">IF(OR($A424&lt;&gt;"",$E424&lt;&gt;""),IF(TRIM($D424)="","Buyer not noted",TRIM($D424)),"")</f>
        <v/>
      </c>
      <c r="T424" s="80" t="n">
        <f aca="false">IF(AND($V424=1,ISNUMBER($M424)),$M424,0)</f>
        <v>0</v>
      </c>
      <c r="U424" s="80" t="str">
        <f aca="false">IF($V424=1,IF(COUNTIFS($S$7:$S424,$S424,$V$7:$V424,1)=1,SUMIFS($T$7:$T$1006,$S$7:$S$1006,$S424)-ROW()/1000000000,""),"")</f>
        <v/>
      </c>
      <c r="V424" s="80" t="n">
        <f aca="false">IF(OR($O424="On hand",$O424="Advance received",$O424="Part realised",$O424="Amount missing"),1,0)</f>
        <v>0</v>
      </c>
      <c r="W424" s="80" t="str">
        <f aca="false">IF(AND($V424=1,N($F424)&gt;0),ROW(),"")</f>
        <v/>
      </c>
      <c r="X424" s="80" t="n">
        <f aca="false">IF(AND(OR($A424&lt;&gt;"",$E424&lt;&gt;""),$O424&lt;&gt;"Cancelled",ISNUMBER($E424),N($F424)+N($H424)&gt;$E424+0.005),1,0)</f>
        <v>0</v>
      </c>
      <c r="Y424" s="80" t="n">
        <f aca="false">IF(AND(OR($A424&lt;&gt;"",$E424&lt;&gt;""),OR($A424="",$E424="")),1,0)</f>
        <v>0</v>
      </c>
      <c r="Z424" s="80" t="n">
        <f aca="false">IF(AND($A424&lt;&gt;"",COUNTIF($A$7:$A$1006,$A424)&gt;1),1,0)</f>
        <v>0</v>
      </c>
    </row>
    <row r="425" customFormat="false" ht="15" hidden="false" customHeight="false" outlineLevel="0" collapsed="false">
      <c r="A425" s="71"/>
      <c r="B425" s="72"/>
      <c r="C425" s="73"/>
      <c r="D425" s="73"/>
      <c r="E425" s="74"/>
      <c r="F425" s="74"/>
      <c r="G425" s="72"/>
      <c r="H425" s="74"/>
      <c r="I425" s="72"/>
      <c r="J425" s="73"/>
      <c r="K425" s="73"/>
      <c r="L425" s="75" t="str">
        <f aca="false">IF(OR($A425&lt;&gt;"",$E425&lt;&gt;""),N($F425)+N($H425),"")</f>
        <v/>
      </c>
      <c r="M425" s="76" t="str">
        <f aca="false">IF(OR($O425="",$O425="Cancelled",$O425="Amount missing"),"",IF($O425="Realised",0,$E425-N($F425)-N($H425)))</f>
        <v/>
      </c>
      <c r="N425" s="77" t="str">
        <f aca="false">IF(OR($M425="",FX=""),"",$M425*FX)</f>
        <v/>
      </c>
      <c r="O425" s="78" t="str">
        <f aca="false">IF(NOT(OR($A425&lt;&gt;"",$E425&lt;&gt;"")),"",IF($J425="Cancelled","Cancelled",IF($E425="","Amount missing",IF(OR($J425="Settled",$E425-N($F425)-N($H425)&lt;=0.005),"Realised",IF(N($H425)&gt;0,"Part realised",IF(N($F425)&gt;0,"Advance received","On hand"))))))</f>
        <v/>
      </c>
      <c r="P425" s="79" t="str">
        <f aca="false">IF(AND($V425=1,ISNUMBER($B425)),AsAt-$B425,"")</f>
        <v/>
      </c>
      <c r="Q425" s="78" t="str">
        <f aca="false">IF($V425&lt;&gt;1,"",IF($P425="","No invoice date",IF($P425&lt;=30,"0–30 days",IF($P425&lt;=60,"31–60 days",IF($P425&lt;=90,"61–90 days","Over 90 days")))))</f>
        <v/>
      </c>
      <c r="R425" s="80" t="str">
        <f aca="false">IF($V425=1,ROW(),"")</f>
        <v/>
      </c>
      <c r="S425" s="80" t="str">
        <f aca="false">IF(OR($A425&lt;&gt;"",$E425&lt;&gt;""),IF(TRIM($D425)="","Buyer not noted",TRIM($D425)),"")</f>
        <v/>
      </c>
      <c r="T425" s="80" t="n">
        <f aca="false">IF(AND($V425=1,ISNUMBER($M425)),$M425,0)</f>
        <v>0</v>
      </c>
      <c r="U425" s="80" t="str">
        <f aca="false">IF($V425=1,IF(COUNTIFS($S$7:$S425,$S425,$V$7:$V425,1)=1,SUMIFS($T$7:$T$1006,$S$7:$S$1006,$S425)-ROW()/1000000000,""),"")</f>
        <v/>
      </c>
      <c r="V425" s="80" t="n">
        <f aca="false">IF(OR($O425="On hand",$O425="Advance received",$O425="Part realised",$O425="Amount missing"),1,0)</f>
        <v>0</v>
      </c>
      <c r="W425" s="80" t="str">
        <f aca="false">IF(AND($V425=1,N($F425)&gt;0),ROW(),"")</f>
        <v/>
      </c>
      <c r="X425" s="80" t="n">
        <f aca="false">IF(AND(OR($A425&lt;&gt;"",$E425&lt;&gt;""),$O425&lt;&gt;"Cancelled",ISNUMBER($E425),N($F425)+N($H425)&gt;$E425+0.005),1,0)</f>
        <v>0</v>
      </c>
      <c r="Y425" s="80" t="n">
        <f aca="false">IF(AND(OR($A425&lt;&gt;"",$E425&lt;&gt;""),OR($A425="",$E425="")),1,0)</f>
        <v>0</v>
      </c>
      <c r="Z425" s="80" t="n">
        <f aca="false">IF(AND($A425&lt;&gt;"",COUNTIF($A$7:$A$1006,$A425)&gt;1),1,0)</f>
        <v>0</v>
      </c>
    </row>
    <row r="426" customFormat="false" ht="15" hidden="false" customHeight="false" outlineLevel="0" collapsed="false">
      <c r="A426" s="71"/>
      <c r="B426" s="72"/>
      <c r="C426" s="73"/>
      <c r="D426" s="73"/>
      <c r="E426" s="74"/>
      <c r="F426" s="74"/>
      <c r="G426" s="72"/>
      <c r="H426" s="74"/>
      <c r="I426" s="72"/>
      <c r="J426" s="73"/>
      <c r="K426" s="73"/>
      <c r="L426" s="75" t="str">
        <f aca="false">IF(OR($A426&lt;&gt;"",$E426&lt;&gt;""),N($F426)+N($H426),"")</f>
        <v/>
      </c>
      <c r="M426" s="76" t="str">
        <f aca="false">IF(OR($O426="",$O426="Cancelled",$O426="Amount missing"),"",IF($O426="Realised",0,$E426-N($F426)-N($H426)))</f>
        <v/>
      </c>
      <c r="N426" s="77" t="str">
        <f aca="false">IF(OR($M426="",FX=""),"",$M426*FX)</f>
        <v/>
      </c>
      <c r="O426" s="78" t="str">
        <f aca="false">IF(NOT(OR($A426&lt;&gt;"",$E426&lt;&gt;"")),"",IF($J426="Cancelled","Cancelled",IF($E426="","Amount missing",IF(OR($J426="Settled",$E426-N($F426)-N($H426)&lt;=0.005),"Realised",IF(N($H426)&gt;0,"Part realised",IF(N($F426)&gt;0,"Advance received","On hand"))))))</f>
        <v/>
      </c>
      <c r="P426" s="79" t="str">
        <f aca="false">IF(AND($V426=1,ISNUMBER($B426)),AsAt-$B426,"")</f>
        <v/>
      </c>
      <c r="Q426" s="78" t="str">
        <f aca="false">IF($V426&lt;&gt;1,"",IF($P426="","No invoice date",IF($P426&lt;=30,"0–30 days",IF($P426&lt;=60,"31–60 days",IF($P426&lt;=90,"61–90 days","Over 90 days")))))</f>
        <v/>
      </c>
      <c r="R426" s="80" t="str">
        <f aca="false">IF($V426=1,ROW(),"")</f>
        <v/>
      </c>
      <c r="S426" s="80" t="str">
        <f aca="false">IF(OR($A426&lt;&gt;"",$E426&lt;&gt;""),IF(TRIM($D426)="","Buyer not noted",TRIM($D426)),"")</f>
        <v/>
      </c>
      <c r="T426" s="80" t="n">
        <f aca="false">IF(AND($V426=1,ISNUMBER($M426)),$M426,0)</f>
        <v>0</v>
      </c>
      <c r="U426" s="80" t="str">
        <f aca="false">IF($V426=1,IF(COUNTIFS($S$7:$S426,$S426,$V$7:$V426,1)=1,SUMIFS($T$7:$T$1006,$S$7:$S$1006,$S426)-ROW()/1000000000,""),"")</f>
        <v/>
      </c>
      <c r="V426" s="80" t="n">
        <f aca="false">IF(OR($O426="On hand",$O426="Advance received",$O426="Part realised",$O426="Amount missing"),1,0)</f>
        <v>0</v>
      </c>
      <c r="W426" s="80" t="str">
        <f aca="false">IF(AND($V426=1,N($F426)&gt;0),ROW(),"")</f>
        <v/>
      </c>
      <c r="X426" s="80" t="n">
        <f aca="false">IF(AND(OR($A426&lt;&gt;"",$E426&lt;&gt;""),$O426&lt;&gt;"Cancelled",ISNUMBER($E426),N($F426)+N($H426)&gt;$E426+0.005),1,0)</f>
        <v>0</v>
      </c>
      <c r="Y426" s="80" t="n">
        <f aca="false">IF(AND(OR($A426&lt;&gt;"",$E426&lt;&gt;""),OR($A426="",$E426="")),1,0)</f>
        <v>0</v>
      </c>
      <c r="Z426" s="80" t="n">
        <f aca="false">IF(AND($A426&lt;&gt;"",COUNTIF($A$7:$A$1006,$A426)&gt;1),1,0)</f>
        <v>0</v>
      </c>
    </row>
    <row r="427" customFormat="false" ht="15" hidden="false" customHeight="false" outlineLevel="0" collapsed="false">
      <c r="A427" s="71"/>
      <c r="B427" s="72"/>
      <c r="C427" s="73"/>
      <c r="D427" s="73"/>
      <c r="E427" s="74"/>
      <c r="F427" s="74"/>
      <c r="G427" s="72"/>
      <c r="H427" s="74"/>
      <c r="I427" s="72"/>
      <c r="J427" s="73"/>
      <c r="K427" s="73"/>
      <c r="L427" s="75" t="str">
        <f aca="false">IF(OR($A427&lt;&gt;"",$E427&lt;&gt;""),N($F427)+N($H427),"")</f>
        <v/>
      </c>
      <c r="M427" s="76" t="str">
        <f aca="false">IF(OR($O427="",$O427="Cancelled",$O427="Amount missing"),"",IF($O427="Realised",0,$E427-N($F427)-N($H427)))</f>
        <v/>
      </c>
      <c r="N427" s="77" t="str">
        <f aca="false">IF(OR($M427="",FX=""),"",$M427*FX)</f>
        <v/>
      </c>
      <c r="O427" s="78" t="str">
        <f aca="false">IF(NOT(OR($A427&lt;&gt;"",$E427&lt;&gt;"")),"",IF($J427="Cancelled","Cancelled",IF($E427="","Amount missing",IF(OR($J427="Settled",$E427-N($F427)-N($H427)&lt;=0.005),"Realised",IF(N($H427)&gt;0,"Part realised",IF(N($F427)&gt;0,"Advance received","On hand"))))))</f>
        <v/>
      </c>
      <c r="P427" s="79" t="str">
        <f aca="false">IF(AND($V427=1,ISNUMBER($B427)),AsAt-$B427,"")</f>
        <v/>
      </c>
      <c r="Q427" s="78" t="str">
        <f aca="false">IF($V427&lt;&gt;1,"",IF($P427="","No invoice date",IF($P427&lt;=30,"0–30 days",IF($P427&lt;=60,"31–60 days",IF($P427&lt;=90,"61–90 days","Over 90 days")))))</f>
        <v/>
      </c>
      <c r="R427" s="80" t="str">
        <f aca="false">IF($V427=1,ROW(),"")</f>
        <v/>
      </c>
      <c r="S427" s="80" t="str">
        <f aca="false">IF(OR($A427&lt;&gt;"",$E427&lt;&gt;""),IF(TRIM($D427)="","Buyer not noted",TRIM($D427)),"")</f>
        <v/>
      </c>
      <c r="T427" s="80" t="n">
        <f aca="false">IF(AND($V427=1,ISNUMBER($M427)),$M427,0)</f>
        <v>0</v>
      </c>
      <c r="U427" s="80" t="str">
        <f aca="false">IF($V427=1,IF(COUNTIFS($S$7:$S427,$S427,$V$7:$V427,1)=1,SUMIFS($T$7:$T$1006,$S$7:$S$1006,$S427)-ROW()/1000000000,""),"")</f>
        <v/>
      </c>
      <c r="V427" s="80" t="n">
        <f aca="false">IF(OR($O427="On hand",$O427="Advance received",$O427="Part realised",$O427="Amount missing"),1,0)</f>
        <v>0</v>
      </c>
      <c r="W427" s="80" t="str">
        <f aca="false">IF(AND($V427=1,N($F427)&gt;0),ROW(),"")</f>
        <v/>
      </c>
      <c r="X427" s="80" t="n">
        <f aca="false">IF(AND(OR($A427&lt;&gt;"",$E427&lt;&gt;""),$O427&lt;&gt;"Cancelled",ISNUMBER($E427),N($F427)+N($H427)&gt;$E427+0.005),1,0)</f>
        <v>0</v>
      </c>
      <c r="Y427" s="80" t="n">
        <f aca="false">IF(AND(OR($A427&lt;&gt;"",$E427&lt;&gt;""),OR($A427="",$E427="")),1,0)</f>
        <v>0</v>
      </c>
      <c r="Z427" s="80" t="n">
        <f aca="false">IF(AND($A427&lt;&gt;"",COUNTIF($A$7:$A$1006,$A427)&gt;1),1,0)</f>
        <v>0</v>
      </c>
    </row>
    <row r="428" customFormat="false" ht="15" hidden="false" customHeight="false" outlineLevel="0" collapsed="false">
      <c r="A428" s="71"/>
      <c r="B428" s="72"/>
      <c r="C428" s="73"/>
      <c r="D428" s="73"/>
      <c r="E428" s="74"/>
      <c r="F428" s="74"/>
      <c r="G428" s="72"/>
      <c r="H428" s="74"/>
      <c r="I428" s="72"/>
      <c r="J428" s="73"/>
      <c r="K428" s="73"/>
      <c r="L428" s="75" t="str">
        <f aca="false">IF(OR($A428&lt;&gt;"",$E428&lt;&gt;""),N($F428)+N($H428),"")</f>
        <v/>
      </c>
      <c r="M428" s="76" t="str">
        <f aca="false">IF(OR($O428="",$O428="Cancelled",$O428="Amount missing"),"",IF($O428="Realised",0,$E428-N($F428)-N($H428)))</f>
        <v/>
      </c>
      <c r="N428" s="77" t="str">
        <f aca="false">IF(OR($M428="",FX=""),"",$M428*FX)</f>
        <v/>
      </c>
      <c r="O428" s="78" t="str">
        <f aca="false">IF(NOT(OR($A428&lt;&gt;"",$E428&lt;&gt;"")),"",IF($J428="Cancelled","Cancelled",IF($E428="","Amount missing",IF(OR($J428="Settled",$E428-N($F428)-N($H428)&lt;=0.005),"Realised",IF(N($H428)&gt;0,"Part realised",IF(N($F428)&gt;0,"Advance received","On hand"))))))</f>
        <v/>
      </c>
      <c r="P428" s="79" t="str">
        <f aca="false">IF(AND($V428=1,ISNUMBER($B428)),AsAt-$B428,"")</f>
        <v/>
      </c>
      <c r="Q428" s="78" t="str">
        <f aca="false">IF($V428&lt;&gt;1,"",IF($P428="","No invoice date",IF($P428&lt;=30,"0–30 days",IF($P428&lt;=60,"31–60 days",IF($P428&lt;=90,"61–90 days","Over 90 days")))))</f>
        <v/>
      </c>
      <c r="R428" s="80" t="str">
        <f aca="false">IF($V428=1,ROW(),"")</f>
        <v/>
      </c>
      <c r="S428" s="80" t="str">
        <f aca="false">IF(OR($A428&lt;&gt;"",$E428&lt;&gt;""),IF(TRIM($D428)="","Buyer not noted",TRIM($D428)),"")</f>
        <v/>
      </c>
      <c r="T428" s="80" t="n">
        <f aca="false">IF(AND($V428=1,ISNUMBER($M428)),$M428,0)</f>
        <v>0</v>
      </c>
      <c r="U428" s="80" t="str">
        <f aca="false">IF($V428=1,IF(COUNTIFS($S$7:$S428,$S428,$V$7:$V428,1)=1,SUMIFS($T$7:$T$1006,$S$7:$S$1006,$S428)-ROW()/1000000000,""),"")</f>
        <v/>
      </c>
      <c r="V428" s="80" t="n">
        <f aca="false">IF(OR($O428="On hand",$O428="Advance received",$O428="Part realised",$O428="Amount missing"),1,0)</f>
        <v>0</v>
      </c>
      <c r="W428" s="80" t="str">
        <f aca="false">IF(AND($V428=1,N($F428)&gt;0),ROW(),"")</f>
        <v/>
      </c>
      <c r="X428" s="80" t="n">
        <f aca="false">IF(AND(OR($A428&lt;&gt;"",$E428&lt;&gt;""),$O428&lt;&gt;"Cancelled",ISNUMBER($E428),N($F428)+N($H428)&gt;$E428+0.005),1,0)</f>
        <v>0</v>
      </c>
      <c r="Y428" s="80" t="n">
        <f aca="false">IF(AND(OR($A428&lt;&gt;"",$E428&lt;&gt;""),OR($A428="",$E428="")),1,0)</f>
        <v>0</v>
      </c>
      <c r="Z428" s="80" t="n">
        <f aca="false">IF(AND($A428&lt;&gt;"",COUNTIF($A$7:$A$1006,$A428)&gt;1),1,0)</f>
        <v>0</v>
      </c>
    </row>
    <row r="429" customFormat="false" ht="15" hidden="false" customHeight="false" outlineLevel="0" collapsed="false">
      <c r="A429" s="71"/>
      <c r="B429" s="72"/>
      <c r="C429" s="73"/>
      <c r="D429" s="73"/>
      <c r="E429" s="74"/>
      <c r="F429" s="74"/>
      <c r="G429" s="72"/>
      <c r="H429" s="74"/>
      <c r="I429" s="72"/>
      <c r="J429" s="73"/>
      <c r="K429" s="73"/>
      <c r="L429" s="75" t="str">
        <f aca="false">IF(OR($A429&lt;&gt;"",$E429&lt;&gt;""),N($F429)+N($H429),"")</f>
        <v/>
      </c>
      <c r="M429" s="76" t="str">
        <f aca="false">IF(OR($O429="",$O429="Cancelled",$O429="Amount missing"),"",IF($O429="Realised",0,$E429-N($F429)-N($H429)))</f>
        <v/>
      </c>
      <c r="N429" s="77" t="str">
        <f aca="false">IF(OR($M429="",FX=""),"",$M429*FX)</f>
        <v/>
      </c>
      <c r="O429" s="78" t="str">
        <f aca="false">IF(NOT(OR($A429&lt;&gt;"",$E429&lt;&gt;"")),"",IF($J429="Cancelled","Cancelled",IF($E429="","Amount missing",IF(OR($J429="Settled",$E429-N($F429)-N($H429)&lt;=0.005),"Realised",IF(N($H429)&gt;0,"Part realised",IF(N($F429)&gt;0,"Advance received","On hand"))))))</f>
        <v/>
      </c>
      <c r="P429" s="79" t="str">
        <f aca="false">IF(AND($V429=1,ISNUMBER($B429)),AsAt-$B429,"")</f>
        <v/>
      </c>
      <c r="Q429" s="78" t="str">
        <f aca="false">IF($V429&lt;&gt;1,"",IF($P429="","No invoice date",IF($P429&lt;=30,"0–30 days",IF($P429&lt;=60,"31–60 days",IF($P429&lt;=90,"61–90 days","Over 90 days")))))</f>
        <v/>
      </c>
      <c r="R429" s="80" t="str">
        <f aca="false">IF($V429=1,ROW(),"")</f>
        <v/>
      </c>
      <c r="S429" s="80" t="str">
        <f aca="false">IF(OR($A429&lt;&gt;"",$E429&lt;&gt;""),IF(TRIM($D429)="","Buyer not noted",TRIM($D429)),"")</f>
        <v/>
      </c>
      <c r="T429" s="80" t="n">
        <f aca="false">IF(AND($V429=1,ISNUMBER($M429)),$M429,0)</f>
        <v>0</v>
      </c>
      <c r="U429" s="80" t="str">
        <f aca="false">IF($V429=1,IF(COUNTIFS($S$7:$S429,$S429,$V$7:$V429,1)=1,SUMIFS($T$7:$T$1006,$S$7:$S$1006,$S429)-ROW()/1000000000,""),"")</f>
        <v/>
      </c>
      <c r="V429" s="80" t="n">
        <f aca="false">IF(OR($O429="On hand",$O429="Advance received",$O429="Part realised",$O429="Amount missing"),1,0)</f>
        <v>0</v>
      </c>
      <c r="W429" s="80" t="str">
        <f aca="false">IF(AND($V429=1,N($F429)&gt;0),ROW(),"")</f>
        <v/>
      </c>
      <c r="X429" s="80" t="n">
        <f aca="false">IF(AND(OR($A429&lt;&gt;"",$E429&lt;&gt;""),$O429&lt;&gt;"Cancelled",ISNUMBER($E429),N($F429)+N($H429)&gt;$E429+0.005),1,0)</f>
        <v>0</v>
      </c>
      <c r="Y429" s="80" t="n">
        <f aca="false">IF(AND(OR($A429&lt;&gt;"",$E429&lt;&gt;""),OR($A429="",$E429="")),1,0)</f>
        <v>0</v>
      </c>
      <c r="Z429" s="80" t="n">
        <f aca="false">IF(AND($A429&lt;&gt;"",COUNTIF($A$7:$A$1006,$A429)&gt;1),1,0)</f>
        <v>0</v>
      </c>
    </row>
    <row r="430" customFormat="false" ht="15" hidden="false" customHeight="false" outlineLevel="0" collapsed="false">
      <c r="A430" s="71"/>
      <c r="B430" s="72"/>
      <c r="C430" s="73"/>
      <c r="D430" s="73"/>
      <c r="E430" s="74"/>
      <c r="F430" s="74"/>
      <c r="G430" s="72"/>
      <c r="H430" s="74"/>
      <c r="I430" s="72"/>
      <c r="J430" s="73"/>
      <c r="K430" s="73"/>
      <c r="L430" s="75" t="str">
        <f aca="false">IF(OR($A430&lt;&gt;"",$E430&lt;&gt;""),N($F430)+N($H430),"")</f>
        <v/>
      </c>
      <c r="M430" s="76" t="str">
        <f aca="false">IF(OR($O430="",$O430="Cancelled",$O430="Amount missing"),"",IF($O430="Realised",0,$E430-N($F430)-N($H430)))</f>
        <v/>
      </c>
      <c r="N430" s="77" t="str">
        <f aca="false">IF(OR($M430="",FX=""),"",$M430*FX)</f>
        <v/>
      </c>
      <c r="O430" s="78" t="str">
        <f aca="false">IF(NOT(OR($A430&lt;&gt;"",$E430&lt;&gt;"")),"",IF($J430="Cancelled","Cancelled",IF($E430="","Amount missing",IF(OR($J430="Settled",$E430-N($F430)-N($H430)&lt;=0.005),"Realised",IF(N($H430)&gt;0,"Part realised",IF(N($F430)&gt;0,"Advance received","On hand"))))))</f>
        <v/>
      </c>
      <c r="P430" s="79" t="str">
        <f aca="false">IF(AND($V430=1,ISNUMBER($B430)),AsAt-$B430,"")</f>
        <v/>
      </c>
      <c r="Q430" s="78" t="str">
        <f aca="false">IF($V430&lt;&gt;1,"",IF($P430="","No invoice date",IF($P430&lt;=30,"0–30 days",IF($P430&lt;=60,"31–60 days",IF($P430&lt;=90,"61–90 days","Over 90 days")))))</f>
        <v/>
      </c>
      <c r="R430" s="80" t="str">
        <f aca="false">IF($V430=1,ROW(),"")</f>
        <v/>
      </c>
      <c r="S430" s="80" t="str">
        <f aca="false">IF(OR($A430&lt;&gt;"",$E430&lt;&gt;""),IF(TRIM($D430)="","Buyer not noted",TRIM($D430)),"")</f>
        <v/>
      </c>
      <c r="T430" s="80" t="n">
        <f aca="false">IF(AND($V430=1,ISNUMBER($M430)),$M430,0)</f>
        <v>0</v>
      </c>
      <c r="U430" s="80" t="str">
        <f aca="false">IF($V430=1,IF(COUNTIFS($S$7:$S430,$S430,$V$7:$V430,1)=1,SUMIFS($T$7:$T$1006,$S$7:$S$1006,$S430)-ROW()/1000000000,""),"")</f>
        <v/>
      </c>
      <c r="V430" s="80" t="n">
        <f aca="false">IF(OR($O430="On hand",$O430="Advance received",$O430="Part realised",$O430="Amount missing"),1,0)</f>
        <v>0</v>
      </c>
      <c r="W430" s="80" t="str">
        <f aca="false">IF(AND($V430=1,N($F430)&gt;0),ROW(),"")</f>
        <v/>
      </c>
      <c r="X430" s="80" t="n">
        <f aca="false">IF(AND(OR($A430&lt;&gt;"",$E430&lt;&gt;""),$O430&lt;&gt;"Cancelled",ISNUMBER($E430),N($F430)+N($H430)&gt;$E430+0.005),1,0)</f>
        <v>0</v>
      </c>
      <c r="Y430" s="80" t="n">
        <f aca="false">IF(AND(OR($A430&lt;&gt;"",$E430&lt;&gt;""),OR($A430="",$E430="")),1,0)</f>
        <v>0</v>
      </c>
      <c r="Z430" s="80" t="n">
        <f aca="false">IF(AND($A430&lt;&gt;"",COUNTIF($A$7:$A$1006,$A430)&gt;1),1,0)</f>
        <v>0</v>
      </c>
    </row>
    <row r="431" customFormat="false" ht="15" hidden="false" customHeight="false" outlineLevel="0" collapsed="false">
      <c r="A431" s="71"/>
      <c r="B431" s="72"/>
      <c r="C431" s="73"/>
      <c r="D431" s="73"/>
      <c r="E431" s="74"/>
      <c r="F431" s="74"/>
      <c r="G431" s="72"/>
      <c r="H431" s="74"/>
      <c r="I431" s="72"/>
      <c r="J431" s="73"/>
      <c r="K431" s="73"/>
      <c r="L431" s="75" t="str">
        <f aca="false">IF(OR($A431&lt;&gt;"",$E431&lt;&gt;""),N($F431)+N($H431),"")</f>
        <v/>
      </c>
      <c r="M431" s="76" t="str">
        <f aca="false">IF(OR($O431="",$O431="Cancelled",$O431="Amount missing"),"",IF($O431="Realised",0,$E431-N($F431)-N($H431)))</f>
        <v/>
      </c>
      <c r="N431" s="77" t="str">
        <f aca="false">IF(OR($M431="",FX=""),"",$M431*FX)</f>
        <v/>
      </c>
      <c r="O431" s="78" t="str">
        <f aca="false">IF(NOT(OR($A431&lt;&gt;"",$E431&lt;&gt;"")),"",IF($J431="Cancelled","Cancelled",IF($E431="","Amount missing",IF(OR($J431="Settled",$E431-N($F431)-N($H431)&lt;=0.005),"Realised",IF(N($H431)&gt;0,"Part realised",IF(N($F431)&gt;0,"Advance received","On hand"))))))</f>
        <v/>
      </c>
      <c r="P431" s="79" t="str">
        <f aca="false">IF(AND($V431=1,ISNUMBER($B431)),AsAt-$B431,"")</f>
        <v/>
      </c>
      <c r="Q431" s="78" t="str">
        <f aca="false">IF($V431&lt;&gt;1,"",IF($P431="","No invoice date",IF($P431&lt;=30,"0–30 days",IF($P431&lt;=60,"31–60 days",IF($P431&lt;=90,"61–90 days","Over 90 days")))))</f>
        <v/>
      </c>
      <c r="R431" s="80" t="str">
        <f aca="false">IF($V431=1,ROW(),"")</f>
        <v/>
      </c>
      <c r="S431" s="80" t="str">
        <f aca="false">IF(OR($A431&lt;&gt;"",$E431&lt;&gt;""),IF(TRIM($D431)="","Buyer not noted",TRIM($D431)),"")</f>
        <v/>
      </c>
      <c r="T431" s="80" t="n">
        <f aca="false">IF(AND($V431=1,ISNUMBER($M431)),$M431,0)</f>
        <v>0</v>
      </c>
      <c r="U431" s="80" t="str">
        <f aca="false">IF($V431=1,IF(COUNTIFS($S$7:$S431,$S431,$V$7:$V431,1)=1,SUMIFS($T$7:$T$1006,$S$7:$S$1006,$S431)-ROW()/1000000000,""),"")</f>
        <v/>
      </c>
      <c r="V431" s="80" t="n">
        <f aca="false">IF(OR($O431="On hand",$O431="Advance received",$O431="Part realised",$O431="Amount missing"),1,0)</f>
        <v>0</v>
      </c>
      <c r="W431" s="80" t="str">
        <f aca="false">IF(AND($V431=1,N($F431)&gt;0),ROW(),"")</f>
        <v/>
      </c>
      <c r="X431" s="80" t="n">
        <f aca="false">IF(AND(OR($A431&lt;&gt;"",$E431&lt;&gt;""),$O431&lt;&gt;"Cancelled",ISNUMBER($E431),N($F431)+N($H431)&gt;$E431+0.005),1,0)</f>
        <v>0</v>
      </c>
      <c r="Y431" s="80" t="n">
        <f aca="false">IF(AND(OR($A431&lt;&gt;"",$E431&lt;&gt;""),OR($A431="",$E431="")),1,0)</f>
        <v>0</v>
      </c>
      <c r="Z431" s="80" t="n">
        <f aca="false">IF(AND($A431&lt;&gt;"",COUNTIF($A$7:$A$1006,$A431)&gt;1),1,0)</f>
        <v>0</v>
      </c>
    </row>
    <row r="432" customFormat="false" ht="15" hidden="false" customHeight="false" outlineLevel="0" collapsed="false">
      <c r="A432" s="71"/>
      <c r="B432" s="72"/>
      <c r="C432" s="73"/>
      <c r="D432" s="73"/>
      <c r="E432" s="74"/>
      <c r="F432" s="74"/>
      <c r="G432" s="72"/>
      <c r="H432" s="74"/>
      <c r="I432" s="72"/>
      <c r="J432" s="73"/>
      <c r="K432" s="73"/>
      <c r="L432" s="75" t="str">
        <f aca="false">IF(OR($A432&lt;&gt;"",$E432&lt;&gt;""),N($F432)+N($H432),"")</f>
        <v/>
      </c>
      <c r="M432" s="76" t="str">
        <f aca="false">IF(OR($O432="",$O432="Cancelled",$O432="Amount missing"),"",IF($O432="Realised",0,$E432-N($F432)-N($H432)))</f>
        <v/>
      </c>
      <c r="N432" s="77" t="str">
        <f aca="false">IF(OR($M432="",FX=""),"",$M432*FX)</f>
        <v/>
      </c>
      <c r="O432" s="78" t="str">
        <f aca="false">IF(NOT(OR($A432&lt;&gt;"",$E432&lt;&gt;"")),"",IF($J432="Cancelled","Cancelled",IF($E432="","Amount missing",IF(OR($J432="Settled",$E432-N($F432)-N($H432)&lt;=0.005),"Realised",IF(N($H432)&gt;0,"Part realised",IF(N($F432)&gt;0,"Advance received","On hand"))))))</f>
        <v/>
      </c>
      <c r="P432" s="79" t="str">
        <f aca="false">IF(AND($V432=1,ISNUMBER($B432)),AsAt-$B432,"")</f>
        <v/>
      </c>
      <c r="Q432" s="78" t="str">
        <f aca="false">IF($V432&lt;&gt;1,"",IF($P432="","No invoice date",IF($P432&lt;=30,"0–30 days",IF($P432&lt;=60,"31–60 days",IF($P432&lt;=90,"61–90 days","Over 90 days")))))</f>
        <v/>
      </c>
      <c r="R432" s="80" t="str">
        <f aca="false">IF($V432=1,ROW(),"")</f>
        <v/>
      </c>
      <c r="S432" s="80" t="str">
        <f aca="false">IF(OR($A432&lt;&gt;"",$E432&lt;&gt;""),IF(TRIM($D432)="","Buyer not noted",TRIM($D432)),"")</f>
        <v/>
      </c>
      <c r="T432" s="80" t="n">
        <f aca="false">IF(AND($V432=1,ISNUMBER($M432)),$M432,0)</f>
        <v>0</v>
      </c>
      <c r="U432" s="80" t="str">
        <f aca="false">IF($V432=1,IF(COUNTIFS($S$7:$S432,$S432,$V$7:$V432,1)=1,SUMIFS($T$7:$T$1006,$S$7:$S$1006,$S432)-ROW()/1000000000,""),"")</f>
        <v/>
      </c>
      <c r="V432" s="80" t="n">
        <f aca="false">IF(OR($O432="On hand",$O432="Advance received",$O432="Part realised",$O432="Amount missing"),1,0)</f>
        <v>0</v>
      </c>
      <c r="W432" s="80" t="str">
        <f aca="false">IF(AND($V432=1,N($F432)&gt;0),ROW(),"")</f>
        <v/>
      </c>
      <c r="X432" s="80" t="n">
        <f aca="false">IF(AND(OR($A432&lt;&gt;"",$E432&lt;&gt;""),$O432&lt;&gt;"Cancelled",ISNUMBER($E432),N($F432)+N($H432)&gt;$E432+0.005),1,0)</f>
        <v>0</v>
      </c>
      <c r="Y432" s="80" t="n">
        <f aca="false">IF(AND(OR($A432&lt;&gt;"",$E432&lt;&gt;""),OR($A432="",$E432="")),1,0)</f>
        <v>0</v>
      </c>
      <c r="Z432" s="80" t="n">
        <f aca="false">IF(AND($A432&lt;&gt;"",COUNTIF($A$7:$A$1006,$A432)&gt;1),1,0)</f>
        <v>0</v>
      </c>
    </row>
    <row r="433" customFormat="false" ht="15" hidden="false" customHeight="false" outlineLevel="0" collapsed="false">
      <c r="A433" s="71"/>
      <c r="B433" s="72"/>
      <c r="C433" s="73"/>
      <c r="D433" s="73"/>
      <c r="E433" s="74"/>
      <c r="F433" s="74"/>
      <c r="G433" s="72"/>
      <c r="H433" s="74"/>
      <c r="I433" s="72"/>
      <c r="J433" s="73"/>
      <c r="K433" s="73"/>
      <c r="L433" s="75" t="str">
        <f aca="false">IF(OR($A433&lt;&gt;"",$E433&lt;&gt;""),N($F433)+N($H433),"")</f>
        <v/>
      </c>
      <c r="M433" s="76" t="str">
        <f aca="false">IF(OR($O433="",$O433="Cancelled",$O433="Amount missing"),"",IF($O433="Realised",0,$E433-N($F433)-N($H433)))</f>
        <v/>
      </c>
      <c r="N433" s="77" t="str">
        <f aca="false">IF(OR($M433="",FX=""),"",$M433*FX)</f>
        <v/>
      </c>
      <c r="O433" s="78" t="str">
        <f aca="false">IF(NOT(OR($A433&lt;&gt;"",$E433&lt;&gt;"")),"",IF($J433="Cancelled","Cancelled",IF($E433="","Amount missing",IF(OR($J433="Settled",$E433-N($F433)-N($H433)&lt;=0.005),"Realised",IF(N($H433)&gt;0,"Part realised",IF(N($F433)&gt;0,"Advance received","On hand"))))))</f>
        <v/>
      </c>
      <c r="P433" s="79" t="str">
        <f aca="false">IF(AND($V433=1,ISNUMBER($B433)),AsAt-$B433,"")</f>
        <v/>
      </c>
      <c r="Q433" s="78" t="str">
        <f aca="false">IF($V433&lt;&gt;1,"",IF($P433="","No invoice date",IF($P433&lt;=30,"0–30 days",IF($P433&lt;=60,"31–60 days",IF($P433&lt;=90,"61–90 days","Over 90 days")))))</f>
        <v/>
      </c>
      <c r="R433" s="80" t="str">
        <f aca="false">IF($V433=1,ROW(),"")</f>
        <v/>
      </c>
      <c r="S433" s="80" t="str">
        <f aca="false">IF(OR($A433&lt;&gt;"",$E433&lt;&gt;""),IF(TRIM($D433)="","Buyer not noted",TRIM($D433)),"")</f>
        <v/>
      </c>
      <c r="T433" s="80" t="n">
        <f aca="false">IF(AND($V433=1,ISNUMBER($M433)),$M433,0)</f>
        <v>0</v>
      </c>
      <c r="U433" s="80" t="str">
        <f aca="false">IF($V433=1,IF(COUNTIFS($S$7:$S433,$S433,$V$7:$V433,1)=1,SUMIFS($T$7:$T$1006,$S$7:$S$1006,$S433)-ROW()/1000000000,""),"")</f>
        <v/>
      </c>
      <c r="V433" s="80" t="n">
        <f aca="false">IF(OR($O433="On hand",$O433="Advance received",$O433="Part realised",$O433="Amount missing"),1,0)</f>
        <v>0</v>
      </c>
      <c r="W433" s="80" t="str">
        <f aca="false">IF(AND($V433=1,N($F433)&gt;0),ROW(),"")</f>
        <v/>
      </c>
      <c r="X433" s="80" t="n">
        <f aca="false">IF(AND(OR($A433&lt;&gt;"",$E433&lt;&gt;""),$O433&lt;&gt;"Cancelled",ISNUMBER($E433),N($F433)+N($H433)&gt;$E433+0.005),1,0)</f>
        <v>0</v>
      </c>
      <c r="Y433" s="80" t="n">
        <f aca="false">IF(AND(OR($A433&lt;&gt;"",$E433&lt;&gt;""),OR($A433="",$E433="")),1,0)</f>
        <v>0</v>
      </c>
      <c r="Z433" s="80" t="n">
        <f aca="false">IF(AND($A433&lt;&gt;"",COUNTIF($A$7:$A$1006,$A433)&gt;1),1,0)</f>
        <v>0</v>
      </c>
    </row>
    <row r="434" customFormat="false" ht="15" hidden="false" customHeight="false" outlineLevel="0" collapsed="false">
      <c r="A434" s="71"/>
      <c r="B434" s="72"/>
      <c r="C434" s="73"/>
      <c r="D434" s="73"/>
      <c r="E434" s="74"/>
      <c r="F434" s="74"/>
      <c r="G434" s="72"/>
      <c r="H434" s="74"/>
      <c r="I434" s="72"/>
      <c r="J434" s="73"/>
      <c r="K434" s="73"/>
      <c r="L434" s="75" t="str">
        <f aca="false">IF(OR($A434&lt;&gt;"",$E434&lt;&gt;""),N($F434)+N($H434),"")</f>
        <v/>
      </c>
      <c r="M434" s="76" t="str">
        <f aca="false">IF(OR($O434="",$O434="Cancelled",$O434="Amount missing"),"",IF($O434="Realised",0,$E434-N($F434)-N($H434)))</f>
        <v/>
      </c>
      <c r="N434" s="77" t="str">
        <f aca="false">IF(OR($M434="",FX=""),"",$M434*FX)</f>
        <v/>
      </c>
      <c r="O434" s="78" t="str">
        <f aca="false">IF(NOT(OR($A434&lt;&gt;"",$E434&lt;&gt;"")),"",IF($J434="Cancelled","Cancelled",IF($E434="","Amount missing",IF(OR($J434="Settled",$E434-N($F434)-N($H434)&lt;=0.005),"Realised",IF(N($H434)&gt;0,"Part realised",IF(N($F434)&gt;0,"Advance received","On hand"))))))</f>
        <v/>
      </c>
      <c r="P434" s="79" t="str">
        <f aca="false">IF(AND($V434=1,ISNUMBER($B434)),AsAt-$B434,"")</f>
        <v/>
      </c>
      <c r="Q434" s="78" t="str">
        <f aca="false">IF($V434&lt;&gt;1,"",IF($P434="","No invoice date",IF($P434&lt;=30,"0–30 days",IF($P434&lt;=60,"31–60 days",IF($P434&lt;=90,"61–90 days","Over 90 days")))))</f>
        <v/>
      </c>
      <c r="R434" s="80" t="str">
        <f aca="false">IF($V434=1,ROW(),"")</f>
        <v/>
      </c>
      <c r="S434" s="80" t="str">
        <f aca="false">IF(OR($A434&lt;&gt;"",$E434&lt;&gt;""),IF(TRIM($D434)="","Buyer not noted",TRIM($D434)),"")</f>
        <v/>
      </c>
      <c r="T434" s="80" t="n">
        <f aca="false">IF(AND($V434=1,ISNUMBER($M434)),$M434,0)</f>
        <v>0</v>
      </c>
      <c r="U434" s="80" t="str">
        <f aca="false">IF($V434=1,IF(COUNTIFS($S$7:$S434,$S434,$V$7:$V434,1)=1,SUMIFS($T$7:$T$1006,$S$7:$S$1006,$S434)-ROW()/1000000000,""),"")</f>
        <v/>
      </c>
      <c r="V434" s="80" t="n">
        <f aca="false">IF(OR($O434="On hand",$O434="Advance received",$O434="Part realised",$O434="Amount missing"),1,0)</f>
        <v>0</v>
      </c>
      <c r="W434" s="80" t="str">
        <f aca="false">IF(AND($V434=1,N($F434)&gt;0),ROW(),"")</f>
        <v/>
      </c>
      <c r="X434" s="80" t="n">
        <f aca="false">IF(AND(OR($A434&lt;&gt;"",$E434&lt;&gt;""),$O434&lt;&gt;"Cancelled",ISNUMBER($E434),N($F434)+N($H434)&gt;$E434+0.005),1,0)</f>
        <v>0</v>
      </c>
      <c r="Y434" s="80" t="n">
        <f aca="false">IF(AND(OR($A434&lt;&gt;"",$E434&lt;&gt;""),OR($A434="",$E434="")),1,0)</f>
        <v>0</v>
      </c>
      <c r="Z434" s="80" t="n">
        <f aca="false">IF(AND($A434&lt;&gt;"",COUNTIF($A$7:$A$1006,$A434)&gt;1),1,0)</f>
        <v>0</v>
      </c>
    </row>
    <row r="435" customFormat="false" ht="15" hidden="false" customHeight="false" outlineLevel="0" collapsed="false">
      <c r="A435" s="71"/>
      <c r="B435" s="72"/>
      <c r="C435" s="73"/>
      <c r="D435" s="73"/>
      <c r="E435" s="74"/>
      <c r="F435" s="74"/>
      <c r="G435" s="72"/>
      <c r="H435" s="74"/>
      <c r="I435" s="72"/>
      <c r="J435" s="73"/>
      <c r="K435" s="73"/>
      <c r="L435" s="75" t="str">
        <f aca="false">IF(OR($A435&lt;&gt;"",$E435&lt;&gt;""),N($F435)+N($H435),"")</f>
        <v/>
      </c>
      <c r="M435" s="76" t="str">
        <f aca="false">IF(OR($O435="",$O435="Cancelled",$O435="Amount missing"),"",IF($O435="Realised",0,$E435-N($F435)-N($H435)))</f>
        <v/>
      </c>
      <c r="N435" s="77" t="str">
        <f aca="false">IF(OR($M435="",FX=""),"",$M435*FX)</f>
        <v/>
      </c>
      <c r="O435" s="78" t="str">
        <f aca="false">IF(NOT(OR($A435&lt;&gt;"",$E435&lt;&gt;"")),"",IF($J435="Cancelled","Cancelled",IF($E435="","Amount missing",IF(OR($J435="Settled",$E435-N($F435)-N($H435)&lt;=0.005),"Realised",IF(N($H435)&gt;0,"Part realised",IF(N($F435)&gt;0,"Advance received","On hand"))))))</f>
        <v/>
      </c>
      <c r="P435" s="79" t="str">
        <f aca="false">IF(AND($V435=1,ISNUMBER($B435)),AsAt-$B435,"")</f>
        <v/>
      </c>
      <c r="Q435" s="78" t="str">
        <f aca="false">IF($V435&lt;&gt;1,"",IF($P435="","No invoice date",IF($P435&lt;=30,"0–30 days",IF($P435&lt;=60,"31–60 days",IF($P435&lt;=90,"61–90 days","Over 90 days")))))</f>
        <v/>
      </c>
      <c r="R435" s="80" t="str">
        <f aca="false">IF($V435=1,ROW(),"")</f>
        <v/>
      </c>
      <c r="S435" s="80" t="str">
        <f aca="false">IF(OR($A435&lt;&gt;"",$E435&lt;&gt;""),IF(TRIM($D435)="","Buyer not noted",TRIM($D435)),"")</f>
        <v/>
      </c>
      <c r="T435" s="80" t="n">
        <f aca="false">IF(AND($V435=1,ISNUMBER($M435)),$M435,0)</f>
        <v>0</v>
      </c>
      <c r="U435" s="80" t="str">
        <f aca="false">IF($V435=1,IF(COUNTIFS($S$7:$S435,$S435,$V$7:$V435,1)=1,SUMIFS($T$7:$T$1006,$S$7:$S$1006,$S435)-ROW()/1000000000,""),"")</f>
        <v/>
      </c>
      <c r="V435" s="80" t="n">
        <f aca="false">IF(OR($O435="On hand",$O435="Advance received",$O435="Part realised",$O435="Amount missing"),1,0)</f>
        <v>0</v>
      </c>
      <c r="W435" s="80" t="str">
        <f aca="false">IF(AND($V435=1,N($F435)&gt;0),ROW(),"")</f>
        <v/>
      </c>
      <c r="X435" s="80" t="n">
        <f aca="false">IF(AND(OR($A435&lt;&gt;"",$E435&lt;&gt;""),$O435&lt;&gt;"Cancelled",ISNUMBER($E435),N($F435)+N($H435)&gt;$E435+0.005),1,0)</f>
        <v>0</v>
      </c>
      <c r="Y435" s="80" t="n">
        <f aca="false">IF(AND(OR($A435&lt;&gt;"",$E435&lt;&gt;""),OR($A435="",$E435="")),1,0)</f>
        <v>0</v>
      </c>
      <c r="Z435" s="80" t="n">
        <f aca="false">IF(AND($A435&lt;&gt;"",COUNTIF($A$7:$A$1006,$A435)&gt;1),1,0)</f>
        <v>0</v>
      </c>
    </row>
    <row r="436" customFormat="false" ht="15" hidden="false" customHeight="false" outlineLevel="0" collapsed="false">
      <c r="A436" s="71"/>
      <c r="B436" s="72"/>
      <c r="C436" s="73"/>
      <c r="D436" s="73"/>
      <c r="E436" s="74"/>
      <c r="F436" s="74"/>
      <c r="G436" s="72"/>
      <c r="H436" s="74"/>
      <c r="I436" s="72"/>
      <c r="J436" s="73"/>
      <c r="K436" s="73"/>
      <c r="L436" s="75" t="str">
        <f aca="false">IF(OR($A436&lt;&gt;"",$E436&lt;&gt;""),N($F436)+N($H436),"")</f>
        <v/>
      </c>
      <c r="M436" s="76" t="str">
        <f aca="false">IF(OR($O436="",$O436="Cancelled",$O436="Amount missing"),"",IF($O436="Realised",0,$E436-N($F436)-N($H436)))</f>
        <v/>
      </c>
      <c r="N436" s="77" t="str">
        <f aca="false">IF(OR($M436="",FX=""),"",$M436*FX)</f>
        <v/>
      </c>
      <c r="O436" s="78" t="str">
        <f aca="false">IF(NOT(OR($A436&lt;&gt;"",$E436&lt;&gt;"")),"",IF($J436="Cancelled","Cancelled",IF($E436="","Amount missing",IF(OR($J436="Settled",$E436-N($F436)-N($H436)&lt;=0.005),"Realised",IF(N($H436)&gt;0,"Part realised",IF(N($F436)&gt;0,"Advance received","On hand"))))))</f>
        <v/>
      </c>
      <c r="P436" s="79" t="str">
        <f aca="false">IF(AND($V436=1,ISNUMBER($B436)),AsAt-$B436,"")</f>
        <v/>
      </c>
      <c r="Q436" s="78" t="str">
        <f aca="false">IF($V436&lt;&gt;1,"",IF($P436="","No invoice date",IF($P436&lt;=30,"0–30 days",IF($P436&lt;=60,"31–60 days",IF($P436&lt;=90,"61–90 days","Over 90 days")))))</f>
        <v/>
      </c>
      <c r="R436" s="80" t="str">
        <f aca="false">IF($V436=1,ROW(),"")</f>
        <v/>
      </c>
      <c r="S436" s="80" t="str">
        <f aca="false">IF(OR($A436&lt;&gt;"",$E436&lt;&gt;""),IF(TRIM($D436)="","Buyer not noted",TRIM($D436)),"")</f>
        <v/>
      </c>
      <c r="T436" s="80" t="n">
        <f aca="false">IF(AND($V436=1,ISNUMBER($M436)),$M436,0)</f>
        <v>0</v>
      </c>
      <c r="U436" s="80" t="str">
        <f aca="false">IF($V436=1,IF(COUNTIFS($S$7:$S436,$S436,$V$7:$V436,1)=1,SUMIFS($T$7:$T$1006,$S$7:$S$1006,$S436)-ROW()/1000000000,""),"")</f>
        <v/>
      </c>
      <c r="V436" s="80" t="n">
        <f aca="false">IF(OR($O436="On hand",$O436="Advance received",$O436="Part realised",$O436="Amount missing"),1,0)</f>
        <v>0</v>
      </c>
      <c r="W436" s="80" t="str">
        <f aca="false">IF(AND($V436=1,N($F436)&gt;0),ROW(),"")</f>
        <v/>
      </c>
      <c r="X436" s="80" t="n">
        <f aca="false">IF(AND(OR($A436&lt;&gt;"",$E436&lt;&gt;""),$O436&lt;&gt;"Cancelled",ISNUMBER($E436),N($F436)+N($H436)&gt;$E436+0.005),1,0)</f>
        <v>0</v>
      </c>
      <c r="Y436" s="80" t="n">
        <f aca="false">IF(AND(OR($A436&lt;&gt;"",$E436&lt;&gt;""),OR($A436="",$E436="")),1,0)</f>
        <v>0</v>
      </c>
      <c r="Z436" s="80" t="n">
        <f aca="false">IF(AND($A436&lt;&gt;"",COUNTIF($A$7:$A$1006,$A436)&gt;1),1,0)</f>
        <v>0</v>
      </c>
    </row>
    <row r="437" customFormat="false" ht="15" hidden="false" customHeight="false" outlineLevel="0" collapsed="false">
      <c r="A437" s="71"/>
      <c r="B437" s="72"/>
      <c r="C437" s="73"/>
      <c r="D437" s="73"/>
      <c r="E437" s="74"/>
      <c r="F437" s="74"/>
      <c r="G437" s="72"/>
      <c r="H437" s="74"/>
      <c r="I437" s="72"/>
      <c r="J437" s="73"/>
      <c r="K437" s="73"/>
      <c r="L437" s="75" t="str">
        <f aca="false">IF(OR($A437&lt;&gt;"",$E437&lt;&gt;""),N($F437)+N($H437),"")</f>
        <v/>
      </c>
      <c r="M437" s="76" t="str">
        <f aca="false">IF(OR($O437="",$O437="Cancelled",$O437="Amount missing"),"",IF($O437="Realised",0,$E437-N($F437)-N($H437)))</f>
        <v/>
      </c>
      <c r="N437" s="77" t="str">
        <f aca="false">IF(OR($M437="",FX=""),"",$M437*FX)</f>
        <v/>
      </c>
      <c r="O437" s="78" t="str">
        <f aca="false">IF(NOT(OR($A437&lt;&gt;"",$E437&lt;&gt;"")),"",IF($J437="Cancelled","Cancelled",IF($E437="","Amount missing",IF(OR($J437="Settled",$E437-N($F437)-N($H437)&lt;=0.005),"Realised",IF(N($H437)&gt;0,"Part realised",IF(N($F437)&gt;0,"Advance received","On hand"))))))</f>
        <v/>
      </c>
      <c r="P437" s="79" t="str">
        <f aca="false">IF(AND($V437=1,ISNUMBER($B437)),AsAt-$B437,"")</f>
        <v/>
      </c>
      <c r="Q437" s="78" t="str">
        <f aca="false">IF($V437&lt;&gt;1,"",IF($P437="","No invoice date",IF($P437&lt;=30,"0–30 days",IF($P437&lt;=60,"31–60 days",IF($P437&lt;=90,"61–90 days","Over 90 days")))))</f>
        <v/>
      </c>
      <c r="R437" s="80" t="str">
        <f aca="false">IF($V437=1,ROW(),"")</f>
        <v/>
      </c>
      <c r="S437" s="80" t="str">
        <f aca="false">IF(OR($A437&lt;&gt;"",$E437&lt;&gt;""),IF(TRIM($D437)="","Buyer not noted",TRIM($D437)),"")</f>
        <v/>
      </c>
      <c r="T437" s="80" t="n">
        <f aca="false">IF(AND($V437=1,ISNUMBER($M437)),$M437,0)</f>
        <v>0</v>
      </c>
      <c r="U437" s="80" t="str">
        <f aca="false">IF($V437=1,IF(COUNTIFS($S$7:$S437,$S437,$V$7:$V437,1)=1,SUMIFS($T$7:$T$1006,$S$7:$S$1006,$S437)-ROW()/1000000000,""),"")</f>
        <v/>
      </c>
      <c r="V437" s="80" t="n">
        <f aca="false">IF(OR($O437="On hand",$O437="Advance received",$O437="Part realised",$O437="Amount missing"),1,0)</f>
        <v>0</v>
      </c>
      <c r="W437" s="80" t="str">
        <f aca="false">IF(AND($V437=1,N($F437)&gt;0),ROW(),"")</f>
        <v/>
      </c>
      <c r="X437" s="80" t="n">
        <f aca="false">IF(AND(OR($A437&lt;&gt;"",$E437&lt;&gt;""),$O437&lt;&gt;"Cancelled",ISNUMBER($E437),N($F437)+N($H437)&gt;$E437+0.005),1,0)</f>
        <v>0</v>
      </c>
      <c r="Y437" s="80" t="n">
        <f aca="false">IF(AND(OR($A437&lt;&gt;"",$E437&lt;&gt;""),OR($A437="",$E437="")),1,0)</f>
        <v>0</v>
      </c>
      <c r="Z437" s="80" t="n">
        <f aca="false">IF(AND($A437&lt;&gt;"",COUNTIF($A$7:$A$1006,$A437)&gt;1),1,0)</f>
        <v>0</v>
      </c>
    </row>
    <row r="438" customFormat="false" ht="15" hidden="false" customHeight="false" outlineLevel="0" collapsed="false">
      <c r="A438" s="71"/>
      <c r="B438" s="72"/>
      <c r="C438" s="73"/>
      <c r="D438" s="73"/>
      <c r="E438" s="74"/>
      <c r="F438" s="74"/>
      <c r="G438" s="72"/>
      <c r="H438" s="74"/>
      <c r="I438" s="72"/>
      <c r="J438" s="73"/>
      <c r="K438" s="73"/>
      <c r="L438" s="75" t="str">
        <f aca="false">IF(OR($A438&lt;&gt;"",$E438&lt;&gt;""),N($F438)+N($H438),"")</f>
        <v/>
      </c>
      <c r="M438" s="76" t="str">
        <f aca="false">IF(OR($O438="",$O438="Cancelled",$O438="Amount missing"),"",IF($O438="Realised",0,$E438-N($F438)-N($H438)))</f>
        <v/>
      </c>
      <c r="N438" s="77" t="str">
        <f aca="false">IF(OR($M438="",FX=""),"",$M438*FX)</f>
        <v/>
      </c>
      <c r="O438" s="78" t="str">
        <f aca="false">IF(NOT(OR($A438&lt;&gt;"",$E438&lt;&gt;"")),"",IF($J438="Cancelled","Cancelled",IF($E438="","Amount missing",IF(OR($J438="Settled",$E438-N($F438)-N($H438)&lt;=0.005),"Realised",IF(N($H438)&gt;0,"Part realised",IF(N($F438)&gt;0,"Advance received","On hand"))))))</f>
        <v/>
      </c>
      <c r="P438" s="79" t="str">
        <f aca="false">IF(AND($V438=1,ISNUMBER($B438)),AsAt-$B438,"")</f>
        <v/>
      </c>
      <c r="Q438" s="78" t="str">
        <f aca="false">IF($V438&lt;&gt;1,"",IF($P438="","No invoice date",IF($P438&lt;=30,"0–30 days",IF($P438&lt;=60,"31–60 days",IF($P438&lt;=90,"61–90 days","Over 90 days")))))</f>
        <v/>
      </c>
      <c r="R438" s="80" t="str">
        <f aca="false">IF($V438=1,ROW(),"")</f>
        <v/>
      </c>
      <c r="S438" s="80" t="str">
        <f aca="false">IF(OR($A438&lt;&gt;"",$E438&lt;&gt;""),IF(TRIM($D438)="","Buyer not noted",TRIM($D438)),"")</f>
        <v/>
      </c>
      <c r="T438" s="80" t="n">
        <f aca="false">IF(AND($V438=1,ISNUMBER($M438)),$M438,0)</f>
        <v>0</v>
      </c>
      <c r="U438" s="80" t="str">
        <f aca="false">IF($V438=1,IF(COUNTIFS($S$7:$S438,$S438,$V$7:$V438,1)=1,SUMIFS($T$7:$T$1006,$S$7:$S$1006,$S438)-ROW()/1000000000,""),"")</f>
        <v/>
      </c>
      <c r="V438" s="80" t="n">
        <f aca="false">IF(OR($O438="On hand",$O438="Advance received",$O438="Part realised",$O438="Amount missing"),1,0)</f>
        <v>0</v>
      </c>
      <c r="W438" s="80" t="str">
        <f aca="false">IF(AND($V438=1,N($F438)&gt;0),ROW(),"")</f>
        <v/>
      </c>
      <c r="X438" s="80" t="n">
        <f aca="false">IF(AND(OR($A438&lt;&gt;"",$E438&lt;&gt;""),$O438&lt;&gt;"Cancelled",ISNUMBER($E438),N($F438)+N($H438)&gt;$E438+0.005),1,0)</f>
        <v>0</v>
      </c>
      <c r="Y438" s="80" t="n">
        <f aca="false">IF(AND(OR($A438&lt;&gt;"",$E438&lt;&gt;""),OR($A438="",$E438="")),1,0)</f>
        <v>0</v>
      </c>
      <c r="Z438" s="80" t="n">
        <f aca="false">IF(AND($A438&lt;&gt;"",COUNTIF($A$7:$A$1006,$A438)&gt;1),1,0)</f>
        <v>0</v>
      </c>
    </row>
    <row r="439" customFormat="false" ht="15" hidden="false" customHeight="false" outlineLevel="0" collapsed="false">
      <c r="A439" s="71"/>
      <c r="B439" s="72"/>
      <c r="C439" s="73"/>
      <c r="D439" s="73"/>
      <c r="E439" s="74"/>
      <c r="F439" s="74"/>
      <c r="G439" s="72"/>
      <c r="H439" s="74"/>
      <c r="I439" s="72"/>
      <c r="J439" s="73"/>
      <c r="K439" s="73"/>
      <c r="L439" s="75" t="str">
        <f aca="false">IF(OR($A439&lt;&gt;"",$E439&lt;&gt;""),N($F439)+N($H439),"")</f>
        <v/>
      </c>
      <c r="M439" s="76" t="str">
        <f aca="false">IF(OR($O439="",$O439="Cancelled",$O439="Amount missing"),"",IF($O439="Realised",0,$E439-N($F439)-N($H439)))</f>
        <v/>
      </c>
      <c r="N439" s="77" t="str">
        <f aca="false">IF(OR($M439="",FX=""),"",$M439*FX)</f>
        <v/>
      </c>
      <c r="O439" s="78" t="str">
        <f aca="false">IF(NOT(OR($A439&lt;&gt;"",$E439&lt;&gt;"")),"",IF($J439="Cancelled","Cancelled",IF($E439="","Amount missing",IF(OR($J439="Settled",$E439-N($F439)-N($H439)&lt;=0.005),"Realised",IF(N($H439)&gt;0,"Part realised",IF(N($F439)&gt;0,"Advance received","On hand"))))))</f>
        <v/>
      </c>
      <c r="P439" s="79" t="str">
        <f aca="false">IF(AND($V439=1,ISNUMBER($B439)),AsAt-$B439,"")</f>
        <v/>
      </c>
      <c r="Q439" s="78" t="str">
        <f aca="false">IF($V439&lt;&gt;1,"",IF($P439="","No invoice date",IF($P439&lt;=30,"0–30 days",IF($P439&lt;=60,"31–60 days",IF($P439&lt;=90,"61–90 days","Over 90 days")))))</f>
        <v/>
      </c>
      <c r="R439" s="80" t="str">
        <f aca="false">IF($V439=1,ROW(),"")</f>
        <v/>
      </c>
      <c r="S439" s="80" t="str">
        <f aca="false">IF(OR($A439&lt;&gt;"",$E439&lt;&gt;""),IF(TRIM($D439)="","Buyer not noted",TRIM($D439)),"")</f>
        <v/>
      </c>
      <c r="T439" s="80" t="n">
        <f aca="false">IF(AND($V439=1,ISNUMBER($M439)),$M439,0)</f>
        <v>0</v>
      </c>
      <c r="U439" s="80" t="str">
        <f aca="false">IF($V439=1,IF(COUNTIFS($S$7:$S439,$S439,$V$7:$V439,1)=1,SUMIFS($T$7:$T$1006,$S$7:$S$1006,$S439)-ROW()/1000000000,""),"")</f>
        <v/>
      </c>
      <c r="V439" s="80" t="n">
        <f aca="false">IF(OR($O439="On hand",$O439="Advance received",$O439="Part realised",$O439="Amount missing"),1,0)</f>
        <v>0</v>
      </c>
      <c r="W439" s="80" t="str">
        <f aca="false">IF(AND($V439=1,N($F439)&gt;0),ROW(),"")</f>
        <v/>
      </c>
      <c r="X439" s="80" t="n">
        <f aca="false">IF(AND(OR($A439&lt;&gt;"",$E439&lt;&gt;""),$O439&lt;&gt;"Cancelled",ISNUMBER($E439),N($F439)+N($H439)&gt;$E439+0.005),1,0)</f>
        <v>0</v>
      </c>
      <c r="Y439" s="80" t="n">
        <f aca="false">IF(AND(OR($A439&lt;&gt;"",$E439&lt;&gt;""),OR($A439="",$E439="")),1,0)</f>
        <v>0</v>
      </c>
      <c r="Z439" s="80" t="n">
        <f aca="false">IF(AND($A439&lt;&gt;"",COUNTIF($A$7:$A$1006,$A439)&gt;1),1,0)</f>
        <v>0</v>
      </c>
    </row>
    <row r="440" customFormat="false" ht="15" hidden="false" customHeight="false" outlineLevel="0" collapsed="false">
      <c r="A440" s="71"/>
      <c r="B440" s="72"/>
      <c r="C440" s="73"/>
      <c r="D440" s="73"/>
      <c r="E440" s="74"/>
      <c r="F440" s="74"/>
      <c r="G440" s="72"/>
      <c r="H440" s="74"/>
      <c r="I440" s="72"/>
      <c r="J440" s="73"/>
      <c r="K440" s="73"/>
      <c r="L440" s="75" t="str">
        <f aca="false">IF(OR($A440&lt;&gt;"",$E440&lt;&gt;""),N($F440)+N($H440),"")</f>
        <v/>
      </c>
      <c r="M440" s="76" t="str">
        <f aca="false">IF(OR($O440="",$O440="Cancelled",$O440="Amount missing"),"",IF($O440="Realised",0,$E440-N($F440)-N($H440)))</f>
        <v/>
      </c>
      <c r="N440" s="77" t="str">
        <f aca="false">IF(OR($M440="",FX=""),"",$M440*FX)</f>
        <v/>
      </c>
      <c r="O440" s="78" t="str">
        <f aca="false">IF(NOT(OR($A440&lt;&gt;"",$E440&lt;&gt;"")),"",IF($J440="Cancelled","Cancelled",IF($E440="","Amount missing",IF(OR($J440="Settled",$E440-N($F440)-N($H440)&lt;=0.005),"Realised",IF(N($H440)&gt;0,"Part realised",IF(N($F440)&gt;0,"Advance received","On hand"))))))</f>
        <v/>
      </c>
      <c r="P440" s="79" t="str">
        <f aca="false">IF(AND($V440=1,ISNUMBER($B440)),AsAt-$B440,"")</f>
        <v/>
      </c>
      <c r="Q440" s="78" t="str">
        <f aca="false">IF($V440&lt;&gt;1,"",IF($P440="","No invoice date",IF($P440&lt;=30,"0–30 days",IF($P440&lt;=60,"31–60 days",IF($P440&lt;=90,"61–90 days","Over 90 days")))))</f>
        <v/>
      </c>
      <c r="R440" s="80" t="str">
        <f aca="false">IF($V440=1,ROW(),"")</f>
        <v/>
      </c>
      <c r="S440" s="80" t="str">
        <f aca="false">IF(OR($A440&lt;&gt;"",$E440&lt;&gt;""),IF(TRIM($D440)="","Buyer not noted",TRIM($D440)),"")</f>
        <v/>
      </c>
      <c r="T440" s="80" t="n">
        <f aca="false">IF(AND($V440=1,ISNUMBER($M440)),$M440,0)</f>
        <v>0</v>
      </c>
      <c r="U440" s="80" t="str">
        <f aca="false">IF($V440=1,IF(COUNTIFS($S$7:$S440,$S440,$V$7:$V440,1)=1,SUMIFS($T$7:$T$1006,$S$7:$S$1006,$S440)-ROW()/1000000000,""),"")</f>
        <v/>
      </c>
      <c r="V440" s="80" t="n">
        <f aca="false">IF(OR($O440="On hand",$O440="Advance received",$O440="Part realised",$O440="Amount missing"),1,0)</f>
        <v>0</v>
      </c>
      <c r="W440" s="80" t="str">
        <f aca="false">IF(AND($V440=1,N($F440)&gt;0),ROW(),"")</f>
        <v/>
      </c>
      <c r="X440" s="80" t="n">
        <f aca="false">IF(AND(OR($A440&lt;&gt;"",$E440&lt;&gt;""),$O440&lt;&gt;"Cancelled",ISNUMBER($E440),N($F440)+N($H440)&gt;$E440+0.005),1,0)</f>
        <v>0</v>
      </c>
      <c r="Y440" s="80" t="n">
        <f aca="false">IF(AND(OR($A440&lt;&gt;"",$E440&lt;&gt;""),OR($A440="",$E440="")),1,0)</f>
        <v>0</v>
      </c>
      <c r="Z440" s="80" t="n">
        <f aca="false">IF(AND($A440&lt;&gt;"",COUNTIF($A$7:$A$1006,$A440)&gt;1),1,0)</f>
        <v>0</v>
      </c>
    </row>
    <row r="441" customFormat="false" ht="15" hidden="false" customHeight="false" outlineLevel="0" collapsed="false">
      <c r="A441" s="71"/>
      <c r="B441" s="72"/>
      <c r="C441" s="73"/>
      <c r="D441" s="73"/>
      <c r="E441" s="74"/>
      <c r="F441" s="74"/>
      <c r="G441" s="72"/>
      <c r="H441" s="74"/>
      <c r="I441" s="72"/>
      <c r="J441" s="73"/>
      <c r="K441" s="73"/>
      <c r="L441" s="75" t="str">
        <f aca="false">IF(OR($A441&lt;&gt;"",$E441&lt;&gt;""),N($F441)+N($H441),"")</f>
        <v/>
      </c>
      <c r="M441" s="76" t="str">
        <f aca="false">IF(OR($O441="",$O441="Cancelled",$O441="Amount missing"),"",IF($O441="Realised",0,$E441-N($F441)-N($H441)))</f>
        <v/>
      </c>
      <c r="N441" s="77" t="str">
        <f aca="false">IF(OR($M441="",FX=""),"",$M441*FX)</f>
        <v/>
      </c>
      <c r="O441" s="78" t="str">
        <f aca="false">IF(NOT(OR($A441&lt;&gt;"",$E441&lt;&gt;"")),"",IF($J441="Cancelled","Cancelled",IF($E441="","Amount missing",IF(OR($J441="Settled",$E441-N($F441)-N($H441)&lt;=0.005),"Realised",IF(N($H441)&gt;0,"Part realised",IF(N($F441)&gt;0,"Advance received","On hand"))))))</f>
        <v/>
      </c>
      <c r="P441" s="79" t="str">
        <f aca="false">IF(AND($V441=1,ISNUMBER($B441)),AsAt-$B441,"")</f>
        <v/>
      </c>
      <c r="Q441" s="78" t="str">
        <f aca="false">IF($V441&lt;&gt;1,"",IF($P441="","No invoice date",IF($P441&lt;=30,"0–30 days",IF($P441&lt;=60,"31–60 days",IF($P441&lt;=90,"61–90 days","Over 90 days")))))</f>
        <v/>
      </c>
      <c r="R441" s="80" t="str">
        <f aca="false">IF($V441=1,ROW(),"")</f>
        <v/>
      </c>
      <c r="S441" s="80" t="str">
        <f aca="false">IF(OR($A441&lt;&gt;"",$E441&lt;&gt;""),IF(TRIM($D441)="","Buyer not noted",TRIM($D441)),"")</f>
        <v/>
      </c>
      <c r="T441" s="80" t="n">
        <f aca="false">IF(AND($V441=1,ISNUMBER($M441)),$M441,0)</f>
        <v>0</v>
      </c>
      <c r="U441" s="80" t="str">
        <f aca="false">IF($V441=1,IF(COUNTIFS($S$7:$S441,$S441,$V$7:$V441,1)=1,SUMIFS($T$7:$T$1006,$S$7:$S$1006,$S441)-ROW()/1000000000,""),"")</f>
        <v/>
      </c>
      <c r="V441" s="80" t="n">
        <f aca="false">IF(OR($O441="On hand",$O441="Advance received",$O441="Part realised",$O441="Amount missing"),1,0)</f>
        <v>0</v>
      </c>
      <c r="W441" s="80" t="str">
        <f aca="false">IF(AND($V441=1,N($F441)&gt;0),ROW(),"")</f>
        <v/>
      </c>
      <c r="X441" s="80" t="n">
        <f aca="false">IF(AND(OR($A441&lt;&gt;"",$E441&lt;&gt;""),$O441&lt;&gt;"Cancelled",ISNUMBER($E441),N($F441)+N($H441)&gt;$E441+0.005),1,0)</f>
        <v>0</v>
      </c>
      <c r="Y441" s="80" t="n">
        <f aca="false">IF(AND(OR($A441&lt;&gt;"",$E441&lt;&gt;""),OR($A441="",$E441="")),1,0)</f>
        <v>0</v>
      </c>
      <c r="Z441" s="80" t="n">
        <f aca="false">IF(AND($A441&lt;&gt;"",COUNTIF($A$7:$A$1006,$A441)&gt;1),1,0)</f>
        <v>0</v>
      </c>
    </row>
    <row r="442" customFormat="false" ht="15" hidden="false" customHeight="false" outlineLevel="0" collapsed="false">
      <c r="A442" s="71"/>
      <c r="B442" s="72"/>
      <c r="C442" s="73"/>
      <c r="D442" s="73"/>
      <c r="E442" s="74"/>
      <c r="F442" s="74"/>
      <c r="G442" s="72"/>
      <c r="H442" s="74"/>
      <c r="I442" s="72"/>
      <c r="J442" s="73"/>
      <c r="K442" s="73"/>
      <c r="L442" s="75" t="str">
        <f aca="false">IF(OR($A442&lt;&gt;"",$E442&lt;&gt;""),N($F442)+N($H442),"")</f>
        <v/>
      </c>
      <c r="M442" s="76" t="str">
        <f aca="false">IF(OR($O442="",$O442="Cancelled",$O442="Amount missing"),"",IF($O442="Realised",0,$E442-N($F442)-N($H442)))</f>
        <v/>
      </c>
      <c r="N442" s="77" t="str">
        <f aca="false">IF(OR($M442="",FX=""),"",$M442*FX)</f>
        <v/>
      </c>
      <c r="O442" s="78" t="str">
        <f aca="false">IF(NOT(OR($A442&lt;&gt;"",$E442&lt;&gt;"")),"",IF($J442="Cancelled","Cancelled",IF($E442="","Amount missing",IF(OR($J442="Settled",$E442-N($F442)-N($H442)&lt;=0.005),"Realised",IF(N($H442)&gt;0,"Part realised",IF(N($F442)&gt;0,"Advance received","On hand"))))))</f>
        <v/>
      </c>
      <c r="P442" s="79" t="str">
        <f aca="false">IF(AND($V442=1,ISNUMBER($B442)),AsAt-$B442,"")</f>
        <v/>
      </c>
      <c r="Q442" s="78" t="str">
        <f aca="false">IF($V442&lt;&gt;1,"",IF($P442="","No invoice date",IF($P442&lt;=30,"0–30 days",IF($P442&lt;=60,"31–60 days",IF($P442&lt;=90,"61–90 days","Over 90 days")))))</f>
        <v/>
      </c>
      <c r="R442" s="80" t="str">
        <f aca="false">IF($V442=1,ROW(),"")</f>
        <v/>
      </c>
      <c r="S442" s="80" t="str">
        <f aca="false">IF(OR($A442&lt;&gt;"",$E442&lt;&gt;""),IF(TRIM($D442)="","Buyer not noted",TRIM($D442)),"")</f>
        <v/>
      </c>
      <c r="T442" s="80" t="n">
        <f aca="false">IF(AND($V442=1,ISNUMBER($M442)),$M442,0)</f>
        <v>0</v>
      </c>
      <c r="U442" s="80" t="str">
        <f aca="false">IF($V442=1,IF(COUNTIFS($S$7:$S442,$S442,$V$7:$V442,1)=1,SUMIFS($T$7:$T$1006,$S$7:$S$1006,$S442)-ROW()/1000000000,""),"")</f>
        <v/>
      </c>
      <c r="V442" s="80" t="n">
        <f aca="false">IF(OR($O442="On hand",$O442="Advance received",$O442="Part realised",$O442="Amount missing"),1,0)</f>
        <v>0</v>
      </c>
      <c r="W442" s="80" t="str">
        <f aca="false">IF(AND($V442=1,N($F442)&gt;0),ROW(),"")</f>
        <v/>
      </c>
      <c r="X442" s="80" t="n">
        <f aca="false">IF(AND(OR($A442&lt;&gt;"",$E442&lt;&gt;""),$O442&lt;&gt;"Cancelled",ISNUMBER($E442),N($F442)+N($H442)&gt;$E442+0.005),1,0)</f>
        <v>0</v>
      </c>
      <c r="Y442" s="80" t="n">
        <f aca="false">IF(AND(OR($A442&lt;&gt;"",$E442&lt;&gt;""),OR($A442="",$E442="")),1,0)</f>
        <v>0</v>
      </c>
      <c r="Z442" s="80" t="n">
        <f aca="false">IF(AND($A442&lt;&gt;"",COUNTIF($A$7:$A$1006,$A442)&gt;1),1,0)</f>
        <v>0</v>
      </c>
    </row>
    <row r="443" customFormat="false" ht="15" hidden="false" customHeight="false" outlineLevel="0" collapsed="false">
      <c r="A443" s="71"/>
      <c r="B443" s="72"/>
      <c r="C443" s="73"/>
      <c r="D443" s="73"/>
      <c r="E443" s="74"/>
      <c r="F443" s="74"/>
      <c r="G443" s="72"/>
      <c r="H443" s="74"/>
      <c r="I443" s="72"/>
      <c r="J443" s="73"/>
      <c r="K443" s="73"/>
      <c r="L443" s="75" t="str">
        <f aca="false">IF(OR($A443&lt;&gt;"",$E443&lt;&gt;""),N($F443)+N($H443),"")</f>
        <v/>
      </c>
      <c r="M443" s="76" t="str">
        <f aca="false">IF(OR($O443="",$O443="Cancelled",$O443="Amount missing"),"",IF($O443="Realised",0,$E443-N($F443)-N($H443)))</f>
        <v/>
      </c>
      <c r="N443" s="77" t="str">
        <f aca="false">IF(OR($M443="",FX=""),"",$M443*FX)</f>
        <v/>
      </c>
      <c r="O443" s="78" t="str">
        <f aca="false">IF(NOT(OR($A443&lt;&gt;"",$E443&lt;&gt;"")),"",IF($J443="Cancelled","Cancelled",IF($E443="","Amount missing",IF(OR($J443="Settled",$E443-N($F443)-N($H443)&lt;=0.005),"Realised",IF(N($H443)&gt;0,"Part realised",IF(N($F443)&gt;0,"Advance received","On hand"))))))</f>
        <v/>
      </c>
      <c r="P443" s="79" t="str">
        <f aca="false">IF(AND($V443=1,ISNUMBER($B443)),AsAt-$B443,"")</f>
        <v/>
      </c>
      <c r="Q443" s="78" t="str">
        <f aca="false">IF($V443&lt;&gt;1,"",IF($P443="","No invoice date",IF($P443&lt;=30,"0–30 days",IF($P443&lt;=60,"31–60 days",IF($P443&lt;=90,"61–90 days","Over 90 days")))))</f>
        <v/>
      </c>
      <c r="R443" s="80" t="str">
        <f aca="false">IF($V443=1,ROW(),"")</f>
        <v/>
      </c>
      <c r="S443" s="80" t="str">
        <f aca="false">IF(OR($A443&lt;&gt;"",$E443&lt;&gt;""),IF(TRIM($D443)="","Buyer not noted",TRIM($D443)),"")</f>
        <v/>
      </c>
      <c r="T443" s="80" t="n">
        <f aca="false">IF(AND($V443=1,ISNUMBER($M443)),$M443,0)</f>
        <v>0</v>
      </c>
      <c r="U443" s="80" t="str">
        <f aca="false">IF($V443=1,IF(COUNTIFS($S$7:$S443,$S443,$V$7:$V443,1)=1,SUMIFS($T$7:$T$1006,$S$7:$S$1006,$S443)-ROW()/1000000000,""),"")</f>
        <v/>
      </c>
      <c r="V443" s="80" t="n">
        <f aca="false">IF(OR($O443="On hand",$O443="Advance received",$O443="Part realised",$O443="Amount missing"),1,0)</f>
        <v>0</v>
      </c>
      <c r="W443" s="80" t="str">
        <f aca="false">IF(AND($V443=1,N($F443)&gt;0),ROW(),"")</f>
        <v/>
      </c>
      <c r="X443" s="80" t="n">
        <f aca="false">IF(AND(OR($A443&lt;&gt;"",$E443&lt;&gt;""),$O443&lt;&gt;"Cancelled",ISNUMBER($E443),N($F443)+N($H443)&gt;$E443+0.005),1,0)</f>
        <v>0</v>
      </c>
      <c r="Y443" s="80" t="n">
        <f aca="false">IF(AND(OR($A443&lt;&gt;"",$E443&lt;&gt;""),OR($A443="",$E443="")),1,0)</f>
        <v>0</v>
      </c>
      <c r="Z443" s="80" t="n">
        <f aca="false">IF(AND($A443&lt;&gt;"",COUNTIF($A$7:$A$1006,$A443)&gt;1),1,0)</f>
        <v>0</v>
      </c>
    </row>
    <row r="444" customFormat="false" ht="15" hidden="false" customHeight="false" outlineLevel="0" collapsed="false">
      <c r="A444" s="71"/>
      <c r="B444" s="72"/>
      <c r="C444" s="73"/>
      <c r="D444" s="73"/>
      <c r="E444" s="74"/>
      <c r="F444" s="74"/>
      <c r="G444" s="72"/>
      <c r="H444" s="74"/>
      <c r="I444" s="72"/>
      <c r="J444" s="73"/>
      <c r="K444" s="73"/>
      <c r="L444" s="75" t="str">
        <f aca="false">IF(OR($A444&lt;&gt;"",$E444&lt;&gt;""),N($F444)+N($H444),"")</f>
        <v/>
      </c>
      <c r="M444" s="76" t="str">
        <f aca="false">IF(OR($O444="",$O444="Cancelled",$O444="Amount missing"),"",IF($O444="Realised",0,$E444-N($F444)-N($H444)))</f>
        <v/>
      </c>
      <c r="N444" s="77" t="str">
        <f aca="false">IF(OR($M444="",FX=""),"",$M444*FX)</f>
        <v/>
      </c>
      <c r="O444" s="78" t="str">
        <f aca="false">IF(NOT(OR($A444&lt;&gt;"",$E444&lt;&gt;"")),"",IF($J444="Cancelled","Cancelled",IF($E444="","Amount missing",IF(OR($J444="Settled",$E444-N($F444)-N($H444)&lt;=0.005),"Realised",IF(N($H444)&gt;0,"Part realised",IF(N($F444)&gt;0,"Advance received","On hand"))))))</f>
        <v/>
      </c>
      <c r="P444" s="79" t="str">
        <f aca="false">IF(AND($V444=1,ISNUMBER($B444)),AsAt-$B444,"")</f>
        <v/>
      </c>
      <c r="Q444" s="78" t="str">
        <f aca="false">IF($V444&lt;&gt;1,"",IF($P444="","No invoice date",IF($P444&lt;=30,"0–30 days",IF($P444&lt;=60,"31–60 days",IF($P444&lt;=90,"61–90 days","Over 90 days")))))</f>
        <v/>
      </c>
      <c r="R444" s="80" t="str">
        <f aca="false">IF($V444=1,ROW(),"")</f>
        <v/>
      </c>
      <c r="S444" s="80" t="str">
        <f aca="false">IF(OR($A444&lt;&gt;"",$E444&lt;&gt;""),IF(TRIM($D444)="","Buyer not noted",TRIM($D444)),"")</f>
        <v/>
      </c>
      <c r="T444" s="80" t="n">
        <f aca="false">IF(AND($V444=1,ISNUMBER($M444)),$M444,0)</f>
        <v>0</v>
      </c>
      <c r="U444" s="80" t="str">
        <f aca="false">IF($V444=1,IF(COUNTIFS($S$7:$S444,$S444,$V$7:$V444,1)=1,SUMIFS($T$7:$T$1006,$S$7:$S$1006,$S444)-ROW()/1000000000,""),"")</f>
        <v/>
      </c>
      <c r="V444" s="80" t="n">
        <f aca="false">IF(OR($O444="On hand",$O444="Advance received",$O444="Part realised",$O444="Amount missing"),1,0)</f>
        <v>0</v>
      </c>
      <c r="W444" s="80" t="str">
        <f aca="false">IF(AND($V444=1,N($F444)&gt;0),ROW(),"")</f>
        <v/>
      </c>
      <c r="X444" s="80" t="n">
        <f aca="false">IF(AND(OR($A444&lt;&gt;"",$E444&lt;&gt;""),$O444&lt;&gt;"Cancelled",ISNUMBER($E444),N($F444)+N($H444)&gt;$E444+0.005),1,0)</f>
        <v>0</v>
      </c>
      <c r="Y444" s="80" t="n">
        <f aca="false">IF(AND(OR($A444&lt;&gt;"",$E444&lt;&gt;""),OR($A444="",$E444="")),1,0)</f>
        <v>0</v>
      </c>
      <c r="Z444" s="80" t="n">
        <f aca="false">IF(AND($A444&lt;&gt;"",COUNTIF($A$7:$A$1006,$A444)&gt;1),1,0)</f>
        <v>0</v>
      </c>
    </row>
    <row r="445" customFormat="false" ht="15" hidden="false" customHeight="false" outlineLevel="0" collapsed="false">
      <c r="A445" s="71"/>
      <c r="B445" s="72"/>
      <c r="C445" s="73"/>
      <c r="D445" s="73"/>
      <c r="E445" s="74"/>
      <c r="F445" s="74"/>
      <c r="G445" s="72"/>
      <c r="H445" s="74"/>
      <c r="I445" s="72"/>
      <c r="J445" s="73"/>
      <c r="K445" s="73"/>
      <c r="L445" s="75" t="str">
        <f aca="false">IF(OR($A445&lt;&gt;"",$E445&lt;&gt;""),N($F445)+N($H445),"")</f>
        <v/>
      </c>
      <c r="M445" s="76" t="str">
        <f aca="false">IF(OR($O445="",$O445="Cancelled",$O445="Amount missing"),"",IF($O445="Realised",0,$E445-N($F445)-N($H445)))</f>
        <v/>
      </c>
      <c r="N445" s="77" t="str">
        <f aca="false">IF(OR($M445="",FX=""),"",$M445*FX)</f>
        <v/>
      </c>
      <c r="O445" s="78" t="str">
        <f aca="false">IF(NOT(OR($A445&lt;&gt;"",$E445&lt;&gt;"")),"",IF($J445="Cancelled","Cancelled",IF($E445="","Amount missing",IF(OR($J445="Settled",$E445-N($F445)-N($H445)&lt;=0.005),"Realised",IF(N($H445)&gt;0,"Part realised",IF(N($F445)&gt;0,"Advance received","On hand"))))))</f>
        <v/>
      </c>
      <c r="P445" s="79" t="str">
        <f aca="false">IF(AND($V445=1,ISNUMBER($B445)),AsAt-$B445,"")</f>
        <v/>
      </c>
      <c r="Q445" s="78" t="str">
        <f aca="false">IF($V445&lt;&gt;1,"",IF($P445="","No invoice date",IF($P445&lt;=30,"0–30 days",IF($P445&lt;=60,"31–60 days",IF($P445&lt;=90,"61–90 days","Over 90 days")))))</f>
        <v/>
      </c>
      <c r="R445" s="80" t="str">
        <f aca="false">IF($V445=1,ROW(),"")</f>
        <v/>
      </c>
      <c r="S445" s="80" t="str">
        <f aca="false">IF(OR($A445&lt;&gt;"",$E445&lt;&gt;""),IF(TRIM($D445)="","Buyer not noted",TRIM($D445)),"")</f>
        <v/>
      </c>
      <c r="T445" s="80" t="n">
        <f aca="false">IF(AND($V445=1,ISNUMBER($M445)),$M445,0)</f>
        <v>0</v>
      </c>
      <c r="U445" s="80" t="str">
        <f aca="false">IF($V445=1,IF(COUNTIFS($S$7:$S445,$S445,$V$7:$V445,1)=1,SUMIFS($T$7:$T$1006,$S$7:$S$1006,$S445)-ROW()/1000000000,""),"")</f>
        <v/>
      </c>
      <c r="V445" s="80" t="n">
        <f aca="false">IF(OR($O445="On hand",$O445="Advance received",$O445="Part realised",$O445="Amount missing"),1,0)</f>
        <v>0</v>
      </c>
      <c r="W445" s="80" t="str">
        <f aca="false">IF(AND($V445=1,N($F445)&gt;0),ROW(),"")</f>
        <v/>
      </c>
      <c r="X445" s="80" t="n">
        <f aca="false">IF(AND(OR($A445&lt;&gt;"",$E445&lt;&gt;""),$O445&lt;&gt;"Cancelled",ISNUMBER($E445),N($F445)+N($H445)&gt;$E445+0.005),1,0)</f>
        <v>0</v>
      </c>
      <c r="Y445" s="80" t="n">
        <f aca="false">IF(AND(OR($A445&lt;&gt;"",$E445&lt;&gt;""),OR($A445="",$E445="")),1,0)</f>
        <v>0</v>
      </c>
      <c r="Z445" s="80" t="n">
        <f aca="false">IF(AND($A445&lt;&gt;"",COUNTIF($A$7:$A$1006,$A445)&gt;1),1,0)</f>
        <v>0</v>
      </c>
    </row>
    <row r="446" customFormat="false" ht="15" hidden="false" customHeight="false" outlineLevel="0" collapsed="false">
      <c r="A446" s="71"/>
      <c r="B446" s="72"/>
      <c r="C446" s="73"/>
      <c r="D446" s="73"/>
      <c r="E446" s="74"/>
      <c r="F446" s="74"/>
      <c r="G446" s="72"/>
      <c r="H446" s="74"/>
      <c r="I446" s="72"/>
      <c r="J446" s="73"/>
      <c r="K446" s="73"/>
      <c r="L446" s="75" t="str">
        <f aca="false">IF(OR($A446&lt;&gt;"",$E446&lt;&gt;""),N($F446)+N($H446),"")</f>
        <v/>
      </c>
      <c r="M446" s="76" t="str">
        <f aca="false">IF(OR($O446="",$O446="Cancelled",$O446="Amount missing"),"",IF($O446="Realised",0,$E446-N($F446)-N($H446)))</f>
        <v/>
      </c>
      <c r="N446" s="77" t="str">
        <f aca="false">IF(OR($M446="",FX=""),"",$M446*FX)</f>
        <v/>
      </c>
      <c r="O446" s="78" t="str">
        <f aca="false">IF(NOT(OR($A446&lt;&gt;"",$E446&lt;&gt;"")),"",IF($J446="Cancelled","Cancelled",IF($E446="","Amount missing",IF(OR($J446="Settled",$E446-N($F446)-N($H446)&lt;=0.005),"Realised",IF(N($H446)&gt;0,"Part realised",IF(N($F446)&gt;0,"Advance received","On hand"))))))</f>
        <v/>
      </c>
      <c r="P446" s="79" t="str">
        <f aca="false">IF(AND($V446=1,ISNUMBER($B446)),AsAt-$B446,"")</f>
        <v/>
      </c>
      <c r="Q446" s="78" t="str">
        <f aca="false">IF($V446&lt;&gt;1,"",IF($P446="","No invoice date",IF($P446&lt;=30,"0–30 days",IF($P446&lt;=60,"31–60 days",IF($P446&lt;=90,"61–90 days","Over 90 days")))))</f>
        <v/>
      </c>
      <c r="R446" s="80" t="str">
        <f aca="false">IF($V446=1,ROW(),"")</f>
        <v/>
      </c>
      <c r="S446" s="80" t="str">
        <f aca="false">IF(OR($A446&lt;&gt;"",$E446&lt;&gt;""),IF(TRIM($D446)="","Buyer not noted",TRIM($D446)),"")</f>
        <v/>
      </c>
      <c r="T446" s="80" t="n">
        <f aca="false">IF(AND($V446=1,ISNUMBER($M446)),$M446,0)</f>
        <v>0</v>
      </c>
      <c r="U446" s="80" t="str">
        <f aca="false">IF($V446=1,IF(COUNTIFS($S$7:$S446,$S446,$V$7:$V446,1)=1,SUMIFS($T$7:$T$1006,$S$7:$S$1006,$S446)-ROW()/1000000000,""),"")</f>
        <v/>
      </c>
      <c r="V446" s="80" t="n">
        <f aca="false">IF(OR($O446="On hand",$O446="Advance received",$O446="Part realised",$O446="Amount missing"),1,0)</f>
        <v>0</v>
      </c>
      <c r="W446" s="80" t="str">
        <f aca="false">IF(AND($V446=1,N($F446)&gt;0),ROW(),"")</f>
        <v/>
      </c>
      <c r="X446" s="80" t="n">
        <f aca="false">IF(AND(OR($A446&lt;&gt;"",$E446&lt;&gt;""),$O446&lt;&gt;"Cancelled",ISNUMBER($E446),N($F446)+N($H446)&gt;$E446+0.005),1,0)</f>
        <v>0</v>
      </c>
      <c r="Y446" s="80" t="n">
        <f aca="false">IF(AND(OR($A446&lt;&gt;"",$E446&lt;&gt;""),OR($A446="",$E446="")),1,0)</f>
        <v>0</v>
      </c>
      <c r="Z446" s="80" t="n">
        <f aca="false">IF(AND($A446&lt;&gt;"",COUNTIF($A$7:$A$1006,$A446)&gt;1),1,0)</f>
        <v>0</v>
      </c>
    </row>
    <row r="447" customFormat="false" ht="15" hidden="false" customHeight="false" outlineLevel="0" collapsed="false">
      <c r="A447" s="71"/>
      <c r="B447" s="72"/>
      <c r="C447" s="73"/>
      <c r="D447" s="73"/>
      <c r="E447" s="74"/>
      <c r="F447" s="74"/>
      <c r="G447" s="72"/>
      <c r="H447" s="74"/>
      <c r="I447" s="72"/>
      <c r="J447" s="73"/>
      <c r="K447" s="73"/>
      <c r="L447" s="75" t="str">
        <f aca="false">IF(OR($A447&lt;&gt;"",$E447&lt;&gt;""),N($F447)+N($H447),"")</f>
        <v/>
      </c>
      <c r="M447" s="76" t="str">
        <f aca="false">IF(OR($O447="",$O447="Cancelled",$O447="Amount missing"),"",IF($O447="Realised",0,$E447-N($F447)-N($H447)))</f>
        <v/>
      </c>
      <c r="N447" s="77" t="str">
        <f aca="false">IF(OR($M447="",FX=""),"",$M447*FX)</f>
        <v/>
      </c>
      <c r="O447" s="78" t="str">
        <f aca="false">IF(NOT(OR($A447&lt;&gt;"",$E447&lt;&gt;"")),"",IF($J447="Cancelled","Cancelled",IF($E447="","Amount missing",IF(OR($J447="Settled",$E447-N($F447)-N($H447)&lt;=0.005),"Realised",IF(N($H447)&gt;0,"Part realised",IF(N($F447)&gt;0,"Advance received","On hand"))))))</f>
        <v/>
      </c>
      <c r="P447" s="79" t="str">
        <f aca="false">IF(AND($V447=1,ISNUMBER($B447)),AsAt-$B447,"")</f>
        <v/>
      </c>
      <c r="Q447" s="78" t="str">
        <f aca="false">IF($V447&lt;&gt;1,"",IF($P447="","No invoice date",IF($P447&lt;=30,"0–30 days",IF($P447&lt;=60,"31–60 days",IF($P447&lt;=90,"61–90 days","Over 90 days")))))</f>
        <v/>
      </c>
      <c r="R447" s="80" t="str">
        <f aca="false">IF($V447=1,ROW(),"")</f>
        <v/>
      </c>
      <c r="S447" s="80" t="str">
        <f aca="false">IF(OR($A447&lt;&gt;"",$E447&lt;&gt;""),IF(TRIM($D447)="","Buyer not noted",TRIM($D447)),"")</f>
        <v/>
      </c>
      <c r="T447" s="80" t="n">
        <f aca="false">IF(AND($V447=1,ISNUMBER($M447)),$M447,0)</f>
        <v>0</v>
      </c>
      <c r="U447" s="80" t="str">
        <f aca="false">IF($V447=1,IF(COUNTIFS($S$7:$S447,$S447,$V$7:$V447,1)=1,SUMIFS($T$7:$T$1006,$S$7:$S$1006,$S447)-ROW()/1000000000,""),"")</f>
        <v/>
      </c>
      <c r="V447" s="80" t="n">
        <f aca="false">IF(OR($O447="On hand",$O447="Advance received",$O447="Part realised",$O447="Amount missing"),1,0)</f>
        <v>0</v>
      </c>
      <c r="W447" s="80" t="str">
        <f aca="false">IF(AND($V447=1,N($F447)&gt;0),ROW(),"")</f>
        <v/>
      </c>
      <c r="X447" s="80" t="n">
        <f aca="false">IF(AND(OR($A447&lt;&gt;"",$E447&lt;&gt;""),$O447&lt;&gt;"Cancelled",ISNUMBER($E447),N($F447)+N($H447)&gt;$E447+0.005),1,0)</f>
        <v>0</v>
      </c>
      <c r="Y447" s="80" t="n">
        <f aca="false">IF(AND(OR($A447&lt;&gt;"",$E447&lt;&gt;""),OR($A447="",$E447="")),1,0)</f>
        <v>0</v>
      </c>
      <c r="Z447" s="80" t="n">
        <f aca="false">IF(AND($A447&lt;&gt;"",COUNTIF($A$7:$A$1006,$A447)&gt;1),1,0)</f>
        <v>0</v>
      </c>
    </row>
    <row r="448" customFormat="false" ht="15" hidden="false" customHeight="false" outlineLevel="0" collapsed="false">
      <c r="A448" s="71"/>
      <c r="B448" s="72"/>
      <c r="C448" s="73"/>
      <c r="D448" s="73"/>
      <c r="E448" s="74"/>
      <c r="F448" s="74"/>
      <c r="G448" s="72"/>
      <c r="H448" s="74"/>
      <c r="I448" s="72"/>
      <c r="J448" s="73"/>
      <c r="K448" s="73"/>
      <c r="L448" s="75" t="str">
        <f aca="false">IF(OR($A448&lt;&gt;"",$E448&lt;&gt;""),N($F448)+N($H448),"")</f>
        <v/>
      </c>
      <c r="M448" s="76" t="str">
        <f aca="false">IF(OR($O448="",$O448="Cancelled",$O448="Amount missing"),"",IF($O448="Realised",0,$E448-N($F448)-N($H448)))</f>
        <v/>
      </c>
      <c r="N448" s="77" t="str">
        <f aca="false">IF(OR($M448="",FX=""),"",$M448*FX)</f>
        <v/>
      </c>
      <c r="O448" s="78" t="str">
        <f aca="false">IF(NOT(OR($A448&lt;&gt;"",$E448&lt;&gt;"")),"",IF($J448="Cancelled","Cancelled",IF($E448="","Amount missing",IF(OR($J448="Settled",$E448-N($F448)-N($H448)&lt;=0.005),"Realised",IF(N($H448)&gt;0,"Part realised",IF(N($F448)&gt;0,"Advance received","On hand"))))))</f>
        <v/>
      </c>
      <c r="P448" s="79" t="str">
        <f aca="false">IF(AND($V448=1,ISNUMBER($B448)),AsAt-$B448,"")</f>
        <v/>
      </c>
      <c r="Q448" s="78" t="str">
        <f aca="false">IF($V448&lt;&gt;1,"",IF($P448="","No invoice date",IF($P448&lt;=30,"0–30 days",IF($P448&lt;=60,"31–60 days",IF($P448&lt;=90,"61–90 days","Over 90 days")))))</f>
        <v/>
      </c>
      <c r="R448" s="80" t="str">
        <f aca="false">IF($V448=1,ROW(),"")</f>
        <v/>
      </c>
      <c r="S448" s="80" t="str">
        <f aca="false">IF(OR($A448&lt;&gt;"",$E448&lt;&gt;""),IF(TRIM($D448)="","Buyer not noted",TRIM($D448)),"")</f>
        <v/>
      </c>
      <c r="T448" s="80" t="n">
        <f aca="false">IF(AND($V448=1,ISNUMBER($M448)),$M448,0)</f>
        <v>0</v>
      </c>
      <c r="U448" s="80" t="str">
        <f aca="false">IF($V448=1,IF(COUNTIFS($S$7:$S448,$S448,$V$7:$V448,1)=1,SUMIFS($T$7:$T$1006,$S$7:$S$1006,$S448)-ROW()/1000000000,""),"")</f>
        <v/>
      </c>
      <c r="V448" s="80" t="n">
        <f aca="false">IF(OR($O448="On hand",$O448="Advance received",$O448="Part realised",$O448="Amount missing"),1,0)</f>
        <v>0</v>
      </c>
      <c r="W448" s="80" t="str">
        <f aca="false">IF(AND($V448=1,N($F448)&gt;0),ROW(),"")</f>
        <v/>
      </c>
      <c r="X448" s="80" t="n">
        <f aca="false">IF(AND(OR($A448&lt;&gt;"",$E448&lt;&gt;""),$O448&lt;&gt;"Cancelled",ISNUMBER($E448),N($F448)+N($H448)&gt;$E448+0.005),1,0)</f>
        <v>0</v>
      </c>
      <c r="Y448" s="80" t="n">
        <f aca="false">IF(AND(OR($A448&lt;&gt;"",$E448&lt;&gt;""),OR($A448="",$E448="")),1,0)</f>
        <v>0</v>
      </c>
      <c r="Z448" s="80" t="n">
        <f aca="false">IF(AND($A448&lt;&gt;"",COUNTIF($A$7:$A$1006,$A448)&gt;1),1,0)</f>
        <v>0</v>
      </c>
    </row>
    <row r="449" customFormat="false" ht="15" hidden="false" customHeight="false" outlineLevel="0" collapsed="false">
      <c r="A449" s="71"/>
      <c r="B449" s="72"/>
      <c r="C449" s="73"/>
      <c r="D449" s="73"/>
      <c r="E449" s="74"/>
      <c r="F449" s="74"/>
      <c r="G449" s="72"/>
      <c r="H449" s="74"/>
      <c r="I449" s="72"/>
      <c r="J449" s="73"/>
      <c r="K449" s="73"/>
      <c r="L449" s="75" t="str">
        <f aca="false">IF(OR($A449&lt;&gt;"",$E449&lt;&gt;""),N($F449)+N($H449),"")</f>
        <v/>
      </c>
      <c r="M449" s="76" t="str">
        <f aca="false">IF(OR($O449="",$O449="Cancelled",$O449="Amount missing"),"",IF($O449="Realised",0,$E449-N($F449)-N($H449)))</f>
        <v/>
      </c>
      <c r="N449" s="77" t="str">
        <f aca="false">IF(OR($M449="",FX=""),"",$M449*FX)</f>
        <v/>
      </c>
      <c r="O449" s="78" t="str">
        <f aca="false">IF(NOT(OR($A449&lt;&gt;"",$E449&lt;&gt;"")),"",IF($J449="Cancelled","Cancelled",IF($E449="","Amount missing",IF(OR($J449="Settled",$E449-N($F449)-N($H449)&lt;=0.005),"Realised",IF(N($H449)&gt;0,"Part realised",IF(N($F449)&gt;0,"Advance received","On hand"))))))</f>
        <v/>
      </c>
      <c r="P449" s="79" t="str">
        <f aca="false">IF(AND($V449=1,ISNUMBER($B449)),AsAt-$B449,"")</f>
        <v/>
      </c>
      <c r="Q449" s="78" t="str">
        <f aca="false">IF($V449&lt;&gt;1,"",IF($P449="","No invoice date",IF($P449&lt;=30,"0–30 days",IF($P449&lt;=60,"31–60 days",IF($P449&lt;=90,"61–90 days","Over 90 days")))))</f>
        <v/>
      </c>
      <c r="R449" s="80" t="str">
        <f aca="false">IF($V449=1,ROW(),"")</f>
        <v/>
      </c>
      <c r="S449" s="80" t="str">
        <f aca="false">IF(OR($A449&lt;&gt;"",$E449&lt;&gt;""),IF(TRIM($D449)="","Buyer not noted",TRIM($D449)),"")</f>
        <v/>
      </c>
      <c r="T449" s="80" t="n">
        <f aca="false">IF(AND($V449=1,ISNUMBER($M449)),$M449,0)</f>
        <v>0</v>
      </c>
      <c r="U449" s="80" t="str">
        <f aca="false">IF($V449=1,IF(COUNTIFS($S$7:$S449,$S449,$V$7:$V449,1)=1,SUMIFS($T$7:$T$1006,$S$7:$S$1006,$S449)-ROW()/1000000000,""),"")</f>
        <v/>
      </c>
      <c r="V449" s="80" t="n">
        <f aca="false">IF(OR($O449="On hand",$O449="Advance received",$O449="Part realised",$O449="Amount missing"),1,0)</f>
        <v>0</v>
      </c>
      <c r="W449" s="80" t="str">
        <f aca="false">IF(AND($V449=1,N($F449)&gt;0),ROW(),"")</f>
        <v/>
      </c>
      <c r="X449" s="80" t="n">
        <f aca="false">IF(AND(OR($A449&lt;&gt;"",$E449&lt;&gt;""),$O449&lt;&gt;"Cancelled",ISNUMBER($E449),N($F449)+N($H449)&gt;$E449+0.005),1,0)</f>
        <v>0</v>
      </c>
      <c r="Y449" s="80" t="n">
        <f aca="false">IF(AND(OR($A449&lt;&gt;"",$E449&lt;&gt;""),OR($A449="",$E449="")),1,0)</f>
        <v>0</v>
      </c>
      <c r="Z449" s="80" t="n">
        <f aca="false">IF(AND($A449&lt;&gt;"",COUNTIF($A$7:$A$1006,$A449)&gt;1),1,0)</f>
        <v>0</v>
      </c>
    </row>
    <row r="450" customFormat="false" ht="15" hidden="false" customHeight="false" outlineLevel="0" collapsed="false">
      <c r="A450" s="71"/>
      <c r="B450" s="72"/>
      <c r="C450" s="73"/>
      <c r="D450" s="73"/>
      <c r="E450" s="74"/>
      <c r="F450" s="74"/>
      <c r="G450" s="72"/>
      <c r="H450" s="74"/>
      <c r="I450" s="72"/>
      <c r="J450" s="73"/>
      <c r="K450" s="73"/>
      <c r="L450" s="75" t="str">
        <f aca="false">IF(OR($A450&lt;&gt;"",$E450&lt;&gt;""),N($F450)+N($H450),"")</f>
        <v/>
      </c>
      <c r="M450" s="76" t="str">
        <f aca="false">IF(OR($O450="",$O450="Cancelled",$O450="Amount missing"),"",IF($O450="Realised",0,$E450-N($F450)-N($H450)))</f>
        <v/>
      </c>
      <c r="N450" s="77" t="str">
        <f aca="false">IF(OR($M450="",FX=""),"",$M450*FX)</f>
        <v/>
      </c>
      <c r="O450" s="78" t="str">
        <f aca="false">IF(NOT(OR($A450&lt;&gt;"",$E450&lt;&gt;"")),"",IF($J450="Cancelled","Cancelled",IF($E450="","Amount missing",IF(OR($J450="Settled",$E450-N($F450)-N($H450)&lt;=0.005),"Realised",IF(N($H450)&gt;0,"Part realised",IF(N($F450)&gt;0,"Advance received","On hand"))))))</f>
        <v/>
      </c>
      <c r="P450" s="79" t="str">
        <f aca="false">IF(AND($V450=1,ISNUMBER($B450)),AsAt-$B450,"")</f>
        <v/>
      </c>
      <c r="Q450" s="78" t="str">
        <f aca="false">IF($V450&lt;&gt;1,"",IF($P450="","No invoice date",IF($P450&lt;=30,"0–30 days",IF($P450&lt;=60,"31–60 days",IF($P450&lt;=90,"61–90 days","Over 90 days")))))</f>
        <v/>
      </c>
      <c r="R450" s="80" t="str">
        <f aca="false">IF($V450=1,ROW(),"")</f>
        <v/>
      </c>
      <c r="S450" s="80" t="str">
        <f aca="false">IF(OR($A450&lt;&gt;"",$E450&lt;&gt;""),IF(TRIM($D450)="","Buyer not noted",TRIM($D450)),"")</f>
        <v/>
      </c>
      <c r="T450" s="80" t="n">
        <f aca="false">IF(AND($V450=1,ISNUMBER($M450)),$M450,0)</f>
        <v>0</v>
      </c>
      <c r="U450" s="80" t="str">
        <f aca="false">IF($V450=1,IF(COUNTIFS($S$7:$S450,$S450,$V$7:$V450,1)=1,SUMIFS($T$7:$T$1006,$S$7:$S$1006,$S450)-ROW()/1000000000,""),"")</f>
        <v/>
      </c>
      <c r="V450" s="80" t="n">
        <f aca="false">IF(OR($O450="On hand",$O450="Advance received",$O450="Part realised",$O450="Amount missing"),1,0)</f>
        <v>0</v>
      </c>
      <c r="W450" s="80" t="str">
        <f aca="false">IF(AND($V450=1,N($F450)&gt;0),ROW(),"")</f>
        <v/>
      </c>
      <c r="X450" s="80" t="n">
        <f aca="false">IF(AND(OR($A450&lt;&gt;"",$E450&lt;&gt;""),$O450&lt;&gt;"Cancelled",ISNUMBER($E450),N($F450)+N($H450)&gt;$E450+0.005),1,0)</f>
        <v>0</v>
      </c>
      <c r="Y450" s="80" t="n">
        <f aca="false">IF(AND(OR($A450&lt;&gt;"",$E450&lt;&gt;""),OR($A450="",$E450="")),1,0)</f>
        <v>0</v>
      </c>
      <c r="Z450" s="80" t="n">
        <f aca="false">IF(AND($A450&lt;&gt;"",COUNTIF($A$7:$A$1006,$A450)&gt;1),1,0)</f>
        <v>0</v>
      </c>
    </row>
    <row r="451" customFormat="false" ht="15" hidden="false" customHeight="false" outlineLevel="0" collapsed="false">
      <c r="A451" s="71"/>
      <c r="B451" s="72"/>
      <c r="C451" s="73"/>
      <c r="D451" s="73"/>
      <c r="E451" s="74"/>
      <c r="F451" s="74"/>
      <c r="G451" s="72"/>
      <c r="H451" s="74"/>
      <c r="I451" s="72"/>
      <c r="J451" s="73"/>
      <c r="K451" s="73"/>
      <c r="L451" s="75" t="str">
        <f aca="false">IF(OR($A451&lt;&gt;"",$E451&lt;&gt;""),N($F451)+N($H451),"")</f>
        <v/>
      </c>
      <c r="M451" s="76" t="str">
        <f aca="false">IF(OR($O451="",$O451="Cancelled",$O451="Amount missing"),"",IF($O451="Realised",0,$E451-N($F451)-N($H451)))</f>
        <v/>
      </c>
      <c r="N451" s="77" t="str">
        <f aca="false">IF(OR($M451="",FX=""),"",$M451*FX)</f>
        <v/>
      </c>
      <c r="O451" s="78" t="str">
        <f aca="false">IF(NOT(OR($A451&lt;&gt;"",$E451&lt;&gt;"")),"",IF($J451="Cancelled","Cancelled",IF($E451="","Amount missing",IF(OR($J451="Settled",$E451-N($F451)-N($H451)&lt;=0.005),"Realised",IF(N($H451)&gt;0,"Part realised",IF(N($F451)&gt;0,"Advance received","On hand"))))))</f>
        <v/>
      </c>
      <c r="P451" s="79" t="str">
        <f aca="false">IF(AND($V451=1,ISNUMBER($B451)),AsAt-$B451,"")</f>
        <v/>
      </c>
      <c r="Q451" s="78" t="str">
        <f aca="false">IF($V451&lt;&gt;1,"",IF($P451="","No invoice date",IF($P451&lt;=30,"0–30 days",IF($P451&lt;=60,"31–60 days",IF($P451&lt;=90,"61–90 days","Over 90 days")))))</f>
        <v/>
      </c>
      <c r="R451" s="80" t="str">
        <f aca="false">IF($V451=1,ROW(),"")</f>
        <v/>
      </c>
      <c r="S451" s="80" t="str">
        <f aca="false">IF(OR($A451&lt;&gt;"",$E451&lt;&gt;""),IF(TRIM($D451)="","Buyer not noted",TRIM($D451)),"")</f>
        <v/>
      </c>
      <c r="T451" s="80" t="n">
        <f aca="false">IF(AND($V451=1,ISNUMBER($M451)),$M451,0)</f>
        <v>0</v>
      </c>
      <c r="U451" s="80" t="str">
        <f aca="false">IF($V451=1,IF(COUNTIFS($S$7:$S451,$S451,$V$7:$V451,1)=1,SUMIFS($T$7:$T$1006,$S$7:$S$1006,$S451)-ROW()/1000000000,""),"")</f>
        <v/>
      </c>
      <c r="V451" s="80" t="n">
        <f aca="false">IF(OR($O451="On hand",$O451="Advance received",$O451="Part realised",$O451="Amount missing"),1,0)</f>
        <v>0</v>
      </c>
      <c r="W451" s="80" t="str">
        <f aca="false">IF(AND($V451=1,N($F451)&gt;0),ROW(),"")</f>
        <v/>
      </c>
      <c r="X451" s="80" t="n">
        <f aca="false">IF(AND(OR($A451&lt;&gt;"",$E451&lt;&gt;""),$O451&lt;&gt;"Cancelled",ISNUMBER($E451),N($F451)+N($H451)&gt;$E451+0.005),1,0)</f>
        <v>0</v>
      </c>
      <c r="Y451" s="80" t="n">
        <f aca="false">IF(AND(OR($A451&lt;&gt;"",$E451&lt;&gt;""),OR($A451="",$E451="")),1,0)</f>
        <v>0</v>
      </c>
      <c r="Z451" s="80" t="n">
        <f aca="false">IF(AND($A451&lt;&gt;"",COUNTIF($A$7:$A$1006,$A451)&gt;1),1,0)</f>
        <v>0</v>
      </c>
    </row>
    <row r="452" customFormat="false" ht="15" hidden="false" customHeight="false" outlineLevel="0" collapsed="false">
      <c r="A452" s="71"/>
      <c r="B452" s="72"/>
      <c r="C452" s="73"/>
      <c r="D452" s="73"/>
      <c r="E452" s="74"/>
      <c r="F452" s="74"/>
      <c r="G452" s="72"/>
      <c r="H452" s="74"/>
      <c r="I452" s="72"/>
      <c r="J452" s="73"/>
      <c r="K452" s="73"/>
      <c r="L452" s="75" t="str">
        <f aca="false">IF(OR($A452&lt;&gt;"",$E452&lt;&gt;""),N($F452)+N($H452),"")</f>
        <v/>
      </c>
      <c r="M452" s="76" t="str">
        <f aca="false">IF(OR($O452="",$O452="Cancelled",$O452="Amount missing"),"",IF($O452="Realised",0,$E452-N($F452)-N($H452)))</f>
        <v/>
      </c>
      <c r="N452" s="77" t="str">
        <f aca="false">IF(OR($M452="",FX=""),"",$M452*FX)</f>
        <v/>
      </c>
      <c r="O452" s="78" t="str">
        <f aca="false">IF(NOT(OR($A452&lt;&gt;"",$E452&lt;&gt;"")),"",IF($J452="Cancelled","Cancelled",IF($E452="","Amount missing",IF(OR($J452="Settled",$E452-N($F452)-N($H452)&lt;=0.005),"Realised",IF(N($H452)&gt;0,"Part realised",IF(N($F452)&gt;0,"Advance received","On hand"))))))</f>
        <v/>
      </c>
      <c r="P452" s="79" t="str">
        <f aca="false">IF(AND($V452=1,ISNUMBER($B452)),AsAt-$B452,"")</f>
        <v/>
      </c>
      <c r="Q452" s="78" t="str">
        <f aca="false">IF($V452&lt;&gt;1,"",IF($P452="","No invoice date",IF($P452&lt;=30,"0–30 days",IF($P452&lt;=60,"31–60 days",IF($P452&lt;=90,"61–90 days","Over 90 days")))))</f>
        <v/>
      </c>
      <c r="R452" s="80" t="str">
        <f aca="false">IF($V452=1,ROW(),"")</f>
        <v/>
      </c>
      <c r="S452" s="80" t="str">
        <f aca="false">IF(OR($A452&lt;&gt;"",$E452&lt;&gt;""),IF(TRIM($D452)="","Buyer not noted",TRIM($D452)),"")</f>
        <v/>
      </c>
      <c r="T452" s="80" t="n">
        <f aca="false">IF(AND($V452=1,ISNUMBER($M452)),$M452,0)</f>
        <v>0</v>
      </c>
      <c r="U452" s="80" t="str">
        <f aca="false">IF($V452=1,IF(COUNTIFS($S$7:$S452,$S452,$V$7:$V452,1)=1,SUMIFS($T$7:$T$1006,$S$7:$S$1006,$S452)-ROW()/1000000000,""),"")</f>
        <v/>
      </c>
      <c r="V452" s="80" t="n">
        <f aca="false">IF(OR($O452="On hand",$O452="Advance received",$O452="Part realised",$O452="Amount missing"),1,0)</f>
        <v>0</v>
      </c>
      <c r="W452" s="80" t="str">
        <f aca="false">IF(AND($V452=1,N($F452)&gt;0),ROW(),"")</f>
        <v/>
      </c>
      <c r="X452" s="80" t="n">
        <f aca="false">IF(AND(OR($A452&lt;&gt;"",$E452&lt;&gt;""),$O452&lt;&gt;"Cancelled",ISNUMBER($E452),N($F452)+N($H452)&gt;$E452+0.005),1,0)</f>
        <v>0</v>
      </c>
      <c r="Y452" s="80" t="n">
        <f aca="false">IF(AND(OR($A452&lt;&gt;"",$E452&lt;&gt;""),OR($A452="",$E452="")),1,0)</f>
        <v>0</v>
      </c>
      <c r="Z452" s="80" t="n">
        <f aca="false">IF(AND($A452&lt;&gt;"",COUNTIF($A$7:$A$1006,$A452)&gt;1),1,0)</f>
        <v>0</v>
      </c>
    </row>
    <row r="453" customFormat="false" ht="15" hidden="false" customHeight="false" outlineLevel="0" collapsed="false">
      <c r="A453" s="71"/>
      <c r="B453" s="72"/>
      <c r="C453" s="73"/>
      <c r="D453" s="73"/>
      <c r="E453" s="74"/>
      <c r="F453" s="74"/>
      <c r="G453" s="72"/>
      <c r="H453" s="74"/>
      <c r="I453" s="72"/>
      <c r="J453" s="73"/>
      <c r="K453" s="73"/>
      <c r="L453" s="75" t="str">
        <f aca="false">IF(OR($A453&lt;&gt;"",$E453&lt;&gt;""),N($F453)+N($H453),"")</f>
        <v/>
      </c>
      <c r="M453" s="76" t="str">
        <f aca="false">IF(OR($O453="",$O453="Cancelled",$O453="Amount missing"),"",IF($O453="Realised",0,$E453-N($F453)-N($H453)))</f>
        <v/>
      </c>
      <c r="N453" s="77" t="str">
        <f aca="false">IF(OR($M453="",FX=""),"",$M453*FX)</f>
        <v/>
      </c>
      <c r="O453" s="78" t="str">
        <f aca="false">IF(NOT(OR($A453&lt;&gt;"",$E453&lt;&gt;"")),"",IF($J453="Cancelled","Cancelled",IF($E453="","Amount missing",IF(OR($J453="Settled",$E453-N($F453)-N($H453)&lt;=0.005),"Realised",IF(N($H453)&gt;0,"Part realised",IF(N($F453)&gt;0,"Advance received","On hand"))))))</f>
        <v/>
      </c>
      <c r="P453" s="79" t="str">
        <f aca="false">IF(AND($V453=1,ISNUMBER($B453)),AsAt-$B453,"")</f>
        <v/>
      </c>
      <c r="Q453" s="78" t="str">
        <f aca="false">IF($V453&lt;&gt;1,"",IF($P453="","No invoice date",IF($P453&lt;=30,"0–30 days",IF($P453&lt;=60,"31–60 days",IF($P453&lt;=90,"61–90 days","Over 90 days")))))</f>
        <v/>
      </c>
      <c r="R453" s="80" t="str">
        <f aca="false">IF($V453=1,ROW(),"")</f>
        <v/>
      </c>
      <c r="S453" s="80" t="str">
        <f aca="false">IF(OR($A453&lt;&gt;"",$E453&lt;&gt;""),IF(TRIM($D453)="","Buyer not noted",TRIM($D453)),"")</f>
        <v/>
      </c>
      <c r="T453" s="80" t="n">
        <f aca="false">IF(AND($V453=1,ISNUMBER($M453)),$M453,0)</f>
        <v>0</v>
      </c>
      <c r="U453" s="80" t="str">
        <f aca="false">IF($V453=1,IF(COUNTIFS($S$7:$S453,$S453,$V$7:$V453,1)=1,SUMIFS($T$7:$T$1006,$S$7:$S$1006,$S453)-ROW()/1000000000,""),"")</f>
        <v/>
      </c>
      <c r="V453" s="80" t="n">
        <f aca="false">IF(OR($O453="On hand",$O453="Advance received",$O453="Part realised",$O453="Amount missing"),1,0)</f>
        <v>0</v>
      </c>
      <c r="W453" s="80" t="str">
        <f aca="false">IF(AND($V453=1,N($F453)&gt;0),ROW(),"")</f>
        <v/>
      </c>
      <c r="X453" s="80" t="n">
        <f aca="false">IF(AND(OR($A453&lt;&gt;"",$E453&lt;&gt;""),$O453&lt;&gt;"Cancelled",ISNUMBER($E453),N($F453)+N($H453)&gt;$E453+0.005),1,0)</f>
        <v>0</v>
      </c>
      <c r="Y453" s="80" t="n">
        <f aca="false">IF(AND(OR($A453&lt;&gt;"",$E453&lt;&gt;""),OR($A453="",$E453="")),1,0)</f>
        <v>0</v>
      </c>
      <c r="Z453" s="80" t="n">
        <f aca="false">IF(AND($A453&lt;&gt;"",COUNTIF($A$7:$A$1006,$A453)&gt;1),1,0)</f>
        <v>0</v>
      </c>
    </row>
    <row r="454" customFormat="false" ht="15" hidden="false" customHeight="false" outlineLevel="0" collapsed="false">
      <c r="A454" s="71"/>
      <c r="B454" s="72"/>
      <c r="C454" s="73"/>
      <c r="D454" s="73"/>
      <c r="E454" s="74"/>
      <c r="F454" s="74"/>
      <c r="G454" s="72"/>
      <c r="H454" s="74"/>
      <c r="I454" s="72"/>
      <c r="J454" s="73"/>
      <c r="K454" s="73"/>
      <c r="L454" s="75" t="str">
        <f aca="false">IF(OR($A454&lt;&gt;"",$E454&lt;&gt;""),N($F454)+N($H454),"")</f>
        <v/>
      </c>
      <c r="M454" s="76" t="str">
        <f aca="false">IF(OR($O454="",$O454="Cancelled",$O454="Amount missing"),"",IF($O454="Realised",0,$E454-N($F454)-N($H454)))</f>
        <v/>
      </c>
      <c r="N454" s="77" t="str">
        <f aca="false">IF(OR($M454="",FX=""),"",$M454*FX)</f>
        <v/>
      </c>
      <c r="O454" s="78" t="str">
        <f aca="false">IF(NOT(OR($A454&lt;&gt;"",$E454&lt;&gt;"")),"",IF($J454="Cancelled","Cancelled",IF($E454="","Amount missing",IF(OR($J454="Settled",$E454-N($F454)-N($H454)&lt;=0.005),"Realised",IF(N($H454)&gt;0,"Part realised",IF(N($F454)&gt;0,"Advance received","On hand"))))))</f>
        <v/>
      </c>
      <c r="P454" s="79" t="str">
        <f aca="false">IF(AND($V454=1,ISNUMBER($B454)),AsAt-$B454,"")</f>
        <v/>
      </c>
      <c r="Q454" s="78" t="str">
        <f aca="false">IF($V454&lt;&gt;1,"",IF($P454="","No invoice date",IF($P454&lt;=30,"0–30 days",IF($P454&lt;=60,"31–60 days",IF($P454&lt;=90,"61–90 days","Over 90 days")))))</f>
        <v/>
      </c>
      <c r="R454" s="80" t="str">
        <f aca="false">IF($V454=1,ROW(),"")</f>
        <v/>
      </c>
      <c r="S454" s="80" t="str">
        <f aca="false">IF(OR($A454&lt;&gt;"",$E454&lt;&gt;""),IF(TRIM($D454)="","Buyer not noted",TRIM($D454)),"")</f>
        <v/>
      </c>
      <c r="T454" s="80" t="n">
        <f aca="false">IF(AND($V454=1,ISNUMBER($M454)),$M454,0)</f>
        <v>0</v>
      </c>
      <c r="U454" s="80" t="str">
        <f aca="false">IF($V454=1,IF(COUNTIFS($S$7:$S454,$S454,$V$7:$V454,1)=1,SUMIFS($T$7:$T$1006,$S$7:$S$1006,$S454)-ROW()/1000000000,""),"")</f>
        <v/>
      </c>
      <c r="V454" s="80" t="n">
        <f aca="false">IF(OR($O454="On hand",$O454="Advance received",$O454="Part realised",$O454="Amount missing"),1,0)</f>
        <v>0</v>
      </c>
      <c r="W454" s="80" t="str">
        <f aca="false">IF(AND($V454=1,N($F454)&gt;0),ROW(),"")</f>
        <v/>
      </c>
      <c r="X454" s="80" t="n">
        <f aca="false">IF(AND(OR($A454&lt;&gt;"",$E454&lt;&gt;""),$O454&lt;&gt;"Cancelled",ISNUMBER($E454),N($F454)+N($H454)&gt;$E454+0.005),1,0)</f>
        <v>0</v>
      </c>
      <c r="Y454" s="80" t="n">
        <f aca="false">IF(AND(OR($A454&lt;&gt;"",$E454&lt;&gt;""),OR($A454="",$E454="")),1,0)</f>
        <v>0</v>
      </c>
      <c r="Z454" s="80" t="n">
        <f aca="false">IF(AND($A454&lt;&gt;"",COUNTIF($A$7:$A$1006,$A454)&gt;1),1,0)</f>
        <v>0</v>
      </c>
    </row>
    <row r="455" customFormat="false" ht="15" hidden="false" customHeight="false" outlineLevel="0" collapsed="false">
      <c r="A455" s="71"/>
      <c r="B455" s="72"/>
      <c r="C455" s="73"/>
      <c r="D455" s="73"/>
      <c r="E455" s="74"/>
      <c r="F455" s="74"/>
      <c r="G455" s="72"/>
      <c r="H455" s="74"/>
      <c r="I455" s="72"/>
      <c r="J455" s="73"/>
      <c r="K455" s="73"/>
      <c r="L455" s="75" t="str">
        <f aca="false">IF(OR($A455&lt;&gt;"",$E455&lt;&gt;""),N($F455)+N($H455),"")</f>
        <v/>
      </c>
      <c r="M455" s="76" t="str">
        <f aca="false">IF(OR($O455="",$O455="Cancelled",$O455="Amount missing"),"",IF($O455="Realised",0,$E455-N($F455)-N($H455)))</f>
        <v/>
      </c>
      <c r="N455" s="77" t="str">
        <f aca="false">IF(OR($M455="",FX=""),"",$M455*FX)</f>
        <v/>
      </c>
      <c r="O455" s="78" t="str">
        <f aca="false">IF(NOT(OR($A455&lt;&gt;"",$E455&lt;&gt;"")),"",IF($J455="Cancelled","Cancelled",IF($E455="","Amount missing",IF(OR($J455="Settled",$E455-N($F455)-N($H455)&lt;=0.005),"Realised",IF(N($H455)&gt;0,"Part realised",IF(N($F455)&gt;0,"Advance received","On hand"))))))</f>
        <v/>
      </c>
      <c r="P455" s="79" t="str">
        <f aca="false">IF(AND($V455=1,ISNUMBER($B455)),AsAt-$B455,"")</f>
        <v/>
      </c>
      <c r="Q455" s="78" t="str">
        <f aca="false">IF($V455&lt;&gt;1,"",IF($P455="","No invoice date",IF($P455&lt;=30,"0–30 days",IF($P455&lt;=60,"31–60 days",IF($P455&lt;=90,"61–90 days","Over 90 days")))))</f>
        <v/>
      </c>
      <c r="R455" s="80" t="str">
        <f aca="false">IF($V455=1,ROW(),"")</f>
        <v/>
      </c>
      <c r="S455" s="80" t="str">
        <f aca="false">IF(OR($A455&lt;&gt;"",$E455&lt;&gt;""),IF(TRIM($D455)="","Buyer not noted",TRIM($D455)),"")</f>
        <v/>
      </c>
      <c r="T455" s="80" t="n">
        <f aca="false">IF(AND($V455=1,ISNUMBER($M455)),$M455,0)</f>
        <v>0</v>
      </c>
      <c r="U455" s="80" t="str">
        <f aca="false">IF($V455=1,IF(COUNTIFS($S$7:$S455,$S455,$V$7:$V455,1)=1,SUMIFS($T$7:$T$1006,$S$7:$S$1006,$S455)-ROW()/1000000000,""),"")</f>
        <v/>
      </c>
      <c r="V455" s="80" t="n">
        <f aca="false">IF(OR($O455="On hand",$O455="Advance received",$O455="Part realised",$O455="Amount missing"),1,0)</f>
        <v>0</v>
      </c>
      <c r="W455" s="80" t="str">
        <f aca="false">IF(AND($V455=1,N($F455)&gt;0),ROW(),"")</f>
        <v/>
      </c>
      <c r="X455" s="80" t="n">
        <f aca="false">IF(AND(OR($A455&lt;&gt;"",$E455&lt;&gt;""),$O455&lt;&gt;"Cancelled",ISNUMBER($E455),N($F455)+N($H455)&gt;$E455+0.005),1,0)</f>
        <v>0</v>
      </c>
      <c r="Y455" s="80" t="n">
        <f aca="false">IF(AND(OR($A455&lt;&gt;"",$E455&lt;&gt;""),OR($A455="",$E455="")),1,0)</f>
        <v>0</v>
      </c>
      <c r="Z455" s="80" t="n">
        <f aca="false">IF(AND($A455&lt;&gt;"",COUNTIF($A$7:$A$1006,$A455)&gt;1),1,0)</f>
        <v>0</v>
      </c>
    </row>
    <row r="456" customFormat="false" ht="15" hidden="false" customHeight="false" outlineLevel="0" collapsed="false">
      <c r="A456" s="71"/>
      <c r="B456" s="72"/>
      <c r="C456" s="73"/>
      <c r="D456" s="73"/>
      <c r="E456" s="74"/>
      <c r="F456" s="74"/>
      <c r="G456" s="72"/>
      <c r="H456" s="74"/>
      <c r="I456" s="72"/>
      <c r="J456" s="73"/>
      <c r="K456" s="73"/>
      <c r="L456" s="75" t="str">
        <f aca="false">IF(OR($A456&lt;&gt;"",$E456&lt;&gt;""),N($F456)+N($H456),"")</f>
        <v/>
      </c>
      <c r="M456" s="76" t="str">
        <f aca="false">IF(OR($O456="",$O456="Cancelled",$O456="Amount missing"),"",IF($O456="Realised",0,$E456-N($F456)-N($H456)))</f>
        <v/>
      </c>
      <c r="N456" s="77" t="str">
        <f aca="false">IF(OR($M456="",FX=""),"",$M456*FX)</f>
        <v/>
      </c>
      <c r="O456" s="78" t="str">
        <f aca="false">IF(NOT(OR($A456&lt;&gt;"",$E456&lt;&gt;"")),"",IF($J456="Cancelled","Cancelled",IF($E456="","Amount missing",IF(OR($J456="Settled",$E456-N($F456)-N($H456)&lt;=0.005),"Realised",IF(N($H456)&gt;0,"Part realised",IF(N($F456)&gt;0,"Advance received","On hand"))))))</f>
        <v/>
      </c>
      <c r="P456" s="79" t="str">
        <f aca="false">IF(AND($V456=1,ISNUMBER($B456)),AsAt-$B456,"")</f>
        <v/>
      </c>
      <c r="Q456" s="78" t="str">
        <f aca="false">IF($V456&lt;&gt;1,"",IF($P456="","No invoice date",IF($P456&lt;=30,"0–30 days",IF($P456&lt;=60,"31–60 days",IF($P456&lt;=90,"61–90 days","Over 90 days")))))</f>
        <v/>
      </c>
      <c r="R456" s="80" t="str">
        <f aca="false">IF($V456=1,ROW(),"")</f>
        <v/>
      </c>
      <c r="S456" s="80" t="str">
        <f aca="false">IF(OR($A456&lt;&gt;"",$E456&lt;&gt;""),IF(TRIM($D456)="","Buyer not noted",TRIM($D456)),"")</f>
        <v/>
      </c>
      <c r="T456" s="80" t="n">
        <f aca="false">IF(AND($V456=1,ISNUMBER($M456)),$M456,0)</f>
        <v>0</v>
      </c>
      <c r="U456" s="80" t="str">
        <f aca="false">IF($V456=1,IF(COUNTIFS($S$7:$S456,$S456,$V$7:$V456,1)=1,SUMIFS($T$7:$T$1006,$S$7:$S$1006,$S456)-ROW()/1000000000,""),"")</f>
        <v/>
      </c>
      <c r="V456" s="80" t="n">
        <f aca="false">IF(OR($O456="On hand",$O456="Advance received",$O456="Part realised",$O456="Amount missing"),1,0)</f>
        <v>0</v>
      </c>
      <c r="W456" s="80" t="str">
        <f aca="false">IF(AND($V456=1,N($F456)&gt;0),ROW(),"")</f>
        <v/>
      </c>
      <c r="X456" s="80" t="n">
        <f aca="false">IF(AND(OR($A456&lt;&gt;"",$E456&lt;&gt;""),$O456&lt;&gt;"Cancelled",ISNUMBER($E456),N($F456)+N($H456)&gt;$E456+0.005),1,0)</f>
        <v>0</v>
      </c>
      <c r="Y456" s="80" t="n">
        <f aca="false">IF(AND(OR($A456&lt;&gt;"",$E456&lt;&gt;""),OR($A456="",$E456="")),1,0)</f>
        <v>0</v>
      </c>
      <c r="Z456" s="80" t="n">
        <f aca="false">IF(AND($A456&lt;&gt;"",COUNTIF($A$7:$A$1006,$A456)&gt;1),1,0)</f>
        <v>0</v>
      </c>
    </row>
    <row r="457" customFormat="false" ht="15" hidden="false" customHeight="false" outlineLevel="0" collapsed="false">
      <c r="A457" s="71"/>
      <c r="B457" s="72"/>
      <c r="C457" s="73"/>
      <c r="D457" s="73"/>
      <c r="E457" s="74"/>
      <c r="F457" s="74"/>
      <c r="G457" s="72"/>
      <c r="H457" s="74"/>
      <c r="I457" s="72"/>
      <c r="J457" s="73"/>
      <c r="K457" s="73"/>
      <c r="L457" s="75" t="str">
        <f aca="false">IF(OR($A457&lt;&gt;"",$E457&lt;&gt;""),N($F457)+N($H457),"")</f>
        <v/>
      </c>
      <c r="M457" s="76" t="str">
        <f aca="false">IF(OR($O457="",$O457="Cancelled",$O457="Amount missing"),"",IF($O457="Realised",0,$E457-N($F457)-N($H457)))</f>
        <v/>
      </c>
      <c r="N457" s="77" t="str">
        <f aca="false">IF(OR($M457="",FX=""),"",$M457*FX)</f>
        <v/>
      </c>
      <c r="O457" s="78" t="str">
        <f aca="false">IF(NOT(OR($A457&lt;&gt;"",$E457&lt;&gt;"")),"",IF($J457="Cancelled","Cancelled",IF($E457="","Amount missing",IF(OR($J457="Settled",$E457-N($F457)-N($H457)&lt;=0.005),"Realised",IF(N($H457)&gt;0,"Part realised",IF(N($F457)&gt;0,"Advance received","On hand"))))))</f>
        <v/>
      </c>
      <c r="P457" s="79" t="str">
        <f aca="false">IF(AND($V457=1,ISNUMBER($B457)),AsAt-$B457,"")</f>
        <v/>
      </c>
      <c r="Q457" s="78" t="str">
        <f aca="false">IF($V457&lt;&gt;1,"",IF($P457="","No invoice date",IF($P457&lt;=30,"0–30 days",IF($P457&lt;=60,"31–60 days",IF($P457&lt;=90,"61–90 days","Over 90 days")))))</f>
        <v/>
      </c>
      <c r="R457" s="80" t="str">
        <f aca="false">IF($V457=1,ROW(),"")</f>
        <v/>
      </c>
      <c r="S457" s="80" t="str">
        <f aca="false">IF(OR($A457&lt;&gt;"",$E457&lt;&gt;""),IF(TRIM($D457)="","Buyer not noted",TRIM($D457)),"")</f>
        <v/>
      </c>
      <c r="T457" s="80" t="n">
        <f aca="false">IF(AND($V457=1,ISNUMBER($M457)),$M457,0)</f>
        <v>0</v>
      </c>
      <c r="U457" s="80" t="str">
        <f aca="false">IF($V457=1,IF(COUNTIFS($S$7:$S457,$S457,$V$7:$V457,1)=1,SUMIFS($T$7:$T$1006,$S$7:$S$1006,$S457)-ROW()/1000000000,""),"")</f>
        <v/>
      </c>
      <c r="V457" s="80" t="n">
        <f aca="false">IF(OR($O457="On hand",$O457="Advance received",$O457="Part realised",$O457="Amount missing"),1,0)</f>
        <v>0</v>
      </c>
      <c r="W457" s="80" t="str">
        <f aca="false">IF(AND($V457=1,N($F457)&gt;0),ROW(),"")</f>
        <v/>
      </c>
      <c r="X457" s="80" t="n">
        <f aca="false">IF(AND(OR($A457&lt;&gt;"",$E457&lt;&gt;""),$O457&lt;&gt;"Cancelled",ISNUMBER($E457),N($F457)+N($H457)&gt;$E457+0.005),1,0)</f>
        <v>0</v>
      </c>
      <c r="Y457" s="80" t="n">
        <f aca="false">IF(AND(OR($A457&lt;&gt;"",$E457&lt;&gt;""),OR($A457="",$E457="")),1,0)</f>
        <v>0</v>
      </c>
      <c r="Z457" s="80" t="n">
        <f aca="false">IF(AND($A457&lt;&gt;"",COUNTIF($A$7:$A$1006,$A457)&gt;1),1,0)</f>
        <v>0</v>
      </c>
    </row>
    <row r="458" customFormat="false" ht="15" hidden="false" customHeight="false" outlineLevel="0" collapsed="false">
      <c r="A458" s="71"/>
      <c r="B458" s="72"/>
      <c r="C458" s="73"/>
      <c r="D458" s="73"/>
      <c r="E458" s="74"/>
      <c r="F458" s="74"/>
      <c r="G458" s="72"/>
      <c r="H458" s="74"/>
      <c r="I458" s="72"/>
      <c r="J458" s="73"/>
      <c r="K458" s="73"/>
      <c r="L458" s="75" t="str">
        <f aca="false">IF(OR($A458&lt;&gt;"",$E458&lt;&gt;""),N($F458)+N($H458),"")</f>
        <v/>
      </c>
      <c r="M458" s="76" t="str">
        <f aca="false">IF(OR($O458="",$O458="Cancelled",$O458="Amount missing"),"",IF($O458="Realised",0,$E458-N($F458)-N($H458)))</f>
        <v/>
      </c>
      <c r="N458" s="77" t="str">
        <f aca="false">IF(OR($M458="",FX=""),"",$M458*FX)</f>
        <v/>
      </c>
      <c r="O458" s="78" t="str">
        <f aca="false">IF(NOT(OR($A458&lt;&gt;"",$E458&lt;&gt;"")),"",IF($J458="Cancelled","Cancelled",IF($E458="","Amount missing",IF(OR($J458="Settled",$E458-N($F458)-N($H458)&lt;=0.005),"Realised",IF(N($H458)&gt;0,"Part realised",IF(N($F458)&gt;0,"Advance received","On hand"))))))</f>
        <v/>
      </c>
      <c r="P458" s="79" t="str">
        <f aca="false">IF(AND($V458=1,ISNUMBER($B458)),AsAt-$B458,"")</f>
        <v/>
      </c>
      <c r="Q458" s="78" t="str">
        <f aca="false">IF($V458&lt;&gt;1,"",IF($P458="","No invoice date",IF($P458&lt;=30,"0–30 days",IF($P458&lt;=60,"31–60 days",IF($P458&lt;=90,"61–90 days","Over 90 days")))))</f>
        <v/>
      </c>
      <c r="R458" s="80" t="str">
        <f aca="false">IF($V458=1,ROW(),"")</f>
        <v/>
      </c>
      <c r="S458" s="80" t="str">
        <f aca="false">IF(OR($A458&lt;&gt;"",$E458&lt;&gt;""),IF(TRIM($D458)="","Buyer not noted",TRIM($D458)),"")</f>
        <v/>
      </c>
      <c r="T458" s="80" t="n">
        <f aca="false">IF(AND($V458=1,ISNUMBER($M458)),$M458,0)</f>
        <v>0</v>
      </c>
      <c r="U458" s="80" t="str">
        <f aca="false">IF($V458=1,IF(COUNTIFS($S$7:$S458,$S458,$V$7:$V458,1)=1,SUMIFS($T$7:$T$1006,$S$7:$S$1006,$S458)-ROW()/1000000000,""),"")</f>
        <v/>
      </c>
      <c r="V458" s="80" t="n">
        <f aca="false">IF(OR($O458="On hand",$O458="Advance received",$O458="Part realised",$O458="Amount missing"),1,0)</f>
        <v>0</v>
      </c>
      <c r="W458" s="80" t="str">
        <f aca="false">IF(AND($V458=1,N($F458)&gt;0),ROW(),"")</f>
        <v/>
      </c>
      <c r="X458" s="80" t="n">
        <f aca="false">IF(AND(OR($A458&lt;&gt;"",$E458&lt;&gt;""),$O458&lt;&gt;"Cancelled",ISNUMBER($E458),N($F458)+N($H458)&gt;$E458+0.005),1,0)</f>
        <v>0</v>
      </c>
      <c r="Y458" s="80" t="n">
        <f aca="false">IF(AND(OR($A458&lt;&gt;"",$E458&lt;&gt;""),OR($A458="",$E458="")),1,0)</f>
        <v>0</v>
      </c>
      <c r="Z458" s="80" t="n">
        <f aca="false">IF(AND($A458&lt;&gt;"",COUNTIF($A$7:$A$1006,$A458)&gt;1),1,0)</f>
        <v>0</v>
      </c>
    </row>
    <row r="459" customFormat="false" ht="15" hidden="false" customHeight="false" outlineLevel="0" collapsed="false">
      <c r="A459" s="71"/>
      <c r="B459" s="72"/>
      <c r="C459" s="73"/>
      <c r="D459" s="73"/>
      <c r="E459" s="74"/>
      <c r="F459" s="74"/>
      <c r="G459" s="72"/>
      <c r="H459" s="74"/>
      <c r="I459" s="72"/>
      <c r="J459" s="73"/>
      <c r="K459" s="73"/>
      <c r="L459" s="75" t="str">
        <f aca="false">IF(OR($A459&lt;&gt;"",$E459&lt;&gt;""),N($F459)+N($H459),"")</f>
        <v/>
      </c>
      <c r="M459" s="76" t="str">
        <f aca="false">IF(OR($O459="",$O459="Cancelled",$O459="Amount missing"),"",IF($O459="Realised",0,$E459-N($F459)-N($H459)))</f>
        <v/>
      </c>
      <c r="N459" s="77" t="str">
        <f aca="false">IF(OR($M459="",FX=""),"",$M459*FX)</f>
        <v/>
      </c>
      <c r="O459" s="78" t="str">
        <f aca="false">IF(NOT(OR($A459&lt;&gt;"",$E459&lt;&gt;"")),"",IF($J459="Cancelled","Cancelled",IF($E459="","Amount missing",IF(OR($J459="Settled",$E459-N($F459)-N($H459)&lt;=0.005),"Realised",IF(N($H459)&gt;0,"Part realised",IF(N($F459)&gt;0,"Advance received","On hand"))))))</f>
        <v/>
      </c>
      <c r="P459" s="79" t="str">
        <f aca="false">IF(AND($V459=1,ISNUMBER($B459)),AsAt-$B459,"")</f>
        <v/>
      </c>
      <c r="Q459" s="78" t="str">
        <f aca="false">IF($V459&lt;&gt;1,"",IF($P459="","No invoice date",IF($P459&lt;=30,"0–30 days",IF($P459&lt;=60,"31–60 days",IF($P459&lt;=90,"61–90 days","Over 90 days")))))</f>
        <v/>
      </c>
      <c r="R459" s="80" t="str">
        <f aca="false">IF($V459=1,ROW(),"")</f>
        <v/>
      </c>
      <c r="S459" s="80" t="str">
        <f aca="false">IF(OR($A459&lt;&gt;"",$E459&lt;&gt;""),IF(TRIM($D459)="","Buyer not noted",TRIM($D459)),"")</f>
        <v/>
      </c>
      <c r="T459" s="80" t="n">
        <f aca="false">IF(AND($V459=1,ISNUMBER($M459)),$M459,0)</f>
        <v>0</v>
      </c>
      <c r="U459" s="80" t="str">
        <f aca="false">IF($V459=1,IF(COUNTIFS($S$7:$S459,$S459,$V$7:$V459,1)=1,SUMIFS($T$7:$T$1006,$S$7:$S$1006,$S459)-ROW()/1000000000,""),"")</f>
        <v/>
      </c>
      <c r="V459" s="80" t="n">
        <f aca="false">IF(OR($O459="On hand",$O459="Advance received",$O459="Part realised",$O459="Amount missing"),1,0)</f>
        <v>0</v>
      </c>
      <c r="W459" s="80" t="str">
        <f aca="false">IF(AND($V459=1,N($F459)&gt;0),ROW(),"")</f>
        <v/>
      </c>
      <c r="X459" s="80" t="n">
        <f aca="false">IF(AND(OR($A459&lt;&gt;"",$E459&lt;&gt;""),$O459&lt;&gt;"Cancelled",ISNUMBER($E459),N($F459)+N($H459)&gt;$E459+0.005),1,0)</f>
        <v>0</v>
      </c>
      <c r="Y459" s="80" t="n">
        <f aca="false">IF(AND(OR($A459&lt;&gt;"",$E459&lt;&gt;""),OR($A459="",$E459="")),1,0)</f>
        <v>0</v>
      </c>
      <c r="Z459" s="80" t="n">
        <f aca="false">IF(AND($A459&lt;&gt;"",COUNTIF($A$7:$A$1006,$A459)&gt;1),1,0)</f>
        <v>0</v>
      </c>
    </row>
    <row r="460" customFormat="false" ht="15" hidden="false" customHeight="false" outlineLevel="0" collapsed="false">
      <c r="A460" s="71"/>
      <c r="B460" s="72"/>
      <c r="C460" s="73"/>
      <c r="D460" s="73"/>
      <c r="E460" s="74"/>
      <c r="F460" s="74"/>
      <c r="G460" s="72"/>
      <c r="H460" s="74"/>
      <c r="I460" s="72"/>
      <c r="J460" s="73"/>
      <c r="K460" s="73"/>
      <c r="L460" s="75" t="str">
        <f aca="false">IF(OR($A460&lt;&gt;"",$E460&lt;&gt;""),N($F460)+N($H460),"")</f>
        <v/>
      </c>
      <c r="M460" s="76" t="str">
        <f aca="false">IF(OR($O460="",$O460="Cancelled",$O460="Amount missing"),"",IF($O460="Realised",0,$E460-N($F460)-N($H460)))</f>
        <v/>
      </c>
      <c r="N460" s="77" t="str">
        <f aca="false">IF(OR($M460="",FX=""),"",$M460*FX)</f>
        <v/>
      </c>
      <c r="O460" s="78" t="str">
        <f aca="false">IF(NOT(OR($A460&lt;&gt;"",$E460&lt;&gt;"")),"",IF($J460="Cancelled","Cancelled",IF($E460="","Amount missing",IF(OR($J460="Settled",$E460-N($F460)-N($H460)&lt;=0.005),"Realised",IF(N($H460)&gt;0,"Part realised",IF(N($F460)&gt;0,"Advance received","On hand"))))))</f>
        <v/>
      </c>
      <c r="P460" s="79" t="str">
        <f aca="false">IF(AND($V460=1,ISNUMBER($B460)),AsAt-$B460,"")</f>
        <v/>
      </c>
      <c r="Q460" s="78" t="str">
        <f aca="false">IF($V460&lt;&gt;1,"",IF($P460="","No invoice date",IF($P460&lt;=30,"0–30 days",IF($P460&lt;=60,"31–60 days",IF($P460&lt;=90,"61–90 days","Over 90 days")))))</f>
        <v/>
      </c>
      <c r="R460" s="80" t="str">
        <f aca="false">IF($V460=1,ROW(),"")</f>
        <v/>
      </c>
      <c r="S460" s="80" t="str">
        <f aca="false">IF(OR($A460&lt;&gt;"",$E460&lt;&gt;""),IF(TRIM($D460)="","Buyer not noted",TRIM($D460)),"")</f>
        <v/>
      </c>
      <c r="T460" s="80" t="n">
        <f aca="false">IF(AND($V460=1,ISNUMBER($M460)),$M460,0)</f>
        <v>0</v>
      </c>
      <c r="U460" s="80" t="str">
        <f aca="false">IF($V460=1,IF(COUNTIFS($S$7:$S460,$S460,$V$7:$V460,1)=1,SUMIFS($T$7:$T$1006,$S$7:$S$1006,$S460)-ROW()/1000000000,""),"")</f>
        <v/>
      </c>
      <c r="V460" s="80" t="n">
        <f aca="false">IF(OR($O460="On hand",$O460="Advance received",$O460="Part realised",$O460="Amount missing"),1,0)</f>
        <v>0</v>
      </c>
      <c r="W460" s="80" t="str">
        <f aca="false">IF(AND($V460=1,N($F460)&gt;0),ROW(),"")</f>
        <v/>
      </c>
      <c r="X460" s="80" t="n">
        <f aca="false">IF(AND(OR($A460&lt;&gt;"",$E460&lt;&gt;""),$O460&lt;&gt;"Cancelled",ISNUMBER($E460),N($F460)+N($H460)&gt;$E460+0.005),1,0)</f>
        <v>0</v>
      </c>
      <c r="Y460" s="80" t="n">
        <f aca="false">IF(AND(OR($A460&lt;&gt;"",$E460&lt;&gt;""),OR($A460="",$E460="")),1,0)</f>
        <v>0</v>
      </c>
      <c r="Z460" s="80" t="n">
        <f aca="false">IF(AND($A460&lt;&gt;"",COUNTIF($A$7:$A$1006,$A460)&gt;1),1,0)</f>
        <v>0</v>
      </c>
    </row>
    <row r="461" customFormat="false" ht="15" hidden="false" customHeight="false" outlineLevel="0" collapsed="false">
      <c r="A461" s="71"/>
      <c r="B461" s="72"/>
      <c r="C461" s="73"/>
      <c r="D461" s="73"/>
      <c r="E461" s="74"/>
      <c r="F461" s="74"/>
      <c r="G461" s="72"/>
      <c r="H461" s="74"/>
      <c r="I461" s="72"/>
      <c r="J461" s="73"/>
      <c r="K461" s="73"/>
      <c r="L461" s="75" t="str">
        <f aca="false">IF(OR($A461&lt;&gt;"",$E461&lt;&gt;""),N($F461)+N($H461),"")</f>
        <v/>
      </c>
      <c r="M461" s="76" t="str">
        <f aca="false">IF(OR($O461="",$O461="Cancelled",$O461="Amount missing"),"",IF($O461="Realised",0,$E461-N($F461)-N($H461)))</f>
        <v/>
      </c>
      <c r="N461" s="77" t="str">
        <f aca="false">IF(OR($M461="",FX=""),"",$M461*FX)</f>
        <v/>
      </c>
      <c r="O461" s="78" t="str">
        <f aca="false">IF(NOT(OR($A461&lt;&gt;"",$E461&lt;&gt;"")),"",IF($J461="Cancelled","Cancelled",IF($E461="","Amount missing",IF(OR($J461="Settled",$E461-N($F461)-N($H461)&lt;=0.005),"Realised",IF(N($H461)&gt;0,"Part realised",IF(N($F461)&gt;0,"Advance received","On hand"))))))</f>
        <v/>
      </c>
      <c r="P461" s="79" t="str">
        <f aca="false">IF(AND($V461=1,ISNUMBER($B461)),AsAt-$B461,"")</f>
        <v/>
      </c>
      <c r="Q461" s="78" t="str">
        <f aca="false">IF($V461&lt;&gt;1,"",IF($P461="","No invoice date",IF($P461&lt;=30,"0–30 days",IF($P461&lt;=60,"31–60 days",IF($P461&lt;=90,"61–90 days","Over 90 days")))))</f>
        <v/>
      </c>
      <c r="R461" s="80" t="str">
        <f aca="false">IF($V461=1,ROW(),"")</f>
        <v/>
      </c>
      <c r="S461" s="80" t="str">
        <f aca="false">IF(OR($A461&lt;&gt;"",$E461&lt;&gt;""),IF(TRIM($D461)="","Buyer not noted",TRIM($D461)),"")</f>
        <v/>
      </c>
      <c r="T461" s="80" t="n">
        <f aca="false">IF(AND($V461=1,ISNUMBER($M461)),$M461,0)</f>
        <v>0</v>
      </c>
      <c r="U461" s="80" t="str">
        <f aca="false">IF($V461=1,IF(COUNTIFS($S$7:$S461,$S461,$V$7:$V461,1)=1,SUMIFS($T$7:$T$1006,$S$7:$S$1006,$S461)-ROW()/1000000000,""),"")</f>
        <v/>
      </c>
      <c r="V461" s="80" t="n">
        <f aca="false">IF(OR($O461="On hand",$O461="Advance received",$O461="Part realised",$O461="Amount missing"),1,0)</f>
        <v>0</v>
      </c>
      <c r="W461" s="80" t="str">
        <f aca="false">IF(AND($V461=1,N($F461)&gt;0),ROW(),"")</f>
        <v/>
      </c>
      <c r="X461" s="80" t="n">
        <f aca="false">IF(AND(OR($A461&lt;&gt;"",$E461&lt;&gt;""),$O461&lt;&gt;"Cancelled",ISNUMBER($E461),N($F461)+N($H461)&gt;$E461+0.005),1,0)</f>
        <v>0</v>
      </c>
      <c r="Y461" s="80" t="n">
        <f aca="false">IF(AND(OR($A461&lt;&gt;"",$E461&lt;&gt;""),OR($A461="",$E461="")),1,0)</f>
        <v>0</v>
      </c>
      <c r="Z461" s="80" t="n">
        <f aca="false">IF(AND($A461&lt;&gt;"",COUNTIF($A$7:$A$1006,$A461)&gt;1),1,0)</f>
        <v>0</v>
      </c>
    </row>
    <row r="462" customFormat="false" ht="15" hidden="false" customHeight="false" outlineLevel="0" collapsed="false">
      <c r="A462" s="71"/>
      <c r="B462" s="72"/>
      <c r="C462" s="73"/>
      <c r="D462" s="73"/>
      <c r="E462" s="74"/>
      <c r="F462" s="74"/>
      <c r="G462" s="72"/>
      <c r="H462" s="74"/>
      <c r="I462" s="72"/>
      <c r="J462" s="73"/>
      <c r="K462" s="73"/>
      <c r="L462" s="75" t="str">
        <f aca="false">IF(OR($A462&lt;&gt;"",$E462&lt;&gt;""),N($F462)+N($H462),"")</f>
        <v/>
      </c>
      <c r="M462" s="76" t="str">
        <f aca="false">IF(OR($O462="",$O462="Cancelled",$O462="Amount missing"),"",IF($O462="Realised",0,$E462-N($F462)-N($H462)))</f>
        <v/>
      </c>
      <c r="N462" s="77" t="str">
        <f aca="false">IF(OR($M462="",FX=""),"",$M462*FX)</f>
        <v/>
      </c>
      <c r="O462" s="78" t="str">
        <f aca="false">IF(NOT(OR($A462&lt;&gt;"",$E462&lt;&gt;"")),"",IF($J462="Cancelled","Cancelled",IF($E462="","Amount missing",IF(OR($J462="Settled",$E462-N($F462)-N($H462)&lt;=0.005),"Realised",IF(N($H462)&gt;0,"Part realised",IF(N($F462)&gt;0,"Advance received","On hand"))))))</f>
        <v/>
      </c>
      <c r="P462" s="79" t="str">
        <f aca="false">IF(AND($V462=1,ISNUMBER($B462)),AsAt-$B462,"")</f>
        <v/>
      </c>
      <c r="Q462" s="78" t="str">
        <f aca="false">IF($V462&lt;&gt;1,"",IF($P462="","No invoice date",IF($P462&lt;=30,"0–30 days",IF($P462&lt;=60,"31–60 days",IF($P462&lt;=90,"61–90 days","Over 90 days")))))</f>
        <v/>
      </c>
      <c r="R462" s="80" t="str">
        <f aca="false">IF($V462=1,ROW(),"")</f>
        <v/>
      </c>
      <c r="S462" s="80" t="str">
        <f aca="false">IF(OR($A462&lt;&gt;"",$E462&lt;&gt;""),IF(TRIM($D462)="","Buyer not noted",TRIM($D462)),"")</f>
        <v/>
      </c>
      <c r="T462" s="80" t="n">
        <f aca="false">IF(AND($V462=1,ISNUMBER($M462)),$M462,0)</f>
        <v>0</v>
      </c>
      <c r="U462" s="80" t="str">
        <f aca="false">IF($V462=1,IF(COUNTIFS($S$7:$S462,$S462,$V$7:$V462,1)=1,SUMIFS($T$7:$T$1006,$S$7:$S$1006,$S462)-ROW()/1000000000,""),"")</f>
        <v/>
      </c>
      <c r="V462" s="80" t="n">
        <f aca="false">IF(OR($O462="On hand",$O462="Advance received",$O462="Part realised",$O462="Amount missing"),1,0)</f>
        <v>0</v>
      </c>
      <c r="W462" s="80" t="str">
        <f aca="false">IF(AND($V462=1,N($F462)&gt;0),ROW(),"")</f>
        <v/>
      </c>
      <c r="X462" s="80" t="n">
        <f aca="false">IF(AND(OR($A462&lt;&gt;"",$E462&lt;&gt;""),$O462&lt;&gt;"Cancelled",ISNUMBER($E462),N($F462)+N($H462)&gt;$E462+0.005),1,0)</f>
        <v>0</v>
      </c>
      <c r="Y462" s="80" t="n">
        <f aca="false">IF(AND(OR($A462&lt;&gt;"",$E462&lt;&gt;""),OR($A462="",$E462="")),1,0)</f>
        <v>0</v>
      </c>
      <c r="Z462" s="80" t="n">
        <f aca="false">IF(AND($A462&lt;&gt;"",COUNTIF($A$7:$A$1006,$A462)&gt;1),1,0)</f>
        <v>0</v>
      </c>
    </row>
    <row r="463" customFormat="false" ht="15" hidden="false" customHeight="false" outlineLevel="0" collapsed="false">
      <c r="A463" s="71"/>
      <c r="B463" s="72"/>
      <c r="C463" s="73"/>
      <c r="D463" s="73"/>
      <c r="E463" s="74"/>
      <c r="F463" s="74"/>
      <c r="G463" s="72"/>
      <c r="H463" s="74"/>
      <c r="I463" s="72"/>
      <c r="J463" s="73"/>
      <c r="K463" s="73"/>
      <c r="L463" s="75" t="str">
        <f aca="false">IF(OR($A463&lt;&gt;"",$E463&lt;&gt;""),N($F463)+N($H463),"")</f>
        <v/>
      </c>
      <c r="M463" s="76" t="str">
        <f aca="false">IF(OR($O463="",$O463="Cancelled",$O463="Amount missing"),"",IF($O463="Realised",0,$E463-N($F463)-N($H463)))</f>
        <v/>
      </c>
      <c r="N463" s="77" t="str">
        <f aca="false">IF(OR($M463="",FX=""),"",$M463*FX)</f>
        <v/>
      </c>
      <c r="O463" s="78" t="str">
        <f aca="false">IF(NOT(OR($A463&lt;&gt;"",$E463&lt;&gt;"")),"",IF($J463="Cancelled","Cancelled",IF($E463="","Amount missing",IF(OR($J463="Settled",$E463-N($F463)-N($H463)&lt;=0.005),"Realised",IF(N($H463)&gt;0,"Part realised",IF(N($F463)&gt;0,"Advance received","On hand"))))))</f>
        <v/>
      </c>
      <c r="P463" s="79" t="str">
        <f aca="false">IF(AND($V463=1,ISNUMBER($B463)),AsAt-$B463,"")</f>
        <v/>
      </c>
      <c r="Q463" s="78" t="str">
        <f aca="false">IF($V463&lt;&gt;1,"",IF($P463="","No invoice date",IF($P463&lt;=30,"0–30 days",IF($P463&lt;=60,"31–60 days",IF($P463&lt;=90,"61–90 days","Over 90 days")))))</f>
        <v/>
      </c>
      <c r="R463" s="80" t="str">
        <f aca="false">IF($V463=1,ROW(),"")</f>
        <v/>
      </c>
      <c r="S463" s="80" t="str">
        <f aca="false">IF(OR($A463&lt;&gt;"",$E463&lt;&gt;""),IF(TRIM($D463)="","Buyer not noted",TRIM($D463)),"")</f>
        <v/>
      </c>
      <c r="T463" s="80" t="n">
        <f aca="false">IF(AND($V463=1,ISNUMBER($M463)),$M463,0)</f>
        <v>0</v>
      </c>
      <c r="U463" s="80" t="str">
        <f aca="false">IF($V463=1,IF(COUNTIFS($S$7:$S463,$S463,$V$7:$V463,1)=1,SUMIFS($T$7:$T$1006,$S$7:$S$1006,$S463)-ROW()/1000000000,""),"")</f>
        <v/>
      </c>
      <c r="V463" s="80" t="n">
        <f aca="false">IF(OR($O463="On hand",$O463="Advance received",$O463="Part realised",$O463="Amount missing"),1,0)</f>
        <v>0</v>
      </c>
      <c r="W463" s="80" t="str">
        <f aca="false">IF(AND($V463=1,N($F463)&gt;0),ROW(),"")</f>
        <v/>
      </c>
      <c r="X463" s="80" t="n">
        <f aca="false">IF(AND(OR($A463&lt;&gt;"",$E463&lt;&gt;""),$O463&lt;&gt;"Cancelled",ISNUMBER($E463),N($F463)+N($H463)&gt;$E463+0.005),1,0)</f>
        <v>0</v>
      </c>
      <c r="Y463" s="80" t="n">
        <f aca="false">IF(AND(OR($A463&lt;&gt;"",$E463&lt;&gt;""),OR($A463="",$E463="")),1,0)</f>
        <v>0</v>
      </c>
      <c r="Z463" s="80" t="n">
        <f aca="false">IF(AND($A463&lt;&gt;"",COUNTIF($A$7:$A$1006,$A463)&gt;1),1,0)</f>
        <v>0</v>
      </c>
    </row>
    <row r="464" customFormat="false" ht="15" hidden="false" customHeight="false" outlineLevel="0" collapsed="false">
      <c r="A464" s="71"/>
      <c r="B464" s="72"/>
      <c r="C464" s="73"/>
      <c r="D464" s="73"/>
      <c r="E464" s="74"/>
      <c r="F464" s="74"/>
      <c r="G464" s="72"/>
      <c r="H464" s="74"/>
      <c r="I464" s="72"/>
      <c r="J464" s="73"/>
      <c r="K464" s="73"/>
      <c r="L464" s="75" t="str">
        <f aca="false">IF(OR($A464&lt;&gt;"",$E464&lt;&gt;""),N($F464)+N($H464),"")</f>
        <v/>
      </c>
      <c r="M464" s="76" t="str">
        <f aca="false">IF(OR($O464="",$O464="Cancelled",$O464="Amount missing"),"",IF($O464="Realised",0,$E464-N($F464)-N($H464)))</f>
        <v/>
      </c>
      <c r="N464" s="77" t="str">
        <f aca="false">IF(OR($M464="",FX=""),"",$M464*FX)</f>
        <v/>
      </c>
      <c r="O464" s="78" t="str">
        <f aca="false">IF(NOT(OR($A464&lt;&gt;"",$E464&lt;&gt;"")),"",IF($J464="Cancelled","Cancelled",IF($E464="","Amount missing",IF(OR($J464="Settled",$E464-N($F464)-N($H464)&lt;=0.005),"Realised",IF(N($H464)&gt;0,"Part realised",IF(N($F464)&gt;0,"Advance received","On hand"))))))</f>
        <v/>
      </c>
      <c r="P464" s="79" t="str">
        <f aca="false">IF(AND($V464=1,ISNUMBER($B464)),AsAt-$B464,"")</f>
        <v/>
      </c>
      <c r="Q464" s="78" t="str">
        <f aca="false">IF($V464&lt;&gt;1,"",IF($P464="","No invoice date",IF($P464&lt;=30,"0–30 days",IF($P464&lt;=60,"31–60 days",IF($P464&lt;=90,"61–90 days","Over 90 days")))))</f>
        <v/>
      </c>
      <c r="R464" s="80" t="str">
        <f aca="false">IF($V464=1,ROW(),"")</f>
        <v/>
      </c>
      <c r="S464" s="80" t="str">
        <f aca="false">IF(OR($A464&lt;&gt;"",$E464&lt;&gt;""),IF(TRIM($D464)="","Buyer not noted",TRIM($D464)),"")</f>
        <v/>
      </c>
      <c r="T464" s="80" t="n">
        <f aca="false">IF(AND($V464=1,ISNUMBER($M464)),$M464,0)</f>
        <v>0</v>
      </c>
      <c r="U464" s="80" t="str">
        <f aca="false">IF($V464=1,IF(COUNTIFS($S$7:$S464,$S464,$V$7:$V464,1)=1,SUMIFS($T$7:$T$1006,$S$7:$S$1006,$S464)-ROW()/1000000000,""),"")</f>
        <v/>
      </c>
      <c r="V464" s="80" t="n">
        <f aca="false">IF(OR($O464="On hand",$O464="Advance received",$O464="Part realised",$O464="Amount missing"),1,0)</f>
        <v>0</v>
      </c>
      <c r="W464" s="80" t="str">
        <f aca="false">IF(AND($V464=1,N($F464)&gt;0),ROW(),"")</f>
        <v/>
      </c>
      <c r="X464" s="80" t="n">
        <f aca="false">IF(AND(OR($A464&lt;&gt;"",$E464&lt;&gt;""),$O464&lt;&gt;"Cancelled",ISNUMBER($E464),N($F464)+N($H464)&gt;$E464+0.005),1,0)</f>
        <v>0</v>
      </c>
      <c r="Y464" s="80" t="n">
        <f aca="false">IF(AND(OR($A464&lt;&gt;"",$E464&lt;&gt;""),OR($A464="",$E464="")),1,0)</f>
        <v>0</v>
      </c>
      <c r="Z464" s="80" t="n">
        <f aca="false">IF(AND($A464&lt;&gt;"",COUNTIF($A$7:$A$1006,$A464)&gt;1),1,0)</f>
        <v>0</v>
      </c>
    </row>
    <row r="465" customFormat="false" ht="15" hidden="false" customHeight="false" outlineLevel="0" collapsed="false">
      <c r="A465" s="71"/>
      <c r="B465" s="72"/>
      <c r="C465" s="73"/>
      <c r="D465" s="73"/>
      <c r="E465" s="74"/>
      <c r="F465" s="74"/>
      <c r="G465" s="72"/>
      <c r="H465" s="74"/>
      <c r="I465" s="72"/>
      <c r="J465" s="73"/>
      <c r="K465" s="73"/>
      <c r="L465" s="75" t="str">
        <f aca="false">IF(OR($A465&lt;&gt;"",$E465&lt;&gt;""),N($F465)+N($H465),"")</f>
        <v/>
      </c>
      <c r="M465" s="76" t="str">
        <f aca="false">IF(OR($O465="",$O465="Cancelled",$O465="Amount missing"),"",IF($O465="Realised",0,$E465-N($F465)-N($H465)))</f>
        <v/>
      </c>
      <c r="N465" s="77" t="str">
        <f aca="false">IF(OR($M465="",FX=""),"",$M465*FX)</f>
        <v/>
      </c>
      <c r="O465" s="78" t="str">
        <f aca="false">IF(NOT(OR($A465&lt;&gt;"",$E465&lt;&gt;"")),"",IF($J465="Cancelled","Cancelled",IF($E465="","Amount missing",IF(OR($J465="Settled",$E465-N($F465)-N($H465)&lt;=0.005),"Realised",IF(N($H465)&gt;0,"Part realised",IF(N($F465)&gt;0,"Advance received","On hand"))))))</f>
        <v/>
      </c>
      <c r="P465" s="79" t="str">
        <f aca="false">IF(AND($V465=1,ISNUMBER($B465)),AsAt-$B465,"")</f>
        <v/>
      </c>
      <c r="Q465" s="78" t="str">
        <f aca="false">IF($V465&lt;&gt;1,"",IF($P465="","No invoice date",IF($P465&lt;=30,"0–30 days",IF($P465&lt;=60,"31–60 days",IF($P465&lt;=90,"61–90 days","Over 90 days")))))</f>
        <v/>
      </c>
      <c r="R465" s="80" t="str">
        <f aca="false">IF($V465=1,ROW(),"")</f>
        <v/>
      </c>
      <c r="S465" s="80" t="str">
        <f aca="false">IF(OR($A465&lt;&gt;"",$E465&lt;&gt;""),IF(TRIM($D465)="","Buyer not noted",TRIM($D465)),"")</f>
        <v/>
      </c>
      <c r="T465" s="80" t="n">
        <f aca="false">IF(AND($V465=1,ISNUMBER($M465)),$M465,0)</f>
        <v>0</v>
      </c>
      <c r="U465" s="80" t="str">
        <f aca="false">IF($V465=1,IF(COUNTIFS($S$7:$S465,$S465,$V$7:$V465,1)=1,SUMIFS($T$7:$T$1006,$S$7:$S$1006,$S465)-ROW()/1000000000,""),"")</f>
        <v/>
      </c>
      <c r="V465" s="80" t="n">
        <f aca="false">IF(OR($O465="On hand",$O465="Advance received",$O465="Part realised",$O465="Amount missing"),1,0)</f>
        <v>0</v>
      </c>
      <c r="W465" s="80" t="str">
        <f aca="false">IF(AND($V465=1,N($F465)&gt;0),ROW(),"")</f>
        <v/>
      </c>
      <c r="X465" s="80" t="n">
        <f aca="false">IF(AND(OR($A465&lt;&gt;"",$E465&lt;&gt;""),$O465&lt;&gt;"Cancelled",ISNUMBER($E465),N($F465)+N($H465)&gt;$E465+0.005),1,0)</f>
        <v>0</v>
      </c>
      <c r="Y465" s="80" t="n">
        <f aca="false">IF(AND(OR($A465&lt;&gt;"",$E465&lt;&gt;""),OR($A465="",$E465="")),1,0)</f>
        <v>0</v>
      </c>
      <c r="Z465" s="80" t="n">
        <f aca="false">IF(AND($A465&lt;&gt;"",COUNTIF($A$7:$A$1006,$A465)&gt;1),1,0)</f>
        <v>0</v>
      </c>
    </row>
    <row r="466" customFormat="false" ht="15" hidden="false" customHeight="false" outlineLevel="0" collapsed="false">
      <c r="A466" s="71"/>
      <c r="B466" s="72"/>
      <c r="C466" s="73"/>
      <c r="D466" s="73"/>
      <c r="E466" s="74"/>
      <c r="F466" s="74"/>
      <c r="G466" s="72"/>
      <c r="H466" s="74"/>
      <c r="I466" s="72"/>
      <c r="J466" s="73"/>
      <c r="K466" s="73"/>
      <c r="L466" s="75" t="str">
        <f aca="false">IF(OR($A466&lt;&gt;"",$E466&lt;&gt;""),N($F466)+N($H466),"")</f>
        <v/>
      </c>
      <c r="M466" s="76" t="str">
        <f aca="false">IF(OR($O466="",$O466="Cancelled",$O466="Amount missing"),"",IF($O466="Realised",0,$E466-N($F466)-N($H466)))</f>
        <v/>
      </c>
      <c r="N466" s="77" t="str">
        <f aca="false">IF(OR($M466="",FX=""),"",$M466*FX)</f>
        <v/>
      </c>
      <c r="O466" s="78" t="str">
        <f aca="false">IF(NOT(OR($A466&lt;&gt;"",$E466&lt;&gt;"")),"",IF($J466="Cancelled","Cancelled",IF($E466="","Amount missing",IF(OR($J466="Settled",$E466-N($F466)-N($H466)&lt;=0.005),"Realised",IF(N($H466)&gt;0,"Part realised",IF(N($F466)&gt;0,"Advance received","On hand"))))))</f>
        <v/>
      </c>
      <c r="P466" s="79" t="str">
        <f aca="false">IF(AND($V466=1,ISNUMBER($B466)),AsAt-$B466,"")</f>
        <v/>
      </c>
      <c r="Q466" s="78" t="str">
        <f aca="false">IF($V466&lt;&gt;1,"",IF($P466="","No invoice date",IF($P466&lt;=30,"0–30 days",IF($P466&lt;=60,"31–60 days",IF($P466&lt;=90,"61–90 days","Over 90 days")))))</f>
        <v/>
      </c>
      <c r="R466" s="80" t="str">
        <f aca="false">IF($V466=1,ROW(),"")</f>
        <v/>
      </c>
      <c r="S466" s="80" t="str">
        <f aca="false">IF(OR($A466&lt;&gt;"",$E466&lt;&gt;""),IF(TRIM($D466)="","Buyer not noted",TRIM($D466)),"")</f>
        <v/>
      </c>
      <c r="T466" s="80" t="n">
        <f aca="false">IF(AND($V466=1,ISNUMBER($M466)),$M466,0)</f>
        <v>0</v>
      </c>
      <c r="U466" s="80" t="str">
        <f aca="false">IF($V466=1,IF(COUNTIFS($S$7:$S466,$S466,$V$7:$V466,1)=1,SUMIFS($T$7:$T$1006,$S$7:$S$1006,$S466)-ROW()/1000000000,""),"")</f>
        <v/>
      </c>
      <c r="V466" s="80" t="n">
        <f aca="false">IF(OR($O466="On hand",$O466="Advance received",$O466="Part realised",$O466="Amount missing"),1,0)</f>
        <v>0</v>
      </c>
      <c r="W466" s="80" t="str">
        <f aca="false">IF(AND($V466=1,N($F466)&gt;0),ROW(),"")</f>
        <v/>
      </c>
      <c r="X466" s="80" t="n">
        <f aca="false">IF(AND(OR($A466&lt;&gt;"",$E466&lt;&gt;""),$O466&lt;&gt;"Cancelled",ISNUMBER($E466),N($F466)+N($H466)&gt;$E466+0.005),1,0)</f>
        <v>0</v>
      </c>
      <c r="Y466" s="80" t="n">
        <f aca="false">IF(AND(OR($A466&lt;&gt;"",$E466&lt;&gt;""),OR($A466="",$E466="")),1,0)</f>
        <v>0</v>
      </c>
      <c r="Z466" s="80" t="n">
        <f aca="false">IF(AND($A466&lt;&gt;"",COUNTIF($A$7:$A$1006,$A466)&gt;1),1,0)</f>
        <v>0</v>
      </c>
    </row>
    <row r="467" customFormat="false" ht="15" hidden="false" customHeight="false" outlineLevel="0" collapsed="false">
      <c r="A467" s="71"/>
      <c r="B467" s="72"/>
      <c r="C467" s="73"/>
      <c r="D467" s="73"/>
      <c r="E467" s="74"/>
      <c r="F467" s="74"/>
      <c r="G467" s="72"/>
      <c r="H467" s="74"/>
      <c r="I467" s="72"/>
      <c r="J467" s="73"/>
      <c r="K467" s="73"/>
      <c r="L467" s="75" t="str">
        <f aca="false">IF(OR($A467&lt;&gt;"",$E467&lt;&gt;""),N($F467)+N($H467),"")</f>
        <v/>
      </c>
      <c r="M467" s="76" t="str">
        <f aca="false">IF(OR($O467="",$O467="Cancelled",$O467="Amount missing"),"",IF($O467="Realised",0,$E467-N($F467)-N($H467)))</f>
        <v/>
      </c>
      <c r="N467" s="77" t="str">
        <f aca="false">IF(OR($M467="",FX=""),"",$M467*FX)</f>
        <v/>
      </c>
      <c r="O467" s="78" t="str">
        <f aca="false">IF(NOT(OR($A467&lt;&gt;"",$E467&lt;&gt;"")),"",IF($J467="Cancelled","Cancelled",IF($E467="","Amount missing",IF(OR($J467="Settled",$E467-N($F467)-N($H467)&lt;=0.005),"Realised",IF(N($H467)&gt;0,"Part realised",IF(N($F467)&gt;0,"Advance received","On hand"))))))</f>
        <v/>
      </c>
      <c r="P467" s="79" t="str">
        <f aca="false">IF(AND($V467=1,ISNUMBER($B467)),AsAt-$B467,"")</f>
        <v/>
      </c>
      <c r="Q467" s="78" t="str">
        <f aca="false">IF($V467&lt;&gt;1,"",IF($P467="","No invoice date",IF($P467&lt;=30,"0–30 days",IF($P467&lt;=60,"31–60 days",IF($P467&lt;=90,"61–90 days","Over 90 days")))))</f>
        <v/>
      </c>
      <c r="R467" s="80" t="str">
        <f aca="false">IF($V467=1,ROW(),"")</f>
        <v/>
      </c>
      <c r="S467" s="80" t="str">
        <f aca="false">IF(OR($A467&lt;&gt;"",$E467&lt;&gt;""),IF(TRIM($D467)="","Buyer not noted",TRIM($D467)),"")</f>
        <v/>
      </c>
      <c r="T467" s="80" t="n">
        <f aca="false">IF(AND($V467=1,ISNUMBER($M467)),$M467,0)</f>
        <v>0</v>
      </c>
      <c r="U467" s="80" t="str">
        <f aca="false">IF($V467=1,IF(COUNTIFS($S$7:$S467,$S467,$V$7:$V467,1)=1,SUMIFS($T$7:$T$1006,$S$7:$S$1006,$S467)-ROW()/1000000000,""),"")</f>
        <v/>
      </c>
      <c r="V467" s="80" t="n">
        <f aca="false">IF(OR($O467="On hand",$O467="Advance received",$O467="Part realised",$O467="Amount missing"),1,0)</f>
        <v>0</v>
      </c>
      <c r="W467" s="80" t="str">
        <f aca="false">IF(AND($V467=1,N($F467)&gt;0),ROW(),"")</f>
        <v/>
      </c>
      <c r="X467" s="80" t="n">
        <f aca="false">IF(AND(OR($A467&lt;&gt;"",$E467&lt;&gt;""),$O467&lt;&gt;"Cancelled",ISNUMBER($E467),N($F467)+N($H467)&gt;$E467+0.005),1,0)</f>
        <v>0</v>
      </c>
      <c r="Y467" s="80" t="n">
        <f aca="false">IF(AND(OR($A467&lt;&gt;"",$E467&lt;&gt;""),OR($A467="",$E467="")),1,0)</f>
        <v>0</v>
      </c>
      <c r="Z467" s="80" t="n">
        <f aca="false">IF(AND($A467&lt;&gt;"",COUNTIF($A$7:$A$1006,$A467)&gt;1),1,0)</f>
        <v>0</v>
      </c>
    </row>
    <row r="468" customFormat="false" ht="15" hidden="false" customHeight="false" outlineLevel="0" collapsed="false">
      <c r="A468" s="71"/>
      <c r="B468" s="72"/>
      <c r="C468" s="73"/>
      <c r="D468" s="73"/>
      <c r="E468" s="74"/>
      <c r="F468" s="74"/>
      <c r="G468" s="72"/>
      <c r="H468" s="74"/>
      <c r="I468" s="72"/>
      <c r="J468" s="73"/>
      <c r="K468" s="73"/>
      <c r="L468" s="75" t="str">
        <f aca="false">IF(OR($A468&lt;&gt;"",$E468&lt;&gt;""),N($F468)+N($H468),"")</f>
        <v/>
      </c>
      <c r="M468" s="76" t="str">
        <f aca="false">IF(OR($O468="",$O468="Cancelled",$O468="Amount missing"),"",IF($O468="Realised",0,$E468-N($F468)-N($H468)))</f>
        <v/>
      </c>
      <c r="N468" s="77" t="str">
        <f aca="false">IF(OR($M468="",FX=""),"",$M468*FX)</f>
        <v/>
      </c>
      <c r="O468" s="78" t="str">
        <f aca="false">IF(NOT(OR($A468&lt;&gt;"",$E468&lt;&gt;"")),"",IF($J468="Cancelled","Cancelled",IF($E468="","Amount missing",IF(OR($J468="Settled",$E468-N($F468)-N($H468)&lt;=0.005),"Realised",IF(N($H468)&gt;0,"Part realised",IF(N($F468)&gt;0,"Advance received","On hand"))))))</f>
        <v/>
      </c>
      <c r="P468" s="79" t="str">
        <f aca="false">IF(AND($V468=1,ISNUMBER($B468)),AsAt-$B468,"")</f>
        <v/>
      </c>
      <c r="Q468" s="78" t="str">
        <f aca="false">IF($V468&lt;&gt;1,"",IF($P468="","No invoice date",IF($P468&lt;=30,"0–30 days",IF($P468&lt;=60,"31–60 days",IF($P468&lt;=90,"61–90 days","Over 90 days")))))</f>
        <v/>
      </c>
      <c r="R468" s="80" t="str">
        <f aca="false">IF($V468=1,ROW(),"")</f>
        <v/>
      </c>
      <c r="S468" s="80" t="str">
        <f aca="false">IF(OR($A468&lt;&gt;"",$E468&lt;&gt;""),IF(TRIM($D468)="","Buyer not noted",TRIM($D468)),"")</f>
        <v/>
      </c>
      <c r="T468" s="80" t="n">
        <f aca="false">IF(AND($V468=1,ISNUMBER($M468)),$M468,0)</f>
        <v>0</v>
      </c>
      <c r="U468" s="80" t="str">
        <f aca="false">IF($V468=1,IF(COUNTIFS($S$7:$S468,$S468,$V$7:$V468,1)=1,SUMIFS($T$7:$T$1006,$S$7:$S$1006,$S468)-ROW()/1000000000,""),"")</f>
        <v/>
      </c>
      <c r="V468" s="80" t="n">
        <f aca="false">IF(OR($O468="On hand",$O468="Advance received",$O468="Part realised",$O468="Amount missing"),1,0)</f>
        <v>0</v>
      </c>
      <c r="W468" s="80" t="str">
        <f aca="false">IF(AND($V468=1,N($F468)&gt;0),ROW(),"")</f>
        <v/>
      </c>
      <c r="X468" s="80" t="n">
        <f aca="false">IF(AND(OR($A468&lt;&gt;"",$E468&lt;&gt;""),$O468&lt;&gt;"Cancelled",ISNUMBER($E468),N($F468)+N($H468)&gt;$E468+0.005),1,0)</f>
        <v>0</v>
      </c>
      <c r="Y468" s="80" t="n">
        <f aca="false">IF(AND(OR($A468&lt;&gt;"",$E468&lt;&gt;""),OR($A468="",$E468="")),1,0)</f>
        <v>0</v>
      </c>
      <c r="Z468" s="80" t="n">
        <f aca="false">IF(AND($A468&lt;&gt;"",COUNTIF($A$7:$A$1006,$A468)&gt;1),1,0)</f>
        <v>0</v>
      </c>
    </row>
    <row r="469" customFormat="false" ht="15" hidden="false" customHeight="false" outlineLevel="0" collapsed="false">
      <c r="A469" s="71"/>
      <c r="B469" s="72"/>
      <c r="C469" s="73"/>
      <c r="D469" s="73"/>
      <c r="E469" s="74"/>
      <c r="F469" s="74"/>
      <c r="G469" s="72"/>
      <c r="H469" s="74"/>
      <c r="I469" s="72"/>
      <c r="J469" s="73"/>
      <c r="K469" s="73"/>
      <c r="L469" s="75" t="str">
        <f aca="false">IF(OR($A469&lt;&gt;"",$E469&lt;&gt;""),N($F469)+N($H469),"")</f>
        <v/>
      </c>
      <c r="M469" s="76" t="str">
        <f aca="false">IF(OR($O469="",$O469="Cancelled",$O469="Amount missing"),"",IF($O469="Realised",0,$E469-N($F469)-N($H469)))</f>
        <v/>
      </c>
      <c r="N469" s="77" t="str">
        <f aca="false">IF(OR($M469="",FX=""),"",$M469*FX)</f>
        <v/>
      </c>
      <c r="O469" s="78" t="str">
        <f aca="false">IF(NOT(OR($A469&lt;&gt;"",$E469&lt;&gt;"")),"",IF($J469="Cancelled","Cancelled",IF($E469="","Amount missing",IF(OR($J469="Settled",$E469-N($F469)-N($H469)&lt;=0.005),"Realised",IF(N($H469)&gt;0,"Part realised",IF(N($F469)&gt;0,"Advance received","On hand"))))))</f>
        <v/>
      </c>
      <c r="P469" s="79" t="str">
        <f aca="false">IF(AND($V469=1,ISNUMBER($B469)),AsAt-$B469,"")</f>
        <v/>
      </c>
      <c r="Q469" s="78" t="str">
        <f aca="false">IF($V469&lt;&gt;1,"",IF($P469="","No invoice date",IF($P469&lt;=30,"0–30 days",IF($P469&lt;=60,"31–60 days",IF($P469&lt;=90,"61–90 days","Over 90 days")))))</f>
        <v/>
      </c>
      <c r="R469" s="80" t="str">
        <f aca="false">IF($V469=1,ROW(),"")</f>
        <v/>
      </c>
      <c r="S469" s="80" t="str">
        <f aca="false">IF(OR($A469&lt;&gt;"",$E469&lt;&gt;""),IF(TRIM($D469)="","Buyer not noted",TRIM($D469)),"")</f>
        <v/>
      </c>
      <c r="T469" s="80" t="n">
        <f aca="false">IF(AND($V469=1,ISNUMBER($M469)),$M469,0)</f>
        <v>0</v>
      </c>
      <c r="U469" s="80" t="str">
        <f aca="false">IF($V469=1,IF(COUNTIFS($S$7:$S469,$S469,$V$7:$V469,1)=1,SUMIFS($T$7:$T$1006,$S$7:$S$1006,$S469)-ROW()/1000000000,""),"")</f>
        <v/>
      </c>
      <c r="V469" s="80" t="n">
        <f aca="false">IF(OR($O469="On hand",$O469="Advance received",$O469="Part realised",$O469="Amount missing"),1,0)</f>
        <v>0</v>
      </c>
      <c r="W469" s="80" t="str">
        <f aca="false">IF(AND($V469=1,N($F469)&gt;0),ROW(),"")</f>
        <v/>
      </c>
      <c r="X469" s="80" t="n">
        <f aca="false">IF(AND(OR($A469&lt;&gt;"",$E469&lt;&gt;""),$O469&lt;&gt;"Cancelled",ISNUMBER($E469),N($F469)+N($H469)&gt;$E469+0.005),1,0)</f>
        <v>0</v>
      </c>
      <c r="Y469" s="80" t="n">
        <f aca="false">IF(AND(OR($A469&lt;&gt;"",$E469&lt;&gt;""),OR($A469="",$E469="")),1,0)</f>
        <v>0</v>
      </c>
      <c r="Z469" s="80" t="n">
        <f aca="false">IF(AND($A469&lt;&gt;"",COUNTIF($A$7:$A$1006,$A469)&gt;1),1,0)</f>
        <v>0</v>
      </c>
    </row>
    <row r="470" customFormat="false" ht="15" hidden="false" customHeight="false" outlineLevel="0" collapsed="false">
      <c r="A470" s="71"/>
      <c r="B470" s="72"/>
      <c r="C470" s="73"/>
      <c r="D470" s="73"/>
      <c r="E470" s="74"/>
      <c r="F470" s="74"/>
      <c r="G470" s="72"/>
      <c r="H470" s="74"/>
      <c r="I470" s="72"/>
      <c r="J470" s="73"/>
      <c r="K470" s="73"/>
      <c r="L470" s="75" t="str">
        <f aca="false">IF(OR($A470&lt;&gt;"",$E470&lt;&gt;""),N($F470)+N($H470),"")</f>
        <v/>
      </c>
      <c r="M470" s="76" t="str">
        <f aca="false">IF(OR($O470="",$O470="Cancelled",$O470="Amount missing"),"",IF($O470="Realised",0,$E470-N($F470)-N($H470)))</f>
        <v/>
      </c>
      <c r="N470" s="77" t="str">
        <f aca="false">IF(OR($M470="",FX=""),"",$M470*FX)</f>
        <v/>
      </c>
      <c r="O470" s="78" t="str">
        <f aca="false">IF(NOT(OR($A470&lt;&gt;"",$E470&lt;&gt;"")),"",IF($J470="Cancelled","Cancelled",IF($E470="","Amount missing",IF(OR($J470="Settled",$E470-N($F470)-N($H470)&lt;=0.005),"Realised",IF(N($H470)&gt;0,"Part realised",IF(N($F470)&gt;0,"Advance received","On hand"))))))</f>
        <v/>
      </c>
      <c r="P470" s="79" t="str">
        <f aca="false">IF(AND($V470=1,ISNUMBER($B470)),AsAt-$B470,"")</f>
        <v/>
      </c>
      <c r="Q470" s="78" t="str">
        <f aca="false">IF($V470&lt;&gt;1,"",IF($P470="","No invoice date",IF($P470&lt;=30,"0–30 days",IF($P470&lt;=60,"31–60 days",IF($P470&lt;=90,"61–90 days","Over 90 days")))))</f>
        <v/>
      </c>
      <c r="R470" s="80" t="str">
        <f aca="false">IF($V470=1,ROW(),"")</f>
        <v/>
      </c>
      <c r="S470" s="80" t="str">
        <f aca="false">IF(OR($A470&lt;&gt;"",$E470&lt;&gt;""),IF(TRIM($D470)="","Buyer not noted",TRIM($D470)),"")</f>
        <v/>
      </c>
      <c r="T470" s="80" t="n">
        <f aca="false">IF(AND($V470=1,ISNUMBER($M470)),$M470,0)</f>
        <v>0</v>
      </c>
      <c r="U470" s="80" t="str">
        <f aca="false">IF($V470=1,IF(COUNTIFS($S$7:$S470,$S470,$V$7:$V470,1)=1,SUMIFS($T$7:$T$1006,$S$7:$S$1006,$S470)-ROW()/1000000000,""),"")</f>
        <v/>
      </c>
      <c r="V470" s="80" t="n">
        <f aca="false">IF(OR($O470="On hand",$O470="Advance received",$O470="Part realised",$O470="Amount missing"),1,0)</f>
        <v>0</v>
      </c>
      <c r="W470" s="80" t="str">
        <f aca="false">IF(AND($V470=1,N($F470)&gt;0),ROW(),"")</f>
        <v/>
      </c>
      <c r="X470" s="80" t="n">
        <f aca="false">IF(AND(OR($A470&lt;&gt;"",$E470&lt;&gt;""),$O470&lt;&gt;"Cancelled",ISNUMBER($E470),N($F470)+N($H470)&gt;$E470+0.005),1,0)</f>
        <v>0</v>
      </c>
      <c r="Y470" s="80" t="n">
        <f aca="false">IF(AND(OR($A470&lt;&gt;"",$E470&lt;&gt;""),OR($A470="",$E470="")),1,0)</f>
        <v>0</v>
      </c>
      <c r="Z470" s="80" t="n">
        <f aca="false">IF(AND($A470&lt;&gt;"",COUNTIF($A$7:$A$1006,$A470)&gt;1),1,0)</f>
        <v>0</v>
      </c>
    </row>
    <row r="471" customFormat="false" ht="15" hidden="false" customHeight="false" outlineLevel="0" collapsed="false">
      <c r="A471" s="71"/>
      <c r="B471" s="72"/>
      <c r="C471" s="73"/>
      <c r="D471" s="73"/>
      <c r="E471" s="74"/>
      <c r="F471" s="74"/>
      <c r="G471" s="72"/>
      <c r="H471" s="74"/>
      <c r="I471" s="72"/>
      <c r="J471" s="73"/>
      <c r="K471" s="73"/>
      <c r="L471" s="75" t="str">
        <f aca="false">IF(OR($A471&lt;&gt;"",$E471&lt;&gt;""),N($F471)+N($H471),"")</f>
        <v/>
      </c>
      <c r="M471" s="76" t="str">
        <f aca="false">IF(OR($O471="",$O471="Cancelled",$O471="Amount missing"),"",IF($O471="Realised",0,$E471-N($F471)-N($H471)))</f>
        <v/>
      </c>
      <c r="N471" s="77" t="str">
        <f aca="false">IF(OR($M471="",FX=""),"",$M471*FX)</f>
        <v/>
      </c>
      <c r="O471" s="78" t="str">
        <f aca="false">IF(NOT(OR($A471&lt;&gt;"",$E471&lt;&gt;"")),"",IF($J471="Cancelled","Cancelled",IF($E471="","Amount missing",IF(OR($J471="Settled",$E471-N($F471)-N($H471)&lt;=0.005),"Realised",IF(N($H471)&gt;0,"Part realised",IF(N($F471)&gt;0,"Advance received","On hand"))))))</f>
        <v/>
      </c>
      <c r="P471" s="79" t="str">
        <f aca="false">IF(AND($V471=1,ISNUMBER($B471)),AsAt-$B471,"")</f>
        <v/>
      </c>
      <c r="Q471" s="78" t="str">
        <f aca="false">IF($V471&lt;&gt;1,"",IF($P471="","No invoice date",IF($P471&lt;=30,"0–30 days",IF($P471&lt;=60,"31–60 days",IF($P471&lt;=90,"61–90 days","Over 90 days")))))</f>
        <v/>
      </c>
      <c r="R471" s="80" t="str">
        <f aca="false">IF($V471=1,ROW(),"")</f>
        <v/>
      </c>
      <c r="S471" s="80" t="str">
        <f aca="false">IF(OR($A471&lt;&gt;"",$E471&lt;&gt;""),IF(TRIM($D471)="","Buyer not noted",TRIM($D471)),"")</f>
        <v/>
      </c>
      <c r="T471" s="80" t="n">
        <f aca="false">IF(AND($V471=1,ISNUMBER($M471)),$M471,0)</f>
        <v>0</v>
      </c>
      <c r="U471" s="80" t="str">
        <f aca="false">IF($V471=1,IF(COUNTIFS($S$7:$S471,$S471,$V$7:$V471,1)=1,SUMIFS($T$7:$T$1006,$S$7:$S$1006,$S471)-ROW()/1000000000,""),"")</f>
        <v/>
      </c>
      <c r="V471" s="80" t="n">
        <f aca="false">IF(OR($O471="On hand",$O471="Advance received",$O471="Part realised",$O471="Amount missing"),1,0)</f>
        <v>0</v>
      </c>
      <c r="W471" s="80" t="str">
        <f aca="false">IF(AND($V471=1,N($F471)&gt;0),ROW(),"")</f>
        <v/>
      </c>
      <c r="X471" s="80" t="n">
        <f aca="false">IF(AND(OR($A471&lt;&gt;"",$E471&lt;&gt;""),$O471&lt;&gt;"Cancelled",ISNUMBER($E471),N($F471)+N($H471)&gt;$E471+0.005),1,0)</f>
        <v>0</v>
      </c>
      <c r="Y471" s="80" t="n">
        <f aca="false">IF(AND(OR($A471&lt;&gt;"",$E471&lt;&gt;""),OR($A471="",$E471="")),1,0)</f>
        <v>0</v>
      </c>
      <c r="Z471" s="80" t="n">
        <f aca="false">IF(AND($A471&lt;&gt;"",COUNTIF($A$7:$A$1006,$A471)&gt;1),1,0)</f>
        <v>0</v>
      </c>
    </row>
    <row r="472" customFormat="false" ht="15" hidden="false" customHeight="false" outlineLevel="0" collapsed="false">
      <c r="A472" s="71"/>
      <c r="B472" s="72"/>
      <c r="C472" s="73"/>
      <c r="D472" s="73"/>
      <c r="E472" s="74"/>
      <c r="F472" s="74"/>
      <c r="G472" s="72"/>
      <c r="H472" s="74"/>
      <c r="I472" s="72"/>
      <c r="J472" s="73"/>
      <c r="K472" s="73"/>
      <c r="L472" s="75" t="str">
        <f aca="false">IF(OR($A472&lt;&gt;"",$E472&lt;&gt;""),N($F472)+N($H472),"")</f>
        <v/>
      </c>
      <c r="M472" s="76" t="str">
        <f aca="false">IF(OR($O472="",$O472="Cancelled",$O472="Amount missing"),"",IF($O472="Realised",0,$E472-N($F472)-N($H472)))</f>
        <v/>
      </c>
      <c r="N472" s="77" t="str">
        <f aca="false">IF(OR($M472="",FX=""),"",$M472*FX)</f>
        <v/>
      </c>
      <c r="O472" s="78" t="str">
        <f aca="false">IF(NOT(OR($A472&lt;&gt;"",$E472&lt;&gt;"")),"",IF($J472="Cancelled","Cancelled",IF($E472="","Amount missing",IF(OR($J472="Settled",$E472-N($F472)-N($H472)&lt;=0.005),"Realised",IF(N($H472)&gt;0,"Part realised",IF(N($F472)&gt;0,"Advance received","On hand"))))))</f>
        <v/>
      </c>
      <c r="P472" s="79" t="str">
        <f aca="false">IF(AND($V472=1,ISNUMBER($B472)),AsAt-$B472,"")</f>
        <v/>
      </c>
      <c r="Q472" s="78" t="str">
        <f aca="false">IF($V472&lt;&gt;1,"",IF($P472="","No invoice date",IF($P472&lt;=30,"0–30 days",IF($P472&lt;=60,"31–60 days",IF($P472&lt;=90,"61–90 days","Over 90 days")))))</f>
        <v/>
      </c>
      <c r="R472" s="80" t="str">
        <f aca="false">IF($V472=1,ROW(),"")</f>
        <v/>
      </c>
      <c r="S472" s="80" t="str">
        <f aca="false">IF(OR($A472&lt;&gt;"",$E472&lt;&gt;""),IF(TRIM($D472)="","Buyer not noted",TRIM($D472)),"")</f>
        <v/>
      </c>
      <c r="T472" s="80" t="n">
        <f aca="false">IF(AND($V472=1,ISNUMBER($M472)),$M472,0)</f>
        <v>0</v>
      </c>
      <c r="U472" s="80" t="str">
        <f aca="false">IF($V472=1,IF(COUNTIFS($S$7:$S472,$S472,$V$7:$V472,1)=1,SUMIFS($T$7:$T$1006,$S$7:$S$1006,$S472)-ROW()/1000000000,""),"")</f>
        <v/>
      </c>
      <c r="V472" s="80" t="n">
        <f aca="false">IF(OR($O472="On hand",$O472="Advance received",$O472="Part realised",$O472="Amount missing"),1,0)</f>
        <v>0</v>
      </c>
      <c r="W472" s="80" t="str">
        <f aca="false">IF(AND($V472=1,N($F472)&gt;0),ROW(),"")</f>
        <v/>
      </c>
      <c r="X472" s="80" t="n">
        <f aca="false">IF(AND(OR($A472&lt;&gt;"",$E472&lt;&gt;""),$O472&lt;&gt;"Cancelled",ISNUMBER($E472),N($F472)+N($H472)&gt;$E472+0.005),1,0)</f>
        <v>0</v>
      </c>
      <c r="Y472" s="80" t="n">
        <f aca="false">IF(AND(OR($A472&lt;&gt;"",$E472&lt;&gt;""),OR($A472="",$E472="")),1,0)</f>
        <v>0</v>
      </c>
      <c r="Z472" s="80" t="n">
        <f aca="false">IF(AND($A472&lt;&gt;"",COUNTIF($A$7:$A$1006,$A472)&gt;1),1,0)</f>
        <v>0</v>
      </c>
    </row>
    <row r="473" customFormat="false" ht="15" hidden="false" customHeight="false" outlineLevel="0" collapsed="false">
      <c r="A473" s="71"/>
      <c r="B473" s="72"/>
      <c r="C473" s="73"/>
      <c r="D473" s="73"/>
      <c r="E473" s="74"/>
      <c r="F473" s="74"/>
      <c r="G473" s="72"/>
      <c r="H473" s="74"/>
      <c r="I473" s="72"/>
      <c r="J473" s="73"/>
      <c r="K473" s="73"/>
      <c r="L473" s="75" t="str">
        <f aca="false">IF(OR($A473&lt;&gt;"",$E473&lt;&gt;""),N($F473)+N($H473),"")</f>
        <v/>
      </c>
      <c r="M473" s="76" t="str">
        <f aca="false">IF(OR($O473="",$O473="Cancelled",$O473="Amount missing"),"",IF($O473="Realised",0,$E473-N($F473)-N($H473)))</f>
        <v/>
      </c>
      <c r="N473" s="77" t="str">
        <f aca="false">IF(OR($M473="",FX=""),"",$M473*FX)</f>
        <v/>
      </c>
      <c r="O473" s="78" t="str">
        <f aca="false">IF(NOT(OR($A473&lt;&gt;"",$E473&lt;&gt;"")),"",IF($J473="Cancelled","Cancelled",IF($E473="","Amount missing",IF(OR($J473="Settled",$E473-N($F473)-N($H473)&lt;=0.005),"Realised",IF(N($H473)&gt;0,"Part realised",IF(N($F473)&gt;0,"Advance received","On hand"))))))</f>
        <v/>
      </c>
      <c r="P473" s="79" t="str">
        <f aca="false">IF(AND($V473=1,ISNUMBER($B473)),AsAt-$B473,"")</f>
        <v/>
      </c>
      <c r="Q473" s="78" t="str">
        <f aca="false">IF($V473&lt;&gt;1,"",IF($P473="","No invoice date",IF($P473&lt;=30,"0–30 days",IF($P473&lt;=60,"31–60 days",IF($P473&lt;=90,"61–90 days","Over 90 days")))))</f>
        <v/>
      </c>
      <c r="R473" s="80" t="str">
        <f aca="false">IF($V473=1,ROW(),"")</f>
        <v/>
      </c>
      <c r="S473" s="80" t="str">
        <f aca="false">IF(OR($A473&lt;&gt;"",$E473&lt;&gt;""),IF(TRIM($D473)="","Buyer not noted",TRIM($D473)),"")</f>
        <v/>
      </c>
      <c r="T473" s="80" t="n">
        <f aca="false">IF(AND($V473=1,ISNUMBER($M473)),$M473,0)</f>
        <v>0</v>
      </c>
      <c r="U473" s="80" t="str">
        <f aca="false">IF($V473=1,IF(COUNTIFS($S$7:$S473,$S473,$V$7:$V473,1)=1,SUMIFS($T$7:$T$1006,$S$7:$S$1006,$S473)-ROW()/1000000000,""),"")</f>
        <v/>
      </c>
      <c r="V473" s="80" t="n">
        <f aca="false">IF(OR($O473="On hand",$O473="Advance received",$O473="Part realised",$O473="Amount missing"),1,0)</f>
        <v>0</v>
      </c>
      <c r="W473" s="80" t="str">
        <f aca="false">IF(AND($V473=1,N($F473)&gt;0),ROW(),"")</f>
        <v/>
      </c>
      <c r="X473" s="80" t="n">
        <f aca="false">IF(AND(OR($A473&lt;&gt;"",$E473&lt;&gt;""),$O473&lt;&gt;"Cancelled",ISNUMBER($E473),N($F473)+N($H473)&gt;$E473+0.005),1,0)</f>
        <v>0</v>
      </c>
      <c r="Y473" s="80" t="n">
        <f aca="false">IF(AND(OR($A473&lt;&gt;"",$E473&lt;&gt;""),OR($A473="",$E473="")),1,0)</f>
        <v>0</v>
      </c>
      <c r="Z473" s="80" t="n">
        <f aca="false">IF(AND($A473&lt;&gt;"",COUNTIF($A$7:$A$1006,$A473)&gt;1),1,0)</f>
        <v>0</v>
      </c>
    </row>
    <row r="474" customFormat="false" ht="15" hidden="false" customHeight="false" outlineLevel="0" collapsed="false">
      <c r="A474" s="71"/>
      <c r="B474" s="72"/>
      <c r="C474" s="73"/>
      <c r="D474" s="73"/>
      <c r="E474" s="74"/>
      <c r="F474" s="74"/>
      <c r="G474" s="72"/>
      <c r="H474" s="74"/>
      <c r="I474" s="72"/>
      <c r="J474" s="73"/>
      <c r="K474" s="73"/>
      <c r="L474" s="75" t="str">
        <f aca="false">IF(OR($A474&lt;&gt;"",$E474&lt;&gt;""),N($F474)+N($H474),"")</f>
        <v/>
      </c>
      <c r="M474" s="76" t="str">
        <f aca="false">IF(OR($O474="",$O474="Cancelled",$O474="Amount missing"),"",IF($O474="Realised",0,$E474-N($F474)-N($H474)))</f>
        <v/>
      </c>
      <c r="N474" s="77" t="str">
        <f aca="false">IF(OR($M474="",FX=""),"",$M474*FX)</f>
        <v/>
      </c>
      <c r="O474" s="78" t="str">
        <f aca="false">IF(NOT(OR($A474&lt;&gt;"",$E474&lt;&gt;"")),"",IF($J474="Cancelled","Cancelled",IF($E474="","Amount missing",IF(OR($J474="Settled",$E474-N($F474)-N($H474)&lt;=0.005),"Realised",IF(N($H474)&gt;0,"Part realised",IF(N($F474)&gt;0,"Advance received","On hand"))))))</f>
        <v/>
      </c>
      <c r="P474" s="79" t="str">
        <f aca="false">IF(AND($V474=1,ISNUMBER($B474)),AsAt-$B474,"")</f>
        <v/>
      </c>
      <c r="Q474" s="78" t="str">
        <f aca="false">IF($V474&lt;&gt;1,"",IF($P474="","No invoice date",IF($P474&lt;=30,"0–30 days",IF($P474&lt;=60,"31–60 days",IF($P474&lt;=90,"61–90 days","Over 90 days")))))</f>
        <v/>
      </c>
      <c r="R474" s="80" t="str">
        <f aca="false">IF($V474=1,ROW(),"")</f>
        <v/>
      </c>
      <c r="S474" s="80" t="str">
        <f aca="false">IF(OR($A474&lt;&gt;"",$E474&lt;&gt;""),IF(TRIM($D474)="","Buyer not noted",TRIM($D474)),"")</f>
        <v/>
      </c>
      <c r="T474" s="80" t="n">
        <f aca="false">IF(AND($V474=1,ISNUMBER($M474)),$M474,0)</f>
        <v>0</v>
      </c>
      <c r="U474" s="80" t="str">
        <f aca="false">IF($V474=1,IF(COUNTIFS($S$7:$S474,$S474,$V$7:$V474,1)=1,SUMIFS($T$7:$T$1006,$S$7:$S$1006,$S474)-ROW()/1000000000,""),"")</f>
        <v/>
      </c>
      <c r="V474" s="80" t="n">
        <f aca="false">IF(OR($O474="On hand",$O474="Advance received",$O474="Part realised",$O474="Amount missing"),1,0)</f>
        <v>0</v>
      </c>
      <c r="W474" s="80" t="str">
        <f aca="false">IF(AND($V474=1,N($F474)&gt;0),ROW(),"")</f>
        <v/>
      </c>
      <c r="X474" s="80" t="n">
        <f aca="false">IF(AND(OR($A474&lt;&gt;"",$E474&lt;&gt;""),$O474&lt;&gt;"Cancelled",ISNUMBER($E474),N($F474)+N($H474)&gt;$E474+0.005),1,0)</f>
        <v>0</v>
      </c>
      <c r="Y474" s="80" t="n">
        <f aca="false">IF(AND(OR($A474&lt;&gt;"",$E474&lt;&gt;""),OR($A474="",$E474="")),1,0)</f>
        <v>0</v>
      </c>
      <c r="Z474" s="80" t="n">
        <f aca="false">IF(AND($A474&lt;&gt;"",COUNTIF($A$7:$A$1006,$A474)&gt;1),1,0)</f>
        <v>0</v>
      </c>
    </row>
    <row r="475" customFormat="false" ht="15" hidden="false" customHeight="false" outlineLevel="0" collapsed="false">
      <c r="A475" s="71"/>
      <c r="B475" s="72"/>
      <c r="C475" s="73"/>
      <c r="D475" s="73"/>
      <c r="E475" s="74"/>
      <c r="F475" s="74"/>
      <c r="G475" s="72"/>
      <c r="H475" s="74"/>
      <c r="I475" s="72"/>
      <c r="J475" s="73"/>
      <c r="K475" s="73"/>
      <c r="L475" s="75" t="str">
        <f aca="false">IF(OR($A475&lt;&gt;"",$E475&lt;&gt;""),N($F475)+N($H475),"")</f>
        <v/>
      </c>
      <c r="M475" s="76" t="str">
        <f aca="false">IF(OR($O475="",$O475="Cancelled",$O475="Amount missing"),"",IF($O475="Realised",0,$E475-N($F475)-N($H475)))</f>
        <v/>
      </c>
      <c r="N475" s="77" t="str">
        <f aca="false">IF(OR($M475="",FX=""),"",$M475*FX)</f>
        <v/>
      </c>
      <c r="O475" s="78" t="str">
        <f aca="false">IF(NOT(OR($A475&lt;&gt;"",$E475&lt;&gt;"")),"",IF($J475="Cancelled","Cancelled",IF($E475="","Amount missing",IF(OR($J475="Settled",$E475-N($F475)-N($H475)&lt;=0.005),"Realised",IF(N($H475)&gt;0,"Part realised",IF(N($F475)&gt;0,"Advance received","On hand"))))))</f>
        <v/>
      </c>
      <c r="P475" s="79" t="str">
        <f aca="false">IF(AND($V475=1,ISNUMBER($B475)),AsAt-$B475,"")</f>
        <v/>
      </c>
      <c r="Q475" s="78" t="str">
        <f aca="false">IF($V475&lt;&gt;1,"",IF($P475="","No invoice date",IF($P475&lt;=30,"0–30 days",IF($P475&lt;=60,"31–60 days",IF($P475&lt;=90,"61–90 days","Over 90 days")))))</f>
        <v/>
      </c>
      <c r="R475" s="80" t="str">
        <f aca="false">IF($V475=1,ROW(),"")</f>
        <v/>
      </c>
      <c r="S475" s="80" t="str">
        <f aca="false">IF(OR($A475&lt;&gt;"",$E475&lt;&gt;""),IF(TRIM($D475)="","Buyer not noted",TRIM($D475)),"")</f>
        <v/>
      </c>
      <c r="T475" s="80" t="n">
        <f aca="false">IF(AND($V475=1,ISNUMBER($M475)),$M475,0)</f>
        <v>0</v>
      </c>
      <c r="U475" s="80" t="str">
        <f aca="false">IF($V475=1,IF(COUNTIFS($S$7:$S475,$S475,$V$7:$V475,1)=1,SUMIFS($T$7:$T$1006,$S$7:$S$1006,$S475)-ROW()/1000000000,""),"")</f>
        <v/>
      </c>
      <c r="V475" s="80" t="n">
        <f aca="false">IF(OR($O475="On hand",$O475="Advance received",$O475="Part realised",$O475="Amount missing"),1,0)</f>
        <v>0</v>
      </c>
      <c r="W475" s="80" t="str">
        <f aca="false">IF(AND($V475=1,N($F475)&gt;0),ROW(),"")</f>
        <v/>
      </c>
      <c r="X475" s="80" t="n">
        <f aca="false">IF(AND(OR($A475&lt;&gt;"",$E475&lt;&gt;""),$O475&lt;&gt;"Cancelled",ISNUMBER($E475),N($F475)+N($H475)&gt;$E475+0.005),1,0)</f>
        <v>0</v>
      </c>
      <c r="Y475" s="80" t="n">
        <f aca="false">IF(AND(OR($A475&lt;&gt;"",$E475&lt;&gt;""),OR($A475="",$E475="")),1,0)</f>
        <v>0</v>
      </c>
      <c r="Z475" s="80" t="n">
        <f aca="false">IF(AND($A475&lt;&gt;"",COUNTIF($A$7:$A$1006,$A475)&gt;1),1,0)</f>
        <v>0</v>
      </c>
    </row>
    <row r="476" customFormat="false" ht="15" hidden="false" customHeight="false" outlineLevel="0" collapsed="false">
      <c r="A476" s="71"/>
      <c r="B476" s="72"/>
      <c r="C476" s="73"/>
      <c r="D476" s="73"/>
      <c r="E476" s="74"/>
      <c r="F476" s="74"/>
      <c r="G476" s="72"/>
      <c r="H476" s="74"/>
      <c r="I476" s="72"/>
      <c r="J476" s="73"/>
      <c r="K476" s="73"/>
      <c r="L476" s="75" t="str">
        <f aca="false">IF(OR($A476&lt;&gt;"",$E476&lt;&gt;""),N($F476)+N($H476),"")</f>
        <v/>
      </c>
      <c r="M476" s="76" t="str">
        <f aca="false">IF(OR($O476="",$O476="Cancelled",$O476="Amount missing"),"",IF($O476="Realised",0,$E476-N($F476)-N($H476)))</f>
        <v/>
      </c>
      <c r="N476" s="77" t="str">
        <f aca="false">IF(OR($M476="",FX=""),"",$M476*FX)</f>
        <v/>
      </c>
      <c r="O476" s="78" t="str">
        <f aca="false">IF(NOT(OR($A476&lt;&gt;"",$E476&lt;&gt;"")),"",IF($J476="Cancelled","Cancelled",IF($E476="","Amount missing",IF(OR($J476="Settled",$E476-N($F476)-N($H476)&lt;=0.005),"Realised",IF(N($H476)&gt;0,"Part realised",IF(N($F476)&gt;0,"Advance received","On hand"))))))</f>
        <v/>
      </c>
      <c r="P476" s="79" t="str">
        <f aca="false">IF(AND($V476=1,ISNUMBER($B476)),AsAt-$B476,"")</f>
        <v/>
      </c>
      <c r="Q476" s="78" t="str">
        <f aca="false">IF($V476&lt;&gt;1,"",IF($P476="","No invoice date",IF($P476&lt;=30,"0–30 days",IF($P476&lt;=60,"31–60 days",IF($P476&lt;=90,"61–90 days","Over 90 days")))))</f>
        <v/>
      </c>
      <c r="R476" s="80" t="str">
        <f aca="false">IF($V476=1,ROW(),"")</f>
        <v/>
      </c>
      <c r="S476" s="80" t="str">
        <f aca="false">IF(OR($A476&lt;&gt;"",$E476&lt;&gt;""),IF(TRIM($D476)="","Buyer not noted",TRIM($D476)),"")</f>
        <v/>
      </c>
      <c r="T476" s="80" t="n">
        <f aca="false">IF(AND($V476=1,ISNUMBER($M476)),$M476,0)</f>
        <v>0</v>
      </c>
      <c r="U476" s="80" t="str">
        <f aca="false">IF($V476=1,IF(COUNTIFS($S$7:$S476,$S476,$V$7:$V476,1)=1,SUMIFS($T$7:$T$1006,$S$7:$S$1006,$S476)-ROW()/1000000000,""),"")</f>
        <v/>
      </c>
      <c r="V476" s="80" t="n">
        <f aca="false">IF(OR($O476="On hand",$O476="Advance received",$O476="Part realised",$O476="Amount missing"),1,0)</f>
        <v>0</v>
      </c>
      <c r="W476" s="80" t="str">
        <f aca="false">IF(AND($V476=1,N($F476)&gt;0),ROW(),"")</f>
        <v/>
      </c>
      <c r="X476" s="80" t="n">
        <f aca="false">IF(AND(OR($A476&lt;&gt;"",$E476&lt;&gt;""),$O476&lt;&gt;"Cancelled",ISNUMBER($E476),N($F476)+N($H476)&gt;$E476+0.005),1,0)</f>
        <v>0</v>
      </c>
      <c r="Y476" s="80" t="n">
        <f aca="false">IF(AND(OR($A476&lt;&gt;"",$E476&lt;&gt;""),OR($A476="",$E476="")),1,0)</f>
        <v>0</v>
      </c>
      <c r="Z476" s="80" t="n">
        <f aca="false">IF(AND($A476&lt;&gt;"",COUNTIF($A$7:$A$1006,$A476)&gt;1),1,0)</f>
        <v>0</v>
      </c>
    </row>
    <row r="477" customFormat="false" ht="15" hidden="false" customHeight="false" outlineLevel="0" collapsed="false">
      <c r="A477" s="71"/>
      <c r="B477" s="72"/>
      <c r="C477" s="73"/>
      <c r="D477" s="73"/>
      <c r="E477" s="74"/>
      <c r="F477" s="74"/>
      <c r="G477" s="72"/>
      <c r="H477" s="74"/>
      <c r="I477" s="72"/>
      <c r="J477" s="73"/>
      <c r="K477" s="73"/>
      <c r="L477" s="75" t="str">
        <f aca="false">IF(OR($A477&lt;&gt;"",$E477&lt;&gt;""),N($F477)+N($H477),"")</f>
        <v/>
      </c>
      <c r="M477" s="76" t="str">
        <f aca="false">IF(OR($O477="",$O477="Cancelled",$O477="Amount missing"),"",IF($O477="Realised",0,$E477-N($F477)-N($H477)))</f>
        <v/>
      </c>
      <c r="N477" s="77" t="str">
        <f aca="false">IF(OR($M477="",FX=""),"",$M477*FX)</f>
        <v/>
      </c>
      <c r="O477" s="78" t="str">
        <f aca="false">IF(NOT(OR($A477&lt;&gt;"",$E477&lt;&gt;"")),"",IF($J477="Cancelled","Cancelled",IF($E477="","Amount missing",IF(OR($J477="Settled",$E477-N($F477)-N($H477)&lt;=0.005),"Realised",IF(N($H477)&gt;0,"Part realised",IF(N($F477)&gt;0,"Advance received","On hand"))))))</f>
        <v/>
      </c>
      <c r="P477" s="79" t="str">
        <f aca="false">IF(AND($V477=1,ISNUMBER($B477)),AsAt-$B477,"")</f>
        <v/>
      </c>
      <c r="Q477" s="78" t="str">
        <f aca="false">IF($V477&lt;&gt;1,"",IF($P477="","No invoice date",IF($P477&lt;=30,"0–30 days",IF($P477&lt;=60,"31–60 days",IF($P477&lt;=90,"61–90 days","Over 90 days")))))</f>
        <v/>
      </c>
      <c r="R477" s="80" t="str">
        <f aca="false">IF($V477=1,ROW(),"")</f>
        <v/>
      </c>
      <c r="S477" s="80" t="str">
        <f aca="false">IF(OR($A477&lt;&gt;"",$E477&lt;&gt;""),IF(TRIM($D477)="","Buyer not noted",TRIM($D477)),"")</f>
        <v/>
      </c>
      <c r="T477" s="80" t="n">
        <f aca="false">IF(AND($V477=1,ISNUMBER($M477)),$M477,0)</f>
        <v>0</v>
      </c>
      <c r="U477" s="80" t="str">
        <f aca="false">IF($V477=1,IF(COUNTIFS($S$7:$S477,$S477,$V$7:$V477,1)=1,SUMIFS($T$7:$T$1006,$S$7:$S$1006,$S477)-ROW()/1000000000,""),"")</f>
        <v/>
      </c>
      <c r="V477" s="80" t="n">
        <f aca="false">IF(OR($O477="On hand",$O477="Advance received",$O477="Part realised",$O477="Amount missing"),1,0)</f>
        <v>0</v>
      </c>
      <c r="W477" s="80" t="str">
        <f aca="false">IF(AND($V477=1,N($F477)&gt;0),ROW(),"")</f>
        <v/>
      </c>
      <c r="X477" s="80" t="n">
        <f aca="false">IF(AND(OR($A477&lt;&gt;"",$E477&lt;&gt;""),$O477&lt;&gt;"Cancelled",ISNUMBER($E477),N($F477)+N($H477)&gt;$E477+0.005),1,0)</f>
        <v>0</v>
      </c>
      <c r="Y477" s="80" t="n">
        <f aca="false">IF(AND(OR($A477&lt;&gt;"",$E477&lt;&gt;""),OR($A477="",$E477="")),1,0)</f>
        <v>0</v>
      </c>
      <c r="Z477" s="80" t="n">
        <f aca="false">IF(AND($A477&lt;&gt;"",COUNTIF($A$7:$A$1006,$A477)&gt;1),1,0)</f>
        <v>0</v>
      </c>
    </row>
    <row r="478" customFormat="false" ht="15" hidden="false" customHeight="false" outlineLevel="0" collapsed="false">
      <c r="A478" s="71"/>
      <c r="B478" s="72"/>
      <c r="C478" s="73"/>
      <c r="D478" s="73"/>
      <c r="E478" s="74"/>
      <c r="F478" s="74"/>
      <c r="G478" s="72"/>
      <c r="H478" s="74"/>
      <c r="I478" s="72"/>
      <c r="J478" s="73"/>
      <c r="K478" s="73"/>
      <c r="L478" s="75" t="str">
        <f aca="false">IF(OR($A478&lt;&gt;"",$E478&lt;&gt;""),N($F478)+N($H478),"")</f>
        <v/>
      </c>
      <c r="M478" s="76" t="str">
        <f aca="false">IF(OR($O478="",$O478="Cancelled",$O478="Amount missing"),"",IF($O478="Realised",0,$E478-N($F478)-N($H478)))</f>
        <v/>
      </c>
      <c r="N478" s="77" t="str">
        <f aca="false">IF(OR($M478="",FX=""),"",$M478*FX)</f>
        <v/>
      </c>
      <c r="O478" s="78" t="str">
        <f aca="false">IF(NOT(OR($A478&lt;&gt;"",$E478&lt;&gt;"")),"",IF($J478="Cancelled","Cancelled",IF($E478="","Amount missing",IF(OR($J478="Settled",$E478-N($F478)-N($H478)&lt;=0.005),"Realised",IF(N($H478)&gt;0,"Part realised",IF(N($F478)&gt;0,"Advance received","On hand"))))))</f>
        <v/>
      </c>
      <c r="P478" s="79" t="str">
        <f aca="false">IF(AND($V478=1,ISNUMBER($B478)),AsAt-$B478,"")</f>
        <v/>
      </c>
      <c r="Q478" s="78" t="str">
        <f aca="false">IF($V478&lt;&gt;1,"",IF($P478="","No invoice date",IF($P478&lt;=30,"0–30 days",IF($P478&lt;=60,"31–60 days",IF($P478&lt;=90,"61–90 days","Over 90 days")))))</f>
        <v/>
      </c>
      <c r="R478" s="80" t="str">
        <f aca="false">IF($V478=1,ROW(),"")</f>
        <v/>
      </c>
      <c r="S478" s="80" t="str">
        <f aca="false">IF(OR($A478&lt;&gt;"",$E478&lt;&gt;""),IF(TRIM($D478)="","Buyer not noted",TRIM($D478)),"")</f>
        <v/>
      </c>
      <c r="T478" s="80" t="n">
        <f aca="false">IF(AND($V478=1,ISNUMBER($M478)),$M478,0)</f>
        <v>0</v>
      </c>
      <c r="U478" s="80" t="str">
        <f aca="false">IF($V478=1,IF(COUNTIFS($S$7:$S478,$S478,$V$7:$V478,1)=1,SUMIFS($T$7:$T$1006,$S$7:$S$1006,$S478)-ROW()/1000000000,""),"")</f>
        <v/>
      </c>
      <c r="V478" s="80" t="n">
        <f aca="false">IF(OR($O478="On hand",$O478="Advance received",$O478="Part realised",$O478="Amount missing"),1,0)</f>
        <v>0</v>
      </c>
      <c r="W478" s="80" t="str">
        <f aca="false">IF(AND($V478=1,N($F478)&gt;0),ROW(),"")</f>
        <v/>
      </c>
      <c r="X478" s="80" t="n">
        <f aca="false">IF(AND(OR($A478&lt;&gt;"",$E478&lt;&gt;""),$O478&lt;&gt;"Cancelled",ISNUMBER($E478),N($F478)+N($H478)&gt;$E478+0.005),1,0)</f>
        <v>0</v>
      </c>
      <c r="Y478" s="80" t="n">
        <f aca="false">IF(AND(OR($A478&lt;&gt;"",$E478&lt;&gt;""),OR($A478="",$E478="")),1,0)</f>
        <v>0</v>
      </c>
      <c r="Z478" s="80" t="n">
        <f aca="false">IF(AND($A478&lt;&gt;"",COUNTIF($A$7:$A$1006,$A478)&gt;1),1,0)</f>
        <v>0</v>
      </c>
    </row>
    <row r="479" customFormat="false" ht="15" hidden="false" customHeight="false" outlineLevel="0" collapsed="false">
      <c r="A479" s="71"/>
      <c r="B479" s="72"/>
      <c r="C479" s="73"/>
      <c r="D479" s="73"/>
      <c r="E479" s="74"/>
      <c r="F479" s="74"/>
      <c r="G479" s="72"/>
      <c r="H479" s="74"/>
      <c r="I479" s="72"/>
      <c r="J479" s="73"/>
      <c r="K479" s="73"/>
      <c r="L479" s="75" t="str">
        <f aca="false">IF(OR($A479&lt;&gt;"",$E479&lt;&gt;""),N($F479)+N($H479),"")</f>
        <v/>
      </c>
      <c r="M479" s="76" t="str">
        <f aca="false">IF(OR($O479="",$O479="Cancelled",$O479="Amount missing"),"",IF($O479="Realised",0,$E479-N($F479)-N($H479)))</f>
        <v/>
      </c>
      <c r="N479" s="77" t="str">
        <f aca="false">IF(OR($M479="",FX=""),"",$M479*FX)</f>
        <v/>
      </c>
      <c r="O479" s="78" t="str">
        <f aca="false">IF(NOT(OR($A479&lt;&gt;"",$E479&lt;&gt;"")),"",IF($J479="Cancelled","Cancelled",IF($E479="","Amount missing",IF(OR($J479="Settled",$E479-N($F479)-N($H479)&lt;=0.005),"Realised",IF(N($H479)&gt;0,"Part realised",IF(N($F479)&gt;0,"Advance received","On hand"))))))</f>
        <v/>
      </c>
      <c r="P479" s="79" t="str">
        <f aca="false">IF(AND($V479=1,ISNUMBER($B479)),AsAt-$B479,"")</f>
        <v/>
      </c>
      <c r="Q479" s="78" t="str">
        <f aca="false">IF($V479&lt;&gt;1,"",IF($P479="","No invoice date",IF($P479&lt;=30,"0–30 days",IF($P479&lt;=60,"31–60 days",IF($P479&lt;=90,"61–90 days","Over 90 days")))))</f>
        <v/>
      </c>
      <c r="R479" s="80" t="str">
        <f aca="false">IF($V479=1,ROW(),"")</f>
        <v/>
      </c>
      <c r="S479" s="80" t="str">
        <f aca="false">IF(OR($A479&lt;&gt;"",$E479&lt;&gt;""),IF(TRIM($D479)="","Buyer not noted",TRIM($D479)),"")</f>
        <v/>
      </c>
      <c r="T479" s="80" t="n">
        <f aca="false">IF(AND($V479=1,ISNUMBER($M479)),$M479,0)</f>
        <v>0</v>
      </c>
      <c r="U479" s="80" t="str">
        <f aca="false">IF($V479=1,IF(COUNTIFS($S$7:$S479,$S479,$V$7:$V479,1)=1,SUMIFS($T$7:$T$1006,$S$7:$S$1006,$S479)-ROW()/1000000000,""),"")</f>
        <v/>
      </c>
      <c r="V479" s="80" t="n">
        <f aca="false">IF(OR($O479="On hand",$O479="Advance received",$O479="Part realised",$O479="Amount missing"),1,0)</f>
        <v>0</v>
      </c>
      <c r="W479" s="80" t="str">
        <f aca="false">IF(AND($V479=1,N($F479)&gt;0),ROW(),"")</f>
        <v/>
      </c>
      <c r="X479" s="80" t="n">
        <f aca="false">IF(AND(OR($A479&lt;&gt;"",$E479&lt;&gt;""),$O479&lt;&gt;"Cancelled",ISNUMBER($E479),N($F479)+N($H479)&gt;$E479+0.005),1,0)</f>
        <v>0</v>
      </c>
      <c r="Y479" s="80" t="n">
        <f aca="false">IF(AND(OR($A479&lt;&gt;"",$E479&lt;&gt;""),OR($A479="",$E479="")),1,0)</f>
        <v>0</v>
      </c>
      <c r="Z479" s="80" t="n">
        <f aca="false">IF(AND($A479&lt;&gt;"",COUNTIF($A$7:$A$1006,$A479)&gt;1),1,0)</f>
        <v>0</v>
      </c>
    </row>
    <row r="480" customFormat="false" ht="15" hidden="false" customHeight="false" outlineLevel="0" collapsed="false">
      <c r="A480" s="71"/>
      <c r="B480" s="72"/>
      <c r="C480" s="73"/>
      <c r="D480" s="73"/>
      <c r="E480" s="74"/>
      <c r="F480" s="74"/>
      <c r="G480" s="72"/>
      <c r="H480" s="74"/>
      <c r="I480" s="72"/>
      <c r="J480" s="73"/>
      <c r="K480" s="73"/>
      <c r="L480" s="75" t="str">
        <f aca="false">IF(OR($A480&lt;&gt;"",$E480&lt;&gt;""),N($F480)+N($H480),"")</f>
        <v/>
      </c>
      <c r="M480" s="76" t="str">
        <f aca="false">IF(OR($O480="",$O480="Cancelled",$O480="Amount missing"),"",IF($O480="Realised",0,$E480-N($F480)-N($H480)))</f>
        <v/>
      </c>
      <c r="N480" s="77" t="str">
        <f aca="false">IF(OR($M480="",FX=""),"",$M480*FX)</f>
        <v/>
      </c>
      <c r="O480" s="78" t="str">
        <f aca="false">IF(NOT(OR($A480&lt;&gt;"",$E480&lt;&gt;"")),"",IF($J480="Cancelled","Cancelled",IF($E480="","Amount missing",IF(OR($J480="Settled",$E480-N($F480)-N($H480)&lt;=0.005),"Realised",IF(N($H480)&gt;0,"Part realised",IF(N($F480)&gt;0,"Advance received","On hand"))))))</f>
        <v/>
      </c>
      <c r="P480" s="79" t="str">
        <f aca="false">IF(AND($V480=1,ISNUMBER($B480)),AsAt-$B480,"")</f>
        <v/>
      </c>
      <c r="Q480" s="78" t="str">
        <f aca="false">IF($V480&lt;&gt;1,"",IF($P480="","No invoice date",IF($P480&lt;=30,"0–30 days",IF($P480&lt;=60,"31–60 days",IF($P480&lt;=90,"61–90 days","Over 90 days")))))</f>
        <v/>
      </c>
      <c r="R480" s="80" t="str">
        <f aca="false">IF($V480=1,ROW(),"")</f>
        <v/>
      </c>
      <c r="S480" s="80" t="str">
        <f aca="false">IF(OR($A480&lt;&gt;"",$E480&lt;&gt;""),IF(TRIM($D480)="","Buyer not noted",TRIM($D480)),"")</f>
        <v/>
      </c>
      <c r="T480" s="80" t="n">
        <f aca="false">IF(AND($V480=1,ISNUMBER($M480)),$M480,0)</f>
        <v>0</v>
      </c>
      <c r="U480" s="80" t="str">
        <f aca="false">IF($V480=1,IF(COUNTIFS($S$7:$S480,$S480,$V$7:$V480,1)=1,SUMIFS($T$7:$T$1006,$S$7:$S$1006,$S480)-ROW()/1000000000,""),"")</f>
        <v/>
      </c>
      <c r="V480" s="80" t="n">
        <f aca="false">IF(OR($O480="On hand",$O480="Advance received",$O480="Part realised",$O480="Amount missing"),1,0)</f>
        <v>0</v>
      </c>
      <c r="W480" s="80" t="str">
        <f aca="false">IF(AND($V480=1,N($F480)&gt;0),ROW(),"")</f>
        <v/>
      </c>
      <c r="X480" s="80" t="n">
        <f aca="false">IF(AND(OR($A480&lt;&gt;"",$E480&lt;&gt;""),$O480&lt;&gt;"Cancelled",ISNUMBER($E480),N($F480)+N($H480)&gt;$E480+0.005),1,0)</f>
        <v>0</v>
      </c>
      <c r="Y480" s="80" t="n">
        <f aca="false">IF(AND(OR($A480&lt;&gt;"",$E480&lt;&gt;""),OR($A480="",$E480="")),1,0)</f>
        <v>0</v>
      </c>
      <c r="Z480" s="80" t="n">
        <f aca="false">IF(AND($A480&lt;&gt;"",COUNTIF($A$7:$A$1006,$A480)&gt;1),1,0)</f>
        <v>0</v>
      </c>
    </row>
    <row r="481" customFormat="false" ht="15" hidden="false" customHeight="false" outlineLevel="0" collapsed="false">
      <c r="A481" s="71"/>
      <c r="B481" s="72"/>
      <c r="C481" s="73"/>
      <c r="D481" s="73"/>
      <c r="E481" s="74"/>
      <c r="F481" s="74"/>
      <c r="G481" s="72"/>
      <c r="H481" s="74"/>
      <c r="I481" s="72"/>
      <c r="J481" s="73"/>
      <c r="K481" s="73"/>
      <c r="L481" s="75" t="str">
        <f aca="false">IF(OR($A481&lt;&gt;"",$E481&lt;&gt;""),N($F481)+N($H481),"")</f>
        <v/>
      </c>
      <c r="M481" s="76" t="str">
        <f aca="false">IF(OR($O481="",$O481="Cancelled",$O481="Amount missing"),"",IF($O481="Realised",0,$E481-N($F481)-N($H481)))</f>
        <v/>
      </c>
      <c r="N481" s="77" t="str">
        <f aca="false">IF(OR($M481="",FX=""),"",$M481*FX)</f>
        <v/>
      </c>
      <c r="O481" s="78" t="str">
        <f aca="false">IF(NOT(OR($A481&lt;&gt;"",$E481&lt;&gt;"")),"",IF($J481="Cancelled","Cancelled",IF($E481="","Amount missing",IF(OR($J481="Settled",$E481-N($F481)-N($H481)&lt;=0.005),"Realised",IF(N($H481)&gt;0,"Part realised",IF(N($F481)&gt;0,"Advance received","On hand"))))))</f>
        <v/>
      </c>
      <c r="P481" s="79" t="str">
        <f aca="false">IF(AND($V481=1,ISNUMBER($B481)),AsAt-$B481,"")</f>
        <v/>
      </c>
      <c r="Q481" s="78" t="str">
        <f aca="false">IF($V481&lt;&gt;1,"",IF($P481="","No invoice date",IF($P481&lt;=30,"0–30 days",IF($P481&lt;=60,"31–60 days",IF($P481&lt;=90,"61–90 days","Over 90 days")))))</f>
        <v/>
      </c>
      <c r="R481" s="80" t="str">
        <f aca="false">IF($V481=1,ROW(),"")</f>
        <v/>
      </c>
      <c r="S481" s="80" t="str">
        <f aca="false">IF(OR($A481&lt;&gt;"",$E481&lt;&gt;""),IF(TRIM($D481)="","Buyer not noted",TRIM($D481)),"")</f>
        <v/>
      </c>
      <c r="T481" s="80" t="n">
        <f aca="false">IF(AND($V481=1,ISNUMBER($M481)),$M481,0)</f>
        <v>0</v>
      </c>
      <c r="U481" s="80" t="str">
        <f aca="false">IF($V481=1,IF(COUNTIFS($S$7:$S481,$S481,$V$7:$V481,1)=1,SUMIFS($T$7:$T$1006,$S$7:$S$1006,$S481)-ROW()/1000000000,""),"")</f>
        <v/>
      </c>
      <c r="V481" s="80" t="n">
        <f aca="false">IF(OR($O481="On hand",$O481="Advance received",$O481="Part realised",$O481="Amount missing"),1,0)</f>
        <v>0</v>
      </c>
      <c r="W481" s="80" t="str">
        <f aca="false">IF(AND($V481=1,N($F481)&gt;0),ROW(),"")</f>
        <v/>
      </c>
      <c r="X481" s="80" t="n">
        <f aca="false">IF(AND(OR($A481&lt;&gt;"",$E481&lt;&gt;""),$O481&lt;&gt;"Cancelled",ISNUMBER($E481),N($F481)+N($H481)&gt;$E481+0.005),1,0)</f>
        <v>0</v>
      </c>
      <c r="Y481" s="80" t="n">
        <f aca="false">IF(AND(OR($A481&lt;&gt;"",$E481&lt;&gt;""),OR($A481="",$E481="")),1,0)</f>
        <v>0</v>
      </c>
      <c r="Z481" s="80" t="n">
        <f aca="false">IF(AND($A481&lt;&gt;"",COUNTIF($A$7:$A$1006,$A481)&gt;1),1,0)</f>
        <v>0</v>
      </c>
    </row>
    <row r="482" customFormat="false" ht="15" hidden="false" customHeight="false" outlineLevel="0" collapsed="false">
      <c r="A482" s="71"/>
      <c r="B482" s="72"/>
      <c r="C482" s="73"/>
      <c r="D482" s="73"/>
      <c r="E482" s="74"/>
      <c r="F482" s="74"/>
      <c r="G482" s="72"/>
      <c r="H482" s="74"/>
      <c r="I482" s="72"/>
      <c r="J482" s="73"/>
      <c r="K482" s="73"/>
      <c r="L482" s="75" t="str">
        <f aca="false">IF(OR($A482&lt;&gt;"",$E482&lt;&gt;""),N($F482)+N($H482),"")</f>
        <v/>
      </c>
      <c r="M482" s="76" t="str">
        <f aca="false">IF(OR($O482="",$O482="Cancelled",$O482="Amount missing"),"",IF($O482="Realised",0,$E482-N($F482)-N($H482)))</f>
        <v/>
      </c>
      <c r="N482" s="77" t="str">
        <f aca="false">IF(OR($M482="",FX=""),"",$M482*FX)</f>
        <v/>
      </c>
      <c r="O482" s="78" t="str">
        <f aca="false">IF(NOT(OR($A482&lt;&gt;"",$E482&lt;&gt;"")),"",IF($J482="Cancelled","Cancelled",IF($E482="","Amount missing",IF(OR($J482="Settled",$E482-N($F482)-N($H482)&lt;=0.005),"Realised",IF(N($H482)&gt;0,"Part realised",IF(N($F482)&gt;0,"Advance received","On hand"))))))</f>
        <v/>
      </c>
      <c r="P482" s="79" t="str">
        <f aca="false">IF(AND($V482=1,ISNUMBER($B482)),AsAt-$B482,"")</f>
        <v/>
      </c>
      <c r="Q482" s="78" t="str">
        <f aca="false">IF($V482&lt;&gt;1,"",IF($P482="","No invoice date",IF($P482&lt;=30,"0–30 days",IF($P482&lt;=60,"31–60 days",IF($P482&lt;=90,"61–90 days","Over 90 days")))))</f>
        <v/>
      </c>
      <c r="R482" s="80" t="str">
        <f aca="false">IF($V482=1,ROW(),"")</f>
        <v/>
      </c>
      <c r="S482" s="80" t="str">
        <f aca="false">IF(OR($A482&lt;&gt;"",$E482&lt;&gt;""),IF(TRIM($D482)="","Buyer not noted",TRIM($D482)),"")</f>
        <v/>
      </c>
      <c r="T482" s="80" t="n">
        <f aca="false">IF(AND($V482=1,ISNUMBER($M482)),$M482,0)</f>
        <v>0</v>
      </c>
      <c r="U482" s="80" t="str">
        <f aca="false">IF($V482=1,IF(COUNTIFS($S$7:$S482,$S482,$V$7:$V482,1)=1,SUMIFS($T$7:$T$1006,$S$7:$S$1006,$S482)-ROW()/1000000000,""),"")</f>
        <v/>
      </c>
      <c r="V482" s="80" t="n">
        <f aca="false">IF(OR($O482="On hand",$O482="Advance received",$O482="Part realised",$O482="Amount missing"),1,0)</f>
        <v>0</v>
      </c>
      <c r="W482" s="80" t="str">
        <f aca="false">IF(AND($V482=1,N($F482)&gt;0),ROW(),"")</f>
        <v/>
      </c>
      <c r="X482" s="80" t="n">
        <f aca="false">IF(AND(OR($A482&lt;&gt;"",$E482&lt;&gt;""),$O482&lt;&gt;"Cancelled",ISNUMBER($E482),N($F482)+N($H482)&gt;$E482+0.005),1,0)</f>
        <v>0</v>
      </c>
      <c r="Y482" s="80" t="n">
        <f aca="false">IF(AND(OR($A482&lt;&gt;"",$E482&lt;&gt;""),OR($A482="",$E482="")),1,0)</f>
        <v>0</v>
      </c>
      <c r="Z482" s="80" t="n">
        <f aca="false">IF(AND($A482&lt;&gt;"",COUNTIF($A$7:$A$1006,$A482)&gt;1),1,0)</f>
        <v>0</v>
      </c>
    </row>
    <row r="483" customFormat="false" ht="15" hidden="false" customHeight="false" outlineLevel="0" collapsed="false">
      <c r="A483" s="71"/>
      <c r="B483" s="72"/>
      <c r="C483" s="73"/>
      <c r="D483" s="73"/>
      <c r="E483" s="74"/>
      <c r="F483" s="74"/>
      <c r="G483" s="72"/>
      <c r="H483" s="74"/>
      <c r="I483" s="72"/>
      <c r="J483" s="73"/>
      <c r="K483" s="73"/>
      <c r="L483" s="75" t="str">
        <f aca="false">IF(OR($A483&lt;&gt;"",$E483&lt;&gt;""),N($F483)+N($H483),"")</f>
        <v/>
      </c>
      <c r="M483" s="76" t="str">
        <f aca="false">IF(OR($O483="",$O483="Cancelled",$O483="Amount missing"),"",IF($O483="Realised",0,$E483-N($F483)-N($H483)))</f>
        <v/>
      </c>
      <c r="N483" s="77" t="str">
        <f aca="false">IF(OR($M483="",FX=""),"",$M483*FX)</f>
        <v/>
      </c>
      <c r="O483" s="78" t="str">
        <f aca="false">IF(NOT(OR($A483&lt;&gt;"",$E483&lt;&gt;"")),"",IF($J483="Cancelled","Cancelled",IF($E483="","Amount missing",IF(OR($J483="Settled",$E483-N($F483)-N($H483)&lt;=0.005),"Realised",IF(N($H483)&gt;0,"Part realised",IF(N($F483)&gt;0,"Advance received","On hand"))))))</f>
        <v/>
      </c>
      <c r="P483" s="79" t="str">
        <f aca="false">IF(AND($V483=1,ISNUMBER($B483)),AsAt-$B483,"")</f>
        <v/>
      </c>
      <c r="Q483" s="78" t="str">
        <f aca="false">IF($V483&lt;&gt;1,"",IF($P483="","No invoice date",IF($P483&lt;=30,"0–30 days",IF($P483&lt;=60,"31–60 days",IF($P483&lt;=90,"61–90 days","Over 90 days")))))</f>
        <v/>
      </c>
      <c r="R483" s="80" t="str">
        <f aca="false">IF($V483=1,ROW(),"")</f>
        <v/>
      </c>
      <c r="S483" s="80" t="str">
        <f aca="false">IF(OR($A483&lt;&gt;"",$E483&lt;&gt;""),IF(TRIM($D483)="","Buyer not noted",TRIM($D483)),"")</f>
        <v/>
      </c>
      <c r="T483" s="80" t="n">
        <f aca="false">IF(AND($V483=1,ISNUMBER($M483)),$M483,0)</f>
        <v>0</v>
      </c>
      <c r="U483" s="80" t="str">
        <f aca="false">IF($V483=1,IF(COUNTIFS($S$7:$S483,$S483,$V$7:$V483,1)=1,SUMIFS($T$7:$T$1006,$S$7:$S$1006,$S483)-ROW()/1000000000,""),"")</f>
        <v/>
      </c>
      <c r="V483" s="80" t="n">
        <f aca="false">IF(OR($O483="On hand",$O483="Advance received",$O483="Part realised",$O483="Amount missing"),1,0)</f>
        <v>0</v>
      </c>
      <c r="W483" s="80" t="str">
        <f aca="false">IF(AND($V483=1,N($F483)&gt;0),ROW(),"")</f>
        <v/>
      </c>
      <c r="X483" s="80" t="n">
        <f aca="false">IF(AND(OR($A483&lt;&gt;"",$E483&lt;&gt;""),$O483&lt;&gt;"Cancelled",ISNUMBER($E483),N($F483)+N($H483)&gt;$E483+0.005),1,0)</f>
        <v>0</v>
      </c>
      <c r="Y483" s="80" t="n">
        <f aca="false">IF(AND(OR($A483&lt;&gt;"",$E483&lt;&gt;""),OR($A483="",$E483="")),1,0)</f>
        <v>0</v>
      </c>
      <c r="Z483" s="80" t="n">
        <f aca="false">IF(AND($A483&lt;&gt;"",COUNTIF($A$7:$A$1006,$A483)&gt;1),1,0)</f>
        <v>0</v>
      </c>
    </row>
    <row r="484" customFormat="false" ht="15" hidden="false" customHeight="false" outlineLevel="0" collapsed="false">
      <c r="A484" s="71"/>
      <c r="B484" s="72"/>
      <c r="C484" s="73"/>
      <c r="D484" s="73"/>
      <c r="E484" s="74"/>
      <c r="F484" s="74"/>
      <c r="G484" s="72"/>
      <c r="H484" s="74"/>
      <c r="I484" s="72"/>
      <c r="J484" s="73"/>
      <c r="K484" s="73"/>
      <c r="L484" s="75" t="str">
        <f aca="false">IF(OR($A484&lt;&gt;"",$E484&lt;&gt;""),N($F484)+N($H484),"")</f>
        <v/>
      </c>
      <c r="M484" s="76" t="str">
        <f aca="false">IF(OR($O484="",$O484="Cancelled",$O484="Amount missing"),"",IF($O484="Realised",0,$E484-N($F484)-N($H484)))</f>
        <v/>
      </c>
      <c r="N484" s="77" t="str">
        <f aca="false">IF(OR($M484="",FX=""),"",$M484*FX)</f>
        <v/>
      </c>
      <c r="O484" s="78" t="str">
        <f aca="false">IF(NOT(OR($A484&lt;&gt;"",$E484&lt;&gt;"")),"",IF($J484="Cancelled","Cancelled",IF($E484="","Amount missing",IF(OR($J484="Settled",$E484-N($F484)-N($H484)&lt;=0.005),"Realised",IF(N($H484)&gt;0,"Part realised",IF(N($F484)&gt;0,"Advance received","On hand"))))))</f>
        <v/>
      </c>
      <c r="P484" s="79" t="str">
        <f aca="false">IF(AND($V484=1,ISNUMBER($B484)),AsAt-$B484,"")</f>
        <v/>
      </c>
      <c r="Q484" s="78" t="str">
        <f aca="false">IF($V484&lt;&gt;1,"",IF($P484="","No invoice date",IF($P484&lt;=30,"0–30 days",IF($P484&lt;=60,"31–60 days",IF($P484&lt;=90,"61–90 days","Over 90 days")))))</f>
        <v/>
      </c>
      <c r="R484" s="80" t="str">
        <f aca="false">IF($V484=1,ROW(),"")</f>
        <v/>
      </c>
      <c r="S484" s="80" t="str">
        <f aca="false">IF(OR($A484&lt;&gt;"",$E484&lt;&gt;""),IF(TRIM($D484)="","Buyer not noted",TRIM($D484)),"")</f>
        <v/>
      </c>
      <c r="T484" s="80" t="n">
        <f aca="false">IF(AND($V484=1,ISNUMBER($M484)),$M484,0)</f>
        <v>0</v>
      </c>
      <c r="U484" s="80" t="str">
        <f aca="false">IF($V484=1,IF(COUNTIFS($S$7:$S484,$S484,$V$7:$V484,1)=1,SUMIFS($T$7:$T$1006,$S$7:$S$1006,$S484)-ROW()/1000000000,""),"")</f>
        <v/>
      </c>
      <c r="V484" s="80" t="n">
        <f aca="false">IF(OR($O484="On hand",$O484="Advance received",$O484="Part realised",$O484="Amount missing"),1,0)</f>
        <v>0</v>
      </c>
      <c r="W484" s="80" t="str">
        <f aca="false">IF(AND($V484=1,N($F484)&gt;0),ROW(),"")</f>
        <v/>
      </c>
      <c r="X484" s="80" t="n">
        <f aca="false">IF(AND(OR($A484&lt;&gt;"",$E484&lt;&gt;""),$O484&lt;&gt;"Cancelled",ISNUMBER($E484),N($F484)+N($H484)&gt;$E484+0.005),1,0)</f>
        <v>0</v>
      </c>
      <c r="Y484" s="80" t="n">
        <f aca="false">IF(AND(OR($A484&lt;&gt;"",$E484&lt;&gt;""),OR($A484="",$E484="")),1,0)</f>
        <v>0</v>
      </c>
      <c r="Z484" s="80" t="n">
        <f aca="false">IF(AND($A484&lt;&gt;"",COUNTIF($A$7:$A$1006,$A484)&gt;1),1,0)</f>
        <v>0</v>
      </c>
    </row>
    <row r="485" customFormat="false" ht="15" hidden="false" customHeight="false" outlineLevel="0" collapsed="false">
      <c r="A485" s="71"/>
      <c r="B485" s="72"/>
      <c r="C485" s="73"/>
      <c r="D485" s="73"/>
      <c r="E485" s="74"/>
      <c r="F485" s="74"/>
      <c r="G485" s="72"/>
      <c r="H485" s="74"/>
      <c r="I485" s="72"/>
      <c r="J485" s="73"/>
      <c r="K485" s="73"/>
      <c r="L485" s="75" t="str">
        <f aca="false">IF(OR($A485&lt;&gt;"",$E485&lt;&gt;""),N($F485)+N($H485),"")</f>
        <v/>
      </c>
      <c r="M485" s="76" t="str">
        <f aca="false">IF(OR($O485="",$O485="Cancelled",$O485="Amount missing"),"",IF($O485="Realised",0,$E485-N($F485)-N($H485)))</f>
        <v/>
      </c>
      <c r="N485" s="77" t="str">
        <f aca="false">IF(OR($M485="",FX=""),"",$M485*FX)</f>
        <v/>
      </c>
      <c r="O485" s="78" t="str">
        <f aca="false">IF(NOT(OR($A485&lt;&gt;"",$E485&lt;&gt;"")),"",IF($J485="Cancelled","Cancelled",IF($E485="","Amount missing",IF(OR($J485="Settled",$E485-N($F485)-N($H485)&lt;=0.005),"Realised",IF(N($H485)&gt;0,"Part realised",IF(N($F485)&gt;0,"Advance received","On hand"))))))</f>
        <v/>
      </c>
      <c r="P485" s="79" t="str">
        <f aca="false">IF(AND($V485=1,ISNUMBER($B485)),AsAt-$B485,"")</f>
        <v/>
      </c>
      <c r="Q485" s="78" t="str">
        <f aca="false">IF($V485&lt;&gt;1,"",IF($P485="","No invoice date",IF($P485&lt;=30,"0–30 days",IF($P485&lt;=60,"31–60 days",IF($P485&lt;=90,"61–90 days","Over 90 days")))))</f>
        <v/>
      </c>
      <c r="R485" s="80" t="str">
        <f aca="false">IF($V485=1,ROW(),"")</f>
        <v/>
      </c>
      <c r="S485" s="80" t="str">
        <f aca="false">IF(OR($A485&lt;&gt;"",$E485&lt;&gt;""),IF(TRIM($D485)="","Buyer not noted",TRIM($D485)),"")</f>
        <v/>
      </c>
      <c r="T485" s="80" t="n">
        <f aca="false">IF(AND($V485=1,ISNUMBER($M485)),$M485,0)</f>
        <v>0</v>
      </c>
      <c r="U485" s="80" t="str">
        <f aca="false">IF($V485=1,IF(COUNTIFS($S$7:$S485,$S485,$V$7:$V485,1)=1,SUMIFS($T$7:$T$1006,$S$7:$S$1006,$S485)-ROW()/1000000000,""),"")</f>
        <v/>
      </c>
      <c r="V485" s="80" t="n">
        <f aca="false">IF(OR($O485="On hand",$O485="Advance received",$O485="Part realised",$O485="Amount missing"),1,0)</f>
        <v>0</v>
      </c>
      <c r="W485" s="80" t="str">
        <f aca="false">IF(AND($V485=1,N($F485)&gt;0),ROW(),"")</f>
        <v/>
      </c>
      <c r="X485" s="80" t="n">
        <f aca="false">IF(AND(OR($A485&lt;&gt;"",$E485&lt;&gt;""),$O485&lt;&gt;"Cancelled",ISNUMBER($E485),N($F485)+N($H485)&gt;$E485+0.005),1,0)</f>
        <v>0</v>
      </c>
      <c r="Y485" s="80" t="n">
        <f aca="false">IF(AND(OR($A485&lt;&gt;"",$E485&lt;&gt;""),OR($A485="",$E485="")),1,0)</f>
        <v>0</v>
      </c>
      <c r="Z485" s="80" t="n">
        <f aca="false">IF(AND($A485&lt;&gt;"",COUNTIF($A$7:$A$1006,$A485)&gt;1),1,0)</f>
        <v>0</v>
      </c>
    </row>
    <row r="486" customFormat="false" ht="15" hidden="false" customHeight="false" outlineLevel="0" collapsed="false">
      <c r="A486" s="71"/>
      <c r="B486" s="72"/>
      <c r="C486" s="73"/>
      <c r="D486" s="73"/>
      <c r="E486" s="74"/>
      <c r="F486" s="74"/>
      <c r="G486" s="72"/>
      <c r="H486" s="74"/>
      <c r="I486" s="72"/>
      <c r="J486" s="73"/>
      <c r="K486" s="73"/>
      <c r="L486" s="75" t="str">
        <f aca="false">IF(OR($A486&lt;&gt;"",$E486&lt;&gt;""),N($F486)+N($H486),"")</f>
        <v/>
      </c>
      <c r="M486" s="76" t="str">
        <f aca="false">IF(OR($O486="",$O486="Cancelled",$O486="Amount missing"),"",IF($O486="Realised",0,$E486-N($F486)-N($H486)))</f>
        <v/>
      </c>
      <c r="N486" s="77" t="str">
        <f aca="false">IF(OR($M486="",FX=""),"",$M486*FX)</f>
        <v/>
      </c>
      <c r="O486" s="78" t="str">
        <f aca="false">IF(NOT(OR($A486&lt;&gt;"",$E486&lt;&gt;"")),"",IF($J486="Cancelled","Cancelled",IF($E486="","Amount missing",IF(OR($J486="Settled",$E486-N($F486)-N($H486)&lt;=0.005),"Realised",IF(N($H486)&gt;0,"Part realised",IF(N($F486)&gt;0,"Advance received","On hand"))))))</f>
        <v/>
      </c>
      <c r="P486" s="79" t="str">
        <f aca="false">IF(AND($V486=1,ISNUMBER($B486)),AsAt-$B486,"")</f>
        <v/>
      </c>
      <c r="Q486" s="78" t="str">
        <f aca="false">IF($V486&lt;&gt;1,"",IF($P486="","No invoice date",IF($P486&lt;=30,"0–30 days",IF($P486&lt;=60,"31–60 days",IF($P486&lt;=90,"61–90 days","Over 90 days")))))</f>
        <v/>
      </c>
      <c r="R486" s="80" t="str">
        <f aca="false">IF($V486=1,ROW(),"")</f>
        <v/>
      </c>
      <c r="S486" s="80" t="str">
        <f aca="false">IF(OR($A486&lt;&gt;"",$E486&lt;&gt;""),IF(TRIM($D486)="","Buyer not noted",TRIM($D486)),"")</f>
        <v/>
      </c>
      <c r="T486" s="80" t="n">
        <f aca="false">IF(AND($V486=1,ISNUMBER($M486)),$M486,0)</f>
        <v>0</v>
      </c>
      <c r="U486" s="80" t="str">
        <f aca="false">IF($V486=1,IF(COUNTIFS($S$7:$S486,$S486,$V$7:$V486,1)=1,SUMIFS($T$7:$T$1006,$S$7:$S$1006,$S486)-ROW()/1000000000,""),"")</f>
        <v/>
      </c>
      <c r="V486" s="80" t="n">
        <f aca="false">IF(OR($O486="On hand",$O486="Advance received",$O486="Part realised",$O486="Amount missing"),1,0)</f>
        <v>0</v>
      </c>
      <c r="W486" s="80" t="str">
        <f aca="false">IF(AND($V486=1,N($F486)&gt;0),ROW(),"")</f>
        <v/>
      </c>
      <c r="X486" s="80" t="n">
        <f aca="false">IF(AND(OR($A486&lt;&gt;"",$E486&lt;&gt;""),$O486&lt;&gt;"Cancelled",ISNUMBER($E486),N($F486)+N($H486)&gt;$E486+0.005),1,0)</f>
        <v>0</v>
      </c>
      <c r="Y486" s="80" t="n">
        <f aca="false">IF(AND(OR($A486&lt;&gt;"",$E486&lt;&gt;""),OR($A486="",$E486="")),1,0)</f>
        <v>0</v>
      </c>
      <c r="Z486" s="80" t="n">
        <f aca="false">IF(AND($A486&lt;&gt;"",COUNTIF($A$7:$A$1006,$A486)&gt;1),1,0)</f>
        <v>0</v>
      </c>
    </row>
    <row r="487" customFormat="false" ht="15" hidden="false" customHeight="false" outlineLevel="0" collapsed="false">
      <c r="A487" s="71"/>
      <c r="B487" s="72"/>
      <c r="C487" s="73"/>
      <c r="D487" s="73"/>
      <c r="E487" s="74"/>
      <c r="F487" s="74"/>
      <c r="G487" s="72"/>
      <c r="H487" s="74"/>
      <c r="I487" s="72"/>
      <c r="J487" s="73"/>
      <c r="K487" s="73"/>
      <c r="L487" s="75" t="str">
        <f aca="false">IF(OR($A487&lt;&gt;"",$E487&lt;&gt;""),N($F487)+N($H487),"")</f>
        <v/>
      </c>
      <c r="M487" s="76" t="str">
        <f aca="false">IF(OR($O487="",$O487="Cancelled",$O487="Amount missing"),"",IF($O487="Realised",0,$E487-N($F487)-N($H487)))</f>
        <v/>
      </c>
      <c r="N487" s="77" t="str">
        <f aca="false">IF(OR($M487="",FX=""),"",$M487*FX)</f>
        <v/>
      </c>
      <c r="O487" s="78" t="str">
        <f aca="false">IF(NOT(OR($A487&lt;&gt;"",$E487&lt;&gt;"")),"",IF($J487="Cancelled","Cancelled",IF($E487="","Amount missing",IF(OR($J487="Settled",$E487-N($F487)-N($H487)&lt;=0.005),"Realised",IF(N($H487)&gt;0,"Part realised",IF(N($F487)&gt;0,"Advance received","On hand"))))))</f>
        <v/>
      </c>
      <c r="P487" s="79" t="str">
        <f aca="false">IF(AND($V487=1,ISNUMBER($B487)),AsAt-$B487,"")</f>
        <v/>
      </c>
      <c r="Q487" s="78" t="str">
        <f aca="false">IF($V487&lt;&gt;1,"",IF($P487="","No invoice date",IF($P487&lt;=30,"0–30 days",IF($P487&lt;=60,"31–60 days",IF($P487&lt;=90,"61–90 days","Over 90 days")))))</f>
        <v/>
      </c>
      <c r="R487" s="80" t="str">
        <f aca="false">IF($V487=1,ROW(),"")</f>
        <v/>
      </c>
      <c r="S487" s="80" t="str">
        <f aca="false">IF(OR($A487&lt;&gt;"",$E487&lt;&gt;""),IF(TRIM($D487)="","Buyer not noted",TRIM($D487)),"")</f>
        <v/>
      </c>
      <c r="T487" s="80" t="n">
        <f aca="false">IF(AND($V487=1,ISNUMBER($M487)),$M487,0)</f>
        <v>0</v>
      </c>
      <c r="U487" s="80" t="str">
        <f aca="false">IF($V487=1,IF(COUNTIFS($S$7:$S487,$S487,$V$7:$V487,1)=1,SUMIFS($T$7:$T$1006,$S$7:$S$1006,$S487)-ROW()/1000000000,""),"")</f>
        <v/>
      </c>
      <c r="V487" s="80" t="n">
        <f aca="false">IF(OR($O487="On hand",$O487="Advance received",$O487="Part realised",$O487="Amount missing"),1,0)</f>
        <v>0</v>
      </c>
      <c r="W487" s="80" t="str">
        <f aca="false">IF(AND($V487=1,N($F487)&gt;0),ROW(),"")</f>
        <v/>
      </c>
      <c r="X487" s="80" t="n">
        <f aca="false">IF(AND(OR($A487&lt;&gt;"",$E487&lt;&gt;""),$O487&lt;&gt;"Cancelled",ISNUMBER($E487),N($F487)+N($H487)&gt;$E487+0.005),1,0)</f>
        <v>0</v>
      </c>
      <c r="Y487" s="80" t="n">
        <f aca="false">IF(AND(OR($A487&lt;&gt;"",$E487&lt;&gt;""),OR($A487="",$E487="")),1,0)</f>
        <v>0</v>
      </c>
      <c r="Z487" s="80" t="n">
        <f aca="false">IF(AND($A487&lt;&gt;"",COUNTIF($A$7:$A$1006,$A487)&gt;1),1,0)</f>
        <v>0</v>
      </c>
    </row>
    <row r="488" customFormat="false" ht="15" hidden="false" customHeight="false" outlineLevel="0" collapsed="false">
      <c r="A488" s="71"/>
      <c r="B488" s="72"/>
      <c r="C488" s="73"/>
      <c r="D488" s="73"/>
      <c r="E488" s="74"/>
      <c r="F488" s="74"/>
      <c r="G488" s="72"/>
      <c r="H488" s="74"/>
      <c r="I488" s="72"/>
      <c r="J488" s="73"/>
      <c r="K488" s="73"/>
      <c r="L488" s="75" t="str">
        <f aca="false">IF(OR($A488&lt;&gt;"",$E488&lt;&gt;""),N($F488)+N($H488),"")</f>
        <v/>
      </c>
      <c r="M488" s="76" t="str">
        <f aca="false">IF(OR($O488="",$O488="Cancelled",$O488="Amount missing"),"",IF($O488="Realised",0,$E488-N($F488)-N($H488)))</f>
        <v/>
      </c>
      <c r="N488" s="77" t="str">
        <f aca="false">IF(OR($M488="",FX=""),"",$M488*FX)</f>
        <v/>
      </c>
      <c r="O488" s="78" t="str">
        <f aca="false">IF(NOT(OR($A488&lt;&gt;"",$E488&lt;&gt;"")),"",IF($J488="Cancelled","Cancelled",IF($E488="","Amount missing",IF(OR($J488="Settled",$E488-N($F488)-N($H488)&lt;=0.005),"Realised",IF(N($H488)&gt;0,"Part realised",IF(N($F488)&gt;0,"Advance received","On hand"))))))</f>
        <v/>
      </c>
      <c r="P488" s="79" t="str">
        <f aca="false">IF(AND($V488=1,ISNUMBER($B488)),AsAt-$B488,"")</f>
        <v/>
      </c>
      <c r="Q488" s="78" t="str">
        <f aca="false">IF($V488&lt;&gt;1,"",IF($P488="","No invoice date",IF($P488&lt;=30,"0–30 days",IF($P488&lt;=60,"31–60 days",IF($P488&lt;=90,"61–90 days","Over 90 days")))))</f>
        <v/>
      </c>
      <c r="R488" s="80" t="str">
        <f aca="false">IF($V488=1,ROW(),"")</f>
        <v/>
      </c>
      <c r="S488" s="80" t="str">
        <f aca="false">IF(OR($A488&lt;&gt;"",$E488&lt;&gt;""),IF(TRIM($D488)="","Buyer not noted",TRIM($D488)),"")</f>
        <v/>
      </c>
      <c r="T488" s="80" t="n">
        <f aca="false">IF(AND($V488=1,ISNUMBER($M488)),$M488,0)</f>
        <v>0</v>
      </c>
      <c r="U488" s="80" t="str">
        <f aca="false">IF($V488=1,IF(COUNTIFS($S$7:$S488,$S488,$V$7:$V488,1)=1,SUMIFS($T$7:$T$1006,$S$7:$S$1006,$S488)-ROW()/1000000000,""),"")</f>
        <v/>
      </c>
      <c r="V488" s="80" t="n">
        <f aca="false">IF(OR($O488="On hand",$O488="Advance received",$O488="Part realised",$O488="Amount missing"),1,0)</f>
        <v>0</v>
      </c>
      <c r="W488" s="80" t="str">
        <f aca="false">IF(AND($V488=1,N($F488)&gt;0),ROW(),"")</f>
        <v/>
      </c>
      <c r="X488" s="80" t="n">
        <f aca="false">IF(AND(OR($A488&lt;&gt;"",$E488&lt;&gt;""),$O488&lt;&gt;"Cancelled",ISNUMBER($E488),N($F488)+N($H488)&gt;$E488+0.005),1,0)</f>
        <v>0</v>
      </c>
      <c r="Y488" s="80" t="n">
        <f aca="false">IF(AND(OR($A488&lt;&gt;"",$E488&lt;&gt;""),OR($A488="",$E488="")),1,0)</f>
        <v>0</v>
      </c>
      <c r="Z488" s="80" t="n">
        <f aca="false">IF(AND($A488&lt;&gt;"",COUNTIF($A$7:$A$1006,$A488)&gt;1),1,0)</f>
        <v>0</v>
      </c>
    </row>
    <row r="489" customFormat="false" ht="15" hidden="false" customHeight="false" outlineLevel="0" collapsed="false">
      <c r="A489" s="71"/>
      <c r="B489" s="72"/>
      <c r="C489" s="73"/>
      <c r="D489" s="73"/>
      <c r="E489" s="74"/>
      <c r="F489" s="74"/>
      <c r="G489" s="72"/>
      <c r="H489" s="74"/>
      <c r="I489" s="72"/>
      <c r="J489" s="73"/>
      <c r="K489" s="73"/>
      <c r="L489" s="75" t="str">
        <f aca="false">IF(OR($A489&lt;&gt;"",$E489&lt;&gt;""),N($F489)+N($H489),"")</f>
        <v/>
      </c>
      <c r="M489" s="76" t="str">
        <f aca="false">IF(OR($O489="",$O489="Cancelled",$O489="Amount missing"),"",IF($O489="Realised",0,$E489-N($F489)-N($H489)))</f>
        <v/>
      </c>
      <c r="N489" s="77" t="str">
        <f aca="false">IF(OR($M489="",FX=""),"",$M489*FX)</f>
        <v/>
      </c>
      <c r="O489" s="78" t="str">
        <f aca="false">IF(NOT(OR($A489&lt;&gt;"",$E489&lt;&gt;"")),"",IF($J489="Cancelled","Cancelled",IF($E489="","Amount missing",IF(OR($J489="Settled",$E489-N($F489)-N($H489)&lt;=0.005),"Realised",IF(N($H489)&gt;0,"Part realised",IF(N($F489)&gt;0,"Advance received","On hand"))))))</f>
        <v/>
      </c>
      <c r="P489" s="79" t="str">
        <f aca="false">IF(AND($V489=1,ISNUMBER($B489)),AsAt-$B489,"")</f>
        <v/>
      </c>
      <c r="Q489" s="78" t="str">
        <f aca="false">IF($V489&lt;&gt;1,"",IF($P489="","No invoice date",IF($P489&lt;=30,"0–30 days",IF($P489&lt;=60,"31–60 days",IF($P489&lt;=90,"61–90 days","Over 90 days")))))</f>
        <v/>
      </c>
      <c r="R489" s="80" t="str">
        <f aca="false">IF($V489=1,ROW(),"")</f>
        <v/>
      </c>
      <c r="S489" s="80" t="str">
        <f aca="false">IF(OR($A489&lt;&gt;"",$E489&lt;&gt;""),IF(TRIM($D489)="","Buyer not noted",TRIM($D489)),"")</f>
        <v/>
      </c>
      <c r="T489" s="80" t="n">
        <f aca="false">IF(AND($V489=1,ISNUMBER($M489)),$M489,0)</f>
        <v>0</v>
      </c>
      <c r="U489" s="80" t="str">
        <f aca="false">IF($V489=1,IF(COUNTIFS($S$7:$S489,$S489,$V$7:$V489,1)=1,SUMIFS($T$7:$T$1006,$S$7:$S$1006,$S489)-ROW()/1000000000,""),"")</f>
        <v/>
      </c>
      <c r="V489" s="80" t="n">
        <f aca="false">IF(OR($O489="On hand",$O489="Advance received",$O489="Part realised",$O489="Amount missing"),1,0)</f>
        <v>0</v>
      </c>
      <c r="W489" s="80" t="str">
        <f aca="false">IF(AND($V489=1,N($F489)&gt;0),ROW(),"")</f>
        <v/>
      </c>
      <c r="X489" s="80" t="n">
        <f aca="false">IF(AND(OR($A489&lt;&gt;"",$E489&lt;&gt;""),$O489&lt;&gt;"Cancelled",ISNUMBER($E489),N($F489)+N($H489)&gt;$E489+0.005),1,0)</f>
        <v>0</v>
      </c>
      <c r="Y489" s="80" t="n">
        <f aca="false">IF(AND(OR($A489&lt;&gt;"",$E489&lt;&gt;""),OR($A489="",$E489="")),1,0)</f>
        <v>0</v>
      </c>
      <c r="Z489" s="80" t="n">
        <f aca="false">IF(AND($A489&lt;&gt;"",COUNTIF($A$7:$A$1006,$A489)&gt;1),1,0)</f>
        <v>0</v>
      </c>
    </row>
    <row r="490" customFormat="false" ht="15" hidden="false" customHeight="false" outlineLevel="0" collapsed="false">
      <c r="A490" s="71"/>
      <c r="B490" s="72"/>
      <c r="C490" s="73"/>
      <c r="D490" s="73"/>
      <c r="E490" s="74"/>
      <c r="F490" s="74"/>
      <c r="G490" s="72"/>
      <c r="H490" s="74"/>
      <c r="I490" s="72"/>
      <c r="J490" s="73"/>
      <c r="K490" s="73"/>
      <c r="L490" s="75" t="str">
        <f aca="false">IF(OR($A490&lt;&gt;"",$E490&lt;&gt;""),N($F490)+N($H490),"")</f>
        <v/>
      </c>
      <c r="M490" s="76" t="str">
        <f aca="false">IF(OR($O490="",$O490="Cancelled",$O490="Amount missing"),"",IF($O490="Realised",0,$E490-N($F490)-N($H490)))</f>
        <v/>
      </c>
      <c r="N490" s="77" t="str">
        <f aca="false">IF(OR($M490="",FX=""),"",$M490*FX)</f>
        <v/>
      </c>
      <c r="O490" s="78" t="str">
        <f aca="false">IF(NOT(OR($A490&lt;&gt;"",$E490&lt;&gt;"")),"",IF($J490="Cancelled","Cancelled",IF($E490="","Amount missing",IF(OR($J490="Settled",$E490-N($F490)-N($H490)&lt;=0.005),"Realised",IF(N($H490)&gt;0,"Part realised",IF(N($F490)&gt;0,"Advance received","On hand"))))))</f>
        <v/>
      </c>
      <c r="P490" s="79" t="str">
        <f aca="false">IF(AND($V490=1,ISNUMBER($B490)),AsAt-$B490,"")</f>
        <v/>
      </c>
      <c r="Q490" s="78" t="str">
        <f aca="false">IF($V490&lt;&gt;1,"",IF($P490="","No invoice date",IF($P490&lt;=30,"0–30 days",IF($P490&lt;=60,"31–60 days",IF($P490&lt;=90,"61–90 days","Over 90 days")))))</f>
        <v/>
      </c>
      <c r="R490" s="80" t="str">
        <f aca="false">IF($V490=1,ROW(),"")</f>
        <v/>
      </c>
      <c r="S490" s="80" t="str">
        <f aca="false">IF(OR($A490&lt;&gt;"",$E490&lt;&gt;""),IF(TRIM($D490)="","Buyer not noted",TRIM($D490)),"")</f>
        <v/>
      </c>
      <c r="T490" s="80" t="n">
        <f aca="false">IF(AND($V490=1,ISNUMBER($M490)),$M490,0)</f>
        <v>0</v>
      </c>
      <c r="U490" s="80" t="str">
        <f aca="false">IF($V490=1,IF(COUNTIFS($S$7:$S490,$S490,$V$7:$V490,1)=1,SUMIFS($T$7:$T$1006,$S$7:$S$1006,$S490)-ROW()/1000000000,""),"")</f>
        <v/>
      </c>
      <c r="V490" s="80" t="n">
        <f aca="false">IF(OR($O490="On hand",$O490="Advance received",$O490="Part realised",$O490="Amount missing"),1,0)</f>
        <v>0</v>
      </c>
      <c r="W490" s="80" t="str">
        <f aca="false">IF(AND($V490=1,N($F490)&gt;0),ROW(),"")</f>
        <v/>
      </c>
      <c r="X490" s="80" t="n">
        <f aca="false">IF(AND(OR($A490&lt;&gt;"",$E490&lt;&gt;""),$O490&lt;&gt;"Cancelled",ISNUMBER($E490),N($F490)+N($H490)&gt;$E490+0.005),1,0)</f>
        <v>0</v>
      </c>
      <c r="Y490" s="80" t="n">
        <f aca="false">IF(AND(OR($A490&lt;&gt;"",$E490&lt;&gt;""),OR($A490="",$E490="")),1,0)</f>
        <v>0</v>
      </c>
      <c r="Z490" s="80" t="n">
        <f aca="false">IF(AND($A490&lt;&gt;"",COUNTIF($A$7:$A$1006,$A490)&gt;1),1,0)</f>
        <v>0</v>
      </c>
    </row>
    <row r="491" customFormat="false" ht="15" hidden="false" customHeight="false" outlineLevel="0" collapsed="false">
      <c r="A491" s="71"/>
      <c r="B491" s="72"/>
      <c r="C491" s="73"/>
      <c r="D491" s="73"/>
      <c r="E491" s="74"/>
      <c r="F491" s="74"/>
      <c r="G491" s="72"/>
      <c r="H491" s="74"/>
      <c r="I491" s="72"/>
      <c r="J491" s="73"/>
      <c r="K491" s="73"/>
      <c r="L491" s="75" t="str">
        <f aca="false">IF(OR($A491&lt;&gt;"",$E491&lt;&gt;""),N($F491)+N($H491),"")</f>
        <v/>
      </c>
      <c r="M491" s="76" t="str">
        <f aca="false">IF(OR($O491="",$O491="Cancelled",$O491="Amount missing"),"",IF($O491="Realised",0,$E491-N($F491)-N($H491)))</f>
        <v/>
      </c>
      <c r="N491" s="77" t="str">
        <f aca="false">IF(OR($M491="",FX=""),"",$M491*FX)</f>
        <v/>
      </c>
      <c r="O491" s="78" t="str">
        <f aca="false">IF(NOT(OR($A491&lt;&gt;"",$E491&lt;&gt;"")),"",IF($J491="Cancelled","Cancelled",IF($E491="","Amount missing",IF(OR($J491="Settled",$E491-N($F491)-N($H491)&lt;=0.005),"Realised",IF(N($H491)&gt;0,"Part realised",IF(N($F491)&gt;0,"Advance received","On hand"))))))</f>
        <v/>
      </c>
      <c r="P491" s="79" t="str">
        <f aca="false">IF(AND($V491=1,ISNUMBER($B491)),AsAt-$B491,"")</f>
        <v/>
      </c>
      <c r="Q491" s="78" t="str">
        <f aca="false">IF($V491&lt;&gt;1,"",IF($P491="","No invoice date",IF($P491&lt;=30,"0–30 days",IF($P491&lt;=60,"31–60 days",IF($P491&lt;=90,"61–90 days","Over 90 days")))))</f>
        <v/>
      </c>
      <c r="R491" s="80" t="str">
        <f aca="false">IF($V491=1,ROW(),"")</f>
        <v/>
      </c>
      <c r="S491" s="80" t="str">
        <f aca="false">IF(OR($A491&lt;&gt;"",$E491&lt;&gt;""),IF(TRIM($D491)="","Buyer not noted",TRIM($D491)),"")</f>
        <v/>
      </c>
      <c r="T491" s="80" t="n">
        <f aca="false">IF(AND($V491=1,ISNUMBER($M491)),$M491,0)</f>
        <v>0</v>
      </c>
      <c r="U491" s="80" t="str">
        <f aca="false">IF($V491=1,IF(COUNTIFS($S$7:$S491,$S491,$V$7:$V491,1)=1,SUMIFS($T$7:$T$1006,$S$7:$S$1006,$S491)-ROW()/1000000000,""),"")</f>
        <v/>
      </c>
      <c r="V491" s="80" t="n">
        <f aca="false">IF(OR($O491="On hand",$O491="Advance received",$O491="Part realised",$O491="Amount missing"),1,0)</f>
        <v>0</v>
      </c>
      <c r="W491" s="80" t="str">
        <f aca="false">IF(AND($V491=1,N($F491)&gt;0),ROW(),"")</f>
        <v/>
      </c>
      <c r="X491" s="80" t="n">
        <f aca="false">IF(AND(OR($A491&lt;&gt;"",$E491&lt;&gt;""),$O491&lt;&gt;"Cancelled",ISNUMBER($E491),N($F491)+N($H491)&gt;$E491+0.005),1,0)</f>
        <v>0</v>
      </c>
      <c r="Y491" s="80" t="n">
        <f aca="false">IF(AND(OR($A491&lt;&gt;"",$E491&lt;&gt;""),OR($A491="",$E491="")),1,0)</f>
        <v>0</v>
      </c>
      <c r="Z491" s="80" t="n">
        <f aca="false">IF(AND($A491&lt;&gt;"",COUNTIF($A$7:$A$1006,$A491)&gt;1),1,0)</f>
        <v>0</v>
      </c>
    </row>
    <row r="492" customFormat="false" ht="15" hidden="false" customHeight="false" outlineLevel="0" collapsed="false">
      <c r="A492" s="71"/>
      <c r="B492" s="72"/>
      <c r="C492" s="73"/>
      <c r="D492" s="73"/>
      <c r="E492" s="74"/>
      <c r="F492" s="74"/>
      <c r="G492" s="72"/>
      <c r="H492" s="74"/>
      <c r="I492" s="72"/>
      <c r="J492" s="73"/>
      <c r="K492" s="73"/>
      <c r="L492" s="75" t="str">
        <f aca="false">IF(OR($A492&lt;&gt;"",$E492&lt;&gt;""),N($F492)+N($H492),"")</f>
        <v/>
      </c>
      <c r="M492" s="76" t="str">
        <f aca="false">IF(OR($O492="",$O492="Cancelled",$O492="Amount missing"),"",IF($O492="Realised",0,$E492-N($F492)-N($H492)))</f>
        <v/>
      </c>
      <c r="N492" s="77" t="str">
        <f aca="false">IF(OR($M492="",FX=""),"",$M492*FX)</f>
        <v/>
      </c>
      <c r="O492" s="78" t="str">
        <f aca="false">IF(NOT(OR($A492&lt;&gt;"",$E492&lt;&gt;"")),"",IF($J492="Cancelled","Cancelled",IF($E492="","Amount missing",IF(OR($J492="Settled",$E492-N($F492)-N($H492)&lt;=0.005),"Realised",IF(N($H492)&gt;0,"Part realised",IF(N($F492)&gt;0,"Advance received","On hand"))))))</f>
        <v/>
      </c>
      <c r="P492" s="79" t="str">
        <f aca="false">IF(AND($V492=1,ISNUMBER($B492)),AsAt-$B492,"")</f>
        <v/>
      </c>
      <c r="Q492" s="78" t="str">
        <f aca="false">IF($V492&lt;&gt;1,"",IF($P492="","No invoice date",IF($P492&lt;=30,"0–30 days",IF($P492&lt;=60,"31–60 days",IF($P492&lt;=90,"61–90 days","Over 90 days")))))</f>
        <v/>
      </c>
      <c r="R492" s="80" t="str">
        <f aca="false">IF($V492=1,ROW(),"")</f>
        <v/>
      </c>
      <c r="S492" s="80" t="str">
        <f aca="false">IF(OR($A492&lt;&gt;"",$E492&lt;&gt;""),IF(TRIM($D492)="","Buyer not noted",TRIM($D492)),"")</f>
        <v/>
      </c>
      <c r="T492" s="80" t="n">
        <f aca="false">IF(AND($V492=1,ISNUMBER($M492)),$M492,0)</f>
        <v>0</v>
      </c>
      <c r="U492" s="80" t="str">
        <f aca="false">IF($V492=1,IF(COUNTIFS($S$7:$S492,$S492,$V$7:$V492,1)=1,SUMIFS($T$7:$T$1006,$S$7:$S$1006,$S492)-ROW()/1000000000,""),"")</f>
        <v/>
      </c>
      <c r="V492" s="80" t="n">
        <f aca="false">IF(OR($O492="On hand",$O492="Advance received",$O492="Part realised",$O492="Amount missing"),1,0)</f>
        <v>0</v>
      </c>
      <c r="W492" s="80" t="str">
        <f aca="false">IF(AND($V492=1,N($F492)&gt;0),ROW(),"")</f>
        <v/>
      </c>
      <c r="X492" s="80" t="n">
        <f aca="false">IF(AND(OR($A492&lt;&gt;"",$E492&lt;&gt;""),$O492&lt;&gt;"Cancelled",ISNUMBER($E492),N($F492)+N($H492)&gt;$E492+0.005),1,0)</f>
        <v>0</v>
      </c>
      <c r="Y492" s="80" t="n">
        <f aca="false">IF(AND(OR($A492&lt;&gt;"",$E492&lt;&gt;""),OR($A492="",$E492="")),1,0)</f>
        <v>0</v>
      </c>
      <c r="Z492" s="80" t="n">
        <f aca="false">IF(AND($A492&lt;&gt;"",COUNTIF($A$7:$A$1006,$A492)&gt;1),1,0)</f>
        <v>0</v>
      </c>
    </row>
    <row r="493" customFormat="false" ht="15" hidden="false" customHeight="false" outlineLevel="0" collapsed="false">
      <c r="A493" s="71"/>
      <c r="B493" s="72"/>
      <c r="C493" s="73"/>
      <c r="D493" s="73"/>
      <c r="E493" s="74"/>
      <c r="F493" s="74"/>
      <c r="G493" s="72"/>
      <c r="H493" s="74"/>
      <c r="I493" s="72"/>
      <c r="J493" s="73"/>
      <c r="K493" s="73"/>
      <c r="L493" s="75" t="str">
        <f aca="false">IF(OR($A493&lt;&gt;"",$E493&lt;&gt;""),N($F493)+N($H493),"")</f>
        <v/>
      </c>
      <c r="M493" s="76" t="str">
        <f aca="false">IF(OR($O493="",$O493="Cancelled",$O493="Amount missing"),"",IF($O493="Realised",0,$E493-N($F493)-N($H493)))</f>
        <v/>
      </c>
      <c r="N493" s="77" t="str">
        <f aca="false">IF(OR($M493="",FX=""),"",$M493*FX)</f>
        <v/>
      </c>
      <c r="O493" s="78" t="str">
        <f aca="false">IF(NOT(OR($A493&lt;&gt;"",$E493&lt;&gt;"")),"",IF($J493="Cancelled","Cancelled",IF($E493="","Amount missing",IF(OR($J493="Settled",$E493-N($F493)-N($H493)&lt;=0.005),"Realised",IF(N($H493)&gt;0,"Part realised",IF(N($F493)&gt;0,"Advance received","On hand"))))))</f>
        <v/>
      </c>
      <c r="P493" s="79" t="str">
        <f aca="false">IF(AND($V493=1,ISNUMBER($B493)),AsAt-$B493,"")</f>
        <v/>
      </c>
      <c r="Q493" s="78" t="str">
        <f aca="false">IF($V493&lt;&gt;1,"",IF($P493="","No invoice date",IF($P493&lt;=30,"0–30 days",IF($P493&lt;=60,"31–60 days",IF($P493&lt;=90,"61–90 days","Over 90 days")))))</f>
        <v/>
      </c>
      <c r="R493" s="80" t="str">
        <f aca="false">IF($V493=1,ROW(),"")</f>
        <v/>
      </c>
      <c r="S493" s="80" t="str">
        <f aca="false">IF(OR($A493&lt;&gt;"",$E493&lt;&gt;""),IF(TRIM($D493)="","Buyer not noted",TRIM($D493)),"")</f>
        <v/>
      </c>
      <c r="T493" s="80" t="n">
        <f aca="false">IF(AND($V493=1,ISNUMBER($M493)),$M493,0)</f>
        <v>0</v>
      </c>
      <c r="U493" s="80" t="str">
        <f aca="false">IF($V493=1,IF(COUNTIFS($S$7:$S493,$S493,$V$7:$V493,1)=1,SUMIFS($T$7:$T$1006,$S$7:$S$1006,$S493)-ROW()/1000000000,""),"")</f>
        <v/>
      </c>
      <c r="V493" s="80" t="n">
        <f aca="false">IF(OR($O493="On hand",$O493="Advance received",$O493="Part realised",$O493="Amount missing"),1,0)</f>
        <v>0</v>
      </c>
      <c r="W493" s="80" t="str">
        <f aca="false">IF(AND($V493=1,N($F493)&gt;0),ROW(),"")</f>
        <v/>
      </c>
      <c r="X493" s="80" t="n">
        <f aca="false">IF(AND(OR($A493&lt;&gt;"",$E493&lt;&gt;""),$O493&lt;&gt;"Cancelled",ISNUMBER($E493),N($F493)+N($H493)&gt;$E493+0.005),1,0)</f>
        <v>0</v>
      </c>
      <c r="Y493" s="80" t="n">
        <f aca="false">IF(AND(OR($A493&lt;&gt;"",$E493&lt;&gt;""),OR($A493="",$E493="")),1,0)</f>
        <v>0</v>
      </c>
      <c r="Z493" s="80" t="n">
        <f aca="false">IF(AND($A493&lt;&gt;"",COUNTIF($A$7:$A$1006,$A493)&gt;1),1,0)</f>
        <v>0</v>
      </c>
    </row>
    <row r="494" customFormat="false" ht="15" hidden="false" customHeight="false" outlineLevel="0" collapsed="false">
      <c r="A494" s="71"/>
      <c r="B494" s="72"/>
      <c r="C494" s="73"/>
      <c r="D494" s="73"/>
      <c r="E494" s="74"/>
      <c r="F494" s="74"/>
      <c r="G494" s="72"/>
      <c r="H494" s="74"/>
      <c r="I494" s="72"/>
      <c r="J494" s="73"/>
      <c r="K494" s="73"/>
      <c r="L494" s="75" t="str">
        <f aca="false">IF(OR($A494&lt;&gt;"",$E494&lt;&gt;""),N($F494)+N($H494),"")</f>
        <v/>
      </c>
      <c r="M494" s="76" t="str">
        <f aca="false">IF(OR($O494="",$O494="Cancelled",$O494="Amount missing"),"",IF($O494="Realised",0,$E494-N($F494)-N($H494)))</f>
        <v/>
      </c>
      <c r="N494" s="77" t="str">
        <f aca="false">IF(OR($M494="",FX=""),"",$M494*FX)</f>
        <v/>
      </c>
      <c r="O494" s="78" t="str">
        <f aca="false">IF(NOT(OR($A494&lt;&gt;"",$E494&lt;&gt;"")),"",IF($J494="Cancelled","Cancelled",IF($E494="","Amount missing",IF(OR($J494="Settled",$E494-N($F494)-N($H494)&lt;=0.005),"Realised",IF(N($H494)&gt;0,"Part realised",IF(N($F494)&gt;0,"Advance received","On hand"))))))</f>
        <v/>
      </c>
      <c r="P494" s="79" t="str">
        <f aca="false">IF(AND($V494=1,ISNUMBER($B494)),AsAt-$B494,"")</f>
        <v/>
      </c>
      <c r="Q494" s="78" t="str">
        <f aca="false">IF($V494&lt;&gt;1,"",IF($P494="","No invoice date",IF($P494&lt;=30,"0–30 days",IF($P494&lt;=60,"31–60 days",IF($P494&lt;=90,"61–90 days","Over 90 days")))))</f>
        <v/>
      </c>
      <c r="R494" s="80" t="str">
        <f aca="false">IF($V494=1,ROW(),"")</f>
        <v/>
      </c>
      <c r="S494" s="80" t="str">
        <f aca="false">IF(OR($A494&lt;&gt;"",$E494&lt;&gt;""),IF(TRIM($D494)="","Buyer not noted",TRIM($D494)),"")</f>
        <v/>
      </c>
      <c r="T494" s="80" t="n">
        <f aca="false">IF(AND($V494=1,ISNUMBER($M494)),$M494,0)</f>
        <v>0</v>
      </c>
      <c r="U494" s="80" t="str">
        <f aca="false">IF($V494=1,IF(COUNTIFS($S$7:$S494,$S494,$V$7:$V494,1)=1,SUMIFS($T$7:$T$1006,$S$7:$S$1006,$S494)-ROW()/1000000000,""),"")</f>
        <v/>
      </c>
      <c r="V494" s="80" t="n">
        <f aca="false">IF(OR($O494="On hand",$O494="Advance received",$O494="Part realised",$O494="Amount missing"),1,0)</f>
        <v>0</v>
      </c>
      <c r="W494" s="80" t="str">
        <f aca="false">IF(AND($V494=1,N($F494)&gt;0),ROW(),"")</f>
        <v/>
      </c>
      <c r="X494" s="80" t="n">
        <f aca="false">IF(AND(OR($A494&lt;&gt;"",$E494&lt;&gt;""),$O494&lt;&gt;"Cancelled",ISNUMBER($E494),N($F494)+N($H494)&gt;$E494+0.005),1,0)</f>
        <v>0</v>
      </c>
      <c r="Y494" s="80" t="n">
        <f aca="false">IF(AND(OR($A494&lt;&gt;"",$E494&lt;&gt;""),OR($A494="",$E494="")),1,0)</f>
        <v>0</v>
      </c>
      <c r="Z494" s="80" t="n">
        <f aca="false">IF(AND($A494&lt;&gt;"",COUNTIF($A$7:$A$1006,$A494)&gt;1),1,0)</f>
        <v>0</v>
      </c>
    </row>
    <row r="495" customFormat="false" ht="15" hidden="false" customHeight="false" outlineLevel="0" collapsed="false">
      <c r="A495" s="71"/>
      <c r="B495" s="72"/>
      <c r="C495" s="73"/>
      <c r="D495" s="73"/>
      <c r="E495" s="74"/>
      <c r="F495" s="74"/>
      <c r="G495" s="72"/>
      <c r="H495" s="74"/>
      <c r="I495" s="72"/>
      <c r="J495" s="73"/>
      <c r="K495" s="73"/>
      <c r="L495" s="75" t="str">
        <f aca="false">IF(OR($A495&lt;&gt;"",$E495&lt;&gt;""),N($F495)+N($H495),"")</f>
        <v/>
      </c>
      <c r="M495" s="76" t="str">
        <f aca="false">IF(OR($O495="",$O495="Cancelled",$O495="Amount missing"),"",IF($O495="Realised",0,$E495-N($F495)-N($H495)))</f>
        <v/>
      </c>
      <c r="N495" s="77" t="str">
        <f aca="false">IF(OR($M495="",FX=""),"",$M495*FX)</f>
        <v/>
      </c>
      <c r="O495" s="78" t="str">
        <f aca="false">IF(NOT(OR($A495&lt;&gt;"",$E495&lt;&gt;"")),"",IF($J495="Cancelled","Cancelled",IF($E495="","Amount missing",IF(OR($J495="Settled",$E495-N($F495)-N($H495)&lt;=0.005),"Realised",IF(N($H495)&gt;0,"Part realised",IF(N($F495)&gt;0,"Advance received","On hand"))))))</f>
        <v/>
      </c>
      <c r="P495" s="79" t="str">
        <f aca="false">IF(AND($V495=1,ISNUMBER($B495)),AsAt-$B495,"")</f>
        <v/>
      </c>
      <c r="Q495" s="78" t="str">
        <f aca="false">IF($V495&lt;&gt;1,"",IF($P495="","No invoice date",IF($P495&lt;=30,"0–30 days",IF($P495&lt;=60,"31–60 days",IF($P495&lt;=90,"61–90 days","Over 90 days")))))</f>
        <v/>
      </c>
      <c r="R495" s="80" t="str">
        <f aca="false">IF($V495=1,ROW(),"")</f>
        <v/>
      </c>
      <c r="S495" s="80" t="str">
        <f aca="false">IF(OR($A495&lt;&gt;"",$E495&lt;&gt;""),IF(TRIM($D495)="","Buyer not noted",TRIM($D495)),"")</f>
        <v/>
      </c>
      <c r="T495" s="80" t="n">
        <f aca="false">IF(AND($V495=1,ISNUMBER($M495)),$M495,0)</f>
        <v>0</v>
      </c>
      <c r="U495" s="80" t="str">
        <f aca="false">IF($V495=1,IF(COUNTIFS($S$7:$S495,$S495,$V$7:$V495,1)=1,SUMIFS($T$7:$T$1006,$S$7:$S$1006,$S495)-ROW()/1000000000,""),"")</f>
        <v/>
      </c>
      <c r="V495" s="80" t="n">
        <f aca="false">IF(OR($O495="On hand",$O495="Advance received",$O495="Part realised",$O495="Amount missing"),1,0)</f>
        <v>0</v>
      </c>
      <c r="W495" s="80" t="str">
        <f aca="false">IF(AND($V495=1,N($F495)&gt;0),ROW(),"")</f>
        <v/>
      </c>
      <c r="X495" s="80" t="n">
        <f aca="false">IF(AND(OR($A495&lt;&gt;"",$E495&lt;&gt;""),$O495&lt;&gt;"Cancelled",ISNUMBER($E495),N($F495)+N($H495)&gt;$E495+0.005),1,0)</f>
        <v>0</v>
      </c>
      <c r="Y495" s="80" t="n">
        <f aca="false">IF(AND(OR($A495&lt;&gt;"",$E495&lt;&gt;""),OR($A495="",$E495="")),1,0)</f>
        <v>0</v>
      </c>
      <c r="Z495" s="80" t="n">
        <f aca="false">IF(AND($A495&lt;&gt;"",COUNTIF($A$7:$A$1006,$A495)&gt;1),1,0)</f>
        <v>0</v>
      </c>
    </row>
    <row r="496" customFormat="false" ht="15" hidden="false" customHeight="false" outlineLevel="0" collapsed="false">
      <c r="A496" s="71"/>
      <c r="B496" s="72"/>
      <c r="C496" s="73"/>
      <c r="D496" s="73"/>
      <c r="E496" s="74"/>
      <c r="F496" s="74"/>
      <c r="G496" s="72"/>
      <c r="H496" s="74"/>
      <c r="I496" s="72"/>
      <c r="J496" s="73"/>
      <c r="K496" s="73"/>
      <c r="L496" s="75" t="str">
        <f aca="false">IF(OR($A496&lt;&gt;"",$E496&lt;&gt;""),N($F496)+N($H496),"")</f>
        <v/>
      </c>
      <c r="M496" s="76" t="str">
        <f aca="false">IF(OR($O496="",$O496="Cancelled",$O496="Amount missing"),"",IF($O496="Realised",0,$E496-N($F496)-N($H496)))</f>
        <v/>
      </c>
      <c r="N496" s="77" t="str">
        <f aca="false">IF(OR($M496="",FX=""),"",$M496*FX)</f>
        <v/>
      </c>
      <c r="O496" s="78" t="str">
        <f aca="false">IF(NOT(OR($A496&lt;&gt;"",$E496&lt;&gt;"")),"",IF($J496="Cancelled","Cancelled",IF($E496="","Amount missing",IF(OR($J496="Settled",$E496-N($F496)-N($H496)&lt;=0.005),"Realised",IF(N($H496)&gt;0,"Part realised",IF(N($F496)&gt;0,"Advance received","On hand"))))))</f>
        <v/>
      </c>
      <c r="P496" s="79" t="str">
        <f aca="false">IF(AND($V496=1,ISNUMBER($B496)),AsAt-$B496,"")</f>
        <v/>
      </c>
      <c r="Q496" s="78" t="str">
        <f aca="false">IF($V496&lt;&gt;1,"",IF($P496="","No invoice date",IF($P496&lt;=30,"0–30 days",IF($P496&lt;=60,"31–60 days",IF($P496&lt;=90,"61–90 days","Over 90 days")))))</f>
        <v/>
      </c>
      <c r="R496" s="80" t="str">
        <f aca="false">IF($V496=1,ROW(),"")</f>
        <v/>
      </c>
      <c r="S496" s="80" t="str">
        <f aca="false">IF(OR($A496&lt;&gt;"",$E496&lt;&gt;""),IF(TRIM($D496)="","Buyer not noted",TRIM($D496)),"")</f>
        <v/>
      </c>
      <c r="T496" s="80" t="n">
        <f aca="false">IF(AND($V496=1,ISNUMBER($M496)),$M496,0)</f>
        <v>0</v>
      </c>
      <c r="U496" s="80" t="str">
        <f aca="false">IF($V496=1,IF(COUNTIFS($S$7:$S496,$S496,$V$7:$V496,1)=1,SUMIFS($T$7:$T$1006,$S$7:$S$1006,$S496)-ROW()/1000000000,""),"")</f>
        <v/>
      </c>
      <c r="V496" s="80" t="n">
        <f aca="false">IF(OR($O496="On hand",$O496="Advance received",$O496="Part realised",$O496="Amount missing"),1,0)</f>
        <v>0</v>
      </c>
      <c r="W496" s="80" t="str">
        <f aca="false">IF(AND($V496=1,N($F496)&gt;0),ROW(),"")</f>
        <v/>
      </c>
      <c r="X496" s="80" t="n">
        <f aca="false">IF(AND(OR($A496&lt;&gt;"",$E496&lt;&gt;""),$O496&lt;&gt;"Cancelled",ISNUMBER($E496),N($F496)+N($H496)&gt;$E496+0.005),1,0)</f>
        <v>0</v>
      </c>
      <c r="Y496" s="80" t="n">
        <f aca="false">IF(AND(OR($A496&lt;&gt;"",$E496&lt;&gt;""),OR($A496="",$E496="")),1,0)</f>
        <v>0</v>
      </c>
      <c r="Z496" s="80" t="n">
        <f aca="false">IF(AND($A496&lt;&gt;"",COUNTIF($A$7:$A$1006,$A496)&gt;1),1,0)</f>
        <v>0</v>
      </c>
    </row>
    <row r="497" customFormat="false" ht="15" hidden="false" customHeight="false" outlineLevel="0" collapsed="false">
      <c r="A497" s="71"/>
      <c r="B497" s="72"/>
      <c r="C497" s="73"/>
      <c r="D497" s="73"/>
      <c r="E497" s="74"/>
      <c r="F497" s="74"/>
      <c r="G497" s="72"/>
      <c r="H497" s="74"/>
      <c r="I497" s="72"/>
      <c r="J497" s="73"/>
      <c r="K497" s="73"/>
      <c r="L497" s="75" t="str">
        <f aca="false">IF(OR($A497&lt;&gt;"",$E497&lt;&gt;""),N($F497)+N($H497),"")</f>
        <v/>
      </c>
      <c r="M497" s="76" t="str">
        <f aca="false">IF(OR($O497="",$O497="Cancelled",$O497="Amount missing"),"",IF($O497="Realised",0,$E497-N($F497)-N($H497)))</f>
        <v/>
      </c>
      <c r="N497" s="77" t="str">
        <f aca="false">IF(OR($M497="",FX=""),"",$M497*FX)</f>
        <v/>
      </c>
      <c r="O497" s="78" t="str">
        <f aca="false">IF(NOT(OR($A497&lt;&gt;"",$E497&lt;&gt;"")),"",IF($J497="Cancelled","Cancelled",IF($E497="","Amount missing",IF(OR($J497="Settled",$E497-N($F497)-N($H497)&lt;=0.005),"Realised",IF(N($H497)&gt;0,"Part realised",IF(N($F497)&gt;0,"Advance received","On hand"))))))</f>
        <v/>
      </c>
      <c r="P497" s="79" t="str">
        <f aca="false">IF(AND($V497=1,ISNUMBER($B497)),AsAt-$B497,"")</f>
        <v/>
      </c>
      <c r="Q497" s="78" t="str">
        <f aca="false">IF($V497&lt;&gt;1,"",IF($P497="","No invoice date",IF($P497&lt;=30,"0–30 days",IF($P497&lt;=60,"31–60 days",IF($P497&lt;=90,"61–90 days","Over 90 days")))))</f>
        <v/>
      </c>
      <c r="R497" s="80" t="str">
        <f aca="false">IF($V497=1,ROW(),"")</f>
        <v/>
      </c>
      <c r="S497" s="80" t="str">
        <f aca="false">IF(OR($A497&lt;&gt;"",$E497&lt;&gt;""),IF(TRIM($D497)="","Buyer not noted",TRIM($D497)),"")</f>
        <v/>
      </c>
      <c r="T497" s="80" t="n">
        <f aca="false">IF(AND($V497=1,ISNUMBER($M497)),$M497,0)</f>
        <v>0</v>
      </c>
      <c r="U497" s="80" t="str">
        <f aca="false">IF($V497=1,IF(COUNTIFS($S$7:$S497,$S497,$V$7:$V497,1)=1,SUMIFS($T$7:$T$1006,$S$7:$S$1006,$S497)-ROW()/1000000000,""),"")</f>
        <v/>
      </c>
      <c r="V497" s="80" t="n">
        <f aca="false">IF(OR($O497="On hand",$O497="Advance received",$O497="Part realised",$O497="Amount missing"),1,0)</f>
        <v>0</v>
      </c>
      <c r="W497" s="80" t="str">
        <f aca="false">IF(AND($V497=1,N($F497)&gt;0),ROW(),"")</f>
        <v/>
      </c>
      <c r="X497" s="80" t="n">
        <f aca="false">IF(AND(OR($A497&lt;&gt;"",$E497&lt;&gt;""),$O497&lt;&gt;"Cancelled",ISNUMBER($E497),N($F497)+N($H497)&gt;$E497+0.005),1,0)</f>
        <v>0</v>
      </c>
      <c r="Y497" s="80" t="n">
        <f aca="false">IF(AND(OR($A497&lt;&gt;"",$E497&lt;&gt;""),OR($A497="",$E497="")),1,0)</f>
        <v>0</v>
      </c>
      <c r="Z497" s="80" t="n">
        <f aca="false">IF(AND($A497&lt;&gt;"",COUNTIF($A$7:$A$1006,$A497)&gt;1),1,0)</f>
        <v>0</v>
      </c>
    </row>
    <row r="498" customFormat="false" ht="15" hidden="false" customHeight="false" outlineLevel="0" collapsed="false">
      <c r="A498" s="71"/>
      <c r="B498" s="72"/>
      <c r="C498" s="73"/>
      <c r="D498" s="73"/>
      <c r="E498" s="74"/>
      <c r="F498" s="74"/>
      <c r="G498" s="72"/>
      <c r="H498" s="74"/>
      <c r="I498" s="72"/>
      <c r="J498" s="73"/>
      <c r="K498" s="73"/>
      <c r="L498" s="75" t="str">
        <f aca="false">IF(OR($A498&lt;&gt;"",$E498&lt;&gt;""),N($F498)+N($H498),"")</f>
        <v/>
      </c>
      <c r="M498" s="76" t="str">
        <f aca="false">IF(OR($O498="",$O498="Cancelled",$O498="Amount missing"),"",IF($O498="Realised",0,$E498-N($F498)-N($H498)))</f>
        <v/>
      </c>
      <c r="N498" s="77" t="str">
        <f aca="false">IF(OR($M498="",FX=""),"",$M498*FX)</f>
        <v/>
      </c>
      <c r="O498" s="78" t="str">
        <f aca="false">IF(NOT(OR($A498&lt;&gt;"",$E498&lt;&gt;"")),"",IF($J498="Cancelled","Cancelled",IF($E498="","Amount missing",IF(OR($J498="Settled",$E498-N($F498)-N($H498)&lt;=0.005),"Realised",IF(N($H498)&gt;0,"Part realised",IF(N($F498)&gt;0,"Advance received","On hand"))))))</f>
        <v/>
      </c>
      <c r="P498" s="79" t="str">
        <f aca="false">IF(AND($V498=1,ISNUMBER($B498)),AsAt-$B498,"")</f>
        <v/>
      </c>
      <c r="Q498" s="78" t="str">
        <f aca="false">IF($V498&lt;&gt;1,"",IF($P498="","No invoice date",IF($P498&lt;=30,"0–30 days",IF($P498&lt;=60,"31–60 days",IF($P498&lt;=90,"61–90 days","Over 90 days")))))</f>
        <v/>
      </c>
      <c r="R498" s="80" t="str">
        <f aca="false">IF($V498=1,ROW(),"")</f>
        <v/>
      </c>
      <c r="S498" s="80" t="str">
        <f aca="false">IF(OR($A498&lt;&gt;"",$E498&lt;&gt;""),IF(TRIM($D498)="","Buyer not noted",TRIM($D498)),"")</f>
        <v/>
      </c>
      <c r="T498" s="80" t="n">
        <f aca="false">IF(AND($V498=1,ISNUMBER($M498)),$M498,0)</f>
        <v>0</v>
      </c>
      <c r="U498" s="80" t="str">
        <f aca="false">IF($V498=1,IF(COUNTIFS($S$7:$S498,$S498,$V$7:$V498,1)=1,SUMIFS($T$7:$T$1006,$S$7:$S$1006,$S498)-ROW()/1000000000,""),"")</f>
        <v/>
      </c>
      <c r="V498" s="80" t="n">
        <f aca="false">IF(OR($O498="On hand",$O498="Advance received",$O498="Part realised",$O498="Amount missing"),1,0)</f>
        <v>0</v>
      </c>
      <c r="W498" s="80" t="str">
        <f aca="false">IF(AND($V498=1,N($F498)&gt;0),ROW(),"")</f>
        <v/>
      </c>
      <c r="X498" s="80" t="n">
        <f aca="false">IF(AND(OR($A498&lt;&gt;"",$E498&lt;&gt;""),$O498&lt;&gt;"Cancelled",ISNUMBER($E498),N($F498)+N($H498)&gt;$E498+0.005),1,0)</f>
        <v>0</v>
      </c>
      <c r="Y498" s="80" t="n">
        <f aca="false">IF(AND(OR($A498&lt;&gt;"",$E498&lt;&gt;""),OR($A498="",$E498="")),1,0)</f>
        <v>0</v>
      </c>
      <c r="Z498" s="80" t="n">
        <f aca="false">IF(AND($A498&lt;&gt;"",COUNTIF($A$7:$A$1006,$A498)&gt;1),1,0)</f>
        <v>0</v>
      </c>
    </row>
    <row r="499" customFormat="false" ht="15" hidden="false" customHeight="false" outlineLevel="0" collapsed="false">
      <c r="A499" s="71"/>
      <c r="B499" s="72"/>
      <c r="C499" s="73"/>
      <c r="D499" s="73"/>
      <c r="E499" s="74"/>
      <c r="F499" s="74"/>
      <c r="G499" s="72"/>
      <c r="H499" s="74"/>
      <c r="I499" s="72"/>
      <c r="J499" s="73"/>
      <c r="K499" s="73"/>
      <c r="L499" s="75" t="str">
        <f aca="false">IF(OR($A499&lt;&gt;"",$E499&lt;&gt;""),N($F499)+N($H499),"")</f>
        <v/>
      </c>
      <c r="M499" s="76" t="str">
        <f aca="false">IF(OR($O499="",$O499="Cancelled",$O499="Amount missing"),"",IF($O499="Realised",0,$E499-N($F499)-N($H499)))</f>
        <v/>
      </c>
      <c r="N499" s="77" t="str">
        <f aca="false">IF(OR($M499="",FX=""),"",$M499*FX)</f>
        <v/>
      </c>
      <c r="O499" s="78" t="str">
        <f aca="false">IF(NOT(OR($A499&lt;&gt;"",$E499&lt;&gt;"")),"",IF($J499="Cancelled","Cancelled",IF($E499="","Amount missing",IF(OR($J499="Settled",$E499-N($F499)-N($H499)&lt;=0.005),"Realised",IF(N($H499)&gt;0,"Part realised",IF(N($F499)&gt;0,"Advance received","On hand"))))))</f>
        <v/>
      </c>
      <c r="P499" s="79" t="str">
        <f aca="false">IF(AND($V499=1,ISNUMBER($B499)),AsAt-$B499,"")</f>
        <v/>
      </c>
      <c r="Q499" s="78" t="str">
        <f aca="false">IF($V499&lt;&gt;1,"",IF($P499="","No invoice date",IF($P499&lt;=30,"0–30 days",IF($P499&lt;=60,"31–60 days",IF($P499&lt;=90,"61–90 days","Over 90 days")))))</f>
        <v/>
      </c>
      <c r="R499" s="80" t="str">
        <f aca="false">IF($V499=1,ROW(),"")</f>
        <v/>
      </c>
      <c r="S499" s="80" t="str">
        <f aca="false">IF(OR($A499&lt;&gt;"",$E499&lt;&gt;""),IF(TRIM($D499)="","Buyer not noted",TRIM($D499)),"")</f>
        <v/>
      </c>
      <c r="T499" s="80" t="n">
        <f aca="false">IF(AND($V499=1,ISNUMBER($M499)),$M499,0)</f>
        <v>0</v>
      </c>
      <c r="U499" s="80" t="str">
        <f aca="false">IF($V499=1,IF(COUNTIFS($S$7:$S499,$S499,$V$7:$V499,1)=1,SUMIFS($T$7:$T$1006,$S$7:$S$1006,$S499)-ROW()/1000000000,""),"")</f>
        <v/>
      </c>
      <c r="V499" s="80" t="n">
        <f aca="false">IF(OR($O499="On hand",$O499="Advance received",$O499="Part realised",$O499="Amount missing"),1,0)</f>
        <v>0</v>
      </c>
      <c r="W499" s="80" t="str">
        <f aca="false">IF(AND($V499=1,N($F499)&gt;0),ROW(),"")</f>
        <v/>
      </c>
      <c r="X499" s="80" t="n">
        <f aca="false">IF(AND(OR($A499&lt;&gt;"",$E499&lt;&gt;""),$O499&lt;&gt;"Cancelled",ISNUMBER($E499),N($F499)+N($H499)&gt;$E499+0.005),1,0)</f>
        <v>0</v>
      </c>
      <c r="Y499" s="80" t="n">
        <f aca="false">IF(AND(OR($A499&lt;&gt;"",$E499&lt;&gt;""),OR($A499="",$E499="")),1,0)</f>
        <v>0</v>
      </c>
      <c r="Z499" s="80" t="n">
        <f aca="false">IF(AND($A499&lt;&gt;"",COUNTIF($A$7:$A$1006,$A499)&gt;1),1,0)</f>
        <v>0</v>
      </c>
    </row>
    <row r="500" customFormat="false" ht="15" hidden="false" customHeight="false" outlineLevel="0" collapsed="false">
      <c r="A500" s="71"/>
      <c r="B500" s="72"/>
      <c r="C500" s="73"/>
      <c r="D500" s="73"/>
      <c r="E500" s="74"/>
      <c r="F500" s="74"/>
      <c r="G500" s="72"/>
      <c r="H500" s="74"/>
      <c r="I500" s="72"/>
      <c r="J500" s="73"/>
      <c r="K500" s="73"/>
      <c r="L500" s="75" t="str">
        <f aca="false">IF(OR($A500&lt;&gt;"",$E500&lt;&gt;""),N($F500)+N($H500),"")</f>
        <v/>
      </c>
      <c r="M500" s="76" t="str">
        <f aca="false">IF(OR($O500="",$O500="Cancelled",$O500="Amount missing"),"",IF($O500="Realised",0,$E500-N($F500)-N($H500)))</f>
        <v/>
      </c>
      <c r="N500" s="77" t="str">
        <f aca="false">IF(OR($M500="",FX=""),"",$M500*FX)</f>
        <v/>
      </c>
      <c r="O500" s="78" t="str">
        <f aca="false">IF(NOT(OR($A500&lt;&gt;"",$E500&lt;&gt;"")),"",IF($J500="Cancelled","Cancelled",IF($E500="","Amount missing",IF(OR($J500="Settled",$E500-N($F500)-N($H500)&lt;=0.005),"Realised",IF(N($H500)&gt;0,"Part realised",IF(N($F500)&gt;0,"Advance received","On hand"))))))</f>
        <v/>
      </c>
      <c r="P500" s="79" t="str">
        <f aca="false">IF(AND($V500=1,ISNUMBER($B500)),AsAt-$B500,"")</f>
        <v/>
      </c>
      <c r="Q500" s="78" t="str">
        <f aca="false">IF($V500&lt;&gt;1,"",IF($P500="","No invoice date",IF($P500&lt;=30,"0–30 days",IF($P500&lt;=60,"31–60 days",IF($P500&lt;=90,"61–90 days","Over 90 days")))))</f>
        <v/>
      </c>
      <c r="R500" s="80" t="str">
        <f aca="false">IF($V500=1,ROW(),"")</f>
        <v/>
      </c>
      <c r="S500" s="80" t="str">
        <f aca="false">IF(OR($A500&lt;&gt;"",$E500&lt;&gt;""),IF(TRIM($D500)="","Buyer not noted",TRIM($D500)),"")</f>
        <v/>
      </c>
      <c r="T500" s="80" t="n">
        <f aca="false">IF(AND($V500=1,ISNUMBER($M500)),$M500,0)</f>
        <v>0</v>
      </c>
      <c r="U500" s="80" t="str">
        <f aca="false">IF($V500=1,IF(COUNTIFS($S$7:$S500,$S500,$V$7:$V500,1)=1,SUMIFS($T$7:$T$1006,$S$7:$S$1006,$S500)-ROW()/1000000000,""),"")</f>
        <v/>
      </c>
      <c r="V500" s="80" t="n">
        <f aca="false">IF(OR($O500="On hand",$O500="Advance received",$O500="Part realised",$O500="Amount missing"),1,0)</f>
        <v>0</v>
      </c>
      <c r="W500" s="80" t="str">
        <f aca="false">IF(AND($V500=1,N($F500)&gt;0),ROW(),"")</f>
        <v/>
      </c>
      <c r="X500" s="80" t="n">
        <f aca="false">IF(AND(OR($A500&lt;&gt;"",$E500&lt;&gt;""),$O500&lt;&gt;"Cancelled",ISNUMBER($E500),N($F500)+N($H500)&gt;$E500+0.005),1,0)</f>
        <v>0</v>
      </c>
      <c r="Y500" s="80" t="n">
        <f aca="false">IF(AND(OR($A500&lt;&gt;"",$E500&lt;&gt;""),OR($A500="",$E500="")),1,0)</f>
        <v>0</v>
      </c>
      <c r="Z500" s="80" t="n">
        <f aca="false">IF(AND($A500&lt;&gt;"",COUNTIF($A$7:$A$1006,$A500)&gt;1),1,0)</f>
        <v>0</v>
      </c>
    </row>
    <row r="501" customFormat="false" ht="15" hidden="false" customHeight="false" outlineLevel="0" collapsed="false">
      <c r="A501" s="71"/>
      <c r="B501" s="72"/>
      <c r="C501" s="73"/>
      <c r="D501" s="73"/>
      <c r="E501" s="74"/>
      <c r="F501" s="74"/>
      <c r="G501" s="72"/>
      <c r="H501" s="74"/>
      <c r="I501" s="72"/>
      <c r="J501" s="73"/>
      <c r="K501" s="73"/>
      <c r="L501" s="75" t="str">
        <f aca="false">IF(OR($A501&lt;&gt;"",$E501&lt;&gt;""),N($F501)+N($H501),"")</f>
        <v/>
      </c>
      <c r="M501" s="76" t="str">
        <f aca="false">IF(OR($O501="",$O501="Cancelled",$O501="Amount missing"),"",IF($O501="Realised",0,$E501-N($F501)-N($H501)))</f>
        <v/>
      </c>
      <c r="N501" s="77" t="str">
        <f aca="false">IF(OR($M501="",FX=""),"",$M501*FX)</f>
        <v/>
      </c>
      <c r="O501" s="78" t="str">
        <f aca="false">IF(NOT(OR($A501&lt;&gt;"",$E501&lt;&gt;"")),"",IF($J501="Cancelled","Cancelled",IF($E501="","Amount missing",IF(OR($J501="Settled",$E501-N($F501)-N($H501)&lt;=0.005),"Realised",IF(N($H501)&gt;0,"Part realised",IF(N($F501)&gt;0,"Advance received","On hand"))))))</f>
        <v/>
      </c>
      <c r="P501" s="79" t="str">
        <f aca="false">IF(AND($V501=1,ISNUMBER($B501)),AsAt-$B501,"")</f>
        <v/>
      </c>
      <c r="Q501" s="78" t="str">
        <f aca="false">IF($V501&lt;&gt;1,"",IF($P501="","No invoice date",IF($P501&lt;=30,"0–30 days",IF($P501&lt;=60,"31–60 days",IF($P501&lt;=90,"61–90 days","Over 90 days")))))</f>
        <v/>
      </c>
      <c r="R501" s="80" t="str">
        <f aca="false">IF($V501=1,ROW(),"")</f>
        <v/>
      </c>
      <c r="S501" s="80" t="str">
        <f aca="false">IF(OR($A501&lt;&gt;"",$E501&lt;&gt;""),IF(TRIM($D501)="","Buyer not noted",TRIM($D501)),"")</f>
        <v/>
      </c>
      <c r="T501" s="80" t="n">
        <f aca="false">IF(AND($V501=1,ISNUMBER($M501)),$M501,0)</f>
        <v>0</v>
      </c>
      <c r="U501" s="80" t="str">
        <f aca="false">IF($V501=1,IF(COUNTIFS($S$7:$S501,$S501,$V$7:$V501,1)=1,SUMIFS($T$7:$T$1006,$S$7:$S$1006,$S501)-ROW()/1000000000,""),"")</f>
        <v/>
      </c>
      <c r="V501" s="80" t="n">
        <f aca="false">IF(OR($O501="On hand",$O501="Advance received",$O501="Part realised",$O501="Amount missing"),1,0)</f>
        <v>0</v>
      </c>
      <c r="W501" s="80" t="str">
        <f aca="false">IF(AND($V501=1,N($F501)&gt;0),ROW(),"")</f>
        <v/>
      </c>
      <c r="X501" s="80" t="n">
        <f aca="false">IF(AND(OR($A501&lt;&gt;"",$E501&lt;&gt;""),$O501&lt;&gt;"Cancelled",ISNUMBER($E501),N($F501)+N($H501)&gt;$E501+0.005),1,0)</f>
        <v>0</v>
      </c>
      <c r="Y501" s="80" t="n">
        <f aca="false">IF(AND(OR($A501&lt;&gt;"",$E501&lt;&gt;""),OR($A501="",$E501="")),1,0)</f>
        <v>0</v>
      </c>
      <c r="Z501" s="80" t="n">
        <f aca="false">IF(AND($A501&lt;&gt;"",COUNTIF($A$7:$A$1006,$A501)&gt;1),1,0)</f>
        <v>0</v>
      </c>
    </row>
    <row r="502" customFormat="false" ht="15" hidden="false" customHeight="false" outlineLevel="0" collapsed="false">
      <c r="A502" s="71"/>
      <c r="B502" s="72"/>
      <c r="C502" s="73"/>
      <c r="D502" s="73"/>
      <c r="E502" s="74"/>
      <c r="F502" s="74"/>
      <c r="G502" s="72"/>
      <c r="H502" s="74"/>
      <c r="I502" s="72"/>
      <c r="J502" s="73"/>
      <c r="K502" s="73"/>
      <c r="L502" s="75" t="str">
        <f aca="false">IF(OR($A502&lt;&gt;"",$E502&lt;&gt;""),N($F502)+N($H502),"")</f>
        <v/>
      </c>
      <c r="M502" s="76" t="str">
        <f aca="false">IF(OR($O502="",$O502="Cancelled",$O502="Amount missing"),"",IF($O502="Realised",0,$E502-N($F502)-N($H502)))</f>
        <v/>
      </c>
      <c r="N502" s="77" t="str">
        <f aca="false">IF(OR($M502="",FX=""),"",$M502*FX)</f>
        <v/>
      </c>
      <c r="O502" s="78" t="str">
        <f aca="false">IF(NOT(OR($A502&lt;&gt;"",$E502&lt;&gt;"")),"",IF($J502="Cancelled","Cancelled",IF($E502="","Amount missing",IF(OR($J502="Settled",$E502-N($F502)-N($H502)&lt;=0.005),"Realised",IF(N($H502)&gt;0,"Part realised",IF(N($F502)&gt;0,"Advance received","On hand"))))))</f>
        <v/>
      </c>
      <c r="P502" s="79" t="str">
        <f aca="false">IF(AND($V502=1,ISNUMBER($B502)),AsAt-$B502,"")</f>
        <v/>
      </c>
      <c r="Q502" s="78" t="str">
        <f aca="false">IF($V502&lt;&gt;1,"",IF($P502="","No invoice date",IF($P502&lt;=30,"0–30 days",IF($P502&lt;=60,"31–60 days",IF($P502&lt;=90,"61–90 days","Over 90 days")))))</f>
        <v/>
      </c>
      <c r="R502" s="80" t="str">
        <f aca="false">IF($V502=1,ROW(),"")</f>
        <v/>
      </c>
      <c r="S502" s="80" t="str">
        <f aca="false">IF(OR($A502&lt;&gt;"",$E502&lt;&gt;""),IF(TRIM($D502)="","Buyer not noted",TRIM($D502)),"")</f>
        <v/>
      </c>
      <c r="T502" s="80" t="n">
        <f aca="false">IF(AND($V502=1,ISNUMBER($M502)),$M502,0)</f>
        <v>0</v>
      </c>
      <c r="U502" s="80" t="str">
        <f aca="false">IF($V502=1,IF(COUNTIFS($S$7:$S502,$S502,$V$7:$V502,1)=1,SUMIFS($T$7:$T$1006,$S$7:$S$1006,$S502)-ROW()/1000000000,""),"")</f>
        <v/>
      </c>
      <c r="V502" s="80" t="n">
        <f aca="false">IF(OR($O502="On hand",$O502="Advance received",$O502="Part realised",$O502="Amount missing"),1,0)</f>
        <v>0</v>
      </c>
      <c r="W502" s="80" t="str">
        <f aca="false">IF(AND($V502=1,N($F502)&gt;0),ROW(),"")</f>
        <v/>
      </c>
      <c r="X502" s="80" t="n">
        <f aca="false">IF(AND(OR($A502&lt;&gt;"",$E502&lt;&gt;""),$O502&lt;&gt;"Cancelled",ISNUMBER($E502),N($F502)+N($H502)&gt;$E502+0.005),1,0)</f>
        <v>0</v>
      </c>
      <c r="Y502" s="80" t="n">
        <f aca="false">IF(AND(OR($A502&lt;&gt;"",$E502&lt;&gt;""),OR($A502="",$E502="")),1,0)</f>
        <v>0</v>
      </c>
      <c r="Z502" s="80" t="n">
        <f aca="false">IF(AND($A502&lt;&gt;"",COUNTIF($A$7:$A$1006,$A502)&gt;1),1,0)</f>
        <v>0</v>
      </c>
    </row>
    <row r="503" customFormat="false" ht="15" hidden="false" customHeight="false" outlineLevel="0" collapsed="false">
      <c r="A503" s="71"/>
      <c r="B503" s="72"/>
      <c r="C503" s="73"/>
      <c r="D503" s="73"/>
      <c r="E503" s="74"/>
      <c r="F503" s="74"/>
      <c r="G503" s="72"/>
      <c r="H503" s="74"/>
      <c r="I503" s="72"/>
      <c r="J503" s="73"/>
      <c r="K503" s="73"/>
      <c r="L503" s="75" t="str">
        <f aca="false">IF(OR($A503&lt;&gt;"",$E503&lt;&gt;""),N($F503)+N($H503),"")</f>
        <v/>
      </c>
      <c r="M503" s="76" t="str">
        <f aca="false">IF(OR($O503="",$O503="Cancelled",$O503="Amount missing"),"",IF($O503="Realised",0,$E503-N($F503)-N($H503)))</f>
        <v/>
      </c>
      <c r="N503" s="77" t="str">
        <f aca="false">IF(OR($M503="",FX=""),"",$M503*FX)</f>
        <v/>
      </c>
      <c r="O503" s="78" t="str">
        <f aca="false">IF(NOT(OR($A503&lt;&gt;"",$E503&lt;&gt;"")),"",IF($J503="Cancelled","Cancelled",IF($E503="","Amount missing",IF(OR($J503="Settled",$E503-N($F503)-N($H503)&lt;=0.005),"Realised",IF(N($H503)&gt;0,"Part realised",IF(N($F503)&gt;0,"Advance received","On hand"))))))</f>
        <v/>
      </c>
      <c r="P503" s="79" t="str">
        <f aca="false">IF(AND($V503=1,ISNUMBER($B503)),AsAt-$B503,"")</f>
        <v/>
      </c>
      <c r="Q503" s="78" t="str">
        <f aca="false">IF($V503&lt;&gt;1,"",IF($P503="","No invoice date",IF($P503&lt;=30,"0–30 days",IF($P503&lt;=60,"31–60 days",IF($P503&lt;=90,"61–90 days","Over 90 days")))))</f>
        <v/>
      </c>
      <c r="R503" s="80" t="str">
        <f aca="false">IF($V503=1,ROW(),"")</f>
        <v/>
      </c>
      <c r="S503" s="80" t="str">
        <f aca="false">IF(OR($A503&lt;&gt;"",$E503&lt;&gt;""),IF(TRIM($D503)="","Buyer not noted",TRIM($D503)),"")</f>
        <v/>
      </c>
      <c r="T503" s="80" t="n">
        <f aca="false">IF(AND($V503=1,ISNUMBER($M503)),$M503,0)</f>
        <v>0</v>
      </c>
      <c r="U503" s="80" t="str">
        <f aca="false">IF($V503=1,IF(COUNTIFS($S$7:$S503,$S503,$V$7:$V503,1)=1,SUMIFS($T$7:$T$1006,$S$7:$S$1006,$S503)-ROW()/1000000000,""),"")</f>
        <v/>
      </c>
      <c r="V503" s="80" t="n">
        <f aca="false">IF(OR($O503="On hand",$O503="Advance received",$O503="Part realised",$O503="Amount missing"),1,0)</f>
        <v>0</v>
      </c>
      <c r="W503" s="80" t="str">
        <f aca="false">IF(AND($V503=1,N($F503)&gt;0),ROW(),"")</f>
        <v/>
      </c>
      <c r="X503" s="80" t="n">
        <f aca="false">IF(AND(OR($A503&lt;&gt;"",$E503&lt;&gt;""),$O503&lt;&gt;"Cancelled",ISNUMBER($E503),N($F503)+N($H503)&gt;$E503+0.005),1,0)</f>
        <v>0</v>
      </c>
      <c r="Y503" s="80" t="n">
        <f aca="false">IF(AND(OR($A503&lt;&gt;"",$E503&lt;&gt;""),OR($A503="",$E503="")),1,0)</f>
        <v>0</v>
      </c>
      <c r="Z503" s="80" t="n">
        <f aca="false">IF(AND($A503&lt;&gt;"",COUNTIF($A$7:$A$1006,$A503)&gt;1),1,0)</f>
        <v>0</v>
      </c>
    </row>
    <row r="504" customFormat="false" ht="15" hidden="false" customHeight="false" outlineLevel="0" collapsed="false">
      <c r="A504" s="71"/>
      <c r="B504" s="72"/>
      <c r="C504" s="73"/>
      <c r="D504" s="73"/>
      <c r="E504" s="74"/>
      <c r="F504" s="74"/>
      <c r="G504" s="72"/>
      <c r="H504" s="74"/>
      <c r="I504" s="72"/>
      <c r="J504" s="73"/>
      <c r="K504" s="73"/>
      <c r="L504" s="75" t="str">
        <f aca="false">IF(OR($A504&lt;&gt;"",$E504&lt;&gt;""),N($F504)+N($H504),"")</f>
        <v/>
      </c>
      <c r="M504" s="76" t="str">
        <f aca="false">IF(OR($O504="",$O504="Cancelled",$O504="Amount missing"),"",IF($O504="Realised",0,$E504-N($F504)-N($H504)))</f>
        <v/>
      </c>
      <c r="N504" s="77" t="str">
        <f aca="false">IF(OR($M504="",FX=""),"",$M504*FX)</f>
        <v/>
      </c>
      <c r="O504" s="78" t="str">
        <f aca="false">IF(NOT(OR($A504&lt;&gt;"",$E504&lt;&gt;"")),"",IF($J504="Cancelled","Cancelled",IF($E504="","Amount missing",IF(OR($J504="Settled",$E504-N($F504)-N($H504)&lt;=0.005),"Realised",IF(N($H504)&gt;0,"Part realised",IF(N($F504)&gt;0,"Advance received","On hand"))))))</f>
        <v/>
      </c>
      <c r="P504" s="79" t="str">
        <f aca="false">IF(AND($V504=1,ISNUMBER($B504)),AsAt-$B504,"")</f>
        <v/>
      </c>
      <c r="Q504" s="78" t="str">
        <f aca="false">IF($V504&lt;&gt;1,"",IF($P504="","No invoice date",IF($P504&lt;=30,"0–30 days",IF($P504&lt;=60,"31–60 days",IF($P504&lt;=90,"61–90 days","Over 90 days")))))</f>
        <v/>
      </c>
      <c r="R504" s="80" t="str">
        <f aca="false">IF($V504=1,ROW(),"")</f>
        <v/>
      </c>
      <c r="S504" s="80" t="str">
        <f aca="false">IF(OR($A504&lt;&gt;"",$E504&lt;&gt;""),IF(TRIM($D504)="","Buyer not noted",TRIM($D504)),"")</f>
        <v/>
      </c>
      <c r="T504" s="80" t="n">
        <f aca="false">IF(AND($V504=1,ISNUMBER($M504)),$M504,0)</f>
        <v>0</v>
      </c>
      <c r="U504" s="80" t="str">
        <f aca="false">IF($V504=1,IF(COUNTIFS($S$7:$S504,$S504,$V$7:$V504,1)=1,SUMIFS($T$7:$T$1006,$S$7:$S$1006,$S504)-ROW()/1000000000,""),"")</f>
        <v/>
      </c>
      <c r="V504" s="80" t="n">
        <f aca="false">IF(OR($O504="On hand",$O504="Advance received",$O504="Part realised",$O504="Amount missing"),1,0)</f>
        <v>0</v>
      </c>
      <c r="W504" s="80" t="str">
        <f aca="false">IF(AND($V504=1,N($F504)&gt;0),ROW(),"")</f>
        <v/>
      </c>
      <c r="X504" s="80" t="n">
        <f aca="false">IF(AND(OR($A504&lt;&gt;"",$E504&lt;&gt;""),$O504&lt;&gt;"Cancelled",ISNUMBER($E504),N($F504)+N($H504)&gt;$E504+0.005),1,0)</f>
        <v>0</v>
      </c>
      <c r="Y504" s="80" t="n">
        <f aca="false">IF(AND(OR($A504&lt;&gt;"",$E504&lt;&gt;""),OR($A504="",$E504="")),1,0)</f>
        <v>0</v>
      </c>
      <c r="Z504" s="80" t="n">
        <f aca="false">IF(AND($A504&lt;&gt;"",COUNTIF($A$7:$A$1006,$A504)&gt;1),1,0)</f>
        <v>0</v>
      </c>
    </row>
    <row r="505" customFormat="false" ht="15" hidden="false" customHeight="false" outlineLevel="0" collapsed="false">
      <c r="A505" s="71"/>
      <c r="B505" s="72"/>
      <c r="C505" s="73"/>
      <c r="D505" s="73"/>
      <c r="E505" s="74"/>
      <c r="F505" s="74"/>
      <c r="G505" s="72"/>
      <c r="H505" s="74"/>
      <c r="I505" s="72"/>
      <c r="J505" s="73"/>
      <c r="K505" s="73"/>
      <c r="L505" s="75" t="str">
        <f aca="false">IF(OR($A505&lt;&gt;"",$E505&lt;&gt;""),N($F505)+N($H505),"")</f>
        <v/>
      </c>
      <c r="M505" s="76" t="str">
        <f aca="false">IF(OR($O505="",$O505="Cancelled",$O505="Amount missing"),"",IF($O505="Realised",0,$E505-N($F505)-N($H505)))</f>
        <v/>
      </c>
      <c r="N505" s="77" t="str">
        <f aca="false">IF(OR($M505="",FX=""),"",$M505*FX)</f>
        <v/>
      </c>
      <c r="O505" s="78" t="str">
        <f aca="false">IF(NOT(OR($A505&lt;&gt;"",$E505&lt;&gt;"")),"",IF($J505="Cancelled","Cancelled",IF($E505="","Amount missing",IF(OR($J505="Settled",$E505-N($F505)-N($H505)&lt;=0.005),"Realised",IF(N($H505)&gt;0,"Part realised",IF(N($F505)&gt;0,"Advance received","On hand"))))))</f>
        <v/>
      </c>
      <c r="P505" s="79" t="str">
        <f aca="false">IF(AND($V505=1,ISNUMBER($B505)),AsAt-$B505,"")</f>
        <v/>
      </c>
      <c r="Q505" s="78" t="str">
        <f aca="false">IF($V505&lt;&gt;1,"",IF($P505="","No invoice date",IF($P505&lt;=30,"0–30 days",IF($P505&lt;=60,"31–60 days",IF($P505&lt;=90,"61–90 days","Over 90 days")))))</f>
        <v/>
      </c>
      <c r="R505" s="80" t="str">
        <f aca="false">IF($V505=1,ROW(),"")</f>
        <v/>
      </c>
      <c r="S505" s="80" t="str">
        <f aca="false">IF(OR($A505&lt;&gt;"",$E505&lt;&gt;""),IF(TRIM($D505)="","Buyer not noted",TRIM($D505)),"")</f>
        <v/>
      </c>
      <c r="T505" s="80" t="n">
        <f aca="false">IF(AND($V505=1,ISNUMBER($M505)),$M505,0)</f>
        <v>0</v>
      </c>
      <c r="U505" s="80" t="str">
        <f aca="false">IF($V505=1,IF(COUNTIFS($S$7:$S505,$S505,$V$7:$V505,1)=1,SUMIFS($T$7:$T$1006,$S$7:$S$1006,$S505)-ROW()/1000000000,""),"")</f>
        <v/>
      </c>
      <c r="V505" s="80" t="n">
        <f aca="false">IF(OR($O505="On hand",$O505="Advance received",$O505="Part realised",$O505="Amount missing"),1,0)</f>
        <v>0</v>
      </c>
      <c r="W505" s="80" t="str">
        <f aca="false">IF(AND($V505=1,N($F505)&gt;0),ROW(),"")</f>
        <v/>
      </c>
      <c r="X505" s="80" t="n">
        <f aca="false">IF(AND(OR($A505&lt;&gt;"",$E505&lt;&gt;""),$O505&lt;&gt;"Cancelled",ISNUMBER($E505),N($F505)+N($H505)&gt;$E505+0.005),1,0)</f>
        <v>0</v>
      </c>
      <c r="Y505" s="80" t="n">
        <f aca="false">IF(AND(OR($A505&lt;&gt;"",$E505&lt;&gt;""),OR($A505="",$E505="")),1,0)</f>
        <v>0</v>
      </c>
      <c r="Z505" s="80" t="n">
        <f aca="false">IF(AND($A505&lt;&gt;"",COUNTIF($A$7:$A$1006,$A505)&gt;1),1,0)</f>
        <v>0</v>
      </c>
    </row>
    <row r="506" customFormat="false" ht="15" hidden="false" customHeight="false" outlineLevel="0" collapsed="false">
      <c r="A506" s="71"/>
      <c r="B506" s="72"/>
      <c r="C506" s="73"/>
      <c r="D506" s="73"/>
      <c r="E506" s="74"/>
      <c r="F506" s="74"/>
      <c r="G506" s="72"/>
      <c r="H506" s="74"/>
      <c r="I506" s="72"/>
      <c r="J506" s="73"/>
      <c r="K506" s="73"/>
      <c r="L506" s="75" t="str">
        <f aca="false">IF(OR($A506&lt;&gt;"",$E506&lt;&gt;""),N($F506)+N($H506),"")</f>
        <v/>
      </c>
      <c r="M506" s="76" t="str">
        <f aca="false">IF(OR($O506="",$O506="Cancelled",$O506="Amount missing"),"",IF($O506="Realised",0,$E506-N($F506)-N($H506)))</f>
        <v/>
      </c>
      <c r="N506" s="77" t="str">
        <f aca="false">IF(OR($M506="",FX=""),"",$M506*FX)</f>
        <v/>
      </c>
      <c r="O506" s="78" t="str">
        <f aca="false">IF(NOT(OR($A506&lt;&gt;"",$E506&lt;&gt;"")),"",IF($J506="Cancelled","Cancelled",IF($E506="","Amount missing",IF(OR($J506="Settled",$E506-N($F506)-N($H506)&lt;=0.005),"Realised",IF(N($H506)&gt;0,"Part realised",IF(N($F506)&gt;0,"Advance received","On hand"))))))</f>
        <v/>
      </c>
      <c r="P506" s="79" t="str">
        <f aca="false">IF(AND($V506=1,ISNUMBER($B506)),AsAt-$B506,"")</f>
        <v/>
      </c>
      <c r="Q506" s="78" t="str">
        <f aca="false">IF($V506&lt;&gt;1,"",IF($P506="","No invoice date",IF($P506&lt;=30,"0–30 days",IF($P506&lt;=60,"31–60 days",IF($P506&lt;=90,"61–90 days","Over 90 days")))))</f>
        <v/>
      </c>
      <c r="R506" s="80" t="str">
        <f aca="false">IF($V506=1,ROW(),"")</f>
        <v/>
      </c>
      <c r="S506" s="80" t="str">
        <f aca="false">IF(OR($A506&lt;&gt;"",$E506&lt;&gt;""),IF(TRIM($D506)="","Buyer not noted",TRIM($D506)),"")</f>
        <v/>
      </c>
      <c r="T506" s="80" t="n">
        <f aca="false">IF(AND($V506=1,ISNUMBER($M506)),$M506,0)</f>
        <v>0</v>
      </c>
      <c r="U506" s="80" t="str">
        <f aca="false">IF($V506=1,IF(COUNTIFS($S$7:$S506,$S506,$V$7:$V506,1)=1,SUMIFS($T$7:$T$1006,$S$7:$S$1006,$S506)-ROW()/1000000000,""),"")</f>
        <v/>
      </c>
      <c r="V506" s="80" t="n">
        <f aca="false">IF(OR($O506="On hand",$O506="Advance received",$O506="Part realised",$O506="Amount missing"),1,0)</f>
        <v>0</v>
      </c>
      <c r="W506" s="80" t="str">
        <f aca="false">IF(AND($V506=1,N($F506)&gt;0),ROW(),"")</f>
        <v/>
      </c>
      <c r="X506" s="80" t="n">
        <f aca="false">IF(AND(OR($A506&lt;&gt;"",$E506&lt;&gt;""),$O506&lt;&gt;"Cancelled",ISNUMBER($E506),N($F506)+N($H506)&gt;$E506+0.005),1,0)</f>
        <v>0</v>
      </c>
      <c r="Y506" s="80" t="n">
        <f aca="false">IF(AND(OR($A506&lt;&gt;"",$E506&lt;&gt;""),OR($A506="",$E506="")),1,0)</f>
        <v>0</v>
      </c>
      <c r="Z506" s="80" t="n">
        <f aca="false">IF(AND($A506&lt;&gt;"",COUNTIF($A$7:$A$1006,$A506)&gt;1),1,0)</f>
        <v>0</v>
      </c>
    </row>
    <row r="507" customFormat="false" ht="15" hidden="false" customHeight="false" outlineLevel="0" collapsed="false">
      <c r="A507" s="71"/>
      <c r="B507" s="72"/>
      <c r="C507" s="73"/>
      <c r="D507" s="73"/>
      <c r="E507" s="74"/>
      <c r="F507" s="74"/>
      <c r="G507" s="72"/>
      <c r="H507" s="74"/>
      <c r="I507" s="72"/>
      <c r="J507" s="73"/>
      <c r="K507" s="73"/>
      <c r="L507" s="75" t="str">
        <f aca="false">IF(OR($A507&lt;&gt;"",$E507&lt;&gt;""),N($F507)+N($H507),"")</f>
        <v/>
      </c>
      <c r="M507" s="76" t="str">
        <f aca="false">IF(OR($O507="",$O507="Cancelled",$O507="Amount missing"),"",IF($O507="Realised",0,$E507-N($F507)-N($H507)))</f>
        <v/>
      </c>
      <c r="N507" s="77" t="str">
        <f aca="false">IF(OR($M507="",FX=""),"",$M507*FX)</f>
        <v/>
      </c>
      <c r="O507" s="78" t="str">
        <f aca="false">IF(NOT(OR($A507&lt;&gt;"",$E507&lt;&gt;"")),"",IF($J507="Cancelled","Cancelled",IF($E507="","Amount missing",IF(OR($J507="Settled",$E507-N($F507)-N($H507)&lt;=0.005),"Realised",IF(N($H507)&gt;0,"Part realised",IF(N($F507)&gt;0,"Advance received","On hand"))))))</f>
        <v/>
      </c>
      <c r="P507" s="79" t="str">
        <f aca="false">IF(AND($V507=1,ISNUMBER($B507)),AsAt-$B507,"")</f>
        <v/>
      </c>
      <c r="Q507" s="78" t="str">
        <f aca="false">IF($V507&lt;&gt;1,"",IF($P507="","No invoice date",IF($P507&lt;=30,"0–30 days",IF($P507&lt;=60,"31–60 days",IF($P507&lt;=90,"61–90 days","Over 90 days")))))</f>
        <v/>
      </c>
      <c r="R507" s="80" t="str">
        <f aca="false">IF($V507=1,ROW(),"")</f>
        <v/>
      </c>
      <c r="S507" s="80" t="str">
        <f aca="false">IF(OR($A507&lt;&gt;"",$E507&lt;&gt;""),IF(TRIM($D507)="","Buyer not noted",TRIM($D507)),"")</f>
        <v/>
      </c>
      <c r="T507" s="80" t="n">
        <f aca="false">IF(AND($V507=1,ISNUMBER($M507)),$M507,0)</f>
        <v>0</v>
      </c>
      <c r="U507" s="80" t="str">
        <f aca="false">IF($V507=1,IF(COUNTIFS($S$7:$S507,$S507,$V$7:$V507,1)=1,SUMIFS($T$7:$T$1006,$S$7:$S$1006,$S507)-ROW()/1000000000,""),"")</f>
        <v/>
      </c>
      <c r="V507" s="80" t="n">
        <f aca="false">IF(OR($O507="On hand",$O507="Advance received",$O507="Part realised",$O507="Amount missing"),1,0)</f>
        <v>0</v>
      </c>
      <c r="W507" s="80" t="str">
        <f aca="false">IF(AND($V507=1,N($F507)&gt;0),ROW(),"")</f>
        <v/>
      </c>
      <c r="X507" s="80" t="n">
        <f aca="false">IF(AND(OR($A507&lt;&gt;"",$E507&lt;&gt;""),$O507&lt;&gt;"Cancelled",ISNUMBER($E507),N($F507)+N($H507)&gt;$E507+0.005),1,0)</f>
        <v>0</v>
      </c>
      <c r="Y507" s="80" t="n">
        <f aca="false">IF(AND(OR($A507&lt;&gt;"",$E507&lt;&gt;""),OR($A507="",$E507="")),1,0)</f>
        <v>0</v>
      </c>
      <c r="Z507" s="80" t="n">
        <f aca="false">IF(AND($A507&lt;&gt;"",COUNTIF($A$7:$A$1006,$A507)&gt;1),1,0)</f>
        <v>0</v>
      </c>
    </row>
    <row r="508" customFormat="false" ht="15" hidden="false" customHeight="false" outlineLevel="0" collapsed="false">
      <c r="A508" s="71"/>
      <c r="B508" s="72"/>
      <c r="C508" s="73"/>
      <c r="D508" s="73"/>
      <c r="E508" s="74"/>
      <c r="F508" s="74"/>
      <c r="G508" s="72"/>
      <c r="H508" s="74"/>
      <c r="I508" s="72"/>
      <c r="J508" s="73"/>
      <c r="K508" s="73"/>
      <c r="L508" s="75" t="str">
        <f aca="false">IF(OR($A508&lt;&gt;"",$E508&lt;&gt;""),N($F508)+N($H508),"")</f>
        <v/>
      </c>
      <c r="M508" s="76" t="str">
        <f aca="false">IF(OR($O508="",$O508="Cancelled",$O508="Amount missing"),"",IF($O508="Realised",0,$E508-N($F508)-N($H508)))</f>
        <v/>
      </c>
      <c r="N508" s="77" t="str">
        <f aca="false">IF(OR($M508="",FX=""),"",$M508*FX)</f>
        <v/>
      </c>
      <c r="O508" s="78" t="str">
        <f aca="false">IF(NOT(OR($A508&lt;&gt;"",$E508&lt;&gt;"")),"",IF($J508="Cancelled","Cancelled",IF($E508="","Amount missing",IF(OR($J508="Settled",$E508-N($F508)-N($H508)&lt;=0.005),"Realised",IF(N($H508)&gt;0,"Part realised",IF(N($F508)&gt;0,"Advance received","On hand"))))))</f>
        <v/>
      </c>
      <c r="P508" s="79" t="str">
        <f aca="false">IF(AND($V508=1,ISNUMBER($B508)),AsAt-$B508,"")</f>
        <v/>
      </c>
      <c r="Q508" s="78" t="str">
        <f aca="false">IF($V508&lt;&gt;1,"",IF($P508="","No invoice date",IF($P508&lt;=30,"0–30 days",IF($P508&lt;=60,"31–60 days",IF($P508&lt;=90,"61–90 days","Over 90 days")))))</f>
        <v/>
      </c>
      <c r="R508" s="80" t="str">
        <f aca="false">IF($V508=1,ROW(),"")</f>
        <v/>
      </c>
      <c r="S508" s="80" t="str">
        <f aca="false">IF(OR($A508&lt;&gt;"",$E508&lt;&gt;""),IF(TRIM($D508)="","Buyer not noted",TRIM($D508)),"")</f>
        <v/>
      </c>
      <c r="T508" s="80" t="n">
        <f aca="false">IF(AND($V508=1,ISNUMBER($M508)),$M508,0)</f>
        <v>0</v>
      </c>
      <c r="U508" s="80" t="str">
        <f aca="false">IF($V508=1,IF(COUNTIFS($S$7:$S508,$S508,$V$7:$V508,1)=1,SUMIFS($T$7:$T$1006,$S$7:$S$1006,$S508)-ROW()/1000000000,""),"")</f>
        <v/>
      </c>
      <c r="V508" s="80" t="n">
        <f aca="false">IF(OR($O508="On hand",$O508="Advance received",$O508="Part realised",$O508="Amount missing"),1,0)</f>
        <v>0</v>
      </c>
      <c r="W508" s="80" t="str">
        <f aca="false">IF(AND($V508=1,N($F508)&gt;0),ROW(),"")</f>
        <v/>
      </c>
      <c r="X508" s="80" t="n">
        <f aca="false">IF(AND(OR($A508&lt;&gt;"",$E508&lt;&gt;""),$O508&lt;&gt;"Cancelled",ISNUMBER($E508),N($F508)+N($H508)&gt;$E508+0.005),1,0)</f>
        <v>0</v>
      </c>
      <c r="Y508" s="80" t="n">
        <f aca="false">IF(AND(OR($A508&lt;&gt;"",$E508&lt;&gt;""),OR($A508="",$E508="")),1,0)</f>
        <v>0</v>
      </c>
      <c r="Z508" s="80" t="n">
        <f aca="false">IF(AND($A508&lt;&gt;"",COUNTIF($A$7:$A$1006,$A508)&gt;1),1,0)</f>
        <v>0</v>
      </c>
    </row>
    <row r="509" customFormat="false" ht="15" hidden="false" customHeight="false" outlineLevel="0" collapsed="false">
      <c r="A509" s="71"/>
      <c r="B509" s="72"/>
      <c r="C509" s="73"/>
      <c r="D509" s="73"/>
      <c r="E509" s="74"/>
      <c r="F509" s="74"/>
      <c r="G509" s="72"/>
      <c r="H509" s="74"/>
      <c r="I509" s="72"/>
      <c r="J509" s="73"/>
      <c r="K509" s="73"/>
      <c r="L509" s="75" t="str">
        <f aca="false">IF(OR($A509&lt;&gt;"",$E509&lt;&gt;""),N($F509)+N($H509),"")</f>
        <v/>
      </c>
      <c r="M509" s="76" t="str">
        <f aca="false">IF(OR($O509="",$O509="Cancelled",$O509="Amount missing"),"",IF($O509="Realised",0,$E509-N($F509)-N($H509)))</f>
        <v/>
      </c>
      <c r="N509" s="77" t="str">
        <f aca="false">IF(OR($M509="",FX=""),"",$M509*FX)</f>
        <v/>
      </c>
      <c r="O509" s="78" t="str">
        <f aca="false">IF(NOT(OR($A509&lt;&gt;"",$E509&lt;&gt;"")),"",IF($J509="Cancelled","Cancelled",IF($E509="","Amount missing",IF(OR($J509="Settled",$E509-N($F509)-N($H509)&lt;=0.005),"Realised",IF(N($H509)&gt;0,"Part realised",IF(N($F509)&gt;0,"Advance received","On hand"))))))</f>
        <v/>
      </c>
      <c r="P509" s="79" t="str">
        <f aca="false">IF(AND($V509=1,ISNUMBER($B509)),AsAt-$B509,"")</f>
        <v/>
      </c>
      <c r="Q509" s="78" t="str">
        <f aca="false">IF($V509&lt;&gt;1,"",IF($P509="","No invoice date",IF($P509&lt;=30,"0–30 days",IF($P509&lt;=60,"31–60 days",IF($P509&lt;=90,"61–90 days","Over 90 days")))))</f>
        <v/>
      </c>
      <c r="R509" s="80" t="str">
        <f aca="false">IF($V509=1,ROW(),"")</f>
        <v/>
      </c>
      <c r="S509" s="80" t="str">
        <f aca="false">IF(OR($A509&lt;&gt;"",$E509&lt;&gt;""),IF(TRIM($D509)="","Buyer not noted",TRIM($D509)),"")</f>
        <v/>
      </c>
      <c r="T509" s="80" t="n">
        <f aca="false">IF(AND($V509=1,ISNUMBER($M509)),$M509,0)</f>
        <v>0</v>
      </c>
      <c r="U509" s="80" t="str">
        <f aca="false">IF($V509=1,IF(COUNTIFS($S$7:$S509,$S509,$V$7:$V509,1)=1,SUMIFS($T$7:$T$1006,$S$7:$S$1006,$S509)-ROW()/1000000000,""),"")</f>
        <v/>
      </c>
      <c r="V509" s="80" t="n">
        <f aca="false">IF(OR($O509="On hand",$O509="Advance received",$O509="Part realised",$O509="Amount missing"),1,0)</f>
        <v>0</v>
      </c>
      <c r="W509" s="80" t="str">
        <f aca="false">IF(AND($V509=1,N($F509)&gt;0),ROW(),"")</f>
        <v/>
      </c>
      <c r="X509" s="80" t="n">
        <f aca="false">IF(AND(OR($A509&lt;&gt;"",$E509&lt;&gt;""),$O509&lt;&gt;"Cancelled",ISNUMBER($E509),N($F509)+N($H509)&gt;$E509+0.005),1,0)</f>
        <v>0</v>
      </c>
      <c r="Y509" s="80" t="n">
        <f aca="false">IF(AND(OR($A509&lt;&gt;"",$E509&lt;&gt;""),OR($A509="",$E509="")),1,0)</f>
        <v>0</v>
      </c>
      <c r="Z509" s="80" t="n">
        <f aca="false">IF(AND($A509&lt;&gt;"",COUNTIF($A$7:$A$1006,$A509)&gt;1),1,0)</f>
        <v>0</v>
      </c>
    </row>
    <row r="510" customFormat="false" ht="15" hidden="false" customHeight="false" outlineLevel="0" collapsed="false">
      <c r="A510" s="71"/>
      <c r="B510" s="72"/>
      <c r="C510" s="73"/>
      <c r="D510" s="73"/>
      <c r="E510" s="74"/>
      <c r="F510" s="74"/>
      <c r="G510" s="72"/>
      <c r="H510" s="74"/>
      <c r="I510" s="72"/>
      <c r="J510" s="73"/>
      <c r="K510" s="73"/>
      <c r="L510" s="75" t="str">
        <f aca="false">IF(OR($A510&lt;&gt;"",$E510&lt;&gt;""),N($F510)+N($H510),"")</f>
        <v/>
      </c>
      <c r="M510" s="76" t="str">
        <f aca="false">IF(OR($O510="",$O510="Cancelled",$O510="Amount missing"),"",IF($O510="Realised",0,$E510-N($F510)-N($H510)))</f>
        <v/>
      </c>
      <c r="N510" s="77" t="str">
        <f aca="false">IF(OR($M510="",FX=""),"",$M510*FX)</f>
        <v/>
      </c>
      <c r="O510" s="78" t="str">
        <f aca="false">IF(NOT(OR($A510&lt;&gt;"",$E510&lt;&gt;"")),"",IF($J510="Cancelled","Cancelled",IF($E510="","Amount missing",IF(OR($J510="Settled",$E510-N($F510)-N($H510)&lt;=0.005),"Realised",IF(N($H510)&gt;0,"Part realised",IF(N($F510)&gt;0,"Advance received","On hand"))))))</f>
        <v/>
      </c>
      <c r="P510" s="79" t="str">
        <f aca="false">IF(AND($V510=1,ISNUMBER($B510)),AsAt-$B510,"")</f>
        <v/>
      </c>
      <c r="Q510" s="78" t="str">
        <f aca="false">IF($V510&lt;&gt;1,"",IF($P510="","No invoice date",IF($P510&lt;=30,"0–30 days",IF($P510&lt;=60,"31–60 days",IF($P510&lt;=90,"61–90 days","Over 90 days")))))</f>
        <v/>
      </c>
      <c r="R510" s="80" t="str">
        <f aca="false">IF($V510=1,ROW(),"")</f>
        <v/>
      </c>
      <c r="S510" s="80" t="str">
        <f aca="false">IF(OR($A510&lt;&gt;"",$E510&lt;&gt;""),IF(TRIM($D510)="","Buyer not noted",TRIM($D510)),"")</f>
        <v/>
      </c>
      <c r="T510" s="80" t="n">
        <f aca="false">IF(AND($V510=1,ISNUMBER($M510)),$M510,0)</f>
        <v>0</v>
      </c>
      <c r="U510" s="80" t="str">
        <f aca="false">IF($V510=1,IF(COUNTIFS($S$7:$S510,$S510,$V$7:$V510,1)=1,SUMIFS($T$7:$T$1006,$S$7:$S$1006,$S510)-ROW()/1000000000,""),"")</f>
        <v/>
      </c>
      <c r="V510" s="80" t="n">
        <f aca="false">IF(OR($O510="On hand",$O510="Advance received",$O510="Part realised",$O510="Amount missing"),1,0)</f>
        <v>0</v>
      </c>
      <c r="W510" s="80" t="str">
        <f aca="false">IF(AND($V510=1,N($F510)&gt;0),ROW(),"")</f>
        <v/>
      </c>
      <c r="X510" s="80" t="n">
        <f aca="false">IF(AND(OR($A510&lt;&gt;"",$E510&lt;&gt;""),$O510&lt;&gt;"Cancelled",ISNUMBER($E510),N($F510)+N($H510)&gt;$E510+0.005),1,0)</f>
        <v>0</v>
      </c>
      <c r="Y510" s="80" t="n">
        <f aca="false">IF(AND(OR($A510&lt;&gt;"",$E510&lt;&gt;""),OR($A510="",$E510="")),1,0)</f>
        <v>0</v>
      </c>
      <c r="Z510" s="80" t="n">
        <f aca="false">IF(AND($A510&lt;&gt;"",COUNTIF($A$7:$A$1006,$A510)&gt;1),1,0)</f>
        <v>0</v>
      </c>
    </row>
    <row r="511" customFormat="false" ht="15" hidden="false" customHeight="false" outlineLevel="0" collapsed="false">
      <c r="A511" s="71"/>
      <c r="B511" s="72"/>
      <c r="C511" s="73"/>
      <c r="D511" s="73"/>
      <c r="E511" s="74"/>
      <c r="F511" s="74"/>
      <c r="G511" s="72"/>
      <c r="H511" s="74"/>
      <c r="I511" s="72"/>
      <c r="J511" s="73"/>
      <c r="K511" s="73"/>
      <c r="L511" s="75" t="str">
        <f aca="false">IF(OR($A511&lt;&gt;"",$E511&lt;&gt;""),N($F511)+N($H511),"")</f>
        <v/>
      </c>
      <c r="M511" s="76" t="str">
        <f aca="false">IF(OR($O511="",$O511="Cancelled",$O511="Amount missing"),"",IF($O511="Realised",0,$E511-N($F511)-N($H511)))</f>
        <v/>
      </c>
      <c r="N511" s="77" t="str">
        <f aca="false">IF(OR($M511="",FX=""),"",$M511*FX)</f>
        <v/>
      </c>
      <c r="O511" s="78" t="str">
        <f aca="false">IF(NOT(OR($A511&lt;&gt;"",$E511&lt;&gt;"")),"",IF($J511="Cancelled","Cancelled",IF($E511="","Amount missing",IF(OR($J511="Settled",$E511-N($F511)-N($H511)&lt;=0.005),"Realised",IF(N($H511)&gt;0,"Part realised",IF(N($F511)&gt;0,"Advance received","On hand"))))))</f>
        <v/>
      </c>
      <c r="P511" s="79" t="str">
        <f aca="false">IF(AND($V511=1,ISNUMBER($B511)),AsAt-$B511,"")</f>
        <v/>
      </c>
      <c r="Q511" s="78" t="str">
        <f aca="false">IF($V511&lt;&gt;1,"",IF($P511="","No invoice date",IF($P511&lt;=30,"0–30 days",IF($P511&lt;=60,"31–60 days",IF($P511&lt;=90,"61–90 days","Over 90 days")))))</f>
        <v/>
      </c>
      <c r="R511" s="80" t="str">
        <f aca="false">IF($V511=1,ROW(),"")</f>
        <v/>
      </c>
      <c r="S511" s="80" t="str">
        <f aca="false">IF(OR($A511&lt;&gt;"",$E511&lt;&gt;""),IF(TRIM($D511)="","Buyer not noted",TRIM($D511)),"")</f>
        <v/>
      </c>
      <c r="T511" s="80" t="n">
        <f aca="false">IF(AND($V511=1,ISNUMBER($M511)),$M511,0)</f>
        <v>0</v>
      </c>
      <c r="U511" s="80" t="str">
        <f aca="false">IF($V511=1,IF(COUNTIFS($S$7:$S511,$S511,$V$7:$V511,1)=1,SUMIFS($T$7:$T$1006,$S$7:$S$1006,$S511)-ROW()/1000000000,""),"")</f>
        <v/>
      </c>
      <c r="V511" s="80" t="n">
        <f aca="false">IF(OR($O511="On hand",$O511="Advance received",$O511="Part realised",$O511="Amount missing"),1,0)</f>
        <v>0</v>
      </c>
      <c r="W511" s="80" t="str">
        <f aca="false">IF(AND($V511=1,N($F511)&gt;0),ROW(),"")</f>
        <v/>
      </c>
      <c r="X511" s="80" t="n">
        <f aca="false">IF(AND(OR($A511&lt;&gt;"",$E511&lt;&gt;""),$O511&lt;&gt;"Cancelled",ISNUMBER($E511),N($F511)+N($H511)&gt;$E511+0.005),1,0)</f>
        <v>0</v>
      </c>
      <c r="Y511" s="80" t="n">
        <f aca="false">IF(AND(OR($A511&lt;&gt;"",$E511&lt;&gt;""),OR($A511="",$E511="")),1,0)</f>
        <v>0</v>
      </c>
      <c r="Z511" s="80" t="n">
        <f aca="false">IF(AND($A511&lt;&gt;"",COUNTIF($A$7:$A$1006,$A511)&gt;1),1,0)</f>
        <v>0</v>
      </c>
    </row>
    <row r="512" customFormat="false" ht="15" hidden="false" customHeight="false" outlineLevel="0" collapsed="false">
      <c r="A512" s="71"/>
      <c r="B512" s="72"/>
      <c r="C512" s="73"/>
      <c r="D512" s="73"/>
      <c r="E512" s="74"/>
      <c r="F512" s="74"/>
      <c r="G512" s="72"/>
      <c r="H512" s="74"/>
      <c r="I512" s="72"/>
      <c r="J512" s="73"/>
      <c r="K512" s="73"/>
      <c r="L512" s="75" t="str">
        <f aca="false">IF(OR($A512&lt;&gt;"",$E512&lt;&gt;""),N($F512)+N($H512),"")</f>
        <v/>
      </c>
      <c r="M512" s="76" t="str">
        <f aca="false">IF(OR($O512="",$O512="Cancelled",$O512="Amount missing"),"",IF($O512="Realised",0,$E512-N($F512)-N($H512)))</f>
        <v/>
      </c>
      <c r="N512" s="77" t="str">
        <f aca="false">IF(OR($M512="",FX=""),"",$M512*FX)</f>
        <v/>
      </c>
      <c r="O512" s="78" t="str">
        <f aca="false">IF(NOT(OR($A512&lt;&gt;"",$E512&lt;&gt;"")),"",IF($J512="Cancelled","Cancelled",IF($E512="","Amount missing",IF(OR($J512="Settled",$E512-N($F512)-N($H512)&lt;=0.005),"Realised",IF(N($H512)&gt;0,"Part realised",IF(N($F512)&gt;0,"Advance received","On hand"))))))</f>
        <v/>
      </c>
      <c r="P512" s="79" t="str">
        <f aca="false">IF(AND($V512=1,ISNUMBER($B512)),AsAt-$B512,"")</f>
        <v/>
      </c>
      <c r="Q512" s="78" t="str">
        <f aca="false">IF($V512&lt;&gt;1,"",IF($P512="","No invoice date",IF($P512&lt;=30,"0–30 days",IF($P512&lt;=60,"31–60 days",IF($P512&lt;=90,"61–90 days","Over 90 days")))))</f>
        <v/>
      </c>
      <c r="R512" s="80" t="str">
        <f aca="false">IF($V512=1,ROW(),"")</f>
        <v/>
      </c>
      <c r="S512" s="80" t="str">
        <f aca="false">IF(OR($A512&lt;&gt;"",$E512&lt;&gt;""),IF(TRIM($D512)="","Buyer not noted",TRIM($D512)),"")</f>
        <v/>
      </c>
      <c r="T512" s="80" t="n">
        <f aca="false">IF(AND($V512=1,ISNUMBER($M512)),$M512,0)</f>
        <v>0</v>
      </c>
      <c r="U512" s="80" t="str">
        <f aca="false">IF($V512=1,IF(COUNTIFS($S$7:$S512,$S512,$V$7:$V512,1)=1,SUMIFS($T$7:$T$1006,$S$7:$S$1006,$S512)-ROW()/1000000000,""),"")</f>
        <v/>
      </c>
      <c r="V512" s="80" t="n">
        <f aca="false">IF(OR($O512="On hand",$O512="Advance received",$O512="Part realised",$O512="Amount missing"),1,0)</f>
        <v>0</v>
      </c>
      <c r="W512" s="80" t="str">
        <f aca="false">IF(AND($V512=1,N($F512)&gt;0),ROW(),"")</f>
        <v/>
      </c>
      <c r="X512" s="80" t="n">
        <f aca="false">IF(AND(OR($A512&lt;&gt;"",$E512&lt;&gt;""),$O512&lt;&gt;"Cancelled",ISNUMBER($E512),N($F512)+N($H512)&gt;$E512+0.005),1,0)</f>
        <v>0</v>
      </c>
      <c r="Y512" s="80" t="n">
        <f aca="false">IF(AND(OR($A512&lt;&gt;"",$E512&lt;&gt;""),OR($A512="",$E512="")),1,0)</f>
        <v>0</v>
      </c>
      <c r="Z512" s="80" t="n">
        <f aca="false">IF(AND($A512&lt;&gt;"",COUNTIF($A$7:$A$1006,$A512)&gt;1),1,0)</f>
        <v>0</v>
      </c>
    </row>
    <row r="513" customFormat="false" ht="15" hidden="false" customHeight="false" outlineLevel="0" collapsed="false">
      <c r="A513" s="71"/>
      <c r="B513" s="72"/>
      <c r="C513" s="73"/>
      <c r="D513" s="73"/>
      <c r="E513" s="74"/>
      <c r="F513" s="74"/>
      <c r="G513" s="72"/>
      <c r="H513" s="74"/>
      <c r="I513" s="72"/>
      <c r="J513" s="73"/>
      <c r="K513" s="73"/>
      <c r="L513" s="75" t="str">
        <f aca="false">IF(OR($A513&lt;&gt;"",$E513&lt;&gt;""),N($F513)+N($H513),"")</f>
        <v/>
      </c>
      <c r="M513" s="76" t="str">
        <f aca="false">IF(OR($O513="",$O513="Cancelled",$O513="Amount missing"),"",IF($O513="Realised",0,$E513-N($F513)-N($H513)))</f>
        <v/>
      </c>
      <c r="N513" s="77" t="str">
        <f aca="false">IF(OR($M513="",FX=""),"",$M513*FX)</f>
        <v/>
      </c>
      <c r="O513" s="78" t="str">
        <f aca="false">IF(NOT(OR($A513&lt;&gt;"",$E513&lt;&gt;"")),"",IF($J513="Cancelled","Cancelled",IF($E513="","Amount missing",IF(OR($J513="Settled",$E513-N($F513)-N($H513)&lt;=0.005),"Realised",IF(N($H513)&gt;0,"Part realised",IF(N($F513)&gt;0,"Advance received","On hand"))))))</f>
        <v/>
      </c>
      <c r="P513" s="79" t="str">
        <f aca="false">IF(AND($V513=1,ISNUMBER($B513)),AsAt-$B513,"")</f>
        <v/>
      </c>
      <c r="Q513" s="78" t="str">
        <f aca="false">IF($V513&lt;&gt;1,"",IF($P513="","No invoice date",IF($P513&lt;=30,"0–30 days",IF($P513&lt;=60,"31–60 days",IF($P513&lt;=90,"61–90 days","Over 90 days")))))</f>
        <v/>
      </c>
      <c r="R513" s="80" t="str">
        <f aca="false">IF($V513=1,ROW(),"")</f>
        <v/>
      </c>
      <c r="S513" s="80" t="str">
        <f aca="false">IF(OR($A513&lt;&gt;"",$E513&lt;&gt;""),IF(TRIM($D513)="","Buyer not noted",TRIM($D513)),"")</f>
        <v/>
      </c>
      <c r="T513" s="80" t="n">
        <f aca="false">IF(AND($V513=1,ISNUMBER($M513)),$M513,0)</f>
        <v>0</v>
      </c>
      <c r="U513" s="80" t="str">
        <f aca="false">IF($V513=1,IF(COUNTIFS($S$7:$S513,$S513,$V$7:$V513,1)=1,SUMIFS($T$7:$T$1006,$S$7:$S$1006,$S513)-ROW()/1000000000,""),"")</f>
        <v/>
      </c>
      <c r="V513" s="80" t="n">
        <f aca="false">IF(OR($O513="On hand",$O513="Advance received",$O513="Part realised",$O513="Amount missing"),1,0)</f>
        <v>0</v>
      </c>
      <c r="W513" s="80" t="str">
        <f aca="false">IF(AND($V513=1,N($F513)&gt;0),ROW(),"")</f>
        <v/>
      </c>
      <c r="X513" s="80" t="n">
        <f aca="false">IF(AND(OR($A513&lt;&gt;"",$E513&lt;&gt;""),$O513&lt;&gt;"Cancelled",ISNUMBER($E513),N($F513)+N($H513)&gt;$E513+0.005),1,0)</f>
        <v>0</v>
      </c>
      <c r="Y513" s="80" t="n">
        <f aca="false">IF(AND(OR($A513&lt;&gt;"",$E513&lt;&gt;""),OR($A513="",$E513="")),1,0)</f>
        <v>0</v>
      </c>
      <c r="Z513" s="80" t="n">
        <f aca="false">IF(AND($A513&lt;&gt;"",COUNTIF($A$7:$A$1006,$A513)&gt;1),1,0)</f>
        <v>0</v>
      </c>
    </row>
    <row r="514" customFormat="false" ht="15" hidden="false" customHeight="false" outlineLevel="0" collapsed="false">
      <c r="A514" s="71"/>
      <c r="B514" s="72"/>
      <c r="C514" s="73"/>
      <c r="D514" s="73"/>
      <c r="E514" s="74"/>
      <c r="F514" s="74"/>
      <c r="G514" s="72"/>
      <c r="H514" s="74"/>
      <c r="I514" s="72"/>
      <c r="J514" s="73"/>
      <c r="K514" s="73"/>
      <c r="L514" s="75" t="str">
        <f aca="false">IF(OR($A514&lt;&gt;"",$E514&lt;&gt;""),N($F514)+N($H514),"")</f>
        <v/>
      </c>
      <c r="M514" s="76" t="str">
        <f aca="false">IF(OR($O514="",$O514="Cancelled",$O514="Amount missing"),"",IF($O514="Realised",0,$E514-N($F514)-N($H514)))</f>
        <v/>
      </c>
      <c r="N514" s="77" t="str">
        <f aca="false">IF(OR($M514="",FX=""),"",$M514*FX)</f>
        <v/>
      </c>
      <c r="O514" s="78" t="str">
        <f aca="false">IF(NOT(OR($A514&lt;&gt;"",$E514&lt;&gt;"")),"",IF($J514="Cancelled","Cancelled",IF($E514="","Amount missing",IF(OR($J514="Settled",$E514-N($F514)-N($H514)&lt;=0.005),"Realised",IF(N($H514)&gt;0,"Part realised",IF(N($F514)&gt;0,"Advance received","On hand"))))))</f>
        <v/>
      </c>
      <c r="P514" s="79" t="str">
        <f aca="false">IF(AND($V514=1,ISNUMBER($B514)),AsAt-$B514,"")</f>
        <v/>
      </c>
      <c r="Q514" s="78" t="str">
        <f aca="false">IF($V514&lt;&gt;1,"",IF($P514="","No invoice date",IF($P514&lt;=30,"0–30 days",IF($P514&lt;=60,"31–60 days",IF($P514&lt;=90,"61–90 days","Over 90 days")))))</f>
        <v/>
      </c>
      <c r="R514" s="80" t="str">
        <f aca="false">IF($V514=1,ROW(),"")</f>
        <v/>
      </c>
      <c r="S514" s="80" t="str">
        <f aca="false">IF(OR($A514&lt;&gt;"",$E514&lt;&gt;""),IF(TRIM($D514)="","Buyer not noted",TRIM($D514)),"")</f>
        <v/>
      </c>
      <c r="T514" s="80" t="n">
        <f aca="false">IF(AND($V514=1,ISNUMBER($M514)),$M514,0)</f>
        <v>0</v>
      </c>
      <c r="U514" s="80" t="str">
        <f aca="false">IF($V514=1,IF(COUNTIFS($S$7:$S514,$S514,$V$7:$V514,1)=1,SUMIFS($T$7:$T$1006,$S$7:$S$1006,$S514)-ROW()/1000000000,""),"")</f>
        <v/>
      </c>
      <c r="V514" s="80" t="n">
        <f aca="false">IF(OR($O514="On hand",$O514="Advance received",$O514="Part realised",$O514="Amount missing"),1,0)</f>
        <v>0</v>
      </c>
      <c r="W514" s="80" t="str">
        <f aca="false">IF(AND($V514=1,N($F514)&gt;0),ROW(),"")</f>
        <v/>
      </c>
      <c r="X514" s="80" t="n">
        <f aca="false">IF(AND(OR($A514&lt;&gt;"",$E514&lt;&gt;""),$O514&lt;&gt;"Cancelled",ISNUMBER($E514),N($F514)+N($H514)&gt;$E514+0.005),1,0)</f>
        <v>0</v>
      </c>
      <c r="Y514" s="80" t="n">
        <f aca="false">IF(AND(OR($A514&lt;&gt;"",$E514&lt;&gt;""),OR($A514="",$E514="")),1,0)</f>
        <v>0</v>
      </c>
      <c r="Z514" s="80" t="n">
        <f aca="false">IF(AND($A514&lt;&gt;"",COUNTIF($A$7:$A$1006,$A514)&gt;1),1,0)</f>
        <v>0</v>
      </c>
    </row>
    <row r="515" customFormat="false" ht="15" hidden="false" customHeight="false" outlineLevel="0" collapsed="false">
      <c r="A515" s="71"/>
      <c r="B515" s="72"/>
      <c r="C515" s="73"/>
      <c r="D515" s="73"/>
      <c r="E515" s="74"/>
      <c r="F515" s="74"/>
      <c r="G515" s="72"/>
      <c r="H515" s="74"/>
      <c r="I515" s="72"/>
      <c r="J515" s="73"/>
      <c r="K515" s="73"/>
      <c r="L515" s="75" t="str">
        <f aca="false">IF(OR($A515&lt;&gt;"",$E515&lt;&gt;""),N($F515)+N($H515),"")</f>
        <v/>
      </c>
      <c r="M515" s="76" t="str">
        <f aca="false">IF(OR($O515="",$O515="Cancelled",$O515="Amount missing"),"",IF($O515="Realised",0,$E515-N($F515)-N($H515)))</f>
        <v/>
      </c>
      <c r="N515" s="77" t="str">
        <f aca="false">IF(OR($M515="",FX=""),"",$M515*FX)</f>
        <v/>
      </c>
      <c r="O515" s="78" t="str">
        <f aca="false">IF(NOT(OR($A515&lt;&gt;"",$E515&lt;&gt;"")),"",IF($J515="Cancelled","Cancelled",IF($E515="","Amount missing",IF(OR($J515="Settled",$E515-N($F515)-N($H515)&lt;=0.005),"Realised",IF(N($H515)&gt;0,"Part realised",IF(N($F515)&gt;0,"Advance received","On hand"))))))</f>
        <v/>
      </c>
      <c r="P515" s="79" t="str">
        <f aca="false">IF(AND($V515=1,ISNUMBER($B515)),AsAt-$B515,"")</f>
        <v/>
      </c>
      <c r="Q515" s="78" t="str">
        <f aca="false">IF($V515&lt;&gt;1,"",IF($P515="","No invoice date",IF($P515&lt;=30,"0–30 days",IF($P515&lt;=60,"31–60 days",IF($P515&lt;=90,"61–90 days","Over 90 days")))))</f>
        <v/>
      </c>
      <c r="R515" s="80" t="str">
        <f aca="false">IF($V515=1,ROW(),"")</f>
        <v/>
      </c>
      <c r="S515" s="80" t="str">
        <f aca="false">IF(OR($A515&lt;&gt;"",$E515&lt;&gt;""),IF(TRIM($D515)="","Buyer not noted",TRIM($D515)),"")</f>
        <v/>
      </c>
      <c r="T515" s="80" t="n">
        <f aca="false">IF(AND($V515=1,ISNUMBER($M515)),$M515,0)</f>
        <v>0</v>
      </c>
      <c r="U515" s="80" t="str">
        <f aca="false">IF($V515=1,IF(COUNTIFS($S$7:$S515,$S515,$V$7:$V515,1)=1,SUMIFS($T$7:$T$1006,$S$7:$S$1006,$S515)-ROW()/1000000000,""),"")</f>
        <v/>
      </c>
      <c r="V515" s="80" t="n">
        <f aca="false">IF(OR($O515="On hand",$O515="Advance received",$O515="Part realised",$O515="Amount missing"),1,0)</f>
        <v>0</v>
      </c>
      <c r="W515" s="80" t="str">
        <f aca="false">IF(AND($V515=1,N($F515)&gt;0),ROW(),"")</f>
        <v/>
      </c>
      <c r="X515" s="80" t="n">
        <f aca="false">IF(AND(OR($A515&lt;&gt;"",$E515&lt;&gt;""),$O515&lt;&gt;"Cancelled",ISNUMBER($E515),N($F515)+N($H515)&gt;$E515+0.005),1,0)</f>
        <v>0</v>
      </c>
      <c r="Y515" s="80" t="n">
        <f aca="false">IF(AND(OR($A515&lt;&gt;"",$E515&lt;&gt;""),OR($A515="",$E515="")),1,0)</f>
        <v>0</v>
      </c>
      <c r="Z515" s="80" t="n">
        <f aca="false">IF(AND($A515&lt;&gt;"",COUNTIF($A$7:$A$1006,$A515)&gt;1),1,0)</f>
        <v>0</v>
      </c>
    </row>
    <row r="516" customFormat="false" ht="15" hidden="false" customHeight="false" outlineLevel="0" collapsed="false">
      <c r="A516" s="71"/>
      <c r="B516" s="72"/>
      <c r="C516" s="73"/>
      <c r="D516" s="73"/>
      <c r="E516" s="74"/>
      <c r="F516" s="74"/>
      <c r="G516" s="72"/>
      <c r="H516" s="74"/>
      <c r="I516" s="72"/>
      <c r="J516" s="73"/>
      <c r="K516" s="73"/>
      <c r="L516" s="75" t="str">
        <f aca="false">IF(OR($A516&lt;&gt;"",$E516&lt;&gt;""),N($F516)+N($H516),"")</f>
        <v/>
      </c>
      <c r="M516" s="76" t="str">
        <f aca="false">IF(OR($O516="",$O516="Cancelled",$O516="Amount missing"),"",IF($O516="Realised",0,$E516-N($F516)-N($H516)))</f>
        <v/>
      </c>
      <c r="N516" s="77" t="str">
        <f aca="false">IF(OR($M516="",FX=""),"",$M516*FX)</f>
        <v/>
      </c>
      <c r="O516" s="78" t="str">
        <f aca="false">IF(NOT(OR($A516&lt;&gt;"",$E516&lt;&gt;"")),"",IF($J516="Cancelled","Cancelled",IF($E516="","Amount missing",IF(OR($J516="Settled",$E516-N($F516)-N($H516)&lt;=0.005),"Realised",IF(N($H516)&gt;0,"Part realised",IF(N($F516)&gt;0,"Advance received","On hand"))))))</f>
        <v/>
      </c>
      <c r="P516" s="79" t="str">
        <f aca="false">IF(AND($V516=1,ISNUMBER($B516)),AsAt-$B516,"")</f>
        <v/>
      </c>
      <c r="Q516" s="78" t="str">
        <f aca="false">IF($V516&lt;&gt;1,"",IF($P516="","No invoice date",IF($P516&lt;=30,"0–30 days",IF($P516&lt;=60,"31–60 days",IF($P516&lt;=90,"61–90 days","Over 90 days")))))</f>
        <v/>
      </c>
      <c r="R516" s="80" t="str">
        <f aca="false">IF($V516=1,ROW(),"")</f>
        <v/>
      </c>
      <c r="S516" s="80" t="str">
        <f aca="false">IF(OR($A516&lt;&gt;"",$E516&lt;&gt;""),IF(TRIM($D516)="","Buyer not noted",TRIM($D516)),"")</f>
        <v/>
      </c>
      <c r="T516" s="80" t="n">
        <f aca="false">IF(AND($V516=1,ISNUMBER($M516)),$M516,0)</f>
        <v>0</v>
      </c>
      <c r="U516" s="80" t="str">
        <f aca="false">IF($V516=1,IF(COUNTIFS($S$7:$S516,$S516,$V$7:$V516,1)=1,SUMIFS($T$7:$T$1006,$S$7:$S$1006,$S516)-ROW()/1000000000,""),"")</f>
        <v/>
      </c>
      <c r="V516" s="80" t="n">
        <f aca="false">IF(OR($O516="On hand",$O516="Advance received",$O516="Part realised",$O516="Amount missing"),1,0)</f>
        <v>0</v>
      </c>
      <c r="W516" s="80" t="str">
        <f aca="false">IF(AND($V516=1,N($F516)&gt;0),ROW(),"")</f>
        <v/>
      </c>
      <c r="X516" s="80" t="n">
        <f aca="false">IF(AND(OR($A516&lt;&gt;"",$E516&lt;&gt;""),$O516&lt;&gt;"Cancelled",ISNUMBER($E516),N($F516)+N($H516)&gt;$E516+0.005),1,0)</f>
        <v>0</v>
      </c>
      <c r="Y516" s="80" t="n">
        <f aca="false">IF(AND(OR($A516&lt;&gt;"",$E516&lt;&gt;""),OR($A516="",$E516="")),1,0)</f>
        <v>0</v>
      </c>
      <c r="Z516" s="80" t="n">
        <f aca="false">IF(AND($A516&lt;&gt;"",COUNTIF($A$7:$A$1006,$A516)&gt;1),1,0)</f>
        <v>0</v>
      </c>
    </row>
    <row r="517" customFormat="false" ht="15" hidden="false" customHeight="false" outlineLevel="0" collapsed="false">
      <c r="A517" s="71"/>
      <c r="B517" s="72"/>
      <c r="C517" s="73"/>
      <c r="D517" s="73"/>
      <c r="E517" s="74"/>
      <c r="F517" s="74"/>
      <c r="G517" s="72"/>
      <c r="H517" s="74"/>
      <c r="I517" s="72"/>
      <c r="J517" s="73"/>
      <c r="K517" s="73"/>
      <c r="L517" s="75" t="str">
        <f aca="false">IF(OR($A517&lt;&gt;"",$E517&lt;&gt;""),N($F517)+N($H517),"")</f>
        <v/>
      </c>
      <c r="M517" s="76" t="str">
        <f aca="false">IF(OR($O517="",$O517="Cancelled",$O517="Amount missing"),"",IF($O517="Realised",0,$E517-N($F517)-N($H517)))</f>
        <v/>
      </c>
      <c r="N517" s="77" t="str">
        <f aca="false">IF(OR($M517="",FX=""),"",$M517*FX)</f>
        <v/>
      </c>
      <c r="O517" s="78" t="str">
        <f aca="false">IF(NOT(OR($A517&lt;&gt;"",$E517&lt;&gt;"")),"",IF($J517="Cancelled","Cancelled",IF($E517="","Amount missing",IF(OR($J517="Settled",$E517-N($F517)-N($H517)&lt;=0.005),"Realised",IF(N($H517)&gt;0,"Part realised",IF(N($F517)&gt;0,"Advance received","On hand"))))))</f>
        <v/>
      </c>
      <c r="P517" s="79" t="str">
        <f aca="false">IF(AND($V517=1,ISNUMBER($B517)),AsAt-$B517,"")</f>
        <v/>
      </c>
      <c r="Q517" s="78" t="str">
        <f aca="false">IF($V517&lt;&gt;1,"",IF($P517="","No invoice date",IF($P517&lt;=30,"0–30 days",IF($P517&lt;=60,"31–60 days",IF($P517&lt;=90,"61–90 days","Over 90 days")))))</f>
        <v/>
      </c>
      <c r="R517" s="80" t="str">
        <f aca="false">IF($V517=1,ROW(),"")</f>
        <v/>
      </c>
      <c r="S517" s="80" t="str">
        <f aca="false">IF(OR($A517&lt;&gt;"",$E517&lt;&gt;""),IF(TRIM($D517)="","Buyer not noted",TRIM($D517)),"")</f>
        <v/>
      </c>
      <c r="T517" s="80" t="n">
        <f aca="false">IF(AND($V517=1,ISNUMBER($M517)),$M517,0)</f>
        <v>0</v>
      </c>
      <c r="U517" s="80" t="str">
        <f aca="false">IF($V517=1,IF(COUNTIFS($S$7:$S517,$S517,$V$7:$V517,1)=1,SUMIFS($T$7:$T$1006,$S$7:$S$1006,$S517)-ROW()/1000000000,""),"")</f>
        <v/>
      </c>
      <c r="V517" s="80" t="n">
        <f aca="false">IF(OR($O517="On hand",$O517="Advance received",$O517="Part realised",$O517="Amount missing"),1,0)</f>
        <v>0</v>
      </c>
      <c r="W517" s="80" t="str">
        <f aca="false">IF(AND($V517=1,N($F517)&gt;0),ROW(),"")</f>
        <v/>
      </c>
      <c r="X517" s="80" t="n">
        <f aca="false">IF(AND(OR($A517&lt;&gt;"",$E517&lt;&gt;""),$O517&lt;&gt;"Cancelled",ISNUMBER($E517),N($F517)+N($H517)&gt;$E517+0.005),1,0)</f>
        <v>0</v>
      </c>
      <c r="Y517" s="80" t="n">
        <f aca="false">IF(AND(OR($A517&lt;&gt;"",$E517&lt;&gt;""),OR($A517="",$E517="")),1,0)</f>
        <v>0</v>
      </c>
      <c r="Z517" s="80" t="n">
        <f aca="false">IF(AND($A517&lt;&gt;"",COUNTIF($A$7:$A$1006,$A517)&gt;1),1,0)</f>
        <v>0</v>
      </c>
    </row>
    <row r="518" customFormat="false" ht="15" hidden="false" customHeight="false" outlineLevel="0" collapsed="false">
      <c r="A518" s="71"/>
      <c r="B518" s="72"/>
      <c r="C518" s="73"/>
      <c r="D518" s="73"/>
      <c r="E518" s="74"/>
      <c r="F518" s="74"/>
      <c r="G518" s="72"/>
      <c r="H518" s="74"/>
      <c r="I518" s="72"/>
      <c r="J518" s="73"/>
      <c r="K518" s="73"/>
      <c r="L518" s="75" t="str">
        <f aca="false">IF(OR($A518&lt;&gt;"",$E518&lt;&gt;""),N($F518)+N($H518),"")</f>
        <v/>
      </c>
      <c r="M518" s="76" t="str">
        <f aca="false">IF(OR($O518="",$O518="Cancelled",$O518="Amount missing"),"",IF($O518="Realised",0,$E518-N($F518)-N($H518)))</f>
        <v/>
      </c>
      <c r="N518" s="77" t="str">
        <f aca="false">IF(OR($M518="",FX=""),"",$M518*FX)</f>
        <v/>
      </c>
      <c r="O518" s="78" t="str">
        <f aca="false">IF(NOT(OR($A518&lt;&gt;"",$E518&lt;&gt;"")),"",IF($J518="Cancelled","Cancelled",IF($E518="","Amount missing",IF(OR($J518="Settled",$E518-N($F518)-N($H518)&lt;=0.005),"Realised",IF(N($H518)&gt;0,"Part realised",IF(N($F518)&gt;0,"Advance received","On hand"))))))</f>
        <v/>
      </c>
      <c r="P518" s="79" t="str">
        <f aca="false">IF(AND($V518=1,ISNUMBER($B518)),AsAt-$B518,"")</f>
        <v/>
      </c>
      <c r="Q518" s="78" t="str">
        <f aca="false">IF($V518&lt;&gt;1,"",IF($P518="","No invoice date",IF($P518&lt;=30,"0–30 days",IF($P518&lt;=60,"31–60 days",IF($P518&lt;=90,"61–90 days","Over 90 days")))))</f>
        <v/>
      </c>
      <c r="R518" s="80" t="str">
        <f aca="false">IF($V518=1,ROW(),"")</f>
        <v/>
      </c>
      <c r="S518" s="80" t="str">
        <f aca="false">IF(OR($A518&lt;&gt;"",$E518&lt;&gt;""),IF(TRIM($D518)="","Buyer not noted",TRIM($D518)),"")</f>
        <v/>
      </c>
      <c r="T518" s="80" t="n">
        <f aca="false">IF(AND($V518=1,ISNUMBER($M518)),$M518,0)</f>
        <v>0</v>
      </c>
      <c r="U518" s="80" t="str">
        <f aca="false">IF($V518=1,IF(COUNTIFS($S$7:$S518,$S518,$V$7:$V518,1)=1,SUMIFS($T$7:$T$1006,$S$7:$S$1006,$S518)-ROW()/1000000000,""),"")</f>
        <v/>
      </c>
      <c r="V518" s="80" t="n">
        <f aca="false">IF(OR($O518="On hand",$O518="Advance received",$O518="Part realised",$O518="Amount missing"),1,0)</f>
        <v>0</v>
      </c>
      <c r="W518" s="80" t="str">
        <f aca="false">IF(AND($V518=1,N($F518)&gt;0),ROW(),"")</f>
        <v/>
      </c>
      <c r="X518" s="80" t="n">
        <f aca="false">IF(AND(OR($A518&lt;&gt;"",$E518&lt;&gt;""),$O518&lt;&gt;"Cancelled",ISNUMBER($E518),N($F518)+N($H518)&gt;$E518+0.005),1,0)</f>
        <v>0</v>
      </c>
      <c r="Y518" s="80" t="n">
        <f aca="false">IF(AND(OR($A518&lt;&gt;"",$E518&lt;&gt;""),OR($A518="",$E518="")),1,0)</f>
        <v>0</v>
      </c>
      <c r="Z518" s="80" t="n">
        <f aca="false">IF(AND($A518&lt;&gt;"",COUNTIF($A$7:$A$1006,$A518)&gt;1),1,0)</f>
        <v>0</v>
      </c>
    </row>
    <row r="519" customFormat="false" ht="15" hidden="false" customHeight="false" outlineLevel="0" collapsed="false">
      <c r="A519" s="71"/>
      <c r="B519" s="72"/>
      <c r="C519" s="73"/>
      <c r="D519" s="73"/>
      <c r="E519" s="74"/>
      <c r="F519" s="74"/>
      <c r="G519" s="72"/>
      <c r="H519" s="74"/>
      <c r="I519" s="72"/>
      <c r="J519" s="73"/>
      <c r="K519" s="73"/>
      <c r="L519" s="75" t="str">
        <f aca="false">IF(OR($A519&lt;&gt;"",$E519&lt;&gt;""),N($F519)+N($H519),"")</f>
        <v/>
      </c>
      <c r="M519" s="76" t="str">
        <f aca="false">IF(OR($O519="",$O519="Cancelled",$O519="Amount missing"),"",IF($O519="Realised",0,$E519-N($F519)-N($H519)))</f>
        <v/>
      </c>
      <c r="N519" s="77" t="str">
        <f aca="false">IF(OR($M519="",FX=""),"",$M519*FX)</f>
        <v/>
      </c>
      <c r="O519" s="78" t="str">
        <f aca="false">IF(NOT(OR($A519&lt;&gt;"",$E519&lt;&gt;"")),"",IF($J519="Cancelled","Cancelled",IF($E519="","Amount missing",IF(OR($J519="Settled",$E519-N($F519)-N($H519)&lt;=0.005),"Realised",IF(N($H519)&gt;0,"Part realised",IF(N($F519)&gt;0,"Advance received","On hand"))))))</f>
        <v/>
      </c>
      <c r="P519" s="79" t="str">
        <f aca="false">IF(AND($V519=1,ISNUMBER($B519)),AsAt-$B519,"")</f>
        <v/>
      </c>
      <c r="Q519" s="78" t="str">
        <f aca="false">IF($V519&lt;&gt;1,"",IF($P519="","No invoice date",IF($P519&lt;=30,"0–30 days",IF($P519&lt;=60,"31–60 days",IF($P519&lt;=90,"61–90 days","Over 90 days")))))</f>
        <v/>
      </c>
      <c r="R519" s="80" t="str">
        <f aca="false">IF($V519=1,ROW(),"")</f>
        <v/>
      </c>
      <c r="S519" s="80" t="str">
        <f aca="false">IF(OR($A519&lt;&gt;"",$E519&lt;&gt;""),IF(TRIM($D519)="","Buyer not noted",TRIM($D519)),"")</f>
        <v/>
      </c>
      <c r="T519" s="80" t="n">
        <f aca="false">IF(AND($V519=1,ISNUMBER($M519)),$M519,0)</f>
        <v>0</v>
      </c>
      <c r="U519" s="80" t="str">
        <f aca="false">IF($V519=1,IF(COUNTIFS($S$7:$S519,$S519,$V$7:$V519,1)=1,SUMIFS($T$7:$T$1006,$S$7:$S$1006,$S519)-ROW()/1000000000,""),"")</f>
        <v/>
      </c>
      <c r="V519" s="80" t="n">
        <f aca="false">IF(OR($O519="On hand",$O519="Advance received",$O519="Part realised",$O519="Amount missing"),1,0)</f>
        <v>0</v>
      </c>
      <c r="W519" s="80" t="str">
        <f aca="false">IF(AND($V519=1,N($F519)&gt;0),ROW(),"")</f>
        <v/>
      </c>
      <c r="X519" s="80" t="n">
        <f aca="false">IF(AND(OR($A519&lt;&gt;"",$E519&lt;&gt;""),$O519&lt;&gt;"Cancelled",ISNUMBER($E519),N($F519)+N($H519)&gt;$E519+0.005),1,0)</f>
        <v>0</v>
      </c>
      <c r="Y519" s="80" t="n">
        <f aca="false">IF(AND(OR($A519&lt;&gt;"",$E519&lt;&gt;""),OR($A519="",$E519="")),1,0)</f>
        <v>0</v>
      </c>
      <c r="Z519" s="80" t="n">
        <f aca="false">IF(AND($A519&lt;&gt;"",COUNTIF($A$7:$A$1006,$A519)&gt;1),1,0)</f>
        <v>0</v>
      </c>
    </row>
    <row r="520" customFormat="false" ht="15" hidden="false" customHeight="false" outlineLevel="0" collapsed="false">
      <c r="A520" s="71"/>
      <c r="B520" s="72"/>
      <c r="C520" s="73"/>
      <c r="D520" s="73"/>
      <c r="E520" s="74"/>
      <c r="F520" s="74"/>
      <c r="G520" s="72"/>
      <c r="H520" s="74"/>
      <c r="I520" s="72"/>
      <c r="J520" s="73"/>
      <c r="K520" s="73"/>
      <c r="L520" s="75" t="str">
        <f aca="false">IF(OR($A520&lt;&gt;"",$E520&lt;&gt;""),N($F520)+N($H520),"")</f>
        <v/>
      </c>
      <c r="M520" s="76" t="str">
        <f aca="false">IF(OR($O520="",$O520="Cancelled",$O520="Amount missing"),"",IF($O520="Realised",0,$E520-N($F520)-N($H520)))</f>
        <v/>
      </c>
      <c r="N520" s="77" t="str">
        <f aca="false">IF(OR($M520="",FX=""),"",$M520*FX)</f>
        <v/>
      </c>
      <c r="O520" s="78" t="str">
        <f aca="false">IF(NOT(OR($A520&lt;&gt;"",$E520&lt;&gt;"")),"",IF($J520="Cancelled","Cancelled",IF($E520="","Amount missing",IF(OR($J520="Settled",$E520-N($F520)-N($H520)&lt;=0.005),"Realised",IF(N($H520)&gt;0,"Part realised",IF(N($F520)&gt;0,"Advance received","On hand"))))))</f>
        <v/>
      </c>
      <c r="P520" s="79" t="str">
        <f aca="false">IF(AND($V520=1,ISNUMBER($B520)),AsAt-$B520,"")</f>
        <v/>
      </c>
      <c r="Q520" s="78" t="str">
        <f aca="false">IF($V520&lt;&gt;1,"",IF($P520="","No invoice date",IF($P520&lt;=30,"0–30 days",IF($P520&lt;=60,"31–60 days",IF($P520&lt;=90,"61–90 days","Over 90 days")))))</f>
        <v/>
      </c>
      <c r="R520" s="80" t="str">
        <f aca="false">IF($V520=1,ROW(),"")</f>
        <v/>
      </c>
      <c r="S520" s="80" t="str">
        <f aca="false">IF(OR($A520&lt;&gt;"",$E520&lt;&gt;""),IF(TRIM($D520)="","Buyer not noted",TRIM($D520)),"")</f>
        <v/>
      </c>
      <c r="T520" s="80" t="n">
        <f aca="false">IF(AND($V520=1,ISNUMBER($M520)),$M520,0)</f>
        <v>0</v>
      </c>
      <c r="U520" s="80" t="str">
        <f aca="false">IF($V520=1,IF(COUNTIFS($S$7:$S520,$S520,$V$7:$V520,1)=1,SUMIFS($T$7:$T$1006,$S$7:$S$1006,$S520)-ROW()/1000000000,""),"")</f>
        <v/>
      </c>
      <c r="V520" s="80" t="n">
        <f aca="false">IF(OR($O520="On hand",$O520="Advance received",$O520="Part realised",$O520="Amount missing"),1,0)</f>
        <v>0</v>
      </c>
      <c r="W520" s="80" t="str">
        <f aca="false">IF(AND($V520=1,N($F520)&gt;0),ROW(),"")</f>
        <v/>
      </c>
      <c r="X520" s="80" t="n">
        <f aca="false">IF(AND(OR($A520&lt;&gt;"",$E520&lt;&gt;""),$O520&lt;&gt;"Cancelled",ISNUMBER($E520),N($F520)+N($H520)&gt;$E520+0.005),1,0)</f>
        <v>0</v>
      </c>
      <c r="Y520" s="80" t="n">
        <f aca="false">IF(AND(OR($A520&lt;&gt;"",$E520&lt;&gt;""),OR($A520="",$E520="")),1,0)</f>
        <v>0</v>
      </c>
      <c r="Z520" s="80" t="n">
        <f aca="false">IF(AND($A520&lt;&gt;"",COUNTIF($A$7:$A$1006,$A520)&gt;1),1,0)</f>
        <v>0</v>
      </c>
    </row>
    <row r="521" customFormat="false" ht="15" hidden="false" customHeight="false" outlineLevel="0" collapsed="false">
      <c r="A521" s="71"/>
      <c r="B521" s="72"/>
      <c r="C521" s="73"/>
      <c r="D521" s="73"/>
      <c r="E521" s="74"/>
      <c r="F521" s="74"/>
      <c r="G521" s="72"/>
      <c r="H521" s="74"/>
      <c r="I521" s="72"/>
      <c r="J521" s="73"/>
      <c r="K521" s="73"/>
      <c r="L521" s="75" t="str">
        <f aca="false">IF(OR($A521&lt;&gt;"",$E521&lt;&gt;""),N($F521)+N($H521),"")</f>
        <v/>
      </c>
      <c r="M521" s="76" t="str">
        <f aca="false">IF(OR($O521="",$O521="Cancelled",$O521="Amount missing"),"",IF($O521="Realised",0,$E521-N($F521)-N($H521)))</f>
        <v/>
      </c>
      <c r="N521" s="77" t="str">
        <f aca="false">IF(OR($M521="",FX=""),"",$M521*FX)</f>
        <v/>
      </c>
      <c r="O521" s="78" t="str">
        <f aca="false">IF(NOT(OR($A521&lt;&gt;"",$E521&lt;&gt;"")),"",IF($J521="Cancelled","Cancelled",IF($E521="","Amount missing",IF(OR($J521="Settled",$E521-N($F521)-N($H521)&lt;=0.005),"Realised",IF(N($H521)&gt;0,"Part realised",IF(N($F521)&gt;0,"Advance received","On hand"))))))</f>
        <v/>
      </c>
      <c r="P521" s="79" t="str">
        <f aca="false">IF(AND($V521=1,ISNUMBER($B521)),AsAt-$B521,"")</f>
        <v/>
      </c>
      <c r="Q521" s="78" t="str">
        <f aca="false">IF($V521&lt;&gt;1,"",IF($P521="","No invoice date",IF($P521&lt;=30,"0–30 days",IF($P521&lt;=60,"31–60 days",IF($P521&lt;=90,"61–90 days","Over 90 days")))))</f>
        <v/>
      </c>
      <c r="R521" s="80" t="str">
        <f aca="false">IF($V521=1,ROW(),"")</f>
        <v/>
      </c>
      <c r="S521" s="80" t="str">
        <f aca="false">IF(OR($A521&lt;&gt;"",$E521&lt;&gt;""),IF(TRIM($D521)="","Buyer not noted",TRIM($D521)),"")</f>
        <v/>
      </c>
      <c r="T521" s="80" t="n">
        <f aca="false">IF(AND($V521=1,ISNUMBER($M521)),$M521,0)</f>
        <v>0</v>
      </c>
      <c r="U521" s="80" t="str">
        <f aca="false">IF($V521=1,IF(COUNTIFS($S$7:$S521,$S521,$V$7:$V521,1)=1,SUMIFS($T$7:$T$1006,$S$7:$S$1006,$S521)-ROW()/1000000000,""),"")</f>
        <v/>
      </c>
      <c r="V521" s="80" t="n">
        <f aca="false">IF(OR($O521="On hand",$O521="Advance received",$O521="Part realised",$O521="Amount missing"),1,0)</f>
        <v>0</v>
      </c>
      <c r="W521" s="80" t="str">
        <f aca="false">IF(AND($V521=1,N($F521)&gt;0),ROW(),"")</f>
        <v/>
      </c>
      <c r="X521" s="80" t="n">
        <f aca="false">IF(AND(OR($A521&lt;&gt;"",$E521&lt;&gt;""),$O521&lt;&gt;"Cancelled",ISNUMBER($E521),N($F521)+N($H521)&gt;$E521+0.005),1,0)</f>
        <v>0</v>
      </c>
      <c r="Y521" s="80" t="n">
        <f aca="false">IF(AND(OR($A521&lt;&gt;"",$E521&lt;&gt;""),OR($A521="",$E521="")),1,0)</f>
        <v>0</v>
      </c>
      <c r="Z521" s="80" t="n">
        <f aca="false">IF(AND($A521&lt;&gt;"",COUNTIF($A$7:$A$1006,$A521)&gt;1),1,0)</f>
        <v>0</v>
      </c>
    </row>
    <row r="522" customFormat="false" ht="15" hidden="false" customHeight="false" outlineLevel="0" collapsed="false">
      <c r="A522" s="71"/>
      <c r="B522" s="72"/>
      <c r="C522" s="73"/>
      <c r="D522" s="73"/>
      <c r="E522" s="74"/>
      <c r="F522" s="74"/>
      <c r="G522" s="72"/>
      <c r="H522" s="74"/>
      <c r="I522" s="72"/>
      <c r="J522" s="73"/>
      <c r="K522" s="73"/>
      <c r="L522" s="75" t="str">
        <f aca="false">IF(OR($A522&lt;&gt;"",$E522&lt;&gt;""),N($F522)+N($H522),"")</f>
        <v/>
      </c>
      <c r="M522" s="76" t="str">
        <f aca="false">IF(OR($O522="",$O522="Cancelled",$O522="Amount missing"),"",IF($O522="Realised",0,$E522-N($F522)-N($H522)))</f>
        <v/>
      </c>
      <c r="N522" s="77" t="str">
        <f aca="false">IF(OR($M522="",FX=""),"",$M522*FX)</f>
        <v/>
      </c>
      <c r="O522" s="78" t="str">
        <f aca="false">IF(NOT(OR($A522&lt;&gt;"",$E522&lt;&gt;"")),"",IF($J522="Cancelled","Cancelled",IF($E522="","Amount missing",IF(OR($J522="Settled",$E522-N($F522)-N($H522)&lt;=0.005),"Realised",IF(N($H522)&gt;0,"Part realised",IF(N($F522)&gt;0,"Advance received","On hand"))))))</f>
        <v/>
      </c>
      <c r="P522" s="79" t="str">
        <f aca="false">IF(AND($V522=1,ISNUMBER($B522)),AsAt-$B522,"")</f>
        <v/>
      </c>
      <c r="Q522" s="78" t="str">
        <f aca="false">IF($V522&lt;&gt;1,"",IF($P522="","No invoice date",IF($P522&lt;=30,"0–30 days",IF($P522&lt;=60,"31–60 days",IF($P522&lt;=90,"61–90 days","Over 90 days")))))</f>
        <v/>
      </c>
      <c r="R522" s="80" t="str">
        <f aca="false">IF($V522=1,ROW(),"")</f>
        <v/>
      </c>
      <c r="S522" s="80" t="str">
        <f aca="false">IF(OR($A522&lt;&gt;"",$E522&lt;&gt;""),IF(TRIM($D522)="","Buyer not noted",TRIM($D522)),"")</f>
        <v/>
      </c>
      <c r="T522" s="80" t="n">
        <f aca="false">IF(AND($V522=1,ISNUMBER($M522)),$M522,0)</f>
        <v>0</v>
      </c>
      <c r="U522" s="80" t="str">
        <f aca="false">IF($V522=1,IF(COUNTIFS($S$7:$S522,$S522,$V$7:$V522,1)=1,SUMIFS($T$7:$T$1006,$S$7:$S$1006,$S522)-ROW()/1000000000,""),"")</f>
        <v/>
      </c>
      <c r="V522" s="80" t="n">
        <f aca="false">IF(OR($O522="On hand",$O522="Advance received",$O522="Part realised",$O522="Amount missing"),1,0)</f>
        <v>0</v>
      </c>
      <c r="W522" s="80" t="str">
        <f aca="false">IF(AND($V522=1,N($F522)&gt;0),ROW(),"")</f>
        <v/>
      </c>
      <c r="X522" s="80" t="n">
        <f aca="false">IF(AND(OR($A522&lt;&gt;"",$E522&lt;&gt;""),$O522&lt;&gt;"Cancelled",ISNUMBER($E522),N($F522)+N($H522)&gt;$E522+0.005),1,0)</f>
        <v>0</v>
      </c>
      <c r="Y522" s="80" t="n">
        <f aca="false">IF(AND(OR($A522&lt;&gt;"",$E522&lt;&gt;""),OR($A522="",$E522="")),1,0)</f>
        <v>0</v>
      </c>
      <c r="Z522" s="80" t="n">
        <f aca="false">IF(AND($A522&lt;&gt;"",COUNTIF($A$7:$A$1006,$A522)&gt;1),1,0)</f>
        <v>0</v>
      </c>
    </row>
    <row r="523" customFormat="false" ht="15" hidden="false" customHeight="false" outlineLevel="0" collapsed="false">
      <c r="A523" s="71"/>
      <c r="B523" s="72"/>
      <c r="C523" s="73"/>
      <c r="D523" s="73"/>
      <c r="E523" s="74"/>
      <c r="F523" s="74"/>
      <c r="G523" s="72"/>
      <c r="H523" s="74"/>
      <c r="I523" s="72"/>
      <c r="J523" s="73"/>
      <c r="K523" s="73"/>
      <c r="L523" s="75" t="str">
        <f aca="false">IF(OR($A523&lt;&gt;"",$E523&lt;&gt;""),N($F523)+N($H523),"")</f>
        <v/>
      </c>
      <c r="M523" s="76" t="str">
        <f aca="false">IF(OR($O523="",$O523="Cancelled",$O523="Amount missing"),"",IF($O523="Realised",0,$E523-N($F523)-N($H523)))</f>
        <v/>
      </c>
      <c r="N523" s="77" t="str">
        <f aca="false">IF(OR($M523="",FX=""),"",$M523*FX)</f>
        <v/>
      </c>
      <c r="O523" s="78" t="str">
        <f aca="false">IF(NOT(OR($A523&lt;&gt;"",$E523&lt;&gt;"")),"",IF($J523="Cancelled","Cancelled",IF($E523="","Amount missing",IF(OR($J523="Settled",$E523-N($F523)-N($H523)&lt;=0.005),"Realised",IF(N($H523)&gt;0,"Part realised",IF(N($F523)&gt;0,"Advance received","On hand"))))))</f>
        <v/>
      </c>
      <c r="P523" s="79" t="str">
        <f aca="false">IF(AND($V523=1,ISNUMBER($B523)),AsAt-$B523,"")</f>
        <v/>
      </c>
      <c r="Q523" s="78" t="str">
        <f aca="false">IF($V523&lt;&gt;1,"",IF($P523="","No invoice date",IF($P523&lt;=30,"0–30 days",IF($P523&lt;=60,"31–60 days",IF($P523&lt;=90,"61–90 days","Over 90 days")))))</f>
        <v/>
      </c>
      <c r="R523" s="80" t="str">
        <f aca="false">IF($V523=1,ROW(),"")</f>
        <v/>
      </c>
      <c r="S523" s="80" t="str">
        <f aca="false">IF(OR($A523&lt;&gt;"",$E523&lt;&gt;""),IF(TRIM($D523)="","Buyer not noted",TRIM($D523)),"")</f>
        <v/>
      </c>
      <c r="T523" s="80" t="n">
        <f aca="false">IF(AND($V523=1,ISNUMBER($M523)),$M523,0)</f>
        <v>0</v>
      </c>
      <c r="U523" s="80" t="str">
        <f aca="false">IF($V523=1,IF(COUNTIFS($S$7:$S523,$S523,$V$7:$V523,1)=1,SUMIFS($T$7:$T$1006,$S$7:$S$1006,$S523)-ROW()/1000000000,""),"")</f>
        <v/>
      </c>
      <c r="V523" s="80" t="n">
        <f aca="false">IF(OR($O523="On hand",$O523="Advance received",$O523="Part realised",$O523="Amount missing"),1,0)</f>
        <v>0</v>
      </c>
      <c r="W523" s="80" t="str">
        <f aca="false">IF(AND($V523=1,N($F523)&gt;0),ROW(),"")</f>
        <v/>
      </c>
      <c r="X523" s="80" t="n">
        <f aca="false">IF(AND(OR($A523&lt;&gt;"",$E523&lt;&gt;""),$O523&lt;&gt;"Cancelled",ISNUMBER($E523),N($F523)+N($H523)&gt;$E523+0.005),1,0)</f>
        <v>0</v>
      </c>
      <c r="Y523" s="80" t="n">
        <f aca="false">IF(AND(OR($A523&lt;&gt;"",$E523&lt;&gt;""),OR($A523="",$E523="")),1,0)</f>
        <v>0</v>
      </c>
      <c r="Z523" s="80" t="n">
        <f aca="false">IF(AND($A523&lt;&gt;"",COUNTIF($A$7:$A$1006,$A523)&gt;1),1,0)</f>
        <v>0</v>
      </c>
    </row>
    <row r="524" customFormat="false" ht="15" hidden="false" customHeight="false" outlineLevel="0" collapsed="false">
      <c r="A524" s="71"/>
      <c r="B524" s="72"/>
      <c r="C524" s="73"/>
      <c r="D524" s="73"/>
      <c r="E524" s="74"/>
      <c r="F524" s="74"/>
      <c r="G524" s="72"/>
      <c r="H524" s="74"/>
      <c r="I524" s="72"/>
      <c r="J524" s="73"/>
      <c r="K524" s="73"/>
      <c r="L524" s="75" t="str">
        <f aca="false">IF(OR($A524&lt;&gt;"",$E524&lt;&gt;""),N($F524)+N($H524),"")</f>
        <v/>
      </c>
      <c r="M524" s="76" t="str">
        <f aca="false">IF(OR($O524="",$O524="Cancelled",$O524="Amount missing"),"",IF($O524="Realised",0,$E524-N($F524)-N($H524)))</f>
        <v/>
      </c>
      <c r="N524" s="77" t="str">
        <f aca="false">IF(OR($M524="",FX=""),"",$M524*FX)</f>
        <v/>
      </c>
      <c r="O524" s="78" t="str">
        <f aca="false">IF(NOT(OR($A524&lt;&gt;"",$E524&lt;&gt;"")),"",IF($J524="Cancelled","Cancelled",IF($E524="","Amount missing",IF(OR($J524="Settled",$E524-N($F524)-N($H524)&lt;=0.005),"Realised",IF(N($H524)&gt;0,"Part realised",IF(N($F524)&gt;0,"Advance received","On hand"))))))</f>
        <v/>
      </c>
      <c r="P524" s="79" t="str">
        <f aca="false">IF(AND($V524=1,ISNUMBER($B524)),AsAt-$B524,"")</f>
        <v/>
      </c>
      <c r="Q524" s="78" t="str">
        <f aca="false">IF($V524&lt;&gt;1,"",IF($P524="","No invoice date",IF($P524&lt;=30,"0–30 days",IF($P524&lt;=60,"31–60 days",IF($P524&lt;=90,"61–90 days","Over 90 days")))))</f>
        <v/>
      </c>
      <c r="R524" s="80" t="str">
        <f aca="false">IF($V524=1,ROW(),"")</f>
        <v/>
      </c>
      <c r="S524" s="80" t="str">
        <f aca="false">IF(OR($A524&lt;&gt;"",$E524&lt;&gt;""),IF(TRIM($D524)="","Buyer not noted",TRIM($D524)),"")</f>
        <v/>
      </c>
      <c r="T524" s="80" t="n">
        <f aca="false">IF(AND($V524=1,ISNUMBER($M524)),$M524,0)</f>
        <v>0</v>
      </c>
      <c r="U524" s="80" t="str">
        <f aca="false">IF($V524=1,IF(COUNTIFS($S$7:$S524,$S524,$V$7:$V524,1)=1,SUMIFS($T$7:$T$1006,$S$7:$S$1006,$S524)-ROW()/1000000000,""),"")</f>
        <v/>
      </c>
      <c r="V524" s="80" t="n">
        <f aca="false">IF(OR($O524="On hand",$O524="Advance received",$O524="Part realised",$O524="Amount missing"),1,0)</f>
        <v>0</v>
      </c>
      <c r="W524" s="80" t="str">
        <f aca="false">IF(AND($V524=1,N($F524)&gt;0),ROW(),"")</f>
        <v/>
      </c>
      <c r="X524" s="80" t="n">
        <f aca="false">IF(AND(OR($A524&lt;&gt;"",$E524&lt;&gt;""),$O524&lt;&gt;"Cancelled",ISNUMBER($E524),N($F524)+N($H524)&gt;$E524+0.005),1,0)</f>
        <v>0</v>
      </c>
      <c r="Y524" s="80" t="n">
        <f aca="false">IF(AND(OR($A524&lt;&gt;"",$E524&lt;&gt;""),OR($A524="",$E524="")),1,0)</f>
        <v>0</v>
      </c>
      <c r="Z524" s="80" t="n">
        <f aca="false">IF(AND($A524&lt;&gt;"",COUNTIF($A$7:$A$1006,$A524)&gt;1),1,0)</f>
        <v>0</v>
      </c>
    </row>
    <row r="525" customFormat="false" ht="15" hidden="false" customHeight="false" outlineLevel="0" collapsed="false">
      <c r="A525" s="71"/>
      <c r="B525" s="72"/>
      <c r="C525" s="73"/>
      <c r="D525" s="73"/>
      <c r="E525" s="74"/>
      <c r="F525" s="74"/>
      <c r="G525" s="72"/>
      <c r="H525" s="74"/>
      <c r="I525" s="72"/>
      <c r="J525" s="73"/>
      <c r="K525" s="73"/>
      <c r="L525" s="75" t="str">
        <f aca="false">IF(OR($A525&lt;&gt;"",$E525&lt;&gt;""),N($F525)+N($H525),"")</f>
        <v/>
      </c>
      <c r="M525" s="76" t="str">
        <f aca="false">IF(OR($O525="",$O525="Cancelled",$O525="Amount missing"),"",IF($O525="Realised",0,$E525-N($F525)-N($H525)))</f>
        <v/>
      </c>
      <c r="N525" s="77" t="str">
        <f aca="false">IF(OR($M525="",FX=""),"",$M525*FX)</f>
        <v/>
      </c>
      <c r="O525" s="78" t="str">
        <f aca="false">IF(NOT(OR($A525&lt;&gt;"",$E525&lt;&gt;"")),"",IF($J525="Cancelled","Cancelled",IF($E525="","Amount missing",IF(OR($J525="Settled",$E525-N($F525)-N($H525)&lt;=0.005),"Realised",IF(N($H525)&gt;0,"Part realised",IF(N($F525)&gt;0,"Advance received","On hand"))))))</f>
        <v/>
      </c>
      <c r="P525" s="79" t="str">
        <f aca="false">IF(AND($V525=1,ISNUMBER($B525)),AsAt-$B525,"")</f>
        <v/>
      </c>
      <c r="Q525" s="78" t="str">
        <f aca="false">IF($V525&lt;&gt;1,"",IF($P525="","No invoice date",IF($P525&lt;=30,"0–30 days",IF($P525&lt;=60,"31–60 days",IF($P525&lt;=90,"61–90 days","Over 90 days")))))</f>
        <v/>
      </c>
      <c r="R525" s="80" t="str">
        <f aca="false">IF($V525=1,ROW(),"")</f>
        <v/>
      </c>
      <c r="S525" s="80" t="str">
        <f aca="false">IF(OR($A525&lt;&gt;"",$E525&lt;&gt;""),IF(TRIM($D525)="","Buyer not noted",TRIM($D525)),"")</f>
        <v/>
      </c>
      <c r="T525" s="80" t="n">
        <f aca="false">IF(AND($V525=1,ISNUMBER($M525)),$M525,0)</f>
        <v>0</v>
      </c>
      <c r="U525" s="80" t="str">
        <f aca="false">IF($V525=1,IF(COUNTIFS($S$7:$S525,$S525,$V$7:$V525,1)=1,SUMIFS($T$7:$T$1006,$S$7:$S$1006,$S525)-ROW()/1000000000,""),"")</f>
        <v/>
      </c>
      <c r="V525" s="80" t="n">
        <f aca="false">IF(OR($O525="On hand",$O525="Advance received",$O525="Part realised",$O525="Amount missing"),1,0)</f>
        <v>0</v>
      </c>
      <c r="W525" s="80" t="str">
        <f aca="false">IF(AND($V525=1,N($F525)&gt;0),ROW(),"")</f>
        <v/>
      </c>
      <c r="X525" s="80" t="n">
        <f aca="false">IF(AND(OR($A525&lt;&gt;"",$E525&lt;&gt;""),$O525&lt;&gt;"Cancelled",ISNUMBER($E525),N($F525)+N($H525)&gt;$E525+0.005),1,0)</f>
        <v>0</v>
      </c>
      <c r="Y525" s="80" t="n">
        <f aca="false">IF(AND(OR($A525&lt;&gt;"",$E525&lt;&gt;""),OR($A525="",$E525="")),1,0)</f>
        <v>0</v>
      </c>
      <c r="Z525" s="80" t="n">
        <f aca="false">IF(AND($A525&lt;&gt;"",COUNTIF($A$7:$A$1006,$A525)&gt;1),1,0)</f>
        <v>0</v>
      </c>
    </row>
    <row r="526" customFormat="false" ht="15" hidden="false" customHeight="false" outlineLevel="0" collapsed="false">
      <c r="A526" s="71"/>
      <c r="B526" s="72"/>
      <c r="C526" s="73"/>
      <c r="D526" s="73"/>
      <c r="E526" s="74"/>
      <c r="F526" s="74"/>
      <c r="G526" s="72"/>
      <c r="H526" s="74"/>
      <c r="I526" s="72"/>
      <c r="J526" s="73"/>
      <c r="K526" s="73"/>
      <c r="L526" s="75" t="str">
        <f aca="false">IF(OR($A526&lt;&gt;"",$E526&lt;&gt;""),N($F526)+N($H526),"")</f>
        <v/>
      </c>
      <c r="M526" s="76" t="str">
        <f aca="false">IF(OR($O526="",$O526="Cancelled",$O526="Amount missing"),"",IF($O526="Realised",0,$E526-N($F526)-N($H526)))</f>
        <v/>
      </c>
      <c r="N526" s="77" t="str">
        <f aca="false">IF(OR($M526="",FX=""),"",$M526*FX)</f>
        <v/>
      </c>
      <c r="O526" s="78" t="str">
        <f aca="false">IF(NOT(OR($A526&lt;&gt;"",$E526&lt;&gt;"")),"",IF($J526="Cancelled","Cancelled",IF($E526="","Amount missing",IF(OR($J526="Settled",$E526-N($F526)-N($H526)&lt;=0.005),"Realised",IF(N($H526)&gt;0,"Part realised",IF(N($F526)&gt;0,"Advance received","On hand"))))))</f>
        <v/>
      </c>
      <c r="P526" s="79" t="str">
        <f aca="false">IF(AND($V526=1,ISNUMBER($B526)),AsAt-$B526,"")</f>
        <v/>
      </c>
      <c r="Q526" s="78" t="str">
        <f aca="false">IF($V526&lt;&gt;1,"",IF($P526="","No invoice date",IF($P526&lt;=30,"0–30 days",IF($P526&lt;=60,"31–60 days",IF($P526&lt;=90,"61–90 days","Over 90 days")))))</f>
        <v/>
      </c>
      <c r="R526" s="80" t="str">
        <f aca="false">IF($V526=1,ROW(),"")</f>
        <v/>
      </c>
      <c r="S526" s="80" t="str">
        <f aca="false">IF(OR($A526&lt;&gt;"",$E526&lt;&gt;""),IF(TRIM($D526)="","Buyer not noted",TRIM($D526)),"")</f>
        <v/>
      </c>
      <c r="T526" s="80" t="n">
        <f aca="false">IF(AND($V526=1,ISNUMBER($M526)),$M526,0)</f>
        <v>0</v>
      </c>
      <c r="U526" s="80" t="str">
        <f aca="false">IF($V526=1,IF(COUNTIFS($S$7:$S526,$S526,$V$7:$V526,1)=1,SUMIFS($T$7:$T$1006,$S$7:$S$1006,$S526)-ROW()/1000000000,""),"")</f>
        <v/>
      </c>
      <c r="V526" s="80" t="n">
        <f aca="false">IF(OR($O526="On hand",$O526="Advance received",$O526="Part realised",$O526="Amount missing"),1,0)</f>
        <v>0</v>
      </c>
      <c r="W526" s="80" t="str">
        <f aca="false">IF(AND($V526=1,N($F526)&gt;0),ROW(),"")</f>
        <v/>
      </c>
      <c r="X526" s="80" t="n">
        <f aca="false">IF(AND(OR($A526&lt;&gt;"",$E526&lt;&gt;""),$O526&lt;&gt;"Cancelled",ISNUMBER($E526),N($F526)+N($H526)&gt;$E526+0.005),1,0)</f>
        <v>0</v>
      </c>
      <c r="Y526" s="80" t="n">
        <f aca="false">IF(AND(OR($A526&lt;&gt;"",$E526&lt;&gt;""),OR($A526="",$E526="")),1,0)</f>
        <v>0</v>
      </c>
      <c r="Z526" s="80" t="n">
        <f aca="false">IF(AND($A526&lt;&gt;"",COUNTIF($A$7:$A$1006,$A526)&gt;1),1,0)</f>
        <v>0</v>
      </c>
    </row>
    <row r="527" customFormat="false" ht="15" hidden="false" customHeight="false" outlineLevel="0" collapsed="false">
      <c r="A527" s="71"/>
      <c r="B527" s="72"/>
      <c r="C527" s="73"/>
      <c r="D527" s="73"/>
      <c r="E527" s="74"/>
      <c r="F527" s="74"/>
      <c r="G527" s="72"/>
      <c r="H527" s="74"/>
      <c r="I527" s="72"/>
      <c r="J527" s="73"/>
      <c r="K527" s="73"/>
      <c r="L527" s="75" t="str">
        <f aca="false">IF(OR($A527&lt;&gt;"",$E527&lt;&gt;""),N($F527)+N($H527),"")</f>
        <v/>
      </c>
      <c r="M527" s="76" t="str">
        <f aca="false">IF(OR($O527="",$O527="Cancelled",$O527="Amount missing"),"",IF($O527="Realised",0,$E527-N($F527)-N($H527)))</f>
        <v/>
      </c>
      <c r="N527" s="77" t="str">
        <f aca="false">IF(OR($M527="",FX=""),"",$M527*FX)</f>
        <v/>
      </c>
      <c r="O527" s="78" t="str">
        <f aca="false">IF(NOT(OR($A527&lt;&gt;"",$E527&lt;&gt;"")),"",IF($J527="Cancelled","Cancelled",IF($E527="","Amount missing",IF(OR($J527="Settled",$E527-N($F527)-N($H527)&lt;=0.005),"Realised",IF(N($H527)&gt;0,"Part realised",IF(N($F527)&gt;0,"Advance received","On hand"))))))</f>
        <v/>
      </c>
      <c r="P527" s="79" t="str">
        <f aca="false">IF(AND($V527=1,ISNUMBER($B527)),AsAt-$B527,"")</f>
        <v/>
      </c>
      <c r="Q527" s="78" t="str">
        <f aca="false">IF($V527&lt;&gt;1,"",IF($P527="","No invoice date",IF($P527&lt;=30,"0–30 days",IF($P527&lt;=60,"31–60 days",IF($P527&lt;=90,"61–90 days","Over 90 days")))))</f>
        <v/>
      </c>
      <c r="R527" s="80" t="str">
        <f aca="false">IF($V527=1,ROW(),"")</f>
        <v/>
      </c>
      <c r="S527" s="80" t="str">
        <f aca="false">IF(OR($A527&lt;&gt;"",$E527&lt;&gt;""),IF(TRIM($D527)="","Buyer not noted",TRIM($D527)),"")</f>
        <v/>
      </c>
      <c r="T527" s="80" t="n">
        <f aca="false">IF(AND($V527=1,ISNUMBER($M527)),$M527,0)</f>
        <v>0</v>
      </c>
      <c r="U527" s="80" t="str">
        <f aca="false">IF($V527=1,IF(COUNTIFS($S$7:$S527,$S527,$V$7:$V527,1)=1,SUMIFS($T$7:$T$1006,$S$7:$S$1006,$S527)-ROW()/1000000000,""),"")</f>
        <v/>
      </c>
      <c r="V527" s="80" t="n">
        <f aca="false">IF(OR($O527="On hand",$O527="Advance received",$O527="Part realised",$O527="Amount missing"),1,0)</f>
        <v>0</v>
      </c>
      <c r="W527" s="80" t="str">
        <f aca="false">IF(AND($V527=1,N($F527)&gt;0),ROW(),"")</f>
        <v/>
      </c>
      <c r="X527" s="80" t="n">
        <f aca="false">IF(AND(OR($A527&lt;&gt;"",$E527&lt;&gt;""),$O527&lt;&gt;"Cancelled",ISNUMBER($E527),N($F527)+N($H527)&gt;$E527+0.005),1,0)</f>
        <v>0</v>
      </c>
      <c r="Y527" s="80" t="n">
        <f aca="false">IF(AND(OR($A527&lt;&gt;"",$E527&lt;&gt;""),OR($A527="",$E527="")),1,0)</f>
        <v>0</v>
      </c>
      <c r="Z527" s="80" t="n">
        <f aca="false">IF(AND($A527&lt;&gt;"",COUNTIF($A$7:$A$1006,$A527)&gt;1),1,0)</f>
        <v>0</v>
      </c>
    </row>
    <row r="528" customFormat="false" ht="15" hidden="false" customHeight="false" outlineLevel="0" collapsed="false">
      <c r="A528" s="71"/>
      <c r="B528" s="72"/>
      <c r="C528" s="73"/>
      <c r="D528" s="73"/>
      <c r="E528" s="74"/>
      <c r="F528" s="74"/>
      <c r="G528" s="72"/>
      <c r="H528" s="74"/>
      <c r="I528" s="72"/>
      <c r="J528" s="73"/>
      <c r="K528" s="73"/>
      <c r="L528" s="75" t="str">
        <f aca="false">IF(OR($A528&lt;&gt;"",$E528&lt;&gt;""),N($F528)+N($H528),"")</f>
        <v/>
      </c>
      <c r="M528" s="76" t="str">
        <f aca="false">IF(OR($O528="",$O528="Cancelled",$O528="Amount missing"),"",IF($O528="Realised",0,$E528-N($F528)-N($H528)))</f>
        <v/>
      </c>
      <c r="N528" s="77" t="str">
        <f aca="false">IF(OR($M528="",FX=""),"",$M528*FX)</f>
        <v/>
      </c>
      <c r="O528" s="78" t="str">
        <f aca="false">IF(NOT(OR($A528&lt;&gt;"",$E528&lt;&gt;"")),"",IF($J528="Cancelled","Cancelled",IF($E528="","Amount missing",IF(OR($J528="Settled",$E528-N($F528)-N($H528)&lt;=0.005),"Realised",IF(N($H528)&gt;0,"Part realised",IF(N($F528)&gt;0,"Advance received","On hand"))))))</f>
        <v/>
      </c>
      <c r="P528" s="79" t="str">
        <f aca="false">IF(AND($V528=1,ISNUMBER($B528)),AsAt-$B528,"")</f>
        <v/>
      </c>
      <c r="Q528" s="78" t="str">
        <f aca="false">IF($V528&lt;&gt;1,"",IF($P528="","No invoice date",IF($P528&lt;=30,"0–30 days",IF($P528&lt;=60,"31–60 days",IF($P528&lt;=90,"61–90 days","Over 90 days")))))</f>
        <v/>
      </c>
      <c r="R528" s="80" t="str">
        <f aca="false">IF($V528=1,ROW(),"")</f>
        <v/>
      </c>
      <c r="S528" s="80" t="str">
        <f aca="false">IF(OR($A528&lt;&gt;"",$E528&lt;&gt;""),IF(TRIM($D528)="","Buyer not noted",TRIM($D528)),"")</f>
        <v/>
      </c>
      <c r="T528" s="80" t="n">
        <f aca="false">IF(AND($V528=1,ISNUMBER($M528)),$M528,0)</f>
        <v>0</v>
      </c>
      <c r="U528" s="80" t="str">
        <f aca="false">IF($V528=1,IF(COUNTIFS($S$7:$S528,$S528,$V$7:$V528,1)=1,SUMIFS($T$7:$T$1006,$S$7:$S$1006,$S528)-ROW()/1000000000,""),"")</f>
        <v/>
      </c>
      <c r="V528" s="80" t="n">
        <f aca="false">IF(OR($O528="On hand",$O528="Advance received",$O528="Part realised",$O528="Amount missing"),1,0)</f>
        <v>0</v>
      </c>
      <c r="W528" s="80" t="str">
        <f aca="false">IF(AND($V528=1,N($F528)&gt;0),ROW(),"")</f>
        <v/>
      </c>
      <c r="X528" s="80" t="n">
        <f aca="false">IF(AND(OR($A528&lt;&gt;"",$E528&lt;&gt;""),$O528&lt;&gt;"Cancelled",ISNUMBER($E528),N($F528)+N($H528)&gt;$E528+0.005),1,0)</f>
        <v>0</v>
      </c>
      <c r="Y528" s="80" t="n">
        <f aca="false">IF(AND(OR($A528&lt;&gt;"",$E528&lt;&gt;""),OR($A528="",$E528="")),1,0)</f>
        <v>0</v>
      </c>
      <c r="Z528" s="80" t="n">
        <f aca="false">IF(AND($A528&lt;&gt;"",COUNTIF($A$7:$A$1006,$A528)&gt;1),1,0)</f>
        <v>0</v>
      </c>
    </row>
    <row r="529" customFormat="false" ht="15" hidden="false" customHeight="false" outlineLevel="0" collapsed="false">
      <c r="A529" s="71"/>
      <c r="B529" s="72"/>
      <c r="C529" s="73"/>
      <c r="D529" s="73"/>
      <c r="E529" s="74"/>
      <c r="F529" s="74"/>
      <c r="G529" s="72"/>
      <c r="H529" s="74"/>
      <c r="I529" s="72"/>
      <c r="J529" s="73"/>
      <c r="K529" s="73"/>
      <c r="L529" s="75" t="str">
        <f aca="false">IF(OR($A529&lt;&gt;"",$E529&lt;&gt;""),N($F529)+N($H529),"")</f>
        <v/>
      </c>
      <c r="M529" s="76" t="str">
        <f aca="false">IF(OR($O529="",$O529="Cancelled",$O529="Amount missing"),"",IF($O529="Realised",0,$E529-N($F529)-N($H529)))</f>
        <v/>
      </c>
      <c r="N529" s="77" t="str">
        <f aca="false">IF(OR($M529="",FX=""),"",$M529*FX)</f>
        <v/>
      </c>
      <c r="O529" s="78" t="str">
        <f aca="false">IF(NOT(OR($A529&lt;&gt;"",$E529&lt;&gt;"")),"",IF($J529="Cancelled","Cancelled",IF($E529="","Amount missing",IF(OR($J529="Settled",$E529-N($F529)-N($H529)&lt;=0.005),"Realised",IF(N($H529)&gt;0,"Part realised",IF(N($F529)&gt;0,"Advance received","On hand"))))))</f>
        <v/>
      </c>
      <c r="P529" s="79" t="str">
        <f aca="false">IF(AND($V529=1,ISNUMBER($B529)),AsAt-$B529,"")</f>
        <v/>
      </c>
      <c r="Q529" s="78" t="str">
        <f aca="false">IF($V529&lt;&gt;1,"",IF($P529="","No invoice date",IF($P529&lt;=30,"0–30 days",IF($P529&lt;=60,"31–60 days",IF($P529&lt;=90,"61–90 days","Over 90 days")))))</f>
        <v/>
      </c>
      <c r="R529" s="80" t="str">
        <f aca="false">IF($V529=1,ROW(),"")</f>
        <v/>
      </c>
      <c r="S529" s="80" t="str">
        <f aca="false">IF(OR($A529&lt;&gt;"",$E529&lt;&gt;""),IF(TRIM($D529)="","Buyer not noted",TRIM($D529)),"")</f>
        <v/>
      </c>
      <c r="T529" s="80" t="n">
        <f aca="false">IF(AND($V529=1,ISNUMBER($M529)),$M529,0)</f>
        <v>0</v>
      </c>
      <c r="U529" s="80" t="str">
        <f aca="false">IF($V529=1,IF(COUNTIFS($S$7:$S529,$S529,$V$7:$V529,1)=1,SUMIFS($T$7:$T$1006,$S$7:$S$1006,$S529)-ROW()/1000000000,""),"")</f>
        <v/>
      </c>
      <c r="V529" s="80" t="n">
        <f aca="false">IF(OR($O529="On hand",$O529="Advance received",$O529="Part realised",$O529="Amount missing"),1,0)</f>
        <v>0</v>
      </c>
      <c r="W529" s="80" t="str">
        <f aca="false">IF(AND($V529=1,N($F529)&gt;0),ROW(),"")</f>
        <v/>
      </c>
      <c r="X529" s="80" t="n">
        <f aca="false">IF(AND(OR($A529&lt;&gt;"",$E529&lt;&gt;""),$O529&lt;&gt;"Cancelled",ISNUMBER($E529),N($F529)+N($H529)&gt;$E529+0.005),1,0)</f>
        <v>0</v>
      </c>
      <c r="Y529" s="80" t="n">
        <f aca="false">IF(AND(OR($A529&lt;&gt;"",$E529&lt;&gt;""),OR($A529="",$E529="")),1,0)</f>
        <v>0</v>
      </c>
      <c r="Z529" s="80" t="n">
        <f aca="false">IF(AND($A529&lt;&gt;"",COUNTIF($A$7:$A$1006,$A529)&gt;1),1,0)</f>
        <v>0</v>
      </c>
    </row>
    <row r="530" customFormat="false" ht="15" hidden="false" customHeight="false" outlineLevel="0" collapsed="false">
      <c r="A530" s="71"/>
      <c r="B530" s="72"/>
      <c r="C530" s="73"/>
      <c r="D530" s="73"/>
      <c r="E530" s="74"/>
      <c r="F530" s="74"/>
      <c r="G530" s="72"/>
      <c r="H530" s="74"/>
      <c r="I530" s="72"/>
      <c r="J530" s="73"/>
      <c r="K530" s="73"/>
      <c r="L530" s="75" t="str">
        <f aca="false">IF(OR($A530&lt;&gt;"",$E530&lt;&gt;""),N($F530)+N($H530),"")</f>
        <v/>
      </c>
      <c r="M530" s="76" t="str">
        <f aca="false">IF(OR($O530="",$O530="Cancelled",$O530="Amount missing"),"",IF($O530="Realised",0,$E530-N($F530)-N($H530)))</f>
        <v/>
      </c>
      <c r="N530" s="77" t="str">
        <f aca="false">IF(OR($M530="",FX=""),"",$M530*FX)</f>
        <v/>
      </c>
      <c r="O530" s="78" t="str">
        <f aca="false">IF(NOT(OR($A530&lt;&gt;"",$E530&lt;&gt;"")),"",IF($J530="Cancelled","Cancelled",IF($E530="","Amount missing",IF(OR($J530="Settled",$E530-N($F530)-N($H530)&lt;=0.005),"Realised",IF(N($H530)&gt;0,"Part realised",IF(N($F530)&gt;0,"Advance received","On hand"))))))</f>
        <v/>
      </c>
      <c r="P530" s="79" t="str">
        <f aca="false">IF(AND($V530=1,ISNUMBER($B530)),AsAt-$B530,"")</f>
        <v/>
      </c>
      <c r="Q530" s="78" t="str">
        <f aca="false">IF($V530&lt;&gt;1,"",IF($P530="","No invoice date",IF($P530&lt;=30,"0–30 days",IF($P530&lt;=60,"31–60 days",IF($P530&lt;=90,"61–90 days","Over 90 days")))))</f>
        <v/>
      </c>
      <c r="R530" s="80" t="str">
        <f aca="false">IF($V530=1,ROW(),"")</f>
        <v/>
      </c>
      <c r="S530" s="80" t="str">
        <f aca="false">IF(OR($A530&lt;&gt;"",$E530&lt;&gt;""),IF(TRIM($D530)="","Buyer not noted",TRIM($D530)),"")</f>
        <v/>
      </c>
      <c r="T530" s="80" t="n">
        <f aca="false">IF(AND($V530=1,ISNUMBER($M530)),$M530,0)</f>
        <v>0</v>
      </c>
      <c r="U530" s="80" t="str">
        <f aca="false">IF($V530=1,IF(COUNTIFS($S$7:$S530,$S530,$V$7:$V530,1)=1,SUMIFS($T$7:$T$1006,$S$7:$S$1006,$S530)-ROW()/1000000000,""),"")</f>
        <v/>
      </c>
      <c r="V530" s="80" t="n">
        <f aca="false">IF(OR($O530="On hand",$O530="Advance received",$O530="Part realised",$O530="Amount missing"),1,0)</f>
        <v>0</v>
      </c>
      <c r="W530" s="80" t="str">
        <f aca="false">IF(AND($V530=1,N($F530)&gt;0),ROW(),"")</f>
        <v/>
      </c>
      <c r="X530" s="80" t="n">
        <f aca="false">IF(AND(OR($A530&lt;&gt;"",$E530&lt;&gt;""),$O530&lt;&gt;"Cancelled",ISNUMBER($E530),N($F530)+N($H530)&gt;$E530+0.005),1,0)</f>
        <v>0</v>
      </c>
      <c r="Y530" s="80" t="n">
        <f aca="false">IF(AND(OR($A530&lt;&gt;"",$E530&lt;&gt;""),OR($A530="",$E530="")),1,0)</f>
        <v>0</v>
      </c>
      <c r="Z530" s="80" t="n">
        <f aca="false">IF(AND($A530&lt;&gt;"",COUNTIF($A$7:$A$1006,$A530)&gt;1),1,0)</f>
        <v>0</v>
      </c>
    </row>
    <row r="531" customFormat="false" ht="15" hidden="false" customHeight="false" outlineLevel="0" collapsed="false">
      <c r="A531" s="71"/>
      <c r="B531" s="72"/>
      <c r="C531" s="73"/>
      <c r="D531" s="73"/>
      <c r="E531" s="74"/>
      <c r="F531" s="74"/>
      <c r="G531" s="72"/>
      <c r="H531" s="74"/>
      <c r="I531" s="72"/>
      <c r="J531" s="73"/>
      <c r="K531" s="73"/>
      <c r="L531" s="75" t="str">
        <f aca="false">IF(OR($A531&lt;&gt;"",$E531&lt;&gt;""),N($F531)+N($H531),"")</f>
        <v/>
      </c>
      <c r="M531" s="76" t="str">
        <f aca="false">IF(OR($O531="",$O531="Cancelled",$O531="Amount missing"),"",IF($O531="Realised",0,$E531-N($F531)-N($H531)))</f>
        <v/>
      </c>
      <c r="N531" s="77" t="str">
        <f aca="false">IF(OR($M531="",FX=""),"",$M531*FX)</f>
        <v/>
      </c>
      <c r="O531" s="78" t="str">
        <f aca="false">IF(NOT(OR($A531&lt;&gt;"",$E531&lt;&gt;"")),"",IF($J531="Cancelled","Cancelled",IF($E531="","Amount missing",IF(OR($J531="Settled",$E531-N($F531)-N($H531)&lt;=0.005),"Realised",IF(N($H531)&gt;0,"Part realised",IF(N($F531)&gt;0,"Advance received","On hand"))))))</f>
        <v/>
      </c>
      <c r="P531" s="79" t="str">
        <f aca="false">IF(AND($V531=1,ISNUMBER($B531)),AsAt-$B531,"")</f>
        <v/>
      </c>
      <c r="Q531" s="78" t="str">
        <f aca="false">IF($V531&lt;&gt;1,"",IF($P531="","No invoice date",IF($P531&lt;=30,"0–30 days",IF($P531&lt;=60,"31–60 days",IF($P531&lt;=90,"61–90 days","Over 90 days")))))</f>
        <v/>
      </c>
      <c r="R531" s="80" t="str">
        <f aca="false">IF($V531=1,ROW(),"")</f>
        <v/>
      </c>
      <c r="S531" s="80" t="str">
        <f aca="false">IF(OR($A531&lt;&gt;"",$E531&lt;&gt;""),IF(TRIM($D531)="","Buyer not noted",TRIM($D531)),"")</f>
        <v/>
      </c>
      <c r="T531" s="80" t="n">
        <f aca="false">IF(AND($V531=1,ISNUMBER($M531)),$M531,0)</f>
        <v>0</v>
      </c>
      <c r="U531" s="80" t="str">
        <f aca="false">IF($V531=1,IF(COUNTIFS($S$7:$S531,$S531,$V$7:$V531,1)=1,SUMIFS($T$7:$T$1006,$S$7:$S$1006,$S531)-ROW()/1000000000,""),"")</f>
        <v/>
      </c>
      <c r="V531" s="80" t="n">
        <f aca="false">IF(OR($O531="On hand",$O531="Advance received",$O531="Part realised",$O531="Amount missing"),1,0)</f>
        <v>0</v>
      </c>
      <c r="W531" s="80" t="str">
        <f aca="false">IF(AND($V531=1,N($F531)&gt;0),ROW(),"")</f>
        <v/>
      </c>
      <c r="X531" s="80" t="n">
        <f aca="false">IF(AND(OR($A531&lt;&gt;"",$E531&lt;&gt;""),$O531&lt;&gt;"Cancelled",ISNUMBER($E531),N($F531)+N($H531)&gt;$E531+0.005),1,0)</f>
        <v>0</v>
      </c>
      <c r="Y531" s="80" t="n">
        <f aca="false">IF(AND(OR($A531&lt;&gt;"",$E531&lt;&gt;""),OR($A531="",$E531="")),1,0)</f>
        <v>0</v>
      </c>
      <c r="Z531" s="80" t="n">
        <f aca="false">IF(AND($A531&lt;&gt;"",COUNTIF($A$7:$A$1006,$A531)&gt;1),1,0)</f>
        <v>0</v>
      </c>
    </row>
    <row r="532" customFormat="false" ht="15" hidden="false" customHeight="false" outlineLevel="0" collapsed="false">
      <c r="A532" s="71"/>
      <c r="B532" s="72"/>
      <c r="C532" s="73"/>
      <c r="D532" s="73"/>
      <c r="E532" s="74"/>
      <c r="F532" s="74"/>
      <c r="G532" s="72"/>
      <c r="H532" s="74"/>
      <c r="I532" s="72"/>
      <c r="J532" s="73"/>
      <c r="K532" s="73"/>
      <c r="L532" s="75" t="str">
        <f aca="false">IF(OR($A532&lt;&gt;"",$E532&lt;&gt;""),N($F532)+N($H532),"")</f>
        <v/>
      </c>
      <c r="M532" s="76" t="str">
        <f aca="false">IF(OR($O532="",$O532="Cancelled",$O532="Amount missing"),"",IF($O532="Realised",0,$E532-N($F532)-N($H532)))</f>
        <v/>
      </c>
      <c r="N532" s="77" t="str">
        <f aca="false">IF(OR($M532="",FX=""),"",$M532*FX)</f>
        <v/>
      </c>
      <c r="O532" s="78" t="str">
        <f aca="false">IF(NOT(OR($A532&lt;&gt;"",$E532&lt;&gt;"")),"",IF($J532="Cancelled","Cancelled",IF($E532="","Amount missing",IF(OR($J532="Settled",$E532-N($F532)-N($H532)&lt;=0.005),"Realised",IF(N($H532)&gt;0,"Part realised",IF(N($F532)&gt;0,"Advance received","On hand"))))))</f>
        <v/>
      </c>
      <c r="P532" s="79" t="str">
        <f aca="false">IF(AND($V532=1,ISNUMBER($B532)),AsAt-$B532,"")</f>
        <v/>
      </c>
      <c r="Q532" s="78" t="str">
        <f aca="false">IF($V532&lt;&gt;1,"",IF($P532="","No invoice date",IF($P532&lt;=30,"0–30 days",IF($P532&lt;=60,"31–60 days",IF($P532&lt;=90,"61–90 days","Over 90 days")))))</f>
        <v/>
      </c>
      <c r="R532" s="80" t="str">
        <f aca="false">IF($V532=1,ROW(),"")</f>
        <v/>
      </c>
      <c r="S532" s="80" t="str">
        <f aca="false">IF(OR($A532&lt;&gt;"",$E532&lt;&gt;""),IF(TRIM($D532)="","Buyer not noted",TRIM($D532)),"")</f>
        <v/>
      </c>
      <c r="T532" s="80" t="n">
        <f aca="false">IF(AND($V532=1,ISNUMBER($M532)),$M532,0)</f>
        <v>0</v>
      </c>
      <c r="U532" s="80" t="str">
        <f aca="false">IF($V532=1,IF(COUNTIFS($S$7:$S532,$S532,$V$7:$V532,1)=1,SUMIFS($T$7:$T$1006,$S$7:$S$1006,$S532)-ROW()/1000000000,""),"")</f>
        <v/>
      </c>
      <c r="V532" s="80" t="n">
        <f aca="false">IF(OR($O532="On hand",$O532="Advance received",$O532="Part realised",$O532="Amount missing"),1,0)</f>
        <v>0</v>
      </c>
      <c r="W532" s="80" t="str">
        <f aca="false">IF(AND($V532=1,N($F532)&gt;0),ROW(),"")</f>
        <v/>
      </c>
      <c r="X532" s="80" t="n">
        <f aca="false">IF(AND(OR($A532&lt;&gt;"",$E532&lt;&gt;""),$O532&lt;&gt;"Cancelled",ISNUMBER($E532),N($F532)+N($H532)&gt;$E532+0.005),1,0)</f>
        <v>0</v>
      </c>
      <c r="Y532" s="80" t="n">
        <f aca="false">IF(AND(OR($A532&lt;&gt;"",$E532&lt;&gt;""),OR($A532="",$E532="")),1,0)</f>
        <v>0</v>
      </c>
      <c r="Z532" s="80" t="n">
        <f aca="false">IF(AND($A532&lt;&gt;"",COUNTIF($A$7:$A$1006,$A532)&gt;1),1,0)</f>
        <v>0</v>
      </c>
    </row>
    <row r="533" customFormat="false" ht="15" hidden="false" customHeight="false" outlineLevel="0" collapsed="false">
      <c r="A533" s="71"/>
      <c r="B533" s="72"/>
      <c r="C533" s="73"/>
      <c r="D533" s="73"/>
      <c r="E533" s="74"/>
      <c r="F533" s="74"/>
      <c r="G533" s="72"/>
      <c r="H533" s="74"/>
      <c r="I533" s="72"/>
      <c r="J533" s="73"/>
      <c r="K533" s="73"/>
      <c r="L533" s="75" t="str">
        <f aca="false">IF(OR($A533&lt;&gt;"",$E533&lt;&gt;""),N($F533)+N($H533),"")</f>
        <v/>
      </c>
      <c r="M533" s="76" t="str">
        <f aca="false">IF(OR($O533="",$O533="Cancelled",$O533="Amount missing"),"",IF($O533="Realised",0,$E533-N($F533)-N($H533)))</f>
        <v/>
      </c>
      <c r="N533" s="77" t="str">
        <f aca="false">IF(OR($M533="",FX=""),"",$M533*FX)</f>
        <v/>
      </c>
      <c r="O533" s="78" t="str">
        <f aca="false">IF(NOT(OR($A533&lt;&gt;"",$E533&lt;&gt;"")),"",IF($J533="Cancelled","Cancelled",IF($E533="","Amount missing",IF(OR($J533="Settled",$E533-N($F533)-N($H533)&lt;=0.005),"Realised",IF(N($H533)&gt;0,"Part realised",IF(N($F533)&gt;0,"Advance received","On hand"))))))</f>
        <v/>
      </c>
      <c r="P533" s="79" t="str">
        <f aca="false">IF(AND($V533=1,ISNUMBER($B533)),AsAt-$B533,"")</f>
        <v/>
      </c>
      <c r="Q533" s="78" t="str">
        <f aca="false">IF($V533&lt;&gt;1,"",IF($P533="","No invoice date",IF($P533&lt;=30,"0–30 days",IF($P533&lt;=60,"31–60 days",IF($P533&lt;=90,"61–90 days","Over 90 days")))))</f>
        <v/>
      </c>
      <c r="R533" s="80" t="str">
        <f aca="false">IF($V533=1,ROW(),"")</f>
        <v/>
      </c>
      <c r="S533" s="80" t="str">
        <f aca="false">IF(OR($A533&lt;&gt;"",$E533&lt;&gt;""),IF(TRIM($D533)="","Buyer not noted",TRIM($D533)),"")</f>
        <v/>
      </c>
      <c r="T533" s="80" t="n">
        <f aca="false">IF(AND($V533=1,ISNUMBER($M533)),$M533,0)</f>
        <v>0</v>
      </c>
      <c r="U533" s="80" t="str">
        <f aca="false">IF($V533=1,IF(COUNTIFS($S$7:$S533,$S533,$V$7:$V533,1)=1,SUMIFS($T$7:$T$1006,$S$7:$S$1006,$S533)-ROW()/1000000000,""),"")</f>
        <v/>
      </c>
      <c r="V533" s="80" t="n">
        <f aca="false">IF(OR($O533="On hand",$O533="Advance received",$O533="Part realised",$O533="Amount missing"),1,0)</f>
        <v>0</v>
      </c>
      <c r="W533" s="80" t="str">
        <f aca="false">IF(AND($V533=1,N($F533)&gt;0),ROW(),"")</f>
        <v/>
      </c>
      <c r="X533" s="80" t="n">
        <f aca="false">IF(AND(OR($A533&lt;&gt;"",$E533&lt;&gt;""),$O533&lt;&gt;"Cancelled",ISNUMBER($E533),N($F533)+N($H533)&gt;$E533+0.005),1,0)</f>
        <v>0</v>
      </c>
      <c r="Y533" s="80" t="n">
        <f aca="false">IF(AND(OR($A533&lt;&gt;"",$E533&lt;&gt;""),OR($A533="",$E533="")),1,0)</f>
        <v>0</v>
      </c>
      <c r="Z533" s="80" t="n">
        <f aca="false">IF(AND($A533&lt;&gt;"",COUNTIF($A$7:$A$1006,$A533)&gt;1),1,0)</f>
        <v>0</v>
      </c>
    </row>
    <row r="534" customFormat="false" ht="15" hidden="false" customHeight="false" outlineLevel="0" collapsed="false">
      <c r="A534" s="71"/>
      <c r="B534" s="72"/>
      <c r="C534" s="73"/>
      <c r="D534" s="73"/>
      <c r="E534" s="74"/>
      <c r="F534" s="74"/>
      <c r="G534" s="72"/>
      <c r="H534" s="74"/>
      <c r="I534" s="72"/>
      <c r="J534" s="73"/>
      <c r="K534" s="73"/>
      <c r="L534" s="75" t="str">
        <f aca="false">IF(OR($A534&lt;&gt;"",$E534&lt;&gt;""),N($F534)+N($H534),"")</f>
        <v/>
      </c>
      <c r="M534" s="76" t="str">
        <f aca="false">IF(OR($O534="",$O534="Cancelled",$O534="Amount missing"),"",IF($O534="Realised",0,$E534-N($F534)-N($H534)))</f>
        <v/>
      </c>
      <c r="N534" s="77" t="str">
        <f aca="false">IF(OR($M534="",FX=""),"",$M534*FX)</f>
        <v/>
      </c>
      <c r="O534" s="78" t="str">
        <f aca="false">IF(NOT(OR($A534&lt;&gt;"",$E534&lt;&gt;"")),"",IF($J534="Cancelled","Cancelled",IF($E534="","Amount missing",IF(OR($J534="Settled",$E534-N($F534)-N($H534)&lt;=0.005),"Realised",IF(N($H534)&gt;0,"Part realised",IF(N($F534)&gt;0,"Advance received","On hand"))))))</f>
        <v/>
      </c>
      <c r="P534" s="79" t="str">
        <f aca="false">IF(AND($V534=1,ISNUMBER($B534)),AsAt-$B534,"")</f>
        <v/>
      </c>
      <c r="Q534" s="78" t="str">
        <f aca="false">IF($V534&lt;&gt;1,"",IF($P534="","No invoice date",IF($P534&lt;=30,"0–30 days",IF($P534&lt;=60,"31–60 days",IF($P534&lt;=90,"61–90 days","Over 90 days")))))</f>
        <v/>
      </c>
      <c r="R534" s="80" t="str">
        <f aca="false">IF($V534=1,ROW(),"")</f>
        <v/>
      </c>
      <c r="S534" s="80" t="str">
        <f aca="false">IF(OR($A534&lt;&gt;"",$E534&lt;&gt;""),IF(TRIM($D534)="","Buyer not noted",TRIM($D534)),"")</f>
        <v/>
      </c>
      <c r="T534" s="80" t="n">
        <f aca="false">IF(AND($V534=1,ISNUMBER($M534)),$M534,0)</f>
        <v>0</v>
      </c>
      <c r="U534" s="80" t="str">
        <f aca="false">IF($V534=1,IF(COUNTIFS($S$7:$S534,$S534,$V$7:$V534,1)=1,SUMIFS($T$7:$T$1006,$S$7:$S$1006,$S534)-ROW()/1000000000,""),"")</f>
        <v/>
      </c>
      <c r="V534" s="80" t="n">
        <f aca="false">IF(OR($O534="On hand",$O534="Advance received",$O534="Part realised",$O534="Amount missing"),1,0)</f>
        <v>0</v>
      </c>
      <c r="W534" s="80" t="str">
        <f aca="false">IF(AND($V534=1,N($F534)&gt;0),ROW(),"")</f>
        <v/>
      </c>
      <c r="X534" s="80" t="n">
        <f aca="false">IF(AND(OR($A534&lt;&gt;"",$E534&lt;&gt;""),$O534&lt;&gt;"Cancelled",ISNUMBER($E534),N($F534)+N($H534)&gt;$E534+0.005),1,0)</f>
        <v>0</v>
      </c>
      <c r="Y534" s="80" t="n">
        <f aca="false">IF(AND(OR($A534&lt;&gt;"",$E534&lt;&gt;""),OR($A534="",$E534="")),1,0)</f>
        <v>0</v>
      </c>
      <c r="Z534" s="80" t="n">
        <f aca="false">IF(AND($A534&lt;&gt;"",COUNTIF($A$7:$A$1006,$A534)&gt;1),1,0)</f>
        <v>0</v>
      </c>
    </row>
    <row r="535" customFormat="false" ht="15" hidden="false" customHeight="false" outlineLevel="0" collapsed="false">
      <c r="A535" s="71"/>
      <c r="B535" s="72"/>
      <c r="C535" s="73"/>
      <c r="D535" s="73"/>
      <c r="E535" s="74"/>
      <c r="F535" s="74"/>
      <c r="G535" s="72"/>
      <c r="H535" s="74"/>
      <c r="I535" s="72"/>
      <c r="J535" s="73"/>
      <c r="K535" s="73"/>
      <c r="L535" s="75" t="str">
        <f aca="false">IF(OR($A535&lt;&gt;"",$E535&lt;&gt;""),N($F535)+N($H535),"")</f>
        <v/>
      </c>
      <c r="M535" s="76" t="str">
        <f aca="false">IF(OR($O535="",$O535="Cancelled",$O535="Amount missing"),"",IF($O535="Realised",0,$E535-N($F535)-N($H535)))</f>
        <v/>
      </c>
      <c r="N535" s="77" t="str">
        <f aca="false">IF(OR($M535="",FX=""),"",$M535*FX)</f>
        <v/>
      </c>
      <c r="O535" s="78" t="str">
        <f aca="false">IF(NOT(OR($A535&lt;&gt;"",$E535&lt;&gt;"")),"",IF($J535="Cancelled","Cancelled",IF($E535="","Amount missing",IF(OR($J535="Settled",$E535-N($F535)-N($H535)&lt;=0.005),"Realised",IF(N($H535)&gt;0,"Part realised",IF(N($F535)&gt;0,"Advance received","On hand"))))))</f>
        <v/>
      </c>
      <c r="P535" s="79" t="str">
        <f aca="false">IF(AND($V535=1,ISNUMBER($B535)),AsAt-$B535,"")</f>
        <v/>
      </c>
      <c r="Q535" s="78" t="str">
        <f aca="false">IF($V535&lt;&gt;1,"",IF($P535="","No invoice date",IF($P535&lt;=30,"0–30 days",IF($P535&lt;=60,"31–60 days",IF($P535&lt;=90,"61–90 days","Over 90 days")))))</f>
        <v/>
      </c>
      <c r="R535" s="80" t="str">
        <f aca="false">IF($V535=1,ROW(),"")</f>
        <v/>
      </c>
      <c r="S535" s="80" t="str">
        <f aca="false">IF(OR($A535&lt;&gt;"",$E535&lt;&gt;""),IF(TRIM($D535)="","Buyer not noted",TRIM($D535)),"")</f>
        <v/>
      </c>
      <c r="T535" s="80" t="n">
        <f aca="false">IF(AND($V535=1,ISNUMBER($M535)),$M535,0)</f>
        <v>0</v>
      </c>
      <c r="U535" s="80" t="str">
        <f aca="false">IF($V535=1,IF(COUNTIFS($S$7:$S535,$S535,$V$7:$V535,1)=1,SUMIFS($T$7:$T$1006,$S$7:$S$1006,$S535)-ROW()/1000000000,""),"")</f>
        <v/>
      </c>
      <c r="V535" s="80" t="n">
        <f aca="false">IF(OR($O535="On hand",$O535="Advance received",$O535="Part realised",$O535="Amount missing"),1,0)</f>
        <v>0</v>
      </c>
      <c r="W535" s="80" t="str">
        <f aca="false">IF(AND($V535=1,N($F535)&gt;0),ROW(),"")</f>
        <v/>
      </c>
      <c r="X535" s="80" t="n">
        <f aca="false">IF(AND(OR($A535&lt;&gt;"",$E535&lt;&gt;""),$O535&lt;&gt;"Cancelled",ISNUMBER($E535),N($F535)+N($H535)&gt;$E535+0.005),1,0)</f>
        <v>0</v>
      </c>
      <c r="Y535" s="80" t="n">
        <f aca="false">IF(AND(OR($A535&lt;&gt;"",$E535&lt;&gt;""),OR($A535="",$E535="")),1,0)</f>
        <v>0</v>
      </c>
      <c r="Z535" s="80" t="n">
        <f aca="false">IF(AND($A535&lt;&gt;"",COUNTIF($A$7:$A$1006,$A535)&gt;1),1,0)</f>
        <v>0</v>
      </c>
    </row>
    <row r="536" customFormat="false" ht="15" hidden="false" customHeight="false" outlineLevel="0" collapsed="false">
      <c r="A536" s="71"/>
      <c r="B536" s="72"/>
      <c r="C536" s="73"/>
      <c r="D536" s="73"/>
      <c r="E536" s="74"/>
      <c r="F536" s="74"/>
      <c r="G536" s="72"/>
      <c r="H536" s="74"/>
      <c r="I536" s="72"/>
      <c r="J536" s="73"/>
      <c r="K536" s="73"/>
      <c r="L536" s="75" t="str">
        <f aca="false">IF(OR($A536&lt;&gt;"",$E536&lt;&gt;""),N($F536)+N($H536),"")</f>
        <v/>
      </c>
      <c r="M536" s="76" t="str">
        <f aca="false">IF(OR($O536="",$O536="Cancelled",$O536="Amount missing"),"",IF($O536="Realised",0,$E536-N($F536)-N($H536)))</f>
        <v/>
      </c>
      <c r="N536" s="77" t="str">
        <f aca="false">IF(OR($M536="",FX=""),"",$M536*FX)</f>
        <v/>
      </c>
      <c r="O536" s="78" t="str">
        <f aca="false">IF(NOT(OR($A536&lt;&gt;"",$E536&lt;&gt;"")),"",IF($J536="Cancelled","Cancelled",IF($E536="","Amount missing",IF(OR($J536="Settled",$E536-N($F536)-N($H536)&lt;=0.005),"Realised",IF(N($H536)&gt;0,"Part realised",IF(N($F536)&gt;0,"Advance received","On hand"))))))</f>
        <v/>
      </c>
      <c r="P536" s="79" t="str">
        <f aca="false">IF(AND($V536=1,ISNUMBER($B536)),AsAt-$B536,"")</f>
        <v/>
      </c>
      <c r="Q536" s="78" t="str">
        <f aca="false">IF($V536&lt;&gt;1,"",IF($P536="","No invoice date",IF($P536&lt;=30,"0–30 days",IF($P536&lt;=60,"31–60 days",IF($P536&lt;=90,"61–90 days","Over 90 days")))))</f>
        <v/>
      </c>
      <c r="R536" s="80" t="str">
        <f aca="false">IF($V536=1,ROW(),"")</f>
        <v/>
      </c>
      <c r="S536" s="80" t="str">
        <f aca="false">IF(OR($A536&lt;&gt;"",$E536&lt;&gt;""),IF(TRIM($D536)="","Buyer not noted",TRIM($D536)),"")</f>
        <v/>
      </c>
      <c r="T536" s="80" t="n">
        <f aca="false">IF(AND($V536=1,ISNUMBER($M536)),$M536,0)</f>
        <v>0</v>
      </c>
      <c r="U536" s="80" t="str">
        <f aca="false">IF($V536=1,IF(COUNTIFS($S$7:$S536,$S536,$V$7:$V536,1)=1,SUMIFS($T$7:$T$1006,$S$7:$S$1006,$S536)-ROW()/1000000000,""),"")</f>
        <v/>
      </c>
      <c r="V536" s="80" t="n">
        <f aca="false">IF(OR($O536="On hand",$O536="Advance received",$O536="Part realised",$O536="Amount missing"),1,0)</f>
        <v>0</v>
      </c>
      <c r="W536" s="80" t="str">
        <f aca="false">IF(AND($V536=1,N($F536)&gt;0),ROW(),"")</f>
        <v/>
      </c>
      <c r="X536" s="80" t="n">
        <f aca="false">IF(AND(OR($A536&lt;&gt;"",$E536&lt;&gt;""),$O536&lt;&gt;"Cancelled",ISNUMBER($E536),N($F536)+N($H536)&gt;$E536+0.005),1,0)</f>
        <v>0</v>
      </c>
      <c r="Y536" s="80" t="n">
        <f aca="false">IF(AND(OR($A536&lt;&gt;"",$E536&lt;&gt;""),OR($A536="",$E536="")),1,0)</f>
        <v>0</v>
      </c>
      <c r="Z536" s="80" t="n">
        <f aca="false">IF(AND($A536&lt;&gt;"",COUNTIF($A$7:$A$1006,$A536)&gt;1),1,0)</f>
        <v>0</v>
      </c>
    </row>
    <row r="537" customFormat="false" ht="15" hidden="false" customHeight="false" outlineLevel="0" collapsed="false">
      <c r="A537" s="71"/>
      <c r="B537" s="72"/>
      <c r="C537" s="73"/>
      <c r="D537" s="73"/>
      <c r="E537" s="74"/>
      <c r="F537" s="74"/>
      <c r="G537" s="72"/>
      <c r="H537" s="74"/>
      <c r="I537" s="72"/>
      <c r="J537" s="73"/>
      <c r="K537" s="73"/>
      <c r="L537" s="75" t="str">
        <f aca="false">IF(OR($A537&lt;&gt;"",$E537&lt;&gt;""),N($F537)+N($H537),"")</f>
        <v/>
      </c>
      <c r="M537" s="76" t="str">
        <f aca="false">IF(OR($O537="",$O537="Cancelled",$O537="Amount missing"),"",IF($O537="Realised",0,$E537-N($F537)-N($H537)))</f>
        <v/>
      </c>
      <c r="N537" s="77" t="str">
        <f aca="false">IF(OR($M537="",FX=""),"",$M537*FX)</f>
        <v/>
      </c>
      <c r="O537" s="78" t="str">
        <f aca="false">IF(NOT(OR($A537&lt;&gt;"",$E537&lt;&gt;"")),"",IF($J537="Cancelled","Cancelled",IF($E537="","Amount missing",IF(OR($J537="Settled",$E537-N($F537)-N($H537)&lt;=0.005),"Realised",IF(N($H537)&gt;0,"Part realised",IF(N($F537)&gt;0,"Advance received","On hand"))))))</f>
        <v/>
      </c>
      <c r="P537" s="79" t="str">
        <f aca="false">IF(AND($V537=1,ISNUMBER($B537)),AsAt-$B537,"")</f>
        <v/>
      </c>
      <c r="Q537" s="78" t="str">
        <f aca="false">IF($V537&lt;&gt;1,"",IF($P537="","No invoice date",IF($P537&lt;=30,"0–30 days",IF($P537&lt;=60,"31–60 days",IF($P537&lt;=90,"61–90 days","Over 90 days")))))</f>
        <v/>
      </c>
      <c r="R537" s="80" t="str">
        <f aca="false">IF($V537=1,ROW(),"")</f>
        <v/>
      </c>
      <c r="S537" s="80" t="str">
        <f aca="false">IF(OR($A537&lt;&gt;"",$E537&lt;&gt;""),IF(TRIM($D537)="","Buyer not noted",TRIM($D537)),"")</f>
        <v/>
      </c>
      <c r="T537" s="80" t="n">
        <f aca="false">IF(AND($V537=1,ISNUMBER($M537)),$M537,0)</f>
        <v>0</v>
      </c>
      <c r="U537" s="80" t="str">
        <f aca="false">IF($V537=1,IF(COUNTIFS($S$7:$S537,$S537,$V$7:$V537,1)=1,SUMIFS($T$7:$T$1006,$S$7:$S$1006,$S537)-ROW()/1000000000,""),"")</f>
        <v/>
      </c>
      <c r="V537" s="80" t="n">
        <f aca="false">IF(OR($O537="On hand",$O537="Advance received",$O537="Part realised",$O537="Amount missing"),1,0)</f>
        <v>0</v>
      </c>
      <c r="W537" s="80" t="str">
        <f aca="false">IF(AND($V537=1,N($F537)&gt;0),ROW(),"")</f>
        <v/>
      </c>
      <c r="X537" s="80" t="n">
        <f aca="false">IF(AND(OR($A537&lt;&gt;"",$E537&lt;&gt;""),$O537&lt;&gt;"Cancelled",ISNUMBER($E537),N($F537)+N($H537)&gt;$E537+0.005),1,0)</f>
        <v>0</v>
      </c>
      <c r="Y537" s="80" t="n">
        <f aca="false">IF(AND(OR($A537&lt;&gt;"",$E537&lt;&gt;""),OR($A537="",$E537="")),1,0)</f>
        <v>0</v>
      </c>
      <c r="Z537" s="80" t="n">
        <f aca="false">IF(AND($A537&lt;&gt;"",COUNTIF($A$7:$A$1006,$A537)&gt;1),1,0)</f>
        <v>0</v>
      </c>
    </row>
    <row r="538" customFormat="false" ht="15" hidden="false" customHeight="false" outlineLevel="0" collapsed="false">
      <c r="A538" s="71"/>
      <c r="B538" s="72"/>
      <c r="C538" s="73"/>
      <c r="D538" s="73"/>
      <c r="E538" s="74"/>
      <c r="F538" s="74"/>
      <c r="G538" s="72"/>
      <c r="H538" s="74"/>
      <c r="I538" s="72"/>
      <c r="J538" s="73"/>
      <c r="K538" s="73"/>
      <c r="L538" s="75" t="str">
        <f aca="false">IF(OR($A538&lt;&gt;"",$E538&lt;&gt;""),N($F538)+N($H538),"")</f>
        <v/>
      </c>
      <c r="M538" s="76" t="str">
        <f aca="false">IF(OR($O538="",$O538="Cancelled",$O538="Amount missing"),"",IF($O538="Realised",0,$E538-N($F538)-N($H538)))</f>
        <v/>
      </c>
      <c r="N538" s="77" t="str">
        <f aca="false">IF(OR($M538="",FX=""),"",$M538*FX)</f>
        <v/>
      </c>
      <c r="O538" s="78" t="str">
        <f aca="false">IF(NOT(OR($A538&lt;&gt;"",$E538&lt;&gt;"")),"",IF($J538="Cancelled","Cancelled",IF($E538="","Amount missing",IF(OR($J538="Settled",$E538-N($F538)-N($H538)&lt;=0.005),"Realised",IF(N($H538)&gt;0,"Part realised",IF(N($F538)&gt;0,"Advance received","On hand"))))))</f>
        <v/>
      </c>
      <c r="P538" s="79" t="str">
        <f aca="false">IF(AND($V538=1,ISNUMBER($B538)),AsAt-$B538,"")</f>
        <v/>
      </c>
      <c r="Q538" s="78" t="str">
        <f aca="false">IF($V538&lt;&gt;1,"",IF($P538="","No invoice date",IF($P538&lt;=30,"0–30 days",IF($P538&lt;=60,"31–60 days",IF($P538&lt;=90,"61–90 days","Over 90 days")))))</f>
        <v/>
      </c>
      <c r="R538" s="80" t="str">
        <f aca="false">IF($V538=1,ROW(),"")</f>
        <v/>
      </c>
      <c r="S538" s="80" t="str">
        <f aca="false">IF(OR($A538&lt;&gt;"",$E538&lt;&gt;""),IF(TRIM($D538)="","Buyer not noted",TRIM($D538)),"")</f>
        <v/>
      </c>
      <c r="T538" s="80" t="n">
        <f aca="false">IF(AND($V538=1,ISNUMBER($M538)),$M538,0)</f>
        <v>0</v>
      </c>
      <c r="U538" s="80" t="str">
        <f aca="false">IF($V538=1,IF(COUNTIFS($S$7:$S538,$S538,$V$7:$V538,1)=1,SUMIFS($T$7:$T$1006,$S$7:$S$1006,$S538)-ROW()/1000000000,""),"")</f>
        <v/>
      </c>
      <c r="V538" s="80" t="n">
        <f aca="false">IF(OR($O538="On hand",$O538="Advance received",$O538="Part realised",$O538="Amount missing"),1,0)</f>
        <v>0</v>
      </c>
      <c r="W538" s="80" t="str">
        <f aca="false">IF(AND($V538=1,N($F538)&gt;0),ROW(),"")</f>
        <v/>
      </c>
      <c r="X538" s="80" t="n">
        <f aca="false">IF(AND(OR($A538&lt;&gt;"",$E538&lt;&gt;""),$O538&lt;&gt;"Cancelled",ISNUMBER($E538),N($F538)+N($H538)&gt;$E538+0.005),1,0)</f>
        <v>0</v>
      </c>
      <c r="Y538" s="80" t="n">
        <f aca="false">IF(AND(OR($A538&lt;&gt;"",$E538&lt;&gt;""),OR($A538="",$E538="")),1,0)</f>
        <v>0</v>
      </c>
      <c r="Z538" s="80" t="n">
        <f aca="false">IF(AND($A538&lt;&gt;"",COUNTIF($A$7:$A$1006,$A538)&gt;1),1,0)</f>
        <v>0</v>
      </c>
    </row>
    <row r="539" customFormat="false" ht="15" hidden="false" customHeight="false" outlineLevel="0" collapsed="false">
      <c r="A539" s="71"/>
      <c r="B539" s="72"/>
      <c r="C539" s="73"/>
      <c r="D539" s="73"/>
      <c r="E539" s="74"/>
      <c r="F539" s="74"/>
      <c r="G539" s="72"/>
      <c r="H539" s="74"/>
      <c r="I539" s="72"/>
      <c r="J539" s="73"/>
      <c r="K539" s="73"/>
      <c r="L539" s="75" t="str">
        <f aca="false">IF(OR($A539&lt;&gt;"",$E539&lt;&gt;""),N($F539)+N($H539),"")</f>
        <v/>
      </c>
      <c r="M539" s="76" t="str">
        <f aca="false">IF(OR($O539="",$O539="Cancelled",$O539="Amount missing"),"",IF($O539="Realised",0,$E539-N($F539)-N($H539)))</f>
        <v/>
      </c>
      <c r="N539" s="77" t="str">
        <f aca="false">IF(OR($M539="",FX=""),"",$M539*FX)</f>
        <v/>
      </c>
      <c r="O539" s="78" t="str">
        <f aca="false">IF(NOT(OR($A539&lt;&gt;"",$E539&lt;&gt;"")),"",IF($J539="Cancelled","Cancelled",IF($E539="","Amount missing",IF(OR($J539="Settled",$E539-N($F539)-N($H539)&lt;=0.005),"Realised",IF(N($H539)&gt;0,"Part realised",IF(N($F539)&gt;0,"Advance received","On hand"))))))</f>
        <v/>
      </c>
      <c r="P539" s="79" t="str">
        <f aca="false">IF(AND($V539=1,ISNUMBER($B539)),AsAt-$B539,"")</f>
        <v/>
      </c>
      <c r="Q539" s="78" t="str">
        <f aca="false">IF($V539&lt;&gt;1,"",IF($P539="","No invoice date",IF($P539&lt;=30,"0–30 days",IF($P539&lt;=60,"31–60 days",IF($P539&lt;=90,"61–90 days","Over 90 days")))))</f>
        <v/>
      </c>
      <c r="R539" s="80" t="str">
        <f aca="false">IF($V539=1,ROW(),"")</f>
        <v/>
      </c>
      <c r="S539" s="80" t="str">
        <f aca="false">IF(OR($A539&lt;&gt;"",$E539&lt;&gt;""),IF(TRIM($D539)="","Buyer not noted",TRIM($D539)),"")</f>
        <v/>
      </c>
      <c r="T539" s="80" t="n">
        <f aca="false">IF(AND($V539=1,ISNUMBER($M539)),$M539,0)</f>
        <v>0</v>
      </c>
      <c r="U539" s="80" t="str">
        <f aca="false">IF($V539=1,IF(COUNTIFS($S$7:$S539,$S539,$V$7:$V539,1)=1,SUMIFS($T$7:$T$1006,$S$7:$S$1006,$S539)-ROW()/1000000000,""),"")</f>
        <v/>
      </c>
      <c r="V539" s="80" t="n">
        <f aca="false">IF(OR($O539="On hand",$O539="Advance received",$O539="Part realised",$O539="Amount missing"),1,0)</f>
        <v>0</v>
      </c>
      <c r="W539" s="80" t="str">
        <f aca="false">IF(AND($V539=1,N($F539)&gt;0),ROW(),"")</f>
        <v/>
      </c>
      <c r="X539" s="80" t="n">
        <f aca="false">IF(AND(OR($A539&lt;&gt;"",$E539&lt;&gt;""),$O539&lt;&gt;"Cancelled",ISNUMBER($E539),N($F539)+N($H539)&gt;$E539+0.005),1,0)</f>
        <v>0</v>
      </c>
      <c r="Y539" s="80" t="n">
        <f aca="false">IF(AND(OR($A539&lt;&gt;"",$E539&lt;&gt;""),OR($A539="",$E539="")),1,0)</f>
        <v>0</v>
      </c>
      <c r="Z539" s="80" t="n">
        <f aca="false">IF(AND($A539&lt;&gt;"",COUNTIF($A$7:$A$1006,$A539)&gt;1),1,0)</f>
        <v>0</v>
      </c>
    </row>
    <row r="540" customFormat="false" ht="15" hidden="false" customHeight="false" outlineLevel="0" collapsed="false">
      <c r="A540" s="71"/>
      <c r="B540" s="72"/>
      <c r="C540" s="73"/>
      <c r="D540" s="73"/>
      <c r="E540" s="74"/>
      <c r="F540" s="74"/>
      <c r="G540" s="72"/>
      <c r="H540" s="74"/>
      <c r="I540" s="72"/>
      <c r="J540" s="73"/>
      <c r="K540" s="73"/>
      <c r="L540" s="75" t="str">
        <f aca="false">IF(OR($A540&lt;&gt;"",$E540&lt;&gt;""),N($F540)+N($H540),"")</f>
        <v/>
      </c>
      <c r="M540" s="76" t="str">
        <f aca="false">IF(OR($O540="",$O540="Cancelled",$O540="Amount missing"),"",IF($O540="Realised",0,$E540-N($F540)-N($H540)))</f>
        <v/>
      </c>
      <c r="N540" s="77" t="str">
        <f aca="false">IF(OR($M540="",FX=""),"",$M540*FX)</f>
        <v/>
      </c>
      <c r="O540" s="78" t="str">
        <f aca="false">IF(NOT(OR($A540&lt;&gt;"",$E540&lt;&gt;"")),"",IF($J540="Cancelled","Cancelled",IF($E540="","Amount missing",IF(OR($J540="Settled",$E540-N($F540)-N($H540)&lt;=0.005),"Realised",IF(N($H540)&gt;0,"Part realised",IF(N($F540)&gt;0,"Advance received","On hand"))))))</f>
        <v/>
      </c>
      <c r="P540" s="79" t="str">
        <f aca="false">IF(AND($V540=1,ISNUMBER($B540)),AsAt-$B540,"")</f>
        <v/>
      </c>
      <c r="Q540" s="78" t="str">
        <f aca="false">IF($V540&lt;&gt;1,"",IF($P540="","No invoice date",IF($P540&lt;=30,"0–30 days",IF($P540&lt;=60,"31–60 days",IF($P540&lt;=90,"61–90 days","Over 90 days")))))</f>
        <v/>
      </c>
      <c r="R540" s="80" t="str">
        <f aca="false">IF($V540=1,ROW(),"")</f>
        <v/>
      </c>
      <c r="S540" s="80" t="str">
        <f aca="false">IF(OR($A540&lt;&gt;"",$E540&lt;&gt;""),IF(TRIM($D540)="","Buyer not noted",TRIM($D540)),"")</f>
        <v/>
      </c>
      <c r="T540" s="80" t="n">
        <f aca="false">IF(AND($V540=1,ISNUMBER($M540)),$M540,0)</f>
        <v>0</v>
      </c>
      <c r="U540" s="80" t="str">
        <f aca="false">IF($V540=1,IF(COUNTIFS($S$7:$S540,$S540,$V$7:$V540,1)=1,SUMIFS($T$7:$T$1006,$S$7:$S$1006,$S540)-ROW()/1000000000,""),"")</f>
        <v/>
      </c>
      <c r="V540" s="80" t="n">
        <f aca="false">IF(OR($O540="On hand",$O540="Advance received",$O540="Part realised",$O540="Amount missing"),1,0)</f>
        <v>0</v>
      </c>
      <c r="W540" s="80" t="str">
        <f aca="false">IF(AND($V540=1,N($F540)&gt;0),ROW(),"")</f>
        <v/>
      </c>
      <c r="X540" s="80" t="n">
        <f aca="false">IF(AND(OR($A540&lt;&gt;"",$E540&lt;&gt;""),$O540&lt;&gt;"Cancelled",ISNUMBER($E540),N($F540)+N($H540)&gt;$E540+0.005),1,0)</f>
        <v>0</v>
      </c>
      <c r="Y540" s="80" t="n">
        <f aca="false">IF(AND(OR($A540&lt;&gt;"",$E540&lt;&gt;""),OR($A540="",$E540="")),1,0)</f>
        <v>0</v>
      </c>
      <c r="Z540" s="80" t="n">
        <f aca="false">IF(AND($A540&lt;&gt;"",COUNTIF($A$7:$A$1006,$A540)&gt;1),1,0)</f>
        <v>0</v>
      </c>
    </row>
    <row r="541" customFormat="false" ht="15" hidden="false" customHeight="false" outlineLevel="0" collapsed="false">
      <c r="A541" s="71"/>
      <c r="B541" s="72"/>
      <c r="C541" s="73"/>
      <c r="D541" s="73"/>
      <c r="E541" s="74"/>
      <c r="F541" s="74"/>
      <c r="G541" s="72"/>
      <c r="H541" s="74"/>
      <c r="I541" s="72"/>
      <c r="J541" s="73"/>
      <c r="K541" s="73"/>
      <c r="L541" s="75" t="str">
        <f aca="false">IF(OR($A541&lt;&gt;"",$E541&lt;&gt;""),N($F541)+N($H541),"")</f>
        <v/>
      </c>
      <c r="M541" s="76" t="str">
        <f aca="false">IF(OR($O541="",$O541="Cancelled",$O541="Amount missing"),"",IF($O541="Realised",0,$E541-N($F541)-N($H541)))</f>
        <v/>
      </c>
      <c r="N541" s="77" t="str">
        <f aca="false">IF(OR($M541="",FX=""),"",$M541*FX)</f>
        <v/>
      </c>
      <c r="O541" s="78" t="str">
        <f aca="false">IF(NOT(OR($A541&lt;&gt;"",$E541&lt;&gt;"")),"",IF($J541="Cancelled","Cancelled",IF($E541="","Amount missing",IF(OR($J541="Settled",$E541-N($F541)-N($H541)&lt;=0.005),"Realised",IF(N($H541)&gt;0,"Part realised",IF(N($F541)&gt;0,"Advance received","On hand"))))))</f>
        <v/>
      </c>
      <c r="P541" s="79" t="str">
        <f aca="false">IF(AND($V541=1,ISNUMBER($B541)),AsAt-$B541,"")</f>
        <v/>
      </c>
      <c r="Q541" s="78" t="str">
        <f aca="false">IF($V541&lt;&gt;1,"",IF($P541="","No invoice date",IF($P541&lt;=30,"0–30 days",IF($P541&lt;=60,"31–60 days",IF($P541&lt;=90,"61–90 days","Over 90 days")))))</f>
        <v/>
      </c>
      <c r="R541" s="80" t="str">
        <f aca="false">IF($V541=1,ROW(),"")</f>
        <v/>
      </c>
      <c r="S541" s="80" t="str">
        <f aca="false">IF(OR($A541&lt;&gt;"",$E541&lt;&gt;""),IF(TRIM($D541)="","Buyer not noted",TRIM($D541)),"")</f>
        <v/>
      </c>
      <c r="T541" s="80" t="n">
        <f aca="false">IF(AND($V541=1,ISNUMBER($M541)),$M541,0)</f>
        <v>0</v>
      </c>
      <c r="U541" s="80" t="str">
        <f aca="false">IF($V541=1,IF(COUNTIFS($S$7:$S541,$S541,$V$7:$V541,1)=1,SUMIFS($T$7:$T$1006,$S$7:$S$1006,$S541)-ROW()/1000000000,""),"")</f>
        <v/>
      </c>
      <c r="V541" s="80" t="n">
        <f aca="false">IF(OR($O541="On hand",$O541="Advance received",$O541="Part realised",$O541="Amount missing"),1,0)</f>
        <v>0</v>
      </c>
      <c r="W541" s="80" t="str">
        <f aca="false">IF(AND($V541=1,N($F541)&gt;0),ROW(),"")</f>
        <v/>
      </c>
      <c r="X541" s="80" t="n">
        <f aca="false">IF(AND(OR($A541&lt;&gt;"",$E541&lt;&gt;""),$O541&lt;&gt;"Cancelled",ISNUMBER($E541),N($F541)+N($H541)&gt;$E541+0.005),1,0)</f>
        <v>0</v>
      </c>
      <c r="Y541" s="80" t="n">
        <f aca="false">IF(AND(OR($A541&lt;&gt;"",$E541&lt;&gt;""),OR($A541="",$E541="")),1,0)</f>
        <v>0</v>
      </c>
      <c r="Z541" s="80" t="n">
        <f aca="false">IF(AND($A541&lt;&gt;"",COUNTIF($A$7:$A$1006,$A541)&gt;1),1,0)</f>
        <v>0</v>
      </c>
    </row>
    <row r="542" customFormat="false" ht="15" hidden="false" customHeight="false" outlineLevel="0" collapsed="false">
      <c r="A542" s="71"/>
      <c r="B542" s="72"/>
      <c r="C542" s="73"/>
      <c r="D542" s="73"/>
      <c r="E542" s="74"/>
      <c r="F542" s="74"/>
      <c r="G542" s="72"/>
      <c r="H542" s="74"/>
      <c r="I542" s="72"/>
      <c r="J542" s="73"/>
      <c r="K542" s="73"/>
      <c r="L542" s="75" t="str">
        <f aca="false">IF(OR($A542&lt;&gt;"",$E542&lt;&gt;""),N($F542)+N($H542),"")</f>
        <v/>
      </c>
      <c r="M542" s="76" t="str">
        <f aca="false">IF(OR($O542="",$O542="Cancelled",$O542="Amount missing"),"",IF($O542="Realised",0,$E542-N($F542)-N($H542)))</f>
        <v/>
      </c>
      <c r="N542" s="77" t="str">
        <f aca="false">IF(OR($M542="",FX=""),"",$M542*FX)</f>
        <v/>
      </c>
      <c r="O542" s="78" t="str">
        <f aca="false">IF(NOT(OR($A542&lt;&gt;"",$E542&lt;&gt;"")),"",IF($J542="Cancelled","Cancelled",IF($E542="","Amount missing",IF(OR($J542="Settled",$E542-N($F542)-N($H542)&lt;=0.005),"Realised",IF(N($H542)&gt;0,"Part realised",IF(N($F542)&gt;0,"Advance received","On hand"))))))</f>
        <v/>
      </c>
      <c r="P542" s="79" t="str">
        <f aca="false">IF(AND($V542=1,ISNUMBER($B542)),AsAt-$B542,"")</f>
        <v/>
      </c>
      <c r="Q542" s="78" t="str">
        <f aca="false">IF($V542&lt;&gt;1,"",IF($P542="","No invoice date",IF($P542&lt;=30,"0–30 days",IF($P542&lt;=60,"31–60 days",IF($P542&lt;=90,"61–90 days","Over 90 days")))))</f>
        <v/>
      </c>
      <c r="R542" s="80" t="str">
        <f aca="false">IF($V542=1,ROW(),"")</f>
        <v/>
      </c>
      <c r="S542" s="80" t="str">
        <f aca="false">IF(OR($A542&lt;&gt;"",$E542&lt;&gt;""),IF(TRIM($D542)="","Buyer not noted",TRIM($D542)),"")</f>
        <v/>
      </c>
      <c r="T542" s="80" t="n">
        <f aca="false">IF(AND($V542=1,ISNUMBER($M542)),$M542,0)</f>
        <v>0</v>
      </c>
      <c r="U542" s="80" t="str">
        <f aca="false">IF($V542=1,IF(COUNTIFS($S$7:$S542,$S542,$V$7:$V542,1)=1,SUMIFS($T$7:$T$1006,$S$7:$S$1006,$S542)-ROW()/1000000000,""),"")</f>
        <v/>
      </c>
      <c r="V542" s="80" t="n">
        <f aca="false">IF(OR($O542="On hand",$O542="Advance received",$O542="Part realised",$O542="Amount missing"),1,0)</f>
        <v>0</v>
      </c>
      <c r="W542" s="80" t="str">
        <f aca="false">IF(AND($V542=1,N($F542)&gt;0),ROW(),"")</f>
        <v/>
      </c>
      <c r="X542" s="80" t="n">
        <f aca="false">IF(AND(OR($A542&lt;&gt;"",$E542&lt;&gt;""),$O542&lt;&gt;"Cancelled",ISNUMBER($E542),N($F542)+N($H542)&gt;$E542+0.005),1,0)</f>
        <v>0</v>
      </c>
      <c r="Y542" s="80" t="n">
        <f aca="false">IF(AND(OR($A542&lt;&gt;"",$E542&lt;&gt;""),OR($A542="",$E542="")),1,0)</f>
        <v>0</v>
      </c>
      <c r="Z542" s="80" t="n">
        <f aca="false">IF(AND($A542&lt;&gt;"",COUNTIF($A$7:$A$1006,$A542)&gt;1),1,0)</f>
        <v>0</v>
      </c>
    </row>
    <row r="543" customFormat="false" ht="15" hidden="false" customHeight="false" outlineLevel="0" collapsed="false">
      <c r="A543" s="71"/>
      <c r="B543" s="72"/>
      <c r="C543" s="73"/>
      <c r="D543" s="73"/>
      <c r="E543" s="74"/>
      <c r="F543" s="74"/>
      <c r="G543" s="72"/>
      <c r="H543" s="74"/>
      <c r="I543" s="72"/>
      <c r="J543" s="73"/>
      <c r="K543" s="73"/>
      <c r="L543" s="75" t="str">
        <f aca="false">IF(OR($A543&lt;&gt;"",$E543&lt;&gt;""),N($F543)+N($H543),"")</f>
        <v/>
      </c>
      <c r="M543" s="76" t="str">
        <f aca="false">IF(OR($O543="",$O543="Cancelled",$O543="Amount missing"),"",IF($O543="Realised",0,$E543-N($F543)-N($H543)))</f>
        <v/>
      </c>
      <c r="N543" s="77" t="str">
        <f aca="false">IF(OR($M543="",FX=""),"",$M543*FX)</f>
        <v/>
      </c>
      <c r="O543" s="78" t="str">
        <f aca="false">IF(NOT(OR($A543&lt;&gt;"",$E543&lt;&gt;"")),"",IF($J543="Cancelled","Cancelled",IF($E543="","Amount missing",IF(OR($J543="Settled",$E543-N($F543)-N($H543)&lt;=0.005),"Realised",IF(N($H543)&gt;0,"Part realised",IF(N($F543)&gt;0,"Advance received","On hand"))))))</f>
        <v/>
      </c>
      <c r="P543" s="79" t="str">
        <f aca="false">IF(AND($V543=1,ISNUMBER($B543)),AsAt-$B543,"")</f>
        <v/>
      </c>
      <c r="Q543" s="78" t="str">
        <f aca="false">IF($V543&lt;&gt;1,"",IF($P543="","No invoice date",IF($P543&lt;=30,"0–30 days",IF($P543&lt;=60,"31–60 days",IF($P543&lt;=90,"61–90 days","Over 90 days")))))</f>
        <v/>
      </c>
      <c r="R543" s="80" t="str">
        <f aca="false">IF($V543=1,ROW(),"")</f>
        <v/>
      </c>
      <c r="S543" s="80" t="str">
        <f aca="false">IF(OR($A543&lt;&gt;"",$E543&lt;&gt;""),IF(TRIM($D543)="","Buyer not noted",TRIM($D543)),"")</f>
        <v/>
      </c>
      <c r="T543" s="80" t="n">
        <f aca="false">IF(AND($V543=1,ISNUMBER($M543)),$M543,0)</f>
        <v>0</v>
      </c>
      <c r="U543" s="80" t="str">
        <f aca="false">IF($V543=1,IF(COUNTIFS($S$7:$S543,$S543,$V$7:$V543,1)=1,SUMIFS($T$7:$T$1006,$S$7:$S$1006,$S543)-ROW()/1000000000,""),"")</f>
        <v/>
      </c>
      <c r="V543" s="80" t="n">
        <f aca="false">IF(OR($O543="On hand",$O543="Advance received",$O543="Part realised",$O543="Amount missing"),1,0)</f>
        <v>0</v>
      </c>
      <c r="W543" s="80" t="str">
        <f aca="false">IF(AND($V543=1,N($F543)&gt;0),ROW(),"")</f>
        <v/>
      </c>
      <c r="X543" s="80" t="n">
        <f aca="false">IF(AND(OR($A543&lt;&gt;"",$E543&lt;&gt;""),$O543&lt;&gt;"Cancelled",ISNUMBER($E543),N($F543)+N($H543)&gt;$E543+0.005),1,0)</f>
        <v>0</v>
      </c>
      <c r="Y543" s="80" t="n">
        <f aca="false">IF(AND(OR($A543&lt;&gt;"",$E543&lt;&gt;""),OR($A543="",$E543="")),1,0)</f>
        <v>0</v>
      </c>
      <c r="Z543" s="80" t="n">
        <f aca="false">IF(AND($A543&lt;&gt;"",COUNTIF($A$7:$A$1006,$A543)&gt;1),1,0)</f>
        <v>0</v>
      </c>
    </row>
    <row r="544" customFormat="false" ht="15" hidden="false" customHeight="false" outlineLevel="0" collapsed="false">
      <c r="A544" s="71"/>
      <c r="B544" s="72"/>
      <c r="C544" s="73"/>
      <c r="D544" s="73"/>
      <c r="E544" s="74"/>
      <c r="F544" s="74"/>
      <c r="G544" s="72"/>
      <c r="H544" s="74"/>
      <c r="I544" s="72"/>
      <c r="J544" s="73"/>
      <c r="K544" s="73"/>
      <c r="L544" s="75" t="str">
        <f aca="false">IF(OR($A544&lt;&gt;"",$E544&lt;&gt;""),N($F544)+N($H544),"")</f>
        <v/>
      </c>
      <c r="M544" s="76" t="str">
        <f aca="false">IF(OR($O544="",$O544="Cancelled",$O544="Amount missing"),"",IF($O544="Realised",0,$E544-N($F544)-N($H544)))</f>
        <v/>
      </c>
      <c r="N544" s="77" t="str">
        <f aca="false">IF(OR($M544="",FX=""),"",$M544*FX)</f>
        <v/>
      </c>
      <c r="O544" s="78" t="str">
        <f aca="false">IF(NOT(OR($A544&lt;&gt;"",$E544&lt;&gt;"")),"",IF($J544="Cancelled","Cancelled",IF($E544="","Amount missing",IF(OR($J544="Settled",$E544-N($F544)-N($H544)&lt;=0.005),"Realised",IF(N($H544)&gt;0,"Part realised",IF(N($F544)&gt;0,"Advance received","On hand"))))))</f>
        <v/>
      </c>
      <c r="P544" s="79" t="str">
        <f aca="false">IF(AND($V544=1,ISNUMBER($B544)),AsAt-$B544,"")</f>
        <v/>
      </c>
      <c r="Q544" s="78" t="str">
        <f aca="false">IF($V544&lt;&gt;1,"",IF($P544="","No invoice date",IF($P544&lt;=30,"0–30 days",IF($P544&lt;=60,"31–60 days",IF($P544&lt;=90,"61–90 days","Over 90 days")))))</f>
        <v/>
      </c>
      <c r="R544" s="80" t="str">
        <f aca="false">IF($V544=1,ROW(),"")</f>
        <v/>
      </c>
      <c r="S544" s="80" t="str">
        <f aca="false">IF(OR($A544&lt;&gt;"",$E544&lt;&gt;""),IF(TRIM($D544)="","Buyer not noted",TRIM($D544)),"")</f>
        <v/>
      </c>
      <c r="T544" s="80" t="n">
        <f aca="false">IF(AND($V544=1,ISNUMBER($M544)),$M544,0)</f>
        <v>0</v>
      </c>
      <c r="U544" s="80" t="str">
        <f aca="false">IF($V544=1,IF(COUNTIFS($S$7:$S544,$S544,$V$7:$V544,1)=1,SUMIFS($T$7:$T$1006,$S$7:$S$1006,$S544)-ROW()/1000000000,""),"")</f>
        <v/>
      </c>
      <c r="V544" s="80" t="n">
        <f aca="false">IF(OR($O544="On hand",$O544="Advance received",$O544="Part realised",$O544="Amount missing"),1,0)</f>
        <v>0</v>
      </c>
      <c r="W544" s="80" t="str">
        <f aca="false">IF(AND($V544=1,N($F544)&gt;0),ROW(),"")</f>
        <v/>
      </c>
      <c r="X544" s="80" t="n">
        <f aca="false">IF(AND(OR($A544&lt;&gt;"",$E544&lt;&gt;""),$O544&lt;&gt;"Cancelled",ISNUMBER($E544),N($F544)+N($H544)&gt;$E544+0.005),1,0)</f>
        <v>0</v>
      </c>
      <c r="Y544" s="80" t="n">
        <f aca="false">IF(AND(OR($A544&lt;&gt;"",$E544&lt;&gt;""),OR($A544="",$E544="")),1,0)</f>
        <v>0</v>
      </c>
      <c r="Z544" s="80" t="n">
        <f aca="false">IF(AND($A544&lt;&gt;"",COUNTIF($A$7:$A$1006,$A544)&gt;1),1,0)</f>
        <v>0</v>
      </c>
    </row>
    <row r="545" customFormat="false" ht="15" hidden="false" customHeight="false" outlineLevel="0" collapsed="false">
      <c r="A545" s="71"/>
      <c r="B545" s="72"/>
      <c r="C545" s="73"/>
      <c r="D545" s="73"/>
      <c r="E545" s="74"/>
      <c r="F545" s="74"/>
      <c r="G545" s="72"/>
      <c r="H545" s="74"/>
      <c r="I545" s="72"/>
      <c r="J545" s="73"/>
      <c r="K545" s="73"/>
      <c r="L545" s="75" t="str">
        <f aca="false">IF(OR($A545&lt;&gt;"",$E545&lt;&gt;""),N($F545)+N($H545),"")</f>
        <v/>
      </c>
      <c r="M545" s="76" t="str">
        <f aca="false">IF(OR($O545="",$O545="Cancelled",$O545="Amount missing"),"",IF($O545="Realised",0,$E545-N($F545)-N($H545)))</f>
        <v/>
      </c>
      <c r="N545" s="77" t="str">
        <f aca="false">IF(OR($M545="",FX=""),"",$M545*FX)</f>
        <v/>
      </c>
      <c r="O545" s="78" t="str">
        <f aca="false">IF(NOT(OR($A545&lt;&gt;"",$E545&lt;&gt;"")),"",IF($J545="Cancelled","Cancelled",IF($E545="","Amount missing",IF(OR($J545="Settled",$E545-N($F545)-N($H545)&lt;=0.005),"Realised",IF(N($H545)&gt;0,"Part realised",IF(N($F545)&gt;0,"Advance received","On hand"))))))</f>
        <v/>
      </c>
      <c r="P545" s="79" t="str">
        <f aca="false">IF(AND($V545=1,ISNUMBER($B545)),AsAt-$B545,"")</f>
        <v/>
      </c>
      <c r="Q545" s="78" t="str">
        <f aca="false">IF($V545&lt;&gt;1,"",IF($P545="","No invoice date",IF($P545&lt;=30,"0–30 days",IF($P545&lt;=60,"31–60 days",IF($P545&lt;=90,"61–90 days","Over 90 days")))))</f>
        <v/>
      </c>
      <c r="R545" s="80" t="str">
        <f aca="false">IF($V545=1,ROW(),"")</f>
        <v/>
      </c>
      <c r="S545" s="80" t="str">
        <f aca="false">IF(OR($A545&lt;&gt;"",$E545&lt;&gt;""),IF(TRIM($D545)="","Buyer not noted",TRIM($D545)),"")</f>
        <v/>
      </c>
      <c r="T545" s="80" t="n">
        <f aca="false">IF(AND($V545=1,ISNUMBER($M545)),$M545,0)</f>
        <v>0</v>
      </c>
      <c r="U545" s="80" t="str">
        <f aca="false">IF($V545=1,IF(COUNTIFS($S$7:$S545,$S545,$V$7:$V545,1)=1,SUMIFS($T$7:$T$1006,$S$7:$S$1006,$S545)-ROW()/1000000000,""),"")</f>
        <v/>
      </c>
      <c r="V545" s="80" t="n">
        <f aca="false">IF(OR($O545="On hand",$O545="Advance received",$O545="Part realised",$O545="Amount missing"),1,0)</f>
        <v>0</v>
      </c>
      <c r="W545" s="80" t="str">
        <f aca="false">IF(AND($V545=1,N($F545)&gt;0),ROW(),"")</f>
        <v/>
      </c>
      <c r="X545" s="80" t="n">
        <f aca="false">IF(AND(OR($A545&lt;&gt;"",$E545&lt;&gt;""),$O545&lt;&gt;"Cancelled",ISNUMBER($E545),N($F545)+N($H545)&gt;$E545+0.005),1,0)</f>
        <v>0</v>
      </c>
      <c r="Y545" s="80" t="n">
        <f aca="false">IF(AND(OR($A545&lt;&gt;"",$E545&lt;&gt;""),OR($A545="",$E545="")),1,0)</f>
        <v>0</v>
      </c>
      <c r="Z545" s="80" t="n">
        <f aca="false">IF(AND($A545&lt;&gt;"",COUNTIF($A$7:$A$1006,$A545)&gt;1),1,0)</f>
        <v>0</v>
      </c>
    </row>
    <row r="546" customFormat="false" ht="15" hidden="false" customHeight="false" outlineLevel="0" collapsed="false">
      <c r="A546" s="71"/>
      <c r="B546" s="72"/>
      <c r="C546" s="73"/>
      <c r="D546" s="73"/>
      <c r="E546" s="74"/>
      <c r="F546" s="74"/>
      <c r="G546" s="72"/>
      <c r="H546" s="74"/>
      <c r="I546" s="72"/>
      <c r="J546" s="73"/>
      <c r="K546" s="73"/>
      <c r="L546" s="75" t="str">
        <f aca="false">IF(OR($A546&lt;&gt;"",$E546&lt;&gt;""),N($F546)+N($H546),"")</f>
        <v/>
      </c>
      <c r="M546" s="76" t="str">
        <f aca="false">IF(OR($O546="",$O546="Cancelled",$O546="Amount missing"),"",IF($O546="Realised",0,$E546-N($F546)-N($H546)))</f>
        <v/>
      </c>
      <c r="N546" s="77" t="str">
        <f aca="false">IF(OR($M546="",FX=""),"",$M546*FX)</f>
        <v/>
      </c>
      <c r="O546" s="78" t="str">
        <f aca="false">IF(NOT(OR($A546&lt;&gt;"",$E546&lt;&gt;"")),"",IF($J546="Cancelled","Cancelled",IF($E546="","Amount missing",IF(OR($J546="Settled",$E546-N($F546)-N($H546)&lt;=0.005),"Realised",IF(N($H546)&gt;0,"Part realised",IF(N($F546)&gt;0,"Advance received","On hand"))))))</f>
        <v/>
      </c>
      <c r="P546" s="79" t="str">
        <f aca="false">IF(AND($V546=1,ISNUMBER($B546)),AsAt-$B546,"")</f>
        <v/>
      </c>
      <c r="Q546" s="78" t="str">
        <f aca="false">IF($V546&lt;&gt;1,"",IF($P546="","No invoice date",IF($P546&lt;=30,"0–30 days",IF($P546&lt;=60,"31–60 days",IF($P546&lt;=90,"61–90 days","Over 90 days")))))</f>
        <v/>
      </c>
      <c r="R546" s="80" t="str">
        <f aca="false">IF($V546=1,ROW(),"")</f>
        <v/>
      </c>
      <c r="S546" s="80" t="str">
        <f aca="false">IF(OR($A546&lt;&gt;"",$E546&lt;&gt;""),IF(TRIM($D546)="","Buyer not noted",TRIM($D546)),"")</f>
        <v/>
      </c>
      <c r="T546" s="80" t="n">
        <f aca="false">IF(AND($V546=1,ISNUMBER($M546)),$M546,0)</f>
        <v>0</v>
      </c>
      <c r="U546" s="80" t="str">
        <f aca="false">IF($V546=1,IF(COUNTIFS($S$7:$S546,$S546,$V$7:$V546,1)=1,SUMIFS($T$7:$T$1006,$S$7:$S$1006,$S546)-ROW()/1000000000,""),"")</f>
        <v/>
      </c>
      <c r="V546" s="80" t="n">
        <f aca="false">IF(OR($O546="On hand",$O546="Advance received",$O546="Part realised",$O546="Amount missing"),1,0)</f>
        <v>0</v>
      </c>
      <c r="W546" s="80" t="str">
        <f aca="false">IF(AND($V546=1,N($F546)&gt;0),ROW(),"")</f>
        <v/>
      </c>
      <c r="X546" s="80" t="n">
        <f aca="false">IF(AND(OR($A546&lt;&gt;"",$E546&lt;&gt;""),$O546&lt;&gt;"Cancelled",ISNUMBER($E546),N($F546)+N($H546)&gt;$E546+0.005),1,0)</f>
        <v>0</v>
      </c>
      <c r="Y546" s="80" t="n">
        <f aca="false">IF(AND(OR($A546&lt;&gt;"",$E546&lt;&gt;""),OR($A546="",$E546="")),1,0)</f>
        <v>0</v>
      </c>
      <c r="Z546" s="80" t="n">
        <f aca="false">IF(AND($A546&lt;&gt;"",COUNTIF($A$7:$A$1006,$A546)&gt;1),1,0)</f>
        <v>0</v>
      </c>
    </row>
    <row r="547" customFormat="false" ht="15" hidden="false" customHeight="false" outlineLevel="0" collapsed="false">
      <c r="A547" s="71"/>
      <c r="B547" s="72"/>
      <c r="C547" s="73"/>
      <c r="D547" s="73"/>
      <c r="E547" s="74"/>
      <c r="F547" s="74"/>
      <c r="G547" s="72"/>
      <c r="H547" s="74"/>
      <c r="I547" s="72"/>
      <c r="J547" s="73"/>
      <c r="K547" s="73"/>
      <c r="L547" s="75" t="str">
        <f aca="false">IF(OR($A547&lt;&gt;"",$E547&lt;&gt;""),N($F547)+N($H547),"")</f>
        <v/>
      </c>
      <c r="M547" s="76" t="str">
        <f aca="false">IF(OR($O547="",$O547="Cancelled",$O547="Amount missing"),"",IF($O547="Realised",0,$E547-N($F547)-N($H547)))</f>
        <v/>
      </c>
      <c r="N547" s="77" t="str">
        <f aca="false">IF(OR($M547="",FX=""),"",$M547*FX)</f>
        <v/>
      </c>
      <c r="O547" s="78" t="str">
        <f aca="false">IF(NOT(OR($A547&lt;&gt;"",$E547&lt;&gt;"")),"",IF($J547="Cancelled","Cancelled",IF($E547="","Amount missing",IF(OR($J547="Settled",$E547-N($F547)-N($H547)&lt;=0.005),"Realised",IF(N($H547)&gt;0,"Part realised",IF(N($F547)&gt;0,"Advance received","On hand"))))))</f>
        <v/>
      </c>
      <c r="P547" s="79" t="str">
        <f aca="false">IF(AND($V547=1,ISNUMBER($B547)),AsAt-$B547,"")</f>
        <v/>
      </c>
      <c r="Q547" s="78" t="str">
        <f aca="false">IF($V547&lt;&gt;1,"",IF($P547="","No invoice date",IF($P547&lt;=30,"0–30 days",IF($P547&lt;=60,"31–60 days",IF($P547&lt;=90,"61–90 days","Over 90 days")))))</f>
        <v/>
      </c>
      <c r="R547" s="80" t="str">
        <f aca="false">IF($V547=1,ROW(),"")</f>
        <v/>
      </c>
      <c r="S547" s="80" t="str">
        <f aca="false">IF(OR($A547&lt;&gt;"",$E547&lt;&gt;""),IF(TRIM($D547)="","Buyer not noted",TRIM($D547)),"")</f>
        <v/>
      </c>
      <c r="T547" s="80" t="n">
        <f aca="false">IF(AND($V547=1,ISNUMBER($M547)),$M547,0)</f>
        <v>0</v>
      </c>
      <c r="U547" s="80" t="str">
        <f aca="false">IF($V547=1,IF(COUNTIFS($S$7:$S547,$S547,$V$7:$V547,1)=1,SUMIFS($T$7:$T$1006,$S$7:$S$1006,$S547)-ROW()/1000000000,""),"")</f>
        <v/>
      </c>
      <c r="V547" s="80" t="n">
        <f aca="false">IF(OR($O547="On hand",$O547="Advance received",$O547="Part realised",$O547="Amount missing"),1,0)</f>
        <v>0</v>
      </c>
      <c r="W547" s="80" t="str">
        <f aca="false">IF(AND($V547=1,N($F547)&gt;0),ROW(),"")</f>
        <v/>
      </c>
      <c r="X547" s="80" t="n">
        <f aca="false">IF(AND(OR($A547&lt;&gt;"",$E547&lt;&gt;""),$O547&lt;&gt;"Cancelled",ISNUMBER($E547),N($F547)+N($H547)&gt;$E547+0.005),1,0)</f>
        <v>0</v>
      </c>
      <c r="Y547" s="80" t="n">
        <f aca="false">IF(AND(OR($A547&lt;&gt;"",$E547&lt;&gt;""),OR($A547="",$E547="")),1,0)</f>
        <v>0</v>
      </c>
      <c r="Z547" s="80" t="n">
        <f aca="false">IF(AND($A547&lt;&gt;"",COUNTIF($A$7:$A$1006,$A547)&gt;1),1,0)</f>
        <v>0</v>
      </c>
    </row>
    <row r="548" customFormat="false" ht="15" hidden="false" customHeight="false" outlineLevel="0" collapsed="false">
      <c r="A548" s="71"/>
      <c r="B548" s="72"/>
      <c r="C548" s="73"/>
      <c r="D548" s="73"/>
      <c r="E548" s="74"/>
      <c r="F548" s="74"/>
      <c r="G548" s="72"/>
      <c r="H548" s="74"/>
      <c r="I548" s="72"/>
      <c r="J548" s="73"/>
      <c r="K548" s="73"/>
      <c r="L548" s="75" t="str">
        <f aca="false">IF(OR($A548&lt;&gt;"",$E548&lt;&gt;""),N($F548)+N($H548),"")</f>
        <v/>
      </c>
      <c r="M548" s="76" t="str">
        <f aca="false">IF(OR($O548="",$O548="Cancelled",$O548="Amount missing"),"",IF($O548="Realised",0,$E548-N($F548)-N($H548)))</f>
        <v/>
      </c>
      <c r="N548" s="77" t="str">
        <f aca="false">IF(OR($M548="",FX=""),"",$M548*FX)</f>
        <v/>
      </c>
      <c r="O548" s="78" t="str">
        <f aca="false">IF(NOT(OR($A548&lt;&gt;"",$E548&lt;&gt;"")),"",IF($J548="Cancelled","Cancelled",IF($E548="","Amount missing",IF(OR($J548="Settled",$E548-N($F548)-N($H548)&lt;=0.005),"Realised",IF(N($H548)&gt;0,"Part realised",IF(N($F548)&gt;0,"Advance received","On hand"))))))</f>
        <v/>
      </c>
      <c r="P548" s="79" t="str">
        <f aca="false">IF(AND($V548=1,ISNUMBER($B548)),AsAt-$B548,"")</f>
        <v/>
      </c>
      <c r="Q548" s="78" t="str">
        <f aca="false">IF($V548&lt;&gt;1,"",IF($P548="","No invoice date",IF($P548&lt;=30,"0–30 days",IF($P548&lt;=60,"31–60 days",IF($P548&lt;=90,"61–90 days","Over 90 days")))))</f>
        <v/>
      </c>
      <c r="R548" s="80" t="str">
        <f aca="false">IF($V548=1,ROW(),"")</f>
        <v/>
      </c>
      <c r="S548" s="80" t="str">
        <f aca="false">IF(OR($A548&lt;&gt;"",$E548&lt;&gt;""),IF(TRIM($D548)="","Buyer not noted",TRIM($D548)),"")</f>
        <v/>
      </c>
      <c r="T548" s="80" t="n">
        <f aca="false">IF(AND($V548=1,ISNUMBER($M548)),$M548,0)</f>
        <v>0</v>
      </c>
      <c r="U548" s="80" t="str">
        <f aca="false">IF($V548=1,IF(COUNTIFS($S$7:$S548,$S548,$V$7:$V548,1)=1,SUMIFS($T$7:$T$1006,$S$7:$S$1006,$S548)-ROW()/1000000000,""),"")</f>
        <v/>
      </c>
      <c r="V548" s="80" t="n">
        <f aca="false">IF(OR($O548="On hand",$O548="Advance received",$O548="Part realised",$O548="Amount missing"),1,0)</f>
        <v>0</v>
      </c>
      <c r="W548" s="80" t="str">
        <f aca="false">IF(AND($V548=1,N($F548)&gt;0),ROW(),"")</f>
        <v/>
      </c>
      <c r="X548" s="80" t="n">
        <f aca="false">IF(AND(OR($A548&lt;&gt;"",$E548&lt;&gt;""),$O548&lt;&gt;"Cancelled",ISNUMBER($E548),N($F548)+N($H548)&gt;$E548+0.005),1,0)</f>
        <v>0</v>
      </c>
      <c r="Y548" s="80" t="n">
        <f aca="false">IF(AND(OR($A548&lt;&gt;"",$E548&lt;&gt;""),OR($A548="",$E548="")),1,0)</f>
        <v>0</v>
      </c>
      <c r="Z548" s="80" t="n">
        <f aca="false">IF(AND($A548&lt;&gt;"",COUNTIF($A$7:$A$1006,$A548)&gt;1),1,0)</f>
        <v>0</v>
      </c>
    </row>
    <row r="549" customFormat="false" ht="15" hidden="false" customHeight="false" outlineLevel="0" collapsed="false">
      <c r="A549" s="71"/>
      <c r="B549" s="72"/>
      <c r="C549" s="73"/>
      <c r="D549" s="73"/>
      <c r="E549" s="74"/>
      <c r="F549" s="74"/>
      <c r="G549" s="72"/>
      <c r="H549" s="74"/>
      <c r="I549" s="72"/>
      <c r="J549" s="73"/>
      <c r="K549" s="73"/>
      <c r="L549" s="75" t="str">
        <f aca="false">IF(OR($A549&lt;&gt;"",$E549&lt;&gt;""),N($F549)+N($H549),"")</f>
        <v/>
      </c>
      <c r="M549" s="76" t="str">
        <f aca="false">IF(OR($O549="",$O549="Cancelled",$O549="Amount missing"),"",IF($O549="Realised",0,$E549-N($F549)-N($H549)))</f>
        <v/>
      </c>
      <c r="N549" s="77" t="str">
        <f aca="false">IF(OR($M549="",FX=""),"",$M549*FX)</f>
        <v/>
      </c>
      <c r="O549" s="78" t="str">
        <f aca="false">IF(NOT(OR($A549&lt;&gt;"",$E549&lt;&gt;"")),"",IF($J549="Cancelled","Cancelled",IF($E549="","Amount missing",IF(OR($J549="Settled",$E549-N($F549)-N($H549)&lt;=0.005),"Realised",IF(N($H549)&gt;0,"Part realised",IF(N($F549)&gt;0,"Advance received","On hand"))))))</f>
        <v/>
      </c>
      <c r="P549" s="79" t="str">
        <f aca="false">IF(AND($V549=1,ISNUMBER($B549)),AsAt-$B549,"")</f>
        <v/>
      </c>
      <c r="Q549" s="78" t="str">
        <f aca="false">IF($V549&lt;&gt;1,"",IF($P549="","No invoice date",IF($P549&lt;=30,"0–30 days",IF($P549&lt;=60,"31–60 days",IF($P549&lt;=90,"61–90 days","Over 90 days")))))</f>
        <v/>
      </c>
      <c r="R549" s="80" t="str">
        <f aca="false">IF($V549=1,ROW(),"")</f>
        <v/>
      </c>
      <c r="S549" s="80" t="str">
        <f aca="false">IF(OR($A549&lt;&gt;"",$E549&lt;&gt;""),IF(TRIM($D549)="","Buyer not noted",TRIM($D549)),"")</f>
        <v/>
      </c>
      <c r="T549" s="80" t="n">
        <f aca="false">IF(AND($V549=1,ISNUMBER($M549)),$M549,0)</f>
        <v>0</v>
      </c>
      <c r="U549" s="80" t="str">
        <f aca="false">IF($V549=1,IF(COUNTIFS($S$7:$S549,$S549,$V$7:$V549,1)=1,SUMIFS($T$7:$T$1006,$S$7:$S$1006,$S549)-ROW()/1000000000,""),"")</f>
        <v/>
      </c>
      <c r="V549" s="80" t="n">
        <f aca="false">IF(OR($O549="On hand",$O549="Advance received",$O549="Part realised",$O549="Amount missing"),1,0)</f>
        <v>0</v>
      </c>
      <c r="W549" s="80" t="str">
        <f aca="false">IF(AND($V549=1,N($F549)&gt;0),ROW(),"")</f>
        <v/>
      </c>
      <c r="X549" s="80" t="n">
        <f aca="false">IF(AND(OR($A549&lt;&gt;"",$E549&lt;&gt;""),$O549&lt;&gt;"Cancelled",ISNUMBER($E549),N($F549)+N($H549)&gt;$E549+0.005),1,0)</f>
        <v>0</v>
      </c>
      <c r="Y549" s="80" t="n">
        <f aca="false">IF(AND(OR($A549&lt;&gt;"",$E549&lt;&gt;""),OR($A549="",$E549="")),1,0)</f>
        <v>0</v>
      </c>
      <c r="Z549" s="80" t="n">
        <f aca="false">IF(AND($A549&lt;&gt;"",COUNTIF($A$7:$A$1006,$A549)&gt;1),1,0)</f>
        <v>0</v>
      </c>
    </row>
    <row r="550" customFormat="false" ht="15" hidden="false" customHeight="false" outlineLevel="0" collapsed="false">
      <c r="A550" s="71"/>
      <c r="B550" s="72"/>
      <c r="C550" s="73"/>
      <c r="D550" s="73"/>
      <c r="E550" s="74"/>
      <c r="F550" s="74"/>
      <c r="G550" s="72"/>
      <c r="H550" s="74"/>
      <c r="I550" s="72"/>
      <c r="J550" s="73"/>
      <c r="K550" s="73"/>
      <c r="L550" s="75" t="str">
        <f aca="false">IF(OR($A550&lt;&gt;"",$E550&lt;&gt;""),N($F550)+N($H550),"")</f>
        <v/>
      </c>
      <c r="M550" s="76" t="str">
        <f aca="false">IF(OR($O550="",$O550="Cancelled",$O550="Amount missing"),"",IF($O550="Realised",0,$E550-N($F550)-N($H550)))</f>
        <v/>
      </c>
      <c r="N550" s="77" t="str">
        <f aca="false">IF(OR($M550="",FX=""),"",$M550*FX)</f>
        <v/>
      </c>
      <c r="O550" s="78" t="str">
        <f aca="false">IF(NOT(OR($A550&lt;&gt;"",$E550&lt;&gt;"")),"",IF($J550="Cancelled","Cancelled",IF($E550="","Amount missing",IF(OR($J550="Settled",$E550-N($F550)-N($H550)&lt;=0.005),"Realised",IF(N($H550)&gt;0,"Part realised",IF(N($F550)&gt;0,"Advance received","On hand"))))))</f>
        <v/>
      </c>
      <c r="P550" s="79" t="str">
        <f aca="false">IF(AND($V550=1,ISNUMBER($B550)),AsAt-$B550,"")</f>
        <v/>
      </c>
      <c r="Q550" s="78" t="str">
        <f aca="false">IF($V550&lt;&gt;1,"",IF($P550="","No invoice date",IF($P550&lt;=30,"0–30 days",IF($P550&lt;=60,"31–60 days",IF($P550&lt;=90,"61–90 days","Over 90 days")))))</f>
        <v/>
      </c>
      <c r="R550" s="80" t="str">
        <f aca="false">IF($V550=1,ROW(),"")</f>
        <v/>
      </c>
      <c r="S550" s="80" t="str">
        <f aca="false">IF(OR($A550&lt;&gt;"",$E550&lt;&gt;""),IF(TRIM($D550)="","Buyer not noted",TRIM($D550)),"")</f>
        <v/>
      </c>
      <c r="T550" s="80" t="n">
        <f aca="false">IF(AND($V550=1,ISNUMBER($M550)),$M550,0)</f>
        <v>0</v>
      </c>
      <c r="U550" s="80" t="str">
        <f aca="false">IF($V550=1,IF(COUNTIFS($S$7:$S550,$S550,$V$7:$V550,1)=1,SUMIFS($T$7:$T$1006,$S$7:$S$1006,$S550)-ROW()/1000000000,""),"")</f>
        <v/>
      </c>
      <c r="V550" s="80" t="n">
        <f aca="false">IF(OR($O550="On hand",$O550="Advance received",$O550="Part realised",$O550="Amount missing"),1,0)</f>
        <v>0</v>
      </c>
      <c r="W550" s="80" t="str">
        <f aca="false">IF(AND($V550=1,N($F550)&gt;0),ROW(),"")</f>
        <v/>
      </c>
      <c r="X550" s="80" t="n">
        <f aca="false">IF(AND(OR($A550&lt;&gt;"",$E550&lt;&gt;""),$O550&lt;&gt;"Cancelled",ISNUMBER($E550),N($F550)+N($H550)&gt;$E550+0.005),1,0)</f>
        <v>0</v>
      </c>
      <c r="Y550" s="80" t="n">
        <f aca="false">IF(AND(OR($A550&lt;&gt;"",$E550&lt;&gt;""),OR($A550="",$E550="")),1,0)</f>
        <v>0</v>
      </c>
      <c r="Z550" s="80" t="n">
        <f aca="false">IF(AND($A550&lt;&gt;"",COUNTIF($A$7:$A$1006,$A550)&gt;1),1,0)</f>
        <v>0</v>
      </c>
    </row>
    <row r="551" customFormat="false" ht="15" hidden="false" customHeight="false" outlineLevel="0" collapsed="false">
      <c r="A551" s="71"/>
      <c r="B551" s="72"/>
      <c r="C551" s="73"/>
      <c r="D551" s="73"/>
      <c r="E551" s="74"/>
      <c r="F551" s="74"/>
      <c r="G551" s="72"/>
      <c r="H551" s="74"/>
      <c r="I551" s="72"/>
      <c r="J551" s="73"/>
      <c r="K551" s="73"/>
      <c r="L551" s="75" t="str">
        <f aca="false">IF(OR($A551&lt;&gt;"",$E551&lt;&gt;""),N($F551)+N($H551),"")</f>
        <v/>
      </c>
      <c r="M551" s="76" t="str">
        <f aca="false">IF(OR($O551="",$O551="Cancelled",$O551="Amount missing"),"",IF($O551="Realised",0,$E551-N($F551)-N($H551)))</f>
        <v/>
      </c>
      <c r="N551" s="77" t="str">
        <f aca="false">IF(OR($M551="",FX=""),"",$M551*FX)</f>
        <v/>
      </c>
      <c r="O551" s="78" t="str">
        <f aca="false">IF(NOT(OR($A551&lt;&gt;"",$E551&lt;&gt;"")),"",IF($J551="Cancelled","Cancelled",IF($E551="","Amount missing",IF(OR($J551="Settled",$E551-N($F551)-N($H551)&lt;=0.005),"Realised",IF(N($H551)&gt;0,"Part realised",IF(N($F551)&gt;0,"Advance received","On hand"))))))</f>
        <v/>
      </c>
      <c r="P551" s="79" t="str">
        <f aca="false">IF(AND($V551=1,ISNUMBER($B551)),AsAt-$B551,"")</f>
        <v/>
      </c>
      <c r="Q551" s="78" t="str">
        <f aca="false">IF($V551&lt;&gt;1,"",IF($P551="","No invoice date",IF($P551&lt;=30,"0–30 days",IF($P551&lt;=60,"31–60 days",IF($P551&lt;=90,"61–90 days","Over 90 days")))))</f>
        <v/>
      </c>
      <c r="R551" s="80" t="str">
        <f aca="false">IF($V551=1,ROW(),"")</f>
        <v/>
      </c>
      <c r="S551" s="80" t="str">
        <f aca="false">IF(OR($A551&lt;&gt;"",$E551&lt;&gt;""),IF(TRIM($D551)="","Buyer not noted",TRIM($D551)),"")</f>
        <v/>
      </c>
      <c r="T551" s="80" t="n">
        <f aca="false">IF(AND($V551=1,ISNUMBER($M551)),$M551,0)</f>
        <v>0</v>
      </c>
      <c r="U551" s="80" t="str">
        <f aca="false">IF($V551=1,IF(COUNTIFS($S$7:$S551,$S551,$V$7:$V551,1)=1,SUMIFS($T$7:$T$1006,$S$7:$S$1006,$S551)-ROW()/1000000000,""),"")</f>
        <v/>
      </c>
      <c r="V551" s="80" t="n">
        <f aca="false">IF(OR($O551="On hand",$O551="Advance received",$O551="Part realised",$O551="Amount missing"),1,0)</f>
        <v>0</v>
      </c>
      <c r="W551" s="80" t="str">
        <f aca="false">IF(AND($V551=1,N($F551)&gt;0),ROW(),"")</f>
        <v/>
      </c>
      <c r="X551" s="80" t="n">
        <f aca="false">IF(AND(OR($A551&lt;&gt;"",$E551&lt;&gt;""),$O551&lt;&gt;"Cancelled",ISNUMBER($E551),N($F551)+N($H551)&gt;$E551+0.005),1,0)</f>
        <v>0</v>
      </c>
      <c r="Y551" s="80" t="n">
        <f aca="false">IF(AND(OR($A551&lt;&gt;"",$E551&lt;&gt;""),OR($A551="",$E551="")),1,0)</f>
        <v>0</v>
      </c>
      <c r="Z551" s="80" t="n">
        <f aca="false">IF(AND($A551&lt;&gt;"",COUNTIF($A$7:$A$1006,$A551)&gt;1),1,0)</f>
        <v>0</v>
      </c>
    </row>
    <row r="552" customFormat="false" ht="15" hidden="false" customHeight="false" outlineLevel="0" collapsed="false">
      <c r="A552" s="71"/>
      <c r="B552" s="72"/>
      <c r="C552" s="73"/>
      <c r="D552" s="73"/>
      <c r="E552" s="74"/>
      <c r="F552" s="74"/>
      <c r="G552" s="72"/>
      <c r="H552" s="74"/>
      <c r="I552" s="72"/>
      <c r="J552" s="73"/>
      <c r="K552" s="73"/>
      <c r="L552" s="75" t="str">
        <f aca="false">IF(OR($A552&lt;&gt;"",$E552&lt;&gt;""),N($F552)+N($H552),"")</f>
        <v/>
      </c>
      <c r="M552" s="76" t="str">
        <f aca="false">IF(OR($O552="",$O552="Cancelled",$O552="Amount missing"),"",IF($O552="Realised",0,$E552-N($F552)-N($H552)))</f>
        <v/>
      </c>
      <c r="N552" s="77" t="str">
        <f aca="false">IF(OR($M552="",FX=""),"",$M552*FX)</f>
        <v/>
      </c>
      <c r="O552" s="78" t="str">
        <f aca="false">IF(NOT(OR($A552&lt;&gt;"",$E552&lt;&gt;"")),"",IF($J552="Cancelled","Cancelled",IF($E552="","Amount missing",IF(OR($J552="Settled",$E552-N($F552)-N($H552)&lt;=0.005),"Realised",IF(N($H552)&gt;0,"Part realised",IF(N($F552)&gt;0,"Advance received","On hand"))))))</f>
        <v/>
      </c>
      <c r="P552" s="79" t="str">
        <f aca="false">IF(AND($V552=1,ISNUMBER($B552)),AsAt-$B552,"")</f>
        <v/>
      </c>
      <c r="Q552" s="78" t="str">
        <f aca="false">IF($V552&lt;&gt;1,"",IF($P552="","No invoice date",IF($P552&lt;=30,"0–30 days",IF($P552&lt;=60,"31–60 days",IF($P552&lt;=90,"61–90 days","Over 90 days")))))</f>
        <v/>
      </c>
      <c r="R552" s="80" t="str">
        <f aca="false">IF($V552=1,ROW(),"")</f>
        <v/>
      </c>
      <c r="S552" s="80" t="str">
        <f aca="false">IF(OR($A552&lt;&gt;"",$E552&lt;&gt;""),IF(TRIM($D552)="","Buyer not noted",TRIM($D552)),"")</f>
        <v/>
      </c>
      <c r="T552" s="80" t="n">
        <f aca="false">IF(AND($V552=1,ISNUMBER($M552)),$M552,0)</f>
        <v>0</v>
      </c>
      <c r="U552" s="80" t="str">
        <f aca="false">IF($V552=1,IF(COUNTIFS($S$7:$S552,$S552,$V$7:$V552,1)=1,SUMIFS($T$7:$T$1006,$S$7:$S$1006,$S552)-ROW()/1000000000,""),"")</f>
        <v/>
      </c>
      <c r="V552" s="80" t="n">
        <f aca="false">IF(OR($O552="On hand",$O552="Advance received",$O552="Part realised",$O552="Amount missing"),1,0)</f>
        <v>0</v>
      </c>
      <c r="W552" s="80" t="str">
        <f aca="false">IF(AND($V552=1,N($F552)&gt;0),ROW(),"")</f>
        <v/>
      </c>
      <c r="X552" s="80" t="n">
        <f aca="false">IF(AND(OR($A552&lt;&gt;"",$E552&lt;&gt;""),$O552&lt;&gt;"Cancelled",ISNUMBER($E552),N($F552)+N($H552)&gt;$E552+0.005),1,0)</f>
        <v>0</v>
      </c>
      <c r="Y552" s="80" t="n">
        <f aca="false">IF(AND(OR($A552&lt;&gt;"",$E552&lt;&gt;""),OR($A552="",$E552="")),1,0)</f>
        <v>0</v>
      </c>
      <c r="Z552" s="80" t="n">
        <f aca="false">IF(AND($A552&lt;&gt;"",COUNTIF($A$7:$A$1006,$A552)&gt;1),1,0)</f>
        <v>0</v>
      </c>
    </row>
    <row r="553" customFormat="false" ht="15" hidden="false" customHeight="false" outlineLevel="0" collapsed="false">
      <c r="A553" s="71"/>
      <c r="B553" s="72"/>
      <c r="C553" s="73"/>
      <c r="D553" s="73"/>
      <c r="E553" s="74"/>
      <c r="F553" s="74"/>
      <c r="G553" s="72"/>
      <c r="H553" s="74"/>
      <c r="I553" s="72"/>
      <c r="J553" s="73"/>
      <c r="K553" s="73"/>
      <c r="L553" s="75" t="str">
        <f aca="false">IF(OR($A553&lt;&gt;"",$E553&lt;&gt;""),N($F553)+N($H553),"")</f>
        <v/>
      </c>
      <c r="M553" s="76" t="str">
        <f aca="false">IF(OR($O553="",$O553="Cancelled",$O553="Amount missing"),"",IF($O553="Realised",0,$E553-N($F553)-N($H553)))</f>
        <v/>
      </c>
      <c r="N553" s="77" t="str">
        <f aca="false">IF(OR($M553="",FX=""),"",$M553*FX)</f>
        <v/>
      </c>
      <c r="O553" s="78" t="str">
        <f aca="false">IF(NOT(OR($A553&lt;&gt;"",$E553&lt;&gt;"")),"",IF($J553="Cancelled","Cancelled",IF($E553="","Amount missing",IF(OR($J553="Settled",$E553-N($F553)-N($H553)&lt;=0.005),"Realised",IF(N($H553)&gt;0,"Part realised",IF(N($F553)&gt;0,"Advance received","On hand"))))))</f>
        <v/>
      </c>
      <c r="P553" s="79" t="str">
        <f aca="false">IF(AND($V553=1,ISNUMBER($B553)),AsAt-$B553,"")</f>
        <v/>
      </c>
      <c r="Q553" s="78" t="str">
        <f aca="false">IF($V553&lt;&gt;1,"",IF($P553="","No invoice date",IF($P553&lt;=30,"0–30 days",IF($P553&lt;=60,"31–60 days",IF($P553&lt;=90,"61–90 days","Over 90 days")))))</f>
        <v/>
      </c>
      <c r="R553" s="80" t="str">
        <f aca="false">IF($V553=1,ROW(),"")</f>
        <v/>
      </c>
      <c r="S553" s="80" t="str">
        <f aca="false">IF(OR($A553&lt;&gt;"",$E553&lt;&gt;""),IF(TRIM($D553)="","Buyer not noted",TRIM($D553)),"")</f>
        <v/>
      </c>
      <c r="T553" s="80" t="n">
        <f aca="false">IF(AND($V553=1,ISNUMBER($M553)),$M553,0)</f>
        <v>0</v>
      </c>
      <c r="U553" s="80" t="str">
        <f aca="false">IF($V553=1,IF(COUNTIFS($S$7:$S553,$S553,$V$7:$V553,1)=1,SUMIFS($T$7:$T$1006,$S$7:$S$1006,$S553)-ROW()/1000000000,""),"")</f>
        <v/>
      </c>
      <c r="V553" s="80" t="n">
        <f aca="false">IF(OR($O553="On hand",$O553="Advance received",$O553="Part realised",$O553="Amount missing"),1,0)</f>
        <v>0</v>
      </c>
      <c r="W553" s="80" t="str">
        <f aca="false">IF(AND($V553=1,N($F553)&gt;0),ROW(),"")</f>
        <v/>
      </c>
      <c r="X553" s="80" t="n">
        <f aca="false">IF(AND(OR($A553&lt;&gt;"",$E553&lt;&gt;""),$O553&lt;&gt;"Cancelled",ISNUMBER($E553),N($F553)+N($H553)&gt;$E553+0.005),1,0)</f>
        <v>0</v>
      </c>
      <c r="Y553" s="80" t="n">
        <f aca="false">IF(AND(OR($A553&lt;&gt;"",$E553&lt;&gt;""),OR($A553="",$E553="")),1,0)</f>
        <v>0</v>
      </c>
      <c r="Z553" s="80" t="n">
        <f aca="false">IF(AND($A553&lt;&gt;"",COUNTIF($A$7:$A$1006,$A553)&gt;1),1,0)</f>
        <v>0</v>
      </c>
    </row>
    <row r="554" customFormat="false" ht="15" hidden="false" customHeight="false" outlineLevel="0" collapsed="false">
      <c r="A554" s="71"/>
      <c r="B554" s="72"/>
      <c r="C554" s="73"/>
      <c r="D554" s="73"/>
      <c r="E554" s="74"/>
      <c r="F554" s="74"/>
      <c r="G554" s="72"/>
      <c r="H554" s="74"/>
      <c r="I554" s="72"/>
      <c r="J554" s="73"/>
      <c r="K554" s="73"/>
      <c r="L554" s="75" t="str">
        <f aca="false">IF(OR($A554&lt;&gt;"",$E554&lt;&gt;""),N($F554)+N($H554),"")</f>
        <v/>
      </c>
      <c r="M554" s="76" t="str">
        <f aca="false">IF(OR($O554="",$O554="Cancelled",$O554="Amount missing"),"",IF($O554="Realised",0,$E554-N($F554)-N($H554)))</f>
        <v/>
      </c>
      <c r="N554" s="77" t="str">
        <f aca="false">IF(OR($M554="",FX=""),"",$M554*FX)</f>
        <v/>
      </c>
      <c r="O554" s="78" t="str">
        <f aca="false">IF(NOT(OR($A554&lt;&gt;"",$E554&lt;&gt;"")),"",IF($J554="Cancelled","Cancelled",IF($E554="","Amount missing",IF(OR($J554="Settled",$E554-N($F554)-N($H554)&lt;=0.005),"Realised",IF(N($H554)&gt;0,"Part realised",IF(N($F554)&gt;0,"Advance received","On hand"))))))</f>
        <v/>
      </c>
      <c r="P554" s="79" t="str">
        <f aca="false">IF(AND($V554=1,ISNUMBER($B554)),AsAt-$B554,"")</f>
        <v/>
      </c>
      <c r="Q554" s="78" t="str">
        <f aca="false">IF($V554&lt;&gt;1,"",IF($P554="","No invoice date",IF($P554&lt;=30,"0–30 days",IF($P554&lt;=60,"31–60 days",IF($P554&lt;=90,"61–90 days","Over 90 days")))))</f>
        <v/>
      </c>
      <c r="R554" s="80" t="str">
        <f aca="false">IF($V554=1,ROW(),"")</f>
        <v/>
      </c>
      <c r="S554" s="80" t="str">
        <f aca="false">IF(OR($A554&lt;&gt;"",$E554&lt;&gt;""),IF(TRIM($D554)="","Buyer not noted",TRIM($D554)),"")</f>
        <v/>
      </c>
      <c r="T554" s="80" t="n">
        <f aca="false">IF(AND($V554=1,ISNUMBER($M554)),$M554,0)</f>
        <v>0</v>
      </c>
      <c r="U554" s="80" t="str">
        <f aca="false">IF($V554=1,IF(COUNTIFS($S$7:$S554,$S554,$V$7:$V554,1)=1,SUMIFS($T$7:$T$1006,$S$7:$S$1006,$S554)-ROW()/1000000000,""),"")</f>
        <v/>
      </c>
      <c r="V554" s="80" t="n">
        <f aca="false">IF(OR($O554="On hand",$O554="Advance received",$O554="Part realised",$O554="Amount missing"),1,0)</f>
        <v>0</v>
      </c>
      <c r="W554" s="80" t="str">
        <f aca="false">IF(AND($V554=1,N($F554)&gt;0),ROW(),"")</f>
        <v/>
      </c>
      <c r="X554" s="80" t="n">
        <f aca="false">IF(AND(OR($A554&lt;&gt;"",$E554&lt;&gt;""),$O554&lt;&gt;"Cancelled",ISNUMBER($E554),N($F554)+N($H554)&gt;$E554+0.005),1,0)</f>
        <v>0</v>
      </c>
      <c r="Y554" s="80" t="n">
        <f aca="false">IF(AND(OR($A554&lt;&gt;"",$E554&lt;&gt;""),OR($A554="",$E554="")),1,0)</f>
        <v>0</v>
      </c>
      <c r="Z554" s="80" t="n">
        <f aca="false">IF(AND($A554&lt;&gt;"",COUNTIF($A$7:$A$1006,$A554)&gt;1),1,0)</f>
        <v>0</v>
      </c>
    </row>
    <row r="555" customFormat="false" ht="15" hidden="false" customHeight="false" outlineLevel="0" collapsed="false">
      <c r="A555" s="71"/>
      <c r="B555" s="72"/>
      <c r="C555" s="73"/>
      <c r="D555" s="73"/>
      <c r="E555" s="74"/>
      <c r="F555" s="74"/>
      <c r="G555" s="72"/>
      <c r="H555" s="74"/>
      <c r="I555" s="72"/>
      <c r="J555" s="73"/>
      <c r="K555" s="73"/>
      <c r="L555" s="75" t="str">
        <f aca="false">IF(OR($A555&lt;&gt;"",$E555&lt;&gt;""),N($F555)+N($H555),"")</f>
        <v/>
      </c>
      <c r="M555" s="76" t="str">
        <f aca="false">IF(OR($O555="",$O555="Cancelled",$O555="Amount missing"),"",IF($O555="Realised",0,$E555-N($F555)-N($H555)))</f>
        <v/>
      </c>
      <c r="N555" s="77" t="str">
        <f aca="false">IF(OR($M555="",FX=""),"",$M555*FX)</f>
        <v/>
      </c>
      <c r="O555" s="78" t="str">
        <f aca="false">IF(NOT(OR($A555&lt;&gt;"",$E555&lt;&gt;"")),"",IF($J555="Cancelled","Cancelled",IF($E555="","Amount missing",IF(OR($J555="Settled",$E555-N($F555)-N($H555)&lt;=0.005),"Realised",IF(N($H555)&gt;0,"Part realised",IF(N($F555)&gt;0,"Advance received","On hand"))))))</f>
        <v/>
      </c>
      <c r="P555" s="79" t="str">
        <f aca="false">IF(AND($V555=1,ISNUMBER($B555)),AsAt-$B555,"")</f>
        <v/>
      </c>
      <c r="Q555" s="78" t="str">
        <f aca="false">IF($V555&lt;&gt;1,"",IF($P555="","No invoice date",IF($P555&lt;=30,"0–30 days",IF($P555&lt;=60,"31–60 days",IF($P555&lt;=90,"61–90 days","Over 90 days")))))</f>
        <v/>
      </c>
      <c r="R555" s="80" t="str">
        <f aca="false">IF($V555=1,ROW(),"")</f>
        <v/>
      </c>
      <c r="S555" s="80" t="str">
        <f aca="false">IF(OR($A555&lt;&gt;"",$E555&lt;&gt;""),IF(TRIM($D555)="","Buyer not noted",TRIM($D555)),"")</f>
        <v/>
      </c>
      <c r="T555" s="80" t="n">
        <f aca="false">IF(AND($V555=1,ISNUMBER($M555)),$M555,0)</f>
        <v>0</v>
      </c>
      <c r="U555" s="80" t="str">
        <f aca="false">IF($V555=1,IF(COUNTIFS($S$7:$S555,$S555,$V$7:$V555,1)=1,SUMIFS($T$7:$T$1006,$S$7:$S$1006,$S555)-ROW()/1000000000,""),"")</f>
        <v/>
      </c>
      <c r="V555" s="80" t="n">
        <f aca="false">IF(OR($O555="On hand",$O555="Advance received",$O555="Part realised",$O555="Amount missing"),1,0)</f>
        <v>0</v>
      </c>
      <c r="W555" s="80" t="str">
        <f aca="false">IF(AND($V555=1,N($F555)&gt;0),ROW(),"")</f>
        <v/>
      </c>
      <c r="X555" s="80" t="n">
        <f aca="false">IF(AND(OR($A555&lt;&gt;"",$E555&lt;&gt;""),$O555&lt;&gt;"Cancelled",ISNUMBER($E555),N($F555)+N($H555)&gt;$E555+0.005),1,0)</f>
        <v>0</v>
      </c>
      <c r="Y555" s="80" t="n">
        <f aca="false">IF(AND(OR($A555&lt;&gt;"",$E555&lt;&gt;""),OR($A555="",$E555="")),1,0)</f>
        <v>0</v>
      </c>
      <c r="Z555" s="80" t="n">
        <f aca="false">IF(AND($A555&lt;&gt;"",COUNTIF($A$7:$A$1006,$A555)&gt;1),1,0)</f>
        <v>0</v>
      </c>
    </row>
    <row r="556" customFormat="false" ht="15" hidden="false" customHeight="false" outlineLevel="0" collapsed="false">
      <c r="A556" s="71"/>
      <c r="B556" s="72"/>
      <c r="C556" s="73"/>
      <c r="D556" s="73"/>
      <c r="E556" s="74"/>
      <c r="F556" s="74"/>
      <c r="G556" s="72"/>
      <c r="H556" s="74"/>
      <c r="I556" s="72"/>
      <c r="J556" s="73"/>
      <c r="K556" s="73"/>
      <c r="L556" s="75" t="str">
        <f aca="false">IF(OR($A556&lt;&gt;"",$E556&lt;&gt;""),N($F556)+N($H556),"")</f>
        <v/>
      </c>
      <c r="M556" s="76" t="str">
        <f aca="false">IF(OR($O556="",$O556="Cancelled",$O556="Amount missing"),"",IF($O556="Realised",0,$E556-N($F556)-N($H556)))</f>
        <v/>
      </c>
      <c r="N556" s="77" t="str">
        <f aca="false">IF(OR($M556="",FX=""),"",$M556*FX)</f>
        <v/>
      </c>
      <c r="O556" s="78" t="str">
        <f aca="false">IF(NOT(OR($A556&lt;&gt;"",$E556&lt;&gt;"")),"",IF($J556="Cancelled","Cancelled",IF($E556="","Amount missing",IF(OR($J556="Settled",$E556-N($F556)-N($H556)&lt;=0.005),"Realised",IF(N($H556)&gt;0,"Part realised",IF(N($F556)&gt;0,"Advance received","On hand"))))))</f>
        <v/>
      </c>
      <c r="P556" s="79" t="str">
        <f aca="false">IF(AND($V556=1,ISNUMBER($B556)),AsAt-$B556,"")</f>
        <v/>
      </c>
      <c r="Q556" s="78" t="str">
        <f aca="false">IF($V556&lt;&gt;1,"",IF($P556="","No invoice date",IF($P556&lt;=30,"0–30 days",IF($P556&lt;=60,"31–60 days",IF($P556&lt;=90,"61–90 days","Over 90 days")))))</f>
        <v/>
      </c>
      <c r="R556" s="80" t="str">
        <f aca="false">IF($V556=1,ROW(),"")</f>
        <v/>
      </c>
      <c r="S556" s="80" t="str">
        <f aca="false">IF(OR($A556&lt;&gt;"",$E556&lt;&gt;""),IF(TRIM($D556)="","Buyer not noted",TRIM($D556)),"")</f>
        <v/>
      </c>
      <c r="T556" s="80" t="n">
        <f aca="false">IF(AND($V556=1,ISNUMBER($M556)),$M556,0)</f>
        <v>0</v>
      </c>
      <c r="U556" s="80" t="str">
        <f aca="false">IF($V556=1,IF(COUNTIFS($S$7:$S556,$S556,$V$7:$V556,1)=1,SUMIFS($T$7:$T$1006,$S$7:$S$1006,$S556)-ROW()/1000000000,""),"")</f>
        <v/>
      </c>
      <c r="V556" s="80" t="n">
        <f aca="false">IF(OR($O556="On hand",$O556="Advance received",$O556="Part realised",$O556="Amount missing"),1,0)</f>
        <v>0</v>
      </c>
      <c r="W556" s="80" t="str">
        <f aca="false">IF(AND($V556=1,N($F556)&gt;0),ROW(),"")</f>
        <v/>
      </c>
      <c r="X556" s="80" t="n">
        <f aca="false">IF(AND(OR($A556&lt;&gt;"",$E556&lt;&gt;""),$O556&lt;&gt;"Cancelled",ISNUMBER($E556),N($F556)+N($H556)&gt;$E556+0.005),1,0)</f>
        <v>0</v>
      </c>
      <c r="Y556" s="80" t="n">
        <f aca="false">IF(AND(OR($A556&lt;&gt;"",$E556&lt;&gt;""),OR($A556="",$E556="")),1,0)</f>
        <v>0</v>
      </c>
      <c r="Z556" s="80" t="n">
        <f aca="false">IF(AND($A556&lt;&gt;"",COUNTIF($A$7:$A$1006,$A556)&gt;1),1,0)</f>
        <v>0</v>
      </c>
    </row>
    <row r="557" customFormat="false" ht="15" hidden="false" customHeight="false" outlineLevel="0" collapsed="false">
      <c r="A557" s="71"/>
      <c r="B557" s="72"/>
      <c r="C557" s="73"/>
      <c r="D557" s="73"/>
      <c r="E557" s="74"/>
      <c r="F557" s="74"/>
      <c r="G557" s="72"/>
      <c r="H557" s="74"/>
      <c r="I557" s="72"/>
      <c r="J557" s="73"/>
      <c r="K557" s="73"/>
      <c r="L557" s="75" t="str">
        <f aca="false">IF(OR($A557&lt;&gt;"",$E557&lt;&gt;""),N($F557)+N($H557),"")</f>
        <v/>
      </c>
      <c r="M557" s="76" t="str">
        <f aca="false">IF(OR($O557="",$O557="Cancelled",$O557="Amount missing"),"",IF($O557="Realised",0,$E557-N($F557)-N($H557)))</f>
        <v/>
      </c>
      <c r="N557" s="77" t="str">
        <f aca="false">IF(OR($M557="",FX=""),"",$M557*FX)</f>
        <v/>
      </c>
      <c r="O557" s="78" t="str">
        <f aca="false">IF(NOT(OR($A557&lt;&gt;"",$E557&lt;&gt;"")),"",IF($J557="Cancelled","Cancelled",IF($E557="","Amount missing",IF(OR($J557="Settled",$E557-N($F557)-N($H557)&lt;=0.005),"Realised",IF(N($H557)&gt;0,"Part realised",IF(N($F557)&gt;0,"Advance received","On hand"))))))</f>
        <v/>
      </c>
      <c r="P557" s="79" t="str">
        <f aca="false">IF(AND($V557=1,ISNUMBER($B557)),AsAt-$B557,"")</f>
        <v/>
      </c>
      <c r="Q557" s="78" t="str">
        <f aca="false">IF($V557&lt;&gt;1,"",IF($P557="","No invoice date",IF($P557&lt;=30,"0–30 days",IF($P557&lt;=60,"31–60 days",IF($P557&lt;=90,"61–90 days","Over 90 days")))))</f>
        <v/>
      </c>
      <c r="R557" s="80" t="str">
        <f aca="false">IF($V557=1,ROW(),"")</f>
        <v/>
      </c>
      <c r="S557" s="80" t="str">
        <f aca="false">IF(OR($A557&lt;&gt;"",$E557&lt;&gt;""),IF(TRIM($D557)="","Buyer not noted",TRIM($D557)),"")</f>
        <v/>
      </c>
      <c r="T557" s="80" t="n">
        <f aca="false">IF(AND($V557=1,ISNUMBER($M557)),$M557,0)</f>
        <v>0</v>
      </c>
      <c r="U557" s="80" t="str">
        <f aca="false">IF($V557=1,IF(COUNTIFS($S$7:$S557,$S557,$V$7:$V557,1)=1,SUMIFS($T$7:$T$1006,$S$7:$S$1006,$S557)-ROW()/1000000000,""),"")</f>
        <v/>
      </c>
      <c r="V557" s="80" t="n">
        <f aca="false">IF(OR($O557="On hand",$O557="Advance received",$O557="Part realised",$O557="Amount missing"),1,0)</f>
        <v>0</v>
      </c>
      <c r="W557" s="80" t="str">
        <f aca="false">IF(AND($V557=1,N($F557)&gt;0),ROW(),"")</f>
        <v/>
      </c>
      <c r="X557" s="80" t="n">
        <f aca="false">IF(AND(OR($A557&lt;&gt;"",$E557&lt;&gt;""),$O557&lt;&gt;"Cancelled",ISNUMBER($E557),N($F557)+N($H557)&gt;$E557+0.005),1,0)</f>
        <v>0</v>
      </c>
      <c r="Y557" s="80" t="n">
        <f aca="false">IF(AND(OR($A557&lt;&gt;"",$E557&lt;&gt;""),OR($A557="",$E557="")),1,0)</f>
        <v>0</v>
      </c>
      <c r="Z557" s="80" t="n">
        <f aca="false">IF(AND($A557&lt;&gt;"",COUNTIF($A$7:$A$1006,$A557)&gt;1),1,0)</f>
        <v>0</v>
      </c>
    </row>
    <row r="558" customFormat="false" ht="15" hidden="false" customHeight="false" outlineLevel="0" collapsed="false">
      <c r="A558" s="71"/>
      <c r="B558" s="72"/>
      <c r="C558" s="73"/>
      <c r="D558" s="73"/>
      <c r="E558" s="74"/>
      <c r="F558" s="74"/>
      <c r="G558" s="72"/>
      <c r="H558" s="74"/>
      <c r="I558" s="72"/>
      <c r="J558" s="73"/>
      <c r="K558" s="73"/>
      <c r="L558" s="75" t="str">
        <f aca="false">IF(OR($A558&lt;&gt;"",$E558&lt;&gt;""),N($F558)+N($H558),"")</f>
        <v/>
      </c>
      <c r="M558" s="76" t="str">
        <f aca="false">IF(OR($O558="",$O558="Cancelled",$O558="Amount missing"),"",IF($O558="Realised",0,$E558-N($F558)-N($H558)))</f>
        <v/>
      </c>
      <c r="N558" s="77" t="str">
        <f aca="false">IF(OR($M558="",FX=""),"",$M558*FX)</f>
        <v/>
      </c>
      <c r="O558" s="78" t="str">
        <f aca="false">IF(NOT(OR($A558&lt;&gt;"",$E558&lt;&gt;"")),"",IF($J558="Cancelled","Cancelled",IF($E558="","Amount missing",IF(OR($J558="Settled",$E558-N($F558)-N($H558)&lt;=0.005),"Realised",IF(N($H558)&gt;0,"Part realised",IF(N($F558)&gt;0,"Advance received","On hand"))))))</f>
        <v/>
      </c>
      <c r="P558" s="79" t="str">
        <f aca="false">IF(AND($V558=1,ISNUMBER($B558)),AsAt-$B558,"")</f>
        <v/>
      </c>
      <c r="Q558" s="78" t="str">
        <f aca="false">IF($V558&lt;&gt;1,"",IF($P558="","No invoice date",IF($P558&lt;=30,"0–30 days",IF($P558&lt;=60,"31–60 days",IF($P558&lt;=90,"61–90 days","Over 90 days")))))</f>
        <v/>
      </c>
      <c r="R558" s="80" t="str">
        <f aca="false">IF($V558=1,ROW(),"")</f>
        <v/>
      </c>
      <c r="S558" s="80" t="str">
        <f aca="false">IF(OR($A558&lt;&gt;"",$E558&lt;&gt;""),IF(TRIM($D558)="","Buyer not noted",TRIM($D558)),"")</f>
        <v/>
      </c>
      <c r="T558" s="80" t="n">
        <f aca="false">IF(AND($V558=1,ISNUMBER($M558)),$M558,0)</f>
        <v>0</v>
      </c>
      <c r="U558" s="80" t="str">
        <f aca="false">IF($V558=1,IF(COUNTIFS($S$7:$S558,$S558,$V$7:$V558,1)=1,SUMIFS($T$7:$T$1006,$S$7:$S$1006,$S558)-ROW()/1000000000,""),"")</f>
        <v/>
      </c>
      <c r="V558" s="80" t="n">
        <f aca="false">IF(OR($O558="On hand",$O558="Advance received",$O558="Part realised",$O558="Amount missing"),1,0)</f>
        <v>0</v>
      </c>
      <c r="W558" s="80" t="str">
        <f aca="false">IF(AND($V558=1,N($F558)&gt;0),ROW(),"")</f>
        <v/>
      </c>
      <c r="X558" s="80" t="n">
        <f aca="false">IF(AND(OR($A558&lt;&gt;"",$E558&lt;&gt;""),$O558&lt;&gt;"Cancelled",ISNUMBER($E558),N($F558)+N($H558)&gt;$E558+0.005),1,0)</f>
        <v>0</v>
      </c>
      <c r="Y558" s="80" t="n">
        <f aca="false">IF(AND(OR($A558&lt;&gt;"",$E558&lt;&gt;""),OR($A558="",$E558="")),1,0)</f>
        <v>0</v>
      </c>
      <c r="Z558" s="80" t="n">
        <f aca="false">IF(AND($A558&lt;&gt;"",COUNTIF($A$7:$A$1006,$A558)&gt;1),1,0)</f>
        <v>0</v>
      </c>
    </row>
    <row r="559" customFormat="false" ht="15" hidden="false" customHeight="false" outlineLevel="0" collapsed="false">
      <c r="A559" s="71"/>
      <c r="B559" s="72"/>
      <c r="C559" s="73"/>
      <c r="D559" s="73"/>
      <c r="E559" s="74"/>
      <c r="F559" s="74"/>
      <c r="G559" s="72"/>
      <c r="H559" s="74"/>
      <c r="I559" s="72"/>
      <c r="J559" s="73"/>
      <c r="K559" s="73"/>
      <c r="L559" s="75" t="str">
        <f aca="false">IF(OR($A559&lt;&gt;"",$E559&lt;&gt;""),N($F559)+N($H559),"")</f>
        <v/>
      </c>
      <c r="M559" s="76" t="str">
        <f aca="false">IF(OR($O559="",$O559="Cancelled",$O559="Amount missing"),"",IF($O559="Realised",0,$E559-N($F559)-N($H559)))</f>
        <v/>
      </c>
      <c r="N559" s="77" t="str">
        <f aca="false">IF(OR($M559="",FX=""),"",$M559*FX)</f>
        <v/>
      </c>
      <c r="O559" s="78" t="str">
        <f aca="false">IF(NOT(OR($A559&lt;&gt;"",$E559&lt;&gt;"")),"",IF($J559="Cancelled","Cancelled",IF($E559="","Amount missing",IF(OR($J559="Settled",$E559-N($F559)-N($H559)&lt;=0.005),"Realised",IF(N($H559)&gt;0,"Part realised",IF(N($F559)&gt;0,"Advance received","On hand"))))))</f>
        <v/>
      </c>
      <c r="P559" s="79" t="str">
        <f aca="false">IF(AND($V559=1,ISNUMBER($B559)),AsAt-$B559,"")</f>
        <v/>
      </c>
      <c r="Q559" s="78" t="str">
        <f aca="false">IF($V559&lt;&gt;1,"",IF($P559="","No invoice date",IF($P559&lt;=30,"0–30 days",IF($P559&lt;=60,"31–60 days",IF($P559&lt;=90,"61–90 days","Over 90 days")))))</f>
        <v/>
      </c>
      <c r="R559" s="80" t="str">
        <f aca="false">IF($V559=1,ROW(),"")</f>
        <v/>
      </c>
      <c r="S559" s="80" t="str">
        <f aca="false">IF(OR($A559&lt;&gt;"",$E559&lt;&gt;""),IF(TRIM($D559)="","Buyer not noted",TRIM($D559)),"")</f>
        <v/>
      </c>
      <c r="T559" s="80" t="n">
        <f aca="false">IF(AND($V559=1,ISNUMBER($M559)),$M559,0)</f>
        <v>0</v>
      </c>
      <c r="U559" s="80" t="str">
        <f aca="false">IF($V559=1,IF(COUNTIFS($S$7:$S559,$S559,$V$7:$V559,1)=1,SUMIFS($T$7:$T$1006,$S$7:$S$1006,$S559)-ROW()/1000000000,""),"")</f>
        <v/>
      </c>
      <c r="V559" s="80" t="n">
        <f aca="false">IF(OR($O559="On hand",$O559="Advance received",$O559="Part realised",$O559="Amount missing"),1,0)</f>
        <v>0</v>
      </c>
      <c r="W559" s="80" t="str">
        <f aca="false">IF(AND($V559=1,N($F559)&gt;0),ROW(),"")</f>
        <v/>
      </c>
      <c r="X559" s="80" t="n">
        <f aca="false">IF(AND(OR($A559&lt;&gt;"",$E559&lt;&gt;""),$O559&lt;&gt;"Cancelled",ISNUMBER($E559),N($F559)+N($H559)&gt;$E559+0.005),1,0)</f>
        <v>0</v>
      </c>
      <c r="Y559" s="80" t="n">
        <f aca="false">IF(AND(OR($A559&lt;&gt;"",$E559&lt;&gt;""),OR($A559="",$E559="")),1,0)</f>
        <v>0</v>
      </c>
      <c r="Z559" s="80" t="n">
        <f aca="false">IF(AND($A559&lt;&gt;"",COUNTIF($A$7:$A$1006,$A559)&gt;1),1,0)</f>
        <v>0</v>
      </c>
    </row>
    <row r="560" customFormat="false" ht="15" hidden="false" customHeight="false" outlineLevel="0" collapsed="false">
      <c r="A560" s="71"/>
      <c r="B560" s="72"/>
      <c r="C560" s="73"/>
      <c r="D560" s="73"/>
      <c r="E560" s="74"/>
      <c r="F560" s="74"/>
      <c r="G560" s="72"/>
      <c r="H560" s="74"/>
      <c r="I560" s="72"/>
      <c r="J560" s="73"/>
      <c r="K560" s="73"/>
      <c r="L560" s="75" t="str">
        <f aca="false">IF(OR($A560&lt;&gt;"",$E560&lt;&gt;""),N($F560)+N($H560),"")</f>
        <v/>
      </c>
      <c r="M560" s="76" t="str">
        <f aca="false">IF(OR($O560="",$O560="Cancelled",$O560="Amount missing"),"",IF($O560="Realised",0,$E560-N($F560)-N($H560)))</f>
        <v/>
      </c>
      <c r="N560" s="77" t="str">
        <f aca="false">IF(OR($M560="",FX=""),"",$M560*FX)</f>
        <v/>
      </c>
      <c r="O560" s="78" t="str">
        <f aca="false">IF(NOT(OR($A560&lt;&gt;"",$E560&lt;&gt;"")),"",IF($J560="Cancelled","Cancelled",IF($E560="","Amount missing",IF(OR($J560="Settled",$E560-N($F560)-N($H560)&lt;=0.005),"Realised",IF(N($H560)&gt;0,"Part realised",IF(N($F560)&gt;0,"Advance received","On hand"))))))</f>
        <v/>
      </c>
      <c r="P560" s="79" t="str">
        <f aca="false">IF(AND($V560=1,ISNUMBER($B560)),AsAt-$B560,"")</f>
        <v/>
      </c>
      <c r="Q560" s="78" t="str">
        <f aca="false">IF($V560&lt;&gt;1,"",IF($P560="","No invoice date",IF($P560&lt;=30,"0–30 days",IF($P560&lt;=60,"31–60 days",IF($P560&lt;=90,"61–90 days","Over 90 days")))))</f>
        <v/>
      </c>
      <c r="R560" s="80" t="str">
        <f aca="false">IF($V560=1,ROW(),"")</f>
        <v/>
      </c>
      <c r="S560" s="80" t="str">
        <f aca="false">IF(OR($A560&lt;&gt;"",$E560&lt;&gt;""),IF(TRIM($D560)="","Buyer not noted",TRIM($D560)),"")</f>
        <v/>
      </c>
      <c r="T560" s="80" t="n">
        <f aca="false">IF(AND($V560=1,ISNUMBER($M560)),$M560,0)</f>
        <v>0</v>
      </c>
      <c r="U560" s="80" t="str">
        <f aca="false">IF($V560=1,IF(COUNTIFS($S$7:$S560,$S560,$V$7:$V560,1)=1,SUMIFS($T$7:$T$1006,$S$7:$S$1006,$S560)-ROW()/1000000000,""),"")</f>
        <v/>
      </c>
      <c r="V560" s="80" t="n">
        <f aca="false">IF(OR($O560="On hand",$O560="Advance received",$O560="Part realised",$O560="Amount missing"),1,0)</f>
        <v>0</v>
      </c>
      <c r="W560" s="80" t="str">
        <f aca="false">IF(AND($V560=1,N($F560)&gt;0),ROW(),"")</f>
        <v/>
      </c>
      <c r="X560" s="80" t="n">
        <f aca="false">IF(AND(OR($A560&lt;&gt;"",$E560&lt;&gt;""),$O560&lt;&gt;"Cancelled",ISNUMBER($E560),N($F560)+N($H560)&gt;$E560+0.005),1,0)</f>
        <v>0</v>
      </c>
      <c r="Y560" s="80" t="n">
        <f aca="false">IF(AND(OR($A560&lt;&gt;"",$E560&lt;&gt;""),OR($A560="",$E560="")),1,0)</f>
        <v>0</v>
      </c>
      <c r="Z560" s="80" t="n">
        <f aca="false">IF(AND($A560&lt;&gt;"",COUNTIF($A$7:$A$1006,$A560)&gt;1),1,0)</f>
        <v>0</v>
      </c>
    </row>
    <row r="561" customFormat="false" ht="15" hidden="false" customHeight="false" outlineLevel="0" collapsed="false">
      <c r="A561" s="71"/>
      <c r="B561" s="72"/>
      <c r="C561" s="73"/>
      <c r="D561" s="73"/>
      <c r="E561" s="74"/>
      <c r="F561" s="74"/>
      <c r="G561" s="72"/>
      <c r="H561" s="74"/>
      <c r="I561" s="72"/>
      <c r="J561" s="73"/>
      <c r="K561" s="73"/>
      <c r="L561" s="75" t="str">
        <f aca="false">IF(OR($A561&lt;&gt;"",$E561&lt;&gt;""),N($F561)+N($H561),"")</f>
        <v/>
      </c>
      <c r="M561" s="76" t="str">
        <f aca="false">IF(OR($O561="",$O561="Cancelled",$O561="Amount missing"),"",IF($O561="Realised",0,$E561-N($F561)-N($H561)))</f>
        <v/>
      </c>
      <c r="N561" s="77" t="str">
        <f aca="false">IF(OR($M561="",FX=""),"",$M561*FX)</f>
        <v/>
      </c>
      <c r="O561" s="78" t="str">
        <f aca="false">IF(NOT(OR($A561&lt;&gt;"",$E561&lt;&gt;"")),"",IF($J561="Cancelled","Cancelled",IF($E561="","Amount missing",IF(OR($J561="Settled",$E561-N($F561)-N($H561)&lt;=0.005),"Realised",IF(N($H561)&gt;0,"Part realised",IF(N($F561)&gt;0,"Advance received","On hand"))))))</f>
        <v/>
      </c>
      <c r="P561" s="79" t="str">
        <f aca="false">IF(AND($V561=1,ISNUMBER($B561)),AsAt-$B561,"")</f>
        <v/>
      </c>
      <c r="Q561" s="78" t="str">
        <f aca="false">IF($V561&lt;&gt;1,"",IF($P561="","No invoice date",IF($P561&lt;=30,"0–30 days",IF($P561&lt;=60,"31–60 days",IF($P561&lt;=90,"61–90 days","Over 90 days")))))</f>
        <v/>
      </c>
      <c r="R561" s="80" t="str">
        <f aca="false">IF($V561=1,ROW(),"")</f>
        <v/>
      </c>
      <c r="S561" s="80" t="str">
        <f aca="false">IF(OR($A561&lt;&gt;"",$E561&lt;&gt;""),IF(TRIM($D561)="","Buyer not noted",TRIM($D561)),"")</f>
        <v/>
      </c>
      <c r="T561" s="80" t="n">
        <f aca="false">IF(AND($V561=1,ISNUMBER($M561)),$M561,0)</f>
        <v>0</v>
      </c>
      <c r="U561" s="80" t="str">
        <f aca="false">IF($V561=1,IF(COUNTIFS($S$7:$S561,$S561,$V$7:$V561,1)=1,SUMIFS($T$7:$T$1006,$S$7:$S$1006,$S561)-ROW()/1000000000,""),"")</f>
        <v/>
      </c>
      <c r="V561" s="80" t="n">
        <f aca="false">IF(OR($O561="On hand",$O561="Advance received",$O561="Part realised",$O561="Amount missing"),1,0)</f>
        <v>0</v>
      </c>
      <c r="W561" s="80" t="str">
        <f aca="false">IF(AND($V561=1,N($F561)&gt;0),ROW(),"")</f>
        <v/>
      </c>
      <c r="X561" s="80" t="n">
        <f aca="false">IF(AND(OR($A561&lt;&gt;"",$E561&lt;&gt;""),$O561&lt;&gt;"Cancelled",ISNUMBER($E561),N($F561)+N($H561)&gt;$E561+0.005),1,0)</f>
        <v>0</v>
      </c>
      <c r="Y561" s="80" t="n">
        <f aca="false">IF(AND(OR($A561&lt;&gt;"",$E561&lt;&gt;""),OR($A561="",$E561="")),1,0)</f>
        <v>0</v>
      </c>
      <c r="Z561" s="80" t="n">
        <f aca="false">IF(AND($A561&lt;&gt;"",COUNTIF($A$7:$A$1006,$A561)&gt;1),1,0)</f>
        <v>0</v>
      </c>
    </row>
    <row r="562" customFormat="false" ht="15" hidden="false" customHeight="false" outlineLevel="0" collapsed="false">
      <c r="A562" s="71"/>
      <c r="B562" s="72"/>
      <c r="C562" s="73"/>
      <c r="D562" s="73"/>
      <c r="E562" s="74"/>
      <c r="F562" s="74"/>
      <c r="G562" s="72"/>
      <c r="H562" s="74"/>
      <c r="I562" s="72"/>
      <c r="J562" s="73"/>
      <c r="K562" s="73"/>
      <c r="L562" s="75" t="str">
        <f aca="false">IF(OR($A562&lt;&gt;"",$E562&lt;&gt;""),N($F562)+N($H562),"")</f>
        <v/>
      </c>
      <c r="M562" s="76" t="str">
        <f aca="false">IF(OR($O562="",$O562="Cancelled",$O562="Amount missing"),"",IF($O562="Realised",0,$E562-N($F562)-N($H562)))</f>
        <v/>
      </c>
      <c r="N562" s="77" t="str">
        <f aca="false">IF(OR($M562="",FX=""),"",$M562*FX)</f>
        <v/>
      </c>
      <c r="O562" s="78" t="str">
        <f aca="false">IF(NOT(OR($A562&lt;&gt;"",$E562&lt;&gt;"")),"",IF($J562="Cancelled","Cancelled",IF($E562="","Amount missing",IF(OR($J562="Settled",$E562-N($F562)-N($H562)&lt;=0.005),"Realised",IF(N($H562)&gt;0,"Part realised",IF(N($F562)&gt;0,"Advance received","On hand"))))))</f>
        <v/>
      </c>
      <c r="P562" s="79" t="str">
        <f aca="false">IF(AND($V562=1,ISNUMBER($B562)),AsAt-$B562,"")</f>
        <v/>
      </c>
      <c r="Q562" s="78" t="str">
        <f aca="false">IF($V562&lt;&gt;1,"",IF($P562="","No invoice date",IF($P562&lt;=30,"0–30 days",IF($P562&lt;=60,"31–60 days",IF($P562&lt;=90,"61–90 days","Over 90 days")))))</f>
        <v/>
      </c>
      <c r="R562" s="80" t="str">
        <f aca="false">IF($V562=1,ROW(),"")</f>
        <v/>
      </c>
      <c r="S562" s="80" t="str">
        <f aca="false">IF(OR($A562&lt;&gt;"",$E562&lt;&gt;""),IF(TRIM($D562)="","Buyer not noted",TRIM($D562)),"")</f>
        <v/>
      </c>
      <c r="T562" s="80" t="n">
        <f aca="false">IF(AND($V562=1,ISNUMBER($M562)),$M562,0)</f>
        <v>0</v>
      </c>
      <c r="U562" s="80" t="str">
        <f aca="false">IF($V562=1,IF(COUNTIFS($S$7:$S562,$S562,$V$7:$V562,1)=1,SUMIFS($T$7:$T$1006,$S$7:$S$1006,$S562)-ROW()/1000000000,""),"")</f>
        <v/>
      </c>
      <c r="V562" s="80" t="n">
        <f aca="false">IF(OR($O562="On hand",$O562="Advance received",$O562="Part realised",$O562="Amount missing"),1,0)</f>
        <v>0</v>
      </c>
      <c r="W562" s="80" t="str">
        <f aca="false">IF(AND($V562=1,N($F562)&gt;0),ROW(),"")</f>
        <v/>
      </c>
      <c r="X562" s="80" t="n">
        <f aca="false">IF(AND(OR($A562&lt;&gt;"",$E562&lt;&gt;""),$O562&lt;&gt;"Cancelled",ISNUMBER($E562),N($F562)+N($H562)&gt;$E562+0.005),1,0)</f>
        <v>0</v>
      </c>
      <c r="Y562" s="80" t="n">
        <f aca="false">IF(AND(OR($A562&lt;&gt;"",$E562&lt;&gt;""),OR($A562="",$E562="")),1,0)</f>
        <v>0</v>
      </c>
      <c r="Z562" s="80" t="n">
        <f aca="false">IF(AND($A562&lt;&gt;"",COUNTIF($A$7:$A$1006,$A562)&gt;1),1,0)</f>
        <v>0</v>
      </c>
    </row>
    <row r="563" customFormat="false" ht="15" hidden="false" customHeight="false" outlineLevel="0" collapsed="false">
      <c r="A563" s="71"/>
      <c r="B563" s="72"/>
      <c r="C563" s="73"/>
      <c r="D563" s="73"/>
      <c r="E563" s="74"/>
      <c r="F563" s="74"/>
      <c r="G563" s="72"/>
      <c r="H563" s="74"/>
      <c r="I563" s="72"/>
      <c r="J563" s="73"/>
      <c r="K563" s="73"/>
      <c r="L563" s="75" t="str">
        <f aca="false">IF(OR($A563&lt;&gt;"",$E563&lt;&gt;""),N($F563)+N($H563),"")</f>
        <v/>
      </c>
      <c r="M563" s="76" t="str">
        <f aca="false">IF(OR($O563="",$O563="Cancelled",$O563="Amount missing"),"",IF($O563="Realised",0,$E563-N($F563)-N($H563)))</f>
        <v/>
      </c>
      <c r="N563" s="77" t="str">
        <f aca="false">IF(OR($M563="",FX=""),"",$M563*FX)</f>
        <v/>
      </c>
      <c r="O563" s="78" t="str">
        <f aca="false">IF(NOT(OR($A563&lt;&gt;"",$E563&lt;&gt;"")),"",IF($J563="Cancelled","Cancelled",IF($E563="","Amount missing",IF(OR($J563="Settled",$E563-N($F563)-N($H563)&lt;=0.005),"Realised",IF(N($H563)&gt;0,"Part realised",IF(N($F563)&gt;0,"Advance received","On hand"))))))</f>
        <v/>
      </c>
      <c r="P563" s="79" t="str">
        <f aca="false">IF(AND($V563=1,ISNUMBER($B563)),AsAt-$B563,"")</f>
        <v/>
      </c>
      <c r="Q563" s="78" t="str">
        <f aca="false">IF($V563&lt;&gt;1,"",IF($P563="","No invoice date",IF($P563&lt;=30,"0–30 days",IF($P563&lt;=60,"31–60 days",IF($P563&lt;=90,"61–90 days","Over 90 days")))))</f>
        <v/>
      </c>
      <c r="R563" s="80" t="str">
        <f aca="false">IF($V563=1,ROW(),"")</f>
        <v/>
      </c>
      <c r="S563" s="80" t="str">
        <f aca="false">IF(OR($A563&lt;&gt;"",$E563&lt;&gt;""),IF(TRIM($D563)="","Buyer not noted",TRIM($D563)),"")</f>
        <v/>
      </c>
      <c r="T563" s="80" t="n">
        <f aca="false">IF(AND($V563=1,ISNUMBER($M563)),$M563,0)</f>
        <v>0</v>
      </c>
      <c r="U563" s="80" t="str">
        <f aca="false">IF($V563=1,IF(COUNTIFS($S$7:$S563,$S563,$V$7:$V563,1)=1,SUMIFS($T$7:$T$1006,$S$7:$S$1006,$S563)-ROW()/1000000000,""),"")</f>
        <v/>
      </c>
      <c r="V563" s="80" t="n">
        <f aca="false">IF(OR($O563="On hand",$O563="Advance received",$O563="Part realised",$O563="Amount missing"),1,0)</f>
        <v>0</v>
      </c>
      <c r="W563" s="80" t="str">
        <f aca="false">IF(AND($V563=1,N($F563)&gt;0),ROW(),"")</f>
        <v/>
      </c>
      <c r="X563" s="80" t="n">
        <f aca="false">IF(AND(OR($A563&lt;&gt;"",$E563&lt;&gt;""),$O563&lt;&gt;"Cancelled",ISNUMBER($E563),N($F563)+N($H563)&gt;$E563+0.005),1,0)</f>
        <v>0</v>
      </c>
      <c r="Y563" s="80" t="n">
        <f aca="false">IF(AND(OR($A563&lt;&gt;"",$E563&lt;&gt;""),OR($A563="",$E563="")),1,0)</f>
        <v>0</v>
      </c>
      <c r="Z563" s="80" t="n">
        <f aca="false">IF(AND($A563&lt;&gt;"",COUNTIF($A$7:$A$1006,$A563)&gt;1),1,0)</f>
        <v>0</v>
      </c>
    </row>
    <row r="564" customFormat="false" ht="15" hidden="false" customHeight="false" outlineLevel="0" collapsed="false">
      <c r="A564" s="71"/>
      <c r="B564" s="72"/>
      <c r="C564" s="73"/>
      <c r="D564" s="73"/>
      <c r="E564" s="74"/>
      <c r="F564" s="74"/>
      <c r="G564" s="72"/>
      <c r="H564" s="74"/>
      <c r="I564" s="72"/>
      <c r="J564" s="73"/>
      <c r="K564" s="73"/>
      <c r="L564" s="75" t="str">
        <f aca="false">IF(OR($A564&lt;&gt;"",$E564&lt;&gt;""),N($F564)+N($H564),"")</f>
        <v/>
      </c>
      <c r="M564" s="76" t="str">
        <f aca="false">IF(OR($O564="",$O564="Cancelled",$O564="Amount missing"),"",IF($O564="Realised",0,$E564-N($F564)-N($H564)))</f>
        <v/>
      </c>
      <c r="N564" s="77" t="str">
        <f aca="false">IF(OR($M564="",FX=""),"",$M564*FX)</f>
        <v/>
      </c>
      <c r="O564" s="78" t="str">
        <f aca="false">IF(NOT(OR($A564&lt;&gt;"",$E564&lt;&gt;"")),"",IF($J564="Cancelled","Cancelled",IF($E564="","Amount missing",IF(OR($J564="Settled",$E564-N($F564)-N($H564)&lt;=0.005),"Realised",IF(N($H564)&gt;0,"Part realised",IF(N($F564)&gt;0,"Advance received","On hand"))))))</f>
        <v/>
      </c>
      <c r="P564" s="79" t="str">
        <f aca="false">IF(AND($V564=1,ISNUMBER($B564)),AsAt-$B564,"")</f>
        <v/>
      </c>
      <c r="Q564" s="78" t="str">
        <f aca="false">IF($V564&lt;&gt;1,"",IF($P564="","No invoice date",IF($P564&lt;=30,"0–30 days",IF($P564&lt;=60,"31–60 days",IF($P564&lt;=90,"61–90 days","Over 90 days")))))</f>
        <v/>
      </c>
      <c r="R564" s="80" t="str">
        <f aca="false">IF($V564=1,ROW(),"")</f>
        <v/>
      </c>
      <c r="S564" s="80" t="str">
        <f aca="false">IF(OR($A564&lt;&gt;"",$E564&lt;&gt;""),IF(TRIM($D564)="","Buyer not noted",TRIM($D564)),"")</f>
        <v/>
      </c>
      <c r="T564" s="80" t="n">
        <f aca="false">IF(AND($V564=1,ISNUMBER($M564)),$M564,0)</f>
        <v>0</v>
      </c>
      <c r="U564" s="80" t="str">
        <f aca="false">IF($V564=1,IF(COUNTIFS($S$7:$S564,$S564,$V$7:$V564,1)=1,SUMIFS($T$7:$T$1006,$S$7:$S$1006,$S564)-ROW()/1000000000,""),"")</f>
        <v/>
      </c>
      <c r="V564" s="80" t="n">
        <f aca="false">IF(OR($O564="On hand",$O564="Advance received",$O564="Part realised",$O564="Amount missing"),1,0)</f>
        <v>0</v>
      </c>
      <c r="W564" s="80" t="str">
        <f aca="false">IF(AND($V564=1,N($F564)&gt;0),ROW(),"")</f>
        <v/>
      </c>
      <c r="X564" s="80" t="n">
        <f aca="false">IF(AND(OR($A564&lt;&gt;"",$E564&lt;&gt;""),$O564&lt;&gt;"Cancelled",ISNUMBER($E564),N($F564)+N($H564)&gt;$E564+0.005),1,0)</f>
        <v>0</v>
      </c>
      <c r="Y564" s="80" t="n">
        <f aca="false">IF(AND(OR($A564&lt;&gt;"",$E564&lt;&gt;""),OR($A564="",$E564="")),1,0)</f>
        <v>0</v>
      </c>
      <c r="Z564" s="80" t="n">
        <f aca="false">IF(AND($A564&lt;&gt;"",COUNTIF($A$7:$A$1006,$A564)&gt;1),1,0)</f>
        <v>0</v>
      </c>
    </row>
    <row r="565" customFormat="false" ht="15" hidden="false" customHeight="false" outlineLevel="0" collapsed="false">
      <c r="A565" s="71"/>
      <c r="B565" s="72"/>
      <c r="C565" s="73"/>
      <c r="D565" s="73"/>
      <c r="E565" s="74"/>
      <c r="F565" s="74"/>
      <c r="G565" s="72"/>
      <c r="H565" s="74"/>
      <c r="I565" s="72"/>
      <c r="J565" s="73"/>
      <c r="K565" s="73"/>
      <c r="L565" s="75" t="str">
        <f aca="false">IF(OR($A565&lt;&gt;"",$E565&lt;&gt;""),N($F565)+N($H565),"")</f>
        <v/>
      </c>
      <c r="M565" s="76" t="str">
        <f aca="false">IF(OR($O565="",$O565="Cancelled",$O565="Amount missing"),"",IF($O565="Realised",0,$E565-N($F565)-N($H565)))</f>
        <v/>
      </c>
      <c r="N565" s="77" t="str">
        <f aca="false">IF(OR($M565="",FX=""),"",$M565*FX)</f>
        <v/>
      </c>
      <c r="O565" s="78" t="str">
        <f aca="false">IF(NOT(OR($A565&lt;&gt;"",$E565&lt;&gt;"")),"",IF($J565="Cancelled","Cancelled",IF($E565="","Amount missing",IF(OR($J565="Settled",$E565-N($F565)-N($H565)&lt;=0.005),"Realised",IF(N($H565)&gt;0,"Part realised",IF(N($F565)&gt;0,"Advance received","On hand"))))))</f>
        <v/>
      </c>
      <c r="P565" s="79" t="str">
        <f aca="false">IF(AND($V565=1,ISNUMBER($B565)),AsAt-$B565,"")</f>
        <v/>
      </c>
      <c r="Q565" s="78" t="str">
        <f aca="false">IF($V565&lt;&gt;1,"",IF($P565="","No invoice date",IF($P565&lt;=30,"0–30 days",IF($P565&lt;=60,"31–60 days",IF($P565&lt;=90,"61–90 days","Over 90 days")))))</f>
        <v/>
      </c>
      <c r="R565" s="80" t="str">
        <f aca="false">IF($V565=1,ROW(),"")</f>
        <v/>
      </c>
      <c r="S565" s="80" t="str">
        <f aca="false">IF(OR($A565&lt;&gt;"",$E565&lt;&gt;""),IF(TRIM($D565)="","Buyer not noted",TRIM($D565)),"")</f>
        <v/>
      </c>
      <c r="T565" s="80" t="n">
        <f aca="false">IF(AND($V565=1,ISNUMBER($M565)),$M565,0)</f>
        <v>0</v>
      </c>
      <c r="U565" s="80" t="str">
        <f aca="false">IF($V565=1,IF(COUNTIFS($S$7:$S565,$S565,$V$7:$V565,1)=1,SUMIFS($T$7:$T$1006,$S$7:$S$1006,$S565)-ROW()/1000000000,""),"")</f>
        <v/>
      </c>
      <c r="V565" s="80" t="n">
        <f aca="false">IF(OR($O565="On hand",$O565="Advance received",$O565="Part realised",$O565="Amount missing"),1,0)</f>
        <v>0</v>
      </c>
      <c r="W565" s="80" t="str">
        <f aca="false">IF(AND($V565=1,N($F565)&gt;0),ROW(),"")</f>
        <v/>
      </c>
      <c r="X565" s="80" t="n">
        <f aca="false">IF(AND(OR($A565&lt;&gt;"",$E565&lt;&gt;""),$O565&lt;&gt;"Cancelled",ISNUMBER($E565),N($F565)+N($H565)&gt;$E565+0.005),1,0)</f>
        <v>0</v>
      </c>
      <c r="Y565" s="80" t="n">
        <f aca="false">IF(AND(OR($A565&lt;&gt;"",$E565&lt;&gt;""),OR($A565="",$E565="")),1,0)</f>
        <v>0</v>
      </c>
      <c r="Z565" s="80" t="n">
        <f aca="false">IF(AND($A565&lt;&gt;"",COUNTIF($A$7:$A$1006,$A565)&gt;1),1,0)</f>
        <v>0</v>
      </c>
    </row>
    <row r="566" customFormat="false" ht="15" hidden="false" customHeight="false" outlineLevel="0" collapsed="false">
      <c r="A566" s="71"/>
      <c r="B566" s="72"/>
      <c r="C566" s="73"/>
      <c r="D566" s="73"/>
      <c r="E566" s="74"/>
      <c r="F566" s="74"/>
      <c r="G566" s="72"/>
      <c r="H566" s="74"/>
      <c r="I566" s="72"/>
      <c r="J566" s="73"/>
      <c r="K566" s="73"/>
      <c r="L566" s="75" t="str">
        <f aca="false">IF(OR($A566&lt;&gt;"",$E566&lt;&gt;""),N($F566)+N($H566),"")</f>
        <v/>
      </c>
      <c r="M566" s="76" t="str">
        <f aca="false">IF(OR($O566="",$O566="Cancelled",$O566="Amount missing"),"",IF($O566="Realised",0,$E566-N($F566)-N($H566)))</f>
        <v/>
      </c>
      <c r="N566" s="77" t="str">
        <f aca="false">IF(OR($M566="",FX=""),"",$M566*FX)</f>
        <v/>
      </c>
      <c r="O566" s="78" t="str">
        <f aca="false">IF(NOT(OR($A566&lt;&gt;"",$E566&lt;&gt;"")),"",IF($J566="Cancelled","Cancelled",IF($E566="","Amount missing",IF(OR($J566="Settled",$E566-N($F566)-N($H566)&lt;=0.005),"Realised",IF(N($H566)&gt;0,"Part realised",IF(N($F566)&gt;0,"Advance received","On hand"))))))</f>
        <v/>
      </c>
      <c r="P566" s="79" t="str">
        <f aca="false">IF(AND($V566=1,ISNUMBER($B566)),AsAt-$B566,"")</f>
        <v/>
      </c>
      <c r="Q566" s="78" t="str">
        <f aca="false">IF($V566&lt;&gt;1,"",IF($P566="","No invoice date",IF($P566&lt;=30,"0–30 days",IF($P566&lt;=60,"31–60 days",IF($P566&lt;=90,"61–90 days","Over 90 days")))))</f>
        <v/>
      </c>
      <c r="R566" s="80" t="str">
        <f aca="false">IF($V566=1,ROW(),"")</f>
        <v/>
      </c>
      <c r="S566" s="80" t="str">
        <f aca="false">IF(OR($A566&lt;&gt;"",$E566&lt;&gt;""),IF(TRIM($D566)="","Buyer not noted",TRIM($D566)),"")</f>
        <v/>
      </c>
      <c r="T566" s="80" t="n">
        <f aca="false">IF(AND($V566=1,ISNUMBER($M566)),$M566,0)</f>
        <v>0</v>
      </c>
      <c r="U566" s="80" t="str">
        <f aca="false">IF($V566=1,IF(COUNTIFS($S$7:$S566,$S566,$V$7:$V566,1)=1,SUMIFS($T$7:$T$1006,$S$7:$S$1006,$S566)-ROW()/1000000000,""),"")</f>
        <v/>
      </c>
      <c r="V566" s="80" t="n">
        <f aca="false">IF(OR($O566="On hand",$O566="Advance received",$O566="Part realised",$O566="Amount missing"),1,0)</f>
        <v>0</v>
      </c>
      <c r="W566" s="80" t="str">
        <f aca="false">IF(AND($V566=1,N($F566)&gt;0),ROW(),"")</f>
        <v/>
      </c>
      <c r="X566" s="80" t="n">
        <f aca="false">IF(AND(OR($A566&lt;&gt;"",$E566&lt;&gt;""),$O566&lt;&gt;"Cancelled",ISNUMBER($E566),N($F566)+N($H566)&gt;$E566+0.005),1,0)</f>
        <v>0</v>
      </c>
      <c r="Y566" s="80" t="n">
        <f aca="false">IF(AND(OR($A566&lt;&gt;"",$E566&lt;&gt;""),OR($A566="",$E566="")),1,0)</f>
        <v>0</v>
      </c>
      <c r="Z566" s="80" t="n">
        <f aca="false">IF(AND($A566&lt;&gt;"",COUNTIF($A$7:$A$1006,$A566)&gt;1),1,0)</f>
        <v>0</v>
      </c>
    </row>
    <row r="567" customFormat="false" ht="15" hidden="false" customHeight="false" outlineLevel="0" collapsed="false">
      <c r="A567" s="71"/>
      <c r="B567" s="72"/>
      <c r="C567" s="73"/>
      <c r="D567" s="73"/>
      <c r="E567" s="74"/>
      <c r="F567" s="74"/>
      <c r="G567" s="72"/>
      <c r="H567" s="74"/>
      <c r="I567" s="72"/>
      <c r="J567" s="73"/>
      <c r="K567" s="73"/>
      <c r="L567" s="75" t="str">
        <f aca="false">IF(OR($A567&lt;&gt;"",$E567&lt;&gt;""),N($F567)+N($H567),"")</f>
        <v/>
      </c>
      <c r="M567" s="76" t="str">
        <f aca="false">IF(OR($O567="",$O567="Cancelled",$O567="Amount missing"),"",IF($O567="Realised",0,$E567-N($F567)-N($H567)))</f>
        <v/>
      </c>
      <c r="N567" s="77" t="str">
        <f aca="false">IF(OR($M567="",FX=""),"",$M567*FX)</f>
        <v/>
      </c>
      <c r="O567" s="78" t="str">
        <f aca="false">IF(NOT(OR($A567&lt;&gt;"",$E567&lt;&gt;"")),"",IF($J567="Cancelled","Cancelled",IF($E567="","Amount missing",IF(OR($J567="Settled",$E567-N($F567)-N($H567)&lt;=0.005),"Realised",IF(N($H567)&gt;0,"Part realised",IF(N($F567)&gt;0,"Advance received","On hand"))))))</f>
        <v/>
      </c>
      <c r="P567" s="79" t="str">
        <f aca="false">IF(AND($V567=1,ISNUMBER($B567)),AsAt-$B567,"")</f>
        <v/>
      </c>
      <c r="Q567" s="78" t="str">
        <f aca="false">IF($V567&lt;&gt;1,"",IF($P567="","No invoice date",IF($P567&lt;=30,"0–30 days",IF($P567&lt;=60,"31–60 days",IF($P567&lt;=90,"61–90 days","Over 90 days")))))</f>
        <v/>
      </c>
      <c r="R567" s="80" t="str">
        <f aca="false">IF($V567=1,ROW(),"")</f>
        <v/>
      </c>
      <c r="S567" s="80" t="str">
        <f aca="false">IF(OR($A567&lt;&gt;"",$E567&lt;&gt;""),IF(TRIM($D567)="","Buyer not noted",TRIM($D567)),"")</f>
        <v/>
      </c>
      <c r="T567" s="80" t="n">
        <f aca="false">IF(AND($V567=1,ISNUMBER($M567)),$M567,0)</f>
        <v>0</v>
      </c>
      <c r="U567" s="80" t="str">
        <f aca="false">IF($V567=1,IF(COUNTIFS($S$7:$S567,$S567,$V$7:$V567,1)=1,SUMIFS($T$7:$T$1006,$S$7:$S$1006,$S567)-ROW()/1000000000,""),"")</f>
        <v/>
      </c>
      <c r="V567" s="80" t="n">
        <f aca="false">IF(OR($O567="On hand",$O567="Advance received",$O567="Part realised",$O567="Amount missing"),1,0)</f>
        <v>0</v>
      </c>
      <c r="W567" s="80" t="str">
        <f aca="false">IF(AND($V567=1,N($F567)&gt;0),ROW(),"")</f>
        <v/>
      </c>
      <c r="X567" s="80" t="n">
        <f aca="false">IF(AND(OR($A567&lt;&gt;"",$E567&lt;&gt;""),$O567&lt;&gt;"Cancelled",ISNUMBER($E567),N($F567)+N($H567)&gt;$E567+0.005),1,0)</f>
        <v>0</v>
      </c>
      <c r="Y567" s="80" t="n">
        <f aca="false">IF(AND(OR($A567&lt;&gt;"",$E567&lt;&gt;""),OR($A567="",$E567="")),1,0)</f>
        <v>0</v>
      </c>
      <c r="Z567" s="80" t="n">
        <f aca="false">IF(AND($A567&lt;&gt;"",COUNTIF($A$7:$A$1006,$A567)&gt;1),1,0)</f>
        <v>0</v>
      </c>
    </row>
    <row r="568" customFormat="false" ht="15" hidden="false" customHeight="false" outlineLevel="0" collapsed="false">
      <c r="A568" s="71"/>
      <c r="B568" s="72"/>
      <c r="C568" s="73"/>
      <c r="D568" s="73"/>
      <c r="E568" s="74"/>
      <c r="F568" s="74"/>
      <c r="G568" s="72"/>
      <c r="H568" s="74"/>
      <c r="I568" s="72"/>
      <c r="J568" s="73"/>
      <c r="K568" s="73"/>
      <c r="L568" s="75" t="str">
        <f aca="false">IF(OR($A568&lt;&gt;"",$E568&lt;&gt;""),N($F568)+N($H568),"")</f>
        <v/>
      </c>
      <c r="M568" s="76" t="str">
        <f aca="false">IF(OR($O568="",$O568="Cancelled",$O568="Amount missing"),"",IF($O568="Realised",0,$E568-N($F568)-N($H568)))</f>
        <v/>
      </c>
      <c r="N568" s="77" t="str">
        <f aca="false">IF(OR($M568="",FX=""),"",$M568*FX)</f>
        <v/>
      </c>
      <c r="O568" s="78" t="str">
        <f aca="false">IF(NOT(OR($A568&lt;&gt;"",$E568&lt;&gt;"")),"",IF($J568="Cancelled","Cancelled",IF($E568="","Amount missing",IF(OR($J568="Settled",$E568-N($F568)-N($H568)&lt;=0.005),"Realised",IF(N($H568)&gt;0,"Part realised",IF(N($F568)&gt;0,"Advance received","On hand"))))))</f>
        <v/>
      </c>
      <c r="P568" s="79" t="str">
        <f aca="false">IF(AND($V568=1,ISNUMBER($B568)),AsAt-$B568,"")</f>
        <v/>
      </c>
      <c r="Q568" s="78" t="str">
        <f aca="false">IF($V568&lt;&gt;1,"",IF($P568="","No invoice date",IF($P568&lt;=30,"0–30 days",IF($P568&lt;=60,"31–60 days",IF($P568&lt;=90,"61–90 days","Over 90 days")))))</f>
        <v/>
      </c>
      <c r="R568" s="80" t="str">
        <f aca="false">IF($V568=1,ROW(),"")</f>
        <v/>
      </c>
      <c r="S568" s="80" t="str">
        <f aca="false">IF(OR($A568&lt;&gt;"",$E568&lt;&gt;""),IF(TRIM($D568)="","Buyer not noted",TRIM($D568)),"")</f>
        <v/>
      </c>
      <c r="T568" s="80" t="n">
        <f aca="false">IF(AND($V568=1,ISNUMBER($M568)),$M568,0)</f>
        <v>0</v>
      </c>
      <c r="U568" s="80" t="str">
        <f aca="false">IF($V568=1,IF(COUNTIFS($S$7:$S568,$S568,$V$7:$V568,1)=1,SUMIFS($T$7:$T$1006,$S$7:$S$1006,$S568)-ROW()/1000000000,""),"")</f>
        <v/>
      </c>
      <c r="V568" s="80" t="n">
        <f aca="false">IF(OR($O568="On hand",$O568="Advance received",$O568="Part realised",$O568="Amount missing"),1,0)</f>
        <v>0</v>
      </c>
      <c r="W568" s="80" t="str">
        <f aca="false">IF(AND($V568=1,N($F568)&gt;0),ROW(),"")</f>
        <v/>
      </c>
      <c r="X568" s="80" t="n">
        <f aca="false">IF(AND(OR($A568&lt;&gt;"",$E568&lt;&gt;""),$O568&lt;&gt;"Cancelled",ISNUMBER($E568),N($F568)+N($H568)&gt;$E568+0.005),1,0)</f>
        <v>0</v>
      </c>
      <c r="Y568" s="80" t="n">
        <f aca="false">IF(AND(OR($A568&lt;&gt;"",$E568&lt;&gt;""),OR($A568="",$E568="")),1,0)</f>
        <v>0</v>
      </c>
      <c r="Z568" s="80" t="n">
        <f aca="false">IF(AND($A568&lt;&gt;"",COUNTIF($A$7:$A$1006,$A568)&gt;1),1,0)</f>
        <v>0</v>
      </c>
    </row>
    <row r="569" customFormat="false" ht="15" hidden="false" customHeight="false" outlineLevel="0" collapsed="false">
      <c r="A569" s="71"/>
      <c r="B569" s="72"/>
      <c r="C569" s="73"/>
      <c r="D569" s="73"/>
      <c r="E569" s="74"/>
      <c r="F569" s="74"/>
      <c r="G569" s="72"/>
      <c r="H569" s="74"/>
      <c r="I569" s="72"/>
      <c r="J569" s="73"/>
      <c r="K569" s="73"/>
      <c r="L569" s="75" t="str">
        <f aca="false">IF(OR($A569&lt;&gt;"",$E569&lt;&gt;""),N($F569)+N($H569),"")</f>
        <v/>
      </c>
      <c r="M569" s="76" t="str">
        <f aca="false">IF(OR($O569="",$O569="Cancelled",$O569="Amount missing"),"",IF($O569="Realised",0,$E569-N($F569)-N($H569)))</f>
        <v/>
      </c>
      <c r="N569" s="77" t="str">
        <f aca="false">IF(OR($M569="",FX=""),"",$M569*FX)</f>
        <v/>
      </c>
      <c r="O569" s="78" t="str">
        <f aca="false">IF(NOT(OR($A569&lt;&gt;"",$E569&lt;&gt;"")),"",IF($J569="Cancelled","Cancelled",IF($E569="","Amount missing",IF(OR($J569="Settled",$E569-N($F569)-N($H569)&lt;=0.005),"Realised",IF(N($H569)&gt;0,"Part realised",IF(N($F569)&gt;0,"Advance received","On hand"))))))</f>
        <v/>
      </c>
      <c r="P569" s="79" t="str">
        <f aca="false">IF(AND($V569=1,ISNUMBER($B569)),AsAt-$B569,"")</f>
        <v/>
      </c>
      <c r="Q569" s="78" t="str">
        <f aca="false">IF($V569&lt;&gt;1,"",IF($P569="","No invoice date",IF($P569&lt;=30,"0–30 days",IF($P569&lt;=60,"31–60 days",IF($P569&lt;=90,"61–90 days","Over 90 days")))))</f>
        <v/>
      </c>
      <c r="R569" s="80" t="str">
        <f aca="false">IF($V569=1,ROW(),"")</f>
        <v/>
      </c>
      <c r="S569" s="80" t="str">
        <f aca="false">IF(OR($A569&lt;&gt;"",$E569&lt;&gt;""),IF(TRIM($D569)="","Buyer not noted",TRIM($D569)),"")</f>
        <v/>
      </c>
      <c r="T569" s="80" t="n">
        <f aca="false">IF(AND($V569=1,ISNUMBER($M569)),$M569,0)</f>
        <v>0</v>
      </c>
      <c r="U569" s="80" t="str">
        <f aca="false">IF($V569=1,IF(COUNTIFS($S$7:$S569,$S569,$V$7:$V569,1)=1,SUMIFS($T$7:$T$1006,$S$7:$S$1006,$S569)-ROW()/1000000000,""),"")</f>
        <v/>
      </c>
      <c r="V569" s="80" t="n">
        <f aca="false">IF(OR($O569="On hand",$O569="Advance received",$O569="Part realised",$O569="Amount missing"),1,0)</f>
        <v>0</v>
      </c>
      <c r="W569" s="80" t="str">
        <f aca="false">IF(AND($V569=1,N($F569)&gt;0),ROW(),"")</f>
        <v/>
      </c>
      <c r="X569" s="80" t="n">
        <f aca="false">IF(AND(OR($A569&lt;&gt;"",$E569&lt;&gt;""),$O569&lt;&gt;"Cancelled",ISNUMBER($E569),N($F569)+N($H569)&gt;$E569+0.005),1,0)</f>
        <v>0</v>
      </c>
      <c r="Y569" s="80" t="n">
        <f aca="false">IF(AND(OR($A569&lt;&gt;"",$E569&lt;&gt;""),OR($A569="",$E569="")),1,0)</f>
        <v>0</v>
      </c>
      <c r="Z569" s="80" t="n">
        <f aca="false">IF(AND($A569&lt;&gt;"",COUNTIF($A$7:$A$1006,$A569)&gt;1),1,0)</f>
        <v>0</v>
      </c>
    </row>
    <row r="570" customFormat="false" ht="15" hidden="false" customHeight="false" outlineLevel="0" collapsed="false">
      <c r="A570" s="71"/>
      <c r="B570" s="72"/>
      <c r="C570" s="73"/>
      <c r="D570" s="73"/>
      <c r="E570" s="74"/>
      <c r="F570" s="74"/>
      <c r="G570" s="72"/>
      <c r="H570" s="74"/>
      <c r="I570" s="72"/>
      <c r="J570" s="73"/>
      <c r="K570" s="73"/>
      <c r="L570" s="75" t="str">
        <f aca="false">IF(OR($A570&lt;&gt;"",$E570&lt;&gt;""),N($F570)+N($H570),"")</f>
        <v/>
      </c>
      <c r="M570" s="76" t="str">
        <f aca="false">IF(OR($O570="",$O570="Cancelled",$O570="Amount missing"),"",IF($O570="Realised",0,$E570-N($F570)-N($H570)))</f>
        <v/>
      </c>
      <c r="N570" s="77" t="str">
        <f aca="false">IF(OR($M570="",FX=""),"",$M570*FX)</f>
        <v/>
      </c>
      <c r="O570" s="78" t="str">
        <f aca="false">IF(NOT(OR($A570&lt;&gt;"",$E570&lt;&gt;"")),"",IF($J570="Cancelled","Cancelled",IF($E570="","Amount missing",IF(OR($J570="Settled",$E570-N($F570)-N($H570)&lt;=0.005),"Realised",IF(N($H570)&gt;0,"Part realised",IF(N($F570)&gt;0,"Advance received","On hand"))))))</f>
        <v/>
      </c>
      <c r="P570" s="79" t="str">
        <f aca="false">IF(AND($V570=1,ISNUMBER($B570)),AsAt-$B570,"")</f>
        <v/>
      </c>
      <c r="Q570" s="78" t="str">
        <f aca="false">IF($V570&lt;&gt;1,"",IF($P570="","No invoice date",IF($P570&lt;=30,"0–30 days",IF($P570&lt;=60,"31–60 days",IF($P570&lt;=90,"61–90 days","Over 90 days")))))</f>
        <v/>
      </c>
      <c r="R570" s="80" t="str">
        <f aca="false">IF($V570=1,ROW(),"")</f>
        <v/>
      </c>
      <c r="S570" s="80" t="str">
        <f aca="false">IF(OR($A570&lt;&gt;"",$E570&lt;&gt;""),IF(TRIM($D570)="","Buyer not noted",TRIM($D570)),"")</f>
        <v/>
      </c>
      <c r="T570" s="80" t="n">
        <f aca="false">IF(AND($V570=1,ISNUMBER($M570)),$M570,0)</f>
        <v>0</v>
      </c>
      <c r="U570" s="80" t="str">
        <f aca="false">IF($V570=1,IF(COUNTIFS($S$7:$S570,$S570,$V$7:$V570,1)=1,SUMIFS($T$7:$T$1006,$S$7:$S$1006,$S570)-ROW()/1000000000,""),"")</f>
        <v/>
      </c>
      <c r="V570" s="80" t="n">
        <f aca="false">IF(OR($O570="On hand",$O570="Advance received",$O570="Part realised",$O570="Amount missing"),1,0)</f>
        <v>0</v>
      </c>
      <c r="W570" s="80" t="str">
        <f aca="false">IF(AND($V570=1,N($F570)&gt;0),ROW(),"")</f>
        <v/>
      </c>
      <c r="X570" s="80" t="n">
        <f aca="false">IF(AND(OR($A570&lt;&gt;"",$E570&lt;&gt;""),$O570&lt;&gt;"Cancelled",ISNUMBER($E570),N($F570)+N($H570)&gt;$E570+0.005),1,0)</f>
        <v>0</v>
      </c>
      <c r="Y570" s="80" t="n">
        <f aca="false">IF(AND(OR($A570&lt;&gt;"",$E570&lt;&gt;""),OR($A570="",$E570="")),1,0)</f>
        <v>0</v>
      </c>
      <c r="Z570" s="80" t="n">
        <f aca="false">IF(AND($A570&lt;&gt;"",COUNTIF($A$7:$A$1006,$A570)&gt;1),1,0)</f>
        <v>0</v>
      </c>
    </row>
    <row r="571" customFormat="false" ht="15" hidden="false" customHeight="false" outlineLevel="0" collapsed="false">
      <c r="A571" s="71"/>
      <c r="B571" s="72"/>
      <c r="C571" s="73"/>
      <c r="D571" s="73"/>
      <c r="E571" s="74"/>
      <c r="F571" s="74"/>
      <c r="G571" s="72"/>
      <c r="H571" s="74"/>
      <c r="I571" s="72"/>
      <c r="J571" s="73"/>
      <c r="K571" s="73"/>
      <c r="L571" s="75" t="str">
        <f aca="false">IF(OR($A571&lt;&gt;"",$E571&lt;&gt;""),N($F571)+N($H571),"")</f>
        <v/>
      </c>
      <c r="M571" s="76" t="str">
        <f aca="false">IF(OR($O571="",$O571="Cancelled",$O571="Amount missing"),"",IF($O571="Realised",0,$E571-N($F571)-N($H571)))</f>
        <v/>
      </c>
      <c r="N571" s="77" t="str">
        <f aca="false">IF(OR($M571="",FX=""),"",$M571*FX)</f>
        <v/>
      </c>
      <c r="O571" s="78" t="str">
        <f aca="false">IF(NOT(OR($A571&lt;&gt;"",$E571&lt;&gt;"")),"",IF($J571="Cancelled","Cancelled",IF($E571="","Amount missing",IF(OR($J571="Settled",$E571-N($F571)-N($H571)&lt;=0.005),"Realised",IF(N($H571)&gt;0,"Part realised",IF(N($F571)&gt;0,"Advance received","On hand"))))))</f>
        <v/>
      </c>
      <c r="P571" s="79" t="str">
        <f aca="false">IF(AND($V571=1,ISNUMBER($B571)),AsAt-$B571,"")</f>
        <v/>
      </c>
      <c r="Q571" s="78" t="str">
        <f aca="false">IF($V571&lt;&gt;1,"",IF($P571="","No invoice date",IF($P571&lt;=30,"0–30 days",IF($P571&lt;=60,"31–60 days",IF($P571&lt;=90,"61–90 days","Over 90 days")))))</f>
        <v/>
      </c>
      <c r="R571" s="80" t="str">
        <f aca="false">IF($V571=1,ROW(),"")</f>
        <v/>
      </c>
      <c r="S571" s="80" t="str">
        <f aca="false">IF(OR($A571&lt;&gt;"",$E571&lt;&gt;""),IF(TRIM($D571)="","Buyer not noted",TRIM($D571)),"")</f>
        <v/>
      </c>
      <c r="T571" s="80" t="n">
        <f aca="false">IF(AND($V571=1,ISNUMBER($M571)),$M571,0)</f>
        <v>0</v>
      </c>
      <c r="U571" s="80" t="str">
        <f aca="false">IF($V571=1,IF(COUNTIFS($S$7:$S571,$S571,$V$7:$V571,1)=1,SUMIFS($T$7:$T$1006,$S$7:$S$1006,$S571)-ROW()/1000000000,""),"")</f>
        <v/>
      </c>
      <c r="V571" s="80" t="n">
        <f aca="false">IF(OR($O571="On hand",$O571="Advance received",$O571="Part realised",$O571="Amount missing"),1,0)</f>
        <v>0</v>
      </c>
      <c r="W571" s="80" t="str">
        <f aca="false">IF(AND($V571=1,N($F571)&gt;0),ROW(),"")</f>
        <v/>
      </c>
      <c r="X571" s="80" t="n">
        <f aca="false">IF(AND(OR($A571&lt;&gt;"",$E571&lt;&gt;""),$O571&lt;&gt;"Cancelled",ISNUMBER($E571),N($F571)+N($H571)&gt;$E571+0.005),1,0)</f>
        <v>0</v>
      </c>
      <c r="Y571" s="80" t="n">
        <f aca="false">IF(AND(OR($A571&lt;&gt;"",$E571&lt;&gt;""),OR($A571="",$E571="")),1,0)</f>
        <v>0</v>
      </c>
      <c r="Z571" s="80" t="n">
        <f aca="false">IF(AND($A571&lt;&gt;"",COUNTIF($A$7:$A$1006,$A571)&gt;1),1,0)</f>
        <v>0</v>
      </c>
    </row>
    <row r="572" customFormat="false" ht="15" hidden="false" customHeight="false" outlineLevel="0" collapsed="false">
      <c r="A572" s="71"/>
      <c r="B572" s="72"/>
      <c r="C572" s="73"/>
      <c r="D572" s="73"/>
      <c r="E572" s="74"/>
      <c r="F572" s="74"/>
      <c r="G572" s="72"/>
      <c r="H572" s="74"/>
      <c r="I572" s="72"/>
      <c r="J572" s="73"/>
      <c r="K572" s="73"/>
      <c r="L572" s="75" t="str">
        <f aca="false">IF(OR($A572&lt;&gt;"",$E572&lt;&gt;""),N($F572)+N($H572),"")</f>
        <v/>
      </c>
      <c r="M572" s="76" t="str">
        <f aca="false">IF(OR($O572="",$O572="Cancelled",$O572="Amount missing"),"",IF($O572="Realised",0,$E572-N($F572)-N($H572)))</f>
        <v/>
      </c>
      <c r="N572" s="77" t="str">
        <f aca="false">IF(OR($M572="",FX=""),"",$M572*FX)</f>
        <v/>
      </c>
      <c r="O572" s="78" t="str">
        <f aca="false">IF(NOT(OR($A572&lt;&gt;"",$E572&lt;&gt;"")),"",IF($J572="Cancelled","Cancelled",IF($E572="","Amount missing",IF(OR($J572="Settled",$E572-N($F572)-N($H572)&lt;=0.005),"Realised",IF(N($H572)&gt;0,"Part realised",IF(N($F572)&gt;0,"Advance received","On hand"))))))</f>
        <v/>
      </c>
      <c r="P572" s="79" t="str">
        <f aca="false">IF(AND($V572=1,ISNUMBER($B572)),AsAt-$B572,"")</f>
        <v/>
      </c>
      <c r="Q572" s="78" t="str">
        <f aca="false">IF($V572&lt;&gt;1,"",IF($P572="","No invoice date",IF($P572&lt;=30,"0–30 days",IF($P572&lt;=60,"31–60 days",IF($P572&lt;=90,"61–90 days","Over 90 days")))))</f>
        <v/>
      </c>
      <c r="R572" s="80" t="str">
        <f aca="false">IF($V572=1,ROW(),"")</f>
        <v/>
      </c>
      <c r="S572" s="80" t="str">
        <f aca="false">IF(OR($A572&lt;&gt;"",$E572&lt;&gt;""),IF(TRIM($D572)="","Buyer not noted",TRIM($D572)),"")</f>
        <v/>
      </c>
      <c r="T572" s="80" t="n">
        <f aca="false">IF(AND($V572=1,ISNUMBER($M572)),$M572,0)</f>
        <v>0</v>
      </c>
      <c r="U572" s="80" t="str">
        <f aca="false">IF($V572=1,IF(COUNTIFS($S$7:$S572,$S572,$V$7:$V572,1)=1,SUMIFS($T$7:$T$1006,$S$7:$S$1006,$S572)-ROW()/1000000000,""),"")</f>
        <v/>
      </c>
      <c r="V572" s="80" t="n">
        <f aca="false">IF(OR($O572="On hand",$O572="Advance received",$O572="Part realised",$O572="Amount missing"),1,0)</f>
        <v>0</v>
      </c>
      <c r="W572" s="80" t="str">
        <f aca="false">IF(AND($V572=1,N($F572)&gt;0),ROW(),"")</f>
        <v/>
      </c>
      <c r="X572" s="80" t="n">
        <f aca="false">IF(AND(OR($A572&lt;&gt;"",$E572&lt;&gt;""),$O572&lt;&gt;"Cancelled",ISNUMBER($E572),N($F572)+N($H572)&gt;$E572+0.005),1,0)</f>
        <v>0</v>
      </c>
      <c r="Y572" s="80" t="n">
        <f aca="false">IF(AND(OR($A572&lt;&gt;"",$E572&lt;&gt;""),OR($A572="",$E572="")),1,0)</f>
        <v>0</v>
      </c>
      <c r="Z572" s="80" t="n">
        <f aca="false">IF(AND($A572&lt;&gt;"",COUNTIF($A$7:$A$1006,$A572)&gt;1),1,0)</f>
        <v>0</v>
      </c>
    </row>
    <row r="573" customFormat="false" ht="15" hidden="false" customHeight="false" outlineLevel="0" collapsed="false">
      <c r="A573" s="71"/>
      <c r="B573" s="72"/>
      <c r="C573" s="73"/>
      <c r="D573" s="73"/>
      <c r="E573" s="74"/>
      <c r="F573" s="74"/>
      <c r="G573" s="72"/>
      <c r="H573" s="74"/>
      <c r="I573" s="72"/>
      <c r="J573" s="73"/>
      <c r="K573" s="73"/>
      <c r="L573" s="75" t="str">
        <f aca="false">IF(OR($A573&lt;&gt;"",$E573&lt;&gt;""),N($F573)+N($H573),"")</f>
        <v/>
      </c>
      <c r="M573" s="76" t="str">
        <f aca="false">IF(OR($O573="",$O573="Cancelled",$O573="Amount missing"),"",IF($O573="Realised",0,$E573-N($F573)-N($H573)))</f>
        <v/>
      </c>
      <c r="N573" s="77" t="str">
        <f aca="false">IF(OR($M573="",FX=""),"",$M573*FX)</f>
        <v/>
      </c>
      <c r="O573" s="78" t="str">
        <f aca="false">IF(NOT(OR($A573&lt;&gt;"",$E573&lt;&gt;"")),"",IF($J573="Cancelled","Cancelled",IF($E573="","Amount missing",IF(OR($J573="Settled",$E573-N($F573)-N($H573)&lt;=0.005),"Realised",IF(N($H573)&gt;0,"Part realised",IF(N($F573)&gt;0,"Advance received","On hand"))))))</f>
        <v/>
      </c>
      <c r="P573" s="79" t="str">
        <f aca="false">IF(AND($V573=1,ISNUMBER($B573)),AsAt-$B573,"")</f>
        <v/>
      </c>
      <c r="Q573" s="78" t="str">
        <f aca="false">IF($V573&lt;&gt;1,"",IF($P573="","No invoice date",IF($P573&lt;=30,"0–30 days",IF($P573&lt;=60,"31–60 days",IF($P573&lt;=90,"61–90 days","Over 90 days")))))</f>
        <v/>
      </c>
      <c r="R573" s="80" t="str">
        <f aca="false">IF($V573=1,ROW(),"")</f>
        <v/>
      </c>
      <c r="S573" s="80" t="str">
        <f aca="false">IF(OR($A573&lt;&gt;"",$E573&lt;&gt;""),IF(TRIM($D573)="","Buyer not noted",TRIM($D573)),"")</f>
        <v/>
      </c>
      <c r="T573" s="80" t="n">
        <f aca="false">IF(AND($V573=1,ISNUMBER($M573)),$M573,0)</f>
        <v>0</v>
      </c>
      <c r="U573" s="80" t="str">
        <f aca="false">IF($V573=1,IF(COUNTIFS($S$7:$S573,$S573,$V$7:$V573,1)=1,SUMIFS($T$7:$T$1006,$S$7:$S$1006,$S573)-ROW()/1000000000,""),"")</f>
        <v/>
      </c>
      <c r="V573" s="80" t="n">
        <f aca="false">IF(OR($O573="On hand",$O573="Advance received",$O573="Part realised",$O573="Amount missing"),1,0)</f>
        <v>0</v>
      </c>
      <c r="W573" s="80" t="str">
        <f aca="false">IF(AND($V573=1,N($F573)&gt;0),ROW(),"")</f>
        <v/>
      </c>
      <c r="X573" s="80" t="n">
        <f aca="false">IF(AND(OR($A573&lt;&gt;"",$E573&lt;&gt;""),$O573&lt;&gt;"Cancelled",ISNUMBER($E573),N($F573)+N($H573)&gt;$E573+0.005),1,0)</f>
        <v>0</v>
      </c>
      <c r="Y573" s="80" t="n">
        <f aca="false">IF(AND(OR($A573&lt;&gt;"",$E573&lt;&gt;""),OR($A573="",$E573="")),1,0)</f>
        <v>0</v>
      </c>
      <c r="Z573" s="80" t="n">
        <f aca="false">IF(AND($A573&lt;&gt;"",COUNTIF($A$7:$A$1006,$A573)&gt;1),1,0)</f>
        <v>0</v>
      </c>
    </row>
    <row r="574" customFormat="false" ht="15" hidden="false" customHeight="false" outlineLevel="0" collapsed="false">
      <c r="A574" s="71"/>
      <c r="B574" s="72"/>
      <c r="C574" s="73"/>
      <c r="D574" s="73"/>
      <c r="E574" s="74"/>
      <c r="F574" s="74"/>
      <c r="G574" s="72"/>
      <c r="H574" s="74"/>
      <c r="I574" s="72"/>
      <c r="J574" s="73"/>
      <c r="K574" s="73"/>
      <c r="L574" s="75" t="str">
        <f aca="false">IF(OR($A574&lt;&gt;"",$E574&lt;&gt;""),N($F574)+N($H574),"")</f>
        <v/>
      </c>
      <c r="M574" s="76" t="str">
        <f aca="false">IF(OR($O574="",$O574="Cancelled",$O574="Amount missing"),"",IF($O574="Realised",0,$E574-N($F574)-N($H574)))</f>
        <v/>
      </c>
      <c r="N574" s="77" t="str">
        <f aca="false">IF(OR($M574="",FX=""),"",$M574*FX)</f>
        <v/>
      </c>
      <c r="O574" s="78" t="str">
        <f aca="false">IF(NOT(OR($A574&lt;&gt;"",$E574&lt;&gt;"")),"",IF($J574="Cancelled","Cancelled",IF($E574="","Amount missing",IF(OR($J574="Settled",$E574-N($F574)-N($H574)&lt;=0.005),"Realised",IF(N($H574)&gt;0,"Part realised",IF(N($F574)&gt;0,"Advance received","On hand"))))))</f>
        <v/>
      </c>
      <c r="P574" s="79" t="str">
        <f aca="false">IF(AND($V574=1,ISNUMBER($B574)),AsAt-$B574,"")</f>
        <v/>
      </c>
      <c r="Q574" s="78" t="str">
        <f aca="false">IF($V574&lt;&gt;1,"",IF($P574="","No invoice date",IF($P574&lt;=30,"0–30 days",IF($P574&lt;=60,"31–60 days",IF($P574&lt;=90,"61–90 days","Over 90 days")))))</f>
        <v/>
      </c>
      <c r="R574" s="80" t="str">
        <f aca="false">IF($V574=1,ROW(),"")</f>
        <v/>
      </c>
      <c r="S574" s="80" t="str">
        <f aca="false">IF(OR($A574&lt;&gt;"",$E574&lt;&gt;""),IF(TRIM($D574)="","Buyer not noted",TRIM($D574)),"")</f>
        <v/>
      </c>
      <c r="T574" s="80" t="n">
        <f aca="false">IF(AND($V574=1,ISNUMBER($M574)),$M574,0)</f>
        <v>0</v>
      </c>
      <c r="U574" s="80" t="str">
        <f aca="false">IF($V574=1,IF(COUNTIFS($S$7:$S574,$S574,$V$7:$V574,1)=1,SUMIFS($T$7:$T$1006,$S$7:$S$1006,$S574)-ROW()/1000000000,""),"")</f>
        <v/>
      </c>
      <c r="V574" s="80" t="n">
        <f aca="false">IF(OR($O574="On hand",$O574="Advance received",$O574="Part realised",$O574="Amount missing"),1,0)</f>
        <v>0</v>
      </c>
      <c r="W574" s="80" t="str">
        <f aca="false">IF(AND($V574=1,N($F574)&gt;0),ROW(),"")</f>
        <v/>
      </c>
      <c r="X574" s="80" t="n">
        <f aca="false">IF(AND(OR($A574&lt;&gt;"",$E574&lt;&gt;""),$O574&lt;&gt;"Cancelled",ISNUMBER($E574),N($F574)+N($H574)&gt;$E574+0.005),1,0)</f>
        <v>0</v>
      </c>
      <c r="Y574" s="80" t="n">
        <f aca="false">IF(AND(OR($A574&lt;&gt;"",$E574&lt;&gt;""),OR($A574="",$E574="")),1,0)</f>
        <v>0</v>
      </c>
      <c r="Z574" s="80" t="n">
        <f aca="false">IF(AND($A574&lt;&gt;"",COUNTIF($A$7:$A$1006,$A574)&gt;1),1,0)</f>
        <v>0</v>
      </c>
    </row>
    <row r="575" customFormat="false" ht="15" hidden="false" customHeight="false" outlineLevel="0" collapsed="false">
      <c r="A575" s="71"/>
      <c r="B575" s="72"/>
      <c r="C575" s="73"/>
      <c r="D575" s="73"/>
      <c r="E575" s="74"/>
      <c r="F575" s="74"/>
      <c r="G575" s="72"/>
      <c r="H575" s="74"/>
      <c r="I575" s="72"/>
      <c r="J575" s="73"/>
      <c r="K575" s="73"/>
      <c r="L575" s="75" t="str">
        <f aca="false">IF(OR($A575&lt;&gt;"",$E575&lt;&gt;""),N($F575)+N($H575),"")</f>
        <v/>
      </c>
      <c r="M575" s="76" t="str">
        <f aca="false">IF(OR($O575="",$O575="Cancelled",$O575="Amount missing"),"",IF($O575="Realised",0,$E575-N($F575)-N($H575)))</f>
        <v/>
      </c>
      <c r="N575" s="77" t="str">
        <f aca="false">IF(OR($M575="",FX=""),"",$M575*FX)</f>
        <v/>
      </c>
      <c r="O575" s="78" t="str">
        <f aca="false">IF(NOT(OR($A575&lt;&gt;"",$E575&lt;&gt;"")),"",IF($J575="Cancelled","Cancelled",IF($E575="","Amount missing",IF(OR($J575="Settled",$E575-N($F575)-N($H575)&lt;=0.005),"Realised",IF(N($H575)&gt;0,"Part realised",IF(N($F575)&gt;0,"Advance received","On hand"))))))</f>
        <v/>
      </c>
      <c r="P575" s="79" t="str">
        <f aca="false">IF(AND($V575=1,ISNUMBER($B575)),AsAt-$B575,"")</f>
        <v/>
      </c>
      <c r="Q575" s="78" t="str">
        <f aca="false">IF($V575&lt;&gt;1,"",IF($P575="","No invoice date",IF($P575&lt;=30,"0–30 days",IF($P575&lt;=60,"31–60 days",IF($P575&lt;=90,"61–90 days","Over 90 days")))))</f>
        <v/>
      </c>
      <c r="R575" s="80" t="str">
        <f aca="false">IF($V575=1,ROW(),"")</f>
        <v/>
      </c>
      <c r="S575" s="80" t="str">
        <f aca="false">IF(OR($A575&lt;&gt;"",$E575&lt;&gt;""),IF(TRIM($D575)="","Buyer not noted",TRIM($D575)),"")</f>
        <v/>
      </c>
      <c r="T575" s="80" t="n">
        <f aca="false">IF(AND($V575=1,ISNUMBER($M575)),$M575,0)</f>
        <v>0</v>
      </c>
      <c r="U575" s="80" t="str">
        <f aca="false">IF($V575=1,IF(COUNTIFS($S$7:$S575,$S575,$V$7:$V575,1)=1,SUMIFS($T$7:$T$1006,$S$7:$S$1006,$S575)-ROW()/1000000000,""),"")</f>
        <v/>
      </c>
      <c r="V575" s="80" t="n">
        <f aca="false">IF(OR($O575="On hand",$O575="Advance received",$O575="Part realised",$O575="Amount missing"),1,0)</f>
        <v>0</v>
      </c>
      <c r="W575" s="80" t="str">
        <f aca="false">IF(AND($V575=1,N($F575)&gt;0),ROW(),"")</f>
        <v/>
      </c>
      <c r="X575" s="80" t="n">
        <f aca="false">IF(AND(OR($A575&lt;&gt;"",$E575&lt;&gt;""),$O575&lt;&gt;"Cancelled",ISNUMBER($E575),N($F575)+N($H575)&gt;$E575+0.005),1,0)</f>
        <v>0</v>
      </c>
      <c r="Y575" s="80" t="n">
        <f aca="false">IF(AND(OR($A575&lt;&gt;"",$E575&lt;&gt;""),OR($A575="",$E575="")),1,0)</f>
        <v>0</v>
      </c>
      <c r="Z575" s="80" t="n">
        <f aca="false">IF(AND($A575&lt;&gt;"",COUNTIF($A$7:$A$1006,$A575)&gt;1),1,0)</f>
        <v>0</v>
      </c>
    </row>
    <row r="576" customFormat="false" ht="15" hidden="false" customHeight="false" outlineLevel="0" collapsed="false">
      <c r="A576" s="71"/>
      <c r="B576" s="72"/>
      <c r="C576" s="73"/>
      <c r="D576" s="73"/>
      <c r="E576" s="74"/>
      <c r="F576" s="74"/>
      <c r="G576" s="72"/>
      <c r="H576" s="74"/>
      <c r="I576" s="72"/>
      <c r="J576" s="73"/>
      <c r="K576" s="73"/>
      <c r="L576" s="75" t="str">
        <f aca="false">IF(OR($A576&lt;&gt;"",$E576&lt;&gt;""),N($F576)+N($H576),"")</f>
        <v/>
      </c>
      <c r="M576" s="76" t="str">
        <f aca="false">IF(OR($O576="",$O576="Cancelled",$O576="Amount missing"),"",IF($O576="Realised",0,$E576-N($F576)-N($H576)))</f>
        <v/>
      </c>
      <c r="N576" s="77" t="str">
        <f aca="false">IF(OR($M576="",FX=""),"",$M576*FX)</f>
        <v/>
      </c>
      <c r="O576" s="78" t="str">
        <f aca="false">IF(NOT(OR($A576&lt;&gt;"",$E576&lt;&gt;"")),"",IF($J576="Cancelled","Cancelled",IF($E576="","Amount missing",IF(OR($J576="Settled",$E576-N($F576)-N($H576)&lt;=0.005),"Realised",IF(N($H576)&gt;0,"Part realised",IF(N($F576)&gt;0,"Advance received","On hand"))))))</f>
        <v/>
      </c>
      <c r="P576" s="79" t="str">
        <f aca="false">IF(AND($V576=1,ISNUMBER($B576)),AsAt-$B576,"")</f>
        <v/>
      </c>
      <c r="Q576" s="78" t="str">
        <f aca="false">IF($V576&lt;&gt;1,"",IF($P576="","No invoice date",IF($P576&lt;=30,"0–30 days",IF($P576&lt;=60,"31–60 days",IF($P576&lt;=90,"61–90 days","Over 90 days")))))</f>
        <v/>
      </c>
      <c r="R576" s="80" t="str">
        <f aca="false">IF($V576=1,ROW(),"")</f>
        <v/>
      </c>
      <c r="S576" s="80" t="str">
        <f aca="false">IF(OR($A576&lt;&gt;"",$E576&lt;&gt;""),IF(TRIM($D576)="","Buyer not noted",TRIM($D576)),"")</f>
        <v/>
      </c>
      <c r="T576" s="80" t="n">
        <f aca="false">IF(AND($V576=1,ISNUMBER($M576)),$M576,0)</f>
        <v>0</v>
      </c>
      <c r="U576" s="80" t="str">
        <f aca="false">IF($V576=1,IF(COUNTIFS($S$7:$S576,$S576,$V$7:$V576,1)=1,SUMIFS($T$7:$T$1006,$S$7:$S$1006,$S576)-ROW()/1000000000,""),"")</f>
        <v/>
      </c>
      <c r="V576" s="80" t="n">
        <f aca="false">IF(OR($O576="On hand",$O576="Advance received",$O576="Part realised",$O576="Amount missing"),1,0)</f>
        <v>0</v>
      </c>
      <c r="W576" s="80" t="str">
        <f aca="false">IF(AND($V576=1,N($F576)&gt;0),ROW(),"")</f>
        <v/>
      </c>
      <c r="X576" s="80" t="n">
        <f aca="false">IF(AND(OR($A576&lt;&gt;"",$E576&lt;&gt;""),$O576&lt;&gt;"Cancelled",ISNUMBER($E576),N($F576)+N($H576)&gt;$E576+0.005),1,0)</f>
        <v>0</v>
      </c>
      <c r="Y576" s="80" t="n">
        <f aca="false">IF(AND(OR($A576&lt;&gt;"",$E576&lt;&gt;""),OR($A576="",$E576="")),1,0)</f>
        <v>0</v>
      </c>
      <c r="Z576" s="80" t="n">
        <f aca="false">IF(AND($A576&lt;&gt;"",COUNTIF($A$7:$A$1006,$A576)&gt;1),1,0)</f>
        <v>0</v>
      </c>
    </row>
    <row r="577" customFormat="false" ht="15" hidden="false" customHeight="false" outlineLevel="0" collapsed="false">
      <c r="A577" s="71"/>
      <c r="B577" s="72"/>
      <c r="C577" s="73"/>
      <c r="D577" s="73"/>
      <c r="E577" s="74"/>
      <c r="F577" s="74"/>
      <c r="G577" s="72"/>
      <c r="H577" s="74"/>
      <c r="I577" s="72"/>
      <c r="J577" s="73"/>
      <c r="K577" s="73"/>
      <c r="L577" s="75" t="str">
        <f aca="false">IF(OR($A577&lt;&gt;"",$E577&lt;&gt;""),N($F577)+N($H577),"")</f>
        <v/>
      </c>
      <c r="M577" s="76" t="str">
        <f aca="false">IF(OR($O577="",$O577="Cancelled",$O577="Amount missing"),"",IF($O577="Realised",0,$E577-N($F577)-N($H577)))</f>
        <v/>
      </c>
      <c r="N577" s="77" t="str">
        <f aca="false">IF(OR($M577="",FX=""),"",$M577*FX)</f>
        <v/>
      </c>
      <c r="O577" s="78" t="str">
        <f aca="false">IF(NOT(OR($A577&lt;&gt;"",$E577&lt;&gt;"")),"",IF($J577="Cancelled","Cancelled",IF($E577="","Amount missing",IF(OR($J577="Settled",$E577-N($F577)-N($H577)&lt;=0.005),"Realised",IF(N($H577)&gt;0,"Part realised",IF(N($F577)&gt;0,"Advance received","On hand"))))))</f>
        <v/>
      </c>
      <c r="P577" s="79" t="str">
        <f aca="false">IF(AND($V577=1,ISNUMBER($B577)),AsAt-$B577,"")</f>
        <v/>
      </c>
      <c r="Q577" s="78" t="str">
        <f aca="false">IF($V577&lt;&gt;1,"",IF($P577="","No invoice date",IF($P577&lt;=30,"0–30 days",IF($P577&lt;=60,"31–60 days",IF($P577&lt;=90,"61–90 days","Over 90 days")))))</f>
        <v/>
      </c>
      <c r="R577" s="80" t="str">
        <f aca="false">IF($V577=1,ROW(),"")</f>
        <v/>
      </c>
      <c r="S577" s="80" t="str">
        <f aca="false">IF(OR($A577&lt;&gt;"",$E577&lt;&gt;""),IF(TRIM($D577)="","Buyer not noted",TRIM($D577)),"")</f>
        <v/>
      </c>
      <c r="T577" s="80" t="n">
        <f aca="false">IF(AND($V577=1,ISNUMBER($M577)),$M577,0)</f>
        <v>0</v>
      </c>
      <c r="U577" s="80" t="str">
        <f aca="false">IF($V577=1,IF(COUNTIFS($S$7:$S577,$S577,$V$7:$V577,1)=1,SUMIFS($T$7:$T$1006,$S$7:$S$1006,$S577)-ROW()/1000000000,""),"")</f>
        <v/>
      </c>
      <c r="V577" s="80" t="n">
        <f aca="false">IF(OR($O577="On hand",$O577="Advance received",$O577="Part realised",$O577="Amount missing"),1,0)</f>
        <v>0</v>
      </c>
      <c r="W577" s="80" t="str">
        <f aca="false">IF(AND($V577=1,N($F577)&gt;0),ROW(),"")</f>
        <v/>
      </c>
      <c r="X577" s="80" t="n">
        <f aca="false">IF(AND(OR($A577&lt;&gt;"",$E577&lt;&gt;""),$O577&lt;&gt;"Cancelled",ISNUMBER($E577),N($F577)+N($H577)&gt;$E577+0.005),1,0)</f>
        <v>0</v>
      </c>
      <c r="Y577" s="80" t="n">
        <f aca="false">IF(AND(OR($A577&lt;&gt;"",$E577&lt;&gt;""),OR($A577="",$E577="")),1,0)</f>
        <v>0</v>
      </c>
      <c r="Z577" s="80" t="n">
        <f aca="false">IF(AND($A577&lt;&gt;"",COUNTIF($A$7:$A$1006,$A577)&gt;1),1,0)</f>
        <v>0</v>
      </c>
    </row>
    <row r="578" customFormat="false" ht="15" hidden="false" customHeight="false" outlineLevel="0" collapsed="false">
      <c r="A578" s="71"/>
      <c r="B578" s="72"/>
      <c r="C578" s="73"/>
      <c r="D578" s="73"/>
      <c r="E578" s="74"/>
      <c r="F578" s="74"/>
      <c r="G578" s="72"/>
      <c r="H578" s="74"/>
      <c r="I578" s="72"/>
      <c r="J578" s="73"/>
      <c r="K578" s="73"/>
      <c r="L578" s="75" t="str">
        <f aca="false">IF(OR($A578&lt;&gt;"",$E578&lt;&gt;""),N($F578)+N($H578),"")</f>
        <v/>
      </c>
      <c r="M578" s="76" t="str">
        <f aca="false">IF(OR($O578="",$O578="Cancelled",$O578="Amount missing"),"",IF($O578="Realised",0,$E578-N($F578)-N($H578)))</f>
        <v/>
      </c>
      <c r="N578" s="77" t="str">
        <f aca="false">IF(OR($M578="",FX=""),"",$M578*FX)</f>
        <v/>
      </c>
      <c r="O578" s="78" t="str">
        <f aca="false">IF(NOT(OR($A578&lt;&gt;"",$E578&lt;&gt;"")),"",IF($J578="Cancelled","Cancelled",IF($E578="","Amount missing",IF(OR($J578="Settled",$E578-N($F578)-N($H578)&lt;=0.005),"Realised",IF(N($H578)&gt;0,"Part realised",IF(N($F578)&gt;0,"Advance received","On hand"))))))</f>
        <v/>
      </c>
      <c r="P578" s="79" t="str">
        <f aca="false">IF(AND($V578=1,ISNUMBER($B578)),AsAt-$B578,"")</f>
        <v/>
      </c>
      <c r="Q578" s="78" t="str">
        <f aca="false">IF($V578&lt;&gt;1,"",IF($P578="","No invoice date",IF($P578&lt;=30,"0–30 days",IF($P578&lt;=60,"31–60 days",IF($P578&lt;=90,"61–90 days","Over 90 days")))))</f>
        <v/>
      </c>
      <c r="R578" s="80" t="str">
        <f aca="false">IF($V578=1,ROW(),"")</f>
        <v/>
      </c>
      <c r="S578" s="80" t="str">
        <f aca="false">IF(OR($A578&lt;&gt;"",$E578&lt;&gt;""),IF(TRIM($D578)="","Buyer not noted",TRIM($D578)),"")</f>
        <v/>
      </c>
      <c r="T578" s="80" t="n">
        <f aca="false">IF(AND($V578=1,ISNUMBER($M578)),$M578,0)</f>
        <v>0</v>
      </c>
      <c r="U578" s="80" t="str">
        <f aca="false">IF($V578=1,IF(COUNTIFS($S$7:$S578,$S578,$V$7:$V578,1)=1,SUMIFS($T$7:$T$1006,$S$7:$S$1006,$S578)-ROW()/1000000000,""),"")</f>
        <v/>
      </c>
      <c r="V578" s="80" t="n">
        <f aca="false">IF(OR($O578="On hand",$O578="Advance received",$O578="Part realised",$O578="Amount missing"),1,0)</f>
        <v>0</v>
      </c>
      <c r="W578" s="80" t="str">
        <f aca="false">IF(AND($V578=1,N($F578)&gt;0),ROW(),"")</f>
        <v/>
      </c>
      <c r="X578" s="80" t="n">
        <f aca="false">IF(AND(OR($A578&lt;&gt;"",$E578&lt;&gt;""),$O578&lt;&gt;"Cancelled",ISNUMBER($E578),N($F578)+N($H578)&gt;$E578+0.005),1,0)</f>
        <v>0</v>
      </c>
      <c r="Y578" s="80" t="n">
        <f aca="false">IF(AND(OR($A578&lt;&gt;"",$E578&lt;&gt;""),OR($A578="",$E578="")),1,0)</f>
        <v>0</v>
      </c>
      <c r="Z578" s="80" t="n">
        <f aca="false">IF(AND($A578&lt;&gt;"",COUNTIF($A$7:$A$1006,$A578)&gt;1),1,0)</f>
        <v>0</v>
      </c>
    </row>
    <row r="579" customFormat="false" ht="15" hidden="false" customHeight="false" outlineLevel="0" collapsed="false">
      <c r="A579" s="71"/>
      <c r="B579" s="72"/>
      <c r="C579" s="73"/>
      <c r="D579" s="73"/>
      <c r="E579" s="74"/>
      <c r="F579" s="74"/>
      <c r="G579" s="72"/>
      <c r="H579" s="74"/>
      <c r="I579" s="72"/>
      <c r="J579" s="73"/>
      <c r="K579" s="73"/>
      <c r="L579" s="75" t="str">
        <f aca="false">IF(OR($A579&lt;&gt;"",$E579&lt;&gt;""),N($F579)+N($H579),"")</f>
        <v/>
      </c>
      <c r="M579" s="76" t="str">
        <f aca="false">IF(OR($O579="",$O579="Cancelled",$O579="Amount missing"),"",IF($O579="Realised",0,$E579-N($F579)-N($H579)))</f>
        <v/>
      </c>
      <c r="N579" s="77" t="str">
        <f aca="false">IF(OR($M579="",FX=""),"",$M579*FX)</f>
        <v/>
      </c>
      <c r="O579" s="78" t="str">
        <f aca="false">IF(NOT(OR($A579&lt;&gt;"",$E579&lt;&gt;"")),"",IF($J579="Cancelled","Cancelled",IF($E579="","Amount missing",IF(OR($J579="Settled",$E579-N($F579)-N($H579)&lt;=0.005),"Realised",IF(N($H579)&gt;0,"Part realised",IF(N($F579)&gt;0,"Advance received","On hand"))))))</f>
        <v/>
      </c>
      <c r="P579" s="79" t="str">
        <f aca="false">IF(AND($V579=1,ISNUMBER($B579)),AsAt-$B579,"")</f>
        <v/>
      </c>
      <c r="Q579" s="78" t="str">
        <f aca="false">IF($V579&lt;&gt;1,"",IF($P579="","No invoice date",IF($P579&lt;=30,"0–30 days",IF($P579&lt;=60,"31–60 days",IF($P579&lt;=90,"61–90 days","Over 90 days")))))</f>
        <v/>
      </c>
      <c r="R579" s="80" t="str">
        <f aca="false">IF($V579=1,ROW(),"")</f>
        <v/>
      </c>
      <c r="S579" s="80" t="str">
        <f aca="false">IF(OR($A579&lt;&gt;"",$E579&lt;&gt;""),IF(TRIM($D579)="","Buyer not noted",TRIM($D579)),"")</f>
        <v/>
      </c>
      <c r="T579" s="80" t="n">
        <f aca="false">IF(AND($V579=1,ISNUMBER($M579)),$M579,0)</f>
        <v>0</v>
      </c>
      <c r="U579" s="80" t="str">
        <f aca="false">IF($V579=1,IF(COUNTIFS($S$7:$S579,$S579,$V$7:$V579,1)=1,SUMIFS($T$7:$T$1006,$S$7:$S$1006,$S579)-ROW()/1000000000,""),"")</f>
        <v/>
      </c>
      <c r="V579" s="80" t="n">
        <f aca="false">IF(OR($O579="On hand",$O579="Advance received",$O579="Part realised",$O579="Amount missing"),1,0)</f>
        <v>0</v>
      </c>
      <c r="W579" s="80" t="str">
        <f aca="false">IF(AND($V579=1,N($F579)&gt;0),ROW(),"")</f>
        <v/>
      </c>
      <c r="X579" s="80" t="n">
        <f aca="false">IF(AND(OR($A579&lt;&gt;"",$E579&lt;&gt;""),$O579&lt;&gt;"Cancelled",ISNUMBER($E579),N($F579)+N($H579)&gt;$E579+0.005),1,0)</f>
        <v>0</v>
      </c>
      <c r="Y579" s="80" t="n">
        <f aca="false">IF(AND(OR($A579&lt;&gt;"",$E579&lt;&gt;""),OR($A579="",$E579="")),1,0)</f>
        <v>0</v>
      </c>
      <c r="Z579" s="80" t="n">
        <f aca="false">IF(AND($A579&lt;&gt;"",COUNTIF($A$7:$A$1006,$A579)&gt;1),1,0)</f>
        <v>0</v>
      </c>
    </row>
    <row r="580" customFormat="false" ht="15" hidden="false" customHeight="false" outlineLevel="0" collapsed="false">
      <c r="A580" s="71"/>
      <c r="B580" s="72"/>
      <c r="C580" s="73"/>
      <c r="D580" s="73"/>
      <c r="E580" s="74"/>
      <c r="F580" s="74"/>
      <c r="G580" s="72"/>
      <c r="H580" s="74"/>
      <c r="I580" s="72"/>
      <c r="J580" s="73"/>
      <c r="K580" s="73"/>
      <c r="L580" s="75" t="str">
        <f aca="false">IF(OR($A580&lt;&gt;"",$E580&lt;&gt;""),N($F580)+N($H580),"")</f>
        <v/>
      </c>
      <c r="M580" s="76" t="str">
        <f aca="false">IF(OR($O580="",$O580="Cancelled",$O580="Amount missing"),"",IF($O580="Realised",0,$E580-N($F580)-N($H580)))</f>
        <v/>
      </c>
      <c r="N580" s="77" t="str">
        <f aca="false">IF(OR($M580="",FX=""),"",$M580*FX)</f>
        <v/>
      </c>
      <c r="O580" s="78" t="str">
        <f aca="false">IF(NOT(OR($A580&lt;&gt;"",$E580&lt;&gt;"")),"",IF($J580="Cancelled","Cancelled",IF($E580="","Amount missing",IF(OR($J580="Settled",$E580-N($F580)-N($H580)&lt;=0.005),"Realised",IF(N($H580)&gt;0,"Part realised",IF(N($F580)&gt;0,"Advance received","On hand"))))))</f>
        <v/>
      </c>
      <c r="P580" s="79" t="str">
        <f aca="false">IF(AND($V580=1,ISNUMBER($B580)),AsAt-$B580,"")</f>
        <v/>
      </c>
      <c r="Q580" s="78" t="str">
        <f aca="false">IF($V580&lt;&gt;1,"",IF($P580="","No invoice date",IF($P580&lt;=30,"0–30 days",IF($P580&lt;=60,"31–60 days",IF($P580&lt;=90,"61–90 days","Over 90 days")))))</f>
        <v/>
      </c>
      <c r="R580" s="80" t="str">
        <f aca="false">IF($V580=1,ROW(),"")</f>
        <v/>
      </c>
      <c r="S580" s="80" t="str">
        <f aca="false">IF(OR($A580&lt;&gt;"",$E580&lt;&gt;""),IF(TRIM($D580)="","Buyer not noted",TRIM($D580)),"")</f>
        <v/>
      </c>
      <c r="T580" s="80" t="n">
        <f aca="false">IF(AND($V580=1,ISNUMBER($M580)),$M580,0)</f>
        <v>0</v>
      </c>
      <c r="U580" s="80" t="str">
        <f aca="false">IF($V580=1,IF(COUNTIFS($S$7:$S580,$S580,$V$7:$V580,1)=1,SUMIFS($T$7:$T$1006,$S$7:$S$1006,$S580)-ROW()/1000000000,""),"")</f>
        <v/>
      </c>
      <c r="V580" s="80" t="n">
        <f aca="false">IF(OR($O580="On hand",$O580="Advance received",$O580="Part realised",$O580="Amount missing"),1,0)</f>
        <v>0</v>
      </c>
      <c r="W580" s="80" t="str">
        <f aca="false">IF(AND($V580=1,N($F580)&gt;0),ROW(),"")</f>
        <v/>
      </c>
      <c r="X580" s="80" t="n">
        <f aca="false">IF(AND(OR($A580&lt;&gt;"",$E580&lt;&gt;""),$O580&lt;&gt;"Cancelled",ISNUMBER($E580),N($F580)+N($H580)&gt;$E580+0.005),1,0)</f>
        <v>0</v>
      </c>
      <c r="Y580" s="80" t="n">
        <f aca="false">IF(AND(OR($A580&lt;&gt;"",$E580&lt;&gt;""),OR($A580="",$E580="")),1,0)</f>
        <v>0</v>
      </c>
      <c r="Z580" s="80" t="n">
        <f aca="false">IF(AND($A580&lt;&gt;"",COUNTIF($A$7:$A$1006,$A580)&gt;1),1,0)</f>
        <v>0</v>
      </c>
    </row>
    <row r="581" customFormat="false" ht="15" hidden="false" customHeight="false" outlineLevel="0" collapsed="false">
      <c r="A581" s="71"/>
      <c r="B581" s="72"/>
      <c r="C581" s="73"/>
      <c r="D581" s="73"/>
      <c r="E581" s="74"/>
      <c r="F581" s="74"/>
      <c r="G581" s="72"/>
      <c r="H581" s="74"/>
      <c r="I581" s="72"/>
      <c r="J581" s="73"/>
      <c r="K581" s="73"/>
      <c r="L581" s="75" t="str">
        <f aca="false">IF(OR($A581&lt;&gt;"",$E581&lt;&gt;""),N($F581)+N($H581),"")</f>
        <v/>
      </c>
      <c r="M581" s="76" t="str">
        <f aca="false">IF(OR($O581="",$O581="Cancelled",$O581="Amount missing"),"",IF($O581="Realised",0,$E581-N($F581)-N($H581)))</f>
        <v/>
      </c>
      <c r="N581" s="77" t="str">
        <f aca="false">IF(OR($M581="",FX=""),"",$M581*FX)</f>
        <v/>
      </c>
      <c r="O581" s="78" t="str">
        <f aca="false">IF(NOT(OR($A581&lt;&gt;"",$E581&lt;&gt;"")),"",IF($J581="Cancelled","Cancelled",IF($E581="","Amount missing",IF(OR($J581="Settled",$E581-N($F581)-N($H581)&lt;=0.005),"Realised",IF(N($H581)&gt;0,"Part realised",IF(N($F581)&gt;0,"Advance received","On hand"))))))</f>
        <v/>
      </c>
      <c r="P581" s="79" t="str">
        <f aca="false">IF(AND($V581=1,ISNUMBER($B581)),AsAt-$B581,"")</f>
        <v/>
      </c>
      <c r="Q581" s="78" t="str">
        <f aca="false">IF($V581&lt;&gt;1,"",IF($P581="","No invoice date",IF($P581&lt;=30,"0–30 days",IF($P581&lt;=60,"31–60 days",IF($P581&lt;=90,"61–90 days","Over 90 days")))))</f>
        <v/>
      </c>
      <c r="R581" s="80" t="str">
        <f aca="false">IF($V581=1,ROW(),"")</f>
        <v/>
      </c>
      <c r="S581" s="80" t="str">
        <f aca="false">IF(OR($A581&lt;&gt;"",$E581&lt;&gt;""),IF(TRIM($D581)="","Buyer not noted",TRIM($D581)),"")</f>
        <v/>
      </c>
      <c r="T581" s="80" t="n">
        <f aca="false">IF(AND($V581=1,ISNUMBER($M581)),$M581,0)</f>
        <v>0</v>
      </c>
      <c r="U581" s="80" t="str">
        <f aca="false">IF($V581=1,IF(COUNTIFS($S$7:$S581,$S581,$V$7:$V581,1)=1,SUMIFS($T$7:$T$1006,$S$7:$S$1006,$S581)-ROW()/1000000000,""),"")</f>
        <v/>
      </c>
      <c r="V581" s="80" t="n">
        <f aca="false">IF(OR($O581="On hand",$O581="Advance received",$O581="Part realised",$O581="Amount missing"),1,0)</f>
        <v>0</v>
      </c>
      <c r="W581" s="80" t="str">
        <f aca="false">IF(AND($V581=1,N($F581)&gt;0),ROW(),"")</f>
        <v/>
      </c>
      <c r="X581" s="80" t="n">
        <f aca="false">IF(AND(OR($A581&lt;&gt;"",$E581&lt;&gt;""),$O581&lt;&gt;"Cancelled",ISNUMBER($E581),N($F581)+N($H581)&gt;$E581+0.005),1,0)</f>
        <v>0</v>
      </c>
      <c r="Y581" s="80" t="n">
        <f aca="false">IF(AND(OR($A581&lt;&gt;"",$E581&lt;&gt;""),OR($A581="",$E581="")),1,0)</f>
        <v>0</v>
      </c>
      <c r="Z581" s="80" t="n">
        <f aca="false">IF(AND($A581&lt;&gt;"",COUNTIF($A$7:$A$1006,$A581)&gt;1),1,0)</f>
        <v>0</v>
      </c>
    </row>
    <row r="582" customFormat="false" ht="15" hidden="false" customHeight="false" outlineLevel="0" collapsed="false">
      <c r="A582" s="71"/>
      <c r="B582" s="72"/>
      <c r="C582" s="73"/>
      <c r="D582" s="73"/>
      <c r="E582" s="74"/>
      <c r="F582" s="74"/>
      <c r="G582" s="72"/>
      <c r="H582" s="74"/>
      <c r="I582" s="72"/>
      <c r="J582" s="73"/>
      <c r="K582" s="73"/>
      <c r="L582" s="75" t="str">
        <f aca="false">IF(OR($A582&lt;&gt;"",$E582&lt;&gt;""),N($F582)+N($H582),"")</f>
        <v/>
      </c>
      <c r="M582" s="76" t="str">
        <f aca="false">IF(OR($O582="",$O582="Cancelled",$O582="Amount missing"),"",IF($O582="Realised",0,$E582-N($F582)-N($H582)))</f>
        <v/>
      </c>
      <c r="N582" s="77" t="str">
        <f aca="false">IF(OR($M582="",FX=""),"",$M582*FX)</f>
        <v/>
      </c>
      <c r="O582" s="78" t="str">
        <f aca="false">IF(NOT(OR($A582&lt;&gt;"",$E582&lt;&gt;"")),"",IF($J582="Cancelled","Cancelled",IF($E582="","Amount missing",IF(OR($J582="Settled",$E582-N($F582)-N($H582)&lt;=0.005),"Realised",IF(N($H582)&gt;0,"Part realised",IF(N($F582)&gt;0,"Advance received","On hand"))))))</f>
        <v/>
      </c>
      <c r="P582" s="79" t="str">
        <f aca="false">IF(AND($V582=1,ISNUMBER($B582)),AsAt-$B582,"")</f>
        <v/>
      </c>
      <c r="Q582" s="78" t="str">
        <f aca="false">IF($V582&lt;&gt;1,"",IF($P582="","No invoice date",IF($P582&lt;=30,"0–30 days",IF($P582&lt;=60,"31–60 days",IF($P582&lt;=90,"61–90 days","Over 90 days")))))</f>
        <v/>
      </c>
      <c r="R582" s="80" t="str">
        <f aca="false">IF($V582=1,ROW(),"")</f>
        <v/>
      </c>
      <c r="S582" s="80" t="str">
        <f aca="false">IF(OR($A582&lt;&gt;"",$E582&lt;&gt;""),IF(TRIM($D582)="","Buyer not noted",TRIM($D582)),"")</f>
        <v/>
      </c>
      <c r="T582" s="80" t="n">
        <f aca="false">IF(AND($V582=1,ISNUMBER($M582)),$M582,0)</f>
        <v>0</v>
      </c>
      <c r="U582" s="80" t="str">
        <f aca="false">IF($V582=1,IF(COUNTIFS($S$7:$S582,$S582,$V$7:$V582,1)=1,SUMIFS($T$7:$T$1006,$S$7:$S$1006,$S582)-ROW()/1000000000,""),"")</f>
        <v/>
      </c>
      <c r="V582" s="80" t="n">
        <f aca="false">IF(OR($O582="On hand",$O582="Advance received",$O582="Part realised",$O582="Amount missing"),1,0)</f>
        <v>0</v>
      </c>
      <c r="W582" s="80" t="str">
        <f aca="false">IF(AND($V582=1,N($F582)&gt;0),ROW(),"")</f>
        <v/>
      </c>
      <c r="X582" s="80" t="n">
        <f aca="false">IF(AND(OR($A582&lt;&gt;"",$E582&lt;&gt;""),$O582&lt;&gt;"Cancelled",ISNUMBER($E582),N($F582)+N($H582)&gt;$E582+0.005),1,0)</f>
        <v>0</v>
      </c>
      <c r="Y582" s="80" t="n">
        <f aca="false">IF(AND(OR($A582&lt;&gt;"",$E582&lt;&gt;""),OR($A582="",$E582="")),1,0)</f>
        <v>0</v>
      </c>
      <c r="Z582" s="80" t="n">
        <f aca="false">IF(AND($A582&lt;&gt;"",COUNTIF($A$7:$A$1006,$A582)&gt;1),1,0)</f>
        <v>0</v>
      </c>
    </row>
    <row r="583" customFormat="false" ht="15" hidden="false" customHeight="false" outlineLevel="0" collapsed="false">
      <c r="A583" s="71"/>
      <c r="B583" s="72"/>
      <c r="C583" s="73"/>
      <c r="D583" s="73"/>
      <c r="E583" s="74"/>
      <c r="F583" s="74"/>
      <c r="G583" s="72"/>
      <c r="H583" s="74"/>
      <c r="I583" s="72"/>
      <c r="J583" s="73"/>
      <c r="K583" s="73"/>
      <c r="L583" s="75" t="str">
        <f aca="false">IF(OR($A583&lt;&gt;"",$E583&lt;&gt;""),N($F583)+N($H583),"")</f>
        <v/>
      </c>
      <c r="M583" s="76" t="str">
        <f aca="false">IF(OR($O583="",$O583="Cancelled",$O583="Amount missing"),"",IF($O583="Realised",0,$E583-N($F583)-N($H583)))</f>
        <v/>
      </c>
      <c r="N583" s="77" t="str">
        <f aca="false">IF(OR($M583="",FX=""),"",$M583*FX)</f>
        <v/>
      </c>
      <c r="O583" s="78" t="str">
        <f aca="false">IF(NOT(OR($A583&lt;&gt;"",$E583&lt;&gt;"")),"",IF($J583="Cancelled","Cancelled",IF($E583="","Amount missing",IF(OR($J583="Settled",$E583-N($F583)-N($H583)&lt;=0.005),"Realised",IF(N($H583)&gt;0,"Part realised",IF(N($F583)&gt;0,"Advance received","On hand"))))))</f>
        <v/>
      </c>
      <c r="P583" s="79" t="str">
        <f aca="false">IF(AND($V583=1,ISNUMBER($B583)),AsAt-$B583,"")</f>
        <v/>
      </c>
      <c r="Q583" s="78" t="str">
        <f aca="false">IF($V583&lt;&gt;1,"",IF($P583="","No invoice date",IF($P583&lt;=30,"0–30 days",IF($P583&lt;=60,"31–60 days",IF($P583&lt;=90,"61–90 days","Over 90 days")))))</f>
        <v/>
      </c>
      <c r="R583" s="80" t="str">
        <f aca="false">IF($V583=1,ROW(),"")</f>
        <v/>
      </c>
      <c r="S583" s="80" t="str">
        <f aca="false">IF(OR($A583&lt;&gt;"",$E583&lt;&gt;""),IF(TRIM($D583)="","Buyer not noted",TRIM($D583)),"")</f>
        <v/>
      </c>
      <c r="T583" s="80" t="n">
        <f aca="false">IF(AND($V583=1,ISNUMBER($M583)),$M583,0)</f>
        <v>0</v>
      </c>
      <c r="U583" s="80" t="str">
        <f aca="false">IF($V583=1,IF(COUNTIFS($S$7:$S583,$S583,$V$7:$V583,1)=1,SUMIFS($T$7:$T$1006,$S$7:$S$1006,$S583)-ROW()/1000000000,""),"")</f>
        <v/>
      </c>
      <c r="V583" s="80" t="n">
        <f aca="false">IF(OR($O583="On hand",$O583="Advance received",$O583="Part realised",$O583="Amount missing"),1,0)</f>
        <v>0</v>
      </c>
      <c r="W583" s="80" t="str">
        <f aca="false">IF(AND($V583=1,N($F583)&gt;0),ROW(),"")</f>
        <v/>
      </c>
      <c r="X583" s="80" t="n">
        <f aca="false">IF(AND(OR($A583&lt;&gt;"",$E583&lt;&gt;""),$O583&lt;&gt;"Cancelled",ISNUMBER($E583),N($F583)+N($H583)&gt;$E583+0.005),1,0)</f>
        <v>0</v>
      </c>
      <c r="Y583" s="80" t="n">
        <f aca="false">IF(AND(OR($A583&lt;&gt;"",$E583&lt;&gt;""),OR($A583="",$E583="")),1,0)</f>
        <v>0</v>
      </c>
      <c r="Z583" s="80" t="n">
        <f aca="false">IF(AND($A583&lt;&gt;"",COUNTIF($A$7:$A$1006,$A583)&gt;1),1,0)</f>
        <v>0</v>
      </c>
    </row>
    <row r="584" customFormat="false" ht="15" hidden="false" customHeight="false" outlineLevel="0" collapsed="false">
      <c r="A584" s="71"/>
      <c r="B584" s="72"/>
      <c r="C584" s="73"/>
      <c r="D584" s="73"/>
      <c r="E584" s="74"/>
      <c r="F584" s="74"/>
      <c r="G584" s="72"/>
      <c r="H584" s="74"/>
      <c r="I584" s="72"/>
      <c r="J584" s="73"/>
      <c r="K584" s="73"/>
      <c r="L584" s="75" t="str">
        <f aca="false">IF(OR($A584&lt;&gt;"",$E584&lt;&gt;""),N($F584)+N($H584),"")</f>
        <v/>
      </c>
      <c r="M584" s="76" t="str">
        <f aca="false">IF(OR($O584="",$O584="Cancelled",$O584="Amount missing"),"",IF($O584="Realised",0,$E584-N($F584)-N($H584)))</f>
        <v/>
      </c>
      <c r="N584" s="77" t="str">
        <f aca="false">IF(OR($M584="",FX=""),"",$M584*FX)</f>
        <v/>
      </c>
      <c r="O584" s="78" t="str">
        <f aca="false">IF(NOT(OR($A584&lt;&gt;"",$E584&lt;&gt;"")),"",IF($J584="Cancelled","Cancelled",IF($E584="","Amount missing",IF(OR($J584="Settled",$E584-N($F584)-N($H584)&lt;=0.005),"Realised",IF(N($H584)&gt;0,"Part realised",IF(N($F584)&gt;0,"Advance received","On hand"))))))</f>
        <v/>
      </c>
      <c r="P584" s="79" t="str">
        <f aca="false">IF(AND($V584=1,ISNUMBER($B584)),AsAt-$B584,"")</f>
        <v/>
      </c>
      <c r="Q584" s="78" t="str">
        <f aca="false">IF($V584&lt;&gt;1,"",IF($P584="","No invoice date",IF($P584&lt;=30,"0–30 days",IF($P584&lt;=60,"31–60 days",IF($P584&lt;=90,"61–90 days","Over 90 days")))))</f>
        <v/>
      </c>
      <c r="R584" s="80" t="str">
        <f aca="false">IF($V584=1,ROW(),"")</f>
        <v/>
      </c>
      <c r="S584" s="80" t="str">
        <f aca="false">IF(OR($A584&lt;&gt;"",$E584&lt;&gt;""),IF(TRIM($D584)="","Buyer not noted",TRIM($D584)),"")</f>
        <v/>
      </c>
      <c r="T584" s="80" t="n">
        <f aca="false">IF(AND($V584=1,ISNUMBER($M584)),$M584,0)</f>
        <v>0</v>
      </c>
      <c r="U584" s="80" t="str">
        <f aca="false">IF($V584=1,IF(COUNTIFS($S$7:$S584,$S584,$V$7:$V584,1)=1,SUMIFS($T$7:$T$1006,$S$7:$S$1006,$S584)-ROW()/1000000000,""),"")</f>
        <v/>
      </c>
      <c r="V584" s="80" t="n">
        <f aca="false">IF(OR($O584="On hand",$O584="Advance received",$O584="Part realised",$O584="Amount missing"),1,0)</f>
        <v>0</v>
      </c>
      <c r="W584" s="80" t="str">
        <f aca="false">IF(AND($V584=1,N($F584)&gt;0),ROW(),"")</f>
        <v/>
      </c>
      <c r="X584" s="80" t="n">
        <f aca="false">IF(AND(OR($A584&lt;&gt;"",$E584&lt;&gt;""),$O584&lt;&gt;"Cancelled",ISNUMBER($E584),N($F584)+N($H584)&gt;$E584+0.005),1,0)</f>
        <v>0</v>
      </c>
      <c r="Y584" s="80" t="n">
        <f aca="false">IF(AND(OR($A584&lt;&gt;"",$E584&lt;&gt;""),OR($A584="",$E584="")),1,0)</f>
        <v>0</v>
      </c>
      <c r="Z584" s="80" t="n">
        <f aca="false">IF(AND($A584&lt;&gt;"",COUNTIF($A$7:$A$1006,$A584)&gt;1),1,0)</f>
        <v>0</v>
      </c>
    </row>
    <row r="585" customFormat="false" ht="15" hidden="false" customHeight="false" outlineLevel="0" collapsed="false">
      <c r="A585" s="71"/>
      <c r="B585" s="72"/>
      <c r="C585" s="73"/>
      <c r="D585" s="73"/>
      <c r="E585" s="74"/>
      <c r="F585" s="74"/>
      <c r="G585" s="72"/>
      <c r="H585" s="74"/>
      <c r="I585" s="72"/>
      <c r="J585" s="73"/>
      <c r="K585" s="73"/>
      <c r="L585" s="75" t="str">
        <f aca="false">IF(OR($A585&lt;&gt;"",$E585&lt;&gt;""),N($F585)+N($H585),"")</f>
        <v/>
      </c>
      <c r="M585" s="76" t="str">
        <f aca="false">IF(OR($O585="",$O585="Cancelled",$O585="Amount missing"),"",IF($O585="Realised",0,$E585-N($F585)-N($H585)))</f>
        <v/>
      </c>
      <c r="N585" s="77" t="str">
        <f aca="false">IF(OR($M585="",FX=""),"",$M585*FX)</f>
        <v/>
      </c>
      <c r="O585" s="78" t="str">
        <f aca="false">IF(NOT(OR($A585&lt;&gt;"",$E585&lt;&gt;"")),"",IF($J585="Cancelled","Cancelled",IF($E585="","Amount missing",IF(OR($J585="Settled",$E585-N($F585)-N($H585)&lt;=0.005),"Realised",IF(N($H585)&gt;0,"Part realised",IF(N($F585)&gt;0,"Advance received","On hand"))))))</f>
        <v/>
      </c>
      <c r="P585" s="79" t="str">
        <f aca="false">IF(AND($V585=1,ISNUMBER($B585)),AsAt-$B585,"")</f>
        <v/>
      </c>
      <c r="Q585" s="78" t="str">
        <f aca="false">IF($V585&lt;&gt;1,"",IF($P585="","No invoice date",IF($P585&lt;=30,"0–30 days",IF($P585&lt;=60,"31–60 days",IF($P585&lt;=90,"61–90 days","Over 90 days")))))</f>
        <v/>
      </c>
      <c r="R585" s="80" t="str">
        <f aca="false">IF($V585=1,ROW(),"")</f>
        <v/>
      </c>
      <c r="S585" s="80" t="str">
        <f aca="false">IF(OR($A585&lt;&gt;"",$E585&lt;&gt;""),IF(TRIM($D585)="","Buyer not noted",TRIM($D585)),"")</f>
        <v/>
      </c>
      <c r="T585" s="80" t="n">
        <f aca="false">IF(AND($V585=1,ISNUMBER($M585)),$M585,0)</f>
        <v>0</v>
      </c>
      <c r="U585" s="80" t="str">
        <f aca="false">IF($V585=1,IF(COUNTIFS($S$7:$S585,$S585,$V$7:$V585,1)=1,SUMIFS($T$7:$T$1006,$S$7:$S$1006,$S585)-ROW()/1000000000,""),"")</f>
        <v/>
      </c>
      <c r="V585" s="80" t="n">
        <f aca="false">IF(OR($O585="On hand",$O585="Advance received",$O585="Part realised",$O585="Amount missing"),1,0)</f>
        <v>0</v>
      </c>
      <c r="W585" s="80" t="str">
        <f aca="false">IF(AND($V585=1,N($F585)&gt;0),ROW(),"")</f>
        <v/>
      </c>
      <c r="X585" s="80" t="n">
        <f aca="false">IF(AND(OR($A585&lt;&gt;"",$E585&lt;&gt;""),$O585&lt;&gt;"Cancelled",ISNUMBER($E585),N($F585)+N($H585)&gt;$E585+0.005),1,0)</f>
        <v>0</v>
      </c>
      <c r="Y585" s="80" t="n">
        <f aca="false">IF(AND(OR($A585&lt;&gt;"",$E585&lt;&gt;""),OR($A585="",$E585="")),1,0)</f>
        <v>0</v>
      </c>
      <c r="Z585" s="80" t="n">
        <f aca="false">IF(AND($A585&lt;&gt;"",COUNTIF($A$7:$A$1006,$A585)&gt;1),1,0)</f>
        <v>0</v>
      </c>
    </row>
    <row r="586" customFormat="false" ht="15" hidden="false" customHeight="false" outlineLevel="0" collapsed="false">
      <c r="A586" s="71"/>
      <c r="B586" s="72"/>
      <c r="C586" s="73"/>
      <c r="D586" s="73"/>
      <c r="E586" s="74"/>
      <c r="F586" s="74"/>
      <c r="G586" s="72"/>
      <c r="H586" s="74"/>
      <c r="I586" s="72"/>
      <c r="J586" s="73"/>
      <c r="K586" s="73"/>
      <c r="L586" s="75" t="str">
        <f aca="false">IF(OR($A586&lt;&gt;"",$E586&lt;&gt;""),N($F586)+N($H586),"")</f>
        <v/>
      </c>
      <c r="M586" s="76" t="str">
        <f aca="false">IF(OR($O586="",$O586="Cancelled",$O586="Amount missing"),"",IF($O586="Realised",0,$E586-N($F586)-N($H586)))</f>
        <v/>
      </c>
      <c r="N586" s="77" t="str">
        <f aca="false">IF(OR($M586="",FX=""),"",$M586*FX)</f>
        <v/>
      </c>
      <c r="O586" s="78" t="str">
        <f aca="false">IF(NOT(OR($A586&lt;&gt;"",$E586&lt;&gt;"")),"",IF($J586="Cancelled","Cancelled",IF($E586="","Amount missing",IF(OR($J586="Settled",$E586-N($F586)-N($H586)&lt;=0.005),"Realised",IF(N($H586)&gt;0,"Part realised",IF(N($F586)&gt;0,"Advance received","On hand"))))))</f>
        <v/>
      </c>
      <c r="P586" s="79" t="str">
        <f aca="false">IF(AND($V586=1,ISNUMBER($B586)),AsAt-$B586,"")</f>
        <v/>
      </c>
      <c r="Q586" s="78" t="str">
        <f aca="false">IF($V586&lt;&gt;1,"",IF($P586="","No invoice date",IF($P586&lt;=30,"0–30 days",IF($P586&lt;=60,"31–60 days",IF($P586&lt;=90,"61–90 days","Over 90 days")))))</f>
        <v/>
      </c>
      <c r="R586" s="80" t="str">
        <f aca="false">IF($V586=1,ROW(),"")</f>
        <v/>
      </c>
      <c r="S586" s="80" t="str">
        <f aca="false">IF(OR($A586&lt;&gt;"",$E586&lt;&gt;""),IF(TRIM($D586)="","Buyer not noted",TRIM($D586)),"")</f>
        <v/>
      </c>
      <c r="T586" s="80" t="n">
        <f aca="false">IF(AND($V586=1,ISNUMBER($M586)),$M586,0)</f>
        <v>0</v>
      </c>
      <c r="U586" s="80" t="str">
        <f aca="false">IF($V586=1,IF(COUNTIFS($S$7:$S586,$S586,$V$7:$V586,1)=1,SUMIFS($T$7:$T$1006,$S$7:$S$1006,$S586)-ROW()/1000000000,""),"")</f>
        <v/>
      </c>
      <c r="V586" s="80" t="n">
        <f aca="false">IF(OR($O586="On hand",$O586="Advance received",$O586="Part realised",$O586="Amount missing"),1,0)</f>
        <v>0</v>
      </c>
      <c r="W586" s="80" t="str">
        <f aca="false">IF(AND($V586=1,N($F586)&gt;0),ROW(),"")</f>
        <v/>
      </c>
      <c r="X586" s="80" t="n">
        <f aca="false">IF(AND(OR($A586&lt;&gt;"",$E586&lt;&gt;""),$O586&lt;&gt;"Cancelled",ISNUMBER($E586),N($F586)+N($H586)&gt;$E586+0.005),1,0)</f>
        <v>0</v>
      </c>
      <c r="Y586" s="80" t="n">
        <f aca="false">IF(AND(OR($A586&lt;&gt;"",$E586&lt;&gt;""),OR($A586="",$E586="")),1,0)</f>
        <v>0</v>
      </c>
      <c r="Z586" s="80" t="n">
        <f aca="false">IF(AND($A586&lt;&gt;"",COUNTIF($A$7:$A$1006,$A586)&gt;1),1,0)</f>
        <v>0</v>
      </c>
    </row>
    <row r="587" customFormat="false" ht="15" hidden="false" customHeight="false" outlineLevel="0" collapsed="false">
      <c r="A587" s="71"/>
      <c r="B587" s="72"/>
      <c r="C587" s="73"/>
      <c r="D587" s="73"/>
      <c r="E587" s="74"/>
      <c r="F587" s="74"/>
      <c r="G587" s="72"/>
      <c r="H587" s="74"/>
      <c r="I587" s="72"/>
      <c r="J587" s="73"/>
      <c r="K587" s="73"/>
      <c r="L587" s="75" t="str">
        <f aca="false">IF(OR($A587&lt;&gt;"",$E587&lt;&gt;""),N($F587)+N($H587),"")</f>
        <v/>
      </c>
      <c r="M587" s="76" t="str">
        <f aca="false">IF(OR($O587="",$O587="Cancelled",$O587="Amount missing"),"",IF($O587="Realised",0,$E587-N($F587)-N($H587)))</f>
        <v/>
      </c>
      <c r="N587" s="77" t="str">
        <f aca="false">IF(OR($M587="",FX=""),"",$M587*FX)</f>
        <v/>
      </c>
      <c r="O587" s="78" t="str">
        <f aca="false">IF(NOT(OR($A587&lt;&gt;"",$E587&lt;&gt;"")),"",IF($J587="Cancelled","Cancelled",IF($E587="","Amount missing",IF(OR($J587="Settled",$E587-N($F587)-N($H587)&lt;=0.005),"Realised",IF(N($H587)&gt;0,"Part realised",IF(N($F587)&gt;0,"Advance received","On hand"))))))</f>
        <v/>
      </c>
      <c r="P587" s="79" t="str">
        <f aca="false">IF(AND($V587=1,ISNUMBER($B587)),AsAt-$B587,"")</f>
        <v/>
      </c>
      <c r="Q587" s="78" t="str">
        <f aca="false">IF($V587&lt;&gt;1,"",IF($P587="","No invoice date",IF($P587&lt;=30,"0–30 days",IF($P587&lt;=60,"31–60 days",IF($P587&lt;=90,"61–90 days","Over 90 days")))))</f>
        <v/>
      </c>
      <c r="R587" s="80" t="str">
        <f aca="false">IF($V587=1,ROW(),"")</f>
        <v/>
      </c>
      <c r="S587" s="80" t="str">
        <f aca="false">IF(OR($A587&lt;&gt;"",$E587&lt;&gt;""),IF(TRIM($D587)="","Buyer not noted",TRIM($D587)),"")</f>
        <v/>
      </c>
      <c r="T587" s="80" t="n">
        <f aca="false">IF(AND($V587=1,ISNUMBER($M587)),$M587,0)</f>
        <v>0</v>
      </c>
      <c r="U587" s="80" t="str">
        <f aca="false">IF($V587=1,IF(COUNTIFS($S$7:$S587,$S587,$V$7:$V587,1)=1,SUMIFS($T$7:$T$1006,$S$7:$S$1006,$S587)-ROW()/1000000000,""),"")</f>
        <v/>
      </c>
      <c r="V587" s="80" t="n">
        <f aca="false">IF(OR($O587="On hand",$O587="Advance received",$O587="Part realised",$O587="Amount missing"),1,0)</f>
        <v>0</v>
      </c>
      <c r="W587" s="80" t="str">
        <f aca="false">IF(AND($V587=1,N($F587)&gt;0),ROW(),"")</f>
        <v/>
      </c>
      <c r="X587" s="80" t="n">
        <f aca="false">IF(AND(OR($A587&lt;&gt;"",$E587&lt;&gt;""),$O587&lt;&gt;"Cancelled",ISNUMBER($E587),N($F587)+N($H587)&gt;$E587+0.005),1,0)</f>
        <v>0</v>
      </c>
      <c r="Y587" s="80" t="n">
        <f aca="false">IF(AND(OR($A587&lt;&gt;"",$E587&lt;&gt;""),OR($A587="",$E587="")),1,0)</f>
        <v>0</v>
      </c>
      <c r="Z587" s="80" t="n">
        <f aca="false">IF(AND($A587&lt;&gt;"",COUNTIF($A$7:$A$1006,$A587)&gt;1),1,0)</f>
        <v>0</v>
      </c>
    </row>
    <row r="588" customFormat="false" ht="15" hidden="false" customHeight="false" outlineLevel="0" collapsed="false">
      <c r="A588" s="71"/>
      <c r="B588" s="72"/>
      <c r="C588" s="73"/>
      <c r="D588" s="73"/>
      <c r="E588" s="74"/>
      <c r="F588" s="74"/>
      <c r="G588" s="72"/>
      <c r="H588" s="74"/>
      <c r="I588" s="72"/>
      <c r="J588" s="73"/>
      <c r="K588" s="73"/>
      <c r="L588" s="75" t="str">
        <f aca="false">IF(OR($A588&lt;&gt;"",$E588&lt;&gt;""),N($F588)+N($H588),"")</f>
        <v/>
      </c>
      <c r="M588" s="76" t="str">
        <f aca="false">IF(OR($O588="",$O588="Cancelled",$O588="Amount missing"),"",IF($O588="Realised",0,$E588-N($F588)-N($H588)))</f>
        <v/>
      </c>
      <c r="N588" s="77" t="str">
        <f aca="false">IF(OR($M588="",FX=""),"",$M588*FX)</f>
        <v/>
      </c>
      <c r="O588" s="78" t="str">
        <f aca="false">IF(NOT(OR($A588&lt;&gt;"",$E588&lt;&gt;"")),"",IF($J588="Cancelled","Cancelled",IF($E588="","Amount missing",IF(OR($J588="Settled",$E588-N($F588)-N($H588)&lt;=0.005),"Realised",IF(N($H588)&gt;0,"Part realised",IF(N($F588)&gt;0,"Advance received","On hand"))))))</f>
        <v/>
      </c>
      <c r="P588" s="79" t="str">
        <f aca="false">IF(AND($V588=1,ISNUMBER($B588)),AsAt-$B588,"")</f>
        <v/>
      </c>
      <c r="Q588" s="78" t="str">
        <f aca="false">IF($V588&lt;&gt;1,"",IF($P588="","No invoice date",IF($P588&lt;=30,"0–30 days",IF($P588&lt;=60,"31–60 days",IF($P588&lt;=90,"61–90 days","Over 90 days")))))</f>
        <v/>
      </c>
      <c r="R588" s="80" t="str">
        <f aca="false">IF($V588=1,ROW(),"")</f>
        <v/>
      </c>
      <c r="S588" s="80" t="str">
        <f aca="false">IF(OR($A588&lt;&gt;"",$E588&lt;&gt;""),IF(TRIM($D588)="","Buyer not noted",TRIM($D588)),"")</f>
        <v/>
      </c>
      <c r="T588" s="80" t="n">
        <f aca="false">IF(AND($V588=1,ISNUMBER($M588)),$M588,0)</f>
        <v>0</v>
      </c>
      <c r="U588" s="80" t="str">
        <f aca="false">IF($V588=1,IF(COUNTIFS($S$7:$S588,$S588,$V$7:$V588,1)=1,SUMIFS($T$7:$T$1006,$S$7:$S$1006,$S588)-ROW()/1000000000,""),"")</f>
        <v/>
      </c>
      <c r="V588" s="80" t="n">
        <f aca="false">IF(OR($O588="On hand",$O588="Advance received",$O588="Part realised",$O588="Amount missing"),1,0)</f>
        <v>0</v>
      </c>
      <c r="W588" s="80" t="str">
        <f aca="false">IF(AND($V588=1,N($F588)&gt;0),ROW(),"")</f>
        <v/>
      </c>
      <c r="X588" s="80" t="n">
        <f aca="false">IF(AND(OR($A588&lt;&gt;"",$E588&lt;&gt;""),$O588&lt;&gt;"Cancelled",ISNUMBER($E588),N($F588)+N($H588)&gt;$E588+0.005),1,0)</f>
        <v>0</v>
      </c>
      <c r="Y588" s="80" t="n">
        <f aca="false">IF(AND(OR($A588&lt;&gt;"",$E588&lt;&gt;""),OR($A588="",$E588="")),1,0)</f>
        <v>0</v>
      </c>
      <c r="Z588" s="80" t="n">
        <f aca="false">IF(AND($A588&lt;&gt;"",COUNTIF($A$7:$A$1006,$A588)&gt;1),1,0)</f>
        <v>0</v>
      </c>
    </row>
    <row r="589" customFormat="false" ht="15" hidden="false" customHeight="false" outlineLevel="0" collapsed="false">
      <c r="A589" s="71"/>
      <c r="B589" s="72"/>
      <c r="C589" s="73"/>
      <c r="D589" s="73"/>
      <c r="E589" s="74"/>
      <c r="F589" s="74"/>
      <c r="G589" s="72"/>
      <c r="H589" s="74"/>
      <c r="I589" s="72"/>
      <c r="J589" s="73"/>
      <c r="K589" s="73"/>
      <c r="L589" s="75" t="str">
        <f aca="false">IF(OR($A589&lt;&gt;"",$E589&lt;&gt;""),N($F589)+N($H589),"")</f>
        <v/>
      </c>
      <c r="M589" s="76" t="str">
        <f aca="false">IF(OR($O589="",$O589="Cancelled",$O589="Amount missing"),"",IF($O589="Realised",0,$E589-N($F589)-N($H589)))</f>
        <v/>
      </c>
      <c r="N589" s="77" t="str">
        <f aca="false">IF(OR($M589="",FX=""),"",$M589*FX)</f>
        <v/>
      </c>
      <c r="O589" s="78" t="str">
        <f aca="false">IF(NOT(OR($A589&lt;&gt;"",$E589&lt;&gt;"")),"",IF($J589="Cancelled","Cancelled",IF($E589="","Amount missing",IF(OR($J589="Settled",$E589-N($F589)-N($H589)&lt;=0.005),"Realised",IF(N($H589)&gt;0,"Part realised",IF(N($F589)&gt;0,"Advance received","On hand"))))))</f>
        <v/>
      </c>
      <c r="P589" s="79" t="str">
        <f aca="false">IF(AND($V589=1,ISNUMBER($B589)),AsAt-$B589,"")</f>
        <v/>
      </c>
      <c r="Q589" s="78" t="str">
        <f aca="false">IF($V589&lt;&gt;1,"",IF($P589="","No invoice date",IF($P589&lt;=30,"0–30 days",IF($P589&lt;=60,"31–60 days",IF($P589&lt;=90,"61–90 days","Over 90 days")))))</f>
        <v/>
      </c>
      <c r="R589" s="80" t="str">
        <f aca="false">IF($V589=1,ROW(),"")</f>
        <v/>
      </c>
      <c r="S589" s="80" t="str">
        <f aca="false">IF(OR($A589&lt;&gt;"",$E589&lt;&gt;""),IF(TRIM($D589)="","Buyer not noted",TRIM($D589)),"")</f>
        <v/>
      </c>
      <c r="T589" s="80" t="n">
        <f aca="false">IF(AND($V589=1,ISNUMBER($M589)),$M589,0)</f>
        <v>0</v>
      </c>
      <c r="U589" s="80" t="str">
        <f aca="false">IF($V589=1,IF(COUNTIFS($S$7:$S589,$S589,$V$7:$V589,1)=1,SUMIFS($T$7:$T$1006,$S$7:$S$1006,$S589)-ROW()/1000000000,""),"")</f>
        <v/>
      </c>
      <c r="V589" s="80" t="n">
        <f aca="false">IF(OR($O589="On hand",$O589="Advance received",$O589="Part realised",$O589="Amount missing"),1,0)</f>
        <v>0</v>
      </c>
      <c r="W589" s="80" t="str">
        <f aca="false">IF(AND($V589=1,N($F589)&gt;0),ROW(),"")</f>
        <v/>
      </c>
      <c r="X589" s="80" t="n">
        <f aca="false">IF(AND(OR($A589&lt;&gt;"",$E589&lt;&gt;""),$O589&lt;&gt;"Cancelled",ISNUMBER($E589),N($F589)+N($H589)&gt;$E589+0.005),1,0)</f>
        <v>0</v>
      </c>
      <c r="Y589" s="80" t="n">
        <f aca="false">IF(AND(OR($A589&lt;&gt;"",$E589&lt;&gt;""),OR($A589="",$E589="")),1,0)</f>
        <v>0</v>
      </c>
      <c r="Z589" s="80" t="n">
        <f aca="false">IF(AND($A589&lt;&gt;"",COUNTIF($A$7:$A$1006,$A589)&gt;1),1,0)</f>
        <v>0</v>
      </c>
    </row>
    <row r="590" customFormat="false" ht="15" hidden="false" customHeight="false" outlineLevel="0" collapsed="false">
      <c r="A590" s="71"/>
      <c r="B590" s="72"/>
      <c r="C590" s="73"/>
      <c r="D590" s="73"/>
      <c r="E590" s="74"/>
      <c r="F590" s="74"/>
      <c r="G590" s="72"/>
      <c r="H590" s="74"/>
      <c r="I590" s="72"/>
      <c r="J590" s="73"/>
      <c r="K590" s="73"/>
      <c r="L590" s="75" t="str">
        <f aca="false">IF(OR($A590&lt;&gt;"",$E590&lt;&gt;""),N($F590)+N($H590),"")</f>
        <v/>
      </c>
      <c r="M590" s="76" t="str">
        <f aca="false">IF(OR($O590="",$O590="Cancelled",$O590="Amount missing"),"",IF($O590="Realised",0,$E590-N($F590)-N($H590)))</f>
        <v/>
      </c>
      <c r="N590" s="77" t="str">
        <f aca="false">IF(OR($M590="",FX=""),"",$M590*FX)</f>
        <v/>
      </c>
      <c r="O590" s="78" t="str">
        <f aca="false">IF(NOT(OR($A590&lt;&gt;"",$E590&lt;&gt;"")),"",IF($J590="Cancelled","Cancelled",IF($E590="","Amount missing",IF(OR($J590="Settled",$E590-N($F590)-N($H590)&lt;=0.005),"Realised",IF(N($H590)&gt;0,"Part realised",IF(N($F590)&gt;0,"Advance received","On hand"))))))</f>
        <v/>
      </c>
      <c r="P590" s="79" t="str">
        <f aca="false">IF(AND($V590=1,ISNUMBER($B590)),AsAt-$B590,"")</f>
        <v/>
      </c>
      <c r="Q590" s="78" t="str">
        <f aca="false">IF($V590&lt;&gt;1,"",IF($P590="","No invoice date",IF($P590&lt;=30,"0–30 days",IF($P590&lt;=60,"31–60 days",IF($P590&lt;=90,"61–90 days","Over 90 days")))))</f>
        <v/>
      </c>
      <c r="R590" s="80" t="str">
        <f aca="false">IF($V590=1,ROW(),"")</f>
        <v/>
      </c>
      <c r="S590" s="80" t="str">
        <f aca="false">IF(OR($A590&lt;&gt;"",$E590&lt;&gt;""),IF(TRIM($D590)="","Buyer not noted",TRIM($D590)),"")</f>
        <v/>
      </c>
      <c r="T590" s="80" t="n">
        <f aca="false">IF(AND($V590=1,ISNUMBER($M590)),$M590,0)</f>
        <v>0</v>
      </c>
      <c r="U590" s="80" t="str">
        <f aca="false">IF($V590=1,IF(COUNTIFS($S$7:$S590,$S590,$V$7:$V590,1)=1,SUMIFS($T$7:$T$1006,$S$7:$S$1006,$S590)-ROW()/1000000000,""),"")</f>
        <v/>
      </c>
      <c r="V590" s="80" t="n">
        <f aca="false">IF(OR($O590="On hand",$O590="Advance received",$O590="Part realised",$O590="Amount missing"),1,0)</f>
        <v>0</v>
      </c>
      <c r="W590" s="80" t="str">
        <f aca="false">IF(AND($V590=1,N($F590)&gt;0),ROW(),"")</f>
        <v/>
      </c>
      <c r="X590" s="80" t="n">
        <f aca="false">IF(AND(OR($A590&lt;&gt;"",$E590&lt;&gt;""),$O590&lt;&gt;"Cancelled",ISNUMBER($E590),N($F590)+N($H590)&gt;$E590+0.005),1,0)</f>
        <v>0</v>
      </c>
      <c r="Y590" s="80" t="n">
        <f aca="false">IF(AND(OR($A590&lt;&gt;"",$E590&lt;&gt;""),OR($A590="",$E590="")),1,0)</f>
        <v>0</v>
      </c>
      <c r="Z590" s="80" t="n">
        <f aca="false">IF(AND($A590&lt;&gt;"",COUNTIF($A$7:$A$1006,$A590)&gt;1),1,0)</f>
        <v>0</v>
      </c>
    </row>
    <row r="591" customFormat="false" ht="15" hidden="false" customHeight="false" outlineLevel="0" collapsed="false">
      <c r="A591" s="71"/>
      <c r="B591" s="72"/>
      <c r="C591" s="73"/>
      <c r="D591" s="73"/>
      <c r="E591" s="74"/>
      <c r="F591" s="74"/>
      <c r="G591" s="72"/>
      <c r="H591" s="74"/>
      <c r="I591" s="72"/>
      <c r="J591" s="73"/>
      <c r="K591" s="73"/>
      <c r="L591" s="75" t="str">
        <f aca="false">IF(OR($A591&lt;&gt;"",$E591&lt;&gt;""),N($F591)+N($H591),"")</f>
        <v/>
      </c>
      <c r="M591" s="76" t="str">
        <f aca="false">IF(OR($O591="",$O591="Cancelled",$O591="Amount missing"),"",IF($O591="Realised",0,$E591-N($F591)-N($H591)))</f>
        <v/>
      </c>
      <c r="N591" s="77" t="str">
        <f aca="false">IF(OR($M591="",FX=""),"",$M591*FX)</f>
        <v/>
      </c>
      <c r="O591" s="78" t="str">
        <f aca="false">IF(NOT(OR($A591&lt;&gt;"",$E591&lt;&gt;"")),"",IF($J591="Cancelled","Cancelled",IF($E591="","Amount missing",IF(OR($J591="Settled",$E591-N($F591)-N($H591)&lt;=0.005),"Realised",IF(N($H591)&gt;0,"Part realised",IF(N($F591)&gt;0,"Advance received","On hand"))))))</f>
        <v/>
      </c>
      <c r="P591" s="79" t="str">
        <f aca="false">IF(AND($V591=1,ISNUMBER($B591)),AsAt-$B591,"")</f>
        <v/>
      </c>
      <c r="Q591" s="78" t="str">
        <f aca="false">IF($V591&lt;&gt;1,"",IF($P591="","No invoice date",IF($P591&lt;=30,"0–30 days",IF($P591&lt;=60,"31–60 days",IF($P591&lt;=90,"61–90 days","Over 90 days")))))</f>
        <v/>
      </c>
      <c r="R591" s="80" t="str">
        <f aca="false">IF($V591=1,ROW(),"")</f>
        <v/>
      </c>
      <c r="S591" s="80" t="str">
        <f aca="false">IF(OR($A591&lt;&gt;"",$E591&lt;&gt;""),IF(TRIM($D591)="","Buyer not noted",TRIM($D591)),"")</f>
        <v/>
      </c>
      <c r="T591" s="80" t="n">
        <f aca="false">IF(AND($V591=1,ISNUMBER($M591)),$M591,0)</f>
        <v>0</v>
      </c>
      <c r="U591" s="80" t="str">
        <f aca="false">IF($V591=1,IF(COUNTIFS($S$7:$S591,$S591,$V$7:$V591,1)=1,SUMIFS($T$7:$T$1006,$S$7:$S$1006,$S591)-ROW()/1000000000,""),"")</f>
        <v/>
      </c>
      <c r="V591" s="80" t="n">
        <f aca="false">IF(OR($O591="On hand",$O591="Advance received",$O591="Part realised",$O591="Amount missing"),1,0)</f>
        <v>0</v>
      </c>
      <c r="W591" s="80" t="str">
        <f aca="false">IF(AND($V591=1,N($F591)&gt;0),ROW(),"")</f>
        <v/>
      </c>
      <c r="X591" s="80" t="n">
        <f aca="false">IF(AND(OR($A591&lt;&gt;"",$E591&lt;&gt;""),$O591&lt;&gt;"Cancelled",ISNUMBER($E591),N($F591)+N($H591)&gt;$E591+0.005),1,0)</f>
        <v>0</v>
      </c>
      <c r="Y591" s="80" t="n">
        <f aca="false">IF(AND(OR($A591&lt;&gt;"",$E591&lt;&gt;""),OR($A591="",$E591="")),1,0)</f>
        <v>0</v>
      </c>
      <c r="Z591" s="80" t="n">
        <f aca="false">IF(AND($A591&lt;&gt;"",COUNTIF($A$7:$A$1006,$A591)&gt;1),1,0)</f>
        <v>0</v>
      </c>
    </row>
    <row r="592" customFormat="false" ht="15" hidden="false" customHeight="false" outlineLevel="0" collapsed="false">
      <c r="A592" s="71"/>
      <c r="B592" s="72"/>
      <c r="C592" s="73"/>
      <c r="D592" s="73"/>
      <c r="E592" s="74"/>
      <c r="F592" s="74"/>
      <c r="G592" s="72"/>
      <c r="H592" s="74"/>
      <c r="I592" s="72"/>
      <c r="J592" s="73"/>
      <c r="K592" s="73"/>
      <c r="L592" s="75" t="str">
        <f aca="false">IF(OR($A592&lt;&gt;"",$E592&lt;&gt;""),N($F592)+N($H592),"")</f>
        <v/>
      </c>
      <c r="M592" s="76" t="str">
        <f aca="false">IF(OR($O592="",$O592="Cancelled",$O592="Amount missing"),"",IF($O592="Realised",0,$E592-N($F592)-N($H592)))</f>
        <v/>
      </c>
      <c r="N592" s="77" t="str">
        <f aca="false">IF(OR($M592="",FX=""),"",$M592*FX)</f>
        <v/>
      </c>
      <c r="O592" s="78" t="str">
        <f aca="false">IF(NOT(OR($A592&lt;&gt;"",$E592&lt;&gt;"")),"",IF($J592="Cancelled","Cancelled",IF($E592="","Amount missing",IF(OR($J592="Settled",$E592-N($F592)-N($H592)&lt;=0.005),"Realised",IF(N($H592)&gt;0,"Part realised",IF(N($F592)&gt;0,"Advance received","On hand"))))))</f>
        <v/>
      </c>
      <c r="P592" s="79" t="str">
        <f aca="false">IF(AND($V592=1,ISNUMBER($B592)),AsAt-$B592,"")</f>
        <v/>
      </c>
      <c r="Q592" s="78" t="str">
        <f aca="false">IF($V592&lt;&gt;1,"",IF($P592="","No invoice date",IF($P592&lt;=30,"0–30 days",IF($P592&lt;=60,"31–60 days",IF($P592&lt;=90,"61–90 days","Over 90 days")))))</f>
        <v/>
      </c>
      <c r="R592" s="80" t="str">
        <f aca="false">IF($V592=1,ROW(),"")</f>
        <v/>
      </c>
      <c r="S592" s="80" t="str">
        <f aca="false">IF(OR($A592&lt;&gt;"",$E592&lt;&gt;""),IF(TRIM($D592)="","Buyer not noted",TRIM($D592)),"")</f>
        <v/>
      </c>
      <c r="T592" s="80" t="n">
        <f aca="false">IF(AND($V592=1,ISNUMBER($M592)),$M592,0)</f>
        <v>0</v>
      </c>
      <c r="U592" s="80" t="str">
        <f aca="false">IF($V592=1,IF(COUNTIFS($S$7:$S592,$S592,$V$7:$V592,1)=1,SUMIFS($T$7:$T$1006,$S$7:$S$1006,$S592)-ROW()/1000000000,""),"")</f>
        <v/>
      </c>
      <c r="V592" s="80" t="n">
        <f aca="false">IF(OR($O592="On hand",$O592="Advance received",$O592="Part realised",$O592="Amount missing"),1,0)</f>
        <v>0</v>
      </c>
      <c r="W592" s="80" t="str">
        <f aca="false">IF(AND($V592=1,N($F592)&gt;0),ROW(),"")</f>
        <v/>
      </c>
      <c r="X592" s="80" t="n">
        <f aca="false">IF(AND(OR($A592&lt;&gt;"",$E592&lt;&gt;""),$O592&lt;&gt;"Cancelled",ISNUMBER($E592),N($F592)+N($H592)&gt;$E592+0.005),1,0)</f>
        <v>0</v>
      </c>
      <c r="Y592" s="80" t="n">
        <f aca="false">IF(AND(OR($A592&lt;&gt;"",$E592&lt;&gt;""),OR($A592="",$E592="")),1,0)</f>
        <v>0</v>
      </c>
      <c r="Z592" s="80" t="n">
        <f aca="false">IF(AND($A592&lt;&gt;"",COUNTIF($A$7:$A$1006,$A592)&gt;1),1,0)</f>
        <v>0</v>
      </c>
    </row>
    <row r="593" customFormat="false" ht="15" hidden="false" customHeight="false" outlineLevel="0" collapsed="false">
      <c r="A593" s="71"/>
      <c r="B593" s="72"/>
      <c r="C593" s="73"/>
      <c r="D593" s="73"/>
      <c r="E593" s="74"/>
      <c r="F593" s="74"/>
      <c r="G593" s="72"/>
      <c r="H593" s="74"/>
      <c r="I593" s="72"/>
      <c r="J593" s="73"/>
      <c r="K593" s="73"/>
      <c r="L593" s="75" t="str">
        <f aca="false">IF(OR($A593&lt;&gt;"",$E593&lt;&gt;""),N($F593)+N($H593),"")</f>
        <v/>
      </c>
      <c r="M593" s="76" t="str">
        <f aca="false">IF(OR($O593="",$O593="Cancelled",$O593="Amount missing"),"",IF($O593="Realised",0,$E593-N($F593)-N($H593)))</f>
        <v/>
      </c>
      <c r="N593" s="77" t="str">
        <f aca="false">IF(OR($M593="",FX=""),"",$M593*FX)</f>
        <v/>
      </c>
      <c r="O593" s="78" t="str">
        <f aca="false">IF(NOT(OR($A593&lt;&gt;"",$E593&lt;&gt;"")),"",IF($J593="Cancelled","Cancelled",IF($E593="","Amount missing",IF(OR($J593="Settled",$E593-N($F593)-N($H593)&lt;=0.005),"Realised",IF(N($H593)&gt;0,"Part realised",IF(N($F593)&gt;0,"Advance received","On hand"))))))</f>
        <v/>
      </c>
      <c r="P593" s="79" t="str">
        <f aca="false">IF(AND($V593=1,ISNUMBER($B593)),AsAt-$B593,"")</f>
        <v/>
      </c>
      <c r="Q593" s="78" t="str">
        <f aca="false">IF($V593&lt;&gt;1,"",IF($P593="","No invoice date",IF($P593&lt;=30,"0–30 days",IF($P593&lt;=60,"31–60 days",IF($P593&lt;=90,"61–90 days","Over 90 days")))))</f>
        <v/>
      </c>
      <c r="R593" s="80" t="str">
        <f aca="false">IF($V593=1,ROW(),"")</f>
        <v/>
      </c>
      <c r="S593" s="80" t="str">
        <f aca="false">IF(OR($A593&lt;&gt;"",$E593&lt;&gt;""),IF(TRIM($D593)="","Buyer not noted",TRIM($D593)),"")</f>
        <v/>
      </c>
      <c r="T593" s="80" t="n">
        <f aca="false">IF(AND($V593=1,ISNUMBER($M593)),$M593,0)</f>
        <v>0</v>
      </c>
      <c r="U593" s="80" t="str">
        <f aca="false">IF($V593=1,IF(COUNTIFS($S$7:$S593,$S593,$V$7:$V593,1)=1,SUMIFS($T$7:$T$1006,$S$7:$S$1006,$S593)-ROW()/1000000000,""),"")</f>
        <v/>
      </c>
      <c r="V593" s="80" t="n">
        <f aca="false">IF(OR($O593="On hand",$O593="Advance received",$O593="Part realised",$O593="Amount missing"),1,0)</f>
        <v>0</v>
      </c>
      <c r="W593" s="80" t="str">
        <f aca="false">IF(AND($V593=1,N($F593)&gt;0),ROW(),"")</f>
        <v/>
      </c>
      <c r="X593" s="80" t="n">
        <f aca="false">IF(AND(OR($A593&lt;&gt;"",$E593&lt;&gt;""),$O593&lt;&gt;"Cancelled",ISNUMBER($E593),N($F593)+N($H593)&gt;$E593+0.005),1,0)</f>
        <v>0</v>
      </c>
      <c r="Y593" s="80" t="n">
        <f aca="false">IF(AND(OR($A593&lt;&gt;"",$E593&lt;&gt;""),OR($A593="",$E593="")),1,0)</f>
        <v>0</v>
      </c>
      <c r="Z593" s="80" t="n">
        <f aca="false">IF(AND($A593&lt;&gt;"",COUNTIF($A$7:$A$1006,$A593)&gt;1),1,0)</f>
        <v>0</v>
      </c>
    </row>
    <row r="594" customFormat="false" ht="15" hidden="false" customHeight="false" outlineLevel="0" collapsed="false">
      <c r="A594" s="71"/>
      <c r="B594" s="72"/>
      <c r="C594" s="73"/>
      <c r="D594" s="73"/>
      <c r="E594" s="74"/>
      <c r="F594" s="74"/>
      <c r="G594" s="72"/>
      <c r="H594" s="74"/>
      <c r="I594" s="72"/>
      <c r="J594" s="73"/>
      <c r="K594" s="73"/>
      <c r="L594" s="75" t="str">
        <f aca="false">IF(OR($A594&lt;&gt;"",$E594&lt;&gt;""),N($F594)+N($H594),"")</f>
        <v/>
      </c>
      <c r="M594" s="76" t="str">
        <f aca="false">IF(OR($O594="",$O594="Cancelled",$O594="Amount missing"),"",IF($O594="Realised",0,$E594-N($F594)-N($H594)))</f>
        <v/>
      </c>
      <c r="N594" s="77" t="str">
        <f aca="false">IF(OR($M594="",FX=""),"",$M594*FX)</f>
        <v/>
      </c>
      <c r="O594" s="78" t="str">
        <f aca="false">IF(NOT(OR($A594&lt;&gt;"",$E594&lt;&gt;"")),"",IF($J594="Cancelled","Cancelled",IF($E594="","Amount missing",IF(OR($J594="Settled",$E594-N($F594)-N($H594)&lt;=0.005),"Realised",IF(N($H594)&gt;0,"Part realised",IF(N($F594)&gt;0,"Advance received","On hand"))))))</f>
        <v/>
      </c>
      <c r="P594" s="79" t="str">
        <f aca="false">IF(AND($V594=1,ISNUMBER($B594)),AsAt-$B594,"")</f>
        <v/>
      </c>
      <c r="Q594" s="78" t="str">
        <f aca="false">IF($V594&lt;&gt;1,"",IF($P594="","No invoice date",IF($P594&lt;=30,"0–30 days",IF($P594&lt;=60,"31–60 days",IF($P594&lt;=90,"61–90 days","Over 90 days")))))</f>
        <v/>
      </c>
      <c r="R594" s="80" t="str">
        <f aca="false">IF($V594=1,ROW(),"")</f>
        <v/>
      </c>
      <c r="S594" s="80" t="str">
        <f aca="false">IF(OR($A594&lt;&gt;"",$E594&lt;&gt;""),IF(TRIM($D594)="","Buyer not noted",TRIM($D594)),"")</f>
        <v/>
      </c>
      <c r="T594" s="80" t="n">
        <f aca="false">IF(AND($V594=1,ISNUMBER($M594)),$M594,0)</f>
        <v>0</v>
      </c>
      <c r="U594" s="80" t="str">
        <f aca="false">IF($V594=1,IF(COUNTIFS($S$7:$S594,$S594,$V$7:$V594,1)=1,SUMIFS($T$7:$T$1006,$S$7:$S$1006,$S594)-ROW()/1000000000,""),"")</f>
        <v/>
      </c>
      <c r="V594" s="80" t="n">
        <f aca="false">IF(OR($O594="On hand",$O594="Advance received",$O594="Part realised",$O594="Amount missing"),1,0)</f>
        <v>0</v>
      </c>
      <c r="W594" s="80" t="str">
        <f aca="false">IF(AND($V594=1,N($F594)&gt;0),ROW(),"")</f>
        <v/>
      </c>
      <c r="X594" s="80" t="n">
        <f aca="false">IF(AND(OR($A594&lt;&gt;"",$E594&lt;&gt;""),$O594&lt;&gt;"Cancelled",ISNUMBER($E594),N($F594)+N($H594)&gt;$E594+0.005),1,0)</f>
        <v>0</v>
      </c>
      <c r="Y594" s="80" t="n">
        <f aca="false">IF(AND(OR($A594&lt;&gt;"",$E594&lt;&gt;""),OR($A594="",$E594="")),1,0)</f>
        <v>0</v>
      </c>
      <c r="Z594" s="80" t="n">
        <f aca="false">IF(AND($A594&lt;&gt;"",COUNTIF($A$7:$A$1006,$A594)&gt;1),1,0)</f>
        <v>0</v>
      </c>
    </row>
    <row r="595" customFormat="false" ht="15" hidden="false" customHeight="false" outlineLevel="0" collapsed="false">
      <c r="A595" s="71"/>
      <c r="B595" s="72"/>
      <c r="C595" s="73"/>
      <c r="D595" s="73"/>
      <c r="E595" s="74"/>
      <c r="F595" s="74"/>
      <c r="G595" s="72"/>
      <c r="H595" s="74"/>
      <c r="I595" s="72"/>
      <c r="J595" s="73"/>
      <c r="K595" s="73"/>
      <c r="L595" s="75" t="str">
        <f aca="false">IF(OR($A595&lt;&gt;"",$E595&lt;&gt;""),N($F595)+N($H595),"")</f>
        <v/>
      </c>
      <c r="M595" s="76" t="str">
        <f aca="false">IF(OR($O595="",$O595="Cancelled",$O595="Amount missing"),"",IF($O595="Realised",0,$E595-N($F595)-N($H595)))</f>
        <v/>
      </c>
      <c r="N595" s="77" t="str">
        <f aca="false">IF(OR($M595="",FX=""),"",$M595*FX)</f>
        <v/>
      </c>
      <c r="O595" s="78" t="str">
        <f aca="false">IF(NOT(OR($A595&lt;&gt;"",$E595&lt;&gt;"")),"",IF($J595="Cancelled","Cancelled",IF($E595="","Amount missing",IF(OR($J595="Settled",$E595-N($F595)-N($H595)&lt;=0.005),"Realised",IF(N($H595)&gt;0,"Part realised",IF(N($F595)&gt;0,"Advance received","On hand"))))))</f>
        <v/>
      </c>
      <c r="P595" s="79" t="str">
        <f aca="false">IF(AND($V595=1,ISNUMBER($B595)),AsAt-$B595,"")</f>
        <v/>
      </c>
      <c r="Q595" s="78" t="str">
        <f aca="false">IF($V595&lt;&gt;1,"",IF($P595="","No invoice date",IF($P595&lt;=30,"0–30 days",IF($P595&lt;=60,"31–60 days",IF($P595&lt;=90,"61–90 days","Over 90 days")))))</f>
        <v/>
      </c>
      <c r="R595" s="80" t="str">
        <f aca="false">IF($V595=1,ROW(),"")</f>
        <v/>
      </c>
      <c r="S595" s="80" t="str">
        <f aca="false">IF(OR($A595&lt;&gt;"",$E595&lt;&gt;""),IF(TRIM($D595)="","Buyer not noted",TRIM($D595)),"")</f>
        <v/>
      </c>
      <c r="T595" s="80" t="n">
        <f aca="false">IF(AND($V595=1,ISNUMBER($M595)),$M595,0)</f>
        <v>0</v>
      </c>
      <c r="U595" s="80" t="str">
        <f aca="false">IF($V595=1,IF(COUNTIFS($S$7:$S595,$S595,$V$7:$V595,1)=1,SUMIFS($T$7:$T$1006,$S$7:$S$1006,$S595)-ROW()/1000000000,""),"")</f>
        <v/>
      </c>
      <c r="V595" s="80" t="n">
        <f aca="false">IF(OR($O595="On hand",$O595="Advance received",$O595="Part realised",$O595="Amount missing"),1,0)</f>
        <v>0</v>
      </c>
      <c r="W595" s="80" t="str">
        <f aca="false">IF(AND($V595=1,N($F595)&gt;0),ROW(),"")</f>
        <v/>
      </c>
      <c r="X595" s="80" t="n">
        <f aca="false">IF(AND(OR($A595&lt;&gt;"",$E595&lt;&gt;""),$O595&lt;&gt;"Cancelled",ISNUMBER($E595),N($F595)+N($H595)&gt;$E595+0.005),1,0)</f>
        <v>0</v>
      </c>
      <c r="Y595" s="80" t="n">
        <f aca="false">IF(AND(OR($A595&lt;&gt;"",$E595&lt;&gt;""),OR($A595="",$E595="")),1,0)</f>
        <v>0</v>
      </c>
      <c r="Z595" s="80" t="n">
        <f aca="false">IF(AND($A595&lt;&gt;"",COUNTIF($A$7:$A$1006,$A595)&gt;1),1,0)</f>
        <v>0</v>
      </c>
    </row>
    <row r="596" customFormat="false" ht="15" hidden="false" customHeight="false" outlineLevel="0" collapsed="false">
      <c r="A596" s="71"/>
      <c r="B596" s="72"/>
      <c r="C596" s="73"/>
      <c r="D596" s="73"/>
      <c r="E596" s="74"/>
      <c r="F596" s="74"/>
      <c r="G596" s="72"/>
      <c r="H596" s="74"/>
      <c r="I596" s="72"/>
      <c r="J596" s="73"/>
      <c r="K596" s="73"/>
      <c r="L596" s="75" t="str">
        <f aca="false">IF(OR($A596&lt;&gt;"",$E596&lt;&gt;""),N($F596)+N($H596),"")</f>
        <v/>
      </c>
      <c r="M596" s="76" t="str">
        <f aca="false">IF(OR($O596="",$O596="Cancelled",$O596="Amount missing"),"",IF($O596="Realised",0,$E596-N($F596)-N($H596)))</f>
        <v/>
      </c>
      <c r="N596" s="77" t="str">
        <f aca="false">IF(OR($M596="",FX=""),"",$M596*FX)</f>
        <v/>
      </c>
      <c r="O596" s="78" t="str">
        <f aca="false">IF(NOT(OR($A596&lt;&gt;"",$E596&lt;&gt;"")),"",IF($J596="Cancelled","Cancelled",IF($E596="","Amount missing",IF(OR($J596="Settled",$E596-N($F596)-N($H596)&lt;=0.005),"Realised",IF(N($H596)&gt;0,"Part realised",IF(N($F596)&gt;0,"Advance received","On hand"))))))</f>
        <v/>
      </c>
      <c r="P596" s="79" t="str">
        <f aca="false">IF(AND($V596=1,ISNUMBER($B596)),AsAt-$B596,"")</f>
        <v/>
      </c>
      <c r="Q596" s="78" t="str">
        <f aca="false">IF($V596&lt;&gt;1,"",IF($P596="","No invoice date",IF($P596&lt;=30,"0–30 days",IF($P596&lt;=60,"31–60 days",IF($P596&lt;=90,"61–90 days","Over 90 days")))))</f>
        <v/>
      </c>
      <c r="R596" s="80" t="str">
        <f aca="false">IF($V596=1,ROW(),"")</f>
        <v/>
      </c>
      <c r="S596" s="80" t="str">
        <f aca="false">IF(OR($A596&lt;&gt;"",$E596&lt;&gt;""),IF(TRIM($D596)="","Buyer not noted",TRIM($D596)),"")</f>
        <v/>
      </c>
      <c r="T596" s="80" t="n">
        <f aca="false">IF(AND($V596=1,ISNUMBER($M596)),$M596,0)</f>
        <v>0</v>
      </c>
      <c r="U596" s="80" t="str">
        <f aca="false">IF($V596=1,IF(COUNTIFS($S$7:$S596,$S596,$V$7:$V596,1)=1,SUMIFS($T$7:$T$1006,$S$7:$S$1006,$S596)-ROW()/1000000000,""),"")</f>
        <v/>
      </c>
      <c r="V596" s="80" t="n">
        <f aca="false">IF(OR($O596="On hand",$O596="Advance received",$O596="Part realised",$O596="Amount missing"),1,0)</f>
        <v>0</v>
      </c>
      <c r="W596" s="80" t="str">
        <f aca="false">IF(AND($V596=1,N($F596)&gt;0),ROW(),"")</f>
        <v/>
      </c>
      <c r="X596" s="80" t="n">
        <f aca="false">IF(AND(OR($A596&lt;&gt;"",$E596&lt;&gt;""),$O596&lt;&gt;"Cancelled",ISNUMBER($E596),N($F596)+N($H596)&gt;$E596+0.005),1,0)</f>
        <v>0</v>
      </c>
      <c r="Y596" s="80" t="n">
        <f aca="false">IF(AND(OR($A596&lt;&gt;"",$E596&lt;&gt;""),OR($A596="",$E596="")),1,0)</f>
        <v>0</v>
      </c>
      <c r="Z596" s="80" t="n">
        <f aca="false">IF(AND($A596&lt;&gt;"",COUNTIF($A$7:$A$1006,$A596)&gt;1),1,0)</f>
        <v>0</v>
      </c>
    </row>
    <row r="597" customFormat="false" ht="15" hidden="false" customHeight="false" outlineLevel="0" collapsed="false">
      <c r="A597" s="71"/>
      <c r="B597" s="72"/>
      <c r="C597" s="73"/>
      <c r="D597" s="73"/>
      <c r="E597" s="74"/>
      <c r="F597" s="74"/>
      <c r="G597" s="72"/>
      <c r="H597" s="74"/>
      <c r="I597" s="72"/>
      <c r="J597" s="73"/>
      <c r="K597" s="73"/>
      <c r="L597" s="75" t="str">
        <f aca="false">IF(OR($A597&lt;&gt;"",$E597&lt;&gt;""),N($F597)+N($H597),"")</f>
        <v/>
      </c>
      <c r="M597" s="76" t="str">
        <f aca="false">IF(OR($O597="",$O597="Cancelled",$O597="Amount missing"),"",IF($O597="Realised",0,$E597-N($F597)-N($H597)))</f>
        <v/>
      </c>
      <c r="N597" s="77" t="str">
        <f aca="false">IF(OR($M597="",FX=""),"",$M597*FX)</f>
        <v/>
      </c>
      <c r="O597" s="78" t="str">
        <f aca="false">IF(NOT(OR($A597&lt;&gt;"",$E597&lt;&gt;"")),"",IF($J597="Cancelled","Cancelled",IF($E597="","Amount missing",IF(OR($J597="Settled",$E597-N($F597)-N($H597)&lt;=0.005),"Realised",IF(N($H597)&gt;0,"Part realised",IF(N($F597)&gt;0,"Advance received","On hand"))))))</f>
        <v/>
      </c>
      <c r="P597" s="79" t="str">
        <f aca="false">IF(AND($V597=1,ISNUMBER($B597)),AsAt-$B597,"")</f>
        <v/>
      </c>
      <c r="Q597" s="78" t="str">
        <f aca="false">IF($V597&lt;&gt;1,"",IF($P597="","No invoice date",IF($P597&lt;=30,"0–30 days",IF($P597&lt;=60,"31–60 days",IF($P597&lt;=90,"61–90 days","Over 90 days")))))</f>
        <v/>
      </c>
      <c r="R597" s="80" t="str">
        <f aca="false">IF($V597=1,ROW(),"")</f>
        <v/>
      </c>
      <c r="S597" s="80" t="str">
        <f aca="false">IF(OR($A597&lt;&gt;"",$E597&lt;&gt;""),IF(TRIM($D597)="","Buyer not noted",TRIM($D597)),"")</f>
        <v/>
      </c>
      <c r="T597" s="80" t="n">
        <f aca="false">IF(AND($V597=1,ISNUMBER($M597)),$M597,0)</f>
        <v>0</v>
      </c>
      <c r="U597" s="80" t="str">
        <f aca="false">IF($V597=1,IF(COUNTIFS($S$7:$S597,$S597,$V$7:$V597,1)=1,SUMIFS($T$7:$T$1006,$S$7:$S$1006,$S597)-ROW()/1000000000,""),"")</f>
        <v/>
      </c>
      <c r="V597" s="80" t="n">
        <f aca="false">IF(OR($O597="On hand",$O597="Advance received",$O597="Part realised",$O597="Amount missing"),1,0)</f>
        <v>0</v>
      </c>
      <c r="W597" s="80" t="str">
        <f aca="false">IF(AND($V597=1,N($F597)&gt;0),ROW(),"")</f>
        <v/>
      </c>
      <c r="X597" s="80" t="n">
        <f aca="false">IF(AND(OR($A597&lt;&gt;"",$E597&lt;&gt;""),$O597&lt;&gt;"Cancelled",ISNUMBER($E597),N($F597)+N($H597)&gt;$E597+0.005),1,0)</f>
        <v>0</v>
      </c>
      <c r="Y597" s="80" t="n">
        <f aca="false">IF(AND(OR($A597&lt;&gt;"",$E597&lt;&gt;""),OR($A597="",$E597="")),1,0)</f>
        <v>0</v>
      </c>
      <c r="Z597" s="80" t="n">
        <f aca="false">IF(AND($A597&lt;&gt;"",COUNTIF($A$7:$A$1006,$A597)&gt;1),1,0)</f>
        <v>0</v>
      </c>
    </row>
    <row r="598" customFormat="false" ht="15" hidden="false" customHeight="false" outlineLevel="0" collapsed="false">
      <c r="A598" s="71"/>
      <c r="B598" s="72"/>
      <c r="C598" s="73"/>
      <c r="D598" s="73"/>
      <c r="E598" s="74"/>
      <c r="F598" s="74"/>
      <c r="G598" s="72"/>
      <c r="H598" s="74"/>
      <c r="I598" s="72"/>
      <c r="J598" s="73"/>
      <c r="K598" s="73"/>
      <c r="L598" s="75" t="str">
        <f aca="false">IF(OR($A598&lt;&gt;"",$E598&lt;&gt;""),N($F598)+N($H598),"")</f>
        <v/>
      </c>
      <c r="M598" s="76" t="str">
        <f aca="false">IF(OR($O598="",$O598="Cancelled",$O598="Amount missing"),"",IF($O598="Realised",0,$E598-N($F598)-N($H598)))</f>
        <v/>
      </c>
      <c r="N598" s="77" t="str">
        <f aca="false">IF(OR($M598="",FX=""),"",$M598*FX)</f>
        <v/>
      </c>
      <c r="O598" s="78" t="str">
        <f aca="false">IF(NOT(OR($A598&lt;&gt;"",$E598&lt;&gt;"")),"",IF($J598="Cancelled","Cancelled",IF($E598="","Amount missing",IF(OR($J598="Settled",$E598-N($F598)-N($H598)&lt;=0.005),"Realised",IF(N($H598)&gt;0,"Part realised",IF(N($F598)&gt;0,"Advance received","On hand"))))))</f>
        <v/>
      </c>
      <c r="P598" s="79" t="str">
        <f aca="false">IF(AND($V598=1,ISNUMBER($B598)),AsAt-$B598,"")</f>
        <v/>
      </c>
      <c r="Q598" s="78" t="str">
        <f aca="false">IF($V598&lt;&gt;1,"",IF($P598="","No invoice date",IF($P598&lt;=30,"0–30 days",IF($P598&lt;=60,"31–60 days",IF($P598&lt;=90,"61–90 days","Over 90 days")))))</f>
        <v/>
      </c>
      <c r="R598" s="80" t="str">
        <f aca="false">IF($V598=1,ROW(),"")</f>
        <v/>
      </c>
      <c r="S598" s="80" t="str">
        <f aca="false">IF(OR($A598&lt;&gt;"",$E598&lt;&gt;""),IF(TRIM($D598)="","Buyer not noted",TRIM($D598)),"")</f>
        <v/>
      </c>
      <c r="T598" s="80" t="n">
        <f aca="false">IF(AND($V598=1,ISNUMBER($M598)),$M598,0)</f>
        <v>0</v>
      </c>
      <c r="U598" s="80" t="str">
        <f aca="false">IF($V598=1,IF(COUNTIFS($S$7:$S598,$S598,$V$7:$V598,1)=1,SUMIFS($T$7:$T$1006,$S$7:$S$1006,$S598)-ROW()/1000000000,""),"")</f>
        <v/>
      </c>
      <c r="V598" s="80" t="n">
        <f aca="false">IF(OR($O598="On hand",$O598="Advance received",$O598="Part realised",$O598="Amount missing"),1,0)</f>
        <v>0</v>
      </c>
      <c r="W598" s="80" t="str">
        <f aca="false">IF(AND($V598=1,N($F598)&gt;0),ROW(),"")</f>
        <v/>
      </c>
      <c r="X598" s="80" t="n">
        <f aca="false">IF(AND(OR($A598&lt;&gt;"",$E598&lt;&gt;""),$O598&lt;&gt;"Cancelled",ISNUMBER($E598),N($F598)+N($H598)&gt;$E598+0.005),1,0)</f>
        <v>0</v>
      </c>
      <c r="Y598" s="80" t="n">
        <f aca="false">IF(AND(OR($A598&lt;&gt;"",$E598&lt;&gt;""),OR($A598="",$E598="")),1,0)</f>
        <v>0</v>
      </c>
      <c r="Z598" s="80" t="n">
        <f aca="false">IF(AND($A598&lt;&gt;"",COUNTIF($A$7:$A$1006,$A598)&gt;1),1,0)</f>
        <v>0</v>
      </c>
    </row>
    <row r="599" customFormat="false" ht="15" hidden="false" customHeight="false" outlineLevel="0" collapsed="false">
      <c r="A599" s="71"/>
      <c r="B599" s="72"/>
      <c r="C599" s="73"/>
      <c r="D599" s="73"/>
      <c r="E599" s="74"/>
      <c r="F599" s="74"/>
      <c r="G599" s="72"/>
      <c r="H599" s="74"/>
      <c r="I599" s="72"/>
      <c r="J599" s="73"/>
      <c r="K599" s="73"/>
      <c r="L599" s="75" t="str">
        <f aca="false">IF(OR($A599&lt;&gt;"",$E599&lt;&gt;""),N($F599)+N($H599),"")</f>
        <v/>
      </c>
      <c r="M599" s="76" t="str">
        <f aca="false">IF(OR($O599="",$O599="Cancelled",$O599="Amount missing"),"",IF($O599="Realised",0,$E599-N($F599)-N($H599)))</f>
        <v/>
      </c>
      <c r="N599" s="77" t="str">
        <f aca="false">IF(OR($M599="",FX=""),"",$M599*FX)</f>
        <v/>
      </c>
      <c r="O599" s="78" t="str">
        <f aca="false">IF(NOT(OR($A599&lt;&gt;"",$E599&lt;&gt;"")),"",IF($J599="Cancelled","Cancelled",IF($E599="","Amount missing",IF(OR($J599="Settled",$E599-N($F599)-N($H599)&lt;=0.005),"Realised",IF(N($H599)&gt;0,"Part realised",IF(N($F599)&gt;0,"Advance received","On hand"))))))</f>
        <v/>
      </c>
      <c r="P599" s="79" t="str">
        <f aca="false">IF(AND($V599=1,ISNUMBER($B599)),AsAt-$B599,"")</f>
        <v/>
      </c>
      <c r="Q599" s="78" t="str">
        <f aca="false">IF($V599&lt;&gt;1,"",IF($P599="","No invoice date",IF($P599&lt;=30,"0–30 days",IF($P599&lt;=60,"31–60 days",IF($P599&lt;=90,"61–90 days","Over 90 days")))))</f>
        <v/>
      </c>
      <c r="R599" s="80" t="str">
        <f aca="false">IF($V599=1,ROW(),"")</f>
        <v/>
      </c>
      <c r="S599" s="80" t="str">
        <f aca="false">IF(OR($A599&lt;&gt;"",$E599&lt;&gt;""),IF(TRIM($D599)="","Buyer not noted",TRIM($D599)),"")</f>
        <v/>
      </c>
      <c r="T599" s="80" t="n">
        <f aca="false">IF(AND($V599=1,ISNUMBER($M599)),$M599,0)</f>
        <v>0</v>
      </c>
      <c r="U599" s="80" t="str">
        <f aca="false">IF($V599=1,IF(COUNTIFS($S$7:$S599,$S599,$V$7:$V599,1)=1,SUMIFS($T$7:$T$1006,$S$7:$S$1006,$S599)-ROW()/1000000000,""),"")</f>
        <v/>
      </c>
      <c r="V599" s="80" t="n">
        <f aca="false">IF(OR($O599="On hand",$O599="Advance received",$O599="Part realised",$O599="Amount missing"),1,0)</f>
        <v>0</v>
      </c>
      <c r="W599" s="80" t="str">
        <f aca="false">IF(AND($V599=1,N($F599)&gt;0),ROW(),"")</f>
        <v/>
      </c>
      <c r="X599" s="80" t="n">
        <f aca="false">IF(AND(OR($A599&lt;&gt;"",$E599&lt;&gt;""),$O599&lt;&gt;"Cancelled",ISNUMBER($E599),N($F599)+N($H599)&gt;$E599+0.005),1,0)</f>
        <v>0</v>
      </c>
      <c r="Y599" s="80" t="n">
        <f aca="false">IF(AND(OR($A599&lt;&gt;"",$E599&lt;&gt;""),OR($A599="",$E599="")),1,0)</f>
        <v>0</v>
      </c>
      <c r="Z599" s="80" t="n">
        <f aca="false">IF(AND($A599&lt;&gt;"",COUNTIF($A$7:$A$1006,$A599)&gt;1),1,0)</f>
        <v>0</v>
      </c>
    </row>
    <row r="600" customFormat="false" ht="15" hidden="false" customHeight="false" outlineLevel="0" collapsed="false">
      <c r="A600" s="71"/>
      <c r="B600" s="72"/>
      <c r="C600" s="73"/>
      <c r="D600" s="73"/>
      <c r="E600" s="74"/>
      <c r="F600" s="74"/>
      <c r="G600" s="72"/>
      <c r="H600" s="74"/>
      <c r="I600" s="72"/>
      <c r="J600" s="73"/>
      <c r="K600" s="73"/>
      <c r="L600" s="75" t="str">
        <f aca="false">IF(OR($A600&lt;&gt;"",$E600&lt;&gt;""),N($F600)+N($H600),"")</f>
        <v/>
      </c>
      <c r="M600" s="76" t="str">
        <f aca="false">IF(OR($O600="",$O600="Cancelled",$O600="Amount missing"),"",IF($O600="Realised",0,$E600-N($F600)-N($H600)))</f>
        <v/>
      </c>
      <c r="N600" s="77" t="str">
        <f aca="false">IF(OR($M600="",FX=""),"",$M600*FX)</f>
        <v/>
      </c>
      <c r="O600" s="78" t="str">
        <f aca="false">IF(NOT(OR($A600&lt;&gt;"",$E600&lt;&gt;"")),"",IF($J600="Cancelled","Cancelled",IF($E600="","Amount missing",IF(OR($J600="Settled",$E600-N($F600)-N($H600)&lt;=0.005),"Realised",IF(N($H600)&gt;0,"Part realised",IF(N($F600)&gt;0,"Advance received","On hand"))))))</f>
        <v/>
      </c>
      <c r="P600" s="79" t="str">
        <f aca="false">IF(AND($V600=1,ISNUMBER($B600)),AsAt-$B600,"")</f>
        <v/>
      </c>
      <c r="Q600" s="78" t="str">
        <f aca="false">IF($V600&lt;&gt;1,"",IF($P600="","No invoice date",IF($P600&lt;=30,"0–30 days",IF($P600&lt;=60,"31–60 days",IF($P600&lt;=90,"61–90 days","Over 90 days")))))</f>
        <v/>
      </c>
      <c r="R600" s="80" t="str">
        <f aca="false">IF($V600=1,ROW(),"")</f>
        <v/>
      </c>
      <c r="S600" s="80" t="str">
        <f aca="false">IF(OR($A600&lt;&gt;"",$E600&lt;&gt;""),IF(TRIM($D600)="","Buyer not noted",TRIM($D600)),"")</f>
        <v/>
      </c>
      <c r="T600" s="80" t="n">
        <f aca="false">IF(AND($V600=1,ISNUMBER($M600)),$M600,0)</f>
        <v>0</v>
      </c>
      <c r="U600" s="80" t="str">
        <f aca="false">IF($V600=1,IF(COUNTIFS($S$7:$S600,$S600,$V$7:$V600,1)=1,SUMIFS($T$7:$T$1006,$S$7:$S$1006,$S600)-ROW()/1000000000,""),"")</f>
        <v/>
      </c>
      <c r="V600" s="80" t="n">
        <f aca="false">IF(OR($O600="On hand",$O600="Advance received",$O600="Part realised",$O600="Amount missing"),1,0)</f>
        <v>0</v>
      </c>
      <c r="W600" s="80" t="str">
        <f aca="false">IF(AND($V600=1,N($F600)&gt;0),ROW(),"")</f>
        <v/>
      </c>
      <c r="X600" s="80" t="n">
        <f aca="false">IF(AND(OR($A600&lt;&gt;"",$E600&lt;&gt;""),$O600&lt;&gt;"Cancelled",ISNUMBER($E600),N($F600)+N($H600)&gt;$E600+0.005),1,0)</f>
        <v>0</v>
      </c>
      <c r="Y600" s="80" t="n">
        <f aca="false">IF(AND(OR($A600&lt;&gt;"",$E600&lt;&gt;""),OR($A600="",$E600="")),1,0)</f>
        <v>0</v>
      </c>
      <c r="Z600" s="80" t="n">
        <f aca="false">IF(AND($A600&lt;&gt;"",COUNTIF($A$7:$A$1006,$A600)&gt;1),1,0)</f>
        <v>0</v>
      </c>
    </row>
    <row r="601" customFormat="false" ht="15" hidden="false" customHeight="false" outlineLevel="0" collapsed="false">
      <c r="A601" s="71"/>
      <c r="B601" s="72"/>
      <c r="C601" s="73"/>
      <c r="D601" s="73"/>
      <c r="E601" s="74"/>
      <c r="F601" s="74"/>
      <c r="G601" s="72"/>
      <c r="H601" s="74"/>
      <c r="I601" s="72"/>
      <c r="J601" s="73"/>
      <c r="K601" s="73"/>
      <c r="L601" s="75" t="str">
        <f aca="false">IF(OR($A601&lt;&gt;"",$E601&lt;&gt;""),N($F601)+N($H601),"")</f>
        <v/>
      </c>
      <c r="M601" s="76" t="str">
        <f aca="false">IF(OR($O601="",$O601="Cancelled",$O601="Amount missing"),"",IF($O601="Realised",0,$E601-N($F601)-N($H601)))</f>
        <v/>
      </c>
      <c r="N601" s="77" t="str">
        <f aca="false">IF(OR($M601="",FX=""),"",$M601*FX)</f>
        <v/>
      </c>
      <c r="O601" s="78" t="str">
        <f aca="false">IF(NOT(OR($A601&lt;&gt;"",$E601&lt;&gt;"")),"",IF($J601="Cancelled","Cancelled",IF($E601="","Amount missing",IF(OR($J601="Settled",$E601-N($F601)-N($H601)&lt;=0.005),"Realised",IF(N($H601)&gt;0,"Part realised",IF(N($F601)&gt;0,"Advance received","On hand"))))))</f>
        <v/>
      </c>
      <c r="P601" s="79" t="str">
        <f aca="false">IF(AND($V601=1,ISNUMBER($B601)),AsAt-$B601,"")</f>
        <v/>
      </c>
      <c r="Q601" s="78" t="str">
        <f aca="false">IF($V601&lt;&gt;1,"",IF($P601="","No invoice date",IF($P601&lt;=30,"0–30 days",IF($P601&lt;=60,"31–60 days",IF($P601&lt;=90,"61–90 days","Over 90 days")))))</f>
        <v/>
      </c>
      <c r="R601" s="80" t="str">
        <f aca="false">IF($V601=1,ROW(),"")</f>
        <v/>
      </c>
      <c r="S601" s="80" t="str">
        <f aca="false">IF(OR($A601&lt;&gt;"",$E601&lt;&gt;""),IF(TRIM($D601)="","Buyer not noted",TRIM($D601)),"")</f>
        <v/>
      </c>
      <c r="T601" s="80" t="n">
        <f aca="false">IF(AND($V601=1,ISNUMBER($M601)),$M601,0)</f>
        <v>0</v>
      </c>
      <c r="U601" s="80" t="str">
        <f aca="false">IF($V601=1,IF(COUNTIFS($S$7:$S601,$S601,$V$7:$V601,1)=1,SUMIFS($T$7:$T$1006,$S$7:$S$1006,$S601)-ROW()/1000000000,""),"")</f>
        <v/>
      </c>
      <c r="V601" s="80" t="n">
        <f aca="false">IF(OR($O601="On hand",$O601="Advance received",$O601="Part realised",$O601="Amount missing"),1,0)</f>
        <v>0</v>
      </c>
      <c r="W601" s="80" t="str">
        <f aca="false">IF(AND($V601=1,N($F601)&gt;0),ROW(),"")</f>
        <v/>
      </c>
      <c r="X601" s="80" t="n">
        <f aca="false">IF(AND(OR($A601&lt;&gt;"",$E601&lt;&gt;""),$O601&lt;&gt;"Cancelled",ISNUMBER($E601),N($F601)+N($H601)&gt;$E601+0.005),1,0)</f>
        <v>0</v>
      </c>
      <c r="Y601" s="80" t="n">
        <f aca="false">IF(AND(OR($A601&lt;&gt;"",$E601&lt;&gt;""),OR($A601="",$E601="")),1,0)</f>
        <v>0</v>
      </c>
      <c r="Z601" s="80" t="n">
        <f aca="false">IF(AND($A601&lt;&gt;"",COUNTIF($A$7:$A$1006,$A601)&gt;1),1,0)</f>
        <v>0</v>
      </c>
    </row>
    <row r="602" customFormat="false" ht="15" hidden="false" customHeight="false" outlineLevel="0" collapsed="false">
      <c r="A602" s="71"/>
      <c r="B602" s="72"/>
      <c r="C602" s="73"/>
      <c r="D602" s="73"/>
      <c r="E602" s="74"/>
      <c r="F602" s="74"/>
      <c r="G602" s="72"/>
      <c r="H602" s="74"/>
      <c r="I602" s="72"/>
      <c r="J602" s="73"/>
      <c r="K602" s="73"/>
      <c r="L602" s="75" t="str">
        <f aca="false">IF(OR($A602&lt;&gt;"",$E602&lt;&gt;""),N($F602)+N($H602),"")</f>
        <v/>
      </c>
      <c r="M602" s="76" t="str">
        <f aca="false">IF(OR($O602="",$O602="Cancelled",$O602="Amount missing"),"",IF($O602="Realised",0,$E602-N($F602)-N($H602)))</f>
        <v/>
      </c>
      <c r="N602" s="77" t="str">
        <f aca="false">IF(OR($M602="",FX=""),"",$M602*FX)</f>
        <v/>
      </c>
      <c r="O602" s="78" t="str">
        <f aca="false">IF(NOT(OR($A602&lt;&gt;"",$E602&lt;&gt;"")),"",IF($J602="Cancelled","Cancelled",IF($E602="","Amount missing",IF(OR($J602="Settled",$E602-N($F602)-N($H602)&lt;=0.005),"Realised",IF(N($H602)&gt;0,"Part realised",IF(N($F602)&gt;0,"Advance received","On hand"))))))</f>
        <v/>
      </c>
      <c r="P602" s="79" t="str">
        <f aca="false">IF(AND($V602=1,ISNUMBER($B602)),AsAt-$B602,"")</f>
        <v/>
      </c>
      <c r="Q602" s="78" t="str">
        <f aca="false">IF($V602&lt;&gt;1,"",IF($P602="","No invoice date",IF($P602&lt;=30,"0–30 days",IF($P602&lt;=60,"31–60 days",IF($P602&lt;=90,"61–90 days","Over 90 days")))))</f>
        <v/>
      </c>
      <c r="R602" s="80" t="str">
        <f aca="false">IF($V602=1,ROW(),"")</f>
        <v/>
      </c>
      <c r="S602" s="80" t="str">
        <f aca="false">IF(OR($A602&lt;&gt;"",$E602&lt;&gt;""),IF(TRIM($D602)="","Buyer not noted",TRIM($D602)),"")</f>
        <v/>
      </c>
      <c r="T602" s="80" t="n">
        <f aca="false">IF(AND($V602=1,ISNUMBER($M602)),$M602,0)</f>
        <v>0</v>
      </c>
      <c r="U602" s="80" t="str">
        <f aca="false">IF($V602=1,IF(COUNTIFS($S$7:$S602,$S602,$V$7:$V602,1)=1,SUMIFS($T$7:$T$1006,$S$7:$S$1006,$S602)-ROW()/1000000000,""),"")</f>
        <v/>
      </c>
      <c r="V602" s="80" t="n">
        <f aca="false">IF(OR($O602="On hand",$O602="Advance received",$O602="Part realised",$O602="Amount missing"),1,0)</f>
        <v>0</v>
      </c>
      <c r="W602" s="80" t="str">
        <f aca="false">IF(AND($V602=1,N($F602)&gt;0),ROW(),"")</f>
        <v/>
      </c>
      <c r="X602" s="80" t="n">
        <f aca="false">IF(AND(OR($A602&lt;&gt;"",$E602&lt;&gt;""),$O602&lt;&gt;"Cancelled",ISNUMBER($E602),N($F602)+N($H602)&gt;$E602+0.005),1,0)</f>
        <v>0</v>
      </c>
      <c r="Y602" s="80" t="n">
        <f aca="false">IF(AND(OR($A602&lt;&gt;"",$E602&lt;&gt;""),OR($A602="",$E602="")),1,0)</f>
        <v>0</v>
      </c>
      <c r="Z602" s="80" t="n">
        <f aca="false">IF(AND($A602&lt;&gt;"",COUNTIF($A$7:$A$1006,$A602)&gt;1),1,0)</f>
        <v>0</v>
      </c>
    </row>
    <row r="603" customFormat="false" ht="15" hidden="false" customHeight="false" outlineLevel="0" collapsed="false">
      <c r="A603" s="71"/>
      <c r="B603" s="72"/>
      <c r="C603" s="73"/>
      <c r="D603" s="73"/>
      <c r="E603" s="74"/>
      <c r="F603" s="74"/>
      <c r="G603" s="72"/>
      <c r="H603" s="74"/>
      <c r="I603" s="72"/>
      <c r="J603" s="73"/>
      <c r="K603" s="73"/>
      <c r="L603" s="75" t="str">
        <f aca="false">IF(OR($A603&lt;&gt;"",$E603&lt;&gt;""),N($F603)+N($H603),"")</f>
        <v/>
      </c>
      <c r="M603" s="76" t="str">
        <f aca="false">IF(OR($O603="",$O603="Cancelled",$O603="Amount missing"),"",IF($O603="Realised",0,$E603-N($F603)-N($H603)))</f>
        <v/>
      </c>
      <c r="N603" s="77" t="str">
        <f aca="false">IF(OR($M603="",FX=""),"",$M603*FX)</f>
        <v/>
      </c>
      <c r="O603" s="78" t="str">
        <f aca="false">IF(NOT(OR($A603&lt;&gt;"",$E603&lt;&gt;"")),"",IF($J603="Cancelled","Cancelled",IF($E603="","Amount missing",IF(OR($J603="Settled",$E603-N($F603)-N($H603)&lt;=0.005),"Realised",IF(N($H603)&gt;0,"Part realised",IF(N($F603)&gt;0,"Advance received","On hand"))))))</f>
        <v/>
      </c>
      <c r="P603" s="79" t="str">
        <f aca="false">IF(AND($V603=1,ISNUMBER($B603)),AsAt-$B603,"")</f>
        <v/>
      </c>
      <c r="Q603" s="78" t="str">
        <f aca="false">IF($V603&lt;&gt;1,"",IF($P603="","No invoice date",IF($P603&lt;=30,"0–30 days",IF($P603&lt;=60,"31–60 days",IF($P603&lt;=90,"61–90 days","Over 90 days")))))</f>
        <v/>
      </c>
      <c r="R603" s="80" t="str">
        <f aca="false">IF($V603=1,ROW(),"")</f>
        <v/>
      </c>
      <c r="S603" s="80" t="str">
        <f aca="false">IF(OR($A603&lt;&gt;"",$E603&lt;&gt;""),IF(TRIM($D603)="","Buyer not noted",TRIM($D603)),"")</f>
        <v/>
      </c>
      <c r="T603" s="80" t="n">
        <f aca="false">IF(AND($V603=1,ISNUMBER($M603)),$M603,0)</f>
        <v>0</v>
      </c>
      <c r="U603" s="80" t="str">
        <f aca="false">IF($V603=1,IF(COUNTIFS($S$7:$S603,$S603,$V$7:$V603,1)=1,SUMIFS($T$7:$T$1006,$S$7:$S$1006,$S603)-ROW()/1000000000,""),"")</f>
        <v/>
      </c>
      <c r="V603" s="80" t="n">
        <f aca="false">IF(OR($O603="On hand",$O603="Advance received",$O603="Part realised",$O603="Amount missing"),1,0)</f>
        <v>0</v>
      </c>
      <c r="W603" s="80" t="str">
        <f aca="false">IF(AND($V603=1,N($F603)&gt;0),ROW(),"")</f>
        <v/>
      </c>
      <c r="X603" s="80" t="n">
        <f aca="false">IF(AND(OR($A603&lt;&gt;"",$E603&lt;&gt;""),$O603&lt;&gt;"Cancelled",ISNUMBER($E603),N($F603)+N($H603)&gt;$E603+0.005),1,0)</f>
        <v>0</v>
      </c>
      <c r="Y603" s="80" t="n">
        <f aca="false">IF(AND(OR($A603&lt;&gt;"",$E603&lt;&gt;""),OR($A603="",$E603="")),1,0)</f>
        <v>0</v>
      </c>
      <c r="Z603" s="80" t="n">
        <f aca="false">IF(AND($A603&lt;&gt;"",COUNTIF($A$7:$A$1006,$A603)&gt;1),1,0)</f>
        <v>0</v>
      </c>
    </row>
    <row r="604" customFormat="false" ht="15" hidden="false" customHeight="false" outlineLevel="0" collapsed="false">
      <c r="A604" s="71"/>
      <c r="B604" s="72"/>
      <c r="C604" s="73"/>
      <c r="D604" s="73"/>
      <c r="E604" s="74"/>
      <c r="F604" s="74"/>
      <c r="G604" s="72"/>
      <c r="H604" s="74"/>
      <c r="I604" s="72"/>
      <c r="J604" s="73"/>
      <c r="K604" s="73"/>
      <c r="L604" s="75" t="str">
        <f aca="false">IF(OR($A604&lt;&gt;"",$E604&lt;&gt;""),N($F604)+N($H604),"")</f>
        <v/>
      </c>
      <c r="M604" s="76" t="str">
        <f aca="false">IF(OR($O604="",$O604="Cancelled",$O604="Amount missing"),"",IF($O604="Realised",0,$E604-N($F604)-N($H604)))</f>
        <v/>
      </c>
      <c r="N604" s="77" t="str">
        <f aca="false">IF(OR($M604="",FX=""),"",$M604*FX)</f>
        <v/>
      </c>
      <c r="O604" s="78" t="str">
        <f aca="false">IF(NOT(OR($A604&lt;&gt;"",$E604&lt;&gt;"")),"",IF($J604="Cancelled","Cancelled",IF($E604="","Amount missing",IF(OR($J604="Settled",$E604-N($F604)-N($H604)&lt;=0.005),"Realised",IF(N($H604)&gt;0,"Part realised",IF(N($F604)&gt;0,"Advance received","On hand"))))))</f>
        <v/>
      </c>
      <c r="P604" s="79" t="str">
        <f aca="false">IF(AND($V604=1,ISNUMBER($B604)),AsAt-$B604,"")</f>
        <v/>
      </c>
      <c r="Q604" s="78" t="str">
        <f aca="false">IF($V604&lt;&gt;1,"",IF($P604="","No invoice date",IF($P604&lt;=30,"0–30 days",IF($P604&lt;=60,"31–60 days",IF($P604&lt;=90,"61–90 days","Over 90 days")))))</f>
        <v/>
      </c>
      <c r="R604" s="80" t="str">
        <f aca="false">IF($V604=1,ROW(),"")</f>
        <v/>
      </c>
      <c r="S604" s="80" t="str">
        <f aca="false">IF(OR($A604&lt;&gt;"",$E604&lt;&gt;""),IF(TRIM($D604)="","Buyer not noted",TRIM($D604)),"")</f>
        <v/>
      </c>
      <c r="T604" s="80" t="n">
        <f aca="false">IF(AND($V604=1,ISNUMBER($M604)),$M604,0)</f>
        <v>0</v>
      </c>
      <c r="U604" s="80" t="str">
        <f aca="false">IF($V604=1,IF(COUNTIFS($S$7:$S604,$S604,$V$7:$V604,1)=1,SUMIFS($T$7:$T$1006,$S$7:$S$1006,$S604)-ROW()/1000000000,""),"")</f>
        <v/>
      </c>
      <c r="V604" s="80" t="n">
        <f aca="false">IF(OR($O604="On hand",$O604="Advance received",$O604="Part realised",$O604="Amount missing"),1,0)</f>
        <v>0</v>
      </c>
      <c r="W604" s="80" t="str">
        <f aca="false">IF(AND($V604=1,N($F604)&gt;0),ROW(),"")</f>
        <v/>
      </c>
      <c r="X604" s="80" t="n">
        <f aca="false">IF(AND(OR($A604&lt;&gt;"",$E604&lt;&gt;""),$O604&lt;&gt;"Cancelled",ISNUMBER($E604),N($F604)+N($H604)&gt;$E604+0.005),1,0)</f>
        <v>0</v>
      </c>
      <c r="Y604" s="80" t="n">
        <f aca="false">IF(AND(OR($A604&lt;&gt;"",$E604&lt;&gt;""),OR($A604="",$E604="")),1,0)</f>
        <v>0</v>
      </c>
      <c r="Z604" s="80" t="n">
        <f aca="false">IF(AND($A604&lt;&gt;"",COUNTIF($A$7:$A$1006,$A604)&gt;1),1,0)</f>
        <v>0</v>
      </c>
    </row>
    <row r="605" customFormat="false" ht="15" hidden="false" customHeight="false" outlineLevel="0" collapsed="false">
      <c r="A605" s="71"/>
      <c r="B605" s="72"/>
      <c r="C605" s="73"/>
      <c r="D605" s="73"/>
      <c r="E605" s="74"/>
      <c r="F605" s="74"/>
      <c r="G605" s="72"/>
      <c r="H605" s="74"/>
      <c r="I605" s="72"/>
      <c r="J605" s="73"/>
      <c r="K605" s="73"/>
      <c r="L605" s="75" t="str">
        <f aca="false">IF(OR($A605&lt;&gt;"",$E605&lt;&gt;""),N($F605)+N($H605),"")</f>
        <v/>
      </c>
      <c r="M605" s="76" t="str">
        <f aca="false">IF(OR($O605="",$O605="Cancelled",$O605="Amount missing"),"",IF($O605="Realised",0,$E605-N($F605)-N($H605)))</f>
        <v/>
      </c>
      <c r="N605" s="77" t="str">
        <f aca="false">IF(OR($M605="",FX=""),"",$M605*FX)</f>
        <v/>
      </c>
      <c r="O605" s="78" t="str">
        <f aca="false">IF(NOT(OR($A605&lt;&gt;"",$E605&lt;&gt;"")),"",IF($J605="Cancelled","Cancelled",IF($E605="","Amount missing",IF(OR($J605="Settled",$E605-N($F605)-N($H605)&lt;=0.005),"Realised",IF(N($H605)&gt;0,"Part realised",IF(N($F605)&gt;0,"Advance received","On hand"))))))</f>
        <v/>
      </c>
      <c r="P605" s="79" t="str">
        <f aca="false">IF(AND($V605=1,ISNUMBER($B605)),AsAt-$B605,"")</f>
        <v/>
      </c>
      <c r="Q605" s="78" t="str">
        <f aca="false">IF($V605&lt;&gt;1,"",IF($P605="","No invoice date",IF($P605&lt;=30,"0–30 days",IF($P605&lt;=60,"31–60 days",IF($P605&lt;=90,"61–90 days","Over 90 days")))))</f>
        <v/>
      </c>
      <c r="R605" s="80" t="str">
        <f aca="false">IF($V605=1,ROW(),"")</f>
        <v/>
      </c>
      <c r="S605" s="80" t="str">
        <f aca="false">IF(OR($A605&lt;&gt;"",$E605&lt;&gt;""),IF(TRIM($D605)="","Buyer not noted",TRIM($D605)),"")</f>
        <v/>
      </c>
      <c r="T605" s="80" t="n">
        <f aca="false">IF(AND($V605=1,ISNUMBER($M605)),$M605,0)</f>
        <v>0</v>
      </c>
      <c r="U605" s="80" t="str">
        <f aca="false">IF($V605=1,IF(COUNTIFS($S$7:$S605,$S605,$V$7:$V605,1)=1,SUMIFS($T$7:$T$1006,$S$7:$S$1006,$S605)-ROW()/1000000000,""),"")</f>
        <v/>
      </c>
      <c r="V605" s="80" t="n">
        <f aca="false">IF(OR($O605="On hand",$O605="Advance received",$O605="Part realised",$O605="Amount missing"),1,0)</f>
        <v>0</v>
      </c>
      <c r="W605" s="80" t="str">
        <f aca="false">IF(AND($V605=1,N($F605)&gt;0),ROW(),"")</f>
        <v/>
      </c>
      <c r="X605" s="80" t="n">
        <f aca="false">IF(AND(OR($A605&lt;&gt;"",$E605&lt;&gt;""),$O605&lt;&gt;"Cancelled",ISNUMBER($E605),N($F605)+N($H605)&gt;$E605+0.005),1,0)</f>
        <v>0</v>
      </c>
      <c r="Y605" s="80" t="n">
        <f aca="false">IF(AND(OR($A605&lt;&gt;"",$E605&lt;&gt;""),OR($A605="",$E605="")),1,0)</f>
        <v>0</v>
      </c>
      <c r="Z605" s="80" t="n">
        <f aca="false">IF(AND($A605&lt;&gt;"",COUNTIF($A$7:$A$1006,$A605)&gt;1),1,0)</f>
        <v>0</v>
      </c>
    </row>
    <row r="606" customFormat="false" ht="15" hidden="false" customHeight="false" outlineLevel="0" collapsed="false">
      <c r="A606" s="71"/>
      <c r="B606" s="72"/>
      <c r="C606" s="73"/>
      <c r="D606" s="73"/>
      <c r="E606" s="74"/>
      <c r="F606" s="74"/>
      <c r="G606" s="72"/>
      <c r="H606" s="74"/>
      <c r="I606" s="72"/>
      <c r="J606" s="73"/>
      <c r="K606" s="73"/>
      <c r="L606" s="75" t="str">
        <f aca="false">IF(OR($A606&lt;&gt;"",$E606&lt;&gt;""),N($F606)+N($H606),"")</f>
        <v/>
      </c>
      <c r="M606" s="76" t="str">
        <f aca="false">IF(OR($O606="",$O606="Cancelled",$O606="Amount missing"),"",IF($O606="Realised",0,$E606-N($F606)-N($H606)))</f>
        <v/>
      </c>
      <c r="N606" s="77" t="str">
        <f aca="false">IF(OR($M606="",FX=""),"",$M606*FX)</f>
        <v/>
      </c>
      <c r="O606" s="78" t="str">
        <f aca="false">IF(NOT(OR($A606&lt;&gt;"",$E606&lt;&gt;"")),"",IF($J606="Cancelled","Cancelled",IF($E606="","Amount missing",IF(OR($J606="Settled",$E606-N($F606)-N($H606)&lt;=0.005),"Realised",IF(N($H606)&gt;0,"Part realised",IF(N($F606)&gt;0,"Advance received","On hand"))))))</f>
        <v/>
      </c>
      <c r="P606" s="79" t="str">
        <f aca="false">IF(AND($V606=1,ISNUMBER($B606)),AsAt-$B606,"")</f>
        <v/>
      </c>
      <c r="Q606" s="78" t="str">
        <f aca="false">IF($V606&lt;&gt;1,"",IF($P606="","No invoice date",IF($P606&lt;=30,"0–30 days",IF($P606&lt;=60,"31–60 days",IF($P606&lt;=90,"61–90 days","Over 90 days")))))</f>
        <v/>
      </c>
      <c r="R606" s="80" t="str">
        <f aca="false">IF($V606=1,ROW(),"")</f>
        <v/>
      </c>
      <c r="S606" s="80" t="str">
        <f aca="false">IF(OR($A606&lt;&gt;"",$E606&lt;&gt;""),IF(TRIM($D606)="","Buyer not noted",TRIM($D606)),"")</f>
        <v/>
      </c>
      <c r="T606" s="80" t="n">
        <f aca="false">IF(AND($V606=1,ISNUMBER($M606)),$M606,0)</f>
        <v>0</v>
      </c>
      <c r="U606" s="80" t="str">
        <f aca="false">IF($V606=1,IF(COUNTIFS($S$7:$S606,$S606,$V$7:$V606,1)=1,SUMIFS($T$7:$T$1006,$S$7:$S$1006,$S606)-ROW()/1000000000,""),"")</f>
        <v/>
      </c>
      <c r="V606" s="80" t="n">
        <f aca="false">IF(OR($O606="On hand",$O606="Advance received",$O606="Part realised",$O606="Amount missing"),1,0)</f>
        <v>0</v>
      </c>
      <c r="W606" s="80" t="str">
        <f aca="false">IF(AND($V606=1,N($F606)&gt;0),ROW(),"")</f>
        <v/>
      </c>
      <c r="X606" s="80" t="n">
        <f aca="false">IF(AND(OR($A606&lt;&gt;"",$E606&lt;&gt;""),$O606&lt;&gt;"Cancelled",ISNUMBER($E606),N($F606)+N($H606)&gt;$E606+0.005),1,0)</f>
        <v>0</v>
      </c>
      <c r="Y606" s="80" t="n">
        <f aca="false">IF(AND(OR($A606&lt;&gt;"",$E606&lt;&gt;""),OR($A606="",$E606="")),1,0)</f>
        <v>0</v>
      </c>
      <c r="Z606" s="80" t="n">
        <f aca="false">IF(AND($A606&lt;&gt;"",COUNTIF($A$7:$A$1006,$A606)&gt;1),1,0)</f>
        <v>0</v>
      </c>
    </row>
    <row r="607" customFormat="false" ht="15" hidden="false" customHeight="false" outlineLevel="0" collapsed="false">
      <c r="A607" s="71"/>
      <c r="B607" s="72"/>
      <c r="C607" s="73"/>
      <c r="D607" s="73"/>
      <c r="E607" s="74"/>
      <c r="F607" s="74"/>
      <c r="G607" s="72"/>
      <c r="H607" s="74"/>
      <c r="I607" s="72"/>
      <c r="J607" s="73"/>
      <c r="K607" s="73"/>
      <c r="L607" s="75" t="str">
        <f aca="false">IF(OR($A607&lt;&gt;"",$E607&lt;&gt;""),N($F607)+N($H607),"")</f>
        <v/>
      </c>
      <c r="M607" s="76" t="str">
        <f aca="false">IF(OR($O607="",$O607="Cancelled",$O607="Amount missing"),"",IF($O607="Realised",0,$E607-N($F607)-N($H607)))</f>
        <v/>
      </c>
      <c r="N607" s="77" t="str">
        <f aca="false">IF(OR($M607="",FX=""),"",$M607*FX)</f>
        <v/>
      </c>
      <c r="O607" s="78" t="str">
        <f aca="false">IF(NOT(OR($A607&lt;&gt;"",$E607&lt;&gt;"")),"",IF($J607="Cancelled","Cancelled",IF($E607="","Amount missing",IF(OR($J607="Settled",$E607-N($F607)-N($H607)&lt;=0.005),"Realised",IF(N($H607)&gt;0,"Part realised",IF(N($F607)&gt;0,"Advance received","On hand"))))))</f>
        <v/>
      </c>
      <c r="P607" s="79" t="str">
        <f aca="false">IF(AND($V607=1,ISNUMBER($B607)),AsAt-$B607,"")</f>
        <v/>
      </c>
      <c r="Q607" s="78" t="str">
        <f aca="false">IF($V607&lt;&gt;1,"",IF($P607="","No invoice date",IF($P607&lt;=30,"0–30 days",IF($P607&lt;=60,"31–60 days",IF($P607&lt;=90,"61–90 days","Over 90 days")))))</f>
        <v/>
      </c>
      <c r="R607" s="80" t="str">
        <f aca="false">IF($V607=1,ROW(),"")</f>
        <v/>
      </c>
      <c r="S607" s="80" t="str">
        <f aca="false">IF(OR($A607&lt;&gt;"",$E607&lt;&gt;""),IF(TRIM($D607)="","Buyer not noted",TRIM($D607)),"")</f>
        <v/>
      </c>
      <c r="T607" s="80" t="n">
        <f aca="false">IF(AND($V607=1,ISNUMBER($M607)),$M607,0)</f>
        <v>0</v>
      </c>
      <c r="U607" s="80" t="str">
        <f aca="false">IF($V607=1,IF(COUNTIFS($S$7:$S607,$S607,$V$7:$V607,1)=1,SUMIFS($T$7:$T$1006,$S$7:$S$1006,$S607)-ROW()/1000000000,""),"")</f>
        <v/>
      </c>
      <c r="V607" s="80" t="n">
        <f aca="false">IF(OR($O607="On hand",$O607="Advance received",$O607="Part realised",$O607="Amount missing"),1,0)</f>
        <v>0</v>
      </c>
      <c r="W607" s="80" t="str">
        <f aca="false">IF(AND($V607=1,N($F607)&gt;0),ROW(),"")</f>
        <v/>
      </c>
      <c r="X607" s="80" t="n">
        <f aca="false">IF(AND(OR($A607&lt;&gt;"",$E607&lt;&gt;""),$O607&lt;&gt;"Cancelled",ISNUMBER($E607),N($F607)+N($H607)&gt;$E607+0.005),1,0)</f>
        <v>0</v>
      </c>
      <c r="Y607" s="80" t="n">
        <f aca="false">IF(AND(OR($A607&lt;&gt;"",$E607&lt;&gt;""),OR($A607="",$E607="")),1,0)</f>
        <v>0</v>
      </c>
      <c r="Z607" s="80" t="n">
        <f aca="false">IF(AND($A607&lt;&gt;"",COUNTIF($A$7:$A$1006,$A607)&gt;1),1,0)</f>
        <v>0</v>
      </c>
    </row>
    <row r="608" customFormat="false" ht="15" hidden="false" customHeight="false" outlineLevel="0" collapsed="false">
      <c r="A608" s="71"/>
      <c r="B608" s="72"/>
      <c r="C608" s="73"/>
      <c r="D608" s="73"/>
      <c r="E608" s="74"/>
      <c r="F608" s="74"/>
      <c r="G608" s="72"/>
      <c r="H608" s="74"/>
      <c r="I608" s="72"/>
      <c r="J608" s="73"/>
      <c r="K608" s="73"/>
      <c r="L608" s="75" t="str">
        <f aca="false">IF(OR($A608&lt;&gt;"",$E608&lt;&gt;""),N($F608)+N($H608),"")</f>
        <v/>
      </c>
      <c r="M608" s="76" t="str">
        <f aca="false">IF(OR($O608="",$O608="Cancelled",$O608="Amount missing"),"",IF($O608="Realised",0,$E608-N($F608)-N($H608)))</f>
        <v/>
      </c>
      <c r="N608" s="77" t="str">
        <f aca="false">IF(OR($M608="",FX=""),"",$M608*FX)</f>
        <v/>
      </c>
      <c r="O608" s="78" t="str">
        <f aca="false">IF(NOT(OR($A608&lt;&gt;"",$E608&lt;&gt;"")),"",IF($J608="Cancelled","Cancelled",IF($E608="","Amount missing",IF(OR($J608="Settled",$E608-N($F608)-N($H608)&lt;=0.005),"Realised",IF(N($H608)&gt;0,"Part realised",IF(N($F608)&gt;0,"Advance received","On hand"))))))</f>
        <v/>
      </c>
      <c r="P608" s="79" t="str">
        <f aca="false">IF(AND($V608=1,ISNUMBER($B608)),AsAt-$B608,"")</f>
        <v/>
      </c>
      <c r="Q608" s="78" t="str">
        <f aca="false">IF($V608&lt;&gt;1,"",IF($P608="","No invoice date",IF($P608&lt;=30,"0–30 days",IF($P608&lt;=60,"31–60 days",IF($P608&lt;=90,"61–90 days","Over 90 days")))))</f>
        <v/>
      </c>
      <c r="R608" s="80" t="str">
        <f aca="false">IF($V608=1,ROW(),"")</f>
        <v/>
      </c>
      <c r="S608" s="80" t="str">
        <f aca="false">IF(OR($A608&lt;&gt;"",$E608&lt;&gt;""),IF(TRIM($D608)="","Buyer not noted",TRIM($D608)),"")</f>
        <v/>
      </c>
      <c r="T608" s="80" t="n">
        <f aca="false">IF(AND($V608=1,ISNUMBER($M608)),$M608,0)</f>
        <v>0</v>
      </c>
      <c r="U608" s="80" t="str">
        <f aca="false">IF($V608=1,IF(COUNTIFS($S$7:$S608,$S608,$V$7:$V608,1)=1,SUMIFS($T$7:$T$1006,$S$7:$S$1006,$S608)-ROW()/1000000000,""),"")</f>
        <v/>
      </c>
      <c r="V608" s="80" t="n">
        <f aca="false">IF(OR($O608="On hand",$O608="Advance received",$O608="Part realised",$O608="Amount missing"),1,0)</f>
        <v>0</v>
      </c>
      <c r="W608" s="80" t="str">
        <f aca="false">IF(AND($V608=1,N($F608)&gt;0),ROW(),"")</f>
        <v/>
      </c>
      <c r="X608" s="80" t="n">
        <f aca="false">IF(AND(OR($A608&lt;&gt;"",$E608&lt;&gt;""),$O608&lt;&gt;"Cancelled",ISNUMBER($E608),N($F608)+N($H608)&gt;$E608+0.005),1,0)</f>
        <v>0</v>
      </c>
      <c r="Y608" s="80" t="n">
        <f aca="false">IF(AND(OR($A608&lt;&gt;"",$E608&lt;&gt;""),OR($A608="",$E608="")),1,0)</f>
        <v>0</v>
      </c>
      <c r="Z608" s="80" t="n">
        <f aca="false">IF(AND($A608&lt;&gt;"",COUNTIF($A$7:$A$1006,$A608)&gt;1),1,0)</f>
        <v>0</v>
      </c>
    </row>
    <row r="609" customFormat="false" ht="15" hidden="false" customHeight="false" outlineLevel="0" collapsed="false">
      <c r="A609" s="71"/>
      <c r="B609" s="72"/>
      <c r="C609" s="73"/>
      <c r="D609" s="73"/>
      <c r="E609" s="74"/>
      <c r="F609" s="74"/>
      <c r="G609" s="72"/>
      <c r="H609" s="74"/>
      <c r="I609" s="72"/>
      <c r="J609" s="73"/>
      <c r="K609" s="73"/>
      <c r="L609" s="75" t="str">
        <f aca="false">IF(OR($A609&lt;&gt;"",$E609&lt;&gt;""),N($F609)+N($H609),"")</f>
        <v/>
      </c>
      <c r="M609" s="76" t="str">
        <f aca="false">IF(OR($O609="",$O609="Cancelled",$O609="Amount missing"),"",IF($O609="Realised",0,$E609-N($F609)-N($H609)))</f>
        <v/>
      </c>
      <c r="N609" s="77" t="str">
        <f aca="false">IF(OR($M609="",FX=""),"",$M609*FX)</f>
        <v/>
      </c>
      <c r="O609" s="78" t="str">
        <f aca="false">IF(NOT(OR($A609&lt;&gt;"",$E609&lt;&gt;"")),"",IF($J609="Cancelled","Cancelled",IF($E609="","Amount missing",IF(OR($J609="Settled",$E609-N($F609)-N($H609)&lt;=0.005),"Realised",IF(N($H609)&gt;0,"Part realised",IF(N($F609)&gt;0,"Advance received","On hand"))))))</f>
        <v/>
      </c>
      <c r="P609" s="79" t="str">
        <f aca="false">IF(AND($V609=1,ISNUMBER($B609)),AsAt-$B609,"")</f>
        <v/>
      </c>
      <c r="Q609" s="78" t="str">
        <f aca="false">IF($V609&lt;&gt;1,"",IF($P609="","No invoice date",IF($P609&lt;=30,"0–30 days",IF($P609&lt;=60,"31–60 days",IF($P609&lt;=90,"61–90 days","Over 90 days")))))</f>
        <v/>
      </c>
      <c r="R609" s="80" t="str">
        <f aca="false">IF($V609=1,ROW(),"")</f>
        <v/>
      </c>
      <c r="S609" s="80" t="str">
        <f aca="false">IF(OR($A609&lt;&gt;"",$E609&lt;&gt;""),IF(TRIM($D609)="","Buyer not noted",TRIM($D609)),"")</f>
        <v/>
      </c>
      <c r="T609" s="80" t="n">
        <f aca="false">IF(AND($V609=1,ISNUMBER($M609)),$M609,0)</f>
        <v>0</v>
      </c>
      <c r="U609" s="80" t="str">
        <f aca="false">IF($V609=1,IF(COUNTIFS($S$7:$S609,$S609,$V$7:$V609,1)=1,SUMIFS($T$7:$T$1006,$S$7:$S$1006,$S609)-ROW()/1000000000,""),"")</f>
        <v/>
      </c>
      <c r="V609" s="80" t="n">
        <f aca="false">IF(OR($O609="On hand",$O609="Advance received",$O609="Part realised",$O609="Amount missing"),1,0)</f>
        <v>0</v>
      </c>
      <c r="W609" s="80" t="str">
        <f aca="false">IF(AND($V609=1,N($F609)&gt;0),ROW(),"")</f>
        <v/>
      </c>
      <c r="X609" s="80" t="n">
        <f aca="false">IF(AND(OR($A609&lt;&gt;"",$E609&lt;&gt;""),$O609&lt;&gt;"Cancelled",ISNUMBER($E609),N($F609)+N($H609)&gt;$E609+0.005),1,0)</f>
        <v>0</v>
      </c>
      <c r="Y609" s="80" t="n">
        <f aca="false">IF(AND(OR($A609&lt;&gt;"",$E609&lt;&gt;""),OR($A609="",$E609="")),1,0)</f>
        <v>0</v>
      </c>
      <c r="Z609" s="80" t="n">
        <f aca="false">IF(AND($A609&lt;&gt;"",COUNTIF($A$7:$A$1006,$A609)&gt;1),1,0)</f>
        <v>0</v>
      </c>
    </row>
    <row r="610" customFormat="false" ht="15" hidden="false" customHeight="false" outlineLevel="0" collapsed="false">
      <c r="A610" s="71"/>
      <c r="B610" s="72"/>
      <c r="C610" s="73"/>
      <c r="D610" s="73"/>
      <c r="E610" s="74"/>
      <c r="F610" s="74"/>
      <c r="G610" s="72"/>
      <c r="H610" s="74"/>
      <c r="I610" s="72"/>
      <c r="J610" s="73"/>
      <c r="K610" s="73"/>
      <c r="L610" s="75" t="str">
        <f aca="false">IF(OR($A610&lt;&gt;"",$E610&lt;&gt;""),N($F610)+N($H610),"")</f>
        <v/>
      </c>
      <c r="M610" s="76" t="str">
        <f aca="false">IF(OR($O610="",$O610="Cancelled",$O610="Amount missing"),"",IF($O610="Realised",0,$E610-N($F610)-N($H610)))</f>
        <v/>
      </c>
      <c r="N610" s="77" t="str">
        <f aca="false">IF(OR($M610="",FX=""),"",$M610*FX)</f>
        <v/>
      </c>
      <c r="O610" s="78" t="str">
        <f aca="false">IF(NOT(OR($A610&lt;&gt;"",$E610&lt;&gt;"")),"",IF($J610="Cancelled","Cancelled",IF($E610="","Amount missing",IF(OR($J610="Settled",$E610-N($F610)-N($H610)&lt;=0.005),"Realised",IF(N($H610)&gt;0,"Part realised",IF(N($F610)&gt;0,"Advance received","On hand"))))))</f>
        <v/>
      </c>
      <c r="P610" s="79" t="str">
        <f aca="false">IF(AND($V610=1,ISNUMBER($B610)),AsAt-$B610,"")</f>
        <v/>
      </c>
      <c r="Q610" s="78" t="str">
        <f aca="false">IF($V610&lt;&gt;1,"",IF($P610="","No invoice date",IF($P610&lt;=30,"0–30 days",IF($P610&lt;=60,"31–60 days",IF($P610&lt;=90,"61–90 days","Over 90 days")))))</f>
        <v/>
      </c>
      <c r="R610" s="80" t="str">
        <f aca="false">IF($V610=1,ROW(),"")</f>
        <v/>
      </c>
      <c r="S610" s="80" t="str">
        <f aca="false">IF(OR($A610&lt;&gt;"",$E610&lt;&gt;""),IF(TRIM($D610)="","Buyer not noted",TRIM($D610)),"")</f>
        <v/>
      </c>
      <c r="T610" s="80" t="n">
        <f aca="false">IF(AND($V610=1,ISNUMBER($M610)),$M610,0)</f>
        <v>0</v>
      </c>
      <c r="U610" s="80" t="str">
        <f aca="false">IF($V610=1,IF(COUNTIFS($S$7:$S610,$S610,$V$7:$V610,1)=1,SUMIFS($T$7:$T$1006,$S$7:$S$1006,$S610)-ROW()/1000000000,""),"")</f>
        <v/>
      </c>
      <c r="V610" s="80" t="n">
        <f aca="false">IF(OR($O610="On hand",$O610="Advance received",$O610="Part realised",$O610="Amount missing"),1,0)</f>
        <v>0</v>
      </c>
      <c r="W610" s="80" t="str">
        <f aca="false">IF(AND($V610=1,N($F610)&gt;0),ROW(),"")</f>
        <v/>
      </c>
      <c r="X610" s="80" t="n">
        <f aca="false">IF(AND(OR($A610&lt;&gt;"",$E610&lt;&gt;""),$O610&lt;&gt;"Cancelled",ISNUMBER($E610),N($F610)+N($H610)&gt;$E610+0.005),1,0)</f>
        <v>0</v>
      </c>
      <c r="Y610" s="80" t="n">
        <f aca="false">IF(AND(OR($A610&lt;&gt;"",$E610&lt;&gt;""),OR($A610="",$E610="")),1,0)</f>
        <v>0</v>
      </c>
      <c r="Z610" s="80" t="n">
        <f aca="false">IF(AND($A610&lt;&gt;"",COUNTIF($A$7:$A$1006,$A610)&gt;1),1,0)</f>
        <v>0</v>
      </c>
    </row>
    <row r="611" customFormat="false" ht="15" hidden="false" customHeight="false" outlineLevel="0" collapsed="false">
      <c r="A611" s="71"/>
      <c r="B611" s="72"/>
      <c r="C611" s="73"/>
      <c r="D611" s="73"/>
      <c r="E611" s="74"/>
      <c r="F611" s="74"/>
      <c r="G611" s="72"/>
      <c r="H611" s="74"/>
      <c r="I611" s="72"/>
      <c r="J611" s="73"/>
      <c r="K611" s="73"/>
      <c r="L611" s="75" t="str">
        <f aca="false">IF(OR($A611&lt;&gt;"",$E611&lt;&gt;""),N($F611)+N($H611),"")</f>
        <v/>
      </c>
      <c r="M611" s="76" t="str">
        <f aca="false">IF(OR($O611="",$O611="Cancelled",$O611="Amount missing"),"",IF($O611="Realised",0,$E611-N($F611)-N($H611)))</f>
        <v/>
      </c>
      <c r="N611" s="77" t="str">
        <f aca="false">IF(OR($M611="",FX=""),"",$M611*FX)</f>
        <v/>
      </c>
      <c r="O611" s="78" t="str">
        <f aca="false">IF(NOT(OR($A611&lt;&gt;"",$E611&lt;&gt;"")),"",IF($J611="Cancelled","Cancelled",IF($E611="","Amount missing",IF(OR($J611="Settled",$E611-N($F611)-N($H611)&lt;=0.005),"Realised",IF(N($H611)&gt;0,"Part realised",IF(N($F611)&gt;0,"Advance received","On hand"))))))</f>
        <v/>
      </c>
      <c r="P611" s="79" t="str">
        <f aca="false">IF(AND($V611=1,ISNUMBER($B611)),AsAt-$B611,"")</f>
        <v/>
      </c>
      <c r="Q611" s="78" t="str">
        <f aca="false">IF($V611&lt;&gt;1,"",IF($P611="","No invoice date",IF($P611&lt;=30,"0–30 days",IF($P611&lt;=60,"31–60 days",IF($P611&lt;=90,"61–90 days","Over 90 days")))))</f>
        <v/>
      </c>
      <c r="R611" s="80" t="str">
        <f aca="false">IF($V611=1,ROW(),"")</f>
        <v/>
      </c>
      <c r="S611" s="80" t="str">
        <f aca="false">IF(OR($A611&lt;&gt;"",$E611&lt;&gt;""),IF(TRIM($D611)="","Buyer not noted",TRIM($D611)),"")</f>
        <v/>
      </c>
      <c r="T611" s="80" t="n">
        <f aca="false">IF(AND($V611=1,ISNUMBER($M611)),$M611,0)</f>
        <v>0</v>
      </c>
      <c r="U611" s="80" t="str">
        <f aca="false">IF($V611=1,IF(COUNTIFS($S$7:$S611,$S611,$V$7:$V611,1)=1,SUMIFS($T$7:$T$1006,$S$7:$S$1006,$S611)-ROW()/1000000000,""),"")</f>
        <v/>
      </c>
      <c r="V611" s="80" t="n">
        <f aca="false">IF(OR($O611="On hand",$O611="Advance received",$O611="Part realised",$O611="Amount missing"),1,0)</f>
        <v>0</v>
      </c>
      <c r="W611" s="80" t="str">
        <f aca="false">IF(AND($V611=1,N($F611)&gt;0),ROW(),"")</f>
        <v/>
      </c>
      <c r="X611" s="80" t="n">
        <f aca="false">IF(AND(OR($A611&lt;&gt;"",$E611&lt;&gt;""),$O611&lt;&gt;"Cancelled",ISNUMBER($E611),N($F611)+N($H611)&gt;$E611+0.005),1,0)</f>
        <v>0</v>
      </c>
      <c r="Y611" s="80" t="n">
        <f aca="false">IF(AND(OR($A611&lt;&gt;"",$E611&lt;&gt;""),OR($A611="",$E611="")),1,0)</f>
        <v>0</v>
      </c>
      <c r="Z611" s="80" t="n">
        <f aca="false">IF(AND($A611&lt;&gt;"",COUNTIF($A$7:$A$1006,$A611)&gt;1),1,0)</f>
        <v>0</v>
      </c>
    </row>
    <row r="612" customFormat="false" ht="15" hidden="false" customHeight="false" outlineLevel="0" collapsed="false">
      <c r="A612" s="71"/>
      <c r="B612" s="72"/>
      <c r="C612" s="73"/>
      <c r="D612" s="73"/>
      <c r="E612" s="74"/>
      <c r="F612" s="74"/>
      <c r="G612" s="72"/>
      <c r="H612" s="74"/>
      <c r="I612" s="72"/>
      <c r="J612" s="73"/>
      <c r="K612" s="73"/>
      <c r="L612" s="75" t="str">
        <f aca="false">IF(OR($A612&lt;&gt;"",$E612&lt;&gt;""),N($F612)+N($H612),"")</f>
        <v/>
      </c>
      <c r="M612" s="76" t="str">
        <f aca="false">IF(OR($O612="",$O612="Cancelled",$O612="Amount missing"),"",IF($O612="Realised",0,$E612-N($F612)-N($H612)))</f>
        <v/>
      </c>
      <c r="N612" s="77" t="str">
        <f aca="false">IF(OR($M612="",FX=""),"",$M612*FX)</f>
        <v/>
      </c>
      <c r="O612" s="78" t="str">
        <f aca="false">IF(NOT(OR($A612&lt;&gt;"",$E612&lt;&gt;"")),"",IF($J612="Cancelled","Cancelled",IF($E612="","Amount missing",IF(OR($J612="Settled",$E612-N($F612)-N($H612)&lt;=0.005),"Realised",IF(N($H612)&gt;0,"Part realised",IF(N($F612)&gt;0,"Advance received","On hand"))))))</f>
        <v/>
      </c>
      <c r="P612" s="79" t="str">
        <f aca="false">IF(AND($V612=1,ISNUMBER($B612)),AsAt-$B612,"")</f>
        <v/>
      </c>
      <c r="Q612" s="78" t="str">
        <f aca="false">IF($V612&lt;&gt;1,"",IF($P612="","No invoice date",IF($P612&lt;=30,"0–30 days",IF($P612&lt;=60,"31–60 days",IF($P612&lt;=90,"61–90 days","Over 90 days")))))</f>
        <v/>
      </c>
      <c r="R612" s="80" t="str">
        <f aca="false">IF($V612=1,ROW(),"")</f>
        <v/>
      </c>
      <c r="S612" s="80" t="str">
        <f aca="false">IF(OR($A612&lt;&gt;"",$E612&lt;&gt;""),IF(TRIM($D612)="","Buyer not noted",TRIM($D612)),"")</f>
        <v/>
      </c>
      <c r="T612" s="80" t="n">
        <f aca="false">IF(AND($V612=1,ISNUMBER($M612)),$M612,0)</f>
        <v>0</v>
      </c>
      <c r="U612" s="80" t="str">
        <f aca="false">IF($V612=1,IF(COUNTIFS($S$7:$S612,$S612,$V$7:$V612,1)=1,SUMIFS($T$7:$T$1006,$S$7:$S$1006,$S612)-ROW()/1000000000,""),"")</f>
        <v/>
      </c>
      <c r="V612" s="80" t="n">
        <f aca="false">IF(OR($O612="On hand",$O612="Advance received",$O612="Part realised",$O612="Amount missing"),1,0)</f>
        <v>0</v>
      </c>
      <c r="W612" s="80" t="str">
        <f aca="false">IF(AND($V612=1,N($F612)&gt;0),ROW(),"")</f>
        <v/>
      </c>
      <c r="X612" s="80" t="n">
        <f aca="false">IF(AND(OR($A612&lt;&gt;"",$E612&lt;&gt;""),$O612&lt;&gt;"Cancelled",ISNUMBER($E612),N($F612)+N($H612)&gt;$E612+0.005),1,0)</f>
        <v>0</v>
      </c>
      <c r="Y612" s="80" t="n">
        <f aca="false">IF(AND(OR($A612&lt;&gt;"",$E612&lt;&gt;""),OR($A612="",$E612="")),1,0)</f>
        <v>0</v>
      </c>
      <c r="Z612" s="80" t="n">
        <f aca="false">IF(AND($A612&lt;&gt;"",COUNTIF($A$7:$A$1006,$A612)&gt;1),1,0)</f>
        <v>0</v>
      </c>
    </row>
    <row r="613" customFormat="false" ht="15" hidden="false" customHeight="false" outlineLevel="0" collapsed="false">
      <c r="A613" s="71"/>
      <c r="B613" s="72"/>
      <c r="C613" s="73"/>
      <c r="D613" s="73"/>
      <c r="E613" s="74"/>
      <c r="F613" s="74"/>
      <c r="G613" s="72"/>
      <c r="H613" s="74"/>
      <c r="I613" s="72"/>
      <c r="J613" s="73"/>
      <c r="K613" s="73"/>
      <c r="L613" s="75" t="str">
        <f aca="false">IF(OR($A613&lt;&gt;"",$E613&lt;&gt;""),N($F613)+N($H613),"")</f>
        <v/>
      </c>
      <c r="M613" s="76" t="str">
        <f aca="false">IF(OR($O613="",$O613="Cancelled",$O613="Amount missing"),"",IF($O613="Realised",0,$E613-N($F613)-N($H613)))</f>
        <v/>
      </c>
      <c r="N613" s="77" t="str">
        <f aca="false">IF(OR($M613="",FX=""),"",$M613*FX)</f>
        <v/>
      </c>
      <c r="O613" s="78" t="str">
        <f aca="false">IF(NOT(OR($A613&lt;&gt;"",$E613&lt;&gt;"")),"",IF($J613="Cancelled","Cancelled",IF($E613="","Amount missing",IF(OR($J613="Settled",$E613-N($F613)-N($H613)&lt;=0.005),"Realised",IF(N($H613)&gt;0,"Part realised",IF(N($F613)&gt;0,"Advance received","On hand"))))))</f>
        <v/>
      </c>
      <c r="P613" s="79" t="str">
        <f aca="false">IF(AND($V613=1,ISNUMBER($B613)),AsAt-$B613,"")</f>
        <v/>
      </c>
      <c r="Q613" s="78" t="str">
        <f aca="false">IF($V613&lt;&gt;1,"",IF($P613="","No invoice date",IF($P613&lt;=30,"0–30 days",IF($P613&lt;=60,"31–60 days",IF($P613&lt;=90,"61–90 days","Over 90 days")))))</f>
        <v/>
      </c>
      <c r="R613" s="80" t="str">
        <f aca="false">IF($V613=1,ROW(),"")</f>
        <v/>
      </c>
      <c r="S613" s="80" t="str">
        <f aca="false">IF(OR($A613&lt;&gt;"",$E613&lt;&gt;""),IF(TRIM($D613)="","Buyer not noted",TRIM($D613)),"")</f>
        <v/>
      </c>
      <c r="T613" s="80" t="n">
        <f aca="false">IF(AND($V613=1,ISNUMBER($M613)),$M613,0)</f>
        <v>0</v>
      </c>
      <c r="U613" s="80" t="str">
        <f aca="false">IF($V613=1,IF(COUNTIFS($S$7:$S613,$S613,$V$7:$V613,1)=1,SUMIFS($T$7:$T$1006,$S$7:$S$1006,$S613)-ROW()/1000000000,""),"")</f>
        <v/>
      </c>
      <c r="V613" s="80" t="n">
        <f aca="false">IF(OR($O613="On hand",$O613="Advance received",$O613="Part realised",$O613="Amount missing"),1,0)</f>
        <v>0</v>
      </c>
      <c r="W613" s="80" t="str">
        <f aca="false">IF(AND($V613=1,N($F613)&gt;0),ROW(),"")</f>
        <v/>
      </c>
      <c r="X613" s="80" t="n">
        <f aca="false">IF(AND(OR($A613&lt;&gt;"",$E613&lt;&gt;""),$O613&lt;&gt;"Cancelled",ISNUMBER($E613),N($F613)+N($H613)&gt;$E613+0.005),1,0)</f>
        <v>0</v>
      </c>
      <c r="Y613" s="80" t="n">
        <f aca="false">IF(AND(OR($A613&lt;&gt;"",$E613&lt;&gt;""),OR($A613="",$E613="")),1,0)</f>
        <v>0</v>
      </c>
      <c r="Z613" s="80" t="n">
        <f aca="false">IF(AND($A613&lt;&gt;"",COUNTIF($A$7:$A$1006,$A613)&gt;1),1,0)</f>
        <v>0</v>
      </c>
    </row>
    <row r="614" customFormat="false" ht="15" hidden="false" customHeight="false" outlineLevel="0" collapsed="false">
      <c r="A614" s="71"/>
      <c r="B614" s="72"/>
      <c r="C614" s="73"/>
      <c r="D614" s="73"/>
      <c r="E614" s="74"/>
      <c r="F614" s="74"/>
      <c r="G614" s="72"/>
      <c r="H614" s="74"/>
      <c r="I614" s="72"/>
      <c r="J614" s="73"/>
      <c r="K614" s="73"/>
      <c r="L614" s="75" t="str">
        <f aca="false">IF(OR($A614&lt;&gt;"",$E614&lt;&gt;""),N($F614)+N($H614),"")</f>
        <v/>
      </c>
      <c r="M614" s="76" t="str">
        <f aca="false">IF(OR($O614="",$O614="Cancelled",$O614="Amount missing"),"",IF($O614="Realised",0,$E614-N($F614)-N($H614)))</f>
        <v/>
      </c>
      <c r="N614" s="77" t="str">
        <f aca="false">IF(OR($M614="",FX=""),"",$M614*FX)</f>
        <v/>
      </c>
      <c r="O614" s="78" t="str">
        <f aca="false">IF(NOT(OR($A614&lt;&gt;"",$E614&lt;&gt;"")),"",IF($J614="Cancelled","Cancelled",IF($E614="","Amount missing",IF(OR($J614="Settled",$E614-N($F614)-N($H614)&lt;=0.005),"Realised",IF(N($H614)&gt;0,"Part realised",IF(N($F614)&gt;0,"Advance received","On hand"))))))</f>
        <v/>
      </c>
      <c r="P614" s="79" t="str">
        <f aca="false">IF(AND($V614=1,ISNUMBER($B614)),AsAt-$B614,"")</f>
        <v/>
      </c>
      <c r="Q614" s="78" t="str">
        <f aca="false">IF($V614&lt;&gt;1,"",IF($P614="","No invoice date",IF($P614&lt;=30,"0–30 days",IF($P614&lt;=60,"31–60 days",IF($P614&lt;=90,"61–90 days","Over 90 days")))))</f>
        <v/>
      </c>
      <c r="R614" s="80" t="str">
        <f aca="false">IF($V614=1,ROW(),"")</f>
        <v/>
      </c>
      <c r="S614" s="80" t="str">
        <f aca="false">IF(OR($A614&lt;&gt;"",$E614&lt;&gt;""),IF(TRIM($D614)="","Buyer not noted",TRIM($D614)),"")</f>
        <v/>
      </c>
      <c r="T614" s="80" t="n">
        <f aca="false">IF(AND($V614=1,ISNUMBER($M614)),$M614,0)</f>
        <v>0</v>
      </c>
      <c r="U614" s="80" t="str">
        <f aca="false">IF($V614=1,IF(COUNTIFS($S$7:$S614,$S614,$V$7:$V614,1)=1,SUMIFS($T$7:$T$1006,$S$7:$S$1006,$S614)-ROW()/1000000000,""),"")</f>
        <v/>
      </c>
      <c r="V614" s="80" t="n">
        <f aca="false">IF(OR($O614="On hand",$O614="Advance received",$O614="Part realised",$O614="Amount missing"),1,0)</f>
        <v>0</v>
      </c>
      <c r="W614" s="80" t="str">
        <f aca="false">IF(AND($V614=1,N($F614)&gt;0),ROW(),"")</f>
        <v/>
      </c>
      <c r="X614" s="80" t="n">
        <f aca="false">IF(AND(OR($A614&lt;&gt;"",$E614&lt;&gt;""),$O614&lt;&gt;"Cancelled",ISNUMBER($E614),N($F614)+N($H614)&gt;$E614+0.005),1,0)</f>
        <v>0</v>
      </c>
      <c r="Y614" s="80" t="n">
        <f aca="false">IF(AND(OR($A614&lt;&gt;"",$E614&lt;&gt;""),OR($A614="",$E614="")),1,0)</f>
        <v>0</v>
      </c>
      <c r="Z614" s="80" t="n">
        <f aca="false">IF(AND($A614&lt;&gt;"",COUNTIF($A$7:$A$1006,$A614)&gt;1),1,0)</f>
        <v>0</v>
      </c>
    </row>
    <row r="615" customFormat="false" ht="15" hidden="false" customHeight="false" outlineLevel="0" collapsed="false">
      <c r="A615" s="71"/>
      <c r="B615" s="72"/>
      <c r="C615" s="73"/>
      <c r="D615" s="73"/>
      <c r="E615" s="74"/>
      <c r="F615" s="74"/>
      <c r="G615" s="72"/>
      <c r="H615" s="74"/>
      <c r="I615" s="72"/>
      <c r="J615" s="73"/>
      <c r="K615" s="73"/>
      <c r="L615" s="75" t="str">
        <f aca="false">IF(OR($A615&lt;&gt;"",$E615&lt;&gt;""),N($F615)+N($H615),"")</f>
        <v/>
      </c>
      <c r="M615" s="76" t="str">
        <f aca="false">IF(OR($O615="",$O615="Cancelled",$O615="Amount missing"),"",IF($O615="Realised",0,$E615-N($F615)-N($H615)))</f>
        <v/>
      </c>
      <c r="N615" s="77" t="str">
        <f aca="false">IF(OR($M615="",FX=""),"",$M615*FX)</f>
        <v/>
      </c>
      <c r="O615" s="78" t="str">
        <f aca="false">IF(NOT(OR($A615&lt;&gt;"",$E615&lt;&gt;"")),"",IF($J615="Cancelled","Cancelled",IF($E615="","Amount missing",IF(OR($J615="Settled",$E615-N($F615)-N($H615)&lt;=0.005),"Realised",IF(N($H615)&gt;0,"Part realised",IF(N($F615)&gt;0,"Advance received","On hand"))))))</f>
        <v/>
      </c>
      <c r="P615" s="79" t="str">
        <f aca="false">IF(AND($V615=1,ISNUMBER($B615)),AsAt-$B615,"")</f>
        <v/>
      </c>
      <c r="Q615" s="78" t="str">
        <f aca="false">IF($V615&lt;&gt;1,"",IF($P615="","No invoice date",IF($P615&lt;=30,"0–30 days",IF($P615&lt;=60,"31–60 days",IF($P615&lt;=90,"61–90 days","Over 90 days")))))</f>
        <v/>
      </c>
      <c r="R615" s="80" t="str">
        <f aca="false">IF($V615=1,ROW(),"")</f>
        <v/>
      </c>
      <c r="S615" s="80" t="str">
        <f aca="false">IF(OR($A615&lt;&gt;"",$E615&lt;&gt;""),IF(TRIM($D615)="","Buyer not noted",TRIM($D615)),"")</f>
        <v/>
      </c>
      <c r="T615" s="80" t="n">
        <f aca="false">IF(AND($V615=1,ISNUMBER($M615)),$M615,0)</f>
        <v>0</v>
      </c>
      <c r="U615" s="80" t="str">
        <f aca="false">IF($V615=1,IF(COUNTIFS($S$7:$S615,$S615,$V$7:$V615,1)=1,SUMIFS($T$7:$T$1006,$S$7:$S$1006,$S615)-ROW()/1000000000,""),"")</f>
        <v/>
      </c>
      <c r="V615" s="80" t="n">
        <f aca="false">IF(OR($O615="On hand",$O615="Advance received",$O615="Part realised",$O615="Amount missing"),1,0)</f>
        <v>0</v>
      </c>
      <c r="W615" s="80" t="str">
        <f aca="false">IF(AND($V615=1,N($F615)&gt;0),ROW(),"")</f>
        <v/>
      </c>
      <c r="X615" s="80" t="n">
        <f aca="false">IF(AND(OR($A615&lt;&gt;"",$E615&lt;&gt;""),$O615&lt;&gt;"Cancelled",ISNUMBER($E615),N($F615)+N($H615)&gt;$E615+0.005),1,0)</f>
        <v>0</v>
      </c>
      <c r="Y615" s="80" t="n">
        <f aca="false">IF(AND(OR($A615&lt;&gt;"",$E615&lt;&gt;""),OR($A615="",$E615="")),1,0)</f>
        <v>0</v>
      </c>
      <c r="Z615" s="80" t="n">
        <f aca="false">IF(AND($A615&lt;&gt;"",COUNTIF($A$7:$A$1006,$A615)&gt;1),1,0)</f>
        <v>0</v>
      </c>
    </row>
    <row r="616" customFormat="false" ht="15" hidden="false" customHeight="false" outlineLevel="0" collapsed="false">
      <c r="A616" s="71"/>
      <c r="B616" s="72"/>
      <c r="C616" s="73"/>
      <c r="D616" s="73"/>
      <c r="E616" s="74"/>
      <c r="F616" s="74"/>
      <c r="G616" s="72"/>
      <c r="H616" s="74"/>
      <c r="I616" s="72"/>
      <c r="J616" s="73"/>
      <c r="K616" s="73"/>
      <c r="L616" s="75" t="str">
        <f aca="false">IF(OR($A616&lt;&gt;"",$E616&lt;&gt;""),N($F616)+N($H616),"")</f>
        <v/>
      </c>
      <c r="M616" s="76" t="str">
        <f aca="false">IF(OR($O616="",$O616="Cancelled",$O616="Amount missing"),"",IF($O616="Realised",0,$E616-N($F616)-N($H616)))</f>
        <v/>
      </c>
      <c r="N616" s="77" t="str">
        <f aca="false">IF(OR($M616="",FX=""),"",$M616*FX)</f>
        <v/>
      </c>
      <c r="O616" s="78" t="str">
        <f aca="false">IF(NOT(OR($A616&lt;&gt;"",$E616&lt;&gt;"")),"",IF($J616="Cancelled","Cancelled",IF($E616="","Amount missing",IF(OR($J616="Settled",$E616-N($F616)-N($H616)&lt;=0.005),"Realised",IF(N($H616)&gt;0,"Part realised",IF(N($F616)&gt;0,"Advance received","On hand"))))))</f>
        <v/>
      </c>
      <c r="P616" s="79" t="str">
        <f aca="false">IF(AND($V616=1,ISNUMBER($B616)),AsAt-$B616,"")</f>
        <v/>
      </c>
      <c r="Q616" s="78" t="str">
        <f aca="false">IF($V616&lt;&gt;1,"",IF($P616="","No invoice date",IF($P616&lt;=30,"0–30 days",IF($P616&lt;=60,"31–60 days",IF($P616&lt;=90,"61–90 days","Over 90 days")))))</f>
        <v/>
      </c>
      <c r="R616" s="80" t="str">
        <f aca="false">IF($V616=1,ROW(),"")</f>
        <v/>
      </c>
      <c r="S616" s="80" t="str">
        <f aca="false">IF(OR($A616&lt;&gt;"",$E616&lt;&gt;""),IF(TRIM($D616)="","Buyer not noted",TRIM($D616)),"")</f>
        <v/>
      </c>
      <c r="T616" s="80" t="n">
        <f aca="false">IF(AND($V616=1,ISNUMBER($M616)),$M616,0)</f>
        <v>0</v>
      </c>
      <c r="U616" s="80" t="str">
        <f aca="false">IF($V616=1,IF(COUNTIFS($S$7:$S616,$S616,$V$7:$V616,1)=1,SUMIFS($T$7:$T$1006,$S$7:$S$1006,$S616)-ROW()/1000000000,""),"")</f>
        <v/>
      </c>
      <c r="V616" s="80" t="n">
        <f aca="false">IF(OR($O616="On hand",$O616="Advance received",$O616="Part realised",$O616="Amount missing"),1,0)</f>
        <v>0</v>
      </c>
      <c r="W616" s="80" t="str">
        <f aca="false">IF(AND($V616=1,N($F616)&gt;0),ROW(),"")</f>
        <v/>
      </c>
      <c r="X616" s="80" t="n">
        <f aca="false">IF(AND(OR($A616&lt;&gt;"",$E616&lt;&gt;""),$O616&lt;&gt;"Cancelled",ISNUMBER($E616),N($F616)+N($H616)&gt;$E616+0.005),1,0)</f>
        <v>0</v>
      </c>
      <c r="Y616" s="80" t="n">
        <f aca="false">IF(AND(OR($A616&lt;&gt;"",$E616&lt;&gt;""),OR($A616="",$E616="")),1,0)</f>
        <v>0</v>
      </c>
      <c r="Z616" s="80" t="n">
        <f aca="false">IF(AND($A616&lt;&gt;"",COUNTIF($A$7:$A$1006,$A616)&gt;1),1,0)</f>
        <v>0</v>
      </c>
    </row>
    <row r="617" customFormat="false" ht="15" hidden="false" customHeight="false" outlineLevel="0" collapsed="false">
      <c r="A617" s="71"/>
      <c r="B617" s="72"/>
      <c r="C617" s="73"/>
      <c r="D617" s="73"/>
      <c r="E617" s="74"/>
      <c r="F617" s="74"/>
      <c r="G617" s="72"/>
      <c r="H617" s="74"/>
      <c r="I617" s="72"/>
      <c r="J617" s="73"/>
      <c r="K617" s="73"/>
      <c r="L617" s="75" t="str">
        <f aca="false">IF(OR($A617&lt;&gt;"",$E617&lt;&gt;""),N($F617)+N($H617),"")</f>
        <v/>
      </c>
      <c r="M617" s="76" t="str">
        <f aca="false">IF(OR($O617="",$O617="Cancelled",$O617="Amount missing"),"",IF($O617="Realised",0,$E617-N($F617)-N($H617)))</f>
        <v/>
      </c>
      <c r="N617" s="77" t="str">
        <f aca="false">IF(OR($M617="",FX=""),"",$M617*FX)</f>
        <v/>
      </c>
      <c r="O617" s="78" t="str">
        <f aca="false">IF(NOT(OR($A617&lt;&gt;"",$E617&lt;&gt;"")),"",IF($J617="Cancelled","Cancelled",IF($E617="","Amount missing",IF(OR($J617="Settled",$E617-N($F617)-N($H617)&lt;=0.005),"Realised",IF(N($H617)&gt;0,"Part realised",IF(N($F617)&gt;0,"Advance received","On hand"))))))</f>
        <v/>
      </c>
      <c r="P617" s="79" t="str">
        <f aca="false">IF(AND($V617=1,ISNUMBER($B617)),AsAt-$B617,"")</f>
        <v/>
      </c>
      <c r="Q617" s="78" t="str">
        <f aca="false">IF($V617&lt;&gt;1,"",IF($P617="","No invoice date",IF($P617&lt;=30,"0–30 days",IF($P617&lt;=60,"31–60 days",IF($P617&lt;=90,"61–90 days","Over 90 days")))))</f>
        <v/>
      </c>
      <c r="R617" s="80" t="str">
        <f aca="false">IF($V617=1,ROW(),"")</f>
        <v/>
      </c>
      <c r="S617" s="80" t="str">
        <f aca="false">IF(OR($A617&lt;&gt;"",$E617&lt;&gt;""),IF(TRIM($D617)="","Buyer not noted",TRIM($D617)),"")</f>
        <v/>
      </c>
      <c r="T617" s="80" t="n">
        <f aca="false">IF(AND($V617=1,ISNUMBER($M617)),$M617,0)</f>
        <v>0</v>
      </c>
      <c r="U617" s="80" t="str">
        <f aca="false">IF($V617=1,IF(COUNTIFS($S$7:$S617,$S617,$V$7:$V617,1)=1,SUMIFS($T$7:$T$1006,$S$7:$S$1006,$S617)-ROW()/1000000000,""),"")</f>
        <v/>
      </c>
      <c r="V617" s="80" t="n">
        <f aca="false">IF(OR($O617="On hand",$O617="Advance received",$O617="Part realised",$O617="Amount missing"),1,0)</f>
        <v>0</v>
      </c>
      <c r="W617" s="80" t="str">
        <f aca="false">IF(AND($V617=1,N($F617)&gt;0),ROW(),"")</f>
        <v/>
      </c>
      <c r="X617" s="80" t="n">
        <f aca="false">IF(AND(OR($A617&lt;&gt;"",$E617&lt;&gt;""),$O617&lt;&gt;"Cancelled",ISNUMBER($E617),N($F617)+N($H617)&gt;$E617+0.005),1,0)</f>
        <v>0</v>
      </c>
      <c r="Y617" s="80" t="n">
        <f aca="false">IF(AND(OR($A617&lt;&gt;"",$E617&lt;&gt;""),OR($A617="",$E617="")),1,0)</f>
        <v>0</v>
      </c>
      <c r="Z617" s="80" t="n">
        <f aca="false">IF(AND($A617&lt;&gt;"",COUNTIF($A$7:$A$1006,$A617)&gt;1),1,0)</f>
        <v>0</v>
      </c>
    </row>
    <row r="618" customFormat="false" ht="15" hidden="false" customHeight="false" outlineLevel="0" collapsed="false">
      <c r="A618" s="71"/>
      <c r="B618" s="72"/>
      <c r="C618" s="73"/>
      <c r="D618" s="73"/>
      <c r="E618" s="74"/>
      <c r="F618" s="74"/>
      <c r="G618" s="72"/>
      <c r="H618" s="74"/>
      <c r="I618" s="72"/>
      <c r="J618" s="73"/>
      <c r="K618" s="73"/>
      <c r="L618" s="75" t="str">
        <f aca="false">IF(OR($A618&lt;&gt;"",$E618&lt;&gt;""),N($F618)+N($H618),"")</f>
        <v/>
      </c>
      <c r="M618" s="76" t="str">
        <f aca="false">IF(OR($O618="",$O618="Cancelled",$O618="Amount missing"),"",IF($O618="Realised",0,$E618-N($F618)-N($H618)))</f>
        <v/>
      </c>
      <c r="N618" s="77" t="str">
        <f aca="false">IF(OR($M618="",FX=""),"",$M618*FX)</f>
        <v/>
      </c>
      <c r="O618" s="78" t="str">
        <f aca="false">IF(NOT(OR($A618&lt;&gt;"",$E618&lt;&gt;"")),"",IF($J618="Cancelled","Cancelled",IF($E618="","Amount missing",IF(OR($J618="Settled",$E618-N($F618)-N($H618)&lt;=0.005),"Realised",IF(N($H618)&gt;0,"Part realised",IF(N($F618)&gt;0,"Advance received","On hand"))))))</f>
        <v/>
      </c>
      <c r="P618" s="79" t="str">
        <f aca="false">IF(AND($V618=1,ISNUMBER($B618)),AsAt-$B618,"")</f>
        <v/>
      </c>
      <c r="Q618" s="78" t="str">
        <f aca="false">IF($V618&lt;&gt;1,"",IF($P618="","No invoice date",IF($P618&lt;=30,"0–30 days",IF($P618&lt;=60,"31–60 days",IF($P618&lt;=90,"61–90 days","Over 90 days")))))</f>
        <v/>
      </c>
      <c r="R618" s="80" t="str">
        <f aca="false">IF($V618=1,ROW(),"")</f>
        <v/>
      </c>
      <c r="S618" s="80" t="str">
        <f aca="false">IF(OR($A618&lt;&gt;"",$E618&lt;&gt;""),IF(TRIM($D618)="","Buyer not noted",TRIM($D618)),"")</f>
        <v/>
      </c>
      <c r="T618" s="80" t="n">
        <f aca="false">IF(AND($V618=1,ISNUMBER($M618)),$M618,0)</f>
        <v>0</v>
      </c>
      <c r="U618" s="80" t="str">
        <f aca="false">IF($V618=1,IF(COUNTIFS($S$7:$S618,$S618,$V$7:$V618,1)=1,SUMIFS($T$7:$T$1006,$S$7:$S$1006,$S618)-ROW()/1000000000,""),"")</f>
        <v/>
      </c>
      <c r="V618" s="80" t="n">
        <f aca="false">IF(OR($O618="On hand",$O618="Advance received",$O618="Part realised",$O618="Amount missing"),1,0)</f>
        <v>0</v>
      </c>
      <c r="W618" s="80" t="str">
        <f aca="false">IF(AND($V618=1,N($F618)&gt;0),ROW(),"")</f>
        <v/>
      </c>
      <c r="X618" s="80" t="n">
        <f aca="false">IF(AND(OR($A618&lt;&gt;"",$E618&lt;&gt;""),$O618&lt;&gt;"Cancelled",ISNUMBER($E618),N($F618)+N($H618)&gt;$E618+0.005),1,0)</f>
        <v>0</v>
      </c>
      <c r="Y618" s="80" t="n">
        <f aca="false">IF(AND(OR($A618&lt;&gt;"",$E618&lt;&gt;""),OR($A618="",$E618="")),1,0)</f>
        <v>0</v>
      </c>
      <c r="Z618" s="80" t="n">
        <f aca="false">IF(AND($A618&lt;&gt;"",COUNTIF($A$7:$A$1006,$A618)&gt;1),1,0)</f>
        <v>0</v>
      </c>
    </row>
    <row r="619" customFormat="false" ht="15" hidden="false" customHeight="false" outlineLevel="0" collapsed="false">
      <c r="A619" s="71"/>
      <c r="B619" s="72"/>
      <c r="C619" s="73"/>
      <c r="D619" s="73"/>
      <c r="E619" s="74"/>
      <c r="F619" s="74"/>
      <c r="G619" s="72"/>
      <c r="H619" s="74"/>
      <c r="I619" s="72"/>
      <c r="J619" s="73"/>
      <c r="K619" s="73"/>
      <c r="L619" s="75" t="str">
        <f aca="false">IF(OR($A619&lt;&gt;"",$E619&lt;&gt;""),N($F619)+N($H619),"")</f>
        <v/>
      </c>
      <c r="M619" s="76" t="str">
        <f aca="false">IF(OR($O619="",$O619="Cancelled",$O619="Amount missing"),"",IF($O619="Realised",0,$E619-N($F619)-N($H619)))</f>
        <v/>
      </c>
      <c r="N619" s="77" t="str">
        <f aca="false">IF(OR($M619="",FX=""),"",$M619*FX)</f>
        <v/>
      </c>
      <c r="O619" s="78" t="str">
        <f aca="false">IF(NOT(OR($A619&lt;&gt;"",$E619&lt;&gt;"")),"",IF($J619="Cancelled","Cancelled",IF($E619="","Amount missing",IF(OR($J619="Settled",$E619-N($F619)-N($H619)&lt;=0.005),"Realised",IF(N($H619)&gt;0,"Part realised",IF(N($F619)&gt;0,"Advance received","On hand"))))))</f>
        <v/>
      </c>
      <c r="P619" s="79" t="str">
        <f aca="false">IF(AND($V619=1,ISNUMBER($B619)),AsAt-$B619,"")</f>
        <v/>
      </c>
      <c r="Q619" s="78" t="str">
        <f aca="false">IF($V619&lt;&gt;1,"",IF($P619="","No invoice date",IF($P619&lt;=30,"0–30 days",IF($P619&lt;=60,"31–60 days",IF($P619&lt;=90,"61–90 days","Over 90 days")))))</f>
        <v/>
      </c>
      <c r="R619" s="80" t="str">
        <f aca="false">IF($V619=1,ROW(),"")</f>
        <v/>
      </c>
      <c r="S619" s="80" t="str">
        <f aca="false">IF(OR($A619&lt;&gt;"",$E619&lt;&gt;""),IF(TRIM($D619)="","Buyer not noted",TRIM($D619)),"")</f>
        <v/>
      </c>
      <c r="T619" s="80" t="n">
        <f aca="false">IF(AND($V619=1,ISNUMBER($M619)),$M619,0)</f>
        <v>0</v>
      </c>
      <c r="U619" s="80" t="str">
        <f aca="false">IF($V619=1,IF(COUNTIFS($S$7:$S619,$S619,$V$7:$V619,1)=1,SUMIFS($T$7:$T$1006,$S$7:$S$1006,$S619)-ROW()/1000000000,""),"")</f>
        <v/>
      </c>
      <c r="V619" s="80" t="n">
        <f aca="false">IF(OR($O619="On hand",$O619="Advance received",$O619="Part realised",$O619="Amount missing"),1,0)</f>
        <v>0</v>
      </c>
      <c r="W619" s="80" t="str">
        <f aca="false">IF(AND($V619=1,N($F619)&gt;0),ROW(),"")</f>
        <v/>
      </c>
      <c r="X619" s="80" t="n">
        <f aca="false">IF(AND(OR($A619&lt;&gt;"",$E619&lt;&gt;""),$O619&lt;&gt;"Cancelled",ISNUMBER($E619),N($F619)+N($H619)&gt;$E619+0.005),1,0)</f>
        <v>0</v>
      </c>
      <c r="Y619" s="80" t="n">
        <f aca="false">IF(AND(OR($A619&lt;&gt;"",$E619&lt;&gt;""),OR($A619="",$E619="")),1,0)</f>
        <v>0</v>
      </c>
      <c r="Z619" s="80" t="n">
        <f aca="false">IF(AND($A619&lt;&gt;"",COUNTIF($A$7:$A$1006,$A619)&gt;1),1,0)</f>
        <v>0</v>
      </c>
    </row>
    <row r="620" customFormat="false" ht="15" hidden="false" customHeight="false" outlineLevel="0" collapsed="false">
      <c r="A620" s="71"/>
      <c r="B620" s="72"/>
      <c r="C620" s="73"/>
      <c r="D620" s="73"/>
      <c r="E620" s="74"/>
      <c r="F620" s="74"/>
      <c r="G620" s="72"/>
      <c r="H620" s="74"/>
      <c r="I620" s="72"/>
      <c r="J620" s="73"/>
      <c r="K620" s="73"/>
      <c r="L620" s="75" t="str">
        <f aca="false">IF(OR($A620&lt;&gt;"",$E620&lt;&gt;""),N($F620)+N($H620),"")</f>
        <v/>
      </c>
      <c r="M620" s="76" t="str">
        <f aca="false">IF(OR($O620="",$O620="Cancelled",$O620="Amount missing"),"",IF($O620="Realised",0,$E620-N($F620)-N($H620)))</f>
        <v/>
      </c>
      <c r="N620" s="77" t="str">
        <f aca="false">IF(OR($M620="",FX=""),"",$M620*FX)</f>
        <v/>
      </c>
      <c r="O620" s="78" t="str">
        <f aca="false">IF(NOT(OR($A620&lt;&gt;"",$E620&lt;&gt;"")),"",IF($J620="Cancelled","Cancelled",IF($E620="","Amount missing",IF(OR($J620="Settled",$E620-N($F620)-N($H620)&lt;=0.005),"Realised",IF(N($H620)&gt;0,"Part realised",IF(N($F620)&gt;0,"Advance received","On hand"))))))</f>
        <v/>
      </c>
      <c r="P620" s="79" t="str">
        <f aca="false">IF(AND($V620=1,ISNUMBER($B620)),AsAt-$B620,"")</f>
        <v/>
      </c>
      <c r="Q620" s="78" t="str">
        <f aca="false">IF($V620&lt;&gt;1,"",IF($P620="","No invoice date",IF($P620&lt;=30,"0–30 days",IF($P620&lt;=60,"31–60 days",IF($P620&lt;=90,"61–90 days","Over 90 days")))))</f>
        <v/>
      </c>
      <c r="R620" s="80" t="str">
        <f aca="false">IF($V620=1,ROW(),"")</f>
        <v/>
      </c>
      <c r="S620" s="80" t="str">
        <f aca="false">IF(OR($A620&lt;&gt;"",$E620&lt;&gt;""),IF(TRIM($D620)="","Buyer not noted",TRIM($D620)),"")</f>
        <v/>
      </c>
      <c r="T620" s="80" t="n">
        <f aca="false">IF(AND($V620=1,ISNUMBER($M620)),$M620,0)</f>
        <v>0</v>
      </c>
      <c r="U620" s="80" t="str">
        <f aca="false">IF($V620=1,IF(COUNTIFS($S$7:$S620,$S620,$V$7:$V620,1)=1,SUMIFS($T$7:$T$1006,$S$7:$S$1006,$S620)-ROW()/1000000000,""),"")</f>
        <v/>
      </c>
      <c r="V620" s="80" t="n">
        <f aca="false">IF(OR($O620="On hand",$O620="Advance received",$O620="Part realised",$O620="Amount missing"),1,0)</f>
        <v>0</v>
      </c>
      <c r="W620" s="80" t="str">
        <f aca="false">IF(AND($V620=1,N($F620)&gt;0),ROW(),"")</f>
        <v/>
      </c>
      <c r="X620" s="80" t="n">
        <f aca="false">IF(AND(OR($A620&lt;&gt;"",$E620&lt;&gt;""),$O620&lt;&gt;"Cancelled",ISNUMBER($E620),N($F620)+N($H620)&gt;$E620+0.005),1,0)</f>
        <v>0</v>
      </c>
      <c r="Y620" s="80" t="n">
        <f aca="false">IF(AND(OR($A620&lt;&gt;"",$E620&lt;&gt;""),OR($A620="",$E620="")),1,0)</f>
        <v>0</v>
      </c>
      <c r="Z620" s="80" t="n">
        <f aca="false">IF(AND($A620&lt;&gt;"",COUNTIF($A$7:$A$1006,$A620)&gt;1),1,0)</f>
        <v>0</v>
      </c>
    </row>
    <row r="621" customFormat="false" ht="15" hidden="false" customHeight="false" outlineLevel="0" collapsed="false">
      <c r="A621" s="71"/>
      <c r="B621" s="72"/>
      <c r="C621" s="73"/>
      <c r="D621" s="73"/>
      <c r="E621" s="74"/>
      <c r="F621" s="74"/>
      <c r="G621" s="72"/>
      <c r="H621" s="74"/>
      <c r="I621" s="72"/>
      <c r="J621" s="73"/>
      <c r="K621" s="73"/>
      <c r="L621" s="75" t="str">
        <f aca="false">IF(OR($A621&lt;&gt;"",$E621&lt;&gt;""),N($F621)+N($H621),"")</f>
        <v/>
      </c>
      <c r="M621" s="76" t="str">
        <f aca="false">IF(OR($O621="",$O621="Cancelled",$O621="Amount missing"),"",IF($O621="Realised",0,$E621-N($F621)-N($H621)))</f>
        <v/>
      </c>
      <c r="N621" s="77" t="str">
        <f aca="false">IF(OR($M621="",FX=""),"",$M621*FX)</f>
        <v/>
      </c>
      <c r="O621" s="78" t="str">
        <f aca="false">IF(NOT(OR($A621&lt;&gt;"",$E621&lt;&gt;"")),"",IF($J621="Cancelled","Cancelled",IF($E621="","Amount missing",IF(OR($J621="Settled",$E621-N($F621)-N($H621)&lt;=0.005),"Realised",IF(N($H621)&gt;0,"Part realised",IF(N($F621)&gt;0,"Advance received","On hand"))))))</f>
        <v/>
      </c>
      <c r="P621" s="79" t="str">
        <f aca="false">IF(AND($V621=1,ISNUMBER($B621)),AsAt-$B621,"")</f>
        <v/>
      </c>
      <c r="Q621" s="78" t="str">
        <f aca="false">IF($V621&lt;&gt;1,"",IF($P621="","No invoice date",IF($P621&lt;=30,"0–30 days",IF($P621&lt;=60,"31–60 days",IF($P621&lt;=90,"61–90 days","Over 90 days")))))</f>
        <v/>
      </c>
      <c r="R621" s="80" t="str">
        <f aca="false">IF($V621=1,ROW(),"")</f>
        <v/>
      </c>
      <c r="S621" s="80" t="str">
        <f aca="false">IF(OR($A621&lt;&gt;"",$E621&lt;&gt;""),IF(TRIM($D621)="","Buyer not noted",TRIM($D621)),"")</f>
        <v/>
      </c>
      <c r="T621" s="80" t="n">
        <f aca="false">IF(AND($V621=1,ISNUMBER($M621)),$M621,0)</f>
        <v>0</v>
      </c>
      <c r="U621" s="80" t="str">
        <f aca="false">IF($V621=1,IF(COUNTIFS($S$7:$S621,$S621,$V$7:$V621,1)=1,SUMIFS($T$7:$T$1006,$S$7:$S$1006,$S621)-ROW()/1000000000,""),"")</f>
        <v/>
      </c>
      <c r="V621" s="80" t="n">
        <f aca="false">IF(OR($O621="On hand",$O621="Advance received",$O621="Part realised",$O621="Amount missing"),1,0)</f>
        <v>0</v>
      </c>
      <c r="W621" s="80" t="str">
        <f aca="false">IF(AND($V621=1,N($F621)&gt;0),ROW(),"")</f>
        <v/>
      </c>
      <c r="X621" s="80" t="n">
        <f aca="false">IF(AND(OR($A621&lt;&gt;"",$E621&lt;&gt;""),$O621&lt;&gt;"Cancelled",ISNUMBER($E621),N($F621)+N($H621)&gt;$E621+0.005),1,0)</f>
        <v>0</v>
      </c>
      <c r="Y621" s="80" t="n">
        <f aca="false">IF(AND(OR($A621&lt;&gt;"",$E621&lt;&gt;""),OR($A621="",$E621="")),1,0)</f>
        <v>0</v>
      </c>
      <c r="Z621" s="80" t="n">
        <f aca="false">IF(AND($A621&lt;&gt;"",COUNTIF($A$7:$A$1006,$A621)&gt;1),1,0)</f>
        <v>0</v>
      </c>
    </row>
    <row r="622" customFormat="false" ht="15" hidden="false" customHeight="false" outlineLevel="0" collapsed="false">
      <c r="A622" s="71"/>
      <c r="B622" s="72"/>
      <c r="C622" s="73"/>
      <c r="D622" s="73"/>
      <c r="E622" s="74"/>
      <c r="F622" s="74"/>
      <c r="G622" s="72"/>
      <c r="H622" s="74"/>
      <c r="I622" s="72"/>
      <c r="J622" s="73"/>
      <c r="K622" s="73"/>
      <c r="L622" s="75" t="str">
        <f aca="false">IF(OR($A622&lt;&gt;"",$E622&lt;&gt;""),N($F622)+N($H622),"")</f>
        <v/>
      </c>
      <c r="M622" s="76" t="str">
        <f aca="false">IF(OR($O622="",$O622="Cancelled",$O622="Amount missing"),"",IF($O622="Realised",0,$E622-N($F622)-N($H622)))</f>
        <v/>
      </c>
      <c r="N622" s="77" t="str">
        <f aca="false">IF(OR($M622="",FX=""),"",$M622*FX)</f>
        <v/>
      </c>
      <c r="O622" s="78" t="str">
        <f aca="false">IF(NOT(OR($A622&lt;&gt;"",$E622&lt;&gt;"")),"",IF($J622="Cancelled","Cancelled",IF($E622="","Amount missing",IF(OR($J622="Settled",$E622-N($F622)-N($H622)&lt;=0.005),"Realised",IF(N($H622)&gt;0,"Part realised",IF(N($F622)&gt;0,"Advance received","On hand"))))))</f>
        <v/>
      </c>
      <c r="P622" s="79" t="str">
        <f aca="false">IF(AND($V622=1,ISNUMBER($B622)),AsAt-$B622,"")</f>
        <v/>
      </c>
      <c r="Q622" s="78" t="str">
        <f aca="false">IF($V622&lt;&gt;1,"",IF($P622="","No invoice date",IF($P622&lt;=30,"0–30 days",IF($P622&lt;=60,"31–60 days",IF($P622&lt;=90,"61–90 days","Over 90 days")))))</f>
        <v/>
      </c>
      <c r="R622" s="80" t="str">
        <f aca="false">IF($V622=1,ROW(),"")</f>
        <v/>
      </c>
      <c r="S622" s="80" t="str">
        <f aca="false">IF(OR($A622&lt;&gt;"",$E622&lt;&gt;""),IF(TRIM($D622)="","Buyer not noted",TRIM($D622)),"")</f>
        <v/>
      </c>
      <c r="T622" s="80" t="n">
        <f aca="false">IF(AND($V622=1,ISNUMBER($M622)),$M622,0)</f>
        <v>0</v>
      </c>
      <c r="U622" s="80" t="str">
        <f aca="false">IF($V622=1,IF(COUNTIFS($S$7:$S622,$S622,$V$7:$V622,1)=1,SUMIFS($T$7:$T$1006,$S$7:$S$1006,$S622)-ROW()/1000000000,""),"")</f>
        <v/>
      </c>
      <c r="V622" s="80" t="n">
        <f aca="false">IF(OR($O622="On hand",$O622="Advance received",$O622="Part realised",$O622="Amount missing"),1,0)</f>
        <v>0</v>
      </c>
      <c r="W622" s="80" t="str">
        <f aca="false">IF(AND($V622=1,N($F622)&gt;0),ROW(),"")</f>
        <v/>
      </c>
      <c r="X622" s="80" t="n">
        <f aca="false">IF(AND(OR($A622&lt;&gt;"",$E622&lt;&gt;""),$O622&lt;&gt;"Cancelled",ISNUMBER($E622),N($F622)+N($H622)&gt;$E622+0.005),1,0)</f>
        <v>0</v>
      </c>
      <c r="Y622" s="80" t="n">
        <f aca="false">IF(AND(OR($A622&lt;&gt;"",$E622&lt;&gt;""),OR($A622="",$E622="")),1,0)</f>
        <v>0</v>
      </c>
      <c r="Z622" s="80" t="n">
        <f aca="false">IF(AND($A622&lt;&gt;"",COUNTIF($A$7:$A$1006,$A622)&gt;1),1,0)</f>
        <v>0</v>
      </c>
    </row>
    <row r="623" customFormat="false" ht="15" hidden="false" customHeight="false" outlineLevel="0" collapsed="false">
      <c r="A623" s="71"/>
      <c r="B623" s="72"/>
      <c r="C623" s="73"/>
      <c r="D623" s="73"/>
      <c r="E623" s="74"/>
      <c r="F623" s="74"/>
      <c r="G623" s="72"/>
      <c r="H623" s="74"/>
      <c r="I623" s="72"/>
      <c r="J623" s="73"/>
      <c r="K623" s="73"/>
      <c r="L623" s="75" t="str">
        <f aca="false">IF(OR($A623&lt;&gt;"",$E623&lt;&gt;""),N($F623)+N($H623),"")</f>
        <v/>
      </c>
      <c r="M623" s="76" t="str">
        <f aca="false">IF(OR($O623="",$O623="Cancelled",$O623="Amount missing"),"",IF($O623="Realised",0,$E623-N($F623)-N($H623)))</f>
        <v/>
      </c>
      <c r="N623" s="77" t="str">
        <f aca="false">IF(OR($M623="",FX=""),"",$M623*FX)</f>
        <v/>
      </c>
      <c r="O623" s="78" t="str">
        <f aca="false">IF(NOT(OR($A623&lt;&gt;"",$E623&lt;&gt;"")),"",IF($J623="Cancelled","Cancelled",IF($E623="","Amount missing",IF(OR($J623="Settled",$E623-N($F623)-N($H623)&lt;=0.005),"Realised",IF(N($H623)&gt;0,"Part realised",IF(N($F623)&gt;0,"Advance received","On hand"))))))</f>
        <v/>
      </c>
      <c r="P623" s="79" t="str">
        <f aca="false">IF(AND($V623=1,ISNUMBER($B623)),AsAt-$B623,"")</f>
        <v/>
      </c>
      <c r="Q623" s="78" t="str">
        <f aca="false">IF($V623&lt;&gt;1,"",IF($P623="","No invoice date",IF($P623&lt;=30,"0–30 days",IF($P623&lt;=60,"31–60 days",IF($P623&lt;=90,"61–90 days","Over 90 days")))))</f>
        <v/>
      </c>
      <c r="R623" s="80" t="str">
        <f aca="false">IF($V623=1,ROW(),"")</f>
        <v/>
      </c>
      <c r="S623" s="80" t="str">
        <f aca="false">IF(OR($A623&lt;&gt;"",$E623&lt;&gt;""),IF(TRIM($D623)="","Buyer not noted",TRIM($D623)),"")</f>
        <v/>
      </c>
      <c r="T623" s="80" t="n">
        <f aca="false">IF(AND($V623=1,ISNUMBER($M623)),$M623,0)</f>
        <v>0</v>
      </c>
      <c r="U623" s="80" t="str">
        <f aca="false">IF($V623=1,IF(COUNTIFS($S$7:$S623,$S623,$V$7:$V623,1)=1,SUMIFS($T$7:$T$1006,$S$7:$S$1006,$S623)-ROW()/1000000000,""),"")</f>
        <v/>
      </c>
      <c r="V623" s="80" t="n">
        <f aca="false">IF(OR($O623="On hand",$O623="Advance received",$O623="Part realised",$O623="Amount missing"),1,0)</f>
        <v>0</v>
      </c>
      <c r="W623" s="80" t="str">
        <f aca="false">IF(AND($V623=1,N($F623)&gt;0),ROW(),"")</f>
        <v/>
      </c>
      <c r="X623" s="80" t="n">
        <f aca="false">IF(AND(OR($A623&lt;&gt;"",$E623&lt;&gt;""),$O623&lt;&gt;"Cancelled",ISNUMBER($E623),N($F623)+N($H623)&gt;$E623+0.005),1,0)</f>
        <v>0</v>
      </c>
      <c r="Y623" s="80" t="n">
        <f aca="false">IF(AND(OR($A623&lt;&gt;"",$E623&lt;&gt;""),OR($A623="",$E623="")),1,0)</f>
        <v>0</v>
      </c>
      <c r="Z623" s="80" t="n">
        <f aca="false">IF(AND($A623&lt;&gt;"",COUNTIF($A$7:$A$1006,$A623)&gt;1),1,0)</f>
        <v>0</v>
      </c>
    </row>
    <row r="624" customFormat="false" ht="15" hidden="false" customHeight="false" outlineLevel="0" collapsed="false">
      <c r="A624" s="71"/>
      <c r="B624" s="72"/>
      <c r="C624" s="73"/>
      <c r="D624" s="73"/>
      <c r="E624" s="74"/>
      <c r="F624" s="74"/>
      <c r="G624" s="72"/>
      <c r="H624" s="74"/>
      <c r="I624" s="72"/>
      <c r="J624" s="73"/>
      <c r="K624" s="73"/>
      <c r="L624" s="75" t="str">
        <f aca="false">IF(OR($A624&lt;&gt;"",$E624&lt;&gt;""),N($F624)+N($H624),"")</f>
        <v/>
      </c>
      <c r="M624" s="76" t="str">
        <f aca="false">IF(OR($O624="",$O624="Cancelled",$O624="Amount missing"),"",IF($O624="Realised",0,$E624-N($F624)-N($H624)))</f>
        <v/>
      </c>
      <c r="N624" s="77" t="str">
        <f aca="false">IF(OR($M624="",FX=""),"",$M624*FX)</f>
        <v/>
      </c>
      <c r="O624" s="78" t="str">
        <f aca="false">IF(NOT(OR($A624&lt;&gt;"",$E624&lt;&gt;"")),"",IF($J624="Cancelled","Cancelled",IF($E624="","Amount missing",IF(OR($J624="Settled",$E624-N($F624)-N($H624)&lt;=0.005),"Realised",IF(N($H624)&gt;0,"Part realised",IF(N($F624)&gt;0,"Advance received","On hand"))))))</f>
        <v/>
      </c>
      <c r="P624" s="79" t="str">
        <f aca="false">IF(AND($V624=1,ISNUMBER($B624)),AsAt-$B624,"")</f>
        <v/>
      </c>
      <c r="Q624" s="78" t="str">
        <f aca="false">IF($V624&lt;&gt;1,"",IF($P624="","No invoice date",IF($P624&lt;=30,"0–30 days",IF($P624&lt;=60,"31–60 days",IF($P624&lt;=90,"61–90 days","Over 90 days")))))</f>
        <v/>
      </c>
      <c r="R624" s="80" t="str">
        <f aca="false">IF($V624=1,ROW(),"")</f>
        <v/>
      </c>
      <c r="S624" s="80" t="str">
        <f aca="false">IF(OR($A624&lt;&gt;"",$E624&lt;&gt;""),IF(TRIM($D624)="","Buyer not noted",TRIM($D624)),"")</f>
        <v/>
      </c>
      <c r="T624" s="80" t="n">
        <f aca="false">IF(AND($V624=1,ISNUMBER($M624)),$M624,0)</f>
        <v>0</v>
      </c>
      <c r="U624" s="80" t="str">
        <f aca="false">IF($V624=1,IF(COUNTIFS($S$7:$S624,$S624,$V$7:$V624,1)=1,SUMIFS($T$7:$T$1006,$S$7:$S$1006,$S624)-ROW()/1000000000,""),"")</f>
        <v/>
      </c>
      <c r="V624" s="80" t="n">
        <f aca="false">IF(OR($O624="On hand",$O624="Advance received",$O624="Part realised",$O624="Amount missing"),1,0)</f>
        <v>0</v>
      </c>
      <c r="W624" s="80" t="str">
        <f aca="false">IF(AND($V624=1,N($F624)&gt;0),ROW(),"")</f>
        <v/>
      </c>
      <c r="X624" s="80" t="n">
        <f aca="false">IF(AND(OR($A624&lt;&gt;"",$E624&lt;&gt;""),$O624&lt;&gt;"Cancelled",ISNUMBER($E624),N($F624)+N($H624)&gt;$E624+0.005),1,0)</f>
        <v>0</v>
      </c>
      <c r="Y624" s="80" t="n">
        <f aca="false">IF(AND(OR($A624&lt;&gt;"",$E624&lt;&gt;""),OR($A624="",$E624="")),1,0)</f>
        <v>0</v>
      </c>
      <c r="Z624" s="80" t="n">
        <f aca="false">IF(AND($A624&lt;&gt;"",COUNTIF($A$7:$A$1006,$A624)&gt;1),1,0)</f>
        <v>0</v>
      </c>
    </row>
    <row r="625" customFormat="false" ht="15" hidden="false" customHeight="false" outlineLevel="0" collapsed="false">
      <c r="A625" s="71"/>
      <c r="B625" s="72"/>
      <c r="C625" s="73"/>
      <c r="D625" s="73"/>
      <c r="E625" s="74"/>
      <c r="F625" s="74"/>
      <c r="G625" s="72"/>
      <c r="H625" s="74"/>
      <c r="I625" s="72"/>
      <c r="J625" s="73"/>
      <c r="K625" s="73"/>
      <c r="L625" s="75" t="str">
        <f aca="false">IF(OR($A625&lt;&gt;"",$E625&lt;&gt;""),N($F625)+N($H625),"")</f>
        <v/>
      </c>
      <c r="M625" s="76" t="str">
        <f aca="false">IF(OR($O625="",$O625="Cancelled",$O625="Amount missing"),"",IF($O625="Realised",0,$E625-N($F625)-N($H625)))</f>
        <v/>
      </c>
      <c r="N625" s="77" t="str">
        <f aca="false">IF(OR($M625="",FX=""),"",$M625*FX)</f>
        <v/>
      </c>
      <c r="O625" s="78" t="str">
        <f aca="false">IF(NOT(OR($A625&lt;&gt;"",$E625&lt;&gt;"")),"",IF($J625="Cancelled","Cancelled",IF($E625="","Amount missing",IF(OR($J625="Settled",$E625-N($F625)-N($H625)&lt;=0.005),"Realised",IF(N($H625)&gt;0,"Part realised",IF(N($F625)&gt;0,"Advance received","On hand"))))))</f>
        <v/>
      </c>
      <c r="P625" s="79" t="str">
        <f aca="false">IF(AND($V625=1,ISNUMBER($B625)),AsAt-$B625,"")</f>
        <v/>
      </c>
      <c r="Q625" s="78" t="str">
        <f aca="false">IF($V625&lt;&gt;1,"",IF($P625="","No invoice date",IF($P625&lt;=30,"0–30 days",IF($P625&lt;=60,"31–60 days",IF($P625&lt;=90,"61–90 days","Over 90 days")))))</f>
        <v/>
      </c>
      <c r="R625" s="80" t="str">
        <f aca="false">IF($V625=1,ROW(),"")</f>
        <v/>
      </c>
      <c r="S625" s="80" t="str">
        <f aca="false">IF(OR($A625&lt;&gt;"",$E625&lt;&gt;""),IF(TRIM($D625)="","Buyer not noted",TRIM($D625)),"")</f>
        <v/>
      </c>
      <c r="T625" s="80" t="n">
        <f aca="false">IF(AND($V625=1,ISNUMBER($M625)),$M625,0)</f>
        <v>0</v>
      </c>
      <c r="U625" s="80" t="str">
        <f aca="false">IF($V625=1,IF(COUNTIFS($S$7:$S625,$S625,$V$7:$V625,1)=1,SUMIFS($T$7:$T$1006,$S$7:$S$1006,$S625)-ROW()/1000000000,""),"")</f>
        <v/>
      </c>
      <c r="V625" s="80" t="n">
        <f aca="false">IF(OR($O625="On hand",$O625="Advance received",$O625="Part realised",$O625="Amount missing"),1,0)</f>
        <v>0</v>
      </c>
      <c r="W625" s="80" t="str">
        <f aca="false">IF(AND($V625=1,N($F625)&gt;0),ROW(),"")</f>
        <v/>
      </c>
      <c r="X625" s="80" t="n">
        <f aca="false">IF(AND(OR($A625&lt;&gt;"",$E625&lt;&gt;""),$O625&lt;&gt;"Cancelled",ISNUMBER($E625),N($F625)+N($H625)&gt;$E625+0.005),1,0)</f>
        <v>0</v>
      </c>
      <c r="Y625" s="80" t="n">
        <f aca="false">IF(AND(OR($A625&lt;&gt;"",$E625&lt;&gt;""),OR($A625="",$E625="")),1,0)</f>
        <v>0</v>
      </c>
      <c r="Z625" s="80" t="n">
        <f aca="false">IF(AND($A625&lt;&gt;"",COUNTIF($A$7:$A$1006,$A625)&gt;1),1,0)</f>
        <v>0</v>
      </c>
    </row>
    <row r="626" customFormat="false" ht="15" hidden="false" customHeight="false" outlineLevel="0" collapsed="false">
      <c r="A626" s="71"/>
      <c r="B626" s="72"/>
      <c r="C626" s="73"/>
      <c r="D626" s="73"/>
      <c r="E626" s="74"/>
      <c r="F626" s="74"/>
      <c r="G626" s="72"/>
      <c r="H626" s="74"/>
      <c r="I626" s="72"/>
      <c r="J626" s="73"/>
      <c r="K626" s="73"/>
      <c r="L626" s="75" t="str">
        <f aca="false">IF(OR($A626&lt;&gt;"",$E626&lt;&gt;""),N($F626)+N($H626),"")</f>
        <v/>
      </c>
      <c r="M626" s="76" t="str">
        <f aca="false">IF(OR($O626="",$O626="Cancelled",$O626="Amount missing"),"",IF($O626="Realised",0,$E626-N($F626)-N($H626)))</f>
        <v/>
      </c>
      <c r="N626" s="77" t="str">
        <f aca="false">IF(OR($M626="",FX=""),"",$M626*FX)</f>
        <v/>
      </c>
      <c r="O626" s="78" t="str">
        <f aca="false">IF(NOT(OR($A626&lt;&gt;"",$E626&lt;&gt;"")),"",IF($J626="Cancelled","Cancelled",IF($E626="","Amount missing",IF(OR($J626="Settled",$E626-N($F626)-N($H626)&lt;=0.005),"Realised",IF(N($H626)&gt;0,"Part realised",IF(N($F626)&gt;0,"Advance received","On hand"))))))</f>
        <v/>
      </c>
      <c r="P626" s="79" t="str">
        <f aca="false">IF(AND($V626=1,ISNUMBER($B626)),AsAt-$B626,"")</f>
        <v/>
      </c>
      <c r="Q626" s="78" t="str">
        <f aca="false">IF($V626&lt;&gt;1,"",IF($P626="","No invoice date",IF($P626&lt;=30,"0–30 days",IF($P626&lt;=60,"31–60 days",IF($P626&lt;=90,"61–90 days","Over 90 days")))))</f>
        <v/>
      </c>
      <c r="R626" s="80" t="str">
        <f aca="false">IF($V626=1,ROW(),"")</f>
        <v/>
      </c>
      <c r="S626" s="80" t="str">
        <f aca="false">IF(OR($A626&lt;&gt;"",$E626&lt;&gt;""),IF(TRIM($D626)="","Buyer not noted",TRIM($D626)),"")</f>
        <v/>
      </c>
      <c r="T626" s="80" t="n">
        <f aca="false">IF(AND($V626=1,ISNUMBER($M626)),$M626,0)</f>
        <v>0</v>
      </c>
      <c r="U626" s="80" t="str">
        <f aca="false">IF($V626=1,IF(COUNTIFS($S$7:$S626,$S626,$V$7:$V626,1)=1,SUMIFS($T$7:$T$1006,$S$7:$S$1006,$S626)-ROW()/1000000000,""),"")</f>
        <v/>
      </c>
      <c r="V626" s="80" t="n">
        <f aca="false">IF(OR($O626="On hand",$O626="Advance received",$O626="Part realised",$O626="Amount missing"),1,0)</f>
        <v>0</v>
      </c>
      <c r="W626" s="80" t="str">
        <f aca="false">IF(AND($V626=1,N($F626)&gt;0),ROW(),"")</f>
        <v/>
      </c>
      <c r="X626" s="80" t="n">
        <f aca="false">IF(AND(OR($A626&lt;&gt;"",$E626&lt;&gt;""),$O626&lt;&gt;"Cancelled",ISNUMBER($E626),N($F626)+N($H626)&gt;$E626+0.005),1,0)</f>
        <v>0</v>
      </c>
      <c r="Y626" s="80" t="n">
        <f aca="false">IF(AND(OR($A626&lt;&gt;"",$E626&lt;&gt;""),OR($A626="",$E626="")),1,0)</f>
        <v>0</v>
      </c>
      <c r="Z626" s="80" t="n">
        <f aca="false">IF(AND($A626&lt;&gt;"",COUNTIF($A$7:$A$1006,$A626)&gt;1),1,0)</f>
        <v>0</v>
      </c>
    </row>
    <row r="627" customFormat="false" ht="15" hidden="false" customHeight="false" outlineLevel="0" collapsed="false">
      <c r="A627" s="71"/>
      <c r="B627" s="72"/>
      <c r="C627" s="73"/>
      <c r="D627" s="73"/>
      <c r="E627" s="74"/>
      <c r="F627" s="74"/>
      <c r="G627" s="72"/>
      <c r="H627" s="74"/>
      <c r="I627" s="72"/>
      <c r="J627" s="73"/>
      <c r="K627" s="73"/>
      <c r="L627" s="75" t="str">
        <f aca="false">IF(OR($A627&lt;&gt;"",$E627&lt;&gt;""),N($F627)+N($H627),"")</f>
        <v/>
      </c>
      <c r="M627" s="76" t="str">
        <f aca="false">IF(OR($O627="",$O627="Cancelled",$O627="Amount missing"),"",IF($O627="Realised",0,$E627-N($F627)-N($H627)))</f>
        <v/>
      </c>
      <c r="N627" s="77" t="str">
        <f aca="false">IF(OR($M627="",FX=""),"",$M627*FX)</f>
        <v/>
      </c>
      <c r="O627" s="78" t="str">
        <f aca="false">IF(NOT(OR($A627&lt;&gt;"",$E627&lt;&gt;"")),"",IF($J627="Cancelled","Cancelled",IF($E627="","Amount missing",IF(OR($J627="Settled",$E627-N($F627)-N($H627)&lt;=0.005),"Realised",IF(N($H627)&gt;0,"Part realised",IF(N($F627)&gt;0,"Advance received","On hand"))))))</f>
        <v/>
      </c>
      <c r="P627" s="79" t="str">
        <f aca="false">IF(AND($V627=1,ISNUMBER($B627)),AsAt-$B627,"")</f>
        <v/>
      </c>
      <c r="Q627" s="78" t="str">
        <f aca="false">IF($V627&lt;&gt;1,"",IF($P627="","No invoice date",IF($P627&lt;=30,"0–30 days",IF($P627&lt;=60,"31–60 days",IF($P627&lt;=90,"61–90 days","Over 90 days")))))</f>
        <v/>
      </c>
      <c r="R627" s="80" t="str">
        <f aca="false">IF($V627=1,ROW(),"")</f>
        <v/>
      </c>
      <c r="S627" s="80" t="str">
        <f aca="false">IF(OR($A627&lt;&gt;"",$E627&lt;&gt;""),IF(TRIM($D627)="","Buyer not noted",TRIM($D627)),"")</f>
        <v/>
      </c>
      <c r="T627" s="80" t="n">
        <f aca="false">IF(AND($V627=1,ISNUMBER($M627)),$M627,0)</f>
        <v>0</v>
      </c>
      <c r="U627" s="80" t="str">
        <f aca="false">IF($V627=1,IF(COUNTIFS($S$7:$S627,$S627,$V$7:$V627,1)=1,SUMIFS($T$7:$T$1006,$S$7:$S$1006,$S627)-ROW()/1000000000,""),"")</f>
        <v/>
      </c>
      <c r="V627" s="80" t="n">
        <f aca="false">IF(OR($O627="On hand",$O627="Advance received",$O627="Part realised",$O627="Amount missing"),1,0)</f>
        <v>0</v>
      </c>
      <c r="W627" s="80" t="str">
        <f aca="false">IF(AND($V627=1,N($F627)&gt;0),ROW(),"")</f>
        <v/>
      </c>
      <c r="X627" s="80" t="n">
        <f aca="false">IF(AND(OR($A627&lt;&gt;"",$E627&lt;&gt;""),$O627&lt;&gt;"Cancelled",ISNUMBER($E627),N($F627)+N($H627)&gt;$E627+0.005),1,0)</f>
        <v>0</v>
      </c>
      <c r="Y627" s="80" t="n">
        <f aca="false">IF(AND(OR($A627&lt;&gt;"",$E627&lt;&gt;""),OR($A627="",$E627="")),1,0)</f>
        <v>0</v>
      </c>
      <c r="Z627" s="80" t="n">
        <f aca="false">IF(AND($A627&lt;&gt;"",COUNTIF($A$7:$A$1006,$A627)&gt;1),1,0)</f>
        <v>0</v>
      </c>
    </row>
    <row r="628" customFormat="false" ht="15" hidden="false" customHeight="false" outlineLevel="0" collapsed="false">
      <c r="A628" s="71"/>
      <c r="B628" s="72"/>
      <c r="C628" s="73"/>
      <c r="D628" s="73"/>
      <c r="E628" s="74"/>
      <c r="F628" s="74"/>
      <c r="G628" s="72"/>
      <c r="H628" s="74"/>
      <c r="I628" s="72"/>
      <c r="J628" s="73"/>
      <c r="K628" s="73"/>
      <c r="L628" s="75" t="str">
        <f aca="false">IF(OR($A628&lt;&gt;"",$E628&lt;&gt;""),N($F628)+N($H628),"")</f>
        <v/>
      </c>
      <c r="M628" s="76" t="str">
        <f aca="false">IF(OR($O628="",$O628="Cancelled",$O628="Amount missing"),"",IF($O628="Realised",0,$E628-N($F628)-N($H628)))</f>
        <v/>
      </c>
      <c r="N628" s="77" t="str">
        <f aca="false">IF(OR($M628="",FX=""),"",$M628*FX)</f>
        <v/>
      </c>
      <c r="O628" s="78" t="str">
        <f aca="false">IF(NOT(OR($A628&lt;&gt;"",$E628&lt;&gt;"")),"",IF($J628="Cancelled","Cancelled",IF($E628="","Amount missing",IF(OR($J628="Settled",$E628-N($F628)-N($H628)&lt;=0.005),"Realised",IF(N($H628)&gt;0,"Part realised",IF(N($F628)&gt;0,"Advance received","On hand"))))))</f>
        <v/>
      </c>
      <c r="P628" s="79" t="str">
        <f aca="false">IF(AND($V628=1,ISNUMBER($B628)),AsAt-$B628,"")</f>
        <v/>
      </c>
      <c r="Q628" s="78" t="str">
        <f aca="false">IF($V628&lt;&gt;1,"",IF($P628="","No invoice date",IF($P628&lt;=30,"0–30 days",IF($P628&lt;=60,"31–60 days",IF($P628&lt;=90,"61–90 days","Over 90 days")))))</f>
        <v/>
      </c>
      <c r="R628" s="80" t="str">
        <f aca="false">IF($V628=1,ROW(),"")</f>
        <v/>
      </c>
      <c r="S628" s="80" t="str">
        <f aca="false">IF(OR($A628&lt;&gt;"",$E628&lt;&gt;""),IF(TRIM($D628)="","Buyer not noted",TRIM($D628)),"")</f>
        <v/>
      </c>
      <c r="T628" s="80" t="n">
        <f aca="false">IF(AND($V628=1,ISNUMBER($M628)),$M628,0)</f>
        <v>0</v>
      </c>
      <c r="U628" s="80" t="str">
        <f aca="false">IF($V628=1,IF(COUNTIFS($S$7:$S628,$S628,$V$7:$V628,1)=1,SUMIFS($T$7:$T$1006,$S$7:$S$1006,$S628)-ROW()/1000000000,""),"")</f>
        <v/>
      </c>
      <c r="V628" s="80" t="n">
        <f aca="false">IF(OR($O628="On hand",$O628="Advance received",$O628="Part realised",$O628="Amount missing"),1,0)</f>
        <v>0</v>
      </c>
      <c r="W628" s="80" t="str">
        <f aca="false">IF(AND($V628=1,N($F628)&gt;0),ROW(),"")</f>
        <v/>
      </c>
      <c r="X628" s="80" t="n">
        <f aca="false">IF(AND(OR($A628&lt;&gt;"",$E628&lt;&gt;""),$O628&lt;&gt;"Cancelled",ISNUMBER($E628),N($F628)+N($H628)&gt;$E628+0.005),1,0)</f>
        <v>0</v>
      </c>
      <c r="Y628" s="80" t="n">
        <f aca="false">IF(AND(OR($A628&lt;&gt;"",$E628&lt;&gt;""),OR($A628="",$E628="")),1,0)</f>
        <v>0</v>
      </c>
      <c r="Z628" s="80" t="n">
        <f aca="false">IF(AND($A628&lt;&gt;"",COUNTIF($A$7:$A$1006,$A628)&gt;1),1,0)</f>
        <v>0</v>
      </c>
    </row>
    <row r="629" customFormat="false" ht="15" hidden="false" customHeight="false" outlineLevel="0" collapsed="false">
      <c r="A629" s="71"/>
      <c r="B629" s="72"/>
      <c r="C629" s="73"/>
      <c r="D629" s="73"/>
      <c r="E629" s="74"/>
      <c r="F629" s="74"/>
      <c r="G629" s="72"/>
      <c r="H629" s="74"/>
      <c r="I629" s="72"/>
      <c r="J629" s="73"/>
      <c r="K629" s="73"/>
      <c r="L629" s="75" t="str">
        <f aca="false">IF(OR($A629&lt;&gt;"",$E629&lt;&gt;""),N($F629)+N($H629),"")</f>
        <v/>
      </c>
      <c r="M629" s="76" t="str">
        <f aca="false">IF(OR($O629="",$O629="Cancelled",$O629="Amount missing"),"",IF($O629="Realised",0,$E629-N($F629)-N($H629)))</f>
        <v/>
      </c>
      <c r="N629" s="77" t="str">
        <f aca="false">IF(OR($M629="",FX=""),"",$M629*FX)</f>
        <v/>
      </c>
      <c r="O629" s="78" t="str">
        <f aca="false">IF(NOT(OR($A629&lt;&gt;"",$E629&lt;&gt;"")),"",IF($J629="Cancelled","Cancelled",IF($E629="","Amount missing",IF(OR($J629="Settled",$E629-N($F629)-N($H629)&lt;=0.005),"Realised",IF(N($H629)&gt;0,"Part realised",IF(N($F629)&gt;0,"Advance received","On hand"))))))</f>
        <v/>
      </c>
      <c r="P629" s="79" t="str">
        <f aca="false">IF(AND($V629=1,ISNUMBER($B629)),AsAt-$B629,"")</f>
        <v/>
      </c>
      <c r="Q629" s="78" t="str">
        <f aca="false">IF($V629&lt;&gt;1,"",IF($P629="","No invoice date",IF($P629&lt;=30,"0–30 days",IF($P629&lt;=60,"31–60 days",IF($P629&lt;=90,"61–90 days","Over 90 days")))))</f>
        <v/>
      </c>
      <c r="R629" s="80" t="str">
        <f aca="false">IF($V629=1,ROW(),"")</f>
        <v/>
      </c>
      <c r="S629" s="80" t="str">
        <f aca="false">IF(OR($A629&lt;&gt;"",$E629&lt;&gt;""),IF(TRIM($D629)="","Buyer not noted",TRIM($D629)),"")</f>
        <v/>
      </c>
      <c r="T629" s="80" t="n">
        <f aca="false">IF(AND($V629=1,ISNUMBER($M629)),$M629,0)</f>
        <v>0</v>
      </c>
      <c r="U629" s="80" t="str">
        <f aca="false">IF($V629=1,IF(COUNTIFS($S$7:$S629,$S629,$V$7:$V629,1)=1,SUMIFS($T$7:$T$1006,$S$7:$S$1006,$S629)-ROW()/1000000000,""),"")</f>
        <v/>
      </c>
      <c r="V629" s="80" t="n">
        <f aca="false">IF(OR($O629="On hand",$O629="Advance received",$O629="Part realised",$O629="Amount missing"),1,0)</f>
        <v>0</v>
      </c>
      <c r="W629" s="80" t="str">
        <f aca="false">IF(AND($V629=1,N($F629)&gt;0),ROW(),"")</f>
        <v/>
      </c>
      <c r="X629" s="80" t="n">
        <f aca="false">IF(AND(OR($A629&lt;&gt;"",$E629&lt;&gt;""),$O629&lt;&gt;"Cancelled",ISNUMBER($E629),N($F629)+N($H629)&gt;$E629+0.005),1,0)</f>
        <v>0</v>
      </c>
      <c r="Y629" s="80" t="n">
        <f aca="false">IF(AND(OR($A629&lt;&gt;"",$E629&lt;&gt;""),OR($A629="",$E629="")),1,0)</f>
        <v>0</v>
      </c>
      <c r="Z629" s="80" t="n">
        <f aca="false">IF(AND($A629&lt;&gt;"",COUNTIF($A$7:$A$1006,$A629)&gt;1),1,0)</f>
        <v>0</v>
      </c>
    </row>
    <row r="630" customFormat="false" ht="15" hidden="false" customHeight="false" outlineLevel="0" collapsed="false">
      <c r="A630" s="71"/>
      <c r="B630" s="72"/>
      <c r="C630" s="73"/>
      <c r="D630" s="73"/>
      <c r="E630" s="74"/>
      <c r="F630" s="74"/>
      <c r="G630" s="72"/>
      <c r="H630" s="74"/>
      <c r="I630" s="72"/>
      <c r="J630" s="73"/>
      <c r="K630" s="73"/>
      <c r="L630" s="75" t="str">
        <f aca="false">IF(OR($A630&lt;&gt;"",$E630&lt;&gt;""),N($F630)+N($H630),"")</f>
        <v/>
      </c>
      <c r="M630" s="76" t="str">
        <f aca="false">IF(OR($O630="",$O630="Cancelled",$O630="Amount missing"),"",IF($O630="Realised",0,$E630-N($F630)-N($H630)))</f>
        <v/>
      </c>
      <c r="N630" s="77" t="str">
        <f aca="false">IF(OR($M630="",FX=""),"",$M630*FX)</f>
        <v/>
      </c>
      <c r="O630" s="78" t="str">
        <f aca="false">IF(NOT(OR($A630&lt;&gt;"",$E630&lt;&gt;"")),"",IF($J630="Cancelled","Cancelled",IF($E630="","Amount missing",IF(OR($J630="Settled",$E630-N($F630)-N($H630)&lt;=0.005),"Realised",IF(N($H630)&gt;0,"Part realised",IF(N($F630)&gt;0,"Advance received","On hand"))))))</f>
        <v/>
      </c>
      <c r="P630" s="79" t="str">
        <f aca="false">IF(AND($V630=1,ISNUMBER($B630)),AsAt-$B630,"")</f>
        <v/>
      </c>
      <c r="Q630" s="78" t="str">
        <f aca="false">IF($V630&lt;&gt;1,"",IF($P630="","No invoice date",IF($P630&lt;=30,"0–30 days",IF($P630&lt;=60,"31–60 days",IF($P630&lt;=90,"61–90 days","Over 90 days")))))</f>
        <v/>
      </c>
      <c r="R630" s="80" t="str">
        <f aca="false">IF($V630=1,ROW(),"")</f>
        <v/>
      </c>
      <c r="S630" s="80" t="str">
        <f aca="false">IF(OR($A630&lt;&gt;"",$E630&lt;&gt;""),IF(TRIM($D630)="","Buyer not noted",TRIM($D630)),"")</f>
        <v/>
      </c>
      <c r="T630" s="80" t="n">
        <f aca="false">IF(AND($V630=1,ISNUMBER($M630)),$M630,0)</f>
        <v>0</v>
      </c>
      <c r="U630" s="80" t="str">
        <f aca="false">IF($V630=1,IF(COUNTIFS($S$7:$S630,$S630,$V$7:$V630,1)=1,SUMIFS($T$7:$T$1006,$S$7:$S$1006,$S630)-ROW()/1000000000,""),"")</f>
        <v/>
      </c>
      <c r="V630" s="80" t="n">
        <f aca="false">IF(OR($O630="On hand",$O630="Advance received",$O630="Part realised",$O630="Amount missing"),1,0)</f>
        <v>0</v>
      </c>
      <c r="W630" s="80" t="str">
        <f aca="false">IF(AND($V630=1,N($F630)&gt;0),ROW(),"")</f>
        <v/>
      </c>
      <c r="X630" s="80" t="n">
        <f aca="false">IF(AND(OR($A630&lt;&gt;"",$E630&lt;&gt;""),$O630&lt;&gt;"Cancelled",ISNUMBER($E630),N($F630)+N($H630)&gt;$E630+0.005),1,0)</f>
        <v>0</v>
      </c>
      <c r="Y630" s="80" t="n">
        <f aca="false">IF(AND(OR($A630&lt;&gt;"",$E630&lt;&gt;""),OR($A630="",$E630="")),1,0)</f>
        <v>0</v>
      </c>
      <c r="Z630" s="80" t="n">
        <f aca="false">IF(AND($A630&lt;&gt;"",COUNTIF($A$7:$A$1006,$A630)&gt;1),1,0)</f>
        <v>0</v>
      </c>
    </row>
    <row r="631" customFormat="false" ht="15" hidden="false" customHeight="false" outlineLevel="0" collapsed="false">
      <c r="A631" s="71"/>
      <c r="B631" s="72"/>
      <c r="C631" s="73"/>
      <c r="D631" s="73"/>
      <c r="E631" s="74"/>
      <c r="F631" s="74"/>
      <c r="G631" s="72"/>
      <c r="H631" s="74"/>
      <c r="I631" s="72"/>
      <c r="J631" s="73"/>
      <c r="K631" s="73"/>
      <c r="L631" s="75" t="str">
        <f aca="false">IF(OR($A631&lt;&gt;"",$E631&lt;&gt;""),N($F631)+N($H631),"")</f>
        <v/>
      </c>
      <c r="M631" s="76" t="str">
        <f aca="false">IF(OR($O631="",$O631="Cancelled",$O631="Amount missing"),"",IF($O631="Realised",0,$E631-N($F631)-N($H631)))</f>
        <v/>
      </c>
      <c r="N631" s="77" t="str">
        <f aca="false">IF(OR($M631="",FX=""),"",$M631*FX)</f>
        <v/>
      </c>
      <c r="O631" s="78" t="str">
        <f aca="false">IF(NOT(OR($A631&lt;&gt;"",$E631&lt;&gt;"")),"",IF($J631="Cancelled","Cancelled",IF($E631="","Amount missing",IF(OR($J631="Settled",$E631-N($F631)-N($H631)&lt;=0.005),"Realised",IF(N($H631)&gt;0,"Part realised",IF(N($F631)&gt;0,"Advance received","On hand"))))))</f>
        <v/>
      </c>
      <c r="P631" s="79" t="str">
        <f aca="false">IF(AND($V631=1,ISNUMBER($B631)),AsAt-$B631,"")</f>
        <v/>
      </c>
      <c r="Q631" s="78" t="str">
        <f aca="false">IF($V631&lt;&gt;1,"",IF($P631="","No invoice date",IF($P631&lt;=30,"0–30 days",IF($P631&lt;=60,"31–60 days",IF($P631&lt;=90,"61–90 days","Over 90 days")))))</f>
        <v/>
      </c>
      <c r="R631" s="80" t="str">
        <f aca="false">IF($V631=1,ROW(),"")</f>
        <v/>
      </c>
      <c r="S631" s="80" t="str">
        <f aca="false">IF(OR($A631&lt;&gt;"",$E631&lt;&gt;""),IF(TRIM($D631)="","Buyer not noted",TRIM($D631)),"")</f>
        <v/>
      </c>
      <c r="T631" s="80" t="n">
        <f aca="false">IF(AND($V631=1,ISNUMBER($M631)),$M631,0)</f>
        <v>0</v>
      </c>
      <c r="U631" s="80" t="str">
        <f aca="false">IF($V631=1,IF(COUNTIFS($S$7:$S631,$S631,$V$7:$V631,1)=1,SUMIFS($T$7:$T$1006,$S$7:$S$1006,$S631)-ROW()/1000000000,""),"")</f>
        <v/>
      </c>
      <c r="V631" s="80" t="n">
        <f aca="false">IF(OR($O631="On hand",$O631="Advance received",$O631="Part realised",$O631="Amount missing"),1,0)</f>
        <v>0</v>
      </c>
      <c r="W631" s="80" t="str">
        <f aca="false">IF(AND($V631=1,N($F631)&gt;0),ROW(),"")</f>
        <v/>
      </c>
      <c r="X631" s="80" t="n">
        <f aca="false">IF(AND(OR($A631&lt;&gt;"",$E631&lt;&gt;""),$O631&lt;&gt;"Cancelled",ISNUMBER($E631),N($F631)+N($H631)&gt;$E631+0.005),1,0)</f>
        <v>0</v>
      </c>
      <c r="Y631" s="80" t="n">
        <f aca="false">IF(AND(OR($A631&lt;&gt;"",$E631&lt;&gt;""),OR($A631="",$E631="")),1,0)</f>
        <v>0</v>
      </c>
      <c r="Z631" s="80" t="n">
        <f aca="false">IF(AND($A631&lt;&gt;"",COUNTIF($A$7:$A$1006,$A631)&gt;1),1,0)</f>
        <v>0</v>
      </c>
    </row>
    <row r="632" customFormat="false" ht="15" hidden="false" customHeight="false" outlineLevel="0" collapsed="false">
      <c r="A632" s="71"/>
      <c r="B632" s="72"/>
      <c r="C632" s="73"/>
      <c r="D632" s="73"/>
      <c r="E632" s="74"/>
      <c r="F632" s="74"/>
      <c r="G632" s="72"/>
      <c r="H632" s="74"/>
      <c r="I632" s="72"/>
      <c r="J632" s="73"/>
      <c r="K632" s="73"/>
      <c r="L632" s="75" t="str">
        <f aca="false">IF(OR($A632&lt;&gt;"",$E632&lt;&gt;""),N($F632)+N($H632),"")</f>
        <v/>
      </c>
      <c r="M632" s="76" t="str">
        <f aca="false">IF(OR($O632="",$O632="Cancelled",$O632="Amount missing"),"",IF($O632="Realised",0,$E632-N($F632)-N($H632)))</f>
        <v/>
      </c>
      <c r="N632" s="77" t="str">
        <f aca="false">IF(OR($M632="",FX=""),"",$M632*FX)</f>
        <v/>
      </c>
      <c r="O632" s="78" t="str">
        <f aca="false">IF(NOT(OR($A632&lt;&gt;"",$E632&lt;&gt;"")),"",IF($J632="Cancelled","Cancelled",IF($E632="","Amount missing",IF(OR($J632="Settled",$E632-N($F632)-N($H632)&lt;=0.005),"Realised",IF(N($H632)&gt;0,"Part realised",IF(N($F632)&gt;0,"Advance received","On hand"))))))</f>
        <v/>
      </c>
      <c r="P632" s="79" t="str">
        <f aca="false">IF(AND($V632=1,ISNUMBER($B632)),AsAt-$B632,"")</f>
        <v/>
      </c>
      <c r="Q632" s="78" t="str">
        <f aca="false">IF($V632&lt;&gt;1,"",IF($P632="","No invoice date",IF($P632&lt;=30,"0–30 days",IF($P632&lt;=60,"31–60 days",IF($P632&lt;=90,"61–90 days","Over 90 days")))))</f>
        <v/>
      </c>
      <c r="R632" s="80" t="str">
        <f aca="false">IF($V632=1,ROW(),"")</f>
        <v/>
      </c>
      <c r="S632" s="80" t="str">
        <f aca="false">IF(OR($A632&lt;&gt;"",$E632&lt;&gt;""),IF(TRIM($D632)="","Buyer not noted",TRIM($D632)),"")</f>
        <v/>
      </c>
      <c r="T632" s="80" t="n">
        <f aca="false">IF(AND($V632=1,ISNUMBER($M632)),$M632,0)</f>
        <v>0</v>
      </c>
      <c r="U632" s="80" t="str">
        <f aca="false">IF($V632=1,IF(COUNTIFS($S$7:$S632,$S632,$V$7:$V632,1)=1,SUMIFS($T$7:$T$1006,$S$7:$S$1006,$S632)-ROW()/1000000000,""),"")</f>
        <v/>
      </c>
      <c r="V632" s="80" t="n">
        <f aca="false">IF(OR($O632="On hand",$O632="Advance received",$O632="Part realised",$O632="Amount missing"),1,0)</f>
        <v>0</v>
      </c>
      <c r="W632" s="80" t="str">
        <f aca="false">IF(AND($V632=1,N($F632)&gt;0),ROW(),"")</f>
        <v/>
      </c>
      <c r="X632" s="80" t="n">
        <f aca="false">IF(AND(OR($A632&lt;&gt;"",$E632&lt;&gt;""),$O632&lt;&gt;"Cancelled",ISNUMBER($E632),N($F632)+N($H632)&gt;$E632+0.005),1,0)</f>
        <v>0</v>
      </c>
      <c r="Y632" s="80" t="n">
        <f aca="false">IF(AND(OR($A632&lt;&gt;"",$E632&lt;&gt;""),OR($A632="",$E632="")),1,0)</f>
        <v>0</v>
      </c>
      <c r="Z632" s="80" t="n">
        <f aca="false">IF(AND($A632&lt;&gt;"",COUNTIF($A$7:$A$1006,$A632)&gt;1),1,0)</f>
        <v>0</v>
      </c>
    </row>
    <row r="633" customFormat="false" ht="15" hidden="false" customHeight="false" outlineLevel="0" collapsed="false">
      <c r="A633" s="71"/>
      <c r="B633" s="72"/>
      <c r="C633" s="73"/>
      <c r="D633" s="73"/>
      <c r="E633" s="74"/>
      <c r="F633" s="74"/>
      <c r="G633" s="72"/>
      <c r="H633" s="74"/>
      <c r="I633" s="72"/>
      <c r="J633" s="73"/>
      <c r="K633" s="73"/>
      <c r="L633" s="75" t="str">
        <f aca="false">IF(OR($A633&lt;&gt;"",$E633&lt;&gt;""),N($F633)+N($H633),"")</f>
        <v/>
      </c>
      <c r="M633" s="76" t="str">
        <f aca="false">IF(OR($O633="",$O633="Cancelled",$O633="Amount missing"),"",IF($O633="Realised",0,$E633-N($F633)-N($H633)))</f>
        <v/>
      </c>
      <c r="N633" s="77" t="str">
        <f aca="false">IF(OR($M633="",FX=""),"",$M633*FX)</f>
        <v/>
      </c>
      <c r="O633" s="78" t="str">
        <f aca="false">IF(NOT(OR($A633&lt;&gt;"",$E633&lt;&gt;"")),"",IF($J633="Cancelled","Cancelled",IF($E633="","Amount missing",IF(OR($J633="Settled",$E633-N($F633)-N($H633)&lt;=0.005),"Realised",IF(N($H633)&gt;0,"Part realised",IF(N($F633)&gt;0,"Advance received","On hand"))))))</f>
        <v/>
      </c>
      <c r="P633" s="79" t="str">
        <f aca="false">IF(AND($V633=1,ISNUMBER($B633)),AsAt-$B633,"")</f>
        <v/>
      </c>
      <c r="Q633" s="78" t="str">
        <f aca="false">IF($V633&lt;&gt;1,"",IF($P633="","No invoice date",IF($P633&lt;=30,"0–30 days",IF($P633&lt;=60,"31–60 days",IF($P633&lt;=90,"61–90 days","Over 90 days")))))</f>
        <v/>
      </c>
      <c r="R633" s="80" t="str">
        <f aca="false">IF($V633=1,ROW(),"")</f>
        <v/>
      </c>
      <c r="S633" s="80" t="str">
        <f aca="false">IF(OR($A633&lt;&gt;"",$E633&lt;&gt;""),IF(TRIM($D633)="","Buyer not noted",TRIM($D633)),"")</f>
        <v/>
      </c>
      <c r="T633" s="80" t="n">
        <f aca="false">IF(AND($V633=1,ISNUMBER($M633)),$M633,0)</f>
        <v>0</v>
      </c>
      <c r="U633" s="80" t="str">
        <f aca="false">IF($V633=1,IF(COUNTIFS($S$7:$S633,$S633,$V$7:$V633,1)=1,SUMIFS($T$7:$T$1006,$S$7:$S$1006,$S633)-ROW()/1000000000,""),"")</f>
        <v/>
      </c>
      <c r="V633" s="80" t="n">
        <f aca="false">IF(OR($O633="On hand",$O633="Advance received",$O633="Part realised",$O633="Amount missing"),1,0)</f>
        <v>0</v>
      </c>
      <c r="W633" s="80" t="str">
        <f aca="false">IF(AND($V633=1,N($F633)&gt;0),ROW(),"")</f>
        <v/>
      </c>
      <c r="X633" s="80" t="n">
        <f aca="false">IF(AND(OR($A633&lt;&gt;"",$E633&lt;&gt;""),$O633&lt;&gt;"Cancelled",ISNUMBER($E633),N($F633)+N($H633)&gt;$E633+0.005),1,0)</f>
        <v>0</v>
      </c>
      <c r="Y633" s="80" t="n">
        <f aca="false">IF(AND(OR($A633&lt;&gt;"",$E633&lt;&gt;""),OR($A633="",$E633="")),1,0)</f>
        <v>0</v>
      </c>
      <c r="Z633" s="80" t="n">
        <f aca="false">IF(AND($A633&lt;&gt;"",COUNTIF($A$7:$A$1006,$A633)&gt;1),1,0)</f>
        <v>0</v>
      </c>
    </row>
    <row r="634" customFormat="false" ht="15" hidden="false" customHeight="false" outlineLevel="0" collapsed="false">
      <c r="A634" s="71"/>
      <c r="B634" s="72"/>
      <c r="C634" s="73"/>
      <c r="D634" s="73"/>
      <c r="E634" s="74"/>
      <c r="F634" s="74"/>
      <c r="G634" s="72"/>
      <c r="H634" s="74"/>
      <c r="I634" s="72"/>
      <c r="J634" s="73"/>
      <c r="K634" s="73"/>
      <c r="L634" s="75" t="str">
        <f aca="false">IF(OR($A634&lt;&gt;"",$E634&lt;&gt;""),N($F634)+N($H634),"")</f>
        <v/>
      </c>
      <c r="M634" s="76" t="str">
        <f aca="false">IF(OR($O634="",$O634="Cancelled",$O634="Amount missing"),"",IF($O634="Realised",0,$E634-N($F634)-N($H634)))</f>
        <v/>
      </c>
      <c r="N634" s="77" t="str">
        <f aca="false">IF(OR($M634="",FX=""),"",$M634*FX)</f>
        <v/>
      </c>
      <c r="O634" s="78" t="str">
        <f aca="false">IF(NOT(OR($A634&lt;&gt;"",$E634&lt;&gt;"")),"",IF($J634="Cancelled","Cancelled",IF($E634="","Amount missing",IF(OR($J634="Settled",$E634-N($F634)-N($H634)&lt;=0.005),"Realised",IF(N($H634)&gt;0,"Part realised",IF(N($F634)&gt;0,"Advance received","On hand"))))))</f>
        <v/>
      </c>
      <c r="P634" s="79" t="str">
        <f aca="false">IF(AND($V634=1,ISNUMBER($B634)),AsAt-$B634,"")</f>
        <v/>
      </c>
      <c r="Q634" s="78" t="str">
        <f aca="false">IF($V634&lt;&gt;1,"",IF($P634="","No invoice date",IF($P634&lt;=30,"0–30 days",IF($P634&lt;=60,"31–60 days",IF($P634&lt;=90,"61–90 days","Over 90 days")))))</f>
        <v/>
      </c>
      <c r="R634" s="80" t="str">
        <f aca="false">IF($V634=1,ROW(),"")</f>
        <v/>
      </c>
      <c r="S634" s="80" t="str">
        <f aca="false">IF(OR($A634&lt;&gt;"",$E634&lt;&gt;""),IF(TRIM($D634)="","Buyer not noted",TRIM($D634)),"")</f>
        <v/>
      </c>
      <c r="T634" s="80" t="n">
        <f aca="false">IF(AND($V634=1,ISNUMBER($M634)),$M634,0)</f>
        <v>0</v>
      </c>
      <c r="U634" s="80" t="str">
        <f aca="false">IF($V634=1,IF(COUNTIFS($S$7:$S634,$S634,$V$7:$V634,1)=1,SUMIFS($T$7:$T$1006,$S$7:$S$1006,$S634)-ROW()/1000000000,""),"")</f>
        <v/>
      </c>
      <c r="V634" s="80" t="n">
        <f aca="false">IF(OR($O634="On hand",$O634="Advance received",$O634="Part realised",$O634="Amount missing"),1,0)</f>
        <v>0</v>
      </c>
      <c r="W634" s="80" t="str">
        <f aca="false">IF(AND($V634=1,N($F634)&gt;0),ROW(),"")</f>
        <v/>
      </c>
      <c r="X634" s="80" t="n">
        <f aca="false">IF(AND(OR($A634&lt;&gt;"",$E634&lt;&gt;""),$O634&lt;&gt;"Cancelled",ISNUMBER($E634),N($F634)+N($H634)&gt;$E634+0.005),1,0)</f>
        <v>0</v>
      </c>
      <c r="Y634" s="80" t="n">
        <f aca="false">IF(AND(OR($A634&lt;&gt;"",$E634&lt;&gt;""),OR($A634="",$E634="")),1,0)</f>
        <v>0</v>
      </c>
      <c r="Z634" s="80" t="n">
        <f aca="false">IF(AND($A634&lt;&gt;"",COUNTIF($A$7:$A$1006,$A634)&gt;1),1,0)</f>
        <v>0</v>
      </c>
    </row>
    <row r="635" customFormat="false" ht="15" hidden="false" customHeight="false" outlineLevel="0" collapsed="false">
      <c r="A635" s="71"/>
      <c r="B635" s="72"/>
      <c r="C635" s="73"/>
      <c r="D635" s="73"/>
      <c r="E635" s="74"/>
      <c r="F635" s="74"/>
      <c r="G635" s="72"/>
      <c r="H635" s="74"/>
      <c r="I635" s="72"/>
      <c r="J635" s="73"/>
      <c r="K635" s="73"/>
      <c r="L635" s="75" t="str">
        <f aca="false">IF(OR($A635&lt;&gt;"",$E635&lt;&gt;""),N($F635)+N($H635),"")</f>
        <v/>
      </c>
      <c r="M635" s="76" t="str">
        <f aca="false">IF(OR($O635="",$O635="Cancelled",$O635="Amount missing"),"",IF($O635="Realised",0,$E635-N($F635)-N($H635)))</f>
        <v/>
      </c>
      <c r="N635" s="77" t="str">
        <f aca="false">IF(OR($M635="",FX=""),"",$M635*FX)</f>
        <v/>
      </c>
      <c r="O635" s="78" t="str">
        <f aca="false">IF(NOT(OR($A635&lt;&gt;"",$E635&lt;&gt;"")),"",IF($J635="Cancelled","Cancelled",IF($E635="","Amount missing",IF(OR($J635="Settled",$E635-N($F635)-N($H635)&lt;=0.005),"Realised",IF(N($H635)&gt;0,"Part realised",IF(N($F635)&gt;0,"Advance received","On hand"))))))</f>
        <v/>
      </c>
      <c r="P635" s="79" t="str">
        <f aca="false">IF(AND($V635=1,ISNUMBER($B635)),AsAt-$B635,"")</f>
        <v/>
      </c>
      <c r="Q635" s="78" t="str">
        <f aca="false">IF($V635&lt;&gt;1,"",IF($P635="","No invoice date",IF($P635&lt;=30,"0–30 days",IF($P635&lt;=60,"31–60 days",IF($P635&lt;=90,"61–90 days","Over 90 days")))))</f>
        <v/>
      </c>
      <c r="R635" s="80" t="str">
        <f aca="false">IF($V635=1,ROW(),"")</f>
        <v/>
      </c>
      <c r="S635" s="80" t="str">
        <f aca="false">IF(OR($A635&lt;&gt;"",$E635&lt;&gt;""),IF(TRIM($D635)="","Buyer not noted",TRIM($D635)),"")</f>
        <v/>
      </c>
      <c r="T635" s="80" t="n">
        <f aca="false">IF(AND($V635=1,ISNUMBER($M635)),$M635,0)</f>
        <v>0</v>
      </c>
      <c r="U635" s="80" t="str">
        <f aca="false">IF($V635=1,IF(COUNTIFS($S$7:$S635,$S635,$V$7:$V635,1)=1,SUMIFS($T$7:$T$1006,$S$7:$S$1006,$S635)-ROW()/1000000000,""),"")</f>
        <v/>
      </c>
      <c r="V635" s="80" t="n">
        <f aca="false">IF(OR($O635="On hand",$O635="Advance received",$O635="Part realised",$O635="Amount missing"),1,0)</f>
        <v>0</v>
      </c>
      <c r="W635" s="80" t="str">
        <f aca="false">IF(AND($V635=1,N($F635)&gt;0),ROW(),"")</f>
        <v/>
      </c>
      <c r="X635" s="80" t="n">
        <f aca="false">IF(AND(OR($A635&lt;&gt;"",$E635&lt;&gt;""),$O635&lt;&gt;"Cancelled",ISNUMBER($E635),N($F635)+N($H635)&gt;$E635+0.005),1,0)</f>
        <v>0</v>
      </c>
      <c r="Y635" s="80" t="n">
        <f aca="false">IF(AND(OR($A635&lt;&gt;"",$E635&lt;&gt;""),OR($A635="",$E635="")),1,0)</f>
        <v>0</v>
      </c>
      <c r="Z635" s="80" t="n">
        <f aca="false">IF(AND($A635&lt;&gt;"",COUNTIF($A$7:$A$1006,$A635)&gt;1),1,0)</f>
        <v>0</v>
      </c>
    </row>
    <row r="636" customFormat="false" ht="15" hidden="false" customHeight="false" outlineLevel="0" collapsed="false">
      <c r="A636" s="71"/>
      <c r="B636" s="72"/>
      <c r="C636" s="73"/>
      <c r="D636" s="73"/>
      <c r="E636" s="74"/>
      <c r="F636" s="74"/>
      <c r="G636" s="72"/>
      <c r="H636" s="74"/>
      <c r="I636" s="72"/>
      <c r="J636" s="73"/>
      <c r="K636" s="73"/>
      <c r="L636" s="75" t="str">
        <f aca="false">IF(OR($A636&lt;&gt;"",$E636&lt;&gt;""),N($F636)+N($H636),"")</f>
        <v/>
      </c>
      <c r="M636" s="76" t="str">
        <f aca="false">IF(OR($O636="",$O636="Cancelled",$O636="Amount missing"),"",IF($O636="Realised",0,$E636-N($F636)-N($H636)))</f>
        <v/>
      </c>
      <c r="N636" s="77" t="str">
        <f aca="false">IF(OR($M636="",FX=""),"",$M636*FX)</f>
        <v/>
      </c>
      <c r="O636" s="78" t="str">
        <f aca="false">IF(NOT(OR($A636&lt;&gt;"",$E636&lt;&gt;"")),"",IF($J636="Cancelled","Cancelled",IF($E636="","Amount missing",IF(OR($J636="Settled",$E636-N($F636)-N($H636)&lt;=0.005),"Realised",IF(N($H636)&gt;0,"Part realised",IF(N($F636)&gt;0,"Advance received","On hand"))))))</f>
        <v/>
      </c>
      <c r="P636" s="79" t="str">
        <f aca="false">IF(AND($V636=1,ISNUMBER($B636)),AsAt-$B636,"")</f>
        <v/>
      </c>
      <c r="Q636" s="78" t="str">
        <f aca="false">IF($V636&lt;&gt;1,"",IF($P636="","No invoice date",IF($P636&lt;=30,"0–30 days",IF($P636&lt;=60,"31–60 days",IF($P636&lt;=90,"61–90 days","Over 90 days")))))</f>
        <v/>
      </c>
      <c r="R636" s="80" t="str">
        <f aca="false">IF($V636=1,ROW(),"")</f>
        <v/>
      </c>
      <c r="S636" s="80" t="str">
        <f aca="false">IF(OR($A636&lt;&gt;"",$E636&lt;&gt;""),IF(TRIM($D636)="","Buyer not noted",TRIM($D636)),"")</f>
        <v/>
      </c>
      <c r="T636" s="80" t="n">
        <f aca="false">IF(AND($V636=1,ISNUMBER($M636)),$M636,0)</f>
        <v>0</v>
      </c>
      <c r="U636" s="80" t="str">
        <f aca="false">IF($V636=1,IF(COUNTIFS($S$7:$S636,$S636,$V$7:$V636,1)=1,SUMIFS($T$7:$T$1006,$S$7:$S$1006,$S636)-ROW()/1000000000,""),"")</f>
        <v/>
      </c>
      <c r="V636" s="80" t="n">
        <f aca="false">IF(OR($O636="On hand",$O636="Advance received",$O636="Part realised",$O636="Amount missing"),1,0)</f>
        <v>0</v>
      </c>
      <c r="W636" s="80" t="str">
        <f aca="false">IF(AND($V636=1,N($F636)&gt;0),ROW(),"")</f>
        <v/>
      </c>
      <c r="X636" s="80" t="n">
        <f aca="false">IF(AND(OR($A636&lt;&gt;"",$E636&lt;&gt;""),$O636&lt;&gt;"Cancelled",ISNUMBER($E636),N($F636)+N($H636)&gt;$E636+0.005),1,0)</f>
        <v>0</v>
      </c>
      <c r="Y636" s="80" t="n">
        <f aca="false">IF(AND(OR($A636&lt;&gt;"",$E636&lt;&gt;""),OR($A636="",$E636="")),1,0)</f>
        <v>0</v>
      </c>
      <c r="Z636" s="80" t="n">
        <f aca="false">IF(AND($A636&lt;&gt;"",COUNTIF($A$7:$A$1006,$A636)&gt;1),1,0)</f>
        <v>0</v>
      </c>
    </row>
    <row r="637" customFormat="false" ht="15" hidden="false" customHeight="false" outlineLevel="0" collapsed="false">
      <c r="A637" s="71"/>
      <c r="B637" s="72"/>
      <c r="C637" s="73"/>
      <c r="D637" s="73"/>
      <c r="E637" s="74"/>
      <c r="F637" s="74"/>
      <c r="G637" s="72"/>
      <c r="H637" s="74"/>
      <c r="I637" s="72"/>
      <c r="J637" s="73"/>
      <c r="K637" s="73"/>
      <c r="L637" s="75" t="str">
        <f aca="false">IF(OR($A637&lt;&gt;"",$E637&lt;&gt;""),N($F637)+N($H637),"")</f>
        <v/>
      </c>
      <c r="M637" s="76" t="str">
        <f aca="false">IF(OR($O637="",$O637="Cancelled",$O637="Amount missing"),"",IF($O637="Realised",0,$E637-N($F637)-N($H637)))</f>
        <v/>
      </c>
      <c r="N637" s="77" t="str">
        <f aca="false">IF(OR($M637="",FX=""),"",$M637*FX)</f>
        <v/>
      </c>
      <c r="O637" s="78" t="str">
        <f aca="false">IF(NOT(OR($A637&lt;&gt;"",$E637&lt;&gt;"")),"",IF($J637="Cancelled","Cancelled",IF($E637="","Amount missing",IF(OR($J637="Settled",$E637-N($F637)-N($H637)&lt;=0.005),"Realised",IF(N($H637)&gt;0,"Part realised",IF(N($F637)&gt;0,"Advance received","On hand"))))))</f>
        <v/>
      </c>
      <c r="P637" s="79" t="str">
        <f aca="false">IF(AND($V637=1,ISNUMBER($B637)),AsAt-$B637,"")</f>
        <v/>
      </c>
      <c r="Q637" s="78" t="str">
        <f aca="false">IF($V637&lt;&gt;1,"",IF($P637="","No invoice date",IF($P637&lt;=30,"0–30 days",IF($P637&lt;=60,"31–60 days",IF($P637&lt;=90,"61–90 days","Over 90 days")))))</f>
        <v/>
      </c>
      <c r="R637" s="80" t="str">
        <f aca="false">IF($V637=1,ROW(),"")</f>
        <v/>
      </c>
      <c r="S637" s="80" t="str">
        <f aca="false">IF(OR($A637&lt;&gt;"",$E637&lt;&gt;""),IF(TRIM($D637)="","Buyer not noted",TRIM($D637)),"")</f>
        <v/>
      </c>
      <c r="T637" s="80" t="n">
        <f aca="false">IF(AND($V637=1,ISNUMBER($M637)),$M637,0)</f>
        <v>0</v>
      </c>
      <c r="U637" s="80" t="str">
        <f aca="false">IF($V637=1,IF(COUNTIFS($S$7:$S637,$S637,$V$7:$V637,1)=1,SUMIFS($T$7:$T$1006,$S$7:$S$1006,$S637)-ROW()/1000000000,""),"")</f>
        <v/>
      </c>
      <c r="V637" s="80" t="n">
        <f aca="false">IF(OR($O637="On hand",$O637="Advance received",$O637="Part realised",$O637="Amount missing"),1,0)</f>
        <v>0</v>
      </c>
      <c r="W637" s="80" t="str">
        <f aca="false">IF(AND($V637=1,N($F637)&gt;0),ROW(),"")</f>
        <v/>
      </c>
      <c r="X637" s="80" t="n">
        <f aca="false">IF(AND(OR($A637&lt;&gt;"",$E637&lt;&gt;""),$O637&lt;&gt;"Cancelled",ISNUMBER($E637),N($F637)+N($H637)&gt;$E637+0.005),1,0)</f>
        <v>0</v>
      </c>
      <c r="Y637" s="80" t="n">
        <f aca="false">IF(AND(OR($A637&lt;&gt;"",$E637&lt;&gt;""),OR($A637="",$E637="")),1,0)</f>
        <v>0</v>
      </c>
      <c r="Z637" s="80" t="n">
        <f aca="false">IF(AND($A637&lt;&gt;"",COUNTIF($A$7:$A$1006,$A637)&gt;1),1,0)</f>
        <v>0</v>
      </c>
    </row>
    <row r="638" customFormat="false" ht="15" hidden="false" customHeight="false" outlineLevel="0" collapsed="false">
      <c r="A638" s="71"/>
      <c r="B638" s="72"/>
      <c r="C638" s="73"/>
      <c r="D638" s="73"/>
      <c r="E638" s="74"/>
      <c r="F638" s="74"/>
      <c r="G638" s="72"/>
      <c r="H638" s="74"/>
      <c r="I638" s="72"/>
      <c r="J638" s="73"/>
      <c r="K638" s="73"/>
      <c r="L638" s="75" t="str">
        <f aca="false">IF(OR($A638&lt;&gt;"",$E638&lt;&gt;""),N($F638)+N($H638),"")</f>
        <v/>
      </c>
      <c r="M638" s="76" t="str">
        <f aca="false">IF(OR($O638="",$O638="Cancelled",$O638="Amount missing"),"",IF($O638="Realised",0,$E638-N($F638)-N($H638)))</f>
        <v/>
      </c>
      <c r="N638" s="77" t="str">
        <f aca="false">IF(OR($M638="",FX=""),"",$M638*FX)</f>
        <v/>
      </c>
      <c r="O638" s="78" t="str">
        <f aca="false">IF(NOT(OR($A638&lt;&gt;"",$E638&lt;&gt;"")),"",IF($J638="Cancelled","Cancelled",IF($E638="","Amount missing",IF(OR($J638="Settled",$E638-N($F638)-N($H638)&lt;=0.005),"Realised",IF(N($H638)&gt;0,"Part realised",IF(N($F638)&gt;0,"Advance received","On hand"))))))</f>
        <v/>
      </c>
      <c r="P638" s="79" t="str">
        <f aca="false">IF(AND($V638=1,ISNUMBER($B638)),AsAt-$B638,"")</f>
        <v/>
      </c>
      <c r="Q638" s="78" t="str">
        <f aca="false">IF($V638&lt;&gt;1,"",IF($P638="","No invoice date",IF($P638&lt;=30,"0–30 days",IF($P638&lt;=60,"31–60 days",IF($P638&lt;=90,"61–90 days","Over 90 days")))))</f>
        <v/>
      </c>
      <c r="R638" s="80" t="str">
        <f aca="false">IF($V638=1,ROW(),"")</f>
        <v/>
      </c>
      <c r="S638" s="80" t="str">
        <f aca="false">IF(OR($A638&lt;&gt;"",$E638&lt;&gt;""),IF(TRIM($D638)="","Buyer not noted",TRIM($D638)),"")</f>
        <v/>
      </c>
      <c r="T638" s="80" t="n">
        <f aca="false">IF(AND($V638=1,ISNUMBER($M638)),$M638,0)</f>
        <v>0</v>
      </c>
      <c r="U638" s="80" t="str">
        <f aca="false">IF($V638=1,IF(COUNTIFS($S$7:$S638,$S638,$V$7:$V638,1)=1,SUMIFS($T$7:$T$1006,$S$7:$S$1006,$S638)-ROW()/1000000000,""),"")</f>
        <v/>
      </c>
      <c r="V638" s="80" t="n">
        <f aca="false">IF(OR($O638="On hand",$O638="Advance received",$O638="Part realised",$O638="Amount missing"),1,0)</f>
        <v>0</v>
      </c>
      <c r="W638" s="80" t="str">
        <f aca="false">IF(AND($V638=1,N($F638)&gt;0),ROW(),"")</f>
        <v/>
      </c>
      <c r="X638" s="80" t="n">
        <f aca="false">IF(AND(OR($A638&lt;&gt;"",$E638&lt;&gt;""),$O638&lt;&gt;"Cancelled",ISNUMBER($E638),N($F638)+N($H638)&gt;$E638+0.005),1,0)</f>
        <v>0</v>
      </c>
      <c r="Y638" s="80" t="n">
        <f aca="false">IF(AND(OR($A638&lt;&gt;"",$E638&lt;&gt;""),OR($A638="",$E638="")),1,0)</f>
        <v>0</v>
      </c>
      <c r="Z638" s="80" t="n">
        <f aca="false">IF(AND($A638&lt;&gt;"",COUNTIF($A$7:$A$1006,$A638)&gt;1),1,0)</f>
        <v>0</v>
      </c>
    </row>
    <row r="639" customFormat="false" ht="15" hidden="false" customHeight="false" outlineLevel="0" collapsed="false">
      <c r="A639" s="71"/>
      <c r="B639" s="72"/>
      <c r="C639" s="73"/>
      <c r="D639" s="73"/>
      <c r="E639" s="74"/>
      <c r="F639" s="74"/>
      <c r="G639" s="72"/>
      <c r="H639" s="74"/>
      <c r="I639" s="72"/>
      <c r="J639" s="73"/>
      <c r="K639" s="73"/>
      <c r="L639" s="75" t="str">
        <f aca="false">IF(OR($A639&lt;&gt;"",$E639&lt;&gt;""),N($F639)+N($H639),"")</f>
        <v/>
      </c>
      <c r="M639" s="76" t="str">
        <f aca="false">IF(OR($O639="",$O639="Cancelled",$O639="Amount missing"),"",IF($O639="Realised",0,$E639-N($F639)-N($H639)))</f>
        <v/>
      </c>
      <c r="N639" s="77" t="str">
        <f aca="false">IF(OR($M639="",FX=""),"",$M639*FX)</f>
        <v/>
      </c>
      <c r="O639" s="78" t="str">
        <f aca="false">IF(NOT(OR($A639&lt;&gt;"",$E639&lt;&gt;"")),"",IF($J639="Cancelled","Cancelled",IF($E639="","Amount missing",IF(OR($J639="Settled",$E639-N($F639)-N($H639)&lt;=0.005),"Realised",IF(N($H639)&gt;0,"Part realised",IF(N($F639)&gt;0,"Advance received","On hand"))))))</f>
        <v/>
      </c>
      <c r="P639" s="79" t="str">
        <f aca="false">IF(AND($V639=1,ISNUMBER($B639)),AsAt-$B639,"")</f>
        <v/>
      </c>
      <c r="Q639" s="78" t="str">
        <f aca="false">IF($V639&lt;&gt;1,"",IF($P639="","No invoice date",IF($P639&lt;=30,"0–30 days",IF($P639&lt;=60,"31–60 days",IF($P639&lt;=90,"61–90 days","Over 90 days")))))</f>
        <v/>
      </c>
      <c r="R639" s="80" t="str">
        <f aca="false">IF($V639=1,ROW(),"")</f>
        <v/>
      </c>
      <c r="S639" s="80" t="str">
        <f aca="false">IF(OR($A639&lt;&gt;"",$E639&lt;&gt;""),IF(TRIM($D639)="","Buyer not noted",TRIM($D639)),"")</f>
        <v/>
      </c>
      <c r="T639" s="80" t="n">
        <f aca="false">IF(AND($V639=1,ISNUMBER($M639)),$M639,0)</f>
        <v>0</v>
      </c>
      <c r="U639" s="80" t="str">
        <f aca="false">IF($V639=1,IF(COUNTIFS($S$7:$S639,$S639,$V$7:$V639,1)=1,SUMIFS($T$7:$T$1006,$S$7:$S$1006,$S639)-ROW()/1000000000,""),"")</f>
        <v/>
      </c>
      <c r="V639" s="80" t="n">
        <f aca="false">IF(OR($O639="On hand",$O639="Advance received",$O639="Part realised",$O639="Amount missing"),1,0)</f>
        <v>0</v>
      </c>
      <c r="W639" s="80" t="str">
        <f aca="false">IF(AND($V639=1,N($F639)&gt;0),ROW(),"")</f>
        <v/>
      </c>
      <c r="X639" s="80" t="n">
        <f aca="false">IF(AND(OR($A639&lt;&gt;"",$E639&lt;&gt;""),$O639&lt;&gt;"Cancelled",ISNUMBER($E639),N($F639)+N($H639)&gt;$E639+0.005),1,0)</f>
        <v>0</v>
      </c>
      <c r="Y639" s="80" t="n">
        <f aca="false">IF(AND(OR($A639&lt;&gt;"",$E639&lt;&gt;""),OR($A639="",$E639="")),1,0)</f>
        <v>0</v>
      </c>
      <c r="Z639" s="80" t="n">
        <f aca="false">IF(AND($A639&lt;&gt;"",COUNTIF($A$7:$A$1006,$A639)&gt;1),1,0)</f>
        <v>0</v>
      </c>
    </row>
    <row r="640" customFormat="false" ht="15" hidden="false" customHeight="false" outlineLevel="0" collapsed="false">
      <c r="A640" s="71"/>
      <c r="B640" s="72"/>
      <c r="C640" s="73"/>
      <c r="D640" s="73"/>
      <c r="E640" s="74"/>
      <c r="F640" s="74"/>
      <c r="G640" s="72"/>
      <c r="H640" s="74"/>
      <c r="I640" s="72"/>
      <c r="J640" s="73"/>
      <c r="K640" s="73"/>
      <c r="L640" s="75" t="str">
        <f aca="false">IF(OR($A640&lt;&gt;"",$E640&lt;&gt;""),N($F640)+N($H640),"")</f>
        <v/>
      </c>
      <c r="M640" s="76" t="str">
        <f aca="false">IF(OR($O640="",$O640="Cancelled",$O640="Amount missing"),"",IF($O640="Realised",0,$E640-N($F640)-N($H640)))</f>
        <v/>
      </c>
      <c r="N640" s="77" t="str">
        <f aca="false">IF(OR($M640="",FX=""),"",$M640*FX)</f>
        <v/>
      </c>
      <c r="O640" s="78" t="str">
        <f aca="false">IF(NOT(OR($A640&lt;&gt;"",$E640&lt;&gt;"")),"",IF($J640="Cancelled","Cancelled",IF($E640="","Amount missing",IF(OR($J640="Settled",$E640-N($F640)-N($H640)&lt;=0.005),"Realised",IF(N($H640)&gt;0,"Part realised",IF(N($F640)&gt;0,"Advance received","On hand"))))))</f>
        <v/>
      </c>
      <c r="P640" s="79" t="str">
        <f aca="false">IF(AND($V640=1,ISNUMBER($B640)),AsAt-$B640,"")</f>
        <v/>
      </c>
      <c r="Q640" s="78" t="str">
        <f aca="false">IF($V640&lt;&gt;1,"",IF($P640="","No invoice date",IF($P640&lt;=30,"0–30 days",IF($P640&lt;=60,"31–60 days",IF($P640&lt;=90,"61–90 days","Over 90 days")))))</f>
        <v/>
      </c>
      <c r="R640" s="80" t="str">
        <f aca="false">IF($V640=1,ROW(),"")</f>
        <v/>
      </c>
      <c r="S640" s="80" t="str">
        <f aca="false">IF(OR($A640&lt;&gt;"",$E640&lt;&gt;""),IF(TRIM($D640)="","Buyer not noted",TRIM($D640)),"")</f>
        <v/>
      </c>
      <c r="T640" s="80" t="n">
        <f aca="false">IF(AND($V640=1,ISNUMBER($M640)),$M640,0)</f>
        <v>0</v>
      </c>
      <c r="U640" s="80" t="str">
        <f aca="false">IF($V640=1,IF(COUNTIFS($S$7:$S640,$S640,$V$7:$V640,1)=1,SUMIFS($T$7:$T$1006,$S$7:$S$1006,$S640)-ROW()/1000000000,""),"")</f>
        <v/>
      </c>
      <c r="V640" s="80" t="n">
        <f aca="false">IF(OR($O640="On hand",$O640="Advance received",$O640="Part realised",$O640="Amount missing"),1,0)</f>
        <v>0</v>
      </c>
      <c r="W640" s="80" t="str">
        <f aca="false">IF(AND($V640=1,N($F640)&gt;0),ROW(),"")</f>
        <v/>
      </c>
      <c r="X640" s="80" t="n">
        <f aca="false">IF(AND(OR($A640&lt;&gt;"",$E640&lt;&gt;""),$O640&lt;&gt;"Cancelled",ISNUMBER($E640),N($F640)+N($H640)&gt;$E640+0.005),1,0)</f>
        <v>0</v>
      </c>
      <c r="Y640" s="80" t="n">
        <f aca="false">IF(AND(OR($A640&lt;&gt;"",$E640&lt;&gt;""),OR($A640="",$E640="")),1,0)</f>
        <v>0</v>
      </c>
      <c r="Z640" s="80" t="n">
        <f aca="false">IF(AND($A640&lt;&gt;"",COUNTIF($A$7:$A$1006,$A640)&gt;1),1,0)</f>
        <v>0</v>
      </c>
    </row>
    <row r="641" customFormat="false" ht="15" hidden="false" customHeight="false" outlineLevel="0" collapsed="false">
      <c r="A641" s="71"/>
      <c r="B641" s="72"/>
      <c r="C641" s="73"/>
      <c r="D641" s="73"/>
      <c r="E641" s="74"/>
      <c r="F641" s="74"/>
      <c r="G641" s="72"/>
      <c r="H641" s="74"/>
      <c r="I641" s="72"/>
      <c r="J641" s="73"/>
      <c r="K641" s="73"/>
      <c r="L641" s="75" t="str">
        <f aca="false">IF(OR($A641&lt;&gt;"",$E641&lt;&gt;""),N($F641)+N($H641),"")</f>
        <v/>
      </c>
      <c r="M641" s="76" t="str">
        <f aca="false">IF(OR($O641="",$O641="Cancelled",$O641="Amount missing"),"",IF($O641="Realised",0,$E641-N($F641)-N($H641)))</f>
        <v/>
      </c>
      <c r="N641" s="77" t="str">
        <f aca="false">IF(OR($M641="",FX=""),"",$M641*FX)</f>
        <v/>
      </c>
      <c r="O641" s="78" t="str">
        <f aca="false">IF(NOT(OR($A641&lt;&gt;"",$E641&lt;&gt;"")),"",IF($J641="Cancelled","Cancelled",IF($E641="","Amount missing",IF(OR($J641="Settled",$E641-N($F641)-N($H641)&lt;=0.005),"Realised",IF(N($H641)&gt;0,"Part realised",IF(N($F641)&gt;0,"Advance received","On hand"))))))</f>
        <v/>
      </c>
      <c r="P641" s="79" t="str">
        <f aca="false">IF(AND($V641=1,ISNUMBER($B641)),AsAt-$B641,"")</f>
        <v/>
      </c>
      <c r="Q641" s="78" t="str">
        <f aca="false">IF($V641&lt;&gt;1,"",IF($P641="","No invoice date",IF($P641&lt;=30,"0–30 days",IF($P641&lt;=60,"31–60 days",IF($P641&lt;=90,"61–90 days","Over 90 days")))))</f>
        <v/>
      </c>
      <c r="R641" s="80" t="str">
        <f aca="false">IF($V641=1,ROW(),"")</f>
        <v/>
      </c>
      <c r="S641" s="80" t="str">
        <f aca="false">IF(OR($A641&lt;&gt;"",$E641&lt;&gt;""),IF(TRIM($D641)="","Buyer not noted",TRIM($D641)),"")</f>
        <v/>
      </c>
      <c r="T641" s="80" t="n">
        <f aca="false">IF(AND($V641=1,ISNUMBER($M641)),$M641,0)</f>
        <v>0</v>
      </c>
      <c r="U641" s="80" t="str">
        <f aca="false">IF($V641=1,IF(COUNTIFS($S$7:$S641,$S641,$V$7:$V641,1)=1,SUMIFS($T$7:$T$1006,$S$7:$S$1006,$S641)-ROW()/1000000000,""),"")</f>
        <v/>
      </c>
      <c r="V641" s="80" t="n">
        <f aca="false">IF(OR($O641="On hand",$O641="Advance received",$O641="Part realised",$O641="Amount missing"),1,0)</f>
        <v>0</v>
      </c>
      <c r="W641" s="80" t="str">
        <f aca="false">IF(AND($V641=1,N($F641)&gt;0),ROW(),"")</f>
        <v/>
      </c>
      <c r="X641" s="80" t="n">
        <f aca="false">IF(AND(OR($A641&lt;&gt;"",$E641&lt;&gt;""),$O641&lt;&gt;"Cancelled",ISNUMBER($E641),N($F641)+N($H641)&gt;$E641+0.005),1,0)</f>
        <v>0</v>
      </c>
      <c r="Y641" s="80" t="n">
        <f aca="false">IF(AND(OR($A641&lt;&gt;"",$E641&lt;&gt;""),OR($A641="",$E641="")),1,0)</f>
        <v>0</v>
      </c>
      <c r="Z641" s="80" t="n">
        <f aca="false">IF(AND($A641&lt;&gt;"",COUNTIF($A$7:$A$1006,$A641)&gt;1),1,0)</f>
        <v>0</v>
      </c>
    </row>
    <row r="642" customFormat="false" ht="15" hidden="false" customHeight="false" outlineLevel="0" collapsed="false">
      <c r="A642" s="71"/>
      <c r="B642" s="72"/>
      <c r="C642" s="73"/>
      <c r="D642" s="73"/>
      <c r="E642" s="74"/>
      <c r="F642" s="74"/>
      <c r="G642" s="72"/>
      <c r="H642" s="74"/>
      <c r="I642" s="72"/>
      <c r="J642" s="73"/>
      <c r="K642" s="73"/>
      <c r="L642" s="75" t="str">
        <f aca="false">IF(OR($A642&lt;&gt;"",$E642&lt;&gt;""),N($F642)+N($H642),"")</f>
        <v/>
      </c>
      <c r="M642" s="76" t="str">
        <f aca="false">IF(OR($O642="",$O642="Cancelled",$O642="Amount missing"),"",IF($O642="Realised",0,$E642-N($F642)-N($H642)))</f>
        <v/>
      </c>
      <c r="N642" s="77" t="str">
        <f aca="false">IF(OR($M642="",FX=""),"",$M642*FX)</f>
        <v/>
      </c>
      <c r="O642" s="78" t="str">
        <f aca="false">IF(NOT(OR($A642&lt;&gt;"",$E642&lt;&gt;"")),"",IF($J642="Cancelled","Cancelled",IF($E642="","Amount missing",IF(OR($J642="Settled",$E642-N($F642)-N($H642)&lt;=0.005),"Realised",IF(N($H642)&gt;0,"Part realised",IF(N($F642)&gt;0,"Advance received","On hand"))))))</f>
        <v/>
      </c>
      <c r="P642" s="79" t="str">
        <f aca="false">IF(AND($V642=1,ISNUMBER($B642)),AsAt-$B642,"")</f>
        <v/>
      </c>
      <c r="Q642" s="78" t="str">
        <f aca="false">IF($V642&lt;&gt;1,"",IF($P642="","No invoice date",IF($P642&lt;=30,"0–30 days",IF($P642&lt;=60,"31–60 days",IF($P642&lt;=90,"61–90 days","Over 90 days")))))</f>
        <v/>
      </c>
      <c r="R642" s="80" t="str">
        <f aca="false">IF($V642=1,ROW(),"")</f>
        <v/>
      </c>
      <c r="S642" s="80" t="str">
        <f aca="false">IF(OR($A642&lt;&gt;"",$E642&lt;&gt;""),IF(TRIM($D642)="","Buyer not noted",TRIM($D642)),"")</f>
        <v/>
      </c>
      <c r="T642" s="80" t="n">
        <f aca="false">IF(AND($V642=1,ISNUMBER($M642)),$M642,0)</f>
        <v>0</v>
      </c>
      <c r="U642" s="80" t="str">
        <f aca="false">IF($V642=1,IF(COUNTIFS($S$7:$S642,$S642,$V$7:$V642,1)=1,SUMIFS($T$7:$T$1006,$S$7:$S$1006,$S642)-ROW()/1000000000,""),"")</f>
        <v/>
      </c>
      <c r="V642" s="80" t="n">
        <f aca="false">IF(OR($O642="On hand",$O642="Advance received",$O642="Part realised",$O642="Amount missing"),1,0)</f>
        <v>0</v>
      </c>
      <c r="W642" s="80" t="str">
        <f aca="false">IF(AND($V642=1,N($F642)&gt;0),ROW(),"")</f>
        <v/>
      </c>
      <c r="X642" s="80" t="n">
        <f aca="false">IF(AND(OR($A642&lt;&gt;"",$E642&lt;&gt;""),$O642&lt;&gt;"Cancelled",ISNUMBER($E642),N($F642)+N($H642)&gt;$E642+0.005),1,0)</f>
        <v>0</v>
      </c>
      <c r="Y642" s="80" t="n">
        <f aca="false">IF(AND(OR($A642&lt;&gt;"",$E642&lt;&gt;""),OR($A642="",$E642="")),1,0)</f>
        <v>0</v>
      </c>
      <c r="Z642" s="80" t="n">
        <f aca="false">IF(AND($A642&lt;&gt;"",COUNTIF($A$7:$A$1006,$A642)&gt;1),1,0)</f>
        <v>0</v>
      </c>
    </row>
    <row r="643" customFormat="false" ht="15" hidden="false" customHeight="false" outlineLevel="0" collapsed="false">
      <c r="A643" s="71"/>
      <c r="B643" s="72"/>
      <c r="C643" s="73"/>
      <c r="D643" s="73"/>
      <c r="E643" s="74"/>
      <c r="F643" s="74"/>
      <c r="G643" s="72"/>
      <c r="H643" s="74"/>
      <c r="I643" s="72"/>
      <c r="J643" s="73"/>
      <c r="K643" s="73"/>
      <c r="L643" s="75" t="str">
        <f aca="false">IF(OR($A643&lt;&gt;"",$E643&lt;&gt;""),N($F643)+N($H643),"")</f>
        <v/>
      </c>
      <c r="M643" s="76" t="str">
        <f aca="false">IF(OR($O643="",$O643="Cancelled",$O643="Amount missing"),"",IF($O643="Realised",0,$E643-N($F643)-N($H643)))</f>
        <v/>
      </c>
      <c r="N643" s="77" t="str">
        <f aca="false">IF(OR($M643="",FX=""),"",$M643*FX)</f>
        <v/>
      </c>
      <c r="O643" s="78" t="str">
        <f aca="false">IF(NOT(OR($A643&lt;&gt;"",$E643&lt;&gt;"")),"",IF($J643="Cancelled","Cancelled",IF($E643="","Amount missing",IF(OR($J643="Settled",$E643-N($F643)-N($H643)&lt;=0.005),"Realised",IF(N($H643)&gt;0,"Part realised",IF(N($F643)&gt;0,"Advance received","On hand"))))))</f>
        <v/>
      </c>
      <c r="P643" s="79" t="str">
        <f aca="false">IF(AND($V643=1,ISNUMBER($B643)),AsAt-$B643,"")</f>
        <v/>
      </c>
      <c r="Q643" s="78" t="str">
        <f aca="false">IF($V643&lt;&gt;1,"",IF($P643="","No invoice date",IF($P643&lt;=30,"0–30 days",IF($P643&lt;=60,"31–60 days",IF($P643&lt;=90,"61–90 days","Over 90 days")))))</f>
        <v/>
      </c>
      <c r="R643" s="80" t="str">
        <f aca="false">IF($V643=1,ROW(),"")</f>
        <v/>
      </c>
      <c r="S643" s="80" t="str">
        <f aca="false">IF(OR($A643&lt;&gt;"",$E643&lt;&gt;""),IF(TRIM($D643)="","Buyer not noted",TRIM($D643)),"")</f>
        <v/>
      </c>
      <c r="T643" s="80" t="n">
        <f aca="false">IF(AND($V643=1,ISNUMBER($M643)),$M643,0)</f>
        <v>0</v>
      </c>
      <c r="U643" s="80" t="str">
        <f aca="false">IF($V643=1,IF(COUNTIFS($S$7:$S643,$S643,$V$7:$V643,1)=1,SUMIFS($T$7:$T$1006,$S$7:$S$1006,$S643)-ROW()/1000000000,""),"")</f>
        <v/>
      </c>
      <c r="V643" s="80" t="n">
        <f aca="false">IF(OR($O643="On hand",$O643="Advance received",$O643="Part realised",$O643="Amount missing"),1,0)</f>
        <v>0</v>
      </c>
      <c r="W643" s="80" t="str">
        <f aca="false">IF(AND($V643=1,N($F643)&gt;0),ROW(),"")</f>
        <v/>
      </c>
      <c r="X643" s="80" t="n">
        <f aca="false">IF(AND(OR($A643&lt;&gt;"",$E643&lt;&gt;""),$O643&lt;&gt;"Cancelled",ISNUMBER($E643),N($F643)+N($H643)&gt;$E643+0.005),1,0)</f>
        <v>0</v>
      </c>
      <c r="Y643" s="80" t="n">
        <f aca="false">IF(AND(OR($A643&lt;&gt;"",$E643&lt;&gt;""),OR($A643="",$E643="")),1,0)</f>
        <v>0</v>
      </c>
      <c r="Z643" s="80" t="n">
        <f aca="false">IF(AND($A643&lt;&gt;"",COUNTIF($A$7:$A$1006,$A643)&gt;1),1,0)</f>
        <v>0</v>
      </c>
    </row>
    <row r="644" customFormat="false" ht="15" hidden="false" customHeight="false" outlineLevel="0" collapsed="false">
      <c r="A644" s="71"/>
      <c r="B644" s="72"/>
      <c r="C644" s="73"/>
      <c r="D644" s="73"/>
      <c r="E644" s="74"/>
      <c r="F644" s="74"/>
      <c r="G644" s="72"/>
      <c r="H644" s="74"/>
      <c r="I644" s="72"/>
      <c r="J644" s="73"/>
      <c r="K644" s="73"/>
      <c r="L644" s="75" t="str">
        <f aca="false">IF(OR($A644&lt;&gt;"",$E644&lt;&gt;""),N($F644)+N($H644),"")</f>
        <v/>
      </c>
      <c r="M644" s="76" t="str">
        <f aca="false">IF(OR($O644="",$O644="Cancelled",$O644="Amount missing"),"",IF($O644="Realised",0,$E644-N($F644)-N($H644)))</f>
        <v/>
      </c>
      <c r="N644" s="77" t="str">
        <f aca="false">IF(OR($M644="",FX=""),"",$M644*FX)</f>
        <v/>
      </c>
      <c r="O644" s="78" t="str">
        <f aca="false">IF(NOT(OR($A644&lt;&gt;"",$E644&lt;&gt;"")),"",IF($J644="Cancelled","Cancelled",IF($E644="","Amount missing",IF(OR($J644="Settled",$E644-N($F644)-N($H644)&lt;=0.005),"Realised",IF(N($H644)&gt;0,"Part realised",IF(N($F644)&gt;0,"Advance received","On hand"))))))</f>
        <v/>
      </c>
      <c r="P644" s="79" t="str">
        <f aca="false">IF(AND($V644=1,ISNUMBER($B644)),AsAt-$B644,"")</f>
        <v/>
      </c>
      <c r="Q644" s="78" t="str">
        <f aca="false">IF($V644&lt;&gt;1,"",IF($P644="","No invoice date",IF($P644&lt;=30,"0–30 days",IF($P644&lt;=60,"31–60 days",IF($P644&lt;=90,"61–90 days","Over 90 days")))))</f>
        <v/>
      </c>
      <c r="R644" s="80" t="str">
        <f aca="false">IF($V644=1,ROW(),"")</f>
        <v/>
      </c>
      <c r="S644" s="80" t="str">
        <f aca="false">IF(OR($A644&lt;&gt;"",$E644&lt;&gt;""),IF(TRIM($D644)="","Buyer not noted",TRIM($D644)),"")</f>
        <v/>
      </c>
      <c r="T644" s="80" t="n">
        <f aca="false">IF(AND($V644=1,ISNUMBER($M644)),$M644,0)</f>
        <v>0</v>
      </c>
      <c r="U644" s="80" t="str">
        <f aca="false">IF($V644=1,IF(COUNTIFS($S$7:$S644,$S644,$V$7:$V644,1)=1,SUMIFS($T$7:$T$1006,$S$7:$S$1006,$S644)-ROW()/1000000000,""),"")</f>
        <v/>
      </c>
      <c r="V644" s="80" t="n">
        <f aca="false">IF(OR($O644="On hand",$O644="Advance received",$O644="Part realised",$O644="Amount missing"),1,0)</f>
        <v>0</v>
      </c>
      <c r="W644" s="80" t="str">
        <f aca="false">IF(AND($V644=1,N($F644)&gt;0),ROW(),"")</f>
        <v/>
      </c>
      <c r="X644" s="80" t="n">
        <f aca="false">IF(AND(OR($A644&lt;&gt;"",$E644&lt;&gt;""),$O644&lt;&gt;"Cancelled",ISNUMBER($E644),N($F644)+N($H644)&gt;$E644+0.005),1,0)</f>
        <v>0</v>
      </c>
      <c r="Y644" s="80" t="n">
        <f aca="false">IF(AND(OR($A644&lt;&gt;"",$E644&lt;&gt;""),OR($A644="",$E644="")),1,0)</f>
        <v>0</v>
      </c>
      <c r="Z644" s="80" t="n">
        <f aca="false">IF(AND($A644&lt;&gt;"",COUNTIF($A$7:$A$1006,$A644)&gt;1),1,0)</f>
        <v>0</v>
      </c>
    </row>
    <row r="645" customFormat="false" ht="15" hidden="false" customHeight="false" outlineLevel="0" collapsed="false">
      <c r="A645" s="71"/>
      <c r="B645" s="72"/>
      <c r="C645" s="73"/>
      <c r="D645" s="73"/>
      <c r="E645" s="74"/>
      <c r="F645" s="74"/>
      <c r="G645" s="72"/>
      <c r="H645" s="74"/>
      <c r="I645" s="72"/>
      <c r="J645" s="73"/>
      <c r="K645" s="73"/>
      <c r="L645" s="75" t="str">
        <f aca="false">IF(OR($A645&lt;&gt;"",$E645&lt;&gt;""),N($F645)+N($H645),"")</f>
        <v/>
      </c>
      <c r="M645" s="76" t="str">
        <f aca="false">IF(OR($O645="",$O645="Cancelled",$O645="Amount missing"),"",IF($O645="Realised",0,$E645-N($F645)-N($H645)))</f>
        <v/>
      </c>
      <c r="N645" s="77" t="str">
        <f aca="false">IF(OR($M645="",FX=""),"",$M645*FX)</f>
        <v/>
      </c>
      <c r="O645" s="78" t="str">
        <f aca="false">IF(NOT(OR($A645&lt;&gt;"",$E645&lt;&gt;"")),"",IF($J645="Cancelled","Cancelled",IF($E645="","Amount missing",IF(OR($J645="Settled",$E645-N($F645)-N($H645)&lt;=0.005),"Realised",IF(N($H645)&gt;0,"Part realised",IF(N($F645)&gt;0,"Advance received","On hand"))))))</f>
        <v/>
      </c>
      <c r="P645" s="79" t="str">
        <f aca="false">IF(AND($V645=1,ISNUMBER($B645)),AsAt-$B645,"")</f>
        <v/>
      </c>
      <c r="Q645" s="78" t="str">
        <f aca="false">IF($V645&lt;&gt;1,"",IF($P645="","No invoice date",IF($P645&lt;=30,"0–30 days",IF($P645&lt;=60,"31–60 days",IF($P645&lt;=90,"61–90 days","Over 90 days")))))</f>
        <v/>
      </c>
      <c r="R645" s="80" t="str">
        <f aca="false">IF($V645=1,ROW(),"")</f>
        <v/>
      </c>
      <c r="S645" s="80" t="str">
        <f aca="false">IF(OR($A645&lt;&gt;"",$E645&lt;&gt;""),IF(TRIM($D645)="","Buyer not noted",TRIM($D645)),"")</f>
        <v/>
      </c>
      <c r="T645" s="80" t="n">
        <f aca="false">IF(AND($V645=1,ISNUMBER($M645)),$M645,0)</f>
        <v>0</v>
      </c>
      <c r="U645" s="80" t="str">
        <f aca="false">IF($V645=1,IF(COUNTIFS($S$7:$S645,$S645,$V$7:$V645,1)=1,SUMIFS($T$7:$T$1006,$S$7:$S$1006,$S645)-ROW()/1000000000,""),"")</f>
        <v/>
      </c>
      <c r="V645" s="80" t="n">
        <f aca="false">IF(OR($O645="On hand",$O645="Advance received",$O645="Part realised",$O645="Amount missing"),1,0)</f>
        <v>0</v>
      </c>
      <c r="W645" s="80" t="str">
        <f aca="false">IF(AND($V645=1,N($F645)&gt;0),ROW(),"")</f>
        <v/>
      </c>
      <c r="X645" s="80" t="n">
        <f aca="false">IF(AND(OR($A645&lt;&gt;"",$E645&lt;&gt;""),$O645&lt;&gt;"Cancelled",ISNUMBER($E645),N($F645)+N($H645)&gt;$E645+0.005),1,0)</f>
        <v>0</v>
      </c>
      <c r="Y645" s="80" t="n">
        <f aca="false">IF(AND(OR($A645&lt;&gt;"",$E645&lt;&gt;""),OR($A645="",$E645="")),1,0)</f>
        <v>0</v>
      </c>
      <c r="Z645" s="80" t="n">
        <f aca="false">IF(AND($A645&lt;&gt;"",COUNTIF($A$7:$A$1006,$A645)&gt;1),1,0)</f>
        <v>0</v>
      </c>
    </row>
    <row r="646" customFormat="false" ht="15" hidden="false" customHeight="false" outlineLevel="0" collapsed="false">
      <c r="A646" s="71"/>
      <c r="B646" s="72"/>
      <c r="C646" s="73"/>
      <c r="D646" s="73"/>
      <c r="E646" s="74"/>
      <c r="F646" s="74"/>
      <c r="G646" s="72"/>
      <c r="H646" s="74"/>
      <c r="I646" s="72"/>
      <c r="J646" s="73"/>
      <c r="K646" s="73"/>
      <c r="L646" s="75" t="str">
        <f aca="false">IF(OR($A646&lt;&gt;"",$E646&lt;&gt;""),N($F646)+N($H646),"")</f>
        <v/>
      </c>
      <c r="M646" s="76" t="str">
        <f aca="false">IF(OR($O646="",$O646="Cancelled",$O646="Amount missing"),"",IF($O646="Realised",0,$E646-N($F646)-N($H646)))</f>
        <v/>
      </c>
      <c r="N646" s="77" t="str">
        <f aca="false">IF(OR($M646="",FX=""),"",$M646*FX)</f>
        <v/>
      </c>
      <c r="O646" s="78" t="str">
        <f aca="false">IF(NOT(OR($A646&lt;&gt;"",$E646&lt;&gt;"")),"",IF($J646="Cancelled","Cancelled",IF($E646="","Amount missing",IF(OR($J646="Settled",$E646-N($F646)-N($H646)&lt;=0.005),"Realised",IF(N($H646)&gt;0,"Part realised",IF(N($F646)&gt;0,"Advance received","On hand"))))))</f>
        <v/>
      </c>
      <c r="P646" s="79" t="str">
        <f aca="false">IF(AND($V646=1,ISNUMBER($B646)),AsAt-$B646,"")</f>
        <v/>
      </c>
      <c r="Q646" s="78" t="str">
        <f aca="false">IF($V646&lt;&gt;1,"",IF($P646="","No invoice date",IF($P646&lt;=30,"0–30 days",IF($P646&lt;=60,"31–60 days",IF($P646&lt;=90,"61–90 days","Over 90 days")))))</f>
        <v/>
      </c>
      <c r="R646" s="80" t="str">
        <f aca="false">IF($V646=1,ROW(),"")</f>
        <v/>
      </c>
      <c r="S646" s="80" t="str">
        <f aca="false">IF(OR($A646&lt;&gt;"",$E646&lt;&gt;""),IF(TRIM($D646)="","Buyer not noted",TRIM($D646)),"")</f>
        <v/>
      </c>
      <c r="T646" s="80" t="n">
        <f aca="false">IF(AND($V646=1,ISNUMBER($M646)),$M646,0)</f>
        <v>0</v>
      </c>
      <c r="U646" s="80" t="str">
        <f aca="false">IF($V646=1,IF(COUNTIFS($S$7:$S646,$S646,$V$7:$V646,1)=1,SUMIFS($T$7:$T$1006,$S$7:$S$1006,$S646)-ROW()/1000000000,""),"")</f>
        <v/>
      </c>
      <c r="V646" s="80" t="n">
        <f aca="false">IF(OR($O646="On hand",$O646="Advance received",$O646="Part realised",$O646="Amount missing"),1,0)</f>
        <v>0</v>
      </c>
      <c r="W646" s="80" t="str">
        <f aca="false">IF(AND($V646=1,N($F646)&gt;0),ROW(),"")</f>
        <v/>
      </c>
      <c r="X646" s="80" t="n">
        <f aca="false">IF(AND(OR($A646&lt;&gt;"",$E646&lt;&gt;""),$O646&lt;&gt;"Cancelled",ISNUMBER($E646),N($F646)+N($H646)&gt;$E646+0.005),1,0)</f>
        <v>0</v>
      </c>
      <c r="Y646" s="80" t="n">
        <f aca="false">IF(AND(OR($A646&lt;&gt;"",$E646&lt;&gt;""),OR($A646="",$E646="")),1,0)</f>
        <v>0</v>
      </c>
      <c r="Z646" s="80" t="n">
        <f aca="false">IF(AND($A646&lt;&gt;"",COUNTIF($A$7:$A$1006,$A646)&gt;1),1,0)</f>
        <v>0</v>
      </c>
    </row>
    <row r="647" customFormat="false" ht="15" hidden="false" customHeight="false" outlineLevel="0" collapsed="false">
      <c r="A647" s="71"/>
      <c r="B647" s="72"/>
      <c r="C647" s="73"/>
      <c r="D647" s="73"/>
      <c r="E647" s="74"/>
      <c r="F647" s="74"/>
      <c r="G647" s="72"/>
      <c r="H647" s="74"/>
      <c r="I647" s="72"/>
      <c r="J647" s="73"/>
      <c r="K647" s="73"/>
      <c r="L647" s="75" t="str">
        <f aca="false">IF(OR($A647&lt;&gt;"",$E647&lt;&gt;""),N($F647)+N($H647),"")</f>
        <v/>
      </c>
      <c r="M647" s="76" t="str">
        <f aca="false">IF(OR($O647="",$O647="Cancelled",$O647="Amount missing"),"",IF($O647="Realised",0,$E647-N($F647)-N($H647)))</f>
        <v/>
      </c>
      <c r="N647" s="77" t="str">
        <f aca="false">IF(OR($M647="",FX=""),"",$M647*FX)</f>
        <v/>
      </c>
      <c r="O647" s="78" t="str">
        <f aca="false">IF(NOT(OR($A647&lt;&gt;"",$E647&lt;&gt;"")),"",IF($J647="Cancelled","Cancelled",IF($E647="","Amount missing",IF(OR($J647="Settled",$E647-N($F647)-N($H647)&lt;=0.005),"Realised",IF(N($H647)&gt;0,"Part realised",IF(N($F647)&gt;0,"Advance received","On hand"))))))</f>
        <v/>
      </c>
      <c r="P647" s="79" t="str">
        <f aca="false">IF(AND($V647=1,ISNUMBER($B647)),AsAt-$B647,"")</f>
        <v/>
      </c>
      <c r="Q647" s="78" t="str">
        <f aca="false">IF($V647&lt;&gt;1,"",IF($P647="","No invoice date",IF($P647&lt;=30,"0–30 days",IF($P647&lt;=60,"31–60 days",IF($P647&lt;=90,"61–90 days","Over 90 days")))))</f>
        <v/>
      </c>
      <c r="R647" s="80" t="str">
        <f aca="false">IF($V647=1,ROW(),"")</f>
        <v/>
      </c>
      <c r="S647" s="80" t="str">
        <f aca="false">IF(OR($A647&lt;&gt;"",$E647&lt;&gt;""),IF(TRIM($D647)="","Buyer not noted",TRIM($D647)),"")</f>
        <v/>
      </c>
      <c r="T647" s="80" t="n">
        <f aca="false">IF(AND($V647=1,ISNUMBER($M647)),$M647,0)</f>
        <v>0</v>
      </c>
      <c r="U647" s="80" t="str">
        <f aca="false">IF($V647=1,IF(COUNTIFS($S$7:$S647,$S647,$V$7:$V647,1)=1,SUMIFS($T$7:$T$1006,$S$7:$S$1006,$S647)-ROW()/1000000000,""),"")</f>
        <v/>
      </c>
      <c r="V647" s="80" t="n">
        <f aca="false">IF(OR($O647="On hand",$O647="Advance received",$O647="Part realised",$O647="Amount missing"),1,0)</f>
        <v>0</v>
      </c>
      <c r="W647" s="80" t="str">
        <f aca="false">IF(AND($V647=1,N($F647)&gt;0),ROW(),"")</f>
        <v/>
      </c>
      <c r="X647" s="80" t="n">
        <f aca="false">IF(AND(OR($A647&lt;&gt;"",$E647&lt;&gt;""),$O647&lt;&gt;"Cancelled",ISNUMBER($E647),N($F647)+N($H647)&gt;$E647+0.005),1,0)</f>
        <v>0</v>
      </c>
      <c r="Y647" s="80" t="n">
        <f aca="false">IF(AND(OR($A647&lt;&gt;"",$E647&lt;&gt;""),OR($A647="",$E647="")),1,0)</f>
        <v>0</v>
      </c>
      <c r="Z647" s="80" t="n">
        <f aca="false">IF(AND($A647&lt;&gt;"",COUNTIF($A$7:$A$1006,$A647)&gt;1),1,0)</f>
        <v>0</v>
      </c>
    </row>
    <row r="648" customFormat="false" ht="15" hidden="false" customHeight="false" outlineLevel="0" collapsed="false">
      <c r="A648" s="71"/>
      <c r="B648" s="72"/>
      <c r="C648" s="73"/>
      <c r="D648" s="73"/>
      <c r="E648" s="74"/>
      <c r="F648" s="74"/>
      <c r="G648" s="72"/>
      <c r="H648" s="74"/>
      <c r="I648" s="72"/>
      <c r="J648" s="73"/>
      <c r="K648" s="73"/>
      <c r="L648" s="75" t="str">
        <f aca="false">IF(OR($A648&lt;&gt;"",$E648&lt;&gt;""),N($F648)+N($H648),"")</f>
        <v/>
      </c>
      <c r="M648" s="76" t="str">
        <f aca="false">IF(OR($O648="",$O648="Cancelled",$O648="Amount missing"),"",IF($O648="Realised",0,$E648-N($F648)-N($H648)))</f>
        <v/>
      </c>
      <c r="N648" s="77" t="str">
        <f aca="false">IF(OR($M648="",FX=""),"",$M648*FX)</f>
        <v/>
      </c>
      <c r="O648" s="78" t="str">
        <f aca="false">IF(NOT(OR($A648&lt;&gt;"",$E648&lt;&gt;"")),"",IF($J648="Cancelled","Cancelled",IF($E648="","Amount missing",IF(OR($J648="Settled",$E648-N($F648)-N($H648)&lt;=0.005),"Realised",IF(N($H648)&gt;0,"Part realised",IF(N($F648)&gt;0,"Advance received","On hand"))))))</f>
        <v/>
      </c>
      <c r="P648" s="79" t="str">
        <f aca="false">IF(AND($V648=1,ISNUMBER($B648)),AsAt-$B648,"")</f>
        <v/>
      </c>
      <c r="Q648" s="78" t="str">
        <f aca="false">IF($V648&lt;&gt;1,"",IF($P648="","No invoice date",IF($P648&lt;=30,"0–30 days",IF($P648&lt;=60,"31–60 days",IF($P648&lt;=90,"61–90 days","Over 90 days")))))</f>
        <v/>
      </c>
      <c r="R648" s="80" t="str">
        <f aca="false">IF($V648=1,ROW(),"")</f>
        <v/>
      </c>
      <c r="S648" s="80" t="str">
        <f aca="false">IF(OR($A648&lt;&gt;"",$E648&lt;&gt;""),IF(TRIM($D648)="","Buyer not noted",TRIM($D648)),"")</f>
        <v/>
      </c>
      <c r="T648" s="80" t="n">
        <f aca="false">IF(AND($V648=1,ISNUMBER($M648)),$M648,0)</f>
        <v>0</v>
      </c>
      <c r="U648" s="80" t="str">
        <f aca="false">IF($V648=1,IF(COUNTIFS($S$7:$S648,$S648,$V$7:$V648,1)=1,SUMIFS($T$7:$T$1006,$S$7:$S$1006,$S648)-ROW()/1000000000,""),"")</f>
        <v/>
      </c>
      <c r="V648" s="80" t="n">
        <f aca="false">IF(OR($O648="On hand",$O648="Advance received",$O648="Part realised",$O648="Amount missing"),1,0)</f>
        <v>0</v>
      </c>
      <c r="W648" s="80" t="str">
        <f aca="false">IF(AND($V648=1,N($F648)&gt;0),ROW(),"")</f>
        <v/>
      </c>
      <c r="X648" s="80" t="n">
        <f aca="false">IF(AND(OR($A648&lt;&gt;"",$E648&lt;&gt;""),$O648&lt;&gt;"Cancelled",ISNUMBER($E648),N($F648)+N($H648)&gt;$E648+0.005),1,0)</f>
        <v>0</v>
      </c>
      <c r="Y648" s="80" t="n">
        <f aca="false">IF(AND(OR($A648&lt;&gt;"",$E648&lt;&gt;""),OR($A648="",$E648="")),1,0)</f>
        <v>0</v>
      </c>
      <c r="Z648" s="80" t="n">
        <f aca="false">IF(AND($A648&lt;&gt;"",COUNTIF($A$7:$A$1006,$A648)&gt;1),1,0)</f>
        <v>0</v>
      </c>
    </row>
    <row r="649" customFormat="false" ht="15" hidden="false" customHeight="false" outlineLevel="0" collapsed="false">
      <c r="A649" s="71"/>
      <c r="B649" s="72"/>
      <c r="C649" s="73"/>
      <c r="D649" s="73"/>
      <c r="E649" s="74"/>
      <c r="F649" s="74"/>
      <c r="G649" s="72"/>
      <c r="H649" s="74"/>
      <c r="I649" s="72"/>
      <c r="J649" s="73"/>
      <c r="K649" s="73"/>
      <c r="L649" s="75" t="str">
        <f aca="false">IF(OR($A649&lt;&gt;"",$E649&lt;&gt;""),N($F649)+N($H649),"")</f>
        <v/>
      </c>
      <c r="M649" s="76" t="str">
        <f aca="false">IF(OR($O649="",$O649="Cancelled",$O649="Amount missing"),"",IF($O649="Realised",0,$E649-N($F649)-N($H649)))</f>
        <v/>
      </c>
      <c r="N649" s="77" t="str">
        <f aca="false">IF(OR($M649="",FX=""),"",$M649*FX)</f>
        <v/>
      </c>
      <c r="O649" s="78" t="str">
        <f aca="false">IF(NOT(OR($A649&lt;&gt;"",$E649&lt;&gt;"")),"",IF($J649="Cancelled","Cancelled",IF($E649="","Amount missing",IF(OR($J649="Settled",$E649-N($F649)-N($H649)&lt;=0.005),"Realised",IF(N($H649)&gt;0,"Part realised",IF(N($F649)&gt;0,"Advance received","On hand"))))))</f>
        <v/>
      </c>
      <c r="P649" s="79" t="str">
        <f aca="false">IF(AND($V649=1,ISNUMBER($B649)),AsAt-$B649,"")</f>
        <v/>
      </c>
      <c r="Q649" s="78" t="str">
        <f aca="false">IF($V649&lt;&gt;1,"",IF($P649="","No invoice date",IF($P649&lt;=30,"0–30 days",IF($P649&lt;=60,"31–60 days",IF($P649&lt;=90,"61–90 days","Over 90 days")))))</f>
        <v/>
      </c>
      <c r="R649" s="80" t="str">
        <f aca="false">IF($V649=1,ROW(),"")</f>
        <v/>
      </c>
      <c r="S649" s="80" t="str">
        <f aca="false">IF(OR($A649&lt;&gt;"",$E649&lt;&gt;""),IF(TRIM($D649)="","Buyer not noted",TRIM($D649)),"")</f>
        <v/>
      </c>
      <c r="T649" s="80" t="n">
        <f aca="false">IF(AND($V649=1,ISNUMBER($M649)),$M649,0)</f>
        <v>0</v>
      </c>
      <c r="U649" s="80" t="str">
        <f aca="false">IF($V649=1,IF(COUNTIFS($S$7:$S649,$S649,$V$7:$V649,1)=1,SUMIFS($T$7:$T$1006,$S$7:$S$1006,$S649)-ROW()/1000000000,""),"")</f>
        <v/>
      </c>
      <c r="V649" s="80" t="n">
        <f aca="false">IF(OR($O649="On hand",$O649="Advance received",$O649="Part realised",$O649="Amount missing"),1,0)</f>
        <v>0</v>
      </c>
      <c r="W649" s="80" t="str">
        <f aca="false">IF(AND($V649=1,N($F649)&gt;0),ROW(),"")</f>
        <v/>
      </c>
      <c r="X649" s="80" t="n">
        <f aca="false">IF(AND(OR($A649&lt;&gt;"",$E649&lt;&gt;""),$O649&lt;&gt;"Cancelled",ISNUMBER($E649),N($F649)+N($H649)&gt;$E649+0.005),1,0)</f>
        <v>0</v>
      </c>
      <c r="Y649" s="80" t="n">
        <f aca="false">IF(AND(OR($A649&lt;&gt;"",$E649&lt;&gt;""),OR($A649="",$E649="")),1,0)</f>
        <v>0</v>
      </c>
      <c r="Z649" s="80" t="n">
        <f aca="false">IF(AND($A649&lt;&gt;"",COUNTIF($A$7:$A$1006,$A649)&gt;1),1,0)</f>
        <v>0</v>
      </c>
    </row>
    <row r="650" customFormat="false" ht="15" hidden="false" customHeight="false" outlineLevel="0" collapsed="false">
      <c r="A650" s="71"/>
      <c r="B650" s="72"/>
      <c r="C650" s="73"/>
      <c r="D650" s="73"/>
      <c r="E650" s="74"/>
      <c r="F650" s="74"/>
      <c r="G650" s="72"/>
      <c r="H650" s="74"/>
      <c r="I650" s="72"/>
      <c r="J650" s="73"/>
      <c r="K650" s="73"/>
      <c r="L650" s="75" t="str">
        <f aca="false">IF(OR($A650&lt;&gt;"",$E650&lt;&gt;""),N($F650)+N($H650),"")</f>
        <v/>
      </c>
      <c r="M650" s="76" t="str">
        <f aca="false">IF(OR($O650="",$O650="Cancelled",$O650="Amount missing"),"",IF($O650="Realised",0,$E650-N($F650)-N($H650)))</f>
        <v/>
      </c>
      <c r="N650" s="77" t="str">
        <f aca="false">IF(OR($M650="",FX=""),"",$M650*FX)</f>
        <v/>
      </c>
      <c r="O650" s="78" t="str">
        <f aca="false">IF(NOT(OR($A650&lt;&gt;"",$E650&lt;&gt;"")),"",IF($J650="Cancelled","Cancelled",IF($E650="","Amount missing",IF(OR($J650="Settled",$E650-N($F650)-N($H650)&lt;=0.005),"Realised",IF(N($H650)&gt;0,"Part realised",IF(N($F650)&gt;0,"Advance received","On hand"))))))</f>
        <v/>
      </c>
      <c r="P650" s="79" t="str">
        <f aca="false">IF(AND($V650=1,ISNUMBER($B650)),AsAt-$B650,"")</f>
        <v/>
      </c>
      <c r="Q650" s="78" t="str">
        <f aca="false">IF($V650&lt;&gt;1,"",IF($P650="","No invoice date",IF($P650&lt;=30,"0–30 days",IF($P650&lt;=60,"31–60 days",IF($P650&lt;=90,"61–90 days","Over 90 days")))))</f>
        <v/>
      </c>
      <c r="R650" s="80" t="str">
        <f aca="false">IF($V650=1,ROW(),"")</f>
        <v/>
      </c>
      <c r="S650" s="80" t="str">
        <f aca="false">IF(OR($A650&lt;&gt;"",$E650&lt;&gt;""),IF(TRIM($D650)="","Buyer not noted",TRIM($D650)),"")</f>
        <v/>
      </c>
      <c r="T650" s="80" t="n">
        <f aca="false">IF(AND($V650=1,ISNUMBER($M650)),$M650,0)</f>
        <v>0</v>
      </c>
      <c r="U650" s="80" t="str">
        <f aca="false">IF($V650=1,IF(COUNTIFS($S$7:$S650,$S650,$V$7:$V650,1)=1,SUMIFS($T$7:$T$1006,$S$7:$S$1006,$S650)-ROW()/1000000000,""),"")</f>
        <v/>
      </c>
      <c r="V650" s="80" t="n">
        <f aca="false">IF(OR($O650="On hand",$O650="Advance received",$O650="Part realised",$O650="Amount missing"),1,0)</f>
        <v>0</v>
      </c>
      <c r="W650" s="80" t="str">
        <f aca="false">IF(AND($V650=1,N($F650)&gt;0),ROW(),"")</f>
        <v/>
      </c>
      <c r="X650" s="80" t="n">
        <f aca="false">IF(AND(OR($A650&lt;&gt;"",$E650&lt;&gt;""),$O650&lt;&gt;"Cancelled",ISNUMBER($E650),N($F650)+N($H650)&gt;$E650+0.005),1,0)</f>
        <v>0</v>
      </c>
      <c r="Y650" s="80" t="n">
        <f aca="false">IF(AND(OR($A650&lt;&gt;"",$E650&lt;&gt;""),OR($A650="",$E650="")),1,0)</f>
        <v>0</v>
      </c>
      <c r="Z650" s="80" t="n">
        <f aca="false">IF(AND($A650&lt;&gt;"",COUNTIF($A$7:$A$1006,$A650)&gt;1),1,0)</f>
        <v>0</v>
      </c>
    </row>
    <row r="651" customFormat="false" ht="15" hidden="false" customHeight="false" outlineLevel="0" collapsed="false">
      <c r="A651" s="71"/>
      <c r="B651" s="72"/>
      <c r="C651" s="73"/>
      <c r="D651" s="73"/>
      <c r="E651" s="74"/>
      <c r="F651" s="74"/>
      <c r="G651" s="72"/>
      <c r="H651" s="74"/>
      <c r="I651" s="72"/>
      <c r="J651" s="73"/>
      <c r="K651" s="73"/>
      <c r="L651" s="75" t="str">
        <f aca="false">IF(OR($A651&lt;&gt;"",$E651&lt;&gt;""),N($F651)+N($H651),"")</f>
        <v/>
      </c>
      <c r="M651" s="76" t="str">
        <f aca="false">IF(OR($O651="",$O651="Cancelled",$O651="Amount missing"),"",IF($O651="Realised",0,$E651-N($F651)-N($H651)))</f>
        <v/>
      </c>
      <c r="N651" s="77" t="str">
        <f aca="false">IF(OR($M651="",FX=""),"",$M651*FX)</f>
        <v/>
      </c>
      <c r="O651" s="78" t="str">
        <f aca="false">IF(NOT(OR($A651&lt;&gt;"",$E651&lt;&gt;"")),"",IF($J651="Cancelled","Cancelled",IF($E651="","Amount missing",IF(OR($J651="Settled",$E651-N($F651)-N($H651)&lt;=0.005),"Realised",IF(N($H651)&gt;0,"Part realised",IF(N($F651)&gt;0,"Advance received","On hand"))))))</f>
        <v/>
      </c>
      <c r="P651" s="79" t="str">
        <f aca="false">IF(AND($V651=1,ISNUMBER($B651)),AsAt-$B651,"")</f>
        <v/>
      </c>
      <c r="Q651" s="78" t="str">
        <f aca="false">IF($V651&lt;&gt;1,"",IF($P651="","No invoice date",IF($P651&lt;=30,"0–30 days",IF($P651&lt;=60,"31–60 days",IF($P651&lt;=90,"61–90 days","Over 90 days")))))</f>
        <v/>
      </c>
      <c r="R651" s="80" t="str">
        <f aca="false">IF($V651=1,ROW(),"")</f>
        <v/>
      </c>
      <c r="S651" s="80" t="str">
        <f aca="false">IF(OR($A651&lt;&gt;"",$E651&lt;&gt;""),IF(TRIM($D651)="","Buyer not noted",TRIM($D651)),"")</f>
        <v/>
      </c>
      <c r="T651" s="80" t="n">
        <f aca="false">IF(AND($V651=1,ISNUMBER($M651)),$M651,0)</f>
        <v>0</v>
      </c>
      <c r="U651" s="80" t="str">
        <f aca="false">IF($V651=1,IF(COUNTIFS($S$7:$S651,$S651,$V$7:$V651,1)=1,SUMIFS($T$7:$T$1006,$S$7:$S$1006,$S651)-ROW()/1000000000,""),"")</f>
        <v/>
      </c>
      <c r="V651" s="80" t="n">
        <f aca="false">IF(OR($O651="On hand",$O651="Advance received",$O651="Part realised",$O651="Amount missing"),1,0)</f>
        <v>0</v>
      </c>
      <c r="W651" s="80" t="str">
        <f aca="false">IF(AND($V651=1,N($F651)&gt;0),ROW(),"")</f>
        <v/>
      </c>
      <c r="X651" s="80" t="n">
        <f aca="false">IF(AND(OR($A651&lt;&gt;"",$E651&lt;&gt;""),$O651&lt;&gt;"Cancelled",ISNUMBER($E651),N($F651)+N($H651)&gt;$E651+0.005),1,0)</f>
        <v>0</v>
      </c>
      <c r="Y651" s="80" t="n">
        <f aca="false">IF(AND(OR($A651&lt;&gt;"",$E651&lt;&gt;""),OR($A651="",$E651="")),1,0)</f>
        <v>0</v>
      </c>
      <c r="Z651" s="80" t="n">
        <f aca="false">IF(AND($A651&lt;&gt;"",COUNTIF($A$7:$A$1006,$A651)&gt;1),1,0)</f>
        <v>0</v>
      </c>
    </row>
    <row r="652" customFormat="false" ht="15" hidden="false" customHeight="false" outlineLevel="0" collapsed="false">
      <c r="A652" s="71"/>
      <c r="B652" s="72"/>
      <c r="C652" s="73"/>
      <c r="D652" s="73"/>
      <c r="E652" s="74"/>
      <c r="F652" s="74"/>
      <c r="G652" s="72"/>
      <c r="H652" s="74"/>
      <c r="I652" s="72"/>
      <c r="J652" s="73"/>
      <c r="K652" s="73"/>
      <c r="L652" s="75" t="str">
        <f aca="false">IF(OR($A652&lt;&gt;"",$E652&lt;&gt;""),N($F652)+N($H652),"")</f>
        <v/>
      </c>
      <c r="M652" s="76" t="str">
        <f aca="false">IF(OR($O652="",$O652="Cancelled",$O652="Amount missing"),"",IF($O652="Realised",0,$E652-N($F652)-N($H652)))</f>
        <v/>
      </c>
      <c r="N652" s="77" t="str">
        <f aca="false">IF(OR($M652="",FX=""),"",$M652*FX)</f>
        <v/>
      </c>
      <c r="O652" s="78" t="str">
        <f aca="false">IF(NOT(OR($A652&lt;&gt;"",$E652&lt;&gt;"")),"",IF($J652="Cancelled","Cancelled",IF($E652="","Amount missing",IF(OR($J652="Settled",$E652-N($F652)-N($H652)&lt;=0.005),"Realised",IF(N($H652)&gt;0,"Part realised",IF(N($F652)&gt;0,"Advance received","On hand"))))))</f>
        <v/>
      </c>
      <c r="P652" s="79" t="str">
        <f aca="false">IF(AND($V652=1,ISNUMBER($B652)),AsAt-$B652,"")</f>
        <v/>
      </c>
      <c r="Q652" s="78" t="str">
        <f aca="false">IF($V652&lt;&gt;1,"",IF($P652="","No invoice date",IF($P652&lt;=30,"0–30 days",IF($P652&lt;=60,"31–60 days",IF($P652&lt;=90,"61–90 days","Over 90 days")))))</f>
        <v/>
      </c>
      <c r="R652" s="80" t="str">
        <f aca="false">IF($V652=1,ROW(),"")</f>
        <v/>
      </c>
      <c r="S652" s="80" t="str">
        <f aca="false">IF(OR($A652&lt;&gt;"",$E652&lt;&gt;""),IF(TRIM($D652)="","Buyer not noted",TRIM($D652)),"")</f>
        <v/>
      </c>
      <c r="T652" s="80" t="n">
        <f aca="false">IF(AND($V652=1,ISNUMBER($M652)),$M652,0)</f>
        <v>0</v>
      </c>
      <c r="U652" s="80" t="str">
        <f aca="false">IF($V652=1,IF(COUNTIFS($S$7:$S652,$S652,$V$7:$V652,1)=1,SUMIFS($T$7:$T$1006,$S$7:$S$1006,$S652)-ROW()/1000000000,""),"")</f>
        <v/>
      </c>
      <c r="V652" s="80" t="n">
        <f aca="false">IF(OR($O652="On hand",$O652="Advance received",$O652="Part realised",$O652="Amount missing"),1,0)</f>
        <v>0</v>
      </c>
      <c r="W652" s="80" t="str">
        <f aca="false">IF(AND($V652=1,N($F652)&gt;0),ROW(),"")</f>
        <v/>
      </c>
      <c r="X652" s="80" t="n">
        <f aca="false">IF(AND(OR($A652&lt;&gt;"",$E652&lt;&gt;""),$O652&lt;&gt;"Cancelled",ISNUMBER($E652),N($F652)+N($H652)&gt;$E652+0.005),1,0)</f>
        <v>0</v>
      </c>
      <c r="Y652" s="80" t="n">
        <f aca="false">IF(AND(OR($A652&lt;&gt;"",$E652&lt;&gt;""),OR($A652="",$E652="")),1,0)</f>
        <v>0</v>
      </c>
      <c r="Z652" s="80" t="n">
        <f aca="false">IF(AND($A652&lt;&gt;"",COUNTIF($A$7:$A$1006,$A652)&gt;1),1,0)</f>
        <v>0</v>
      </c>
    </row>
    <row r="653" customFormat="false" ht="15" hidden="false" customHeight="false" outlineLevel="0" collapsed="false">
      <c r="A653" s="71"/>
      <c r="B653" s="72"/>
      <c r="C653" s="73"/>
      <c r="D653" s="73"/>
      <c r="E653" s="74"/>
      <c r="F653" s="74"/>
      <c r="G653" s="72"/>
      <c r="H653" s="74"/>
      <c r="I653" s="72"/>
      <c r="J653" s="73"/>
      <c r="K653" s="73"/>
      <c r="L653" s="75" t="str">
        <f aca="false">IF(OR($A653&lt;&gt;"",$E653&lt;&gt;""),N($F653)+N($H653),"")</f>
        <v/>
      </c>
      <c r="M653" s="76" t="str">
        <f aca="false">IF(OR($O653="",$O653="Cancelled",$O653="Amount missing"),"",IF($O653="Realised",0,$E653-N($F653)-N($H653)))</f>
        <v/>
      </c>
      <c r="N653" s="77" t="str">
        <f aca="false">IF(OR($M653="",FX=""),"",$M653*FX)</f>
        <v/>
      </c>
      <c r="O653" s="78" t="str">
        <f aca="false">IF(NOT(OR($A653&lt;&gt;"",$E653&lt;&gt;"")),"",IF($J653="Cancelled","Cancelled",IF($E653="","Amount missing",IF(OR($J653="Settled",$E653-N($F653)-N($H653)&lt;=0.005),"Realised",IF(N($H653)&gt;0,"Part realised",IF(N($F653)&gt;0,"Advance received","On hand"))))))</f>
        <v/>
      </c>
      <c r="P653" s="79" t="str">
        <f aca="false">IF(AND($V653=1,ISNUMBER($B653)),AsAt-$B653,"")</f>
        <v/>
      </c>
      <c r="Q653" s="78" t="str">
        <f aca="false">IF($V653&lt;&gt;1,"",IF($P653="","No invoice date",IF($P653&lt;=30,"0–30 days",IF($P653&lt;=60,"31–60 days",IF($P653&lt;=90,"61–90 days","Over 90 days")))))</f>
        <v/>
      </c>
      <c r="R653" s="80" t="str">
        <f aca="false">IF($V653=1,ROW(),"")</f>
        <v/>
      </c>
      <c r="S653" s="80" t="str">
        <f aca="false">IF(OR($A653&lt;&gt;"",$E653&lt;&gt;""),IF(TRIM($D653)="","Buyer not noted",TRIM($D653)),"")</f>
        <v/>
      </c>
      <c r="T653" s="80" t="n">
        <f aca="false">IF(AND($V653=1,ISNUMBER($M653)),$M653,0)</f>
        <v>0</v>
      </c>
      <c r="U653" s="80" t="str">
        <f aca="false">IF($V653=1,IF(COUNTIFS($S$7:$S653,$S653,$V$7:$V653,1)=1,SUMIFS($T$7:$T$1006,$S$7:$S$1006,$S653)-ROW()/1000000000,""),"")</f>
        <v/>
      </c>
      <c r="V653" s="80" t="n">
        <f aca="false">IF(OR($O653="On hand",$O653="Advance received",$O653="Part realised",$O653="Amount missing"),1,0)</f>
        <v>0</v>
      </c>
      <c r="W653" s="80" t="str">
        <f aca="false">IF(AND($V653=1,N($F653)&gt;0),ROW(),"")</f>
        <v/>
      </c>
      <c r="X653" s="80" t="n">
        <f aca="false">IF(AND(OR($A653&lt;&gt;"",$E653&lt;&gt;""),$O653&lt;&gt;"Cancelled",ISNUMBER($E653),N($F653)+N($H653)&gt;$E653+0.005),1,0)</f>
        <v>0</v>
      </c>
      <c r="Y653" s="80" t="n">
        <f aca="false">IF(AND(OR($A653&lt;&gt;"",$E653&lt;&gt;""),OR($A653="",$E653="")),1,0)</f>
        <v>0</v>
      </c>
      <c r="Z653" s="80" t="n">
        <f aca="false">IF(AND($A653&lt;&gt;"",COUNTIF($A$7:$A$1006,$A653)&gt;1),1,0)</f>
        <v>0</v>
      </c>
    </row>
    <row r="654" customFormat="false" ht="15" hidden="false" customHeight="false" outlineLevel="0" collapsed="false">
      <c r="A654" s="71"/>
      <c r="B654" s="72"/>
      <c r="C654" s="73"/>
      <c r="D654" s="73"/>
      <c r="E654" s="74"/>
      <c r="F654" s="74"/>
      <c r="G654" s="72"/>
      <c r="H654" s="74"/>
      <c r="I654" s="72"/>
      <c r="J654" s="73"/>
      <c r="K654" s="73"/>
      <c r="L654" s="75" t="str">
        <f aca="false">IF(OR($A654&lt;&gt;"",$E654&lt;&gt;""),N($F654)+N($H654),"")</f>
        <v/>
      </c>
      <c r="M654" s="76" t="str">
        <f aca="false">IF(OR($O654="",$O654="Cancelled",$O654="Amount missing"),"",IF($O654="Realised",0,$E654-N($F654)-N($H654)))</f>
        <v/>
      </c>
      <c r="N654" s="77" t="str">
        <f aca="false">IF(OR($M654="",FX=""),"",$M654*FX)</f>
        <v/>
      </c>
      <c r="O654" s="78" t="str">
        <f aca="false">IF(NOT(OR($A654&lt;&gt;"",$E654&lt;&gt;"")),"",IF($J654="Cancelled","Cancelled",IF($E654="","Amount missing",IF(OR($J654="Settled",$E654-N($F654)-N($H654)&lt;=0.005),"Realised",IF(N($H654)&gt;0,"Part realised",IF(N($F654)&gt;0,"Advance received","On hand"))))))</f>
        <v/>
      </c>
      <c r="P654" s="79" t="str">
        <f aca="false">IF(AND($V654=1,ISNUMBER($B654)),AsAt-$B654,"")</f>
        <v/>
      </c>
      <c r="Q654" s="78" t="str">
        <f aca="false">IF($V654&lt;&gt;1,"",IF($P654="","No invoice date",IF($P654&lt;=30,"0–30 days",IF($P654&lt;=60,"31–60 days",IF($P654&lt;=90,"61–90 days","Over 90 days")))))</f>
        <v/>
      </c>
      <c r="R654" s="80" t="str">
        <f aca="false">IF($V654=1,ROW(),"")</f>
        <v/>
      </c>
      <c r="S654" s="80" t="str">
        <f aca="false">IF(OR($A654&lt;&gt;"",$E654&lt;&gt;""),IF(TRIM($D654)="","Buyer not noted",TRIM($D654)),"")</f>
        <v/>
      </c>
      <c r="T654" s="80" t="n">
        <f aca="false">IF(AND($V654=1,ISNUMBER($M654)),$M654,0)</f>
        <v>0</v>
      </c>
      <c r="U654" s="80" t="str">
        <f aca="false">IF($V654=1,IF(COUNTIFS($S$7:$S654,$S654,$V$7:$V654,1)=1,SUMIFS($T$7:$T$1006,$S$7:$S$1006,$S654)-ROW()/1000000000,""),"")</f>
        <v/>
      </c>
      <c r="V654" s="80" t="n">
        <f aca="false">IF(OR($O654="On hand",$O654="Advance received",$O654="Part realised",$O654="Amount missing"),1,0)</f>
        <v>0</v>
      </c>
      <c r="W654" s="80" t="str">
        <f aca="false">IF(AND($V654=1,N($F654)&gt;0),ROW(),"")</f>
        <v/>
      </c>
      <c r="X654" s="80" t="n">
        <f aca="false">IF(AND(OR($A654&lt;&gt;"",$E654&lt;&gt;""),$O654&lt;&gt;"Cancelled",ISNUMBER($E654),N($F654)+N($H654)&gt;$E654+0.005),1,0)</f>
        <v>0</v>
      </c>
      <c r="Y654" s="80" t="n">
        <f aca="false">IF(AND(OR($A654&lt;&gt;"",$E654&lt;&gt;""),OR($A654="",$E654="")),1,0)</f>
        <v>0</v>
      </c>
      <c r="Z654" s="80" t="n">
        <f aca="false">IF(AND($A654&lt;&gt;"",COUNTIF($A$7:$A$1006,$A654)&gt;1),1,0)</f>
        <v>0</v>
      </c>
    </row>
    <row r="655" customFormat="false" ht="15" hidden="false" customHeight="false" outlineLevel="0" collapsed="false">
      <c r="A655" s="71"/>
      <c r="B655" s="72"/>
      <c r="C655" s="73"/>
      <c r="D655" s="73"/>
      <c r="E655" s="74"/>
      <c r="F655" s="74"/>
      <c r="G655" s="72"/>
      <c r="H655" s="74"/>
      <c r="I655" s="72"/>
      <c r="J655" s="73"/>
      <c r="K655" s="73"/>
      <c r="L655" s="75" t="str">
        <f aca="false">IF(OR($A655&lt;&gt;"",$E655&lt;&gt;""),N($F655)+N($H655),"")</f>
        <v/>
      </c>
      <c r="M655" s="76" t="str">
        <f aca="false">IF(OR($O655="",$O655="Cancelled",$O655="Amount missing"),"",IF($O655="Realised",0,$E655-N($F655)-N($H655)))</f>
        <v/>
      </c>
      <c r="N655" s="77" t="str">
        <f aca="false">IF(OR($M655="",FX=""),"",$M655*FX)</f>
        <v/>
      </c>
      <c r="O655" s="78" t="str">
        <f aca="false">IF(NOT(OR($A655&lt;&gt;"",$E655&lt;&gt;"")),"",IF($J655="Cancelled","Cancelled",IF($E655="","Amount missing",IF(OR($J655="Settled",$E655-N($F655)-N($H655)&lt;=0.005),"Realised",IF(N($H655)&gt;0,"Part realised",IF(N($F655)&gt;0,"Advance received","On hand"))))))</f>
        <v/>
      </c>
      <c r="P655" s="79" t="str">
        <f aca="false">IF(AND($V655=1,ISNUMBER($B655)),AsAt-$B655,"")</f>
        <v/>
      </c>
      <c r="Q655" s="78" t="str">
        <f aca="false">IF($V655&lt;&gt;1,"",IF($P655="","No invoice date",IF($P655&lt;=30,"0–30 days",IF($P655&lt;=60,"31–60 days",IF($P655&lt;=90,"61–90 days","Over 90 days")))))</f>
        <v/>
      </c>
      <c r="R655" s="80" t="str">
        <f aca="false">IF($V655=1,ROW(),"")</f>
        <v/>
      </c>
      <c r="S655" s="80" t="str">
        <f aca="false">IF(OR($A655&lt;&gt;"",$E655&lt;&gt;""),IF(TRIM($D655)="","Buyer not noted",TRIM($D655)),"")</f>
        <v/>
      </c>
      <c r="T655" s="80" t="n">
        <f aca="false">IF(AND($V655=1,ISNUMBER($M655)),$M655,0)</f>
        <v>0</v>
      </c>
      <c r="U655" s="80" t="str">
        <f aca="false">IF($V655=1,IF(COUNTIFS($S$7:$S655,$S655,$V$7:$V655,1)=1,SUMIFS($T$7:$T$1006,$S$7:$S$1006,$S655)-ROW()/1000000000,""),"")</f>
        <v/>
      </c>
      <c r="V655" s="80" t="n">
        <f aca="false">IF(OR($O655="On hand",$O655="Advance received",$O655="Part realised",$O655="Amount missing"),1,0)</f>
        <v>0</v>
      </c>
      <c r="W655" s="80" t="str">
        <f aca="false">IF(AND($V655=1,N($F655)&gt;0),ROW(),"")</f>
        <v/>
      </c>
      <c r="X655" s="80" t="n">
        <f aca="false">IF(AND(OR($A655&lt;&gt;"",$E655&lt;&gt;""),$O655&lt;&gt;"Cancelled",ISNUMBER($E655),N($F655)+N($H655)&gt;$E655+0.005),1,0)</f>
        <v>0</v>
      </c>
      <c r="Y655" s="80" t="n">
        <f aca="false">IF(AND(OR($A655&lt;&gt;"",$E655&lt;&gt;""),OR($A655="",$E655="")),1,0)</f>
        <v>0</v>
      </c>
      <c r="Z655" s="80" t="n">
        <f aca="false">IF(AND($A655&lt;&gt;"",COUNTIF($A$7:$A$1006,$A655)&gt;1),1,0)</f>
        <v>0</v>
      </c>
    </row>
    <row r="656" customFormat="false" ht="15" hidden="false" customHeight="false" outlineLevel="0" collapsed="false">
      <c r="A656" s="71"/>
      <c r="B656" s="72"/>
      <c r="C656" s="73"/>
      <c r="D656" s="73"/>
      <c r="E656" s="74"/>
      <c r="F656" s="74"/>
      <c r="G656" s="72"/>
      <c r="H656" s="74"/>
      <c r="I656" s="72"/>
      <c r="J656" s="73"/>
      <c r="K656" s="73"/>
      <c r="L656" s="75" t="str">
        <f aca="false">IF(OR($A656&lt;&gt;"",$E656&lt;&gt;""),N($F656)+N($H656),"")</f>
        <v/>
      </c>
      <c r="M656" s="76" t="str">
        <f aca="false">IF(OR($O656="",$O656="Cancelled",$O656="Amount missing"),"",IF($O656="Realised",0,$E656-N($F656)-N($H656)))</f>
        <v/>
      </c>
      <c r="N656" s="77" t="str">
        <f aca="false">IF(OR($M656="",FX=""),"",$M656*FX)</f>
        <v/>
      </c>
      <c r="O656" s="78" t="str">
        <f aca="false">IF(NOT(OR($A656&lt;&gt;"",$E656&lt;&gt;"")),"",IF($J656="Cancelled","Cancelled",IF($E656="","Amount missing",IF(OR($J656="Settled",$E656-N($F656)-N($H656)&lt;=0.005),"Realised",IF(N($H656)&gt;0,"Part realised",IF(N($F656)&gt;0,"Advance received","On hand"))))))</f>
        <v/>
      </c>
      <c r="P656" s="79" t="str">
        <f aca="false">IF(AND($V656=1,ISNUMBER($B656)),AsAt-$B656,"")</f>
        <v/>
      </c>
      <c r="Q656" s="78" t="str">
        <f aca="false">IF($V656&lt;&gt;1,"",IF($P656="","No invoice date",IF($P656&lt;=30,"0–30 days",IF($P656&lt;=60,"31–60 days",IF($P656&lt;=90,"61–90 days","Over 90 days")))))</f>
        <v/>
      </c>
      <c r="R656" s="80" t="str">
        <f aca="false">IF($V656=1,ROW(),"")</f>
        <v/>
      </c>
      <c r="S656" s="80" t="str">
        <f aca="false">IF(OR($A656&lt;&gt;"",$E656&lt;&gt;""),IF(TRIM($D656)="","Buyer not noted",TRIM($D656)),"")</f>
        <v/>
      </c>
      <c r="T656" s="80" t="n">
        <f aca="false">IF(AND($V656=1,ISNUMBER($M656)),$M656,0)</f>
        <v>0</v>
      </c>
      <c r="U656" s="80" t="str">
        <f aca="false">IF($V656=1,IF(COUNTIFS($S$7:$S656,$S656,$V$7:$V656,1)=1,SUMIFS($T$7:$T$1006,$S$7:$S$1006,$S656)-ROW()/1000000000,""),"")</f>
        <v/>
      </c>
      <c r="V656" s="80" t="n">
        <f aca="false">IF(OR($O656="On hand",$O656="Advance received",$O656="Part realised",$O656="Amount missing"),1,0)</f>
        <v>0</v>
      </c>
      <c r="W656" s="80" t="str">
        <f aca="false">IF(AND($V656=1,N($F656)&gt;0),ROW(),"")</f>
        <v/>
      </c>
      <c r="X656" s="80" t="n">
        <f aca="false">IF(AND(OR($A656&lt;&gt;"",$E656&lt;&gt;""),$O656&lt;&gt;"Cancelled",ISNUMBER($E656),N($F656)+N($H656)&gt;$E656+0.005),1,0)</f>
        <v>0</v>
      </c>
      <c r="Y656" s="80" t="n">
        <f aca="false">IF(AND(OR($A656&lt;&gt;"",$E656&lt;&gt;""),OR($A656="",$E656="")),1,0)</f>
        <v>0</v>
      </c>
      <c r="Z656" s="80" t="n">
        <f aca="false">IF(AND($A656&lt;&gt;"",COUNTIF($A$7:$A$1006,$A656)&gt;1),1,0)</f>
        <v>0</v>
      </c>
    </row>
    <row r="657" customFormat="false" ht="15" hidden="false" customHeight="false" outlineLevel="0" collapsed="false">
      <c r="A657" s="71"/>
      <c r="B657" s="72"/>
      <c r="C657" s="73"/>
      <c r="D657" s="73"/>
      <c r="E657" s="74"/>
      <c r="F657" s="74"/>
      <c r="G657" s="72"/>
      <c r="H657" s="74"/>
      <c r="I657" s="72"/>
      <c r="J657" s="73"/>
      <c r="K657" s="73"/>
      <c r="L657" s="75" t="str">
        <f aca="false">IF(OR($A657&lt;&gt;"",$E657&lt;&gt;""),N($F657)+N($H657),"")</f>
        <v/>
      </c>
      <c r="M657" s="76" t="str">
        <f aca="false">IF(OR($O657="",$O657="Cancelled",$O657="Amount missing"),"",IF($O657="Realised",0,$E657-N($F657)-N($H657)))</f>
        <v/>
      </c>
      <c r="N657" s="77" t="str">
        <f aca="false">IF(OR($M657="",FX=""),"",$M657*FX)</f>
        <v/>
      </c>
      <c r="O657" s="78" t="str">
        <f aca="false">IF(NOT(OR($A657&lt;&gt;"",$E657&lt;&gt;"")),"",IF($J657="Cancelled","Cancelled",IF($E657="","Amount missing",IF(OR($J657="Settled",$E657-N($F657)-N($H657)&lt;=0.005),"Realised",IF(N($H657)&gt;0,"Part realised",IF(N($F657)&gt;0,"Advance received","On hand"))))))</f>
        <v/>
      </c>
      <c r="P657" s="79" t="str">
        <f aca="false">IF(AND($V657=1,ISNUMBER($B657)),AsAt-$B657,"")</f>
        <v/>
      </c>
      <c r="Q657" s="78" t="str">
        <f aca="false">IF($V657&lt;&gt;1,"",IF($P657="","No invoice date",IF($P657&lt;=30,"0–30 days",IF($P657&lt;=60,"31–60 days",IF($P657&lt;=90,"61–90 days","Over 90 days")))))</f>
        <v/>
      </c>
      <c r="R657" s="80" t="str">
        <f aca="false">IF($V657=1,ROW(),"")</f>
        <v/>
      </c>
      <c r="S657" s="80" t="str">
        <f aca="false">IF(OR($A657&lt;&gt;"",$E657&lt;&gt;""),IF(TRIM($D657)="","Buyer not noted",TRIM($D657)),"")</f>
        <v/>
      </c>
      <c r="T657" s="80" t="n">
        <f aca="false">IF(AND($V657=1,ISNUMBER($M657)),$M657,0)</f>
        <v>0</v>
      </c>
      <c r="U657" s="80" t="str">
        <f aca="false">IF($V657=1,IF(COUNTIFS($S$7:$S657,$S657,$V$7:$V657,1)=1,SUMIFS($T$7:$T$1006,$S$7:$S$1006,$S657)-ROW()/1000000000,""),"")</f>
        <v/>
      </c>
      <c r="V657" s="80" t="n">
        <f aca="false">IF(OR($O657="On hand",$O657="Advance received",$O657="Part realised",$O657="Amount missing"),1,0)</f>
        <v>0</v>
      </c>
      <c r="W657" s="80" t="str">
        <f aca="false">IF(AND($V657=1,N($F657)&gt;0),ROW(),"")</f>
        <v/>
      </c>
      <c r="X657" s="80" t="n">
        <f aca="false">IF(AND(OR($A657&lt;&gt;"",$E657&lt;&gt;""),$O657&lt;&gt;"Cancelled",ISNUMBER($E657),N($F657)+N($H657)&gt;$E657+0.005),1,0)</f>
        <v>0</v>
      </c>
      <c r="Y657" s="80" t="n">
        <f aca="false">IF(AND(OR($A657&lt;&gt;"",$E657&lt;&gt;""),OR($A657="",$E657="")),1,0)</f>
        <v>0</v>
      </c>
      <c r="Z657" s="80" t="n">
        <f aca="false">IF(AND($A657&lt;&gt;"",COUNTIF($A$7:$A$1006,$A657)&gt;1),1,0)</f>
        <v>0</v>
      </c>
    </row>
    <row r="658" customFormat="false" ht="15" hidden="false" customHeight="false" outlineLevel="0" collapsed="false">
      <c r="A658" s="71"/>
      <c r="B658" s="72"/>
      <c r="C658" s="73"/>
      <c r="D658" s="73"/>
      <c r="E658" s="74"/>
      <c r="F658" s="74"/>
      <c r="G658" s="72"/>
      <c r="H658" s="74"/>
      <c r="I658" s="72"/>
      <c r="J658" s="73"/>
      <c r="K658" s="73"/>
      <c r="L658" s="75" t="str">
        <f aca="false">IF(OR($A658&lt;&gt;"",$E658&lt;&gt;""),N($F658)+N($H658),"")</f>
        <v/>
      </c>
      <c r="M658" s="76" t="str">
        <f aca="false">IF(OR($O658="",$O658="Cancelled",$O658="Amount missing"),"",IF($O658="Realised",0,$E658-N($F658)-N($H658)))</f>
        <v/>
      </c>
      <c r="N658" s="77" t="str">
        <f aca="false">IF(OR($M658="",FX=""),"",$M658*FX)</f>
        <v/>
      </c>
      <c r="O658" s="78" t="str">
        <f aca="false">IF(NOT(OR($A658&lt;&gt;"",$E658&lt;&gt;"")),"",IF($J658="Cancelled","Cancelled",IF($E658="","Amount missing",IF(OR($J658="Settled",$E658-N($F658)-N($H658)&lt;=0.005),"Realised",IF(N($H658)&gt;0,"Part realised",IF(N($F658)&gt;0,"Advance received","On hand"))))))</f>
        <v/>
      </c>
      <c r="P658" s="79" t="str">
        <f aca="false">IF(AND($V658=1,ISNUMBER($B658)),AsAt-$B658,"")</f>
        <v/>
      </c>
      <c r="Q658" s="78" t="str">
        <f aca="false">IF($V658&lt;&gt;1,"",IF($P658="","No invoice date",IF($P658&lt;=30,"0–30 days",IF($P658&lt;=60,"31–60 days",IF($P658&lt;=90,"61–90 days","Over 90 days")))))</f>
        <v/>
      </c>
      <c r="R658" s="80" t="str">
        <f aca="false">IF($V658=1,ROW(),"")</f>
        <v/>
      </c>
      <c r="S658" s="80" t="str">
        <f aca="false">IF(OR($A658&lt;&gt;"",$E658&lt;&gt;""),IF(TRIM($D658)="","Buyer not noted",TRIM($D658)),"")</f>
        <v/>
      </c>
      <c r="T658" s="80" t="n">
        <f aca="false">IF(AND($V658=1,ISNUMBER($M658)),$M658,0)</f>
        <v>0</v>
      </c>
      <c r="U658" s="80" t="str">
        <f aca="false">IF($V658=1,IF(COUNTIFS($S$7:$S658,$S658,$V$7:$V658,1)=1,SUMIFS($T$7:$T$1006,$S$7:$S$1006,$S658)-ROW()/1000000000,""),"")</f>
        <v/>
      </c>
      <c r="V658" s="80" t="n">
        <f aca="false">IF(OR($O658="On hand",$O658="Advance received",$O658="Part realised",$O658="Amount missing"),1,0)</f>
        <v>0</v>
      </c>
      <c r="W658" s="80" t="str">
        <f aca="false">IF(AND($V658=1,N($F658)&gt;0),ROW(),"")</f>
        <v/>
      </c>
      <c r="X658" s="80" t="n">
        <f aca="false">IF(AND(OR($A658&lt;&gt;"",$E658&lt;&gt;""),$O658&lt;&gt;"Cancelled",ISNUMBER($E658),N($F658)+N($H658)&gt;$E658+0.005),1,0)</f>
        <v>0</v>
      </c>
      <c r="Y658" s="80" t="n">
        <f aca="false">IF(AND(OR($A658&lt;&gt;"",$E658&lt;&gt;""),OR($A658="",$E658="")),1,0)</f>
        <v>0</v>
      </c>
      <c r="Z658" s="80" t="n">
        <f aca="false">IF(AND($A658&lt;&gt;"",COUNTIF($A$7:$A$1006,$A658)&gt;1),1,0)</f>
        <v>0</v>
      </c>
    </row>
    <row r="659" customFormat="false" ht="15" hidden="false" customHeight="false" outlineLevel="0" collapsed="false">
      <c r="A659" s="71"/>
      <c r="B659" s="72"/>
      <c r="C659" s="73"/>
      <c r="D659" s="73"/>
      <c r="E659" s="74"/>
      <c r="F659" s="74"/>
      <c r="G659" s="72"/>
      <c r="H659" s="74"/>
      <c r="I659" s="72"/>
      <c r="J659" s="73"/>
      <c r="K659" s="73"/>
      <c r="L659" s="75" t="str">
        <f aca="false">IF(OR($A659&lt;&gt;"",$E659&lt;&gt;""),N($F659)+N($H659),"")</f>
        <v/>
      </c>
      <c r="M659" s="76" t="str">
        <f aca="false">IF(OR($O659="",$O659="Cancelled",$O659="Amount missing"),"",IF($O659="Realised",0,$E659-N($F659)-N($H659)))</f>
        <v/>
      </c>
      <c r="N659" s="77" t="str">
        <f aca="false">IF(OR($M659="",FX=""),"",$M659*FX)</f>
        <v/>
      </c>
      <c r="O659" s="78" t="str">
        <f aca="false">IF(NOT(OR($A659&lt;&gt;"",$E659&lt;&gt;"")),"",IF($J659="Cancelled","Cancelled",IF($E659="","Amount missing",IF(OR($J659="Settled",$E659-N($F659)-N($H659)&lt;=0.005),"Realised",IF(N($H659)&gt;0,"Part realised",IF(N($F659)&gt;0,"Advance received","On hand"))))))</f>
        <v/>
      </c>
      <c r="P659" s="79" t="str">
        <f aca="false">IF(AND($V659=1,ISNUMBER($B659)),AsAt-$B659,"")</f>
        <v/>
      </c>
      <c r="Q659" s="78" t="str">
        <f aca="false">IF($V659&lt;&gt;1,"",IF($P659="","No invoice date",IF($P659&lt;=30,"0–30 days",IF($P659&lt;=60,"31–60 days",IF($P659&lt;=90,"61–90 days","Over 90 days")))))</f>
        <v/>
      </c>
      <c r="R659" s="80" t="str">
        <f aca="false">IF($V659=1,ROW(),"")</f>
        <v/>
      </c>
      <c r="S659" s="80" t="str">
        <f aca="false">IF(OR($A659&lt;&gt;"",$E659&lt;&gt;""),IF(TRIM($D659)="","Buyer not noted",TRIM($D659)),"")</f>
        <v/>
      </c>
      <c r="T659" s="80" t="n">
        <f aca="false">IF(AND($V659=1,ISNUMBER($M659)),$M659,0)</f>
        <v>0</v>
      </c>
      <c r="U659" s="80" t="str">
        <f aca="false">IF($V659=1,IF(COUNTIFS($S$7:$S659,$S659,$V$7:$V659,1)=1,SUMIFS($T$7:$T$1006,$S$7:$S$1006,$S659)-ROW()/1000000000,""),"")</f>
        <v/>
      </c>
      <c r="V659" s="80" t="n">
        <f aca="false">IF(OR($O659="On hand",$O659="Advance received",$O659="Part realised",$O659="Amount missing"),1,0)</f>
        <v>0</v>
      </c>
      <c r="W659" s="80" t="str">
        <f aca="false">IF(AND($V659=1,N($F659)&gt;0),ROW(),"")</f>
        <v/>
      </c>
      <c r="X659" s="80" t="n">
        <f aca="false">IF(AND(OR($A659&lt;&gt;"",$E659&lt;&gt;""),$O659&lt;&gt;"Cancelled",ISNUMBER($E659),N($F659)+N($H659)&gt;$E659+0.005),1,0)</f>
        <v>0</v>
      </c>
      <c r="Y659" s="80" t="n">
        <f aca="false">IF(AND(OR($A659&lt;&gt;"",$E659&lt;&gt;""),OR($A659="",$E659="")),1,0)</f>
        <v>0</v>
      </c>
      <c r="Z659" s="80" t="n">
        <f aca="false">IF(AND($A659&lt;&gt;"",COUNTIF($A$7:$A$1006,$A659)&gt;1),1,0)</f>
        <v>0</v>
      </c>
    </row>
    <row r="660" customFormat="false" ht="15" hidden="false" customHeight="false" outlineLevel="0" collapsed="false">
      <c r="A660" s="71"/>
      <c r="B660" s="72"/>
      <c r="C660" s="73"/>
      <c r="D660" s="73"/>
      <c r="E660" s="74"/>
      <c r="F660" s="74"/>
      <c r="G660" s="72"/>
      <c r="H660" s="74"/>
      <c r="I660" s="72"/>
      <c r="J660" s="73"/>
      <c r="K660" s="73"/>
      <c r="L660" s="75" t="str">
        <f aca="false">IF(OR($A660&lt;&gt;"",$E660&lt;&gt;""),N($F660)+N($H660),"")</f>
        <v/>
      </c>
      <c r="M660" s="76" t="str">
        <f aca="false">IF(OR($O660="",$O660="Cancelled",$O660="Amount missing"),"",IF($O660="Realised",0,$E660-N($F660)-N($H660)))</f>
        <v/>
      </c>
      <c r="N660" s="77" t="str">
        <f aca="false">IF(OR($M660="",FX=""),"",$M660*FX)</f>
        <v/>
      </c>
      <c r="O660" s="78" t="str">
        <f aca="false">IF(NOT(OR($A660&lt;&gt;"",$E660&lt;&gt;"")),"",IF($J660="Cancelled","Cancelled",IF($E660="","Amount missing",IF(OR($J660="Settled",$E660-N($F660)-N($H660)&lt;=0.005),"Realised",IF(N($H660)&gt;0,"Part realised",IF(N($F660)&gt;0,"Advance received","On hand"))))))</f>
        <v/>
      </c>
      <c r="P660" s="79" t="str">
        <f aca="false">IF(AND($V660=1,ISNUMBER($B660)),AsAt-$B660,"")</f>
        <v/>
      </c>
      <c r="Q660" s="78" t="str">
        <f aca="false">IF($V660&lt;&gt;1,"",IF($P660="","No invoice date",IF($P660&lt;=30,"0–30 days",IF($P660&lt;=60,"31–60 days",IF($P660&lt;=90,"61–90 days","Over 90 days")))))</f>
        <v/>
      </c>
      <c r="R660" s="80" t="str">
        <f aca="false">IF($V660=1,ROW(),"")</f>
        <v/>
      </c>
      <c r="S660" s="80" t="str">
        <f aca="false">IF(OR($A660&lt;&gt;"",$E660&lt;&gt;""),IF(TRIM($D660)="","Buyer not noted",TRIM($D660)),"")</f>
        <v/>
      </c>
      <c r="T660" s="80" t="n">
        <f aca="false">IF(AND($V660=1,ISNUMBER($M660)),$M660,0)</f>
        <v>0</v>
      </c>
      <c r="U660" s="80" t="str">
        <f aca="false">IF($V660=1,IF(COUNTIFS($S$7:$S660,$S660,$V$7:$V660,1)=1,SUMIFS($T$7:$T$1006,$S$7:$S$1006,$S660)-ROW()/1000000000,""),"")</f>
        <v/>
      </c>
      <c r="V660" s="80" t="n">
        <f aca="false">IF(OR($O660="On hand",$O660="Advance received",$O660="Part realised",$O660="Amount missing"),1,0)</f>
        <v>0</v>
      </c>
      <c r="W660" s="80" t="str">
        <f aca="false">IF(AND($V660=1,N($F660)&gt;0),ROW(),"")</f>
        <v/>
      </c>
      <c r="X660" s="80" t="n">
        <f aca="false">IF(AND(OR($A660&lt;&gt;"",$E660&lt;&gt;""),$O660&lt;&gt;"Cancelled",ISNUMBER($E660),N($F660)+N($H660)&gt;$E660+0.005),1,0)</f>
        <v>0</v>
      </c>
      <c r="Y660" s="80" t="n">
        <f aca="false">IF(AND(OR($A660&lt;&gt;"",$E660&lt;&gt;""),OR($A660="",$E660="")),1,0)</f>
        <v>0</v>
      </c>
      <c r="Z660" s="80" t="n">
        <f aca="false">IF(AND($A660&lt;&gt;"",COUNTIF($A$7:$A$1006,$A660)&gt;1),1,0)</f>
        <v>0</v>
      </c>
    </row>
    <row r="661" customFormat="false" ht="15" hidden="false" customHeight="false" outlineLevel="0" collapsed="false">
      <c r="A661" s="71"/>
      <c r="B661" s="72"/>
      <c r="C661" s="73"/>
      <c r="D661" s="73"/>
      <c r="E661" s="74"/>
      <c r="F661" s="74"/>
      <c r="G661" s="72"/>
      <c r="H661" s="74"/>
      <c r="I661" s="72"/>
      <c r="J661" s="73"/>
      <c r="K661" s="73"/>
      <c r="L661" s="75" t="str">
        <f aca="false">IF(OR($A661&lt;&gt;"",$E661&lt;&gt;""),N($F661)+N($H661),"")</f>
        <v/>
      </c>
      <c r="M661" s="76" t="str">
        <f aca="false">IF(OR($O661="",$O661="Cancelled",$O661="Amount missing"),"",IF($O661="Realised",0,$E661-N($F661)-N($H661)))</f>
        <v/>
      </c>
      <c r="N661" s="77" t="str">
        <f aca="false">IF(OR($M661="",FX=""),"",$M661*FX)</f>
        <v/>
      </c>
      <c r="O661" s="78" t="str">
        <f aca="false">IF(NOT(OR($A661&lt;&gt;"",$E661&lt;&gt;"")),"",IF($J661="Cancelled","Cancelled",IF($E661="","Amount missing",IF(OR($J661="Settled",$E661-N($F661)-N($H661)&lt;=0.005),"Realised",IF(N($H661)&gt;0,"Part realised",IF(N($F661)&gt;0,"Advance received","On hand"))))))</f>
        <v/>
      </c>
      <c r="P661" s="79" t="str">
        <f aca="false">IF(AND($V661=1,ISNUMBER($B661)),AsAt-$B661,"")</f>
        <v/>
      </c>
      <c r="Q661" s="78" t="str">
        <f aca="false">IF($V661&lt;&gt;1,"",IF($P661="","No invoice date",IF($P661&lt;=30,"0–30 days",IF($P661&lt;=60,"31–60 days",IF($P661&lt;=90,"61–90 days","Over 90 days")))))</f>
        <v/>
      </c>
      <c r="R661" s="80" t="str">
        <f aca="false">IF($V661=1,ROW(),"")</f>
        <v/>
      </c>
      <c r="S661" s="80" t="str">
        <f aca="false">IF(OR($A661&lt;&gt;"",$E661&lt;&gt;""),IF(TRIM($D661)="","Buyer not noted",TRIM($D661)),"")</f>
        <v/>
      </c>
      <c r="T661" s="80" t="n">
        <f aca="false">IF(AND($V661=1,ISNUMBER($M661)),$M661,0)</f>
        <v>0</v>
      </c>
      <c r="U661" s="80" t="str">
        <f aca="false">IF($V661=1,IF(COUNTIFS($S$7:$S661,$S661,$V$7:$V661,1)=1,SUMIFS($T$7:$T$1006,$S$7:$S$1006,$S661)-ROW()/1000000000,""),"")</f>
        <v/>
      </c>
      <c r="V661" s="80" t="n">
        <f aca="false">IF(OR($O661="On hand",$O661="Advance received",$O661="Part realised",$O661="Amount missing"),1,0)</f>
        <v>0</v>
      </c>
      <c r="W661" s="80" t="str">
        <f aca="false">IF(AND($V661=1,N($F661)&gt;0),ROW(),"")</f>
        <v/>
      </c>
      <c r="X661" s="80" t="n">
        <f aca="false">IF(AND(OR($A661&lt;&gt;"",$E661&lt;&gt;""),$O661&lt;&gt;"Cancelled",ISNUMBER($E661),N($F661)+N($H661)&gt;$E661+0.005),1,0)</f>
        <v>0</v>
      </c>
      <c r="Y661" s="80" t="n">
        <f aca="false">IF(AND(OR($A661&lt;&gt;"",$E661&lt;&gt;""),OR($A661="",$E661="")),1,0)</f>
        <v>0</v>
      </c>
      <c r="Z661" s="80" t="n">
        <f aca="false">IF(AND($A661&lt;&gt;"",COUNTIF($A$7:$A$1006,$A661)&gt;1),1,0)</f>
        <v>0</v>
      </c>
    </row>
    <row r="662" customFormat="false" ht="15" hidden="false" customHeight="false" outlineLevel="0" collapsed="false">
      <c r="A662" s="71"/>
      <c r="B662" s="72"/>
      <c r="C662" s="73"/>
      <c r="D662" s="73"/>
      <c r="E662" s="74"/>
      <c r="F662" s="74"/>
      <c r="G662" s="72"/>
      <c r="H662" s="74"/>
      <c r="I662" s="72"/>
      <c r="J662" s="73"/>
      <c r="K662" s="73"/>
      <c r="L662" s="75" t="str">
        <f aca="false">IF(OR($A662&lt;&gt;"",$E662&lt;&gt;""),N($F662)+N($H662),"")</f>
        <v/>
      </c>
      <c r="M662" s="76" t="str">
        <f aca="false">IF(OR($O662="",$O662="Cancelled",$O662="Amount missing"),"",IF($O662="Realised",0,$E662-N($F662)-N($H662)))</f>
        <v/>
      </c>
      <c r="N662" s="77" t="str">
        <f aca="false">IF(OR($M662="",FX=""),"",$M662*FX)</f>
        <v/>
      </c>
      <c r="O662" s="78" t="str">
        <f aca="false">IF(NOT(OR($A662&lt;&gt;"",$E662&lt;&gt;"")),"",IF($J662="Cancelled","Cancelled",IF($E662="","Amount missing",IF(OR($J662="Settled",$E662-N($F662)-N($H662)&lt;=0.005),"Realised",IF(N($H662)&gt;0,"Part realised",IF(N($F662)&gt;0,"Advance received","On hand"))))))</f>
        <v/>
      </c>
      <c r="P662" s="79" t="str">
        <f aca="false">IF(AND($V662=1,ISNUMBER($B662)),AsAt-$B662,"")</f>
        <v/>
      </c>
      <c r="Q662" s="78" t="str">
        <f aca="false">IF($V662&lt;&gt;1,"",IF($P662="","No invoice date",IF($P662&lt;=30,"0–30 days",IF($P662&lt;=60,"31–60 days",IF($P662&lt;=90,"61–90 days","Over 90 days")))))</f>
        <v/>
      </c>
      <c r="R662" s="80" t="str">
        <f aca="false">IF($V662=1,ROW(),"")</f>
        <v/>
      </c>
      <c r="S662" s="80" t="str">
        <f aca="false">IF(OR($A662&lt;&gt;"",$E662&lt;&gt;""),IF(TRIM($D662)="","Buyer not noted",TRIM($D662)),"")</f>
        <v/>
      </c>
      <c r="T662" s="80" t="n">
        <f aca="false">IF(AND($V662=1,ISNUMBER($M662)),$M662,0)</f>
        <v>0</v>
      </c>
      <c r="U662" s="80" t="str">
        <f aca="false">IF($V662=1,IF(COUNTIFS($S$7:$S662,$S662,$V$7:$V662,1)=1,SUMIFS($T$7:$T$1006,$S$7:$S$1006,$S662)-ROW()/1000000000,""),"")</f>
        <v/>
      </c>
      <c r="V662" s="80" t="n">
        <f aca="false">IF(OR($O662="On hand",$O662="Advance received",$O662="Part realised",$O662="Amount missing"),1,0)</f>
        <v>0</v>
      </c>
      <c r="W662" s="80" t="str">
        <f aca="false">IF(AND($V662=1,N($F662)&gt;0),ROW(),"")</f>
        <v/>
      </c>
      <c r="X662" s="80" t="n">
        <f aca="false">IF(AND(OR($A662&lt;&gt;"",$E662&lt;&gt;""),$O662&lt;&gt;"Cancelled",ISNUMBER($E662),N($F662)+N($H662)&gt;$E662+0.005),1,0)</f>
        <v>0</v>
      </c>
      <c r="Y662" s="80" t="n">
        <f aca="false">IF(AND(OR($A662&lt;&gt;"",$E662&lt;&gt;""),OR($A662="",$E662="")),1,0)</f>
        <v>0</v>
      </c>
      <c r="Z662" s="80" t="n">
        <f aca="false">IF(AND($A662&lt;&gt;"",COUNTIF($A$7:$A$1006,$A662)&gt;1),1,0)</f>
        <v>0</v>
      </c>
    </row>
    <row r="663" customFormat="false" ht="15" hidden="false" customHeight="false" outlineLevel="0" collapsed="false">
      <c r="A663" s="71"/>
      <c r="B663" s="72"/>
      <c r="C663" s="73"/>
      <c r="D663" s="73"/>
      <c r="E663" s="74"/>
      <c r="F663" s="74"/>
      <c r="G663" s="72"/>
      <c r="H663" s="74"/>
      <c r="I663" s="72"/>
      <c r="J663" s="73"/>
      <c r="K663" s="73"/>
      <c r="L663" s="75" t="str">
        <f aca="false">IF(OR($A663&lt;&gt;"",$E663&lt;&gt;""),N($F663)+N($H663),"")</f>
        <v/>
      </c>
      <c r="M663" s="76" t="str">
        <f aca="false">IF(OR($O663="",$O663="Cancelled",$O663="Amount missing"),"",IF($O663="Realised",0,$E663-N($F663)-N($H663)))</f>
        <v/>
      </c>
      <c r="N663" s="77" t="str">
        <f aca="false">IF(OR($M663="",FX=""),"",$M663*FX)</f>
        <v/>
      </c>
      <c r="O663" s="78" t="str">
        <f aca="false">IF(NOT(OR($A663&lt;&gt;"",$E663&lt;&gt;"")),"",IF($J663="Cancelled","Cancelled",IF($E663="","Amount missing",IF(OR($J663="Settled",$E663-N($F663)-N($H663)&lt;=0.005),"Realised",IF(N($H663)&gt;0,"Part realised",IF(N($F663)&gt;0,"Advance received","On hand"))))))</f>
        <v/>
      </c>
      <c r="P663" s="79" t="str">
        <f aca="false">IF(AND($V663=1,ISNUMBER($B663)),AsAt-$B663,"")</f>
        <v/>
      </c>
      <c r="Q663" s="78" t="str">
        <f aca="false">IF($V663&lt;&gt;1,"",IF($P663="","No invoice date",IF($P663&lt;=30,"0–30 days",IF($P663&lt;=60,"31–60 days",IF($P663&lt;=90,"61–90 days","Over 90 days")))))</f>
        <v/>
      </c>
      <c r="R663" s="80" t="str">
        <f aca="false">IF($V663=1,ROW(),"")</f>
        <v/>
      </c>
      <c r="S663" s="80" t="str">
        <f aca="false">IF(OR($A663&lt;&gt;"",$E663&lt;&gt;""),IF(TRIM($D663)="","Buyer not noted",TRIM($D663)),"")</f>
        <v/>
      </c>
      <c r="T663" s="80" t="n">
        <f aca="false">IF(AND($V663=1,ISNUMBER($M663)),$M663,0)</f>
        <v>0</v>
      </c>
      <c r="U663" s="80" t="str">
        <f aca="false">IF($V663=1,IF(COUNTIFS($S$7:$S663,$S663,$V$7:$V663,1)=1,SUMIFS($T$7:$T$1006,$S$7:$S$1006,$S663)-ROW()/1000000000,""),"")</f>
        <v/>
      </c>
      <c r="V663" s="80" t="n">
        <f aca="false">IF(OR($O663="On hand",$O663="Advance received",$O663="Part realised",$O663="Amount missing"),1,0)</f>
        <v>0</v>
      </c>
      <c r="W663" s="80" t="str">
        <f aca="false">IF(AND($V663=1,N($F663)&gt;0),ROW(),"")</f>
        <v/>
      </c>
      <c r="X663" s="80" t="n">
        <f aca="false">IF(AND(OR($A663&lt;&gt;"",$E663&lt;&gt;""),$O663&lt;&gt;"Cancelled",ISNUMBER($E663),N($F663)+N($H663)&gt;$E663+0.005),1,0)</f>
        <v>0</v>
      </c>
      <c r="Y663" s="80" t="n">
        <f aca="false">IF(AND(OR($A663&lt;&gt;"",$E663&lt;&gt;""),OR($A663="",$E663="")),1,0)</f>
        <v>0</v>
      </c>
      <c r="Z663" s="80" t="n">
        <f aca="false">IF(AND($A663&lt;&gt;"",COUNTIF($A$7:$A$1006,$A663)&gt;1),1,0)</f>
        <v>0</v>
      </c>
    </row>
    <row r="664" customFormat="false" ht="15" hidden="false" customHeight="false" outlineLevel="0" collapsed="false">
      <c r="A664" s="71"/>
      <c r="B664" s="72"/>
      <c r="C664" s="73"/>
      <c r="D664" s="73"/>
      <c r="E664" s="74"/>
      <c r="F664" s="74"/>
      <c r="G664" s="72"/>
      <c r="H664" s="74"/>
      <c r="I664" s="72"/>
      <c r="J664" s="73"/>
      <c r="K664" s="73"/>
      <c r="L664" s="75" t="str">
        <f aca="false">IF(OR($A664&lt;&gt;"",$E664&lt;&gt;""),N($F664)+N($H664),"")</f>
        <v/>
      </c>
      <c r="M664" s="76" t="str">
        <f aca="false">IF(OR($O664="",$O664="Cancelled",$O664="Amount missing"),"",IF($O664="Realised",0,$E664-N($F664)-N($H664)))</f>
        <v/>
      </c>
      <c r="N664" s="77" t="str">
        <f aca="false">IF(OR($M664="",FX=""),"",$M664*FX)</f>
        <v/>
      </c>
      <c r="O664" s="78" t="str">
        <f aca="false">IF(NOT(OR($A664&lt;&gt;"",$E664&lt;&gt;"")),"",IF($J664="Cancelled","Cancelled",IF($E664="","Amount missing",IF(OR($J664="Settled",$E664-N($F664)-N($H664)&lt;=0.005),"Realised",IF(N($H664)&gt;0,"Part realised",IF(N($F664)&gt;0,"Advance received","On hand"))))))</f>
        <v/>
      </c>
      <c r="P664" s="79" t="str">
        <f aca="false">IF(AND($V664=1,ISNUMBER($B664)),AsAt-$B664,"")</f>
        <v/>
      </c>
      <c r="Q664" s="78" t="str">
        <f aca="false">IF($V664&lt;&gt;1,"",IF($P664="","No invoice date",IF($P664&lt;=30,"0–30 days",IF($P664&lt;=60,"31–60 days",IF($P664&lt;=90,"61–90 days","Over 90 days")))))</f>
        <v/>
      </c>
      <c r="R664" s="80" t="str">
        <f aca="false">IF($V664=1,ROW(),"")</f>
        <v/>
      </c>
      <c r="S664" s="80" t="str">
        <f aca="false">IF(OR($A664&lt;&gt;"",$E664&lt;&gt;""),IF(TRIM($D664)="","Buyer not noted",TRIM($D664)),"")</f>
        <v/>
      </c>
      <c r="T664" s="80" t="n">
        <f aca="false">IF(AND($V664=1,ISNUMBER($M664)),$M664,0)</f>
        <v>0</v>
      </c>
      <c r="U664" s="80" t="str">
        <f aca="false">IF($V664=1,IF(COUNTIFS($S$7:$S664,$S664,$V$7:$V664,1)=1,SUMIFS($T$7:$T$1006,$S$7:$S$1006,$S664)-ROW()/1000000000,""),"")</f>
        <v/>
      </c>
      <c r="V664" s="80" t="n">
        <f aca="false">IF(OR($O664="On hand",$O664="Advance received",$O664="Part realised",$O664="Amount missing"),1,0)</f>
        <v>0</v>
      </c>
      <c r="W664" s="80" t="str">
        <f aca="false">IF(AND($V664=1,N($F664)&gt;0),ROW(),"")</f>
        <v/>
      </c>
      <c r="X664" s="80" t="n">
        <f aca="false">IF(AND(OR($A664&lt;&gt;"",$E664&lt;&gt;""),$O664&lt;&gt;"Cancelled",ISNUMBER($E664),N($F664)+N($H664)&gt;$E664+0.005),1,0)</f>
        <v>0</v>
      </c>
      <c r="Y664" s="80" t="n">
        <f aca="false">IF(AND(OR($A664&lt;&gt;"",$E664&lt;&gt;""),OR($A664="",$E664="")),1,0)</f>
        <v>0</v>
      </c>
      <c r="Z664" s="80" t="n">
        <f aca="false">IF(AND($A664&lt;&gt;"",COUNTIF($A$7:$A$1006,$A664)&gt;1),1,0)</f>
        <v>0</v>
      </c>
    </row>
    <row r="665" customFormat="false" ht="15" hidden="false" customHeight="false" outlineLevel="0" collapsed="false">
      <c r="A665" s="71"/>
      <c r="B665" s="72"/>
      <c r="C665" s="73"/>
      <c r="D665" s="73"/>
      <c r="E665" s="74"/>
      <c r="F665" s="74"/>
      <c r="G665" s="72"/>
      <c r="H665" s="74"/>
      <c r="I665" s="72"/>
      <c r="J665" s="73"/>
      <c r="K665" s="73"/>
      <c r="L665" s="75" t="str">
        <f aca="false">IF(OR($A665&lt;&gt;"",$E665&lt;&gt;""),N($F665)+N($H665),"")</f>
        <v/>
      </c>
      <c r="M665" s="76" t="str">
        <f aca="false">IF(OR($O665="",$O665="Cancelled",$O665="Amount missing"),"",IF($O665="Realised",0,$E665-N($F665)-N($H665)))</f>
        <v/>
      </c>
      <c r="N665" s="77" t="str">
        <f aca="false">IF(OR($M665="",FX=""),"",$M665*FX)</f>
        <v/>
      </c>
      <c r="O665" s="78" t="str">
        <f aca="false">IF(NOT(OR($A665&lt;&gt;"",$E665&lt;&gt;"")),"",IF($J665="Cancelled","Cancelled",IF($E665="","Amount missing",IF(OR($J665="Settled",$E665-N($F665)-N($H665)&lt;=0.005),"Realised",IF(N($H665)&gt;0,"Part realised",IF(N($F665)&gt;0,"Advance received","On hand"))))))</f>
        <v/>
      </c>
      <c r="P665" s="79" t="str">
        <f aca="false">IF(AND($V665=1,ISNUMBER($B665)),AsAt-$B665,"")</f>
        <v/>
      </c>
      <c r="Q665" s="78" t="str">
        <f aca="false">IF($V665&lt;&gt;1,"",IF($P665="","No invoice date",IF($P665&lt;=30,"0–30 days",IF($P665&lt;=60,"31–60 days",IF($P665&lt;=90,"61–90 days","Over 90 days")))))</f>
        <v/>
      </c>
      <c r="R665" s="80" t="str">
        <f aca="false">IF($V665=1,ROW(),"")</f>
        <v/>
      </c>
      <c r="S665" s="80" t="str">
        <f aca="false">IF(OR($A665&lt;&gt;"",$E665&lt;&gt;""),IF(TRIM($D665)="","Buyer not noted",TRIM($D665)),"")</f>
        <v/>
      </c>
      <c r="T665" s="80" t="n">
        <f aca="false">IF(AND($V665=1,ISNUMBER($M665)),$M665,0)</f>
        <v>0</v>
      </c>
      <c r="U665" s="80" t="str">
        <f aca="false">IF($V665=1,IF(COUNTIFS($S$7:$S665,$S665,$V$7:$V665,1)=1,SUMIFS($T$7:$T$1006,$S$7:$S$1006,$S665)-ROW()/1000000000,""),"")</f>
        <v/>
      </c>
      <c r="V665" s="80" t="n">
        <f aca="false">IF(OR($O665="On hand",$O665="Advance received",$O665="Part realised",$O665="Amount missing"),1,0)</f>
        <v>0</v>
      </c>
      <c r="W665" s="80" t="str">
        <f aca="false">IF(AND($V665=1,N($F665)&gt;0),ROW(),"")</f>
        <v/>
      </c>
      <c r="X665" s="80" t="n">
        <f aca="false">IF(AND(OR($A665&lt;&gt;"",$E665&lt;&gt;""),$O665&lt;&gt;"Cancelled",ISNUMBER($E665),N($F665)+N($H665)&gt;$E665+0.005),1,0)</f>
        <v>0</v>
      </c>
      <c r="Y665" s="80" t="n">
        <f aca="false">IF(AND(OR($A665&lt;&gt;"",$E665&lt;&gt;""),OR($A665="",$E665="")),1,0)</f>
        <v>0</v>
      </c>
      <c r="Z665" s="80" t="n">
        <f aca="false">IF(AND($A665&lt;&gt;"",COUNTIF($A$7:$A$1006,$A665)&gt;1),1,0)</f>
        <v>0</v>
      </c>
    </row>
    <row r="666" customFormat="false" ht="15" hidden="false" customHeight="false" outlineLevel="0" collapsed="false">
      <c r="A666" s="71"/>
      <c r="B666" s="72"/>
      <c r="C666" s="73"/>
      <c r="D666" s="73"/>
      <c r="E666" s="74"/>
      <c r="F666" s="74"/>
      <c r="G666" s="72"/>
      <c r="H666" s="74"/>
      <c r="I666" s="72"/>
      <c r="J666" s="73"/>
      <c r="K666" s="73"/>
      <c r="L666" s="75" t="str">
        <f aca="false">IF(OR($A666&lt;&gt;"",$E666&lt;&gt;""),N($F666)+N($H666),"")</f>
        <v/>
      </c>
      <c r="M666" s="76" t="str">
        <f aca="false">IF(OR($O666="",$O666="Cancelled",$O666="Amount missing"),"",IF($O666="Realised",0,$E666-N($F666)-N($H666)))</f>
        <v/>
      </c>
      <c r="N666" s="77" t="str">
        <f aca="false">IF(OR($M666="",FX=""),"",$M666*FX)</f>
        <v/>
      </c>
      <c r="O666" s="78" t="str">
        <f aca="false">IF(NOT(OR($A666&lt;&gt;"",$E666&lt;&gt;"")),"",IF($J666="Cancelled","Cancelled",IF($E666="","Amount missing",IF(OR($J666="Settled",$E666-N($F666)-N($H666)&lt;=0.005),"Realised",IF(N($H666)&gt;0,"Part realised",IF(N($F666)&gt;0,"Advance received","On hand"))))))</f>
        <v/>
      </c>
      <c r="P666" s="79" t="str">
        <f aca="false">IF(AND($V666=1,ISNUMBER($B666)),AsAt-$B666,"")</f>
        <v/>
      </c>
      <c r="Q666" s="78" t="str">
        <f aca="false">IF($V666&lt;&gt;1,"",IF($P666="","No invoice date",IF($P666&lt;=30,"0–30 days",IF($P666&lt;=60,"31–60 days",IF($P666&lt;=90,"61–90 days","Over 90 days")))))</f>
        <v/>
      </c>
      <c r="R666" s="80" t="str">
        <f aca="false">IF($V666=1,ROW(),"")</f>
        <v/>
      </c>
      <c r="S666" s="80" t="str">
        <f aca="false">IF(OR($A666&lt;&gt;"",$E666&lt;&gt;""),IF(TRIM($D666)="","Buyer not noted",TRIM($D666)),"")</f>
        <v/>
      </c>
      <c r="T666" s="80" t="n">
        <f aca="false">IF(AND($V666=1,ISNUMBER($M666)),$M666,0)</f>
        <v>0</v>
      </c>
      <c r="U666" s="80" t="str">
        <f aca="false">IF($V666=1,IF(COUNTIFS($S$7:$S666,$S666,$V$7:$V666,1)=1,SUMIFS($T$7:$T$1006,$S$7:$S$1006,$S666)-ROW()/1000000000,""),"")</f>
        <v/>
      </c>
      <c r="V666" s="80" t="n">
        <f aca="false">IF(OR($O666="On hand",$O666="Advance received",$O666="Part realised",$O666="Amount missing"),1,0)</f>
        <v>0</v>
      </c>
      <c r="W666" s="80" t="str">
        <f aca="false">IF(AND($V666=1,N($F666)&gt;0),ROW(),"")</f>
        <v/>
      </c>
      <c r="X666" s="80" t="n">
        <f aca="false">IF(AND(OR($A666&lt;&gt;"",$E666&lt;&gt;""),$O666&lt;&gt;"Cancelled",ISNUMBER($E666),N($F666)+N($H666)&gt;$E666+0.005),1,0)</f>
        <v>0</v>
      </c>
      <c r="Y666" s="80" t="n">
        <f aca="false">IF(AND(OR($A666&lt;&gt;"",$E666&lt;&gt;""),OR($A666="",$E666="")),1,0)</f>
        <v>0</v>
      </c>
      <c r="Z666" s="80" t="n">
        <f aca="false">IF(AND($A666&lt;&gt;"",COUNTIF($A$7:$A$1006,$A666)&gt;1),1,0)</f>
        <v>0</v>
      </c>
    </row>
    <row r="667" customFormat="false" ht="15" hidden="false" customHeight="false" outlineLevel="0" collapsed="false">
      <c r="A667" s="71"/>
      <c r="B667" s="72"/>
      <c r="C667" s="73"/>
      <c r="D667" s="73"/>
      <c r="E667" s="74"/>
      <c r="F667" s="74"/>
      <c r="G667" s="72"/>
      <c r="H667" s="74"/>
      <c r="I667" s="72"/>
      <c r="J667" s="73"/>
      <c r="K667" s="73"/>
      <c r="L667" s="75" t="str">
        <f aca="false">IF(OR($A667&lt;&gt;"",$E667&lt;&gt;""),N($F667)+N($H667),"")</f>
        <v/>
      </c>
      <c r="M667" s="76" t="str">
        <f aca="false">IF(OR($O667="",$O667="Cancelled",$O667="Amount missing"),"",IF($O667="Realised",0,$E667-N($F667)-N($H667)))</f>
        <v/>
      </c>
      <c r="N667" s="77" t="str">
        <f aca="false">IF(OR($M667="",FX=""),"",$M667*FX)</f>
        <v/>
      </c>
      <c r="O667" s="78" t="str">
        <f aca="false">IF(NOT(OR($A667&lt;&gt;"",$E667&lt;&gt;"")),"",IF($J667="Cancelled","Cancelled",IF($E667="","Amount missing",IF(OR($J667="Settled",$E667-N($F667)-N($H667)&lt;=0.005),"Realised",IF(N($H667)&gt;0,"Part realised",IF(N($F667)&gt;0,"Advance received","On hand"))))))</f>
        <v/>
      </c>
      <c r="P667" s="79" t="str">
        <f aca="false">IF(AND($V667=1,ISNUMBER($B667)),AsAt-$B667,"")</f>
        <v/>
      </c>
      <c r="Q667" s="78" t="str">
        <f aca="false">IF($V667&lt;&gt;1,"",IF($P667="","No invoice date",IF($P667&lt;=30,"0–30 days",IF($P667&lt;=60,"31–60 days",IF($P667&lt;=90,"61–90 days","Over 90 days")))))</f>
        <v/>
      </c>
      <c r="R667" s="80" t="str">
        <f aca="false">IF($V667=1,ROW(),"")</f>
        <v/>
      </c>
      <c r="S667" s="80" t="str">
        <f aca="false">IF(OR($A667&lt;&gt;"",$E667&lt;&gt;""),IF(TRIM($D667)="","Buyer not noted",TRIM($D667)),"")</f>
        <v/>
      </c>
      <c r="T667" s="80" t="n">
        <f aca="false">IF(AND($V667=1,ISNUMBER($M667)),$M667,0)</f>
        <v>0</v>
      </c>
      <c r="U667" s="80" t="str">
        <f aca="false">IF($V667=1,IF(COUNTIFS($S$7:$S667,$S667,$V$7:$V667,1)=1,SUMIFS($T$7:$T$1006,$S$7:$S$1006,$S667)-ROW()/1000000000,""),"")</f>
        <v/>
      </c>
      <c r="V667" s="80" t="n">
        <f aca="false">IF(OR($O667="On hand",$O667="Advance received",$O667="Part realised",$O667="Amount missing"),1,0)</f>
        <v>0</v>
      </c>
      <c r="W667" s="80" t="str">
        <f aca="false">IF(AND($V667=1,N($F667)&gt;0),ROW(),"")</f>
        <v/>
      </c>
      <c r="X667" s="80" t="n">
        <f aca="false">IF(AND(OR($A667&lt;&gt;"",$E667&lt;&gt;""),$O667&lt;&gt;"Cancelled",ISNUMBER($E667),N($F667)+N($H667)&gt;$E667+0.005),1,0)</f>
        <v>0</v>
      </c>
      <c r="Y667" s="80" t="n">
        <f aca="false">IF(AND(OR($A667&lt;&gt;"",$E667&lt;&gt;""),OR($A667="",$E667="")),1,0)</f>
        <v>0</v>
      </c>
      <c r="Z667" s="80" t="n">
        <f aca="false">IF(AND($A667&lt;&gt;"",COUNTIF($A$7:$A$1006,$A667)&gt;1),1,0)</f>
        <v>0</v>
      </c>
    </row>
    <row r="668" customFormat="false" ht="15" hidden="false" customHeight="false" outlineLevel="0" collapsed="false">
      <c r="A668" s="71"/>
      <c r="B668" s="72"/>
      <c r="C668" s="73"/>
      <c r="D668" s="73"/>
      <c r="E668" s="74"/>
      <c r="F668" s="74"/>
      <c r="G668" s="72"/>
      <c r="H668" s="74"/>
      <c r="I668" s="72"/>
      <c r="J668" s="73"/>
      <c r="K668" s="73"/>
      <c r="L668" s="75" t="str">
        <f aca="false">IF(OR($A668&lt;&gt;"",$E668&lt;&gt;""),N($F668)+N($H668),"")</f>
        <v/>
      </c>
      <c r="M668" s="76" t="str">
        <f aca="false">IF(OR($O668="",$O668="Cancelled",$O668="Amount missing"),"",IF($O668="Realised",0,$E668-N($F668)-N($H668)))</f>
        <v/>
      </c>
      <c r="N668" s="77" t="str">
        <f aca="false">IF(OR($M668="",FX=""),"",$M668*FX)</f>
        <v/>
      </c>
      <c r="O668" s="78" t="str">
        <f aca="false">IF(NOT(OR($A668&lt;&gt;"",$E668&lt;&gt;"")),"",IF($J668="Cancelled","Cancelled",IF($E668="","Amount missing",IF(OR($J668="Settled",$E668-N($F668)-N($H668)&lt;=0.005),"Realised",IF(N($H668)&gt;0,"Part realised",IF(N($F668)&gt;0,"Advance received","On hand"))))))</f>
        <v/>
      </c>
      <c r="P668" s="79" t="str">
        <f aca="false">IF(AND($V668=1,ISNUMBER($B668)),AsAt-$B668,"")</f>
        <v/>
      </c>
      <c r="Q668" s="78" t="str">
        <f aca="false">IF($V668&lt;&gt;1,"",IF($P668="","No invoice date",IF($P668&lt;=30,"0–30 days",IF($P668&lt;=60,"31–60 days",IF($P668&lt;=90,"61–90 days","Over 90 days")))))</f>
        <v/>
      </c>
      <c r="R668" s="80" t="str">
        <f aca="false">IF($V668=1,ROW(),"")</f>
        <v/>
      </c>
      <c r="S668" s="80" t="str">
        <f aca="false">IF(OR($A668&lt;&gt;"",$E668&lt;&gt;""),IF(TRIM($D668)="","Buyer not noted",TRIM($D668)),"")</f>
        <v/>
      </c>
      <c r="T668" s="80" t="n">
        <f aca="false">IF(AND($V668=1,ISNUMBER($M668)),$M668,0)</f>
        <v>0</v>
      </c>
      <c r="U668" s="80" t="str">
        <f aca="false">IF($V668=1,IF(COUNTIFS($S$7:$S668,$S668,$V$7:$V668,1)=1,SUMIFS($T$7:$T$1006,$S$7:$S$1006,$S668)-ROW()/1000000000,""),"")</f>
        <v/>
      </c>
      <c r="V668" s="80" t="n">
        <f aca="false">IF(OR($O668="On hand",$O668="Advance received",$O668="Part realised",$O668="Amount missing"),1,0)</f>
        <v>0</v>
      </c>
      <c r="W668" s="80" t="str">
        <f aca="false">IF(AND($V668=1,N($F668)&gt;0),ROW(),"")</f>
        <v/>
      </c>
      <c r="X668" s="80" t="n">
        <f aca="false">IF(AND(OR($A668&lt;&gt;"",$E668&lt;&gt;""),$O668&lt;&gt;"Cancelled",ISNUMBER($E668),N($F668)+N($H668)&gt;$E668+0.005),1,0)</f>
        <v>0</v>
      </c>
      <c r="Y668" s="80" t="n">
        <f aca="false">IF(AND(OR($A668&lt;&gt;"",$E668&lt;&gt;""),OR($A668="",$E668="")),1,0)</f>
        <v>0</v>
      </c>
      <c r="Z668" s="80" t="n">
        <f aca="false">IF(AND($A668&lt;&gt;"",COUNTIF($A$7:$A$1006,$A668)&gt;1),1,0)</f>
        <v>0</v>
      </c>
    </row>
    <row r="669" customFormat="false" ht="15" hidden="false" customHeight="false" outlineLevel="0" collapsed="false">
      <c r="A669" s="71"/>
      <c r="B669" s="72"/>
      <c r="C669" s="73"/>
      <c r="D669" s="73"/>
      <c r="E669" s="74"/>
      <c r="F669" s="74"/>
      <c r="G669" s="72"/>
      <c r="H669" s="74"/>
      <c r="I669" s="72"/>
      <c r="J669" s="73"/>
      <c r="K669" s="73"/>
      <c r="L669" s="75" t="str">
        <f aca="false">IF(OR($A669&lt;&gt;"",$E669&lt;&gt;""),N($F669)+N($H669),"")</f>
        <v/>
      </c>
      <c r="M669" s="76" t="str">
        <f aca="false">IF(OR($O669="",$O669="Cancelled",$O669="Amount missing"),"",IF($O669="Realised",0,$E669-N($F669)-N($H669)))</f>
        <v/>
      </c>
      <c r="N669" s="77" t="str">
        <f aca="false">IF(OR($M669="",FX=""),"",$M669*FX)</f>
        <v/>
      </c>
      <c r="O669" s="78" t="str">
        <f aca="false">IF(NOT(OR($A669&lt;&gt;"",$E669&lt;&gt;"")),"",IF($J669="Cancelled","Cancelled",IF($E669="","Amount missing",IF(OR($J669="Settled",$E669-N($F669)-N($H669)&lt;=0.005),"Realised",IF(N($H669)&gt;0,"Part realised",IF(N($F669)&gt;0,"Advance received","On hand"))))))</f>
        <v/>
      </c>
      <c r="P669" s="79" t="str">
        <f aca="false">IF(AND($V669=1,ISNUMBER($B669)),AsAt-$B669,"")</f>
        <v/>
      </c>
      <c r="Q669" s="78" t="str">
        <f aca="false">IF($V669&lt;&gt;1,"",IF($P669="","No invoice date",IF($P669&lt;=30,"0–30 days",IF($P669&lt;=60,"31–60 days",IF($P669&lt;=90,"61–90 days","Over 90 days")))))</f>
        <v/>
      </c>
      <c r="R669" s="80" t="str">
        <f aca="false">IF($V669=1,ROW(),"")</f>
        <v/>
      </c>
      <c r="S669" s="80" t="str">
        <f aca="false">IF(OR($A669&lt;&gt;"",$E669&lt;&gt;""),IF(TRIM($D669)="","Buyer not noted",TRIM($D669)),"")</f>
        <v/>
      </c>
      <c r="T669" s="80" t="n">
        <f aca="false">IF(AND($V669=1,ISNUMBER($M669)),$M669,0)</f>
        <v>0</v>
      </c>
      <c r="U669" s="80" t="str">
        <f aca="false">IF($V669=1,IF(COUNTIFS($S$7:$S669,$S669,$V$7:$V669,1)=1,SUMIFS($T$7:$T$1006,$S$7:$S$1006,$S669)-ROW()/1000000000,""),"")</f>
        <v/>
      </c>
      <c r="V669" s="80" t="n">
        <f aca="false">IF(OR($O669="On hand",$O669="Advance received",$O669="Part realised",$O669="Amount missing"),1,0)</f>
        <v>0</v>
      </c>
      <c r="W669" s="80" t="str">
        <f aca="false">IF(AND($V669=1,N($F669)&gt;0),ROW(),"")</f>
        <v/>
      </c>
      <c r="X669" s="80" t="n">
        <f aca="false">IF(AND(OR($A669&lt;&gt;"",$E669&lt;&gt;""),$O669&lt;&gt;"Cancelled",ISNUMBER($E669),N($F669)+N($H669)&gt;$E669+0.005),1,0)</f>
        <v>0</v>
      </c>
      <c r="Y669" s="80" t="n">
        <f aca="false">IF(AND(OR($A669&lt;&gt;"",$E669&lt;&gt;""),OR($A669="",$E669="")),1,0)</f>
        <v>0</v>
      </c>
      <c r="Z669" s="80" t="n">
        <f aca="false">IF(AND($A669&lt;&gt;"",COUNTIF($A$7:$A$1006,$A669)&gt;1),1,0)</f>
        <v>0</v>
      </c>
    </row>
    <row r="670" customFormat="false" ht="15" hidden="false" customHeight="false" outlineLevel="0" collapsed="false">
      <c r="A670" s="71"/>
      <c r="B670" s="72"/>
      <c r="C670" s="73"/>
      <c r="D670" s="73"/>
      <c r="E670" s="74"/>
      <c r="F670" s="74"/>
      <c r="G670" s="72"/>
      <c r="H670" s="74"/>
      <c r="I670" s="72"/>
      <c r="J670" s="73"/>
      <c r="K670" s="73"/>
      <c r="L670" s="75" t="str">
        <f aca="false">IF(OR($A670&lt;&gt;"",$E670&lt;&gt;""),N($F670)+N($H670),"")</f>
        <v/>
      </c>
      <c r="M670" s="76" t="str">
        <f aca="false">IF(OR($O670="",$O670="Cancelled",$O670="Amount missing"),"",IF($O670="Realised",0,$E670-N($F670)-N($H670)))</f>
        <v/>
      </c>
      <c r="N670" s="77" t="str">
        <f aca="false">IF(OR($M670="",FX=""),"",$M670*FX)</f>
        <v/>
      </c>
      <c r="O670" s="78" t="str">
        <f aca="false">IF(NOT(OR($A670&lt;&gt;"",$E670&lt;&gt;"")),"",IF($J670="Cancelled","Cancelled",IF($E670="","Amount missing",IF(OR($J670="Settled",$E670-N($F670)-N($H670)&lt;=0.005),"Realised",IF(N($H670)&gt;0,"Part realised",IF(N($F670)&gt;0,"Advance received","On hand"))))))</f>
        <v/>
      </c>
      <c r="P670" s="79" t="str">
        <f aca="false">IF(AND($V670=1,ISNUMBER($B670)),AsAt-$B670,"")</f>
        <v/>
      </c>
      <c r="Q670" s="78" t="str">
        <f aca="false">IF($V670&lt;&gt;1,"",IF($P670="","No invoice date",IF($P670&lt;=30,"0–30 days",IF($P670&lt;=60,"31–60 days",IF($P670&lt;=90,"61–90 days","Over 90 days")))))</f>
        <v/>
      </c>
      <c r="R670" s="80" t="str">
        <f aca="false">IF($V670=1,ROW(),"")</f>
        <v/>
      </c>
      <c r="S670" s="80" t="str">
        <f aca="false">IF(OR($A670&lt;&gt;"",$E670&lt;&gt;""),IF(TRIM($D670)="","Buyer not noted",TRIM($D670)),"")</f>
        <v/>
      </c>
      <c r="T670" s="80" t="n">
        <f aca="false">IF(AND($V670=1,ISNUMBER($M670)),$M670,0)</f>
        <v>0</v>
      </c>
      <c r="U670" s="80" t="str">
        <f aca="false">IF($V670=1,IF(COUNTIFS($S$7:$S670,$S670,$V$7:$V670,1)=1,SUMIFS($T$7:$T$1006,$S$7:$S$1006,$S670)-ROW()/1000000000,""),"")</f>
        <v/>
      </c>
      <c r="V670" s="80" t="n">
        <f aca="false">IF(OR($O670="On hand",$O670="Advance received",$O670="Part realised",$O670="Amount missing"),1,0)</f>
        <v>0</v>
      </c>
      <c r="W670" s="80" t="str">
        <f aca="false">IF(AND($V670=1,N($F670)&gt;0),ROW(),"")</f>
        <v/>
      </c>
      <c r="X670" s="80" t="n">
        <f aca="false">IF(AND(OR($A670&lt;&gt;"",$E670&lt;&gt;""),$O670&lt;&gt;"Cancelled",ISNUMBER($E670),N($F670)+N($H670)&gt;$E670+0.005),1,0)</f>
        <v>0</v>
      </c>
      <c r="Y670" s="80" t="n">
        <f aca="false">IF(AND(OR($A670&lt;&gt;"",$E670&lt;&gt;""),OR($A670="",$E670="")),1,0)</f>
        <v>0</v>
      </c>
      <c r="Z670" s="80" t="n">
        <f aca="false">IF(AND($A670&lt;&gt;"",COUNTIF($A$7:$A$1006,$A670)&gt;1),1,0)</f>
        <v>0</v>
      </c>
    </row>
    <row r="671" customFormat="false" ht="15" hidden="false" customHeight="false" outlineLevel="0" collapsed="false">
      <c r="A671" s="71"/>
      <c r="B671" s="72"/>
      <c r="C671" s="73"/>
      <c r="D671" s="73"/>
      <c r="E671" s="74"/>
      <c r="F671" s="74"/>
      <c r="G671" s="72"/>
      <c r="H671" s="74"/>
      <c r="I671" s="72"/>
      <c r="J671" s="73"/>
      <c r="K671" s="73"/>
      <c r="L671" s="75" t="str">
        <f aca="false">IF(OR($A671&lt;&gt;"",$E671&lt;&gt;""),N($F671)+N($H671),"")</f>
        <v/>
      </c>
      <c r="M671" s="76" t="str">
        <f aca="false">IF(OR($O671="",$O671="Cancelled",$O671="Amount missing"),"",IF($O671="Realised",0,$E671-N($F671)-N($H671)))</f>
        <v/>
      </c>
      <c r="N671" s="77" t="str">
        <f aca="false">IF(OR($M671="",FX=""),"",$M671*FX)</f>
        <v/>
      </c>
      <c r="O671" s="78" t="str">
        <f aca="false">IF(NOT(OR($A671&lt;&gt;"",$E671&lt;&gt;"")),"",IF($J671="Cancelled","Cancelled",IF($E671="","Amount missing",IF(OR($J671="Settled",$E671-N($F671)-N($H671)&lt;=0.005),"Realised",IF(N($H671)&gt;0,"Part realised",IF(N($F671)&gt;0,"Advance received","On hand"))))))</f>
        <v/>
      </c>
      <c r="P671" s="79" t="str">
        <f aca="false">IF(AND($V671=1,ISNUMBER($B671)),AsAt-$B671,"")</f>
        <v/>
      </c>
      <c r="Q671" s="78" t="str">
        <f aca="false">IF($V671&lt;&gt;1,"",IF($P671="","No invoice date",IF($P671&lt;=30,"0–30 days",IF($P671&lt;=60,"31–60 days",IF($P671&lt;=90,"61–90 days","Over 90 days")))))</f>
        <v/>
      </c>
      <c r="R671" s="80" t="str">
        <f aca="false">IF($V671=1,ROW(),"")</f>
        <v/>
      </c>
      <c r="S671" s="80" t="str">
        <f aca="false">IF(OR($A671&lt;&gt;"",$E671&lt;&gt;""),IF(TRIM($D671)="","Buyer not noted",TRIM($D671)),"")</f>
        <v/>
      </c>
      <c r="T671" s="80" t="n">
        <f aca="false">IF(AND($V671=1,ISNUMBER($M671)),$M671,0)</f>
        <v>0</v>
      </c>
      <c r="U671" s="80" t="str">
        <f aca="false">IF($V671=1,IF(COUNTIFS($S$7:$S671,$S671,$V$7:$V671,1)=1,SUMIFS($T$7:$T$1006,$S$7:$S$1006,$S671)-ROW()/1000000000,""),"")</f>
        <v/>
      </c>
      <c r="V671" s="80" t="n">
        <f aca="false">IF(OR($O671="On hand",$O671="Advance received",$O671="Part realised",$O671="Amount missing"),1,0)</f>
        <v>0</v>
      </c>
      <c r="W671" s="80" t="str">
        <f aca="false">IF(AND($V671=1,N($F671)&gt;0),ROW(),"")</f>
        <v/>
      </c>
      <c r="X671" s="80" t="n">
        <f aca="false">IF(AND(OR($A671&lt;&gt;"",$E671&lt;&gt;""),$O671&lt;&gt;"Cancelled",ISNUMBER($E671),N($F671)+N($H671)&gt;$E671+0.005),1,0)</f>
        <v>0</v>
      </c>
      <c r="Y671" s="80" t="n">
        <f aca="false">IF(AND(OR($A671&lt;&gt;"",$E671&lt;&gt;""),OR($A671="",$E671="")),1,0)</f>
        <v>0</v>
      </c>
      <c r="Z671" s="80" t="n">
        <f aca="false">IF(AND($A671&lt;&gt;"",COUNTIF($A$7:$A$1006,$A671)&gt;1),1,0)</f>
        <v>0</v>
      </c>
    </row>
    <row r="672" customFormat="false" ht="15" hidden="false" customHeight="false" outlineLevel="0" collapsed="false">
      <c r="A672" s="71"/>
      <c r="B672" s="72"/>
      <c r="C672" s="73"/>
      <c r="D672" s="73"/>
      <c r="E672" s="74"/>
      <c r="F672" s="74"/>
      <c r="G672" s="72"/>
      <c r="H672" s="74"/>
      <c r="I672" s="72"/>
      <c r="J672" s="73"/>
      <c r="K672" s="73"/>
      <c r="L672" s="75" t="str">
        <f aca="false">IF(OR($A672&lt;&gt;"",$E672&lt;&gt;""),N($F672)+N($H672),"")</f>
        <v/>
      </c>
      <c r="M672" s="76" t="str">
        <f aca="false">IF(OR($O672="",$O672="Cancelled",$O672="Amount missing"),"",IF($O672="Realised",0,$E672-N($F672)-N($H672)))</f>
        <v/>
      </c>
      <c r="N672" s="77" t="str">
        <f aca="false">IF(OR($M672="",FX=""),"",$M672*FX)</f>
        <v/>
      </c>
      <c r="O672" s="78" t="str">
        <f aca="false">IF(NOT(OR($A672&lt;&gt;"",$E672&lt;&gt;"")),"",IF($J672="Cancelled","Cancelled",IF($E672="","Amount missing",IF(OR($J672="Settled",$E672-N($F672)-N($H672)&lt;=0.005),"Realised",IF(N($H672)&gt;0,"Part realised",IF(N($F672)&gt;0,"Advance received","On hand"))))))</f>
        <v/>
      </c>
      <c r="P672" s="79" t="str">
        <f aca="false">IF(AND($V672=1,ISNUMBER($B672)),AsAt-$B672,"")</f>
        <v/>
      </c>
      <c r="Q672" s="78" t="str">
        <f aca="false">IF($V672&lt;&gt;1,"",IF($P672="","No invoice date",IF($P672&lt;=30,"0–30 days",IF($P672&lt;=60,"31–60 days",IF($P672&lt;=90,"61–90 days","Over 90 days")))))</f>
        <v/>
      </c>
      <c r="R672" s="80" t="str">
        <f aca="false">IF($V672=1,ROW(),"")</f>
        <v/>
      </c>
      <c r="S672" s="80" t="str">
        <f aca="false">IF(OR($A672&lt;&gt;"",$E672&lt;&gt;""),IF(TRIM($D672)="","Buyer not noted",TRIM($D672)),"")</f>
        <v/>
      </c>
      <c r="T672" s="80" t="n">
        <f aca="false">IF(AND($V672=1,ISNUMBER($M672)),$M672,0)</f>
        <v>0</v>
      </c>
      <c r="U672" s="80" t="str">
        <f aca="false">IF($V672=1,IF(COUNTIFS($S$7:$S672,$S672,$V$7:$V672,1)=1,SUMIFS($T$7:$T$1006,$S$7:$S$1006,$S672)-ROW()/1000000000,""),"")</f>
        <v/>
      </c>
      <c r="V672" s="80" t="n">
        <f aca="false">IF(OR($O672="On hand",$O672="Advance received",$O672="Part realised",$O672="Amount missing"),1,0)</f>
        <v>0</v>
      </c>
      <c r="W672" s="80" t="str">
        <f aca="false">IF(AND($V672=1,N($F672)&gt;0),ROW(),"")</f>
        <v/>
      </c>
      <c r="X672" s="80" t="n">
        <f aca="false">IF(AND(OR($A672&lt;&gt;"",$E672&lt;&gt;""),$O672&lt;&gt;"Cancelled",ISNUMBER($E672),N($F672)+N($H672)&gt;$E672+0.005),1,0)</f>
        <v>0</v>
      </c>
      <c r="Y672" s="80" t="n">
        <f aca="false">IF(AND(OR($A672&lt;&gt;"",$E672&lt;&gt;""),OR($A672="",$E672="")),1,0)</f>
        <v>0</v>
      </c>
      <c r="Z672" s="80" t="n">
        <f aca="false">IF(AND($A672&lt;&gt;"",COUNTIF($A$7:$A$1006,$A672)&gt;1),1,0)</f>
        <v>0</v>
      </c>
    </row>
    <row r="673" customFormat="false" ht="15" hidden="false" customHeight="false" outlineLevel="0" collapsed="false">
      <c r="A673" s="71"/>
      <c r="B673" s="72"/>
      <c r="C673" s="73"/>
      <c r="D673" s="73"/>
      <c r="E673" s="74"/>
      <c r="F673" s="74"/>
      <c r="G673" s="72"/>
      <c r="H673" s="74"/>
      <c r="I673" s="72"/>
      <c r="J673" s="73"/>
      <c r="K673" s="73"/>
      <c r="L673" s="75" t="str">
        <f aca="false">IF(OR($A673&lt;&gt;"",$E673&lt;&gt;""),N($F673)+N($H673),"")</f>
        <v/>
      </c>
      <c r="M673" s="76" t="str">
        <f aca="false">IF(OR($O673="",$O673="Cancelled",$O673="Amount missing"),"",IF($O673="Realised",0,$E673-N($F673)-N($H673)))</f>
        <v/>
      </c>
      <c r="N673" s="77" t="str">
        <f aca="false">IF(OR($M673="",FX=""),"",$M673*FX)</f>
        <v/>
      </c>
      <c r="O673" s="78" t="str">
        <f aca="false">IF(NOT(OR($A673&lt;&gt;"",$E673&lt;&gt;"")),"",IF($J673="Cancelled","Cancelled",IF($E673="","Amount missing",IF(OR($J673="Settled",$E673-N($F673)-N($H673)&lt;=0.005),"Realised",IF(N($H673)&gt;0,"Part realised",IF(N($F673)&gt;0,"Advance received","On hand"))))))</f>
        <v/>
      </c>
      <c r="P673" s="79" t="str">
        <f aca="false">IF(AND($V673=1,ISNUMBER($B673)),AsAt-$B673,"")</f>
        <v/>
      </c>
      <c r="Q673" s="78" t="str">
        <f aca="false">IF($V673&lt;&gt;1,"",IF($P673="","No invoice date",IF($P673&lt;=30,"0–30 days",IF($P673&lt;=60,"31–60 days",IF($P673&lt;=90,"61–90 days","Over 90 days")))))</f>
        <v/>
      </c>
      <c r="R673" s="80" t="str">
        <f aca="false">IF($V673=1,ROW(),"")</f>
        <v/>
      </c>
      <c r="S673" s="80" t="str">
        <f aca="false">IF(OR($A673&lt;&gt;"",$E673&lt;&gt;""),IF(TRIM($D673)="","Buyer not noted",TRIM($D673)),"")</f>
        <v/>
      </c>
      <c r="T673" s="80" t="n">
        <f aca="false">IF(AND($V673=1,ISNUMBER($M673)),$M673,0)</f>
        <v>0</v>
      </c>
      <c r="U673" s="80" t="str">
        <f aca="false">IF($V673=1,IF(COUNTIFS($S$7:$S673,$S673,$V$7:$V673,1)=1,SUMIFS($T$7:$T$1006,$S$7:$S$1006,$S673)-ROW()/1000000000,""),"")</f>
        <v/>
      </c>
      <c r="V673" s="80" t="n">
        <f aca="false">IF(OR($O673="On hand",$O673="Advance received",$O673="Part realised",$O673="Amount missing"),1,0)</f>
        <v>0</v>
      </c>
      <c r="W673" s="80" t="str">
        <f aca="false">IF(AND($V673=1,N($F673)&gt;0),ROW(),"")</f>
        <v/>
      </c>
      <c r="X673" s="80" t="n">
        <f aca="false">IF(AND(OR($A673&lt;&gt;"",$E673&lt;&gt;""),$O673&lt;&gt;"Cancelled",ISNUMBER($E673),N($F673)+N($H673)&gt;$E673+0.005),1,0)</f>
        <v>0</v>
      </c>
      <c r="Y673" s="80" t="n">
        <f aca="false">IF(AND(OR($A673&lt;&gt;"",$E673&lt;&gt;""),OR($A673="",$E673="")),1,0)</f>
        <v>0</v>
      </c>
      <c r="Z673" s="80" t="n">
        <f aca="false">IF(AND($A673&lt;&gt;"",COUNTIF($A$7:$A$1006,$A673)&gt;1),1,0)</f>
        <v>0</v>
      </c>
    </row>
    <row r="674" customFormat="false" ht="15" hidden="false" customHeight="false" outlineLevel="0" collapsed="false">
      <c r="A674" s="71"/>
      <c r="B674" s="72"/>
      <c r="C674" s="73"/>
      <c r="D674" s="73"/>
      <c r="E674" s="74"/>
      <c r="F674" s="74"/>
      <c r="G674" s="72"/>
      <c r="H674" s="74"/>
      <c r="I674" s="72"/>
      <c r="J674" s="73"/>
      <c r="K674" s="73"/>
      <c r="L674" s="75" t="str">
        <f aca="false">IF(OR($A674&lt;&gt;"",$E674&lt;&gt;""),N($F674)+N($H674),"")</f>
        <v/>
      </c>
      <c r="M674" s="76" t="str">
        <f aca="false">IF(OR($O674="",$O674="Cancelled",$O674="Amount missing"),"",IF($O674="Realised",0,$E674-N($F674)-N($H674)))</f>
        <v/>
      </c>
      <c r="N674" s="77" t="str">
        <f aca="false">IF(OR($M674="",FX=""),"",$M674*FX)</f>
        <v/>
      </c>
      <c r="O674" s="78" t="str">
        <f aca="false">IF(NOT(OR($A674&lt;&gt;"",$E674&lt;&gt;"")),"",IF($J674="Cancelled","Cancelled",IF($E674="","Amount missing",IF(OR($J674="Settled",$E674-N($F674)-N($H674)&lt;=0.005),"Realised",IF(N($H674)&gt;0,"Part realised",IF(N($F674)&gt;0,"Advance received","On hand"))))))</f>
        <v/>
      </c>
      <c r="P674" s="79" t="str">
        <f aca="false">IF(AND($V674=1,ISNUMBER($B674)),AsAt-$B674,"")</f>
        <v/>
      </c>
      <c r="Q674" s="78" t="str">
        <f aca="false">IF($V674&lt;&gt;1,"",IF($P674="","No invoice date",IF($P674&lt;=30,"0–30 days",IF($P674&lt;=60,"31–60 days",IF($P674&lt;=90,"61–90 days","Over 90 days")))))</f>
        <v/>
      </c>
      <c r="R674" s="80" t="str">
        <f aca="false">IF($V674=1,ROW(),"")</f>
        <v/>
      </c>
      <c r="S674" s="80" t="str">
        <f aca="false">IF(OR($A674&lt;&gt;"",$E674&lt;&gt;""),IF(TRIM($D674)="","Buyer not noted",TRIM($D674)),"")</f>
        <v/>
      </c>
      <c r="T674" s="80" t="n">
        <f aca="false">IF(AND($V674=1,ISNUMBER($M674)),$M674,0)</f>
        <v>0</v>
      </c>
      <c r="U674" s="80" t="str">
        <f aca="false">IF($V674=1,IF(COUNTIFS($S$7:$S674,$S674,$V$7:$V674,1)=1,SUMIFS($T$7:$T$1006,$S$7:$S$1006,$S674)-ROW()/1000000000,""),"")</f>
        <v/>
      </c>
      <c r="V674" s="80" t="n">
        <f aca="false">IF(OR($O674="On hand",$O674="Advance received",$O674="Part realised",$O674="Amount missing"),1,0)</f>
        <v>0</v>
      </c>
      <c r="W674" s="80" t="str">
        <f aca="false">IF(AND($V674=1,N($F674)&gt;0),ROW(),"")</f>
        <v/>
      </c>
      <c r="X674" s="80" t="n">
        <f aca="false">IF(AND(OR($A674&lt;&gt;"",$E674&lt;&gt;""),$O674&lt;&gt;"Cancelled",ISNUMBER($E674),N($F674)+N($H674)&gt;$E674+0.005),1,0)</f>
        <v>0</v>
      </c>
      <c r="Y674" s="80" t="n">
        <f aca="false">IF(AND(OR($A674&lt;&gt;"",$E674&lt;&gt;""),OR($A674="",$E674="")),1,0)</f>
        <v>0</v>
      </c>
      <c r="Z674" s="80" t="n">
        <f aca="false">IF(AND($A674&lt;&gt;"",COUNTIF($A$7:$A$1006,$A674)&gt;1),1,0)</f>
        <v>0</v>
      </c>
    </row>
    <row r="675" customFormat="false" ht="15" hidden="false" customHeight="false" outlineLevel="0" collapsed="false">
      <c r="A675" s="71"/>
      <c r="B675" s="72"/>
      <c r="C675" s="73"/>
      <c r="D675" s="73"/>
      <c r="E675" s="74"/>
      <c r="F675" s="74"/>
      <c r="G675" s="72"/>
      <c r="H675" s="74"/>
      <c r="I675" s="72"/>
      <c r="J675" s="73"/>
      <c r="K675" s="73"/>
      <c r="L675" s="75" t="str">
        <f aca="false">IF(OR($A675&lt;&gt;"",$E675&lt;&gt;""),N($F675)+N($H675),"")</f>
        <v/>
      </c>
      <c r="M675" s="76" t="str">
        <f aca="false">IF(OR($O675="",$O675="Cancelled",$O675="Amount missing"),"",IF($O675="Realised",0,$E675-N($F675)-N($H675)))</f>
        <v/>
      </c>
      <c r="N675" s="77" t="str">
        <f aca="false">IF(OR($M675="",FX=""),"",$M675*FX)</f>
        <v/>
      </c>
      <c r="O675" s="78" t="str">
        <f aca="false">IF(NOT(OR($A675&lt;&gt;"",$E675&lt;&gt;"")),"",IF($J675="Cancelled","Cancelled",IF($E675="","Amount missing",IF(OR($J675="Settled",$E675-N($F675)-N($H675)&lt;=0.005),"Realised",IF(N($H675)&gt;0,"Part realised",IF(N($F675)&gt;0,"Advance received","On hand"))))))</f>
        <v/>
      </c>
      <c r="P675" s="79" t="str">
        <f aca="false">IF(AND($V675=1,ISNUMBER($B675)),AsAt-$B675,"")</f>
        <v/>
      </c>
      <c r="Q675" s="78" t="str">
        <f aca="false">IF($V675&lt;&gt;1,"",IF($P675="","No invoice date",IF($P675&lt;=30,"0–30 days",IF($P675&lt;=60,"31–60 days",IF($P675&lt;=90,"61–90 days","Over 90 days")))))</f>
        <v/>
      </c>
      <c r="R675" s="80" t="str">
        <f aca="false">IF($V675=1,ROW(),"")</f>
        <v/>
      </c>
      <c r="S675" s="80" t="str">
        <f aca="false">IF(OR($A675&lt;&gt;"",$E675&lt;&gt;""),IF(TRIM($D675)="","Buyer not noted",TRIM($D675)),"")</f>
        <v/>
      </c>
      <c r="T675" s="80" t="n">
        <f aca="false">IF(AND($V675=1,ISNUMBER($M675)),$M675,0)</f>
        <v>0</v>
      </c>
      <c r="U675" s="80" t="str">
        <f aca="false">IF($V675=1,IF(COUNTIFS($S$7:$S675,$S675,$V$7:$V675,1)=1,SUMIFS($T$7:$T$1006,$S$7:$S$1006,$S675)-ROW()/1000000000,""),"")</f>
        <v/>
      </c>
      <c r="V675" s="80" t="n">
        <f aca="false">IF(OR($O675="On hand",$O675="Advance received",$O675="Part realised",$O675="Amount missing"),1,0)</f>
        <v>0</v>
      </c>
      <c r="W675" s="80" t="str">
        <f aca="false">IF(AND($V675=1,N($F675)&gt;0),ROW(),"")</f>
        <v/>
      </c>
      <c r="X675" s="80" t="n">
        <f aca="false">IF(AND(OR($A675&lt;&gt;"",$E675&lt;&gt;""),$O675&lt;&gt;"Cancelled",ISNUMBER($E675),N($F675)+N($H675)&gt;$E675+0.005),1,0)</f>
        <v>0</v>
      </c>
      <c r="Y675" s="80" t="n">
        <f aca="false">IF(AND(OR($A675&lt;&gt;"",$E675&lt;&gt;""),OR($A675="",$E675="")),1,0)</f>
        <v>0</v>
      </c>
      <c r="Z675" s="80" t="n">
        <f aca="false">IF(AND($A675&lt;&gt;"",COUNTIF($A$7:$A$1006,$A675)&gt;1),1,0)</f>
        <v>0</v>
      </c>
    </row>
    <row r="676" customFormat="false" ht="15" hidden="false" customHeight="false" outlineLevel="0" collapsed="false">
      <c r="A676" s="71"/>
      <c r="B676" s="72"/>
      <c r="C676" s="73"/>
      <c r="D676" s="73"/>
      <c r="E676" s="74"/>
      <c r="F676" s="74"/>
      <c r="G676" s="72"/>
      <c r="H676" s="74"/>
      <c r="I676" s="72"/>
      <c r="J676" s="73"/>
      <c r="K676" s="73"/>
      <c r="L676" s="75" t="str">
        <f aca="false">IF(OR($A676&lt;&gt;"",$E676&lt;&gt;""),N($F676)+N($H676),"")</f>
        <v/>
      </c>
      <c r="M676" s="76" t="str">
        <f aca="false">IF(OR($O676="",$O676="Cancelled",$O676="Amount missing"),"",IF($O676="Realised",0,$E676-N($F676)-N($H676)))</f>
        <v/>
      </c>
      <c r="N676" s="77" t="str">
        <f aca="false">IF(OR($M676="",FX=""),"",$M676*FX)</f>
        <v/>
      </c>
      <c r="O676" s="78" t="str">
        <f aca="false">IF(NOT(OR($A676&lt;&gt;"",$E676&lt;&gt;"")),"",IF($J676="Cancelled","Cancelled",IF($E676="","Amount missing",IF(OR($J676="Settled",$E676-N($F676)-N($H676)&lt;=0.005),"Realised",IF(N($H676)&gt;0,"Part realised",IF(N($F676)&gt;0,"Advance received","On hand"))))))</f>
        <v/>
      </c>
      <c r="P676" s="79" t="str">
        <f aca="false">IF(AND($V676=1,ISNUMBER($B676)),AsAt-$B676,"")</f>
        <v/>
      </c>
      <c r="Q676" s="78" t="str">
        <f aca="false">IF($V676&lt;&gt;1,"",IF($P676="","No invoice date",IF($P676&lt;=30,"0–30 days",IF($P676&lt;=60,"31–60 days",IF($P676&lt;=90,"61–90 days","Over 90 days")))))</f>
        <v/>
      </c>
      <c r="R676" s="80" t="str">
        <f aca="false">IF($V676=1,ROW(),"")</f>
        <v/>
      </c>
      <c r="S676" s="80" t="str">
        <f aca="false">IF(OR($A676&lt;&gt;"",$E676&lt;&gt;""),IF(TRIM($D676)="","Buyer not noted",TRIM($D676)),"")</f>
        <v/>
      </c>
      <c r="T676" s="80" t="n">
        <f aca="false">IF(AND($V676=1,ISNUMBER($M676)),$M676,0)</f>
        <v>0</v>
      </c>
      <c r="U676" s="80" t="str">
        <f aca="false">IF($V676=1,IF(COUNTIFS($S$7:$S676,$S676,$V$7:$V676,1)=1,SUMIFS($T$7:$T$1006,$S$7:$S$1006,$S676)-ROW()/1000000000,""),"")</f>
        <v/>
      </c>
      <c r="V676" s="80" t="n">
        <f aca="false">IF(OR($O676="On hand",$O676="Advance received",$O676="Part realised",$O676="Amount missing"),1,0)</f>
        <v>0</v>
      </c>
      <c r="W676" s="80" t="str">
        <f aca="false">IF(AND($V676=1,N($F676)&gt;0),ROW(),"")</f>
        <v/>
      </c>
      <c r="X676" s="80" t="n">
        <f aca="false">IF(AND(OR($A676&lt;&gt;"",$E676&lt;&gt;""),$O676&lt;&gt;"Cancelled",ISNUMBER($E676),N($F676)+N($H676)&gt;$E676+0.005),1,0)</f>
        <v>0</v>
      </c>
      <c r="Y676" s="80" t="n">
        <f aca="false">IF(AND(OR($A676&lt;&gt;"",$E676&lt;&gt;""),OR($A676="",$E676="")),1,0)</f>
        <v>0</v>
      </c>
      <c r="Z676" s="80" t="n">
        <f aca="false">IF(AND($A676&lt;&gt;"",COUNTIF($A$7:$A$1006,$A676)&gt;1),1,0)</f>
        <v>0</v>
      </c>
    </row>
    <row r="677" customFormat="false" ht="15" hidden="false" customHeight="false" outlineLevel="0" collapsed="false">
      <c r="A677" s="71"/>
      <c r="B677" s="72"/>
      <c r="C677" s="73"/>
      <c r="D677" s="73"/>
      <c r="E677" s="74"/>
      <c r="F677" s="74"/>
      <c r="G677" s="72"/>
      <c r="H677" s="74"/>
      <c r="I677" s="72"/>
      <c r="J677" s="73"/>
      <c r="K677" s="73"/>
      <c r="L677" s="75" t="str">
        <f aca="false">IF(OR($A677&lt;&gt;"",$E677&lt;&gt;""),N($F677)+N($H677),"")</f>
        <v/>
      </c>
      <c r="M677" s="76" t="str">
        <f aca="false">IF(OR($O677="",$O677="Cancelled",$O677="Amount missing"),"",IF($O677="Realised",0,$E677-N($F677)-N($H677)))</f>
        <v/>
      </c>
      <c r="N677" s="77" t="str">
        <f aca="false">IF(OR($M677="",FX=""),"",$M677*FX)</f>
        <v/>
      </c>
      <c r="O677" s="78" t="str">
        <f aca="false">IF(NOT(OR($A677&lt;&gt;"",$E677&lt;&gt;"")),"",IF($J677="Cancelled","Cancelled",IF($E677="","Amount missing",IF(OR($J677="Settled",$E677-N($F677)-N($H677)&lt;=0.005),"Realised",IF(N($H677)&gt;0,"Part realised",IF(N($F677)&gt;0,"Advance received","On hand"))))))</f>
        <v/>
      </c>
      <c r="P677" s="79" t="str">
        <f aca="false">IF(AND($V677=1,ISNUMBER($B677)),AsAt-$B677,"")</f>
        <v/>
      </c>
      <c r="Q677" s="78" t="str">
        <f aca="false">IF($V677&lt;&gt;1,"",IF($P677="","No invoice date",IF($P677&lt;=30,"0–30 days",IF($P677&lt;=60,"31–60 days",IF($P677&lt;=90,"61–90 days","Over 90 days")))))</f>
        <v/>
      </c>
      <c r="R677" s="80" t="str">
        <f aca="false">IF($V677=1,ROW(),"")</f>
        <v/>
      </c>
      <c r="S677" s="80" t="str">
        <f aca="false">IF(OR($A677&lt;&gt;"",$E677&lt;&gt;""),IF(TRIM($D677)="","Buyer not noted",TRIM($D677)),"")</f>
        <v/>
      </c>
      <c r="T677" s="80" t="n">
        <f aca="false">IF(AND($V677=1,ISNUMBER($M677)),$M677,0)</f>
        <v>0</v>
      </c>
      <c r="U677" s="80" t="str">
        <f aca="false">IF($V677=1,IF(COUNTIFS($S$7:$S677,$S677,$V$7:$V677,1)=1,SUMIFS($T$7:$T$1006,$S$7:$S$1006,$S677)-ROW()/1000000000,""),"")</f>
        <v/>
      </c>
      <c r="V677" s="80" t="n">
        <f aca="false">IF(OR($O677="On hand",$O677="Advance received",$O677="Part realised",$O677="Amount missing"),1,0)</f>
        <v>0</v>
      </c>
      <c r="W677" s="80" t="str">
        <f aca="false">IF(AND($V677=1,N($F677)&gt;0),ROW(),"")</f>
        <v/>
      </c>
      <c r="X677" s="80" t="n">
        <f aca="false">IF(AND(OR($A677&lt;&gt;"",$E677&lt;&gt;""),$O677&lt;&gt;"Cancelled",ISNUMBER($E677),N($F677)+N($H677)&gt;$E677+0.005),1,0)</f>
        <v>0</v>
      </c>
      <c r="Y677" s="80" t="n">
        <f aca="false">IF(AND(OR($A677&lt;&gt;"",$E677&lt;&gt;""),OR($A677="",$E677="")),1,0)</f>
        <v>0</v>
      </c>
      <c r="Z677" s="80" t="n">
        <f aca="false">IF(AND($A677&lt;&gt;"",COUNTIF($A$7:$A$1006,$A677)&gt;1),1,0)</f>
        <v>0</v>
      </c>
    </row>
    <row r="678" customFormat="false" ht="15" hidden="false" customHeight="false" outlineLevel="0" collapsed="false">
      <c r="A678" s="71"/>
      <c r="B678" s="72"/>
      <c r="C678" s="73"/>
      <c r="D678" s="73"/>
      <c r="E678" s="74"/>
      <c r="F678" s="74"/>
      <c r="G678" s="72"/>
      <c r="H678" s="74"/>
      <c r="I678" s="72"/>
      <c r="J678" s="73"/>
      <c r="K678" s="73"/>
      <c r="L678" s="75" t="str">
        <f aca="false">IF(OR($A678&lt;&gt;"",$E678&lt;&gt;""),N($F678)+N($H678),"")</f>
        <v/>
      </c>
      <c r="M678" s="76" t="str">
        <f aca="false">IF(OR($O678="",$O678="Cancelled",$O678="Amount missing"),"",IF($O678="Realised",0,$E678-N($F678)-N($H678)))</f>
        <v/>
      </c>
      <c r="N678" s="77" t="str">
        <f aca="false">IF(OR($M678="",FX=""),"",$M678*FX)</f>
        <v/>
      </c>
      <c r="O678" s="78" t="str">
        <f aca="false">IF(NOT(OR($A678&lt;&gt;"",$E678&lt;&gt;"")),"",IF($J678="Cancelled","Cancelled",IF($E678="","Amount missing",IF(OR($J678="Settled",$E678-N($F678)-N($H678)&lt;=0.005),"Realised",IF(N($H678)&gt;0,"Part realised",IF(N($F678)&gt;0,"Advance received","On hand"))))))</f>
        <v/>
      </c>
      <c r="P678" s="79" t="str">
        <f aca="false">IF(AND($V678=1,ISNUMBER($B678)),AsAt-$B678,"")</f>
        <v/>
      </c>
      <c r="Q678" s="78" t="str">
        <f aca="false">IF($V678&lt;&gt;1,"",IF($P678="","No invoice date",IF($P678&lt;=30,"0–30 days",IF($P678&lt;=60,"31–60 days",IF($P678&lt;=90,"61–90 days","Over 90 days")))))</f>
        <v/>
      </c>
      <c r="R678" s="80" t="str">
        <f aca="false">IF($V678=1,ROW(),"")</f>
        <v/>
      </c>
      <c r="S678" s="80" t="str">
        <f aca="false">IF(OR($A678&lt;&gt;"",$E678&lt;&gt;""),IF(TRIM($D678)="","Buyer not noted",TRIM($D678)),"")</f>
        <v/>
      </c>
      <c r="T678" s="80" t="n">
        <f aca="false">IF(AND($V678=1,ISNUMBER($M678)),$M678,0)</f>
        <v>0</v>
      </c>
      <c r="U678" s="80" t="str">
        <f aca="false">IF($V678=1,IF(COUNTIFS($S$7:$S678,$S678,$V$7:$V678,1)=1,SUMIFS($T$7:$T$1006,$S$7:$S$1006,$S678)-ROW()/1000000000,""),"")</f>
        <v/>
      </c>
      <c r="V678" s="80" t="n">
        <f aca="false">IF(OR($O678="On hand",$O678="Advance received",$O678="Part realised",$O678="Amount missing"),1,0)</f>
        <v>0</v>
      </c>
      <c r="W678" s="80" t="str">
        <f aca="false">IF(AND($V678=1,N($F678)&gt;0),ROW(),"")</f>
        <v/>
      </c>
      <c r="X678" s="80" t="n">
        <f aca="false">IF(AND(OR($A678&lt;&gt;"",$E678&lt;&gt;""),$O678&lt;&gt;"Cancelled",ISNUMBER($E678),N($F678)+N($H678)&gt;$E678+0.005),1,0)</f>
        <v>0</v>
      </c>
      <c r="Y678" s="80" t="n">
        <f aca="false">IF(AND(OR($A678&lt;&gt;"",$E678&lt;&gt;""),OR($A678="",$E678="")),1,0)</f>
        <v>0</v>
      </c>
      <c r="Z678" s="80" t="n">
        <f aca="false">IF(AND($A678&lt;&gt;"",COUNTIF($A$7:$A$1006,$A678)&gt;1),1,0)</f>
        <v>0</v>
      </c>
    </row>
    <row r="679" customFormat="false" ht="15" hidden="false" customHeight="false" outlineLevel="0" collapsed="false">
      <c r="A679" s="71"/>
      <c r="B679" s="72"/>
      <c r="C679" s="73"/>
      <c r="D679" s="73"/>
      <c r="E679" s="74"/>
      <c r="F679" s="74"/>
      <c r="G679" s="72"/>
      <c r="H679" s="74"/>
      <c r="I679" s="72"/>
      <c r="J679" s="73"/>
      <c r="K679" s="73"/>
      <c r="L679" s="75" t="str">
        <f aca="false">IF(OR($A679&lt;&gt;"",$E679&lt;&gt;""),N($F679)+N($H679),"")</f>
        <v/>
      </c>
      <c r="M679" s="76" t="str">
        <f aca="false">IF(OR($O679="",$O679="Cancelled",$O679="Amount missing"),"",IF($O679="Realised",0,$E679-N($F679)-N($H679)))</f>
        <v/>
      </c>
      <c r="N679" s="77" t="str">
        <f aca="false">IF(OR($M679="",FX=""),"",$M679*FX)</f>
        <v/>
      </c>
      <c r="O679" s="78" t="str">
        <f aca="false">IF(NOT(OR($A679&lt;&gt;"",$E679&lt;&gt;"")),"",IF($J679="Cancelled","Cancelled",IF($E679="","Amount missing",IF(OR($J679="Settled",$E679-N($F679)-N($H679)&lt;=0.005),"Realised",IF(N($H679)&gt;0,"Part realised",IF(N($F679)&gt;0,"Advance received","On hand"))))))</f>
        <v/>
      </c>
      <c r="P679" s="79" t="str">
        <f aca="false">IF(AND($V679=1,ISNUMBER($B679)),AsAt-$B679,"")</f>
        <v/>
      </c>
      <c r="Q679" s="78" t="str">
        <f aca="false">IF($V679&lt;&gt;1,"",IF($P679="","No invoice date",IF($P679&lt;=30,"0–30 days",IF($P679&lt;=60,"31–60 days",IF($P679&lt;=90,"61–90 days","Over 90 days")))))</f>
        <v/>
      </c>
      <c r="R679" s="80" t="str">
        <f aca="false">IF($V679=1,ROW(),"")</f>
        <v/>
      </c>
      <c r="S679" s="80" t="str">
        <f aca="false">IF(OR($A679&lt;&gt;"",$E679&lt;&gt;""),IF(TRIM($D679)="","Buyer not noted",TRIM($D679)),"")</f>
        <v/>
      </c>
      <c r="T679" s="80" t="n">
        <f aca="false">IF(AND($V679=1,ISNUMBER($M679)),$M679,0)</f>
        <v>0</v>
      </c>
      <c r="U679" s="80" t="str">
        <f aca="false">IF($V679=1,IF(COUNTIFS($S$7:$S679,$S679,$V$7:$V679,1)=1,SUMIFS($T$7:$T$1006,$S$7:$S$1006,$S679)-ROW()/1000000000,""),"")</f>
        <v/>
      </c>
      <c r="V679" s="80" t="n">
        <f aca="false">IF(OR($O679="On hand",$O679="Advance received",$O679="Part realised",$O679="Amount missing"),1,0)</f>
        <v>0</v>
      </c>
      <c r="W679" s="80" t="str">
        <f aca="false">IF(AND($V679=1,N($F679)&gt;0),ROW(),"")</f>
        <v/>
      </c>
      <c r="X679" s="80" t="n">
        <f aca="false">IF(AND(OR($A679&lt;&gt;"",$E679&lt;&gt;""),$O679&lt;&gt;"Cancelled",ISNUMBER($E679),N($F679)+N($H679)&gt;$E679+0.005),1,0)</f>
        <v>0</v>
      </c>
      <c r="Y679" s="80" t="n">
        <f aca="false">IF(AND(OR($A679&lt;&gt;"",$E679&lt;&gt;""),OR($A679="",$E679="")),1,0)</f>
        <v>0</v>
      </c>
      <c r="Z679" s="80" t="n">
        <f aca="false">IF(AND($A679&lt;&gt;"",COUNTIF($A$7:$A$1006,$A679)&gt;1),1,0)</f>
        <v>0</v>
      </c>
    </row>
    <row r="680" customFormat="false" ht="15" hidden="false" customHeight="false" outlineLevel="0" collapsed="false">
      <c r="A680" s="71"/>
      <c r="B680" s="72"/>
      <c r="C680" s="73"/>
      <c r="D680" s="73"/>
      <c r="E680" s="74"/>
      <c r="F680" s="74"/>
      <c r="G680" s="72"/>
      <c r="H680" s="74"/>
      <c r="I680" s="72"/>
      <c r="J680" s="73"/>
      <c r="K680" s="73"/>
      <c r="L680" s="75" t="str">
        <f aca="false">IF(OR($A680&lt;&gt;"",$E680&lt;&gt;""),N($F680)+N($H680),"")</f>
        <v/>
      </c>
      <c r="M680" s="76" t="str">
        <f aca="false">IF(OR($O680="",$O680="Cancelled",$O680="Amount missing"),"",IF($O680="Realised",0,$E680-N($F680)-N($H680)))</f>
        <v/>
      </c>
      <c r="N680" s="77" t="str">
        <f aca="false">IF(OR($M680="",FX=""),"",$M680*FX)</f>
        <v/>
      </c>
      <c r="O680" s="78" t="str">
        <f aca="false">IF(NOT(OR($A680&lt;&gt;"",$E680&lt;&gt;"")),"",IF($J680="Cancelled","Cancelled",IF($E680="","Amount missing",IF(OR($J680="Settled",$E680-N($F680)-N($H680)&lt;=0.005),"Realised",IF(N($H680)&gt;0,"Part realised",IF(N($F680)&gt;0,"Advance received","On hand"))))))</f>
        <v/>
      </c>
      <c r="P680" s="79" t="str">
        <f aca="false">IF(AND($V680=1,ISNUMBER($B680)),AsAt-$B680,"")</f>
        <v/>
      </c>
      <c r="Q680" s="78" t="str">
        <f aca="false">IF($V680&lt;&gt;1,"",IF($P680="","No invoice date",IF($P680&lt;=30,"0–30 days",IF($P680&lt;=60,"31–60 days",IF($P680&lt;=90,"61–90 days","Over 90 days")))))</f>
        <v/>
      </c>
      <c r="R680" s="80" t="str">
        <f aca="false">IF($V680=1,ROW(),"")</f>
        <v/>
      </c>
      <c r="S680" s="80" t="str">
        <f aca="false">IF(OR($A680&lt;&gt;"",$E680&lt;&gt;""),IF(TRIM($D680)="","Buyer not noted",TRIM($D680)),"")</f>
        <v/>
      </c>
      <c r="T680" s="80" t="n">
        <f aca="false">IF(AND($V680=1,ISNUMBER($M680)),$M680,0)</f>
        <v>0</v>
      </c>
      <c r="U680" s="80" t="str">
        <f aca="false">IF($V680=1,IF(COUNTIFS($S$7:$S680,$S680,$V$7:$V680,1)=1,SUMIFS($T$7:$T$1006,$S$7:$S$1006,$S680)-ROW()/1000000000,""),"")</f>
        <v/>
      </c>
      <c r="V680" s="80" t="n">
        <f aca="false">IF(OR($O680="On hand",$O680="Advance received",$O680="Part realised",$O680="Amount missing"),1,0)</f>
        <v>0</v>
      </c>
      <c r="W680" s="80" t="str">
        <f aca="false">IF(AND($V680=1,N($F680)&gt;0),ROW(),"")</f>
        <v/>
      </c>
      <c r="X680" s="80" t="n">
        <f aca="false">IF(AND(OR($A680&lt;&gt;"",$E680&lt;&gt;""),$O680&lt;&gt;"Cancelled",ISNUMBER($E680),N($F680)+N($H680)&gt;$E680+0.005),1,0)</f>
        <v>0</v>
      </c>
      <c r="Y680" s="80" t="n">
        <f aca="false">IF(AND(OR($A680&lt;&gt;"",$E680&lt;&gt;""),OR($A680="",$E680="")),1,0)</f>
        <v>0</v>
      </c>
      <c r="Z680" s="80" t="n">
        <f aca="false">IF(AND($A680&lt;&gt;"",COUNTIF($A$7:$A$1006,$A680)&gt;1),1,0)</f>
        <v>0</v>
      </c>
    </row>
    <row r="681" customFormat="false" ht="15" hidden="false" customHeight="false" outlineLevel="0" collapsed="false">
      <c r="A681" s="71"/>
      <c r="B681" s="72"/>
      <c r="C681" s="73"/>
      <c r="D681" s="73"/>
      <c r="E681" s="74"/>
      <c r="F681" s="74"/>
      <c r="G681" s="72"/>
      <c r="H681" s="74"/>
      <c r="I681" s="72"/>
      <c r="J681" s="73"/>
      <c r="K681" s="73"/>
      <c r="L681" s="75" t="str">
        <f aca="false">IF(OR($A681&lt;&gt;"",$E681&lt;&gt;""),N($F681)+N($H681),"")</f>
        <v/>
      </c>
      <c r="M681" s="76" t="str">
        <f aca="false">IF(OR($O681="",$O681="Cancelled",$O681="Amount missing"),"",IF($O681="Realised",0,$E681-N($F681)-N($H681)))</f>
        <v/>
      </c>
      <c r="N681" s="77" t="str">
        <f aca="false">IF(OR($M681="",FX=""),"",$M681*FX)</f>
        <v/>
      </c>
      <c r="O681" s="78" t="str">
        <f aca="false">IF(NOT(OR($A681&lt;&gt;"",$E681&lt;&gt;"")),"",IF($J681="Cancelled","Cancelled",IF($E681="","Amount missing",IF(OR($J681="Settled",$E681-N($F681)-N($H681)&lt;=0.005),"Realised",IF(N($H681)&gt;0,"Part realised",IF(N($F681)&gt;0,"Advance received","On hand"))))))</f>
        <v/>
      </c>
      <c r="P681" s="79" t="str">
        <f aca="false">IF(AND($V681=1,ISNUMBER($B681)),AsAt-$B681,"")</f>
        <v/>
      </c>
      <c r="Q681" s="78" t="str">
        <f aca="false">IF($V681&lt;&gt;1,"",IF($P681="","No invoice date",IF($P681&lt;=30,"0–30 days",IF($P681&lt;=60,"31–60 days",IF($P681&lt;=90,"61–90 days","Over 90 days")))))</f>
        <v/>
      </c>
      <c r="R681" s="80" t="str">
        <f aca="false">IF($V681=1,ROW(),"")</f>
        <v/>
      </c>
      <c r="S681" s="80" t="str">
        <f aca="false">IF(OR($A681&lt;&gt;"",$E681&lt;&gt;""),IF(TRIM($D681)="","Buyer not noted",TRIM($D681)),"")</f>
        <v/>
      </c>
      <c r="T681" s="80" t="n">
        <f aca="false">IF(AND($V681=1,ISNUMBER($M681)),$M681,0)</f>
        <v>0</v>
      </c>
      <c r="U681" s="80" t="str">
        <f aca="false">IF($V681=1,IF(COUNTIFS($S$7:$S681,$S681,$V$7:$V681,1)=1,SUMIFS($T$7:$T$1006,$S$7:$S$1006,$S681)-ROW()/1000000000,""),"")</f>
        <v/>
      </c>
      <c r="V681" s="80" t="n">
        <f aca="false">IF(OR($O681="On hand",$O681="Advance received",$O681="Part realised",$O681="Amount missing"),1,0)</f>
        <v>0</v>
      </c>
      <c r="W681" s="80" t="str">
        <f aca="false">IF(AND($V681=1,N($F681)&gt;0),ROW(),"")</f>
        <v/>
      </c>
      <c r="X681" s="80" t="n">
        <f aca="false">IF(AND(OR($A681&lt;&gt;"",$E681&lt;&gt;""),$O681&lt;&gt;"Cancelled",ISNUMBER($E681),N($F681)+N($H681)&gt;$E681+0.005),1,0)</f>
        <v>0</v>
      </c>
      <c r="Y681" s="80" t="n">
        <f aca="false">IF(AND(OR($A681&lt;&gt;"",$E681&lt;&gt;""),OR($A681="",$E681="")),1,0)</f>
        <v>0</v>
      </c>
      <c r="Z681" s="80" t="n">
        <f aca="false">IF(AND($A681&lt;&gt;"",COUNTIF($A$7:$A$1006,$A681)&gt;1),1,0)</f>
        <v>0</v>
      </c>
    </row>
    <row r="682" customFormat="false" ht="15" hidden="false" customHeight="false" outlineLevel="0" collapsed="false">
      <c r="A682" s="71"/>
      <c r="B682" s="72"/>
      <c r="C682" s="73"/>
      <c r="D682" s="73"/>
      <c r="E682" s="74"/>
      <c r="F682" s="74"/>
      <c r="G682" s="72"/>
      <c r="H682" s="74"/>
      <c r="I682" s="72"/>
      <c r="J682" s="73"/>
      <c r="K682" s="73"/>
      <c r="L682" s="75" t="str">
        <f aca="false">IF(OR($A682&lt;&gt;"",$E682&lt;&gt;""),N($F682)+N($H682),"")</f>
        <v/>
      </c>
      <c r="M682" s="76" t="str">
        <f aca="false">IF(OR($O682="",$O682="Cancelled",$O682="Amount missing"),"",IF($O682="Realised",0,$E682-N($F682)-N($H682)))</f>
        <v/>
      </c>
      <c r="N682" s="77" t="str">
        <f aca="false">IF(OR($M682="",FX=""),"",$M682*FX)</f>
        <v/>
      </c>
      <c r="O682" s="78" t="str">
        <f aca="false">IF(NOT(OR($A682&lt;&gt;"",$E682&lt;&gt;"")),"",IF($J682="Cancelled","Cancelled",IF($E682="","Amount missing",IF(OR($J682="Settled",$E682-N($F682)-N($H682)&lt;=0.005),"Realised",IF(N($H682)&gt;0,"Part realised",IF(N($F682)&gt;0,"Advance received","On hand"))))))</f>
        <v/>
      </c>
      <c r="P682" s="79" t="str">
        <f aca="false">IF(AND($V682=1,ISNUMBER($B682)),AsAt-$B682,"")</f>
        <v/>
      </c>
      <c r="Q682" s="78" t="str">
        <f aca="false">IF($V682&lt;&gt;1,"",IF($P682="","No invoice date",IF($P682&lt;=30,"0–30 days",IF($P682&lt;=60,"31–60 days",IF($P682&lt;=90,"61–90 days","Over 90 days")))))</f>
        <v/>
      </c>
      <c r="R682" s="80" t="str">
        <f aca="false">IF($V682=1,ROW(),"")</f>
        <v/>
      </c>
      <c r="S682" s="80" t="str">
        <f aca="false">IF(OR($A682&lt;&gt;"",$E682&lt;&gt;""),IF(TRIM($D682)="","Buyer not noted",TRIM($D682)),"")</f>
        <v/>
      </c>
      <c r="T682" s="80" t="n">
        <f aca="false">IF(AND($V682=1,ISNUMBER($M682)),$M682,0)</f>
        <v>0</v>
      </c>
      <c r="U682" s="80" t="str">
        <f aca="false">IF($V682=1,IF(COUNTIFS($S$7:$S682,$S682,$V$7:$V682,1)=1,SUMIFS($T$7:$T$1006,$S$7:$S$1006,$S682)-ROW()/1000000000,""),"")</f>
        <v/>
      </c>
      <c r="V682" s="80" t="n">
        <f aca="false">IF(OR($O682="On hand",$O682="Advance received",$O682="Part realised",$O682="Amount missing"),1,0)</f>
        <v>0</v>
      </c>
      <c r="W682" s="80" t="str">
        <f aca="false">IF(AND($V682=1,N($F682)&gt;0),ROW(),"")</f>
        <v/>
      </c>
      <c r="X682" s="80" t="n">
        <f aca="false">IF(AND(OR($A682&lt;&gt;"",$E682&lt;&gt;""),$O682&lt;&gt;"Cancelled",ISNUMBER($E682),N($F682)+N($H682)&gt;$E682+0.005),1,0)</f>
        <v>0</v>
      </c>
      <c r="Y682" s="80" t="n">
        <f aca="false">IF(AND(OR($A682&lt;&gt;"",$E682&lt;&gt;""),OR($A682="",$E682="")),1,0)</f>
        <v>0</v>
      </c>
      <c r="Z682" s="80" t="n">
        <f aca="false">IF(AND($A682&lt;&gt;"",COUNTIF($A$7:$A$1006,$A682)&gt;1),1,0)</f>
        <v>0</v>
      </c>
    </row>
    <row r="683" customFormat="false" ht="15" hidden="false" customHeight="false" outlineLevel="0" collapsed="false">
      <c r="A683" s="71"/>
      <c r="B683" s="72"/>
      <c r="C683" s="73"/>
      <c r="D683" s="73"/>
      <c r="E683" s="74"/>
      <c r="F683" s="74"/>
      <c r="G683" s="72"/>
      <c r="H683" s="74"/>
      <c r="I683" s="72"/>
      <c r="J683" s="73"/>
      <c r="K683" s="73"/>
      <c r="L683" s="75" t="str">
        <f aca="false">IF(OR($A683&lt;&gt;"",$E683&lt;&gt;""),N($F683)+N($H683),"")</f>
        <v/>
      </c>
      <c r="M683" s="76" t="str">
        <f aca="false">IF(OR($O683="",$O683="Cancelled",$O683="Amount missing"),"",IF($O683="Realised",0,$E683-N($F683)-N($H683)))</f>
        <v/>
      </c>
      <c r="N683" s="77" t="str">
        <f aca="false">IF(OR($M683="",FX=""),"",$M683*FX)</f>
        <v/>
      </c>
      <c r="O683" s="78" t="str">
        <f aca="false">IF(NOT(OR($A683&lt;&gt;"",$E683&lt;&gt;"")),"",IF($J683="Cancelled","Cancelled",IF($E683="","Amount missing",IF(OR($J683="Settled",$E683-N($F683)-N($H683)&lt;=0.005),"Realised",IF(N($H683)&gt;0,"Part realised",IF(N($F683)&gt;0,"Advance received","On hand"))))))</f>
        <v/>
      </c>
      <c r="P683" s="79" t="str">
        <f aca="false">IF(AND($V683=1,ISNUMBER($B683)),AsAt-$B683,"")</f>
        <v/>
      </c>
      <c r="Q683" s="78" t="str">
        <f aca="false">IF($V683&lt;&gt;1,"",IF($P683="","No invoice date",IF($P683&lt;=30,"0–30 days",IF($P683&lt;=60,"31–60 days",IF($P683&lt;=90,"61–90 days","Over 90 days")))))</f>
        <v/>
      </c>
      <c r="R683" s="80" t="str">
        <f aca="false">IF($V683=1,ROW(),"")</f>
        <v/>
      </c>
      <c r="S683" s="80" t="str">
        <f aca="false">IF(OR($A683&lt;&gt;"",$E683&lt;&gt;""),IF(TRIM($D683)="","Buyer not noted",TRIM($D683)),"")</f>
        <v/>
      </c>
      <c r="T683" s="80" t="n">
        <f aca="false">IF(AND($V683=1,ISNUMBER($M683)),$M683,0)</f>
        <v>0</v>
      </c>
      <c r="U683" s="80" t="str">
        <f aca="false">IF($V683=1,IF(COUNTIFS($S$7:$S683,$S683,$V$7:$V683,1)=1,SUMIFS($T$7:$T$1006,$S$7:$S$1006,$S683)-ROW()/1000000000,""),"")</f>
        <v/>
      </c>
      <c r="V683" s="80" t="n">
        <f aca="false">IF(OR($O683="On hand",$O683="Advance received",$O683="Part realised",$O683="Amount missing"),1,0)</f>
        <v>0</v>
      </c>
      <c r="W683" s="80" t="str">
        <f aca="false">IF(AND($V683=1,N($F683)&gt;0),ROW(),"")</f>
        <v/>
      </c>
      <c r="X683" s="80" t="n">
        <f aca="false">IF(AND(OR($A683&lt;&gt;"",$E683&lt;&gt;""),$O683&lt;&gt;"Cancelled",ISNUMBER($E683),N($F683)+N($H683)&gt;$E683+0.005),1,0)</f>
        <v>0</v>
      </c>
      <c r="Y683" s="80" t="n">
        <f aca="false">IF(AND(OR($A683&lt;&gt;"",$E683&lt;&gt;""),OR($A683="",$E683="")),1,0)</f>
        <v>0</v>
      </c>
      <c r="Z683" s="80" t="n">
        <f aca="false">IF(AND($A683&lt;&gt;"",COUNTIF($A$7:$A$1006,$A683)&gt;1),1,0)</f>
        <v>0</v>
      </c>
    </row>
    <row r="684" customFormat="false" ht="15" hidden="false" customHeight="false" outlineLevel="0" collapsed="false">
      <c r="A684" s="71"/>
      <c r="B684" s="72"/>
      <c r="C684" s="73"/>
      <c r="D684" s="73"/>
      <c r="E684" s="74"/>
      <c r="F684" s="74"/>
      <c r="G684" s="72"/>
      <c r="H684" s="74"/>
      <c r="I684" s="72"/>
      <c r="J684" s="73"/>
      <c r="K684" s="73"/>
      <c r="L684" s="75" t="str">
        <f aca="false">IF(OR($A684&lt;&gt;"",$E684&lt;&gt;""),N($F684)+N($H684),"")</f>
        <v/>
      </c>
      <c r="M684" s="76" t="str">
        <f aca="false">IF(OR($O684="",$O684="Cancelled",$O684="Amount missing"),"",IF($O684="Realised",0,$E684-N($F684)-N($H684)))</f>
        <v/>
      </c>
      <c r="N684" s="77" t="str">
        <f aca="false">IF(OR($M684="",FX=""),"",$M684*FX)</f>
        <v/>
      </c>
      <c r="O684" s="78" t="str">
        <f aca="false">IF(NOT(OR($A684&lt;&gt;"",$E684&lt;&gt;"")),"",IF($J684="Cancelled","Cancelled",IF($E684="","Amount missing",IF(OR($J684="Settled",$E684-N($F684)-N($H684)&lt;=0.005),"Realised",IF(N($H684)&gt;0,"Part realised",IF(N($F684)&gt;0,"Advance received","On hand"))))))</f>
        <v/>
      </c>
      <c r="P684" s="79" t="str">
        <f aca="false">IF(AND($V684=1,ISNUMBER($B684)),AsAt-$B684,"")</f>
        <v/>
      </c>
      <c r="Q684" s="78" t="str">
        <f aca="false">IF($V684&lt;&gt;1,"",IF($P684="","No invoice date",IF($P684&lt;=30,"0–30 days",IF($P684&lt;=60,"31–60 days",IF($P684&lt;=90,"61–90 days","Over 90 days")))))</f>
        <v/>
      </c>
      <c r="R684" s="80" t="str">
        <f aca="false">IF($V684=1,ROW(),"")</f>
        <v/>
      </c>
      <c r="S684" s="80" t="str">
        <f aca="false">IF(OR($A684&lt;&gt;"",$E684&lt;&gt;""),IF(TRIM($D684)="","Buyer not noted",TRIM($D684)),"")</f>
        <v/>
      </c>
      <c r="T684" s="80" t="n">
        <f aca="false">IF(AND($V684=1,ISNUMBER($M684)),$M684,0)</f>
        <v>0</v>
      </c>
      <c r="U684" s="80" t="str">
        <f aca="false">IF($V684=1,IF(COUNTIFS($S$7:$S684,$S684,$V$7:$V684,1)=1,SUMIFS($T$7:$T$1006,$S$7:$S$1006,$S684)-ROW()/1000000000,""),"")</f>
        <v/>
      </c>
      <c r="V684" s="80" t="n">
        <f aca="false">IF(OR($O684="On hand",$O684="Advance received",$O684="Part realised",$O684="Amount missing"),1,0)</f>
        <v>0</v>
      </c>
      <c r="W684" s="80" t="str">
        <f aca="false">IF(AND($V684=1,N($F684)&gt;0),ROW(),"")</f>
        <v/>
      </c>
      <c r="X684" s="80" t="n">
        <f aca="false">IF(AND(OR($A684&lt;&gt;"",$E684&lt;&gt;""),$O684&lt;&gt;"Cancelled",ISNUMBER($E684),N($F684)+N($H684)&gt;$E684+0.005),1,0)</f>
        <v>0</v>
      </c>
      <c r="Y684" s="80" t="n">
        <f aca="false">IF(AND(OR($A684&lt;&gt;"",$E684&lt;&gt;""),OR($A684="",$E684="")),1,0)</f>
        <v>0</v>
      </c>
      <c r="Z684" s="80" t="n">
        <f aca="false">IF(AND($A684&lt;&gt;"",COUNTIF($A$7:$A$1006,$A684)&gt;1),1,0)</f>
        <v>0</v>
      </c>
    </row>
    <row r="685" customFormat="false" ht="15" hidden="false" customHeight="false" outlineLevel="0" collapsed="false">
      <c r="A685" s="71"/>
      <c r="B685" s="72"/>
      <c r="C685" s="73"/>
      <c r="D685" s="73"/>
      <c r="E685" s="74"/>
      <c r="F685" s="74"/>
      <c r="G685" s="72"/>
      <c r="H685" s="74"/>
      <c r="I685" s="72"/>
      <c r="J685" s="73"/>
      <c r="K685" s="73"/>
      <c r="L685" s="75" t="str">
        <f aca="false">IF(OR($A685&lt;&gt;"",$E685&lt;&gt;""),N($F685)+N($H685),"")</f>
        <v/>
      </c>
      <c r="M685" s="76" t="str">
        <f aca="false">IF(OR($O685="",$O685="Cancelled",$O685="Amount missing"),"",IF($O685="Realised",0,$E685-N($F685)-N($H685)))</f>
        <v/>
      </c>
      <c r="N685" s="77" t="str">
        <f aca="false">IF(OR($M685="",FX=""),"",$M685*FX)</f>
        <v/>
      </c>
      <c r="O685" s="78" t="str">
        <f aca="false">IF(NOT(OR($A685&lt;&gt;"",$E685&lt;&gt;"")),"",IF($J685="Cancelled","Cancelled",IF($E685="","Amount missing",IF(OR($J685="Settled",$E685-N($F685)-N($H685)&lt;=0.005),"Realised",IF(N($H685)&gt;0,"Part realised",IF(N($F685)&gt;0,"Advance received","On hand"))))))</f>
        <v/>
      </c>
      <c r="P685" s="79" t="str">
        <f aca="false">IF(AND($V685=1,ISNUMBER($B685)),AsAt-$B685,"")</f>
        <v/>
      </c>
      <c r="Q685" s="78" t="str">
        <f aca="false">IF($V685&lt;&gt;1,"",IF($P685="","No invoice date",IF($P685&lt;=30,"0–30 days",IF($P685&lt;=60,"31–60 days",IF($P685&lt;=90,"61–90 days","Over 90 days")))))</f>
        <v/>
      </c>
      <c r="R685" s="80" t="str">
        <f aca="false">IF($V685=1,ROW(),"")</f>
        <v/>
      </c>
      <c r="S685" s="80" t="str">
        <f aca="false">IF(OR($A685&lt;&gt;"",$E685&lt;&gt;""),IF(TRIM($D685)="","Buyer not noted",TRIM($D685)),"")</f>
        <v/>
      </c>
      <c r="T685" s="80" t="n">
        <f aca="false">IF(AND($V685=1,ISNUMBER($M685)),$M685,0)</f>
        <v>0</v>
      </c>
      <c r="U685" s="80" t="str">
        <f aca="false">IF($V685=1,IF(COUNTIFS($S$7:$S685,$S685,$V$7:$V685,1)=1,SUMIFS($T$7:$T$1006,$S$7:$S$1006,$S685)-ROW()/1000000000,""),"")</f>
        <v/>
      </c>
      <c r="V685" s="80" t="n">
        <f aca="false">IF(OR($O685="On hand",$O685="Advance received",$O685="Part realised",$O685="Amount missing"),1,0)</f>
        <v>0</v>
      </c>
      <c r="W685" s="80" t="str">
        <f aca="false">IF(AND($V685=1,N($F685)&gt;0),ROW(),"")</f>
        <v/>
      </c>
      <c r="X685" s="80" t="n">
        <f aca="false">IF(AND(OR($A685&lt;&gt;"",$E685&lt;&gt;""),$O685&lt;&gt;"Cancelled",ISNUMBER($E685),N($F685)+N($H685)&gt;$E685+0.005),1,0)</f>
        <v>0</v>
      </c>
      <c r="Y685" s="80" t="n">
        <f aca="false">IF(AND(OR($A685&lt;&gt;"",$E685&lt;&gt;""),OR($A685="",$E685="")),1,0)</f>
        <v>0</v>
      </c>
      <c r="Z685" s="80" t="n">
        <f aca="false">IF(AND($A685&lt;&gt;"",COUNTIF($A$7:$A$1006,$A685)&gt;1),1,0)</f>
        <v>0</v>
      </c>
    </row>
    <row r="686" customFormat="false" ht="15" hidden="false" customHeight="false" outlineLevel="0" collapsed="false">
      <c r="A686" s="71"/>
      <c r="B686" s="72"/>
      <c r="C686" s="73"/>
      <c r="D686" s="73"/>
      <c r="E686" s="74"/>
      <c r="F686" s="74"/>
      <c r="G686" s="72"/>
      <c r="H686" s="74"/>
      <c r="I686" s="72"/>
      <c r="J686" s="73"/>
      <c r="K686" s="73"/>
      <c r="L686" s="75" t="str">
        <f aca="false">IF(OR($A686&lt;&gt;"",$E686&lt;&gt;""),N($F686)+N($H686),"")</f>
        <v/>
      </c>
      <c r="M686" s="76" t="str">
        <f aca="false">IF(OR($O686="",$O686="Cancelled",$O686="Amount missing"),"",IF($O686="Realised",0,$E686-N($F686)-N($H686)))</f>
        <v/>
      </c>
      <c r="N686" s="77" t="str">
        <f aca="false">IF(OR($M686="",FX=""),"",$M686*FX)</f>
        <v/>
      </c>
      <c r="O686" s="78" t="str">
        <f aca="false">IF(NOT(OR($A686&lt;&gt;"",$E686&lt;&gt;"")),"",IF($J686="Cancelled","Cancelled",IF($E686="","Amount missing",IF(OR($J686="Settled",$E686-N($F686)-N($H686)&lt;=0.005),"Realised",IF(N($H686)&gt;0,"Part realised",IF(N($F686)&gt;0,"Advance received","On hand"))))))</f>
        <v/>
      </c>
      <c r="P686" s="79" t="str">
        <f aca="false">IF(AND($V686=1,ISNUMBER($B686)),AsAt-$B686,"")</f>
        <v/>
      </c>
      <c r="Q686" s="78" t="str">
        <f aca="false">IF($V686&lt;&gt;1,"",IF($P686="","No invoice date",IF($P686&lt;=30,"0–30 days",IF($P686&lt;=60,"31–60 days",IF($P686&lt;=90,"61–90 days","Over 90 days")))))</f>
        <v/>
      </c>
      <c r="R686" s="80" t="str">
        <f aca="false">IF($V686=1,ROW(),"")</f>
        <v/>
      </c>
      <c r="S686" s="80" t="str">
        <f aca="false">IF(OR($A686&lt;&gt;"",$E686&lt;&gt;""),IF(TRIM($D686)="","Buyer not noted",TRIM($D686)),"")</f>
        <v/>
      </c>
      <c r="T686" s="80" t="n">
        <f aca="false">IF(AND($V686=1,ISNUMBER($M686)),$M686,0)</f>
        <v>0</v>
      </c>
      <c r="U686" s="80" t="str">
        <f aca="false">IF($V686=1,IF(COUNTIFS($S$7:$S686,$S686,$V$7:$V686,1)=1,SUMIFS($T$7:$T$1006,$S$7:$S$1006,$S686)-ROW()/1000000000,""),"")</f>
        <v/>
      </c>
      <c r="V686" s="80" t="n">
        <f aca="false">IF(OR($O686="On hand",$O686="Advance received",$O686="Part realised",$O686="Amount missing"),1,0)</f>
        <v>0</v>
      </c>
      <c r="W686" s="80" t="str">
        <f aca="false">IF(AND($V686=1,N($F686)&gt;0),ROW(),"")</f>
        <v/>
      </c>
      <c r="X686" s="80" t="n">
        <f aca="false">IF(AND(OR($A686&lt;&gt;"",$E686&lt;&gt;""),$O686&lt;&gt;"Cancelled",ISNUMBER($E686),N($F686)+N($H686)&gt;$E686+0.005),1,0)</f>
        <v>0</v>
      </c>
      <c r="Y686" s="80" t="n">
        <f aca="false">IF(AND(OR($A686&lt;&gt;"",$E686&lt;&gt;""),OR($A686="",$E686="")),1,0)</f>
        <v>0</v>
      </c>
      <c r="Z686" s="80" t="n">
        <f aca="false">IF(AND($A686&lt;&gt;"",COUNTIF($A$7:$A$1006,$A686)&gt;1),1,0)</f>
        <v>0</v>
      </c>
    </row>
    <row r="687" customFormat="false" ht="15" hidden="false" customHeight="false" outlineLevel="0" collapsed="false">
      <c r="A687" s="71"/>
      <c r="B687" s="72"/>
      <c r="C687" s="73"/>
      <c r="D687" s="73"/>
      <c r="E687" s="74"/>
      <c r="F687" s="74"/>
      <c r="G687" s="72"/>
      <c r="H687" s="74"/>
      <c r="I687" s="72"/>
      <c r="J687" s="73"/>
      <c r="K687" s="73"/>
      <c r="L687" s="75" t="str">
        <f aca="false">IF(OR($A687&lt;&gt;"",$E687&lt;&gt;""),N($F687)+N($H687),"")</f>
        <v/>
      </c>
      <c r="M687" s="76" t="str">
        <f aca="false">IF(OR($O687="",$O687="Cancelled",$O687="Amount missing"),"",IF($O687="Realised",0,$E687-N($F687)-N($H687)))</f>
        <v/>
      </c>
      <c r="N687" s="77" t="str">
        <f aca="false">IF(OR($M687="",FX=""),"",$M687*FX)</f>
        <v/>
      </c>
      <c r="O687" s="78" t="str">
        <f aca="false">IF(NOT(OR($A687&lt;&gt;"",$E687&lt;&gt;"")),"",IF($J687="Cancelled","Cancelled",IF($E687="","Amount missing",IF(OR($J687="Settled",$E687-N($F687)-N($H687)&lt;=0.005),"Realised",IF(N($H687)&gt;0,"Part realised",IF(N($F687)&gt;0,"Advance received","On hand"))))))</f>
        <v/>
      </c>
      <c r="P687" s="79" t="str">
        <f aca="false">IF(AND($V687=1,ISNUMBER($B687)),AsAt-$B687,"")</f>
        <v/>
      </c>
      <c r="Q687" s="78" t="str">
        <f aca="false">IF($V687&lt;&gt;1,"",IF($P687="","No invoice date",IF($P687&lt;=30,"0–30 days",IF($P687&lt;=60,"31–60 days",IF($P687&lt;=90,"61–90 days","Over 90 days")))))</f>
        <v/>
      </c>
      <c r="R687" s="80" t="str">
        <f aca="false">IF($V687=1,ROW(),"")</f>
        <v/>
      </c>
      <c r="S687" s="80" t="str">
        <f aca="false">IF(OR($A687&lt;&gt;"",$E687&lt;&gt;""),IF(TRIM($D687)="","Buyer not noted",TRIM($D687)),"")</f>
        <v/>
      </c>
      <c r="T687" s="80" t="n">
        <f aca="false">IF(AND($V687=1,ISNUMBER($M687)),$M687,0)</f>
        <v>0</v>
      </c>
      <c r="U687" s="80" t="str">
        <f aca="false">IF($V687=1,IF(COUNTIFS($S$7:$S687,$S687,$V$7:$V687,1)=1,SUMIFS($T$7:$T$1006,$S$7:$S$1006,$S687)-ROW()/1000000000,""),"")</f>
        <v/>
      </c>
      <c r="V687" s="80" t="n">
        <f aca="false">IF(OR($O687="On hand",$O687="Advance received",$O687="Part realised",$O687="Amount missing"),1,0)</f>
        <v>0</v>
      </c>
      <c r="W687" s="80" t="str">
        <f aca="false">IF(AND($V687=1,N($F687)&gt;0),ROW(),"")</f>
        <v/>
      </c>
      <c r="X687" s="80" t="n">
        <f aca="false">IF(AND(OR($A687&lt;&gt;"",$E687&lt;&gt;""),$O687&lt;&gt;"Cancelled",ISNUMBER($E687),N($F687)+N($H687)&gt;$E687+0.005),1,0)</f>
        <v>0</v>
      </c>
      <c r="Y687" s="80" t="n">
        <f aca="false">IF(AND(OR($A687&lt;&gt;"",$E687&lt;&gt;""),OR($A687="",$E687="")),1,0)</f>
        <v>0</v>
      </c>
      <c r="Z687" s="80" t="n">
        <f aca="false">IF(AND($A687&lt;&gt;"",COUNTIF($A$7:$A$1006,$A687)&gt;1),1,0)</f>
        <v>0</v>
      </c>
    </row>
    <row r="688" customFormat="false" ht="15" hidden="false" customHeight="false" outlineLevel="0" collapsed="false">
      <c r="A688" s="71"/>
      <c r="B688" s="72"/>
      <c r="C688" s="73"/>
      <c r="D688" s="73"/>
      <c r="E688" s="74"/>
      <c r="F688" s="74"/>
      <c r="G688" s="72"/>
      <c r="H688" s="74"/>
      <c r="I688" s="72"/>
      <c r="J688" s="73"/>
      <c r="K688" s="73"/>
      <c r="L688" s="75" t="str">
        <f aca="false">IF(OR($A688&lt;&gt;"",$E688&lt;&gt;""),N($F688)+N($H688),"")</f>
        <v/>
      </c>
      <c r="M688" s="76" t="str">
        <f aca="false">IF(OR($O688="",$O688="Cancelled",$O688="Amount missing"),"",IF($O688="Realised",0,$E688-N($F688)-N($H688)))</f>
        <v/>
      </c>
      <c r="N688" s="77" t="str">
        <f aca="false">IF(OR($M688="",FX=""),"",$M688*FX)</f>
        <v/>
      </c>
      <c r="O688" s="78" t="str">
        <f aca="false">IF(NOT(OR($A688&lt;&gt;"",$E688&lt;&gt;"")),"",IF($J688="Cancelled","Cancelled",IF($E688="","Amount missing",IF(OR($J688="Settled",$E688-N($F688)-N($H688)&lt;=0.005),"Realised",IF(N($H688)&gt;0,"Part realised",IF(N($F688)&gt;0,"Advance received","On hand"))))))</f>
        <v/>
      </c>
      <c r="P688" s="79" t="str">
        <f aca="false">IF(AND($V688=1,ISNUMBER($B688)),AsAt-$B688,"")</f>
        <v/>
      </c>
      <c r="Q688" s="78" t="str">
        <f aca="false">IF($V688&lt;&gt;1,"",IF($P688="","No invoice date",IF($P688&lt;=30,"0–30 days",IF($P688&lt;=60,"31–60 days",IF($P688&lt;=90,"61–90 days","Over 90 days")))))</f>
        <v/>
      </c>
      <c r="R688" s="80" t="str">
        <f aca="false">IF($V688=1,ROW(),"")</f>
        <v/>
      </c>
      <c r="S688" s="80" t="str">
        <f aca="false">IF(OR($A688&lt;&gt;"",$E688&lt;&gt;""),IF(TRIM($D688)="","Buyer not noted",TRIM($D688)),"")</f>
        <v/>
      </c>
      <c r="T688" s="80" t="n">
        <f aca="false">IF(AND($V688=1,ISNUMBER($M688)),$M688,0)</f>
        <v>0</v>
      </c>
      <c r="U688" s="80" t="str">
        <f aca="false">IF($V688=1,IF(COUNTIFS($S$7:$S688,$S688,$V$7:$V688,1)=1,SUMIFS($T$7:$T$1006,$S$7:$S$1006,$S688)-ROW()/1000000000,""),"")</f>
        <v/>
      </c>
      <c r="V688" s="80" t="n">
        <f aca="false">IF(OR($O688="On hand",$O688="Advance received",$O688="Part realised",$O688="Amount missing"),1,0)</f>
        <v>0</v>
      </c>
      <c r="W688" s="80" t="str">
        <f aca="false">IF(AND($V688=1,N($F688)&gt;0),ROW(),"")</f>
        <v/>
      </c>
      <c r="X688" s="80" t="n">
        <f aca="false">IF(AND(OR($A688&lt;&gt;"",$E688&lt;&gt;""),$O688&lt;&gt;"Cancelled",ISNUMBER($E688),N($F688)+N($H688)&gt;$E688+0.005),1,0)</f>
        <v>0</v>
      </c>
      <c r="Y688" s="80" t="n">
        <f aca="false">IF(AND(OR($A688&lt;&gt;"",$E688&lt;&gt;""),OR($A688="",$E688="")),1,0)</f>
        <v>0</v>
      </c>
      <c r="Z688" s="80" t="n">
        <f aca="false">IF(AND($A688&lt;&gt;"",COUNTIF($A$7:$A$1006,$A688)&gt;1),1,0)</f>
        <v>0</v>
      </c>
    </row>
    <row r="689" customFormat="false" ht="15" hidden="false" customHeight="false" outlineLevel="0" collapsed="false">
      <c r="A689" s="71"/>
      <c r="B689" s="72"/>
      <c r="C689" s="73"/>
      <c r="D689" s="73"/>
      <c r="E689" s="74"/>
      <c r="F689" s="74"/>
      <c r="G689" s="72"/>
      <c r="H689" s="74"/>
      <c r="I689" s="72"/>
      <c r="J689" s="73"/>
      <c r="K689" s="73"/>
      <c r="L689" s="75" t="str">
        <f aca="false">IF(OR($A689&lt;&gt;"",$E689&lt;&gt;""),N($F689)+N($H689),"")</f>
        <v/>
      </c>
      <c r="M689" s="76" t="str">
        <f aca="false">IF(OR($O689="",$O689="Cancelled",$O689="Amount missing"),"",IF($O689="Realised",0,$E689-N($F689)-N($H689)))</f>
        <v/>
      </c>
      <c r="N689" s="77" t="str">
        <f aca="false">IF(OR($M689="",FX=""),"",$M689*FX)</f>
        <v/>
      </c>
      <c r="O689" s="78" t="str">
        <f aca="false">IF(NOT(OR($A689&lt;&gt;"",$E689&lt;&gt;"")),"",IF($J689="Cancelled","Cancelled",IF($E689="","Amount missing",IF(OR($J689="Settled",$E689-N($F689)-N($H689)&lt;=0.005),"Realised",IF(N($H689)&gt;0,"Part realised",IF(N($F689)&gt;0,"Advance received","On hand"))))))</f>
        <v/>
      </c>
      <c r="P689" s="79" t="str">
        <f aca="false">IF(AND($V689=1,ISNUMBER($B689)),AsAt-$B689,"")</f>
        <v/>
      </c>
      <c r="Q689" s="78" t="str">
        <f aca="false">IF($V689&lt;&gt;1,"",IF($P689="","No invoice date",IF($P689&lt;=30,"0–30 days",IF($P689&lt;=60,"31–60 days",IF($P689&lt;=90,"61–90 days","Over 90 days")))))</f>
        <v/>
      </c>
      <c r="R689" s="80" t="str">
        <f aca="false">IF($V689=1,ROW(),"")</f>
        <v/>
      </c>
      <c r="S689" s="80" t="str">
        <f aca="false">IF(OR($A689&lt;&gt;"",$E689&lt;&gt;""),IF(TRIM($D689)="","Buyer not noted",TRIM($D689)),"")</f>
        <v/>
      </c>
      <c r="T689" s="80" t="n">
        <f aca="false">IF(AND($V689=1,ISNUMBER($M689)),$M689,0)</f>
        <v>0</v>
      </c>
      <c r="U689" s="80" t="str">
        <f aca="false">IF($V689=1,IF(COUNTIFS($S$7:$S689,$S689,$V$7:$V689,1)=1,SUMIFS($T$7:$T$1006,$S$7:$S$1006,$S689)-ROW()/1000000000,""),"")</f>
        <v/>
      </c>
      <c r="V689" s="80" t="n">
        <f aca="false">IF(OR($O689="On hand",$O689="Advance received",$O689="Part realised",$O689="Amount missing"),1,0)</f>
        <v>0</v>
      </c>
      <c r="W689" s="80" t="str">
        <f aca="false">IF(AND($V689=1,N($F689)&gt;0),ROW(),"")</f>
        <v/>
      </c>
      <c r="X689" s="80" t="n">
        <f aca="false">IF(AND(OR($A689&lt;&gt;"",$E689&lt;&gt;""),$O689&lt;&gt;"Cancelled",ISNUMBER($E689),N($F689)+N($H689)&gt;$E689+0.005),1,0)</f>
        <v>0</v>
      </c>
      <c r="Y689" s="80" t="n">
        <f aca="false">IF(AND(OR($A689&lt;&gt;"",$E689&lt;&gt;""),OR($A689="",$E689="")),1,0)</f>
        <v>0</v>
      </c>
      <c r="Z689" s="80" t="n">
        <f aca="false">IF(AND($A689&lt;&gt;"",COUNTIF($A$7:$A$1006,$A689)&gt;1),1,0)</f>
        <v>0</v>
      </c>
    </row>
    <row r="690" customFormat="false" ht="15" hidden="false" customHeight="false" outlineLevel="0" collapsed="false">
      <c r="A690" s="71"/>
      <c r="B690" s="72"/>
      <c r="C690" s="73"/>
      <c r="D690" s="73"/>
      <c r="E690" s="74"/>
      <c r="F690" s="74"/>
      <c r="G690" s="72"/>
      <c r="H690" s="74"/>
      <c r="I690" s="72"/>
      <c r="J690" s="73"/>
      <c r="K690" s="73"/>
      <c r="L690" s="75" t="str">
        <f aca="false">IF(OR($A690&lt;&gt;"",$E690&lt;&gt;""),N($F690)+N($H690),"")</f>
        <v/>
      </c>
      <c r="M690" s="76" t="str">
        <f aca="false">IF(OR($O690="",$O690="Cancelled",$O690="Amount missing"),"",IF($O690="Realised",0,$E690-N($F690)-N($H690)))</f>
        <v/>
      </c>
      <c r="N690" s="77" t="str">
        <f aca="false">IF(OR($M690="",FX=""),"",$M690*FX)</f>
        <v/>
      </c>
      <c r="O690" s="78" t="str">
        <f aca="false">IF(NOT(OR($A690&lt;&gt;"",$E690&lt;&gt;"")),"",IF($J690="Cancelled","Cancelled",IF($E690="","Amount missing",IF(OR($J690="Settled",$E690-N($F690)-N($H690)&lt;=0.005),"Realised",IF(N($H690)&gt;0,"Part realised",IF(N($F690)&gt;0,"Advance received","On hand"))))))</f>
        <v/>
      </c>
      <c r="P690" s="79" t="str">
        <f aca="false">IF(AND($V690=1,ISNUMBER($B690)),AsAt-$B690,"")</f>
        <v/>
      </c>
      <c r="Q690" s="78" t="str">
        <f aca="false">IF($V690&lt;&gt;1,"",IF($P690="","No invoice date",IF($P690&lt;=30,"0–30 days",IF($P690&lt;=60,"31–60 days",IF($P690&lt;=90,"61–90 days","Over 90 days")))))</f>
        <v/>
      </c>
      <c r="R690" s="80" t="str">
        <f aca="false">IF($V690=1,ROW(),"")</f>
        <v/>
      </c>
      <c r="S690" s="80" t="str">
        <f aca="false">IF(OR($A690&lt;&gt;"",$E690&lt;&gt;""),IF(TRIM($D690)="","Buyer not noted",TRIM($D690)),"")</f>
        <v/>
      </c>
      <c r="T690" s="80" t="n">
        <f aca="false">IF(AND($V690=1,ISNUMBER($M690)),$M690,0)</f>
        <v>0</v>
      </c>
      <c r="U690" s="80" t="str">
        <f aca="false">IF($V690=1,IF(COUNTIFS($S$7:$S690,$S690,$V$7:$V690,1)=1,SUMIFS($T$7:$T$1006,$S$7:$S$1006,$S690)-ROW()/1000000000,""),"")</f>
        <v/>
      </c>
      <c r="V690" s="80" t="n">
        <f aca="false">IF(OR($O690="On hand",$O690="Advance received",$O690="Part realised",$O690="Amount missing"),1,0)</f>
        <v>0</v>
      </c>
      <c r="W690" s="80" t="str">
        <f aca="false">IF(AND($V690=1,N($F690)&gt;0),ROW(),"")</f>
        <v/>
      </c>
      <c r="X690" s="80" t="n">
        <f aca="false">IF(AND(OR($A690&lt;&gt;"",$E690&lt;&gt;""),$O690&lt;&gt;"Cancelled",ISNUMBER($E690),N($F690)+N($H690)&gt;$E690+0.005),1,0)</f>
        <v>0</v>
      </c>
      <c r="Y690" s="80" t="n">
        <f aca="false">IF(AND(OR($A690&lt;&gt;"",$E690&lt;&gt;""),OR($A690="",$E690="")),1,0)</f>
        <v>0</v>
      </c>
      <c r="Z690" s="80" t="n">
        <f aca="false">IF(AND($A690&lt;&gt;"",COUNTIF($A$7:$A$1006,$A690)&gt;1),1,0)</f>
        <v>0</v>
      </c>
    </row>
    <row r="691" customFormat="false" ht="15" hidden="false" customHeight="false" outlineLevel="0" collapsed="false">
      <c r="A691" s="71"/>
      <c r="B691" s="72"/>
      <c r="C691" s="73"/>
      <c r="D691" s="73"/>
      <c r="E691" s="74"/>
      <c r="F691" s="74"/>
      <c r="G691" s="72"/>
      <c r="H691" s="74"/>
      <c r="I691" s="72"/>
      <c r="J691" s="73"/>
      <c r="K691" s="73"/>
      <c r="L691" s="75" t="str">
        <f aca="false">IF(OR($A691&lt;&gt;"",$E691&lt;&gt;""),N($F691)+N($H691),"")</f>
        <v/>
      </c>
      <c r="M691" s="76" t="str">
        <f aca="false">IF(OR($O691="",$O691="Cancelled",$O691="Amount missing"),"",IF($O691="Realised",0,$E691-N($F691)-N($H691)))</f>
        <v/>
      </c>
      <c r="N691" s="77" t="str">
        <f aca="false">IF(OR($M691="",FX=""),"",$M691*FX)</f>
        <v/>
      </c>
      <c r="O691" s="78" t="str">
        <f aca="false">IF(NOT(OR($A691&lt;&gt;"",$E691&lt;&gt;"")),"",IF($J691="Cancelled","Cancelled",IF($E691="","Amount missing",IF(OR($J691="Settled",$E691-N($F691)-N($H691)&lt;=0.005),"Realised",IF(N($H691)&gt;0,"Part realised",IF(N($F691)&gt;0,"Advance received","On hand"))))))</f>
        <v/>
      </c>
      <c r="P691" s="79" t="str">
        <f aca="false">IF(AND($V691=1,ISNUMBER($B691)),AsAt-$B691,"")</f>
        <v/>
      </c>
      <c r="Q691" s="78" t="str">
        <f aca="false">IF($V691&lt;&gt;1,"",IF($P691="","No invoice date",IF($P691&lt;=30,"0–30 days",IF($P691&lt;=60,"31–60 days",IF($P691&lt;=90,"61–90 days","Over 90 days")))))</f>
        <v/>
      </c>
      <c r="R691" s="80" t="str">
        <f aca="false">IF($V691=1,ROW(),"")</f>
        <v/>
      </c>
      <c r="S691" s="80" t="str">
        <f aca="false">IF(OR($A691&lt;&gt;"",$E691&lt;&gt;""),IF(TRIM($D691)="","Buyer not noted",TRIM($D691)),"")</f>
        <v/>
      </c>
      <c r="T691" s="80" t="n">
        <f aca="false">IF(AND($V691=1,ISNUMBER($M691)),$M691,0)</f>
        <v>0</v>
      </c>
      <c r="U691" s="80" t="str">
        <f aca="false">IF($V691=1,IF(COUNTIFS($S$7:$S691,$S691,$V$7:$V691,1)=1,SUMIFS($T$7:$T$1006,$S$7:$S$1006,$S691)-ROW()/1000000000,""),"")</f>
        <v/>
      </c>
      <c r="V691" s="80" t="n">
        <f aca="false">IF(OR($O691="On hand",$O691="Advance received",$O691="Part realised",$O691="Amount missing"),1,0)</f>
        <v>0</v>
      </c>
      <c r="W691" s="80" t="str">
        <f aca="false">IF(AND($V691=1,N($F691)&gt;0),ROW(),"")</f>
        <v/>
      </c>
      <c r="X691" s="80" t="n">
        <f aca="false">IF(AND(OR($A691&lt;&gt;"",$E691&lt;&gt;""),$O691&lt;&gt;"Cancelled",ISNUMBER($E691),N($F691)+N($H691)&gt;$E691+0.005),1,0)</f>
        <v>0</v>
      </c>
      <c r="Y691" s="80" t="n">
        <f aca="false">IF(AND(OR($A691&lt;&gt;"",$E691&lt;&gt;""),OR($A691="",$E691="")),1,0)</f>
        <v>0</v>
      </c>
      <c r="Z691" s="80" t="n">
        <f aca="false">IF(AND($A691&lt;&gt;"",COUNTIF($A$7:$A$1006,$A691)&gt;1),1,0)</f>
        <v>0</v>
      </c>
    </row>
    <row r="692" customFormat="false" ht="15" hidden="false" customHeight="false" outlineLevel="0" collapsed="false">
      <c r="A692" s="71"/>
      <c r="B692" s="72"/>
      <c r="C692" s="73"/>
      <c r="D692" s="73"/>
      <c r="E692" s="74"/>
      <c r="F692" s="74"/>
      <c r="G692" s="72"/>
      <c r="H692" s="74"/>
      <c r="I692" s="72"/>
      <c r="J692" s="73"/>
      <c r="K692" s="73"/>
      <c r="L692" s="75" t="str">
        <f aca="false">IF(OR($A692&lt;&gt;"",$E692&lt;&gt;""),N($F692)+N($H692),"")</f>
        <v/>
      </c>
      <c r="M692" s="76" t="str">
        <f aca="false">IF(OR($O692="",$O692="Cancelled",$O692="Amount missing"),"",IF($O692="Realised",0,$E692-N($F692)-N($H692)))</f>
        <v/>
      </c>
      <c r="N692" s="77" t="str">
        <f aca="false">IF(OR($M692="",FX=""),"",$M692*FX)</f>
        <v/>
      </c>
      <c r="O692" s="78" t="str">
        <f aca="false">IF(NOT(OR($A692&lt;&gt;"",$E692&lt;&gt;"")),"",IF($J692="Cancelled","Cancelled",IF($E692="","Amount missing",IF(OR($J692="Settled",$E692-N($F692)-N($H692)&lt;=0.005),"Realised",IF(N($H692)&gt;0,"Part realised",IF(N($F692)&gt;0,"Advance received","On hand"))))))</f>
        <v/>
      </c>
      <c r="P692" s="79" t="str">
        <f aca="false">IF(AND($V692=1,ISNUMBER($B692)),AsAt-$B692,"")</f>
        <v/>
      </c>
      <c r="Q692" s="78" t="str">
        <f aca="false">IF($V692&lt;&gt;1,"",IF($P692="","No invoice date",IF($P692&lt;=30,"0–30 days",IF($P692&lt;=60,"31–60 days",IF($P692&lt;=90,"61–90 days","Over 90 days")))))</f>
        <v/>
      </c>
      <c r="R692" s="80" t="str">
        <f aca="false">IF($V692=1,ROW(),"")</f>
        <v/>
      </c>
      <c r="S692" s="80" t="str">
        <f aca="false">IF(OR($A692&lt;&gt;"",$E692&lt;&gt;""),IF(TRIM($D692)="","Buyer not noted",TRIM($D692)),"")</f>
        <v/>
      </c>
      <c r="T692" s="80" t="n">
        <f aca="false">IF(AND($V692=1,ISNUMBER($M692)),$M692,0)</f>
        <v>0</v>
      </c>
      <c r="U692" s="80" t="str">
        <f aca="false">IF($V692=1,IF(COUNTIFS($S$7:$S692,$S692,$V$7:$V692,1)=1,SUMIFS($T$7:$T$1006,$S$7:$S$1006,$S692)-ROW()/1000000000,""),"")</f>
        <v/>
      </c>
      <c r="V692" s="80" t="n">
        <f aca="false">IF(OR($O692="On hand",$O692="Advance received",$O692="Part realised",$O692="Amount missing"),1,0)</f>
        <v>0</v>
      </c>
      <c r="W692" s="80" t="str">
        <f aca="false">IF(AND($V692=1,N($F692)&gt;0),ROW(),"")</f>
        <v/>
      </c>
      <c r="X692" s="80" t="n">
        <f aca="false">IF(AND(OR($A692&lt;&gt;"",$E692&lt;&gt;""),$O692&lt;&gt;"Cancelled",ISNUMBER($E692),N($F692)+N($H692)&gt;$E692+0.005),1,0)</f>
        <v>0</v>
      </c>
      <c r="Y692" s="80" t="n">
        <f aca="false">IF(AND(OR($A692&lt;&gt;"",$E692&lt;&gt;""),OR($A692="",$E692="")),1,0)</f>
        <v>0</v>
      </c>
      <c r="Z692" s="80" t="n">
        <f aca="false">IF(AND($A692&lt;&gt;"",COUNTIF($A$7:$A$1006,$A692)&gt;1),1,0)</f>
        <v>0</v>
      </c>
    </row>
    <row r="693" customFormat="false" ht="15" hidden="false" customHeight="false" outlineLevel="0" collapsed="false">
      <c r="A693" s="71"/>
      <c r="B693" s="72"/>
      <c r="C693" s="73"/>
      <c r="D693" s="73"/>
      <c r="E693" s="74"/>
      <c r="F693" s="74"/>
      <c r="G693" s="72"/>
      <c r="H693" s="74"/>
      <c r="I693" s="72"/>
      <c r="J693" s="73"/>
      <c r="K693" s="73"/>
      <c r="L693" s="75" t="str">
        <f aca="false">IF(OR($A693&lt;&gt;"",$E693&lt;&gt;""),N($F693)+N($H693),"")</f>
        <v/>
      </c>
      <c r="M693" s="76" t="str">
        <f aca="false">IF(OR($O693="",$O693="Cancelled",$O693="Amount missing"),"",IF($O693="Realised",0,$E693-N($F693)-N($H693)))</f>
        <v/>
      </c>
      <c r="N693" s="77" t="str">
        <f aca="false">IF(OR($M693="",FX=""),"",$M693*FX)</f>
        <v/>
      </c>
      <c r="O693" s="78" t="str">
        <f aca="false">IF(NOT(OR($A693&lt;&gt;"",$E693&lt;&gt;"")),"",IF($J693="Cancelled","Cancelled",IF($E693="","Amount missing",IF(OR($J693="Settled",$E693-N($F693)-N($H693)&lt;=0.005),"Realised",IF(N($H693)&gt;0,"Part realised",IF(N($F693)&gt;0,"Advance received","On hand"))))))</f>
        <v/>
      </c>
      <c r="P693" s="79" t="str">
        <f aca="false">IF(AND($V693=1,ISNUMBER($B693)),AsAt-$B693,"")</f>
        <v/>
      </c>
      <c r="Q693" s="78" t="str">
        <f aca="false">IF($V693&lt;&gt;1,"",IF($P693="","No invoice date",IF($P693&lt;=30,"0–30 days",IF($P693&lt;=60,"31–60 days",IF($P693&lt;=90,"61–90 days","Over 90 days")))))</f>
        <v/>
      </c>
      <c r="R693" s="80" t="str">
        <f aca="false">IF($V693=1,ROW(),"")</f>
        <v/>
      </c>
      <c r="S693" s="80" t="str">
        <f aca="false">IF(OR($A693&lt;&gt;"",$E693&lt;&gt;""),IF(TRIM($D693)="","Buyer not noted",TRIM($D693)),"")</f>
        <v/>
      </c>
      <c r="T693" s="80" t="n">
        <f aca="false">IF(AND($V693=1,ISNUMBER($M693)),$M693,0)</f>
        <v>0</v>
      </c>
      <c r="U693" s="80" t="str">
        <f aca="false">IF($V693=1,IF(COUNTIFS($S$7:$S693,$S693,$V$7:$V693,1)=1,SUMIFS($T$7:$T$1006,$S$7:$S$1006,$S693)-ROW()/1000000000,""),"")</f>
        <v/>
      </c>
      <c r="V693" s="80" t="n">
        <f aca="false">IF(OR($O693="On hand",$O693="Advance received",$O693="Part realised",$O693="Amount missing"),1,0)</f>
        <v>0</v>
      </c>
      <c r="W693" s="80" t="str">
        <f aca="false">IF(AND($V693=1,N($F693)&gt;0),ROW(),"")</f>
        <v/>
      </c>
      <c r="X693" s="80" t="n">
        <f aca="false">IF(AND(OR($A693&lt;&gt;"",$E693&lt;&gt;""),$O693&lt;&gt;"Cancelled",ISNUMBER($E693),N($F693)+N($H693)&gt;$E693+0.005),1,0)</f>
        <v>0</v>
      </c>
      <c r="Y693" s="80" t="n">
        <f aca="false">IF(AND(OR($A693&lt;&gt;"",$E693&lt;&gt;""),OR($A693="",$E693="")),1,0)</f>
        <v>0</v>
      </c>
      <c r="Z693" s="80" t="n">
        <f aca="false">IF(AND($A693&lt;&gt;"",COUNTIF($A$7:$A$1006,$A693)&gt;1),1,0)</f>
        <v>0</v>
      </c>
    </row>
    <row r="694" customFormat="false" ht="15" hidden="false" customHeight="false" outlineLevel="0" collapsed="false">
      <c r="A694" s="71"/>
      <c r="B694" s="72"/>
      <c r="C694" s="73"/>
      <c r="D694" s="73"/>
      <c r="E694" s="74"/>
      <c r="F694" s="74"/>
      <c r="G694" s="72"/>
      <c r="H694" s="74"/>
      <c r="I694" s="72"/>
      <c r="J694" s="73"/>
      <c r="K694" s="73"/>
      <c r="L694" s="75" t="str">
        <f aca="false">IF(OR($A694&lt;&gt;"",$E694&lt;&gt;""),N($F694)+N($H694),"")</f>
        <v/>
      </c>
      <c r="M694" s="76" t="str">
        <f aca="false">IF(OR($O694="",$O694="Cancelled",$O694="Amount missing"),"",IF($O694="Realised",0,$E694-N($F694)-N($H694)))</f>
        <v/>
      </c>
      <c r="N694" s="77" t="str">
        <f aca="false">IF(OR($M694="",FX=""),"",$M694*FX)</f>
        <v/>
      </c>
      <c r="O694" s="78" t="str">
        <f aca="false">IF(NOT(OR($A694&lt;&gt;"",$E694&lt;&gt;"")),"",IF($J694="Cancelled","Cancelled",IF($E694="","Amount missing",IF(OR($J694="Settled",$E694-N($F694)-N($H694)&lt;=0.005),"Realised",IF(N($H694)&gt;0,"Part realised",IF(N($F694)&gt;0,"Advance received","On hand"))))))</f>
        <v/>
      </c>
      <c r="P694" s="79" t="str">
        <f aca="false">IF(AND($V694=1,ISNUMBER($B694)),AsAt-$B694,"")</f>
        <v/>
      </c>
      <c r="Q694" s="78" t="str">
        <f aca="false">IF($V694&lt;&gt;1,"",IF($P694="","No invoice date",IF($P694&lt;=30,"0–30 days",IF($P694&lt;=60,"31–60 days",IF($P694&lt;=90,"61–90 days","Over 90 days")))))</f>
        <v/>
      </c>
      <c r="R694" s="80" t="str">
        <f aca="false">IF($V694=1,ROW(),"")</f>
        <v/>
      </c>
      <c r="S694" s="80" t="str">
        <f aca="false">IF(OR($A694&lt;&gt;"",$E694&lt;&gt;""),IF(TRIM($D694)="","Buyer not noted",TRIM($D694)),"")</f>
        <v/>
      </c>
      <c r="T694" s="80" t="n">
        <f aca="false">IF(AND($V694=1,ISNUMBER($M694)),$M694,0)</f>
        <v>0</v>
      </c>
      <c r="U694" s="80" t="str">
        <f aca="false">IF($V694=1,IF(COUNTIFS($S$7:$S694,$S694,$V$7:$V694,1)=1,SUMIFS($T$7:$T$1006,$S$7:$S$1006,$S694)-ROW()/1000000000,""),"")</f>
        <v/>
      </c>
      <c r="V694" s="80" t="n">
        <f aca="false">IF(OR($O694="On hand",$O694="Advance received",$O694="Part realised",$O694="Amount missing"),1,0)</f>
        <v>0</v>
      </c>
      <c r="W694" s="80" t="str">
        <f aca="false">IF(AND($V694=1,N($F694)&gt;0),ROW(),"")</f>
        <v/>
      </c>
      <c r="X694" s="80" t="n">
        <f aca="false">IF(AND(OR($A694&lt;&gt;"",$E694&lt;&gt;""),$O694&lt;&gt;"Cancelled",ISNUMBER($E694),N($F694)+N($H694)&gt;$E694+0.005),1,0)</f>
        <v>0</v>
      </c>
      <c r="Y694" s="80" t="n">
        <f aca="false">IF(AND(OR($A694&lt;&gt;"",$E694&lt;&gt;""),OR($A694="",$E694="")),1,0)</f>
        <v>0</v>
      </c>
      <c r="Z694" s="80" t="n">
        <f aca="false">IF(AND($A694&lt;&gt;"",COUNTIF($A$7:$A$1006,$A694)&gt;1),1,0)</f>
        <v>0</v>
      </c>
    </row>
    <row r="695" customFormat="false" ht="15" hidden="false" customHeight="false" outlineLevel="0" collapsed="false">
      <c r="A695" s="71"/>
      <c r="B695" s="72"/>
      <c r="C695" s="73"/>
      <c r="D695" s="73"/>
      <c r="E695" s="74"/>
      <c r="F695" s="74"/>
      <c r="G695" s="72"/>
      <c r="H695" s="74"/>
      <c r="I695" s="72"/>
      <c r="J695" s="73"/>
      <c r="K695" s="73"/>
      <c r="L695" s="75" t="str">
        <f aca="false">IF(OR($A695&lt;&gt;"",$E695&lt;&gt;""),N($F695)+N($H695),"")</f>
        <v/>
      </c>
      <c r="M695" s="76" t="str">
        <f aca="false">IF(OR($O695="",$O695="Cancelled",$O695="Amount missing"),"",IF($O695="Realised",0,$E695-N($F695)-N($H695)))</f>
        <v/>
      </c>
      <c r="N695" s="77" t="str">
        <f aca="false">IF(OR($M695="",FX=""),"",$M695*FX)</f>
        <v/>
      </c>
      <c r="O695" s="78" t="str">
        <f aca="false">IF(NOT(OR($A695&lt;&gt;"",$E695&lt;&gt;"")),"",IF($J695="Cancelled","Cancelled",IF($E695="","Amount missing",IF(OR($J695="Settled",$E695-N($F695)-N($H695)&lt;=0.005),"Realised",IF(N($H695)&gt;0,"Part realised",IF(N($F695)&gt;0,"Advance received","On hand"))))))</f>
        <v/>
      </c>
      <c r="P695" s="79" t="str">
        <f aca="false">IF(AND($V695=1,ISNUMBER($B695)),AsAt-$B695,"")</f>
        <v/>
      </c>
      <c r="Q695" s="78" t="str">
        <f aca="false">IF($V695&lt;&gt;1,"",IF($P695="","No invoice date",IF($P695&lt;=30,"0–30 days",IF($P695&lt;=60,"31–60 days",IF($P695&lt;=90,"61–90 days","Over 90 days")))))</f>
        <v/>
      </c>
      <c r="R695" s="80" t="str">
        <f aca="false">IF($V695=1,ROW(),"")</f>
        <v/>
      </c>
      <c r="S695" s="80" t="str">
        <f aca="false">IF(OR($A695&lt;&gt;"",$E695&lt;&gt;""),IF(TRIM($D695)="","Buyer not noted",TRIM($D695)),"")</f>
        <v/>
      </c>
      <c r="T695" s="80" t="n">
        <f aca="false">IF(AND($V695=1,ISNUMBER($M695)),$M695,0)</f>
        <v>0</v>
      </c>
      <c r="U695" s="80" t="str">
        <f aca="false">IF($V695=1,IF(COUNTIFS($S$7:$S695,$S695,$V$7:$V695,1)=1,SUMIFS($T$7:$T$1006,$S$7:$S$1006,$S695)-ROW()/1000000000,""),"")</f>
        <v/>
      </c>
      <c r="V695" s="80" t="n">
        <f aca="false">IF(OR($O695="On hand",$O695="Advance received",$O695="Part realised",$O695="Amount missing"),1,0)</f>
        <v>0</v>
      </c>
      <c r="W695" s="80" t="str">
        <f aca="false">IF(AND($V695=1,N($F695)&gt;0),ROW(),"")</f>
        <v/>
      </c>
      <c r="X695" s="80" t="n">
        <f aca="false">IF(AND(OR($A695&lt;&gt;"",$E695&lt;&gt;""),$O695&lt;&gt;"Cancelled",ISNUMBER($E695),N($F695)+N($H695)&gt;$E695+0.005),1,0)</f>
        <v>0</v>
      </c>
      <c r="Y695" s="80" t="n">
        <f aca="false">IF(AND(OR($A695&lt;&gt;"",$E695&lt;&gt;""),OR($A695="",$E695="")),1,0)</f>
        <v>0</v>
      </c>
      <c r="Z695" s="80" t="n">
        <f aca="false">IF(AND($A695&lt;&gt;"",COUNTIF($A$7:$A$1006,$A695)&gt;1),1,0)</f>
        <v>0</v>
      </c>
    </row>
    <row r="696" customFormat="false" ht="15" hidden="false" customHeight="false" outlineLevel="0" collapsed="false">
      <c r="A696" s="71"/>
      <c r="B696" s="72"/>
      <c r="C696" s="73"/>
      <c r="D696" s="73"/>
      <c r="E696" s="74"/>
      <c r="F696" s="74"/>
      <c r="G696" s="72"/>
      <c r="H696" s="74"/>
      <c r="I696" s="72"/>
      <c r="J696" s="73"/>
      <c r="K696" s="73"/>
      <c r="L696" s="75" t="str">
        <f aca="false">IF(OR($A696&lt;&gt;"",$E696&lt;&gt;""),N($F696)+N($H696),"")</f>
        <v/>
      </c>
      <c r="M696" s="76" t="str">
        <f aca="false">IF(OR($O696="",$O696="Cancelled",$O696="Amount missing"),"",IF($O696="Realised",0,$E696-N($F696)-N($H696)))</f>
        <v/>
      </c>
      <c r="N696" s="77" t="str">
        <f aca="false">IF(OR($M696="",FX=""),"",$M696*FX)</f>
        <v/>
      </c>
      <c r="O696" s="78" t="str">
        <f aca="false">IF(NOT(OR($A696&lt;&gt;"",$E696&lt;&gt;"")),"",IF($J696="Cancelled","Cancelled",IF($E696="","Amount missing",IF(OR($J696="Settled",$E696-N($F696)-N($H696)&lt;=0.005),"Realised",IF(N($H696)&gt;0,"Part realised",IF(N($F696)&gt;0,"Advance received","On hand"))))))</f>
        <v/>
      </c>
      <c r="P696" s="79" t="str">
        <f aca="false">IF(AND($V696=1,ISNUMBER($B696)),AsAt-$B696,"")</f>
        <v/>
      </c>
      <c r="Q696" s="78" t="str">
        <f aca="false">IF($V696&lt;&gt;1,"",IF($P696="","No invoice date",IF($P696&lt;=30,"0–30 days",IF($P696&lt;=60,"31–60 days",IF($P696&lt;=90,"61–90 days","Over 90 days")))))</f>
        <v/>
      </c>
      <c r="R696" s="80" t="str">
        <f aca="false">IF($V696=1,ROW(),"")</f>
        <v/>
      </c>
      <c r="S696" s="80" t="str">
        <f aca="false">IF(OR($A696&lt;&gt;"",$E696&lt;&gt;""),IF(TRIM($D696)="","Buyer not noted",TRIM($D696)),"")</f>
        <v/>
      </c>
      <c r="T696" s="80" t="n">
        <f aca="false">IF(AND($V696=1,ISNUMBER($M696)),$M696,0)</f>
        <v>0</v>
      </c>
      <c r="U696" s="80" t="str">
        <f aca="false">IF($V696=1,IF(COUNTIFS($S$7:$S696,$S696,$V$7:$V696,1)=1,SUMIFS($T$7:$T$1006,$S$7:$S$1006,$S696)-ROW()/1000000000,""),"")</f>
        <v/>
      </c>
      <c r="V696" s="80" t="n">
        <f aca="false">IF(OR($O696="On hand",$O696="Advance received",$O696="Part realised",$O696="Amount missing"),1,0)</f>
        <v>0</v>
      </c>
      <c r="W696" s="80" t="str">
        <f aca="false">IF(AND($V696=1,N($F696)&gt;0),ROW(),"")</f>
        <v/>
      </c>
      <c r="X696" s="80" t="n">
        <f aca="false">IF(AND(OR($A696&lt;&gt;"",$E696&lt;&gt;""),$O696&lt;&gt;"Cancelled",ISNUMBER($E696),N($F696)+N($H696)&gt;$E696+0.005),1,0)</f>
        <v>0</v>
      </c>
      <c r="Y696" s="80" t="n">
        <f aca="false">IF(AND(OR($A696&lt;&gt;"",$E696&lt;&gt;""),OR($A696="",$E696="")),1,0)</f>
        <v>0</v>
      </c>
      <c r="Z696" s="80" t="n">
        <f aca="false">IF(AND($A696&lt;&gt;"",COUNTIF($A$7:$A$1006,$A696)&gt;1),1,0)</f>
        <v>0</v>
      </c>
    </row>
    <row r="697" customFormat="false" ht="15" hidden="false" customHeight="false" outlineLevel="0" collapsed="false">
      <c r="A697" s="71"/>
      <c r="B697" s="72"/>
      <c r="C697" s="73"/>
      <c r="D697" s="73"/>
      <c r="E697" s="74"/>
      <c r="F697" s="74"/>
      <c r="G697" s="72"/>
      <c r="H697" s="74"/>
      <c r="I697" s="72"/>
      <c r="J697" s="73"/>
      <c r="K697" s="73"/>
      <c r="L697" s="75" t="str">
        <f aca="false">IF(OR($A697&lt;&gt;"",$E697&lt;&gt;""),N($F697)+N($H697),"")</f>
        <v/>
      </c>
      <c r="M697" s="76" t="str">
        <f aca="false">IF(OR($O697="",$O697="Cancelled",$O697="Amount missing"),"",IF($O697="Realised",0,$E697-N($F697)-N($H697)))</f>
        <v/>
      </c>
      <c r="N697" s="77" t="str">
        <f aca="false">IF(OR($M697="",FX=""),"",$M697*FX)</f>
        <v/>
      </c>
      <c r="O697" s="78" t="str">
        <f aca="false">IF(NOT(OR($A697&lt;&gt;"",$E697&lt;&gt;"")),"",IF($J697="Cancelled","Cancelled",IF($E697="","Amount missing",IF(OR($J697="Settled",$E697-N($F697)-N($H697)&lt;=0.005),"Realised",IF(N($H697)&gt;0,"Part realised",IF(N($F697)&gt;0,"Advance received","On hand"))))))</f>
        <v/>
      </c>
      <c r="P697" s="79" t="str">
        <f aca="false">IF(AND($V697=1,ISNUMBER($B697)),AsAt-$B697,"")</f>
        <v/>
      </c>
      <c r="Q697" s="78" t="str">
        <f aca="false">IF($V697&lt;&gt;1,"",IF($P697="","No invoice date",IF($P697&lt;=30,"0–30 days",IF($P697&lt;=60,"31–60 days",IF($P697&lt;=90,"61–90 days","Over 90 days")))))</f>
        <v/>
      </c>
      <c r="R697" s="80" t="str">
        <f aca="false">IF($V697=1,ROW(),"")</f>
        <v/>
      </c>
      <c r="S697" s="80" t="str">
        <f aca="false">IF(OR($A697&lt;&gt;"",$E697&lt;&gt;""),IF(TRIM($D697)="","Buyer not noted",TRIM($D697)),"")</f>
        <v/>
      </c>
      <c r="T697" s="80" t="n">
        <f aca="false">IF(AND($V697=1,ISNUMBER($M697)),$M697,0)</f>
        <v>0</v>
      </c>
      <c r="U697" s="80" t="str">
        <f aca="false">IF($V697=1,IF(COUNTIFS($S$7:$S697,$S697,$V$7:$V697,1)=1,SUMIFS($T$7:$T$1006,$S$7:$S$1006,$S697)-ROW()/1000000000,""),"")</f>
        <v/>
      </c>
      <c r="V697" s="80" t="n">
        <f aca="false">IF(OR($O697="On hand",$O697="Advance received",$O697="Part realised",$O697="Amount missing"),1,0)</f>
        <v>0</v>
      </c>
      <c r="W697" s="80" t="str">
        <f aca="false">IF(AND($V697=1,N($F697)&gt;0),ROW(),"")</f>
        <v/>
      </c>
      <c r="X697" s="80" t="n">
        <f aca="false">IF(AND(OR($A697&lt;&gt;"",$E697&lt;&gt;""),$O697&lt;&gt;"Cancelled",ISNUMBER($E697),N($F697)+N($H697)&gt;$E697+0.005),1,0)</f>
        <v>0</v>
      </c>
      <c r="Y697" s="80" t="n">
        <f aca="false">IF(AND(OR($A697&lt;&gt;"",$E697&lt;&gt;""),OR($A697="",$E697="")),1,0)</f>
        <v>0</v>
      </c>
      <c r="Z697" s="80" t="n">
        <f aca="false">IF(AND($A697&lt;&gt;"",COUNTIF($A$7:$A$1006,$A697)&gt;1),1,0)</f>
        <v>0</v>
      </c>
    </row>
    <row r="698" customFormat="false" ht="15" hidden="false" customHeight="false" outlineLevel="0" collapsed="false">
      <c r="A698" s="71"/>
      <c r="B698" s="72"/>
      <c r="C698" s="73"/>
      <c r="D698" s="73"/>
      <c r="E698" s="74"/>
      <c r="F698" s="74"/>
      <c r="G698" s="72"/>
      <c r="H698" s="74"/>
      <c r="I698" s="72"/>
      <c r="J698" s="73"/>
      <c r="K698" s="73"/>
      <c r="L698" s="75" t="str">
        <f aca="false">IF(OR($A698&lt;&gt;"",$E698&lt;&gt;""),N($F698)+N($H698),"")</f>
        <v/>
      </c>
      <c r="M698" s="76" t="str">
        <f aca="false">IF(OR($O698="",$O698="Cancelled",$O698="Amount missing"),"",IF($O698="Realised",0,$E698-N($F698)-N($H698)))</f>
        <v/>
      </c>
      <c r="N698" s="77" t="str">
        <f aca="false">IF(OR($M698="",FX=""),"",$M698*FX)</f>
        <v/>
      </c>
      <c r="O698" s="78" t="str">
        <f aca="false">IF(NOT(OR($A698&lt;&gt;"",$E698&lt;&gt;"")),"",IF($J698="Cancelled","Cancelled",IF($E698="","Amount missing",IF(OR($J698="Settled",$E698-N($F698)-N($H698)&lt;=0.005),"Realised",IF(N($H698)&gt;0,"Part realised",IF(N($F698)&gt;0,"Advance received","On hand"))))))</f>
        <v/>
      </c>
      <c r="P698" s="79" t="str">
        <f aca="false">IF(AND($V698=1,ISNUMBER($B698)),AsAt-$B698,"")</f>
        <v/>
      </c>
      <c r="Q698" s="78" t="str">
        <f aca="false">IF($V698&lt;&gt;1,"",IF($P698="","No invoice date",IF($P698&lt;=30,"0–30 days",IF($P698&lt;=60,"31–60 days",IF($P698&lt;=90,"61–90 days","Over 90 days")))))</f>
        <v/>
      </c>
      <c r="R698" s="80" t="str">
        <f aca="false">IF($V698=1,ROW(),"")</f>
        <v/>
      </c>
      <c r="S698" s="80" t="str">
        <f aca="false">IF(OR($A698&lt;&gt;"",$E698&lt;&gt;""),IF(TRIM($D698)="","Buyer not noted",TRIM($D698)),"")</f>
        <v/>
      </c>
      <c r="T698" s="80" t="n">
        <f aca="false">IF(AND($V698=1,ISNUMBER($M698)),$M698,0)</f>
        <v>0</v>
      </c>
      <c r="U698" s="80" t="str">
        <f aca="false">IF($V698=1,IF(COUNTIFS($S$7:$S698,$S698,$V$7:$V698,1)=1,SUMIFS($T$7:$T$1006,$S$7:$S$1006,$S698)-ROW()/1000000000,""),"")</f>
        <v/>
      </c>
      <c r="V698" s="80" t="n">
        <f aca="false">IF(OR($O698="On hand",$O698="Advance received",$O698="Part realised",$O698="Amount missing"),1,0)</f>
        <v>0</v>
      </c>
      <c r="W698" s="80" t="str">
        <f aca="false">IF(AND($V698=1,N($F698)&gt;0),ROW(),"")</f>
        <v/>
      </c>
      <c r="X698" s="80" t="n">
        <f aca="false">IF(AND(OR($A698&lt;&gt;"",$E698&lt;&gt;""),$O698&lt;&gt;"Cancelled",ISNUMBER($E698),N($F698)+N($H698)&gt;$E698+0.005),1,0)</f>
        <v>0</v>
      </c>
      <c r="Y698" s="80" t="n">
        <f aca="false">IF(AND(OR($A698&lt;&gt;"",$E698&lt;&gt;""),OR($A698="",$E698="")),1,0)</f>
        <v>0</v>
      </c>
      <c r="Z698" s="80" t="n">
        <f aca="false">IF(AND($A698&lt;&gt;"",COUNTIF($A$7:$A$1006,$A698)&gt;1),1,0)</f>
        <v>0</v>
      </c>
    </row>
    <row r="699" customFormat="false" ht="15" hidden="false" customHeight="false" outlineLevel="0" collapsed="false">
      <c r="A699" s="71"/>
      <c r="B699" s="72"/>
      <c r="C699" s="73"/>
      <c r="D699" s="73"/>
      <c r="E699" s="74"/>
      <c r="F699" s="74"/>
      <c r="G699" s="72"/>
      <c r="H699" s="74"/>
      <c r="I699" s="72"/>
      <c r="J699" s="73"/>
      <c r="K699" s="73"/>
      <c r="L699" s="75" t="str">
        <f aca="false">IF(OR($A699&lt;&gt;"",$E699&lt;&gt;""),N($F699)+N($H699),"")</f>
        <v/>
      </c>
      <c r="M699" s="76" t="str">
        <f aca="false">IF(OR($O699="",$O699="Cancelled",$O699="Amount missing"),"",IF($O699="Realised",0,$E699-N($F699)-N($H699)))</f>
        <v/>
      </c>
      <c r="N699" s="77" t="str">
        <f aca="false">IF(OR($M699="",FX=""),"",$M699*FX)</f>
        <v/>
      </c>
      <c r="O699" s="78" t="str">
        <f aca="false">IF(NOT(OR($A699&lt;&gt;"",$E699&lt;&gt;"")),"",IF($J699="Cancelled","Cancelled",IF($E699="","Amount missing",IF(OR($J699="Settled",$E699-N($F699)-N($H699)&lt;=0.005),"Realised",IF(N($H699)&gt;0,"Part realised",IF(N($F699)&gt;0,"Advance received","On hand"))))))</f>
        <v/>
      </c>
      <c r="P699" s="79" t="str">
        <f aca="false">IF(AND($V699=1,ISNUMBER($B699)),AsAt-$B699,"")</f>
        <v/>
      </c>
      <c r="Q699" s="78" t="str">
        <f aca="false">IF($V699&lt;&gt;1,"",IF($P699="","No invoice date",IF($P699&lt;=30,"0–30 days",IF($P699&lt;=60,"31–60 days",IF($P699&lt;=90,"61–90 days","Over 90 days")))))</f>
        <v/>
      </c>
      <c r="R699" s="80" t="str">
        <f aca="false">IF($V699=1,ROW(),"")</f>
        <v/>
      </c>
      <c r="S699" s="80" t="str">
        <f aca="false">IF(OR($A699&lt;&gt;"",$E699&lt;&gt;""),IF(TRIM($D699)="","Buyer not noted",TRIM($D699)),"")</f>
        <v/>
      </c>
      <c r="T699" s="80" t="n">
        <f aca="false">IF(AND($V699=1,ISNUMBER($M699)),$M699,0)</f>
        <v>0</v>
      </c>
      <c r="U699" s="80" t="str">
        <f aca="false">IF($V699=1,IF(COUNTIFS($S$7:$S699,$S699,$V$7:$V699,1)=1,SUMIFS($T$7:$T$1006,$S$7:$S$1006,$S699)-ROW()/1000000000,""),"")</f>
        <v/>
      </c>
      <c r="V699" s="80" t="n">
        <f aca="false">IF(OR($O699="On hand",$O699="Advance received",$O699="Part realised",$O699="Amount missing"),1,0)</f>
        <v>0</v>
      </c>
      <c r="W699" s="80" t="str">
        <f aca="false">IF(AND($V699=1,N($F699)&gt;0),ROW(),"")</f>
        <v/>
      </c>
      <c r="X699" s="80" t="n">
        <f aca="false">IF(AND(OR($A699&lt;&gt;"",$E699&lt;&gt;""),$O699&lt;&gt;"Cancelled",ISNUMBER($E699),N($F699)+N($H699)&gt;$E699+0.005),1,0)</f>
        <v>0</v>
      </c>
      <c r="Y699" s="80" t="n">
        <f aca="false">IF(AND(OR($A699&lt;&gt;"",$E699&lt;&gt;""),OR($A699="",$E699="")),1,0)</f>
        <v>0</v>
      </c>
      <c r="Z699" s="80" t="n">
        <f aca="false">IF(AND($A699&lt;&gt;"",COUNTIF($A$7:$A$1006,$A699)&gt;1),1,0)</f>
        <v>0</v>
      </c>
    </row>
    <row r="700" customFormat="false" ht="15" hidden="false" customHeight="false" outlineLevel="0" collapsed="false">
      <c r="A700" s="71"/>
      <c r="B700" s="72"/>
      <c r="C700" s="73"/>
      <c r="D700" s="73"/>
      <c r="E700" s="74"/>
      <c r="F700" s="74"/>
      <c r="G700" s="72"/>
      <c r="H700" s="74"/>
      <c r="I700" s="72"/>
      <c r="J700" s="73"/>
      <c r="K700" s="73"/>
      <c r="L700" s="75" t="str">
        <f aca="false">IF(OR($A700&lt;&gt;"",$E700&lt;&gt;""),N($F700)+N($H700),"")</f>
        <v/>
      </c>
      <c r="M700" s="76" t="str">
        <f aca="false">IF(OR($O700="",$O700="Cancelled",$O700="Amount missing"),"",IF($O700="Realised",0,$E700-N($F700)-N($H700)))</f>
        <v/>
      </c>
      <c r="N700" s="77" t="str">
        <f aca="false">IF(OR($M700="",FX=""),"",$M700*FX)</f>
        <v/>
      </c>
      <c r="O700" s="78" t="str">
        <f aca="false">IF(NOT(OR($A700&lt;&gt;"",$E700&lt;&gt;"")),"",IF($J700="Cancelled","Cancelled",IF($E700="","Amount missing",IF(OR($J700="Settled",$E700-N($F700)-N($H700)&lt;=0.005),"Realised",IF(N($H700)&gt;0,"Part realised",IF(N($F700)&gt;0,"Advance received","On hand"))))))</f>
        <v/>
      </c>
      <c r="P700" s="79" t="str">
        <f aca="false">IF(AND($V700=1,ISNUMBER($B700)),AsAt-$B700,"")</f>
        <v/>
      </c>
      <c r="Q700" s="78" t="str">
        <f aca="false">IF($V700&lt;&gt;1,"",IF($P700="","No invoice date",IF($P700&lt;=30,"0–30 days",IF($P700&lt;=60,"31–60 days",IF($P700&lt;=90,"61–90 days","Over 90 days")))))</f>
        <v/>
      </c>
      <c r="R700" s="80" t="str">
        <f aca="false">IF($V700=1,ROW(),"")</f>
        <v/>
      </c>
      <c r="S700" s="80" t="str">
        <f aca="false">IF(OR($A700&lt;&gt;"",$E700&lt;&gt;""),IF(TRIM($D700)="","Buyer not noted",TRIM($D700)),"")</f>
        <v/>
      </c>
      <c r="T700" s="80" t="n">
        <f aca="false">IF(AND($V700=1,ISNUMBER($M700)),$M700,0)</f>
        <v>0</v>
      </c>
      <c r="U700" s="80" t="str">
        <f aca="false">IF($V700=1,IF(COUNTIFS($S$7:$S700,$S700,$V$7:$V700,1)=1,SUMIFS($T$7:$T$1006,$S$7:$S$1006,$S700)-ROW()/1000000000,""),"")</f>
        <v/>
      </c>
      <c r="V700" s="80" t="n">
        <f aca="false">IF(OR($O700="On hand",$O700="Advance received",$O700="Part realised",$O700="Amount missing"),1,0)</f>
        <v>0</v>
      </c>
      <c r="W700" s="80" t="str">
        <f aca="false">IF(AND($V700=1,N($F700)&gt;0),ROW(),"")</f>
        <v/>
      </c>
      <c r="X700" s="80" t="n">
        <f aca="false">IF(AND(OR($A700&lt;&gt;"",$E700&lt;&gt;""),$O700&lt;&gt;"Cancelled",ISNUMBER($E700),N($F700)+N($H700)&gt;$E700+0.005),1,0)</f>
        <v>0</v>
      </c>
      <c r="Y700" s="80" t="n">
        <f aca="false">IF(AND(OR($A700&lt;&gt;"",$E700&lt;&gt;""),OR($A700="",$E700="")),1,0)</f>
        <v>0</v>
      </c>
      <c r="Z700" s="80" t="n">
        <f aca="false">IF(AND($A700&lt;&gt;"",COUNTIF($A$7:$A$1006,$A700)&gt;1),1,0)</f>
        <v>0</v>
      </c>
    </row>
    <row r="701" customFormat="false" ht="15" hidden="false" customHeight="false" outlineLevel="0" collapsed="false">
      <c r="A701" s="71"/>
      <c r="B701" s="72"/>
      <c r="C701" s="73"/>
      <c r="D701" s="73"/>
      <c r="E701" s="74"/>
      <c r="F701" s="74"/>
      <c r="G701" s="72"/>
      <c r="H701" s="74"/>
      <c r="I701" s="72"/>
      <c r="J701" s="73"/>
      <c r="K701" s="73"/>
      <c r="L701" s="75" t="str">
        <f aca="false">IF(OR($A701&lt;&gt;"",$E701&lt;&gt;""),N($F701)+N($H701),"")</f>
        <v/>
      </c>
      <c r="M701" s="76" t="str">
        <f aca="false">IF(OR($O701="",$O701="Cancelled",$O701="Amount missing"),"",IF($O701="Realised",0,$E701-N($F701)-N($H701)))</f>
        <v/>
      </c>
      <c r="N701" s="77" t="str">
        <f aca="false">IF(OR($M701="",FX=""),"",$M701*FX)</f>
        <v/>
      </c>
      <c r="O701" s="78" t="str">
        <f aca="false">IF(NOT(OR($A701&lt;&gt;"",$E701&lt;&gt;"")),"",IF($J701="Cancelled","Cancelled",IF($E701="","Amount missing",IF(OR($J701="Settled",$E701-N($F701)-N($H701)&lt;=0.005),"Realised",IF(N($H701)&gt;0,"Part realised",IF(N($F701)&gt;0,"Advance received","On hand"))))))</f>
        <v/>
      </c>
      <c r="P701" s="79" t="str">
        <f aca="false">IF(AND($V701=1,ISNUMBER($B701)),AsAt-$B701,"")</f>
        <v/>
      </c>
      <c r="Q701" s="78" t="str">
        <f aca="false">IF($V701&lt;&gt;1,"",IF($P701="","No invoice date",IF($P701&lt;=30,"0–30 days",IF($P701&lt;=60,"31–60 days",IF($P701&lt;=90,"61–90 days","Over 90 days")))))</f>
        <v/>
      </c>
      <c r="R701" s="80" t="str">
        <f aca="false">IF($V701=1,ROW(),"")</f>
        <v/>
      </c>
      <c r="S701" s="80" t="str">
        <f aca="false">IF(OR($A701&lt;&gt;"",$E701&lt;&gt;""),IF(TRIM($D701)="","Buyer not noted",TRIM($D701)),"")</f>
        <v/>
      </c>
      <c r="T701" s="80" t="n">
        <f aca="false">IF(AND($V701=1,ISNUMBER($M701)),$M701,0)</f>
        <v>0</v>
      </c>
      <c r="U701" s="80" t="str">
        <f aca="false">IF($V701=1,IF(COUNTIFS($S$7:$S701,$S701,$V$7:$V701,1)=1,SUMIFS($T$7:$T$1006,$S$7:$S$1006,$S701)-ROW()/1000000000,""),"")</f>
        <v/>
      </c>
      <c r="V701" s="80" t="n">
        <f aca="false">IF(OR($O701="On hand",$O701="Advance received",$O701="Part realised",$O701="Amount missing"),1,0)</f>
        <v>0</v>
      </c>
      <c r="W701" s="80" t="str">
        <f aca="false">IF(AND($V701=1,N($F701)&gt;0),ROW(),"")</f>
        <v/>
      </c>
      <c r="X701" s="80" t="n">
        <f aca="false">IF(AND(OR($A701&lt;&gt;"",$E701&lt;&gt;""),$O701&lt;&gt;"Cancelled",ISNUMBER($E701),N($F701)+N($H701)&gt;$E701+0.005),1,0)</f>
        <v>0</v>
      </c>
      <c r="Y701" s="80" t="n">
        <f aca="false">IF(AND(OR($A701&lt;&gt;"",$E701&lt;&gt;""),OR($A701="",$E701="")),1,0)</f>
        <v>0</v>
      </c>
      <c r="Z701" s="80" t="n">
        <f aca="false">IF(AND($A701&lt;&gt;"",COUNTIF($A$7:$A$1006,$A701)&gt;1),1,0)</f>
        <v>0</v>
      </c>
    </row>
    <row r="702" customFormat="false" ht="15" hidden="false" customHeight="false" outlineLevel="0" collapsed="false">
      <c r="A702" s="71"/>
      <c r="B702" s="72"/>
      <c r="C702" s="73"/>
      <c r="D702" s="73"/>
      <c r="E702" s="74"/>
      <c r="F702" s="74"/>
      <c r="G702" s="72"/>
      <c r="H702" s="74"/>
      <c r="I702" s="72"/>
      <c r="J702" s="73"/>
      <c r="K702" s="73"/>
      <c r="L702" s="75" t="str">
        <f aca="false">IF(OR($A702&lt;&gt;"",$E702&lt;&gt;""),N($F702)+N($H702),"")</f>
        <v/>
      </c>
      <c r="M702" s="76" t="str">
        <f aca="false">IF(OR($O702="",$O702="Cancelled",$O702="Amount missing"),"",IF($O702="Realised",0,$E702-N($F702)-N($H702)))</f>
        <v/>
      </c>
      <c r="N702" s="77" t="str">
        <f aca="false">IF(OR($M702="",FX=""),"",$M702*FX)</f>
        <v/>
      </c>
      <c r="O702" s="78" t="str">
        <f aca="false">IF(NOT(OR($A702&lt;&gt;"",$E702&lt;&gt;"")),"",IF($J702="Cancelled","Cancelled",IF($E702="","Amount missing",IF(OR($J702="Settled",$E702-N($F702)-N($H702)&lt;=0.005),"Realised",IF(N($H702)&gt;0,"Part realised",IF(N($F702)&gt;0,"Advance received","On hand"))))))</f>
        <v/>
      </c>
      <c r="P702" s="79" t="str">
        <f aca="false">IF(AND($V702=1,ISNUMBER($B702)),AsAt-$B702,"")</f>
        <v/>
      </c>
      <c r="Q702" s="78" t="str">
        <f aca="false">IF($V702&lt;&gt;1,"",IF($P702="","No invoice date",IF($P702&lt;=30,"0–30 days",IF($P702&lt;=60,"31–60 days",IF($P702&lt;=90,"61–90 days","Over 90 days")))))</f>
        <v/>
      </c>
      <c r="R702" s="80" t="str">
        <f aca="false">IF($V702=1,ROW(),"")</f>
        <v/>
      </c>
      <c r="S702" s="80" t="str">
        <f aca="false">IF(OR($A702&lt;&gt;"",$E702&lt;&gt;""),IF(TRIM($D702)="","Buyer not noted",TRIM($D702)),"")</f>
        <v/>
      </c>
      <c r="T702" s="80" t="n">
        <f aca="false">IF(AND($V702=1,ISNUMBER($M702)),$M702,0)</f>
        <v>0</v>
      </c>
      <c r="U702" s="80" t="str">
        <f aca="false">IF($V702=1,IF(COUNTIFS($S$7:$S702,$S702,$V$7:$V702,1)=1,SUMIFS($T$7:$T$1006,$S$7:$S$1006,$S702)-ROW()/1000000000,""),"")</f>
        <v/>
      </c>
      <c r="V702" s="80" t="n">
        <f aca="false">IF(OR($O702="On hand",$O702="Advance received",$O702="Part realised",$O702="Amount missing"),1,0)</f>
        <v>0</v>
      </c>
      <c r="W702" s="80" t="str">
        <f aca="false">IF(AND($V702=1,N($F702)&gt;0),ROW(),"")</f>
        <v/>
      </c>
      <c r="X702" s="80" t="n">
        <f aca="false">IF(AND(OR($A702&lt;&gt;"",$E702&lt;&gt;""),$O702&lt;&gt;"Cancelled",ISNUMBER($E702),N($F702)+N($H702)&gt;$E702+0.005),1,0)</f>
        <v>0</v>
      </c>
      <c r="Y702" s="80" t="n">
        <f aca="false">IF(AND(OR($A702&lt;&gt;"",$E702&lt;&gt;""),OR($A702="",$E702="")),1,0)</f>
        <v>0</v>
      </c>
      <c r="Z702" s="80" t="n">
        <f aca="false">IF(AND($A702&lt;&gt;"",COUNTIF($A$7:$A$1006,$A702)&gt;1),1,0)</f>
        <v>0</v>
      </c>
    </row>
    <row r="703" customFormat="false" ht="15" hidden="false" customHeight="false" outlineLevel="0" collapsed="false">
      <c r="A703" s="71"/>
      <c r="B703" s="72"/>
      <c r="C703" s="73"/>
      <c r="D703" s="73"/>
      <c r="E703" s="74"/>
      <c r="F703" s="74"/>
      <c r="G703" s="72"/>
      <c r="H703" s="74"/>
      <c r="I703" s="72"/>
      <c r="J703" s="73"/>
      <c r="K703" s="73"/>
      <c r="L703" s="75" t="str">
        <f aca="false">IF(OR($A703&lt;&gt;"",$E703&lt;&gt;""),N($F703)+N($H703),"")</f>
        <v/>
      </c>
      <c r="M703" s="76" t="str">
        <f aca="false">IF(OR($O703="",$O703="Cancelled",$O703="Amount missing"),"",IF($O703="Realised",0,$E703-N($F703)-N($H703)))</f>
        <v/>
      </c>
      <c r="N703" s="77" t="str">
        <f aca="false">IF(OR($M703="",FX=""),"",$M703*FX)</f>
        <v/>
      </c>
      <c r="O703" s="78" t="str">
        <f aca="false">IF(NOT(OR($A703&lt;&gt;"",$E703&lt;&gt;"")),"",IF($J703="Cancelled","Cancelled",IF($E703="","Amount missing",IF(OR($J703="Settled",$E703-N($F703)-N($H703)&lt;=0.005),"Realised",IF(N($H703)&gt;0,"Part realised",IF(N($F703)&gt;0,"Advance received","On hand"))))))</f>
        <v/>
      </c>
      <c r="P703" s="79" t="str">
        <f aca="false">IF(AND($V703=1,ISNUMBER($B703)),AsAt-$B703,"")</f>
        <v/>
      </c>
      <c r="Q703" s="78" t="str">
        <f aca="false">IF($V703&lt;&gt;1,"",IF($P703="","No invoice date",IF($P703&lt;=30,"0–30 days",IF($P703&lt;=60,"31–60 days",IF($P703&lt;=90,"61–90 days","Over 90 days")))))</f>
        <v/>
      </c>
      <c r="R703" s="80" t="str">
        <f aca="false">IF($V703=1,ROW(),"")</f>
        <v/>
      </c>
      <c r="S703" s="80" t="str">
        <f aca="false">IF(OR($A703&lt;&gt;"",$E703&lt;&gt;""),IF(TRIM($D703)="","Buyer not noted",TRIM($D703)),"")</f>
        <v/>
      </c>
      <c r="T703" s="80" t="n">
        <f aca="false">IF(AND($V703=1,ISNUMBER($M703)),$M703,0)</f>
        <v>0</v>
      </c>
      <c r="U703" s="80" t="str">
        <f aca="false">IF($V703=1,IF(COUNTIFS($S$7:$S703,$S703,$V$7:$V703,1)=1,SUMIFS($T$7:$T$1006,$S$7:$S$1006,$S703)-ROW()/1000000000,""),"")</f>
        <v/>
      </c>
      <c r="V703" s="80" t="n">
        <f aca="false">IF(OR($O703="On hand",$O703="Advance received",$O703="Part realised",$O703="Amount missing"),1,0)</f>
        <v>0</v>
      </c>
      <c r="W703" s="80" t="str">
        <f aca="false">IF(AND($V703=1,N($F703)&gt;0),ROW(),"")</f>
        <v/>
      </c>
      <c r="X703" s="80" t="n">
        <f aca="false">IF(AND(OR($A703&lt;&gt;"",$E703&lt;&gt;""),$O703&lt;&gt;"Cancelled",ISNUMBER($E703),N($F703)+N($H703)&gt;$E703+0.005),1,0)</f>
        <v>0</v>
      </c>
      <c r="Y703" s="80" t="n">
        <f aca="false">IF(AND(OR($A703&lt;&gt;"",$E703&lt;&gt;""),OR($A703="",$E703="")),1,0)</f>
        <v>0</v>
      </c>
      <c r="Z703" s="80" t="n">
        <f aca="false">IF(AND($A703&lt;&gt;"",COUNTIF($A$7:$A$1006,$A703)&gt;1),1,0)</f>
        <v>0</v>
      </c>
    </row>
    <row r="704" customFormat="false" ht="15" hidden="false" customHeight="false" outlineLevel="0" collapsed="false">
      <c r="A704" s="71"/>
      <c r="B704" s="72"/>
      <c r="C704" s="73"/>
      <c r="D704" s="73"/>
      <c r="E704" s="74"/>
      <c r="F704" s="74"/>
      <c r="G704" s="72"/>
      <c r="H704" s="74"/>
      <c r="I704" s="72"/>
      <c r="J704" s="73"/>
      <c r="K704" s="73"/>
      <c r="L704" s="75" t="str">
        <f aca="false">IF(OR($A704&lt;&gt;"",$E704&lt;&gt;""),N($F704)+N($H704),"")</f>
        <v/>
      </c>
      <c r="M704" s="76" t="str">
        <f aca="false">IF(OR($O704="",$O704="Cancelled",$O704="Amount missing"),"",IF($O704="Realised",0,$E704-N($F704)-N($H704)))</f>
        <v/>
      </c>
      <c r="N704" s="77" t="str">
        <f aca="false">IF(OR($M704="",FX=""),"",$M704*FX)</f>
        <v/>
      </c>
      <c r="O704" s="78" t="str">
        <f aca="false">IF(NOT(OR($A704&lt;&gt;"",$E704&lt;&gt;"")),"",IF($J704="Cancelled","Cancelled",IF($E704="","Amount missing",IF(OR($J704="Settled",$E704-N($F704)-N($H704)&lt;=0.005),"Realised",IF(N($H704)&gt;0,"Part realised",IF(N($F704)&gt;0,"Advance received","On hand"))))))</f>
        <v/>
      </c>
      <c r="P704" s="79" t="str">
        <f aca="false">IF(AND($V704=1,ISNUMBER($B704)),AsAt-$B704,"")</f>
        <v/>
      </c>
      <c r="Q704" s="78" t="str">
        <f aca="false">IF($V704&lt;&gt;1,"",IF($P704="","No invoice date",IF($P704&lt;=30,"0–30 days",IF($P704&lt;=60,"31–60 days",IF($P704&lt;=90,"61–90 days","Over 90 days")))))</f>
        <v/>
      </c>
      <c r="R704" s="80" t="str">
        <f aca="false">IF($V704=1,ROW(),"")</f>
        <v/>
      </c>
      <c r="S704" s="80" t="str">
        <f aca="false">IF(OR($A704&lt;&gt;"",$E704&lt;&gt;""),IF(TRIM($D704)="","Buyer not noted",TRIM($D704)),"")</f>
        <v/>
      </c>
      <c r="T704" s="80" t="n">
        <f aca="false">IF(AND($V704=1,ISNUMBER($M704)),$M704,0)</f>
        <v>0</v>
      </c>
      <c r="U704" s="80" t="str">
        <f aca="false">IF($V704=1,IF(COUNTIFS($S$7:$S704,$S704,$V$7:$V704,1)=1,SUMIFS($T$7:$T$1006,$S$7:$S$1006,$S704)-ROW()/1000000000,""),"")</f>
        <v/>
      </c>
      <c r="V704" s="80" t="n">
        <f aca="false">IF(OR($O704="On hand",$O704="Advance received",$O704="Part realised",$O704="Amount missing"),1,0)</f>
        <v>0</v>
      </c>
      <c r="W704" s="80" t="str">
        <f aca="false">IF(AND($V704=1,N($F704)&gt;0),ROW(),"")</f>
        <v/>
      </c>
      <c r="X704" s="80" t="n">
        <f aca="false">IF(AND(OR($A704&lt;&gt;"",$E704&lt;&gt;""),$O704&lt;&gt;"Cancelled",ISNUMBER($E704),N($F704)+N($H704)&gt;$E704+0.005),1,0)</f>
        <v>0</v>
      </c>
      <c r="Y704" s="80" t="n">
        <f aca="false">IF(AND(OR($A704&lt;&gt;"",$E704&lt;&gt;""),OR($A704="",$E704="")),1,0)</f>
        <v>0</v>
      </c>
      <c r="Z704" s="80" t="n">
        <f aca="false">IF(AND($A704&lt;&gt;"",COUNTIF($A$7:$A$1006,$A704)&gt;1),1,0)</f>
        <v>0</v>
      </c>
    </row>
    <row r="705" customFormat="false" ht="15" hidden="false" customHeight="false" outlineLevel="0" collapsed="false">
      <c r="A705" s="71"/>
      <c r="B705" s="72"/>
      <c r="C705" s="73"/>
      <c r="D705" s="73"/>
      <c r="E705" s="74"/>
      <c r="F705" s="74"/>
      <c r="G705" s="72"/>
      <c r="H705" s="74"/>
      <c r="I705" s="72"/>
      <c r="J705" s="73"/>
      <c r="K705" s="73"/>
      <c r="L705" s="75" t="str">
        <f aca="false">IF(OR($A705&lt;&gt;"",$E705&lt;&gt;""),N($F705)+N($H705),"")</f>
        <v/>
      </c>
      <c r="M705" s="76" t="str">
        <f aca="false">IF(OR($O705="",$O705="Cancelled",$O705="Amount missing"),"",IF($O705="Realised",0,$E705-N($F705)-N($H705)))</f>
        <v/>
      </c>
      <c r="N705" s="77" t="str">
        <f aca="false">IF(OR($M705="",FX=""),"",$M705*FX)</f>
        <v/>
      </c>
      <c r="O705" s="78" t="str">
        <f aca="false">IF(NOT(OR($A705&lt;&gt;"",$E705&lt;&gt;"")),"",IF($J705="Cancelled","Cancelled",IF($E705="","Amount missing",IF(OR($J705="Settled",$E705-N($F705)-N($H705)&lt;=0.005),"Realised",IF(N($H705)&gt;0,"Part realised",IF(N($F705)&gt;0,"Advance received","On hand"))))))</f>
        <v/>
      </c>
      <c r="P705" s="79" t="str">
        <f aca="false">IF(AND($V705=1,ISNUMBER($B705)),AsAt-$B705,"")</f>
        <v/>
      </c>
      <c r="Q705" s="78" t="str">
        <f aca="false">IF($V705&lt;&gt;1,"",IF($P705="","No invoice date",IF($P705&lt;=30,"0–30 days",IF($P705&lt;=60,"31–60 days",IF($P705&lt;=90,"61–90 days","Over 90 days")))))</f>
        <v/>
      </c>
      <c r="R705" s="80" t="str">
        <f aca="false">IF($V705=1,ROW(),"")</f>
        <v/>
      </c>
      <c r="S705" s="80" t="str">
        <f aca="false">IF(OR($A705&lt;&gt;"",$E705&lt;&gt;""),IF(TRIM($D705)="","Buyer not noted",TRIM($D705)),"")</f>
        <v/>
      </c>
      <c r="T705" s="80" t="n">
        <f aca="false">IF(AND($V705=1,ISNUMBER($M705)),$M705,0)</f>
        <v>0</v>
      </c>
      <c r="U705" s="80" t="str">
        <f aca="false">IF($V705=1,IF(COUNTIFS($S$7:$S705,$S705,$V$7:$V705,1)=1,SUMIFS($T$7:$T$1006,$S$7:$S$1006,$S705)-ROW()/1000000000,""),"")</f>
        <v/>
      </c>
      <c r="V705" s="80" t="n">
        <f aca="false">IF(OR($O705="On hand",$O705="Advance received",$O705="Part realised",$O705="Amount missing"),1,0)</f>
        <v>0</v>
      </c>
      <c r="W705" s="80" t="str">
        <f aca="false">IF(AND($V705=1,N($F705)&gt;0),ROW(),"")</f>
        <v/>
      </c>
      <c r="X705" s="80" t="n">
        <f aca="false">IF(AND(OR($A705&lt;&gt;"",$E705&lt;&gt;""),$O705&lt;&gt;"Cancelled",ISNUMBER($E705),N($F705)+N($H705)&gt;$E705+0.005),1,0)</f>
        <v>0</v>
      </c>
      <c r="Y705" s="80" t="n">
        <f aca="false">IF(AND(OR($A705&lt;&gt;"",$E705&lt;&gt;""),OR($A705="",$E705="")),1,0)</f>
        <v>0</v>
      </c>
      <c r="Z705" s="80" t="n">
        <f aca="false">IF(AND($A705&lt;&gt;"",COUNTIF($A$7:$A$1006,$A705)&gt;1),1,0)</f>
        <v>0</v>
      </c>
    </row>
    <row r="706" customFormat="false" ht="15" hidden="false" customHeight="false" outlineLevel="0" collapsed="false">
      <c r="A706" s="71"/>
      <c r="B706" s="72"/>
      <c r="C706" s="73"/>
      <c r="D706" s="73"/>
      <c r="E706" s="74"/>
      <c r="F706" s="74"/>
      <c r="G706" s="72"/>
      <c r="H706" s="74"/>
      <c r="I706" s="72"/>
      <c r="J706" s="73"/>
      <c r="K706" s="73"/>
      <c r="L706" s="75" t="str">
        <f aca="false">IF(OR($A706&lt;&gt;"",$E706&lt;&gt;""),N($F706)+N($H706),"")</f>
        <v/>
      </c>
      <c r="M706" s="76" t="str">
        <f aca="false">IF(OR($O706="",$O706="Cancelled",$O706="Amount missing"),"",IF($O706="Realised",0,$E706-N($F706)-N($H706)))</f>
        <v/>
      </c>
      <c r="N706" s="77" t="str">
        <f aca="false">IF(OR($M706="",FX=""),"",$M706*FX)</f>
        <v/>
      </c>
      <c r="O706" s="78" t="str">
        <f aca="false">IF(NOT(OR($A706&lt;&gt;"",$E706&lt;&gt;"")),"",IF($J706="Cancelled","Cancelled",IF($E706="","Amount missing",IF(OR($J706="Settled",$E706-N($F706)-N($H706)&lt;=0.005),"Realised",IF(N($H706)&gt;0,"Part realised",IF(N($F706)&gt;0,"Advance received","On hand"))))))</f>
        <v/>
      </c>
      <c r="P706" s="79" t="str">
        <f aca="false">IF(AND($V706=1,ISNUMBER($B706)),AsAt-$B706,"")</f>
        <v/>
      </c>
      <c r="Q706" s="78" t="str">
        <f aca="false">IF($V706&lt;&gt;1,"",IF($P706="","No invoice date",IF($P706&lt;=30,"0–30 days",IF($P706&lt;=60,"31–60 days",IF($P706&lt;=90,"61–90 days","Over 90 days")))))</f>
        <v/>
      </c>
      <c r="R706" s="80" t="str">
        <f aca="false">IF($V706=1,ROW(),"")</f>
        <v/>
      </c>
      <c r="S706" s="80" t="str">
        <f aca="false">IF(OR($A706&lt;&gt;"",$E706&lt;&gt;""),IF(TRIM($D706)="","Buyer not noted",TRIM($D706)),"")</f>
        <v/>
      </c>
      <c r="T706" s="80" t="n">
        <f aca="false">IF(AND($V706=1,ISNUMBER($M706)),$M706,0)</f>
        <v>0</v>
      </c>
      <c r="U706" s="80" t="str">
        <f aca="false">IF($V706=1,IF(COUNTIFS($S$7:$S706,$S706,$V$7:$V706,1)=1,SUMIFS($T$7:$T$1006,$S$7:$S$1006,$S706)-ROW()/1000000000,""),"")</f>
        <v/>
      </c>
      <c r="V706" s="80" t="n">
        <f aca="false">IF(OR($O706="On hand",$O706="Advance received",$O706="Part realised",$O706="Amount missing"),1,0)</f>
        <v>0</v>
      </c>
      <c r="W706" s="80" t="str">
        <f aca="false">IF(AND($V706=1,N($F706)&gt;0),ROW(),"")</f>
        <v/>
      </c>
      <c r="X706" s="80" t="n">
        <f aca="false">IF(AND(OR($A706&lt;&gt;"",$E706&lt;&gt;""),$O706&lt;&gt;"Cancelled",ISNUMBER($E706),N($F706)+N($H706)&gt;$E706+0.005),1,0)</f>
        <v>0</v>
      </c>
      <c r="Y706" s="80" t="n">
        <f aca="false">IF(AND(OR($A706&lt;&gt;"",$E706&lt;&gt;""),OR($A706="",$E706="")),1,0)</f>
        <v>0</v>
      </c>
      <c r="Z706" s="80" t="n">
        <f aca="false">IF(AND($A706&lt;&gt;"",COUNTIF($A$7:$A$1006,$A706)&gt;1),1,0)</f>
        <v>0</v>
      </c>
    </row>
    <row r="707" customFormat="false" ht="15" hidden="false" customHeight="false" outlineLevel="0" collapsed="false">
      <c r="A707" s="71"/>
      <c r="B707" s="72"/>
      <c r="C707" s="73"/>
      <c r="D707" s="73"/>
      <c r="E707" s="74"/>
      <c r="F707" s="74"/>
      <c r="G707" s="72"/>
      <c r="H707" s="74"/>
      <c r="I707" s="72"/>
      <c r="J707" s="73"/>
      <c r="K707" s="73"/>
      <c r="L707" s="75" t="str">
        <f aca="false">IF(OR($A707&lt;&gt;"",$E707&lt;&gt;""),N($F707)+N($H707),"")</f>
        <v/>
      </c>
      <c r="M707" s="76" t="str">
        <f aca="false">IF(OR($O707="",$O707="Cancelled",$O707="Amount missing"),"",IF($O707="Realised",0,$E707-N($F707)-N($H707)))</f>
        <v/>
      </c>
      <c r="N707" s="77" t="str">
        <f aca="false">IF(OR($M707="",FX=""),"",$M707*FX)</f>
        <v/>
      </c>
      <c r="O707" s="78" t="str">
        <f aca="false">IF(NOT(OR($A707&lt;&gt;"",$E707&lt;&gt;"")),"",IF($J707="Cancelled","Cancelled",IF($E707="","Amount missing",IF(OR($J707="Settled",$E707-N($F707)-N($H707)&lt;=0.005),"Realised",IF(N($H707)&gt;0,"Part realised",IF(N($F707)&gt;0,"Advance received","On hand"))))))</f>
        <v/>
      </c>
      <c r="P707" s="79" t="str">
        <f aca="false">IF(AND($V707=1,ISNUMBER($B707)),AsAt-$B707,"")</f>
        <v/>
      </c>
      <c r="Q707" s="78" t="str">
        <f aca="false">IF($V707&lt;&gt;1,"",IF($P707="","No invoice date",IF($P707&lt;=30,"0–30 days",IF($P707&lt;=60,"31–60 days",IF($P707&lt;=90,"61–90 days","Over 90 days")))))</f>
        <v/>
      </c>
      <c r="R707" s="80" t="str">
        <f aca="false">IF($V707=1,ROW(),"")</f>
        <v/>
      </c>
      <c r="S707" s="80" t="str">
        <f aca="false">IF(OR($A707&lt;&gt;"",$E707&lt;&gt;""),IF(TRIM($D707)="","Buyer not noted",TRIM($D707)),"")</f>
        <v/>
      </c>
      <c r="T707" s="80" t="n">
        <f aca="false">IF(AND($V707=1,ISNUMBER($M707)),$M707,0)</f>
        <v>0</v>
      </c>
      <c r="U707" s="80" t="str">
        <f aca="false">IF($V707=1,IF(COUNTIFS($S$7:$S707,$S707,$V$7:$V707,1)=1,SUMIFS($T$7:$T$1006,$S$7:$S$1006,$S707)-ROW()/1000000000,""),"")</f>
        <v/>
      </c>
      <c r="V707" s="80" t="n">
        <f aca="false">IF(OR($O707="On hand",$O707="Advance received",$O707="Part realised",$O707="Amount missing"),1,0)</f>
        <v>0</v>
      </c>
      <c r="W707" s="80" t="str">
        <f aca="false">IF(AND($V707=1,N($F707)&gt;0),ROW(),"")</f>
        <v/>
      </c>
      <c r="X707" s="80" t="n">
        <f aca="false">IF(AND(OR($A707&lt;&gt;"",$E707&lt;&gt;""),$O707&lt;&gt;"Cancelled",ISNUMBER($E707),N($F707)+N($H707)&gt;$E707+0.005),1,0)</f>
        <v>0</v>
      </c>
      <c r="Y707" s="80" t="n">
        <f aca="false">IF(AND(OR($A707&lt;&gt;"",$E707&lt;&gt;""),OR($A707="",$E707="")),1,0)</f>
        <v>0</v>
      </c>
      <c r="Z707" s="80" t="n">
        <f aca="false">IF(AND($A707&lt;&gt;"",COUNTIF($A$7:$A$1006,$A707)&gt;1),1,0)</f>
        <v>0</v>
      </c>
    </row>
    <row r="708" customFormat="false" ht="15" hidden="false" customHeight="false" outlineLevel="0" collapsed="false">
      <c r="A708" s="71"/>
      <c r="B708" s="72"/>
      <c r="C708" s="73"/>
      <c r="D708" s="73"/>
      <c r="E708" s="74"/>
      <c r="F708" s="74"/>
      <c r="G708" s="72"/>
      <c r="H708" s="74"/>
      <c r="I708" s="72"/>
      <c r="J708" s="73"/>
      <c r="K708" s="73"/>
      <c r="L708" s="75" t="str">
        <f aca="false">IF(OR($A708&lt;&gt;"",$E708&lt;&gt;""),N($F708)+N($H708),"")</f>
        <v/>
      </c>
      <c r="M708" s="76" t="str">
        <f aca="false">IF(OR($O708="",$O708="Cancelled",$O708="Amount missing"),"",IF($O708="Realised",0,$E708-N($F708)-N($H708)))</f>
        <v/>
      </c>
      <c r="N708" s="77" t="str">
        <f aca="false">IF(OR($M708="",FX=""),"",$M708*FX)</f>
        <v/>
      </c>
      <c r="O708" s="78" t="str">
        <f aca="false">IF(NOT(OR($A708&lt;&gt;"",$E708&lt;&gt;"")),"",IF($J708="Cancelled","Cancelled",IF($E708="","Amount missing",IF(OR($J708="Settled",$E708-N($F708)-N($H708)&lt;=0.005),"Realised",IF(N($H708)&gt;0,"Part realised",IF(N($F708)&gt;0,"Advance received","On hand"))))))</f>
        <v/>
      </c>
      <c r="P708" s="79" t="str">
        <f aca="false">IF(AND($V708=1,ISNUMBER($B708)),AsAt-$B708,"")</f>
        <v/>
      </c>
      <c r="Q708" s="78" t="str">
        <f aca="false">IF($V708&lt;&gt;1,"",IF($P708="","No invoice date",IF($P708&lt;=30,"0–30 days",IF($P708&lt;=60,"31–60 days",IF($P708&lt;=90,"61–90 days","Over 90 days")))))</f>
        <v/>
      </c>
      <c r="R708" s="80" t="str">
        <f aca="false">IF($V708=1,ROW(),"")</f>
        <v/>
      </c>
      <c r="S708" s="80" t="str">
        <f aca="false">IF(OR($A708&lt;&gt;"",$E708&lt;&gt;""),IF(TRIM($D708)="","Buyer not noted",TRIM($D708)),"")</f>
        <v/>
      </c>
      <c r="T708" s="80" t="n">
        <f aca="false">IF(AND($V708=1,ISNUMBER($M708)),$M708,0)</f>
        <v>0</v>
      </c>
      <c r="U708" s="80" t="str">
        <f aca="false">IF($V708=1,IF(COUNTIFS($S$7:$S708,$S708,$V$7:$V708,1)=1,SUMIFS($T$7:$T$1006,$S$7:$S$1006,$S708)-ROW()/1000000000,""),"")</f>
        <v/>
      </c>
      <c r="V708" s="80" t="n">
        <f aca="false">IF(OR($O708="On hand",$O708="Advance received",$O708="Part realised",$O708="Amount missing"),1,0)</f>
        <v>0</v>
      </c>
      <c r="W708" s="80" t="str">
        <f aca="false">IF(AND($V708=1,N($F708)&gt;0),ROW(),"")</f>
        <v/>
      </c>
      <c r="X708" s="80" t="n">
        <f aca="false">IF(AND(OR($A708&lt;&gt;"",$E708&lt;&gt;""),$O708&lt;&gt;"Cancelled",ISNUMBER($E708),N($F708)+N($H708)&gt;$E708+0.005),1,0)</f>
        <v>0</v>
      </c>
      <c r="Y708" s="80" t="n">
        <f aca="false">IF(AND(OR($A708&lt;&gt;"",$E708&lt;&gt;""),OR($A708="",$E708="")),1,0)</f>
        <v>0</v>
      </c>
      <c r="Z708" s="80" t="n">
        <f aca="false">IF(AND($A708&lt;&gt;"",COUNTIF($A$7:$A$1006,$A708)&gt;1),1,0)</f>
        <v>0</v>
      </c>
    </row>
    <row r="709" customFormat="false" ht="15" hidden="false" customHeight="false" outlineLevel="0" collapsed="false">
      <c r="A709" s="71"/>
      <c r="B709" s="72"/>
      <c r="C709" s="73"/>
      <c r="D709" s="73"/>
      <c r="E709" s="74"/>
      <c r="F709" s="74"/>
      <c r="G709" s="72"/>
      <c r="H709" s="74"/>
      <c r="I709" s="72"/>
      <c r="J709" s="73"/>
      <c r="K709" s="73"/>
      <c r="L709" s="75" t="str">
        <f aca="false">IF(OR($A709&lt;&gt;"",$E709&lt;&gt;""),N($F709)+N($H709),"")</f>
        <v/>
      </c>
      <c r="M709" s="76" t="str">
        <f aca="false">IF(OR($O709="",$O709="Cancelled",$O709="Amount missing"),"",IF($O709="Realised",0,$E709-N($F709)-N($H709)))</f>
        <v/>
      </c>
      <c r="N709" s="77" t="str">
        <f aca="false">IF(OR($M709="",FX=""),"",$M709*FX)</f>
        <v/>
      </c>
      <c r="O709" s="78" t="str">
        <f aca="false">IF(NOT(OR($A709&lt;&gt;"",$E709&lt;&gt;"")),"",IF($J709="Cancelled","Cancelled",IF($E709="","Amount missing",IF(OR($J709="Settled",$E709-N($F709)-N($H709)&lt;=0.005),"Realised",IF(N($H709)&gt;0,"Part realised",IF(N($F709)&gt;0,"Advance received","On hand"))))))</f>
        <v/>
      </c>
      <c r="P709" s="79" t="str">
        <f aca="false">IF(AND($V709=1,ISNUMBER($B709)),AsAt-$B709,"")</f>
        <v/>
      </c>
      <c r="Q709" s="78" t="str">
        <f aca="false">IF($V709&lt;&gt;1,"",IF($P709="","No invoice date",IF($P709&lt;=30,"0–30 days",IF($P709&lt;=60,"31–60 days",IF($P709&lt;=90,"61–90 days","Over 90 days")))))</f>
        <v/>
      </c>
      <c r="R709" s="80" t="str">
        <f aca="false">IF($V709=1,ROW(),"")</f>
        <v/>
      </c>
      <c r="S709" s="80" t="str">
        <f aca="false">IF(OR($A709&lt;&gt;"",$E709&lt;&gt;""),IF(TRIM($D709)="","Buyer not noted",TRIM($D709)),"")</f>
        <v/>
      </c>
      <c r="T709" s="80" t="n">
        <f aca="false">IF(AND($V709=1,ISNUMBER($M709)),$M709,0)</f>
        <v>0</v>
      </c>
      <c r="U709" s="80" t="str">
        <f aca="false">IF($V709=1,IF(COUNTIFS($S$7:$S709,$S709,$V$7:$V709,1)=1,SUMIFS($T$7:$T$1006,$S$7:$S$1006,$S709)-ROW()/1000000000,""),"")</f>
        <v/>
      </c>
      <c r="V709" s="80" t="n">
        <f aca="false">IF(OR($O709="On hand",$O709="Advance received",$O709="Part realised",$O709="Amount missing"),1,0)</f>
        <v>0</v>
      </c>
      <c r="W709" s="80" t="str">
        <f aca="false">IF(AND($V709=1,N($F709)&gt;0),ROW(),"")</f>
        <v/>
      </c>
      <c r="X709" s="80" t="n">
        <f aca="false">IF(AND(OR($A709&lt;&gt;"",$E709&lt;&gt;""),$O709&lt;&gt;"Cancelled",ISNUMBER($E709),N($F709)+N($H709)&gt;$E709+0.005),1,0)</f>
        <v>0</v>
      </c>
      <c r="Y709" s="80" t="n">
        <f aca="false">IF(AND(OR($A709&lt;&gt;"",$E709&lt;&gt;""),OR($A709="",$E709="")),1,0)</f>
        <v>0</v>
      </c>
      <c r="Z709" s="80" t="n">
        <f aca="false">IF(AND($A709&lt;&gt;"",COUNTIF($A$7:$A$1006,$A709)&gt;1),1,0)</f>
        <v>0</v>
      </c>
    </row>
    <row r="710" customFormat="false" ht="15" hidden="false" customHeight="false" outlineLevel="0" collapsed="false">
      <c r="A710" s="71"/>
      <c r="B710" s="72"/>
      <c r="C710" s="73"/>
      <c r="D710" s="73"/>
      <c r="E710" s="74"/>
      <c r="F710" s="74"/>
      <c r="G710" s="72"/>
      <c r="H710" s="74"/>
      <c r="I710" s="72"/>
      <c r="J710" s="73"/>
      <c r="K710" s="73"/>
      <c r="L710" s="75" t="str">
        <f aca="false">IF(OR($A710&lt;&gt;"",$E710&lt;&gt;""),N($F710)+N($H710),"")</f>
        <v/>
      </c>
      <c r="M710" s="76" t="str">
        <f aca="false">IF(OR($O710="",$O710="Cancelled",$O710="Amount missing"),"",IF($O710="Realised",0,$E710-N($F710)-N($H710)))</f>
        <v/>
      </c>
      <c r="N710" s="77" t="str">
        <f aca="false">IF(OR($M710="",FX=""),"",$M710*FX)</f>
        <v/>
      </c>
      <c r="O710" s="78" t="str">
        <f aca="false">IF(NOT(OR($A710&lt;&gt;"",$E710&lt;&gt;"")),"",IF($J710="Cancelled","Cancelled",IF($E710="","Amount missing",IF(OR($J710="Settled",$E710-N($F710)-N($H710)&lt;=0.005),"Realised",IF(N($H710)&gt;0,"Part realised",IF(N($F710)&gt;0,"Advance received","On hand"))))))</f>
        <v/>
      </c>
      <c r="P710" s="79" t="str">
        <f aca="false">IF(AND($V710=1,ISNUMBER($B710)),AsAt-$B710,"")</f>
        <v/>
      </c>
      <c r="Q710" s="78" t="str">
        <f aca="false">IF($V710&lt;&gt;1,"",IF($P710="","No invoice date",IF($P710&lt;=30,"0–30 days",IF($P710&lt;=60,"31–60 days",IF($P710&lt;=90,"61–90 days","Over 90 days")))))</f>
        <v/>
      </c>
      <c r="R710" s="80" t="str">
        <f aca="false">IF($V710=1,ROW(),"")</f>
        <v/>
      </c>
      <c r="S710" s="80" t="str">
        <f aca="false">IF(OR($A710&lt;&gt;"",$E710&lt;&gt;""),IF(TRIM($D710)="","Buyer not noted",TRIM($D710)),"")</f>
        <v/>
      </c>
      <c r="T710" s="80" t="n">
        <f aca="false">IF(AND($V710=1,ISNUMBER($M710)),$M710,0)</f>
        <v>0</v>
      </c>
      <c r="U710" s="80" t="str">
        <f aca="false">IF($V710=1,IF(COUNTIFS($S$7:$S710,$S710,$V$7:$V710,1)=1,SUMIFS($T$7:$T$1006,$S$7:$S$1006,$S710)-ROW()/1000000000,""),"")</f>
        <v/>
      </c>
      <c r="V710" s="80" t="n">
        <f aca="false">IF(OR($O710="On hand",$O710="Advance received",$O710="Part realised",$O710="Amount missing"),1,0)</f>
        <v>0</v>
      </c>
      <c r="W710" s="80" t="str">
        <f aca="false">IF(AND($V710=1,N($F710)&gt;0),ROW(),"")</f>
        <v/>
      </c>
      <c r="X710" s="80" t="n">
        <f aca="false">IF(AND(OR($A710&lt;&gt;"",$E710&lt;&gt;""),$O710&lt;&gt;"Cancelled",ISNUMBER($E710),N($F710)+N($H710)&gt;$E710+0.005),1,0)</f>
        <v>0</v>
      </c>
      <c r="Y710" s="80" t="n">
        <f aca="false">IF(AND(OR($A710&lt;&gt;"",$E710&lt;&gt;""),OR($A710="",$E710="")),1,0)</f>
        <v>0</v>
      </c>
      <c r="Z710" s="80" t="n">
        <f aca="false">IF(AND($A710&lt;&gt;"",COUNTIF($A$7:$A$1006,$A710)&gt;1),1,0)</f>
        <v>0</v>
      </c>
    </row>
    <row r="711" customFormat="false" ht="15" hidden="false" customHeight="false" outlineLevel="0" collapsed="false">
      <c r="A711" s="71"/>
      <c r="B711" s="72"/>
      <c r="C711" s="73"/>
      <c r="D711" s="73"/>
      <c r="E711" s="74"/>
      <c r="F711" s="74"/>
      <c r="G711" s="72"/>
      <c r="H711" s="74"/>
      <c r="I711" s="72"/>
      <c r="J711" s="73"/>
      <c r="K711" s="73"/>
      <c r="L711" s="75" t="str">
        <f aca="false">IF(OR($A711&lt;&gt;"",$E711&lt;&gt;""),N($F711)+N($H711),"")</f>
        <v/>
      </c>
      <c r="M711" s="76" t="str">
        <f aca="false">IF(OR($O711="",$O711="Cancelled",$O711="Amount missing"),"",IF($O711="Realised",0,$E711-N($F711)-N($H711)))</f>
        <v/>
      </c>
      <c r="N711" s="77" t="str">
        <f aca="false">IF(OR($M711="",FX=""),"",$M711*FX)</f>
        <v/>
      </c>
      <c r="O711" s="78" t="str">
        <f aca="false">IF(NOT(OR($A711&lt;&gt;"",$E711&lt;&gt;"")),"",IF($J711="Cancelled","Cancelled",IF($E711="","Amount missing",IF(OR($J711="Settled",$E711-N($F711)-N($H711)&lt;=0.005),"Realised",IF(N($H711)&gt;0,"Part realised",IF(N($F711)&gt;0,"Advance received","On hand"))))))</f>
        <v/>
      </c>
      <c r="P711" s="79" t="str">
        <f aca="false">IF(AND($V711=1,ISNUMBER($B711)),AsAt-$B711,"")</f>
        <v/>
      </c>
      <c r="Q711" s="78" t="str">
        <f aca="false">IF($V711&lt;&gt;1,"",IF($P711="","No invoice date",IF($P711&lt;=30,"0–30 days",IF($P711&lt;=60,"31–60 days",IF($P711&lt;=90,"61–90 days","Over 90 days")))))</f>
        <v/>
      </c>
      <c r="R711" s="80" t="str">
        <f aca="false">IF($V711=1,ROW(),"")</f>
        <v/>
      </c>
      <c r="S711" s="80" t="str">
        <f aca="false">IF(OR($A711&lt;&gt;"",$E711&lt;&gt;""),IF(TRIM($D711)="","Buyer not noted",TRIM($D711)),"")</f>
        <v/>
      </c>
      <c r="T711" s="80" t="n">
        <f aca="false">IF(AND($V711=1,ISNUMBER($M711)),$M711,0)</f>
        <v>0</v>
      </c>
      <c r="U711" s="80" t="str">
        <f aca="false">IF($V711=1,IF(COUNTIFS($S$7:$S711,$S711,$V$7:$V711,1)=1,SUMIFS($T$7:$T$1006,$S$7:$S$1006,$S711)-ROW()/1000000000,""),"")</f>
        <v/>
      </c>
      <c r="V711" s="80" t="n">
        <f aca="false">IF(OR($O711="On hand",$O711="Advance received",$O711="Part realised",$O711="Amount missing"),1,0)</f>
        <v>0</v>
      </c>
      <c r="W711" s="80" t="str">
        <f aca="false">IF(AND($V711=1,N($F711)&gt;0),ROW(),"")</f>
        <v/>
      </c>
      <c r="X711" s="80" t="n">
        <f aca="false">IF(AND(OR($A711&lt;&gt;"",$E711&lt;&gt;""),$O711&lt;&gt;"Cancelled",ISNUMBER($E711),N($F711)+N($H711)&gt;$E711+0.005),1,0)</f>
        <v>0</v>
      </c>
      <c r="Y711" s="80" t="n">
        <f aca="false">IF(AND(OR($A711&lt;&gt;"",$E711&lt;&gt;""),OR($A711="",$E711="")),1,0)</f>
        <v>0</v>
      </c>
      <c r="Z711" s="80" t="n">
        <f aca="false">IF(AND($A711&lt;&gt;"",COUNTIF($A$7:$A$1006,$A711)&gt;1),1,0)</f>
        <v>0</v>
      </c>
    </row>
    <row r="712" customFormat="false" ht="15" hidden="false" customHeight="false" outlineLevel="0" collapsed="false">
      <c r="A712" s="71"/>
      <c r="B712" s="72"/>
      <c r="C712" s="73"/>
      <c r="D712" s="73"/>
      <c r="E712" s="74"/>
      <c r="F712" s="74"/>
      <c r="G712" s="72"/>
      <c r="H712" s="74"/>
      <c r="I712" s="72"/>
      <c r="J712" s="73"/>
      <c r="K712" s="73"/>
      <c r="L712" s="75" t="str">
        <f aca="false">IF(OR($A712&lt;&gt;"",$E712&lt;&gt;""),N($F712)+N($H712),"")</f>
        <v/>
      </c>
      <c r="M712" s="76" t="str">
        <f aca="false">IF(OR($O712="",$O712="Cancelled",$O712="Amount missing"),"",IF($O712="Realised",0,$E712-N($F712)-N($H712)))</f>
        <v/>
      </c>
      <c r="N712" s="77" t="str">
        <f aca="false">IF(OR($M712="",FX=""),"",$M712*FX)</f>
        <v/>
      </c>
      <c r="O712" s="78" t="str">
        <f aca="false">IF(NOT(OR($A712&lt;&gt;"",$E712&lt;&gt;"")),"",IF($J712="Cancelled","Cancelled",IF($E712="","Amount missing",IF(OR($J712="Settled",$E712-N($F712)-N($H712)&lt;=0.005),"Realised",IF(N($H712)&gt;0,"Part realised",IF(N($F712)&gt;0,"Advance received","On hand"))))))</f>
        <v/>
      </c>
      <c r="P712" s="79" t="str">
        <f aca="false">IF(AND($V712=1,ISNUMBER($B712)),AsAt-$B712,"")</f>
        <v/>
      </c>
      <c r="Q712" s="78" t="str">
        <f aca="false">IF($V712&lt;&gt;1,"",IF($P712="","No invoice date",IF($P712&lt;=30,"0–30 days",IF($P712&lt;=60,"31–60 days",IF($P712&lt;=90,"61–90 days","Over 90 days")))))</f>
        <v/>
      </c>
      <c r="R712" s="80" t="str">
        <f aca="false">IF($V712=1,ROW(),"")</f>
        <v/>
      </c>
      <c r="S712" s="80" t="str">
        <f aca="false">IF(OR($A712&lt;&gt;"",$E712&lt;&gt;""),IF(TRIM($D712)="","Buyer not noted",TRIM($D712)),"")</f>
        <v/>
      </c>
      <c r="T712" s="80" t="n">
        <f aca="false">IF(AND($V712=1,ISNUMBER($M712)),$M712,0)</f>
        <v>0</v>
      </c>
      <c r="U712" s="80" t="str">
        <f aca="false">IF($V712=1,IF(COUNTIFS($S$7:$S712,$S712,$V$7:$V712,1)=1,SUMIFS($T$7:$T$1006,$S$7:$S$1006,$S712)-ROW()/1000000000,""),"")</f>
        <v/>
      </c>
      <c r="V712" s="80" t="n">
        <f aca="false">IF(OR($O712="On hand",$O712="Advance received",$O712="Part realised",$O712="Amount missing"),1,0)</f>
        <v>0</v>
      </c>
      <c r="W712" s="80" t="str">
        <f aca="false">IF(AND($V712=1,N($F712)&gt;0),ROW(),"")</f>
        <v/>
      </c>
      <c r="X712" s="80" t="n">
        <f aca="false">IF(AND(OR($A712&lt;&gt;"",$E712&lt;&gt;""),$O712&lt;&gt;"Cancelled",ISNUMBER($E712),N($F712)+N($H712)&gt;$E712+0.005),1,0)</f>
        <v>0</v>
      </c>
      <c r="Y712" s="80" t="n">
        <f aca="false">IF(AND(OR($A712&lt;&gt;"",$E712&lt;&gt;""),OR($A712="",$E712="")),1,0)</f>
        <v>0</v>
      </c>
      <c r="Z712" s="80" t="n">
        <f aca="false">IF(AND($A712&lt;&gt;"",COUNTIF($A$7:$A$1006,$A712)&gt;1),1,0)</f>
        <v>0</v>
      </c>
    </row>
    <row r="713" customFormat="false" ht="15" hidden="false" customHeight="false" outlineLevel="0" collapsed="false">
      <c r="A713" s="71"/>
      <c r="B713" s="72"/>
      <c r="C713" s="73"/>
      <c r="D713" s="73"/>
      <c r="E713" s="74"/>
      <c r="F713" s="74"/>
      <c r="G713" s="72"/>
      <c r="H713" s="74"/>
      <c r="I713" s="72"/>
      <c r="J713" s="73"/>
      <c r="K713" s="73"/>
      <c r="L713" s="75" t="str">
        <f aca="false">IF(OR($A713&lt;&gt;"",$E713&lt;&gt;""),N($F713)+N($H713),"")</f>
        <v/>
      </c>
      <c r="M713" s="76" t="str">
        <f aca="false">IF(OR($O713="",$O713="Cancelled",$O713="Amount missing"),"",IF($O713="Realised",0,$E713-N($F713)-N($H713)))</f>
        <v/>
      </c>
      <c r="N713" s="77" t="str">
        <f aca="false">IF(OR($M713="",FX=""),"",$M713*FX)</f>
        <v/>
      </c>
      <c r="O713" s="78" t="str">
        <f aca="false">IF(NOT(OR($A713&lt;&gt;"",$E713&lt;&gt;"")),"",IF($J713="Cancelled","Cancelled",IF($E713="","Amount missing",IF(OR($J713="Settled",$E713-N($F713)-N($H713)&lt;=0.005),"Realised",IF(N($H713)&gt;0,"Part realised",IF(N($F713)&gt;0,"Advance received","On hand"))))))</f>
        <v/>
      </c>
      <c r="P713" s="79" t="str">
        <f aca="false">IF(AND($V713=1,ISNUMBER($B713)),AsAt-$B713,"")</f>
        <v/>
      </c>
      <c r="Q713" s="78" t="str">
        <f aca="false">IF($V713&lt;&gt;1,"",IF($P713="","No invoice date",IF($P713&lt;=30,"0–30 days",IF($P713&lt;=60,"31–60 days",IF($P713&lt;=90,"61–90 days","Over 90 days")))))</f>
        <v/>
      </c>
      <c r="R713" s="80" t="str">
        <f aca="false">IF($V713=1,ROW(),"")</f>
        <v/>
      </c>
      <c r="S713" s="80" t="str">
        <f aca="false">IF(OR($A713&lt;&gt;"",$E713&lt;&gt;""),IF(TRIM($D713)="","Buyer not noted",TRIM($D713)),"")</f>
        <v/>
      </c>
      <c r="T713" s="80" t="n">
        <f aca="false">IF(AND($V713=1,ISNUMBER($M713)),$M713,0)</f>
        <v>0</v>
      </c>
      <c r="U713" s="80" t="str">
        <f aca="false">IF($V713=1,IF(COUNTIFS($S$7:$S713,$S713,$V$7:$V713,1)=1,SUMIFS($T$7:$T$1006,$S$7:$S$1006,$S713)-ROW()/1000000000,""),"")</f>
        <v/>
      </c>
      <c r="V713" s="80" t="n">
        <f aca="false">IF(OR($O713="On hand",$O713="Advance received",$O713="Part realised",$O713="Amount missing"),1,0)</f>
        <v>0</v>
      </c>
      <c r="W713" s="80" t="str">
        <f aca="false">IF(AND($V713=1,N($F713)&gt;0),ROW(),"")</f>
        <v/>
      </c>
      <c r="X713" s="80" t="n">
        <f aca="false">IF(AND(OR($A713&lt;&gt;"",$E713&lt;&gt;""),$O713&lt;&gt;"Cancelled",ISNUMBER($E713),N($F713)+N($H713)&gt;$E713+0.005),1,0)</f>
        <v>0</v>
      </c>
      <c r="Y713" s="80" t="n">
        <f aca="false">IF(AND(OR($A713&lt;&gt;"",$E713&lt;&gt;""),OR($A713="",$E713="")),1,0)</f>
        <v>0</v>
      </c>
      <c r="Z713" s="80" t="n">
        <f aca="false">IF(AND($A713&lt;&gt;"",COUNTIF($A$7:$A$1006,$A713)&gt;1),1,0)</f>
        <v>0</v>
      </c>
    </row>
    <row r="714" customFormat="false" ht="15" hidden="false" customHeight="false" outlineLevel="0" collapsed="false">
      <c r="A714" s="71"/>
      <c r="B714" s="72"/>
      <c r="C714" s="73"/>
      <c r="D714" s="73"/>
      <c r="E714" s="74"/>
      <c r="F714" s="74"/>
      <c r="G714" s="72"/>
      <c r="H714" s="74"/>
      <c r="I714" s="72"/>
      <c r="J714" s="73"/>
      <c r="K714" s="73"/>
      <c r="L714" s="75" t="str">
        <f aca="false">IF(OR($A714&lt;&gt;"",$E714&lt;&gt;""),N($F714)+N($H714),"")</f>
        <v/>
      </c>
      <c r="M714" s="76" t="str">
        <f aca="false">IF(OR($O714="",$O714="Cancelled",$O714="Amount missing"),"",IF($O714="Realised",0,$E714-N($F714)-N($H714)))</f>
        <v/>
      </c>
      <c r="N714" s="77" t="str">
        <f aca="false">IF(OR($M714="",FX=""),"",$M714*FX)</f>
        <v/>
      </c>
      <c r="O714" s="78" t="str">
        <f aca="false">IF(NOT(OR($A714&lt;&gt;"",$E714&lt;&gt;"")),"",IF($J714="Cancelled","Cancelled",IF($E714="","Amount missing",IF(OR($J714="Settled",$E714-N($F714)-N($H714)&lt;=0.005),"Realised",IF(N($H714)&gt;0,"Part realised",IF(N($F714)&gt;0,"Advance received","On hand"))))))</f>
        <v/>
      </c>
      <c r="P714" s="79" t="str">
        <f aca="false">IF(AND($V714=1,ISNUMBER($B714)),AsAt-$B714,"")</f>
        <v/>
      </c>
      <c r="Q714" s="78" t="str">
        <f aca="false">IF($V714&lt;&gt;1,"",IF($P714="","No invoice date",IF($P714&lt;=30,"0–30 days",IF($P714&lt;=60,"31–60 days",IF($P714&lt;=90,"61–90 days","Over 90 days")))))</f>
        <v/>
      </c>
      <c r="R714" s="80" t="str">
        <f aca="false">IF($V714=1,ROW(),"")</f>
        <v/>
      </c>
      <c r="S714" s="80" t="str">
        <f aca="false">IF(OR($A714&lt;&gt;"",$E714&lt;&gt;""),IF(TRIM($D714)="","Buyer not noted",TRIM($D714)),"")</f>
        <v/>
      </c>
      <c r="T714" s="80" t="n">
        <f aca="false">IF(AND($V714=1,ISNUMBER($M714)),$M714,0)</f>
        <v>0</v>
      </c>
      <c r="U714" s="80" t="str">
        <f aca="false">IF($V714=1,IF(COUNTIFS($S$7:$S714,$S714,$V$7:$V714,1)=1,SUMIFS($T$7:$T$1006,$S$7:$S$1006,$S714)-ROW()/1000000000,""),"")</f>
        <v/>
      </c>
      <c r="V714" s="80" t="n">
        <f aca="false">IF(OR($O714="On hand",$O714="Advance received",$O714="Part realised",$O714="Amount missing"),1,0)</f>
        <v>0</v>
      </c>
      <c r="W714" s="80" t="str">
        <f aca="false">IF(AND($V714=1,N($F714)&gt;0),ROW(),"")</f>
        <v/>
      </c>
      <c r="X714" s="80" t="n">
        <f aca="false">IF(AND(OR($A714&lt;&gt;"",$E714&lt;&gt;""),$O714&lt;&gt;"Cancelled",ISNUMBER($E714),N($F714)+N($H714)&gt;$E714+0.005),1,0)</f>
        <v>0</v>
      </c>
      <c r="Y714" s="80" t="n">
        <f aca="false">IF(AND(OR($A714&lt;&gt;"",$E714&lt;&gt;""),OR($A714="",$E714="")),1,0)</f>
        <v>0</v>
      </c>
      <c r="Z714" s="80" t="n">
        <f aca="false">IF(AND($A714&lt;&gt;"",COUNTIF($A$7:$A$1006,$A714)&gt;1),1,0)</f>
        <v>0</v>
      </c>
    </row>
    <row r="715" customFormat="false" ht="15" hidden="false" customHeight="false" outlineLevel="0" collapsed="false">
      <c r="A715" s="71"/>
      <c r="B715" s="72"/>
      <c r="C715" s="73"/>
      <c r="D715" s="73"/>
      <c r="E715" s="74"/>
      <c r="F715" s="74"/>
      <c r="G715" s="72"/>
      <c r="H715" s="74"/>
      <c r="I715" s="72"/>
      <c r="J715" s="73"/>
      <c r="K715" s="73"/>
      <c r="L715" s="75" t="str">
        <f aca="false">IF(OR($A715&lt;&gt;"",$E715&lt;&gt;""),N($F715)+N($H715),"")</f>
        <v/>
      </c>
      <c r="M715" s="76" t="str">
        <f aca="false">IF(OR($O715="",$O715="Cancelled",$O715="Amount missing"),"",IF($O715="Realised",0,$E715-N($F715)-N($H715)))</f>
        <v/>
      </c>
      <c r="N715" s="77" t="str">
        <f aca="false">IF(OR($M715="",FX=""),"",$M715*FX)</f>
        <v/>
      </c>
      <c r="O715" s="78" t="str">
        <f aca="false">IF(NOT(OR($A715&lt;&gt;"",$E715&lt;&gt;"")),"",IF($J715="Cancelled","Cancelled",IF($E715="","Amount missing",IF(OR($J715="Settled",$E715-N($F715)-N($H715)&lt;=0.005),"Realised",IF(N($H715)&gt;0,"Part realised",IF(N($F715)&gt;0,"Advance received","On hand"))))))</f>
        <v/>
      </c>
      <c r="P715" s="79" t="str">
        <f aca="false">IF(AND($V715=1,ISNUMBER($B715)),AsAt-$B715,"")</f>
        <v/>
      </c>
      <c r="Q715" s="78" t="str">
        <f aca="false">IF($V715&lt;&gt;1,"",IF($P715="","No invoice date",IF($P715&lt;=30,"0–30 days",IF($P715&lt;=60,"31–60 days",IF($P715&lt;=90,"61–90 days","Over 90 days")))))</f>
        <v/>
      </c>
      <c r="R715" s="80" t="str">
        <f aca="false">IF($V715=1,ROW(),"")</f>
        <v/>
      </c>
      <c r="S715" s="80" t="str">
        <f aca="false">IF(OR($A715&lt;&gt;"",$E715&lt;&gt;""),IF(TRIM($D715)="","Buyer not noted",TRIM($D715)),"")</f>
        <v/>
      </c>
      <c r="T715" s="80" t="n">
        <f aca="false">IF(AND($V715=1,ISNUMBER($M715)),$M715,0)</f>
        <v>0</v>
      </c>
      <c r="U715" s="80" t="str">
        <f aca="false">IF($V715=1,IF(COUNTIFS($S$7:$S715,$S715,$V$7:$V715,1)=1,SUMIFS($T$7:$T$1006,$S$7:$S$1006,$S715)-ROW()/1000000000,""),"")</f>
        <v/>
      </c>
      <c r="V715" s="80" t="n">
        <f aca="false">IF(OR($O715="On hand",$O715="Advance received",$O715="Part realised",$O715="Amount missing"),1,0)</f>
        <v>0</v>
      </c>
      <c r="W715" s="80" t="str">
        <f aca="false">IF(AND($V715=1,N($F715)&gt;0),ROW(),"")</f>
        <v/>
      </c>
      <c r="X715" s="80" t="n">
        <f aca="false">IF(AND(OR($A715&lt;&gt;"",$E715&lt;&gt;""),$O715&lt;&gt;"Cancelled",ISNUMBER($E715),N($F715)+N($H715)&gt;$E715+0.005),1,0)</f>
        <v>0</v>
      </c>
      <c r="Y715" s="80" t="n">
        <f aca="false">IF(AND(OR($A715&lt;&gt;"",$E715&lt;&gt;""),OR($A715="",$E715="")),1,0)</f>
        <v>0</v>
      </c>
      <c r="Z715" s="80" t="n">
        <f aca="false">IF(AND($A715&lt;&gt;"",COUNTIF($A$7:$A$1006,$A715)&gt;1),1,0)</f>
        <v>0</v>
      </c>
    </row>
    <row r="716" customFormat="false" ht="15" hidden="false" customHeight="false" outlineLevel="0" collapsed="false">
      <c r="A716" s="71"/>
      <c r="B716" s="72"/>
      <c r="C716" s="73"/>
      <c r="D716" s="73"/>
      <c r="E716" s="74"/>
      <c r="F716" s="74"/>
      <c r="G716" s="72"/>
      <c r="H716" s="74"/>
      <c r="I716" s="72"/>
      <c r="J716" s="73"/>
      <c r="K716" s="73"/>
      <c r="L716" s="75" t="str">
        <f aca="false">IF(OR($A716&lt;&gt;"",$E716&lt;&gt;""),N($F716)+N($H716),"")</f>
        <v/>
      </c>
      <c r="M716" s="76" t="str">
        <f aca="false">IF(OR($O716="",$O716="Cancelled",$O716="Amount missing"),"",IF($O716="Realised",0,$E716-N($F716)-N($H716)))</f>
        <v/>
      </c>
      <c r="N716" s="77" t="str">
        <f aca="false">IF(OR($M716="",FX=""),"",$M716*FX)</f>
        <v/>
      </c>
      <c r="O716" s="78" t="str">
        <f aca="false">IF(NOT(OR($A716&lt;&gt;"",$E716&lt;&gt;"")),"",IF($J716="Cancelled","Cancelled",IF($E716="","Amount missing",IF(OR($J716="Settled",$E716-N($F716)-N($H716)&lt;=0.005),"Realised",IF(N($H716)&gt;0,"Part realised",IF(N($F716)&gt;0,"Advance received","On hand"))))))</f>
        <v/>
      </c>
      <c r="P716" s="79" t="str">
        <f aca="false">IF(AND($V716=1,ISNUMBER($B716)),AsAt-$B716,"")</f>
        <v/>
      </c>
      <c r="Q716" s="78" t="str">
        <f aca="false">IF($V716&lt;&gt;1,"",IF($P716="","No invoice date",IF($P716&lt;=30,"0–30 days",IF($P716&lt;=60,"31–60 days",IF($P716&lt;=90,"61–90 days","Over 90 days")))))</f>
        <v/>
      </c>
      <c r="R716" s="80" t="str">
        <f aca="false">IF($V716=1,ROW(),"")</f>
        <v/>
      </c>
      <c r="S716" s="80" t="str">
        <f aca="false">IF(OR($A716&lt;&gt;"",$E716&lt;&gt;""),IF(TRIM($D716)="","Buyer not noted",TRIM($D716)),"")</f>
        <v/>
      </c>
      <c r="T716" s="80" t="n">
        <f aca="false">IF(AND($V716=1,ISNUMBER($M716)),$M716,0)</f>
        <v>0</v>
      </c>
      <c r="U716" s="80" t="str">
        <f aca="false">IF($V716=1,IF(COUNTIFS($S$7:$S716,$S716,$V$7:$V716,1)=1,SUMIFS($T$7:$T$1006,$S$7:$S$1006,$S716)-ROW()/1000000000,""),"")</f>
        <v/>
      </c>
      <c r="V716" s="80" t="n">
        <f aca="false">IF(OR($O716="On hand",$O716="Advance received",$O716="Part realised",$O716="Amount missing"),1,0)</f>
        <v>0</v>
      </c>
      <c r="W716" s="80" t="str">
        <f aca="false">IF(AND($V716=1,N($F716)&gt;0),ROW(),"")</f>
        <v/>
      </c>
      <c r="X716" s="80" t="n">
        <f aca="false">IF(AND(OR($A716&lt;&gt;"",$E716&lt;&gt;""),$O716&lt;&gt;"Cancelled",ISNUMBER($E716),N($F716)+N($H716)&gt;$E716+0.005),1,0)</f>
        <v>0</v>
      </c>
      <c r="Y716" s="80" t="n">
        <f aca="false">IF(AND(OR($A716&lt;&gt;"",$E716&lt;&gt;""),OR($A716="",$E716="")),1,0)</f>
        <v>0</v>
      </c>
      <c r="Z716" s="80" t="n">
        <f aca="false">IF(AND($A716&lt;&gt;"",COUNTIF($A$7:$A$1006,$A716)&gt;1),1,0)</f>
        <v>0</v>
      </c>
    </row>
    <row r="717" customFormat="false" ht="15" hidden="false" customHeight="false" outlineLevel="0" collapsed="false">
      <c r="A717" s="71"/>
      <c r="B717" s="72"/>
      <c r="C717" s="73"/>
      <c r="D717" s="73"/>
      <c r="E717" s="74"/>
      <c r="F717" s="74"/>
      <c r="G717" s="72"/>
      <c r="H717" s="74"/>
      <c r="I717" s="72"/>
      <c r="J717" s="73"/>
      <c r="K717" s="73"/>
      <c r="L717" s="75" t="str">
        <f aca="false">IF(OR($A717&lt;&gt;"",$E717&lt;&gt;""),N($F717)+N($H717),"")</f>
        <v/>
      </c>
      <c r="M717" s="76" t="str">
        <f aca="false">IF(OR($O717="",$O717="Cancelled",$O717="Amount missing"),"",IF($O717="Realised",0,$E717-N($F717)-N($H717)))</f>
        <v/>
      </c>
      <c r="N717" s="77" t="str">
        <f aca="false">IF(OR($M717="",FX=""),"",$M717*FX)</f>
        <v/>
      </c>
      <c r="O717" s="78" t="str">
        <f aca="false">IF(NOT(OR($A717&lt;&gt;"",$E717&lt;&gt;"")),"",IF($J717="Cancelled","Cancelled",IF($E717="","Amount missing",IF(OR($J717="Settled",$E717-N($F717)-N($H717)&lt;=0.005),"Realised",IF(N($H717)&gt;0,"Part realised",IF(N($F717)&gt;0,"Advance received","On hand"))))))</f>
        <v/>
      </c>
      <c r="P717" s="79" t="str">
        <f aca="false">IF(AND($V717=1,ISNUMBER($B717)),AsAt-$B717,"")</f>
        <v/>
      </c>
      <c r="Q717" s="78" t="str">
        <f aca="false">IF($V717&lt;&gt;1,"",IF($P717="","No invoice date",IF($P717&lt;=30,"0–30 days",IF($P717&lt;=60,"31–60 days",IF($P717&lt;=90,"61–90 days","Over 90 days")))))</f>
        <v/>
      </c>
      <c r="R717" s="80" t="str">
        <f aca="false">IF($V717=1,ROW(),"")</f>
        <v/>
      </c>
      <c r="S717" s="80" t="str">
        <f aca="false">IF(OR($A717&lt;&gt;"",$E717&lt;&gt;""),IF(TRIM($D717)="","Buyer not noted",TRIM($D717)),"")</f>
        <v/>
      </c>
      <c r="T717" s="80" t="n">
        <f aca="false">IF(AND($V717=1,ISNUMBER($M717)),$M717,0)</f>
        <v>0</v>
      </c>
      <c r="U717" s="80" t="str">
        <f aca="false">IF($V717=1,IF(COUNTIFS($S$7:$S717,$S717,$V$7:$V717,1)=1,SUMIFS($T$7:$T$1006,$S$7:$S$1006,$S717)-ROW()/1000000000,""),"")</f>
        <v/>
      </c>
      <c r="V717" s="80" t="n">
        <f aca="false">IF(OR($O717="On hand",$O717="Advance received",$O717="Part realised",$O717="Amount missing"),1,0)</f>
        <v>0</v>
      </c>
      <c r="W717" s="80" t="str">
        <f aca="false">IF(AND($V717=1,N($F717)&gt;0),ROW(),"")</f>
        <v/>
      </c>
      <c r="X717" s="80" t="n">
        <f aca="false">IF(AND(OR($A717&lt;&gt;"",$E717&lt;&gt;""),$O717&lt;&gt;"Cancelled",ISNUMBER($E717),N($F717)+N($H717)&gt;$E717+0.005),1,0)</f>
        <v>0</v>
      </c>
      <c r="Y717" s="80" t="n">
        <f aca="false">IF(AND(OR($A717&lt;&gt;"",$E717&lt;&gt;""),OR($A717="",$E717="")),1,0)</f>
        <v>0</v>
      </c>
      <c r="Z717" s="80" t="n">
        <f aca="false">IF(AND($A717&lt;&gt;"",COUNTIF($A$7:$A$1006,$A717)&gt;1),1,0)</f>
        <v>0</v>
      </c>
    </row>
    <row r="718" customFormat="false" ht="15" hidden="false" customHeight="false" outlineLevel="0" collapsed="false">
      <c r="A718" s="71"/>
      <c r="B718" s="72"/>
      <c r="C718" s="73"/>
      <c r="D718" s="73"/>
      <c r="E718" s="74"/>
      <c r="F718" s="74"/>
      <c r="G718" s="72"/>
      <c r="H718" s="74"/>
      <c r="I718" s="72"/>
      <c r="J718" s="73"/>
      <c r="K718" s="73"/>
      <c r="L718" s="75" t="str">
        <f aca="false">IF(OR($A718&lt;&gt;"",$E718&lt;&gt;""),N($F718)+N($H718),"")</f>
        <v/>
      </c>
      <c r="M718" s="76" t="str">
        <f aca="false">IF(OR($O718="",$O718="Cancelled",$O718="Amount missing"),"",IF($O718="Realised",0,$E718-N($F718)-N($H718)))</f>
        <v/>
      </c>
      <c r="N718" s="77" t="str">
        <f aca="false">IF(OR($M718="",FX=""),"",$M718*FX)</f>
        <v/>
      </c>
      <c r="O718" s="78" t="str">
        <f aca="false">IF(NOT(OR($A718&lt;&gt;"",$E718&lt;&gt;"")),"",IF($J718="Cancelled","Cancelled",IF($E718="","Amount missing",IF(OR($J718="Settled",$E718-N($F718)-N($H718)&lt;=0.005),"Realised",IF(N($H718)&gt;0,"Part realised",IF(N($F718)&gt;0,"Advance received","On hand"))))))</f>
        <v/>
      </c>
      <c r="P718" s="79" t="str">
        <f aca="false">IF(AND($V718=1,ISNUMBER($B718)),AsAt-$B718,"")</f>
        <v/>
      </c>
      <c r="Q718" s="78" t="str">
        <f aca="false">IF($V718&lt;&gt;1,"",IF($P718="","No invoice date",IF($P718&lt;=30,"0–30 days",IF($P718&lt;=60,"31–60 days",IF($P718&lt;=90,"61–90 days","Over 90 days")))))</f>
        <v/>
      </c>
      <c r="R718" s="80" t="str">
        <f aca="false">IF($V718=1,ROW(),"")</f>
        <v/>
      </c>
      <c r="S718" s="80" t="str">
        <f aca="false">IF(OR($A718&lt;&gt;"",$E718&lt;&gt;""),IF(TRIM($D718)="","Buyer not noted",TRIM($D718)),"")</f>
        <v/>
      </c>
      <c r="T718" s="80" t="n">
        <f aca="false">IF(AND($V718=1,ISNUMBER($M718)),$M718,0)</f>
        <v>0</v>
      </c>
      <c r="U718" s="80" t="str">
        <f aca="false">IF($V718=1,IF(COUNTIFS($S$7:$S718,$S718,$V$7:$V718,1)=1,SUMIFS($T$7:$T$1006,$S$7:$S$1006,$S718)-ROW()/1000000000,""),"")</f>
        <v/>
      </c>
      <c r="V718" s="80" t="n">
        <f aca="false">IF(OR($O718="On hand",$O718="Advance received",$O718="Part realised",$O718="Amount missing"),1,0)</f>
        <v>0</v>
      </c>
      <c r="W718" s="80" t="str">
        <f aca="false">IF(AND($V718=1,N($F718)&gt;0),ROW(),"")</f>
        <v/>
      </c>
      <c r="X718" s="80" t="n">
        <f aca="false">IF(AND(OR($A718&lt;&gt;"",$E718&lt;&gt;""),$O718&lt;&gt;"Cancelled",ISNUMBER($E718),N($F718)+N($H718)&gt;$E718+0.005),1,0)</f>
        <v>0</v>
      </c>
      <c r="Y718" s="80" t="n">
        <f aca="false">IF(AND(OR($A718&lt;&gt;"",$E718&lt;&gt;""),OR($A718="",$E718="")),1,0)</f>
        <v>0</v>
      </c>
      <c r="Z718" s="80" t="n">
        <f aca="false">IF(AND($A718&lt;&gt;"",COUNTIF($A$7:$A$1006,$A718)&gt;1),1,0)</f>
        <v>0</v>
      </c>
    </row>
    <row r="719" customFormat="false" ht="15" hidden="false" customHeight="false" outlineLevel="0" collapsed="false">
      <c r="A719" s="71"/>
      <c r="B719" s="72"/>
      <c r="C719" s="73"/>
      <c r="D719" s="73"/>
      <c r="E719" s="74"/>
      <c r="F719" s="74"/>
      <c r="G719" s="72"/>
      <c r="H719" s="74"/>
      <c r="I719" s="72"/>
      <c r="J719" s="73"/>
      <c r="K719" s="73"/>
      <c r="L719" s="75" t="str">
        <f aca="false">IF(OR($A719&lt;&gt;"",$E719&lt;&gt;""),N($F719)+N($H719),"")</f>
        <v/>
      </c>
      <c r="M719" s="76" t="str">
        <f aca="false">IF(OR($O719="",$O719="Cancelled",$O719="Amount missing"),"",IF($O719="Realised",0,$E719-N($F719)-N($H719)))</f>
        <v/>
      </c>
      <c r="N719" s="77" t="str">
        <f aca="false">IF(OR($M719="",FX=""),"",$M719*FX)</f>
        <v/>
      </c>
      <c r="O719" s="78" t="str">
        <f aca="false">IF(NOT(OR($A719&lt;&gt;"",$E719&lt;&gt;"")),"",IF($J719="Cancelled","Cancelled",IF($E719="","Amount missing",IF(OR($J719="Settled",$E719-N($F719)-N($H719)&lt;=0.005),"Realised",IF(N($H719)&gt;0,"Part realised",IF(N($F719)&gt;0,"Advance received","On hand"))))))</f>
        <v/>
      </c>
      <c r="P719" s="79" t="str">
        <f aca="false">IF(AND($V719=1,ISNUMBER($B719)),AsAt-$B719,"")</f>
        <v/>
      </c>
      <c r="Q719" s="78" t="str">
        <f aca="false">IF($V719&lt;&gt;1,"",IF($P719="","No invoice date",IF($P719&lt;=30,"0–30 days",IF($P719&lt;=60,"31–60 days",IF($P719&lt;=90,"61–90 days","Over 90 days")))))</f>
        <v/>
      </c>
      <c r="R719" s="80" t="str">
        <f aca="false">IF($V719=1,ROW(),"")</f>
        <v/>
      </c>
      <c r="S719" s="80" t="str">
        <f aca="false">IF(OR($A719&lt;&gt;"",$E719&lt;&gt;""),IF(TRIM($D719)="","Buyer not noted",TRIM($D719)),"")</f>
        <v/>
      </c>
      <c r="T719" s="80" t="n">
        <f aca="false">IF(AND($V719=1,ISNUMBER($M719)),$M719,0)</f>
        <v>0</v>
      </c>
      <c r="U719" s="80" t="str">
        <f aca="false">IF($V719=1,IF(COUNTIFS($S$7:$S719,$S719,$V$7:$V719,1)=1,SUMIFS($T$7:$T$1006,$S$7:$S$1006,$S719)-ROW()/1000000000,""),"")</f>
        <v/>
      </c>
      <c r="V719" s="80" t="n">
        <f aca="false">IF(OR($O719="On hand",$O719="Advance received",$O719="Part realised",$O719="Amount missing"),1,0)</f>
        <v>0</v>
      </c>
      <c r="W719" s="80" t="str">
        <f aca="false">IF(AND($V719=1,N($F719)&gt;0),ROW(),"")</f>
        <v/>
      </c>
      <c r="X719" s="80" t="n">
        <f aca="false">IF(AND(OR($A719&lt;&gt;"",$E719&lt;&gt;""),$O719&lt;&gt;"Cancelled",ISNUMBER($E719),N($F719)+N($H719)&gt;$E719+0.005),1,0)</f>
        <v>0</v>
      </c>
      <c r="Y719" s="80" t="n">
        <f aca="false">IF(AND(OR($A719&lt;&gt;"",$E719&lt;&gt;""),OR($A719="",$E719="")),1,0)</f>
        <v>0</v>
      </c>
      <c r="Z719" s="80" t="n">
        <f aca="false">IF(AND($A719&lt;&gt;"",COUNTIF($A$7:$A$1006,$A719)&gt;1),1,0)</f>
        <v>0</v>
      </c>
    </row>
    <row r="720" customFormat="false" ht="15" hidden="false" customHeight="false" outlineLevel="0" collapsed="false">
      <c r="A720" s="71"/>
      <c r="B720" s="72"/>
      <c r="C720" s="73"/>
      <c r="D720" s="73"/>
      <c r="E720" s="74"/>
      <c r="F720" s="74"/>
      <c r="G720" s="72"/>
      <c r="H720" s="74"/>
      <c r="I720" s="72"/>
      <c r="J720" s="73"/>
      <c r="K720" s="73"/>
      <c r="L720" s="75" t="str">
        <f aca="false">IF(OR($A720&lt;&gt;"",$E720&lt;&gt;""),N($F720)+N($H720),"")</f>
        <v/>
      </c>
      <c r="M720" s="76" t="str">
        <f aca="false">IF(OR($O720="",$O720="Cancelled",$O720="Amount missing"),"",IF($O720="Realised",0,$E720-N($F720)-N($H720)))</f>
        <v/>
      </c>
      <c r="N720" s="77" t="str">
        <f aca="false">IF(OR($M720="",FX=""),"",$M720*FX)</f>
        <v/>
      </c>
      <c r="O720" s="78" t="str">
        <f aca="false">IF(NOT(OR($A720&lt;&gt;"",$E720&lt;&gt;"")),"",IF($J720="Cancelled","Cancelled",IF($E720="","Amount missing",IF(OR($J720="Settled",$E720-N($F720)-N($H720)&lt;=0.005),"Realised",IF(N($H720)&gt;0,"Part realised",IF(N($F720)&gt;0,"Advance received","On hand"))))))</f>
        <v/>
      </c>
      <c r="P720" s="79" t="str">
        <f aca="false">IF(AND($V720=1,ISNUMBER($B720)),AsAt-$B720,"")</f>
        <v/>
      </c>
      <c r="Q720" s="78" t="str">
        <f aca="false">IF($V720&lt;&gt;1,"",IF($P720="","No invoice date",IF($P720&lt;=30,"0–30 days",IF($P720&lt;=60,"31–60 days",IF($P720&lt;=90,"61–90 days","Over 90 days")))))</f>
        <v/>
      </c>
      <c r="R720" s="80" t="str">
        <f aca="false">IF($V720=1,ROW(),"")</f>
        <v/>
      </c>
      <c r="S720" s="80" t="str">
        <f aca="false">IF(OR($A720&lt;&gt;"",$E720&lt;&gt;""),IF(TRIM($D720)="","Buyer not noted",TRIM($D720)),"")</f>
        <v/>
      </c>
      <c r="T720" s="80" t="n">
        <f aca="false">IF(AND($V720=1,ISNUMBER($M720)),$M720,0)</f>
        <v>0</v>
      </c>
      <c r="U720" s="80" t="str">
        <f aca="false">IF($V720=1,IF(COUNTIFS($S$7:$S720,$S720,$V$7:$V720,1)=1,SUMIFS($T$7:$T$1006,$S$7:$S$1006,$S720)-ROW()/1000000000,""),"")</f>
        <v/>
      </c>
      <c r="V720" s="80" t="n">
        <f aca="false">IF(OR($O720="On hand",$O720="Advance received",$O720="Part realised",$O720="Amount missing"),1,0)</f>
        <v>0</v>
      </c>
      <c r="W720" s="80" t="str">
        <f aca="false">IF(AND($V720=1,N($F720)&gt;0),ROW(),"")</f>
        <v/>
      </c>
      <c r="X720" s="80" t="n">
        <f aca="false">IF(AND(OR($A720&lt;&gt;"",$E720&lt;&gt;""),$O720&lt;&gt;"Cancelled",ISNUMBER($E720),N($F720)+N($H720)&gt;$E720+0.005),1,0)</f>
        <v>0</v>
      </c>
      <c r="Y720" s="80" t="n">
        <f aca="false">IF(AND(OR($A720&lt;&gt;"",$E720&lt;&gt;""),OR($A720="",$E720="")),1,0)</f>
        <v>0</v>
      </c>
      <c r="Z720" s="80" t="n">
        <f aca="false">IF(AND($A720&lt;&gt;"",COUNTIF($A$7:$A$1006,$A720)&gt;1),1,0)</f>
        <v>0</v>
      </c>
    </row>
    <row r="721" customFormat="false" ht="15" hidden="false" customHeight="false" outlineLevel="0" collapsed="false">
      <c r="A721" s="71"/>
      <c r="B721" s="72"/>
      <c r="C721" s="73"/>
      <c r="D721" s="73"/>
      <c r="E721" s="74"/>
      <c r="F721" s="74"/>
      <c r="G721" s="72"/>
      <c r="H721" s="74"/>
      <c r="I721" s="72"/>
      <c r="J721" s="73"/>
      <c r="K721" s="73"/>
      <c r="L721" s="75" t="str">
        <f aca="false">IF(OR($A721&lt;&gt;"",$E721&lt;&gt;""),N($F721)+N($H721),"")</f>
        <v/>
      </c>
      <c r="M721" s="76" t="str">
        <f aca="false">IF(OR($O721="",$O721="Cancelled",$O721="Amount missing"),"",IF($O721="Realised",0,$E721-N($F721)-N($H721)))</f>
        <v/>
      </c>
      <c r="N721" s="77" t="str">
        <f aca="false">IF(OR($M721="",FX=""),"",$M721*FX)</f>
        <v/>
      </c>
      <c r="O721" s="78" t="str">
        <f aca="false">IF(NOT(OR($A721&lt;&gt;"",$E721&lt;&gt;"")),"",IF($J721="Cancelled","Cancelled",IF($E721="","Amount missing",IF(OR($J721="Settled",$E721-N($F721)-N($H721)&lt;=0.005),"Realised",IF(N($H721)&gt;0,"Part realised",IF(N($F721)&gt;0,"Advance received","On hand"))))))</f>
        <v/>
      </c>
      <c r="P721" s="79" t="str">
        <f aca="false">IF(AND($V721=1,ISNUMBER($B721)),AsAt-$B721,"")</f>
        <v/>
      </c>
      <c r="Q721" s="78" t="str">
        <f aca="false">IF($V721&lt;&gt;1,"",IF($P721="","No invoice date",IF($P721&lt;=30,"0–30 days",IF($P721&lt;=60,"31–60 days",IF($P721&lt;=90,"61–90 days","Over 90 days")))))</f>
        <v/>
      </c>
      <c r="R721" s="80" t="str">
        <f aca="false">IF($V721=1,ROW(),"")</f>
        <v/>
      </c>
      <c r="S721" s="80" t="str">
        <f aca="false">IF(OR($A721&lt;&gt;"",$E721&lt;&gt;""),IF(TRIM($D721)="","Buyer not noted",TRIM($D721)),"")</f>
        <v/>
      </c>
      <c r="T721" s="80" t="n">
        <f aca="false">IF(AND($V721=1,ISNUMBER($M721)),$M721,0)</f>
        <v>0</v>
      </c>
      <c r="U721" s="80" t="str">
        <f aca="false">IF($V721=1,IF(COUNTIFS($S$7:$S721,$S721,$V$7:$V721,1)=1,SUMIFS($T$7:$T$1006,$S$7:$S$1006,$S721)-ROW()/1000000000,""),"")</f>
        <v/>
      </c>
      <c r="V721" s="80" t="n">
        <f aca="false">IF(OR($O721="On hand",$O721="Advance received",$O721="Part realised",$O721="Amount missing"),1,0)</f>
        <v>0</v>
      </c>
      <c r="W721" s="80" t="str">
        <f aca="false">IF(AND($V721=1,N($F721)&gt;0),ROW(),"")</f>
        <v/>
      </c>
      <c r="X721" s="80" t="n">
        <f aca="false">IF(AND(OR($A721&lt;&gt;"",$E721&lt;&gt;""),$O721&lt;&gt;"Cancelled",ISNUMBER($E721),N($F721)+N($H721)&gt;$E721+0.005),1,0)</f>
        <v>0</v>
      </c>
      <c r="Y721" s="80" t="n">
        <f aca="false">IF(AND(OR($A721&lt;&gt;"",$E721&lt;&gt;""),OR($A721="",$E721="")),1,0)</f>
        <v>0</v>
      </c>
      <c r="Z721" s="80" t="n">
        <f aca="false">IF(AND($A721&lt;&gt;"",COUNTIF($A$7:$A$1006,$A721)&gt;1),1,0)</f>
        <v>0</v>
      </c>
    </row>
    <row r="722" customFormat="false" ht="15" hidden="false" customHeight="false" outlineLevel="0" collapsed="false">
      <c r="A722" s="71"/>
      <c r="B722" s="72"/>
      <c r="C722" s="73"/>
      <c r="D722" s="73"/>
      <c r="E722" s="74"/>
      <c r="F722" s="74"/>
      <c r="G722" s="72"/>
      <c r="H722" s="74"/>
      <c r="I722" s="72"/>
      <c r="J722" s="73"/>
      <c r="K722" s="73"/>
      <c r="L722" s="75" t="str">
        <f aca="false">IF(OR($A722&lt;&gt;"",$E722&lt;&gt;""),N($F722)+N($H722),"")</f>
        <v/>
      </c>
      <c r="M722" s="76" t="str">
        <f aca="false">IF(OR($O722="",$O722="Cancelled",$O722="Amount missing"),"",IF($O722="Realised",0,$E722-N($F722)-N($H722)))</f>
        <v/>
      </c>
      <c r="N722" s="77" t="str">
        <f aca="false">IF(OR($M722="",FX=""),"",$M722*FX)</f>
        <v/>
      </c>
      <c r="O722" s="78" t="str">
        <f aca="false">IF(NOT(OR($A722&lt;&gt;"",$E722&lt;&gt;"")),"",IF($J722="Cancelled","Cancelled",IF($E722="","Amount missing",IF(OR($J722="Settled",$E722-N($F722)-N($H722)&lt;=0.005),"Realised",IF(N($H722)&gt;0,"Part realised",IF(N($F722)&gt;0,"Advance received","On hand"))))))</f>
        <v/>
      </c>
      <c r="P722" s="79" t="str">
        <f aca="false">IF(AND($V722=1,ISNUMBER($B722)),AsAt-$B722,"")</f>
        <v/>
      </c>
      <c r="Q722" s="78" t="str">
        <f aca="false">IF($V722&lt;&gt;1,"",IF($P722="","No invoice date",IF($P722&lt;=30,"0–30 days",IF($P722&lt;=60,"31–60 days",IF($P722&lt;=90,"61–90 days","Over 90 days")))))</f>
        <v/>
      </c>
      <c r="R722" s="80" t="str">
        <f aca="false">IF($V722=1,ROW(),"")</f>
        <v/>
      </c>
      <c r="S722" s="80" t="str">
        <f aca="false">IF(OR($A722&lt;&gt;"",$E722&lt;&gt;""),IF(TRIM($D722)="","Buyer not noted",TRIM($D722)),"")</f>
        <v/>
      </c>
      <c r="T722" s="80" t="n">
        <f aca="false">IF(AND($V722=1,ISNUMBER($M722)),$M722,0)</f>
        <v>0</v>
      </c>
      <c r="U722" s="80" t="str">
        <f aca="false">IF($V722=1,IF(COUNTIFS($S$7:$S722,$S722,$V$7:$V722,1)=1,SUMIFS($T$7:$T$1006,$S$7:$S$1006,$S722)-ROW()/1000000000,""),"")</f>
        <v/>
      </c>
      <c r="V722" s="80" t="n">
        <f aca="false">IF(OR($O722="On hand",$O722="Advance received",$O722="Part realised",$O722="Amount missing"),1,0)</f>
        <v>0</v>
      </c>
      <c r="W722" s="80" t="str">
        <f aca="false">IF(AND($V722=1,N($F722)&gt;0),ROW(),"")</f>
        <v/>
      </c>
      <c r="X722" s="80" t="n">
        <f aca="false">IF(AND(OR($A722&lt;&gt;"",$E722&lt;&gt;""),$O722&lt;&gt;"Cancelled",ISNUMBER($E722),N($F722)+N($H722)&gt;$E722+0.005),1,0)</f>
        <v>0</v>
      </c>
      <c r="Y722" s="80" t="n">
        <f aca="false">IF(AND(OR($A722&lt;&gt;"",$E722&lt;&gt;""),OR($A722="",$E722="")),1,0)</f>
        <v>0</v>
      </c>
      <c r="Z722" s="80" t="n">
        <f aca="false">IF(AND($A722&lt;&gt;"",COUNTIF($A$7:$A$1006,$A722)&gt;1),1,0)</f>
        <v>0</v>
      </c>
    </row>
    <row r="723" customFormat="false" ht="15" hidden="false" customHeight="false" outlineLevel="0" collapsed="false">
      <c r="A723" s="71"/>
      <c r="B723" s="72"/>
      <c r="C723" s="73"/>
      <c r="D723" s="73"/>
      <c r="E723" s="74"/>
      <c r="F723" s="74"/>
      <c r="G723" s="72"/>
      <c r="H723" s="74"/>
      <c r="I723" s="72"/>
      <c r="J723" s="73"/>
      <c r="K723" s="73"/>
      <c r="L723" s="75" t="str">
        <f aca="false">IF(OR($A723&lt;&gt;"",$E723&lt;&gt;""),N($F723)+N($H723),"")</f>
        <v/>
      </c>
      <c r="M723" s="76" t="str">
        <f aca="false">IF(OR($O723="",$O723="Cancelled",$O723="Amount missing"),"",IF($O723="Realised",0,$E723-N($F723)-N($H723)))</f>
        <v/>
      </c>
      <c r="N723" s="77" t="str">
        <f aca="false">IF(OR($M723="",FX=""),"",$M723*FX)</f>
        <v/>
      </c>
      <c r="O723" s="78" t="str">
        <f aca="false">IF(NOT(OR($A723&lt;&gt;"",$E723&lt;&gt;"")),"",IF($J723="Cancelled","Cancelled",IF($E723="","Amount missing",IF(OR($J723="Settled",$E723-N($F723)-N($H723)&lt;=0.005),"Realised",IF(N($H723)&gt;0,"Part realised",IF(N($F723)&gt;0,"Advance received","On hand"))))))</f>
        <v/>
      </c>
      <c r="P723" s="79" t="str">
        <f aca="false">IF(AND($V723=1,ISNUMBER($B723)),AsAt-$B723,"")</f>
        <v/>
      </c>
      <c r="Q723" s="78" t="str">
        <f aca="false">IF($V723&lt;&gt;1,"",IF($P723="","No invoice date",IF($P723&lt;=30,"0–30 days",IF($P723&lt;=60,"31–60 days",IF($P723&lt;=90,"61–90 days","Over 90 days")))))</f>
        <v/>
      </c>
      <c r="R723" s="80" t="str">
        <f aca="false">IF($V723=1,ROW(),"")</f>
        <v/>
      </c>
      <c r="S723" s="80" t="str">
        <f aca="false">IF(OR($A723&lt;&gt;"",$E723&lt;&gt;""),IF(TRIM($D723)="","Buyer not noted",TRIM($D723)),"")</f>
        <v/>
      </c>
      <c r="T723" s="80" t="n">
        <f aca="false">IF(AND($V723=1,ISNUMBER($M723)),$M723,0)</f>
        <v>0</v>
      </c>
      <c r="U723" s="80" t="str">
        <f aca="false">IF($V723=1,IF(COUNTIFS($S$7:$S723,$S723,$V$7:$V723,1)=1,SUMIFS($T$7:$T$1006,$S$7:$S$1006,$S723)-ROW()/1000000000,""),"")</f>
        <v/>
      </c>
      <c r="V723" s="80" t="n">
        <f aca="false">IF(OR($O723="On hand",$O723="Advance received",$O723="Part realised",$O723="Amount missing"),1,0)</f>
        <v>0</v>
      </c>
      <c r="W723" s="80" t="str">
        <f aca="false">IF(AND($V723=1,N($F723)&gt;0),ROW(),"")</f>
        <v/>
      </c>
      <c r="X723" s="80" t="n">
        <f aca="false">IF(AND(OR($A723&lt;&gt;"",$E723&lt;&gt;""),$O723&lt;&gt;"Cancelled",ISNUMBER($E723),N($F723)+N($H723)&gt;$E723+0.005),1,0)</f>
        <v>0</v>
      </c>
      <c r="Y723" s="80" t="n">
        <f aca="false">IF(AND(OR($A723&lt;&gt;"",$E723&lt;&gt;""),OR($A723="",$E723="")),1,0)</f>
        <v>0</v>
      </c>
      <c r="Z723" s="80" t="n">
        <f aca="false">IF(AND($A723&lt;&gt;"",COUNTIF($A$7:$A$1006,$A723)&gt;1),1,0)</f>
        <v>0</v>
      </c>
    </row>
    <row r="724" customFormat="false" ht="15" hidden="false" customHeight="false" outlineLevel="0" collapsed="false">
      <c r="A724" s="71"/>
      <c r="B724" s="72"/>
      <c r="C724" s="73"/>
      <c r="D724" s="73"/>
      <c r="E724" s="74"/>
      <c r="F724" s="74"/>
      <c r="G724" s="72"/>
      <c r="H724" s="74"/>
      <c r="I724" s="72"/>
      <c r="J724" s="73"/>
      <c r="K724" s="73"/>
      <c r="L724" s="75" t="str">
        <f aca="false">IF(OR($A724&lt;&gt;"",$E724&lt;&gt;""),N($F724)+N($H724),"")</f>
        <v/>
      </c>
      <c r="M724" s="76" t="str">
        <f aca="false">IF(OR($O724="",$O724="Cancelled",$O724="Amount missing"),"",IF($O724="Realised",0,$E724-N($F724)-N($H724)))</f>
        <v/>
      </c>
      <c r="N724" s="77" t="str">
        <f aca="false">IF(OR($M724="",FX=""),"",$M724*FX)</f>
        <v/>
      </c>
      <c r="O724" s="78" t="str">
        <f aca="false">IF(NOT(OR($A724&lt;&gt;"",$E724&lt;&gt;"")),"",IF($J724="Cancelled","Cancelled",IF($E724="","Amount missing",IF(OR($J724="Settled",$E724-N($F724)-N($H724)&lt;=0.005),"Realised",IF(N($H724)&gt;0,"Part realised",IF(N($F724)&gt;0,"Advance received","On hand"))))))</f>
        <v/>
      </c>
      <c r="P724" s="79" t="str">
        <f aca="false">IF(AND($V724=1,ISNUMBER($B724)),AsAt-$B724,"")</f>
        <v/>
      </c>
      <c r="Q724" s="78" t="str">
        <f aca="false">IF($V724&lt;&gt;1,"",IF($P724="","No invoice date",IF($P724&lt;=30,"0–30 days",IF($P724&lt;=60,"31–60 days",IF($P724&lt;=90,"61–90 days","Over 90 days")))))</f>
        <v/>
      </c>
      <c r="R724" s="80" t="str">
        <f aca="false">IF($V724=1,ROW(),"")</f>
        <v/>
      </c>
      <c r="S724" s="80" t="str">
        <f aca="false">IF(OR($A724&lt;&gt;"",$E724&lt;&gt;""),IF(TRIM($D724)="","Buyer not noted",TRIM($D724)),"")</f>
        <v/>
      </c>
      <c r="T724" s="80" t="n">
        <f aca="false">IF(AND($V724=1,ISNUMBER($M724)),$M724,0)</f>
        <v>0</v>
      </c>
      <c r="U724" s="80" t="str">
        <f aca="false">IF($V724=1,IF(COUNTIFS($S$7:$S724,$S724,$V$7:$V724,1)=1,SUMIFS($T$7:$T$1006,$S$7:$S$1006,$S724)-ROW()/1000000000,""),"")</f>
        <v/>
      </c>
      <c r="V724" s="80" t="n">
        <f aca="false">IF(OR($O724="On hand",$O724="Advance received",$O724="Part realised",$O724="Amount missing"),1,0)</f>
        <v>0</v>
      </c>
      <c r="W724" s="80" t="str">
        <f aca="false">IF(AND($V724=1,N($F724)&gt;0),ROW(),"")</f>
        <v/>
      </c>
      <c r="X724" s="80" t="n">
        <f aca="false">IF(AND(OR($A724&lt;&gt;"",$E724&lt;&gt;""),$O724&lt;&gt;"Cancelled",ISNUMBER($E724),N($F724)+N($H724)&gt;$E724+0.005),1,0)</f>
        <v>0</v>
      </c>
      <c r="Y724" s="80" t="n">
        <f aca="false">IF(AND(OR($A724&lt;&gt;"",$E724&lt;&gt;""),OR($A724="",$E724="")),1,0)</f>
        <v>0</v>
      </c>
      <c r="Z724" s="80" t="n">
        <f aca="false">IF(AND($A724&lt;&gt;"",COUNTIF($A$7:$A$1006,$A724)&gt;1),1,0)</f>
        <v>0</v>
      </c>
    </row>
    <row r="725" customFormat="false" ht="15" hidden="false" customHeight="false" outlineLevel="0" collapsed="false">
      <c r="A725" s="71"/>
      <c r="B725" s="72"/>
      <c r="C725" s="73"/>
      <c r="D725" s="73"/>
      <c r="E725" s="74"/>
      <c r="F725" s="74"/>
      <c r="G725" s="72"/>
      <c r="H725" s="74"/>
      <c r="I725" s="72"/>
      <c r="J725" s="73"/>
      <c r="K725" s="73"/>
      <c r="L725" s="75" t="str">
        <f aca="false">IF(OR($A725&lt;&gt;"",$E725&lt;&gt;""),N($F725)+N($H725),"")</f>
        <v/>
      </c>
      <c r="M725" s="76" t="str">
        <f aca="false">IF(OR($O725="",$O725="Cancelled",$O725="Amount missing"),"",IF($O725="Realised",0,$E725-N($F725)-N($H725)))</f>
        <v/>
      </c>
      <c r="N725" s="77" t="str">
        <f aca="false">IF(OR($M725="",FX=""),"",$M725*FX)</f>
        <v/>
      </c>
      <c r="O725" s="78" t="str">
        <f aca="false">IF(NOT(OR($A725&lt;&gt;"",$E725&lt;&gt;"")),"",IF($J725="Cancelled","Cancelled",IF($E725="","Amount missing",IF(OR($J725="Settled",$E725-N($F725)-N($H725)&lt;=0.005),"Realised",IF(N($H725)&gt;0,"Part realised",IF(N($F725)&gt;0,"Advance received","On hand"))))))</f>
        <v/>
      </c>
      <c r="P725" s="79" t="str">
        <f aca="false">IF(AND($V725=1,ISNUMBER($B725)),AsAt-$B725,"")</f>
        <v/>
      </c>
      <c r="Q725" s="78" t="str">
        <f aca="false">IF($V725&lt;&gt;1,"",IF($P725="","No invoice date",IF($P725&lt;=30,"0–30 days",IF($P725&lt;=60,"31–60 days",IF($P725&lt;=90,"61–90 days","Over 90 days")))))</f>
        <v/>
      </c>
      <c r="R725" s="80" t="str">
        <f aca="false">IF($V725=1,ROW(),"")</f>
        <v/>
      </c>
      <c r="S725" s="80" t="str">
        <f aca="false">IF(OR($A725&lt;&gt;"",$E725&lt;&gt;""),IF(TRIM($D725)="","Buyer not noted",TRIM($D725)),"")</f>
        <v/>
      </c>
      <c r="T725" s="80" t="n">
        <f aca="false">IF(AND($V725=1,ISNUMBER($M725)),$M725,0)</f>
        <v>0</v>
      </c>
      <c r="U725" s="80" t="str">
        <f aca="false">IF($V725=1,IF(COUNTIFS($S$7:$S725,$S725,$V$7:$V725,1)=1,SUMIFS($T$7:$T$1006,$S$7:$S$1006,$S725)-ROW()/1000000000,""),"")</f>
        <v/>
      </c>
      <c r="V725" s="80" t="n">
        <f aca="false">IF(OR($O725="On hand",$O725="Advance received",$O725="Part realised",$O725="Amount missing"),1,0)</f>
        <v>0</v>
      </c>
      <c r="W725" s="80" t="str">
        <f aca="false">IF(AND($V725=1,N($F725)&gt;0),ROW(),"")</f>
        <v/>
      </c>
      <c r="X725" s="80" t="n">
        <f aca="false">IF(AND(OR($A725&lt;&gt;"",$E725&lt;&gt;""),$O725&lt;&gt;"Cancelled",ISNUMBER($E725),N($F725)+N($H725)&gt;$E725+0.005),1,0)</f>
        <v>0</v>
      </c>
      <c r="Y725" s="80" t="n">
        <f aca="false">IF(AND(OR($A725&lt;&gt;"",$E725&lt;&gt;""),OR($A725="",$E725="")),1,0)</f>
        <v>0</v>
      </c>
      <c r="Z725" s="80" t="n">
        <f aca="false">IF(AND($A725&lt;&gt;"",COUNTIF($A$7:$A$1006,$A725)&gt;1),1,0)</f>
        <v>0</v>
      </c>
    </row>
    <row r="726" customFormat="false" ht="15" hidden="false" customHeight="false" outlineLevel="0" collapsed="false">
      <c r="A726" s="71"/>
      <c r="B726" s="72"/>
      <c r="C726" s="73"/>
      <c r="D726" s="73"/>
      <c r="E726" s="74"/>
      <c r="F726" s="74"/>
      <c r="G726" s="72"/>
      <c r="H726" s="74"/>
      <c r="I726" s="72"/>
      <c r="J726" s="73"/>
      <c r="K726" s="73"/>
      <c r="L726" s="75" t="str">
        <f aca="false">IF(OR($A726&lt;&gt;"",$E726&lt;&gt;""),N($F726)+N($H726),"")</f>
        <v/>
      </c>
      <c r="M726" s="76" t="str">
        <f aca="false">IF(OR($O726="",$O726="Cancelled",$O726="Amount missing"),"",IF($O726="Realised",0,$E726-N($F726)-N($H726)))</f>
        <v/>
      </c>
      <c r="N726" s="77" t="str">
        <f aca="false">IF(OR($M726="",FX=""),"",$M726*FX)</f>
        <v/>
      </c>
      <c r="O726" s="78" t="str">
        <f aca="false">IF(NOT(OR($A726&lt;&gt;"",$E726&lt;&gt;"")),"",IF($J726="Cancelled","Cancelled",IF($E726="","Amount missing",IF(OR($J726="Settled",$E726-N($F726)-N($H726)&lt;=0.005),"Realised",IF(N($H726)&gt;0,"Part realised",IF(N($F726)&gt;0,"Advance received","On hand"))))))</f>
        <v/>
      </c>
      <c r="P726" s="79" t="str">
        <f aca="false">IF(AND($V726=1,ISNUMBER($B726)),AsAt-$B726,"")</f>
        <v/>
      </c>
      <c r="Q726" s="78" t="str">
        <f aca="false">IF($V726&lt;&gt;1,"",IF($P726="","No invoice date",IF($P726&lt;=30,"0–30 days",IF($P726&lt;=60,"31–60 days",IF($P726&lt;=90,"61–90 days","Over 90 days")))))</f>
        <v/>
      </c>
      <c r="R726" s="80" t="str">
        <f aca="false">IF($V726=1,ROW(),"")</f>
        <v/>
      </c>
      <c r="S726" s="80" t="str">
        <f aca="false">IF(OR($A726&lt;&gt;"",$E726&lt;&gt;""),IF(TRIM($D726)="","Buyer not noted",TRIM($D726)),"")</f>
        <v/>
      </c>
      <c r="T726" s="80" t="n">
        <f aca="false">IF(AND($V726=1,ISNUMBER($M726)),$M726,0)</f>
        <v>0</v>
      </c>
      <c r="U726" s="80" t="str">
        <f aca="false">IF($V726=1,IF(COUNTIFS($S$7:$S726,$S726,$V$7:$V726,1)=1,SUMIFS($T$7:$T$1006,$S$7:$S$1006,$S726)-ROW()/1000000000,""),"")</f>
        <v/>
      </c>
      <c r="V726" s="80" t="n">
        <f aca="false">IF(OR($O726="On hand",$O726="Advance received",$O726="Part realised",$O726="Amount missing"),1,0)</f>
        <v>0</v>
      </c>
      <c r="W726" s="80" t="str">
        <f aca="false">IF(AND($V726=1,N($F726)&gt;0),ROW(),"")</f>
        <v/>
      </c>
      <c r="X726" s="80" t="n">
        <f aca="false">IF(AND(OR($A726&lt;&gt;"",$E726&lt;&gt;""),$O726&lt;&gt;"Cancelled",ISNUMBER($E726),N($F726)+N($H726)&gt;$E726+0.005),1,0)</f>
        <v>0</v>
      </c>
      <c r="Y726" s="80" t="n">
        <f aca="false">IF(AND(OR($A726&lt;&gt;"",$E726&lt;&gt;""),OR($A726="",$E726="")),1,0)</f>
        <v>0</v>
      </c>
      <c r="Z726" s="80" t="n">
        <f aca="false">IF(AND($A726&lt;&gt;"",COUNTIF($A$7:$A$1006,$A726)&gt;1),1,0)</f>
        <v>0</v>
      </c>
    </row>
    <row r="727" customFormat="false" ht="15" hidden="false" customHeight="false" outlineLevel="0" collapsed="false">
      <c r="A727" s="71"/>
      <c r="B727" s="72"/>
      <c r="C727" s="73"/>
      <c r="D727" s="73"/>
      <c r="E727" s="74"/>
      <c r="F727" s="74"/>
      <c r="G727" s="72"/>
      <c r="H727" s="74"/>
      <c r="I727" s="72"/>
      <c r="J727" s="73"/>
      <c r="K727" s="73"/>
      <c r="L727" s="75" t="str">
        <f aca="false">IF(OR($A727&lt;&gt;"",$E727&lt;&gt;""),N($F727)+N($H727),"")</f>
        <v/>
      </c>
      <c r="M727" s="76" t="str">
        <f aca="false">IF(OR($O727="",$O727="Cancelled",$O727="Amount missing"),"",IF($O727="Realised",0,$E727-N($F727)-N($H727)))</f>
        <v/>
      </c>
      <c r="N727" s="77" t="str">
        <f aca="false">IF(OR($M727="",FX=""),"",$M727*FX)</f>
        <v/>
      </c>
      <c r="O727" s="78" t="str">
        <f aca="false">IF(NOT(OR($A727&lt;&gt;"",$E727&lt;&gt;"")),"",IF($J727="Cancelled","Cancelled",IF($E727="","Amount missing",IF(OR($J727="Settled",$E727-N($F727)-N($H727)&lt;=0.005),"Realised",IF(N($H727)&gt;0,"Part realised",IF(N($F727)&gt;0,"Advance received","On hand"))))))</f>
        <v/>
      </c>
      <c r="P727" s="79" t="str">
        <f aca="false">IF(AND($V727=1,ISNUMBER($B727)),AsAt-$B727,"")</f>
        <v/>
      </c>
      <c r="Q727" s="78" t="str">
        <f aca="false">IF($V727&lt;&gt;1,"",IF($P727="","No invoice date",IF($P727&lt;=30,"0–30 days",IF($P727&lt;=60,"31–60 days",IF($P727&lt;=90,"61–90 days","Over 90 days")))))</f>
        <v/>
      </c>
      <c r="R727" s="80" t="str">
        <f aca="false">IF($V727=1,ROW(),"")</f>
        <v/>
      </c>
      <c r="S727" s="80" t="str">
        <f aca="false">IF(OR($A727&lt;&gt;"",$E727&lt;&gt;""),IF(TRIM($D727)="","Buyer not noted",TRIM($D727)),"")</f>
        <v/>
      </c>
      <c r="T727" s="80" t="n">
        <f aca="false">IF(AND($V727=1,ISNUMBER($M727)),$M727,0)</f>
        <v>0</v>
      </c>
      <c r="U727" s="80" t="str">
        <f aca="false">IF($V727=1,IF(COUNTIFS($S$7:$S727,$S727,$V$7:$V727,1)=1,SUMIFS($T$7:$T$1006,$S$7:$S$1006,$S727)-ROW()/1000000000,""),"")</f>
        <v/>
      </c>
      <c r="V727" s="80" t="n">
        <f aca="false">IF(OR($O727="On hand",$O727="Advance received",$O727="Part realised",$O727="Amount missing"),1,0)</f>
        <v>0</v>
      </c>
      <c r="W727" s="80" t="str">
        <f aca="false">IF(AND($V727=1,N($F727)&gt;0),ROW(),"")</f>
        <v/>
      </c>
      <c r="X727" s="80" t="n">
        <f aca="false">IF(AND(OR($A727&lt;&gt;"",$E727&lt;&gt;""),$O727&lt;&gt;"Cancelled",ISNUMBER($E727),N($F727)+N($H727)&gt;$E727+0.005),1,0)</f>
        <v>0</v>
      </c>
      <c r="Y727" s="80" t="n">
        <f aca="false">IF(AND(OR($A727&lt;&gt;"",$E727&lt;&gt;""),OR($A727="",$E727="")),1,0)</f>
        <v>0</v>
      </c>
      <c r="Z727" s="80" t="n">
        <f aca="false">IF(AND($A727&lt;&gt;"",COUNTIF($A$7:$A$1006,$A727)&gt;1),1,0)</f>
        <v>0</v>
      </c>
    </row>
    <row r="728" customFormat="false" ht="15" hidden="false" customHeight="false" outlineLevel="0" collapsed="false">
      <c r="A728" s="71"/>
      <c r="B728" s="72"/>
      <c r="C728" s="73"/>
      <c r="D728" s="73"/>
      <c r="E728" s="74"/>
      <c r="F728" s="74"/>
      <c r="G728" s="72"/>
      <c r="H728" s="74"/>
      <c r="I728" s="72"/>
      <c r="J728" s="73"/>
      <c r="K728" s="73"/>
      <c r="L728" s="75" t="str">
        <f aca="false">IF(OR($A728&lt;&gt;"",$E728&lt;&gt;""),N($F728)+N($H728),"")</f>
        <v/>
      </c>
      <c r="M728" s="76" t="str">
        <f aca="false">IF(OR($O728="",$O728="Cancelled",$O728="Amount missing"),"",IF($O728="Realised",0,$E728-N($F728)-N($H728)))</f>
        <v/>
      </c>
      <c r="N728" s="77" t="str">
        <f aca="false">IF(OR($M728="",FX=""),"",$M728*FX)</f>
        <v/>
      </c>
      <c r="O728" s="78" t="str">
        <f aca="false">IF(NOT(OR($A728&lt;&gt;"",$E728&lt;&gt;"")),"",IF($J728="Cancelled","Cancelled",IF($E728="","Amount missing",IF(OR($J728="Settled",$E728-N($F728)-N($H728)&lt;=0.005),"Realised",IF(N($H728)&gt;0,"Part realised",IF(N($F728)&gt;0,"Advance received","On hand"))))))</f>
        <v/>
      </c>
      <c r="P728" s="79" t="str">
        <f aca="false">IF(AND($V728=1,ISNUMBER($B728)),AsAt-$B728,"")</f>
        <v/>
      </c>
      <c r="Q728" s="78" t="str">
        <f aca="false">IF($V728&lt;&gt;1,"",IF($P728="","No invoice date",IF($P728&lt;=30,"0–30 days",IF($P728&lt;=60,"31–60 days",IF($P728&lt;=90,"61–90 days","Over 90 days")))))</f>
        <v/>
      </c>
      <c r="R728" s="80" t="str">
        <f aca="false">IF($V728=1,ROW(),"")</f>
        <v/>
      </c>
      <c r="S728" s="80" t="str">
        <f aca="false">IF(OR($A728&lt;&gt;"",$E728&lt;&gt;""),IF(TRIM($D728)="","Buyer not noted",TRIM($D728)),"")</f>
        <v/>
      </c>
      <c r="T728" s="80" t="n">
        <f aca="false">IF(AND($V728=1,ISNUMBER($M728)),$M728,0)</f>
        <v>0</v>
      </c>
      <c r="U728" s="80" t="str">
        <f aca="false">IF($V728=1,IF(COUNTIFS($S$7:$S728,$S728,$V$7:$V728,1)=1,SUMIFS($T$7:$T$1006,$S$7:$S$1006,$S728)-ROW()/1000000000,""),"")</f>
        <v/>
      </c>
      <c r="V728" s="80" t="n">
        <f aca="false">IF(OR($O728="On hand",$O728="Advance received",$O728="Part realised",$O728="Amount missing"),1,0)</f>
        <v>0</v>
      </c>
      <c r="W728" s="80" t="str">
        <f aca="false">IF(AND($V728=1,N($F728)&gt;0),ROW(),"")</f>
        <v/>
      </c>
      <c r="X728" s="80" t="n">
        <f aca="false">IF(AND(OR($A728&lt;&gt;"",$E728&lt;&gt;""),$O728&lt;&gt;"Cancelled",ISNUMBER($E728),N($F728)+N($H728)&gt;$E728+0.005),1,0)</f>
        <v>0</v>
      </c>
      <c r="Y728" s="80" t="n">
        <f aca="false">IF(AND(OR($A728&lt;&gt;"",$E728&lt;&gt;""),OR($A728="",$E728="")),1,0)</f>
        <v>0</v>
      </c>
      <c r="Z728" s="80" t="n">
        <f aca="false">IF(AND($A728&lt;&gt;"",COUNTIF($A$7:$A$1006,$A728)&gt;1),1,0)</f>
        <v>0</v>
      </c>
    </row>
    <row r="729" customFormat="false" ht="15" hidden="false" customHeight="false" outlineLevel="0" collapsed="false">
      <c r="A729" s="71"/>
      <c r="B729" s="72"/>
      <c r="C729" s="73"/>
      <c r="D729" s="73"/>
      <c r="E729" s="74"/>
      <c r="F729" s="74"/>
      <c r="G729" s="72"/>
      <c r="H729" s="74"/>
      <c r="I729" s="72"/>
      <c r="J729" s="73"/>
      <c r="K729" s="73"/>
      <c r="L729" s="75" t="str">
        <f aca="false">IF(OR($A729&lt;&gt;"",$E729&lt;&gt;""),N($F729)+N($H729),"")</f>
        <v/>
      </c>
      <c r="M729" s="76" t="str">
        <f aca="false">IF(OR($O729="",$O729="Cancelled",$O729="Amount missing"),"",IF($O729="Realised",0,$E729-N($F729)-N($H729)))</f>
        <v/>
      </c>
      <c r="N729" s="77" t="str">
        <f aca="false">IF(OR($M729="",FX=""),"",$M729*FX)</f>
        <v/>
      </c>
      <c r="O729" s="78" t="str">
        <f aca="false">IF(NOT(OR($A729&lt;&gt;"",$E729&lt;&gt;"")),"",IF($J729="Cancelled","Cancelled",IF($E729="","Amount missing",IF(OR($J729="Settled",$E729-N($F729)-N($H729)&lt;=0.005),"Realised",IF(N($H729)&gt;0,"Part realised",IF(N($F729)&gt;0,"Advance received","On hand"))))))</f>
        <v/>
      </c>
      <c r="P729" s="79" t="str">
        <f aca="false">IF(AND($V729=1,ISNUMBER($B729)),AsAt-$B729,"")</f>
        <v/>
      </c>
      <c r="Q729" s="78" t="str">
        <f aca="false">IF($V729&lt;&gt;1,"",IF($P729="","No invoice date",IF($P729&lt;=30,"0–30 days",IF($P729&lt;=60,"31–60 days",IF($P729&lt;=90,"61–90 days","Over 90 days")))))</f>
        <v/>
      </c>
      <c r="R729" s="80" t="str">
        <f aca="false">IF($V729=1,ROW(),"")</f>
        <v/>
      </c>
      <c r="S729" s="80" t="str">
        <f aca="false">IF(OR($A729&lt;&gt;"",$E729&lt;&gt;""),IF(TRIM($D729)="","Buyer not noted",TRIM($D729)),"")</f>
        <v/>
      </c>
      <c r="T729" s="80" t="n">
        <f aca="false">IF(AND($V729=1,ISNUMBER($M729)),$M729,0)</f>
        <v>0</v>
      </c>
      <c r="U729" s="80" t="str">
        <f aca="false">IF($V729=1,IF(COUNTIFS($S$7:$S729,$S729,$V$7:$V729,1)=1,SUMIFS($T$7:$T$1006,$S$7:$S$1006,$S729)-ROW()/1000000000,""),"")</f>
        <v/>
      </c>
      <c r="V729" s="80" t="n">
        <f aca="false">IF(OR($O729="On hand",$O729="Advance received",$O729="Part realised",$O729="Amount missing"),1,0)</f>
        <v>0</v>
      </c>
      <c r="W729" s="80" t="str">
        <f aca="false">IF(AND($V729=1,N($F729)&gt;0),ROW(),"")</f>
        <v/>
      </c>
      <c r="X729" s="80" t="n">
        <f aca="false">IF(AND(OR($A729&lt;&gt;"",$E729&lt;&gt;""),$O729&lt;&gt;"Cancelled",ISNUMBER($E729),N($F729)+N($H729)&gt;$E729+0.005),1,0)</f>
        <v>0</v>
      </c>
      <c r="Y729" s="80" t="n">
        <f aca="false">IF(AND(OR($A729&lt;&gt;"",$E729&lt;&gt;""),OR($A729="",$E729="")),1,0)</f>
        <v>0</v>
      </c>
      <c r="Z729" s="80" t="n">
        <f aca="false">IF(AND($A729&lt;&gt;"",COUNTIF($A$7:$A$1006,$A729)&gt;1),1,0)</f>
        <v>0</v>
      </c>
    </row>
    <row r="730" customFormat="false" ht="15" hidden="false" customHeight="false" outlineLevel="0" collapsed="false">
      <c r="A730" s="71"/>
      <c r="B730" s="72"/>
      <c r="C730" s="73"/>
      <c r="D730" s="73"/>
      <c r="E730" s="74"/>
      <c r="F730" s="74"/>
      <c r="G730" s="72"/>
      <c r="H730" s="74"/>
      <c r="I730" s="72"/>
      <c r="J730" s="73"/>
      <c r="K730" s="73"/>
      <c r="L730" s="75" t="str">
        <f aca="false">IF(OR($A730&lt;&gt;"",$E730&lt;&gt;""),N($F730)+N($H730),"")</f>
        <v/>
      </c>
      <c r="M730" s="76" t="str">
        <f aca="false">IF(OR($O730="",$O730="Cancelled",$O730="Amount missing"),"",IF($O730="Realised",0,$E730-N($F730)-N($H730)))</f>
        <v/>
      </c>
      <c r="N730" s="77" t="str">
        <f aca="false">IF(OR($M730="",FX=""),"",$M730*FX)</f>
        <v/>
      </c>
      <c r="O730" s="78" t="str">
        <f aca="false">IF(NOT(OR($A730&lt;&gt;"",$E730&lt;&gt;"")),"",IF($J730="Cancelled","Cancelled",IF($E730="","Amount missing",IF(OR($J730="Settled",$E730-N($F730)-N($H730)&lt;=0.005),"Realised",IF(N($H730)&gt;0,"Part realised",IF(N($F730)&gt;0,"Advance received","On hand"))))))</f>
        <v/>
      </c>
      <c r="P730" s="79" t="str">
        <f aca="false">IF(AND($V730=1,ISNUMBER($B730)),AsAt-$B730,"")</f>
        <v/>
      </c>
      <c r="Q730" s="78" t="str">
        <f aca="false">IF($V730&lt;&gt;1,"",IF($P730="","No invoice date",IF($P730&lt;=30,"0–30 days",IF($P730&lt;=60,"31–60 days",IF($P730&lt;=90,"61–90 days","Over 90 days")))))</f>
        <v/>
      </c>
      <c r="R730" s="80" t="str">
        <f aca="false">IF($V730=1,ROW(),"")</f>
        <v/>
      </c>
      <c r="S730" s="80" t="str">
        <f aca="false">IF(OR($A730&lt;&gt;"",$E730&lt;&gt;""),IF(TRIM($D730)="","Buyer not noted",TRIM($D730)),"")</f>
        <v/>
      </c>
      <c r="T730" s="80" t="n">
        <f aca="false">IF(AND($V730=1,ISNUMBER($M730)),$M730,0)</f>
        <v>0</v>
      </c>
      <c r="U730" s="80" t="str">
        <f aca="false">IF($V730=1,IF(COUNTIFS($S$7:$S730,$S730,$V$7:$V730,1)=1,SUMIFS($T$7:$T$1006,$S$7:$S$1006,$S730)-ROW()/1000000000,""),"")</f>
        <v/>
      </c>
      <c r="V730" s="80" t="n">
        <f aca="false">IF(OR($O730="On hand",$O730="Advance received",$O730="Part realised",$O730="Amount missing"),1,0)</f>
        <v>0</v>
      </c>
      <c r="W730" s="80" t="str">
        <f aca="false">IF(AND($V730=1,N($F730)&gt;0),ROW(),"")</f>
        <v/>
      </c>
      <c r="X730" s="80" t="n">
        <f aca="false">IF(AND(OR($A730&lt;&gt;"",$E730&lt;&gt;""),$O730&lt;&gt;"Cancelled",ISNUMBER($E730),N($F730)+N($H730)&gt;$E730+0.005),1,0)</f>
        <v>0</v>
      </c>
      <c r="Y730" s="80" t="n">
        <f aca="false">IF(AND(OR($A730&lt;&gt;"",$E730&lt;&gt;""),OR($A730="",$E730="")),1,0)</f>
        <v>0</v>
      </c>
      <c r="Z730" s="80" t="n">
        <f aca="false">IF(AND($A730&lt;&gt;"",COUNTIF($A$7:$A$1006,$A730)&gt;1),1,0)</f>
        <v>0</v>
      </c>
    </row>
    <row r="731" customFormat="false" ht="15" hidden="false" customHeight="false" outlineLevel="0" collapsed="false">
      <c r="A731" s="71"/>
      <c r="B731" s="72"/>
      <c r="C731" s="73"/>
      <c r="D731" s="73"/>
      <c r="E731" s="74"/>
      <c r="F731" s="74"/>
      <c r="G731" s="72"/>
      <c r="H731" s="74"/>
      <c r="I731" s="72"/>
      <c r="J731" s="73"/>
      <c r="K731" s="73"/>
      <c r="L731" s="75" t="str">
        <f aca="false">IF(OR($A731&lt;&gt;"",$E731&lt;&gt;""),N($F731)+N($H731),"")</f>
        <v/>
      </c>
      <c r="M731" s="76" t="str">
        <f aca="false">IF(OR($O731="",$O731="Cancelled",$O731="Amount missing"),"",IF($O731="Realised",0,$E731-N($F731)-N($H731)))</f>
        <v/>
      </c>
      <c r="N731" s="77" t="str">
        <f aca="false">IF(OR($M731="",FX=""),"",$M731*FX)</f>
        <v/>
      </c>
      <c r="O731" s="78" t="str">
        <f aca="false">IF(NOT(OR($A731&lt;&gt;"",$E731&lt;&gt;"")),"",IF($J731="Cancelled","Cancelled",IF($E731="","Amount missing",IF(OR($J731="Settled",$E731-N($F731)-N($H731)&lt;=0.005),"Realised",IF(N($H731)&gt;0,"Part realised",IF(N($F731)&gt;0,"Advance received","On hand"))))))</f>
        <v/>
      </c>
      <c r="P731" s="79" t="str">
        <f aca="false">IF(AND($V731=1,ISNUMBER($B731)),AsAt-$B731,"")</f>
        <v/>
      </c>
      <c r="Q731" s="78" t="str">
        <f aca="false">IF($V731&lt;&gt;1,"",IF($P731="","No invoice date",IF($P731&lt;=30,"0–30 days",IF($P731&lt;=60,"31–60 days",IF($P731&lt;=90,"61–90 days","Over 90 days")))))</f>
        <v/>
      </c>
      <c r="R731" s="80" t="str">
        <f aca="false">IF($V731=1,ROW(),"")</f>
        <v/>
      </c>
      <c r="S731" s="80" t="str">
        <f aca="false">IF(OR($A731&lt;&gt;"",$E731&lt;&gt;""),IF(TRIM($D731)="","Buyer not noted",TRIM($D731)),"")</f>
        <v/>
      </c>
      <c r="T731" s="80" t="n">
        <f aca="false">IF(AND($V731=1,ISNUMBER($M731)),$M731,0)</f>
        <v>0</v>
      </c>
      <c r="U731" s="80" t="str">
        <f aca="false">IF($V731=1,IF(COUNTIFS($S$7:$S731,$S731,$V$7:$V731,1)=1,SUMIFS($T$7:$T$1006,$S$7:$S$1006,$S731)-ROW()/1000000000,""),"")</f>
        <v/>
      </c>
      <c r="V731" s="80" t="n">
        <f aca="false">IF(OR($O731="On hand",$O731="Advance received",$O731="Part realised",$O731="Amount missing"),1,0)</f>
        <v>0</v>
      </c>
      <c r="W731" s="80" t="str">
        <f aca="false">IF(AND($V731=1,N($F731)&gt;0),ROW(),"")</f>
        <v/>
      </c>
      <c r="X731" s="80" t="n">
        <f aca="false">IF(AND(OR($A731&lt;&gt;"",$E731&lt;&gt;""),$O731&lt;&gt;"Cancelled",ISNUMBER($E731),N($F731)+N($H731)&gt;$E731+0.005),1,0)</f>
        <v>0</v>
      </c>
      <c r="Y731" s="80" t="n">
        <f aca="false">IF(AND(OR($A731&lt;&gt;"",$E731&lt;&gt;""),OR($A731="",$E731="")),1,0)</f>
        <v>0</v>
      </c>
      <c r="Z731" s="80" t="n">
        <f aca="false">IF(AND($A731&lt;&gt;"",COUNTIF($A$7:$A$1006,$A731)&gt;1),1,0)</f>
        <v>0</v>
      </c>
    </row>
    <row r="732" customFormat="false" ht="15" hidden="false" customHeight="false" outlineLevel="0" collapsed="false">
      <c r="A732" s="71"/>
      <c r="B732" s="72"/>
      <c r="C732" s="73"/>
      <c r="D732" s="73"/>
      <c r="E732" s="74"/>
      <c r="F732" s="74"/>
      <c r="G732" s="72"/>
      <c r="H732" s="74"/>
      <c r="I732" s="72"/>
      <c r="J732" s="73"/>
      <c r="K732" s="73"/>
      <c r="L732" s="75" t="str">
        <f aca="false">IF(OR($A732&lt;&gt;"",$E732&lt;&gt;""),N($F732)+N($H732),"")</f>
        <v/>
      </c>
      <c r="M732" s="76" t="str">
        <f aca="false">IF(OR($O732="",$O732="Cancelled",$O732="Amount missing"),"",IF($O732="Realised",0,$E732-N($F732)-N($H732)))</f>
        <v/>
      </c>
      <c r="N732" s="77" t="str">
        <f aca="false">IF(OR($M732="",FX=""),"",$M732*FX)</f>
        <v/>
      </c>
      <c r="O732" s="78" t="str">
        <f aca="false">IF(NOT(OR($A732&lt;&gt;"",$E732&lt;&gt;"")),"",IF($J732="Cancelled","Cancelled",IF($E732="","Amount missing",IF(OR($J732="Settled",$E732-N($F732)-N($H732)&lt;=0.005),"Realised",IF(N($H732)&gt;0,"Part realised",IF(N($F732)&gt;0,"Advance received","On hand"))))))</f>
        <v/>
      </c>
      <c r="P732" s="79" t="str">
        <f aca="false">IF(AND($V732=1,ISNUMBER($B732)),AsAt-$B732,"")</f>
        <v/>
      </c>
      <c r="Q732" s="78" t="str">
        <f aca="false">IF($V732&lt;&gt;1,"",IF($P732="","No invoice date",IF($P732&lt;=30,"0–30 days",IF($P732&lt;=60,"31–60 days",IF($P732&lt;=90,"61–90 days","Over 90 days")))))</f>
        <v/>
      </c>
      <c r="R732" s="80" t="str">
        <f aca="false">IF($V732=1,ROW(),"")</f>
        <v/>
      </c>
      <c r="S732" s="80" t="str">
        <f aca="false">IF(OR($A732&lt;&gt;"",$E732&lt;&gt;""),IF(TRIM($D732)="","Buyer not noted",TRIM($D732)),"")</f>
        <v/>
      </c>
      <c r="T732" s="80" t="n">
        <f aca="false">IF(AND($V732=1,ISNUMBER($M732)),$M732,0)</f>
        <v>0</v>
      </c>
      <c r="U732" s="80" t="str">
        <f aca="false">IF($V732=1,IF(COUNTIFS($S$7:$S732,$S732,$V$7:$V732,1)=1,SUMIFS($T$7:$T$1006,$S$7:$S$1006,$S732)-ROW()/1000000000,""),"")</f>
        <v/>
      </c>
      <c r="V732" s="80" t="n">
        <f aca="false">IF(OR($O732="On hand",$O732="Advance received",$O732="Part realised",$O732="Amount missing"),1,0)</f>
        <v>0</v>
      </c>
      <c r="W732" s="80" t="str">
        <f aca="false">IF(AND($V732=1,N($F732)&gt;0),ROW(),"")</f>
        <v/>
      </c>
      <c r="X732" s="80" t="n">
        <f aca="false">IF(AND(OR($A732&lt;&gt;"",$E732&lt;&gt;""),$O732&lt;&gt;"Cancelled",ISNUMBER($E732),N($F732)+N($H732)&gt;$E732+0.005),1,0)</f>
        <v>0</v>
      </c>
      <c r="Y732" s="80" t="n">
        <f aca="false">IF(AND(OR($A732&lt;&gt;"",$E732&lt;&gt;""),OR($A732="",$E732="")),1,0)</f>
        <v>0</v>
      </c>
      <c r="Z732" s="80" t="n">
        <f aca="false">IF(AND($A732&lt;&gt;"",COUNTIF($A$7:$A$1006,$A732)&gt;1),1,0)</f>
        <v>0</v>
      </c>
    </row>
    <row r="733" customFormat="false" ht="15" hidden="false" customHeight="false" outlineLevel="0" collapsed="false">
      <c r="A733" s="71"/>
      <c r="B733" s="72"/>
      <c r="C733" s="73"/>
      <c r="D733" s="73"/>
      <c r="E733" s="74"/>
      <c r="F733" s="74"/>
      <c r="G733" s="72"/>
      <c r="H733" s="74"/>
      <c r="I733" s="72"/>
      <c r="J733" s="73"/>
      <c r="K733" s="73"/>
      <c r="L733" s="75" t="str">
        <f aca="false">IF(OR($A733&lt;&gt;"",$E733&lt;&gt;""),N($F733)+N($H733),"")</f>
        <v/>
      </c>
      <c r="M733" s="76" t="str">
        <f aca="false">IF(OR($O733="",$O733="Cancelled",$O733="Amount missing"),"",IF($O733="Realised",0,$E733-N($F733)-N($H733)))</f>
        <v/>
      </c>
      <c r="N733" s="77" t="str">
        <f aca="false">IF(OR($M733="",FX=""),"",$M733*FX)</f>
        <v/>
      </c>
      <c r="O733" s="78" t="str">
        <f aca="false">IF(NOT(OR($A733&lt;&gt;"",$E733&lt;&gt;"")),"",IF($J733="Cancelled","Cancelled",IF($E733="","Amount missing",IF(OR($J733="Settled",$E733-N($F733)-N($H733)&lt;=0.005),"Realised",IF(N($H733)&gt;0,"Part realised",IF(N($F733)&gt;0,"Advance received","On hand"))))))</f>
        <v/>
      </c>
      <c r="P733" s="79" t="str">
        <f aca="false">IF(AND($V733=1,ISNUMBER($B733)),AsAt-$B733,"")</f>
        <v/>
      </c>
      <c r="Q733" s="78" t="str">
        <f aca="false">IF($V733&lt;&gt;1,"",IF($P733="","No invoice date",IF($P733&lt;=30,"0–30 days",IF($P733&lt;=60,"31–60 days",IF($P733&lt;=90,"61–90 days","Over 90 days")))))</f>
        <v/>
      </c>
      <c r="R733" s="80" t="str">
        <f aca="false">IF($V733=1,ROW(),"")</f>
        <v/>
      </c>
      <c r="S733" s="80" t="str">
        <f aca="false">IF(OR($A733&lt;&gt;"",$E733&lt;&gt;""),IF(TRIM($D733)="","Buyer not noted",TRIM($D733)),"")</f>
        <v/>
      </c>
      <c r="T733" s="80" t="n">
        <f aca="false">IF(AND($V733=1,ISNUMBER($M733)),$M733,0)</f>
        <v>0</v>
      </c>
      <c r="U733" s="80" t="str">
        <f aca="false">IF($V733=1,IF(COUNTIFS($S$7:$S733,$S733,$V$7:$V733,1)=1,SUMIFS($T$7:$T$1006,$S$7:$S$1006,$S733)-ROW()/1000000000,""),"")</f>
        <v/>
      </c>
      <c r="V733" s="80" t="n">
        <f aca="false">IF(OR($O733="On hand",$O733="Advance received",$O733="Part realised",$O733="Amount missing"),1,0)</f>
        <v>0</v>
      </c>
      <c r="W733" s="80" t="str">
        <f aca="false">IF(AND($V733=1,N($F733)&gt;0),ROW(),"")</f>
        <v/>
      </c>
      <c r="X733" s="80" t="n">
        <f aca="false">IF(AND(OR($A733&lt;&gt;"",$E733&lt;&gt;""),$O733&lt;&gt;"Cancelled",ISNUMBER($E733),N($F733)+N($H733)&gt;$E733+0.005),1,0)</f>
        <v>0</v>
      </c>
      <c r="Y733" s="80" t="n">
        <f aca="false">IF(AND(OR($A733&lt;&gt;"",$E733&lt;&gt;""),OR($A733="",$E733="")),1,0)</f>
        <v>0</v>
      </c>
      <c r="Z733" s="80" t="n">
        <f aca="false">IF(AND($A733&lt;&gt;"",COUNTIF($A$7:$A$1006,$A733)&gt;1),1,0)</f>
        <v>0</v>
      </c>
    </row>
    <row r="734" customFormat="false" ht="15" hidden="false" customHeight="false" outlineLevel="0" collapsed="false">
      <c r="A734" s="71"/>
      <c r="B734" s="72"/>
      <c r="C734" s="73"/>
      <c r="D734" s="73"/>
      <c r="E734" s="74"/>
      <c r="F734" s="74"/>
      <c r="G734" s="72"/>
      <c r="H734" s="74"/>
      <c r="I734" s="72"/>
      <c r="J734" s="73"/>
      <c r="K734" s="73"/>
      <c r="L734" s="75" t="str">
        <f aca="false">IF(OR($A734&lt;&gt;"",$E734&lt;&gt;""),N($F734)+N($H734),"")</f>
        <v/>
      </c>
      <c r="M734" s="76" t="str">
        <f aca="false">IF(OR($O734="",$O734="Cancelled",$O734="Amount missing"),"",IF($O734="Realised",0,$E734-N($F734)-N($H734)))</f>
        <v/>
      </c>
      <c r="N734" s="77" t="str">
        <f aca="false">IF(OR($M734="",FX=""),"",$M734*FX)</f>
        <v/>
      </c>
      <c r="O734" s="78" t="str">
        <f aca="false">IF(NOT(OR($A734&lt;&gt;"",$E734&lt;&gt;"")),"",IF($J734="Cancelled","Cancelled",IF($E734="","Amount missing",IF(OR($J734="Settled",$E734-N($F734)-N($H734)&lt;=0.005),"Realised",IF(N($H734)&gt;0,"Part realised",IF(N($F734)&gt;0,"Advance received","On hand"))))))</f>
        <v/>
      </c>
      <c r="P734" s="79" t="str">
        <f aca="false">IF(AND($V734=1,ISNUMBER($B734)),AsAt-$B734,"")</f>
        <v/>
      </c>
      <c r="Q734" s="78" t="str">
        <f aca="false">IF($V734&lt;&gt;1,"",IF($P734="","No invoice date",IF($P734&lt;=30,"0–30 days",IF($P734&lt;=60,"31–60 days",IF($P734&lt;=90,"61–90 days","Over 90 days")))))</f>
        <v/>
      </c>
      <c r="R734" s="80" t="str">
        <f aca="false">IF($V734=1,ROW(),"")</f>
        <v/>
      </c>
      <c r="S734" s="80" t="str">
        <f aca="false">IF(OR($A734&lt;&gt;"",$E734&lt;&gt;""),IF(TRIM($D734)="","Buyer not noted",TRIM($D734)),"")</f>
        <v/>
      </c>
      <c r="T734" s="80" t="n">
        <f aca="false">IF(AND($V734=1,ISNUMBER($M734)),$M734,0)</f>
        <v>0</v>
      </c>
      <c r="U734" s="80" t="str">
        <f aca="false">IF($V734=1,IF(COUNTIFS($S$7:$S734,$S734,$V$7:$V734,1)=1,SUMIFS($T$7:$T$1006,$S$7:$S$1006,$S734)-ROW()/1000000000,""),"")</f>
        <v/>
      </c>
      <c r="V734" s="80" t="n">
        <f aca="false">IF(OR($O734="On hand",$O734="Advance received",$O734="Part realised",$O734="Amount missing"),1,0)</f>
        <v>0</v>
      </c>
      <c r="W734" s="80" t="str">
        <f aca="false">IF(AND($V734=1,N($F734)&gt;0),ROW(),"")</f>
        <v/>
      </c>
      <c r="X734" s="80" t="n">
        <f aca="false">IF(AND(OR($A734&lt;&gt;"",$E734&lt;&gt;""),$O734&lt;&gt;"Cancelled",ISNUMBER($E734),N($F734)+N($H734)&gt;$E734+0.005),1,0)</f>
        <v>0</v>
      </c>
      <c r="Y734" s="80" t="n">
        <f aca="false">IF(AND(OR($A734&lt;&gt;"",$E734&lt;&gt;""),OR($A734="",$E734="")),1,0)</f>
        <v>0</v>
      </c>
      <c r="Z734" s="80" t="n">
        <f aca="false">IF(AND($A734&lt;&gt;"",COUNTIF($A$7:$A$1006,$A734)&gt;1),1,0)</f>
        <v>0</v>
      </c>
    </row>
    <row r="735" customFormat="false" ht="15" hidden="false" customHeight="false" outlineLevel="0" collapsed="false">
      <c r="A735" s="71"/>
      <c r="B735" s="72"/>
      <c r="C735" s="73"/>
      <c r="D735" s="73"/>
      <c r="E735" s="74"/>
      <c r="F735" s="74"/>
      <c r="G735" s="72"/>
      <c r="H735" s="74"/>
      <c r="I735" s="72"/>
      <c r="J735" s="73"/>
      <c r="K735" s="73"/>
      <c r="L735" s="75" t="str">
        <f aca="false">IF(OR($A735&lt;&gt;"",$E735&lt;&gt;""),N($F735)+N($H735),"")</f>
        <v/>
      </c>
      <c r="M735" s="76" t="str">
        <f aca="false">IF(OR($O735="",$O735="Cancelled",$O735="Amount missing"),"",IF($O735="Realised",0,$E735-N($F735)-N($H735)))</f>
        <v/>
      </c>
      <c r="N735" s="77" t="str">
        <f aca="false">IF(OR($M735="",FX=""),"",$M735*FX)</f>
        <v/>
      </c>
      <c r="O735" s="78" t="str">
        <f aca="false">IF(NOT(OR($A735&lt;&gt;"",$E735&lt;&gt;"")),"",IF($J735="Cancelled","Cancelled",IF($E735="","Amount missing",IF(OR($J735="Settled",$E735-N($F735)-N($H735)&lt;=0.005),"Realised",IF(N($H735)&gt;0,"Part realised",IF(N($F735)&gt;0,"Advance received","On hand"))))))</f>
        <v/>
      </c>
      <c r="P735" s="79" t="str">
        <f aca="false">IF(AND($V735=1,ISNUMBER($B735)),AsAt-$B735,"")</f>
        <v/>
      </c>
      <c r="Q735" s="78" t="str">
        <f aca="false">IF($V735&lt;&gt;1,"",IF($P735="","No invoice date",IF($P735&lt;=30,"0–30 days",IF($P735&lt;=60,"31–60 days",IF($P735&lt;=90,"61–90 days","Over 90 days")))))</f>
        <v/>
      </c>
      <c r="R735" s="80" t="str">
        <f aca="false">IF($V735=1,ROW(),"")</f>
        <v/>
      </c>
      <c r="S735" s="80" t="str">
        <f aca="false">IF(OR($A735&lt;&gt;"",$E735&lt;&gt;""),IF(TRIM($D735)="","Buyer not noted",TRIM($D735)),"")</f>
        <v/>
      </c>
      <c r="T735" s="80" t="n">
        <f aca="false">IF(AND($V735=1,ISNUMBER($M735)),$M735,0)</f>
        <v>0</v>
      </c>
      <c r="U735" s="80" t="str">
        <f aca="false">IF($V735=1,IF(COUNTIFS($S$7:$S735,$S735,$V$7:$V735,1)=1,SUMIFS($T$7:$T$1006,$S$7:$S$1006,$S735)-ROW()/1000000000,""),"")</f>
        <v/>
      </c>
      <c r="V735" s="80" t="n">
        <f aca="false">IF(OR($O735="On hand",$O735="Advance received",$O735="Part realised",$O735="Amount missing"),1,0)</f>
        <v>0</v>
      </c>
      <c r="W735" s="80" t="str">
        <f aca="false">IF(AND($V735=1,N($F735)&gt;0),ROW(),"")</f>
        <v/>
      </c>
      <c r="X735" s="80" t="n">
        <f aca="false">IF(AND(OR($A735&lt;&gt;"",$E735&lt;&gt;""),$O735&lt;&gt;"Cancelled",ISNUMBER($E735),N($F735)+N($H735)&gt;$E735+0.005),1,0)</f>
        <v>0</v>
      </c>
      <c r="Y735" s="80" t="n">
        <f aca="false">IF(AND(OR($A735&lt;&gt;"",$E735&lt;&gt;""),OR($A735="",$E735="")),1,0)</f>
        <v>0</v>
      </c>
      <c r="Z735" s="80" t="n">
        <f aca="false">IF(AND($A735&lt;&gt;"",COUNTIF($A$7:$A$1006,$A735)&gt;1),1,0)</f>
        <v>0</v>
      </c>
    </row>
    <row r="736" customFormat="false" ht="15" hidden="false" customHeight="false" outlineLevel="0" collapsed="false">
      <c r="A736" s="71"/>
      <c r="B736" s="72"/>
      <c r="C736" s="73"/>
      <c r="D736" s="73"/>
      <c r="E736" s="74"/>
      <c r="F736" s="74"/>
      <c r="G736" s="72"/>
      <c r="H736" s="74"/>
      <c r="I736" s="72"/>
      <c r="J736" s="73"/>
      <c r="K736" s="73"/>
      <c r="L736" s="75" t="str">
        <f aca="false">IF(OR($A736&lt;&gt;"",$E736&lt;&gt;""),N($F736)+N($H736),"")</f>
        <v/>
      </c>
      <c r="M736" s="76" t="str">
        <f aca="false">IF(OR($O736="",$O736="Cancelled",$O736="Amount missing"),"",IF($O736="Realised",0,$E736-N($F736)-N($H736)))</f>
        <v/>
      </c>
      <c r="N736" s="77" t="str">
        <f aca="false">IF(OR($M736="",FX=""),"",$M736*FX)</f>
        <v/>
      </c>
      <c r="O736" s="78" t="str">
        <f aca="false">IF(NOT(OR($A736&lt;&gt;"",$E736&lt;&gt;"")),"",IF($J736="Cancelled","Cancelled",IF($E736="","Amount missing",IF(OR($J736="Settled",$E736-N($F736)-N($H736)&lt;=0.005),"Realised",IF(N($H736)&gt;0,"Part realised",IF(N($F736)&gt;0,"Advance received","On hand"))))))</f>
        <v/>
      </c>
      <c r="P736" s="79" t="str">
        <f aca="false">IF(AND($V736=1,ISNUMBER($B736)),AsAt-$B736,"")</f>
        <v/>
      </c>
      <c r="Q736" s="78" t="str">
        <f aca="false">IF($V736&lt;&gt;1,"",IF($P736="","No invoice date",IF($P736&lt;=30,"0–30 days",IF($P736&lt;=60,"31–60 days",IF($P736&lt;=90,"61–90 days","Over 90 days")))))</f>
        <v/>
      </c>
      <c r="R736" s="80" t="str">
        <f aca="false">IF($V736=1,ROW(),"")</f>
        <v/>
      </c>
      <c r="S736" s="80" t="str">
        <f aca="false">IF(OR($A736&lt;&gt;"",$E736&lt;&gt;""),IF(TRIM($D736)="","Buyer not noted",TRIM($D736)),"")</f>
        <v/>
      </c>
      <c r="T736" s="80" t="n">
        <f aca="false">IF(AND($V736=1,ISNUMBER($M736)),$M736,0)</f>
        <v>0</v>
      </c>
      <c r="U736" s="80" t="str">
        <f aca="false">IF($V736=1,IF(COUNTIFS($S$7:$S736,$S736,$V$7:$V736,1)=1,SUMIFS($T$7:$T$1006,$S$7:$S$1006,$S736)-ROW()/1000000000,""),"")</f>
        <v/>
      </c>
      <c r="V736" s="80" t="n">
        <f aca="false">IF(OR($O736="On hand",$O736="Advance received",$O736="Part realised",$O736="Amount missing"),1,0)</f>
        <v>0</v>
      </c>
      <c r="W736" s="80" t="str">
        <f aca="false">IF(AND($V736=1,N($F736)&gt;0),ROW(),"")</f>
        <v/>
      </c>
      <c r="X736" s="80" t="n">
        <f aca="false">IF(AND(OR($A736&lt;&gt;"",$E736&lt;&gt;""),$O736&lt;&gt;"Cancelled",ISNUMBER($E736),N($F736)+N($H736)&gt;$E736+0.005),1,0)</f>
        <v>0</v>
      </c>
      <c r="Y736" s="80" t="n">
        <f aca="false">IF(AND(OR($A736&lt;&gt;"",$E736&lt;&gt;""),OR($A736="",$E736="")),1,0)</f>
        <v>0</v>
      </c>
      <c r="Z736" s="80" t="n">
        <f aca="false">IF(AND($A736&lt;&gt;"",COUNTIF($A$7:$A$1006,$A736)&gt;1),1,0)</f>
        <v>0</v>
      </c>
    </row>
    <row r="737" customFormat="false" ht="15" hidden="false" customHeight="false" outlineLevel="0" collapsed="false">
      <c r="A737" s="71"/>
      <c r="B737" s="72"/>
      <c r="C737" s="73"/>
      <c r="D737" s="73"/>
      <c r="E737" s="74"/>
      <c r="F737" s="74"/>
      <c r="G737" s="72"/>
      <c r="H737" s="74"/>
      <c r="I737" s="72"/>
      <c r="J737" s="73"/>
      <c r="K737" s="73"/>
      <c r="L737" s="75" t="str">
        <f aca="false">IF(OR($A737&lt;&gt;"",$E737&lt;&gt;""),N($F737)+N($H737),"")</f>
        <v/>
      </c>
      <c r="M737" s="76" t="str">
        <f aca="false">IF(OR($O737="",$O737="Cancelled",$O737="Amount missing"),"",IF($O737="Realised",0,$E737-N($F737)-N($H737)))</f>
        <v/>
      </c>
      <c r="N737" s="77" t="str">
        <f aca="false">IF(OR($M737="",FX=""),"",$M737*FX)</f>
        <v/>
      </c>
      <c r="O737" s="78" t="str">
        <f aca="false">IF(NOT(OR($A737&lt;&gt;"",$E737&lt;&gt;"")),"",IF($J737="Cancelled","Cancelled",IF($E737="","Amount missing",IF(OR($J737="Settled",$E737-N($F737)-N($H737)&lt;=0.005),"Realised",IF(N($H737)&gt;0,"Part realised",IF(N($F737)&gt;0,"Advance received","On hand"))))))</f>
        <v/>
      </c>
      <c r="P737" s="79" t="str">
        <f aca="false">IF(AND($V737=1,ISNUMBER($B737)),AsAt-$B737,"")</f>
        <v/>
      </c>
      <c r="Q737" s="78" t="str">
        <f aca="false">IF($V737&lt;&gt;1,"",IF($P737="","No invoice date",IF($P737&lt;=30,"0–30 days",IF($P737&lt;=60,"31–60 days",IF($P737&lt;=90,"61–90 days","Over 90 days")))))</f>
        <v/>
      </c>
      <c r="R737" s="80" t="str">
        <f aca="false">IF($V737=1,ROW(),"")</f>
        <v/>
      </c>
      <c r="S737" s="80" t="str">
        <f aca="false">IF(OR($A737&lt;&gt;"",$E737&lt;&gt;""),IF(TRIM($D737)="","Buyer not noted",TRIM($D737)),"")</f>
        <v/>
      </c>
      <c r="T737" s="80" t="n">
        <f aca="false">IF(AND($V737=1,ISNUMBER($M737)),$M737,0)</f>
        <v>0</v>
      </c>
      <c r="U737" s="80" t="str">
        <f aca="false">IF($V737=1,IF(COUNTIFS($S$7:$S737,$S737,$V$7:$V737,1)=1,SUMIFS($T$7:$T$1006,$S$7:$S$1006,$S737)-ROW()/1000000000,""),"")</f>
        <v/>
      </c>
      <c r="V737" s="80" t="n">
        <f aca="false">IF(OR($O737="On hand",$O737="Advance received",$O737="Part realised",$O737="Amount missing"),1,0)</f>
        <v>0</v>
      </c>
      <c r="W737" s="80" t="str">
        <f aca="false">IF(AND($V737=1,N($F737)&gt;0),ROW(),"")</f>
        <v/>
      </c>
      <c r="X737" s="80" t="n">
        <f aca="false">IF(AND(OR($A737&lt;&gt;"",$E737&lt;&gt;""),$O737&lt;&gt;"Cancelled",ISNUMBER($E737),N($F737)+N($H737)&gt;$E737+0.005),1,0)</f>
        <v>0</v>
      </c>
      <c r="Y737" s="80" t="n">
        <f aca="false">IF(AND(OR($A737&lt;&gt;"",$E737&lt;&gt;""),OR($A737="",$E737="")),1,0)</f>
        <v>0</v>
      </c>
      <c r="Z737" s="80" t="n">
        <f aca="false">IF(AND($A737&lt;&gt;"",COUNTIF($A$7:$A$1006,$A737)&gt;1),1,0)</f>
        <v>0</v>
      </c>
    </row>
    <row r="738" customFormat="false" ht="15" hidden="false" customHeight="false" outlineLevel="0" collapsed="false">
      <c r="A738" s="71"/>
      <c r="B738" s="72"/>
      <c r="C738" s="73"/>
      <c r="D738" s="73"/>
      <c r="E738" s="74"/>
      <c r="F738" s="74"/>
      <c r="G738" s="72"/>
      <c r="H738" s="74"/>
      <c r="I738" s="72"/>
      <c r="J738" s="73"/>
      <c r="K738" s="73"/>
      <c r="L738" s="75" t="str">
        <f aca="false">IF(OR($A738&lt;&gt;"",$E738&lt;&gt;""),N($F738)+N($H738),"")</f>
        <v/>
      </c>
      <c r="M738" s="76" t="str">
        <f aca="false">IF(OR($O738="",$O738="Cancelled",$O738="Amount missing"),"",IF($O738="Realised",0,$E738-N($F738)-N($H738)))</f>
        <v/>
      </c>
      <c r="N738" s="77" t="str">
        <f aca="false">IF(OR($M738="",FX=""),"",$M738*FX)</f>
        <v/>
      </c>
      <c r="O738" s="78" t="str">
        <f aca="false">IF(NOT(OR($A738&lt;&gt;"",$E738&lt;&gt;"")),"",IF($J738="Cancelled","Cancelled",IF($E738="","Amount missing",IF(OR($J738="Settled",$E738-N($F738)-N($H738)&lt;=0.005),"Realised",IF(N($H738)&gt;0,"Part realised",IF(N($F738)&gt;0,"Advance received","On hand"))))))</f>
        <v/>
      </c>
      <c r="P738" s="79" t="str">
        <f aca="false">IF(AND($V738=1,ISNUMBER($B738)),AsAt-$B738,"")</f>
        <v/>
      </c>
      <c r="Q738" s="78" t="str">
        <f aca="false">IF($V738&lt;&gt;1,"",IF($P738="","No invoice date",IF($P738&lt;=30,"0–30 days",IF($P738&lt;=60,"31–60 days",IF($P738&lt;=90,"61–90 days","Over 90 days")))))</f>
        <v/>
      </c>
      <c r="R738" s="80" t="str">
        <f aca="false">IF($V738=1,ROW(),"")</f>
        <v/>
      </c>
      <c r="S738" s="80" t="str">
        <f aca="false">IF(OR($A738&lt;&gt;"",$E738&lt;&gt;""),IF(TRIM($D738)="","Buyer not noted",TRIM($D738)),"")</f>
        <v/>
      </c>
      <c r="T738" s="80" t="n">
        <f aca="false">IF(AND($V738=1,ISNUMBER($M738)),$M738,0)</f>
        <v>0</v>
      </c>
      <c r="U738" s="80" t="str">
        <f aca="false">IF($V738=1,IF(COUNTIFS($S$7:$S738,$S738,$V$7:$V738,1)=1,SUMIFS($T$7:$T$1006,$S$7:$S$1006,$S738)-ROW()/1000000000,""),"")</f>
        <v/>
      </c>
      <c r="V738" s="80" t="n">
        <f aca="false">IF(OR($O738="On hand",$O738="Advance received",$O738="Part realised",$O738="Amount missing"),1,0)</f>
        <v>0</v>
      </c>
      <c r="W738" s="80" t="str">
        <f aca="false">IF(AND($V738=1,N($F738)&gt;0),ROW(),"")</f>
        <v/>
      </c>
      <c r="X738" s="80" t="n">
        <f aca="false">IF(AND(OR($A738&lt;&gt;"",$E738&lt;&gt;""),$O738&lt;&gt;"Cancelled",ISNUMBER($E738),N($F738)+N($H738)&gt;$E738+0.005),1,0)</f>
        <v>0</v>
      </c>
      <c r="Y738" s="80" t="n">
        <f aca="false">IF(AND(OR($A738&lt;&gt;"",$E738&lt;&gt;""),OR($A738="",$E738="")),1,0)</f>
        <v>0</v>
      </c>
      <c r="Z738" s="80" t="n">
        <f aca="false">IF(AND($A738&lt;&gt;"",COUNTIF($A$7:$A$1006,$A738)&gt;1),1,0)</f>
        <v>0</v>
      </c>
    </row>
    <row r="739" customFormat="false" ht="15" hidden="false" customHeight="false" outlineLevel="0" collapsed="false">
      <c r="A739" s="71"/>
      <c r="B739" s="72"/>
      <c r="C739" s="73"/>
      <c r="D739" s="73"/>
      <c r="E739" s="74"/>
      <c r="F739" s="74"/>
      <c r="G739" s="72"/>
      <c r="H739" s="74"/>
      <c r="I739" s="72"/>
      <c r="J739" s="73"/>
      <c r="K739" s="73"/>
      <c r="L739" s="75" t="str">
        <f aca="false">IF(OR($A739&lt;&gt;"",$E739&lt;&gt;""),N($F739)+N($H739),"")</f>
        <v/>
      </c>
      <c r="M739" s="76" t="str">
        <f aca="false">IF(OR($O739="",$O739="Cancelled",$O739="Amount missing"),"",IF($O739="Realised",0,$E739-N($F739)-N($H739)))</f>
        <v/>
      </c>
      <c r="N739" s="77" t="str">
        <f aca="false">IF(OR($M739="",FX=""),"",$M739*FX)</f>
        <v/>
      </c>
      <c r="O739" s="78" t="str">
        <f aca="false">IF(NOT(OR($A739&lt;&gt;"",$E739&lt;&gt;"")),"",IF($J739="Cancelled","Cancelled",IF($E739="","Amount missing",IF(OR($J739="Settled",$E739-N($F739)-N($H739)&lt;=0.005),"Realised",IF(N($H739)&gt;0,"Part realised",IF(N($F739)&gt;0,"Advance received","On hand"))))))</f>
        <v/>
      </c>
      <c r="P739" s="79" t="str">
        <f aca="false">IF(AND($V739=1,ISNUMBER($B739)),AsAt-$B739,"")</f>
        <v/>
      </c>
      <c r="Q739" s="78" t="str">
        <f aca="false">IF($V739&lt;&gt;1,"",IF($P739="","No invoice date",IF($P739&lt;=30,"0–30 days",IF($P739&lt;=60,"31–60 days",IF($P739&lt;=90,"61–90 days","Over 90 days")))))</f>
        <v/>
      </c>
      <c r="R739" s="80" t="str">
        <f aca="false">IF($V739=1,ROW(),"")</f>
        <v/>
      </c>
      <c r="S739" s="80" t="str">
        <f aca="false">IF(OR($A739&lt;&gt;"",$E739&lt;&gt;""),IF(TRIM($D739)="","Buyer not noted",TRIM($D739)),"")</f>
        <v/>
      </c>
      <c r="T739" s="80" t="n">
        <f aca="false">IF(AND($V739=1,ISNUMBER($M739)),$M739,0)</f>
        <v>0</v>
      </c>
      <c r="U739" s="80" t="str">
        <f aca="false">IF($V739=1,IF(COUNTIFS($S$7:$S739,$S739,$V$7:$V739,1)=1,SUMIFS($T$7:$T$1006,$S$7:$S$1006,$S739)-ROW()/1000000000,""),"")</f>
        <v/>
      </c>
      <c r="V739" s="80" t="n">
        <f aca="false">IF(OR($O739="On hand",$O739="Advance received",$O739="Part realised",$O739="Amount missing"),1,0)</f>
        <v>0</v>
      </c>
      <c r="W739" s="80" t="str">
        <f aca="false">IF(AND($V739=1,N($F739)&gt;0),ROW(),"")</f>
        <v/>
      </c>
      <c r="X739" s="80" t="n">
        <f aca="false">IF(AND(OR($A739&lt;&gt;"",$E739&lt;&gt;""),$O739&lt;&gt;"Cancelled",ISNUMBER($E739),N($F739)+N($H739)&gt;$E739+0.005),1,0)</f>
        <v>0</v>
      </c>
      <c r="Y739" s="80" t="n">
        <f aca="false">IF(AND(OR($A739&lt;&gt;"",$E739&lt;&gt;""),OR($A739="",$E739="")),1,0)</f>
        <v>0</v>
      </c>
      <c r="Z739" s="80" t="n">
        <f aca="false">IF(AND($A739&lt;&gt;"",COUNTIF($A$7:$A$1006,$A739)&gt;1),1,0)</f>
        <v>0</v>
      </c>
    </row>
    <row r="740" customFormat="false" ht="15" hidden="false" customHeight="false" outlineLevel="0" collapsed="false">
      <c r="A740" s="71"/>
      <c r="B740" s="72"/>
      <c r="C740" s="73"/>
      <c r="D740" s="73"/>
      <c r="E740" s="74"/>
      <c r="F740" s="74"/>
      <c r="G740" s="72"/>
      <c r="H740" s="74"/>
      <c r="I740" s="72"/>
      <c r="J740" s="73"/>
      <c r="K740" s="73"/>
      <c r="L740" s="75" t="str">
        <f aca="false">IF(OR($A740&lt;&gt;"",$E740&lt;&gt;""),N($F740)+N($H740),"")</f>
        <v/>
      </c>
      <c r="M740" s="76" t="str">
        <f aca="false">IF(OR($O740="",$O740="Cancelled",$O740="Amount missing"),"",IF($O740="Realised",0,$E740-N($F740)-N($H740)))</f>
        <v/>
      </c>
      <c r="N740" s="77" t="str">
        <f aca="false">IF(OR($M740="",FX=""),"",$M740*FX)</f>
        <v/>
      </c>
      <c r="O740" s="78" t="str">
        <f aca="false">IF(NOT(OR($A740&lt;&gt;"",$E740&lt;&gt;"")),"",IF($J740="Cancelled","Cancelled",IF($E740="","Amount missing",IF(OR($J740="Settled",$E740-N($F740)-N($H740)&lt;=0.005),"Realised",IF(N($H740)&gt;0,"Part realised",IF(N($F740)&gt;0,"Advance received","On hand"))))))</f>
        <v/>
      </c>
      <c r="P740" s="79" t="str">
        <f aca="false">IF(AND($V740=1,ISNUMBER($B740)),AsAt-$B740,"")</f>
        <v/>
      </c>
      <c r="Q740" s="78" t="str">
        <f aca="false">IF($V740&lt;&gt;1,"",IF($P740="","No invoice date",IF($P740&lt;=30,"0–30 days",IF($P740&lt;=60,"31–60 days",IF($P740&lt;=90,"61–90 days","Over 90 days")))))</f>
        <v/>
      </c>
      <c r="R740" s="80" t="str">
        <f aca="false">IF($V740=1,ROW(),"")</f>
        <v/>
      </c>
      <c r="S740" s="80" t="str">
        <f aca="false">IF(OR($A740&lt;&gt;"",$E740&lt;&gt;""),IF(TRIM($D740)="","Buyer not noted",TRIM($D740)),"")</f>
        <v/>
      </c>
      <c r="T740" s="80" t="n">
        <f aca="false">IF(AND($V740=1,ISNUMBER($M740)),$M740,0)</f>
        <v>0</v>
      </c>
      <c r="U740" s="80" t="str">
        <f aca="false">IF($V740=1,IF(COUNTIFS($S$7:$S740,$S740,$V$7:$V740,1)=1,SUMIFS($T$7:$T$1006,$S$7:$S$1006,$S740)-ROW()/1000000000,""),"")</f>
        <v/>
      </c>
      <c r="V740" s="80" t="n">
        <f aca="false">IF(OR($O740="On hand",$O740="Advance received",$O740="Part realised",$O740="Amount missing"),1,0)</f>
        <v>0</v>
      </c>
      <c r="W740" s="80" t="str">
        <f aca="false">IF(AND($V740=1,N($F740)&gt;0),ROW(),"")</f>
        <v/>
      </c>
      <c r="X740" s="80" t="n">
        <f aca="false">IF(AND(OR($A740&lt;&gt;"",$E740&lt;&gt;""),$O740&lt;&gt;"Cancelled",ISNUMBER($E740),N($F740)+N($H740)&gt;$E740+0.005),1,0)</f>
        <v>0</v>
      </c>
      <c r="Y740" s="80" t="n">
        <f aca="false">IF(AND(OR($A740&lt;&gt;"",$E740&lt;&gt;""),OR($A740="",$E740="")),1,0)</f>
        <v>0</v>
      </c>
      <c r="Z740" s="80" t="n">
        <f aca="false">IF(AND($A740&lt;&gt;"",COUNTIF($A$7:$A$1006,$A740)&gt;1),1,0)</f>
        <v>0</v>
      </c>
    </row>
    <row r="741" customFormat="false" ht="15" hidden="false" customHeight="false" outlineLevel="0" collapsed="false">
      <c r="A741" s="71"/>
      <c r="B741" s="72"/>
      <c r="C741" s="73"/>
      <c r="D741" s="73"/>
      <c r="E741" s="74"/>
      <c r="F741" s="74"/>
      <c r="G741" s="72"/>
      <c r="H741" s="74"/>
      <c r="I741" s="72"/>
      <c r="J741" s="73"/>
      <c r="K741" s="73"/>
      <c r="L741" s="75" t="str">
        <f aca="false">IF(OR($A741&lt;&gt;"",$E741&lt;&gt;""),N($F741)+N($H741),"")</f>
        <v/>
      </c>
      <c r="M741" s="76" t="str">
        <f aca="false">IF(OR($O741="",$O741="Cancelled",$O741="Amount missing"),"",IF($O741="Realised",0,$E741-N($F741)-N($H741)))</f>
        <v/>
      </c>
      <c r="N741" s="77" t="str">
        <f aca="false">IF(OR($M741="",FX=""),"",$M741*FX)</f>
        <v/>
      </c>
      <c r="O741" s="78" t="str">
        <f aca="false">IF(NOT(OR($A741&lt;&gt;"",$E741&lt;&gt;"")),"",IF($J741="Cancelled","Cancelled",IF($E741="","Amount missing",IF(OR($J741="Settled",$E741-N($F741)-N($H741)&lt;=0.005),"Realised",IF(N($H741)&gt;0,"Part realised",IF(N($F741)&gt;0,"Advance received","On hand"))))))</f>
        <v/>
      </c>
      <c r="P741" s="79" t="str">
        <f aca="false">IF(AND($V741=1,ISNUMBER($B741)),AsAt-$B741,"")</f>
        <v/>
      </c>
      <c r="Q741" s="78" t="str">
        <f aca="false">IF($V741&lt;&gt;1,"",IF($P741="","No invoice date",IF($P741&lt;=30,"0–30 days",IF($P741&lt;=60,"31–60 days",IF($P741&lt;=90,"61–90 days","Over 90 days")))))</f>
        <v/>
      </c>
      <c r="R741" s="80" t="str">
        <f aca="false">IF($V741=1,ROW(),"")</f>
        <v/>
      </c>
      <c r="S741" s="80" t="str">
        <f aca="false">IF(OR($A741&lt;&gt;"",$E741&lt;&gt;""),IF(TRIM($D741)="","Buyer not noted",TRIM($D741)),"")</f>
        <v/>
      </c>
      <c r="T741" s="80" t="n">
        <f aca="false">IF(AND($V741=1,ISNUMBER($M741)),$M741,0)</f>
        <v>0</v>
      </c>
      <c r="U741" s="80" t="str">
        <f aca="false">IF($V741=1,IF(COUNTIFS($S$7:$S741,$S741,$V$7:$V741,1)=1,SUMIFS($T$7:$T$1006,$S$7:$S$1006,$S741)-ROW()/1000000000,""),"")</f>
        <v/>
      </c>
      <c r="V741" s="80" t="n">
        <f aca="false">IF(OR($O741="On hand",$O741="Advance received",$O741="Part realised",$O741="Amount missing"),1,0)</f>
        <v>0</v>
      </c>
      <c r="W741" s="80" t="str">
        <f aca="false">IF(AND($V741=1,N($F741)&gt;0),ROW(),"")</f>
        <v/>
      </c>
      <c r="X741" s="80" t="n">
        <f aca="false">IF(AND(OR($A741&lt;&gt;"",$E741&lt;&gt;""),$O741&lt;&gt;"Cancelled",ISNUMBER($E741),N($F741)+N($H741)&gt;$E741+0.005),1,0)</f>
        <v>0</v>
      </c>
      <c r="Y741" s="80" t="n">
        <f aca="false">IF(AND(OR($A741&lt;&gt;"",$E741&lt;&gt;""),OR($A741="",$E741="")),1,0)</f>
        <v>0</v>
      </c>
      <c r="Z741" s="80" t="n">
        <f aca="false">IF(AND($A741&lt;&gt;"",COUNTIF($A$7:$A$1006,$A741)&gt;1),1,0)</f>
        <v>0</v>
      </c>
    </row>
    <row r="742" customFormat="false" ht="15" hidden="false" customHeight="false" outlineLevel="0" collapsed="false">
      <c r="A742" s="71"/>
      <c r="B742" s="72"/>
      <c r="C742" s="73"/>
      <c r="D742" s="73"/>
      <c r="E742" s="74"/>
      <c r="F742" s="74"/>
      <c r="G742" s="72"/>
      <c r="H742" s="74"/>
      <c r="I742" s="72"/>
      <c r="J742" s="73"/>
      <c r="K742" s="73"/>
      <c r="L742" s="75" t="str">
        <f aca="false">IF(OR($A742&lt;&gt;"",$E742&lt;&gt;""),N($F742)+N($H742),"")</f>
        <v/>
      </c>
      <c r="M742" s="76" t="str">
        <f aca="false">IF(OR($O742="",$O742="Cancelled",$O742="Amount missing"),"",IF($O742="Realised",0,$E742-N($F742)-N($H742)))</f>
        <v/>
      </c>
      <c r="N742" s="77" t="str">
        <f aca="false">IF(OR($M742="",FX=""),"",$M742*FX)</f>
        <v/>
      </c>
      <c r="O742" s="78" t="str">
        <f aca="false">IF(NOT(OR($A742&lt;&gt;"",$E742&lt;&gt;"")),"",IF($J742="Cancelled","Cancelled",IF($E742="","Amount missing",IF(OR($J742="Settled",$E742-N($F742)-N($H742)&lt;=0.005),"Realised",IF(N($H742)&gt;0,"Part realised",IF(N($F742)&gt;0,"Advance received","On hand"))))))</f>
        <v/>
      </c>
      <c r="P742" s="79" t="str">
        <f aca="false">IF(AND($V742=1,ISNUMBER($B742)),AsAt-$B742,"")</f>
        <v/>
      </c>
      <c r="Q742" s="78" t="str">
        <f aca="false">IF($V742&lt;&gt;1,"",IF($P742="","No invoice date",IF($P742&lt;=30,"0–30 days",IF($P742&lt;=60,"31–60 days",IF($P742&lt;=90,"61–90 days","Over 90 days")))))</f>
        <v/>
      </c>
      <c r="R742" s="80" t="str">
        <f aca="false">IF($V742=1,ROW(),"")</f>
        <v/>
      </c>
      <c r="S742" s="80" t="str">
        <f aca="false">IF(OR($A742&lt;&gt;"",$E742&lt;&gt;""),IF(TRIM($D742)="","Buyer not noted",TRIM($D742)),"")</f>
        <v/>
      </c>
      <c r="T742" s="80" t="n">
        <f aca="false">IF(AND($V742=1,ISNUMBER($M742)),$M742,0)</f>
        <v>0</v>
      </c>
      <c r="U742" s="80" t="str">
        <f aca="false">IF($V742=1,IF(COUNTIFS($S$7:$S742,$S742,$V$7:$V742,1)=1,SUMIFS($T$7:$T$1006,$S$7:$S$1006,$S742)-ROW()/1000000000,""),"")</f>
        <v/>
      </c>
      <c r="V742" s="80" t="n">
        <f aca="false">IF(OR($O742="On hand",$O742="Advance received",$O742="Part realised",$O742="Amount missing"),1,0)</f>
        <v>0</v>
      </c>
      <c r="W742" s="80" t="str">
        <f aca="false">IF(AND($V742=1,N($F742)&gt;0),ROW(),"")</f>
        <v/>
      </c>
      <c r="X742" s="80" t="n">
        <f aca="false">IF(AND(OR($A742&lt;&gt;"",$E742&lt;&gt;""),$O742&lt;&gt;"Cancelled",ISNUMBER($E742),N($F742)+N($H742)&gt;$E742+0.005),1,0)</f>
        <v>0</v>
      </c>
      <c r="Y742" s="80" t="n">
        <f aca="false">IF(AND(OR($A742&lt;&gt;"",$E742&lt;&gt;""),OR($A742="",$E742="")),1,0)</f>
        <v>0</v>
      </c>
      <c r="Z742" s="80" t="n">
        <f aca="false">IF(AND($A742&lt;&gt;"",COUNTIF($A$7:$A$1006,$A742)&gt;1),1,0)</f>
        <v>0</v>
      </c>
    </row>
    <row r="743" customFormat="false" ht="15" hidden="false" customHeight="false" outlineLevel="0" collapsed="false">
      <c r="A743" s="71"/>
      <c r="B743" s="72"/>
      <c r="C743" s="73"/>
      <c r="D743" s="73"/>
      <c r="E743" s="74"/>
      <c r="F743" s="74"/>
      <c r="G743" s="72"/>
      <c r="H743" s="74"/>
      <c r="I743" s="72"/>
      <c r="J743" s="73"/>
      <c r="K743" s="73"/>
      <c r="L743" s="75" t="str">
        <f aca="false">IF(OR($A743&lt;&gt;"",$E743&lt;&gt;""),N($F743)+N($H743),"")</f>
        <v/>
      </c>
      <c r="M743" s="76" t="str">
        <f aca="false">IF(OR($O743="",$O743="Cancelled",$O743="Amount missing"),"",IF($O743="Realised",0,$E743-N($F743)-N($H743)))</f>
        <v/>
      </c>
      <c r="N743" s="77" t="str">
        <f aca="false">IF(OR($M743="",FX=""),"",$M743*FX)</f>
        <v/>
      </c>
      <c r="O743" s="78" t="str">
        <f aca="false">IF(NOT(OR($A743&lt;&gt;"",$E743&lt;&gt;"")),"",IF($J743="Cancelled","Cancelled",IF($E743="","Amount missing",IF(OR($J743="Settled",$E743-N($F743)-N($H743)&lt;=0.005),"Realised",IF(N($H743)&gt;0,"Part realised",IF(N($F743)&gt;0,"Advance received","On hand"))))))</f>
        <v/>
      </c>
      <c r="P743" s="79" t="str">
        <f aca="false">IF(AND($V743=1,ISNUMBER($B743)),AsAt-$B743,"")</f>
        <v/>
      </c>
      <c r="Q743" s="78" t="str">
        <f aca="false">IF($V743&lt;&gt;1,"",IF($P743="","No invoice date",IF($P743&lt;=30,"0–30 days",IF($P743&lt;=60,"31–60 days",IF($P743&lt;=90,"61–90 days","Over 90 days")))))</f>
        <v/>
      </c>
      <c r="R743" s="80" t="str">
        <f aca="false">IF($V743=1,ROW(),"")</f>
        <v/>
      </c>
      <c r="S743" s="80" t="str">
        <f aca="false">IF(OR($A743&lt;&gt;"",$E743&lt;&gt;""),IF(TRIM($D743)="","Buyer not noted",TRIM($D743)),"")</f>
        <v/>
      </c>
      <c r="T743" s="80" t="n">
        <f aca="false">IF(AND($V743=1,ISNUMBER($M743)),$M743,0)</f>
        <v>0</v>
      </c>
      <c r="U743" s="80" t="str">
        <f aca="false">IF($V743=1,IF(COUNTIFS($S$7:$S743,$S743,$V$7:$V743,1)=1,SUMIFS($T$7:$T$1006,$S$7:$S$1006,$S743)-ROW()/1000000000,""),"")</f>
        <v/>
      </c>
      <c r="V743" s="80" t="n">
        <f aca="false">IF(OR($O743="On hand",$O743="Advance received",$O743="Part realised",$O743="Amount missing"),1,0)</f>
        <v>0</v>
      </c>
      <c r="W743" s="80" t="str">
        <f aca="false">IF(AND($V743=1,N($F743)&gt;0),ROW(),"")</f>
        <v/>
      </c>
      <c r="X743" s="80" t="n">
        <f aca="false">IF(AND(OR($A743&lt;&gt;"",$E743&lt;&gt;""),$O743&lt;&gt;"Cancelled",ISNUMBER($E743),N($F743)+N($H743)&gt;$E743+0.005),1,0)</f>
        <v>0</v>
      </c>
      <c r="Y743" s="80" t="n">
        <f aca="false">IF(AND(OR($A743&lt;&gt;"",$E743&lt;&gt;""),OR($A743="",$E743="")),1,0)</f>
        <v>0</v>
      </c>
      <c r="Z743" s="80" t="n">
        <f aca="false">IF(AND($A743&lt;&gt;"",COUNTIF($A$7:$A$1006,$A743)&gt;1),1,0)</f>
        <v>0</v>
      </c>
    </row>
    <row r="744" customFormat="false" ht="15" hidden="false" customHeight="false" outlineLevel="0" collapsed="false">
      <c r="A744" s="71"/>
      <c r="B744" s="72"/>
      <c r="C744" s="73"/>
      <c r="D744" s="73"/>
      <c r="E744" s="74"/>
      <c r="F744" s="74"/>
      <c r="G744" s="72"/>
      <c r="H744" s="74"/>
      <c r="I744" s="72"/>
      <c r="J744" s="73"/>
      <c r="K744" s="73"/>
      <c r="L744" s="75" t="str">
        <f aca="false">IF(OR($A744&lt;&gt;"",$E744&lt;&gt;""),N($F744)+N($H744),"")</f>
        <v/>
      </c>
      <c r="M744" s="76" t="str">
        <f aca="false">IF(OR($O744="",$O744="Cancelled",$O744="Amount missing"),"",IF($O744="Realised",0,$E744-N($F744)-N($H744)))</f>
        <v/>
      </c>
      <c r="N744" s="77" t="str">
        <f aca="false">IF(OR($M744="",FX=""),"",$M744*FX)</f>
        <v/>
      </c>
      <c r="O744" s="78" t="str">
        <f aca="false">IF(NOT(OR($A744&lt;&gt;"",$E744&lt;&gt;"")),"",IF($J744="Cancelled","Cancelled",IF($E744="","Amount missing",IF(OR($J744="Settled",$E744-N($F744)-N($H744)&lt;=0.005),"Realised",IF(N($H744)&gt;0,"Part realised",IF(N($F744)&gt;0,"Advance received","On hand"))))))</f>
        <v/>
      </c>
      <c r="P744" s="79" t="str">
        <f aca="false">IF(AND($V744=1,ISNUMBER($B744)),AsAt-$B744,"")</f>
        <v/>
      </c>
      <c r="Q744" s="78" t="str">
        <f aca="false">IF($V744&lt;&gt;1,"",IF($P744="","No invoice date",IF($P744&lt;=30,"0–30 days",IF($P744&lt;=60,"31–60 days",IF($P744&lt;=90,"61–90 days","Over 90 days")))))</f>
        <v/>
      </c>
      <c r="R744" s="80" t="str">
        <f aca="false">IF($V744=1,ROW(),"")</f>
        <v/>
      </c>
      <c r="S744" s="80" t="str">
        <f aca="false">IF(OR($A744&lt;&gt;"",$E744&lt;&gt;""),IF(TRIM($D744)="","Buyer not noted",TRIM($D744)),"")</f>
        <v/>
      </c>
      <c r="T744" s="80" t="n">
        <f aca="false">IF(AND($V744=1,ISNUMBER($M744)),$M744,0)</f>
        <v>0</v>
      </c>
      <c r="U744" s="80" t="str">
        <f aca="false">IF($V744=1,IF(COUNTIFS($S$7:$S744,$S744,$V$7:$V744,1)=1,SUMIFS($T$7:$T$1006,$S$7:$S$1006,$S744)-ROW()/1000000000,""),"")</f>
        <v/>
      </c>
      <c r="V744" s="80" t="n">
        <f aca="false">IF(OR($O744="On hand",$O744="Advance received",$O744="Part realised",$O744="Amount missing"),1,0)</f>
        <v>0</v>
      </c>
      <c r="W744" s="80" t="str">
        <f aca="false">IF(AND($V744=1,N($F744)&gt;0),ROW(),"")</f>
        <v/>
      </c>
      <c r="X744" s="80" t="n">
        <f aca="false">IF(AND(OR($A744&lt;&gt;"",$E744&lt;&gt;""),$O744&lt;&gt;"Cancelled",ISNUMBER($E744),N($F744)+N($H744)&gt;$E744+0.005),1,0)</f>
        <v>0</v>
      </c>
      <c r="Y744" s="80" t="n">
        <f aca="false">IF(AND(OR($A744&lt;&gt;"",$E744&lt;&gt;""),OR($A744="",$E744="")),1,0)</f>
        <v>0</v>
      </c>
      <c r="Z744" s="80" t="n">
        <f aca="false">IF(AND($A744&lt;&gt;"",COUNTIF($A$7:$A$1006,$A744)&gt;1),1,0)</f>
        <v>0</v>
      </c>
    </row>
    <row r="745" customFormat="false" ht="15" hidden="false" customHeight="false" outlineLevel="0" collapsed="false">
      <c r="A745" s="71"/>
      <c r="B745" s="72"/>
      <c r="C745" s="73"/>
      <c r="D745" s="73"/>
      <c r="E745" s="74"/>
      <c r="F745" s="74"/>
      <c r="G745" s="72"/>
      <c r="H745" s="74"/>
      <c r="I745" s="72"/>
      <c r="J745" s="73"/>
      <c r="K745" s="73"/>
      <c r="L745" s="75" t="str">
        <f aca="false">IF(OR($A745&lt;&gt;"",$E745&lt;&gt;""),N($F745)+N($H745),"")</f>
        <v/>
      </c>
      <c r="M745" s="76" t="str">
        <f aca="false">IF(OR($O745="",$O745="Cancelled",$O745="Amount missing"),"",IF($O745="Realised",0,$E745-N($F745)-N($H745)))</f>
        <v/>
      </c>
      <c r="N745" s="77" t="str">
        <f aca="false">IF(OR($M745="",FX=""),"",$M745*FX)</f>
        <v/>
      </c>
      <c r="O745" s="78" t="str">
        <f aca="false">IF(NOT(OR($A745&lt;&gt;"",$E745&lt;&gt;"")),"",IF($J745="Cancelled","Cancelled",IF($E745="","Amount missing",IF(OR($J745="Settled",$E745-N($F745)-N($H745)&lt;=0.005),"Realised",IF(N($H745)&gt;0,"Part realised",IF(N($F745)&gt;0,"Advance received","On hand"))))))</f>
        <v/>
      </c>
      <c r="P745" s="79" t="str">
        <f aca="false">IF(AND($V745=1,ISNUMBER($B745)),AsAt-$B745,"")</f>
        <v/>
      </c>
      <c r="Q745" s="78" t="str">
        <f aca="false">IF($V745&lt;&gt;1,"",IF($P745="","No invoice date",IF($P745&lt;=30,"0–30 days",IF($P745&lt;=60,"31–60 days",IF($P745&lt;=90,"61–90 days","Over 90 days")))))</f>
        <v/>
      </c>
      <c r="R745" s="80" t="str">
        <f aca="false">IF($V745=1,ROW(),"")</f>
        <v/>
      </c>
      <c r="S745" s="80" t="str">
        <f aca="false">IF(OR($A745&lt;&gt;"",$E745&lt;&gt;""),IF(TRIM($D745)="","Buyer not noted",TRIM($D745)),"")</f>
        <v/>
      </c>
      <c r="T745" s="80" t="n">
        <f aca="false">IF(AND($V745=1,ISNUMBER($M745)),$M745,0)</f>
        <v>0</v>
      </c>
      <c r="U745" s="80" t="str">
        <f aca="false">IF($V745=1,IF(COUNTIFS($S$7:$S745,$S745,$V$7:$V745,1)=1,SUMIFS($T$7:$T$1006,$S$7:$S$1006,$S745)-ROW()/1000000000,""),"")</f>
        <v/>
      </c>
      <c r="V745" s="80" t="n">
        <f aca="false">IF(OR($O745="On hand",$O745="Advance received",$O745="Part realised",$O745="Amount missing"),1,0)</f>
        <v>0</v>
      </c>
      <c r="W745" s="80" t="str">
        <f aca="false">IF(AND($V745=1,N($F745)&gt;0),ROW(),"")</f>
        <v/>
      </c>
      <c r="X745" s="80" t="n">
        <f aca="false">IF(AND(OR($A745&lt;&gt;"",$E745&lt;&gt;""),$O745&lt;&gt;"Cancelled",ISNUMBER($E745),N($F745)+N($H745)&gt;$E745+0.005),1,0)</f>
        <v>0</v>
      </c>
      <c r="Y745" s="80" t="n">
        <f aca="false">IF(AND(OR($A745&lt;&gt;"",$E745&lt;&gt;""),OR($A745="",$E745="")),1,0)</f>
        <v>0</v>
      </c>
      <c r="Z745" s="80" t="n">
        <f aca="false">IF(AND($A745&lt;&gt;"",COUNTIF($A$7:$A$1006,$A745)&gt;1),1,0)</f>
        <v>0</v>
      </c>
    </row>
    <row r="746" customFormat="false" ht="15" hidden="false" customHeight="false" outlineLevel="0" collapsed="false">
      <c r="A746" s="71"/>
      <c r="B746" s="72"/>
      <c r="C746" s="73"/>
      <c r="D746" s="73"/>
      <c r="E746" s="74"/>
      <c r="F746" s="74"/>
      <c r="G746" s="72"/>
      <c r="H746" s="74"/>
      <c r="I746" s="72"/>
      <c r="J746" s="73"/>
      <c r="K746" s="73"/>
      <c r="L746" s="75" t="str">
        <f aca="false">IF(OR($A746&lt;&gt;"",$E746&lt;&gt;""),N($F746)+N($H746),"")</f>
        <v/>
      </c>
      <c r="M746" s="76" t="str">
        <f aca="false">IF(OR($O746="",$O746="Cancelled",$O746="Amount missing"),"",IF($O746="Realised",0,$E746-N($F746)-N($H746)))</f>
        <v/>
      </c>
      <c r="N746" s="77" t="str">
        <f aca="false">IF(OR($M746="",FX=""),"",$M746*FX)</f>
        <v/>
      </c>
      <c r="O746" s="78" t="str">
        <f aca="false">IF(NOT(OR($A746&lt;&gt;"",$E746&lt;&gt;"")),"",IF($J746="Cancelled","Cancelled",IF($E746="","Amount missing",IF(OR($J746="Settled",$E746-N($F746)-N($H746)&lt;=0.005),"Realised",IF(N($H746)&gt;0,"Part realised",IF(N($F746)&gt;0,"Advance received","On hand"))))))</f>
        <v/>
      </c>
      <c r="P746" s="79" t="str">
        <f aca="false">IF(AND($V746=1,ISNUMBER($B746)),AsAt-$B746,"")</f>
        <v/>
      </c>
      <c r="Q746" s="78" t="str">
        <f aca="false">IF($V746&lt;&gt;1,"",IF($P746="","No invoice date",IF($P746&lt;=30,"0–30 days",IF($P746&lt;=60,"31–60 days",IF($P746&lt;=90,"61–90 days","Over 90 days")))))</f>
        <v/>
      </c>
      <c r="R746" s="80" t="str">
        <f aca="false">IF($V746=1,ROW(),"")</f>
        <v/>
      </c>
      <c r="S746" s="80" t="str">
        <f aca="false">IF(OR($A746&lt;&gt;"",$E746&lt;&gt;""),IF(TRIM($D746)="","Buyer not noted",TRIM($D746)),"")</f>
        <v/>
      </c>
      <c r="T746" s="80" t="n">
        <f aca="false">IF(AND($V746=1,ISNUMBER($M746)),$M746,0)</f>
        <v>0</v>
      </c>
      <c r="U746" s="80" t="str">
        <f aca="false">IF($V746=1,IF(COUNTIFS($S$7:$S746,$S746,$V$7:$V746,1)=1,SUMIFS($T$7:$T$1006,$S$7:$S$1006,$S746)-ROW()/1000000000,""),"")</f>
        <v/>
      </c>
      <c r="V746" s="80" t="n">
        <f aca="false">IF(OR($O746="On hand",$O746="Advance received",$O746="Part realised",$O746="Amount missing"),1,0)</f>
        <v>0</v>
      </c>
      <c r="W746" s="80" t="str">
        <f aca="false">IF(AND($V746=1,N($F746)&gt;0),ROW(),"")</f>
        <v/>
      </c>
      <c r="X746" s="80" t="n">
        <f aca="false">IF(AND(OR($A746&lt;&gt;"",$E746&lt;&gt;""),$O746&lt;&gt;"Cancelled",ISNUMBER($E746),N($F746)+N($H746)&gt;$E746+0.005),1,0)</f>
        <v>0</v>
      </c>
      <c r="Y746" s="80" t="n">
        <f aca="false">IF(AND(OR($A746&lt;&gt;"",$E746&lt;&gt;""),OR($A746="",$E746="")),1,0)</f>
        <v>0</v>
      </c>
      <c r="Z746" s="80" t="n">
        <f aca="false">IF(AND($A746&lt;&gt;"",COUNTIF($A$7:$A$1006,$A746)&gt;1),1,0)</f>
        <v>0</v>
      </c>
    </row>
    <row r="747" customFormat="false" ht="15" hidden="false" customHeight="false" outlineLevel="0" collapsed="false">
      <c r="A747" s="71"/>
      <c r="B747" s="72"/>
      <c r="C747" s="73"/>
      <c r="D747" s="73"/>
      <c r="E747" s="74"/>
      <c r="F747" s="74"/>
      <c r="G747" s="72"/>
      <c r="H747" s="74"/>
      <c r="I747" s="72"/>
      <c r="J747" s="73"/>
      <c r="K747" s="73"/>
      <c r="L747" s="75" t="str">
        <f aca="false">IF(OR($A747&lt;&gt;"",$E747&lt;&gt;""),N($F747)+N($H747),"")</f>
        <v/>
      </c>
      <c r="M747" s="76" t="str">
        <f aca="false">IF(OR($O747="",$O747="Cancelled",$O747="Amount missing"),"",IF($O747="Realised",0,$E747-N($F747)-N($H747)))</f>
        <v/>
      </c>
      <c r="N747" s="77" t="str">
        <f aca="false">IF(OR($M747="",FX=""),"",$M747*FX)</f>
        <v/>
      </c>
      <c r="O747" s="78" t="str">
        <f aca="false">IF(NOT(OR($A747&lt;&gt;"",$E747&lt;&gt;"")),"",IF($J747="Cancelled","Cancelled",IF($E747="","Amount missing",IF(OR($J747="Settled",$E747-N($F747)-N($H747)&lt;=0.005),"Realised",IF(N($H747)&gt;0,"Part realised",IF(N($F747)&gt;0,"Advance received","On hand"))))))</f>
        <v/>
      </c>
      <c r="P747" s="79" t="str">
        <f aca="false">IF(AND($V747=1,ISNUMBER($B747)),AsAt-$B747,"")</f>
        <v/>
      </c>
      <c r="Q747" s="78" t="str">
        <f aca="false">IF($V747&lt;&gt;1,"",IF($P747="","No invoice date",IF($P747&lt;=30,"0–30 days",IF($P747&lt;=60,"31–60 days",IF($P747&lt;=90,"61–90 days","Over 90 days")))))</f>
        <v/>
      </c>
      <c r="R747" s="80" t="str">
        <f aca="false">IF($V747=1,ROW(),"")</f>
        <v/>
      </c>
      <c r="S747" s="80" t="str">
        <f aca="false">IF(OR($A747&lt;&gt;"",$E747&lt;&gt;""),IF(TRIM($D747)="","Buyer not noted",TRIM($D747)),"")</f>
        <v/>
      </c>
      <c r="T747" s="80" t="n">
        <f aca="false">IF(AND($V747=1,ISNUMBER($M747)),$M747,0)</f>
        <v>0</v>
      </c>
      <c r="U747" s="80" t="str">
        <f aca="false">IF($V747=1,IF(COUNTIFS($S$7:$S747,$S747,$V$7:$V747,1)=1,SUMIFS($T$7:$T$1006,$S$7:$S$1006,$S747)-ROW()/1000000000,""),"")</f>
        <v/>
      </c>
      <c r="V747" s="80" t="n">
        <f aca="false">IF(OR($O747="On hand",$O747="Advance received",$O747="Part realised",$O747="Amount missing"),1,0)</f>
        <v>0</v>
      </c>
      <c r="W747" s="80" t="str">
        <f aca="false">IF(AND($V747=1,N($F747)&gt;0),ROW(),"")</f>
        <v/>
      </c>
      <c r="X747" s="80" t="n">
        <f aca="false">IF(AND(OR($A747&lt;&gt;"",$E747&lt;&gt;""),$O747&lt;&gt;"Cancelled",ISNUMBER($E747),N($F747)+N($H747)&gt;$E747+0.005),1,0)</f>
        <v>0</v>
      </c>
      <c r="Y747" s="80" t="n">
        <f aca="false">IF(AND(OR($A747&lt;&gt;"",$E747&lt;&gt;""),OR($A747="",$E747="")),1,0)</f>
        <v>0</v>
      </c>
      <c r="Z747" s="80" t="n">
        <f aca="false">IF(AND($A747&lt;&gt;"",COUNTIF($A$7:$A$1006,$A747)&gt;1),1,0)</f>
        <v>0</v>
      </c>
    </row>
    <row r="748" customFormat="false" ht="15" hidden="false" customHeight="false" outlineLevel="0" collapsed="false">
      <c r="A748" s="71"/>
      <c r="B748" s="72"/>
      <c r="C748" s="73"/>
      <c r="D748" s="73"/>
      <c r="E748" s="74"/>
      <c r="F748" s="74"/>
      <c r="G748" s="72"/>
      <c r="H748" s="74"/>
      <c r="I748" s="72"/>
      <c r="J748" s="73"/>
      <c r="K748" s="73"/>
      <c r="L748" s="75" t="str">
        <f aca="false">IF(OR($A748&lt;&gt;"",$E748&lt;&gt;""),N($F748)+N($H748),"")</f>
        <v/>
      </c>
      <c r="M748" s="76" t="str">
        <f aca="false">IF(OR($O748="",$O748="Cancelled",$O748="Amount missing"),"",IF($O748="Realised",0,$E748-N($F748)-N($H748)))</f>
        <v/>
      </c>
      <c r="N748" s="77" t="str">
        <f aca="false">IF(OR($M748="",FX=""),"",$M748*FX)</f>
        <v/>
      </c>
      <c r="O748" s="78" t="str">
        <f aca="false">IF(NOT(OR($A748&lt;&gt;"",$E748&lt;&gt;"")),"",IF($J748="Cancelled","Cancelled",IF($E748="","Amount missing",IF(OR($J748="Settled",$E748-N($F748)-N($H748)&lt;=0.005),"Realised",IF(N($H748)&gt;0,"Part realised",IF(N($F748)&gt;0,"Advance received","On hand"))))))</f>
        <v/>
      </c>
      <c r="P748" s="79" t="str">
        <f aca="false">IF(AND($V748=1,ISNUMBER($B748)),AsAt-$B748,"")</f>
        <v/>
      </c>
      <c r="Q748" s="78" t="str">
        <f aca="false">IF($V748&lt;&gt;1,"",IF($P748="","No invoice date",IF($P748&lt;=30,"0–30 days",IF($P748&lt;=60,"31–60 days",IF($P748&lt;=90,"61–90 days","Over 90 days")))))</f>
        <v/>
      </c>
      <c r="R748" s="80" t="str">
        <f aca="false">IF($V748=1,ROW(),"")</f>
        <v/>
      </c>
      <c r="S748" s="80" t="str">
        <f aca="false">IF(OR($A748&lt;&gt;"",$E748&lt;&gt;""),IF(TRIM($D748)="","Buyer not noted",TRIM($D748)),"")</f>
        <v/>
      </c>
      <c r="T748" s="80" t="n">
        <f aca="false">IF(AND($V748=1,ISNUMBER($M748)),$M748,0)</f>
        <v>0</v>
      </c>
      <c r="U748" s="80" t="str">
        <f aca="false">IF($V748=1,IF(COUNTIFS($S$7:$S748,$S748,$V$7:$V748,1)=1,SUMIFS($T$7:$T$1006,$S$7:$S$1006,$S748)-ROW()/1000000000,""),"")</f>
        <v/>
      </c>
      <c r="V748" s="80" t="n">
        <f aca="false">IF(OR($O748="On hand",$O748="Advance received",$O748="Part realised",$O748="Amount missing"),1,0)</f>
        <v>0</v>
      </c>
      <c r="W748" s="80" t="str">
        <f aca="false">IF(AND($V748=1,N($F748)&gt;0),ROW(),"")</f>
        <v/>
      </c>
      <c r="X748" s="80" t="n">
        <f aca="false">IF(AND(OR($A748&lt;&gt;"",$E748&lt;&gt;""),$O748&lt;&gt;"Cancelled",ISNUMBER($E748),N($F748)+N($H748)&gt;$E748+0.005),1,0)</f>
        <v>0</v>
      </c>
      <c r="Y748" s="80" t="n">
        <f aca="false">IF(AND(OR($A748&lt;&gt;"",$E748&lt;&gt;""),OR($A748="",$E748="")),1,0)</f>
        <v>0</v>
      </c>
      <c r="Z748" s="80" t="n">
        <f aca="false">IF(AND($A748&lt;&gt;"",COUNTIF($A$7:$A$1006,$A748)&gt;1),1,0)</f>
        <v>0</v>
      </c>
    </row>
    <row r="749" customFormat="false" ht="15" hidden="false" customHeight="false" outlineLevel="0" collapsed="false">
      <c r="A749" s="71"/>
      <c r="B749" s="72"/>
      <c r="C749" s="73"/>
      <c r="D749" s="73"/>
      <c r="E749" s="74"/>
      <c r="F749" s="74"/>
      <c r="G749" s="72"/>
      <c r="H749" s="74"/>
      <c r="I749" s="72"/>
      <c r="J749" s="73"/>
      <c r="K749" s="73"/>
      <c r="L749" s="75" t="str">
        <f aca="false">IF(OR($A749&lt;&gt;"",$E749&lt;&gt;""),N($F749)+N($H749),"")</f>
        <v/>
      </c>
      <c r="M749" s="76" t="str">
        <f aca="false">IF(OR($O749="",$O749="Cancelled",$O749="Amount missing"),"",IF($O749="Realised",0,$E749-N($F749)-N($H749)))</f>
        <v/>
      </c>
      <c r="N749" s="77" t="str">
        <f aca="false">IF(OR($M749="",FX=""),"",$M749*FX)</f>
        <v/>
      </c>
      <c r="O749" s="78" t="str">
        <f aca="false">IF(NOT(OR($A749&lt;&gt;"",$E749&lt;&gt;"")),"",IF($J749="Cancelled","Cancelled",IF($E749="","Amount missing",IF(OR($J749="Settled",$E749-N($F749)-N($H749)&lt;=0.005),"Realised",IF(N($H749)&gt;0,"Part realised",IF(N($F749)&gt;0,"Advance received","On hand"))))))</f>
        <v/>
      </c>
      <c r="P749" s="79" t="str">
        <f aca="false">IF(AND($V749=1,ISNUMBER($B749)),AsAt-$B749,"")</f>
        <v/>
      </c>
      <c r="Q749" s="78" t="str">
        <f aca="false">IF($V749&lt;&gt;1,"",IF($P749="","No invoice date",IF($P749&lt;=30,"0–30 days",IF($P749&lt;=60,"31–60 days",IF($P749&lt;=90,"61–90 days","Over 90 days")))))</f>
        <v/>
      </c>
      <c r="R749" s="80" t="str">
        <f aca="false">IF($V749=1,ROW(),"")</f>
        <v/>
      </c>
      <c r="S749" s="80" t="str">
        <f aca="false">IF(OR($A749&lt;&gt;"",$E749&lt;&gt;""),IF(TRIM($D749)="","Buyer not noted",TRIM($D749)),"")</f>
        <v/>
      </c>
      <c r="T749" s="80" t="n">
        <f aca="false">IF(AND($V749=1,ISNUMBER($M749)),$M749,0)</f>
        <v>0</v>
      </c>
      <c r="U749" s="80" t="str">
        <f aca="false">IF($V749=1,IF(COUNTIFS($S$7:$S749,$S749,$V$7:$V749,1)=1,SUMIFS($T$7:$T$1006,$S$7:$S$1006,$S749)-ROW()/1000000000,""),"")</f>
        <v/>
      </c>
      <c r="V749" s="80" t="n">
        <f aca="false">IF(OR($O749="On hand",$O749="Advance received",$O749="Part realised",$O749="Amount missing"),1,0)</f>
        <v>0</v>
      </c>
      <c r="W749" s="80" t="str">
        <f aca="false">IF(AND($V749=1,N($F749)&gt;0),ROW(),"")</f>
        <v/>
      </c>
      <c r="X749" s="80" t="n">
        <f aca="false">IF(AND(OR($A749&lt;&gt;"",$E749&lt;&gt;""),$O749&lt;&gt;"Cancelled",ISNUMBER($E749),N($F749)+N($H749)&gt;$E749+0.005),1,0)</f>
        <v>0</v>
      </c>
      <c r="Y749" s="80" t="n">
        <f aca="false">IF(AND(OR($A749&lt;&gt;"",$E749&lt;&gt;""),OR($A749="",$E749="")),1,0)</f>
        <v>0</v>
      </c>
      <c r="Z749" s="80" t="n">
        <f aca="false">IF(AND($A749&lt;&gt;"",COUNTIF($A$7:$A$1006,$A749)&gt;1),1,0)</f>
        <v>0</v>
      </c>
    </row>
    <row r="750" customFormat="false" ht="15" hidden="false" customHeight="false" outlineLevel="0" collapsed="false">
      <c r="A750" s="71"/>
      <c r="B750" s="72"/>
      <c r="C750" s="73"/>
      <c r="D750" s="73"/>
      <c r="E750" s="74"/>
      <c r="F750" s="74"/>
      <c r="G750" s="72"/>
      <c r="H750" s="74"/>
      <c r="I750" s="72"/>
      <c r="J750" s="73"/>
      <c r="K750" s="73"/>
      <c r="L750" s="75" t="str">
        <f aca="false">IF(OR($A750&lt;&gt;"",$E750&lt;&gt;""),N($F750)+N($H750),"")</f>
        <v/>
      </c>
      <c r="M750" s="76" t="str">
        <f aca="false">IF(OR($O750="",$O750="Cancelled",$O750="Amount missing"),"",IF($O750="Realised",0,$E750-N($F750)-N($H750)))</f>
        <v/>
      </c>
      <c r="N750" s="77" t="str">
        <f aca="false">IF(OR($M750="",FX=""),"",$M750*FX)</f>
        <v/>
      </c>
      <c r="O750" s="78" t="str">
        <f aca="false">IF(NOT(OR($A750&lt;&gt;"",$E750&lt;&gt;"")),"",IF($J750="Cancelled","Cancelled",IF($E750="","Amount missing",IF(OR($J750="Settled",$E750-N($F750)-N($H750)&lt;=0.005),"Realised",IF(N($H750)&gt;0,"Part realised",IF(N($F750)&gt;0,"Advance received","On hand"))))))</f>
        <v/>
      </c>
      <c r="P750" s="79" t="str">
        <f aca="false">IF(AND($V750=1,ISNUMBER($B750)),AsAt-$B750,"")</f>
        <v/>
      </c>
      <c r="Q750" s="78" t="str">
        <f aca="false">IF($V750&lt;&gt;1,"",IF($P750="","No invoice date",IF($P750&lt;=30,"0–30 days",IF($P750&lt;=60,"31–60 days",IF($P750&lt;=90,"61–90 days","Over 90 days")))))</f>
        <v/>
      </c>
      <c r="R750" s="80" t="str">
        <f aca="false">IF($V750=1,ROW(),"")</f>
        <v/>
      </c>
      <c r="S750" s="80" t="str">
        <f aca="false">IF(OR($A750&lt;&gt;"",$E750&lt;&gt;""),IF(TRIM($D750)="","Buyer not noted",TRIM($D750)),"")</f>
        <v/>
      </c>
      <c r="T750" s="80" t="n">
        <f aca="false">IF(AND($V750=1,ISNUMBER($M750)),$M750,0)</f>
        <v>0</v>
      </c>
      <c r="U750" s="80" t="str">
        <f aca="false">IF($V750=1,IF(COUNTIFS($S$7:$S750,$S750,$V$7:$V750,1)=1,SUMIFS($T$7:$T$1006,$S$7:$S$1006,$S750)-ROW()/1000000000,""),"")</f>
        <v/>
      </c>
      <c r="V750" s="80" t="n">
        <f aca="false">IF(OR($O750="On hand",$O750="Advance received",$O750="Part realised",$O750="Amount missing"),1,0)</f>
        <v>0</v>
      </c>
      <c r="W750" s="80" t="str">
        <f aca="false">IF(AND($V750=1,N($F750)&gt;0),ROW(),"")</f>
        <v/>
      </c>
      <c r="X750" s="80" t="n">
        <f aca="false">IF(AND(OR($A750&lt;&gt;"",$E750&lt;&gt;""),$O750&lt;&gt;"Cancelled",ISNUMBER($E750),N($F750)+N($H750)&gt;$E750+0.005),1,0)</f>
        <v>0</v>
      </c>
      <c r="Y750" s="80" t="n">
        <f aca="false">IF(AND(OR($A750&lt;&gt;"",$E750&lt;&gt;""),OR($A750="",$E750="")),1,0)</f>
        <v>0</v>
      </c>
      <c r="Z750" s="80" t="n">
        <f aca="false">IF(AND($A750&lt;&gt;"",COUNTIF($A$7:$A$1006,$A750)&gt;1),1,0)</f>
        <v>0</v>
      </c>
    </row>
    <row r="751" customFormat="false" ht="15" hidden="false" customHeight="false" outlineLevel="0" collapsed="false">
      <c r="A751" s="71"/>
      <c r="B751" s="72"/>
      <c r="C751" s="73"/>
      <c r="D751" s="73"/>
      <c r="E751" s="74"/>
      <c r="F751" s="74"/>
      <c r="G751" s="72"/>
      <c r="H751" s="74"/>
      <c r="I751" s="72"/>
      <c r="J751" s="73"/>
      <c r="K751" s="73"/>
      <c r="L751" s="75" t="str">
        <f aca="false">IF(OR($A751&lt;&gt;"",$E751&lt;&gt;""),N($F751)+N($H751),"")</f>
        <v/>
      </c>
      <c r="M751" s="76" t="str">
        <f aca="false">IF(OR($O751="",$O751="Cancelled",$O751="Amount missing"),"",IF($O751="Realised",0,$E751-N($F751)-N($H751)))</f>
        <v/>
      </c>
      <c r="N751" s="77" t="str">
        <f aca="false">IF(OR($M751="",FX=""),"",$M751*FX)</f>
        <v/>
      </c>
      <c r="O751" s="78" t="str">
        <f aca="false">IF(NOT(OR($A751&lt;&gt;"",$E751&lt;&gt;"")),"",IF($J751="Cancelled","Cancelled",IF($E751="","Amount missing",IF(OR($J751="Settled",$E751-N($F751)-N($H751)&lt;=0.005),"Realised",IF(N($H751)&gt;0,"Part realised",IF(N($F751)&gt;0,"Advance received","On hand"))))))</f>
        <v/>
      </c>
      <c r="P751" s="79" t="str">
        <f aca="false">IF(AND($V751=1,ISNUMBER($B751)),AsAt-$B751,"")</f>
        <v/>
      </c>
      <c r="Q751" s="78" t="str">
        <f aca="false">IF($V751&lt;&gt;1,"",IF($P751="","No invoice date",IF($P751&lt;=30,"0–30 days",IF($P751&lt;=60,"31–60 days",IF($P751&lt;=90,"61–90 days","Over 90 days")))))</f>
        <v/>
      </c>
      <c r="R751" s="80" t="str">
        <f aca="false">IF($V751=1,ROW(),"")</f>
        <v/>
      </c>
      <c r="S751" s="80" t="str">
        <f aca="false">IF(OR($A751&lt;&gt;"",$E751&lt;&gt;""),IF(TRIM($D751)="","Buyer not noted",TRIM($D751)),"")</f>
        <v/>
      </c>
      <c r="T751" s="80" t="n">
        <f aca="false">IF(AND($V751=1,ISNUMBER($M751)),$M751,0)</f>
        <v>0</v>
      </c>
      <c r="U751" s="80" t="str">
        <f aca="false">IF($V751=1,IF(COUNTIFS($S$7:$S751,$S751,$V$7:$V751,1)=1,SUMIFS($T$7:$T$1006,$S$7:$S$1006,$S751)-ROW()/1000000000,""),"")</f>
        <v/>
      </c>
      <c r="V751" s="80" t="n">
        <f aca="false">IF(OR($O751="On hand",$O751="Advance received",$O751="Part realised",$O751="Amount missing"),1,0)</f>
        <v>0</v>
      </c>
      <c r="W751" s="80" t="str">
        <f aca="false">IF(AND($V751=1,N($F751)&gt;0),ROW(),"")</f>
        <v/>
      </c>
      <c r="X751" s="80" t="n">
        <f aca="false">IF(AND(OR($A751&lt;&gt;"",$E751&lt;&gt;""),$O751&lt;&gt;"Cancelled",ISNUMBER($E751),N($F751)+N($H751)&gt;$E751+0.005),1,0)</f>
        <v>0</v>
      </c>
      <c r="Y751" s="80" t="n">
        <f aca="false">IF(AND(OR($A751&lt;&gt;"",$E751&lt;&gt;""),OR($A751="",$E751="")),1,0)</f>
        <v>0</v>
      </c>
      <c r="Z751" s="80" t="n">
        <f aca="false">IF(AND($A751&lt;&gt;"",COUNTIF($A$7:$A$1006,$A751)&gt;1),1,0)</f>
        <v>0</v>
      </c>
    </row>
    <row r="752" customFormat="false" ht="15" hidden="false" customHeight="false" outlineLevel="0" collapsed="false">
      <c r="A752" s="71"/>
      <c r="B752" s="72"/>
      <c r="C752" s="73"/>
      <c r="D752" s="73"/>
      <c r="E752" s="74"/>
      <c r="F752" s="74"/>
      <c r="G752" s="72"/>
      <c r="H752" s="74"/>
      <c r="I752" s="72"/>
      <c r="J752" s="73"/>
      <c r="K752" s="73"/>
      <c r="L752" s="75" t="str">
        <f aca="false">IF(OR($A752&lt;&gt;"",$E752&lt;&gt;""),N($F752)+N($H752),"")</f>
        <v/>
      </c>
      <c r="M752" s="76" t="str">
        <f aca="false">IF(OR($O752="",$O752="Cancelled",$O752="Amount missing"),"",IF($O752="Realised",0,$E752-N($F752)-N($H752)))</f>
        <v/>
      </c>
      <c r="N752" s="77" t="str">
        <f aca="false">IF(OR($M752="",FX=""),"",$M752*FX)</f>
        <v/>
      </c>
      <c r="O752" s="78" t="str">
        <f aca="false">IF(NOT(OR($A752&lt;&gt;"",$E752&lt;&gt;"")),"",IF($J752="Cancelled","Cancelled",IF($E752="","Amount missing",IF(OR($J752="Settled",$E752-N($F752)-N($H752)&lt;=0.005),"Realised",IF(N($H752)&gt;0,"Part realised",IF(N($F752)&gt;0,"Advance received","On hand"))))))</f>
        <v/>
      </c>
      <c r="P752" s="79" t="str">
        <f aca="false">IF(AND($V752=1,ISNUMBER($B752)),AsAt-$B752,"")</f>
        <v/>
      </c>
      <c r="Q752" s="78" t="str">
        <f aca="false">IF($V752&lt;&gt;1,"",IF($P752="","No invoice date",IF($P752&lt;=30,"0–30 days",IF($P752&lt;=60,"31–60 days",IF($P752&lt;=90,"61–90 days","Over 90 days")))))</f>
        <v/>
      </c>
      <c r="R752" s="80" t="str">
        <f aca="false">IF($V752=1,ROW(),"")</f>
        <v/>
      </c>
      <c r="S752" s="80" t="str">
        <f aca="false">IF(OR($A752&lt;&gt;"",$E752&lt;&gt;""),IF(TRIM($D752)="","Buyer not noted",TRIM($D752)),"")</f>
        <v/>
      </c>
      <c r="T752" s="80" t="n">
        <f aca="false">IF(AND($V752=1,ISNUMBER($M752)),$M752,0)</f>
        <v>0</v>
      </c>
      <c r="U752" s="80" t="str">
        <f aca="false">IF($V752=1,IF(COUNTIFS($S$7:$S752,$S752,$V$7:$V752,1)=1,SUMIFS($T$7:$T$1006,$S$7:$S$1006,$S752)-ROW()/1000000000,""),"")</f>
        <v/>
      </c>
      <c r="V752" s="80" t="n">
        <f aca="false">IF(OR($O752="On hand",$O752="Advance received",$O752="Part realised",$O752="Amount missing"),1,0)</f>
        <v>0</v>
      </c>
      <c r="W752" s="80" t="str">
        <f aca="false">IF(AND($V752=1,N($F752)&gt;0),ROW(),"")</f>
        <v/>
      </c>
      <c r="X752" s="80" t="n">
        <f aca="false">IF(AND(OR($A752&lt;&gt;"",$E752&lt;&gt;""),$O752&lt;&gt;"Cancelled",ISNUMBER($E752),N($F752)+N($H752)&gt;$E752+0.005),1,0)</f>
        <v>0</v>
      </c>
      <c r="Y752" s="80" t="n">
        <f aca="false">IF(AND(OR($A752&lt;&gt;"",$E752&lt;&gt;""),OR($A752="",$E752="")),1,0)</f>
        <v>0</v>
      </c>
      <c r="Z752" s="80" t="n">
        <f aca="false">IF(AND($A752&lt;&gt;"",COUNTIF($A$7:$A$1006,$A752)&gt;1),1,0)</f>
        <v>0</v>
      </c>
    </row>
    <row r="753" customFormat="false" ht="15" hidden="false" customHeight="false" outlineLevel="0" collapsed="false">
      <c r="A753" s="71"/>
      <c r="B753" s="72"/>
      <c r="C753" s="73"/>
      <c r="D753" s="73"/>
      <c r="E753" s="74"/>
      <c r="F753" s="74"/>
      <c r="G753" s="72"/>
      <c r="H753" s="74"/>
      <c r="I753" s="72"/>
      <c r="J753" s="73"/>
      <c r="K753" s="73"/>
      <c r="L753" s="75" t="str">
        <f aca="false">IF(OR($A753&lt;&gt;"",$E753&lt;&gt;""),N($F753)+N($H753),"")</f>
        <v/>
      </c>
      <c r="M753" s="76" t="str">
        <f aca="false">IF(OR($O753="",$O753="Cancelled",$O753="Amount missing"),"",IF($O753="Realised",0,$E753-N($F753)-N($H753)))</f>
        <v/>
      </c>
      <c r="N753" s="77" t="str">
        <f aca="false">IF(OR($M753="",FX=""),"",$M753*FX)</f>
        <v/>
      </c>
      <c r="O753" s="78" t="str">
        <f aca="false">IF(NOT(OR($A753&lt;&gt;"",$E753&lt;&gt;"")),"",IF($J753="Cancelled","Cancelled",IF($E753="","Amount missing",IF(OR($J753="Settled",$E753-N($F753)-N($H753)&lt;=0.005),"Realised",IF(N($H753)&gt;0,"Part realised",IF(N($F753)&gt;0,"Advance received","On hand"))))))</f>
        <v/>
      </c>
      <c r="P753" s="79" t="str">
        <f aca="false">IF(AND($V753=1,ISNUMBER($B753)),AsAt-$B753,"")</f>
        <v/>
      </c>
      <c r="Q753" s="78" t="str">
        <f aca="false">IF($V753&lt;&gt;1,"",IF($P753="","No invoice date",IF($P753&lt;=30,"0–30 days",IF($P753&lt;=60,"31–60 days",IF($P753&lt;=90,"61–90 days","Over 90 days")))))</f>
        <v/>
      </c>
      <c r="R753" s="80" t="str">
        <f aca="false">IF($V753=1,ROW(),"")</f>
        <v/>
      </c>
      <c r="S753" s="80" t="str">
        <f aca="false">IF(OR($A753&lt;&gt;"",$E753&lt;&gt;""),IF(TRIM($D753)="","Buyer not noted",TRIM($D753)),"")</f>
        <v/>
      </c>
      <c r="T753" s="80" t="n">
        <f aca="false">IF(AND($V753=1,ISNUMBER($M753)),$M753,0)</f>
        <v>0</v>
      </c>
      <c r="U753" s="80" t="str">
        <f aca="false">IF($V753=1,IF(COUNTIFS($S$7:$S753,$S753,$V$7:$V753,1)=1,SUMIFS($T$7:$T$1006,$S$7:$S$1006,$S753)-ROW()/1000000000,""),"")</f>
        <v/>
      </c>
      <c r="V753" s="80" t="n">
        <f aca="false">IF(OR($O753="On hand",$O753="Advance received",$O753="Part realised",$O753="Amount missing"),1,0)</f>
        <v>0</v>
      </c>
      <c r="W753" s="80" t="str">
        <f aca="false">IF(AND($V753=1,N($F753)&gt;0),ROW(),"")</f>
        <v/>
      </c>
      <c r="X753" s="80" t="n">
        <f aca="false">IF(AND(OR($A753&lt;&gt;"",$E753&lt;&gt;""),$O753&lt;&gt;"Cancelled",ISNUMBER($E753),N($F753)+N($H753)&gt;$E753+0.005),1,0)</f>
        <v>0</v>
      </c>
      <c r="Y753" s="80" t="n">
        <f aca="false">IF(AND(OR($A753&lt;&gt;"",$E753&lt;&gt;""),OR($A753="",$E753="")),1,0)</f>
        <v>0</v>
      </c>
      <c r="Z753" s="80" t="n">
        <f aca="false">IF(AND($A753&lt;&gt;"",COUNTIF($A$7:$A$1006,$A753)&gt;1),1,0)</f>
        <v>0</v>
      </c>
    </row>
    <row r="754" customFormat="false" ht="15" hidden="false" customHeight="false" outlineLevel="0" collapsed="false">
      <c r="A754" s="71"/>
      <c r="B754" s="72"/>
      <c r="C754" s="73"/>
      <c r="D754" s="73"/>
      <c r="E754" s="74"/>
      <c r="F754" s="74"/>
      <c r="G754" s="72"/>
      <c r="H754" s="74"/>
      <c r="I754" s="72"/>
      <c r="J754" s="73"/>
      <c r="K754" s="73"/>
      <c r="L754" s="75" t="str">
        <f aca="false">IF(OR($A754&lt;&gt;"",$E754&lt;&gt;""),N($F754)+N($H754),"")</f>
        <v/>
      </c>
      <c r="M754" s="76" t="str">
        <f aca="false">IF(OR($O754="",$O754="Cancelled",$O754="Amount missing"),"",IF($O754="Realised",0,$E754-N($F754)-N($H754)))</f>
        <v/>
      </c>
      <c r="N754" s="77" t="str">
        <f aca="false">IF(OR($M754="",FX=""),"",$M754*FX)</f>
        <v/>
      </c>
      <c r="O754" s="78" t="str">
        <f aca="false">IF(NOT(OR($A754&lt;&gt;"",$E754&lt;&gt;"")),"",IF($J754="Cancelled","Cancelled",IF($E754="","Amount missing",IF(OR($J754="Settled",$E754-N($F754)-N($H754)&lt;=0.005),"Realised",IF(N($H754)&gt;0,"Part realised",IF(N($F754)&gt;0,"Advance received","On hand"))))))</f>
        <v/>
      </c>
      <c r="P754" s="79" t="str">
        <f aca="false">IF(AND($V754=1,ISNUMBER($B754)),AsAt-$B754,"")</f>
        <v/>
      </c>
      <c r="Q754" s="78" t="str">
        <f aca="false">IF($V754&lt;&gt;1,"",IF($P754="","No invoice date",IF($P754&lt;=30,"0–30 days",IF($P754&lt;=60,"31–60 days",IF($P754&lt;=90,"61–90 days","Over 90 days")))))</f>
        <v/>
      </c>
      <c r="R754" s="80" t="str">
        <f aca="false">IF($V754=1,ROW(),"")</f>
        <v/>
      </c>
      <c r="S754" s="80" t="str">
        <f aca="false">IF(OR($A754&lt;&gt;"",$E754&lt;&gt;""),IF(TRIM($D754)="","Buyer not noted",TRIM($D754)),"")</f>
        <v/>
      </c>
      <c r="T754" s="80" t="n">
        <f aca="false">IF(AND($V754=1,ISNUMBER($M754)),$M754,0)</f>
        <v>0</v>
      </c>
      <c r="U754" s="80" t="str">
        <f aca="false">IF($V754=1,IF(COUNTIFS($S$7:$S754,$S754,$V$7:$V754,1)=1,SUMIFS($T$7:$T$1006,$S$7:$S$1006,$S754)-ROW()/1000000000,""),"")</f>
        <v/>
      </c>
      <c r="V754" s="80" t="n">
        <f aca="false">IF(OR($O754="On hand",$O754="Advance received",$O754="Part realised",$O754="Amount missing"),1,0)</f>
        <v>0</v>
      </c>
      <c r="W754" s="80" t="str">
        <f aca="false">IF(AND($V754=1,N($F754)&gt;0),ROW(),"")</f>
        <v/>
      </c>
      <c r="X754" s="80" t="n">
        <f aca="false">IF(AND(OR($A754&lt;&gt;"",$E754&lt;&gt;""),$O754&lt;&gt;"Cancelled",ISNUMBER($E754),N($F754)+N($H754)&gt;$E754+0.005),1,0)</f>
        <v>0</v>
      </c>
      <c r="Y754" s="80" t="n">
        <f aca="false">IF(AND(OR($A754&lt;&gt;"",$E754&lt;&gt;""),OR($A754="",$E754="")),1,0)</f>
        <v>0</v>
      </c>
      <c r="Z754" s="80" t="n">
        <f aca="false">IF(AND($A754&lt;&gt;"",COUNTIF($A$7:$A$1006,$A754)&gt;1),1,0)</f>
        <v>0</v>
      </c>
    </row>
    <row r="755" customFormat="false" ht="15" hidden="false" customHeight="false" outlineLevel="0" collapsed="false">
      <c r="A755" s="71"/>
      <c r="B755" s="72"/>
      <c r="C755" s="73"/>
      <c r="D755" s="73"/>
      <c r="E755" s="74"/>
      <c r="F755" s="74"/>
      <c r="G755" s="72"/>
      <c r="H755" s="74"/>
      <c r="I755" s="72"/>
      <c r="J755" s="73"/>
      <c r="K755" s="73"/>
      <c r="L755" s="75" t="str">
        <f aca="false">IF(OR($A755&lt;&gt;"",$E755&lt;&gt;""),N($F755)+N($H755),"")</f>
        <v/>
      </c>
      <c r="M755" s="76" t="str">
        <f aca="false">IF(OR($O755="",$O755="Cancelled",$O755="Amount missing"),"",IF($O755="Realised",0,$E755-N($F755)-N($H755)))</f>
        <v/>
      </c>
      <c r="N755" s="77" t="str">
        <f aca="false">IF(OR($M755="",FX=""),"",$M755*FX)</f>
        <v/>
      </c>
      <c r="O755" s="78" t="str">
        <f aca="false">IF(NOT(OR($A755&lt;&gt;"",$E755&lt;&gt;"")),"",IF($J755="Cancelled","Cancelled",IF($E755="","Amount missing",IF(OR($J755="Settled",$E755-N($F755)-N($H755)&lt;=0.005),"Realised",IF(N($H755)&gt;0,"Part realised",IF(N($F755)&gt;0,"Advance received","On hand"))))))</f>
        <v/>
      </c>
      <c r="P755" s="79" t="str">
        <f aca="false">IF(AND($V755=1,ISNUMBER($B755)),AsAt-$B755,"")</f>
        <v/>
      </c>
      <c r="Q755" s="78" t="str">
        <f aca="false">IF($V755&lt;&gt;1,"",IF($P755="","No invoice date",IF($P755&lt;=30,"0–30 days",IF($P755&lt;=60,"31–60 days",IF($P755&lt;=90,"61–90 days","Over 90 days")))))</f>
        <v/>
      </c>
      <c r="R755" s="80" t="str">
        <f aca="false">IF($V755=1,ROW(),"")</f>
        <v/>
      </c>
      <c r="S755" s="80" t="str">
        <f aca="false">IF(OR($A755&lt;&gt;"",$E755&lt;&gt;""),IF(TRIM($D755)="","Buyer not noted",TRIM($D755)),"")</f>
        <v/>
      </c>
      <c r="T755" s="80" t="n">
        <f aca="false">IF(AND($V755=1,ISNUMBER($M755)),$M755,0)</f>
        <v>0</v>
      </c>
      <c r="U755" s="80" t="str">
        <f aca="false">IF($V755=1,IF(COUNTIFS($S$7:$S755,$S755,$V$7:$V755,1)=1,SUMIFS($T$7:$T$1006,$S$7:$S$1006,$S755)-ROW()/1000000000,""),"")</f>
        <v/>
      </c>
      <c r="V755" s="80" t="n">
        <f aca="false">IF(OR($O755="On hand",$O755="Advance received",$O755="Part realised",$O755="Amount missing"),1,0)</f>
        <v>0</v>
      </c>
      <c r="W755" s="80" t="str">
        <f aca="false">IF(AND($V755=1,N($F755)&gt;0),ROW(),"")</f>
        <v/>
      </c>
      <c r="X755" s="80" t="n">
        <f aca="false">IF(AND(OR($A755&lt;&gt;"",$E755&lt;&gt;""),$O755&lt;&gt;"Cancelled",ISNUMBER($E755),N($F755)+N($H755)&gt;$E755+0.005),1,0)</f>
        <v>0</v>
      </c>
      <c r="Y755" s="80" t="n">
        <f aca="false">IF(AND(OR($A755&lt;&gt;"",$E755&lt;&gt;""),OR($A755="",$E755="")),1,0)</f>
        <v>0</v>
      </c>
      <c r="Z755" s="80" t="n">
        <f aca="false">IF(AND($A755&lt;&gt;"",COUNTIF($A$7:$A$1006,$A755)&gt;1),1,0)</f>
        <v>0</v>
      </c>
    </row>
    <row r="756" customFormat="false" ht="15" hidden="false" customHeight="false" outlineLevel="0" collapsed="false">
      <c r="A756" s="71"/>
      <c r="B756" s="72"/>
      <c r="C756" s="73"/>
      <c r="D756" s="73"/>
      <c r="E756" s="74"/>
      <c r="F756" s="74"/>
      <c r="G756" s="72"/>
      <c r="H756" s="74"/>
      <c r="I756" s="72"/>
      <c r="J756" s="73"/>
      <c r="K756" s="73"/>
      <c r="L756" s="75" t="str">
        <f aca="false">IF(OR($A756&lt;&gt;"",$E756&lt;&gt;""),N($F756)+N($H756),"")</f>
        <v/>
      </c>
      <c r="M756" s="76" t="str">
        <f aca="false">IF(OR($O756="",$O756="Cancelled",$O756="Amount missing"),"",IF($O756="Realised",0,$E756-N($F756)-N($H756)))</f>
        <v/>
      </c>
      <c r="N756" s="77" t="str">
        <f aca="false">IF(OR($M756="",FX=""),"",$M756*FX)</f>
        <v/>
      </c>
      <c r="O756" s="78" t="str">
        <f aca="false">IF(NOT(OR($A756&lt;&gt;"",$E756&lt;&gt;"")),"",IF($J756="Cancelled","Cancelled",IF($E756="","Amount missing",IF(OR($J756="Settled",$E756-N($F756)-N($H756)&lt;=0.005),"Realised",IF(N($H756)&gt;0,"Part realised",IF(N($F756)&gt;0,"Advance received","On hand"))))))</f>
        <v/>
      </c>
      <c r="P756" s="79" t="str">
        <f aca="false">IF(AND($V756=1,ISNUMBER($B756)),AsAt-$B756,"")</f>
        <v/>
      </c>
      <c r="Q756" s="78" t="str">
        <f aca="false">IF($V756&lt;&gt;1,"",IF($P756="","No invoice date",IF($P756&lt;=30,"0–30 days",IF($P756&lt;=60,"31–60 days",IF($P756&lt;=90,"61–90 days","Over 90 days")))))</f>
        <v/>
      </c>
      <c r="R756" s="80" t="str">
        <f aca="false">IF($V756=1,ROW(),"")</f>
        <v/>
      </c>
      <c r="S756" s="80" t="str">
        <f aca="false">IF(OR($A756&lt;&gt;"",$E756&lt;&gt;""),IF(TRIM($D756)="","Buyer not noted",TRIM($D756)),"")</f>
        <v/>
      </c>
      <c r="T756" s="80" t="n">
        <f aca="false">IF(AND($V756=1,ISNUMBER($M756)),$M756,0)</f>
        <v>0</v>
      </c>
      <c r="U756" s="80" t="str">
        <f aca="false">IF($V756=1,IF(COUNTIFS($S$7:$S756,$S756,$V$7:$V756,1)=1,SUMIFS($T$7:$T$1006,$S$7:$S$1006,$S756)-ROW()/1000000000,""),"")</f>
        <v/>
      </c>
      <c r="V756" s="80" t="n">
        <f aca="false">IF(OR($O756="On hand",$O756="Advance received",$O756="Part realised",$O756="Amount missing"),1,0)</f>
        <v>0</v>
      </c>
      <c r="W756" s="80" t="str">
        <f aca="false">IF(AND($V756=1,N($F756)&gt;0),ROW(),"")</f>
        <v/>
      </c>
      <c r="X756" s="80" t="n">
        <f aca="false">IF(AND(OR($A756&lt;&gt;"",$E756&lt;&gt;""),$O756&lt;&gt;"Cancelled",ISNUMBER($E756),N($F756)+N($H756)&gt;$E756+0.005),1,0)</f>
        <v>0</v>
      </c>
      <c r="Y756" s="80" t="n">
        <f aca="false">IF(AND(OR($A756&lt;&gt;"",$E756&lt;&gt;""),OR($A756="",$E756="")),1,0)</f>
        <v>0</v>
      </c>
      <c r="Z756" s="80" t="n">
        <f aca="false">IF(AND($A756&lt;&gt;"",COUNTIF($A$7:$A$1006,$A756)&gt;1),1,0)</f>
        <v>0</v>
      </c>
    </row>
    <row r="757" customFormat="false" ht="15" hidden="false" customHeight="false" outlineLevel="0" collapsed="false">
      <c r="A757" s="71"/>
      <c r="B757" s="72"/>
      <c r="C757" s="73"/>
      <c r="D757" s="73"/>
      <c r="E757" s="74"/>
      <c r="F757" s="74"/>
      <c r="G757" s="72"/>
      <c r="H757" s="74"/>
      <c r="I757" s="72"/>
      <c r="J757" s="73"/>
      <c r="K757" s="73"/>
      <c r="L757" s="75" t="str">
        <f aca="false">IF(OR($A757&lt;&gt;"",$E757&lt;&gt;""),N($F757)+N($H757),"")</f>
        <v/>
      </c>
      <c r="M757" s="76" t="str">
        <f aca="false">IF(OR($O757="",$O757="Cancelled",$O757="Amount missing"),"",IF($O757="Realised",0,$E757-N($F757)-N($H757)))</f>
        <v/>
      </c>
      <c r="N757" s="77" t="str">
        <f aca="false">IF(OR($M757="",FX=""),"",$M757*FX)</f>
        <v/>
      </c>
      <c r="O757" s="78" t="str">
        <f aca="false">IF(NOT(OR($A757&lt;&gt;"",$E757&lt;&gt;"")),"",IF($J757="Cancelled","Cancelled",IF($E757="","Amount missing",IF(OR($J757="Settled",$E757-N($F757)-N($H757)&lt;=0.005),"Realised",IF(N($H757)&gt;0,"Part realised",IF(N($F757)&gt;0,"Advance received","On hand"))))))</f>
        <v/>
      </c>
      <c r="P757" s="79" t="str">
        <f aca="false">IF(AND($V757=1,ISNUMBER($B757)),AsAt-$B757,"")</f>
        <v/>
      </c>
      <c r="Q757" s="78" t="str">
        <f aca="false">IF($V757&lt;&gt;1,"",IF($P757="","No invoice date",IF($P757&lt;=30,"0–30 days",IF($P757&lt;=60,"31–60 days",IF($P757&lt;=90,"61–90 days","Over 90 days")))))</f>
        <v/>
      </c>
      <c r="R757" s="80" t="str">
        <f aca="false">IF($V757=1,ROW(),"")</f>
        <v/>
      </c>
      <c r="S757" s="80" t="str">
        <f aca="false">IF(OR($A757&lt;&gt;"",$E757&lt;&gt;""),IF(TRIM($D757)="","Buyer not noted",TRIM($D757)),"")</f>
        <v/>
      </c>
      <c r="T757" s="80" t="n">
        <f aca="false">IF(AND($V757=1,ISNUMBER($M757)),$M757,0)</f>
        <v>0</v>
      </c>
      <c r="U757" s="80" t="str">
        <f aca="false">IF($V757=1,IF(COUNTIFS($S$7:$S757,$S757,$V$7:$V757,1)=1,SUMIFS($T$7:$T$1006,$S$7:$S$1006,$S757)-ROW()/1000000000,""),"")</f>
        <v/>
      </c>
      <c r="V757" s="80" t="n">
        <f aca="false">IF(OR($O757="On hand",$O757="Advance received",$O757="Part realised",$O757="Amount missing"),1,0)</f>
        <v>0</v>
      </c>
      <c r="W757" s="80" t="str">
        <f aca="false">IF(AND($V757=1,N($F757)&gt;0),ROW(),"")</f>
        <v/>
      </c>
      <c r="X757" s="80" t="n">
        <f aca="false">IF(AND(OR($A757&lt;&gt;"",$E757&lt;&gt;""),$O757&lt;&gt;"Cancelled",ISNUMBER($E757),N($F757)+N($H757)&gt;$E757+0.005),1,0)</f>
        <v>0</v>
      </c>
      <c r="Y757" s="80" t="n">
        <f aca="false">IF(AND(OR($A757&lt;&gt;"",$E757&lt;&gt;""),OR($A757="",$E757="")),1,0)</f>
        <v>0</v>
      </c>
      <c r="Z757" s="80" t="n">
        <f aca="false">IF(AND($A757&lt;&gt;"",COUNTIF($A$7:$A$1006,$A757)&gt;1),1,0)</f>
        <v>0</v>
      </c>
    </row>
    <row r="758" customFormat="false" ht="15" hidden="false" customHeight="false" outlineLevel="0" collapsed="false">
      <c r="A758" s="71"/>
      <c r="B758" s="72"/>
      <c r="C758" s="73"/>
      <c r="D758" s="73"/>
      <c r="E758" s="74"/>
      <c r="F758" s="74"/>
      <c r="G758" s="72"/>
      <c r="H758" s="74"/>
      <c r="I758" s="72"/>
      <c r="J758" s="73"/>
      <c r="K758" s="73"/>
      <c r="L758" s="75" t="str">
        <f aca="false">IF(OR($A758&lt;&gt;"",$E758&lt;&gt;""),N($F758)+N($H758),"")</f>
        <v/>
      </c>
      <c r="M758" s="76" t="str">
        <f aca="false">IF(OR($O758="",$O758="Cancelled",$O758="Amount missing"),"",IF($O758="Realised",0,$E758-N($F758)-N($H758)))</f>
        <v/>
      </c>
      <c r="N758" s="77" t="str">
        <f aca="false">IF(OR($M758="",FX=""),"",$M758*FX)</f>
        <v/>
      </c>
      <c r="O758" s="78" t="str">
        <f aca="false">IF(NOT(OR($A758&lt;&gt;"",$E758&lt;&gt;"")),"",IF($J758="Cancelled","Cancelled",IF($E758="","Amount missing",IF(OR($J758="Settled",$E758-N($F758)-N($H758)&lt;=0.005),"Realised",IF(N($H758)&gt;0,"Part realised",IF(N($F758)&gt;0,"Advance received","On hand"))))))</f>
        <v/>
      </c>
      <c r="P758" s="79" t="str">
        <f aca="false">IF(AND($V758=1,ISNUMBER($B758)),AsAt-$B758,"")</f>
        <v/>
      </c>
      <c r="Q758" s="78" t="str">
        <f aca="false">IF($V758&lt;&gt;1,"",IF($P758="","No invoice date",IF($P758&lt;=30,"0–30 days",IF($P758&lt;=60,"31–60 days",IF($P758&lt;=90,"61–90 days","Over 90 days")))))</f>
        <v/>
      </c>
      <c r="R758" s="80" t="str">
        <f aca="false">IF($V758=1,ROW(),"")</f>
        <v/>
      </c>
      <c r="S758" s="80" t="str">
        <f aca="false">IF(OR($A758&lt;&gt;"",$E758&lt;&gt;""),IF(TRIM($D758)="","Buyer not noted",TRIM($D758)),"")</f>
        <v/>
      </c>
      <c r="T758" s="80" t="n">
        <f aca="false">IF(AND($V758=1,ISNUMBER($M758)),$M758,0)</f>
        <v>0</v>
      </c>
      <c r="U758" s="80" t="str">
        <f aca="false">IF($V758=1,IF(COUNTIFS($S$7:$S758,$S758,$V$7:$V758,1)=1,SUMIFS($T$7:$T$1006,$S$7:$S$1006,$S758)-ROW()/1000000000,""),"")</f>
        <v/>
      </c>
      <c r="V758" s="80" t="n">
        <f aca="false">IF(OR($O758="On hand",$O758="Advance received",$O758="Part realised",$O758="Amount missing"),1,0)</f>
        <v>0</v>
      </c>
      <c r="W758" s="80" t="str">
        <f aca="false">IF(AND($V758=1,N($F758)&gt;0),ROW(),"")</f>
        <v/>
      </c>
      <c r="X758" s="80" t="n">
        <f aca="false">IF(AND(OR($A758&lt;&gt;"",$E758&lt;&gt;""),$O758&lt;&gt;"Cancelled",ISNUMBER($E758),N($F758)+N($H758)&gt;$E758+0.005),1,0)</f>
        <v>0</v>
      </c>
      <c r="Y758" s="80" t="n">
        <f aca="false">IF(AND(OR($A758&lt;&gt;"",$E758&lt;&gt;""),OR($A758="",$E758="")),1,0)</f>
        <v>0</v>
      </c>
      <c r="Z758" s="80" t="n">
        <f aca="false">IF(AND($A758&lt;&gt;"",COUNTIF($A$7:$A$1006,$A758)&gt;1),1,0)</f>
        <v>0</v>
      </c>
    </row>
    <row r="759" customFormat="false" ht="15" hidden="false" customHeight="false" outlineLevel="0" collapsed="false">
      <c r="A759" s="71"/>
      <c r="B759" s="72"/>
      <c r="C759" s="73"/>
      <c r="D759" s="73"/>
      <c r="E759" s="74"/>
      <c r="F759" s="74"/>
      <c r="G759" s="72"/>
      <c r="H759" s="74"/>
      <c r="I759" s="72"/>
      <c r="J759" s="73"/>
      <c r="K759" s="73"/>
      <c r="L759" s="75" t="str">
        <f aca="false">IF(OR($A759&lt;&gt;"",$E759&lt;&gt;""),N($F759)+N($H759),"")</f>
        <v/>
      </c>
      <c r="M759" s="76" t="str">
        <f aca="false">IF(OR($O759="",$O759="Cancelled",$O759="Amount missing"),"",IF($O759="Realised",0,$E759-N($F759)-N($H759)))</f>
        <v/>
      </c>
      <c r="N759" s="77" t="str">
        <f aca="false">IF(OR($M759="",FX=""),"",$M759*FX)</f>
        <v/>
      </c>
      <c r="O759" s="78" t="str">
        <f aca="false">IF(NOT(OR($A759&lt;&gt;"",$E759&lt;&gt;"")),"",IF($J759="Cancelled","Cancelled",IF($E759="","Amount missing",IF(OR($J759="Settled",$E759-N($F759)-N($H759)&lt;=0.005),"Realised",IF(N($H759)&gt;0,"Part realised",IF(N($F759)&gt;0,"Advance received","On hand"))))))</f>
        <v/>
      </c>
      <c r="P759" s="79" t="str">
        <f aca="false">IF(AND($V759=1,ISNUMBER($B759)),AsAt-$B759,"")</f>
        <v/>
      </c>
      <c r="Q759" s="78" t="str">
        <f aca="false">IF($V759&lt;&gt;1,"",IF($P759="","No invoice date",IF($P759&lt;=30,"0–30 days",IF($P759&lt;=60,"31–60 days",IF($P759&lt;=90,"61–90 days","Over 90 days")))))</f>
        <v/>
      </c>
      <c r="R759" s="80" t="str">
        <f aca="false">IF($V759=1,ROW(),"")</f>
        <v/>
      </c>
      <c r="S759" s="80" t="str">
        <f aca="false">IF(OR($A759&lt;&gt;"",$E759&lt;&gt;""),IF(TRIM($D759)="","Buyer not noted",TRIM($D759)),"")</f>
        <v/>
      </c>
      <c r="T759" s="80" t="n">
        <f aca="false">IF(AND($V759=1,ISNUMBER($M759)),$M759,0)</f>
        <v>0</v>
      </c>
      <c r="U759" s="80" t="str">
        <f aca="false">IF($V759=1,IF(COUNTIFS($S$7:$S759,$S759,$V$7:$V759,1)=1,SUMIFS($T$7:$T$1006,$S$7:$S$1006,$S759)-ROW()/1000000000,""),"")</f>
        <v/>
      </c>
      <c r="V759" s="80" t="n">
        <f aca="false">IF(OR($O759="On hand",$O759="Advance received",$O759="Part realised",$O759="Amount missing"),1,0)</f>
        <v>0</v>
      </c>
      <c r="W759" s="80" t="str">
        <f aca="false">IF(AND($V759=1,N($F759)&gt;0),ROW(),"")</f>
        <v/>
      </c>
      <c r="X759" s="80" t="n">
        <f aca="false">IF(AND(OR($A759&lt;&gt;"",$E759&lt;&gt;""),$O759&lt;&gt;"Cancelled",ISNUMBER($E759),N($F759)+N($H759)&gt;$E759+0.005),1,0)</f>
        <v>0</v>
      </c>
      <c r="Y759" s="80" t="n">
        <f aca="false">IF(AND(OR($A759&lt;&gt;"",$E759&lt;&gt;""),OR($A759="",$E759="")),1,0)</f>
        <v>0</v>
      </c>
      <c r="Z759" s="80" t="n">
        <f aca="false">IF(AND($A759&lt;&gt;"",COUNTIF($A$7:$A$1006,$A759)&gt;1),1,0)</f>
        <v>0</v>
      </c>
    </row>
    <row r="760" customFormat="false" ht="15" hidden="false" customHeight="false" outlineLevel="0" collapsed="false">
      <c r="A760" s="71"/>
      <c r="B760" s="72"/>
      <c r="C760" s="73"/>
      <c r="D760" s="73"/>
      <c r="E760" s="74"/>
      <c r="F760" s="74"/>
      <c r="G760" s="72"/>
      <c r="H760" s="74"/>
      <c r="I760" s="72"/>
      <c r="J760" s="73"/>
      <c r="K760" s="73"/>
      <c r="L760" s="75" t="str">
        <f aca="false">IF(OR($A760&lt;&gt;"",$E760&lt;&gt;""),N($F760)+N($H760),"")</f>
        <v/>
      </c>
      <c r="M760" s="76" t="str">
        <f aca="false">IF(OR($O760="",$O760="Cancelled",$O760="Amount missing"),"",IF($O760="Realised",0,$E760-N($F760)-N($H760)))</f>
        <v/>
      </c>
      <c r="N760" s="77" t="str">
        <f aca="false">IF(OR($M760="",FX=""),"",$M760*FX)</f>
        <v/>
      </c>
      <c r="O760" s="78" t="str">
        <f aca="false">IF(NOT(OR($A760&lt;&gt;"",$E760&lt;&gt;"")),"",IF($J760="Cancelled","Cancelled",IF($E760="","Amount missing",IF(OR($J760="Settled",$E760-N($F760)-N($H760)&lt;=0.005),"Realised",IF(N($H760)&gt;0,"Part realised",IF(N($F760)&gt;0,"Advance received","On hand"))))))</f>
        <v/>
      </c>
      <c r="P760" s="79" t="str">
        <f aca="false">IF(AND($V760=1,ISNUMBER($B760)),AsAt-$B760,"")</f>
        <v/>
      </c>
      <c r="Q760" s="78" t="str">
        <f aca="false">IF($V760&lt;&gt;1,"",IF($P760="","No invoice date",IF($P760&lt;=30,"0–30 days",IF($P760&lt;=60,"31–60 days",IF($P760&lt;=90,"61–90 days","Over 90 days")))))</f>
        <v/>
      </c>
      <c r="R760" s="80" t="str">
        <f aca="false">IF($V760=1,ROW(),"")</f>
        <v/>
      </c>
      <c r="S760" s="80" t="str">
        <f aca="false">IF(OR($A760&lt;&gt;"",$E760&lt;&gt;""),IF(TRIM($D760)="","Buyer not noted",TRIM($D760)),"")</f>
        <v/>
      </c>
      <c r="T760" s="80" t="n">
        <f aca="false">IF(AND($V760=1,ISNUMBER($M760)),$M760,0)</f>
        <v>0</v>
      </c>
      <c r="U760" s="80" t="str">
        <f aca="false">IF($V760=1,IF(COUNTIFS($S$7:$S760,$S760,$V$7:$V760,1)=1,SUMIFS($T$7:$T$1006,$S$7:$S$1006,$S760)-ROW()/1000000000,""),"")</f>
        <v/>
      </c>
      <c r="V760" s="80" t="n">
        <f aca="false">IF(OR($O760="On hand",$O760="Advance received",$O760="Part realised",$O760="Amount missing"),1,0)</f>
        <v>0</v>
      </c>
      <c r="W760" s="80" t="str">
        <f aca="false">IF(AND($V760=1,N($F760)&gt;0),ROW(),"")</f>
        <v/>
      </c>
      <c r="X760" s="80" t="n">
        <f aca="false">IF(AND(OR($A760&lt;&gt;"",$E760&lt;&gt;""),$O760&lt;&gt;"Cancelled",ISNUMBER($E760),N($F760)+N($H760)&gt;$E760+0.005),1,0)</f>
        <v>0</v>
      </c>
      <c r="Y760" s="80" t="n">
        <f aca="false">IF(AND(OR($A760&lt;&gt;"",$E760&lt;&gt;""),OR($A760="",$E760="")),1,0)</f>
        <v>0</v>
      </c>
      <c r="Z760" s="80" t="n">
        <f aca="false">IF(AND($A760&lt;&gt;"",COUNTIF($A$7:$A$1006,$A760)&gt;1),1,0)</f>
        <v>0</v>
      </c>
    </row>
    <row r="761" customFormat="false" ht="15" hidden="false" customHeight="false" outlineLevel="0" collapsed="false">
      <c r="A761" s="71"/>
      <c r="B761" s="72"/>
      <c r="C761" s="73"/>
      <c r="D761" s="73"/>
      <c r="E761" s="74"/>
      <c r="F761" s="74"/>
      <c r="G761" s="72"/>
      <c r="H761" s="74"/>
      <c r="I761" s="72"/>
      <c r="J761" s="73"/>
      <c r="K761" s="73"/>
      <c r="L761" s="75" t="str">
        <f aca="false">IF(OR($A761&lt;&gt;"",$E761&lt;&gt;""),N($F761)+N($H761),"")</f>
        <v/>
      </c>
      <c r="M761" s="76" t="str">
        <f aca="false">IF(OR($O761="",$O761="Cancelled",$O761="Amount missing"),"",IF($O761="Realised",0,$E761-N($F761)-N($H761)))</f>
        <v/>
      </c>
      <c r="N761" s="77" t="str">
        <f aca="false">IF(OR($M761="",FX=""),"",$M761*FX)</f>
        <v/>
      </c>
      <c r="O761" s="78" t="str">
        <f aca="false">IF(NOT(OR($A761&lt;&gt;"",$E761&lt;&gt;"")),"",IF($J761="Cancelled","Cancelled",IF($E761="","Amount missing",IF(OR($J761="Settled",$E761-N($F761)-N($H761)&lt;=0.005),"Realised",IF(N($H761)&gt;0,"Part realised",IF(N($F761)&gt;0,"Advance received","On hand"))))))</f>
        <v/>
      </c>
      <c r="P761" s="79" t="str">
        <f aca="false">IF(AND($V761=1,ISNUMBER($B761)),AsAt-$B761,"")</f>
        <v/>
      </c>
      <c r="Q761" s="78" t="str">
        <f aca="false">IF($V761&lt;&gt;1,"",IF($P761="","No invoice date",IF($P761&lt;=30,"0–30 days",IF($P761&lt;=60,"31–60 days",IF($P761&lt;=90,"61–90 days","Over 90 days")))))</f>
        <v/>
      </c>
      <c r="R761" s="80" t="str">
        <f aca="false">IF($V761=1,ROW(),"")</f>
        <v/>
      </c>
      <c r="S761" s="80" t="str">
        <f aca="false">IF(OR($A761&lt;&gt;"",$E761&lt;&gt;""),IF(TRIM($D761)="","Buyer not noted",TRIM($D761)),"")</f>
        <v/>
      </c>
      <c r="T761" s="80" t="n">
        <f aca="false">IF(AND($V761=1,ISNUMBER($M761)),$M761,0)</f>
        <v>0</v>
      </c>
      <c r="U761" s="80" t="str">
        <f aca="false">IF($V761=1,IF(COUNTIFS($S$7:$S761,$S761,$V$7:$V761,1)=1,SUMIFS($T$7:$T$1006,$S$7:$S$1006,$S761)-ROW()/1000000000,""),"")</f>
        <v/>
      </c>
      <c r="V761" s="80" t="n">
        <f aca="false">IF(OR($O761="On hand",$O761="Advance received",$O761="Part realised",$O761="Amount missing"),1,0)</f>
        <v>0</v>
      </c>
      <c r="W761" s="80" t="str">
        <f aca="false">IF(AND($V761=1,N($F761)&gt;0),ROW(),"")</f>
        <v/>
      </c>
      <c r="X761" s="80" t="n">
        <f aca="false">IF(AND(OR($A761&lt;&gt;"",$E761&lt;&gt;""),$O761&lt;&gt;"Cancelled",ISNUMBER($E761),N($F761)+N($H761)&gt;$E761+0.005),1,0)</f>
        <v>0</v>
      </c>
      <c r="Y761" s="80" t="n">
        <f aca="false">IF(AND(OR($A761&lt;&gt;"",$E761&lt;&gt;""),OR($A761="",$E761="")),1,0)</f>
        <v>0</v>
      </c>
      <c r="Z761" s="80" t="n">
        <f aca="false">IF(AND($A761&lt;&gt;"",COUNTIF($A$7:$A$1006,$A761)&gt;1),1,0)</f>
        <v>0</v>
      </c>
    </row>
    <row r="762" customFormat="false" ht="15" hidden="false" customHeight="false" outlineLevel="0" collapsed="false">
      <c r="A762" s="71"/>
      <c r="B762" s="72"/>
      <c r="C762" s="73"/>
      <c r="D762" s="73"/>
      <c r="E762" s="74"/>
      <c r="F762" s="74"/>
      <c r="G762" s="72"/>
      <c r="H762" s="74"/>
      <c r="I762" s="72"/>
      <c r="J762" s="73"/>
      <c r="K762" s="73"/>
      <c r="L762" s="75" t="str">
        <f aca="false">IF(OR($A762&lt;&gt;"",$E762&lt;&gt;""),N($F762)+N($H762),"")</f>
        <v/>
      </c>
      <c r="M762" s="76" t="str">
        <f aca="false">IF(OR($O762="",$O762="Cancelled",$O762="Amount missing"),"",IF($O762="Realised",0,$E762-N($F762)-N($H762)))</f>
        <v/>
      </c>
      <c r="N762" s="77" t="str">
        <f aca="false">IF(OR($M762="",FX=""),"",$M762*FX)</f>
        <v/>
      </c>
      <c r="O762" s="78" t="str">
        <f aca="false">IF(NOT(OR($A762&lt;&gt;"",$E762&lt;&gt;"")),"",IF($J762="Cancelled","Cancelled",IF($E762="","Amount missing",IF(OR($J762="Settled",$E762-N($F762)-N($H762)&lt;=0.005),"Realised",IF(N($H762)&gt;0,"Part realised",IF(N($F762)&gt;0,"Advance received","On hand"))))))</f>
        <v/>
      </c>
      <c r="P762" s="79" t="str">
        <f aca="false">IF(AND($V762=1,ISNUMBER($B762)),AsAt-$B762,"")</f>
        <v/>
      </c>
      <c r="Q762" s="78" t="str">
        <f aca="false">IF($V762&lt;&gt;1,"",IF($P762="","No invoice date",IF($P762&lt;=30,"0–30 days",IF($P762&lt;=60,"31–60 days",IF($P762&lt;=90,"61–90 days","Over 90 days")))))</f>
        <v/>
      </c>
      <c r="R762" s="80" t="str">
        <f aca="false">IF($V762=1,ROW(),"")</f>
        <v/>
      </c>
      <c r="S762" s="80" t="str">
        <f aca="false">IF(OR($A762&lt;&gt;"",$E762&lt;&gt;""),IF(TRIM($D762)="","Buyer not noted",TRIM($D762)),"")</f>
        <v/>
      </c>
      <c r="T762" s="80" t="n">
        <f aca="false">IF(AND($V762=1,ISNUMBER($M762)),$M762,0)</f>
        <v>0</v>
      </c>
      <c r="U762" s="80" t="str">
        <f aca="false">IF($V762=1,IF(COUNTIFS($S$7:$S762,$S762,$V$7:$V762,1)=1,SUMIFS($T$7:$T$1006,$S$7:$S$1006,$S762)-ROW()/1000000000,""),"")</f>
        <v/>
      </c>
      <c r="V762" s="80" t="n">
        <f aca="false">IF(OR($O762="On hand",$O762="Advance received",$O762="Part realised",$O762="Amount missing"),1,0)</f>
        <v>0</v>
      </c>
      <c r="W762" s="80" t="str">
        <f aca="false">IF(AND($V762=1,N($F762)&gt;0),ROW(),"")</f>
        <v/>
      </c>
      <c r="X762" s="80" t="n">
        <f aca="false">IF(AND(OR($A762&lt;&gt;"",$E762&lt;&gt;""),$O762&lt;&gt;"Cancelled",ISNUMBER($E762),N($F762)+N($H762)&gt;$E762+0.005),1,0)</f>
        <v>0</v>
      </c>
      <c r="Y762" s="80" t="n">
        <f aca="false">IF(AND(OR($A762&lt;&gt;"",$E762&lt;&gt;""),OR($A762="",$E762="")),1,0)</f>
        <v>0</v>
      </c>
      <c r="Z762" s="80" t="n">
        <f aca="false">IF(AND($A762&lt;&gt;"",COUNTIF($A$7:$A$1006,$A762)&gt;1),1,0)</f>
        <v>0</v>
      </c>
    </row>
    <row r="763" customFormat="false" ht="15" hidden="false" customHeight="false" outlineLevel="0" collapsed="false">
      <c r="A763" s="71"/>
      <c r="B763" s="72"/>
      <c r="C763" s="73"/>
      <c r="D763" s="73"/>
      <c r="E763" s="74"/>
      <c r="F763" s="74"/>
      <c r="G763" s="72"/>
      <c r="H763" s="74"/>
      <c r="I763" s="72"/>
      <c r="J763" s="73"/>
      <c r="K763" s="73"/>
      <c r="L763" s="75" t="str">
        <f aca="false">IF(OR($A763&lt;&gt;"",$E763&lt;&gt;""),N($F763)+N($H763),"")</f>
        <v/>
      </c>
      <c r="M763" s="76" t="str">
        <f aca="false">IF(OR($O763="",$O763="Cancelled",$O763="Amount missing"),"",IF($O763="Realised",0,$E763-N($F763)-N($H763)))</f>
        <v/>
      </c>
      <c r="N763" s="77" t="str">
        <f aca="false">IF(OR($M763="",FX=""),"",$M763*FX)</f>
        <v/>
      </c>
      <c r="O763" s="78" t="str">
        <f aca="false">IF(NOT(OR($A763&lt;&gt;"",$E763&lt;&gt;"")),"",IF($J763="Cancelled","Cancelled",IF($E763="","Amount missing",IF(OR($J763="Settled",$E763-N($F763)-N($H763)&lt;=0.005),"Realised",IF(N($H763)&gt;0,"Part realised",IF(N($F763)&gt;0,"Advance received","On hand"))))))</f>
        <v/>
      </c>
      <c r="P763" s="79" t="str">
        <f aca="false">IF(AND($V763=1,ISNUMBER($B763)),AsAt-$B763,"")</f>
        <v/>
      </c>
      <c r="Q763" s="78" t="str">
        <f aca="false">IF($V763&lt;&gt;1,"",IF($P763="","No invoice date",IF($P763&lt;=30,"0–30 days",IF($P763&lt;=60,"31–60 days",IF($P763&lt;=90,"61–90 days","Over 90 days")))))</f>
        <v/>
      </c>
      <c r="R763" s="80" t="str">
        <f aca="false">IF($V763=1,ROW(),"")</f>
        <v/>
      </c>
      <c r="S763" s="80" t="str">
        <f aca="false">IF(OR($A763&lt;&gt;"",$E763&lt;&gt;""),IF(TRIM($D763)="","Buyer not noted",TRIM($D763)),"")</f>
        <v/>
      </c>
      <c r="T763" s="80" t="n">
        <f aca="false">IF(AND($V763=1,ISNUMBER($M763)),$M763,0)</f>
        <v>0</v>
      </c>
      <c r="U763" s="80" t="str">
        <f aca="false">IF($V763=1,IF(COUNTIFS($S$7:$S763,$S763,$V$7:$V763,1)=1,SUMIFS($T$7:$T$1006,$S$7:$S$1006,$S763)-ROW()/1000000000,""),"")</f>
        <v/>
      </c>
      <c r="V763" s="80" t="n">
        <f aca="false">IF(OR($O763="On hand",$O763="Advance received",$O763="Part realised",$O763="Amount missing"),1,0)</f>
        <v>0</v>
      </c>
      <c r="W763" s="80" t="str">
        <f aca="false">IF(AND($V763=1,N($F763)&gt;0),ROW(),"")</f>
        <v/>
      </c>
      <c r="X763" s="80" t="n">
        <f aca="false">IF(AND(OR($A763&lt;&gt;"",$E763&lt;&gt;""),$O763&lt;&gt;"Cancelled",ISNUMBER($E763),N($F763)+N($H763)&gt;$E763+0.005),1,0)</f>
        <v>0</v>
      </c>
      <c r="Y763" s="80" t="n">
        <f aca="false">IF(AND(OR($A763&lt;&gt;"",$E763&lt;&gt;""),OR($A763="",$E763="")),1,0)</f>
        <v>0</v>
      </c>
      <c r="Z763" s="80" t="n">
        <f aca="false">IF(AND($A763&lt;&gt;"",COUNTIF($A$7:$A$1006,$A763)&gt;1),1,0)</f>
        <v>0</v>
      </c>
    </row>
    <row r="764" customFormat="false" ht="15" hidden="false" customHeight="false" outlineLevel="0" collapsed="false">
      <c r="A764" s="71"/>
      <c r="B764" s="72"/>
      <c r="C764" s="73"/>
      <c r="D764" s="73"/>
      <c r="E764" s="74"/>
      <c r="F764" s="74"/>
      <c r="G764" s="72"/>
      <c r="H764" s="74"/>
      <c r="I764" s="72"/>
      <c r="J764" s="73"/>
      <c r="K764" s="73"/>
      <c r="L764" s="75" t="str">
        <f aca="false">IF(OR($A764&lt;&gt;"",$E764&lt;&gt;""),N($F764)+N($H764),"")</f>
        <v/>
      </c>
      <c r="M764" s="76" t="str">
        <f aca="false">IF(OR($O764="",$O764="Cancelled",$O764="Amount missing"),"",IF($O764="Realised",0,$E764-N($F764)-N($H764)))</f>
        <v/>
      </c>
      <c r="N764" s="77" t="str">
        <f aca="false">IF(OR($M764="",FX=""),"",$M764*FX)</f>
        <v/>
      </c>
      <c r="O764" s="78" t="str">
        <f aca="false">IF(NOT(OR($A764&lt;&gt;"",$E764&lt;&gt;"")),"",IF($J764="Cancelled","Cancelled",IF($E764="","Amount missing",IF(OR($J764="Settled",$E764-N($F764)-N($H764)&lt;=0.005),"Realised",IF(N($H764)&gt;0,"Part realised",IF(N($F764)&gt;0,"Advance received","On hand"))))))</f>
        <v/>
      </c>
      <c r="P764" s="79" t="str">
        <f aca="false">IF(AND($V764=1,ISNUMBER($B764)),AsAt-$B764,"")</f>
        <v/>
      </c>
      <c r="Q764" s="78" t="str">
        <f aca="false">IF($V764&lt;&gt;1,"",IF($P764="","No invoice date",IF($P764&lt;=30,"0–30 days",IF($P764&lt;=60,"31–60 days",IF($P764&lt;=90,"61–90 days","Over 90 days")))))</f>
        <v/>
      </c>
      <c r="R764" s="80" t="str">
        <f aca="false">IF($V764=1,ROW(),"")</f>
        <v/>
      </c>
      <c r="S764" s="80" t="str">
        <f aca="false">IF(OR($A764&lt;&gt;"",$E764&lt;&gt;""),IF(TRIM($D764)="","Buyer not noted",TRIM($D764)),"")</f>
        <v/>
      </c>
      <c r="T764" s="80" t="n">
        <f aca="false">IF(AND($V764=1,ISNUMBER($M764)),$M764,0)</f>
        <v>0</v>
      </c>
      <c r="U764" s="80" t="str">
        <f aca="false">IF($V764=1,IF(COUNTIFS($S$7:$S764,$S764,$V$7:$V764,1)=1,SUMIFS($T$7:$T$1006,$S$7:$S$1006,$S764)-ROW()/1000000000,""),"")</f>
        <v/>
      </c>
      <c r="V764" s="80" t="n">
        <f aca="false">IF(OR($O764="On hand",$O764="Advance received",$O764="Part realised",$O764="Amount missing"),1,0)</f>
        <v>0</v>
      </c>
      <c r="W764" s="80" t="str">
        <f aca="false">IF(AND($V764=1,N($F764)&gt;0),ROW(),"")</f>
        <v/>
      </c>
      <c r="X764" s="80" t="n">
        <f aca="false">IF(AND(OR($A764&lt;&gt;"",$E764&lt;&gt;""),$O764&lt;&gt;"Cancelled",ISNUMBER($E764),N($F764)+N($H764)&gt;$E764+0.005),1,0)</f>
        <v>0</v>
      </c>
      <c r="Y764" s="80" t="n">
        <f aca="false">IF(AND(OR($A764&lt;&gt;"",$E764&lt;&gt;""),OR($A764="",$E764="")),1,0)</f>
        <v>0</v>
      </c>
      <c r="Z764" s="80" t="n">
        <f aca="false">IF(AND($A764&lt;&gt;"",COUNTIF($A$7:$A$1006,$A764)&gt;1),1,0)</f>
        <v>0</v>
      </c>
    </row>
    <row r="765" customFormat="false" ht="15" hidden="false" customHeight="false" outlineLevel="0" collapsed="false">
      <c r="A765" s="71"/>
      <c r="B765" s="72"/>
      <c r="C765" s="73"/>
      <c r="D765" s="73"/>
      <c r="E765" s="74"/>
      <c r="F765" s="74"/>
      <c r="G765" s="72"/>
      <c r="H765" s="74"/>
      <c r="I765" s="72"/>
      <c r="J765" s="73"/>
      <c r="K765" s="73"/>
      <c r="L765" s="75" t="str">
        <f aca="false">IF(OR($A765&lt;&gt;"",$E765&lt;&gt;""),N($F765)+N($H765),"")</f>
        <v/>
      </c>
      <c r="M765" s="76" t="str">
        <f aca="false">IF(OR($O765="",$O765="Cancelled",$O765="Amount missing"),"",IF($O765="Realised",0,$E765-N($F765)-N($H765)))</f>
        <v/>
      </c>
      <c r="N765" s="77" t="str">
        <f aca="false">IF(OR($M765="",FX=""),"",$M765*FX)</f>
        <v/>
      </c>
      <c r="O765" s="78" t="str">
        <f aca="false">IF(NOT(OR($A765&lt;&gt;"",$E765&lt;&gt;"")),"",IF($J765="Cancelled","Cancelled",IF($E765="","Amount missing",IF(OR($J765="Settled",$E765-N($F765)-N($H765)&lt;=0.005),"Realised",IF(N($H765)&gt;0,"Part realised",IF(N($F765)&gt;0,"Advance received","On hand"))))))</f>
        <v/>
      </c>
      <c r="P765" s="79" t="str">
        <f aca="false">IF(AND($V765=1,ISNUMBER($B765)),AsAt-$B765,"")</f>
        <v/>
      </c>
      <c r="Q765" s="78" t="str">
        <f aca="false">IF($V765&lt;&gt;1,"",IF($P765="","No invoice date",IF($P765&lt;=30,"0–30 days",IF($P765&lt;=60,"31–60 days",IF($P765&lt;=90,"61–90 days","Over 90 days")))))</f>
        <v/>
      </c>
      <c r="R765" s="80" t="str">
        <f aca="false">IF($V765=1,ROW(),"")</f>
        <v/>
      </c>
      <c r="S765" s="80" t="str">
        <f aca="false">IF(OR($A765&lt;&gt;"",$E765&lt;&gt;""),IF(TRIM($D765)="","Buyer not noted",TRIM($D765)),"")</f>
        <v/>
      </c>
      <c r="T765" s="80" t="n">
        <f aca="false">IF(AND($V765=1,ISNUMBER($M765)),$M765,0)</f>
        <v>0</v>
      </c>
      <c r="U765" s="80" t="str">
        <f aca="false">IF($V765=1,IF(COUNTIFS($S$7:$S765,$S765,$V$7:$V765,1)=1,SUMIFS($T$7:$T$1006,$S$7:$S$1006,$S765)-ROW()/1000000000,""),"")</f>
        <v/>
      </c>
      <c r="V765" s="80" t="n">
        <f aca="false">IF(OR($O765="On hand",$O765="Advance received",$O765="Part realised",$O765="Amount missing"),1,0)</f>
        <v>0</v>
      </c>
      <c r="W765" s="80" t="str">
        <f aca="false">IF(AND($V765=1,N($F765)&gt;0),ROW(),"")</f>
        <v/>
      </c>
      <c r="X765" s="80" t="n">
        <f aca="false">IF(AND(OR($A765&lt;&gt;"",$E765&lt;&gt;""),$O765&lt;&gt;"Cancelled",ISNUMBER($E765),N($F765)+N($H765)&gt;$E765+0.005),1,0)</f>
        <v>0</v>
      </c>
      <c r="Y765" s="80" t="n">
        <f aca="false">IF(AND(OR($A765&lt;&gt;"",$E765&lt;&gt;""),OR($A765="",$E765="")),1,0)</f>
        <v>0</v>
      </c>
      <c r="Z765" s="80" t="n">
        <f aca="false">IF(AND($A765&lt;&gt;"",COUNTIF($A$7:$A$1006,$A765)&gt;1),1,0)</f>
        <v>0</v>
      </c>
    </row>
    <row r="766" customFormat="false" ht="15" hidden="false" customHeight="false" outlineLevel="0" collapsed="false">
      <c r="A766" s="71"/>
      <c r="B766" s="72"/>
      <c r="C766" s="73"/>
      <c r="D766" s="73"/>
      <c r="E766" s="74"/>
      <c r="F766" s="74"/>
      <c r="G766" s="72"/>
      <c r="H766" s="74"/>
      <c r="I766" s="72"/>
      <c r="J766" s="73"/>
      <c r="K766" s="73"/>
      <c r="L766" s="75" t="str">
        <f aca="false">IF(OR($A766&lt;&gt;"",$E766&lt;&gt;""),N($F766)+N($H766),"")</f>
        <v/>
      </c>
      <c r="M766" s="76" t="str">
        <f aca="false">IF(OR($O766="",$O766="Cancelled",$O766="Amount missing"),"",IF($O766="Realised",0,$E766-N($F766)-N($H766)))</f>
        <v/>
      </c>
      <c r="N766" s="77" t="str">
        <f aca="false">IF(OR($M766="",FX=""),"",$M766*FX)</f>
        <v/>
      </c>
      <c r="O766" s="78" t="str">
        <f aca="false">IF(NOT(OR($A766&lt;&gt;"",$E766&lt;&gt;"")),"",IF($J766="Cancelled","Cancelled",IF($E766="","Amount missing",IF(OR($J766="Settled",$E766-N($F766)-N($H766)&lt;=0.005),"Realised",IF(N($H766)&gt;0,"Part realised",IF(N($F766)&gt;0,"Advance received","On hand"))))))</f>
        <v/>
      </c>
      <c r="P766" s="79" t="str">
        <f aca="false">IF(AND($V766=1,ISNUMBER($B766)),AsAt-$B766,"")</f>
        <v/>
      </c>
      <c r="Q766" s="78" t="str">
        <f aca="false">IF($V766&lt;&gt;1,"",IF($P766="","No invoice date",IF($P766&lt;=30,"0–30 days",IF($P766&lt;=60,"31–60 days",IF($P766&lt;=90,"61–90 days","Over 90 days")))))</f>
        <v/>
      </c>
      <c r="R766" s="80" t="str">
        <f aca="false">IF($V766=1,ROW(),"")</f>
        <v/>
      </c>
      <c r="S766" s="80" t="str">
        <f aca="false">IF(OR($A766&lt;&gt;"",$E766&lt;&gt;""),IF(TRIM($D766)="","Buyer not noted",TRIM($D766)),"")</f>
        <v/>
      </c>
      <c r="T766" s="80" t="n">
        <f aca="false">IF(AND($V766=1,ISNUMBER($M766)),$M766,0)</f>
        <v>0</v>
      </c>
      <c r="U766" s="80" t="str">
        <f aca="false">IF($V766=1,IF(COUNTIFS($S$7:$S766,$S766,$V$7:$V766,1)=1,SUMIFS($T$7:$T$1006,$S$7:$S$1006,$S766)-ROW()/1000000000,""),"")</f>
        <v/>
      </c>
      <c r="V766" s="80" t="n">
        <f aca="false">IF(OR($O766="On hand",$O766="Advance received",$O766="Part realised",$O766="Amount missing"),1,0)</f>
        <v>0</v>
      </c>
      <c r="W766" s="80" t="str">
        <f aca="false">IF(AND($V766=1,N($F766)&gt;0),ROW(),"")</f>
        <v/>
      </c>
      <c r="X766" s="80" t="n">
        <f aca="false">IF(AND(OR($A766&lt;&gt;"",$E766&lt;&gt;""),$O766&lt;&gt;"Cancelled",ISNUMBER($E766),N($F766)+N($H766)&gt;$E766+0.005),1,0)</f>
        <v>0</v>
      </c>
      <c r="Y766" s="80" t="n">
        <f aca="false">IF(AND(OR($A766&lt;&gt;"",$E766&lt;&gt;""),OR($A766="",$E766="")),1,0)</f>
        <v>0</v>
      </c>
      <c r="Z766" s="80" t="n">
        <f aca="false">IF(AND($A766&lt;&gt;"",COUNTIF($A$7:$A$1006,$A766)&gt;1),1,0)</f>
        <v>0</v>
      </c>
    </row>
    <row r="767" customFormat="false" ht="15" hidden="false" customHeight="false" outlineLevel="0" collapsed="false">
      <c r="A767" s="71"/>
      <c r="B767" s="72"/>
      <c r="C767" s="73"/>
      <c r="D767" s="73"/>
      <c r="E767" s="74"/>
      <c r="F767" s="74"/>
      <c r="G767" s="72"/>
      <c r="H767" s="74"/>
      <c r="I767" s="72"/>
      <c r="J767" s="73"/>
      <c r="K767" s="73"/>
      <c r="L767" s="75" t="str">
        <f aca="false">IF(OR($A767&lt;&gt;"",$E767&lt;&gt;""),N($F767)+N($H767),"")</f>
        <v/>
      </c>
      <c r="M767" s="76" t="str">
        <f aca="false">IF(OR($O767="",$O767="Cancelled",$O767="Amount missing"),"",IF($O767="Realised",0,$E767-N($F767)-N($H767)))</f>
        <v/>
      </c>
      <c r="N767" s="77" t="str">
        <f aca="false">IF(OR($M767="",FX=""),"",$M767*FX)</f>
        <v/>
      </c>
      <c r="O767" s="78" t="str">
        <f aca="false">IF(NOT(OR($A767&lt;&gt;"",$E767&lt;&gt;"")),"",IF($J767="Cancelled","Cancelled",IF($E767="","Amount missing",IF(OR($J767="Settled",$E767-N($F767)-N($H767)&lt;=0.005),"Realised",IF(N($H767)&gt;0,"Part realised",IF(N($F767)&gt;0,"Advance received","On hand"))))))</f>
        <v/>
      </c>
      <c r="P767" s="79" t="str">
        <f aca="false">IF(AND($V767=1,ISNUMBER($B767)),AsAt-$B767,"")</f>
        <v/>
      </c>
      <c r="Q767" s="78" t="str">
        <f aca="false">IF($V767&lt;&gt;1,"",IF($P767="","No invoice date",IF($P767&lt;=30,"0–30 days",IF($P767&lt;=60,"31–60 days",IF($P767&lt;=90,"61–90 days","Over 90 days")))))</f>
        <v/>
      </c>
      <c r="R767" s="80" t="str">
        <f aca="false">IF($V767=1,ROW(),"")</f>
        <v/>
      </c>
      <c r="S767" s="80" t="str">
        <f aca="false">IF(OR($A767&lt;&gt;"",$E767&lt;&gt;""),IF(TRIM($D767)="","Buyer not noted",TRIM($D767)),"")</f>
        <v/>
      </c>
      <c r="T767" s="80" t="n">
        <f aca="false">IF(AND($V767=1,ISNUMBER($M767)),$M767,0)</f>
        <v>0</v>
      </c>
      <c r="U767" s="80" t="str">
        <f aca="false">IF($V767=1,IF(COUNTIFS($S$7:$S767,$S767,$V$7:$V767,1)=1,SUMIFS($T$7:$T$1006,$S$7:$S$1006,$S767)-ROW()/1000000000,""),"")</f>
        <v/>
      </c>
      <c r="V767" s="80" t="n">
        <f aca="false">IF(OR($O767="On hand",$O767="Advance received",$O767="Part realised",$O767="Amount missing"),1,0)</f>
        <v>0</v>
      </c>
      <c r="W767" s="80" t="str">
        <f aca="false">IF(AND($V767=1,N($F767)&gt;0),ROW(),"")</f>
        <v/>
      </c>
      <c r="X767" s="80" t="n">
        <f aca="false">IF(AND(OR($A767&lt;&gt;"",$E767&lt;&gt;""),$O767&lt;&gt;"Cancelled",ISNUMBER($E767),N($F767)+N($H767)&gt;$E767+0.005),1,0)</f>
        <v>0</v>
      </c>
      <c r="Y767" s="80" t="n">
        <f aca="false">IF(AND(OR($A767&lt;&gt;"",$E767&lt;&gt;""),OR($A767="",$E767="")),1,0)</f>
        <v>0</v>
      </c>
      <c r="Z767" s="80" t="n">
        <f aca="false">IF(AND($A767&lt;&gt;"",COUNTIF($A$7:$A$1006,$A767)&gt;1),1,0)</f>
        <v>0</v>
      </c>
    </row>
    <row r="768" customFormat="false" ht="15" hidden="false" customHeight="false" outlineLevel="0" collapsed="false">
      <c r="A768" s="71"/>
      <c r="B768" s="72"/>
      <c r="C768" s="73"/>
      <c r="D768" s="73"/>
      <c r="E768" s="74"/>
      <c r="F768" s="74"/>
      <c r="G768" s="72"/>
      <c r="H768" s="74"/>
      <c r="I768" s="72"/>
      <c r="J768" s="73"/>
      <c r="K768" s="73"/>
      <c r="L768" s="75" t="str">
        <f aca="false">IF(OR($A768&lt;&gt;"",$E768&lt;&gt;""),N($F768)+N($H768),"")</f>
        <v/>
      </c>
      <c r="M768" s="76" t="str">
        <f aca="false">IF(OR($O768="",$O768="Cancelled",$O768="Amount missing"),"",IF($O768="Realised",0,$E768-N($F768)-N($H768)))</f>
        <v/>
      </c>
      <c r="N768" s="77" t="str">
        <f aca="false">IF(OR($M768="",FX=""),"",$M768*FX)</f>
        <v/>
      </c>
      <c r="O768" s="78" t="str">
        <f aca="false">IF(NOT(OR($A768&lt;&gt;"",$E768&lt;&gt;"")),"",IF($J768="Cancelled","Cancelled",IF($E768="","Amount missing",IF(OR($J768="Settled",$E768-N($F768)-N($H768)&lt;=0.005),"Realised",IF(N($H768)&gt;0,"Part realised",IF(N($F768)&gt;0,"Advance received","On hand"))))))</f>
        <v/>
      </c>
      <c r="P768" s="79" t="str">
        <f aca="false">IF(AND($V768=1,ISNUMBER($B768)),AsAt-$B768,"")</f>
        <v/>
      </c>
      <c r="Q768" s="78" t="str">
        <f aca="false">IF($V768&lt;&gt;1,"",IF($P768="","No invoice date",IF($P768&lt;=30,"0–30 days",IF($P768&lt;=60,"31–60 days",IF($P768&lt;=90,"61–90 days","Over 90 days")))))</f>
        <v/>
      </c>
      <c r="R768" s="80" t="str">
        <f aca="false">IF($V768=1,ROW(),"")</f>
        <v/>
      </c>
      <c r="S768" s="80" t="str">
        <f aca="false">IF(OR($A768&lt;&gt;"",$E768&lt;&gt;""),IF(TRIM($D768)="","Buyer not noted",TRIM($D768)),"")</f>
        <v/>
      </c>
      <c r="T768" s="80" t="n">
        <f aca="false">IF(AND($V768=1,ISNUMBER($M768)),$M768,0)</f>
        <v>0</v>
      </c>
      <c r="U768" s="80" t="str">
        <f aca="false">IF($V768=1,IF(COUNTIFS($S$7:$S768,$S768,$V$7:$V768,1)=1,SUMIFS($T$7:$T$1006,$S$7:$S$1006,$S768)-ROW()/1000000000,""),"")</f>
        <v/>
      </c>
      <c r="V768" s="80" t="n">
        <f aca="false">IF(OR($O768="On hand",$O768="Advance received",$O768="Part realised",$O768="Amount missing"),1,0)</f>
        <v>0</v>
      </c>
      <c r="W768" s="80" t="str">
        <f aca="false">IF(AND($V768=1,N($F768)&gt;0),ROW(),"")</f>
        <v/>
      </c>
      <c r="X768" s="80" t="n">
        <f aca="false">IF(AND(OR($A768&lt;&gt;"",$E768&lt;&gt;""),$O768&lt;&gt;"Cancelled",ISNUMBER($E768),N($F768)+N($H768)&gt;$E768+0.005),1,0)</f>
        <v>0</v>
      </c>
      <c r="Y768" s="80" t="n">
        <f aca="false">IF(AND(OR($A768&lt;&gt;"",$E768&lt;&gt;""),OR($A768="",$E768="")),1,0)</f>
        <v>0</v>
      </c>
      <c r="Z768" s="80" t="n">
        <f aca="false">IF(AND($A768&lt;&gt;"",COUNTIF($A$7:$A$1006,$A768)&gt;1),1,0)</f>
        <v>0</v>
      </c>
    </row>
    <row r="769" customFormat="false" ht="15" hidden="false" customHeight="false" outlineLevel="0" collapsed="false">
      <c r="A769" s="71"/>
      <c r="B769" s="72"/>
      <c r="C769" s="73"/>
      <c r="D769" s="73"/>
      <c r="E769" s="74"/>
      <c r="F769" s="74"/>
      <c r="G769" s="72"/>
      <c r="H769" s="74"/>
      <c r="I769" s="72"/>
      <c r="J769" s="73"/>
      <c r="K769" s="73"/>
      <c r="L769" s="75" t="str">
        <f aca="false">IF(OR($A769&lt;&gt;"",$E769&lt;&gt;""),N($F769)+N($H769),"")</f>
        <v/>
      </c>
      <c r="M769" s="76" t="str">
        <f aca="false">IF(OR($O769="",$O769="Cancelled",$O769="Amount missing"),"",IF($O769="Realised",0,$E769-N($F769)-N($H769)))</f>
        <v/>
      </c>
      <c r="N769" s="77" t="str">
        <f aca="false">IF(OR($M769="",FX=""),"",$M769*FX)</f>
        <v/>
      </c>
      <c r="O769" s="78" t="str">
        <f aca="false">IF(NOT(OR($A769&lt;&gt;"",$E769&lt;&gt;"")),"",IF($J769="Cancelled","Cancelled",IF($E769="","Amount missing",IF(OR($J769="Settled",$E769-N($F769)-N($H769)&lt;=0.005),"Realised",IF(N($H769)&gt;0,"Part realised",IF(N($F769)&gt;0,"Advance received","On hand"))))))</f>
        <v/>
      </c>
      <c r="P769" s="79" t="str">
        <f aca="false">IF(AND($V769=1,ISNUMBER($B769)),AsAt-$B769,"")</f>
        <v/>
      </c>
      <c r="Q769" s="78" t="str">
        <f aca="false">IF($V769&lt;&gt;1,"",IF($P769="","No invoice date",IF($P769&lt;=30,"0–30 days",IF($P769&lt;=60,"31–60 days",IF($P769&lt;=90,"61–90 days","Over 90 days")))))</f>
        <v/>
      </c>
      <c r="R769" s="80" t="str">
        <f aca="false">IF($V769=1,ROW(),"")</f>
        <v/>
      </c>
      <c r="S769" s="80" t="str">
        <f aca="false">IF(OR($A769&lt;&gt;"",$E769&lt;&gt;""),IF(TRIM($D769)="","Buyer not noted",TRIM($D769)),"")</f>
        <v/>
      </c>
      <c r="T769" s="80" t="n">
        <f aca="false">IF(AND($V769=1,ISNUMBER($M769)),$M769,0)</f>
        <v>0</v>
      </c>
      <c r="U769" s="80" t="str">
        <f aca="false">IF($V769=1,IF(COUNTIFS($S$7:$S769,$S769,$V$7:$V769,1)=1,SUMIFS($T$7:$T$1006,$S$7:$S$1006,$S769)-ROW()/1000000000,""),"")</f>
        <v/>
      </c>
      <c r="V769" s="80" t="n">
        <f aca="false">IF(OR($O769="On hand",$O769="Advance received",$O769="Part realised",$O769="Amount missing"),1,0)</f>
        <v>0</v>
      </c>
      <c r="W769" s="80" t="str">
        <f aca="false">IF(AND($V769=1,N($F769)&gt;0),ROW(),"")</f>
        <v/>
      </c>
      <c r="X769" s="80" t="n">
        <f aca="false">IF(AND(OR($A769&lt;&gt;"",$E769&lt;&gt;""),$O769&lt;&gt;"Cancelled",ISNUMBER($E769),N($F769)+N($H769)&gt;$E769+0.005),1,0)</f>
        <v>0</v>
      </c>
      <c r="Y769" s="80" t="n">
        <f aca="false">IF(AND(OR($A769&lt;&gt;"",$E769&lt;&gt;""),OR($A769="",$E769="")),1,0)</f>
        <v>0</v>
      </c>
      <c r="Z769" s="80" t="n">
        <f aca="false">IF(AND($A769&lt;&gt;"",COUNTIF($A$7:$A$1006,$A769)&gt;1),1,0)</f>
        <v>0</v>
      </c>
    </row>
    <row r="770" customFormat="false" ht="15" hidden="false" customHeight="false" outlineLevel="0" collapsed="false">
      <c r="A770" s="71"/>
      <c r="B770" s="72"/>
      <c r="C770" s="73"/>
      <c r="D770" s="73"/>
      <c r="E770" s="74"/>
      <c r="F770" s="74"/>
      <c r="G770" s="72"/>
      <c r="H770" s="74"/>
      <c r="I770" s="72"/>
      <c r="J770" s="73"/>
      <c r="K770" s="73"/>
      <c r="L770" s="75" t="str">
        <f aca="false">IF(OR($A770&lt;&gt;"",$E770&lt;&gt;""),N($F770)+N($H770),"")</f>
        <v/>
      </c>
      <c r="M770" s="76" t="str">
        <f aca="false">IF(OR($O770="",$O770="Cancelled",$O770="Amount missing"),"",IF($O770="Realised",0,$E770-N($F770)-N($H770)))</f>
        <v/>
      </c>
      <c r="N770" s="77" t="str">
        <f aca="false">IF(OR($M770="",FX=""),"",$M770*FX)</f>
        <v/>
      </c>
      <c r="O770" s="78" t="str">
        <f aca="false">IF(NOT(OR($A770&lt;&gt;"",$E770&lt;&gt;"")),"",IF($J770="Cancelled","Cancelled",IF($E770="","Amount missing",IF(OR($J770="Settled",$E770-N($F770)-N($H770)&lt;=0.005),"Realised",IF(N($H770)&gt;0,"Part realised",IF(N($F770)&gt;0,"Advance received","On hand"))))))</f>
        <v/>
      </c>
      <c r="P770" s="79" t="str">
        <f aca="false">IF(AND($V770=1,ISNUMBER($B770)),AsAt-$B770,"")</f>
        <v/>
      </c>
      <c r="Q770" s="78" t="str">
        <f aca="false">IF($V770&lt;&gt;1,"",IF($P770="","No invoice date",IF($P770&lt;=30,"0–30 days",IF($P770&lt;=60,"31–60 days",IF($P770&lt;=90,"61–90 days","Over 90 days")))))</f>
        <v/>
      </c>
      <c r="R770" s="80" t="str">
        <f aca="false">IF($V770=1,ROW(),"")</f>
        <v/>
      </c>
      <c r="S770" s="80" t="str">
        <f aca="false">IF(OR($A770&lt;&gt;"",$E770&lt;&gt;""),IF(TRIM($D770)="","Buyer not noted",TRIM($D770)),"")</f>
        <v/>
      </c>
      <c r="T770" s="80" t="n">
        <f aca="false">IF(AND($V770=1,ISNUMBER($M770)),$M770,0)</f>
        <v>0</v>
      </c>
      <c r="U770" s="80" t="str">
        <f aca="false">IF($V770=1,IF(COUNTIFS($S$7:$S770,$S770,$V$7:$V770,1)=1,SUMIFS($T$7:$T$1006,$S$7:$S$1006,$S770)-ROW()/1000000000,""),"")</f>
        <v/>
      </c>
      <c r="V770" s="80" t="n">
        <f aca="false">IF(OR($O770="On hand",$O770="Advance received",$O770="Part realised",$O770="Amount missing"),1,0)</f>
        <v>0</v>
      </c>
      <c r="W770" s="80" t="str">
        <f aca="false">IF(AND($V770=1,N($F770)&gt;0),ROW(),"")</f>
        <v/>
      </c>
      <c r="X770" s="80" t="n">
        <f aca="false">IF(AND(OR($A770&lt;&gt;"",$E770&lt;&gt;""),$O770&lt;&gt;"Cancelled",ISNUMBER($E770),N($F770)+N($H770)&gt;$E770+0.005),1,0)</f>
        <v>0</v>
      </c>
      <c r="Y770" s="80" t="n">
        <f aca="false">IF(AND(OR($A770&lt;&gt;"",$E770&lt;&gt;""),OR($A770="",$E770="")),1,0)</f>
        <v>0</v>
      </c>
      <c r="Z770" s="80" t="n">
        <f aca="false">IF(AND($A770&lt;&gt;"",COUNTIF($A$7:$A$1006,$A770)&gt;1),1,0)</f>
        <v>0</v>
      </c>
    </row>
    <row r="771" customFormat="false" ht="15" hidden="false" customHeight="false" outlineLevel="0" collapsed="false">
      <c r="A771" s="71"/>
      <c r="B771" s="72"/>
      <c r="C771" s="73"/>
      <c r="D771" s="73"/>
      <c r="E771" s="74"/>
      <c r="F771" s="74"/>
      <c r="G771" s="72"/>
      <c r="H771" s="74"/>
      <c r="I771" s="72"/>
      <c r="J771" s="73"/>
      <c r="K771" s="73"/>
      <c r="L771" s="75" t="str">
        <f aca="false">IF(OR($A771&lt;&gt;"",$E771&lt;&gt;""),N($F771)+N($H771),"")</f>
        <v/>
      </c>
      <c r="M771" s="76" t="str">
        <f aca="false">IF(OR($O771="",$O771="Cancelled",$O771="Amount missing"),"",IF($O771="Realised",0,$E771-N($F771)-N($H771)))</f>
        <v/>
      </c>
      <c r="N771" s="77" t="str">
        <f aca="false">IF(OR($M771="",FX=""),"",$M771*FX)</f>
        <v/>
      </c>
      <c r="O771" s="78" t="str">
        <f aca="false">IF(NOT(OR($A771&lt;&gt;"",$E771&lt;&gt;"")),"",IF($J771="Cancelled","Cancelled",IF($E771="","Amount missing",IF(OR($J771="Settled",$E771-N($F771)-N($H771)&lt;=0.005),"Realised",IF(N($H771)&gt;0,"Part realised",IF(N($F771)&gt;0,"Advance received","On hand"))))))</f>
        <v/>
      </c>
      <c r="P771" s="79" t="str">
        <f aca="false">IF(AND($V771=1,ISNUMBER($B771)),AsAt-$B771,"")</f>
        <v/>
      </c>
      <c r="Q771" s="78" t="str">
        <f aca="false">IF($V771&lt;&gt;1,"",IF($P771="","No invoice date",IF($P771&lt;=30,"0–30 days",IF($P771&lt;=60,"31–60 days",IF($P771&lt;=90,"61–90 days","Over 90 days")))))</f>
        <v/>
      </c>
      <c r="R771" s="80" t="str">
        <f aca="false">IF($V771=1,ROW(),"")</f>
        <v/>
      </c>
      <c r="S771" s="80" t="str">
        <f aca="false">IF(OR($A771&lt;&gt;"",$E771&lt;&gt;""),IF(TRIM($D771)="","Buyer not noted",TRIM($D771)),"")</f>
        <v/>
      </c>
      <c r="T771" s="80" t="n">
        <f aca="false">IF(AND($V771=1,ISNUMBER($M771)),$M771,0)</f>
        <v>0</v>
      </c>
      <c r="U771" s="80" t="str">
        <f aca="false">IF($V771=1,IF(COUNTIFS($S$7:$S771,$S771,$V$7:$V771,1)=1,SUMIFS($T$7:$T$1006,$S$7:$S$1006,$S771)-ROW()/1000000000,""),"")</f>
        <v/>
      </c>
      <c r="V771" s="80" t="n">
        <f aca="false">IF(OR($O771="On hand",$O771="Advance received",$O771="Part realised",$O771="Amount missing"),1,0)</f>
        <v>0</v>
      </c>
      <c r="W771" s="80" t="str">
        <f aca="false">IF(AND($V771=1,N($F771)&gt;0),ROW(),"")</f>
        <v/>
      </c>
      <c r="X771" s="80" t="n">
        <f aca="false">IF(AND(OR($A771&lt;&gt;"",$E771&lt;&gt;""),$O771&lt;&gt;"Cancelled",ISNUMBER($E771),N($F771)+N($H771)&gt;$E771+0.005),1,0)</f>
        <v>0</v>
      </c>
      <c r="Y771" s="80" t="n">
        <f aca="false">IF(AND(OR($A771&lt;&gt;"",$E771&lt;&gt;""),OR($A771="",$E771="")),1,0)</f>
        <v>0</v>
      </c>
      <c r="Z771" s="80" t="n">
        <f aca="false">IF(AND($A771&lt;&gt;"",COUNTIF($A$7:$A$1006,$A771)&gt;1),1,0)</f>
        <v>0</v>
      </c>
    </row>
    <row r="772" customFormat="false" ht="15" hidden="false" customHeight="false" outlineLevel="0" collapsed="false">
      <c r="A772" s="71"/>
      <c r="B772" s="72"/>
      <c r="C772" s="73"/>
      <c r="D772" s="73"/>
      <c r="E772" s="74"/>
      <c r="F772" s="74"/>
      <c r="G772" s="72"/>
      <c r="H772" s="74"/>
      <c r="I772" s="72"/>
      <c r="J772" s="73"/>
      <c r="K772" s="73"/>
      <c r="L772" s="75" t="str">
        <f aca="false">IF(OR($A772&lt;&gt;"",$E772&lt;&gt;""),N($F772)+N($H772),"")</f>
        <v/>
      </c>
      <c r="M772" s="76" t="str">
        <f aca="false">IF(OR($O772="",$O772="Cancelled",$O772="Amount missing"),"",IF($O772="Realised",0,$E772-N($F772)-N($H772)))</f>
        <v/>
      </c>
      <c r="N772" s="77" t="str">
        <f aca="false">IF(OR($M772="",FX=""),"",$M772*FX)</f>
        <v/>
      </c>
      <c r="O772" s="78" t="str">
        <f aca="false">IF(NOT(OR($A772&lt;&gt;"",$E772&lt;&gt;"")),"",IF($J772="Cancelled","Cancelled",IF($E772="","Amount missing",IF(OR($J772="Settled",$E772-N($F772)-N($H772)&lt;=0.005),"Realised",IF(N($H772)&gt;0,"Part realised",IF(N($F772)&gt;0,"Advance received","On hand"))))))</f>
        <v/>
      </c>
      <c r="P772" s="79" t="str">
        <f aca="false">IF(AND($V772=1,ISNUMBER($B772)),AsAt-$B772,"")</f>
        <v/>
      </c>
      <c r="Q772" s="78" t="str">
        <f aca="false">IF($V772&lt;&gt;1,"",IF($P772="","No invoice date",IF($P772&lt;=30,"0–30 days",IF($P772&lt;=60,"31–60 days",IF($P772&lt;=90,"61–90 days","Over 90 days")))))</f>
        <v/>
      </c>
      <c r="R772" s="80" t="str">
        <f aca="false">IF($V772=1,ROW(),"")</f>
        <v/>
      </c>
      <c r="S772" s="80" t="str">
        <f aca="false">IF(OR($A772&lt;&gt;"",$E772&lt;&gt;""),IF(TRIM($D772)="","Buyer not noted",TRIM($D772)),"")</f>
        <v/>
      </c>
      <c r="T772" s="80" t="n">
        <f aca="false">IF(AND($V772=1,ISNUMBER($M772)),$M772,0)</f>
        <v>0</v>
      </c>
      <c r="U772" s="80" t="str">
        <f aca="false">IF($V772=1,IF(COUNTIFS($S$7:$S772,$S772,$V$7:$V772,1)=1,SUMIFS($T$7:$T$1006,$S$7:$S$1006,$S772)-ROW()/1000000000,""),"")</f>
        <v/>
      </c>
      <c r="V772" s="80" t="n">
        <f aca="false">IF(OR($O772="On hand",$O772="Advance received",$O772="Part realised",$O772="Amount missing"),1,0)</f>
        <v>0</v>
      </c>
      <c r="W772" s="80" t="str">
        <f aca="false">IF(AND($V772=1,N($F772)&gt;0),ROW(),"")</f>
        <v/>
      </c>
      <c r="X772" s="80" t="n">
        <f aca="false">IF(AND(OR($A772&lt;&gt;"",$E772&lt;&gt;""),$O772&lt;&gt;"Cancelled",ISNUMBER($E772),N($F772)+N($H772)&gt;$E772+0.005),1,0)</f>
        <v>0</v>
      </c>
      <c r="Y772" s="80" t="n">
        <f aca="false">IF(AND(OR($A772&lt;&gt;"",$E772&lt;&gt;""),OR($A772="",$E772="")),1,0)</f>
        <v>0</v>
      </c>
      <c r="Z772" s="80" t="n">
        <f aca="false">IF(AND($A772&lt;&gt;"",COUNTIF($A$7:$A$1006,$A772)&gt;1),1,0)</f>
        <v>0</v>
      </c>
    </row>
    <row r="773" customFormat="false" ht="15" hidden="false" customHeight="false" outlineLevel="0" collapsed="false">
      <c r="A773" s="71"/>
      <c r="B773" s="72"/>
      <c r="C773" s="73"/>
      <c r="D773" s="73"/>
      <c r="E773" s="74"/>
      <c r="F773" s="74"/>
      <c r="G773" s="72"/>
      <c r="H773" s="74"/>
      <c r="I773" s="72"/>
      <c r="J773" s="73"/>
      <c r="K773" s="73"/>
      <c r="L773" s="75" t="str">
        <f aca="false">IF(OR($A773&lt;&gt;"",$E773&lt;&gt;""),N($F773)+N($H773),"")</f>
        <v/>
      </c>
      <c r="M773" s="76" t="str">
        <f aca="false">IF(OR($O773="",$O773="Cancelled",$O773="Amount missing"),"",IF($O773="Realised",0,$E773-N($F773)-N($H773)))</f>
        <v/>
      </c>
      <c r="N773" s="77" t="str">
        <f aca="false">IF(OR($M773="",FX=""),"",$M773*FX)</f>
        <v/>
      </c>
      <c r="O773" s="78" t="str">
        <f aca="false">IF(NOT(OR($A773&lt;&gt;"",$E773&lt;&gt;"")),"",IF($J773="Cancelled","Cancelled",IF($E773="","Amount missing",IF(OR($J773="Settled",$E773-N($F773)-N($H773)&lt;=0.005),"Realised",IF(N($H773)&gt;0,"Part realised",IF(N($F773)&gt;0,"Advance received","On hand"))))))</f>
        <v/>
      </c>
      <c r="P773" s="79" t="str">
        <f aca="false">IF(AND($V773=1,ISNUMBER($B773)),AsAt-$B773,"")</f>
        <v/>
      </c>
      <c r="Q773" s="78" t="str">
        <f aca="false">IF($V773&lt;&gt;1,"",IF($P773="","No invoice date",IF($P773&lt;=30,"0–30 days",IF($P773&lt;=60,"31–60 days",IF($P773&lt;=90,"61–90 days","Over 90 days")))))</f>
        <v/>
      </c>
      <c r="R773" s="80" t="str">
        <f aca="false">IF($V773=1,ROW(),"")</f>
        <v/>
      </c>
      <c r="S773" s="80" t="str">
        <f aca="false">IF(OR($A773&lt;&gt;"",$E773&lt;&gt;""),IF(TRIM($D773)="","Buyer not noted",TRIM($D773)),"")</f>
        <v/>
      </c>
      <c r="T773" s="80" t="n">
        <f aca="false">IF(AND($V773=1,ISNUMBER($M773)),$M773,0)</f>
        <v>0</v>
      </c>
      <c r="U773" s="80" t="str">
        <f aca="false">IF($V773=1,IF(COUNTIFS($S$7:$S773,$S773,$V$7:$V773,1)=1,SUMIFS($T$7:$T$1006,$S$7:$S$1006,$S773)-ROW()/1000000000,""),"")</f>
        <v/>
      </c>
      <c r="V773" s="80" t="n">
        <f aca="false">IF(OR($O773="On hand",$O773="Advance received",$O773="Part realised",$O773="Amount missing"),1,0)</f>
        <v>0</v>
      </c>
      <c r="W773" s="80" t="str">
        <f aca="false">IF(AND($V773=1,N($F773)&gt;0),ROW(),"")</f>
        <v/>
      </c>
      <c r="X773" s="80" t="n">
        <f aca="false">IF(AND(OR($A773&lt;&gt;"",$E773&lt;&gt;""),$O773&lt;&gt;"Cancelled",ISNUMBER($E773),N($F773)+N($H773)&gt;$E773+0.005),1,0)</f>
        <v>0</v>
      </c>
      <c r="Y773" s="80" t="n">
        <f aca="false">IF(AND(OR($A773&lt;&gt;"",$E773&lt;&gt;""),OR($A773="",$E773="")),1,0)</f>
        <v>0</v>
      </c>
      <c r="Z773" s="80" t="n">
        <f aca="false">IF(AND($A773&lt;&gt;"",COUNTIF($A$7:$A$1006,$A773)&gt;1),1,0)</f>
        <v>0</v>
      </c>
    </row>
    <row r="774" customFormat="false" ht="15" hidden="false" customHeight="false" outlineLevel="0" collapsed="false">
      <c r="A774" s="71"/>
      <c r="B774" s="72"/>
      <c r="C774" s="73"/>
      <c r="D774" s="73"/>
      <c r="E774" s="74"/>
      <c r="F774" s="74"/>
      <c r="G774" s="72"/>
      <c r="H774" s="74"/>
      <c r="I774" s="72"/>
      <c r="J774" s="73"/>
      <c r="K774" s="73"/>
      <c r="L774" s="75" t="str">
        <f aca="false">IF(OR($A774&lt;&gt;"",$E774&lt;&gt;""),N($F774)+N($H774),"")</f>
        <v/>
      </c>
      <c r="M774" s="76" t="str">
        <f aca="false">IF(OR($O774="",$O774="Cancelled",$O774="Amount missing"),"",IF($O774="Realised",0,$E774-N($F774)-N($H774)))</f>
        <v/>
      </c>
      <c r="N774" s="77" t="str">
        <f aca="false">IF(OR($M774="",FX=""),"",$M774*FX)</f>
        <v/>
      </c>
      <c r="O774" s="78" t="str">
        <f aca="false">IF(NOT(OR($A774&lt;&gt;"",$E774&lt;&gt;"")),"",IF($J774="Cancelled","Cancelled",IF($E774="","Amount missing",IF(OR($J774="Settled",$E774-N($F774)-N($H774)&lt;=0.005),"Realised",IF(N($H774)&gt;0,"Part realised",IF(N($F774)&gt;0,"Advance received","On hand"))))))</f>
        <v/>
      </c>
      <c r="P774" s="79" t="str">
        <f aca="false">IF(AND($V774=1,ISNUMBER($B774)),AsAt-$B774,"")</f>
        <v/>
      </c>
      <c r="Q774" s="78" t="str">
        <f aca="false">IF($V774&lt;&gt;1,"",IF($P774="","No invoice date",IF($P774&lt;=30,"0–30 days",IF($P774&lt;=60,"31–60 days",IF($P774&lt;=90,"61–90 days","Over 90 days")))))</f>
        <v/>
      </c>
      <c r="R774" s="80" t="str">
        <f aca="false">IF($V774=1,ROW(),"")</f>
        <v/>
      </c>
      <c r="S774" s="80" t="str">
        <f aca="false">IF(OR($A774&lt;&gt;"",$E774&lt;&gt;""),IF(TRIM($D774)="","Buyer not noted",TRIM($D774)),"")</f>
        <v/>
      </c>
      <c r="T774" s="80" t="n">
        <f aca="false">IF(AND($V774=1,ISNUMBER($M774)),$M774,0)</f>
        <v>0</v>
      </c>
      <c r="U774" s="80" t="str">
        <f aca="false">IF($V774=1,IF(COUNTIFS($S$7:$S774,$S774,$V$7:$V774,1)=1,SUMIFS($T$7:$T$1006,$S$7:$S$1006,$S774)-ROW()/1000000000,""),"")</f>
        <v/>
      </c>
      <c r="V774" s="80" t="n">
        <f aca="false">IF(OR($O774="On hand",$O774="Advance received",$O774="Part realised",$O774="Amount missing"),1,0)</f>
        <v>0</v>
      </c>
      <c r="W774" s="80" t="str">
        <f aca="false">IF(AND($V774=1,N($F774)&gt;0),ROW(),"")</f>
        <v/>
      </c>
      <c r="X774" s="80" t="n">
        <f aca="false">IF(AND(OR($A774&lt;&gt;"",$E774&lt;&gt;""),$O774&lt;&gt;"Cancelled",ISNUMBER($E774),N($F774)+N($H774)&gt;$E774+0.005),1,0)</f>
        <v>0</v>
      </c>
      <c r="Y774" s="80" t="n">
        <f aca="false">IF(AND(OR($A774&lt;&gt;"",$E774&lt;&gt;""),OR($A774="",$E774="")),1,0)</f>
        <v>0</v>
      </c>
      <c r="Z774" s="80" t="n">
        <f aca="false">IF(AND($A774&lt;&gt;"",COUNTIF($A$7:$A$1006,$A774)&gt;1),1,0)</f>
        <v>0</v>
      </c>
    </row>
    <row r="775" customFormat="false" ht="15" hidden="false" customHeight="false" outlineLevel="0" collapsed="false">
      <c r="A775" s="71"/>
      <c r="B775" s="72"/>
      <c r="C775" s="73"/>
      <c r="D775" s="73"/>
      <c r="E775" s="74"/>
      <c r="F775" s="74"/>
      <c r="G775" s="72"/>
      <c r="H775" s="74"/>
      <c r="I775" s="72"/>
      <c r="J775" s="73"/>
      <c r="K775" s="73"/>
      <c r="L775" s="75" t="str">
        <f aca="false">IF(OR($A775&lt;&gt;"",$E775&lt;&gt;""),N($F775)+N($H775),"")</f>
        <v/>
      </c>
      <c r="M775" s="76" t="str">
        <f aca="false">IF(OR($O775="",$O775="Cancelled",$O775="Amount missing"),"",IF($O775="Realised",0,$E775-N($F775)-N($H775)))</f>
        <v/>
      </c>
      <c r="N775" s="77" t="str">
        <f aca="false">IF(OR($M775="",FX=""),"",$M775*FX)</f>
        <v/>
      </c>
      <c r="O775" s="78" t="str">
        <f aca="false">IF(NOT(OR($A775&lt;&gt;"",$E775&lt;&gt;"")),"",IF($J775="Cancelled","Cancelled",IF($E775="","Amount missing",IF(OR($J775="Settled",$E775-N($F775)-N($H775)&lt;=0.005),"Realised",IF(N($H775)&gt;0,"Part realised",IF(N($F775)&gt;0,"Advance received","On hand"))))))</f>
        <v/>
      </c>
      <c r="P775" s="79" t="str">
        <f aca="false">IF(AND($V775=1,ISNUMBER($B775)),AsAt-$B775,"")</f>
        <v/>
      </c>
      <c r="Q775" s="78" t="str">
        <f aca="false">IF($V775&lt;&gt;1,"",IF($P775="","No invoice date",IF($P775&lt;=30,"0–30 days",IF($P775&lt;=60,"31–60 days",IF($P775&lt;=90,"61–90 days","Over 90 days")))))</f>
        <v/>
      </c>
      <c r="R775" s="80" t="str">
        <f aca="false">IF($V775=1,ROW(),"")</f>
        <v/>
      </c>
      <c r="S775" s="80" t="str">
        <f aca="false">IF(OR($A775&lt;&gt;"",$E775&lt;&gt;""),IF(TRIM($D775)="","Buyer not noted",TRIM($D775)),"")</f>
        <v/>
      </c>
      <c r="T775" s="80" t="n">
        <f aca="false">IF(AND($V775=1,ISNUMBER($M775)),$M775,0)</f>
        <v>0</v>
      </c>
      <c r="U775" s="80" t="str">
        <f aca="false">IF($V775=1,IF(COUNTIFS($S$7:$S775,$S775,$V$7:$V775,1)=1,SUMIFS($T$7:$T$1006,$S$7:$S$1006,$S775)-ROW()/1000000000,""),"")</f>
        <v/>
      </c>
      <c r="V775" s="80" t="n">
        <f aca="false">IF(OR($O775="On hand",$O775="Advance received",$O775="Part realised",$O775="Amount missing"),1,0)</f>
        <v>0</v>
      </c>
      <c r="W775" s="80" t="str">
        <f aca="false">IF(AND($V775=1,N($F775)&gt;0),ROW(),"")</f>
        <v/>
      </c>
      <c r="X775" s="80" t="n">
        <f aca="false">IF(AND(OR($A775&lt;&gt;"",$E775&lt;&gt;""),$O775&lt;&gt;"Cancelled",ISNUMBER($E775),N($F775)+N($H775)&gt;$E775+0.005),1,0)</f>
        <v>0</v>
      </c>
      <c r="Y775" s="80" t="n">
        <f aca="false">IF(AND(OR($A775&lt;&gt;"",$E775&lt;&gt;""),OR($A775="",$E775="")),1,0)</f>
        <v>0</v>
      </c>
      <c r="Z775" s="80" t="n">
        <f aca="false">IF(AND($A775&lt;&gt;"",COUNTIF($A$7:$A$1006,$A775)&gt;1),1,0)</f>
        <v>0</v>
      </c>
    </row>
    <row r="776" customFormat="false" ht="15" hidden="false" customHeight="false" outlineLevel="0" collapsed="false">
      <c r="A776" s="71"/>
      <c r="B776" s="72"/>
      <c r="C776" s="73"/>
      <c r="D776" s="73"/>
      <c r="E776" s="74"/>
      <c r="F776" s="74"/>
      <c r="G776" s="72"/>
      <c r="H776" s="74"/>
      <c r="I776" s="72"/>
      <c r="J776" s="73"/>
      <c r="K776" s="73"/>
      <c r="L776" s="75" t="str">
        <f aca="false">IF(OR($A776&lt;&gt;"",$E776&lt;&gt;""),N($F776)+N($H776),"")</f>
        <v/>
      </c>
      <c r="M776" s="76" t="str">
        <f aca="false">IF(OR($O776="",$O776="Cancelled",$O776="Amount missing"),"",IF($O776="Realised",0,$E776-N($F776)-N($H776)))</f>
        <v/>
      </c>
      <c r="N776" s="77" t="str">
        <f aca="false">IF(OR($M776="",FX=""),"",$M776*FX)</f>
        <v/>
      </c>
      <c r="O776" s="78" t="str">
        <f aca="false">IF(NOT(OR($A776&lt;&gt;"",$E776&lt;&gt;"")),"",IF($J776="Cancelled","Cancelled",IF($E776="","Amount missing",IF(OR($J776="Settled",$E776-N($F776)-N($H776)&lt;=0.005),"Realised",IF(N($H776)&gt;0,"Part realised",IF(N($F776)&gt;0,"Advance received","On hand"))))))</f>
        <v/>
      </c>
      <c r="P776" s="79" t="str">
        <f aca="false">IF(AND($V776=1,ISNUMBER($B776)),AsAt-$B776,"")</f>
        <v/>
      </c>
      <c r="Q776" s="78" t="str">
        <f aca="false">IF($V776&lt;&gt;1,"",IF($P776="","No invoice date",IF($P776&lt;=30,"0–30 days",IF($P776&lt;=60,"31–60 days",IF($P776&lt;=90,"61–90 days","Over 90 days")))))</f>
        <v/>
      </c>
      <c r="R776" s="80" t="str">
        <f aca="false">IF($V776=1,ROW(),"")</f>
        <v/>
      </c>
      <c r="S776" s="80" t="str">
        <f aca="false">IF(OR($A776&lt;&gt;"",$E776&lt;&gt;""),IF(TRIM($D776)="","Buyer not noted",TRIM($D776)),"")</f>
        <v/>
      </c>
      <c r="T776" s="80" t="n">
        <f aca="false">IF(AND($V776=1,ISNUMBER($M776)),$M776,0)</f>
        <v>0</v>
      </c>
      <c r="U776" s="80" t="str">
        <f aca="false">IF($V776=1,IF(COUNTIFS($S$7:$S776,$S776,$V$7:$V776,1)=1,SUMIFS($T$7:$T$1006,$S$7:$S$1006,$S776)-ROW()/1000000000,""),"")</f>
        <v/>
      </c>
      <c r="V776" s="80" t="n">
        <f aca="false">IF(OR($O776="On hand",$O776="Advance received",$O776="Part realised",$O776="Amount missing"),1,0)</f>
        <v>0</v>
      </c>
      <c r="W776" s="80" t="str">
        <f aca="false">IF(AND($V776=1,N($F776)&gt;0),ROW(),"")</f>
        <v/>
      </c>
      <c r="X776" s="80" t="n">
        <f aca="false">IF(AND(OR($A776&lt;&gt;"",$E776&lt;&gt;""),$O776&lt;&gt;"Cancelled",ISNUMBER($E776),N($F776)+N($H776)&gt;$E776+0.005),1,0)</f>
        <v>0</v>
      </c>
      <c r="Y776" s="80" t="n">
        <f aca="false">IF(AND(OR($A776&lt;&gt;"",$E776&lt;&gt;""),OR($A776="",$E776="")),1,0)</f>
        <v>0</v>
      </c>
      <c r="Z776" s="80" t="n">
        <f aca="false">IF(AND($A776&lt;&gt;"",COUNTIF($A$7:$A$1006,$A776)&gt;1),1,0)</f>
        <v>0</v>
      </c>
    </row>
    <row r="777" customFormat="false" ht="15" hidden="false" customHeight="false" outlineLevel="0" collapsed="false">
      <c r="A777" s="71"/>
      <c r="B777" s="72"/>
      <c r="C777" s="73"/>
      <c r="D777" s="73"/>
      <c r="E777" s="74"/>
      <c r="F777" s="74"/>
      <c r="G777" s="72"/>
      <c r="H777" s="74"/>
      <c r="I777" s="72"/>
      <c r="J777" s="73"/>
      <c r="K777" s="73"/>
      <c r="L777" s="75" t="str">
        <f aca="false">IF(OR($A777&lt;&gt;"",$E777&lt;&gt;""),N($F777)+N($H777),"")</f>
        <v/>
      </c>
      <c r="M777" s="76" t="str">
        <f aca="false">IF(OR($O777="",$O777="Cancelled",$O777="Amount missing"),"",IF($O777="Realised",0,$E777-N($F777)-N($H777)))</f>
        <v/>
      </c>
      <c r="N777" s="77" t="str">
        <f aca="false">IF(OR($M777="",FX=""),"",$M777*FX)</f>
        <v/>
      </c>
      <c r="O777" s="78" t="str">
        <f aca="false">IF(NOT(OR($A777&lt;&gt;"",$E777&lt;&gt;"")),"",IF($J777="Cancelled","Cancelled",IF($E777="","Amount missing",IF(OR($J777="Settled",$E777-N($F777)-N($H777)&lt;=0.005),"Realised",IF(N($H777)&gt;0,"Part realised",IF(N($F777)&gt;0,"Advance received","On hand"))))))</f>
        <v/>
      </c>
      <c r="P777" s="79" t="str">
        <f aca="false">IF(AND($V777=1,ISNUMBER($B777)),AsAt-$B777,"")</f>
        <v/>
      </c>
      <c r="Q777" s="78" t="str">
        <f aca="false">IF($V777&lt;&gt;1,"",IF($P777="","No invoice date",IF($P777&lt;=30,"0–30 days",IF($P777&lt;=60,"31–60 days",IF($P777&lt;=90,"61–90 days","Over 90 days")))))</f>
        <v/>
      </c>
      <c r="R777" s="80" t="str">
        <f aca="false">IF($V777=1,ROW(),"")</f>
        <v/>
      </c>
      <c r="S777" s="80" t="str">
        <f aca="false">IF(OR($A777&lt;&gt;"",$E777&lt;&gt;""),IF(TRIM($D777)="","Buyer not noted",TRIM($D777)),"")</f>
        <v/>
      </c>
      <c r="T777" s="80" t="n">
        <f aca="false">IF(AND($V777=1,ISNUMBER($M777)),$M777,0)</f>
        <v>0</v>
      </c>
      <c r="U777" s="80" t="str">
        <f aca="false">IF($V777=1,IF(COUNTIFS($S$7:$S777,$S777,$V$7:$V777,1)=1,SUMIFS($T$7:$T$1006,$S$7:$S$1006,$S777)-ROW()/1000000000,""),"")</f>
        <v/>
      </c>
      <c r="V777" s="80" t="n">
        <f aca="false">IF(OR($O777="On hand",$O777="Advance received",$O777="Part realised",$O777="Amount missing"),1,0)</f>
        <v>0</v>
      </c>
      <c r="W777" s="80" t="str">
        <f aca="false">IF(AND($V777=1,N($F777)&gt;0),ROW(),"")</f>
        <v/>
      </c>
      <c r="X777" s="80" t="n">
        <f aca="false">IF(AND(OR($A777&lt;&gt;"",$E777&lt;&gt;""),$O777&lt;&gt;"Cancelled",ISNUMBER($E777),N($F777)+N($H777)&gt;$E777+0.005),1,0)</f>
        <v>0</v>
      </c>
      <c r="Y777" s="80" t="n">
        <f aca="false">IF(AND(OR($A777&lt;&gt;"",$E777&lt;&gt;""),OR($A777="",$E777="")),1,0)</f>
        <v>0</v>
      </c>
      <c r="Z777" s="80" t="n">
        <f aca="false">IF(AND($A777&lt;&gt;"",COUNTIF($A$7:$A$1006,$A777)&gt;1),1,0)</f>
        <v>0</v>
      </c>
    </row>
    <row r="778" customFormat="false" ht="15" hidden="false" customHeight="false" outlineLevel="0" collapsed="false">
      <c r="A778" s="71"/>
      <c r="B778" s="72"/>
      <c r="C778" s="73"/>
      <c r="D778" s="73"/>
      <c r="E778" s="74"/>
      <c r="F778" s="74"/>
      <c r="G778" s="72"/>
      <c r="H778" s="74"/>
      <c r="I778" s="72"/>
      <c r="J778" s="73"/>
      <c r="K778" s="73"/>
      <c r="L778" s="75" t="str">
        <f aca="false">IF(OR($A778&lt;&gt;"",$E778&lt;&gt;""),N($F778)+N($H778),"")</f>
        <v/>
      </c>
      <c r="M778" s="76" t="str">
        <f aca="false">IF(OR($O778="",$O778="Cancelled",$O778="Amount missing"),"",IF($O778="Realised",0,$E778-N($F778)-N($H778)))</f>
        <v/>
      </c>
      <c r="N778" s="77" t="str">
        <f aca="false">IF(OR($M778="",FX=""),"",$M778*FX)</f>
        <v/>
      </c>
      <c r="O778" s="78" t="str">
        <f aca="false">IF(NOT(OR($A778&lt;&gt;"",$E778&lt;&gt;"")),"",IF($J778="Cancelled","Cancelled",IF($E778="","Amount missing",IF(OR($J778="Settled",$E778-N($F778)-N($H778)&lt;=0.005),"Realised",IF(N($H778)&gt;0,"Part realised",IF(N($F778)&gt;0,"Advance received","On hand"))))))</f>
        <v/>
      </c>
      <c r="P778" s="79" t="str">
        <f aca="false">IF(AND($V778=1,ISNUMBER($B778)),AsAt-$B778,"")</f>
        <v/>
      </c>
      <c r="Q778" s="78" t="str">
        <f aca="false">IF($V778&lt;&gt;1,"",IF($P778="","No invoice date",IF($P778&lt;=30,"0–30 days",IF($P778&lt;=60,"31–60 days",IF($P778&lt;=90,"61–90 days","Over 90 days")))))</f>
        <v/>
      </c>
      <c r="R778" s="80" t="str">
        <f aca="false">IF($V778=1,ROW(),"")</f>
        <v/>
      </c>
      <c r="S778" s="80" t="str">
        <f aca="false">IF(OR($A778&lt;&gt;"",$E778&lt;&gt;""),IF(TRIM($D778)="","Buyer not noted",TRIM($D778)),"")</f>
        <v/>
      </c>
      <c r="T778" s="80" t="n">
        <f aca="false">IF(AND($V778=1,ISNUMBER($M778)),$M778,0)</f>
        <v>0</v>
      </c>
      <c r="U778" s="80" t="str">
        <f aca="false">IF($V778=1,IF(COUNTIFS($S$7:$S778,$S778,$V$7:$V778,1)=1,SUMIFS($T$7:$T$1006,$S$7:$S$1006,$S778)-ROW()/1000000000,""),"")</f>
        <v/>
      </c>
      <c r="V778" s="80" t="n">
        <f aca="false">IF(OR($O778="On hand",$O778="Advance received",$O778="Part realised",$O778="Amount missing"),1,0)</f>
        <v>0</v>
      </c>
      <c r="W778" s="80" t="str">
        <f aca="false">IF(AND($V778=1,N($F778)&gt;0),ROW(),"")</f>
        <v/>
      </c>
      <c r="X778" s="80" t="n">
        <f aca="false">IF(AND(OR($A778&lt;&gt;"",$E778&lt;&gt;""),$O778&lt;&gt;"Cancelled",ISNUMBER($E778),N($F778)+N($H778)&gt;$E778+0.005),1,0)</f>
        <v>0</v>
      </c>
      <c r="Y778" s="80" t="n">
        <f aca="false">IF(AND(OR($A778&lt;&gt;"",$E778&lt;&gt;""),OR($A778="",$E778="")),1,0)</f>
        <v>0</v>
      </c>
      <c r="Z778" s="80" t="n">
        <f aca="false">IF(AND($A778&lt;&gt;"",COUNTIF($A$7:$A$1006,$A778)&gt;1),1,0)</f>
        <v>0</v>
      </c>
    </row>
    <row r="779" customFormat="false" ht="15" hidden="false" customHeight="false" outlineLevel="0" collapsed="false">
      <c r="A779" s="71"/>
      <c r="B779" s="72"/>
      <c r="C779" s="73"/>
      <c r="D779" s="73"/>
      <c r="E779" s="74"/>
      <c r="F779" s="74"/>
      <c r="G779" s="72"/>
      <c r="H779" s="74"/>
      <c r="I779" s="72"/>
      <c r="J779" s="73"/>
      <c r="K779" s="73"/>
      <c r="L779" s="75" t="str">
        <f aca="false">IF(OR($A779&lt;&gt;"",$E779&lt;&gt;""),N($F779)+N($H779),"")</f>
        <v/>
      </c>
      <c r="M779" s="76" t="str">
        <f aca="false">IF(OR($O779="",$O779="Cancelled",$O779="Amount missing"),"",IF($O779="Realised",0,$E779-N($F779)-N($H779)))</f>
        <v/>
      </c>
      <c r="N779" s="77" t="str">
        <f aca="false">IF(OR($M779="",FX=""),"",$M779*FX)</f>
        <v/>
      </c>
      <c r="O779" s="78" t="str">
        <f aca="false">IF(NOT(OR($A779&lt;&gt;"",$E779&lt;&gt;"")),"",IF($J779="Cancelled","Cancelled",IF($E779="","Amount missing",IF(OR($J779="Settled",$E779-N($F779)-N($H779)&lt;=0.005),"Realised",IF(N($H779)&gt;0,"Part realised",IF(N($F779)&gt;0,"Advance received","On hand"))))))</f>
        <v/>
      </c>
      <c r="P779" s="79" t="str">
        <f aca="false">IF(AND($V779=1,ISNUMBER($B779)),AsAt-$B779,"")</f>
        <v/>
      </c>
      <c r="Q779" s="78" t="str">
        <f aca="false">IF($V779&lt;&gt;1,"",IF($P779="","No invoice date",IF($P779&lt;=30,"0–30 days",IF($P779&lt;=60,"31–60 days",IF($P779&lt;=90,"61–90 days","Over 90 days")))))</f>
        <v/>
      </c>
      <c r="R779" s="80" t="str">
        <f aca="false">IF($V779=1,ROW(),"")</f>
        <v/>
      </c>
      <c r="S779" s="80" t="str">
        <f aca="false">IF(OR($A779&lt;&gt;"",$E779&lt;&gt;""),IF(TRIM($D779)="","Buyer not noted",TRIM($D779)),"")</f>
        <v/>
      </c>
      <c r="T779" s="80" t="n">
        <f aca="false">IF(AND($V779=1,ISNUMBER($M779)),$M779,0)</f>
        <v>0</v>
      </c>
      <c r="U779" s="80" t="str">
        <f aca="false">IF($V779=1,IF(COUNTIFS($S$7:$S779,$S779,$V$7:$V779,1)=1,SUMIFS($T$7:$T$1006,$S$7:$S$1006,$S779)-ROW()/1000000000,""),"")</f>
        <v/>
      </c>
      <c r="V779" s="80" t="n">
        <f aca="false">IF(OR($O779="On hand",$O779="Advance received",$O779="Part realised",$O779="Amount missing"),1,0)</f>
        <v>0</v>
      </c>
      <c r="W779" s="80" t="str">
        <f aca="false">IF(AND($V779=1,N($F779)&gt;0),ROW(),"")</f>
        <v/>
      </c>
      <c r="X779" s="80" t="n">
        <f aca="false">IF(AND(OR($A779&lt;&gt;"",$E779&lt;&gt;""),$O779&lt;&gt;"Cancelled",ISNUMBER($E779),N($F779)+N($H779)&gt;$E779+0.005),1,0)</f>
        <v>0</v>
      </c>
      <c r="Y779" s="80" t="n">
        <f aca="false">IF(AND(OR($A779&lt;&gt;"",$E779&lt;&gt;""),OR($A779="",$E779="")),1,0)</f>
        <v>0</v>
      </c>
      <c r="Z779" s="80" t="n">
        <f aca="false">IF(AND($A779&lt;&gt;"",COUNTIF($A$7:$A$1006,$A779)&gt;1),1,0)</f>
        <v>0</v>
      </c>
    </row>
    <row r="780" customFormat="false" ht="15" hidden="false" customHeight="false" outlineLevel="0" collapsed="false">
      <c r="A780" s="71"/>
      <c r="B780" s="72"/>
      <c r="C780" s="73"/>
      <c r="D780" s="73"/>
      <c r="E780" s="74"/>
      <c r="F780" s="74"/>
      <c r="G780" s="72"/>
      <c r="H780" s="74"/>
      <c r="I780" s="72"/>
      <c r="J780" s="73"/>
      <c r="K780" s="73"/>
      <c r="L780" s="75" t="str">
        <f aca="false">IF(OR($A780&lt;&gt;"",$E780&lt;&gt;""),N($F780)+N($H780),"")</f>
        <v/>
      </c>
      <c r="M780" s="76" t="str">
        <f aca="false">IF(OR($O780="",$O780="Cancelled",$O780="Amount missing"),"",IF($O780="Realised",0,$E780-N($F780)-N($H780)))</f>
        <v/>
      </c>
      <c r="N780" s="77" t="str">
        <f aca="false">IF(OR($M780="",FX=""),"",$M780*FX)</f>
        <v/>
      </c>
      <c r="O780" s="78" t="str">
        <f aca="false">IF(NOT(OR($A780&lt;&gt;"",$E780&lt;&gt;"")),"",IF($J780="Cancelled","Cancelled",IF($E780="","Amount missing",IF(OR($J780="Settled",$E780-N($F780)-N($H780)&lt;=0.005),"Realised",IF(N($H780)&gt;0,"Part realised",IF(N($F780)&gt;0,"Advance received","On hand"))))))</f>
        <v/>
      </c>
      <c r="P780" s="79" t="str">
        <f aca="false">IF(AND($V780=1,ISNUMBER($B780)),AsAt-$B780,"")</f>
        <v/>
      </c>
      <c r="Q780" s="78" t="str">
        <f aca="false">IF($V780&lt;&gt;1,"",IF($P780="","No invoice date",IF($P780&lt;=30,"0–30 days",IF($P780&lt;=60,"31–60 days",IF($P780&lt;=90,"61–90 days","Over 90 days")))))</f>
        <v/>
      </c>
      <c r="R780" s="80" t="str">
        <f aca="false">IF($V780=1,ROW(),"")</f>
        <v/>
      </c>
      <c r="S780" s="80" t="str">
        <f aca="false">IF(OR($A780&lt;&gt;"",$E780&lt;&gt;""),IF(TRIM($D780)="","Buyer not noted",TRIM($D780)),"")</f>
        <v/>
      </c>
      <c r="T780" s="80" t="n">
        <f aca="false">IF(AND($V780=1,ISNUMBER($M780)),$M780,0)</f>
        <v>0</v>
      </c>
      <c r="U780" s="80" t="str">
        <f aca="false">IF($V780=1,IF(COUNTIFS($S$7:$S780,$S780,$V$7:$V780,1)=1,SUMIFS($T$7:$T$1006,$S$7:$S$1006,$S780)-ROW()/1000000000,""),"")</f>
        <v/>
      </c>
      <c r="V780" s="80" t="n">
        <f aca="false">IF(OR($O780="On hand",$O780="Advance received",$O780="Part realised",$O780="Amount missing"),1,0)</f>
        <v>0</v>
      </c>
      <c r="W780" s="80" t="str">
        <f aca="false">IF(AND($V780=1,N($F780)&gt;0),ROW(),"")</f>
        <v/>
      </c>
      <c r="X780" s="80" t="n">
        <f aca="false">IF(AND(OR($A780&lt;&gt;"",$E780&lt;&gt;""),$O780&lt;&gt;"Cancelled",ISNUMBER($E780),N($F780)+N($H780)&gt;$E780+0.005),1,0)</f>
        <v>0</v>
      </c>
      <c r="Y780" s="80" t="n">
        <f aca="false">IF(AND(OR($A780&lt;&gt;"",$E780&lt;&gt;""),OR($A780="",$E780="")),1,0)</f>
        <v>0</v>
      </c>
      <c r="Z780" s="80" t="n">
        <f aca="false">IF(AND($A780&lt;&gt;"",COUNTIF($A$7:$A$1006,$A780)&gt;1),1,0)</f>
        <v>0</v>
      </c>
    </row>
    <row r="781" customFormat="false" ht="15" hidden="false" customHeight="false" outlineLevel="0" collapsed="false">
      <c r="A781" s="71"/>
      <c r="B781" s="72"/>
      <c r="C781" s="73"/>
      <c r="D781" s="73"/>
      <c r="E781" s="74"/>
      <c r="F781" s="74"/>
      <c r="G781" s="72"/>
      <c r="H781" s="74"/>
      <c r="I781" s="72"/>
      <c r="J781" s="73"/>
      <c r="K781" s="73"/>
      <c r="L781" s="75" t="str">
        <f aca="false">IF(OR($A781&lt;&gt;"",$E781&lt;&gt;""),N($F781)+N($H781),"")</f>
        <v/>
      </c>
      <c r="M781" s="76" t="str">
        <f aca="false">IF(OR($O781="",$O781="Cancelled",$O781="Amount missing"),"",IF($O781="Realised",0,$E781-N($F781)-N($H781)))</f>
        <v/>
      </c>
      <c r="N781" s="77" t="str">
        <f aca="false">IF(OR($M781="",FX=""),"",$M781*FX)</f>
        <v/>
      </c>
      <c r="O781" s="78" t="str">
        <f aca="false">IF(NOT(OR($A781&lt;&gt;"",$E781&lt;&gt;"")),"",IF($J781="Cancelled","Cancelled",IF($E781="","Amount missing",IF(OR($J781="Settled",$E781-N($F781)-N($H781)&lt;=0.005),"Realised",IF(N($H781)&gt;0,"Part realised",IF(N($F781)&gt;0,"Advance received","On hand"))))))</f>
        <v/>
      </c>
      <c r="P781" s="79" t="str">
        <f aca="false">IF(AND($V781=1,ISNUMBER($B781)),AsAt-$B781,"")</f>
        <v/>
      </c>
      <c r="Q781" s="78" t="str">
        <f aca="false">IF($V781&lt;&gt;1,"",IF($P781="","No invoice date",IF($P781&lt;=30,"0–30 days",IF($P781&lt;=60,"31–60 days",IF($P781&lt;=90,"61–90 days","Over 90 days")))))</f>
        <v/>
      </c>
      <c r="R781" s="80" t="str">
        <f aca="false">IF($V781=1,ROW(),"")</f>
        <v/>
      </c>
      <c r="S781" s="80" t="str">
        <f aca="false">IF(OR($A781&lt;&gt;"",$E781&lt;&gt;""),IF(TRIM($D781)="","Buyer not noted",TRIM($D781)),"")</f>
        <v/>
      </c>
      <c r="T781" s="80" t="n">
        <f aca="false">IF(AND($V781=1,ISNUMBER($M781)),$M781,0)</f>
        <v>0</v>
      </c>
      <c r="U781" s="80" t="str">
        <f aca="false">IF($V781=1,IF(COUNTIFS($S$7:$S781,$S781,$V$7:$V781,1)=1,SUMIFS($T$7:$T$1006,$S$7:$S$1006,$S781)-ROW()/1000000000,""),"")</f>
        <v/>
      </c>
      <c r="V781" s="80" t="n">
        <f aca="false">IF(OR($O781="On hand",$O781="Advance received",$O781="Part realised",$O781="Amount missing"),1,0)</f>
        <v>0</v>
      </c>
      <c r="W781" s="80" t="str">
        <f aca="false">IF(AND($V781=1,N($F781)&gt;0),ROW(),"")</f>
        <v/>
      </c>
      <c r="X781" s="80" t="n">
        <f aca="false">IF(AND(OR($A781&lt;&gt;"",$E781&lt;&gt;""),$O781&lt;&gt;"Cancelled",ISNUMBER($E781),N($F781)+N($H781)&gt;$E781+0.005),1,0)</f>
        <v>0</v>
      </c>
      <c r="Y781" s="80" t="n">
        <f aca="false">IF(AND(OR($A781&lt;&gt;"",$E781&lt;&gt;""),OR($A781="",$E781="")),1,0)</f>
        <v>0</v>
      </c>
      <c r="Z781" s="80" t="n">
        <f aca="false">IF(AND($A781&lt;&gt;"",COUNTIF($A$7:$A$1006,$A781)&gt;1),1,0)</f>
        <v>0</v>
      </c>
    </row>
    <row r="782" customFormat="false" ht="15" hidden="false" customHeight="false" outlineLevel="0" collapsed="false">
      <c r="A782" s="71"/>
      <c r="B782" s="72"/>
      <c r="C782" s="73"/>
      <c r="D782" s="73"/>
      <c r="E782" s="74"/>
      <c r="F782" s="74"/>
      <c r="G782" s="72"/>
      <c r="H782" s="74"/>
      <c r="I782" s="72"/>
      <c r="J782" s="73"/>
      <c r="K782" s="73"/>
      <c r="L782" s="75" t="str">
        <f aca="false">IF(OR($A782&lt;&gt;"",$E782&lt;&gt;""),N($F782)+N($H782),"")</f>
        <v/>
      </c>
      <c r="M782" s="76" t="str">
        <f aca="false">IF(OR($O782="",$O782="Cancelled",$O782="Amount missing"),"",IF($O782="Realised",0,$E782-N($F782)-N($H782)))</f>
        <v/>
      </c>
      <c r="N782" s="77" t="str">
        <f aca="false">IF(OR($M782="",FX=""),"",$M782*FX)</f>
        <v/>
      </c>
      <c r="O782" s="78" t="str">
        <f aca="false">IF(NOT(OR($A782&lt;&gt;"",$E782&lt;&gt;"")),"",IF($J782="Cancelled","Cancelled",IF($E782="","Amount missing",IF(OR($J782="Settled",$E782-N($F782)-N($H782)&lt;=0.005),"Realised",IF(N($H782)&gt;0,"Part realised",IF(N($F782)&gt;0,"Advance received","On hand"))))))</f>
        <v/>
      </c>
      <c r="P782" s="79" t="str">
        <f aca="false">IF(AND($V782=1,ISNUMBER($B782)),AsAt-$B782,"")</f>
        <v/>
      </c>
      <c r="Q782" s="78" t="str">
        <f aca="false">IF($V782&lt;&gt;1,"",IF($P782="","No invoice date",IF($P782&lt;=30,"0–30 days",IF($P782&lt;=60,"31–60 days",IF($P782&lt;=90,"61–90 days","Over 90 days")))))</f>
        <v/>
      </c>
      <c r="R782" s="80" t="str">
        <f aca="false">IF($V782=1,ROW(),"")</f>
        <v/>
      </c>
      <c r="S782" s="80" t="str">
        <f aca="false">IF(OR($A782&lt;&gt;"",$E782&lt;&gt;""),IF(TRIM($D782)="","Buyer not noted",TRIM($D782)),"")</f>
        <v/>
      </c>
      <c r="T782" s="80" t="n">
        <f aca="false">IF(AND($V782=1,ISNUMBER($M782)),$M782,0)</f>
        <v>0</v>
      </c>
      <c r="U782" s="80" t="str">
        <f aca="false">IF($V782=1,IF(COUNTIFS($S$7:$S782,$S782,$V$7:$V782,1)=1,SUMIFS($T$7:$T$1006,$S$7:$S$1006,$S782)-ROW()/1000000000,""),"")</f>
        <v/>
      </c>
      <c r="V782" s="80" t="n">
        <f aca="false">IF(OR($O782="On hand",$O782="Advance received",$O782="Part realised",$O782="Amount missing"),1,0)</f>
        <v>0</v>
      </c>
      <c r="W782" s="80" t="str">
        <f aca="false">IF(AND($V782=1,N($F782)&gt;0),ROW(),"")</f>
        <v/>
      </c>
      <c r="X782" s="80" t="n">
        <f aca="false">IF(AND(OR($A782&lt;&gt;"",$E782&lt;&gt;""),$O782&lt;&gt;"Cancelled",ISNUMBER($E782),N($F782)+N($H782)&gt;$E782+0.005),1,0)</f>
        <v>0</v>
      </c>
      <c r="Y782" s="80" t="n">
        <f aca="false">IF(AND(OR($A782&lt;&gt;"",$E782&lt;&gt;""),OR($A782="",$E782="")),1,0)</f>
        <v>0</v>
      </c>
      <c r="Z782" s="80" t="n">
        <f aca="false">IF(AND($A782&lt;&gt;"",COUNTIF($A$7:$A$1006,$A782)&gt;1),1,0)</f>
        <v>0</v>
      </c>
    </row>
    <row r="783" customFormat="false" ht="15" hidden="false" customHeight="false" outlineLevel="0" collapsed="false">
      <c r="A783" s="71"/>
      <c r="B783" s="72"/>
      <c r="C783" s="73"/>
      <c r="D783" s="73"/>
      <c r="E783" s="74"/>
      <c r="F783" s="74"/>
      <c r="G783" s="72"/>
      <c r="H783" s="74"/>
      <c r="I783" s="72"/>
      <c r="J783" s="73"/>
      <c r="K783" s="73"/>
      <c r="L783" s="75" t="str">
        <f aca="false">IF(OR($A783&lt;&gt;"",$E783&lt;&gt;""),N($F783)+N($H783),"")</f>
        <v/>
      </c>
      <c r="M783" s="76" t="str">
        <f aca="false">IF(OR($O783="",$O783="Cancelled",$O783="Amount missing"),"",IF($O783="Realised",0,$E783-N($F783)-N($H783)))</f>
        <v/>
      </c>
      <c r="N783" s="77" t="str">
        <f aca="false">IF(OR($M783="",FX=""),"",$M783*FX)</f>
        <v/>
      </c>
      <c r="O783" s="78" t="str">
        <f aca="false">IF(NOT(OR($A783&lt;&gt;"",$E783&lt;&gt;"")),"",IF($J783="Cancelled","Cancelled",IF($E783="","Amount missing",IF(OR($J783="Settled",$E783-N($F783)-N($H783)&lt;=0.005),"Realised",IF(N($H783)&gt;0,"Part realised",IF(N($F783)&gt;0,"Advance received","On hand"))))))</f>
        <v/>
      </c>
      <c r="P783" s="79" t="str">
        <f aca="false">IF(AND($V783=1,ISNUMBER($B783)),AsAt-$B783,"")</f>
        <v/>
      </c>
      <c r="Q783" s="78" t="str">
        <f aca="false">IF($V783&lt;&gt;1,"",IF($P783="","No invoice date",IF($P783&lt;=30,"0–30 days",IF($P783&lt;=60,"31–60 days",IF($P783&lt;=90,"61–90 days","Over 90 days")))))</f>
        <v/>
      </c>
      <c r="R783" s="80" t="str">
        <f aca="false">IF($V783=1,ROW(),"")</f>
        <v/>
      </c>
      <c r="S783" s="80" t="str">
        <f aca="false">IF(OR($A783&lt;&gt;"",$E783&lt;&gt;""),IF(TRIM($D783)="","Buyer not noted",TRIM($D783)),"")</f>
        <v/>
      </c>
      <c r="T783" s="80" t="n">
        <f aca="false">IF(AND($V783=1,ISNUMBER($M783)),$M783,0)</f>
        <v>0</v>
      </c>
      <c r="U783" s="80" t="str">
        <f aca="false">IF($V783=1,IF(COUNTIFS($S$7:$S783,$S783,$V$7:$V783,1)=1,SUMIFS($T$7:$T$1006,$S$7:$S$1006,$S783)-ROW()/1000000000,""),"")</f>
        <v/>
      </c>
      <c r="V783" s="80" t="n">
        <f aca="false">IF(OR($O783="On hand",$O783="Advance received",$O783="Part realised",$O783="Amount missing"),1,0)</f>
        <v>0</v>
      </c>
      <c r="W783" s="80" t="str">
        <f aca="false">IF(AND($V783=1,N($F783)&gt;0),ROW(),"")</f>
        <v/>
      </c>
      <c r="X783" s="80" t="n">
        <f aca="false">IF(AND(OR($A783&lt;&gt;"",$E783&lt;&gt;""),$O783&lt;&gt;"Cancelled",ISNUMBER($E783),N($F783)+N($H783)&gt;$E783+0.005),1,0)</f>
        <v>0</v>
      </c>
      <c r="Y783" s="80" t="n">
        <f aca="false">IF(AND(OR($A783&lt;&gt;"",$E783&lt;&gt;""),OR($A783="",$E783="")),1,0)</f>
        <v>0</v>
      </c>
      <c r="Z783" s="80" t="n">
        <f aca="false">IF(AND($A783&lt;&gt;"",COUNTIF($A$7:$A$1006,$A783)&gt;1),1,0)</f>
        <v>0</v>
      </c>
    </row>
    <row r="784" customFormat="false" ht="15" hidden="false" customHeight="false" outlineLevel="0" collapsed="false">
      <c r="A784" s="71"/>
      <c r="B784" s="72"/>
      <c r="C784" s="73"/>
      <c r="D784" s="73"/>
      <c r="E784" s="74"/>
      <c r="F784" s="74"/>
      <c r="G784" s="72"/>
      <c r="H784" s="74"/>
      <c r="I784" s="72"/>
      <c r="J784" s="73"/>
      <c r="K784" s="73"/>
      <c r="L784" s="75" t="str">
        <f aca="false">IF(OR($A784&lt;&gt;"",$E784&lt;&gt;""),N($F784)+N($H784),"")</f>
        <v/>
      </c>
      <c r="M784" s="76" t="str">
        <f aca="false">IF(OR($O784="",$O784="Cancelled",$O784="Amount missing"),"",IF($O784="Realised",0,$E784-N($F784)-N($H784)))</f>
        <v/>
      </c>
      <c r="N784" s="77" t="str">
        <f aca="false">IF(OR($M784="",FX=""),"",$M784*FX)</f>
        <v/>
      </c>
      <c r="O784" s="78" t="str">
        <f aca="false">IF(NOT(OR($A784&lt;&gt;"",$E784&lt;&gt;"")),"",IF($J784="Cancelled","Cancelled",IF($E784="","Amount missing",IF(OR($J784="Settled",$E784-N($F784)-N($H784)&lt;=0.005),"Realised",IF(N($H784)&gt;0,"Part realised",IF(N($F784)&gt;0,"Advance received","On hand"))))))</f>
        <v/>
      </c>
      <c r="P784" s="79" t="str">
        <f aca="false">IF(AND($V784=1,ISNUMBER($B784)),AsAt-$B784,"")</f>
        <v/>
      </c>
      <c r="Q784" s="78" t="str">
        <f aca="false">IF($V784&lt;&gt;1,"",IF($P784="","No invoice date",IF($P784&lt;=30,"0–30 days",IF($P784&lt;=60,"31–60 days",IF($P784&lt;=90,"61–90 days","Over 90 days")))))</f>
        <v/>
      </c>
      <c r="R784" s="80" t="str">
        <f aca="false">IF($V784=1,ROW(),"")</f>
        <v/>
      </c>
      <c r="S784" s="80" t="str">
        <f aca="false">IF(OR($A784&lt;&gt;"",$E784&lt;&gt;""),IF(TRIM($D784)="","Buyer not noted",TRIM($D784)),"")</f>
        <v/>
      </c>
      <c r="T784" s="80" t="n">
        <f aca="false">IF(AND($V784=1,ISNUMBER($M784)),$M784,0)</f>
        <v>0</v>
      </c>
      <c r="U784" s="80" t="str">
        <f aca="false">IF($V784=1,IF(COUNTIFS($S$7:$S784,$S784,$V$7:$V784,1)=1,SUMIFS($T$7:$T$1006,$S$7:$S$1006,$S784)-ROW()/1000000000,""),"")</f>
        <v/>
      </c>
      <c r="V784" s="80" t="n">
        <f aca="false">IF(OR($O784="On hand",$O784="Advance received",$O784="Part realised",$O784="Amount missing"),1,0)</f>
        <v>0</v>
      </c>
      <c r="W784" s="80" t="str">
        <f aca="false">IF(AND($V784=1,N($F784)&gt;0),ROW(),"")</f>
        <v/>
      </c>
      <c r="X784" s="80" t="n">
        <f aca="false">IF(AND(OR($A784&lt;&gt;"",$E784&lt;&gt;""),$O784&lt;&gt;"Cancelled",ISNUMBER($E784),N($F784)+N($H784)&gt;$E784+0.005),1,0)</f>
        <v>0</v>
      </c>
      <c r="Y784" s="80" t="n">
        <f aca="false">IF(AND(OR($A784&lt;&gt;"",$E784&lt;&gt;""),OR($A784="",$E784="")),1,0)</f>
        <v>0</v>
      </c>
      <c r="Z784" s="80" t="n">
        <f aca="false">IF(AND($A784&lt;&gt;"",COUNTIF($A$7:$A$1006,$A784)&gt;1),1,0)</f>
        <v>0</v>
      </c>
    </row>
    <row r="785" customFormat="false" ht="15" hidden="false" customHeight="false" outlineLevel="0" collapsed="false">
      <c r="A785" s="71"/>
      <c r="B785" s="72"/>
      <c r="C785" s="73"/>
      <c r="D785" s="73"/>
      <c r="E785" s="74"/>
      <c r="F785" s="74"/>
      <c r="G785" s="72"/>
      <c r="H785" s="74"/>
      <c r="I785" s="72"/>
      <c r="J785" s="73"/>
      <c r="K785" s="73"/>
      <c r="L785" s="75" t="str">
        <f aca="false">IF(OR($A785&lt;&gt;"",$E785&lt;&gt;""),N($F785)+N($H785),"")</f>
        <v/>
      </c>
      <c r="M785" s="76" t="str">
        <f aca="false">IF(OR($O785="",$O785="Cancelled",$O785="Amount missing"),"",IF($O785="Realised",0,$E785-N($F785)-N($H785)))</f>
        <v/>
      </c>
      <c r="N785" s="77" t="str">
        <f aca="false">IF(OR($M785="",FX=""),"",$M785*FX)</f>
        <v/>
      </c>
      <c r="O785" s="78" t="str">
        <f aca="false">IF(NOT(OR($A785&lt;&gt;"",$E785&lt;&gt;"")),"",IF($J785="Cancelled","Cancelled",IF($E785="","Amount missing",IF(OR($J785="Settled",$E785-N($F785)-N($H785)&lt;=0.005),"Realised",IF(N($H785)&gt;0,"Part realised",IF(N($F785)&gt;0,"Advance received","On hand"))))))</f>
        <v/>
      </c>
      <c r="P785" s="79" t="str">
        <f aca="false">IF(AND($V785=1,ISNUMBER($B785)),AsAt-$B785,"")</f>
        <v/>
      </c>
      <c r="Q785" s="78" t="str">
        <f aca="false">IF($V785&lt;&gt;1,"",IF($P785="","No invoice date",IF($P785&lt;=30,"0–30 days",IF($P785&lt;=60,"31–60 days",IF($P785&lt;=90,"61–90 days","Over 90 days")))))</f>
        <v/>
      </c>
      <c r="R785" s="80" t="str">
        <f aca="false">IF($V785=1,ROW(),"")</f>
        <v/>
      </c>
      <c r="S785" s="80" t="str">
        <f aca="false">IF(OR($A785&lt;&gt;"",$E785&lt;&gt;""),IF(TRIM($D785)="","Buyer not noted",TRIM($D785)),"")</f>
        <v/>
      </c>
      <c r="T785" s="80" t="n">
        <f aca="false">IF(AND($V785=1,ISNUMBER($M785)),$M785,0)</f>
        <v>0</v>
      </c>
      <c r="U785" s="80" t="str">
        <f aca="false">IF($V785=1,IF(COUNTIFS($S$7:$S785,$S785,$V$7:$V785,1)=1,SUMIFS($T$7:$T$1006,$S$7:$S$1006,$S785)-ROW()/1000000000,""),"")</f>
        <v/>
      </c>
      <c r="V785" s="80" t="n">
        <f aca="false">IF(OR($O785="On hand",$O785="Advance received",$O785="Part realised",$O785="Amount missing"),1,0)</f>
        <v>0</v>
      </c>
      <c r="W785" s="80" t="str">
        <f aca="false">IF(AND($V785=1,N($F785)&gt;0),ROW(),"")</f>
        <v/>
      </c>
      <c r="X785" s="80" t="n">
        <f aca="false">IF(AND(OR($A785&lt;&gt;"",$E785&lt;&gt;""),$O785&lt;&gt;"Cancelled",ISNUMBER($E785),N($F785)+N($H785)&gt;$E785+0.005),1,0)</f>
        <v>0</v>
      </c>
      <c r="Y785" s="80" t="n">
        <f aca="false">IF(AND(OR($A785&lt;&gt;"",$E785&lt;&gt;""),OR($A785="",$E785="")),1,0)</f>
        <v>0</v>
      </c>
      <c r="Z785" s="80" t="n">
        <f aca="false">IF(AND($A785&lt;&gt;"",COUNTIF($A$7:$A$1006,$A785)&gt;1),1,0)</f>
        <v>0</v>
      </c>
    </row>
    <row r="786" customFormat="false" ht="15" hidden="false" customHeight="false" outlineLevel="0" collapsed="false">
      <c r="A786" s="71"/>
      <c r="B786" s="72"/>
      <c r="C786" s="73"/>
      <c r="D786" s="73"/>
      <c r="E786" s="74"/>
      <c r="F786" s="74"/>
      <c r="G786" s="72"/>
      <c r="H786" s="74"/>
      <c r="I786" s="72"/>
      <c r="J786" s="73"/>
      <c r="K786" s="73"/>
      <c r="L786" s="75" t="str">
        <f aca="false">IF(OR($A786&lt;&gt;"",$E786&lt;&gt;""),N($F786)+N($H786),"")</f>
        <v/>
      </c>
      <c r="M786" s="76" t="str">
        <f aca="false">IF(OR($O786="",$O786="Cancelled",$O786="Amount missing"),"",IF($O786="Realised",0,$E786-N($F786)-N($H786)))</f>
        <v/>
      </c>
      <c r="N786" s="77" t="str">
        <f aca="false">IF(OR($M786="",FX=""),"",$M786*FX)</f>
        <v/>
      </c>
      <c r="O786" s="78" t="str">
        <f aca="false">IF(NOT(OR($A786&lt;&gt;"",$E786&lt;&gt;"")),"",IF($J786="Cancelled","Cancelled",IF($E786="","Amount missing",IF(OR($J786="Settled",$E786-N($F786)-N($H786)&lt;=0.005),"Realised",IF(N($H786)&gt;0,"Part realised",IF(N($F786)&gt;0,"Advance received","On hand"))))))</f>
        <v/>
      </c>
      <c r="P786" s="79" t="str">
        <f aca="false">IF(AND($V786=1,ISNUMBER($B786)),AsAt-$B786,"")</f>
        <v/>
      </c>
      <c r="Q786" s="78" t="str">
        <f aca="false">IF($V786&lt;&gt;1,"",IF($P786="","No invoice date",IF($P786&lt;=30,"0–30 days",IF($P786&lt;=60,"31–60 days",IF($P786&lt;=90,"61–90 days","Over 90 days")))))</f>
        <v/>
      </c>
      <c r="R786" s="80" t="str">
        <f aca="false">IF($V786=1,ROW(),"")</f>
        <v/>
      </c>
      <c r="S786" s="80" t="str">
        <f aca="false">IF(OR($A786&lt;&gt;"",$E786&lt;&gt;""),IF(TRIM($D786)="","Buyer not noted",TRIM($D786)),"")</f>
        <v/>
      </c>
      <c r="T786" s="80" t="n">
        <f aca="false">IF(AND($V786=1,ISNUMBER($M786)),$M786,0)</f>
        <v>0</v>
      </c>
      <c r="U786" s="80" t="str">
        <f aca="false">IF($V786=1,IF(COUNTIFS($S$7:$S786,$S786,$V$7:$V786,1)=1,SUMIFS($T$7:$T$1006,$S$7:$S$1006,$S786)-ROW()/1000000000,""),"")</f>
        <v/>
      </c>
      <c r="V786" s="80" t="n">
        <f aca="false">IF(OR($O786="On hand",$O786="Advance received",$O786="Part realised",$O786="Amount missing"),1,0)</f>
        <v>0</v>
      </c>
      <c r="W786" s="80" t="str">
        <f aca="false">IF(AND($V786=1,N($F786)&gt;0),ROW(),"")</f>
        <v/>
      </c>
      <c r="X786" s="80" t="n">
        <f aca="false">IF(AND(OR($A786&lt;&gt;"",$E786&lt;&gt;""),$O786&lt;&gt;"Cancelled",ISNUMBER($E786),N($F786)+N($H786)&gt;$E786+0.005),1,0)</f>
        <v>0</v>
      </c>
      <c r="Y786" s="80" t="n">
        <f aca="false">IF(AND(OR($A786&lt;&gt;"",$E786&lt;&gt;""),OR($A786="",$E786="")),1,0)</f>
        <v>0</v>
      </c>
      <c r="Z786" s="80" t="n">
        <f aca="false">IF(AND($A786&lt;&gt;"",COUNTIF($A$7:$A$1006,$A786)&gt;1),1,0)</f>
        <v>0</v>
      </c>
    </row>
    <row r="787" customFormat="false" ht="15" hidden="false" customHeight="false" outlineLevel="0" collapsed="false">
      <c r="A787" s="71"/>
      <c r="B787" s="72"/>
      <c r="C787" s="73"/>
      <c r="D787" s="73"/>
      <c r="E787" s="74"/>
      <c r="F787" s="74"/>
      <c r="G787" s="72"/>
      <c r="H787" s="74"/>
      <c r="I787" s="72"/>
      <c r="J787" s="73"/>
      <c r="K787" s="73"/>
      <c r="L787" s="75" t="str">
        <f aca="false">IF(OR($A787&lt;&gt;"",$E787&lt;&gt;""),N($F787)+N($H787),"")</f>
        <v/>
      </c>
      <c r="M787" s="76" t="str">
        <f aca="false">IF(OR($O787="",$O787="Cancelled",$O787="Amount missing"),"",IF($O787="Realised",0,$E787-N($F787)-N($H787)))</f>
        <v/>
      </c>
      <c r="N787" s="77" t="str">
        <f aca="false">IF(OR($M787="",FX=""),"",$M787*FX)</f>
        <v/>
      </c>
      <c r="O787" s="78" t="str">
        <f aca="false">IF(NOT(OR($A787&lt;&gt;"",$E787&lt;&gt;"")),"",IF($J787="Cancelled","Cancelled",IF($E787="","Amount missing",IF(OR($J787="Settled",$E787-N($F787)-N($H787)&lt;=0.005),"Realised",IF(N($H787)&gt;0,"Part realised",IF(N($F787)&gt;0,"Advance received","On hand"))))))</f>
        <v/>
      </c>
      <c r="P787" s="79" t="str">
        <f aca="false">IF(AND($V787=1,ISNUMBER($B787)),AsAt-$B787,"")</f>
        <v/>
      </c>
      <c r="Q787" s="78" t="str">
        <f aca="false">IF($V787&lt;&gt;1,"",IF($P787="","No invoice date",IF($P787&lt;=30,"0–30 days",IF($P787&lt;=60,"31–60 days",IF($P787&lt;=90,"61–90 days","Over 90 days")))))</f>
        <v/>
      </c>
      <c r="R787" s="80" t="str">
        <f aca="false">IF($V787=1,ROW(),"")</f>
        <v/>
      </c>
      <c r="S787" s="80" t="str">
        <f aca="false">IF(OR($A787&lt;&gt;"",$E787&lt;&gt;""),IF(TRIM($D787)="","Buyer not noted",TRIM($D787)),"")</f>
        <v/>
      </c>
      <c r="T787" s="80" t="n">
        <f aca="false">IF(AND($V787=1,ISNUMBER($M787)),$M787,0)</f>
        <v>0</v>
      </c>
      <c r="U787" s="80" t="str">
        <f aca="false">IF($V787=1,IF(COUNTIFS($S$7:$S787,$S787,$V$7:$V787,1)=1,SUMIFS($T$7:$T$1006,$S$7:$S$1006,$S787)-ROW()/1000000000,""),"")</f>
        <v/>
      </c>
      <c r="V787" s="80" t="n">
        <f aca="false">IF(OR($O787="On hand",$O787="Advance received",$O787="Part realised",$O787="Amount missing"),1,0)</f>
        <v>0</v>
      </c>
      <c r="W787" s="80" t="str">
        <f aca="false">IF(AND($V787=1,N($F787)&gt;0),ROW(),"")</f>
        <v/>
      </c>
      <c r="X787" s="80" t="n">
        <f aca="false">IF(AND(OR($A787&lt;&gt;"",$E787&lt;&gt;""),$O787&lt;&gt;"Cancelled",ISNUMBER($E787),N($F787)+N($H787)&gt;$E787+0.005),1,0)</f>
        <v>0</v>
      </c>
      <c r="Y787" s="80" t="n">
        <f aca="false">IF(AND(OR($A787&lt;&gt;"",$E787&lt;&gt;""),OR($A787="",$E787="")),1,0)</f>
        <v>0</v>
      </c>
      <c r="Z787" s="80" t="n">
        <f aca="false">IF(AND($A787&lt;&gt;"",COUNTIF($A$7:$A$1006,$A787)&gt;1),1,0)</f>
        <v>0</v>
      </c>
    </row>
    <row r="788" customFormat="false" ht="15" hidden="false" customHeight="false" outlineLevel="0" collapsed="false">
      <c r="A788" s="71"/>
      <c r="B788" s="72"/>
      <c r="C788" s="73"/>
      <c r="D788" s="73"/>
      <c r="E788" s="74"/>
      <c r="F788" s="74"/>
      <c r="G788" s="72"/>
      <c r="H788" s="74"/>
      <c r="I788" s="72"/>
      <c r="J788" s="73"/>
      <c r="K788" s="73"/>
      <c r="L788" s="75" t="str">
        <f aca="false">IF(OR($A788&lt;&gt;"",$E788&lt;&gt;""),N($F788)+N($H788),"")</f>
        <v/>
      </c>
      <c r="M788" s="76" t="str">
        <f aca="false">IF(OR($O788="",$O788="Cancelled",$O788="Amount missing"),"",IF($O788="Realised",0,$E788-N($F788)-N($H788)))</f>
        <v/>
      </c>
      <c r="N788" s="77" t="str">
        <f aca="false">IF(OR($M788="",FX=""),"",$M788*FX)</f>
        <v/>
      </c>
      <c r="O788" s="78" t="str">
        <f aca="false">IF(NOT(OR($A788&lt;&gt;"",$E788&lt;&gt;"")),"",IF($J788="Cancelled","Cancelled",IF($E788="","Amount missing",IF(OR($J788="Settled",$E788-N($F788)-N($H788)&lt;=0.005),"Realised",IF(N($H788)&gt;0,"Part realised",IF(N($F788)&gt;0,"Advance received","On hand"))))))</f>
        <v/>
      </c>
      <c r="P788" s="79" t="str">
        <f aca="false">IF(AND($V788=1,ISNUMBER($B788)),AsAt-$B788,"")</f>
        <v/>
      </c>
      <c r="Q788" s="78" t="str">
        <f aca="false">IF($V788&lt;&gt;1,"",IF($P788="","No invoice date",IF($P788&lt;=30,"0–30 days",IF($P788&lt;=60,"31–60 days",IF($P788&lt;=90,"61–90 days","Over 90 days")))))</f>
        <v/>
      </c>
      <c r="R788" s="80" t="str">
        <f aca="false">IF($V788=1,ROW(),"")</f>
        <v/>
      </c>
      <c r="S788" s="80" t="str">
        <f aca="false">IF(OR($A788&lt;&gt;"",$E788&lt;&gt;""),IF(TRIM($D788)="","Buyer not noted",TRIM($D788)),"")</f>
        <v/>
      </c>
      <c r="T788" s="80" t="n">
        <f aca="false">IF(AND($V788=1,ISNUMBER($M788)),$M788,0)</f>
        <v>0</v>
      </c>
      <c r="U788" s="80" t="str">
        <f aca="false">IF($V788=1,IF(COUNTIFS($S$7:$S788,$S788,$V$7:$V788,1)=1,SUMIFS($T$7:$T$1006,$S$7:$S$1006,$S788)-ROW()/1000000000,""),"")</f>
        <v/>
      </c>
      <c r="V788" s="80" t="n">
        <f aca="false">IF(OR($O788="On hand",$O788="Advance received",$O788="Part realised",$O788="Amount missing"),1,0)</f>
        <v>0</v>
      </c>
      <c r="W788" s="80" t="str">
        <f aca="false">IF(AND($V788=1,N($F788)&gt;0),ROW(),"")</f>
        <v/>
      </c>
      <c r="X788" s="80" t="n">
        <f aca="false">IF(AND(OR($A788&lt;&gt;"",$E788&lt;&gt;""),$O788&lt;&gt;"Cancelled",ISNUMBER($E788),N($F788)+N($H788)&gt;$E788+0.005),1,0)</f>
        <v>0</v>
      </c>
      <c r="Y788" s="80" t="n">
        <f aca="false">IF(AND(OR($A788&lt;&gt;"",$E788&lt;&gt;""),OR($A788="",$E788="")),1,0)</f>
        <v>0</v>
      </c>
      <c r="Z788" s="80" t="n">
        <f aca="false">IF(AND($A788&lt;&gt;"",COUNTIF($A$7:$A$1006,$A788)&gt;1),1,0)</f>
        <v>0</v>
      </c>
    </row>
    <row r="789" customFormat="false" ht="15" hidden="false" customHeight="false" outlineLevel="0" collapsed="false">
      <c r="A789" s="71"/>
      <c r="B789" s="72"/>
      <c r="C789" s="73"/>
      <c r="D789" s="73"/>
      <c r="E789" s="74"/>
      <c r="F789" s="74"/>
      <c r="G789" s="72"/>
      <c r="H789" s="74"/>
      <c r="I789" s="72"/>
      <c r="J789" s="73"/>
      <c r="K789" s="73"/>
      <c r="L789" s="75" t="str">
        <f aca="false">IF(OR($A789&lt;&gt;"",$E789&lt;&gt;""),N($F789)+N($H789),"")</f>
        <v/>
      </c>
      <c r="M789" s="76" t="str">
        <f aca="false">IF(OR($O789="",$O789="Cancelled",$O789="Amount missing"),"",IF($O789="Realised",0,$E789-N($F789)-N($H789)))</f>
        <v/>
      </c>
      <c r="N789" s="77" t="str">
        <f aca="false">IF(OR($M789="",FX=""),"",$M789*FX)</f>
        <v/>
      </c>
      <c r="O789" s="78" t="str">
        <f aca="false">IF(NOT(OR($A789&lt;&gt;"",$E789&lt;&gt;"")),"",IF($J789="Cancelled","Cancelled",IF($E789="","Amount missing",IF(OR($J789="Settled",$E789-N($F789)-N($H789)&lt;=0.005),"Realised",IF(N($H789)&gt;0,"Part realised",IF(N($F789)&gt;0,"Advance received","On hand"))))))</f>
        <v/>
      </c>
      <c r="P789" s="79" t="str">
        <f aca="false">IF(AND($V789=1,ISNUMBER($B789)),AsAt-$B789,"")</f>
        <v/>
      </c>
      <c r="Q789" s="78" t="str">
        <f aca="false">IF($V789&lt;&gt;1,"",IF($P789="","No invoice date",IF($P789&lt;=30,"0–30 days",IF($P789&lt;=60,"31–60 days",IF($P789&lt;=90,"61–90 days","Over 90 days")))))</f>
        <v/>
      </c>
      <c r="R789" s="80" t="str">
        <f aca="false">IF($V789=1,ROW(),"")</f>
        <v/>
      </c>
      <c r="S789" s="80" t="str">
        <f aca="false">IF(OR($A789&lt;&gt;"",$E789&lt;&gt;""),IF(TRIM($D789)="","Buyer not noted",TRIM($D789)),"")</f>
        <v/>
      </c>
      <c r="T789" s="80" t="n">
        <f aca="false">IF(AND($V789=1,ISNUMBER($M789)),$M789,0)</f>
        <v>0</v>
      </c>
      <c r="U789" s="80" t="str">
        <f aca="false">IF($V789=1,IF(COUNTIFS($S$7:$S789,$S789,$V$7:$V789,1)=1,SUMIFS($T$7:$T$1006,$S$7:$S$1006,$S789)-ROW()/1000000000,""),"")</f>
        <v/>
      </c>
      <c r="V789" s="80" t="n">
        <f aca="false">IF(OR($O789="On hand",$O789="Advance received",$O789="Part realised",$O789="Amount missing"),1,0)</f>
        <v>0</v>
      </c>
      <c r="W789" s="80" t="str">
        <f aca="false">IF(AND($V789=1,N($F789)&gt;0),ROW(),"")</f>
        <v/>
      </c>
      <c r="X789" s="80" t="n">
        <f aca="false">IF(AND(OR($A789&lt;&gt;"",$E789&lt;&gt;""),$O789&lt;&gt;"Cancelled",ISNUMBER($E789),N($F789)+N($H789)&gt;$E789+0.005),1,0)</f>
        <v>0</v>
      </c>
      <c r="Y789" s="80" t="n">
        <f aca="false">IF(AND(OR($A789&lt;&gt;"",$E789&lt;&gt;""),OR($A789="",$E789="")),1,0)</f>
        <v>0</v>
      </c>
      <c r="Z789" s="80" t="n">
        <f aca="false">IF(AND($A789&lt;&gt;"",COUNTIF($A$7:$A$1006,$A789)&gt;1),1,0)</f>
        <v>0</v>
      </c>
    </row>
    <row r="790" customFormat="false" ht="15" hidden="false" customHeight="false" outlineLevel="0" collapsed="false">
      <c r="A790" s="71"/>
      <c r="B790" s="72"/>
      <c r="C790" s="73"/>
      <c r="D790" s="73"/>
      <c r="E790" s="74"/>
      <c r="F790" s="74"/>
      <c r="G790" s="72"/>
      <c r="H790" s="74"/>
      <c r="I790" s="72"/>
      <c r="J790" s="73"/>
      <c r="K790" s="73"/>
      <c r="L790" s="75" t="str">
        <f aca="false">IF(OR($A790&lt;&gt;"",$E790&lt;&gt;""),N($F790)+N($H790),"")</f>
        <v/>
      </c>
      <c r="M790" s="76" t="str">
        <f aca="false">IF(OR($O790="",$O790="Cancelled",$O790="Amount missing"),"",IF($O790="Realised",0,$E790-N($F790)-N($H790)))</f>
        <v/>
      </c>
      <c r="N790" s="77" t="str">
        <f aca="false">IF(OR($M790="",FX=""),"",$M790*FX)</f>
        <v/>
      </c>
      <c r="O790" s="78" t="str">
        <f aca="false">IF(NOT(OR($A790&lt;&gt;"",$E790&lt;&gt;"")),"",IF($J790="Cancelled","Cancelled",IF($E790="","Amount missing",IF(OR($J790="Settled",$E790-N($F790)-N($H790)&lt;=0.005),"Realised",IF(N($H790)&gt;0,"Part realised",IF(N($F790)&gt;0,"Advance received","On hand"))))))</f>
        <v/>
      </c>
      <c r="P790" s="79" t="str">
        <f aca="false">IF(AND($V790=1,ISNUMBER($B790)),AsAt-$B790,"")</f>
        <v/>
      </c>
      <c r="Q790" s="78" t="str">
        <f aca="false">IF($V790&lt;&gt;1,"",IF($P790="","No invoice date",IF($P790&lt;=30,"0–30 days",IF($P790&lt;=60,"31–60 days",IF($P790&lt;=90,"61–90 days","Over 90 days")))))</f>
        <v/>
      </c>
      <c r="R790" s="80" t="str">
        <f aca="false">IF($V790=1,ROW(),"")</f>
        <v/>
      </c>
      <c r="S790" s="80" t="str">
        <f aca="false">IF(OR($A790&lt;&gt;"",$E790&lt;&gt;""),IF(TRIM($D790)="","Buyer not noted",TRIM($D790)),"")</f>
        <v/>
      </c>
      <c r="T790" s="80" t="n">
        <f aca="false">IF(AND($V790=1,ISNUMBER($M790)),$M790,0)</f>
        <v>0</v>
      </c>
      <c r="U790" s="80" t="str">
        <f aca="false">IF($V790=1,IF(COUNTIFS($S$7:$S790,$S790,$V$7:$V790,1)=1,SUMIFS($T$7:$T$1006,$S$7:$S$1006,$S790)-ROW()/1000000000,""),"")</f>
        <v/>
      </c>
      <c r="V790" s="80" t="n">
        <f aca="false">IF(OR($O790="On hand",$O790="Advance received",$O790="Part realised",$O790="Amount missing"),1,0)</f>
        <v>0</v>
      </c>
      <c r="W790" s="80" t="str">
        <f aca="false">IF(AND($V790=1,N($F790)&gt;0),ROW(),"")</f>
        <v/>
      </c>
      <c r="X790" s="80" t="n">
        <f aca="false">IF(AND(OR($A790&lt;&gt;"",$E790&lt;&gt;""),$O790&lt;&gt;"Cancelled",ISNUMBER($E790),N($F790)+N($H790)&gt;$E790+0.005),1,0)</f>
        <v>0</v>
      </c>
      <c r="Y790" s="80" t="n">
        <f aca="false">IF(AND(OR($A790&lt;&gt;"",$E790&lt;&gt;""),OR($A790="",$E790="")),1,0)</f>
        <v>0</v>
      </c>
      <c r="Z790" s="80" t="n">
        <f aca="false">IF(AND($A790&lt;&gt;"",COUNTIF($A$7:$A$1006,$A790)&gt;1),1,0)</f>
        <v>0</v>
      </c>
    </row>
    <row r="791" customFormat="false" ht="15" hidden="false" customHeight="false" outlineLevel="0" collapsed="false">
      <c r="A791" s="71"/>
      <c r="B791" s="72"/>
      <c r="C791" s="73"/>
      <c r="D791" s="73"/>
      <c r="E791" s="74"/>
      <c r="F791" s="74"/>
      <c r="G791" s="72"/>
      <c r="H791" s="74"/>
      <c r="I791" s="72"/>
      <c r="J791" s="73"/>
      <c r="K791" s="73"/>
      <c r="L791" s="75" t="str">
        <f aca="false">IF(OR($A791&lt;&gt;"",$E791&lt;&gt;""),N($F791)+N($H791),"")</f>
        <v/>
      </c>
      <c r="M791" s="76" t="str">
        <f aca="false">IF(OR($O791="",$O791="Cancelled",$O791="Amount missing"),"",IF($O791="Realised",0,$E791-N($F791)-N($H791)))</f>
        <v/>
      </c>
      <c r="N791" s="77" t="str">
        <f aca="false">IF(OR($M791="",FX=""),"",$M791*FX)</f>
        <v/>
      </c>
      <c r="O791" s="78" t="str">
        <f aca="false">IF(NOT(OR($A791&lt;&gt;"",$E791&lt;&gt;"")),"",IF($J791="Cancelled","Cancelled",IF($E791="","Amount missing",IF(OR($J791="Settled",$E791-N($F791)-N($H791)&lt;=0.005),"Realised",IF(N($H791)&gt;0,"Part realised",IF(N($F791)&gt;0,"Advance received","On hand"))))))</f>
        <v/>
      </c>
      <c r="P791" s="79" t="str">
        <f aca="false">IF(AND($V791=1,ISNUMBER($B791)),AsAt-$B791,"")</f>
        <v/>
      </c>
      <c r="Q791" s="78" t="str">
        <f aca="false">IF($V791&lt;&gt;1,"",IF($P791="","No invoice date",IF($P791&lt;=30,"0–30 days",IF($P791&lt;=60,"31–60 days",IF($P791&lt;=90,"61–90 days","Over 90 days")))))</f>
        <v/>
      </c>
      <c r="R791" s="80" t="str">
        <f aca="false">IF($V791=1,ROW(),"")</f>
        <v/>
      </c>
      <c r="S791" s="80" t="str">
        <f aca="false">IF(OR($A791&lt;&gt;"",$E791&lt;&gt;""),IF(TRIM($D791)="","Buyer not noted",TRIM($D791)),"")</f>
        <v/>
      </c>
      <c r="T791" s="80" t="n">
        <f aca="false">IF(AND($V791=1,ISNUMBER($M791)),$M791,0)</f>
        <v>0</v>
      </c>
      <c r="U791" s="80" t="str">
        <f aca="false">IF($V791=1,IF(COUNTIFS($S$7:$S791,$S791,$V$7:$V791,1)=1,SUMIFS($T$7:$T$1006,$S$7:$S$1006,$S791)-ROW()/1000000000,""),"")</f>
        <v/>
      </c>
      <c r="V791" s="80" t="n">
        <f aca="false">IF(OR($O791="On hand",$O791="Advance received",$O791="Part realised",$O791="Amount missing"),1,0)</f>
        <v>0</v>
      </c>
      <c r="W791" s="80" t="str">
        <f aca="false">IF(AND($V791=1,N($F791)&gt;0),ROW(),"")</f>
        <v/>
      </c>
      <c r="X791" s="80" t="n">
        <f aca="false">IF(AND(OR($A791&lt;&gt;"",$E791&lt;&gt;""),$O791&lt;&gt;"Cancelled",ISNUMBER($E791),N($F791)+N($H791)&gt;$E791+0.005),1,0)</f>
        <v>0</v>
      </c>
      <c r="Y791" s="80" t="n">
        <f aca="false">IF(AND(OR($A791&lt;&gt;"",$E791&lt;&gt;""),OR($A791="",$E791="")),1,0)</f>
        <v>0</v>
      </c>
      <c r="Z791" s="80" t="n">
        <f aca="false">IF(AND($A791&lt;&gt;"",COUNTIF($A$7:$A$1006,$A791)&gt;1),1,0)</f>
        <v>0</v>
      </c>
    </row>
    <row r="792" customFormat="false" ht="15" hidden="false" customHeight="false" outlineLevel="0" collapsed="false">
      <c r="A792" s="71"/>
      <c r="B792" s="72"/>
      <c r="C792" s="73"/>
      <c r="D792" s="73"/>
      <c r="E792" s="74"/>
      <c r="F792" s="74"/>
      <c r="G792" s="72"/>
      <c r="H792" s="74"/>
      <c r="I792" s="72"/>
      <c r="J792" s="73"/>
      <c r="K792" s="73"/>
      <c r="L792" s="75" t="str">
        <f aca="false">IF(OR($A792&lt;&gt;"",$E792&lt;&gt;""),N($F792)+N($H792),"")</f>
        <v/>
      </c>
      <c r="M792" s="76" t="str">
        <f aca="false">IF(OR($O792="",$O792="Cancelled",$O792="Amount missing"),"",IF($O792="Realised",0,$E792-N($F792)-N($H792)))</f>
        <v/>
      </c>
      <c r="N792" s="77" t="str">
        <f aca="false">IF(OR($M792="",FX=""),"",$M792*FX)</f>
        <v/>
      </c>
      <c r="O792" s="78" t="str">
        <f aca="false">IF(NOT(OR($A792&lt;&gt;"",$E792&lt;&gt;"")),"",IF($J792="Cancelled","Cancelled",IF($E792="","Amount missing",IF(OR($J792="Settled",$E792-N($F792)-N($H792)&lt;=0.005),"Realised",IF(N($H792)&gt;0,"Part realised",IF(N($F792)&gt;0,"Advance received","On hand"))))))</f>
        <v/>
      </c>
      <c r="P792" s="79" t="str">
        <f aca="false">IF(AND($V792=1,ISNUMBER($B792)),AsAt-$B792,"")</f>
        <v/>
      </c>
      <c r="Q792" s="78" t="str">
        <f aca="false">IF($V792&lt;&gt;1,"",IF($P792="","No invoice date",IF($P792&lt;=30,"0–30 days",IF($P792&lt;=60,"31–60 days",IF($P792&lt;=90,"61–90 days","Over 90 days")))))</f>
        <v/>
      </c>
      <c r="R792" s="80" t="str">
        <f aca="false">IF($V792=1,ROW(),"")</f>
        <v/>
      </c>
      <c r="S792" s="80" t="str">
        <f aca="false">IF(OR($A792&lt;&gt;"",$E792&lt;&gt;""),IF(TRIM($D792)="","Buyer not noted",TRIM($D792)),"")</f>
        <v/>
      </c>
      <c r="T792" s="80" t="n">
        <f aca="false">IF(AND($V792=1,ISNUMBER($M792)),$M792,0)</f>
        <v>0</v>
      </c>
      <c r="U792" s="80" t="str">
        <f aca="false">IF($V792=1,IF(COUNTIFS($S$7:$S792,$S792,$V$7:$V792,1)=1,SUMIFS($T$7:$T$1006,$S$7:$S$1006,$S792)-ROW()/1000000000,""),"")</f>
        <v/>
      </c>
      <c r="V792" s="80" t="n">
        <f aca="false">IF(OR($O792="On hand",$O792="Advance received",$O792="Part realised",$O792="Amount missing"),1,0)</f>
        <v>0</v>
      </c>
      <c r="W792" s="80" t="str">
        <f aca="false">IF(AND($V792=1,N($F792)&gt;0),ROW(),"")</f>
        <v/>
      </c>
      <c r="X792" s="80" t="n">
        <f aca="false">IF(AND(OR($A792&lt;&gt;"",$E792&lt;&gt;""),$O792&lt;&gt;"Cancelled",ISNUMBER($E792),N($F792)+N($H792)&gt;$E792+0.005),1,0)</f>
        <v>0</v>
      </c>
      <c r="Y792" s="80" t="n">
        <f aca="false">IF(AND(OR($A792&lt;&gt;"",$E792&lt;&gt;""),OR($A792="",$E792="")),1,0)</f>
        <v>0</v>
      </c>
      <c r="Z792" s="80" t="n">
        <f aca="false">IF(AND($A792&lt;&gt;"",COUNTIF($A$7:$A$1006,$A792)&gt;1),1,0)</f>
        <v>0</v>
      </c>
    </row>
    <row r="793" customFormat="false" ht="15" hidden="false" customHeight="false" outlineLevel="0" collapsed="false">
      <c r="A793" s="71"/>
      <c r="B793" s="72"/>
      <c r="C793" s="73"/>
      <c r="D793" s="73"/>
      <c r="E793" s="74"/>
      <c r="F793" s="74"/>
      <c r="G793" s="72"/>
      <c r="H793" s="74"/>
      <c r="I793" s="72"/>
      <c r="J793" s="73"/>
      <c r="K793" s="73"/>
      <c r="L793" s="75" t="str">
        <f aca="false">IF(OR($A793&lt;&gt;"",$E793&lt;&gt;""),N($F793)+N($H793),"")</f>
        <v/>
      </c>
      <c r="M793" s="76" t="str">
        <f aca="false">IF(OR($O793="",$O793="Cancelled",$O793="Amount missing"),"",IF($O793="Realised",0,$E793-N($F793)-N($H793)))</f>
        <v/>
      </c>
      <c r="N793" s="77" t="str">
        <f aca="false">IF(OR($M793="",FX=""),"",$M793*FX)</f>
        <v/>
      </c>
      <c r="O793" s="78" t="str">
        <f aca="false">IF(NOT(OR($A793&lt;&gt;"",$E793&lt;&gt;"")),"",IF($J793="Cancelled","Cancelled",IF($E793="","Amount missing",IF(OR($J793="Settled",$E793-N($F793)-N($H793)&lt;=0.005),"Realised",IF(N($H793)&gt;0,"Part realised",IF(N($F793)&gt;0,"Advance received","On hand"))))))</f>
        <v/>
      </c>
      <c r="P793" s="79" t="str">
        <f aca="false">IF(AND($V793=1,ISNUMBER($B793)),AsAt-$B793,"")</f>
        <v/>
      </c>
      <c r="Q793" s="78" t="str">
        <f aca="false">IF($V793&lt;&gt;1,"",IF($P793="","No invoice date",IF($P793&lt;=30,"0–30 days",IF($P793&lt;=60,"31–60 days",IF($P793&lt;=90,"61–90 days","Over 90 days")))))</f>
        <v/>
      </c>
      <c r="R793" s="80" t="str">
        <f aca="false">IF($V793=1,ROW(),"")</f>
        <v/>
      </c>
      <c r="S793" s="80" t="str">
        <f aca="false">IF(OR($A793&lt;&gt;"",$E793&lt;&gt;""),IF(TRIM($D793)="","Buyer not noted",TRIM($D793)),"")</f>
        <v/>
      </c>
      <c r="T793" s="80" t="n">
        <f aca="false">IF(AND($V793=1,ISNUMBER($M793)),$M793,0)</f>
        <v>0</v>
      </c>
      <c r="U793" s="80" t="str">
        <f aca="false">IF($V793=1,IF(COUNTIFS($S$7:$S793,$S793,$V$7:$V793,1)=1,SUMIFS($T$7:$T$1006,$S$7:$S$1006,$S793)-ROW()/1000000000,""),"")</f>
        <v/>
      </c>
      <c r="V793" s="80" t="n">
        <f aca="false">IF(OR($O793="On hand",$O793="Advance received",$O793="Part realised",$O793="Amount missing"),1,0)</f>
        <v>0</v>
      </c>
      <c r="W793" s="80" t="str">
        <f aca="false">IF(AND($V793=1,N($F793)&gt;0),ROW(),"")</f>
        <v/>
      </c>
      <c r="X793" s="80" t="n">
        <f aca="false">IF(AND(OR($A793&lt;&gt;"",$E793&lt;&gt;""),$O793&lt;&gt;"Cancelled",ISNUMBER($E793),N($F793)+N($H793)&gt;$E793+0.005),1,0)</f>
        <v>0</v>
      </c>
      <c r="Y793" s="80" t="n">
        <f aca="false">IF(AND(OR($A793&lt;&gt;"",$E793&lt;&gt;""),OR($A793="",$E793="")),1,0)</f>
        <v>0</v>
      </c>
      <c r="Z793" s="80" t="n">
        <f aca="false">IF(AND($A793&lt;&gt;"",COUNTIF($A$7:$A$1006,$A793)&gt;1),1,0)</f>
        <v>0</v>
      </c>
    </row>
    <row r="794" customFormat="false" ht="15" hidden="false" customHeight="false" outlineLevel="0" collapsed="false">
      <c r="A794" s="71"/>
      <c r="B794" s="72"/>
      <c r="C794" s="73"/>
      <c r="D794" s="73"/>
      <c r="E794" s="74"/>
      <c r="F794" s="74"/>
      <c r="G794" s="72"/>
      <c r="H794" s="74"/>
      <c r="I794" s="72"/>
      <c r="J794" s="73"/>
      <c r="K794" s="73"/>
      <c r="L794" s="75" t="str">
        <f aca="false">IF(OR($A794&lt;&gt;"",$E794&lt;&gt;""),N($F794)+N($H794),"")</f>
        <v/>
      </c>
      <c r="M794" s="76" t="str">
        <f aca="false">IF(OR($O794="",$O794="Cancelled",$O794="Amount missing"),"",IF($O794="Realised",0,$E794-N($F794)-N($H794)))</f>
        <v/>
      </c>
      <c r="N794" s="77" t="str">
        <f aca="false">IF(OR($M794="",FX=""),"",$M794*FX)</f>
        <v/>
      </c>
      <c r="O794" s="78" t="str">
        <f aca="false">IF(NOT(OR($A794&lt;&gt;"",$E794&lt;&gt;"")),"",IF($J794="Cancelled","Cancelled",IF($E794="","Amount missing",IF(OR($J794="Settled",$E794-N($F794)-N($H794)&lt;=0.005),"Realised",IF(N($H794)&gt;0,"Part realised",IF(N($F794)&gt;0,"Advance received","On hand"))))))</f>
        <v/>
      </c>
      <c r="P794" s="79" t="str">
        <f aca="false">IF(AND($V794=1,ISNUMBER($B794)),AsAt-$B794,"")</f>
        <v/>
      </c>
      <c r="Q794" s="78" t="str">
        <f aca="false">IF($V794&lt;&gt;1,"",IF($P794="","No invoice date",IF($P794&lt;=30,"0–30 days",IF($P794&lt;=60,"31–60 days",IF($P794&lt;=90,"61–90 days","Over 90 days")))))</f>
        <v/>
      </c>
      <c r="R794" s="80" t="str">
        <f aca="false">IF($V794=1,ROW(),"")</f>
        <v/>
      </c>
      <c r="S794" s="80" t="str">
        <f aca="false">IF(OR($A794&lt;&gt;"",$E794&lt;&gt;""),IF(TRIM($D794)="","Buyer not noted",TRIM($D794)),"")</f>
        <v/>
      </c>
      <c r="T794" s="80" t="n">
        <f aca="false">IF(AND($V794=1,ISNUMBER($M794)),$M794,0)</f>
        <v>0</v>
      </c>
      <c r="U794" s="80" t="str">
        <f aca="false">IF($V794=1,IF(COUNTIFS($S$7:$S794,$S794,$V$7:$V794,1)=1,SUMIFS($T$7:$T$1006,$S$7:$S$1006,$S794)-ROW()/1000000000,""),"")</f>
        <v/>
      </c>
      <c r="V794" s="80" t="n">
        <f aca="false">IF(OR($O794="On hand",$O794="Advance received",$O794="Part realised",$O794="Amount missing"),1,0)</f>
        <v>0</v>
      </c>
      <c r="W794" s="80" t="str">
        <f aca="false">IF(AND($V794=1,N($F794)&gt;0),ROW(),"")</f>
        <v/>
      </c>
      <c r="X794" s="80" t="n">
        <f aca="false">IF(AND(OR($A794&lt;&gt;"",$E794&lt;&gt;""),$O794&lt;&gt;"Cancelled",ISNUMBER($E794),N($F794)+N($H794)&gt;$E794+0.005),1,0)</f>
        <v>0</v>
      </c>
      <c r="Y794" s="80" t="n">
        <f aca="false">IF(AND(OR($A794&lt;&gt;"",$E794&lt;&gt;""),OR($A794="",$E794="")),1,0)</f>
        <v>0</v>
      </c>
      <c r="Z794" s="80" t="n">
        <f aca="false">IF(AND($A794&lt;&gt;"",COUNTIF($A$7:$A$1006,$A794)&gt;1),1,0)</f>
        <v>0</v>
      </c>
    </row>
    <row r="795" customFormat="false" ht="15" hidden="false" customHeight="false" outlineLevel="0" collapsed="false">
      <c r="A795" s="71"/>
      <c r="B795" s="72"/>
      <c r="C795" s="73"/>
      <c r="D795" s="73"/>
      <c r="E795" s="74"/>
      <c r="F795" s="74"/>
      <c r="G795" s="72"/>
      <c r="H795" s="74"/>
      <c r="I795" s="72"/>
      <c r="J795" s="73"/>
      <c r="K795" s="73"/>
      <c r="L795" s="75" t="str">
        <f aca="false">IF(OR($A795&lt;&gt;"",$E795&lt;&gt;""),N($F795)+N($H795),"")</f>
        <v/>
      </c>
      <c r="M795" s="76" t="str">
        <f aca="false">IF(OR($O795="",$O795="Cancelled",$O795="Amount missing"),"",IF($O795="Realised",0,$E795-N($F795)-N($H795)))</f>
        <v/>
      </c>
      <c r="N795" s="77" t="str">
        <f aca="false">IF(OR($M795="",FX=""),"",$M795*FX)</f>
        <v/>
      </c>
      <c r="O795" s="78" t="str">
        <f aca="false">IF(NOT(OR($A795&lt;&gt;"",$E795&lt;&gt;"")),"",IF($J795="Cancelled","Cancelled",IF($E795="","Amount missing",IF(OR($J795="Settled",$E795-N($F795)-N($H795)&lt;=0.005),"Realised",IF(N($H795)&gt;0,"Part realised",IF(N($F795)&gt;0,"Advance received","On hand"))))))</f>
        <v/>
      </c>
      <c r="P795" s="79" t="str">
        <f aca="false">IF(AND($V795=1,ISNUMBER($B795)),AsAt-$B795,"")</f>
        <v/>
      </c>
      <c r="Q795" s="78" t="str">
        <f aca="false">IF($V795&lt;&gt;1,"",IF($P795="","No invoice date",IF($P795&lt;=30,"0–30 days",IF($P795&lt;=60,"31–60 days",IF($P795&lt;=90,"61–90 days","Over 90 days")))))</f>
        <v/>
      </c>
      <c r="R795" s="80" t="str">
        <f aca="false">IF($V795=1,ROW(),"")</f>
        <v/>
      </c>
      <c r="S795" s="80" t="str">
        <f aca="false">IF(OR($A795&lt;&gt;"",$E795&lt;&gt;""),IF(TRIM($D795)="","Buyer not noted",TRIM($D795)),"")</f>
        <v/>
      </c>
      <c r="T795" s="80" t="n">
        <f aca="false">IF(AND($V795=1,ISNUMBER($M795)),$M795,0)</f>
        <v>0</v>
      </c>
      <c r="U795" s="80" t="str">
        <f aca="false">IF($V795=1,IF(COUNTIFS($S$7:$S795,$S795,$V$7:$V795,1)=1,SUMIFS($T$7:$T$1006,$S$7:$S$1006,$S795)-ROW()/1000000000,""),"")</f>
        <v/>
      </c>
      <c r="V795" s="80" t="n">
        <f aca="false">IF(OR($O795="On hand",$O795="Advance received",$O795="Part realised",$O795="Amount missing"),1,0)</f>
        <v>0</v>
      </c>
      <c r="W795" s="80" t="str">
        <f aca="false">IF(AND($V795=1,N($F795)&gt;0),ROW(),"")</f>
        <v/>
      </c>
      <c r="X795" s="80" t="n">
        <f aca="false">IF(AND(OR($A795&lt;&gt;"",$E795&lt;&gt;""),$O795&lt;&gt;"Cancelled",ISNUMBER($E795),N($F795)+N($H795)&gt;$E795+0.005),1,0)</f>
        <v>0</v>
      </c>
      <c r="Y795" s="80" t="n">
        <f aca="false">IF(AND(OR($A795&lt;&gt;"",$E795&lt;&gt;""),OR($A795="",$E795="")),1,0)</f>
        <v>0</v>
      </c>
      <c r="Z795" s="80" t="n">
        <f aca="false">IF(AND($A795&lt;&gt;"",COUNTIF($A$7:$A$1006,$A795)&gt;1),1,0)</f>
        <v>0</v>
      </c>
    </row>
    <row r="796" customFormat="false" ht="15" hidden="false" customHeight="false" outlineLevel="0" collapsed="false">
      <c r="A796" s="71"/>
      <c r="B796" s="72"/>
      <c r="C796" s="73"/>
      <c r="D796" s="73"/>
      <c r="E796" s="74"/>
      <c r="F796" s="74"/>
      <c r="G796" s="72"/>
      <c r="H796" s="74"/>
      <c r="I796" s="72"/>
      <c r="J796" s="73"/>
      <c r="K796" s="73"/>
      <c r="L796" s="75" t="str">
        <f aca="false">IF(OR($A796&lt;&gt;"",$E796&lt;&gt;""),N($F796)+N($H796),"")</f>
        <v/>
      </c>
      <c r="M796" s="76" t="str">
        <f aca="false">IF(OR($O796="",$O796="Cancelled",$O796="Amount missing"),"",IF($O796="Realised",0,$E796-N($F796)-N($H796)))</f>
        <v/>
      </c>
      <c r="N796" s="77" t="str">
        <f aca="false">IF(OR($M796="",FX=""),"",$M796*FX)</f>
        <v/>
      </c>
      <c r="O796" s="78" t="str">
        <f aca="false">IF(NOT(OR($A796&lt;&gt;"",$E796&lt;&gt;"")),"",IF($J796="Cancelled","Cancelled",IF($E796="","Amount missing",IF(OR($J796="Settled",$E796-N($F796)-N($H796)&lt;=0.005),"Realised",IF(N($H796)&gt;0,"Part realised",IF(N($F796)&gt;0,"Advance received","On hand"))))))</f>
        <v/>
      </c>
      <c r="P796" s="79" t="str">
        <f aca="false">IF(AND($V796=1,ISNUMBER($B796)),AsAt-$B796,"")</f>
        <v/>
      </c>
      <c r="Q796" s="78" t="str">
        <f aca="false">IF($V796&lt;&gt;1,"",IF($P796="","No invoice date",IF($P796&lt;=30,"0–30 days",IF($P796&lt;=60,"31–60 days",IF($P796&lt;=90,"61–90 days","Over 90 days")))))</f>
        <v/>
      </c>
      <c r="R796" s="80" t="str">
        <f aca="false">IF($V796=1,ROW(),"")</f>
        <v/>
      </c>
      <c r="S796" s="80" t="str">
        <f aca="false">IF(OR($A796&lt;&gt;"",$E796&lt;&gt;""),IF(TRIM($D796)="","Buyer not noted",TRIM($D796)),"")</f>
        <v/>
      </c>
      <c r="T796" s="80" t="n">
        <f aca="false">IF(AND($V796=1,ISNUMBER($M796)),$M796,0)</f>
        <v>0</v>
      </c>
      <c r="U796" s="80" t="str">
        <f aca="false">IF($V796=1,IF(COUNTIFS($S$7:$S796,$S796,$V$7:$V796,1)=1,SUMIFS($T$7:$T$1006,$S$7:$S$1006,$S796)-ROW()/1000000000,""),"")</f>
        <v/>
      </c>
      <c r="V796" s="80" t="n">
        <f aca="false">IF(OR($O796="On hand",$O796="Advance received",$O796="Part realised",$O796="Amount missing"),1,0)</f>
        <v>0</v>
      </c>
      <c r="W796" s="80" t="str">
        <f aca="false">IF(AND($V796=1,N($F796)&gt;0),ROW(),"")</f>
        <v/>
      </c>
      <c r="X796" s="80" t="n">
        <f aca="false">IF(AND(OR($A796&lt;&gt;"",$E796&lt;&gt;""),$O796&lt;&gt;"Cancelled",ISNUMBER($E796),N($F796)+N($H796)&gt;$E796+0.005),1,0)</f>
        <v>0</v>
      </c>
      <c r="Y796" s="80" t="n">
        <f aca="false">IF(AND(OR($A796&lt;&gt;"",$E796&lt;&gt;""),OR($A796="",$E796="")),1,0)</f>
        <v>0</v>
      </c>
      <c r="Z796" s="80" t="n">
        <f aca="false">IF(AND($A796&lt;&gt;"",COUNTIF($A$7:$A$1006,$A796)&gt;1),1,0)</f>
        <v>0</v>
      </c>
    </row>
    <row r="797" customFormat="false" ht="15" hidden="false" customHeight="false" outlineLevel="0" collapsed="false">
      <c r="A797" s="71"/>
      <c r="B797" s="72"/>
      <c r="C797" s="73"/>
      <c r="D797" s="73"/>
      <c r="E797" s="74"/>
      <c r="F797" s="74"/>
      <c r="G797" s="72"/>
      <c r="H797" s="74"/>
      <c r="I797" s="72"/>
      <c r="J797" s="73"/>
      <c r="K797" s="73"/>
      <c r="L797" s="75" t="str">
        <f aca="false">IF(OR($A797&lt;&gt;"",$E797&lt;&gt;""),N($F797)+N($H797),"")</f>
        <v/>
      </c>
      <c r="M797" s="76" t="str">
        <f aca="false">IF(OR($O797="",$O797="Cancelled",$O797="Amount missing"),"",IF($O797="Realised",0,$E797-N($F797)-N($H797)))</f>
        <v/>
      </c>
      <c r="N797" s="77" t="str">
        <f aca="false">IF(OR($M797="",FX=""),"",$M797*FX)</f>
        <v/>
      </c>
      <c r="O797" s="78" t="str">
        <f aca="false">IF(NOT(OR($A797&lt;&gt;"",$E797&lt;&gt;"")),"",IF($J797="Cancelled","Cancelled",IF($E797="","Amount missing",IF(OR($J797="Settled",$E797-N($F797)-N($H797)&lt;=0.005),"Realised",IF(N($H797)&gt;0,"Part realised",IF(N($F797)&gt;0,"Advance received","On hand"))))))</f>
        <v/>
      </c>
      <c r="P797" s="79" t="str">
        <f aca="false">IF(AND($V797=1,ISNUMBER($B797)),AsAt-$B797,"")</f>
        <v/>
      </c>
      <c r="Q797" s="78" t="str">
        <f aca="false">IF($V797&lt;&gt;1,"",IF($P797="","No invoice date",IF($P797&lt;=30,"0–30 days",IF($P797&lt;=60,"31–60 days",IF($P797&lt;=90,"61–90 days","Over 90 days")))))</f>
        <v/>
      </c>
      <c r="R797" s="80" t="str">
        <f aca="false">IF($V797=1,ROW(),"")</f>
        <v/>
      </c>
      <c r="S797" s="80" t="str">
        <f aca="false">IF(OR($A797&lt;&gt;"",$E797&lt;&gt;""),IF(TRIM($D797)="","Buyer not noted",TRIM($D797)),"")</f>
        <v/>
      </c>
      <c r="T797" s="80" t="n">
        <f aca="false">IF(AND($V797=1,ISNUMBER($M797)),$M797,0)</f>
        <v>0</v>
      </c>
      <c r="U797" s="80" t="str">
        <f aca="false">IF($V797=1,IF(COUNTIFS($S$7:$S797,$S797,$V$7:$V797,1)=1,SUMIFS($T$7:$T$1006,$S$7:$S$1006,$S797)-ROW()/1000000000,""),"")</f>
        <v/>
      </c>
      <c r="V797" s="80" t="n">
        <f aca="false">IF(OR($O797="On hand",$O797="Advance received",$O797="Part realised",$O797="Amount missing"),1,0)</f>
        <v>0</v>
      </c>
      <c r="W797" s="80" t="str">
        <f aca="false">IF(AND($V797=1,N($F797)&gt;0),ROW(),"")</f>
        <v/>
      </c>
      <c r="X797" s="80" t="n">
        <f aca="false">IF(AND(OR($A797&lt;&gt;"",$E797&lt;&gt;""),$O797&lt;&gt;"Cancelled",ISNUMBER($E797),N($F797)+N($H797)&gt;$E797+0.005),1,0)</f>
        <v>0</v>
      </c>
      <c r="Y797" s="80" t="n">
        <f aca="false">IF(AND(OR($A797&lt;&gt;"",$E797&lt;&gt;""),OR($A797="",$E797="")),1,0)</f>
        <v>0</v>
      </c>
      <c r="Z797" s="80" t="n">
        <f aca="false">IF(AND($A797&lt;&gt;"",COUNTIF($A$7:$A$1006,$A797)&gt;1),1,0)</f>
        <v>0</v>
      </c>
    </row>
    <row r="798" customFormat="false" ht="15" hidden="false" customHeight="false" outlineLevel="0" collapsed="false">
      <c r="A798" s="71"/>
      <c r="B798" s="72"/>
      <c r="C798" s="73"/>
      <c r="D798" s="73"/>
      <c r="E798" s="74"/>
      <c r="F798" s="74"/>
      <c r="G798" s="72"/>
      <c r="H798" s="74"/>
      <c r="I798" s="72"/>
      <c r="J798" s="73"/>
      <c r="K798" s="73"/>
      <c r="L798" s="75" t="str">
        <f aca="false">IF(OR($A798&lt;&gt;"",$E798&lt;&gt;""),N($F798)+N($H798),"")</f>
        <v/>
      </c>
      <c r="M798" s="76" t="str">
        <f aca="false">IF(OR($O798="",$O798="Cancelled",$O798="Amount missing"),"",IF($O798="Realised",0,$E798-N($F798)-N($H798)))</f>
        <v/>
      </c>
      <c r="N798" s="77" t="str">
        <f aca="false">IF(OR($M798="",FX=""),"",$M798*FX)</f>
        <v/>
      </c>
      <c r="O798" s="78" t="str">
        <f aca="false">IF(NOT(OR($A798&lt;&gt;"",$E798&lt;&gt;"")),"",IF($J798="Cancelled","Cancelled",IF($E798="","Amount missing",IF(OR($J798="Settled",$E798-N($F798)-N($H798)&lt;=0.005),"Realised",IF(N($H798)&gt;0,"Part realised",IF(N($F798)&gt;0,"Advance received","On hand"))))))</f>
        <v/>
      </c>
      <c r="P798" s="79" t="str">
        <f aca="false">IF(AND($V798=1,ISNUMBER($B798)),AsAt-$B798,"")</f>
        <v/>
      </c>
      <c r="Q798" s="78" t="str">
        <f aca="false">IF($V798&lt;&gt;1,"",IF($P798="","No invoice date",IF($P798&lt;=30,"0–30 days",IF($P798&lt;=60,"31–60 days",IF($P798&lt;=90,"61–90 days","Over 90 days")))))</f>
        <v/>
      </c>
      <c r="R798" s="80" t="str">
        <f aca="false">IF($V798=1,ROW(),"")</f>
        <v/>
      </c>
      <c r="S798" s="80" t="str">
        <f aca="false">IF(OR($A798&lt;&gt;"",$E798&lt;&gt;""),IF(TRIM($D798)="","Buyer not noted",TRIM($D798)),"")</f>
        <v/>
      </c>
      <c r="T798" s="80" t="n">
        <f aca="false">IF(AND($V798=1,ISNUMBER($M798)),$M798,0)</f>
        <v>0</v>
      </c>
      <c r="U798" s="80" t="str">
        <f aca="false">IF($V798=1,IF(COUNTIFS($S$7:$S798,$S798,$V$7:$V798,1)=1,SUMIFS($T$7:$T$1006,$S$7:$S$1006,$S798)-ROW()/1000000000,""),"")</f>
        <v/>
      </c>
      <c r="V798" s="80" t="n">
        <f aca="false">IF(OR($O798="On hand",$O798="Advance received",$O798="Part realised",$O798="Amount missing"),1,0)</f>
        <v>0</v>
      </c>
      <c r="W798" s="80" t="str">
        <f aca="false">IF(AND($V798=1,N($F798)&gt;0),ROW(),"")</f>
        <v/>
      </c>
      <c r="X798" s="80" t="n">
        <f aca="false">IF(AND(OR($A798&lt;&gt;"",$E798&lt;&gt;""),$O798&lt;&gt;"Cancelled",ISNUMBER($E798),N($F798)+N($H798)&gt;$E798+0.005),1,0)</f>
        <v>0</v>
      </c>
      <c r="Y798" s="80" t="n">
        <f aca="false">IF(AND(OR($A798&lt;&gt;"",$E798&lt;&gt;""),OR($A798="",$E798="")),1,0)</f>
        <v>0</v>
      </c>
      <c r="Z798" s="80" t="n">
        <f aca="false">IF(AND($A798&lt;&gt;"",COUNTIF($A$7:$A$1006,$A798)&gt;1),1,0)</f>
        <v>0</v>
      </c>
    </row>
    <row r="799" customFormat="false" ht="15" hidden="false" customHeight="false" outlineLevel="0" collapsed="false">
      <c r="A799" s="71"/>
      <c r="B799" s="72"/>
      <c r="C799" s="73"/>
      <c r="D799" s="73"/>
      <c r="E799" s="74"/>
      <c r="F799" s="74"/>
      <c r="G799" s="72"/>
      <c r="H799" s="74"/>
      <c r="I799" s="72"/>
      <c r="J799" s="73"/>
      <c r="K799" s="73"/>
      <c r="L799" s="75" t="str">
        <f aca="false">IF(OR($A799&lt;&gt;"",$E799&lt;&gt;""),N($F799)+N($H799),"")</f>
        <v/>
      </c>
      <c r="M799" s="76" t="str">
        <f aca="false">IF(OR($O799="",$O799="Cancelled",$O799="Amount missing"),"",IF($O799="Realised",0,$E799-N($F799)-N($H799)))</f>
        <v/>
      </c>
      <c r="N799" s="77" t="str">
        <f aca="false">IF(OR($M799="",FX=""),"",$M799*FX)</f>
        <v/>
      </c>
      <c r="O799" s="78" t="str">
        <f aca="false">IF(NOT(OR($A799&lt;&gt;"",$E799&lt;&gt;"")),"",IF($J799="Cancelled","Cancelled",IF($E799="","Amount missing",IF(OR($J799="Settled",$E799-N($F799)-N($H799)&lt;=0.005),"Realised",IF(N($H799)&gt;0,"Part realised",IF(N($F799)&gt;0,"Advance received","On hand"))))))</f>
        <v/>
      </c>
      <c r="P799" s="79" t="str">
        <f aca="false">IF(AND($V799=1,ISNUMBER($B799)),AsAt-$B799,"")</f>
        <v/>
      </c>
      <c r="Q799" s="78" t="str">
        <f aca="false">IF($V799&lt;&gt;1,"",IF($P799="","No invoice date",IF($P799&lt;=30,"0–30 days",IF($P799&lt;=60,"31–60 days",IF($P799&lt;=90,"61–90 days","Over 90 days")))))</f>
        <v/>
      </c>
      <c r="R799" s="80" t="str">
        <f aca="false">IF($V799=1,ROW(),"")</f>
        <v/>
      </c>
      <c r="S799" s="80" t="str">
        <f aca="false">IF(OR($A799&lt;&gt;"",$E799&lt;&gt;""),IF(TRIM($D799)="","Buyer not noted",TRIM($D799)),"")</f>
        <v/>
      </c>
      <c r="T799" s="80" t="n">
        <f aca="false">IF(AND($V799=1,ISNUMBER($M799)),$M799,0)</f>
        <v>0</v>
      </c>
      <c r="U799" s="80" t="str">
        <f aca="false">IF($V799=1,IF(COUNTIFS($S$7:$S799,$S799,$V$7:$V799,1)=1,SUMIFS($T$7:$T$1006,$S$7:$S$1006,$S799)-ROW()/1000000000,""),"")</f>
        <v/>
      </c>
      <c r="V799" s="80" t="n">
        <f aca="false">IF(OR($O799="On hand",$O799="Advance received",$O799="Part realised",$O799="Amount missing"),1,0)</f>
        <v>0</v>
      </c>
      <c r="W799" s="80" t="str">
        <f aca="false">IF(AND($V799=1,N($F799)&gt;0),ROW(),"")</f>
        <v/>
      </c>
      <c r="X799" s="80" t="n">
        <f aca="false">IF(AND(OR($A799&lt;&gt;"",$E799&lt;&gt;""),$O799&lt;&gt;"Cancelled",ISNUMBER($E799),N($F799)+N($H799)&gt;$E799+0.005),1,0)</f>
        <v>0</v>
      </c>
      <c r="Y799" s="80" t="n">
        <f aca="false">IF(AND(OR($A799&lt;&gt;"",$E799&lt;&gt;""),OR($A799="",$E799="")),1,0)</f>
        <v>0</v>
      </c>
      <c r="Z799" s="80" t="n">
        <f aca="false">IF(AND($A799&lt;&gt;"",COUNTIF($A$7:$A$1006,$A799)&gt;1),1,0)</f>
        <v>0</v>
      </c>
    </row>
    <row r="800" customFormat="false" ht="15" hidden="false" customHeight="false" outlineLevel="0" collapsed="false">
      <c r="A800" s="71"/>
      <c r="B800" s="72"/>
      <c r="C800" s="73"/>
      <c r="D800" s="73"/>
      <c r="E800" s="74"/>
      <c r="F800" s="74"/>
      <c r="G800" s="72"/>
      <c r="H800" s="74"/>
      <c r="I800" s="72"/>
      <c r="J800" s="73"/>
      <c r="K800" s="73"/>
      <c r="L800" s="75" t="str">
        <f aca="false">IF(OR($A800&lt;&gt;"",$E800&lt;&gt;""),N($F800)+N($H800),"")</f>
        <v/>
      </c>
      <c r="M800" s="76" t="str">
        <f aca="false">IF(OR($O800="",$O800="Cancelled",$O800="Amount missing"),"",IF($O800="Realised",0,$E800-N($F800)-N($H800)))</f>
        <v/>
      </c>
      <c r="N800" s="77" t="str">
        <f aca="false">IF(OR($M800="",FX=""),"",$M800*FX)</f>
        <v/>
      </c>
      <c r="O800" s="78" t="str">
        <f aca="false">IF(NOT(OR($A800&lt;&gt;"",$E800&lt;&gt;"")),"",IF($J800="Cancelled","Cancelled",IF($E800="","Amount missing",IF(OR($J800="Settled",$E800-N($F800)-N($H800)&lt;=0.005),"Realised",IF(N($H800)&gt;0,"Part realised",IF(N($F800)&gt;0,"Advance received","On hand"))))))</f>
        <v/>
      </c>
      <c r="P800" s="79" t="str">
        <f aca="false">IF(AND($V800=1,ISNUMBER($B800)),AsAt-$B800,"")</f>
        <v/>
      </c>
      <c r="Q800" s="78" t="str">
        <f aca="false">IF($V800&lt;&gt;1,"",IF($P800="","No invoice date",IF($P800&lt;=30,"0–30 days",IF($P800&lt;=60,"31–60 days",IF($P800&lt;=90,"61–90 days","Over 90 days")))))</f>
        <v/>
      </c>
      <c r="R800" s="80" t="str">
        <f aca="false">IF($V800=1,ROW(),"")</f>
        <v/>
      </c>
      <c r="S800" s="80" t="str">
        <f aca="false">IF(OR($A800&lt;&gt;"",$E800&lt;&gt;""),IF(TRIM($D800)="","Buyer not noted",TRIM($D800)),"")</f>
        <v/>
      </c>
      <c r="T800" s="80" t="n">
        <f aca="false">IF(AND($V800=1,ISNUMBER($M800)),$M800,0)</f>
        <v>0</v>
      </c>
      <c r="U800" s="80" t="str">
        <f aca="false">IF($V800=1,IF(COUNTIFS($S$7:$S800,$S800,$V$7:$V800,1)=1,SUMIFS($T$7:$T$1006,$S$7:$S$1006,$S800)-ROW()/1000000000,""),"")</f>
        <v/>
      </c>
      <c r="V800" s="80" t="n">
        <f aca="false">IF(OR($O800="On hand",$O800="Advance received",$O800="Part realised",$O800="Amount missing"),1,0)</f>
        <v>0</v>
      </c>
      <c r="W800" s="80" t="str">
        <f aca="false">IF(AND($V800=1,N($F800)&gt;0),ROW(),"")</f>
        <v/>
      </c>
      <c r="X800" s="80" t="n">
        <f aca="false">IF(AND(OR($A800&lt;&gt;"",$E800&lt;&gt;""),$O800&lt;&gt;"Cancelled",ISNUMBER($E800),N($F800)+N($H800)&gt;$E800+0.005),1,0)</f>
        <v>0</v>
      </c>
      <c r="Y800" s="80" t="n">
        <f aca="false">IF(AND(OR($A800&lt;&gt;"",$E800&lt;&gt;""),OR($A800="",$E800="")),1,0)</f>
        <v>0</v>
      </c>
      <c r="Z800" s="80" t="n">
        <f aca="false">IF(AND($A800&lt;&gt;"",COUNTIF($A$7:$A$1006,$A800)&gt;1),1,0)</f>
        <v>0</v>
      </c>
    </row>
    <row r="801" customFormat="false" ht="15" hidden="false" customHeight="false" outlineLevel="0" collapsed="false">
      <c r="A801" s="71"/>
      <c r="B801" s="72"/>
      <c r="C801" s="73"/>
      <c r="D801" s="73"/>
      <c r="E801" s="74"/>
      <c r="F801" s="74"/>
      <c r="G801" s="72"/>
      <c r="H801" s="74"/>
      <c r="I801" s="72"/>
      <c r="J801" s="73"/>
      <c r="K801" s="73"/>
      <c r="L801" s="75" t="str">
        <f aca="false">IF(OR($A801&lt;&gt;"",$E801&lt;&gt;""),N($F801)+N($H801),"")</f>
        <v/>
      </c>
      <c r="M801" s="76" t="str">
        <f aca="false">IF(OR($O801="",$O801="Cancelled",$O801="Amount missing"),"",IF($O801="Realised",0,$E801-N($F801)-N($H801)))</f>
        <v/>
      </c>
      <c r="N801" s="77" t="str">
        <f aca="false">IF(OR($M801="",FX=""),"",$M801*FX)</f>
        <v/>
      </c>
      <c r="O801" s="78" t="str">
        <f aca="false">IF(NOT(OR($A801&lt;&gt;"",$E801&lt;&gt;"")),"",IF($J801="Cancelled","Cancelled",IF($E801="","Amount missing",IF(OR($J801="Settled",$E801-N($F801)-N($H801)&lt;=0.005),"Realised",IF(N($H801)&gt;0,"Part realised",IF(N($F801)&gt;0,"Advance received","On hand"))))))</f>
        <v/>
      </c>
      <c r="P801" s="79" t="str">
        <f aca="false">IF(AND($V801=1,ISNUMBER($B801)),AsAt-$B801,"")</f>
        <v/>
      </c>
      <c r="Q801" s="78" t="str">
        <f aca="false">IF($V801&lt;&gt;1,"",IF($P801="","No invoice date",IF($P801&lt;=30,"0–30 days",IF($P801&lt;=60,"31–60 days",IF($P801&lt;=90,"61–90 days","Over 90 days")))))</f>
        <v/>
      </c>
      <c r="R801" s="80" t="str">
        <f aca="false">IF($V801=1,ROW(),"")</f>
        <v/>
      </c>
      <c r="S801" s="80" t="str">
        <f aca="false">IF(OR($A801&lt;&gt;"",$E801&lt;&gt;""),IF(TRIM($D801)="","Buyer not noted",TRIM($D801)),"")</f>
        <v/>
      </c>
      <c r="T801" s="80" t="n">
        <f aca="false">IF(AND($V801=1,ISNUMBER($M801)),$M801,0)</f>
        <v>0</v>
      </c>
      <c r="U801" s="80" t="str">
        <f aca="false">IF($V801=1,IF(COUNTIFS($S$7:$S801,$S801,$V$7:$V801,1)=1,SUMIFS($T$7:$T$1006,$S$7:$S$1006,$S801)-ROW()/1000000000,""),"")</f>
        <v/>
      </c>
      <c r="V801" s="80" t="n">
        <f aca="false">IF(OR($O801="On hand",$O801="Advance received",$O801="Part realised",$O801="Amount missing"),1,0)</f>
        <v>0</v>
      </c>
      <c r="W801" s="80" t="str">
        <f aca="false">IF(AND($V801=1,N($F801)&gt;0),ROW(),"")</f>
        <v/>
      </c>
      <c r="X801" s="80" t="n">
        <f aca="false">IF(AND(OR($A801&lt;&gt;"",$E801&lt;&gt;""),$O801&lt;&gt;"Cancelled",ISNUMBER($E801),N($F801)+N($H801)&gt;$E801+0.005),1,0)</f>
        <v>0</v>
      </c>
      <c r="Y801" s="80" t="n">
        <f aca="false">IF(AND(OR($A801&lt;&gt;"",$E801&lt;&gt;""),OR($A801="",$E801="")),1,0)</f>
        <v>0</v>
      </c>
      <c r="Z801" s="80" t="n">
        <f aca="false">IF(AND($A801&lt;&gt;"",COUNTIF($A$7:$A$1006,$A801)&gt;1),1,0)</f>
        <v>0</v>
      </c>
    </row>
    <row r="802" customFormat="false" ht="15" hidden="false" customHeight="false" outlineLevel="0" collapsed="false">
      <c r="A802" s="71"/>
      <c r="B802" s="72"/>
      <c r="C802" s="73"/>
      <c r="D802" s="73"/>
      <c r="E802" s="74"/>
      <c r="F802" s="74"/>
      <c r="G802" s="72"/>
      <c r="H802" s="74"/>
      <c r="I802" s="72"/>
      <c r="J802" s="73"/>
      <c r="K802" s="73"/>
      <c r="L802" s="75" t="str">
        <f aca="false">IF(OR($A802&lt;&gt;"",$E802&lt;&gt;""),N($F802)+N($H802),"")</f>
        <v/>
      </c>
      <c r="M802" s="76" t="str">
        <f aca="false">IF(OR($O802="",$O802="Cancelled",$O802="Amount missing"),"",IF($O802="Realised",0,$E802-N($F802)-N($H802)))</f>
        <v/>
      </c>
      <c r="N802" s="77" t="str">
        <f aca="false">IF(OR($M802="",FX=""),"",$M802*FX)</f>
        <v/>
      </c>
      <c r="O802" s="78" t="str">
        <f aca="false">IF(NOT(OR($A802&lt;&gt;"",$E802&lt;&gt;"")),"",IF($J802="Cancelled","Cancelled",IF($E802="","Amount missing",IF(OR($J802="Settled",$E802-N($F802)-N($H802)&lt;=0.005),"Realised",IF(N($H802)&gt;0,"Part realised",IF(N($F802)&gt;0,"Advance received","On hand"))))))</f>
        <v/>
      </c>
      <c r="P802" s="79" t="str">
        <f aca="false">IF(AND($V802=1,ISNUMBER($B802)),AsAt-$B802,"")</f>
        <v/>
      </c>
      <c r="Q802" s="78" t="str">
        <f aca="false">IF($V802&lt;&gt;1,"",IF($P802="","No invoice date",IF($P802&lt;=30,"0–30 days",IF($P802&lt;=60,"31–60 days",IF($P802&lt;=90,"61–90 days","Over 90 days")))))</f>
        <v/>
      </c>
      <c r="R802" s="80" t="str">
        <f aca="false">IF($V802=1,ROW(),"")</f>
        <v/>
      </c>
      <c r="S802" s="80" t="str">
        <f aca="false">IF(OR($A802&lt;&gt;"",$E802&lt;&gt;""),IF(TRIM($D802)="","Buyer not noted",TRIM($D802)),"")</f>
        <v/>
      </c>
      <c r="T802" s="80" t="n">
        <f aca="false">IF(AND($V802=1,ISNUMBER($M802)),$M802,0)</f>
        <v>0</v>
      </c>
      <c r="U802" s="80" t="str">
        <f aca="false">IF($V802=1,IF(COUNTIFS($S$7:$S802,$S802,$V$7:$V802,1)=1,SUMIFS($T$7:$T$1006,$S$7:$S$1006,$S802)-ROW()/1000000000,""),"")</f>
        <v/>
      </c>
      <c r="V802" s="80" t="n">
        <f aca="false">IF(OR($O802="On hand",$O802="Advance received",$O802="Part realised",$O802="Amount missing"),1,0)</f>
        <v>0</v>
      </c>
      <c r="W802" s="80" t="str">
        <f aca="false">IF(AND($V802=1,N($F802)&gt;0),ROW(),"")</f>
        <v/>
      </c>
      <c r="X802" s="80" t="n">
        <f aca="false">IF(AND(OR($A802&lt;&gt;"",$E802&lt;&gt;""),$O802&lt;&gt;"Cancelled",ISNUMBER($E802),N($F802)+N($H802)&gt;$E802+0.005),1,0)</f>
        <v>0</v>
      </c>
      <c r="Y802" s="80" t="n">
        <f aca="false">IF(AND(OR($A802&lt;&gt;"",$E802&lt;&gt;""),OR($A802="",$E802="")),1,0)</f>
        <v>0</v>
      </c>
      <c r="Z802" s="80" t="n">
        <f aca="false">IF(AND($A802&lt;&gt;"",COUNTIF($A$7:$A$1006,$A802)&gt;1),1,0)</f>
        <v>0</v>
      </c>
    </row>
    <row r="803" customFormat="false" ht="15" hidden="false" customHeight="false" outlineLevel="0" collapsed="false">
      <c r="A803" s="71"/>
      <c r="B803" s="72"/>
      <c r="C803" s="73"/>
      <c r="D803" s="73"/>
      <c r="E803" s="74"/>
      <c r="F803" s="74"/>
      <c r="G803" s="72"/>
      <c r="H803" s="74"/>
      <c r="I803" s="72"/>
      <c r="J803" s="73"/>
      <c r="K803" s="73"/>
      <c r="L803" s="75" t="str">
        <f aca="false">IF(OR($A803&lt;&gt;"",$E803&lt;&gt;""),N($F803)+N($H803),"")</f>
        <v/>
      </c>
      <c r="M803" s="76" t="str">
        <f aca="false">IF(OR($O803="",$O803="Cancelled",$O803="Amount missing"),"",IF($O803="Realised",0,$E803-N($F803)-N($H803)))</f>
        <v/>
      </c>
      <c r="N803" s="77" t="str">
        <f aca="false">IF(OR($M803="",FX=""),"",$M803*FX)</f>
        <v/>
      </c>
      <c r="O803" s="78" t="str">
        <f aca="false">IF(NOT(OR($A803&lt;&gt;"",$E803&lt;&gt;"")),"",IF($J803="Cancelled","Cancelled",IF($E803="","Amount missing",IF(OR($J803="Settled",$E803-N($F803)-N($H803)&lt;=0.005),"Realised",IF(N($H803)&gt;0,"Part realised",IF(N($F803)&gt;0,"Advance received","On hand"))))))</f>
        <v/>
      </c>
      <c r="P803" s="79" t="str">
        <f aca="false">IF(AND($V803=1,ISNUMBER($B803)),AsAt-$B803,"")</f>
        <v/>
      </c>
      <c r="Q803" s="78" t="str">
        <f aca="false">IF($V803&lt;&gt;1,"",IF($P803="","No invoice date",IF($P803&lt;=30,"0–30 days",IF($P803&lt;=60,"31–60 days",IF($P803&lt;=90,"61–90 days","Over 90 days")))))</f>
        <v/>
      </c>
      <c r="R803" s="80" t="str">
        <f aca="false">IF($V803=1,ROW(),"")</f>
        <v/>
      </c>
      <c r="S803" s="80" t="str">
        <f aca="false">IF(OR($A803&lt;&gt;"",$E803&lt;&gt;""),IF(TRIM($D803)="","Buyer not noted",TRIM($D803)),"")</f>
        <v/>
      </c>
      <c r="T803" s="80" t="n">
        <f aca="false">IF(AND($V803=1,ISNUMBER($M803)),$M803,0)</f>
        <v>0</v>
      </c>
      <c r="U803" s="80" t="str">
        <f aca="false">IF($V803=1,IF(COUNTIFS($S$7:$S803,$S803,$V$7:$V803,1)=1,SUMIFS($T$7:$T$1006,$S$7:$S$1006,$S803)-ROW()/1000000000,""),"")</f>
        <v/>
      </c>
      <c r="V803" s="80" t="n">
        <f aca="false">IF(OR($O803="On hand",$O803="Advance received",$O803="Part realised",$O803="Amount missing"),1,0)</f>
        <v>0</v>
      </c>
      <c r="W803" s="80" t="str">
        <f aca="false">IF(AND($V803=1,N($F803)&gt;0),ROW(),"")</f>
        <v/>
      </c>
      <c r="X803" s="80" t="n">
        <f aca="false">IF(AND(OR($A803&lt;&gt;"",$E803&lt;&gt;""),$O803&lt;&gt;"Cancelled",ISNUMBER($E803),N($F803)+N($H803)&gt;$E803+0.005),1,0)</f>
        <v>0</v>
      </c>
      <c r="Y803" s="80" t="n">
        <f aca="false">IF(AND(OR($A803&lt;&gt;"",$E803&lt;&gt;""),OR($A803="",$E803="")),1,0)</f>
        <v>0</v>
      </c>
      <c r="Z803" s="80" t="n">
        <f aca="false">IF(AND($A803&lt;&gt;"",COUNTIF($A$7:$A$1006,$A803)&gt;1),1,0)</f>
        <v>0</v>
      </c>
    </row>
    <row r="804" customFormat="false" ht="15" hidden="false" customHeight="false" outlineLevel="0" collapsed="false">
      <c r="A804" s="71"/>
      <c r="B804" s="72"/>
      <c r="C804" s="73"/>
      <c r="D804" s="73"/>
      <c r="E804" s="74"/>
      <c r="F804" s="74"/>
      <c r="G804" s="72"/>
      <c r="H804" s="74"/>
      <c r="I804" s="72"/>
      <c r="J804" s="73"/>
      <c r="K804" s="73"/>
      <c r="L804" s="75" t="str">
        <f aca="false">IF(OR($A804&lt;&gt;"",$E804&lt;&gt;""),N($F804)+N($H804),"")</f>
        <v/>
      </c>
      <c r="M804" s="76" t="str">
        <f aca="false">IF(OR($O804="",$O804="Cancelled",$O804="Amount missing"),"",IF($O804="Realised",0,$E804-N($F804)-N($H804)))</f>
        <v/>
      </c>
      <c r="N804" s="77" t="str">
        <f aca="false">IF(OR($M804="",FX=""),"",$M804*FX)</f>
        <v/>
      </c>
      <c r="O804" s="78" t="str">
        <f aca="false">IF(NOT(OR($A804&lt;&gt;"",$E804&lt;&gt;"")),"",IF($J804="Cancelled","Cancelled",IF($E804="","Amount missing",IF(OR($J804="Settled",$E804-N($F804)-N($H804)&lt;=0.005),"Realised",IF(N($H804)&gt;0,"Part realised",IF(N($F804)&gt;0,"Advance received","On hand"))))))</f>
        <v/>
      </c>
      <c r="P804" s="79" t="str">
        <f aca="false">IF(AND($V804=1,ISNUMBER($B804)),AsAt-$B804,"")</f>
        <v/>
      </c>
      <c r="Q804" s="78" t="str">
        <f aca="false">IF($V804&lt;&gt;1,"",IF($P804="","No invoice date",IF($P804&lt;=30,"0–30 days",IF($P804&lt;=60,"31–60 days",IF($P804&lt;=90,"61–90 days","Over 90 days")))))</f>
        <v/>
      </c>
      <c r="R804" s="80" t="str">
        <f aca="false">IF($V804=1,ROW(),"")</f>
        <v/>
      </c>
      <c r="S804" s="80" t="str">
        <f aca="false">IF(OR($A804&lt;&gt;"",$E804&lt;&gt;""),IF(TRIM($D804)="","Buyer not noted",TRIM($D804)),"")</f>
        <v/>
      </c>
      <c r="T804" s="80" t="n">
        <f aca="false">IF(AND($V804=1,ISNUMBER($M804)),$M804,0)</f>
        <v>0</v>
      </c>
      <c r="U804" s="80" t="str">
        <f aca="false">IF($V804=1,IF(COUNTIFS($S$7:$S804,$S804,$V$7:$V804,1)=1,SUMIFS($T$7:$T$1006,$S$7:$S$1006,$S804)-ROW()/1000000000,""),"")</f>
        <v/>
      </c>
      <c r="V804" s="80" t="n">
        <f aca="false">IF(OR($O804="On hand",$O804="Advance received",$O804="Part realised",$O804="Amount missing"),1,0)</f>
        <v>0</v>
      </c>
      <c r="W804" s="80" t="str">
        <f aca="false">IF(AND($V804=1,N($F804)&gt;0),ROW(),"")</f>
        <v/>
      </c>
      <c r="X804" s="80" t="n">
        <f aca="false">IF(AND(OR($A804&lt;&gt;"",$E804&lt;&gt;""),$O804&lt;&gt;"Cancelled",ISNUMBER($E804),N($F804)+N($H804)&gt;$E804+0.005),1,0)</f>
        <v>0</v>
      </c>
      <c r="Y804" s="80" t="n">
        <f aca="false">IF(AND(OR($A804&lt;&gt;"",$E804&lt;&gt;""),OR($A804="",$E804="")),1,0)</f>
        <v>0</v>
      </c>
      <c r="Z804" s="80" t="n">
        <f aca="false">IF(AND($A804&lt;&gt;"",COUNTIF($A$7:$A$1006,$A804)&gt;1),1,0)</f>
        <v>0</v>
      </c>
    </row>
    <row r="805" customFormat="false" ht="15" hidden="false" customHeight="false" outlineLevel="0" collapsed="false">
      <c r="A805" s="71"/>
      <c r="B805" s="72"/>
      <c r="C805" s="73"/>
      <c r="D805" s="73"/>
      <c r="E805" s="74"/>
      <c r="F805" s="74"/>
      <c r="G805" s="72"/>
      <c r="H805" s="74"/>
      <c r="I805" s="72"/>
      <c r="J805" s="73"/>
      <c r="K805" s="73"/>
      <c r="L805" s="75" t="str">
        <f aca="false">IF(OR($A805&lt;&gt;"",$E805&lt;&gt;""),N($F805)+N($H805),"")</f>
        <v/>
      </c>
      <c r="M805" s="76" t="str">
        <f aca="false">IF(OR($O805="",$O805="Cancelled",$O805="Amount missing"),"",IF($O805="Realised",0,$E805-N($F805)-N($H805)))</f>
        <v/>
      </c>
      <c r="N805" s="77" t="str">
        <f aca="false">IF(OR($M805="",FX=""),"",$M805*FX)</f>
        <v/>
      </c>
      <c r="O805" s="78" t="str">
        <f aca="false">IF(NOT(OR($A805&lt;&gt;"",$E805&lt;&gt;"")),"",IF($J805="Cancelled","Cancelled",IF($E805="","Amount missing",IF(OR($J805="Settled",$E805-N($F805)-N($H805)&lt;=0.005),"Realised",IF(N($H805)&gt;0,"Part realised",IF(N($F805)&gt;0,"Advance received","On hand"))))))</f>
        <v/>
      </c>
      <c r="P805" s="79" t="str">
        <f aca="false">IF(AND($V805=1,ISNUMBER($B805)),AsAt-$B805,"")</f>
        <v/>
      </c>
      <c r="Q805" s="78" t="str">
        <f aca="false">IF($V805&lt;&gt;1,"",IF($P805="","No invoice date",IF($P805&lt;=30,"0–30 days",IF($P805&lt;=60,"31–60 days",IF($P805&lt;=90,"61–90 days","Over 90 days")))))</f>
        <v/>
      </c>
      <c r="R805" s="80" t="str">
        <f aca="false">IF($V805=1,ROW(),"")</f>
        <v/>
      </c>
      <c r="S805" s="80" t="str">
        <f aca="false">IF(OR($A805&lt;&gt;"",$E805&lt;&gt;""),IF(TRIM($D805)="","Buyer not noted",TRIM($D805)),"")</f>
        <v/>
      </c>
      <c r="T805" s="80" t="n">
        <f aca="false">IF(AND($V805=1,ISNUMBER($M805)),$M805,0)</f>
        <v>0</v>
      </c>
      <c r="U805" s="80" t="str">
        <f aca="false">IF($V805=1,IF(COUNTIFS($S$7:$S805,$S805,$V$7:$V805,1)=1,SUMIFS($T$7:$T$1006,$S$7:$S$1006,$S805)-ROW()/1000000000,""),"")</f>
        <v/>
      </c>
      <c r="V805" s="80" t="n">
        <f aca="false">IF(OR($O805="On hand",$O805="Advance received",$O805="Part realised",$O805="Amount missing"),1,0)</f>
        <v>0</v>
      </c>
      <c r="W805" s="80" t="str">
        <f aca="false">IF(AND($V805=1,N($F805)&gt;0),ROW(),"")</f>
        <v/>
      </c>
      <c r="X805" s="80" t="n">
        <f aca="false">IF(AND(OR($A805&lt;&gt;"",$E805&lt;&gt;""),$O805&lt;&gt;"Cancelled",ISNUMBER($E805),N($F805)+N($H805)&gt;$E805+0.005),1,0)</f>
        <v>0</v>
      </c>
      <c r="Y805" s="80" t="n">
        <f aca="false">IF(AND(OR($A805&lt;&gt;"",$E805&lt;&gt;""),OR($A805="",$E805="")),1,0)</f>
        <v>0</v>
      </c>
      <c r="Z805" s="80" t="n">
        <f aca="false">IF(AND($A805&lt;&gt;"",COUNTIF($A$7:$A$1006,$A805)&gt;1),1,0)</f>
        <v>0</v>
      </c>
    </row>
    <row r="806" customFormat="false" ht="15" hidden="false" customHeight="false" outlineLevel="0" collapsed="false">
      <c r="A806" s="71"/>
      <c r="B806" s="72"/>
      <c r="C806" s="73"/>
      <c r="D806" s="73"/>
      <c r="E806" s="74"/>
      <c r="F806" s="74"/>
      <c r="G806" s="72"/>
      <c r="H806" s="74"/>
      <c r="I806" s="72"/>
      <c r="J806" s="73"/>
      <c r="K806" s="73"/>
      <c r="L806" s="75" t="str">
        <f aca="false">IF(OR($A806&lt;&gt;"",$E806&lt;&gt;""),N($F806)+N($H806),"")</f>
        <v/>
      </c>
      <c r="M806" s="76" t="str">
        <f aca="false">IF(OR($O806="",$O806="Cancelled",$O806="Amount missing"),"",IF($O806="Realised",0,$E806-N($F806)-N($H806)))</f>
        <v/>
      </c>
      <c r="N806" s="77" t="str">
        <f aca="false">IF(OR($M806="",FX=""),"",$M806*FX)</f>
        <v/>
      </c>
      <c r="O806" s="78" t="str">
        <f aca="false">IF(NOT(OR($A806&lt;&gt;"",$E806&lt;&gt;"")),"",IF($J806="Cancelled","Cancelled",IF($E806="","Amount missing",IF(OR($J806="Settled",$E806-N($F806)-N($H806)&lt;=0.005),"Realised",IF(N($H806)&gt;0,"Part realised",IF(N($F806)&gt;0,"Advance received","On hand"))))))</f>
        <v/>
      </c>
      <c r="P806" s="79" t="str">
        <f aca="false">IF(AND($V806=1,ISNUMBER($B806)),AsAt-$B806,"")</f>
        <v/>
      </c>
      <c r="Q806" s="78" t="str">
        <f aca="false">IF($V806&lt;&gt;1,"",IF($P806="","No invoice date",IF($P806&lt;=30,"0–30 days",IF($P806&lt;=60,"31–60 days",IF($P806&lt;=90,"61–90 days","Over 90 days")))))</f>
        <v/>
      </c>
      <c r="R806" s="80" t="str">
        <f aca="false">IF($V806=1,ROW(),"")</f>
        <v/>
      </c>
      <c r="S806" s="80" t="str">
        <f aca="false">IF(OR($A806&lt;&gt;"",$E806&lt;&gt;""),IF(TRIM($D806)="","Buyer not noted",TRIM($D806)),"")</f>
        <v/>
      </c>
      <c r="T806" s="80" t="n">
        <f aca="false">IF(AND($V806=1,ISNUMBER($M806)),$M806,0)</f>
        <v>0</v>
      </c>
      <c r="U806" s="80" t="str">
        <f aca="false">IF($V806=1,IF(COUNTIFS($S$7:$S806,$S806,$V$7:$V806,1)=1,SUMIFS($T$7:$T$1006,$S$7:$S$1006,$S806)-ROW()/1000000000,""),"")</f>
        <v/>
      </c>
      <c r="V806" s="80" t="n">
        <f aca="false">IF(OR($O806="On hand",$O806="Advance received",$O806="Part realised",$O806="Amount missing"),1,0)</f>
        <v>0</v>
      </c>
      <c r="W806" s="80" t="str">
        <f aca="false">IF(AND($V806=1,N($F806)&gt;0),ROW(),"")</f>
        <v/>
      </c>
      <c r="X806" s="80" t="n">
        <f aca="false">IF(AND(OR($A806&lt;&gt;"",$E806&lt;&gt;""),$O806&lt;&gt;"Cancelled",ISNUMBER($E806),N($F806)+N($H806)&gt;$E806+0.005),1,0)</f>
        <v>0</v>
      </c>
      <c r="Y806" s="80" t="n">
        <f aca="false">IF(AND(OR($A806&lt;&gt;"",$E806&lt;&gt;""),OR($A806="",$E806="")),1,0)</f>
        <v>0</v>
      </c>
      <c r="Z806" s="80" t="n">
        <f aca="false">IF(AND($A806&lt;&gt;"",COUNTIF($A$7:$A$1006,$A806)&gt;1),1,0)</f>
        <v>0</v>
      </c>
    </row>
    <row r="807" customFormat="false" ht="15" hidden="false" customHeight="false" outlineLevel="0" collapsed="false">
      <c r="A807" s="71"/>
      <c r="B807" s="72"/>
      <c r="C807" s="73"/>
      <c r="D807" s="73"/>
      <c r="E807" s="74"/>
      <c r="F807" s="74"/>
      <c r="G807" s="72"/>
      <c r="H807" s="74"/>
      <c r="I807" s="72"/>
      <c r="J807" s="73"/>
      <c r="K807" s="73"/>
      <c r="L807" s="75" t="str">
        <f aca="false">IF(OR($A807&lt;&gt;"",$E807&lt;&gt;""),N($F807)+N($H807),"")</f>
        <v/>
      </c>
      <c r="M807" s="76" t="str">
        <f aca="false">IF(OR($O807="",$O807="Cancelled",$O807="Amount missing"),"",IF($O807="Realised",0,$E807-N($F807)-N($H807)))</f>
        <v/>
      </c>
      <c r="N807" s="77" t="str">
        <f aca="false">IF(OR($M807="",FX=""),"",$M807*FX)</f>
        <v/>
      </c>
      <c r="O807" s="78" t="str">
        <f aca="false">IF(NOT(OR($A807&lt;&gt;"",$E807&lt;&gt;"")),"",IF($J807="Cancelled","Cancelled",IF($E807="","Amount missing",IF(OR($J807="Settled",$E807-N($F807)-N($H807)&lt;=0.005),"Realised",IF(N($H807)&gt;0,"Part realised",IF(N($F807)&gt;0,"Advance received","On hand"))))))</f>
        <v/>
      </c>
      <c r="P807" s="79" t="str">
        <f aca="false">IF(AND($V807=1,ISNUMBER($B807)),AsAt-$B807,"")</f>
        <v/>
      </c>
      <c r="Q807" s="78" t="str">
        <f aca="false">IF($V807&lt;&gt;1,"",IF($P807="","No invoice date",IF($P807&lt;=30,"0–30 days",IF($P807&lt;=60,"31–60 days",IF($P807&lt;=90,"61–90 days","Over 90 days")))))</f>
        <v/>
      </c>
      <c r="R807" s="80" t="str">
        <f aca="false">IF($V807=1,ROW(),"")</f>
        <v/>
      </c>
      <c r="S807" s="80" t="str">
        <f aca="false">IF(OR($A807&lt;&gt;"",$E807&lt;&gt;""),IF(TRIM($D807)="","Buyer not noted",TRIM($D807)),"")</f>
        <v/>
      </c>
      <c r="T807" s="80" t="n">
        <f aca="false">IF(AND($V807=1,ISNUMBER($M807)),$M807,0)</f>
        <v>0</v>
      </c>
      <c r="U807" s="80" t="str">
        <f aca="false">IF($V807=1,IF(COUNTIFS($S$7:$S807,$S807,$V$7:$V807,1)=1,SUMIFS($T$7:$T$1006,$S$7:$S$1006,$S807)-ROW()/1000000000,""),"")</f>
        <v/>
      </c>
      <c r="V807" s="80" t="n">
        <f aca="false">IF(OR($O807="On hand",$O807="Advance received",$O807="Part realised",$O807="Amount missing"),1,0)</f>
        <v>0</v>
      </c>
      <c r="W807" s="80" t="str">
        <f aca="false">IF(AND($V807=1,N($F807)&gt;0),ROW(),"")</f>
        <v/>
      </c>
      <c r="X807" s="80" t="n">
        <f aca="false">IF(AND(OR($A807&lt;&gt;"",$E807&lt;&gt;""),$O807&lt;&gt;"Cancelled",ISNUMBER($E807),N($F807)+N($H807)&gt;$E807+0.005),1,0)</f>
        <v>0</v>
      </c>
      <c r="Y807" s="80" t="n">
        <f aca="false">IF(AND(OR($A807&lt;&gt;"",$E807&lt;&gt;""),OR($A807="",$E807="")),1,0)</f>
        <v>0</v>
      </c>
      <c r="Z807" s="80" t="n">
        <f aca="false">IF(AND($A807&lt;&gt;"",COUNTIF($A$7:$A$1006,$A807)&gt;1),1,0)</f>
        <v>0</v>
      </c>
    </row>
    <row r="808" customFormat="false" ht="15" hidden="false" customHeight="false" outlineLevel="0" collapsed="false">
      <c r="A808" s="71"/>
      <c r="B808" s="72"/>
      <c r="C808" s="73"/>
      <c r="D808" s="73"/>
      <c r="E808" s="74"/>
      <c r="F808" s="74"/>
      <c r="G808" s="72"/>
      <c r="H808" s="74"/>
      <c r="I808" s="72"/>
      <c r="J808" s="73"/>
      <c r="K808" s="73"/>
      <c r="L808" s="75" t="str">
        <f aca="false">IF(OR($A808&lt;&gt;"",$E808&lt;&gt;""),N($F808)+N($H808),"")</f>
        <v/>
      </c>
      <c r="M808" s="76" t="str">
        <f aca="false">IF(OR($O808="",$O808="Cancelled",$O808="Amount missing"),"",IF($O808="Realised",0,$E808-N($F808)-N($H808)))</f>
        <v/>
      </c>
      <c r="N808" s="77" t="str">
        <f aca="false">IF(OR($M808="",FX=""),"",$M808*FX)</f>
        <v/>
      </c>
      <c r="O808" s="78" t="str">
        <f aca="false">IF(NOT(OR($A808&lt;&gt;"",$E808&lt;&gt;"")),"",IF($J808="Cancelled","Cancelled",IF($E808="","Amount missing",IF(OR($J808="Settled",$E808-N($F808)-N($H808)&lt;=0.005),"Realised",IF(N($H808)&gt;0,"Part realised",IF(N($F808)&gt;0,"Advance received","On hand"))))))</f>
        <v/>
      </c>
      <c r="P808" s="79" t="str">
        <f aca="false">IF(AND($V808=1,ISNUMBER($B808)),AsAt-$B808,"")</f>
        <v/>
      </c>
      <c r="Q808" s="78" t="str">
        <f aca="false">IF($V808&lt;&gt;1,"",IF($P808="","No invoice date",IF($P808&lt;=30,"0–30 days",IF($P808&lt;=60,"31–60 days",IF($P808&lt;=90,"61–90 days","Over 90 days")))))</f>
        <v/>
      </c>
      <c r="R808" s="80" t="str">
        <f aca="false">IF($V808=1,ROW(),"")</f>
        <v/>
      </c>
      <c r="S808" s="80" t="str">
        <f aca="false">IF(OR($A808&lt;&gt;"",$E808&lt;&gt;""),IF(TRIM($D808)="","Buyer not noted",TRIM($D808)),"")</f>
        <v/>
      </c>
      <c r="T808" s="80" t="n">
        <f aca="false">IF(AND($V808=1,ISNUMBER($M808)),$M808,0)</f>
        <v>0</v>
      </c>
      <c r="U808" s="80" t="str">
        <f aca="false">IF($V808=1,IF(COUNTIFS($S$7:$S808,$S808,$V$7:$V808,1)=1,SUMIFS($T$7:$T$1006,$S$7:$S$1006,$S808)-ROW()/1000000000,""),"")</f>
        <v/>
      </c>
      <c r="V808" s="80" t="n">
        <f aca="false">IF(OR($O808="On hand",$O808="Advance received",$O808="Part realised",$O808="Amount missing"),1,0)</f>
        <v>0</v>
      </c>
      <c r="W808" s="80" t="str">
        <f aca="false">IF(AND($V808=1,N($F808)&gt;0),ROW(),"")</f>
        <v/>
      </c>
      <c r="X808" s="80" t="n">
        <f aca="false">IF(AND(OR($A808&lt;&gt;"",$E808&lt;&gt;""),$O808&lt;&gt;"Cancelled",ISNUMBER($E808),N($F808)+N($H808)&gt;$E808+0.005),1,0)</f>
        <v>0</v>
      </c>
      <c r="Y808" s="80" t="n">
        <f aca="false">IF(AND(OR($A808&lt;&gt;"",$E808&lt;&gt;""),OR($A808="",$E808="")),1,0)</f>
        <v>0</v>
      </c>
      <c r="Z808" s="80" t="n">
        <f aca="false">IF(AND($A808&lt;&gt;"",COUNTIF($A$7:$A$1006,$A808)&gt;1),1,0)</f>
        <v>0</v>
      </c>
    </row>
    <row r="809" customFormat="false" ht="15" hidden="false" customHeight="false" outlineLevel="0" collapsed="false">
      <c r="A809" s="71"/>
      <c r="B809" s="72"/>
      <c r="C809" s="73"/>
      <c r="D809" s="73"/>
      <c r="E809" s="74"/>
      <c r="F809" s="74"/>
      <c r="G809" s="72"/>
      <c r="H809" s="74"/>
      <c r="I809" s="72"/>
      <c r="J809" s="73"/>
      <c r="K809" s="73"/>
      <c r="L809" s="75" t="str">
        <f aca="false">IF(OR($A809&lt;&gt;"",$E809&lt;&gt;""),N($F809)+N($H809),"")</f>
        <v/>
      </c>
      <c r="M809" s="76" t="str">
        <f aca="false">IF(OR($O809="",$O809="Cancelled",$O809="Amount missing"),"",IF($O809="Realised",0,$E809-N($F809)-N($H809)))</f>
        <v/>
      </c>
      <c r="N809" s="77" t="str">
        <f aca="false">IF(OR($M809="",FX=""),"",$M809*FX)</f>
        <v/>
      </c>
      <c r="O809" s="78" t="str">
        <f aca="false">IF(NOT(OR($A809&lt;&gt;"",$E809&lt;&gt;"")),"",IF($J809="Cancelled","Cancelled",IF($E809="","Amount missing",IF(OR($J809="Settled",$E809-N($F809)-N($H809)&lt;=0.005),"Realised",IF(N($H809)&gt;0,"Part realised",IF(N($F809)&gt;0,"Advance received","On hand"))))))</f>
        <v/>
      </c>
      <c r="P809" s="79" t="str">
        <f aca="false">IF(AND($V809=1,ISNUMBER($B809)),AsAt-$B809,"")</f>
        <v/>
      </c>
      <c r="Q809" s="78" t="str">
        <f aca="false">IF($V809&lt;&gt;1,"",IF($P809="","No invoice date",IF($P809&lt;=30,"0–30 days",IF($P809&lt;=60,"31–60 days",IF($P809&lt;=90,"61–90 days","Over 90 days")))))</f>
        <v/>
      </c>
      <c r="R809" s="80" t="str">
        <f aca="false">IF($V809=1,ROW(),"")</f>
        <v/>
      </c>
      <c r="S809" s="80" t="str">
        <f aca="false">IF(OR($A809&lt;&gt;"",$E809&lt;&gt;""),IF(TRIM($D809)="","Buyer not noted",TRIM($D809)),"")</f>
        <v/>
      </c>
      <c r="T809" s="80" t="n">
        <f aca="false">IF(AND($V809=1,ISNUMBER($M809)),$M809,0)</f>
        <v>0</v>
      </c>
      <c r="U809" s="80" t="str">
        <f aca="false">IF($V809=1,IF(COUNTIFS($S$7:$S809,$S809,$V$7:$V809,1)=1,SUMIFS($T$7:$T$1006,$S$7:$S$1006,$S809)-ROW()/1000000000,""),"")</f>
        <v/>
      </c>
      <c r="V809" s="80" t="n">
        <f aca="false">IF(OR($O809="On hand",$O809="Advance received",$O809="Part realised",$O809="Amount missing"),1,0)</f>
        <v>0</v>
      </c>
      <c r="W809" s="80" t="str">
        <f aca="false">IF(AND($V809=1,N($F809)&gt;0),ROW(),"")</f>
        <v/>
      </c>
      <c r="X809" s="80" t="n">
        <f aca="false">IF(AND(OR($A809&lt;&gt;"",$E809&lt;&gt;""),$O809&lt;&gt;"Cancelled",ISNUMBER($E809),N($F809)+N($H809)&gt;$E809+0.005),1,0)</f>
        <v>0</v>
      </c>
      <c r="Y809" s="80" t="n">
        <f aca="false">IF(AND(OR($A809&lt;&gt;"",$E809&lt;&gt;""),OR($A809="",$E809="")),1,0)</f>
        <v>0</v>
      </c>
      <c r="Z809" s="80" t="n">
        <f aca="false">IF(AND($A809&lt;&gt;"",COUNTIF($A$7:$A$1006,$A809)&gt;1),1,0)</f>
        <v>0</v>
      </c>
    </row>
    <row r="810" customFormat="false" ht="15" hidden="false" customHeight="false" outlineLevel="0" collapsed="false">
      <c r="A810" s="71"/>
      <c r="B810" s="72"/>
      <c r="C810" s="73"/>
      <c r="D810" s="73"/>
      <c r="E810" s="74"/>
      <c r="F810" s="74"/>
      <c r="G810" s="72"/>
      <c r="H810" s="74"/>
      <c r="I810" s="72"/>
      <c r="J810" s="73"/>
      <c r="K810" s="73"/>
      <c r="L810" s="75" t="str">
        <f aca="false">IF(OR($A810&lt;&gt;"",$E810&lt;&gt;""),N($F810)+N($H810),"")</f>
        <v/>
      </c>
      <c r="M810" s="76" t="str">
        <f aca="false">IF(OR($O810="",$O810="Cancelled",$O810="Amount missing"),"",IF($O810="Realised",0,$E810-N($F810)-N($H810)))</f>
        <v/>
      </c>
      <c r="N810" s="77" t="str">
        <f aca="false">IF(OR($M810="",FX=""),"",$M810*FX)</f>
        <v/>
      </c>
      <c r="O810" s="78" t="str">
        <f aca="false">IF(NOT(OR($A810&lt;&gt;"",$E810&lt;&gt;"")),"",IF($J810="Cancelled","Cancelled",IF($E810="","Amount missing",IF(OR($J810="Settled",$E810-N($F810)-N($H810)&lt;=0.005),"Realised",IF(N($H810)&gt;0,"Part realised",IF(N($F810)&gt;0,"Advance received","On hand"))))))</f>
        <v/>
      </c>
      <c r="P810" s="79" t="str">
        <f aca="false">IF(AND($V810=1,ISNUMBER($B810)),AsAt-$B810,"")</f>
        <v/>
      </c>
      <c r="Q810" s="78" t="str">
        <f aca="false">IF($V810&lt;&gt;1,"",IF($P810="","No invoice date",IF($P810&lt;=30,"0–30 days",IF($P810&lt;=60,"31–60 days",IF($P810&lt;=90,"61–90 days","Over 90 days")))))</f>
        <v/>
      </c>
      <c r="R810" s="80" t="str">
        <f aca="false">IF($V810=1,ROW(),"")</f>
        <v/>
      </c>
      <c r="S810" s="80" t="str">
        <f aca="false">IF(OR($A810&lt;&gt;"",$E810&lt;&gt;""),IF(TRIM($D810)="","Buyer not noted",TRIM($D810)),"")</f>
        <v/>
      </c>
      <c r="T810" s="80" t="n">
        <f aca="false">IF(AND($V810=1,ISNUMBER($M810)),$M810,0)</f>
        <v>0</v>
      </c>
      <c r="U810" s="80" t="str">
        <f aca="false">IF($V810=1,IF(COUNTIFS($S$7:$S810,$S810,$V$7:$V810,1)=1,SUMIFS($T$7:$T$1006,$S$7:$S$1006,$S810)-ROW()/1000000000,""),"")</f>
        <v/>
      </c>
      <c r="V810" s="80" t="n">
        <f aca="false">IF(OR($O810="On hand",$O810="Advance received",$O810="Part realised",$O810="Amount missing"),1,0)</f>
        <v>0</v>
      </c>
      <c r="W810" s="80" t="str">
        <f aca="false">IF(AND($V810=1,N($F810)&gt;0),ROW(),"")</f>
        <v/>
      </c>
      <c r="X810" s="80" t="n">
        <f aca="false">IF(AND(OR($A810&lt;&gt;"",$E810&lt;&gt;""),$O810&lt;&gt;"Cancelled",ISNUMBER($E810),N($F810)+N($H810)&gt;$E810+0.005),1,0)</f>
        <v>0</v>
      </c>
      <c r="Y810" s="80" t="n">
        <f aca="false">IF(AND(OR($A810&lt;&gt;"",$E810&lt;&gt;""),OR($A810="",$E810="")),1,0)</f>
        <v>0</v>
      </c>
      <c r="Z810" s="80" t="n">
        <f aca="false">IF(AND($A810&lt;&gt;"",COUNTIF($A$7:$A$1006,$A810)&gt;1),1,0)</f>
        <v>0</v>
      </c>
    </row>
    <row r="811" customFormat="false" ht="15" hidden="false" customHeight="false" outlineLevel="0" collapsed="false">
      <c r="A811" s="71"/>
      <c r="B811" s="72"/>
      <c r="C811" s="73"/>
      <c r="D811" s="73"/>
      <c r="E811" s="74"/>
      <c r="F811" s="74"/>
      <c r="G811" s="72"/>
      <c r="H811" s="74"/>
      <c r="I811" s="72"/>
      <c r="J811" s="73"/>
      <c r="K811" s="73"/>
      <c r="L811" s="75" t="str">
        <f aca="false">IF(OR($A811&lt;&gt;"",$E811&lt;&gt;""),N($F811)+N($H811),"")</f>
        <v/>
      </c>
      <c r="M811" s="76" t="str">
        <f aca="false">IF(OR($O811="",$O811="Cancelled",$O811="Amount missing"),"",IF($O811="Realised",0,$E811-N($F811)-N($H811)))</f>
        <v/>
      </c>
      <c r="N811" s="77" t="str">
        <f aca="false">IF(OR($M811="",FX=""),"",$M811*FX)</f>
        <v/>
      </c>
      <c r="O811" s="78" t="str">
        <f aca="false">IF(NOT(OR($A811&lt;&gt;"",$E811&lt;&gt;"")),"",IF($J811="Cancelled","Cancelled",IF($E811="","Amount missing",IF(OR($J811="Settled",$E811-N($F811)-N($H811)&lt;=0.005),"Realised",IF(N($H811)&gt;0,"Part realised",IF(N($F811)&gt;0,"Advance received","On hand"))))))</f>
        <v/>
      </c>
      <c r="P811" s="79" t="str">
        <f aca="false">IF(AND($V811=1,ISNUMBER($B811)),AsAt-$B811,"")</f>
        <v/>
      </c>
      <c r="Q811" s="78" t="str">
        <f aca="false">IF($V811&lt;&gt;1,"",IF($P811="","No invoice date",IF($P811&lt;=30,"0–30 days",IF($P811&lt;=60,"31–60 days",IF($P811&lt;=90,"61–90 days","Over 90 days")))))</f>
        <v/>
      </c>
      <c r="R811" s="80" t="str">
        <f aca="false">IF($V811=1,ROW(),"")</f>
        <v/>
      </c>
      <c r="S811" s="80" t="str">
        <f aca="false">IF(OR($A811&lt;&gt;"",$E811&lt;&gt;""),IF(TRIM($D811)="","Buyer not noted",TRIM($D811)),"")</f>
        <v/>
      </c>
      <c r="T811" s="80" t="n">
        <f aca="false">IF(AND($V811=1,ISNUMBER($M811)),$M811,0)</f>
        <v>0</v>
      </c>
      <c r="U811" s="80" t="str">
        <f aca="false">IF($V811=1,IF(COUNTIFS($S$7:$S811,$S811,$V$7:$V811,1)=1,SUMIFS($T$7:$T$1006,$S$7:$S$1006,$S811)-ROW()/1000000000,""),"")</f>
        <v/>
      </c>
      <c r="V811" s="80" t="n">
        <f aca="false">IF(OR($O811="On hand",$O811="Advance received",$O811="Part realised",$O811="Amount missing"),1,0)</f>
        <v>0</v>
      </c>
      <c r="W811" s="80" t="str">
        <f aca="false">IF(AND($V811=1,N($F811)&gt;0),ROW(),"")</f>
        <v/>
      </c>
      <c r="X811" s="80" t="n">
        <f aca="false">IF(AND(OR($A811&lt;&gt;"",$E811&lt;&gt;""),$O811&lt;&gt;"Cancelled",ISNUMBER($E811),N($F811)+N($H811)&gt;$E811+0.005),1,0)</f>
        <v>0</v>
      </c>
      <c r="Y811" s="80" t="n">
        <f aca="false">IF(AND(OR($A811&lt;&gt;"",$E811&lt;&gt;""),OR($A811="",$E811="")),1,0)</f>
        <v>0</v>
      </c>
      <c r="Z811" s="80" t="n">
        <f aca="false">IF(AND($A811&lt;&gt;"",COUNTIF($A$7:$A$1006,$A811)&gt;1),1,0)</f>
        <v>0</v>
      </c>
    </row>
    <row r="812" customFormat="false" ht="15" hidden="false" customHeight="false" outlineLevel="0" collapsed="false">
      <c r="A812" s="71"/>
      <c r="B812" s="72"/>
      <c r="C812" s="73"/>
      <c r="D812" s="73"/>
      <c r="E812" s="74"/>
      <c r="F812" s="74"/>
      <c r="G812" s="72"/>
      <c r="H812" s="74"/>
      <c r="I812" s="72"/>
      <c r="J812" s="73"/>
      <c r="K812" s="73"/>
      <c r="L812" s="75" t="str">
        <f aca="false">IF(OR($A812&lt;&gt;"",$E812&lt;&gt;""),N($F812)+N($H812),"")</f>
        <v/>
      </c>
      <c r="M812" s="76" t="str">
        <f aca="false">IF(OR($O812="",$O812="Cancelled",$O812="Amount missing"),"",IF($O812="Realised",0,$E812-N($F812)-N($H812)))</f>
        <v/>
      </c>
      <c r="N812" s="77" t="str">
        <f aca="false">IF(OR($M812="",FX=""),"",$M812*FX)</f>
        <v/>
      </c>
      <c r="O812" s="78" t="str">
        <f aca="false">IF(NOT(OR($A812&lt;&gt;"",$E812&lt;&gt;"")),"",IF($J812="Cancelled","Cancelled",IF($E812="","Amount missing",IF(OR($J812="Settled",$E812-N($F812)-N($H812)&lt;=0.005),"Realised",IF(N($H812)&gt;0,"Part realised",IF(N($F812)&gt;0,"Advance received","On hand"))))))</f>
        <v/>
      </c>
      <c r="P812" s="79" t="str">
        <f aca="false">IF(AND($V812=1,ISNUMBER($B812)),AsAt-$B812,"")</f>
        <v/>
      </c>
      <c r="Q812" s="78" t="str">
        <f aca="false">IF($V812&lt;&gt;1,"",IF($P812="","No invoice date",IF($P812&lt;=30,"0–30 days",IF($P812&lt;=60,"31–60 days",IF($P812&lt;=90,"61–90 days","Over 90 days")))))</f>
        <v/>
      </c>
      <c r="R812" s="80" t="str">
        <f aca="false">IF($V812=1,ROW(),"")</f>
        <v/>
      </c>
      <c r="S812" s="80" t="str">
        <f aca="false">IF(OR($A812&lt;&gt;"",$E812&lt;&gt;""),IF(TRIM($D812)="","Buyer not noted",TRIM($D812)),"")</f>
        <v/>
      </c>
      <c r="T812" s="80" t="n">
        <f aca="false">IF(AND($V812=1,ISNUMBER($M812)),$M812,0)</f>
        <v>0</v>
      </c>
      <c r="U812" s="80" t="str">
        <f aca="false">IF($V812=1,IF(COUNTIFS($S$7:$S812,$S812,$V$7:$V812,1)=1,SUMIFS($T$7:$T$1006,$S$7:$S$1006,$S812)-ROW()/1000000000,""),"")</f>
        <v/>
      </c>
      <c r="V812" s="80" t="n">
        <f aca="false">IF(OR($O812="On hand",$O812="Advance received",$O812="Part realised",$O812="Amount missing"),1,0)</f>
        <v>0</v>
      </c>
      <c r="W812" s="80" t="str">
        <f aca="false">IF(AND($V812=1,N($F812)&gt;0),ROW(),"")</f>
        <v/>
      </c>
      <c r="X812" s="80" t="n">
        <f aca="false">IF(AND(OR($A812&lt;&gt;"",$E812&lt;&gt;""),$O812&lt;&gt;"Cancelled",ISNUMBER($E812),N($F812)+N($H812)&gt;$E812+0.005),1,0)</f>
        <v>0</v>
      </c>
      <c r="Y812" s="80" t="n">
        <f aca="false">IF(AND(OR($A812&lt;&gt;"",$E812&lt;&gt;""),OR($A812="",$E812="")),1,0)</f>
        <v>0</v>
      </c>
      <c r="Z812" s="80" t="n">
        <f aca="false">IF(AND($A812&lt;&gt;"",COUNTIF($A$7:$A$1006,$A812)&gt;1),1,0)</f>
        <v>0</v>
      </c>
    </row>
    <row r="813" customFormat="false" ht="15" hidden="false" customHeight="false" outlineLevel="0" collapsed="false">
      <c r="A813" s="71"/>
      <c r="B813" s="72"/>
      <c r="C813" s="73"/>
      <c r="D813" s="73"/>
      <c r="E813" s="74"/>
      <c r="F813" s="74"/>
      <c r="G813" s="72"/>
      <c r="H813" s="74"/>
      <c r="I813" s="72"/>
      <c r="J813" s="73"/>
      <c r="K813" s="73"/>
      <c r="L813" s="75" t="str">
        <f aca="false">IF(OR($A813&lt;&gt;"",$E813&lt;&gt;""),N($F813)+N($H813),"")</f>
        <v/>
      </c>
      <c r="M813" s="76" t="str">
        <f aca="false">IF(OR($O813="",$O813="Cancelled",$O813="Amount missing"),"",IF($O813="Realised",0,$E813-N($F813)-N($H813)))</f>
        <v/>
      </c>
      <c r="N813" s="77" t="str">
        <f aca="false">IF(OR($M813="",FX=""),"",$M813*FX)</f>
        <v/>
      </c>
      <c r="O813" s="78" t="str">
        <f aca="false">IF(NOT(OR($A813&lt;&gt;"",$E813&lt;&gt;"")),"",IF($J813="Cancelled","Cancelled",IF($E813="","Amount missing",IF(OR($J813="Settled",$E813-N($F813)-N($H813)&lt;=0.005),"Realised",IF(N($H813)&gt;0,"Part realised",IF(N($F813)&gt;0,"Advance received","On hand"))))))</f>
        <v/>
      </c>
      <c r="P813" s="79" t="str">
        <f aca="false">IF(AND($V813=1,ISNUMBER($B813)),AsAt-$B813,"")</f>
        <v/>
      </c>
      <c r="Q813" s="78" t="str">
        <f aca="false">IF($V813&lt;&gt;1,"",IF($P813="","No invoice date",IF($P813&lt;=30,"0–30 days",IF($P813&lt;=60,"31–60 days",IF($P813&lt;=90,"61–90 days","Over 90 days")))))</f>
        <v/>
      </c>
      <c r="R813" s="80" t="str">
        <f aca="false">IF($V813=1,ROW(),"")</f>
        <v/>
      </c>
      <c r="S813" s="80" t="str">
        <f aca="false">IF(OR($A813&lt;&gt;"",$E813&lt;&gt;""),IF(TRIM($D813)="","Buyer not noted",TRIM($D813)),"")</f>
        <v/>
      </c>
      <c r="T813" s="80" t="n">
        <f aca="false">IF(AND($V813=1,ISNUMBER($M813)),$M813,0)</f>
        <v>0</v>
      </c>
      <c r="U813" s="80" t="str">
        <f aca="false">IF($V813=1,IF(COUNTIFS($S$7:$S813,$S813,$V$7:$V813,1)=1,SUMIFS($T$7:$T$1006,$S$7:$S$1006,$S813)-ROW()/1000000000,""),"")</f>
        <v/>
      </c>
      <c r="V813" s="80" t="n">
        <f aca="false">IF(OR($O813="On hand",$O813="Advance received",$O813="Part realised",$O813="Amount missing"),1,0)</f>
        <v>0</v>
      </c>
      <c r="W813" s="80" t="str">
        <f aca="false">IF(AND($V813=1,N($F813)&gt;0),ROW(),"")</f>
        <v/>
      </c>
      <c r="X813" s="80" t="n">
        <f aca="false">IF(AND(OR($A813&lt;&gt;"",$E813&lt;&gt;""),$O813&lt;&gt;"Cancelled",ISNUMBER($E813),N($F813)+N($H813)&gt;$E813+0.005),1,0)</f>
        <v>0</v>
      </c>
      <c r="Y813" s="80" t="n">
        <f aca="false">IF(AND(OR($A813&lt;&gt;"",$E813&lt;&gt;""),OR($A813="",$E813="")),1,0)</f>
        <v>0</v>
      </c>
      <c r="Z813" s="80" t="n">
        <f aca="false">IF(AND($A813&lt;&gt;"",COUNTIF($A$7:$A$1006,$A813)&gt;1),1,0)</f>
        <v>0</v>
      </c>
    </row>
    <row r="814" customFormat="false" ht="15" hidden="false" customHeight="false" outlineLevel="0" collapsed="false">
      <c r="A814" s="71"/>
      <c r="B814" s="72"/>
      <c r="C814" s="73"/>
      <c r="D814" s="73"/>
      <c r="E814" s="74"/>
      <c r="F814" s="74"/>
      <c r="G814" s="72"/>
      <c r="H814" s="74"/>
      <c r="I814" s="72"/>
      <c r="J814" s="73"/>
      <c r="K814" s="73"/>
      <c r="L814" s="75" t="str">
        <f aca="false">IF(OR($A814&lt;&gt;"",$E814&lt;&gt;""),N($F814)+N($H814),"")</f>
        <v/>
      </c>
      <c r="M814" s="76" t="str">
        <f aca="false">IF(OR($O814="",$O814="Cancelled",$O814="Amount missing"),"",IF($O814="Realised",0,$E814-N($F814)-N($H814)))</f>
        <v/>
      </c>
      <c r="N814" s="77" t="str">
        <f aca="false">IF(OR($M814="",FX=""),"",$M814*FX)</f>
        <v/>
      </c>
      <c r="O814" s="78" t="str">
        <f aca="false">IF(NOT(OR($A814&lt;&gt;"",$E814&lt;&gt;"")),"",IF($J814="Cancelled","Cancelled",IF($E814="","Amount missing",IF(OR($J814="Settled",$E814-N($F814)-N($H814)&lt;=0.005),"Realised",IF(N($H814)&gt;0,"Part realised",IF(N($F814)&gt;0,"Advance received","On hand"))))))</f>
        <v/>
      </c>
      <c r="P814" s="79" t="str">
        <f aca="false">IF(AND($V814=1,ISNUMBER($B814)),AsAt-$B814,"")</f>
        <v/>
      </c>
      <c r="Q814" s="78" t="str">
        <f aca="false">IF($V814&lt;&gt;1,"",IF($P814="","No invoice date",IF($P814&lt;=30,"0–30 days",IF($P814&lt;=60,"31–60 days",IF($P814&lt;=90,"61–90 days","Over 90 days")))))</f>
        <v/>
      </c>
      <c r="R814" s="80" t="str">
        <f aca="false">IF($V814=1,ROW(),"")</f>
        <v/>
      </c>
      <c r="S814" s="80" t="str">
        <f aca="false">IF(OR($A814&lt;&gt;"",$E814&lt;&gt;""),IF(TRIM($D814)="","Buyer not noted",TRIM($D814)),"")</f>
        <v/>
      </c>
      <c r="T814" s="80" t="n">
        <f aca="false">IF(AND($V814=1,ISNUMBER($M814)),$M814,0)</f>
        <v>0</v>
      </c>
      <c r="U814" s="80" t="str">
        <f aca="false">IF($V814=1,IF(COUNTIFS($S$7:$S814,$S814,$V$7:$V814,1)=1,SUMIFS($T$7:$T$1006,$S$7:$S$1006,$S814)-ROW()/1000000000,""),"")</f>
        <v/>
      </c>
      <c r="V814" s="80" t="n">
        <f aca="false">IF(OR($O814="On hand",$O814="Advance received",$O814="Part realised",$O814="Amount missing"),1,0)</f>
        <v>0</v>
      </c>
      <c r="W814" s="80" t="str">
        <f aca="false">IF(AND($V814=1,N($F814)&gt;0),ROW(),"")</f>
        <v/>
      </c>
      <c r="X814" s="80" t="n">
        <f aca="false">IF(AND(OR($A814&lt;&gt;"",$E814&lt;&gt;""),$O814&lt;&gt;"Cancelled",ISNUMBER($E814),N($F814)+N($H814)&gt;$E814+0.005),1,0)</f>
        <v>0</v>
      </c>
      <c r="Y814" s="80" t="n">
        <f aca="false">IF(AND(OR($A814&lt;&gt;"",$E814&lt;&gt;""),OR($A814="",$E814="")),1,0)</f>
        <v>0</v>
      </c>
      <c r="Z814" s="80" t="n">
        <f aca="false">IF(AND($A814&lt;&gt;"",COUNTIF($A$7:$A$1006,$A814)&gt;1),1,0)</f>
        <v>0</v>
      </c>
    </row>
    <row r="815" customFormat="false" ht="15" hidden="false" customHeight="false" outlineLevel="0" collapsed="false">
      <c r="A815" s="71"/>
      <c r="B815" s="72"/>
      <c r="C815" s="73"/>
      <c r="D815" s="73"/>
      <c r="E815" s="74"/>
      <c r="F815" s="74"/>
      <c r="G815" s="72"/>
      <c r="H815" s="74"/>
      <c r="I815" s="72"/>
      <c r="J815" s="73"/>
      <c r="K815" s="73"/>
      <c r="L815" s="75" t="str">
        <f aca="false">IF(OR($A815&lt;&gt;"",$E815&lt;&gt;""),N($F815)+N($H815),"")</f>
        <v/>
      </c>
      <c r="M815" s="76" t="str">
        <f aca="false">IF(OR($O815="",$O815="Cancelled",$O815="Amount missing"),"",IF($O815="Realised",0,$E815-N($F815)-N($H815)))</f>
        <v/>
      </c>
      <c r="N815" s="77" t="str">
        <f aca="false">IF(OR($M815="",FX=""),"",$M815*FX)</f>
        <v/>
      </c>
      <c r="O815" s="78" t="str">
        <f aca="false">IF(NOT(OR($A815&lt;&gt;"",$E815&lt;&gt;"")),"",IF($J815="Cancelled","Cancelled",IF($E815="","Amount missing",IF(OR($J815="Settled",$E815-N($F815)-N($H815)&lt;=0.005),"Realised",IF(N($H815)&gt;0,"Part realised",IF(N($F815)&gt;0,"Advance received","On hand"))))))</f>
        <v/>
      </c>
      <c r="P815" s="79" t="str">
        <f aca="false">IF(AND($V815=1,ISNUMBER($B815)),AsAt-$B815,"")</f>
        <v/>
      </c>
      <c r="Q815" s="78" t="str">
        <f aca="false">IF($V815&lt;&gt;1,"",IF($P815="","No invoice date",IF($P815&lt;=30,"0–30 days",IF($P815&lt;=60,"31–60 days",IF($P815&lt;=90,"61–90 days","Over 90 days")))))</f>
        <v/>
      </c>
      <c r="R815" s="80" t="str">
        <f aca="false">IF($V815=1,ROW(),"")</f>
        <v/>
      </c>
      <c r="S815" s="80" t="str">
        <f aca="false">IF(OR($A815&lt;&gt;"",$E815&lt;&gt;""),IF(TRIM($D815)="","Buyer not noted",TRIM($D815)),"")</f>
        <v/>
      </c>
      <c r="T815" s="80" t="n">
        <f aca="false">IF(AND($V815=1,ISNUMBER($M815)),$M815,0)</f>
        <v>0</v>
      </c>
      <c r="U815" s="80" t="str">
        <f aca="false">IF($V815=1,IF(COUNTIFS($S$7:$S815,$S815,$V$7:$V815,1)=1,SUMIFS($T$7:$T$1006,$S$7:$S$1006,$S815)-ROW()/1000000000,""),"")</f>
        <v/>
      </c>
      <c r="V815" s="80" t="n">
        <f aca="false">IF(OR($O815="On hand",$O815="Advance received",$O815="Part realised",$O815="Amount missing"),1,0)</f>
        <v>0</v>
      </c>
      <c r="W815" s="80" t="str">
        <f aca="false">IF(AND($V815=1,N($F815)&gt;0),ROW(),"")</f>
        <v/>
      </c>
      <c r="X815" s="80" t="n">
        <f aca="false">IF(AND(OR($A815&lt;&gt;"",$E815&lt;&gt;""),$O815&lt;&gt;"Cancelled",ISNUMBER($E815),N($F815)+N($H815)&gt;$E815+0.005),1,0)</f>
        <v>0</v>
      </c>
      <c r="Y815" s="80" t="n">
        <f aca="false">IF(AND(OR($A815&lt;&gt;"",$E815&lt;&gt;""),OR($A815="",$E815="")),1,0)</f>
        <v>0</v>
      </c>
      <c r="Z815" s="80" t="n">
        <f aca="false">IF(AND($A815&lt;&gt;"",COUNTIF($A$7:$A$1006,$A815)&gt;1),1,0)</f>
        <v>0</v>
      </c>
    </row>
    <row r="816" customFormat="false" ht="15" hidden="false" customHeight="false" outlineLevel="0" collapsed="false">
      <c r="A816" s="71"/>
      <c r="B816" s="72"/>
      <c r="C816" s="73"/>
      <c r="D816" s="73"/>
      <c r="E816" s="74"/>
      <c r="F816" s="74"/>
      <c r="G816" s="72"/>
      <c r="H816" s="74"/>
      <c r="I816" s="72"/>
      <c r="J816" s="73"/>
      <c r="K816" s="73"/>
      <c r="L816" s="75" t="str">
        <f aca="false">IF(OR($A816&lt;&gt;"",$E816&lt;&gt;""),N($F816)+N($H816),"")</f>
        <v/>
      </c>
      <c r="M816" s="76" t="str">
        <f aca="false">IF(OR($O816="",$O816="Cancelled",$O816="Amount missing"),"",IF($O816="Realised",0,$E816-N($F816)-N($H816)))</f>
        <v/>
      </c>
      <c r="N816" s="77" t="str">
        <f aca="false">IF(OR($M816="",FX=""),"",$M816*FX)</f>
        <v/>
      </c>
      <c r="O816" s="78" t="str">
        <f aca="false">IF(NOT(OR($A816&lt;&gt;"",$E816&lt;&gt;"")),"",IF($J816="Cancelled","Cancelled",IF($E816="","Amount missing",IF(OR($J816="Settled",$E816-N($F816)-N($H816)&lt;=0.005),"Realised",IF(N($H816)&gt;0,"Part realised",IF(N($F816)&gt;0,"Advance received","On hand"))))))</f>
        <v/>
      </c>
      <c r="P816" s="79" t="str">
        <f aca="false">IF(AND($V816=1,ISNUMBER($B816)),AsAt-$B816,"")</f>
        <v/>
      </c>
      <c r="Q816" s="78" t="str">
        <f aca="false">IF($V816&lt;&gt;1,"",IF($P816="","No invoice date",IF($P816&lt;=30,"0–30 days",IF($P816&lt;=60,"31–60 days",IF($P816&lt;=90,"61–90 days","Over 90 days")))))</f>
        <v/>
      </c>
      <c r="R816" s="80" t="str">
        <f aca="false">IF($V816=1,ROW(),"")</f>
        <v/>
      </c>
      <c r="S816" s="80" t="str">
        <f aca="false">IF(OR($A816&lt;&gt;"",$E816&lt;&gt;""),IF(TRIM($D816)="","Buyer not noted",TRIM($D816)),"")</f>
        <v/>
      </c>
      <c r="T816" s="80" t="n">
        <f aca="false">IF(AND($V816=1,ISNUMBER($M816)),$M816,0)</f>
        <v>0</v>
      </c>
      <c r="U816" s="80" t="str">
        <f aca="false">IF($V816=1,IF(COUNTIFS($S$7:$S816,$S816,$V$7:$V816,1)=1,SUMIFS($T$7:$T$1006,$S$7:$S$1006,$S816)-ROW()/1000000000,""),"")</f>
        <v/>
      </c>
      <c r="V816" s="80" t="n">
        <f aca="false">IF(OR($O816="On hand",$O816="Advance received",$O816="Part realised",$O816="Amount missing"),1,0)</f>
        <v>0</v>
      </c>
      <c r="W816" s="80" t="str">
        <f aca="false">IF(AND($V816=1,N($F816)&gt;0),ROW(),"")</f>
        <v/>
      </c>
      <c r="X816" s="80" t="n">
        <f aca="false">IF(AND(OR($A816&lt;&gt;"",$E816&lt;&gt;""),$O816&lt;&gt;"Cancelled",ISNUMBER($E816),N($F816)+N($H816)&gt;$E816+0.005),1,0)</f>
        <v>0</v>
      </c>
      <c r="Y816" s="80" t="n">
        <f aca="false">IF(AND(OR($A816&lt;&gt;"",$E816&lt;&gt;""),OR($A816="",$E816="")),1,0)</f>
        <v>0</v>
      </c>
      <c r="Z816" s="80" t="n">
        <f aca="false">IF(AND($A816&lt;&gt;"",COUNTIF($A$7:$A$1006,$A816)&gt;1),1,0)</f>
        <v>0</v>
      </c>
    </row>
    <row r="817" customFormat="false" ht="15" hidden="false" customHeight="false" outlineLevel="0" collapsed="false">
      <c r="A817" s="71"/>
      <c r="B817" s="72"/>
      <c r="C817" s="73"/>
      <c r="D817" s="73"/>
      <c r="E817" s="74"/>
      <c r="F817" s="74"/>
      <c r="G817" s="72"/>
      <c r="H817" s="74"/>
      <c r="I817" s="72"/>
      <c r="J817" s="73"/>
      <c r="K817" s="73"/>
      <c r="L817" s="75" t="str">
        <f aca="false">IF(OR($A817&lt;&gt;"",$E817&lt;&gt;""),N($F817)+N($H817),"")</f>
        <v/>
      </c>
      <c r="M817" s="76" t="str">
        <f aca="false">IF(OR($O817="",$O817="Cancelled",$O817="Amount missing"),"",IF($O817="Realised",0,$E817-N($F817)-N($H817)))</f>
        <v/>
      </c>
      <c r="N817" s="77" t="str">
        <f aca="false">IF(OR($M817="",FX=""),"",$M817*FX)</f>
        <v/>
      </c>
      <c r="O817" s="78" t="str">
        <f aca="false">IF(NOT(OR($A817&lt;&gt;"",$E817&lt;&gt;"")),"",IF($J817="Cancelled","Cancelled",IF($E817="","Amount missing",IF(OR($J817="Settled",$E817-N($F817)-N($H817)&lt;=0.005),"Realised",IF(N($H817)&gt;0,"Part realised",IF(N($F817)&gt;0,"Advance received","On hand"))))))</f>
        <v/>
      </c>
      <c r="P817" s="79" t="str">
        <f aca="false">IF(AND($V817=1,ISNUMBER($B817)),AsAt-$B817,"")</f>
        <v/>
      </c>
      <c r="Q817" s="78" t="str">
        <f aca="false">IF($V817&lt;&gt;1,"",IF($P817="","No invoice date",IF($P817&lt;=30,"0–30 days",IF($P817&lt;=60,"31–60 days",IF($P817&lt;=90,"61–90 days","Over 90 days")))))</f>
        <v/>
      </c>
      <c r="R817" s="80" t="str">
        <f aca="false">IF($V817=1,ROW(),"")</f>
        <v/>
      </c>
      <c r="S817" s="80" t="str">
        <f aca="false">IF(OR($A817&lt;&gt;"",$E817&lt;&gt;""),IF(TRIM($D817)="","Buyer not noted",TRIM($D817)),"")</f>
        <v/>
      </c>
      <c r="T817" s="80" t="n">
        <f aca="false">IF(AND($V817=1,ISNUMBER($M817)),$M817,0)</f>
        <v>0</v>
      </c>
      <c r="U817" s="80" t="str">
        <f aca="false">IF($V817=1,IF(COUNTIFS($S$7:$S817,$S817,$V$7:$V817,1)=1,SUMIFS($T$7:$T$1006,$S$7:$S$1006,$S817)-ROW()/1000000000,""),"")</f>
        <v/>
      </c>
      <c r="V817" s="80" t="n">
        <f aca="false">IF(OR($O817="On hand",$O817="Advance received",$O817="Part realised",$O817="Amount missing"),1,0)</f>
        <v>0</v>
      </c>
      <c r="W817" s="80" t="str">
        <f aca="false">IF(AND($V817=1,N($F817)&gt;0),ROW(),"")</f>
        <v/>
      </c>
      <c r="X817" s="80" t="n">
        <f aca="false">IF(AND(OR($A817&lt;&gt;"",$E817&lt;&gt;""),$O817&lt;&gt;"Cancelled",ISNUMBER($E817),N($F817)+N($H817)&gt;$E817+0.005),1,0)</f>
        <v>0</v>
      </c>
      <c r="Y817" s="80" t="n">
        <f aca="false">IF(AND(OR($A817&lt;&gt;"",$E817&lt;&gt;""),OR($A817="",$E817="")),1,0)</f>
        <v>0</v>
      </c>
      <c r="Z817" s="80" t="n">
        <f aca="false">IF(AND($A817&lt;&gt;"",COUNTIF($A$7:$A$1006,$A817)&gt;1),1,0)</f>
        <v>0</v>
      </c>
    </row>
    <row r="818" customFormat="false" ht="15" hidden="false" customHeight="false" outlineLevel="0" collapsed="false">
      <c r="A818" s="71"/>
      <c r="B818" s="72"/>
      <c r="C818" s="73"/>
      <c r="D818" s="73"/>
      <c r="E818" s="74"/>
      <c r="F818" s="74"/>
      <c r="G818" s="72"/>
      <c r="H818" s="74"/>
      <c r="I818" s="72"/>
      <c r="J818" s="73"/>
      <c r="K818" s="73"/>
      <c r="L818" s="75" t="str">
        <f aca="false">IF(OR($A818&lt;&gt;"",$E818&lt;&gt;""),N($F818)+N($H818),"")</f>
        <v/>
      </c>
      <c r="M818" s="76" t="str">
        <f aca="false">IF(OR($O818="",$O818="Cancelled",$O818="Amount missing"),"",IF($O818="Realised",0,$E818-N($F818)-N($H818)))</f>
        <v/>
      </c>
      <c r="N818" s="77" t="str">
        <f aca="false">IF(OR($M818="",FX=""),"",$M818*FX)</f>
        <v/>
      </c>
      <c r="O818" s="78" t="str">
        <f aca="false">IF(NOT(OR($A818&lt;&gt;"",$E818&lt;&gt;"")),"",IF($J818="Cancelled","Cancelled",IF($E818="","Amount missing",IF(OR($J818="Settled",$E818-N($F818)-N($H818)&lt;=0.005),"Realised",IF(N($H818)&gt;0,"Part realised",IF(N($F818)&gt;0,"Advance received","On hand"))))))</f>
        <v/>
      </c>
      <c r="P818" s="79" t="str">
        <f aca="false">IF(AND($V818=1,ISNUMBER($B818)),AsAt-$B818,"")</f>
        <v/>
      </c>
      <c r="Q818" s="78" t="str">
        <f aca="false">IF($V818&lt;&gt;1,"",IF($P818="","No invoice date",IF($P818&lt;=30,"0–30 days",IF($P818&lt;=60,"31–60 days",IF($P818&lt;=90,"61–90 days","Over 90 days")))))</f>
        <v/>
      </c>
      <c r="R818" s="80" t="str">
        <f aca="false">IF($V818=1,ROW(),"")</f>
        <v/>
      </c>
      <c r="S818" s="80" t="str">
        <f aca="false">IF(OR($A818&lt;&gt;"",$E818&lt;&gt;""),IF(TRIM($D818)="","Buyer not noted",TRIM($D818)),"")</f>
        <v/>
      </c>
      <c r="T818" s="80" t="n">
        <f aca="false">IF(AND($V818=1,ISNUMBER($M818)),$M818,0)</f>
        <v>0</v>
      </c>
      <c r="U818" s="80" t="str">
        <f aca="false">IF($V818=1,IF(COUNTIFS($S$7:$S818,$S818,$V$7:$V818,1)=1,SUMIFS($T$7:$T$1006,$S$7:$S$1006,$S818)-ROW()/1000000000,""),"")</f>
        <v/>
      </c>
      <c r="V818" s="80" t="n">
        <f aca="false">IF(OR($O818="On hand",$O818="Advance received",$O818="Part realised",$O818="Amount missing"),1,0)</f>
        <v>0</v>
      </c>
      <c r="W818" s="80" t="str">
        <f aca="false">IF(AND($V818=1,N($F818)&gt;0),ROW(),"")</f>
        <v/>
      </c>
      <c r="X818" s="80" t="n">
        <f aca="false">IF(AND(OR($A818&lt;&gt;"",$E818&lt;&gt;""),$O818&lt;&gt;"Cancelled",ISNUMBER($E818),N($F818)+N($H818)&gt;$E818+0.005),1,0)</f>
        <v>0</v>
      </c>
      <c r="Y818" s="80" t="n">
        <f aca="false">IF(AND(OR($A818&lt;&gt;"",$E818&lt;&gt;""),OR($A818="",$E818="")),1,0)</f>
        <v>0</v>
      </c>
      <c r="Z818" s="80" t="n">
        <f aca="false">IF(AND($A818&lt;&gt;"",COUNTIF($A$7:$A$1006,$A818)&gt;1),1,0)</f>
        <v>0</v>
      </c>
    </row>
    <row r="819" customFormat="false" ht="15" hidden="false" customHeight="false" outlineLevel="0" collapsed="false">
      <c r="A819" s="71"/>
      <c r="B819" s="72"/>
      <c r="C819" s="73"/>
      <c r="D819" s="73"/>
      <c r="E819" s="74"/>
      <c r="F819" s="74"/>
      <c r="G819" s="72"/>
      <c r="H819" s="74"/>
      <c r="I819" s="72"/>
      <c r="J819" s="73"/>
      <c r="K819" s="73"/>
      <c r="L819" s="75" t="str">
        <f aca="false">IF(OR($A819&lt;&gt;"",$E819&lt;&gt;""),N($F819)+N($H819),"")</f>
        <v/>
      </c>
      <c r="M819" s="76" t="str">
        <f aca="false">IF(OR($O819="",$O819="Cancelled",$O819="Amount missing"),"",IF($O819="Realised",0,$E819-N($F819)-N($H819)))</f>
        <v/>
      </c>
      <c r="N819" s="77" t="str">
        <f aca="false">IF(OR($M819="",FX=""),"",$M819*FX)</f>
        <v/>
      </c>
      <c r="O819" s="78" t="str">
        <f aca="false">IF(NOT(OR($A819&lt;&gt;"",$E819&lt;&gt;"")),"",IF($J819="Cancelled","Cancelled",IF($E819="","Amount missing",IF(OR($J819="Settled",$E819-N($F819)-N($H819)&lt;=0.005),"Realised",IF(N($H819)&gt;0,"Part realised",IF(N($F819)&gt;0,"Advance received","On hand"))))))</f>
        <v/>
      </c>
      <c r="P819" s="79" t="str">
        <f aca="false">IF(AND($V819=1,ISNUMBER($B819)),AsAt-$B819,"")</f>
        <v/>
      </c>
      <c r="Q819" s="78" t="str">
        <f aca="false">IF($V819&lt;&gt;1,"",IF($P819="","No invoice date",IF($P819&lt;=30,"0–30 days",IF($P819&lt;=60,"31–60 days",IF($P819&lt;=90,"61–90 days","Over 90 days")))))</f>
        <v/>
      </c>
      <c r="R819" s="80" t="str">
        <f aca="false">IF($V819=1,ROW(),"")</f>
        <v/>
      </c>
      <c r="S819" s="80" t="str">
        <f aca="false">IF(OR($A819&lt;&gt;"",$E819&lt;&gt;""),IF(TRIM($D819)="","Buyer not noted",TRIM($D819)),"")</f>
        <v/>
      </c>
      <c r="T819" s="80" t="n">
        <f aca="false">IF(AND($V819=1,ISNUMBER($M819)),$M819,0)</f>
        <v>0</v>
      </c>
      <c r="U819" s="80" t="str">
        <f aca="false">IF($V819=1,IF(COUNTIFS($S$7:$S819,$S819,$V$7:$V819,1)=1,SUMIFS($T$7:$T$1006,$S$7:$S$1006,$S819)-ROW()/1000000000,""),"")</f>
        <v/>
      </c>
      <c r="V819" s="80" t="n">
        <f aca="false">IF(OR($O819="On hand",$O819="Advance received",$O819="Part realised",$O819="Amount missing"),1,0)</f>
        <v>0</v>
      </c>
      <c r="W819" s="80" t="str">
        <f aca="false">IF(AND($V819=1,N($F819)&gt;0),ROW(),"")</f>
        <v/>
      </c>
      <c r="X819" s="80" t="n">
        <f aca="false">IF(AND(OR($A819&lt;&gt;"",$E819&lt;&gt;""),$O819&lt;&gt;"Cancelled",ISNUMBER($E819),N($F819)+N($H819)&gt;$E819+0.005),1,0)</f>
        <v>0</v>
      </c>
      <c r="Y819" s="80" t="n">
        <f aca="false">IF(AND(OR($A819&lt;&gt;"",$E819&lt;&gt;""),OR($A819="",$E819="")),1,0)</f>
        <v>0</v>
      </c>
      <c r="Z819" s="80" t="n">
        <f aca="false">IF(AND($A819&lt;&gt;"",COUNTIF($A$7:$A$1006,$A819)&gt;1),1,0)</f>
        <v>0</v>
      </c>
    </row>
    <row r="820" customFormat="false" ht="15" hidden="false" customHeight="false" outlineLevel="0" collapsed="false">
      <c r="A820" s="71"/>
      <c r="B820" s="72"/>
      <c r="C820" s="73"/>
      <c r="D820" s="73"/>
      <c r="E820" s="74"/>
      <c r="F820" s="74"/>
      <c r="G820" s="72"/>
      <c r="H820" s="74"/>
      <c r="I820" s="72"/>
      <c r="J820" s="73"/>
      <c r="K820" s="73"/>
      <c r="L820" s="75" t="str">
        <f aca="false">IF(OR($A820&lt;&gt;"",$E820&lt;&gt;""),N($F820)+N($H820),"")</f>
        <v/>
      </c>
      <c r="M820" s="76" t="str">
        <f aca="false">IF(OR($O820="",$O820="Cancelled",$O820="Amount missing"),"",IF($O820="Realised",0,$E820-N($F820)-N($H820)))</f>
        <v/>
      </c>
      <c r="N820" s="77" t="str">
        <f aca="false">IF(OR($M820="",FX=""),"",$M820*FX)</f>
        <v/>
      </c>
      <c r="O820" s="78" t="str">
        <f aca="false">IF(NOT(OR($A820&lt;&gt;"",$E820&lt;&gt;"")),"",IF($J820="Cancelled","Cancelled",IF($E820="","Amount missing",IF(OR($J820="Settled",$E820-N($F820)-N($H820)&lt;=0.005),"Realised",IF(N($H820)&gt;0,"Part realised",IF(N($F820)&gt;0,"Advance received","On hand"))))))</f>
        <v/>
      </c>
      <c r="P820" s="79" t="str">
        <f aca="false">IF(AND($V820=1,ISNUMBER($B820)),AsAt-$B820,"")</f>
        <v/>
      </c>
      <c r="Q820" s="78" t="str">
        <f aca="false">IF($V820&lt;&gt;1,"",IF($P820="","No invoice date",IF($P820&lt;=30,"0–30 days",IF($P820&lt;=60,"31–60 days",IF($P820&lt;=90,"61–90 days","Over 90 days")))))</f>
        <v/>
      </c>
      <c r="R820" s="80" t="str">
        <f aca="false">IF($V820=1,ROW(),"")</f>
        <v/>
      </c>
      <c r="S820" s="80" t="str">
        <f aca="false">IF(OR($A820&lt;&gt;"",$E820&lt;&gt;""),IF(TRIM($D820)="","Buyer not noted",TRIM($D820)),"")</f>
        <v/>
      </c>
      <c r="T820" s="80" t="n">
        <f aca="false">IF(AND($V820=1,ISNUMBER($M820)),$M820,0)</f>
        <v>0</v>
      </c>
      <c r="U820" s="80" t="str">
        <f aca="false">IF($V820=1,IF(COUNTIFS($S$7:$S820,$S820,$V$7:$V820,1)=1,SUMIFS($T$7:$T$1006,$S$7:$S$1006,$S820)-ROW()/1000000000,""),"")</f>
        <v/>
      </c>
      <c r="V820" s="80" t="n">
        <f aca="false">IF(OR($O820="On hand",$O820="Advance received",$O820="Part realised",$O820="Amount missing"),1,0)</f>
        <v>0</v>
      </c>
      <c r="W820" s="80" t="str">
        <f aca="false">IF(AND($V820=1,N($F820)&gt;0),ROW(),"")</f>
        <v/>
      </c>
      <c r="X820" s="80" t="n">
        <f aca="false">IF(AND(OR($A820&lt;&gt;"",$E820&lt;&gt;""),$O820&lt;&gt;"Cancelled",ISNUMBER($E820),N($F820)+N($H820)&gt;$E820+0.005),1,0)</f>
        <v>0</v>
      </c>
      <c r="Y820" s="80" t="n">
        <f aca="false">IF(AND(OR($A820&lt;&gt;"",$E820&lt;&gt;""),OR($A820="",$E820="")),1,0)</f>
        <v>0</v>
      </c>
      <c r="Z820" s="80" t="n">
        <f aca="false">IF(AND($A820&lt;&gt;"",COUNTIF($A$7:$A$1006,$A820)&gt;1),1,0)</f>
        <v>0</v>
      </c>
    </row>
    <row r="821" customFormat="false" ht="15" hidden="false" customHeight="false" outlineLevel="0" collapsed="false">
      <c r="A821" s="71"/>
      <c r="B821" s="72"/>
      <c r="C821" s="73"/>
      <c r="D821" s="73"/>
      <c r="E821" s="74"/>
      <c r="F821" s="74"/>
      <c r="G821" s="72"/>
      <c r="H821" s="74"/>
      <c r="I821" s="72"/>
      <c r="J821" s="73"/>
      <c r="K821" s="73"/>
      <c r="L821" s="75" t="str">
        <f aca="false">IF(OR($A821&lt;&gt;"",$E821&lt;&gt;""),N($F821)+N($H821),"")</f>
        <v/>
      </c>
      <c r="M821" s="76" t="str">
        <f aca="false">IF(OR($O821="",$O821="Cancelled",$O821="Amount missing"),"",IF($O821="Realised",0,$E821-N($F821)-N($H821)))</f>
        <v/>
      </c>
      <c r="N821" s="77" t="str">
        <f aca="false">IF(OR($M821="",FX=""),"",$M821*FX)</f>
        <v/>
      </c>
      <c r="O821" s="78" t="str">
        <f aca="false">IF(NOT(OR($A821&lt;&gt;"",$E821&lt;&gt;"")),"",IF($J821="Cancelled","Cancelled",IF($E821="","Amount missing",IF(OR($J821="Settled",$E821-N($F821)-N($H821)&lt;=0.005),"Realised",IF(N($H821)&gt;0,"Part realised",IF(N($F821)&gt;0,"Advance received","On hand"))))))</f>
        <v/>
      </c>
      <c r="P821" s="79" t="str">
        <f aca="false">IF(AND($V821=1,ISNUMBER($B821)),AsAt-$B821,"")</f>
        <v/>
      </c>
      <c r="Q821" s="78" t="str">
        <f aca="false">IF($V821&lt;&gt;1,"",IF($P821="","No invoice date",IF($P821&lt;=30,"0–30 days",IF($P821&lt;=60,"31–60 days",IF($P821&lt;=90,"61–90 days","Over 90 days")))))</f>
        <v/>
      </c>
      <c r="R821" s="80" t="str">
        <f aca="false">IF($V821=1,ROW(),"")</f>
        <v/>
      </c>
      <c r="S821" s="80" t="str">
        <f aca="false">IF(OR($A821&lt;&gt;"",$E821&lt;&gt;""),IF(TRIM($D821)="","Buyer not noted",TRIM($D821)),"")</f>
        <v/>
      </c>
      <c r="T821" s="80" t="n">
        <f aca="false">IF(AND($V821=1,ISNUMBER($M821)),$M821,0)</f>
        <v>0</v>
      </c>
      <c r="U821" s="80" t="str">
        <f aca="false">IF($V821=1,IF(COUNTIFS($S$7:$S821,$S821,$V$7:$V821,1)=1,SUMIFS($T$7:$T$1006,$S$7:$S$1006,$S821)-ROW()/1000000000,""),"")</f>
        <v/>
      </c>
      <c r="V821" s="80" t="n">
        <f aca="false">IF(OR($O821="On hand",$O821="Advance received",$O821="Part realised",$O821="Amount missing"),1,0)</f>
        <v>0</v>
      </c>
      <c r="W821" s="80" t="str">
        <f aca="false">IF(AND($V821=1,N($F821)&gt;0),ROW(),"")</f>
        <v/>
      </c>
      <c r="X821" s="80" t="n">
        <f aca="false">IF(AND(OR($A821&lt;&gt;"",$E821&lt;&gt;""),$O821&lt;&gt;"Cancelled",ISNUMBER($E821),N($F821)+N($H821)&gt;$E821+0.005),1,0)</f>
        <v>0</v>
      </c>
      <c r="Y821" s="80" t="n">
        <f aca="false">IF(AND(OR($A821&lt;&gt;"",$E821&lt;&gt;""),OR($A821="",$E821="")),1,0)</f>
        <v>0</v>
      </c>
      <c r="Z821" s="80" t="n">
        <f aca="false">IF(AND($A821&lt;&gt;"",COUNTIF($A$7:$A$1006,$A821)&gt;1),1,0)</f>
        <v>0</v>
      </c>
    </row>
    <row r="822" customFormat="false" ht="15" hidden="false" customHeight="false" outlineLevel="0" collapsed="false">
      <c r="A822" s="71"/>
      <c r="B822" s="72"/>
      <c r="C822" s="73"/>
      <c r="D822" s="73"/>
      <c r="E822" s="74"/>
      <c r="F822" s="74"/>
      <c r="G822" s="72"/>
      <c r="H822" s="74"/>
      <c r="I822" s="72"/>
      <c r="J822" s="73"/>
      <c r="K822" s="73"/>
      <c r="L822" s="75" t="str">
        <f aca="false">IF(OR($A822&lt;&gt;"",$E822&lt;&gt;""),N($F822)+N($H822),"")</f>
        <v/>
      </c>
      <c r="M822" s="76" t="str">
        <f aca="false">IF(OR($O822="",$O822="Cancelled",$O822="Amount missing"),"",IF($O822="Realised",0,$E822-N($F822)-N($H822)))</f>
        <v/>
      </c>
      <c r="N822" s="77" t="str">
        <f aca="false">IF(OR($M822="",FX=""),"",$M822*FX)</f>
        <v/>
      </c>
      <c r="O822" s="78" t="str">
        <f aca="false">IF(NOT(OR($A822&lt;&gt;"",$E822&lt;&gt;"")),"",IF($J822="Cancelled","Cancelled",IF($E822="","Amount missing",IF(OR($J822="Settled",$E822-N($F822)-N($H822)&lt;=0.005),"Realised",IF(N($H822)&gt;0,"Part realised",IF(N($F822)&gt;0,"Advance received","On hand"))))))</f>
        <v/>
      </c>
      <c r="P822" s="79" t="str">
        <f aca="false">IF(AND($V822=1,ISNUMBER($B822)),AsAt-$B822,"")</f>
        <v/>
      </c>
      <c r="Q822" s="78" t="str">
        <f aca="false">IF($V822&lt;&gt;1,"",IF($P822="","No invoice date",IF($P822&lt;=30,"0–30 days",IF($P822&lt;=60,"31–60 days",IF($P822&lt;=90,"61–90 days","Over 90 days")))))</f>
        <v/>
      </c>
      <c r="R822" s="80" t="str">
        <f aca="false">IF($V822=1,ROW(),"")</f>
        <v/>
      </c>
      <c r="S822" s="80" t="str">
        <f aca="false">IF(OR($A822&lt;&gt;"",$E822&lt;&gt;""),IF(TRIM($D822)="","Buyer not noted",TRIM($D822)),"")</f>
        <v/>
      </c>
      <c r="T822" s="80" t="n">
        <f aca="false">IF(AND($V822=1,ISNUMBER($M822)),$M822,0)</f>
        <v>0</v>
      </c>
      <c r="U822" s="80" t="str">
        <f aca="false">IF($V822=1,IF(COUNTIFS($S$7:$S822,$S822,$V$7:$V822,1)=1,SUMIFS($T$7:$T$1006,$S$7:$S$1006,$S822)-ROW()/1000000000,""),"")</f>
        <v/>
      </c>
      <c r="V822" s="80" t="n">
        <f aca="false">IF(OR($O822="On hand",$O822="Advance received",$O822="Part realised",$O822="Amount missing"),1,0)</f>
        <v>0</v>
      </c>
      <c r="W822" s="80" t="str">
        <f aca="false">IF(AND($V822=1,N($F822)&gt;0),ROW(),"")</f>
        <v/>
      </c>
      <c r="X822" s="80" t="n">
        <f aca="false">IF(AND(OR($A822&lt;&gt;"",$E822&lt;&gt;""),$O822&lt;&gt;"Cancelled",ISNUMBER($E822),N($F822)+N($H822)&gt;$E822+0.005),1,0)</f>
        <v>0</v>
      </c>
      <c r="Y822" s="80" t="n">
        <f aca="false">IF(AND(OR($A822&lt;&gt;"",$E822&lt;&gt;""),OR($A822="",$E822="")),1,0)</f>
        <v>0</v>
      </c>
      <c r="Z822" s="80" t="n">
        <f aca="false">IF(AND($A822&lt;&gt;"",COUNTIF($A$7:$A$1006,$A822)&gt;1),1,0)</f>
        <v>0</v>
      </c>
    </row>
    <row r="823" customFormat="false" ht="15" hidden="false" customHeight="false" outlineLevel="0" collapsed="false">
      <c r="A823" s="71"/>
      <c r="B823" s="72"/>
      <c r="C823" s="73"/>
      <c r="D823" s="73"/>
      <c r="E823" s="74"/>
      <c r="F823" s="74"/>
      <c r="G823" s="72"/>
      <c r="H823" s="74"/>
      <c r="I823" s="72"/>
      <c r="J823" s="73"/>
      <c r="K823" s="73"/>
      <c r="L823" s="75" t="str">
        <f aca="false">IF(OR($A823&lt;&gt;"",$E823&lt;&gt;""),N($F823)+N($H823),"")</f>
        <v/>
      </c>
      <c r="M823" s="76" t="str">
        <f aca="false">IF(OR($O823="",$O823="Cancelled",$O823="Amount missing"),"",IF($O823="Realised",0,$E823-N($F823)-N($H823)))</f>
        <v/>
      </c>
      <c r="N823" s="77" t="str">
        <f aca="false">IF(OR($M823="",FX=""),"",$M823*FX)</f>
        <v/>
      </c>
      <c r="O823" s="78" t="str">
        <f aca="false">IF(NOT(OR($A823&lt;&gt;"",$E823&lt;&gt;"")),"",IF($J823="Cancelled","Cancelled",IF($E823="","Amount missing",IF(OR($J823="Settled",$E823-N($F823)-N($H823)&lt;=0.005),"Realised",IF(N($H823)&gt;0,"Part realised",IF(N($F823)&gt;0,"Advance received","On hand"))))))</f>
        <v/>
      </c>
      <c r="P823" s="79" t="str">
        <f aca="false">IF(AND($V823=1,ISNUMBER($B823)),AsAt-$B823,"")</f>
        <v/>
      </c>
      <c r="Q823" s="78" t="str">
        <f aca="false">IF($V823&lt;&gt;1,"",IF($P823="","No invoice date",IF($P823&lt;=30,"0–30 days",IF($P823&lt;=60,"31–60 days",IF($P823&lt;=90,"61–90 days","Over 90 days")))))</f>
        <v/>
      </c>
      <c r="R823" s="80" t="str">
        <f aca="false">IF($V823=1,ROW(),"")</f>
        <v/>
      </c>
      <c r="S823" s="80" t="str">
        <f aca="false">IF(OR($A823&lt;&gt;"",$E823&lt;&gt;""),IF(TRIM($D823)="","Buyer not noted",TRIM($D823)),"")</f>
        <v/>
      </c>
      <c r="T823" s="80" t="n">
        <f aca="false">IF(AND($V823=1,ISNUMBER($M823)),$M823,0)</f>
        <v>0</v>
      </c>
      <c r="U823" s="80" t="str">
        <f aca="false">IF($V823=1,IF(COUNTIFS($S$7:$S823,$S823,$V$7:$V823,1)=1,SUMIFS($T$7:$T$1006,$S$7:$S$1006,$S823)-ROW()/1000000000,""),"")</f>
        <v/>
      </c>
      <c r="V823" s="80" t="n">
        <f aca="false">IF(OR($O823="On hand",$O823="Advance received",$O823="Part realised",$O823="Amount missing"),1,0)</f>
        <v>0</v>
      </c>
      <c r="W823" s="80" t="str">
        <f aca="false">IF(AND($V823=1,N($F823)&gt;0),ROW(),"")</f>
        <v/>
      </c>
      <c r="X823" s="80" t="n">
        <f aca="false">IF(AND(OR($A823&lt;&gt;"",$E823&lt;&gt;""),$O823&lt;&gt;"Cancelled",ISNUMBER($E823),N($F823)+N($H823)&gt;$E823+0.005),1,0)</f>
        <v>0</v>
      </c>
      <c r="Y823" s="80" t="n">
        <f aca="false">IF(AND(OR($A823&lt;&gt;"",$E823&lt;&gt;""),OR($A823="",$E823="")),1,0)</f>
        <v>0</v>
      </c>
      <c r="Z823" s="80" t="n">
        <f aca="false">IF(AND($A823&lt;&gt;"",COUNTIF($A$7:$A$1006,$A823)&gt;1),1,0)</f>
        <v>0</v>
      </c>
    </row>
    <row r="824" customFormat="false" ht="15" hidden="false" customHeight="false" outlineLevel="0" collapsed="false">
      <c r="A824" s="71"/>
      <c r="B824" s="72"/>
      <c r="C824" s="73"/>
      <c r="D824" s="73"/>
      <c r="E824" s="74"/>
      <c r="F824" s="74"/>
      <c r="G824" s="72"/>
      <c r="H824" s="74"/>
      <c r="I824" s="72"/>
      <c r="J824" s="73"/>
      <c r="K824" s="73"/>
      <c r="L824" s="75" t="str">
        <f aca="false">IF(OR($A824&lt;&gt;"",$E824&lt;&gt;""),N($F824)+N($H824),"")</f>
        <v/>
      </c>
      <c r="M824" s="76" t="str">
        <f aca="false">IF(OR($O824="",$O824="Cancelled",$O824="Amount missing"),"",IF($O824="Realised",0,$E824-N($F824)-N($H824)))</f>
        <v/>
      </c>
      <c r="N824" s="77" t="str">
        <f aca="false">IF(OR($M824="",FX=""),"",$M824*FX)</f>
        <v/>
      </c>
      <c r="O824" s="78" t="str">
        <f aca="false">IF(NOT(OR($A824&lt;&gt;"",$E824&lt;&gt;"")),"",IF($J824="Cancelled","Cancelled",IF($E824="","Amount missing",IF(OR($J824="Settled",$E824-N($F824)-N($H824)&lt;=0.005),"Realised",IF(N($H824)&gt;0,"Part realised",IF(N($F824)&gt;0,"Advance received","On hand"))))))</f>
        <v/>
      </c>
      <c r="P824" s="79" t="str">
        <f aca="false">IF(AND($V824=1,ISNUMBER($B824)),AsAt-$B824,"")</f>
        <v/>
      </c>
      <c r="Q824" s="78" t="str">
        <f aca="false">IF($V824&lt;&gt;1,"",IF($P824="","No invoice date",IF($P824&lt;=30,"0–30 days",IF($P824&lt;=60,"31–60 days",IF($P824&lt;=90,"61–90 days","Over 90 days")))))</f>
        <v/>
      </c>
      <c r="R824" s="80" t="str">
        <f aca="false">IF($V824=1,ROW(),"")</f>
        <v/>
      </c>
      <c r="S824" s="80" t="str">
        <f aca="false">IF(OR($A824&lt;&gt;"",$E824&lt;&gt;""),IF(TRIM($D824)="","Buyer not noted",TRIM($D824)),"")</f>
        <v/>
      </c>
      <c r="T824" s="80" t="n">
        <f aca="false">IF(AND($V824=1,ISNUMBER($M824)),$M824,0)</f>
        <v>0</v>
      </c>
      <c r="U824" s="80" t="str">
        <f aca="false">IF($V824=1,IF(COUNTIFS($S$7:$S824,$S824,$V$7:$V824,1)=1,SUMIFS($T$7:$T$1006,$S$7:$S$1006,$S824)-ROW()/1000000000,""),"")</f>
        <v/>
      </c>
      <c r="V824" s="80" t="n">
        <f aca="false">IF(OR($O824="On hand",$O824="Advance received",$O824="Part realised",$O824="Amount missing"),1,0)</f>
        <v>0</v>
      </c>
      <c r="W824" s="80" t="str">
        <f aca="false">IF(AND($V824=1,N($F824)&gt;0),ROW(),"")</f>
        <v/>
      </c>
      <c r="X824" s="80" t="n">
        <f aca="false">IF(AND(OR($A824&lt;&gt;"",$E824&lt;&gt;""),$O824&lt;&gt;"Cancelled",ISNUMBER($E824),N($F824)+N($H824)&gt;$E824+0.005),1,0)</f>
        <v>0</v>
      </c>
      <c r="Y824" s="80" t="n">
        <f aca="false">IF(AND(OR($A824&lt;&gt;"",$E824&lt;&gt;""),OR($A824="",$E824="")),1,0)</f>
        <v>0</v>
      </c>
      <c r="Z824" s="80" t="n">
        <f aca="false">IF(AND($A824&lt;&gt;"",COUNTIF($A$7:$A$1006,$A824)&gt;1),1,0)</f>
        <v>0</v>
      </c>
    </row>
    <row r="825" customFormat="false" ht="15" hidden="false" customHeight="false" outlineLevel="0" collapsed="false">
      <c r="A825" s="71"/>
      <c r="B825" s="72"/>
      <c r="C825" s="73"/>
      <c r="D825" s="73"/>
      <c r="E825" s="74"/>
      <c r="F825" s="74"/>
      <c r="G825" s="72"/>
      <c r="H825" s="74"/>
      <c r="I825" s="72"/>
      <c r="J825" s="73"/>
      <c r="K825" s="73"/>
      <c r="L825" s="75" t="str">
        <f aca="false">IF(OR($A825&lt;&gt;"",$E825&lt;&gt;""),N($F825)+N($H825),"")</f>
        <v/>
      </c>
      <c r="M825" s="76" t="str">
        <f aca="false">IF(OR($O825="",$O825="Cancelled",$O825="Amount missing"),"",IF($O825="Realised",0,$E825-N($F825)-N($H825)))</f>
        <v/>
      </c>
      <c r="N825" s="77" t="str">
        <f aca="false">IF(OR($M825="",FX=""),"",$M825*FX)</f>
        <v/>
      </c>
      <c r="O825" s="78" t="str">
        <f aca="false">IF(NOT(OR($A825&lt;&gt;"",$E825&lt;&gt;"")),"",IF($J825="Cancelled","Cancelled",IF($E825="","Amount missing",IF(OR($J825="Settled",$E825-N($F825)-N($H825)&lt;=0.005),"Realised",IF(N($H825)&gt;0,"Part realised",IF(N($F825)&gt;0,"Advance received","On hand"))))))</f>
        <v/>
      </c>
      <c r="P825" s="79" t="str">
        <f aca="false">IF(AND($V825=1,ISNUMBER($B825)),AsAt-$B825,"")</f>
        <v/>
      </c>
      <c r="Q825" s="78" t="str">
        <f aca="false">IF($V825&lt;&gt;1,"",IF($P825="","No invoice date",IF($P825&lt;=30,"0–30 days",IF($P825&lt;=60,"31–60 days",IF($P825&lt;=90,"61–90 days","Over 90 days")))))</f>
        <v/>
      </c>
      <c r="R825" s="80" t="str">
        <f aca="false">IF($V825=1,ROW(),"")</f>
        <v/>
      </c>
      <c r="S825" s="80" t="str">
        <f aca="false">IF(OR($A825&lt;&gt;"",$E825&lt;&gt;""),IF(TRIM($D825)="","Buyer not noted",TRIM($D825)),"")</f>
        <v/>
      </c>
      <c r="T825" s="80" t="n">
        <f aca="false">IF(AND($V825=1,ISNUMBER($M825)),$M825,0)</f>
        <v>0</v>
      </c>
      <c r="U825" s="80" t="str">
        <f aca="false">IF($V825=1,IF(COUNTIFS($S$7:$S825,$S825,$V$7:$V825,1)=1,SUMIFS($T$7:$T$1006,$S$7:$S$1006,$S825)-ROW()/1000000000,""),"")</f>
        <v/>
      </c>
      <c r="V825" s="80" t="n">
        <f aca="false">IF(OR($O825="On hand",$O825="Advance received",$O825="Part realised",$O825="Amount missing"),1,0)</f>
        <v>0</v>
      </c>
      <c r="W825" s="80" t="str">
        <f aca="false">IF(AND($V825=1,N($F825)&gt;0),ROW(),"")</f>
        <v/>
      </c>
      <c r="X825" s="80" t="n">
        <f aca="false">IF(AND(OR($A825&lt;&gt;"",$E825&lt;&gt;""),$O825&lt;&gt;"Cancelled",ISNUMBER($E825),N($F825)+N($H825)&gt;$E825+0.005),1,0)</f>
        <v>0</v>
      </c>
      <c r="Y825" s="80" t="n">
        <f aca="false">IF(AND(OR($A825&lt;&gt;"",$E825&lt;&gt;""),OR($A825="",$E825="")),1,0)</f>
        <v>0</v>
      </c>
      <c r="Z825" s="80" t="n">
        <f aca="false">IF(AND($A825&lt;&gt;"",COUNTIF($A$7:$A$1006,$A825)&gt;1),1,0)</f>
        <v>0</v>
      </c>
    </row>
    <row r="826" customFormat="false" ht="15" hidden="false" customHeight="false" outlineLevel="0" collapsed="false">
      <c r="A826" s="71"/>
      <c r="B826" s="72"/>
      <c r="C826" s="73"/>
      <c r="D826" s="73"/>
      <c r="E826" s="74"/>
      <c r="F826" s="74"/>
      <c r="G826" s="72"/>
      <c r="H826" s="74"/>
      <c r="I826" s="72"/>
      <c r="J826" s="73"/>
      <c r="K826" s="73"/>
      <c r="L826" s="75" t="str">
        <f aca="false">IF(OR($A826&lt;&gt;"",$E826&lt;&gt;""),N($F826)+N($H826),"")</f>
        <v/>
      </c>
      <c r="M826" s="76" t="str">
        <f aca="false">IF(OR($O826="",$O826="Cancelled",$O826="Amount missing"),"",IF($O826="Realised",0,$E826-N($F826)-N($H826)))</f>
        <v/>
      </c>
      <c r="N826" s="77" t="str">
        <f aca="false">IF(OR($M826="",FX=""),"",$M826*FX)</f>
        <v/>
      </c>
      <c r="O826" s="78" t="str">
        <f aca="false">IF(NOT(OR($A826&lt;&gt;"",$E826&lt;&gt;"")),"",IF($J826="Cancelled","Cancelled",IF($E826="","Amount missing",IF(OR($J826="Settled",$E826-N($F826)-N($H826)&lt;=0.005),"Realised",IF(N($H826)&gt;0,"Part realised",IF(N($F826)&gt;0,"Advance received","On hand"))))))</f>
        <v/>
      </c>
      <c r="P826" s="79" t="str">
        <f aca="false">IF(AND($V826=1,ISNUMBER($B826)),AsAt-$B826,"")</f>
        <v/>
      </c>
      <c r="Q826" s="78" t="str">
        <f aca="false">IF($V826&lt;&gt;1,"",IF($P826="","No invoice date",IF($P826&lt;=30,"0–30 days",IF($P826&lt;=60,"31–60 days",IF($P826&lt;=90,"61–90 days","Over 90 days")))))</f>
        <v/>
      </c>
      <c r="R826" s="80" t="str">
        <f aca="false">IF($V826=1,ROW(),"")</f>
        <v/>
      </c>
      <c r="S826" s="80" t="str">
        <f aca="false">IF(OR($A826&lt;&gt;"",$E826&lt;&gt;""),IF(TRIM($D826)="","Buyer not noted",TRIM($D826)),"")</f>
        <v/>
      </c>
      <c r="T826" s="80" t="n">
        <f aca="false">IF(AND($V826=1,ISNUMBER($M826)),$M826,0)</f>
        <v>0</v>
      </c>
      <c r="U826" s="80" t="str">
        <f aca="false">IF($V826=1,IF(COUNTIFS($S$7:$S826,$S826,$V$7:$V826,1)=1,SUMIFS($T$7:$T$1006,$S$7:$S$1006,$S826)-ROW()/1000000000,""),"")</f>
        <v/>
      </c>
      <c r="V826" s="80" t="n">
        <f aca="false">IF(OR($O826="On hand",$O826="Advance received",$O826="Part realised",$O826="Amount missing"),1,0)</f>
        <v>0</v>
      </c>
      <c r="W826" s="80" t="str">
        <f aca="false">IF(AND($V826=1,N($F826)&gt;0),ROW(),"")</f>
        <v/>
      </c>
      <c r="X826" s="80" t="n">
        <f aca="false">IF(AND(OR($A826&lt;&gt;"",$E826&lt;&gt;""),$O826&lt;&gt;"Cancelled",ISNUMBER($E826),N($F826)+N($H826)&gt;$E826+0.005),1,0)</f>
        <v>0</v>
      </c>
      <c r="Y826" s="80" t="n">
        <f aca="false">IF(AND(OR($A826&lt;&gt;"",$E826&lt;&gt;""),OR($A826="",$E826="")),1,0)</f>
        <v>0</v>
      </c>
      <c r="Z826" s="80" t="n">
        <f aca="false">IF(AND($A826&lt;&gt;"",COUNTIF($A$7:$A$1006,$A826)&gt;1),1,0)</f>
        <v>0</v>
      </c>
    </row>
    <row r="827" customFormat="false" ht="15" hidden="false" customHeight="false" outlineLevel="0" collapsed="false">
      <c r="A827" s="71"/>
      <c r="B827" s="72"/>
      <c r="C827" s="73"/>
      <c r="D827" s="73"/>
      <c r="E827" s="74"/>
      <c r="F827" s="74"/>
      <c r="G827" s="72"/>
      <c r="H827" s="74"/>
      <c r="I827" s="72"/>
      <c r="J827" s="73"/>
      <c r="K827" s="73"/>
      <c r="L827" s="75" t="str">
        <f aca="false">IF(OR($A827&lt;&gt;"",$E827&lt;&gt;""),N($F827)+N($H827),"")</f>
        <v/>
      </c>
      <c r="M827" s="76" t="str">
        <f aca="false">IF(OR($O827="",$O827="Cancelled",$O827="Amount missing"),"",IF($O827="Realised",0,$E827-N($F827)-N($H827)))</f>
        <v/>
      </c>
      <c r="N827" s="77" t="str">
        <f aca="false">IF(OR($M827="",FX=""),"",$M827*FX)</f>
        <v/>
      </c>
      <c r="O827" s="78" t="str">
        <f aca="false">IF(NOT(OR($A827&lt;&gt;"",$E827&lt;&gt;"")),"",IF($J827="Cancelled","Cancelled",IF($E827="","Amount missing",IF(OR($J827="Settled",$E827-N($F827)-N($H827)&lt;=0.005),"Realised",IF(N($H827)&gt;0,"Part realised",IF(N($F827)&gt;0,"Advance received","On hand"))))))</f>
        <v/>
      </c>
      <c r="P827" s="79" t="str">
        <f aca="false">IF(AND($V827=1,ISNUMBER($B827)),AsAt-$B827,"")</f>
        <v/>
      </c>
      <c r="Q827" s="78" t="str">
        <f aca="false">IF($V827&lt;&gt;1,"",IF($P827="","No invoice date",IF($P827&lt;=30,"0–30 days",IF($P827&lt;=60,"31–60 days",IF($P827&lt;=90,"61–90 days","Over 90 days")))))</f>
        <v/>
      </c>
      <c r="R827" s="80" t="str">
        <f aca="false">IF($V827=1,ROW(),"")</f>
        <v/>
      </c>
      <c r="S827" s="80" t="str">
        <f aca="false">IF(OR($A827&lt;&gt;"",$E827&lt;&gt;""),IF(TRIM($D827)="","Buyer not noted",TRIM($D827)),"")</f>
        <v/>
      </c>
      <c r="T827" s="80" t="n">
        <f aca="false">IF(AND($V827=1,ISNUMBER($M827)),$M827,0)</f>
        <v>0</v>
      </c>
      <c r="U827" s="80" t="str">
        <f aca="false">IF($V827=1,IF(COUNTIFS($S$7:$S827,$S827,$V$7:$V827,1)=1,SUMIFS($T$7:$T$1006,$S$7:$S$1006,$S827)-ROW()/1000000000,""),"")</f>
        <v/>
      </c>
      <c r="V827" s="80" t="n">
        <f aca="false">IF(OR($O827="On hand",$O827="Advance received",$O827="Part realised",$O827="Amount missing"),1,0)</f>
        <v>0</v>
      </c>
      <c r="W827" s="80" t="str">
        <f aca="false">IF(AND($V827=1,N($F827)&gt;0),ROW(),"")</f>
        <v/>
      </c>
      <c r="X827" s="80" t="n">
        <f aca="false">IF(AND(OR($A827&lt;&gt;"",$E827&lt;&gt;""),$O827&lt;&gt;"Cancelled",ISNUMBER($E827),N($F827)+N($H827)&gt;$E827+0.005),1,0)</f>
        <v>0</v>
      </c>
      <c r="Y827" s="80" t="n">
        <f aca="false">IF(AND(OR($A827&lt;&gt;"",$E827&lt;&gt;""),OR($A827="",$E827="")),1,0)</f>
        <v>0</v>
      </c>
      <c r="Z827" s="80" t="n">
        <f aca="false">IF(AND($A827&lt;&gt;"",COUNTIF($A$7:$A$1006,$A827)&gt;1),1,0)</f>
        <v>0</v>
      </c>
    </row>
    <row r="828" customFormat="false" ht="15" hidden="false" customHeight="false" outlineLevel="0" collapsed="false">
      <c r="A828" s="71"/>
      <c r="B828" s="72"/>
      <c r="C828" s="73"/>
      <c r="D828" s="73"/>
      <c r="E828" s="74"/>
      <c r="F828" s="74"/>
      <c r="G828" s="72"/>
      <c r="H828" s="74"/>
      <c r="I828" s="72"/>
      <c r="J828" s="73"/>
      <c r="K828" s="73"/>
      <c r="L828" s="75" t="str">
        <f aca="false">IF(OR($A828&lt;&gt;"",$E828&lt;&gt;""),N($F828)+N($H828),"")</f>
        <v/>
      </c>
      <c r="M828" s="76" t="str">
        <f aca="false">IF(OR($O828="",$O828="Cancelled",$O828="Amount missing"),"",IF($O828="Realised",0,$E828-N($F828)-N($H828)))</f>
        <v/>
      </c>
      <c r="N828" s="77" t="str">
        <f aca="false">IF(OR($M828="",FX=""),"",$M828*FX)</f>
        <v/>
      </c>
      <c r="O828" s="78" t="str">
        <f aca="false">IF(NOT(OR($A828&lt;&gt;"",$E828&lt;&gt;"")),"",IF($J828="Cancelled","Cancelled",IF($E828="","Amount missing",IF(OR($J828="Settled",$E828-N($F828)-N($H828)&lt;=0.005),"Realised",IF(N($H828)&gt;0,"Part realised",IF(N($F828)&gt;0,"Advance received","On hand"))))))</f>
        <v/>
      </c>
      <c r="P828" s="79" t="str">
        <f aca="false">IF(AND($V828=1,ISNUMBER($B828)),AsAt-$B828,"")</f>
        <v/>
      </c>
      <c r="Q828" s="78" t="str">
        <f aca="false">IF($V828&lt;&gt;1,"",IF($P828="","No invoice date",IF($P828&lt;=30,"0–30 days",IF($P828&lt;=60,"31–60 days",IF($P828&lt;=90,"61–90 days","Over 90 days")))))</f>
        <v/>
      </c>
      <c r="R828" s="80" t="str">
        <f aca="false">IF($V828=1,ROW(),"")</f>
        <v/>
      </c>
      <c r="S828" s="80" t="str">
        <f aca="false">IF(OR($A828&lt;&gt;"",$E828&lt;&gt;""),IF(TRIM($D828)="","Buyer not noted",TRIM($D828)),"")</f>
        <v/>
      </c>
      <c r="T828" s="80" t="n">
        <f aca="false">IF(AND($V828=1,ISNUMBER($M828)),$M828,0)</f>
        <v>0</v>
      </c>
      <c r="U828" s="80" t="str">
        <f aca="false">IF($V828=1,IF(COUNTIFS($S$7:$S828,$S828,$V$7:$V828,1)=1,SUMIFS($T$7:$T$1006,$S$7:$S$1006,$S828)-ROW()/1000000000,""),"")</f>
        <v/>
      </c>
      <c r="V828" s="80" t="n">
        <f aca="false">IF(OR($O828="On hand",$O828="Advance received",$O828="Part realised",$O828="Amount missing"),1,0)</f>
        <v>0</v>
      </c>
      <c r="W828" s="80" t="str">
        <f aca="false">IF(AND($V828=1,N($F828)&gt;0),ROW(),"")</f>
        <v/>
      </c>
      <c r="X828" s="80" t="n">
        <f aca="false">IF(AND(OR($A828&lt;&gt;"",$E828&lt;&gt;""),$O828&lt;&gt;"Cancelled",ISNUMBER($E828),N($F828)+N($H828)&gt;$E828+0.005),1,0)</f>
        <v>0</v>
      </c>
      <c r="Y828" s="80" t="n">
        <f aca="false">IF(AND(OR($A828&lt;&gt;"",$E828&lt;&gt;""),OR($A828="",$E828="")),1,0)</f>
        <v>0</v>
      </c>
      <c r="Z828" s="80" t="n">
        <f aca="false">IF(AND($A828&lt;&gt;"",COUNTIF($A$7:$A$1006,$A828)&gt;1),1,0)</f>
        <v>0</v>
      </c>
    </row>
    <row r="829" customFormat="false" ht="15" hidden="false" customHeight="false" outlineLevel="0" collapsed="false">
      <c r="A829" s="71"/>
      <c r="B829" s="72"/>
      <c r="C829" s="73"/>
      <c r="D829" s="73"/>
      <c r="E829" s="74"/>
      <c r="F829" s="74"/>
      <c r="G829" s="72"/>
      <c r="H829" s="74"/>
      <c r="I829" s="72"/>
      <c r="J829" s="73"/>
      <c r="K829" s="73"/>
      <c r="L829" s="75" t="str">
        <f aca="false">IF(OR($A829&lt;&gt;"",$E829&lt;&gt;""),N($F829)+N($H829),"")</f>
        <v/>
      </c>
      <c r="M829" s="76" t="str">
        <f aca="false">IF(OR($O829="",$O829="Cancelled",$O829="Amount missing"),"",IF($O829="Realised",0,$E829-N($F829)-N($H829)))</f>
        <v/>
      </c>
      <c r="N829" s="77" t="str">
        <f aca="false">IF(OR($M829="",FX=""),"",$M829*FX)</f>
        <v/>
      </c>
      <c r="O829" s="78" t="str">
        <f aca="false">IF(NOT(OR($A829&lt;&gt;"",$E829&lt;&gt;"")),"",IF($J829="Cancelled","Cancelled",IF($E829="","Amount missing",IF(OR($J829="Settled",$E829-N($F829)-N($H829)&lt;=0.005),"Realised",IF(N($H829)&gt;0,"Part realised",IF(N($F829)&gt;0,"Advance received","On hand"))))))</f>
        <v/>
      </c>
      <c r="P829" s="79" t="str">
        <f aca="false">IF(AND($V829=1,ISNUMBER($B829)),AsAt-$B829,"")</f>
        <v/>
      </c>
      <c r="Q829" s="78" t="str">
        <f aca="false">IF($V829&lt;&gt;1,"",IF($P829="","No invoice date",IF($P829&lt;=30,"0–30 days",IF($P829&lt;=60,"31–60 days",IF($P829&lt;=90,"61–90 days","Over 90 days")))))</f>
        <v/>
      </c>
      <c r="R829" s="80" t="str">
        <f aca="false">IF($V829=1,ROW(),"")</f>
        <v/>
      </c>
      <c r="S829" s="80" t="str">
        <f aca="false">IF(OR($A829&lt;&gt;"",$E829&lt;&gt;""),IF(TRIM($D829)="","Buyer not noted",TRIM($D829)),"")</f>
        <v/>
      </c>
      <c r="T829" s="80" t="n">
        <f aca="false">IF(AND($V829=1,ISNUMBER($M829)),$M829,0)</f>
        <v>0</v>
      </c>
      <c r="U829" s="80" t="str">
        <f aca="false">IF($V829=1,IF(COUNTIFS($S$7:$S829,$S829,$V$7:$V829,1)=1,SUMIFS($T$7:$T$1006,$S$7:$S$1006,$S829)-ROW()/1000000000,""),"")</f>
        <v/>
      </c>
      <c r="V829" s="80" t="n">
        <f aca="false">IF(OR($O829="On hand",$O829="Advance received",$O829="Part realised",$O829="Amount missing"),1,0)</f>
        <v>0</v>
      </c>
      <c r="W829" s="80" t="str">
        <f aca="false">IF(AND($V829=1,N($F829)&gt;0),ROW(),"")</f>
        <v/>
      </c>
      <c r="X829" s="80" t="n">
        <f aca="false">IF(AND(OR($A829&lt;&gt;"",$E829&lt;&gt;""),$O829&lt;&gt;"Cancelled",ISNUMBER($E829),N($F829)+N($H829)&gt;$E829+0.005),1,0)</f>
        <v>0</v>
      </c>
      <c r="Y829" s="80" t="n">
        <f aca="false">IF(AND(OR($A829&lt;&gt;"",$E829&lt;&gt;""),OR($A829="",$E829="")),1,0)</f>
        <v>0</v>
      </c>
      <c r="Z829" s="80" t="n">
        <f aca="false">IF(AND($A829&lt;&gt;"",COUNTIF($A$7:$A$1006,$A829)&gt;1),1,0)</f>
        <v>0</v>
      </c>
    </row>
    <row r="830" customFormat="false" ht="15" hidden="false" customHeight="false" outlineLevel="0" collapsed="false">
      <c r="A830" s="71"/>
      <c r="B830" s="72"/>
      <c r="C830" s="73"/>
      <c r="D830" s="73"/>
      <c r="E830" s="74"/>
      <c r="F830" s="74"/>
      <c r="G830" s="72"/>
      <c r="H830" s="74"/>
      <c r="I830" s="72"/>
      <c r="J830" s="73"/>
      <c r="K830" s="73"/>
      <c r="L830" s="75" t="str">
        <f aca="false">IF(OR($A830&lt;&gt;"",$E830&lt;&gt;""),N($F830)+N($H830),"")</f>
        <v/>
      </c>
      <c r="M830" s="76" t="str">
        <f aca="false">IF(OR($O830="",$O830="Cancelled",$O830="Amount missing"),"",IF($O830="Realised",0,$E830-N($F830)-N($H830)))</f>
        <v/>
      </c>
      <c r="N830" s="77" t="str">
        <f aca="false">IF(OR($M830="",FX=""),"",$M830*FX)</f>
        <v/>
      </c>
      <c r="O830" s="78" t="str">
        <f aca="false">IF(NOT(OR($A830&lt;&gt;"",$E830&lt;&gt;"")),"",IF($J830="Cancelled","Cancelled",IF($E830="","Amount missing",IF(OR($J830="Settled",$E830-N($F830)-N($H830)&lt;=0.005),"Realised",IF(N($H830)&gt;0,"Part realised",IF(N($F830)&gt;0,"Advance received","On hand"))))))</f>
        <v/>
      </c>
      <c r="P830" s="79" t="str">
        <f aca="false">IF(AND($V830=1,ISNUMBER($B830)),AsAt-$B830,"")</f>
        <v/>
      </c>
      <c r="Q830" s="78" t="str">
        <f aca="false">IF($V830&lt;&gt;1,"",IF($P830="","No invoice date",IF($P830&lt;=30,"0–30 days",IF($P830&lt;=60,"31–60 days",IF($P830&lt;=90,"61–90 days","Over 90 days")))))</f>
        <v/>
      </c>
      <c r="R830" s="80" t="str">
        <f aca="false">IF($V830=1,ROW(),"")</f>
        <v/>
      </c>
      <c r="S830" s="80" t="str">
        <f aca="false">IF(OR($A830&lt;&gt;"",$E830&lt;&gt;""),IF(TRIM($D830)="","Buyer not noted",TRIM($D830)),"")</f>
        <v/>
      </c>
      <c r="T830" s="80" t="n">
        <f aca="false">IF(AND($V830=1,ISNUMBER($M830)),$M830,0)</f>
        <v>0</v>
      </c>
      <c r="U830" s="80" t="str">
        <f aca="false">IF($V830=1,IF(COUNTIFS($S$7:$S830,$S830,$V$7:$V830,1)=1,SUMIFS($T$7:$T$1006,$S$7:$S$1006,$S830)-ROW()/1000000000,""),"")</f>
        <v/>
      </c>
      <c r="V830" s="80" t="n">
        <f aca="false">IF(OR($O830="On hand",$O830="Advance received",$O830="Part realised",$O830="Amount missing"),1,0)</f>
        <v>0</v>
      </c>
      <c r="W830" s="80" t="str">
        <f aca="false">IF(AND($V830=1,N($F830)&gt;0),ROW(),"")</f>
        <v/>
      </c>
      <c r="X830" s="80" t="n">
        <f aca="false">IF(AND(OR($A830&lt;&gt;"",$E830&lt;&gt;""),$O830&lt;&gt;"Cancelled",ISNUMBER($E830),N($F830)+N($H830)&gt;$E830+0.005),1,0)</f>
        <v>0</v>
      </c>
      <c r="Y830" s="80" t="n">
        <f aca="false">IF(AND(OR($A830&lt;&gt;"",$E830&lt;&gt;""),OR($A830="",$E830="")),1,0)</f>
        <v>0</v>
      </c>
      <c r="Z830" s="80" t="n">
        <f aca="false">IF(AND($A830&lt;&gt;"",COUNTIF($A$7:$A$1006,$A830)&gt;1),1,0)</f>
        <v>0</v>
      </c>
    </row>
    <row r="831" customFormat="false" ht="15" hidden="false" customHeight="false" outlineLevel="0" collapsed="false">
      <c r="A831" s="71"/>
      <c r="B831" s="72"/>
      <c r="C831" s="73"/>
      <c r="D831" s="73"/>
      <c r="E831" s="74"/>
      <c r="F831" s="74"/>
      <c r="G831" s="72"/>
      <c r="H831" s="74"/>
      <c r="I831" s="72"/>
      <c r="J831" s="73"/>
      <c r="K831" s="73"/>
      <c r="L831" s="75" t="str">
        <f aca="false">IF(OR($A831&lt;&gt;"",$E831&lt;&gt;""),N($F831)+N($H831),"")</f>
        <v/>
      </c>
      <c r="M831" s="76" t="str">
        <f aca="false">IF(OR($O831="",$O831="Cancelled",$O831="Amount missing"),"",IF($O831="Realised",0,$E831-N($F831)-N($H831)))</f>
        <v/>
      </c>
      <c r="N831" s="77" t="str">
        <f aca="false">IF(OR($M831="",FX=""),"",$M831*FX)</f>
        <v/>
      </c>
      <c r="O831" s="78" t="str">
        <f aca="false">IF(NOT(OR($A831&lt;&gt;"",$E831&lt;&gt;"")),"",IF($J831="Cancelled","Cancelled",IF($E831="","Amount missing",IF(OR($J831="Settled",$E831-N($F831)-N($H831)&lt;=0.005),"Realised",IF(N($H831)&gt;0,"Part realised",IF(N($F831)&gt;0,"Advance received","On hand"))))))</f>
        <v/>
      </c>
      <c r="P831" s="79" t="str">
        <f aca="false">IF(AND($V831=1,ISNUMBER($B831)),AsAt-$B831,"")</f>
        <v/>
      </c>
      <c r="Q831" s="78" t="str">
        <f aca="false">IF($V831&lt;&gt;1,"",IF($P831="","No invoice date",IF($P831&lt;=30,"0–30 days",IF($P831&lt;=60,"31–60 days",IF($P831&lt;=90,"61–90 days","Over 90 days")))))</f>
        <v/>
      </c>
      <c r="R831" s="80" t="str">
        <f aca="false">IF($V831=1,ROW(),"")</f>
        <v/>
      </c>
      <c r="S831" s="80" t="str">
        <f aca="false">IF(OR($A831&lt;&gt;"",$E831&lt;&gt;""),IF(TRIM($D831)="","Buyer not noted",TRIM($D831)),"")</f>
        <v/>
      </c>
      <c r="T831" s="80" t="n">
        <f aca="false">IF(AND($V831=1,ISNUMBER($M831)),$M831,0)</f>
        <v>0</v>
      </c>
      <c r="U831" s="80" t="str">
        <f aca="false">IF($V831=1,IF(COUNTIFS($S$7:$S831,$S831,$V$7:$V831,1)=1,SUMIFS($T$7:$T$1006,$S$7:$S$1006,$S831)-ROW()/1000000000,""),"")</f>
        <v/>
      </c>
      <c r="V831" s="80" t="n">
        <f aca="false">IF(OR($O831="On hand",$O831="Advance received",$O831="Part realised",$O831="Amount missing"),1,0)</f>
        <v>0</v>
      </c>
      <c r="W831" s="80" t="str">
        <f aca="false">IF(AND($V831=1,N($F831)&gt;0),ROW(),"")</f>
        <v/>
      </c>
      <c r="X831" s="80" t="n">
        <f aca="false">IF(AND(OR($A831&lt;&gt;"",$E831&lt;&gt;""),$O831&lt;&gt;"Cancelled",ISNUMBER($E831),N($F831)+N($H831)&gt;$E831+0.005),1,0)</f>
        <v>0</v>
      </c>
      <c r="Y831" s="80" t="n">
        <f aca="false">IF(AND(OR($A831&lt;&gt;"",$E831&lt;&gt;""),OR($A831="",$E831="")),1,0)</f>
        <v>0</v>
      </c>
      <c r="Z831" s="80" t="n">
        <f aca="false">IF(AND($A831&lt;&gt;"",COUNTIF($A$7:$A$1006,$A831)&gt;1),1,0)</f>
        <v>0</v>
      </c>
    </row>
    <row r="832" customFormat="false" ht="15" hidden="false" customHeight="false" outlineLevel="0" collapsed="false">
      <c r="A832" s="71"/>
      <c r="B832" s="72"/>
      <c r="C832" s="73"/>
      <c r="D832" s="73"/>
      <c r="E832" s="74"/>
      <c r="F832" s="74"/>
      <c r="G832" s="72"/>
      <c r="H832" s="74"/>
      <c r="I832" s="72"/>
      <c r="J832" s="73"/>
      <c r="K832" s="73"/>
      <c r="L832" s="75" t="str">
        <f aca="false">IF(OR($A832&lt;&gt;"",$E832&lt;&gt;""),N($F832)+N($H832),"")</f>
        <v/>
      </c>
      <c r="M832" s="76" t="str">
        <f aca="false">IF(OR($O832="",$O832="Cancelled",$O832="Amount missing"),"",IF($O832="Realised",0,$E832-N($F832)-N($H832)))</f>
        <v/>
      </c>
      <c r="N832" s="77" t="str">
        <f aca="false">IF(OR($M832="",FX=""),"",$M832*FX)</f>
        <v/>
      </c>
      <c r="O832" s="78" t="str">
        <f aca="false">IF(NOT(OR($A832&lt;&gt;"",$E832&lt;&gt;"")),"",IF($J832="Cancelled","Cancelled",IF($E832="","Amount missing",IF(OR($J832="Settled",$E832-N($F832)-N($H832)&lt;=0.005),"Realised",IF(N($H832)&gt;0,"Part realised",IF(N($F832)&gt;0,"Advance received","On hand"))))))</f>
        <v/>
      </c>
      <c r="P832" s="79" t="str">
        <f aca="false">IF(AND($V832=1,ISNUMBER($B832)),AsAt-$B832,"")</f>
        <v/>
      </c>
      <c r="Q832" s="78" t="str">
        <f aca="false">IF($V832&lt;&gt;1,"",IF($P832="","No invoice date",IF($P832&lt;=30,"0–30 days",IF($P832&lt;=60,"31–60 days",IF($P832&lt;=90,"61–90 days","Over 90 days")))))</f>
        <v/>
      </c>
      <c r="R832" s="80" t="str">
        <f aca="false">IF($V832=1,ROW(),"")</f>
        <v/>
      </c>
      <c r="S832" s="80" t="str">
        <f aca="false">IF(OR($A832&lt;&gt;"",$E832&lt;&gt;""),IF(TRIM($D832)="","Buyer not noted",TRIM($D832)),"")</f>
        <v/>
      </c>
      <c r="T832" s="80" t="n">
        <f aca="false">IF(AND($V832=1,ISNUMBER($M832)),$M832,0)</f>
        <v>0</v>
      </c>
      <c r="U832" s="80" t="str">
        <f aca="false">IF($V832=1,IF(COUNTIFS($S$7:$S832,$S832,$V$7:$V832,1)=1,SUMIFS($T$7:$T$1006,$S$7:$S$1006,$S832)-ROW()/1000000000,""),"")</f>
        <v/>
      </c>
      <c r="V832" s="80" t="n">
        <f aca="false">IF(OR($O832="On hand",$O832="Advance received",$O832="Part realised",$O832="Amount missing"),1,0)</f>
        <v>0</v>
      </c>
      <c r="W832" s="80" t="str">
        <f aca="false">IF(AND($V832=1,N($F832)&gt;0),ROW(),"")</f>
        <v/>
      </c>
      <c r="X832" s="80" t="n">
        <f aca="false">IF(AND(OR($A832&lt;&gt;"",$E832&lt;&gt;""),$O832&lt;&gt;"Cancelled",ISNUMBER($E832),N($F832)+N($H832)&gt;$E832+0.005),1,0)</f>
        <v>0</v>
      </c>
      <c r="Y832" s="80" t="n">
        <f aca="false">IF(AND(OR($A832&lt;&gt;"",$E832&lt;&gt;""),OR($A832="",$E832="")),1,0)</f>
        <v>0</v>
      </c>
      <c r="Z832" s="80" t="n">
        <f aca="false">IF(AND($A832&lt;&gt;"",COUNTIF($A$7:$A$1006,$A832)&gt;1),1,0)</f>
        <v>0</v>
      </c>
    </row>
    <row r="833" customFormat="false" ht="15" hidden="false" customHeight="false" outlineLevel="0" collapsed="false">
      <c r="A833" s="71"/>
      <c r="B833" s="72"/>
      <c r="C833" s="73"/>
      <c r="D833" s="73"/>
      <c r="E833" s="74"/>
      <c r="F833" s="74"/>
      <c r="G833" s="72"/>
      <c r="H833" s="74"/>
      <c r="I833" s="72"/>
      <c r="J833" s="73"/>
      <c r="K833" s="73"/>
      <c r="L833" s="75" t="str">
        <f aca="false">IF(OR($A833&lt;&gt;"",$E833&lt;&gt;""),N($F833)+N($H833),"")</f>
        <v/>
      </c>
      <c r="M833" s="76" t="str">
        <f aca="false">IF(OR($O833="",$O833="Cancelled",$O833="Amount missing"),"",IF($O833="Realised",0,$E833-N($F833)-N($H833)))</f>
        <v/>
      </c>
      <c r="N833" s="77" t="str">
        <f aca="false">IF(OR($M833="",FX=""),"",$M833*FX)</f>
        <v/>
      </c>
      <c r="O833" s="78" t="str">
        <f aca="false">IF(NOT(OR($A833&lt;&gt;"",$E833&lt;&gt;"")),"",IF($J833="Cancelled","Cancelled",IF($E833="","Amount missing",IF(OR($J833="Settled",$E833-N($F833)-N($H833)&lt;=0.005),"Realised",IF(N($H833)&gt;0,"Part realised",IF(N($F833)&gt;0,"Advance received","On hand"))))))</f>
        <v/>
      </c>
      <c r="P833" s="79" t="str">
        <f aca="false">IF(AND($V833=1,ISNUMBER($B833)),AsAt-$B833,"")</f>
        <v/>
      </c>
      <c r="Q833" s="78" t="str">
        <f aca="false">IF($V833&lt;&gt;1,"",IF($P833="","No invoice date",IF($P833&lt;=30,"0–30 days",IF($P833&lt;=60,"31–60 days",IF($P833&lt;=90,"61–90 days","Over 90 days")))))</f>
        <v/>
      </c>
      <c r="R833" s="80" t="str">
        <f aca="false">IF($V833=1,ROW(),"")</f>
        <v/>
      </c>
      <c r="S833" s="80" t="str">
        <f aca="false">IF(OR($A833&lt;&gt;"",$E833&lt;&gt;""),IF(TRIM($D833)="","Buyer not noted",TRIM($D833)),"")</f>
        <v/>
      </c>
      <c r="T833" s="80" t="n">
        <f aca="false">IF(AND($V833=1,ISNUMBER($M833)),$M833,0)</f>
        <v>0</v>
      </c>
      <c r="U833" s="80" t="str">
        <f aca="false">IF($V833=1,IF(COUNTIFS($S$7:$S833,$S833,$V$7:$V833,1)=1,SUMIFS($T$7:$T$1006,$S$7:$S$1006,$S833)-ROW()/1000000000,""),"")</f>
        <v/>
      </c>
      <c r="V833" s="80" t="n">
        <f aca="false">IF(OR($O833="On hand",$O833="Advance received",$O833="Part realised",$O833="Amount missing"),1,0)</f>
        <v>0</v>
      </c>
      <c r="W833" s="80" t="str">
        <f aca="false">IF(AND($V833=1,N($F833)&gt;0),ROW(),"")</f>
        <v/>
      </c>
      <c r="X833" s="80" t="n">
        <f aca="false">IF(AND(OR($A833&lt;&gt;"",$E833&lt;&gt;""),$O833&lt;&gt;"Cancelled",ISNUMBER($E833),N($F833)+N($H833)&gt;$E833+0.005),1,0)</f>
        <v>0</v>
      </c>
      <c r="Y833" s="80" t="n">
        <f aca="false">IF(AND(OR($A833&lt;&gt;"",$E833&lt;&gt;""),OR($A833="",$E833="")),1,0)</f>
        <v>0</v>
      </c>
      <c r="Z833" s="80" t="n">
        <f aca="false">IF(AND($A833&lt;&gt;"",COUNTIF($A$7:$A$1006,$A833)&gt;1),1,0)</f>
        <v>0</v>
      </c>
    </row>
    <row r="834" customFormat="false" ht="15" hidden="false" customHeight="false" outlineLevel="0" collapsed="false">
      <c r="A834" s="71"/>
      <c r="B834" s="72"/>
      <c r="C834" s="73"/>
      <c r="D834" s="73"/>
      <c r="E834" s="74"/>
      <c r="F834" s="74"/>
      <c r="G834" s="72"/>
      <c r="H834" s="74"/>
      <c r="I834" s="72"/>
      <c r="J834" s="73"/>
      <c r="K834" s="73"/>
      <c r="L834" s="75" t="str">
        <f aca="false">IF(OR($A834&lt;&gt;"",$E834&lt;&gt;""),N($F834)+N($H834),"")</f>
        <v/>
      </c>
      <c r="M834" s="76" t="str">
        <f aca="false">IF(OR($O834="",$O834="Cancelled",$O834="Amount missing"),"",IF($O834="Realised",0,$E834-N($F834)-N($H834)))</f>
        <v/>
      </c>
      <c r="N834" s="77" t="str">
        <f aca="false">IF(OR($M834="",FX=""),"",$M834*FX)</f>
        <v/>
      </c>
      <c r="O834" s="78" t="str">
        <f aca="false">IF(NOT(OR($A834&lt;&gt;"",$E834&lt;&gt;"")),"",IF($J834="Cancelled","Cancelled",IF($E834="","Amount missing",IF(OR($J834="Settled",$E834-N($F834)-N($H834)&lt;=0.005),"Realised",IF(N($H834)&gt;0,"Part realised",IF(N($F834)&gt;0,"Advance received","On hand"))))))</f>
        <v/>
      </c>
      <c r="P834" s="79" t="str">
        <f aca="false">IF(AND($V834=1,ISNUMBER($B834)),AsAt-$B834,"")</f>
        <v/>
      </c>
      <c r="Q834" s="78" t="str">
        <f aca="false">IF($V834&lt;&gt;1,"",IF($P834="","No invoice date",IF($P834&lt;=30,"0–30 days",IF($P834&lt;=60,"31–60 days",IF($P834&lt;=90,"61–90 days","Over 90 days")))))</f>
        <v/>
      </c>
      <c r="R834" s="80" t="str">
        <f aca="false">IF($V834=1,ROW(),"")</f>
        <v/>
      </c>
      <c r="S834" s="80" t="str">
        <f aca="false">IF(OR($A834&lt;&gt;"",$E834&lt;&gt;""),IF(TRIM($D834)="","Buyer not noted",TRIM($D834)),"")</f>
        <v/>
      </c>
      <c r="T834" s="80" t="n">
        <f aca="false">IF(AND($V834=1,ISNUMBER($M834)),$M834,0)</f>
        <v>0</v>
      </c>
      <c r="U834" s="80" t="str">
        <f aca="false">IF($V834=1,IF(COUNTIFS($S$7:$S834,$S834,$V$7:$V834,1)=1,SUMIFS($T$7:$T$1006,$S$7:$S$1006,$S834)-ROW()/1000000000,""),"")</f>
        <v/>
      </c>
      <c r="V834" s="80" t="n">
        <f aca="false">IF(OR($O834="On hand",$O834="Advance received",$O834="Part realised",$O834="Amount missing"),1,0)</f>
        <v>0</v>
      </c>
      <c r="W834" s="80" t="str">
        <f aca="false">IF(AND($V834=1,N($F834)&gt;0),ROW(),"")</f>
        <v/>
      </c>
      <c r="X834" s="80" t="n">
        <f aca="false">IF(AND(OR($A834&lt;&gt;"",$E834&lt;&gt;""),$O834&lt;&gt;"Cancelled",ISNUMBER($E834),N($F834)+N($H834)&gt;$E834+0.005),1,0)</f>
        <v>0</v>
      </c>
      <c r="Y834" s="80" t="n">
        <f aca="false">IF(AND(OR($A834&lt;&gt;"",$E834&lt;&gt;""),OR($A834="",$E834="")),1,0)</f>
        <v>0</v>
      </c>
      <c r="Z834" s="80" t="n">
        <f aca="false">IF(AND($A834&lt;&gt;"",COUNTIF($A$7:$A$1006,$A834)&gt;1),1,0)</f>
        <v>0</v>
      </c>
    </row>
    <row r="835" customFormat="false" ht="15" hidden="false" customHeight="false" outlineLevel="0" collapsed="false">
      <c r="A835" s="71"/>
      <c r="B835" s="72"/>
      <c r="C835" s="73"/>
      <c r="D835" s="73"/>
      <c r="E835" s="74"/>
      <c r="F835" s="74"/>
      <c r="G835" s="72"/>
      <c r="H835" s="74"/>
      <c r="I835" s="72"/>
      <c r="J835" s="73"/>
      <c r="K835" s="73"/>
      <c r="L835" s="75" t="str">
        <f aca="false">IF(OR($A835&lt;&gt;"",$E835&lt;&gt;""),N($F835)+N($H835),"")</f>
        <v/>
      </c>
      <c r="M835" s="76" t="str">
        <f aca="false">IF(OR($O835="",$O835="Cancelled",$O835="Amount missing"),"",IF($O835="Realised",0,$E835-N($F835)-N($H835)))</f>
        <v/>
      </c>
      <c r="N835" s="77" t="str">
        <f aca="false">IF(OR($M835="",FX=""),"",$M835*FX)</f>
        <v/>
      </c>
      <c r="O835" s="78" t="str">
        <f aca="false">IF(NOT(OR($A835&lt;&gt;"",$E835&lt;&gt;"")),"",IF($J835="Cancelled","Cancelled",IF($E835="","Amount missing",IF(OR($J835="Settled",$E835-N($F835)-N($H835)&lt;=0.005),"Realised",IF(N($H835)&gt;0,"Part realised",IF(N($F835)&gt;0,"Advance received","On hand"))))))</f>
        <v/>
      </c>
      <c r="P835" s="79" t="str">
        <f aca="false">IF(AND($V835=1,ISNUMBER($B835)),AsAt-$B835,"")</f>
        <v/>
      </c>
      <c r="Q835" s="78" t="str">
        <f aca="false">IF($V835&lt;&gt;1,"",IF($P835="","No invoice date",IF($P835&lt;=30,"0–30 days",IF($P835&lt;=60,"31–60 days",IF($P835&lt;=90,"61–90 days","Over 90 days")))))</f>
        <v/>
      </c>
      <c r="R835" s="80" t="str">
        <f aca="false">IF($V835=1,ROW(),"")</f>
        <v/>
      </c>
      <c r="S835" s="80" t="str">
        <f aca="false">IF(OR($A835&lt;&gt;"",$E835&lt;&gt;""),IF(TRIM($D835)="","Buyer not noted",TRIM($D835)),"")</f>
        <v/>
      </c>
      <c r="T835" s="80" t="n">
        <f aca="false">IF(AND($V835=1,ISNUMBER($M835)),$M835,0)</f>
        <v>0</v>
      </c>
      <c r="U835" s="80" t="str">
        <f aca="false">IF($V835=1,IF(COUNTIFS($S$7:$S835,$S835,$V$7:$V835,1)=1,SUMIFS($T$7:$T$1006,$S$7:$S$1006,$S835)-ROW()/1000000000,""),"")</f>
        <v/>
      </c>
      <c r="V835" s="80" t="n">
        <f aca="false">IF(OR($O835="On hand",$O835="Advance received",$O835="Part realised",$O835="Amount missing"),1,0)</f>
        <v>0</v>
      </c>
      <c r="W835" s="80" t="str">
        <f aca="false">IF(AND($V835=1,N($F835)&gt;0),ROW(),"")</f>
        <v/>
      </c>
      <c r="X835" s="80" t="n">
        <f aca="false">IF(AND(OR($A835&lt;&gt;"",$E835&lt;&gt;""),$O835&lt;&gt;"Cancelled",ISNUMBER($E835),N($F835)+N($H835)&gt;$E835+0.005),1,0)</f>
        <v>0</v>
      </c>
      <c r="Y835" s="80" t="n">
        <f aca="false">IF(AND(OR($A835&lt;&gt;"",$E835&lt;&gt;""),OR($A835="",$E835="")),1,0)</f>
        <v>0</v>
      </c>
      <c r="Z835" s="80" t="n">
        <f aca="false">IF(AND($A835&lt;&gt;"",COUNTIF($A$7:$A$1006,$A835)&gt;1),1,0)</f>
        <v>0</v>
      </c>
    </row>
    <row r="836" customFormat="false" ht="15" hidden="false" customHeight="false" outlineLevel="0" collapsed="false">
      <c r="A836" s="71"/>
      <c r="B836" s="72"/>
      <c r="C836" s="73"/>
      <c r="D836" s="73"/>
      <c r="E836" s="74"/>
      <c r="F836" s="74"/>
      <c r="G836" s="72"/>
      <c r="H836" s="74"/>
      <c r="I836" s="72"/>
      <c r="J836" s="73"/>
      <c r="K836" s="73"/>
      <c r="L836" s="75" t="str">
        <f aca="false">IF(OR($A836&lt;&gt;"",$E836&lt;&gt;""),N($F836)+N($H836),"")</f>
        <v/>
      </c>
      <c r="M836" s="76" t="str">
        <f aca="false">IF(OR($O836="",$O836="Cancelled",$O836="Amount missing"),"",IF($O836="Realised",0,$E836-N($F836)-N($H836)))</f>
        <v/>
      </c>
      <c r="N836" s="77" t="str">
        <f aca="false">IF(OR($M836="",FX=""),"",$M836*FX)</f>
        <v/>
      </c>
      <c r="O836" s="78" t="str">
        <f aca="false">IF(NOT(OR($A836&lt;&gt;"",$E836&lt;&gt;"")),"",IF($J836="Cancelled","Cancelled",IF($E836="","Amount missing",IF(OR($J836="Settled",$E836-N($F836)-N($H836)&lt;=0.005),"Realised",IF(N($H836)&gt;0,"Part realised",IF(N($F836)&gt;0,"Advance received","On hand"))))))</f>
        <v/>
      </c>
      <c r="P836" s="79" t="str">
        <f aca="false">IF(AND($V836=1,ISNUMBER($B836)),AsAt-$B836,"")</f>
        <v/>
      </c>
      <c r="Q836" s="78" t="str">
        <f aca="false">IF($V836&lt;&gt;1,"",IF($P836="","No invoice date",IF($P836&lt;=30,"0–30 days",IF($P836&lt;=60,"31–60 days",IF($P836&lt;=90,"61–90 days","Over 90 days")))))</f>
        <v/>
      </c>
      <c r="R836" s="80" t="str">
        <f aca="false">IF($V836=1,ROW(),"")</f>
        <v/>
      </c>
      <c r="S836" s="80" t="str">
        <f aca="false">IF(OR($A836&lt;&gt;"",$E836&lt;&gt;""),IF(TRIM($D836)="","Buyer not noted",TRIM($D836)),"")</f>
        <v/>
      </c>
      <c r="T836" s="80" t="n">
        <f aca="false">IF(AND($V836=1,ISNUMBER($M836)),$M836,0)</f>
        <v>0</v>
      </c>
      <c r="U836" s="80" t="str">
        <f aca="false">IF($V836=1,IF(COUNTIFS($S$7:$S836,$S836,$V$7:$V836,1)=1,SUMIFS($T$7:$T$1006,$S$7:$S$1006,$S836)-ROW()/1000000000,""),"")</f>
        <v/>
      </c>
      <c r="V836" s="80" t="n">
        <f aca="false">IF(OR($O836="On hand",$O836="Advance received",$O836="Part realised",$O836="Amount missing"),1,0)</f>
        <v>0</v>
      </c>
      <c r="W836" s="80" t="str">
        <f aca="false">IF(AND($V836=1,N($F836)&gt;0),ROW(),"")</f>
        <v/>
      </c>
      <c r="X836" s="80" t="n">
        <f aca="false">IF(AND(OR($A836&lt;&gt;"",$E836&lt;&gt;""),$O836&lt;&gt;"Cancelled",ISNUMBER($E836),N($F836)+N($H836)&gt;$E836+0.005),1,0)</f>
        <v>0</v>
      </c>
      <c r="Y836" s="80" t="n">
        <f aca="false">IF(AND(OR($A836&lt;&gt;"",$E836&lt;&gt;""),OR($A836="",$E836="")),1,0)</f>
        <v>0</v>
      </c>
      <c r="Z836" s="80" t="n">
        <f aca="false">IF(AND($A836&lt;&gt;"",COUNTIF($A$7:$A$1006,$A836)&gt;1),1,0)</f>
        <v>0</v>
      </c>
    </row>
    <row r="837" customFormat="false" ht="15" hidden="false" customHeight="false" outlineLevel="0" collapsed="false">
      <c r="A837" s="71"/>
      <c r="B837" s="72"/>
      <c r="C837" s="73"/>
      <c r="D837" s="73"/>
      <c r="E837" s="74"/>
      <c r="F837" s="74"/>
      <c r="G837" s="72"/>
      <c r="H837" s="74"/>
      <c r="I837" s="72"/>
      <c r="J837" s="73"/>
      <c r="K837" s="73"/>
      <c r="L837" s="75" t="str">
        <f aca="false">IF(OR($A837&lt;&gt;"",$E837&lt;&gt;""),N($F837)+N($H837),"")</f>
        <v/>
      </c>
      <c r="M837" s="76" t="str">
        <f aca="false">IF(OR($O837="",$O837="Cancelled",$O837="Amount missing"),"",IF($O837="Realised",0,$E837-N($F837)-N($H837)))</f>
        <v/>
      </c>
      <c r="N837" s="77" t="str">
        <f aca="false">IF(OR($M837="",FX=""),"",$M837*FX)</f>
        <v/>
      </c>
      <c r="O837" s="78" t="str">
        <f aca="false">IF(NOT(OR($A837&lt;&gt;"",$E837&lt;&gt;"")),"",IF($J837="Cancelled","Cancelled",IF($E837="","Amount missing",IF(OR($J837="Settled",$E837-N($F837)-N($H837)&lt;=0.005),"Realised",IF(N($H837)&gt;0,"Part realised",IF(N($F837)&gt;0,"Advance received","On hand"))))))</f>
        <v/>
      </c>
      <c r="P837" s="79" t="str">
        <f aca="false">IF(AND($V837=1,ISNUMBER($B837)),AsAt-$B837,"")</f>
        <v/>
      </c>
      <c r="Q837" s="78" t="str">
        <f aca="false">IF($V837&lt;&gt;1,"",IF($P837="","No invoice date",IF($P837&lt;=30,"0–30 days",IF($P837&lt;=60,"31–60 days",IF($P837&lt;=90,"61–90 days","Over 90 days")))))</f>
        <v/>
      </c>
      <c r="R837" s="80" t="str">
        <f aca="false">IF($V837=1,ROW(),"")</f>
        <v/>
      </c>
      <c r="S837" s="80" t="str">
        <f aca="false">IF(OR($A837&lt;&gt;"",$E837&lt;&gt;""),IF(TRIM($D837)="","Buyer not noted",TRIM($D837)),"")</f>
        <v/>
      </c>
      <c r="T837" s="80" t="n">
        <f aca="false">IF(AND($V837=1,ISNUMBER($M837)),$M837,0)</f>
        <v>0</v>
      </c>
      <c r="U837" s="80" t="str">
        <f aca="false">IF($V837=1,IF(COUNTIFS($S$7:$S837,$S837,$V$7:$V837,1)=1,SUMIFS($T$7:$T$1006,$S$7:$S$1006,$S837)-ROW()/1000000000,""),"")</f>
        <v/>
      </c>
      <c r="V837" s="80" t="n">
        <f aca="false">IF(OR($O837="On hand",$O837="Advance received",$O837="Part realised",$O837="Amount missing"),1,0)</f>
        <v>0</v>
      </c>
      <c r="W837" s="80" t="str">
        <f aca="false">IF(AND($V837=1,N($F837)&gt;0),ROW(),"")</f>
        <v/>
      </c>
      <c r="X837" s="80" t="n">
        <f aca="false">IF(AND(OR($A837&lt;&gt;"",$E837&lt;&gt;""),$O837&lt;&gt;"Cancelled",ISNUMBER($E837),N($F837)+N($H837)&gt;$E837+0.005),1,0)</f>
        <v>0</v>
      </c>
      <c r="Y837" s="80" t="n">
        <f aca="false">IF(AND(OR($A837&lt;&gt;"",$E837&lt;&gt;""),OR($A837="",$E837="")),1,0)</f>
        <v>0</v>
      </c>
      <c r="Z837" s="80" t="n">
        <f aca="false">IF(AND($A837&lt;&gt;"",COUNTIF($A$7:$A$1006,$A837)&gt;1),1,0)</f>
        <v>0</v>
      </c>
    </row>
    <row r="838" customFormat="false" ht="15" hidden="false" customHeight="false" outlineLevel="0" collapsed="false">
      <c r="A838" s="71"/>
      <c r="B838" s="72"/>
      <c r="C838" s="73"/>
      <c r="D838" s="73"/>
      <c r="E838" s="74"/>
      <c r="F838" s="74"/>
      <c r="G838" s="72"/>
      <c r="H838" s="74"/>
      <c r="I838" s="72"/>
      <c r="J838" s="73"/>
      <c r="K838" s="73"/>
      <c r="L838" s="75" t="str">
        <f aca="false">IF(OR($A838&lt;&gt;"",$E838&lt;&gt;""),N($F838)+N($H838),"")</f>
        <v/>
      </c>
      <c r="M838" s="76" t="str">
        <f aca="false">IF(OR($O838="",$O838="Cancelled",$O838="Amount missing"),"",IF($O838="Realised",0,$E838-N($F838)-N($H838)))</f>
        <v/>
      </c>
      <c r="N838" s="77" t="str">
        <f aca="false">IF(OR($M838="",FX=""),"",$M838*FX)</f>
        <v/>
      </c>
      <c r="O838" s="78" t="str">
        <f aca="false">IF(NOT(OR($A838&lt;&gt;"",$E838&lt;&gt;"")),"",IF($J838="Cancelled","Cancelled",IF($E838="","Amount missing",IF(OR($J838="Settled",$E838-N($F838)-N($H838)&lt;=0.005),"Realised",IF(N($H838)&gt;0,"Part realised",IF(N($F838)&gt;0,"Advance received","On hand"))))))</f>
        <v/>
      </c>
      <c r="P838" s="79" t="str">
        <f aca="false">IF(AND($V838=1,ISNUMBER($B838)),AsAt-$B838,"")</f>
        <v/>
      </c>
      <c r="Q838" s="78" t="str">
        <f aca="false">IF($V838&lt;&gt;1,"",IF($P838="","No invoice date",IF($P838&lt;=30,"0–30 days",IF($P838&lt;=60,"31–60 days",IF($P838&lt;=90,"61–90 days","Over 90 days")))))</f>
        <v/>
      </c>
      <c r="R838" s="80" t="str">
        <f aca="false">IF($V838=1,ROW(),"")</f>
        <v/>
      </c>
      <c r="S838" s="80" t="str">
        <f aca="false">IF(OR($A838&lt;&gt;"",$E838&lt;&gt;""),IF(TRIM($D838)="","Buyer not noted",TRIM($D838)),"")</f>
        <v/>
      </c>
      <c r="T838" s="80" t="n">
        <f aca="false">IF(AND($V838=1,ISNUMBER($M838)),$M838,0)</f>
        <v>0</v>
      </c>
      <c r="U838" s="80" t="str">
        <f aca="false">IF($V838=1,IF(COUNTIFS($S$7:$S838,$S838,$V$7:$V838,1)=1,SUMIFS($T$7:$T$1006,$S$7:$S$1006,$S838)-ROW()/1000000000,""),"")</f>
        <v/>
      </c>
      <c r="V838" s="80" t="n">
        <f aca="false">IF(OR($O838="On hand",$O838="Advance received",$O838="Part realised",$O838="Amount missing"),1,0)</f>
        <v>0</v>
      </c>
      <c r="W838" s="80" t="str">
        <f aca="false">IF(AND($V838=1,N($F838)&gt;0),ROW(),"")</f>
        <v/>
      </c>
      <c r="X838" s="80" t="n">
        <f aca="false">IF(AND(OR($A838&lt;&gt;"",$E838&lt;&gt;""),$O838&lt;&gt;"Cancelled",ISNUMBER($E838),N($F838)+N($H838)&gt;$E838+0.005),1,0)</f>
        <v>0</v>
      </c>
      <c r="Y838" s="80" t="n">
        <f aca="false">IF(AND(OR($A838&lt;&gt;"",$E838&lt;&gt;""),OR($A838="",$E838="")),1,0)</f>
        <v>0</v>
      </c>
      <c r="Z838" s="80" t="n">
        <f aca="false">IF(AND($A838&lt;&gt;"",COUNTIF($A$7:$A$1006,$A838)&gt;1),1,0)</f>
        <v>0</v>
      </c>
    </row>
    <row r="839" customFormat="false" ht="15" hidden="false" customHeight="false" outlineLevel="0" collapsed="false">
      <c r="A839" s="71"/>
      <c r="B839" s="72"/>
      <c r="C839" s="73"/>
      <c r="D839" s="73"/>
      <c r="E839" s="74"/>
      <c r="F839" s="74"/>
      <c r="G839" s="72"/>
      <c r="H839" s="74"/>
      <c r="I839" s="72"/>
      <c r="J839" s="73"/>
      <c r="K839" s="73"/>
      <c r="L839" s="75" t="str">
        <f aca="false">IF(OR($A839&lt;&gt;"",$E839&lt;&gt;""),N($F839)+N($H839),"")</f>
        <v/>
      </c>
      <c r="M839" s="76" t="str">
        <f aca="false">IF(OR($O839="",$O839="Cancelled",$O839="Amount missing"),"",IF($O839="Realised",0,$E839-N($F839)-N($H839)))</f>
        <v/>
      </c>
      <c r="N839" s="77" t="str">
        <f aca="false">IF(OR($M839="",FX=""),"",$M839*FX)</f>
        <v/>
      </c>
      <c r="O839" s="78" t="str">
        <f aca="false">IF(NOT(OR($A839&lt;&gt;"",$E839&lt;&gt;"")),"",IF($J839="Cancelled","Cancelled",IF($E839="","Amount missing",IF(OR($J839="Settled",$E839-N($F839)-N($H839)&lt;=0.005),"Realised",IF(N($H839)&gt;0,"Part realised",IF(N($F839)&gt;0,"Advance received","On hand"))))))</f>
        <v/>
      </c>
      <c r="P839" s="79" t="str">
        <f aca="false">IF(AND($V839=1,ISNUMBER($B839)),AsAt-$B839,"")</f>
        <v/>
      </c>
      <c r="Q839" s="78" t="str">
        <f aca="false">IF($V839&lt;&gt;1,"",IF($P839="","No invoice date",IF($P839&lt;=30,"0–30 days",IF($P839&lt;=60,"31–60 days",IF($P839&lt;=90,"61–90 days","Over 90 days")))))</f>
        <v/>
      </c>
      <c r="R839" s="80" t="str">
        <f aca="false">IF($V839=1,ROW(),"")</f>
        <v/>
      </c>
      <c r="S839" s="80" t="str">
        <f aca="false">IF(OR($A839&lt;&gt;"",$E839&lt;&gt;""),IF(TRIM($D839)="","Buyer not noted",TRIM($D839)),"")</f>
        <v/>
      </c>
      <c r="T839" s="80" t="n">
        <f aca="false">IF(AND($V839=1,ISNUMBER($M839)),$M839,0)</f>
        <v>0</v>
      </c>
      <c r="U839" s="80" t="str">
        <f aca="false">IF($V839=1,IF(COUNTIFS($S$7:$S839,$S839,$V$7:$V839,1)=1,SUMIFS($T$7:$T$1006,$S$7:$S$1006,$S839)-ROW()/1000000000,""),"")</f>
        <v/>
      </c>
      <c r="V839" s="80" t="n">
        <f aca="false">IF(OR($O839="On hand",$O839="Advance received",$O839="Part realised",$O839="Amount missing"),1,0)</f>
        <v>0</v>
      </c>
      <c r="W839" s="80" t="str">
        <f aca="false">IF(AND($V839=1,N($F839)&gt;0),ROW(),"")</f>
        <v/>
      </c>
      <c r="X839" s="80" t="n">
        <f aca="false">IF(AND(OR($A839&lt;&gt;"",$E839&lt;&gt;""),$O839&lt;&gt;"Cancelled",ISNUMBER($E839),N($F839)+N($H839)&gt;$E839+0.005),1,0)</f>
        <v>0</v>
      </c>
      <c r="Y839" s="80" t="n">
        <f aca="false">IF(AND(OR($A839&lt;&gt;"",$E839&lt;&gt;""),OR($A839="",$E839="")),1,0)</f>
        <v>0</v>
      </c>
      <c r="Z839" s="80" t="n">
        <f aca="false">IF(AND($A839&lt;&gt;"",COUNTIF($A$7:$A$1006,$A839)&gt;1),1,0)</f>
        <v>0</v>
      </c>
    </row>
    <row r="840" customFormat="false" ht="15" hidden="false" customHeight="false" outlineLevel="0" collapsed="false">
      <c r="A840" s="71"/>
      <c r="B840" s="72"/>
      <c r="C840" s="73"/>
      <c r="D840" s="73"/>
      <c r="E840" s="74"/>
      <c r="F840" s="74"/>
      <c r="G840" s="72"/>
      <c r="H840" s="74"/>
      <c r="I840" s="72"/>
      <c r="J840" s="73"/>
      <c r="K840" s="73"/>
      <c r="L840" s="75" t="str">
        <f aca="false">IF(OR($A840&lt;&gt;"",$E840&lt;&gt;""),N($F840)+N($H840),"")</f>
        <v/>
      </c>
      <c r="M840" s="76" t="str">
        <f aca="false">IF(OR($O840="",$O840="Cancelled",$O840="Amount missing"),"",IF($O840="Realised",0,$E840-N($F840)-N($H840)))</f>
        <v/>
      </c>
      <c r="N840" s="77" t="str">
        <f aca="false">IF(OR($M840="",FX=""),"",$M840*FX)</f>
        <v/>
      </c>
      <c r="O840" s="78" t="str">
        <f aca="false">IF(NOT(OR($A840&lt;&gt;"",$E840&lt;&gt;"")),"",IF($J840="Cancelled","Cancelled",IF($E840="","Amount missing",IF(OR($J840="Settled",$E840-N($F840)-N($H840)&lt;=0.005),"Realised",IF(N($H840)&gt;0,"Part realised",IF(N($F840)&gt;0,"Advance received","On hand"))))))</f>
        <v/>
      </c>
      <c r="P840" s="79" t="str">
        <f aca="false">IF(AND($V840=1,ISNUMBER($B840)),AsAt-$B840,"")</f>
        <v/>
      </c>
      <c r="Q840" s="78" t="str">
        <f aca="false">IF($V840&lt;&gt;1,"",IF($P840="","No invoice date",IF($P840&lt;=30,"0–30 days",IF($P840&lt;=60,"31–60 days",IF($P840&lt;=90,"61–90 days","Over 90 days")))))</f>
        <v/>
      </c>
      <c r="R840" s="80" t="str">
        <f aca="false">IF($V840=1,ROW(),"")</f>
        <v/>
      </c>
      <c r="S840" s="80" t="str">
        <f aca="false">IF(OR($A840&lt;&gt;"",$E840&lt;&gt;""),IF(TRIM($D840)="","Buyer not noted",TRIM($D840)),"")</f>
        <v/>
      </c>
      <c r="T840" s="80" t="n">
        <f aca="false">IF(AND($V840=1,ISNUMBER($M840)),$M840,0)</f>
        <v>0</v>
      </c>
      <c r="U840" s="80" t="str">
        <f aca="false">IF($V840=1,IF(COUNTIFS($S$7:$S840,$S840,$V$7:$V840,1)=1,SUMIFS($T$7:$T$1006,$S$7:$S$1006,$S840)-ROW()/1000000000,""),"")</f>
        <v/>
      </c>
      <c r="V840" s="80" t="n">
        <f aca="false">IF(OR($O840="On hand",$O840="Advance received",$O840="Part realised",$O840="Amount missing"),1,0)</f>
        <v>0</v>
      </c>
      <c r="W840" s="80" t="str">
        <f aca="false">IF(AND($V840=1,N($F840)&gt;0),ROW(),"")</f>
        <v/>
      </c>
      <c r="X840" s="80" t="n">
        <f aca="false">IF(AND(OR($A840&lt;&gt;"",$E840&lt;&gt;""),$O840&lt;&gt;"Cancelled",ISNUMBER($E840),N($F840)+N($H840)&gt;$E840+0.005),1,0)</f>
        <v>0</v>
      </c>
      <c r="Y840" s="80" t="n">
        <f aca="false">IF(AND(OR($A840&lt;&gt;"",$E840&lt;&gt;""),OR($A840="",$E840="")),1,0)</f>
        <v>0</v>
      </c>
      <c r="Z840" s="80" t="n">
        <f aca="false">IF(AND($A840&lt;&gt;"",COUNTIF($A$7:$A$1006,$A840)&gt;1),1,0)</f>
        <v>0</v>
      </c>
    </row>
    <row r="841" customFormat="false" ht="15" hidden="false" customHeight="false" outlineLevel="0" collapsed="false">
      <c r="A841" s="71"/>
      <c r="B841" s="72"/>
      <c r="C841" s="73"/>
      <c r="D841" s="73"/>
      <c r="E841" s="74"/>
      <c r="F841" s="74"/>
      <c r="G841" s="72"/>
      <c r="H841" s="74"/>
      <c r="I841" s="72"/>
      <c r="J841" s="73"/>
      <c r="K841" s="73"/>
      <c r="L841" s="75" t="str">
        <f aca="false">IF(OR($A841&lt;&gt;"",$E841&lt;&gt;""),N($F841)+N($H841),"")</f>
        <v/>
      </c>
      <c r="M841" s="76" t="str">
        <f aca="false">IF(OR($O841="",$O841="Cancelled",$O841="Amount missing"),"",IF($O841="Realised",0,$E841-N($F841)-N($H841)))</f>
        <v/>
      </c>
      <c r="N841" s="77" t="str">
        <f aca="false">IF(OR($M841="",FX=""),"",$M841*FX)</f>
        <v/>
      </c>
      <c r="O841" s="78" t="str">
        <f aca="false">IF(NOT(OR($A841&lt;&gt;"",$E841&lt;&gt;"")),"",IF($J841="Cancelled","Cancelled",IF($E841="","Amount missing",IF(OR($J841="Settled",$E841-N($F841)-N($H841)&lt;=0.005),"Realised",IF(N($H841)&gt;0,"Part realised",IF(N($F841)&gt;0,"Advance received","On hand"))))))</f>
        <v/>
      </c>
      <c r="P841" s="79" t="str">
        <f aca="false">IF(AND($V841=1,ISNUMBER($B841)),AsAt-$B841,"")</f>
        <v/>
      </c>
      <c r="Q841" s="78" t="str">
        <f aca="false">IF($V841&lt;&gt;1,"",IF($P841="","No invoice date",IF($P841&lt;=30,"0–30 days",IF($P841&lt;=60,"31–60 days",IF($P841&lt;=90,"61–90 days","Over 90 days")))))</f>
        <v/>
      </c>
      <c r="R841" s="80" t="str">
        <f aca="false">IF($V841=1,ROW(),"")</f>
        <v/>
      </c>
      <c r="S841" s="80" t="str">
        <f aca="false">IF(OR($A841&lt;&gt;"",$E841&lt;&gt;""),IF(TRIM($D841)="","Buyer not noted",TRIM($D841)),"")</f>
        <v/>
      </c>
      <c r="T841" s="80" t="n">
        <f aca="false">IF(AND($V841=1,ISNUMBER($M841)),$M841,0)</f>
        <v>0</v>
      </c>
      <c r="U841" s="80" t="str">
        <f aca="false">IF($V841=1,IF(COUNTIFS($S$7:$S841,$S841,$V$7:$V841,1)=1,SUMIFS($T$7:$T$1006,$S$7:$S$1006,$S841)-ROW()/1000000000,""),"")</f>
        <v/>
      </c>
      <c r="V841" s="80" t="n">
        <f aca="false">IF(OR($O841="On hand",$O841="Advance received",$O841="Part realised",$O841="Amount missing"),1,0)</f>
        <v>0</v>
      </c>
      <c r="W841" s="80" t="str">
        <f aca="false">IF(AND($V841=1,N($F841)&gt;0),ROW(),"")</f>
        <v/>
      </c>
      <c r="X841" s="80" t="n">
        <f aca="false">IF(AND(OR($A841&lt;&gt;"",$E841&lt;&gt;""),$O841&lt;&gt;"Cancelled",ISNUMBER($E841),N($F841)+N($H841)&gt;$E841+0.005),1,0)</f>
        <v>0</v>
      </c>
      <c r="Y841" s="80" t="n">
        <f aca="false">IF(AND(OR($A841&lt;&gt;"",$E841&lt;&gt;""),OR($A841="",$E841="")),1,0)</f>
        <v>0</v>
      </c>
      <c r="Z841" s="80" t="n">
        <f aca="false">IF(AND($A841&lt;&gt;"",COUNTIF($A$7:$A$1006,$A841)&gt;1),1,0)</f>
        <v>0</v>
      </c>
    </row>
    <row r="842" customFormat="false" ht="15" hidden="false" customHeight="false" outlineLevel="0" collapsed="false">
      <c r="A842" s="71"/>
      <c r="B842" s="72"/>
      <c r="C842" s="73"/>
      <c r="D842" s="73"/>
      <c r="E842" s="74"/>
      <c r="F842" s="74"/>
      <c r="G842" s="72"/>
      <c r="H842" s="74"/>
      <c r="I842" s="72"/>
      <c r="J842" s="73"/>
      <c r="K842" s="73"/>
      <c r="L842" s="75" t="str">
        <f aca="false">IF(OR($A842&lt;&gt;"",$E842&lt;&gt;""),N($F842)+N($H842),"")</f>
        <v/>
      </c>
      <c r="M842" s="76" t="str">
        <f aca="false">IF(OR($O842="",$O842="Cancelled",$O842="Amount missing"),"",IF($O842="Realised",0,$E842-N($F842)-N($H842)))</f>
        <v/>
      </c>
      <c r="N842" s="77" t="str">
        <f aca="false">IF(OR($M842="",FX=""),"",$M842*FX)</f>
        <v/>
      </c>
      <c r="O842" s="78" t="str">
        <f aca="false">IF(NOT(OR($A842&lt;&gt;"",$E842&lt;&gt;"")),"",IF($J842="Cancelled","Cancelled",IF($E842="","Amount missing",IF(OR($J842="Settled",$E842-N($F842)-N($H842)&lt;=0.005),"Realised",IF(N($H842)&gt;0,"Part realised",IF(N($F842)&gt;0,"Advance received","On hand"))))))</f>
        <v/>
      </c>
      <c r="P842" s="79" t="str">
        <f aca="false">IF(AND($V842=1,ISNUMBER($B842)),AsAt-$B842,"")</f>
        <v/>
      </c>
      <c r="Q842" s="78" t="str">
        <f aca="false">IF($V842&lt;&gt;1,"",IF($P842="","No invoice date",IF($P842&lt;=30,"0–30 days",IF($P842&lt;=60,"31–60 days",IF($P842&lt;=90,"61–90 days","Over 90 days")))))</f>
        <v/>
      </c>
      <c r="R842" s="80" t="str">
        <f aca="false">IF($V842=1,ROW(),"")</f>
        <v/>
      </c>
      <c r="S842" s="80" t="str">
        <f aca="false">IF(OR($A842&lt;&gt;"",$E842&lt;&gt;""),IF(TRIM($D842)="","Buyer not noted",TRIM($D842)),"")</f>
        <v/>
      </c>
      <c r="T842" s="80" t="n">
        <f aca="false">IF(AND($V842=1,ISNUMBER($M842)),$M842,0)</f>
        <v>0</v>
      </c>
      <c r="U842" s="80" t="str">
        <f aca="false">IF($V842=1,IF(COUNTIFS($S$7:$S842,$S842,$V$7:$V842,1)=1,SUMIFS($T$7:$T$1006,$S$7:$S$1006,$S842)-ROW()/1000000000,""),"")</f>
        <v/>
      </c>
      <c r="V842" s="80" t="n">
        <f aca="false">IF(OR($O842="On hand",$O842="Advance received",$O842="Part realised",$O842="Amount missing"),1,0)</f>
        <v>0</v>
      </c>
      <c r="W842" s="80" t="str">
        <f aca="false">IF(AND($V842=1,N($F842)&gt;0),ROW(),"")</f>
        <v/>
      </c>
      <c r="X842" s="80" t="n">
        <f aca="false">IF(AND(OR($A842&lt;&gt;"",$E842&lt;&gt;""),$O842&lt;&gt;"Cancelled",ISNUMBER($E842),N($F842)+N($H842)&gt;$E842+0.005),1,0)</f>
        <v>0</v>
      </c>
      <c r="Y842" s="80" t="n">
        <f aca="false">IF(AND(OR($A842&lt;&gt;"",$E842&lt;&gt;""),OR($A842="",$E842="")),1,0)</f>
        <v>0</v>
      </c>
      <c r="Z842" s="80" t="n">
        <f aca="false">IF(AND($A842&lt;&gt;"",COUNTIF($A$7:$A$1006,$A842)&gt;1),1,0)</f>
        <v>0</v>
      </c>
    </row>
    <row r="843" customFormat="false" ht="15" hidden="false" customHeight="false" outlineLevel="0" collapsed="false">
      <c r="A843" s="71"/>
      <c r="B843" s="72"/>
      <c r="C843" s="73"/>
      <c r="D843" s="73"/>
      <c r="E843" s="74"/>
      <c r="F843" s="74"/>
      <c r="G843" s="72"/>
      <c r="H843" s="74"/>
      <c r="I843" s="72"/>
      <c r="J843" s="73"/>
      <c r="K843" s="73"/>
      <c r="L843" s="75" t="str">
        <f aca="false">IF(OR($A843&lt;&gt;"",$E843&lt;&gt;""),N($F843)+N($H843),"")</f>
        <v/>
      </c>
      <c r="M843" s="76" t="str">
        <f aca="false">IF(OR($O843="",$O843="Cancelled",$O843="Amount missing"),"",IF($O843="Realised",0,$E843-N($F843)-N($H843)))</f>
        <v/>
      </c>
      <c r="N843" s="77" t="str">
        <f aca="false">IF(OR($M843="",FX=""),"",$M843*FX)</f>
        <v/>
      </c>
      <c r="O843" s="78" t="str">
        <f aca="false">IF(NOT(OR($A843&lt;&gt;"",$E843&lt;&gt;"")),"",IF($J843="Cancelled","Cancelled",IF($E843="","Amount missing",IF(OR($J843="Settled",$E843-N($F843)-N($H843)&lt;=0.005),"Realised",IF(N($H843)&gt;0,"Part realised",IF(N($F843)&gt;0,"Advance received","On hand"))))))</f>
        <v/>
      </c>
      <c r="P843" s="79" t="str">
        <f aca="false">IF(AND($V843=1,ISNUMBER($B843)),AsAt-$B843,"")</f>
        <v/>
      </c>
      <c r="Q843" s="78" t="str">
        <f aca="false">IF($V843&lt;&gt;1,"",IF($P843="","No invoice date",IF($P843&lt;=30,"0–30 days",IF($P843&lt;=60,"31–60 days",IF($P843&lt;=90,"61–90 days","Over 90 days")))))</f>
        <v/>
      </c>
      <c r="R843" s="80" t="str">
        <f aca="false">IF($V843=1,ROW(),"")</f>
        <v/>
      </c>
      <c r="S843" s="80" t="str">
        <f aca="false">IF(OR($A843&lt;&gt;"",$E843&lt;&gt;""),IF(TRIM($D843)="","Buyer not noted",TRIM($D843)),"")</f>
        <v/>
      </c>
      <c r="T843" s="80" t="n">
        <f aca="false">IF(AND($V843=1,ISNUMBER($M843)),$M843,0)</f>
        <v>0</v>
      </c>
      <c r="U843" s="80" t="str">
        <f aca="false">IF($V843=1,IF(COUNTIFS($S$7:$S843,$S843,$V$7:$V843,1)=1,SUMIFS($T$7:$T$1006,$S$7:$S$1006,$S843)-ROW()/1000000000,""),"")</f>
        <v/>
      </c>
      <c r="V843" s="80" t="n">
        <f aca="false">IF(OR($O843="On hand",$O843="Advance received",$O843="Part realised",$O843="Amount missing"),1,0)</f>
        <v>0</v>
      </c>
      <c r="W843" s="80" t="str">
        <f aca="false">IF(AND($V843=1,N($F843)&gt;0),ROW(),"")</f>
        <v/>
      </c>
      <c r="X843" s="80" t="n">
        <f aca="false">IF(AND(OR($A843&lt;&gt;"",$E843&lt;&gt;""),$O843&lt;&gt;"Cancelled",ISNUMBER($E843),N($F843)+N($H843)&gt;$E843+0.005),1,0)</f>
        <v>0</v>
      </c>
      <c r="Y843" s="80" t="n">
        <f aca="false">IF(AND(OR($A843&lt;&gt;"",$E843&lt;&gt;""),OR($A843="",$E843="")),1,0)</f>
        <v>0</v>
      </c>
      <c r="Z843" s="80" t="n">
        <f aca="false">IF(AND($A843&lt;&gt;"",COUNTIF($A$7:$A$1006,$A843)&gt;1),1,0)</f>
        <v>0</v>
      </c>
    </row>
    <row r="844" customFormat="false" ht="15" hidden="false" customHeight="false" outlineLevel="0" collapsed="false">
      <c r="A844" s="71"/>
      <c r="B844" s="72"/>
      <c r="C844" s="73"/>
      <c r="D844" s="73"/>
      <c r="E844" s="74"/>
      <c r="F844" s="74"/>
      <c r="G844" s="72"/>
      <c r="H844" s="74"/>
      <c r="I844" s="72"/>
      <c r="J844" s="73"/>
      <c r="K844" s="73"/>
      <c r="L844" s="75" t="str">
        <f aca="false">IF(OR($A844&lt;&gt;"",$E844&lt;&gt;""),N($F844)+N($H844),"")</f>
        <v/>
      </c>
      <c r="M844" s="76" t="str">
        <f aca="false">IF(OR($O844="",$O844="Cancelled",$O844="Amount missing"),"",IF($O844="Realised",0,$E844-N($F844)-N($H844)))</f>
        <v/>
      </c>
      <c r="N844" s="77" t="str">
        <f aca="false">IF(OR($M844="",FX=""),"",$M844*FX)</f>
        <v/>
      </c>
      <c r="O844" s="78" t="str">
        <f aca="false">IF(NOT(OR($A844&lt;&gt;"",$E844&lt;&gt;"")),"",IF($J844="Cancelled","Cancelled",IF($E844="","Amount missing",IF(OR($J844="Settled",$E844-N($F844)-N($H844)&lt;=0.005),"Realised",IF(N($H844)&gt;0,"Part realised",IF(N($F844)&gt;0,"Advance received","On hand"))))))</f>
        <v/>
      </c>
      <c r="P844" s="79" t="str">
        <f aca="false">IF(AND($V844=1,ISNUMBER($B844)),AsAt-$B844,"")</f>
        <v/>
      </c>
      <c r="Q844" s="78" t="str">
        <f aca="false">IF($V844&lt;&gt;1,"",IF($P844="","No invoice date",IF($P844&lt;=30,"0–30 days",IF($P844&lt;=60,"31–60 days",IF($P844&lt;=90,"61–90 days","Over 90 days")))))</f>
        <v/>
      </c>
      <c r="R844" s="80" t="str">
        <f aca="false">IF($V844=1,ROW(),"")</f>
        <v/>
      </c>
      <c r="S844" s="80" t="str">
        <f aca="false">IF(OR($A844&lt;&gt;"",$E844&lt;&gt;""),IF(TRIM($D844)="","Buyer not noted",TRIM($D844)),"")</f>
        <v/>
      </c>
      <c r="T844" s="80" t="n">
        <f aca="false">IF(AND($V844=1,ISNUMBER($M844)),$M844,0)</f>
        <v>0</v>
      </c>
      <c r="U844" s="80" t="str">
        <f aca="false">IF($V844=1,IF(COUNTIFS($S$7:$S844,$S844,$V$7:$V844,1)=1,SUMIFS($T$7:$T$1006,$S$7:$S$1006,$S844)-ROW()/1000000000,""),"")</f>
        <v/>
      </c>
      <c r="V844" s="80" t="n">
        <f aca="false">IF(OR($O844="On hand",$O844="Advance received",$O844="Part realised",$O844="Amount missing"),1,0)</f>
        <v>0</v>
      </c>
      <c r="W844" s="80" t="str">
        <f aca="false">IF(AND($V844=1,N($F844)&gt;0),ROW(),"")</f>
        <v/>
      </c>
      <c r="X844" s="80" t="n">
        <f aca="false">IF(AND(OR($A844&lt;&gt;"",$E844&lt;&gt;""),$O844&lt;&gt;"Cancelled",ISNUMBER($E844),N($F844)+N($H844)&gt;$E844+0.005),1,0)</f>
        <v>0</v>
      </c>
      <c r="Y844" s="80" t="n">
        <f aca="false">IF(AND(OR($A844&lt;&gt;"",$E844&lt;&gt;""),OR($A844="",$E844="")),1,0)</f>
        <v>0</v>
      </c>
      <c r="Z844" s="80" t="n">
        <f aca="false">IF(AND($A844&lt;&gt;"",COUNTIF($A$7:$A$1006,$A844)&gt;1),1,0)</f>
        <v>0</v>
      </c>
    </row>
    <row r="845" customFormat="false" ht="15" hidden="false" customHeight="false" outlineLevel="0" collapsed="false">
      <c r="A845" s="71"/>
      <c r="B845" s="72"/>
      <c r="C845" s="73"/>
      <c r="D845" s="73"/>
      <c r="E845" s="74"/>
      <c r="F845" s="74"/>
      <c r="G845" s="72"/>
      <c r="H845" s="74"/>
      <c r="I845" s="72"/>
      <c r="J845" s="73"/>
      <c r="K845" s="73"/>
      <c r="L845" s="75" t="str">
        <f aca="false">IF(OR($A845&lt;&gt;"",$E845&lt;&gt;""),N($F845)+N($H845),"")</f>
        <v/>
      </c>
      <c r="M845" s="76" t="str">
        <f aca="false">IF(OR($O845="",$O845="Cancelled",$O845="Amount missing"),"",IF($O845="Realised",0,$E845-N($F845)-N($H845)))</f>
        <v/>
      </c>
      <c r="N845" s="77" t="str">
        <f aca="false">IF(OR($M845="",FX=""),"",$M845*FX)</f>
        <v/>
      </c>
      <c r="O845" s="78" t="str">
        <f aca="false">IF(NOT(OR($A845&lt;&gt;"",$E845&lt;&gt;"")),"",IF($J845="Cancelled","Cancelled",IF($E845="","Amount missing",IF(OR($J845="Settled",$E845-N($F845)-N($H845)&lt;=0.005),"Realised",IF(N($H845)&gt;0,"Part realised",IF(N($F845)&gt;0,"Advance received","On hand"))))))</f>
        <v/>
      </c>
      <c r="P845" s="79" t="str">
        <f aca="false">IF(AND($V845=1,ISNUMBER($B845)),AsAt-$B845,"")</f>
        <v/>
      </c>
      <c r="Q845" s="78" t="str">
        <f aca="false">IF($V845&lt;&gt;1,"",IF($P845="","No invoice date",IF($P845&lt;=30,"0–30 days",IF($P845&lt;=60,"31–60 days",IF($P845&lt;=90,"61–90 days","Over 90 days")))))</f>
        <v/>
      </c>
      <c r="R845" s="80" t="str">
        <f aca="false">IF($V845=1,ROW(),"")</f>
        <v/>
      </c>
      <c r="S845" s="80" t="str">
        <f aca="false">IF(OR($A845&lt;&gt;"",$E845&lt;&gt;""),IF(TRIM($D845)="","Buyer not noted",TRIM($D845)),"")</f>
        <v/>
      </c>
      <c r="T845" s="80" t="n">
        <f aca="false">IF(AND($V845=1,ISNUMBER($M845)),$M845,0)</f>
        <v>0</v>
      </c>
      <c r="U845" s="80" t="str">
        <f aca="false">IF($V845=1,IF(COUNTIFS($S$7:$S845,$S845,$V$7:$V845,1)=1,SUMIFS($T$7:$T$1006,$S$7:$S$1006,$S845)-ROW()/1000000000,""),"")</f>
        <v/>
      </c>
      <c r="V845" s="80" t="n">
        <f aca="false">IF(OR($O845="On hand",$O845="Advance received",$O845="Part realised",$O845="Amount missing"),1,0)</f>
        <v>0</v>
      </c>
      <c r="W845" s="80" t="str">
        <f aca="false">IF(AND($V845=1,N($F845)&gt;0),ROW(),"")</f>
        <v/>
      </c>
      <c r="X845" s="80" t="n">
        <f aca="false">IF(AND(OR($A845&lt;&gt;"",$E845&lt;&gt;""),$O845&lt;&gt;"Cancelled",ISNUMBER($E845),N($F845)+N($H845)&gt;$E845+0.005),1,0)</f>
        <v>0</v>
      </c>
      <c r="Y845" s="80" t="n">
        <f aca="false">IF(AND(OR($A845&lt;&gt;"",$E845&lt;&gt;""),OR($A845="",$E845="")),1,0)</f>
        <v>0</v>
      </c>
      <c r="Z845" s="80" t="n">
        <f aca="false">IF(AND($A845&lt;&gt;"",COUNTIF($A$7:$A$1006,$A845)&gt;1),1,0)</f>
        <v>0</v>
      </c>
    </row>
    <row r="846" customFormat="false" ht="15" hidden="false" customHeight="false" outlineLevel="0" collapsed="false">
      <c r="A846" s="71"/>
      <c r="B846" s="72"/>
      <c r="C846" s="73"/>
      <c r="D846" s="73"/>
      <c r="E846" s="74"/>
      <c r="F846" s="74"/>
      <c r="G846" s="72"/>
      <c r="H846" s="74"/>
      <c r="I846" s="72"/>
      <c r="J846" s="73"/>
      <c r="K846" s="73"/>
      <c r="L846" s="75" t="str">
        <f aca="false">IF(OR($A846&lt;&gt;"",$E846&lt;&gt;""),N($F846)+N($H846),"")</f>
        <v/>
      </c>
      <c r="M846" s="76" t="str">
        <f aca="false">IF(OR($O846="",$O846="Cancelled",$O846="Amount missing"),"",IF($O846="Realised",0,$E846-N($F846)-N($H846)))</f>
        <v/>
      </c>
      <c r="N846" s="77" t="str">
        <f aca="false">IF(OR($M846="",FX=""),"",$M846*FX)</f>
        <v/>
      </c>
      <c r="O846" s="78" t="str">
        <f aca="false">IF(NOT(OR($A846&lt;&gt;"",$E846&lt;&gt;"")),"",IF($J846="Cancelled","Cancelled",IF($E846="","Amount missing",IF(OR($J846="Settled",$E846-N($F846)-N($H846)&lt;=0.005),"Realised",IF(N($H846)&gt;0,"Part realised",IF(N($F846)&gt;0,"Advance received","On hand"))))))</f>
        <v/>
      </c>
      <c r="P846" s="79" t="str">
        <f aca="false">IF(AND($V846=1,ISNUMBER($B846)),AsAt-$B846,"")</f>
        <v/>
      </c>
      <c r="Q846" s="78" t="str">
        <f aca="false">IF($V846&lt;&gt;1,"",IF($P846="","No invoice date",IF($P846&lt;=30,"0–30 days",IF($P846&lt;=60,"31–60 days",IF($P846&lt;=90,"61–90 days","Over 90 days")))))</f>
        <v/>
      </c>
      <c r="R846" s="80" t="str">
        <f aca="false">IF($V846=1,ROW(),"")</f>
        <v/>
      </c>
      <c r="S846" s="80" t="str">
        <f aca="false">IF(OR($A846&lt;&gt;"",$E846&lt;&gt;""),IF(TRIM($D846)="","Buyer not noted",TRIM($D846)),"")</f>
        <v/>
      </c>
      <c r="T846" s="80" t="n">
        <f aca="false">IF(AND($V846=1,ISNUMBER($M846)),$M846,0)</f>
        <v>0</v>
      </c>
      <c r="U846" s="80" t="str">
        <f aca="false">IF($V846=1,IF(COUNTIFS($S$7:$S846,$S846,$V$7:$V846,1)=1,SUMIFS($T$7:$T$1006,$S$7:$S$1006,$S846)-ROW()/1000000000,""),"")</f>
        <v/>
      </c>
      <c r="V846" s="80" t="n">
        <f aca="false">IF(OR($O846="On hand",$O846="Advance received",$O846="Part realised",$O846="Amount missing"),1,0)</f>
        <v>0</v>
      </c>
      <c r="W846" s="80" t="str">
        <f aca="false">IF(AND($V846=1,N($F846)&gt;0),ROW(),"")</f>
        <v/>
      </c>
      <c r="X846" s="80" t="n">
        <f aca="false">IF(AND(OR($A846&lt;&gt;"",$E846&lt;&gt;""),$O846&lt;&gt;"Cancelled",ISNUMBER($E846),N($F846)+N($H846)&gt;$E846+0.005),1,0)</f>
        <v>0</v>
      </c>
      <c r="Y846" s="80" t="n">
        <f aca="false">IF(AND(OR($A846&lt;&gt;"",$E846&lt;&gt;""),OR($A846="",$E846="")),1,0)</f>
        <v>0</v>
      </c>
      <c r="Z846" s="80" t="n">
        <f aca="false">IF(AND($A846&lt;&gt;"",COUNTIF($A$7:$A$1006,$A846)&gt;1),1,0)</f>
        <v>0</v>
      </c>
    </row>
    <row r="847" customFormat="false" ht="15" hidden="false" customHeight="false" outlineLevel="0" collapsed="false">
      <c r="A847" s="71"/>
      <c r="B847" s="72"/>
      <c r="C847" s="73"/>
      <c r="D847" s="73"/>
      <c r="E847" s="74"/>
      <c r="F847" s="74"/>
      <c r="G847" s="72"/>
      <c r="H847" s="74"/>
      <c r="I847" s="72"/>
      <c r="J847" s="73"/>
      <c r="K847" s="73"/>
      <c r="L847" s="75" t="str">
        <f aca="false">IF(OR($A847&lt;&gt;"",$E847&lt;&gt;""),N($F847)+N($H847),"")</f>
        <v/>
      </c>
      <c r="M847" s="76" t="str">
        <f aca="false">IF(OR($O847="",$O847="Cancelled",$O847="Amount missing"),"",IF($O847="Realised",0,$E847-N($F847)-N($H847)))</f>
        <v/>
      </c>
      <c r="N847" s="77" t="str">
        <f aca="false">IF(OR($M847="",FX=""),"",$M847*FX)</f>
        <v/>
      </c>
      <c r="O847" s="78" t="str">
        <f aca="false">IF(NOT(OR($A847&lt;&gt;"",$E847&lt;&gt;"")),"",IF($J847="Cancelled","Cancelled",IF($E847="","Amount missing",IF(OR($J847="Settled",$E847-N($F847)-N($H847)&lt;=0.005),"Realised",IF(N($H847)&gt;0,"Part realised",IF(N($F847)&gt;0,"Advance received","On hand"))))))</f>
        <v/>
      </c>
      <c r="P847" s="79" t="str">
        <f aca="false">IF(AND($V847=1,ISNUMBER($B847)),AsAt-$B847,"")</f>
        <v/>
      </c>
      <c r="Q847" s="78" t="str">
        <f aca="false">IF($V847&lt;&gt;1,"",IF($P847="","No invoice date",IF($P847&lt;=30,"0–30 days",IF($P847&lt;=60,"31–60 days",IF($P847&lt;=90,"61–90 days","Over 90 days")))))</f>
        <v/>
      </c>
      <c r="R847" s="80" t="str">
        <f aca="false">IF($V847=1,ROW(),"")</f>
        <v/>
      </c>
      <c r="S847" s="80" t="str">
        <f aca="false">IF(OR($A847&lt;&gt;"",$E847&lt;&gt;""),IF(TRIM($D847)="","Buyer not noted",TRIM($D847)),"")</f>
        <v/>
      </c>
      <c r="T847" s="80" t="n">
        <f aca="false">IF(AND($V847=1,ISNUMBER($M847)),$M847,0)</f>
        <v>0</v>
      </c>
      <c r="U847" s="80" t="str">
        <f aca="false">IF($V847=1,IF(COUNTIFS($S$7:$S847,$S847,$V$7:$V847,1)=1,SUMIFS($T$7:$T$1006,$S$7:$S$1006,$S847)-ROW()/1000000000,""),"")</f>
        <v/>
      </c>
      <c r="V847" s="80" t="n">
        <f aca="false">IF(OR($O847="On hand",$O847="Advance received",$O847="Part realised",$O847="Amount missing"),1,0)</f>
        <v>0</v>
      </c>
      <c r="W847" s="80" t="str">
        <f aca="false">IF(AND($V847=1,N($F847)&gt;0),ROW(),"")</f>
        <v/>
      </c>
      <c r="X847" s="80" t="n">
        <f aca="false">IF(AND(OR($A847&lt;&gt;"",$E847&lt;&gt;""),$O847&lt;&gt;"Cancelled",ISNUMBER($E847),N($F847)+N($H847)&gt;$E847+0.005),1,0)</f>
        <v>0</v>
      </c>
      <c r="Y847" s="80" t="n">
        <f aca="false">IF(AND(OR($A847&lt;&gt;"",$E847&lt;&gt;""),OR($A847="",$E847="")),1,0)</f>
        <v>0</v>
      </c>
      <c r="Z847" s="80" t="n">
        <f aca="false">IF(AND($A847&lt;&gt;"",COUNTIF($A$7:$A$1006,$A847)&gt;1),1,0)</f>
        <v>0</v>
      </c>
    </row>
    <row r="848" customFormat="false" ht="15" hidden="false" customHeight="false" outlineLevel="0" collapsed="false">
      <c r="A848" s="71"/>
      <c r="B848" s="72"/>
      <c r="C848" s="73"/>
      <c r="D848" s="73"/>
      <c r="E848" s="74"/>
      <c r="F848" s="74"/>
      <c r="G848" s="72"/>
      <c r="H848" s="74"/>
      <c r="I848" s="72"/>
      <c r="J848" s="73"/>
      <c r="K848" s="73"/>
      <c r="L848" s="75" t="str">
        <f aca="false">IF(OR($A848&lt;&gt;"",$E848&lt;&gt;""),N($F848)+N($H848),"")</f>
        <v/>
      </c>
      <c r="M848" s="76" t="str">
        <f aca="false">IF(OR($O848="",$O848="Cancelled",$O848="Amount missing"),"",IF($O848="Realised",0,$E848-N($F848)-N($H848)))</f>
        <v/>
      </c>
      <c r="N848" s="77" t="str">
        <f aca="false">IF(OR($M848="",FX=""),"",$M848*FX)</f>
        <v/>
      </c>
      <c r="O848" s="78" t="str">
        <f aca="false">IF(NOT(OR($A848&lt;&gt;"",$E848&lt;&gt;"")),"",IF($J848="Cancelled","Cancelled",IF($E848="","Amount missing",IF(OR($J848="Settled",$E848-N($F848)-N($H848)&lt;=0.005),"Realised",IF(N($H848)&gt;0,"Part realised",IF(N($F848)&gt;0,"Advance received","On hand"))))))</f>
        <v/>
      </c>
      <c r="P848" s="79" t="str">
        <f aca="false">IF(AND($V848=1,ISNUMBER($B848)),AsAt-$B848,"")</f>
        <v/>
      </c>
      <c r="Q848" s="78" t="str">
        <f aca="false">IF($V848&lt;&gt;1,"",IF($P848="","No invoice date",IF($P848&lt;=30,"0–30 days",IF($P848&lt;=60,"31–60 days",IF($P848&lt;=90,"61–90 days","Over 90 days")))))</f>
        <v/>
      </c>
      <c r="R848" s="80" t="str">
        <f aca="false">IF($V848=1,ROW(),"")</f>
        <v/>
      </c>
      <c r="S848" s="80" t="str">
        <f aca="false">IF(OR($A848&lt;&gt;"",$E848&lt;&gt;""),IF(TRIM($D848)="","Buyer not noted",TRIM($D848)),"")</f>
        <v/>
      </c>
      <c r="T848" s="80" t="n">
        <f aca="false">IF(AND($V848=1,ISNUMBER($M848)),$M848,0)</f>
        <v>0</v>
      </c>
      <c r="U848" s="80" t="str">
        <f aca="false">IF($V848=1,IF(COUNTIFS($S$7:$S848,$S848,$V$7:$V848,1)=1,SUMIFS($T$7:$T$1006,$S$7:$S$1006,$S848)-ROW()/1000000000,""),"")</f>
        <v/>
      </c>
      <c r="V848" s="80" t="n">
        <f aca="false">IF(OR($O848="On hand",$O848="Advance received",$O848="Part realised",$O848="Amount missing"),1,0)</f>
        <v>0</v>
      </c>
      <c r="W848" s="80" t="str">
        <f aca="false">IF(AND($V848=1,N($F848)&gt;0),ROW(),"")</f>
        <v/>
      </c>
      <c r="X848" s="80" t="n">
        <f aca="false">IF(AND(OR($A848&lt;&gt;"",$E848&lt;&gt;""),$O848&lt;&gt;"Cancelled",ISNUMBER($E848),N($F848)+N($H848)&gt;$E848+0.005),1,0)</f>
        <v>0</v>
      </c>
      <c r="Y848" s="80" t="n">
        <f aca="false">IF(AND(OR($A848&lt;&gt;"",$E848&lt;&gt;""),OR($A848="",$E848="")),1,0)</f>
        <v>0</v>
      </c>
      <c r="Z848" s="80" t="n">
        <f aca="false">IF(AND($A848&lt;&gt;"",COUNTIF($A$7:$A$1006,$A848)&gt;1),1,0)</f>
        <v>0</v>
      </c>
    </row>
    <row r="849" customFormat="false" ht="15" hidden="false" customHeight="false" outlineLevel="0" collapsed="false">
      <c r="A849" s="71"/>
      <c r="B849" s="72"/>
      <c r="C849" s="73"/>
      <c r="D849" s="73"/>
      <c r="E849" s="74"/>
      <c r="F849" s="74"/>
      <c r="G849" s="72"/>
      <c r="H849" s="74"/>
      <c r="I849" s="72"/>
      <c r="J849" s="73"/>
      <c r="K849" s="73"/>
      <c r="L849" s="75" t="str">
        <f aca="false">IF(OR($A849&lt;&gt;"",$E849&lt;&gt;""),N($F849)+N($H849),"")</f>
        <v/>
      </c>
      <c r="M849" s="76" t="str">
        <f aca="false">IF(OR($O849="",$O849="Cancelled",$O849="Amount missing"),"",IF($O849="Realised",0,$E849-N($F849)-N($H849)))</f>
        <v/>
      </c>
      <c r="N849" s="77" t="str">
        <f aca="false">IF(OR($M849="",FX=""),"",$M849*FX)</f>
        <v/>
      </c>
      <c r="O849" s="78" t="str">
        <f aca="false">IF(NOT(OR($A849&lt;&gt;"",$E849&lt;&gt;"")),"",IF($J849="Cancelled","Cancelled",IF($E849="","Amount missing",IF(OR($J849="Settled",$E849-N($F849)-N($H849)&lt;=0.005),"Realised",IF(N($H849)&gt;0,"Part realised",IF(N($F849)&gt;0,"Advance received","On hand"))))))</f>
        <v/>
      </c>
      <c r="P849" s="79" t="str">
        <f aca="false">IF(AND($V849=1,ISNUMBER($B849)),AsAt-$B849,"")</f>
        <v/>
      </c>
      <c r="Q849" s="78" t="str">
        <f aca="false">IF($V849&lt;&gt;1,"",IF($P849="","No invoice date",IF($P849&lt;=30,"0–30 days",IF($P849&lt;=60,"31–60 days",IF($P849&lt;=90,"61–90 days","Over 90 days")))))</f>
        <v/>
      </c>
      <c r="R849" s="80" t="str">
        <f aca="false">IF($V849=1,ROW(),"")</f>
        <v/>
      </c>
      <c r="S849" s="80" t="str">
        <f aca="false">IF(OR($A849&lt;&gt;"",$E849&lt;&gt;""),IF(TRIM($D849)="","Buyer not noted",TRIM($D849)),"")</f>
        <v/>
      </c>
      <c r="T849" s="80" t="n">
        <f aca="false">IF(AND($V849=1,ISNUMBER($M849)),$M849,0)</f>
        <v>0</v>
      </c>
      <c r="U849" s="80" t="str">
        <f aca="false">IF($V849=1,IF(COUNTIFS($S$7:$S849,$S849,$V$7:$V849,1)=1,SUMIFS($T$7:$T$1006,$S$7:$S$1006,$S849)-ROW()/1000000000,""),"")</f>
        <v/>
      </c>
      <c r="V849" s="80" t="n">
        <f aca="false">IF(OR($O849="On hand",$O849="Advance received",$O849="Part realised",$O849="Amount missing"),1,0)</f>
        <v>0</v>
      </c>
      <c r="W849" s="80" t="str">
        <f aca="false">IF(AND($V849=1,N($F849)&gt;0),ROW(),"")</f>
        <v/>
      </c>
      <c r="X849" s="80" t="n">
        <f aca="false">IF(AND(OR($A849&lt;&gt;"",$E849&lt;&gt;""),$O849&lt;&gt;"Cancelled",ISNUMBER($E849),N($F849)+N($H849)&gt;$E849+0.005),1,0)</f>
        <v>0</v>
      </c>
      <c r="Y849" s="80" t="n">
        <f aca="false">IF(AND(OR($A849&lt;&gt;"",$E849&lt;&gt;""),OR($A849="",$E849="")),1,0)</f>
        <v>0</v>
      </c>
      <c r="Z849" s="80" t="n">
        <f aca="false">IF(AND($A849&lt;&gt;"",COUNTIF($A$7:$A$1006,$A849)&gt;1),1,0)</f>
        <v>0</v>
      </c>
    </row>
    <row r="850" customFormat="false" ht="15" hidden="false" customHeight="false" outlineLevel="0" collapsed="false">
      <c r="A850" s="71"/>
      <c r="B850" s="72"/>
      <c r="C850" s="73"/>
      <c r="D850" s="73"/>
      <c r="E850" s="74"/>
      <c r="F850" s="74"/>
      <c r="G850" s="72"/>
      <c r="H850" s="74"/>
      <c r="I850" s="72"/>
      <c r="J850" s="73"/>
      <c r="K850" s="73"/>
      <c r="L850" s="75" t="str">
        <f aca="false">IF(OR($A850&lt;&gt;"",$E850&lt;&gt;""),N($F850)+N($H850),"")</f>
        <v/>
      </c>
      <c r="M850" s="76" t="str">
        <f aca="false">IF(OR($O850="",$O850="Cancelled",$O850="Amount missing"),"",IF($O850="Realised",0,$E850-N($F850)-N($H850)))</f>
        <v/>
      </c>
      <c r="N850" s="77" t="str">
        <f aca="false">IF(OR($M850="",FX=""),"",$M850*FX)</f>
        <v/>
      </c>
      <c r="O850" s="78" t="str">
        <f aca="false">IF(NOT(OR($A850&lt;&gt;"",$E850&lt;&gt;"")),"",IF($J850="Cancelled","Cancelled",IF($E850="","Amount missing",IF(OR($J850="Settled",$E850-N($F850)-N($H850)&lt;=0.005),"Realised",IF(N($H850)&gt;0,"Part realised",IF(N($F850)&gt;0,"Advance received","On hand"))))))</f>
        <v/>
      </c>
      <c r="P850" s="79" t="str">
        <f aca="false">IF(AND($V850=1,ISNUMBER($B850)),AsAt-$B850,"")</f>
        <v/>
      </c>
      <c r="Q850" s="78" t="str">
        <f aca="false">IF($V850&lt;&gt;1,"",IF($P850="","No invoice date",IF($P850&lt;=30,"0–30 days",IF($P850&lt;=60,"31–60 days",IF($P850&lt;=90,"61–90 days","Over 90 days")))))</f>
        <v/>
      </c>
      <c r="R850" s="80" t="str">
        <f aca="false">IF($V850=1,ROW(),"")</f>
        <v/>
      </c>
      <c r="S850" s="80" t="str">
        <f aca="false">IF(OR($A850&lt;&gt;"",$E850&lt;&gt;""),IF(TRIM($D850)="","Buyer not noted",TRIM($D850)),"")</f>
        <v/>
      </c>
      <c r="T850" s="80" t="n">
        <f aca="false">IF(AND($V850=1,ISNUMBER($M850)),$M850,0)</f>
        <v>0</v>
      </c>
      <c r="U850" s="80" t="str">
        <f aca="false">IF($V850=1,IF(COUNTIFS($S$7:$S850,$S850,$V$7:$V850,1)=1,SUMIFS($T$7:$T$1006,$S$7:$S$1006,$S850)-ROW()/1000000000,""),"")</f>
        <v/>
      </c>
      <c r="V850" s="80" t="n">
        <f aca="false">IF(OR($O850="On hand",$O850="Advance received",$O850="Part realised",$O850="Amount missing"),1,0)</f>
        <v>0</v>
      </c>
      <c r="W850" s="80" t="str">
        <f aca="false">IF(AND($V850=1,N($F850)&gt;0),ROW(),"")</f>
        <v/>
      </c>
      <c r="X850" s="80" t="n">
        <f aca="false">IF(AND(OR($A850&lt;&gt;"",$E850&lt;&gt;""),$O850&lt;&gt;"Cancelled",ISNUMBER($E850),N($F850)+N($H850)&gt;$E850+0.005),1,0)</f>
        <v>0</v>
      </c>
      <c r="Y850" s="80" t="n">
        <f aca="false">IF(AND(OR($A850&lt;&gt;"",$E850&lt;&gt;""),OR($A850="",$E850="")),1,0)</f>
        <v>0</v>
      </c>
      <c r="Z850" s="80" t="n">
        <f aca="false">IF(AND($A850&lt;&gt;"",COUNTIF($A$7:$A$1006,$A850)&gt;1),1,0)</f>
        <v>0</v>
      </c>
    </row>
    <row r="851" customFormat="false" ht="15" hidden="false" customHeight="false" outlineLevel="0" collapsed="false">
      <c r="A851" s="71"/>
      <c r="B851" s="72"/>
      <c r="C851" s="73"/>
      <c r="D851" s="73"/>
      <c r="E851" s="74"/>
      <c r="F851" s="74"/>
      <c r="G851" s="72"/>
      <c r="H851" s="74"/>
      <c r="I851" s="72"/>
      <c r="J851" s="73"/>
      <c r="K851" s="73"/>
      <c r="L851" s="75" t="str">
        <f aca="false">IF(OR($A851&lt;&gt;"",$E851&lt;&gt;""),N($F851)+N($H851),"")</f>
        <v/>
      </c>
      <c r="M851" s="76" t="str">
        <f aca="false">IF(OR($O851="",$O851="Cancelled",$O851="Amount missing"),"",IF($O851="Realised",0,$E851-N($F851)-N($H851)))</f>
        <v/>
      </c>
      <c r="N851" s="77" t="str">
        <f aca="false">IF(OR($M851="",FX=""),"",$M851*FX)</f>
        <v/>
      </c>
      <c r="O851" s="78" t="str">
        <f aca="false">IF(NOT(OR($A851&lt;&gt;"",$E851&lt;&gt;"")),"",IF($J851="Cancelled","Cancelled",IF($E851="","Amount missing",IF(OR($J851="Settled",$E851-N($F851)-N($H851)&lt;=0.005),"Realised",IF(N($H851)&gt;0,"Part realised",IF(N($F851)&gt;0,"Advance received","On hand"))))))</f>
        <v/>
      </c>
      <c r="P851" s="79" t="str">
        <f aca="false">IF(AND($V851=1,ISNUMBER($B851)),AsAt-$B851,"")</f>
        <v/>
      </c>
      <c r="Q851" s="78" t="str">
        <f aca="false">IF($V851&lt;&gt;1,"",IF($P851="","No invoice date",IF($P851&lt;=30,"0–30 days",IF($P851&lt;=60,"31–60 days",IF($P851&lt;=90,"61–90 days","Over 90 days")))))</f>
        <v/>
      </c>
      <c r="R851" s="80" t="str">
        <f aca="false">IF($V851=1,ROW(),"")</f>
        <v/>
      </c>
      <c r="S851" s="80" t="str">
        <f aca="false">IF(OR($A851&lt;&gt;"",$E851&lt;&gt;""),IF(TRIM($D851)="","Buyer not noted",TRIM($D851)),"")</f>
        <v/>
      </c>
      <c r="T851" s="80" t="n">
        <f aca="false">IF(AND($V851=1,ISNUMBER($M851)),$M851,0)</f>
        <v>0</v>
      </c>
      <c r="U851" s="80" t="str">
        <f aca="false">IF($V851=1,IF(COUNTIFS($S$7:$S851,$S851,$V$7:$V851,1)=1,SUMIFS($T$7:$T$1006,$S$7:$S$1006,$S851)-ROW()/1000000000,""),"")</f>
        <v/>
      </c>
      <c r="V851" s="80" t="n">
        <f aca="false">IF(OR($O851="On hand",$O851="Advance received",$O851="Part realised",$O851="Amount missing"),1,0)</f>
        <v>0</v>
      </c>
      <c r="W851" s="80" t="str">
        <f aca="false">IF(AND($V851=1,N($F851)&gt;0),ROW(),"")</f>
        <v/>
      </c>
      <c r="X851" s="80" t="n">
        <f aca="false">IF(AND(OR($A851&lt;&gt;"",$E851&lt;&gt;""),$O851&lt;&gt;"Cancelled",ISNUMBER($E851),N($F851)+N($H851)&gt;$E851+0.005),1,0)</f>
        <v>0</v>
      </c>
      <c r="Y851" s="80" t="n">
        <f aca="false">IF(AND(OR($A851&lt;&gt;"",$E851&lt;&gt;""),OR($A851="",$E851="")),1,0)</f>
        <v>0</v>
      </c>
      <c r="Z851" s="80" t="n">
        <f aca="false">IF(AND($A851&lt;&gt;"",COUNTIF($A$7:$A$1006,$A851)&gt;1),1,0)</f>
        <v>0</v>
      </c>
    </row>
    <row r="852" customFormat="false" ht="15" hidden="false" customHeight="false" outlineLevel="0" collapsed="false">
      <c r="A852" s="71"/>
      <c r="B852" s="72"/>
      <c r="C852" s="73"/>
      <c r="D852" s="73"/>
      <c r="E852" s="74"/>
      <c r="F852" s="74"/>
      <c r="G852" s="72"/>
      <c r="H852" s="74"/>
      <c r="I852" s="72"/>
      <c r="J852" s="73"/>
      <c r="K852" s="73"/>
      <c r="L852" s="75" t="str">
        <f aca="false">IF(OR($A852&lt;&gt;"",$E852&lt;&gt;""),N($F852)+N($H852),"")</f>
        <v/>
      </c>
      <c r="M852" s="76" t="str">
        <f aca="false">IF(OR($O852="",$O852="Cancelled",$O852="Amount missing"),"",IF($O852="Realised",0,$E852-N($F852)-N($H852)))</f>
        <v/>
      </c>
      <c r="N852" s="77" t="str">
        <f aca="false">IF(OR($M852="",FX=""),"",$M852*FX)</f>
        <v/>
      </c>
      <c r="O852" s="78" t="str">
        <f aca="false">IF(NOT(OR($A852&lt;&gt;"",$E852&lt;&gt;"")),"",IF($J852="Cancelled","Cancelled",IF($E852="","Amount missing",IF(OR($J852="Settled",$E852-N($F852)-N($H852)&lt;=0.005),"Realised",IF(N($H852)&gt;0,"Part realised",IF(N($F852)&gt;0,"Advance received","On hand"))))))</f>
        <v/>
      </c>
      <c r="P852" s="79" t="str">
        <f aca="false">IF(AND($V852=1,ISNUMBER($B852)),AsAt-$B852,"")</f>
        <v/>
      </c>
      <c r="Q852" s="78" t="str">
        <f aca="false">IF($V852&lt;&gt;1,"",IF($P852="","No invoice date",IF($P852&lt;=30,"0–30 days",IF($P852&lt;=60,"31–60 days",IF($P852&lt;=90,"61–90 days","Over 90 days")))))</f>
        <v/>
      </c>
      <c r="R852" s="80" t="str">
        <f aca="false">IF($V852=1,ROW(),"")</f>
        <v/>
      </c>
      <c r="S852" s="80" t="str">
        <f aca="false">IF(OR($A852&lt;&gt;"",$E852&lt;&gt;""),IF(TRIM($D852)="","Buyer not noted",TRIM($D852)),"")</f>
        <v/>
      </c>
      <c r="T852" s="80" t="n">
        <f aca="false">IF(AND($V852=1,ISNUMBER($M852)),$M852,0)</f>
        <v>0</v>
      </c>
      <c r="U852" s="80" t="str">
        <f aca="false">IF($V852=1,IF(COUNTIFS($S$7:$S852,$S852,$V$7:$V852,1)=1,SUMIFS($T$7:$T$1006,$S$7:$S$1006,$S852)-ROW()/1000000000,""),"")</f>
        <v/>
      </c>
      <c r="V852" s="80" t="n">
        <f aca="false">IF(OR($O852="On hand",$O852="Advance received",$O852="Part realised",$O852="Amount missing"),1,0)</f>
        <v>0</v>
      </c>
      <c r="W852" s="80" t="str">
        <f aca="false">IF(AND($V852=1,N($F852)&gt;0),ROW(),"")</f>
        <v/>
      </c>
      <c r="X852" s="80" t="n">
        <f aca="false">IF(AND(OR($A852&lt;&gt;"",$E852&lt;&gt;""),$O852&lt;&gt;"Cancelled",ISNUMBER($E852),N($F852)+N($H852)&gt;$E852+0.005),1,0)</f>
        <v>0</v>
      </c>
      <c r="Y852" s="80" t="n">
        <f aca="false">IF(AND(OR($A852&lt;&gt;"",$E852&lt;&gt;""),OR($A852="",$E852="")),1,0)</f>
        <v>0</v>
      </c>
      <c r="Z852" s="80" t="n">
        <f aca="false">IF(AND($A852&lt;&gt;"",COUNTIF($A$7:$A$1006,$A852)&gt;1),1,0)</f>
        <v>0</v>
      </c>
    </row>
    <row r="853" customFormat="false" ht="15" hidden="false" customHeight="false" outlineLevel="0" collapsed="false">
      <c r="A853" s="71"/>
      <c r="B853" s="72"/>
      <c r="C853" s="73"/>
      <c r="D853" s="73"/>
      <c r="E853" s="74"/>
      <c r="F853" s="74"/>
      <c r="G853" s="72"/>
      <c r="H853" s="74"/>
      <c r="I853" s="72"/>
      <c r="J853" s="73"/>
      <c r="K853" s="73"/>
      <c r="L853" s="75" t="str">
        <f aca="false">IF(OR($A853&lt;&gt;"",$E853&lt;&gt;""),N($F853)+N($H853),"")</f>
        <v/>
      </c>
      <c r="M853" s="76" t="str">
        <f aca="false">IF(OR($O853="",$O853="Cancelled",$O853="Amount missing"),"",IF($O853="Realised",0,$E853-N($F853)-N($H853)))</f>
        <v/>
      </c>
      <c r="N853" s="77" t="str">
        <f aca="false">IF(OR($M853="",FX=""),"",$M853*FX)</f>
        <v/>
      </c>
      <c r="O853" s="78" t="str">
        <f aca="false">IF(NOT(OR($A853&lt;&gt;"",$E853&lt;&gt;"")),"",IF($J853="Cancelled","Cancelled",IF($E853="","Amount missing",IF(OR($J853="Settled",$E853-N($F853)-N($H853)&lt;=0.005),"Realised",IF(N($H853)&gt;0,"Part realised",IF(N($F853)&gt;0,"Advance received","On hand"))))))</f>
        <v/>
      </c>
      <c r="P853" s="79" t="str">
        <f aca="false">IF(AND($V853=1,ISNUMBER($B853)),AsAt-$B853,"")</f>
        <v/>
      </c>
      <c r="Q853" s="78" t="str">
        <f aca="false">IF($V853&lt;&gt;1,"",IF($P853="","No invoice date",IF($P853&lt;=30,"0–30 days",IF($P853&lt;=60,"31–60 days",IF($P853&lt;=90,"61–90 days","Over 90 days")))))</f>
        <v/>
      </c>
      <c r="R853" s="80" t="str">
        <f aca="false">IF($V853=1,ROW(),"")</f>
        <v/>
      </c>
      <c r="S853" s="80" t="str">
        <f aca="false">IF(OR($A853&lt;&gt;"",$E853&lt;&gt;""),IF(TRIM($D853)="","Buyer not noted",TRIM($D853)),"")</f>
        <v/>
      </c>
      <c r="T853" s="80" t="n">
        <f aca="false">IF(AND($V853=1,ISNUMBER($M853)),$M853,0)</f>
        <v>0</v>
      </c>
      <c r="U853" s="80" t="str">
        <f aca="false">IF($V853=1,IF(COUNTIFS($S$7:$S853,$S853,$V$7:$V853,1)=1,SUMIFS($T$7:$T$1006,$S$7:$S$1006,$S853)-ROW()/1000000000,""),"")</f>
        <v/>
      </c>
      <c r="V853" s="80" t="n">
        <f aca="false">IF(OR($O853="On hand",$O853="Advance received",$O853="Part realised",$O853="Amount missing"),1,0)</f>
        <v>0</v>
      </c>
      <c r="W853" s="80" t="str">
        <f aca="false">IF(AND($V853=1,N($F853)&gt;0),ROW(),"")</f>
        <v/>
      </c>
      <c r="X853" s="80" t="n">
        <f aca="false">IF(AND(OR($A853&lt;&gt;"",$E853&lt;&gt;""),$O853&lt;&gt;"Cancelled",ISNUMBER($E853),N($F853)+N($H853)&gt;$E853+0.005),1,0)</f>
        <v>0</v>
      </c>
      <c r="Y853" s="80" t="n">
        <f aca="false">IF(AND(OR($A853&lt;&gt;"",$E853&lt;&gt;""),OR($A853="",$E853="")),1,0)</f>
        <v>0</v>
      </c>
      <c r="Z853" s="80" t="n">
        <f aca="false">IF(AND($A853&lt;&gt;"",COUNTIF($A$7:$A$1006,$A853)&gt;1),1,0)</f>
        <v>0</v>
      </c>
    </row>
    <row r="854" customFormat="false" ht="15" hidden="false" customHeight="false" outlineLevel="0" collapsed="false">
      <c r="A854" s="71"/>
      <c r="B854" s="72"/>
      <c r="C854" s="73"/>
      <c r="D854" s="73"/>
      <c r="E854" s="74"/>
      <c r="F854" s="74"/>
      <c r="G854" s="72"/>
      <c r="H854" s="74"/>
      <c r="I854" s="72"/>
      <c r="J854" s="73"/>
      <c r="K854" s="73"/>
      <c r="L854" s="75" t="str">
        <f aca="false">IF(OR($A854&lt;&gt;"",$E854&lt;&gt;""),N($F854)+N($H854),"")</f>
        <v/>
      </c>
      <c r="M854" s="76" t="str">
        <f aca="false">IF(OR($O854="",$O854="Cancelled",$O854="Amount missing"),"",IF($O854="Realised",0,$E854-N($F854)-N($H854)))</f>
        <v/>
      </c>
      <c r="N854" s="77" t="str">
        <f aca="false">IF(OR($M854="",FX=""),"",$M854*FX)</f>
        <v/>
      </c>
      <c r="O854" s="78" t="str">
        <f aca="false">IF(NOT(OR($A854&lt;&gt;"",$E854&lt;&gt;"")),"",IF($J854="Cancelled","Cancelled",IF($E854="","Amount missing",IF(OR($J854="Settled",$E854-N($F854)-N($H854)&lt;=0.005),"Realised",IF(N($H854)&gt;0,"Part realised",IF(N($F854)&gt;0,"Advance received","On hand"))))))</f>
        <v/>
      </c>
      <c r="P854" s="79" t="str">
        <f aca="false">IF(AND($V854=1,ISNUMBER($B854)),AsAt-$B854,"")</f>
        <v/>
      </c>
      <c r="Q854" s="78" t="str">
        <f aca="false">IF($V854&lt;&gt;1,"",IF($P854="","No invoice date",IF($P854&lt;=30,"0–30 days",IF($P854&lt;=60,"31–60 days",IF($P854&lt;=90,"61–90 days","Over 90 days")))))</f>
        <v/>
      </c>
      <c r="R854" s="80" t="str">
        <f aca="false">IF($V854=1,ROW(),"")</f>
        <v/>
      </c>
      <c r="S854" s="80" t="str">
        <f aca="false">IF(OR($A854&lt;&gt;"",$E854&lt;&gt;""),IF(TRIM($D854)="","Buyer not noted",TRIM($D854)),"")</f>
        <v/>
      </c>
      <c r="T854" s="80" t="n">
        <f aca="false">IF(AND($V854=1,ISNUMBER($M854)),$M854,0)</f>
        <v>0</v>
      </c>
      <c r="U854" s="80" t="str">
        <f aca="false">IF($V854=1,IF(COUNTIFS($S$7:$S854,$S854,$V$7:$V854,1)=1,SUMIFS($T$7:$T$1006,$S$7:$S$1006,$S854)-ROW()/1000000000,""),"")</f>
        <v/>
      </c>
      <c r="V854" s="80" t="n">
        <f aca="false">IF(OR($O854="On hand",$O854="Advance received",$O854="Part realised",$O854="Amount missing"),1,0)</f>
        <v>0</v>
      </c>
      <c r="W854" s="80" t="str">
        <f aca="false">IF(AND($V854=1,N($F854)&gt;0),ROW(),"")</f>
        <v/>
      </c>
      <c r="X854" s="80" t="n">
        <f aca="false">IF(AND(OR($A854&lt;&gt;"",$E854&lt;&gt;""),$O854&lt;&gt;"Cancelled",ISNUMBER($E854),N($F854)+N($H854)&gt;$E854+0.005),1,0)</f>
        <v>0</v>
      </c>
      <c r="Y854" s="80" t="n">
        <f aca="false">IF(AND(OR($A854&lt;&gt;"",$E854&lt;&gt;""),OR($A854="",$E854="")),1,0)</f>
        <v>0</v>
      </c>
      <c r="Z854" s="80" t="n">
        <f aca="false">IF(AND($A854&lt;&gt;"",COUNTIF($A$7:$A$1006,$A854)&gt;1),1,0)</f>
        <v>0</v>
      </c>
    </row>
    <row r="855" customFormat="false" ht="15" hidden="false" customHeight="false" outlineLevel="0" collapsed="false">
      <c r="A855" s="71"/>
      <c r="B855" s="72"/>
      <c r="C855" s="73"/>
      <c r="D855" s="73"/>
      <c r="E855" s="74"/>
      <c r="F855" s="74"/>
      <c r="G855" s="72"/>
      <c r="H855" s="74"/>
      <c r="I855" s="72"/>
      <c r="J855" s="73"/>
      <c r="K855" s="73"/>
      <c r="L855" s="75" t="str">
        <f aca="false">IF(OR($A855&lt;&gt;"",$E855&lt;&gt;""),N($F855)+N($H855),"")</f>
        <v/>
      </c>
      <c r="M855" s="76" t="str">
        <f aca="false">IF(OR($O855="",$O855="Cancelled",$O855="Amount missing"),"",IF($O855="Realised",0,$E855-N($F855)-N($H855)))</f>
        <v/>
      </c>
      <c r="N855" s="77" t="str">
        <f aca="false">IF(OR($M855="",FX=""),"",$M855*FX)</f>
        <v/>
      </c>
      <c r="O855" s="78" t="str">
        <f aca="false">IF(NOT(OR($A855&lt;&gt;"",$E855&lt;&gt;"")),"",IF($J855="Cancelled","Cancelled",IF($E855="","Amount missing",IF(OR($J855="Settled",$E855-N($F855)-N($H855)&lt;=0.005),"Realised",IF(N($H855)&gt;0,"Part realised",IF(N($F855)&gt;0,"Advance received","On hand"))))))</f>
        <v/>
      </c>
      <c r="P855" s="79" t="str">
        <f aca="false">IF(AND($V855=1,ISNUMBER($B855)),AsAt-$B855,"")</f>
        <v/>
      </c>
      <c r="Q855" s="78" t="str">
        <f aca="false">IF($V855&lt;&gt;1,"",IF($P855="","No invoice date",IF($P855&lt;=30,"0–30 days",IF($P855&lt;=60,"31–60 days",IF($P855&lt;=90,"61–90 days","Over 90 days")))))</f>
        <v/>
      </c>
      <c r="R855" s="80" t="str">
        <f aca="false">IF($V855=1,ROW(),"")</f>
        <v/>
      </c>
      <c r="S855" s="80" t="str">
        <f aca="false">IF(OR($A855&lt;&gt;"",$E855&lt;&gt;""),IF(TRIM($D855)="","Buyer not noted",TRIM($D855)),"")</f>
        <v/>
      </c>
      <c r="T855" s="80" t="n">
        <f aca="false">IF(AND($V855=1,ISNUMBER($M855)),$M855,0)</f>
        <v>0</v>
      </c>
      <c r="U855" s="80" t="str">
        <f aca="false">IF($V855=1,IF(COUNTIFS($S$7:$S855,$S855,$V$7:$V855,1)=1,SUMIFS($T$7:$T$1006,$S$7:$S$1006,$S855)-ROW()/1000000000,""),"")</f>
        <v/>
      </c>
      <c r="V855" s="80" t="n">
        <f aca="false">IF(OR($O855="On hand",$O855="Advance received",$O855="Part realised",$O855="Amount missing"),1,0)</f>
        <v>0</v>
      </c>
      <c r="W855" s="80" t="str">
        <f aca="false">IF(AND($V855=1,N($F855)&gt;0),ROW(),"")</f>
        <v/>
      </c>
      <c r="X855" s="80" t="n">
        <f aca="false">IF(AND(OR($A855&lt;&gt;"",$E855&lt;&gt;""),$O855&lt;&gt;"Cancelled",ISNUMBER($E855),N($F855)+N($H855)&gt;$E855+0.005),1,0)</f>
        <v>0</v>
      </c>
      <c r="Y855" s="80" t="n">
        <f aca="false">IF(AND(OR($A855&lt;&gt;"",$E855&lt;&gt;""),OR($A855="",$E855="")),1,0)</f>
        <v>0</v>
      </c>
      <c r="Z855" s="80" t="n">
        <f aca="false">IF(AND($A855&lt;&gt;"",COUNTIF($A$7:$A$1006,$A855)&gt;1),1,0)</f>
        <v>0</v>
      </c>
    </row>
    <row r="856" customFormat="false" ht="15" hidden="false" customHeight="false" outlineLevel="0" collapsed="false">
      <c r="A856" s="71"/>
      <c r="B856" s="72"/>
      <c r="C856" s="73"/>
      <c r="D856" s="73"/>
      <c r="E856" s="74"/>
      <c r="F856" s="74"/>
      <c r="G856" s="72"/>
      <c r="H856" s="74"/>
      <c r="I856" s="72"/>
      <c r="J856" s="73"/>
      <c r="K856" s="73"/>
      <c r="L856" s="75" t="str">
        <f aca="false">IF(OR($A856&lt;&gt;"",$E856&lt;&gt;""),N($F856)+N($H856),"")</f>
        <v/>
      </c>
      <c r="M856" s="76" t="str">
        <f aca="false">IF(OR($O856="",$O856="Cancelled",$O856="Amount missing"),"",IF($O856="Realised",0,$E856-N($F856)-N($H856)))</f>
        <v/>
      </c>
      <c r="N856" s="77" t="str">
        <f aca="false">IF(OR($M856="",FX=""),"",$M856*FX)</f>
        <v/>
      </c>
      <c r="O856" s="78" t="str">
        <f aca="false">IF(NOT(OR($A856&lt;&gt;"",$E856&lt;&gt;"")),"",IF($J856="Cancelled","Cancelled",IF($E856="","Amount missing",IF(OR($J856="Settled",$E856-N($F856)-N($H856)&lt;=0.005),"Realised",IF(N($H856)&gt;0,"Part realised",IF(N($F856)&gt;0,"Advance received","On hand"))))))</f>
        <v/>
      </c>
      <c r="P856" s="79" t="str">
        <f aca="false">IF(AND($V856=1,ISNUMBER($B856)),AsAt-$B856,"")</f>
        <v/>
      </c>
      <c r="Q856" s="78" t="str">
        <f aca="false">IF($V856&lt;&gt;1,"",IF($P856="","No invoice date",IF($P856&lt;=30,"0–30 days",IF($P856&lt;=60,"31–60 days",IF($P856&lt;=90,"61–90 days","Over 90 days")))))</f>
        <v/>
      </c>
      <c r="R856" s="80" t="str">
        <f aca="false">IF($V856=1,ROW(),"")</f>
        <v/>
      </c>
      <c r="S856" s="80" t="str">
        <f aca="false">IF(OR($A856&lt;&gt;"",$E856&lt;&gt;""),IF(TRIM($D856)="","Buyer not noted",TRIM($D856)),"")</f>
        <v/>
      </c>
      <c r="T856" s="80" t="n">
        <f aca="false">IF(AND($V856=1,ISNUMBER($M856)),$M856,0)</f>
        <v>0</v>
      </c>
      <c r="U856" s="80" t="str">
        <f aca="false">IF($V856=1,IF(COUNTIFS($S$7:$S856,$S856,$V$7:$V856,1)=1,SUMIFS($T$7:$T$1006,$S$7:$S$1006,$S856)-ROW()/1000000000,""),"")</f>
        <v/>
      </c>
      <c r="V856" s="80" t="n">
        <f aca="false">IF(OR($O856="On hand",$O856="Advance received",$O856="Part realised",$O856="Amount missing"),1,0)</f>
        <v>0</v>
      </c>
      <c r="W856" s="80" t="str">
        <f aca="false">IF(AND($V856=1,N($F856)&gt;0),ROW(),"")</f>
        <v/>
      </c>
      <c r="X856" s="80" t="n">
        <f aca="false">IF(AND(OR($A856&lt;&gt;"",$E856&lt;&gt;""),$O856&lt;&gt;"Cancelled",ISNUMBER($E856),N($F856)+N($H856)&gt;$E856+0.005),1,0)</f>
        <v>0</v>
      </c>
      <c r="Y856" s="80" t="n">
        <f aca="false">IF(AND(OR($A856&lt;&gt;"",$E856&lt;&gt;""),OR($A856="",$E856="")),1,0)</f>
        <v>0</v>
      </c>
      <c r="Z856" s="80" t="n">
        <f aca="false">IF(AND($A856&lt;&gt;"",COUNTIF($A$7:$A$1006,$A856)&gt;1),1,0)</f>
        <v>0</v>
      </c>
    </row>
    <row r="857" customFormat="false" ht="15" hidden="false" customHeight="false" outlineLevel="0" collapsed="false">
      <c r="A857" s="71"/>
      <c r="B857" s="72"/>
      <c r="C857" s="73"/>
      <c r="D857" s="73"/>
      <c r="E857" s="74"/>
      <c r="F857" s="74"/>
      <c r="G857" s="72"/>
      <c r="H857" s="74"/>
      <c r="I857" s="72"/>
      <c r="J857" s="73"/>
      <c r="K857" s="73"/>
      <c r="L857" s="75" t="str">
        <f aca="false">IF(OR($A857&lt;&gt;"",$E857&lt;&gt;""),N($F857)+N($H857),"")</f>
        <v/>
      </c>
      <c r="M857" s="76" t="str">
        <f aca="false">IF(OR($O857="",$O857="Cancelled",$O857="Amount missing"),"",IF($O857="Realised",0,$E857-N($F857)-N($H857)))</f>
        <v/>
      </c>
      <c r="N857" s="77" t="str">
        <f aca="false">IF(OR($M857="",FX=""),"",$M857*FX)</f>
        <v/>
      </c>
      <c r="O857" s="78" t="str">
        <f aca="false">IF(NOT(OR($A857&lt;&gt;"",$E857&lt;&gt;"")),"",IF($J857="Cancelled","Cancelled",IF($E857="","Amount missing",IF(OR($J857="Settled",$E857-N($F857)-N($H857)&lt;=0.005),"Realised",IF(N($H857)&gt;0,"Part realised",IF(N($F857)&gt;0,"Advance received","On hand"))))))</f>
        <v/>
      </c>
      <c r="P857" s="79" t="str">
        <f aca="false">IF(AND($V857=1,ISNUMBER($B857)),AsAt-$B857,"")</f>
        <v/>
      </c>
      <c r="Q857" s="78" t="str">
        <f aca="false">IF($V857&lt;&gt;1,"",IF($P857="","No invoice date",IF($P857&lt;=30,"0–30 days",IF($P857&lt;=60,"31–60 days",IF($P857&lt;=90,"61–90 days","Over 90 days")))))</f>
        <v/>
      </c>
      <c r="R857" s="80" t="str">
        <f aca="false">IF($V857=1,ROW(),"")</f>
        <v/>
      </c>
      <c r="S857" s="80" t="str">
        <f aca="false">IF(OR($A857&lt;&gt;"",$E857&lt;&gt;""),IF(TRIM($D857)="","Buyer not noted",TRIM($D857)),"")</f>
        <v/>
      </c>
      <c r="T857" s="80" t="n">
        <f aca="false">IF(AND($V857=1,ISNUMBER($M857)),$M857,0)</f>
        <v>0</v>
      </c>
      <c r="U857" s="80" t="str">
        <f aca="false">IF($V857=1,IF(COUNTIFS($S$7:$S857,$S857,$V$7:$V857,1)=1,SUMIFS($T$7:$T$1006,$S$7:$S$1006,$S857)-ROW()/1000000000,""),"")</f>
        <v/>
      </c>
      <c r="V857" s="80" t="n">
        <f aca="false">IF(OR($O857="On hand",$O857="Advance received",$O857="Part realised",$O857="Amount missing"),1,0)</f>
        <v>0</v>
      </c>
      <c r="W857" s="80" t="str">
        <f aca="false">IF(AND($V857=1,N($F857)&gt;0),ROW(),"")</f>
        <v/>
      </c>
      <c r="X857" s="80" t="n">
        <f aca="false">IF(AND(OR($A857&lt;&gt;"",$E857&lt;&gt;""),$O857&lt;&gt;"Cancelled",ISNUMBER($E857),N($F857)+N($H857)&gt;$E857+0.005),1,0)</f>
        <v>0</v>
      </c>
      <c r="Y857" s="80" t="n">
        <f aca="false">IF(AND(OR($A857&lt;&gt;"",$E857&lt;&gt;""),OR($A857="",$E857="")),1,0)</f>
        <v>0</v>
      </c>
      <c r="Z857" s="80" t="n">
        <f aca="false">IF(AND($A857&lt;&gt;"",COUNTIF($A$7:$A$1006,$A857)&gt;1),1,0)</f>
        <v>0</v>
      </c>
    </row>
    <row r="858" customFormat="false" ht="15" hidden="false" customHeight="false" outlineLevel="0" collapsed="false">
      <c r="A858" s="71"/>
      <c r="B858" s="72"/>
      <c r="C858" s="73"/>
      <c r="D858" s="73"/>
      <c r="E858" s="74"/>
      <c r="F858" s="74"/>
      <c r="G858" s="72"/>
      <c r="H858" s="74"/>
      <c r="I858" s="72"/>
      <c r="J858" s="73"/>
      <c r="K858" s="73"/>
      <c r="L858" s="75" t="str">
        <f aca="false">IF(OR($A858&lt;&gt;"",$E858&lt;&gt;""),N($F858)+N($H858),"")</f>
        <v/>
      </c>
      <c r="M858" s="76" t="str">
        <f aca="false">IF(OR($O858="",$O858="Cancelled",$O858="Amount missing"),"",IF($O858="Realised",0,$E858-N($F858)-N($H858)))</f>
        <v/>
      </c>
      <c r="N858" s="77" t="str">
        <f aca="false">IF(OR($M858="",FX=""),"",$M858*FX)</f>
        <v/>
      </c>
      <c r="O858" s="78" t="str">
        <f aca="false">IF(NOT(OR($A858&lt;&gt;"",$E858&lt;&gt;"")),"",IF($J858="Cancelled","Cancelled",IF($E858="","Amount missing",IF(OR($J858="Settled",$E858-N($F858)-N($H858)&lt;=0.005),"Realised",IF(N($H858)&gt;0,"Part realised",IF(N($F858)&gt;0,"Advance received","On hand"))))))</f>
        <v/>
      </c>
      <c r="P858" s="79" t="str">
        <f aca="false">IF(AND($V858=1,ISNUMBER($B858)),AsAt-$B858,"")</f>
        <v/>
      </c>
      <c r="Q858" s="78" t="str">
        <f aca="false">IF($V858&lt;&gt;1,"",IF($P858="","No invoice date",IF($P858&lt;=30,"0–30 days",IF($P858&lt;=60,"31–60 days",IF($P858&lt;=90,"61–90 days","Over 90 days")))))</f>
        <v/>
      </c>
      <c r="R858" s="80" t="str">
        <f aca="false">IF($V858=1,ROW(),"")</f>
        <v/>
      </c>
      <c r="S858" s="80" t="str">
        <f aca="false">IF(OR($A858&lt;&gt;"",$E858&lt;&gt;""),IF(TRIM($D858)="","Buyer not noted",TRIM($D858)),"")</f>
        <v/>
      </c>
      <c r="T858" s="80" t="n">
        <f aca="false">IF(AND($V858=1,ISNUMBER($M858)),$M858,0)</f>
        <v>0</v>
      </c>
      <c r="U858" s="80" t="str">
        <f aca="false">IF($V858=1,IF(COUNTIFS($S$7:$S858,$S858,$V$7:$V858,1)=1,SUMIFS($T$7:$T$1006,$S$7:$S$1006,$S858)-ROW()/1000000000,""),"")</f>
        <v/>
      </c>
      <c r="V858" s="80" t="n">
        <f aca="false">IF(OR($O858="On hand",$O858="Advance received",$O858="Part realised",$O858="Amount missing"),1,0)</f>
        <v>0</v>
      </c>
      <c r="W858" s="80" t="str">
        <f aca="false">IF(AND($V858=1,N($F858)&gt;0),ROW(),"")</f>
        <v/>
      </c>
      <c r="X858" s="80" t="n">
        <f aca="false">IF(AND(OR($A858&lt;&gt;"",$E858&lt;&gt;""),$O858&lt;&gt;"Cancelled",ISNUMBER($E858),N($F858)+N($H858)&gt;$E858+0.005),1,0)</f>
        <v>0</v>
      </c>
      <c r="Y858" s="80" t="n">
        <f aca="false">IF(AND(OR($A858&lt;&gt;"",$E858&lt;&gt;""),OR($A858="",$E858="")),1,0)</f>
        <v>0</v>
      </c>
      <c r="Z858" s="80" t="n">
        <f aca="false">IF(AND($A858&lt;&gt;"",COUNTIF($A$7:$A$1006,$A858)&gt;1),1,0)</f>
        <v>0</v>
      </c>
    </row>
    <row r="859" customFormat="false" ht="15" hidden="false" customHeight="false" outlineLevel="0" collapsed="false">
      <c r="A859" s="71"/>
      <c r="B859" s="72"/>
      <c r="C859" s="73"/>
      <c r="D859" s="73"/>
      <c r="E859" s="74"/>
      <c r="F859" s="74"/>
      <c r="G859" s="72"/>
      <c r="H859" s="74"/>
      <c r="I859" s="72"/>
      <c r="J859" s="73"/>
      <c r="K859" s="73"/>
      <c r="L859" s="75" t="str">
        <f aca="false">IF(OR($A859&lt;&gt;"",$E859&lt;&gt;""),N($F859)+N($H859),"")</f>
        <v/>
      </c>
      <c r="M859" s="76" t="str">
        <f aca="false">IF(OR($O859="",$O859="Cancelled",$O859="Amount missing"),"",IF($O859="Realised",0,$E859-N($F859)-N($H859)))</f>
        <v/>
      </c>
      <c r="N859" s="77" t="str">
        <f aca="false">IF(OR($M859="",FX=""),"",$M859*FX)</f>
        <v/>
      </c>
      <c r="O859" s="78" t="str">
        <f aca="false">IF(NOT(OR($A859&lt;&gt;"",$E859&lt;&gt;"")),"",IF($J859="Cancelled","Cancelled",IF($E859="","Amount missing",IF(OR($J859="Settled",$E859-N($F859)-N($H859)&lt;=0.005),"Realised",IF(N($H859)&gt;0,"Part realised",IF(N($F859)&gt;0,"Advance received","On hand"))))))</f>
        <v/>
      </c>
      <c r="P859" s="79" t="str">
        <f aca="false">IF(AND($V859=1,ISNUMBER($B859)),AsAt-$B859,"")</f>
        <v/>
      </c>
      <c r="Q859" s="78" t="str">
        <f aca="false">IF($V859&lt;&gt;1,"",IF($P859="","No invoice date",IF($P859&lt;=30,"0–30 days",IF($P859&lt;=60,"31–60 days",IF($P859&lt;=90,"61–90 days","Over 90 days")))))</f>
        <v/>
      </c>
      <c r="R859" s="80" t="str">
        <f aca="false">IF($V859=1,ROW(),"")</f>
        <v/>
      </c>
      <c r="S859" s="80" t="str">
        <f aca="false">IF(OR($A859&lt;&gt;"",$E859&lt;&gt;""),IF(TRIM($D859)="","Buyer not noted",TRIM($D859)),"")</f>
        <v/>
      </c>
      <c r="T859" s="80" t="n">
        <f aca="false">IF(AND($V859=1,ISNUMBER($M859)),$M859,0)</f>
        <v>0</v>
      </c>
      <c r="U859" s="80" t="str">
        <f aca="false">IF($V859=1,IF(COUNTIFS($S$7:$S859,$S859,$V$7:$V859,1)=1,SUMIFS($T$7:$T$1006,$S$7:$S$1006,$S859)-ROW()/1000000000,""),"")</f>
        <v/>
      </c>
      <c r="V859" s="80" t="n">
        <f aca="false">IF(OR($O859="On hand",$O859="Advance received",$O859="Part realised",$O859="Amount missing"),1,0)</f>
        <v>0</v>
      </c>
      <c r="W859" s="80" t="str">
        <f aca="false">IF(AND($V859=1,N($F859)&gt;0),ROW(),"")</f>
        <v/>
      </c>
      <c r="X859" s="80" t="n">
        <f aca="false">IF(AND(OR($A859&lt;&gt;"",$E859&lt;&gt;""),$O859&lt;&gt;"Cancelled",ISNUMBER($E859),N($F859)+N($H859)&gt;$E859+0.005),1,0)</f>
        <v>0</v>
      </c>
      <c r="Y859" s="80" t="n">
        <f aca="false">IF(AND(OR($A859&lt;&gt;"",$E859&lt;&gt;""),OR($A859="",$E859="")),1,0)</f>
        <v>0</v>
      </c>
      <c r="Z859" s="80" t="n">
        <f aca="false">IF(AND($A859&lt;&gt;"",COUNTIF($A$7:$A$1006,$A859)&gt;1),1,0)</f>
        <v>0</v>
      </c>
    </row>
    <row r="860" customFormat="false" ht="15" hidden="false" customHeight="false" outlineLevel="0" collapsed="false">
      <c r="A860" s="71"/>
      <c r="B860" s="72"/>
      <c r="C860" s="73"/>
      <c r="D860" s="73"/>
      <c r="E860" s="74"/>
      <c r="F860" s="74"/>
      <c r="G860" s="72"/>
      <c r="H860" s="74"/>
      <c r="I860" s="72"/>
      <c r="J860" s="73"/>
      <c r="K860" s="73"/>
      <c r="L860" s="75" t="str">
        <f aca="false">IF(OR($A860&lt;&gt;"",$E860&lt;&gt;""),N($F860)+N($H860),"")</f>
        <v/>
      </c>
      <c r="M860" s="76" t="str">
        <f aca="false">IF(OR($O860="",$O860="Cancelled",$O860="Amount missing"),"",IF($O860="Realised",0,$E860-N($F860)-N($H860)))</f>
        <v/>
      </c>
      <c r="N860" s="77" t="str">
        <f aca="false">IF(OR($M860="",FX=""),"",$M860*FX)</f>
        <v/>
      </c>
      <c r="O860" s="78" t="str">
        <f aca="false">IF(NOT(OR($A860&lt;&gt;"",$E860&lt;&gt;"")),"",IF($J860="Cancelled","Cancelled",IF($E860="","Amount missing",IF(OR($J860="Settled",$E860-N($F860)-N($H860)&lt;=0.005),"Realised",IF(N($H860)&gt;0,"Part realised",IF(N($F860)&gt;0,"Advance received","On hand"))))))</f>
        <v/>
      </c>
      <c r="P860" s="79" t="str">
        <f aca="false">IF(AND($V860=1,ISNUMBER($B860)),AsAt-$B860,"")</f>
        <v/>
      </c>
      <c r="Q860" s="78" t="str">
        <f aca="false">IF($V860&lt;&gt;1,"",IF($P860="","No invoice date",IF($P860&lt;=30,"0–30 days",IF($P860&lt;=60,"31–60 days",IF($P860&lt;=90,"61–90 days","Over 90 days")))))</f>
        <v/>
      </c>
      <c r="R860" s="80" t="str">
        <f aca="false">IF($V860=1,ROW(),"")</f>
        <v/>
      </c>
      <c r="S860" s="80" t="str">
        <f aca="false">IF(OR($A860&lt;&gt;"",$E860&lt;&gt;""),IF(TRIM($D860)="","Buyer not noted",TRIM($D860)),"")</f>
        <v/>
      </c>
      <c r="T860" s="80" t="n">
        <f aca="false">IF(AND($V860=1,ISNUMBER($M860)),$M860,0)</f>
        <v>0</v>
      </c>
      <c r="U860" s="80" t="str">
        <f aca="false">IF($V860=1,IF(COUNTIFS($S$7:$S860,$S860,$V$7:$V860,1)=1,SUMIFS($T$7:$T$1006,$S$7:$S$1006,$S860)-ROW()/1000000000,""),"")</f>
        <v/>
      </c>
      <c r="V860" s="80" t="n">
        <f aca="false">IF(OR($O860="On hand",$O860="Advance received",$O860="Part realised",$O860="Amount missing"),1,0)</f>
        <v>0</v>
      </c>
      <c r="W860" s="80" t="str">
        <f aca="false">IF(AND($V860=1,N($F860)&gt;0),ROW(),"")</f>
        <v/>
      </c>
      <c r="X860" s="80" t="n">
        <f aca="false">IF(AND(OR($A860&lt;&gt;"",$E860&lt;&gt;""),$O860&lt;&gt;"Cancelled",ISNUMBER($E860),N($F860)+N($H860)&gt;$E860+0.005),1,0)</f>
        <v>0</v>
      </c>
      <c r="Y860" s="80" t="n">
        <f aca="false">IF(AND(OR($A860&lt;&gt;"",$E860&lt;&gt;""),OR($A860="",$E860="")),1,0)</f>
        <v>0</v>
      </c>
      <c r="Z860" s="80" t="n">
        <f aca="false">IF(AND($A860&lt;&gt;"",COUNTIF($A$7:$A$1006,$A860)&gt;1),1,0)</f>
        <v>0</v>
      </c>
    </row>
    <row r="861" customFormat="false" ht="15" hidden="false" customHeight="false" outlineLevel="0" collapsed="false">
      <c r="A861" s="71"/>
      <c r="B861" s="72"/>
      <c r="C861" s="73"/>
      <c r="D861" s="73"/>
      <c r="E861" s="74"/>
      <c r="F861" s="74"/>
      <c r="G861" s="72"/>
      <c r="H861" s="74"/>
      <c r="I861" s="72"/>
      <c r="J861" s="73"/>
      <c r="K861" s="73"/>
      <c r="L861" s="75" t="str">
        <f aca="false">IF(OR($A861&lt;&gt;"",$E861&lt;&gt;""),N($F861)+N($H861),"")</f>
        <v/>
      </c>
      <c r="M861" s="76" t="str">
        <f aca="false">IF(OR($O861="",$O861="Cancelled",$O861="Amount missing"),"",IF($O861="Realised",0,$E861-N($F861)-N($H861)))</f>
        <v/>
      </c>
      <c r="N861" s="77" t="str">
        <f aca="false">IF(OR($M861="",FX=""),"",$M861*FX)</f>
        <v/>
      </c>
      <c r="O861" s="78" t="str">
        <f aca="false">IF(NOT(OR($A861&lt;&gt;"",$E861&lt;&gt;"")),"",IF($J861="Cancelled","Cancelled",IF($E861="","Amount missing",IF(OR($J861="Settled",$E861-N($F861)-N($H861)&lt;=0.005),"Realised",IF(N($H861)&gt;0,"Part realised",IF(N($F861)&gt;0,"Advance received","On hand"))))))</f>
        <v/>
      </c>
      <c r="P861" s="79" t="str">
        <f aca="false">IF(AND($V861=1,ISNUMBER($B861)),AsAt-$B861,"")</f>
        <v/>
      </c>
      <c r="Q861" s="78" t="str">
        <f aca="false">IF($V861&lt;&gt;1,"",IF($P861="","No invoice date",IF($P861&lt;=30,"0–30 days",IF($P861&lt;=60,"31–60 days",IF($P861&lt;=90,"61–90 days","Over 90 days")))))</f>
        <v/>
      </c>
      <c r="R861" s="80" t="str">
        <f aca="false">IF($V861=1,ROW(),"")</f>
        <v/>
      </c>
      <c r="S861" s="80" t="str">
        <f aca="false">IF(OR($A861&lt;&gt;"",$E861&lt;&gt;""),IF(TRIM($D861)="","Buyer not noted",TRIM($D861)),"")</f>
        <v/>
      </c>
      <c r="T861" s="80" t="n">
        <f aca="false">IF(AND($V861=1,ISNUMBER($M861)),$M861,0)</f>
        <v>0</v>
      </c>
      <c r="U861" s="80" t="str">
        <f aca="false">IF($V861=1,IF(COUNTIFS($S$7:$S861,$S861,$V$7:$V861,1)=1,SUMIFS($T$7:$T$1006,$S$7:$S$1006,$S861)-ROW()/1000000000,""),"")</f>
        <v/>
      </c>
      <c r="V861" s="80" t="n">
        <f aca="false">IF(OR($O861="On hand",$O861="Advance received",$O861="Part realised",$O861="Amount missing"),1,0)</f>
        <v>0</v>
      </c>
      <c r="W861" s="80" t="str">
        <f aca="false">IF(AND($V861=1,N($F861)&gt;0),ROW(),"")</f>
        <v/>
      </c>
      <c r="X861" s="80" t="n">
        <f aca="false">IF(AND(OR($A861&lt;&gt;"",$E861&lt;&gt;""),$O861&lt;&gt;"Cancelled",ISNUMBER($E861),N($F861)+N($H861)&gt;$E861+0.005),1,0)</f>
        <v>0</v>
      </c>
      <c r="Y861" s="80" t="n">
        <f aca="false">IF(AND(OR($A861&lt;&gt;"",$E861&lt;&gt;""),OR($A861="",$E861="")),1,0)</f>
        <v>0</v>
      </c>
      <c r="Z861" s="80" t="n">
        <f aca="false">IF(AND($A861&lt;&gt;"",COUNTIF($A$7:$A$1006,$A861)&gt;1),1,0)</f>
        <v>0</v>
      </c>
    </row>
    <row r="862" customFormat="false" ht="15" hidden="false" customHeight="false" outlineLevel="0" collapsed="false">
      <c r="A862" s="71"/>
      <c r="B862" s="72"/>
      <c r="C862" s="73"/>
      <c r="D862" s="73"/>
      <c r="E862" s="74"/>
      <c r="F862" s="74"/>
      <c r="G862" s="72"/>
      <c r="H862" s="74"/>
      <c r="I862" s="72"/>
      <c r="J862" s="73"/>
      <c r="K862" s="73"/>
      <c r="L862" s="75" t="str">
        <f aca="false">IF(OR($A862&lt;&gt;"",$E862&lt;&gt;""),N($F862)+N($H862),"")</f>
        <v/>
      </c>
      <c r="M862" s="76" t="str">
        <f aca="false">IF(OR($O862="",$O862="Cancelled",$O862="Amount missing"),"",IF($O862="Realised",0,$E862-N($F862)-N($H862)))</f>
        <v/>
      </c>
      <c r="N862" s="77" t="str">
        <f aca="false">IF(OR($M862="",FX=""),"",$M862*FX)</f>
        <v/>
      </c>
      <c r="O862" s="78" t="str">
        <f aca="false">IF(NOT(OR($A862&lt;&gt;"",$E862&lt;&gt;"")),"",IF($J862="Cancelled","Cancelled",IF($E862="","Amount missing",IF(OR($J862="Settled",$E862-N($F862)-N($H862)&lt;=0.005),"Realised",IF(N($H862)&gt;0,"Part realised",IF(N($F862)&gt;0,"Advance received","On hand"))))))</f>
        <v/>
      </c>
      <c r="P862" s="79" t="str">
        <f aca="false">IF(AND($V862=1,ISNUMBER($B862)),AsAt-$B862,"")</f>
        <v/>
      </c>
      <c r="Q862" s="78" t="str">
        <f aca="false">IF($V862&lt;&gt;1,"",IF($P862="","No invoice date",IF($P862&lt;=30,"0–30 days",IF($P862&lt;=60,"31–60 days",IF($P862&lt;=90,"61–90 days","Over 90 days")))))</f>
        <v/>
      </c>
      <c r="R862" s="80" t="str">
        <f aca="false">IF($V862=1,ROW(),"")</f>
        <v/>
      </c>
      <c r="S862" s="80" t="str">
        <f aca="false">IF(OR($A862&lt;&gt;"",$E862&lt;&gt;""),IF(TRIM($D862)="","Buyer not noted",TRIM($D862)),"")</f>
        <v/>
      </c>
      <c r="T862" s="80" t="n">
        <f aca="false">IF(AND($V862=1,ISNUMBER($M862)),$M862,0)</f>
        <v>0</v>
      </c>
      <c r="U862" s="80" t="str">
        <f aca="false">IF($V862=1,IF(COUNTIFS($S$7:$S862,$S862,$V$7:$V862,1)=1,SUMIFS($T$7:$T$1006,$S$7:$S$1006,$S862)-ROW()/1000000000,""),"")</f>
        <v/>
      </c>
      <c r="V862" s="80" t="n">
        <f aca="false">IF(OR($O862="On hand",$O862="Advance received",$O862="Part realised",$O862="Amount missing"),1,0)</f>
        <v>0</v>
      </c>
      <c r="W862" s="80" t="str">
        <f aca="false">IF(AND($V862=1,N($F862)&gt;0),ROW(),"")</f>
        <v/>
      </c>
      <c r="X862" s="80" t="n">
        <f aca="false">IF(AND(OR($A862&lt;&gt;"",$E862&lt;&gt;""),$O862&lt;&gt;"Cancelled",ISNUMBER($E862),N($F862)+N($H862)&gt;$E862+0.005),1,0)</f>
        <v>0</v>
      </c>
      <c r="Y862" s="80" t="n">
        <f aca="false">IF(AND(OR($A862&lt;&gt;"",$E862&lt;&gt;""),OR($A862="",$E862="")),1,0)</f>
        <v>0</v>
      </c>
      <c r="Z862" s="80" t="n">
        <f aca="false">IF(AND($A862&lt;&gt;"",COUNTIF($A$7:$A$1006,$A862)&gt;1),1,0)</f>
        <v>0</v>
      </c>
    </row>
    <row r="863" customFormat="false" ht="15" hidden="false" customHeight="false" outlineLevel="0" collapsed="false">
      <c r="A863" s="71"/>
      <c r="B863" s="72"/>
      <c r="C863" s="73"/>
      <c r="D863" s="73"/>
      <c r="E863" s="74"/>
      <c r="F863" s="74"/>
      <c r="G863" s="72"/>
      <c r="H863" s="74"/>
      <c r="I863" s="72"/>
      <c r="J863" s="73"/>
      <c r="K863" s="73"/>
      <c r="L863" s="75" t="str">
        <f aca="false">IF(OR($A863&lt;&gt;"",$E863&lt;&gt;""),N($F863)+N($H863),"")</f>
        <v/>
      </c>
      <c r="M863" s="76" t="str">
        <f aca="false">IF(OR($O863="",$O863="Cancelled",$O863="Amount missing"),"",IF($O863="Realised",0,$E863-N($F863)-N($H863)))</f>
        <v/>
      </c>
      <c r="N863" s="77" t="str">
        <f aca="false">IF(OR($M863="",FX=""),"",$M863*FX)</f>
        <v/>
      </c>
      <c r="O863" s="78" t="str">
        <f aca="false">IF(NOT(OR($A863&lt;&gt;"",$E863&lt;&gt;"")),"",IF($J863="Cancelled","Cancelled",IF($E863="","Amount missing",IF(OR($J863="Settled",$E863-N($F863)-N($H863)&lt;=0.005),"Realised",IF(N($H863)&gt;0,"Part realised",IF(N($F863)&gt;0,"Advance received","On hand"))))))</f>
        <v/>
      </c>
      <c r="P863" s="79" t="str">
        <f aca="false">IF(AND($V863=1,ISNUMBER($B863)),AsAt-$B863,"")</f>
        <v/>
      </c>
      <c r="Q863" s="78" t="str">
        <f aca="false">IF($V863&lt;&gt;1,"",IF($P863="","No invoice date",IF($P863&lt;=30,"0–30 days",IF($P863&lt;=60,"31–60 days",IF($P863&lt;=90,"61–90 days","Over 90 days")))))</f>
        <v/>
      </c>
      <c r="R863" s="80" t="str">
        <f aca="false">IF($V863=1,ROW(),"")</f>
        <v/>
      </c>
      <c r="S863" s="80" t="str">
        <f aca="false">IF(OR($A863&lt;&gt;"",$E863&lt;&gt;""),IF(TRIM($D863)="","Buyer not noted",TRIM($D863)),"")</f>
        <v/>
      </c>
      <c r="T863" s="80" t="n">
        <f aca="false">IF(AND($V863=1,ISNUMBER($M863)),$M863,0)</f>
        <v>0</v>
      </c>
      <c r="U863" s="80" t="str">
        <f aca="false">IF($V863=1,IF(COUNTIFS($S$7:$S863,$S863,$V$7:$V863,1)=1,SUMIFS($T$7:$T$1006,$S$7:$S$1006,$S863)-ROW()/1000000000,""),"")</f>
        <v/>
      </c>
      <c r="V863" s="80" t="n">
        <f aca="false">IF(OR($O863="On hand",$O863="Advance received",$O863="Part realised",$O863="Amount missing"),1,0)</f>
        <v>0</v>
      </c>
      <c r="W863" s="80" t="str">
        <f aca="false">IF(AND($V863=1,N($F863)&gt;0),ROW(),"")</f>
        <v/>
      </c>
      <c r="X863" s="80" t="n">
        <f aca="false">IF(AND(OR($A863&lt;&gt;"",$E863&lt;&gt;""),$O863&lt;&gt;"Cancelled",ISNUMBER($E863),N($F863)+N($H863)&gt;$E863+0.005),1,0)</f>
        <v>0</v>
      </c>
      <c r="Y863" s="80" t="n">
        <f aca="false">IF(AND(OR($A863&lt;&gt;"",$E863&lt;&gt;""),OR($A863="",$E863="")),1,0)</f>
        <v>0</v>
      </c>
      <c r="Z863" s="80" t="n">
        <f aca="false">IF(AND($A863&lt;&gt;"",COUNTIF($A$7:$A$1006,$A863)&gt;1),1,0)</f>
        <v>0</v>
      </c>
    </row>
    <row r="864" customFormat="false" ht="15" hidden="false" customHeight="false" outlineLevel="0" collapsed="false">
      <c r="A864" s="71"/>
      <c r="B864" s="72"/>
      <c r="C864" s="73"/>
      <c r="D864" s="73"/>
      <c r="E864" s="74"/>
      <c r="F864" s="74"/>
      <c r="G864" s="72"/>
      <c r="H864" s="74"/>
      <c r="I864" s="72"/>
      <c r="J864" s="73"/>
      <c r="K864" s="73"/>
      <c r="L864" s="75" t="str">
        <f aca="false">IF(OR($A864&lt;&gt;"",$E864&lt;&gt;""),N($F864)+N($H864),"")</f>
        <v/>
      </c>
      <c r="M864" s="76" t="str">
        <f aca="false">IF(OR($O864="",$O864="Cancelled",$O864="Amount missing"),"",IF($O864="Realised",0,$E864-N($F864)-N($H864)))</f>
        <v/>
      </c>
      <c r="N864" s="77" t="str">
        <f aca="false">IF(OR($M864="",FX=""),"",$M864*FX)</f>
        <v/>
      </c>
      <c r="O864" s="78" t="str">
        <f aca="false">IF(NOT(OR($A864&lt;&gt;"",$E864&lt;&gt;"")),"",IF($J864="Cancelled","Cancelled",IF($E864="","Amount missing",IF(OR($J864="Settled",$E864-N($F864)-N($H864)&lt;=0.005),"Realised",IF(N($H864)&gt;0,"Part realised",IF(N($F864)&gt;0,"Advance received","On hand"))))))</f>
        <v/>
      </c>
      <c r="P864" s="79" t="str">
        <f aca="false">IF(AND($V864=1,ISNUMBER($B864)),AsAt-$B864,"")</f>
        <v/>
      </c>
      <c r="Q864" s="78" t="str">
        <f aca="false">IF($V864&lt;&gt;1,"",IF($P864="","No invoice date",IF($P864&lt;=30,"0–30 days",IF($P864&lt;=60,"31–60 days",IF($P864&lt;=90,"61–90 days","Over 90 days")))))</f>
        <v/>
      </c>
      <c r="R864" s="80" t="str">
        <f aca="false">IF($V864=1,ROW(),"")</f>
        <v/>
      </c>
      <c r="S864" s="80" t="str">
        <f aca="false">IF(OR($A864&lt;&gt;"",$E864&lt;&gt;""),IF(TRIM($D864)="","Buyer not noted",TRIM($D864)),"")</f>
        <v/>
      </c>
      <c r="T864" s="80" t="n">
        <f aca="false">IF(AND($V864=1,ISNUMBER($M864)),$M864,0)</f>
        <v>0</v>
      </c>
      <c r="U864" s="80" t="str">
        <f aca="false">IF($V864=1,IF(COUNTIFS($S$7:$S864,$S864,$V$7:$V864,1)=1,SUMIFS($T$7:$T$1006,$S$7:$S$1006,$S864)-ROW()/1000000000,""),"")</f>
        <v/>
      </c>
      <c r="V864" s="80" t="n">
        <f aca="false">IF(OR($O864="On hand",$O864="Advance received",$O864="Part realised",$O864="Amount missing"),1,0)</f>
        <v>0</v>
      </c>
      <c r="W864" s="80" t="str">
        <f aca="false">IF(AND($V864=1,N($F864)&gt;0),ROW(),"")</f>
        <v/>
      </c>
      <c r="X864" s="80" t="n">
        <f aca="false">IF(AND(OR($A864&lt;&gt;"",$E864&lt;&gt;""),$O864&lt;&gt;"Cancelled",ISNUMBER($E864),N($F864)+N($H864)&gt;$E864+0.005),1,0)</f>
        <v>0</v>
      </c>
      <c r="Y864" s="80" t="n">
        <f aca="false">IF(AND(OR($A864&lt;&gt;"",$E864&lt;&gt;""),OR($A864="",$E864="")),1,0)</f>
        <v>0</v>
      </c>
      <c r="Z864" s="80" t="n">
        <f aca="false">IF(AND($A864&lt;&gt;"",COUNTIF($A$7:$A$1006,$A864)&gt;1),1,0)</f>
        <v>0</v>
      </c>
    </row>
    <row r="865" customFormat="false" ht="15" hidden="false" customHeight="false" outlineLevel="0" collapsed="false">
      <c r="A865" s="71"/>
      <c r="B865" s="72"/>
      <c r="C865" s="73"/>
      <c r="D865" s="73"/>
      <c r="E865" s="74"/>
      <c r="F865" s="74"/>
      <c r="G865" s="72"/>
      <c r="H865" s="74"/>
      <c r="I865" s="72"/>
      <c r="J865" s="73"/>
      <c r="K865" s="73"/>
      <c r="L865" s="75" t="str">
        <f aca="false">IF(OR($A865&lt;&gt;"",$E865&lt;&gt;""),N($F865)+N($H865),"")</f>
        <v/>
      </c>
      <c r="M865" s="76" t="str">
        <f aca="false">IF(OR($O865="",$O865="Cancelled",$O865="Amount missing"),"",IF($O865="Realised",0,$E865-N($F865)-N($H865)))</f>
        <v/>
      </c>
      <c r="N865" s="77" t="str">
        <f aca="false">IF(OR($M865="",FX=""),"",$M865*FX)</f>
        <v/>
      </c>
      <c r="O865" s="78" t="str">
        <f aca="false">IF(NOT(OR($A865&lt;&gt;"",$E865&lt;&gt;"")),"",IF($J865="Cancelled","Cancelled",IF($E865="","Amount missing",IF(OR($J865="Settled",$E865-N($F865)-N($H865)&lt;=0.005),"Realised",IF(N($H865)&gt;0,"Part realised",IF(N($F865)&gt;0,"Advance received","On hand"))))))</f>
        <v/>
      </c>
      <c r="P865" s="79" t="str">
        <f aca="false">IF(AND($V865=1,ISNUMBER($B865)),AsAt-$B865,"")</f>
        <v/>
      </c>
      <c r="Q865" s="78" t="str">
        <f aca="false">IF($V865&lt;&gt;1,"",IF($P865="","No invoice date",IF($P865&lt;=30,"0–30 days",IF($P865&lt;=60,"31–60 days",IF($P865&lt;=90,"61–90 days","Over 90 days")))))</f>
        <v/>
      </c>
      <c r="R865" s="80" t="str">
        <f aca="false">IF($V865=1,ROW(),"")</f>
        <v/>
      </c>
      <c r="S865" s="80" t="str">
        <f aca="false">IF(OR($A865&lt;&gt;"",$E865&lt;&gt;""),IF(TRIM($D865)="","Buyer not noted",TRIM($D865)),"")</f>
        <v/>
      </c>
      <c r="T865" s="80" t="n">
        <f aca="false">IF(AND($V865=1,ISNUMBER($M865)),$M865,0)</f>
        <v>0</v>
      </c>
      <c r="U865" s="80" t="str">
        <f aca="false">IF($V865=1,IF(COUNTIFS($S$7:$S865,$S865,$V$7:$V865,1)=1,SUMIFS($T$7:$T$1006,$S$7:$S$1006,$S865)-ROW()/1000000000,""),"")</f>
        <v/>
      </c>
      <c r="V865" s="80" t="n">
        <f aca="false">IF(OR($O865="On hand",$O865="Advance received",$O865="Part realised",$O865="Amount missing"),1,0)</f>
        <v>0</v>
      </c>
      <c r="W865" s="80" t="str">
        <f aca="false">IF(AND($V865=1,N($F865)&gt;0),ROW(),"")</f>
        <v/>
      </c>
      <c r="X865" s="80" t="n">
        <f aca="false">IF(AND(OR($A865&lt;&gt;"",$E865&lt;&gt;""),$O865&lt;&gt;"Cancelled",ISNUMBER($E865),N($F865)+N($H865)&gt;$E865+0.005),1,0)</f>
        <v>0</v>
      </c>
      <c r="Y865" s="80" t="n">
        <f aca="false">IF(AND(OR($A865&lt;&gt;"",$E865&lt;&gt;""),OR($A865="",$E865="")),1,0)</f>
        <v>0</v>
      </c>
      <c r="Z865" s="80" t="n">
        <f aca="false">IF(AND($A865&lt;&gt;"",COUNTIF($A$7:$A$1006,$A865)&gt;1),1,0)</f>
        <v>0</v>
      </c>
    </row>
    <row r="866" customFormat="false" ht="15" hidden="false" customHeight="false" outlineLevel="0" collapsed="false">
      <c r="A866" s="71"/>
      <c r="B866" s="72"/>
      <c r="C866" s="73"/>
      <c r="D866" s="73"/>
      <c r="E866" s="74"/>
      <c r="F866" s="74"/>
      <c r="G866" s="72"/>
      <c r="H866" s="74"/>
      <c r="I866" s="72"/>
      <c r="J866" s="73"/>
      <c r="K866" s="73"/>
      <c r="L866" s="75" t="str">
        <f aca="false">IF(OR($A866&lt;&gt;"",$E866&lt;&gt;""),N($F866)+N($H866),"")</f>
        <v/>
      </c>
      <c r="M866" s="76" t="str">
        <f aca="false">IF(OR($O866="",$O866="Cancelled",$O866="Amount missing"),"",IF($O866="Realised",0,$E866-N($F866)-N($H866)))</f>
        <v/>
      </c>
      <c r="N866" s="77" t="str">
        <f aca="false">IF(OR($M866="",FX=""),"",$M866*FX)</f>
        <v/>
      </c>
      <c r="O866" s="78" t="str">
        <f aca="false">IF(NOT(OR($A866&lt;&gt;"",$E866&lt;&gt;"")),"",IF($J866="Cancelled","Cancelled",IF($E866="","Amount missing",IF(OR($J866="Settled",$E866-N($F866)-N($H866)&lt;=0.005),"Realised",IF(N($H866)&gt;0,"Part realised",IF(N($F866)&gt;0,"Advance received","On hand"))))))</f>
        <v/>
      </c>
      <c r="P866" s="79" t="str">
        <f aca="false">IF(AND($V866=1,ISNUMBER($B866)),AsAt-$B866,"")</f>
        <v/>
      </c>
      <c r="Q866" s="78" t="str">
        <f aca="false">IF($V866&lt;&gt;1,"",IF($P866="","No invoice date",IF($P866&lt;=30,"0–30 days",IF($P866&lt;=60,"31–60 days",IF($P866&lt;=90,"61–90 days","Over 90 days")))))</f>
        <v/>
      </c>
      <c r="R866" s="80" t="str">
        <f aca="false">IF($V866=1,ROW(),"")</f>
        <v/>
      </c>
      <c r="S866" s="80" t="str">
        <f aca="false">IF(OR($A866&lt;&gt;"",$E866&lt;&gt;""),IF(TRIM($D866)="","Buyer not noted",TRIM($D866)),"")</f>
        <v/>
      </c>
      <c r="T866" s="80" t="n">
        <f aca="false">IF(AND($V866=1,ISNUMBER($M866)),$M866,0)</f>
        <v>0</v>
      </c>
      <c r="U866" s="80" t="str">
        <f aca="false">IF($V866=1,IF(COUNTIFS($S$7:$S866,$S866,$V$7:$V866,1)=1,SUMIFS($T$7:$T$1006,$S$7:$S$1006,$S866)-ROW()/1000000000,""),"")</f>
        <v/>
      </c>
      <c r="V866" s="80" t="n">
        <f aca="false">IF(OR($O866="On hand",$O866="Advance received",$O866="Part realised",$O866="Amount missing"),1,0)</f>
        <v>0</v>
      </c>
      <c r="W866" s="80" t="str">
        <f aca="false">IF(AND($V866=1,N($F866)&gt;0),ROW(),"")</f>
        <v/>
      </c>
      <c r="X866" s="80" t="n">
        <f aca="false">IF(AND(OR($A866&lt;&gt;"",$E866&lt;&gt;""),$O866&lt;&gt;"Cancelled",ISNUMBER($E866),N($F866)+N($H866)&gt;$E866+0.005),1,0)</f>
        <v>0</v>
      </c>
      <c r="Y866" s="80" t="n">
        <f aca="false">IF(AND(OR($A866&lt;&gt;"",$E866&lt;&gt;""),OR($A866="",$E866="")),1,0)</f>
        <v>0</v>
      </c>
      <c r="Z866" s="80" t="n">
        <f aca="false">IF(AND($A866&lt;&gt;"",COUNTIF($A$7:$A$1006,$A866)&gt;1),1,0)</f>
        <v>0</v>
      </c>
    </row>
    <row r="867" customFormat="false" ht="15" hidden="false" customHeight="false" outlineLevel="0" collapsed="false">
      <c r="A867" s="71"/>
      <c r="B867" s="72"/>
      <c r="C867" s="73"/>
      <c r="D867" s="73"/>
      <c r="E867" s="74"/>
      <c r="F867" s="74"/>
      <c r="G867" s="72"/>
      <c r="H867" s="74"/>
      <c r="I867" s="72"/>
      <c r="J867" s="73"/>
      <c r="K867" s="73"/>
      <c r="L867" s="75" t="str">
        <f aca="false">IF(OR($A867&lt;&gt;"",$E867&lt;&gt;""),N($F867)+N($H867),"")</f>
        <v/>
      </c>
      <c r="M867" s="76" t="str">
        <f aca="false">IF(OR($O867="",$O867="Cancelled",$O867="Amount missing"),"",IF($O867="Realised",0,$E867-N($F867)-N($H867)))</f>
        <v/>
      </c>
      <c r="N867" s="77" t="str">
        <f aca="false">IF(OR($M867="",FX=""),"",$M867*FX)</f>
        <v/>
      </c>
      <c r="O867" s="78" t="str">
        <f aca="false">IF(NOT(OR($A867&lt;&gt;"",$E867&lt;&gt;"")),"",IF($J867="Cancelled","Cancelled",IF($E867="","Amount missing",IF(OR($J867="Settled",$E867-N($F867)-N($H867)&lt;=0.005),"Realised",IF(N($H867)&gt;0,"Part realised",IF(N($F867)&gt;0,"Advance received","On hand"))))))</f>
        <v/>
      </c>
      <c r="P867" s="79" t="str">
        <f aca="false">IF(AND($V867=1,ISNUMBER($B867)),AsAt-$B867,"")</f>
        <v/>
      </c>
      <c r="Q867" s="78" t="str">
        <f aca="false">IF($V867&lt;&gt;1,"",IF($P867="","No invoice date",IF($P867&lt;=30,"0–30 days",IF($P867&lt;=60,"31–60 days",IF($P867&lt;=90,"61–90 days","Over 90 days")))))</f>
        <v/>
      </c>
      <c r="R867" s="80" t="str">
        <f aca="false">IF($V867=1,ROW(),"")</f>
        <v/>
      </c>
      <c r="S867" s="80" t="str">
        <f aca="false">IF(OR($A867&lt;&gt;"",$E867&lt;&gt;""),IF(TRIM($D867)="","Buyer not noted",TRIM($D867)),"")</f>
        <v/>
      </c>
      <c r="T867" s="80" t="n">
        <f aca="false">IF(AND($V867=1,ISNUMBER($M867)),$M867,0)</f>
        <v>0</v>
      </c>
      <c r="U867" s="80" t="str">
        <f aca="false">IF($V867=1,IF(COUNTIFS($S$7:$S867,$S867,$V$7:$V867,1)=1,SUMIFS($T$7:$T$1006,$S$7:$S$1006,$S867)-ROW()/1000000000,""),"")</f>
        <v/>
      </c>
      <c r="V867" s="80" t="n">
        <f aca="false">IF(OR($O867="On hand",$O867="Advance received",$O867="Part realised",$O867="Amount missing"),1,0)</f>
        <v>0</v>
      </c>
      <c r="W867" s="80" t="str">
        <f aca="false">IF(AND($V867=1,N($F867)&gt;0),ROW(),"")</f>
        <v/>
      </c>
      <c r="X867" s="80" t="n">
        <f aca="false">IF(AND(OR($A867&lt;&gt;"",$E867&lt;&gt;""),$O867&lt;&gt;"Cancelled",ISNUMBER($E867),N($F867)+N($H867)&gt;$E867+0.005),1,0)</f>
        <v>0</v>
      </c>
      <c r="Y867" s="80" t="n">
        <f aca="false">IF(AND(OR($A867&lt;&gt;"",$E867&lt;&gt;""),OR($A867="",$E867="")),1,0)</f>
        <v>0</v>
      </c>
      <c r="Z867" s="80" t="n">
        <f aca="false">IF(AND($A867&lt;&gt;"",COUNTIF($A$7:$A$1006,$A867)&gt;1),1,0)</f>
        <v>0</v>
      </c>
    </row>
    <row r="868" customFormat="false" ht="15" hidden="false" customHeight="false" outlineLevel="0" collapsed="false">
      <c r="A868" s="71"/>
      <c r="B868" s="72"/>
      <c r="C868" s="73"/>
      <c r="D868" s="73"/>
      <c r="E868" s="74"/>
      <c r="F868" s="74"/>
      <c r="G868" s="72"/>
      <c r="H868" s="74"/>
      <c r="I868" s="72"/>
      <c r="J868" s="73"/>
      <c r="K868" s="73"/>
      <c r="L868" s="75" t="str">
        <f aca="false">IF(OR($A868&lt;&gt;"",$E868&lt;&gt;""),N($F868)+N($H868),"")</f>
        <v/>
      </c>
      <c r="M868" s="76" t="str">
        <f aca="false">IF(OR($O868="",$O868="Cancelled",$O868="Amount missing"),"",IF($O868="Realised",0,$E868-N($F868)-N($H868)))</f>
        <v/>
      </c>
      <c r="N868" s="77" t="str">
        <f aca="false">IF(OR($M868="",FX=""),"",$M868*FX)</f>
        <v/>
      </c>
      <c r="O868" s="78" t="str">
        <f aca="false">IF(NOT(OR($A868&lt;&gt;"",$E868&lt;&gt;"")),"",IF($J868="Cancelled","Cancelled",IF($E868="","Amount missing",IF(OR($J868="Settled",$E868-N($F868)-N($H868)&lt;=0.005),"Realised",IF(N($H868)&gt;0,"Part realised",IF(N($F868)&gt;0,"Advance received","On hand"))))))</f>
        <v/>
      </c>
      <c r="P868" s="79" t="str">
        <f aca="false">IF(AND($V868=1,ISNUMBER($B868)),AsAt-$B868,"")</f>
        <v/>
      </c>
      <c r="Q868" s="78" t="str">
        <f aca="false">IF($V868&lt;&gt;1,"",IF($P868="","No invoice date",IF($P868&lt;=30,"0–30 days",IF($P868&lt;=60,"31–60 days",IF($P868&lt;=90,"61–90 days","Over 90 days")))))</f>
        <v/>
      </c>
      <c r="R868" s="80" t="str">
        <f aca="false">IF($V868=1,ROW(),"")</f>
        <v/>
      </c>
      <c r="S868" s="80" t="str">
        <f aca="false">IF(OR($A868&lt;&gt;"",$E868&lt;&gt;""),IF(TRIM($D868)="","Buyer not noted",TRIM($D868)),"")</f>
        <v/>
      </c>
      <c r="T868" s="80" t="n">
        <f aca="false">IF(AND($V868=1,ISNUMBER($M868)),$M868,0)</f>
        <v>0</v>
      </c>
      <c r="U868" s="80" t="str">
        <f aca="false">IF($V868=1,IF(COUNTIFS($S$7:$S868,$S868,$V$7:$V868,1)=1,SUMIFS($T$7:$T$1006,$S$7:$S$1006,$S868)-ROW()/1000000000,""),"")</f>
        <v/>
      </c>
      <c r="V868" s="80" t="n">
        <f aca="false">IF(OR($O868="On hand",$O868="Advance received",$O868="Part realised",$O868="Amount missing"),1,0)</f>
        <v>0</v>
      </c>
      <c r="W868" s="80" t="str">
        <f aca="false">IF(AND($V868=1,N($F868)&gt;0),ROW(),"")</f>
        <v/>
      </c>
      <c r="X868" s="80" t="n">
        <f aca="false">IF(AND(OR($A868&lt;&gt;"",$E868&lt;&gt;""),$O868&lt;&gt;"Cancelled",ISNUMBER($E868),N($F868)+N($H868)&gt;$E868+0.005),1,0)</f>
        <v>0</v>
      </c>
      <c r="Y868" s="80" t="n">
        <f aca="false">IF(AND(OR($A868&lt;&gt;"",$E868&lt;&gt;""),OR($A868="",$E868="")),1,0)</f>
        <v>0</v>
      </c>
      <c r="Z868" s="80" t="n">
        <f aca="false">IF(AND($A868&lt;&gt;"",COUNTIF($A$7:$A$1006,$A868)&gt;1),1,0)</f>
        <v>0</v>
      </c>
    </row>
    <row r="869" customFormat="false" ht="15" hidden="false" customHeight="false" outlineLevel="0" collapsed="false">
      <c r="A869" s="71"/>
      <c r="B869" s="72"/>
      <c r="C869" s="73"/>
      <c r="D869" s="73"/>
      <c r="E869" s="74"/>
      <c r="F869" s="74"/>
      <c r="G869" s="72"/>
      <c r="H869" s="74"/>
      <c r="I869" s="72"/>
      <c r="J869" s="73"/>
      <c r="K869" s="73"/>
      <c r="L869" s="75" t="str">
        <f aca="false">IF(OR($A869&lt;&gt;"",$E869&lt;&gt;""),N($F869)+N($H869),"")</f>
        <v/>
      </c>
      <c r="M869" s="76" t="str">
        <f aca="false">IF(OR($O869="",$O869="Cancelled",$O869="Amount missing"),"",IF($O869="Realised",0,$E869-N($F869)-N($H869)))</f>
        <v/>
      </c>
      <c r="N869" s="77" t="str">
        <f aca="false">IF(OR($M869="",FX=""),"",$M869*FX)</f>
        <v/>
      </c>
      <c r="O869" s="78" t="str">
        <f aca="false">IF(NOT(OR($A869&lt;&gt;"",$E869&lt;&gt;"")),"",IF($J869="Cancelled","Cancelled",IF($E869="","Amount missing",IF(OR($J869="Settled",$E869-N($F869)-N($H869)&lt;=0.005),"Realised",IF(N($H869)&gt;0,"Part realised",IF(N($F869)&gt;0,"Advance received","On hand"))))))</f>
        <v/>
      </c>
      <c r="P869" s="79" t="str">
        <f aca="false">IF(AND($V869=1,ISNUMBER($B869)),AsAt-$B869,"")</f>
        <v/>
      </c>
      <c r="Q869" s="78" t="str">
        <f aca="false">IF($V869&lt;&gt;1,"",IF($P869="","No invoice date",IF($P869&lt;=30,"0–30 days",IF($P869&lt;=60,"31–60 days",IF($P869&lt;=90,"61–90 days","Over 90 days")))))</f>
        <v/>
      </c>
      <c r="R869" s="80" t="str">
        <f aca="false">IF($V869=1,ROW(),"")</f>
        <v/>
      </c>
      <c r="S869" s="80" t="str">
        <f aca="false">IF(OR($A869&lt;&gt;"",$E869&lt;&gt;""),IF(TRIM($D869)="","Buyer not noted",TRIM($D869)),"")</f>
        <v/>
      </c>
      <c r="T869" s="80" t="n">
        <f aca="false">IF(AND($V869=1,ISNUMBER($M869)),$M869,0)</f>
        <v>0</v>
      </c>
      <c r="U869" s="80" t="str">
        <f aca="false">IF($V869=1,IF(COUNTIFS($S$7:$S869,$S869,$V$7:$V869,1)=1,SUMIFS($T$7:$T$1006,$S$7:$S$1006,$S869)-ROW()/1000000000,""),"")</f>
        <v/>
      </c>
      <c r="V869" s="80" t="n">
        <f aca="false">IF(OR($O869="On hand",$O869="Advance received",$O869="Part realised",$O869="Amount missing"),1,0)</f>
        <v>0</v>
      </c>
      <c r="W869" s="80" t="str">
        <f aca="false">IF(AND($V869=1,N($F869)&gt;0),ROW(),"")</f>
        <v/>
      </c>
      <c r="X869" s="80" t="n">
        <f aca="false">IF(AND(OR($A869&lt;&gt;"",$E869&lt;&gt;""),$O869&lt;&gt;"Cancelled",ISNUMBER($E869),N($F869)+N($H869)&gt;$E869+0.005),1,0)</f>
        <v>0</v>
      </c>
      <c r="Y869" s="80" t="n">
        <f aca="false">IF(AND(OR($A869&lt;&gt;"",$E869&lt;&gt;""),OR($A869="",$E869="")),1,0)</f>
        <v>0</v>
      </c>
      <c r="Z869" s="80" t="n">
        <f aca="false">IF(AND($A869&lt;&gt;"",COUNTIF($A$7:$A$1006,$A869)&gt;1),1,0)</f>
        <v>0</v>
      </c>
    </row>
    <row r="870" customFormat="false" ht="15" hidden="false" customHeight="false" outlineLevel="0" collapsed="false">
      <c r="A870" s="71"/>
      <c r="B870" s="72"/>
      <c r="C870" s="73"/>
      <c r="D870" s="73"/>
      <c r="E870" s="74"/>
      <c r="F870" s="74"/>
      <c r="G870" s="72"/>
      <c r="H870" s="74"/>
      <c r="I870" s="72"/>
      <c r="J870" s="73"/>
      <c r="K870" s="73"/>
      <c r="L870" s="75" t="str">
        <f aca="false">IF(OR($A870&lt;&gt;"",$E870&lt;&gt;""),N($F870)+N($H870),"")</f>
        <v/>
      </c>
      <c r="M870" s="76" t="str">
        <f aca="false">IF(OR($O870="",$O870="Cancelled",$O870="Amount missing"),"",IF($O870="Realised",0,$E870-N($F870)-N($H870)))</f>
        <v/>
      </c>
      <c r="N870" s="77" t="str">
        <f aca="false">IF(OR($M870="",FX=""),"",$M870*FX)</f>
        <v/>
      </c>
      <c r="O870" s="78" t="str">
        <f aca="false">IF(NOT(OR($A870&lt;&gt;"",$E870&lt;&gt;"")),"",IF($J870="Cancelled","Cancelled",IF($E870="","Amount missing",IF(OR($J870="Settled",$E870-N($F870)-N($H870)&lt;=0.005),"Realised",IF(N($H870)&gt;0,"Part realised",IF(N($F870)&gt;0,"Advance received","On hand"))))))</f>
        <v/>
      </c>
      <c r="P870" s="79" t="str">
        <f aca="false">IF(AND($V870=1,ISNUMBER($B870)),AsAt-$B870,"")</f>
        <v/>
      </c>
      <c r="Q870" s="78" t="str">
        <f aca="false">IF($V870&lt;&gt;1,"",IF($P870="","No invoice date",IF($P870&lt;=30,"0–30 days",IF($P870&lt;=60,"31–60 days",IF($P870&lt;=90,"61–90 days","Over 90 days")))))</f>
        <v/>
      </c>
      <c r="R870" s="80" t="str">
        <f aca="false">IF($V870=1,ROW(),"")</f>
        <v/>
      </c>
      <c r="S870" s="80" t="str">
        <f aca="false">IF(OR($A870&lt;&gt;"",$E870&lt;&gt;""),IF(TRIM($D870)="","Buyer not noted",TRIM($D870)),"")</f>
        <v/>
      </c>
      <c r="T870" s="80" t="n">
        <f aca="false">IF(AND($V870=1,ISNUMBER($M870)),$M870,0)</f>
        <v>0</v>
      </c>
      <c r="U870" s="80" t="str">
        <f aca="false">IF($V870=1,IF(COUNTIFS($S$7:$S870,$S870,$V$7:$V870,1)=1,SUMIFS($T$7:$T$1006,$S$7:$S$1006,$S870)-ROW()/1000000000,""),"")</f>
        <v/>
      </c>
      <c r="V870" s="80" t="n">
        <f aca="false">IF(OR($O870="On hand",$O870="Advance received",$O870="Part realised",$O870="Amount missing"),1,0)</f>
        <v>0</v>
      </c>
      <c r="W870" s="80" t="str">
        <f aca="false">IF(AND($V870=1,N($F870)&gt;0),ROW(),"")</f>
        <v/>
      </c>
      <c r="X870" s="80" t="n">
        <f aca="false">IF(AND(OR($A870&lt;&gt;"",$E870&lt;&gt;""),$O870&lt;&gt;"Cancelled",ISNUMBER($E870),N($F870)+N($H870)&gt;$E870+0.005),1,0)</f>
        <v>0</v>
      </c>
      <c r="Y870" s="80" t="n">
        <f aca="false">IF(AND(OR($A870&lt;&gt;"",$E870&lt;&gt;""),OR($A870="",$E870="")),1,0)</f>
        <v>0</v>
      </c>
      <c r="Z870" s="80" t="n">
        <f aca="false">IF(AND($A870&lt;&gt;"",COUNTIF($A$7:$A$1006,$A870)&gt;1),1,0)</f>
        <v>0</v>
      </c>
    </row>
    <row r="871" customFormat="false" ht="15" hidden="false" customHeight="false" outlineLevel="0" collapsed="false">
      <c r="A871" s="71"/>
      <c r="B871" s="72"/>
      <c r="C871" s="73"/>
      <c r="D871" s="73"/>
      <c r="E871" s="74"/>
      <c r="F871" s="74"/>
      <c r="G871" s="72"/>
      <c r="H871" s="74"/>
      <c r="I871" s="72"/>
      <c r="J871" s="73"/>
      <c r="K871" s="73"/>
      <c r="L871" s="75" t="str">
        <f aca="false">IF(OR($A871&lt;&gt;"",$E871&lt;&gt;""),N($F871)+N($H871),"")</f>
        <v/>
      </c>
      <c r="M871" s="76" t="str">
        <f aca="false">IF(OR($O871="",$O871="Cancelled",$O871="Amount missing"),"",IF($O871="Realised",0,$E871-N($F871)-N($H871)))</f>
        <v/>
      </c>
      <c r="N871" s="77" t="str">
        <f aca="false">IF(OR($M871="",FX=""),"",$M871*FX)</f>
        <v/>
      </c>
      <c r="O871" s="78" t="str">
        <f aca="false">IF(NOT(OR($A871&lt;&gt;"",$E871&lt;&gt;"")),"",IF($J871="Cancelled","Cancelled",IF($E871="","Amount missing",IF(OR($J871="Settled",$E871-N($F871)-N($H871)&lt;=0.005),"Realised",IF(N($H871)&gt;0,"Part realised",IF(N($F871)&gt;0,"Advance received","On hand"))))))</f>
        <v/>
      </c>
      <c r="P871" s="79" t="str">
        <f aca="false">IF(AND($V871=1,ISNUMBER($B871)),AsAt-$B871,"")</f>
        <v/>
      </c>
      <c r="Q871" s="78" t="str">
        <f aca="false">IF($V871&lt;&gt;1,"",IF($P871="","No invoice date",IF($P871&lt;=30,"0–30 days",IF($P871&lt;=60,"31–60 days",IF($P871&lt;=90,"61–90 days","Over 90 days")))))</f>
        <v/>
      </c>
      <c r="R871" s="80" t="str">
        <f aca="false">IF($V871=1,ROW(),"")</f>
        <v/>
      </c>
      <c r="S871" s="80" t="str">
        <f aca="false">IF(OR($A871&lt;&gt;"",$E871&lt;&gt;""),IF(TRIM($D871)="","Buyer not noted",TRIM($D871)),"")</f>
        <v/>
      </c>
      <c r="T871" s="80" t="n">
        <f aca="false">IF(AND($V871=1,ISNUMBER($M871)),$M871,0)</f>
        <v>0</v>
      </c>
      <c r="U871" s="80" t="str">
        <f aca="false">IF($V871=1,IF(COUNTIFS($S$7:$S871,$S871,$V$7:$V871,1)=1,SUMIFS($T$7:$T$1006,$S$7:$S$1006,$S871)-ROW()/1000000000,""),"")</f>
        <v/>
      </c>
      <c r="V871" s="80" t="n">
        <f aca="false">IF(OR($O871="On hand",$O871="Advance received",$O871="Part realised",$O871="Amount missing"),1,0)</f>
        <v>0</v>
      </c>
      <c r="W871" s="80" t="str">
        <f aca="false">IF(AND($V871=1,N($F871)&gt;0),ROW(),"")</f>
        <v/>
      </c>
      <c r="X871" s="80" t="n">
        <f aca="false">IF(AND(OR($A871&lt;&gt;"",$E871&lt;&gt;""),$O871&lt;&gt;"Cancelled",ISNUMBER($E871),N($F871)+N($H871)&gt;$E871+0.005),1,0)</f>
        <v>0</v>
      </c>
      <c r="Y871" s="80" t="n">
        <f aca="false">IF(AND(OR($A871&lt;&gt;"",$E871&lt;&gt;""),OR($A871="",$E871="")),1,0)</f>
        <v>0</v>
      </c>
      <c r="Z871" s="80" t="n">
        <f aca="false">IF(AND($A871&lt;&gt;"",COUNTIF($A$7:$A$1006,$A871)&gt;1),1,0)</f>
        <v>0</v>
      </c>
    </row>
    <row r="872" customFormat="false" ht="15" hidden="false" customHeight="false" outlineLevel="0" collapsed="false">
      <c r="A872" s="71"/>
      <c r="B872" s="72"/>
      <c r="C872" s="73"/>
      <c r="D872" s="73"/>
      <c r="E872" s="74"/>
      <c r="F872" s="74"/>
      <c r="G872" s="72"/>
      <c r="H872" s="74"/>
      <c r="I872" s="72"/>
      <c r="J872" s="73"/>
      <c r="K872" s="73"/>
      <c r="L872" s="75" t="str">
        <f aca="false">IF(OR($A872&lt;&gt;"",$E872&lt;&gt;""),N($F872)+N($H872),"")</f>
        <v/>
      </c>
      <c r="M872" s="76" t="str">
        <f aca="false">IF(OR($O872="",$O872="Cancelled",$O872="Amount missing"),"",IF($O872="Realised",0,$E872-N($F872)-N($H872)))</f>
        <v/>
      </c>
      <c r="N872" s="77" t="str">
        <f aca="false">IF(OR($M872="",FX=""),"",$M872*FX)</f>
        <v/>
      </c>
      <c r="O872" s="78" t="str">
        <f aca="false">IF(NOT(OR($A872&lt;&gt;"",$E872&lt;&gt;"")),"",IF($J872="Cancelled","Cancelled",IF($E872="","Amount missing",IF(OR($J872="Settled",$E872-N($F872)-N($H872)&lt;=0.005),"Realised",IF(N($H872)&gt;0,"Part realised",IF(N($F872)&gt;0,"Advance received","On hand"))))))</f>
        <v/>
      </c>
      <c r="P872" s="79" t="str">
        <f aca="false">IF(AND($V872=1,ISNUMBER($B872)),AsAt-$B872,"")</f>
        <v/>
      </c>
      <c r="Q872" s="78" t="str">
        <f aca="false">IF($V872&lt;&gt;1,"",IF($P872="","No invoice date",IF($P872&lt;=30,"0–30 days",IF($P872&lt;=60,"31–60 days",IF($P872&lt;=90,"61–90 days","Over 90 days")))))</f>
        <v/>
      </c>
      <c r="R872" s="80" t="str">
        <f aca="false">IF($V872=1,ROW(),"")</f>
        <v/>
      </c>
      <c r="S872" s="80" t="str">
        <f aca="false">IF(OR($A872&lt;&gt;"",$E872&lt;&gt;""),IF(TRIM($D872)="","Buyer not noted",TRIM($D872)),"")</f>
        <v/>
      </c>
      <c r="T872" s="80" t="n">
        <f aca="false">IF(AND($V872=1,ISNUMBER($M872)),$M872,0)</f>
        <v>0</v>
      </c>
      <c r="U872" s="80" t="str">
        <f aca="false">IF($V872=1,IF(COUNTIFS($S$7:$S872,$S872,$V$7:$V872,1)=1,SUMIFS($T$7:$T$1006,$S$7:$S$1006,$S872)-ROW()/1000000000,""),"")</f>
        <v/>
      </c>
      <c r="V872" s="80" t="n">
        <f aca="false">IF(OR($O872="On hand",$O872="Advance received",$O872="Part realised",$O872="Amount missing"),1,0)</f>
        <v>0</v>
      </c>
      <c r="W872" s="80" t="str">
        <f aca="false">IF(AND($V872=1,N($F872)&gt;0),ROW(),"")</f>
        <v/>
      </c>
      <c r="X872" s="80" t="n">
        <f aca="false">IF(AND(OR($A872&lt;&gt;"",$E872&lt;&gt;""),$O872&lt;&gt;"Cancelled",ISNUMBER($E872),N($F872)+N($H872)&gt;$E872+0.005),1,0)</f>
        <v>0</v>
      </c>
      <c r="Y872" s="80" t="n">
        <f aca="false">IF(AND(OR($A872&lt;&gt;"",$E872&lt;&gt;""),OR($A872="",$E872="")),1,0)</f>
        <v>0</v>
      </c>
      <c r="Z872" s="80" t="n">
        <f aca="false">IF(AND($A872&lt;&gt;"",COUNTIF($A$7:$A$1006,$A872)&gt;1),1,0)</f>
        <v>0</v>
      </c>
    </row>
    <row r="873" customFormat="false" ht="15" hidden="false" customHeight="false" outlineLevel="0" collapsed="false">
      <c r="A873" s="71"/>
      <c r="B873" s="72"/>
      <c r="C873" s="73"/>
      <c r="D873" s="73"/>
      <c r="E873" s="74"/>
      <c r="F873" s="74"/>
      <c r="G873" s="72"/>
      <c r="H873" s="74"/>
      <c r="I873" s="72"/>
      <c r="J873" s="73"/>
      <c r="K873" s="73"/>
      <c r="L873" s="75" t="str">
        <f aca="false">IF(OR($A873&lt;&gt;"",$E873&lt;&gt;""),N($F873)+N($H873),"")</f>
        <v/>
      </c>
      <c r="M873" s="76" t="str">
        <f aca="false">IF(OR($O873="",$O873="Cancelled",$O873="Amount missing"),"",IF($O873="Realised",0,$E873-N($F873)-N($H873)))</f>
        <v/>
      </c>
      <c r="N873" s="77" t="str">
        <f aca="false">IF(OR($M873="",FX=""),"",$M873*FX)</f>
        <v/>
      </c>
      <c r="O873" s="78" t="str">
        <f aca="false">IF(NOT(OR($A873&lt;&gt;"",$E873&lt;&gt;"")),"",IF($J873="Cancelled","Cancelled",IF($E873="","Amount missing",IF(OR($J873="Settled",$E873-N($F873)-N($H873)&lt;=0.005),"Realised",IF(N($H873)&gt;0,"Part realised",IF(N($F873)&gt;0,"Advance received","On hand"))))))</f>
        <v/>
      </c>
      <c r="P873" s="79" t="str">
        <f aca="false">IF(AND($V873=1,ISNUMBER($B873)),AsAt-$B873,"")</f>
        <v/>
      </c>
      <c r="Q873" s="78" t="str">
        <f aca="false">IF($V873&lt;&gt;1,"",IF($P873="","No invoice date",IF($P873&lt;=30,"0–30 days",IF($P873&lt;=60,"31–60 days",IF($P873&lt;=90,"61–90 days","Over 90 days")))))</f>
        <v/>
      </c>
      <c r="R873" s="80" t="str">
        <f aca="false">IF($V873=1,ROW(),"")</f>
        <v/>
      </c>
      <c r="S873" s="80" t="str">
        <f aca="false">IF(OR($A873&lt;&gt;"",$E873&lt;&gt;""),IF(TRIM($D873)="","Buyer not noted",TRIM($D873)),"")</f>
        <v/>
      </c>
      <c r="T873" s="80" t="n">
        <f aca="false">IF(AND($V873=1,ISNUMBER($M873)),$M873,0)</f>
        <v>0</v>
      </c>
      <c r="U873" s="80" t="str">
        <f aca="false">IF($V873=1,IF(COUNTIFS($S$7:$S873,$S873,$V$7:$V873,1)=1,SUMIFS($T$7:$T$1006,$S$7:$S$1006,$S873)-ROW()/1000000000,""),"")</f>
        <v/>
      </c>
      <c r="V873" s="80" t="n">
        <f aca="false">IF(OR($O873="On hand",$O873="Advance received",$O873="Part realised",$O873="Amount missing"),1,0)</f>
        <v>0</v>
      </c>
      <c r="W873" s="80" t="str">
        <f aca="false">IF(AND($V873=1,N($F873)&gt;0),ROW(),"")</f>
        <v/>
      </c>
      <c r="X873" s="80" t="n">
        <f aca="false">IF(AND(OR($A873&lt;&gt;"",$E873&lt;&gt;""),$O873&lt;&gt;"Cancelled",ISNUMBER($E873),N($F873)+N($H873)&gt;$E873+0.005),1,0)</f>
        <v>0</v>
      </c>
      <c r="Y873" s="80" t="n">
        <f aca="false">IF(AND(OR($A873&lt;&gt;"",$E873&lt;&gt;""),OR($A873="",$E873="")),1,0)</f>
        <v>0</v>
      </c>
      <c r="Z873" s="80" t="n">
        <f aca="false">IF(AND($A873&lt;&gt;"",COUNTIF($A$7:$A$1006,$A873)&gt;1),1,0)</f>
        <v>0</v>
      </c>
    </row>
    <row r="874" customFormat="false" ht="15" hidden="false" customHeight="false" outlineLevel="0" collapsed="false">
      <c r="A874" s="71"/>
      <c r="B874" s="72"/>
      <c r="C874" s="73"/>
      <c r="D874" s="73"/>
      <c r="E874" s="74"/>
      <c r="F874" s="74"/>
      <c r="G874" s="72"/>
      <c r="H874" s="74"/>
      <c r="I874" s="72"/>
      <c r="J874" s="73"/>
      <c r="K874" s="73"/>
      <c r="L874" s="75" t="str">
        <f aca="false">IF(OR($A874&lt;&gt;"",$E874&lt;&gt;""),N($F874)+N($H874),"")</f>
        <v/>
      </c>
      <c r="M874" s="76" t="str">
        <f aca="false">IF(OR($O874="",$O874="Cancelled",$O874="Amount missing"),"",IF($O874="Realised",0,$E874-N($F874)-N($H874)))</f>
        <v/>
      </c>
      <c r="N874" s="77" t="str">
        <f aca="false">IF(OR($M874="",FX=""),"",$M874*FX)</f>
        <v/>
      </c>
      <c r="O874" s="78" t="str">
        <f aca="false">IF(NOT(OR($A874&lt;&gt;"",$E874&lt;&gt;"")),"",IF($J874="Cancelled","Cancelled",IF($E874="","Amount missing",IF(OR($J874="Settled",$E874-N($F874)-N($H874)&lt;=0.005),"Realised",IF(N($H874)&gt;0,"Part realised",IF(N($F874)&gt;0,"Advance received","On hand"))))))</f>
        <v/>
      </c>
      <c r="P874" s="79" t="str">
        <f aca="false">IF(AND($V874=1,ISNUMBER($B874)),AsAt-$B874,"")</f>
        <v/>
      </c>
      <c r="Q874" s="78" t="str">
        <f aca="false">IF($V874&lt;&gt;1,"",IF($P874="","No invoice date",IF($P874&lt;=30,"0–30 days",IF($P874&lt;=60,"31–60 days",IF($P874&lt;=90,"61–90 days","Over 90 days")))))</f>
        <v/>
      </c>
      <c r="R874" s="80" t="str">
        <f aca="false">IF($V874=1,ROW(),"")</f>
        <v/>
      </c>
      <c r="S874" s="80" t="str">
        <f aca="false">IF(OR($A874&lt;&gt;"",$E874&lt;&gt;""),IF(TRIM($D874)="","Buyer not noted",TRIM($D874)),"")</f>
        <v/>
      </c>
      <c r="T874" s="80" t="n">
        <f aca="false">IF(AND($V874=1,ISNUMBER($M874)),$M874,0)</f>
        <v>0</v>
      </c>
      <c r="U874" s="80" t="str">
        <f aca="false">IF($V874=1,IF(COUNTIFS($S$7:$S874,$S874,$V$7:$V874,1)=1,SUMIFS($T$7:$T$1006,$S$7:$S$1006,$S874)-ROW()/1000000000,""),"")</f>
        <v/>
      </c>
      <c r="V874" s="80" t="n">
        <f aca="false">IF(OR($O874="On hand",$O874="Advance received",$O874="Part realised",$O874="Amount missing"),1,0)</f>
        <v>0</v>
      </c>
      <c r="W874" s="80" t="str">
        <f aca="false">IF(AND($V874=1,N($F874)&gt;0),ROW(),"")</f>
        <v/>
      </c>
      <c r="X874" s="80" t="n">
        <f aca="false">IF(AND(OR($A874&lt;&gt;"",$E874&lt;&gt;""),$O874&lt;&gt;"Cancelled",ISNUMBER($E874),N($F874)+N($H874)&gt;$E874+0.005),1,0)</f>
        <v>0</v>
      </c>
      <c r="Y874" s="80" t="n">
        <f aca="false">IF(AND(OR($A874&lt;&gt;"",$E874&lt;&gt;""),OR($A874="",$E874="")),1,0)</f>
        <v>0</v>
      </c>
      <c r="Z874" s="80" t="n">
        <f aca="false">IF(AND($A874&lt;&gt;"",COUNTIF($A$7:$A$1006,$A874)&gt;1),1,0)</f>
        <v>0</v>
      </c>
    </row>
    <row r="875" customFormat="false" ht="15" hidden="false" customHeight="false" outlineLevel="0" collapsed="false">
      <c r="A875" s="71"/>
      <c r="B875" s="72"/>
      <c r="C875" s="73"/>
      <c r="D875" s="73"/>
      <c r="E875" s="74"/>
      <c r="F875" s="74"/>
      <c r="G875" s="72"/>
      <c r="H875" s="74"/>
      <c r="I875" s="72"/>
      <c r="J875" s="73"/>
      <c r="K875" s="73"/>
      <c r="L875" s="75" t="str">
        <f aca="false">IF(OR($A875&lt;&gt;"",$E875&lt;&gt;""),N($F875)+N($H875),"")</f>
        <v/>
      </c>
      <c r="M875" s="76" t="str">
        <f aca="false">IF(OR($O875="",$O875="Cancelled",$O875="Amount missing"),"",IF($O875="Realised",0,$E875-N($F875)-N($H875)))</f>
        <v/>
      </c>
      <c r="N875" s="77" t="str">
        <f aca="false">IF(OR($M875="",FX=""),"",$M875*FX)</f>
        <v/>
      </c>
      <c r="O875" s="78" t="str">
        <f aca="false">IF(NOT(OR($A875&lt;&gt;"",$E875&lt;&gt;"")),"",IF($J875="Cancelled","Cancelled",IF($E875="","Amount missing",IF(OR($J875="Settled",$E875-N($F875)-N($H875)&lt;=0.005),"Realised",IF(N($H875)&gt;0,"Part realised",IF(N($F875)&gt;0,"Advance received","On hand"))))))</f>
        <v/>
      </c>
      <c r="P875" s="79" t="str">
        <f aca="false">IF(AND($V875=1,ISNUMBER($B875)),AsAt-$B875,"")</f>
        <v/>
      </c>
      <c r="Q875" s="78" t="str">
        <f aca="false">IF($V875&lt;&gt;1,"",IF($P875="","No invoice date",IF($P875&lt;=30,"0–30 days",IF($P875&lt;=60,"31–60 days",IF($P875&lt;=90,"61–90 days","Over 90 days")))))</f>
        <v/>
      </c>
      <c r="R875" s="80" t="str">
        <f aca="false">IF($V875=1,ROW(),"")</f>
        <v/>
      </c>
      <c r="S875" s="80" t="str">
        <f aca="false">IF(OR($A875&lt;&gt;"",$E875&lt;&gt;""),IF(TRIM($D875)="","Buyer not noted",TRIM($D875)),"")</f>
        <v/>
      </c>
      <c r="T875" s="80" t="n">
        <f aca="false">IF(AND($V875=1,ISNUMBER($M875)),$M875,0)</f>
        <v>0</v>
      </c>
      <c r="U875" s="80" t="str">
        <f aca="false">IF($V875=1,IF(COUNTIFS($S$7:$S875,$S875,$V$7:$V875,1)=1,SUMIFS($T$7:$T$1006,$S$7:$S$1006,$S875)-ROW()/1000000000,""),"")</f>
        <v/>
      </c>
      <c r="V875" s="80" t="n">
        <f aca="false">IF(OR($O875="On hand",$O875="Advance received",$O875="Part realised",$O875="Amount missing"),1,0)</f>
        <v>0</v>
      </c>
      <c r="W875" s="80" t="str">
        <f aca="false">IF(AND($V875=1,N($F875)&gt;0),ROW(),"")</f>
        <v/>
      </c>
      <c r="X875" s="80" t="n">
        <f aca="false">IF(AND(OR($A875&lt;&gt;"",$E875&lt;&gt;""),$O875&lt;&gt;"Cancelled",ISNUMBER($E875),N($F875)+N($H875)&gt;$E875+0.005),1,0)</f>
        <v>0</v>
      </c>
      <c r="Y875" s="80" t="n">
        <f aca="false">IF(AND(OR($A875&lt;&gt;"",$E875&lt;&gt;""),OR($A875="",$E875="")),1,0)</f>
        <v>0</v>
      </c>
      <c r="Z875" s="80" t="n">
        <f aca="false">IF(AND($A875&lt;&gt;"",COUNTIF($A$7:$A$1006,$A875)&gt;1),1,0)</f>
        <v>0</v>
      </c>
    </row>
    <row r="876" customFormat="false" ht="15" hidden="false" customHeight="false" outlineLevel="0" collapsed="false">
      <c r="A876" s="71"/>
      <c r="B876" s="72"/>
      <c r="C876" s="73"/>
      <c r="D876" s="73"/>
      <c r="E876" s="74"/>
      <c r="F876" s="74"/>
      <c r="G876" s="72"/>
      <c r="H876" s="74"/>
      <c r="I876" s="72"/>
      <c r="J876" s="73"/>
      <c r="K876" s="73"/>
      <c r="L876" s="75" t="str">
        <f aca="false">IF(OR($A876&lt;&gt;"",$E876&lt;&gt;""),N($F876)+N($H876),"")</f>
        <v/>
      </c>
      <c r="M876" s="76" t="str">
        <f aca="false">IF(OR($O876="",$O876="Cancelled",$O876="Amount missing"),"",IF($O876="Realised",0,$E876-N($F876)-N($H876)))</f>
        <v/>
      </c>
      <c r="N876" s="77" t="str">
        <f aca="false">IF(OR($M876="",FX=""),"",$M876*FX)</f>
        <v/>
      </c>
      <c r="O876" s="78" t="str">
        <f aca="false">IF(NOT(OR($A876&lt;&gt;"",$E876&lt;&gt;"")),"",IF($J876="Cancelled","Cancelled",IF($E876="","Amount missing",IF(OR($J876="Settled",$E876-N($F876)-N($H876)&lt;=0.005),"Realised",IF(N($H876)&gt;0,"Part realised",IF(N($F876)&gt;0,"Advance received","On hand"))))))</f>
        <v/>
      </c>
      <c r="P876" s="79" t="str">
        <f aca="false">IF(AND($V876=1,ISNUMBER($B876)),AsAt-$B876,"")</f>
        <v/>
      </c>
      <c r="Q876" s="78" t="str">
        <f aca="false">IF($V876&lt;&gt;1,"",IF($P876="","No invoice date",IF($P876&lt;=30,"0–30 days",IF($P876&lt;=60,"31–60 days",IF($P876&lt;=90,"61–90 days","Over 90 days")))))</f>
        <v/>
      </c>
      <c r="R876" s="80" t="str">
        <f aca="false">IF($V876=1,ROW(),"")</f>
        <v/>
      </c>
      <c r="S876" s="80" t="str">
        <f aca="false">IF(OR($A876&lt;&gt;"",$E876&lt;&gt;""),IF(TRIM($D876)="","Buyer not noted",TRIM($D876)),"")</f>
        <v/>
      </c>
      <c r="T876" s="80" t="n">
        <f aca="false">IF(AND($V876=1,ISNUMBER($M876)),$M876,0)</f>
        <v>0</v>
      </c>
      <c r="U876" s="80" t="str">
        <f aca="false">IF($V876=1,IF(COUNTIFS($S$7:$S876,$S876,$V$7:$V876,1)=1,SUMIFS($T$7:$T$1006,$S$7:$S$1006,$S876)-ROW()/1000000000,""),"")</f>
        <v/>
      </c>
      <c r="V876" s="80" t="n">
        <f aca="false">IF(OR($O876="On hand",$O876="Advance received",$O876="Part realised",$O876="Amount missing"),1,0)</f>
        <v>0</v>
      </c>
      <c r="W876" s="80" t="str">
        <f aca="false">IF(AND($V876=1,N($F876)&gt;0),ROW(),"")</f>
        <v/>
      </c>
      <c r="X876" s="80" t="n">
        <f aca="false">IF(AND(OR($A876&lt;&gt;"",$E876&lt;&gt;""),$O876&lt;&gt;"Cancelled",ISNUMBER($E876),N($F876)+N($H876)&gt;$E876+0.005),1,0)</f>
        <v>0</v>
      </c>
      <c r="Y876" s="80" t="n">
        <f aca="false">IF(AND(OR($A876&lt;&gt;"",$E876&lt;&gt;""),OR($A876="",$E876="")),1,0)</f>
        <v>0</v>
      </c>
      <c r="Z876" s="80" t="n">
        <f aca="false">IF(AND($A876&lt;&gt;"",COUNTIF($A$7:$A$1006,$A876)&gt;1),1,0)</f>
        <v>0</v>
      </c>
    </row>
    <row r="877" customFormat="false" ht="15" hidden="false" customHeight="false" outlineLevel="0" collapsed="false">
      <c r="A877" s="71"/>
      <c r="B877" s="72"/>
      <c r="C877" s="73"/>
      <c r="D877" s="73"/>
      <c r="E877" s="74"/>
      <c r="F877" s="74"/>
      <c r="G877" s="72"/>
      <c r="H877" s="74"/>
      <c r="I877" s="72"/>
      <c r="J877" s="73"/>
      <c r="K877" s="73"/>
      <c r="L877" s="75" t="str">
        <f aca="false">IF(OR($A877&lt;&gt;"",$E877&lt;&gt;""),N($F877)+N($H877),"")</f>
        <v/>
      </c>
      <c r="M877" s="76" t="str">
        <f aca="false">IF(OR($O877="",$O877="Cancelled",$O877="Amount missing"),"",IF($O877="Realised",0,$E877-N($F877)-N($H877)))</f>
        <v/>
      </c>
      <c r="N877" s="77" t="str">
        <f aca="false">IF(OR($M877="",FX=""),"",$M877*FX)</f>
        <v/>
      </c>
      <c r="O877" s="78" t="str">
        <f aca="false">IF(NOT(OR($A877&lt;&gt;"",$E877&lt;&gt;"")),"",IF($J877="Cancelled","Cancelled",IF($E877="","Amount missing",IF(OR($J877="Settled",$E877-N($F877)-N($H877)&lt;=0.005),"Realised",IF(N($H877)&gt;0,"Part realised",IF(N($F877)&gt;0,"Advance received","On hand"))))))</f>
        <v/>
      </c>
      <c r="P877" s="79" t="str">
        <f aca="false">IF(AND($V877=1,ISNUMBER($B877)),AsAt-$B877,"")</f>
        <v/>
      </c>
      <c r="Q877" s="78" t="str">
        <f aca="false">IF($V877&lt;&gt;1,"",IF($P877="","No invoice date",IF($P877&lt;=30,"0–30 days",IF($P877&lt;=60,"31–60 days",IF($P877&lt;=90,"61–90 days","Over 90 days")))))</f>
        <v/>
      </c>
      <c r="R877" s="80" t="str">
        <f aca="false">IF($V877=1,ROW(),"")</f>
        <v/>
      </c>
      <c r="S877" s="80" t="str">
        <f aca="false">IF(OR($A877&lt;&gt;"",$E877&lt;&gt;""),IF(TRIM($D877)="","Buyer not noted",TRIM($D877)),"")</f>
        <v/>
      </c>
      <c r="T877" s="80" t="n">
        <f aca="false">IF(AND($V877=1,ISNUMBER($M877)),$M877,0)</f>
        <v>0</v>
      </c>
      <c r="U877" s="80" t="str">
        <f aca="false">IF($V877=1,IF(COUNTIFS($S$7:$S877,$S877,$V$7:$V877,1)=1,SUMIFS($T$7:$T$1006,$S$7:$S$1006,$S877)-ROW()/1000000000,""),"")</f>
        <v/>
      </c>
      <c r="V877" s="80" t="n">
        <f aca="false">IF(OR($O877="On hand",$O877="Advance received",$O877="Part realised",$O877="Amount missing"),1,0)</f>
        <v>0</v>
      </c>
      <c r="W877" s="80" t="str">
        <f aca="false">IF(AND($V877=1,N($F877)&gt;0),ROW(),"")</f>
        <v/>
      </c>
      <c r="X877" s="80" t="n">
        <f aca="false">IF(AND(OR($A877&lt;&gt;"",$E877&lt;&gt;""),$O877&lt;&gt;"Cancelled",ISNUMBER($E877),N($F877)+N($H877)&gt;$E877+0.005),1,0)</f>
        <v>0</v>
      </c>
      <c r="Y877" s="80" t="n">
        <f aca="false">IF(AND(OR($A877&lt;&gt;"",$E877&lt;&gt;""),OR($A877="",$E877="")),1,0)</f>
        <v>0</v>
      </c>
      <c r="Z877" s="80" t="n">
        <f aca="false">IF(AND($A877&lt;&gt;"",COUNTIF($A$7:$A$1006,$A877)&gt;1),1,0)</f>
        <v>0</v>
      </c>
    </row>
    <row r="878" customFormat="false" ht="15" hidden="false" customHeight="false" outlineLevel="0" collapsed="false">
      <c r="A878" s="71"/>
      <c r="B878" s="72"/>
      <c r="C878" s="73"/>
      <c r="D878" s="73"/>
      <c r="E878" s="74"/>
      <c r="F878" s="74"/>
      <c r="G878" s="72"/>
      <c r="H878" s="74"/>
      <c r="I878" s="72"/>
      <c r="J878" s="73"/>
      <c r="K878" s="73"/>
      <c r="L878" s="75" t="str">
        <f aca="false">IF(OR($A878&lt;&gt;"",$E878&lt;&gt;""),N($F878)+N($H878),"")</f>
        <v/>
      </c>
      <c r="M878" s="76" t="str">
        <f aca="false">IF(OR($O878="",$O878="Cancelled",$O878="Amount missing"),"",IF($O878="Realised",0,$E878-N($F878)-N($H878)))</f>
        <v/>
      </c>
      <c r="N878" s="77" t="str">
        <f aca="false">IF(OR($M878="",FX=""),"",$M878*FX)</f>
        <v/>
      </c>
      <c r="O878" s="78" t="str">
        <f aca="false">IF(NOT(OR($A878&lt;&gt;"",$E878&lt;&gt;"")),"",IF($J878="Cancelled","Cancelled",IF($E878="","Amount missing",IF(OR($J878="Settled",$E878-N($F878)-N($H878)&lt;=0.005),"Realised",IF(N($H878)&gt;0,"Part realised",IF(N($F878)&gt;0,"Advance received","On hand"))))))</f>
        <v/>
      </c>
      <c r="P878" s="79" t="str">
        <f aca="false">IF(AND($V878=1,ISNUMBER($B878)),AsAt-$B878,"")</f>
        <v/>
      </c>
      <c r="Q878" s="78" t="str">
        <f aca="false">IF($V878&lt;&gt;1,"",IF($P878="","No invoice date",IF($P878&lt;=30,"0–30 days",IF($P878&lt;=60,"31–60 days",IF($P878&lt;=90,"61–90 days","Over 90 days")))))</f>
        <v/>
      </c>
      <c r="R878" s="80" t="str">
        <f aca="false">IF($V878=1,ROW(),"")</f>
        <v/>
      </c>
      <c r="S878" s="80" t="str">
        <f aca="false">IF(OR($A878&lt;&gt;"",$E878&lt;&gt;""),IF(TRIM($D878)="","Buyer not noted",TRIM($D878)),"")</f>
        <v/>
      </c>
      <c r="T878" s="80" t="n">
        <f aca="false">IF(AND($V878=1,ISNUMBER($M878)),$M878,0)</f>
        <v>0</v>
      </c>
      <c r="U878" s="80" t="str">
        <f aca="false">IF($V878=1,IF(COUNTIFS($S$7:$S878,$S878,$V$7:$V878,1)=1,SUMIFS($T$7:$T$1006,$S$7:$S$1006,$S878)-ROW()/1000000000,""),"")</f>
        <v/>
      </c>
      <c r="V878" s="80" t="n">
        <f aca="false">IF(OR($O878="On hand",$O878="Advance received",$O878="Part realised",$O878="Amount missing"),1,0)</f>
        <v>0</v>
      </c>
      <c r="W878" s="80" t="str">
        <f aca="false">IF(AND($V878=1,N($F878)&gt;0),ROW(),"")</f>
        <v/>
      </c>
      <c r="X878" s="80" t="n">
        <f aca="false">IF(AND(OR($A878&lt;&gt;"",$E878&lt;&gt;""),$O878&lt;&gt;"Cancelled",ISNUMBER($E878),N($F878)+N($H878)&gt;$E878+0.005),1,0)</f>
        <v>0</v>
      </c>
      <c r="Y878" s="80" t="n">
        <f aca="false">IF(AND(OR($A878&lt;&gt;"",$E878&lt;&gt;""),OR($A878="",$E878="")),1,0)</f>
        <v>0</v>
      </c>
      <c r="Z878" s="80" t="n">
        <f aca="false">IF(AND($A878&lt;&gt;"",COUNTIF($A$7:$A$1006,$A878)&gt;1),1,0)</f>
        <v>0</v>
      </c>
    </row>
    <row r="879" customFormat="false" ht="15" hidden="false" customHeight="false" outlineLevel="0" collapsed="false">
      <c r="A879" s="71"/>
      <c r="B879" s="72"/>
      <c r="C879" s="73"/>
      <c r="D879" s="73"/>
      <c r="E879" s="74"/>
      <c r="F879" s="74"/>
      <c r="G879" s="72"/>
      <c r="H879" s="74"/>
      <c r="I879" s="72"/>
      <c r="J879" s="73"/>
      <c r="K879" s="73"/>
      <c r="L879" s="75" t="str">
        <f aca="false">IF(OR($A879&lt;&gt;"",$E879&lt;&gt;""),N($F879)+N($H879),"")</f>
        <v/>
      </c>
      <c r="M879" s="76" t="str">
        <f aca="false">IF(OR($O879="",$O879="Cancelled",$O879="Amount missing"),"",IF($O879="Realised",0,$E879-N($F879)-N($H879)))</f>
        <v/>
      </c>
      <c r="N879" s="77" t="str">
        <f aca="false">IF(OR($M879="",FX=""),"",$M879*FX)</f>
        <v/>
      </c>
      <c r="O879" s="78" t="str">
        <f aca="false">IF(NOT(OR($A879&lt;&gt;"",$E879&lt;&gt;"")),"",IF($J879="Cancelled","Cancelled",IF($E879="","Amount missing",IF(OR($J879="Settled",$E879-N($F879)-N($H879)&lt;=0.005),"Realised",IF(N($H879)&gt;0,"Part realised",IF(N($F879)&gt;0,"Advance received","On hand"))))))</f>
        <v/>
      </c>
      <c r="P879" s="79" t="str">
        <f aca="false">IF(AND($V879=1,ISNUMBER($B879)),AsAt-$B879,"")</f>
        <v/>
      </c>
      <c r="Q879" s="78" t="str">
        <f aca="false">IF($V879&lt;&gt;1,"",IF($P879="","No invoice date",IF($P879&lt;=30,"0–30 days",IF($P879&lt;=60,"31–60 days",IF($P879&lt;=90,"61–90 days","Over 90 days")))))</f>
        <v/>
      </c>
      <c r="R879" s="80" t="str">
        <f aca="false">IF($V879=1,ROW(),"")</f>
        <v/>
      </c>
      <c r="S879" s="80" t="str">
        <f aca="false">IF(OR($A879&lt;&gt;"",$E879&lt;&gt;""),IF(TRIM($D879)="","Buyer not noted",TRIM($D879)),"")</f>
        <v/>
      </c>
      <c r="T879" s="80" t="n">
        <f aca="false">IF(AND($V879=1,ISNUMBER($M879)),$M879,0)</f>
        <v>0</v>
      </c>
      <c r="U879" s="80" t="str">
        <f aca="false">IF($V879=1,IF(COUNTIFS($S$7:$S879,$S879,$V$7:$V879,1)=1,SUMIFS($T$7:$T$1006,$S$7:$S$1006,$S879)-ROW()/1000000000,""),"")</f>
        <v/>
      </c>
      <c r="V879" s="80" t="n">
        <f aca="false">IF(OR($O879="On hand",$O879="Advance received",$O879="Part realised",$O879="Amount missing"),1,0)</f>
        <v>0</v>
      </c>
      <c r="W879" s="80" t="str">
        <f aca="false">IF(AND($V879=1,N($F879)&gt;0),ROW(),"")</f>
        <v/>
      </c>
      <c r="X879" s="80" t="n">
        <f aca="false">IF(AND(OR($A879&lt;&gt;"",$E879&lt;&gt;""),$O879&lt;&gt;"Cancelled",ISNUMBER($E879),N($F879)+N($H879)&gt;$E879+0.005),1,0)</f>
        <v>0</v>
      </c>
      <c r="Y879" s="80" t="n">
        <f aca="false">IF(AND(OR($A879&lt;&gt;"",$E879&lt;&gt;""),OR($A879="",$E879="")),1,0)</f>
        <v>0</v>
      </c>
      <c r="Z879" s="80" t="n">
        <f aca="false">IF(AND($A879&lt;&gt;"",COUNTIF($A$7:$A$1006,$A879)&gt;1),1,0)</f>
        <v>0</v>
      </c>
    </row>
    <row r="880" customFormat="false" ht="15" hidden="false" customHeight="false" outlineLevel="0" collapsed="false">
      <c r="A880" s="71"/>
      <c r="B880" s="72"/>
      <c r="C880" s="73"/>
      <c r="D880" s="73"/>
      <c r="E880" s="74"/>
      <c r="F880" s="74"/>
      <c r="G880" s="72"/>
      <c r="H880" s="74"/>
      <c r="I880" s="72"/>
      <c r="J880" s="73"/>
      <c r="K880" s="73"/>
      <c r="L880" s="75" t="str">
        <f aca="false">IF(OR($A880&lt;&gt;"",$E880&lt;&gt;""),N($F880)+N($H880),"")</f>
        <v/>
      </c>
      <c r="M880" s="76" t="str">
        <f aca="false">IF(OR($O880="",$O880="Cancelled",$O880="Amount missing"),"",IF($O880="Realised",0,$E880-N($F880)-N($H880)))</f>
        <v/>
      </c>
      <c r="N880" s="77" t="str">
        <f aca="false">IF(OR($M880="",FX=""),"",$M880*FX)</f>
        <v/>
      </c>
      <c r="O880" s="78" t="str">
        <f aca="false">IF(NOT(OR($A880&lt;&gt;"",$E880&lt;&gt;"")),"",IF($J880="Cancelled","Cancelled",IF($E880="","Amount missing",IF(OR($J880="Settled",$E880-N($F880)-N($H880)&lt;=0.005),"Realised",IF(N($H880)&gt;0,"Part realised",IF(N($F880)&gt;0,"Advance received","On hand"))))))</f>
        <v/>
      </c>
      <c r="P880" s="79" t="str">
        <f aca="false">IF(AND($V880=1,ISNUMBER($B880)),AsAt-$B880,"")</f>
        <v/>
      </c>
      <c r="Q880" s="78" t="str">
        <f aca="false">IF($V880&lt;&gt;1,"",IF($P880="","No invoice date",IF($P880&lt;=30,"0–30 days",IF($P880&lt;=60,"31–60 days",IF($P880&lt;=90,"61–90 days","Over 90 days")))))</f>
        <v/>
      </c>
      <c r="R880" s="80" t="str">
        <f aca="false">IF($V880=1,ROW(),"")</f>
        <v/>
      </c>
      <c r="S880" s="80" t="str">
        <f aca="false">IF(OR($A880&lt;&gt;"",$E880&lt;&gt;""),IF(TRIM($D880)="","Buyer not noted",TRIM($D880)),"")</f>
        <v/>
      </c>
      <c r="T880" s="80" t="n">
        <f aca="false">IF(AND($V880=1,ISNUMBER($M880)),$M880,0)</f>
        <v>0</v>
      </c>
      <c r="U880" s="80" t="str">
        <f aca="false">IF($V880=1,IF(COUNTIFS($S$7:$S880,$S880,$V$7:$V880,1)=1,SUMIFS($T$7:$T$1006,$S$7:$S$1006,$S880)-ROW()/1000000000,""),"")</f>
        <v/>
      </c>
      <c r="V880" s="80" t="n">
        <f aca="false">IF(OR($O880="On hand",$O880="Advance received",$O880="Part realised",$O880="Amount missing"),1,0)</f>
        <v>0</v>
      </c>
      <c r="W880" s="80" t="str">
        <f aca="false">IF(AND($V880=1,N($F880)&gt;0),ROW(),"")</f>
        <v/>
      </c>
      <c r="X880" s="80" t="n">
        <f aca="false">IF(AND(OR($A880&lt;&gt;"",$E880&lt;&gt;""),$O880&lt;&gt;"Cancelled",ISNUMBER($E880),N($F880)+N($H880)&gt;$E880+0.005),1,0)</f>
        <v>0</v>
      </c>
      <c r="Y880" s="80" t="n">
        <f aca="false">IF(AND(OR($A880&lt;&gt;"",$E880&lt;&gt;""),OR($A880="",$E880="")),1,0)</f>
        <v>0</v>
      </c>
      <c r="Z880" s="80" t="n">
        <f aca="false">IF(AND($A880&lt;&gt;"",COUNTIF($A$7:$A$1006,$A880)&gt;1),1,0)</f>
        <v>0</v>
      </c>
    </row>
    <row r="881" customFormat="false" ht="15" hidden="false" customHeight="false" outlineLevel="0" collapsed="false">
      <c r="A881" s="71"/>
      <c r="B881" s="72"/>
      <c r="C881" s="73"/>
      <c r="D881" s="73"/>
      <c r="E881" s="74"/>
      <c r="F881" s="74"/>
      <c r="G881" s="72"/>
      <c r="H881" s="74"/>
      <c r="I881" s="72"/>
      <c r="J881" s="73"/>
      <c r="K881" s="73"/>
      <c r="L881" s="75" t="str">
        <f aca="false">IF(OR($A881&lt;&gt;"",$E881&lt;&gt;""),N($F881)+N($H881),"")</f>
        <v/>
      </c>
      <c r="M881" s="76" t="str">
        <f aca="false">IF(OR($O881="",$O881="Cancelled",$O881="Amount missing"),"",IF($O881="Realised",0,$E881-N($F881)-N($H881)))</f>
        <v/>
      </c>
      <c r="N881" s="77" t="str">
        <f aca="false">IF(OR($M881="",FX=""),"",$M881*FX)</f>
        <v/>
      </c>
      <c r="O881" s="78" t="str">
        <f aca="false">IF(NOT(OR($A881&lt;&gt;"",$E881&lt;&gt;"")),"",IF($J881="Cancelled","Cancelled",IF($E881="","Amount missing",IF(OR($J881="Settled",$E881-N($F881)-N($H881)&lt;=0.005),"Realised",IF(N($H881)&gt;0,"Part realised",IF(N($F881)&gt;0,"Advance received","On hand"))))))</f>
        <v/>
      </c>
      <c r="P881" s="79" t="str">
        <f aca="false">IF(AND($V881=1,ISNUMBER($B881)),AsAt-$B881,"")</f>
        <v/>
      </c>
      <c r="Q881" s="78" t="str">
        <f aca="false">IF($V881&lt;&gt;1,"",IF($P881="","No invoice date",IF($P881&lt;=30,"0–30 days",IF($P881&lt;=60,"31–60 days",IF($P881&lt;=90,"61–90 days","Over 90 days")))))</f>
        <v/>
      </c>
      <c r="R881" s="80" t="str">
        <f aca="false">IF($V881=1,ROW(),"")</f>
        <v/>
      </c>
      <c r="S881" s="80" t="str">
        <f aca="false">IF(OR($A881&lt;&gt;"",$E881&lt;&gt;""),IF(TRIM($D881)="","Buyer not noted",TRIM($D881)),"")</f>
        <v/>
      </c>
      <c r="T881" s="80" t="n">
        <f aca="false">IF(AND($V881=1,ISNUMBER($M881)),$M881,0)</f>
        <v>0</v>
      </c>
      <c r="U881" s="80" t="str">
        <f aca="false">IF($V881=1,IF(COUNTIFS($S$7:$S881,$S881,$V$7:$V881,1)=1,SUMIFS($T$7:$T$1006,$S$7:$S$1006,$S881)-ROW()/1000000000,""),"")</f>
        <v/>
      </c>
      <c r="V881" s="80" t="n">
        <f aca="false">IF(OR($O881="On hand",$O881="Advance received",$O881="Part realised",$O881="Amount missing"),1,0)</f>
        <v>0</v>
      </c>
      <c r="W881" s="80" t="str">
        <f aca="false">IF(AND($V881=1,N($F881)&gt;0),ROW(),"")</f>
        <v/>
      </c>
      <c r="X881" s="80" t="n">
        <f aca="false">IF(AND(OR($A881&lt;&gt;"",$E881&lt;&gt;""),$O881&lt;&gt;"Cancelled",ISNUMBER($E881),N($F881)+N($H881)&gt;$E881+0.005),1,0)</f>
        <v>0</v>
      </c>
      <c r="Y881" s="80" t="n">
        <f aca="false">IF(AND(OR($A881&lt;&gt;"",$E881&lt;&gt;""),OR($A881="",$E881="")),1,0)</f>
        <v>0</v>
      </c>
      <c r="Z881" s="80" t="n">
        <f aca="false">IF(AND($A881&lt;&gt;"",COUNTIF($A$7:$A$1006,$A881)&gt;1),1,0)</f>
        <v>0</v>
      </c>
    </row>
    <row r="882" customFormat="false" ht="15" hidden="false" customHeight="false" outlineLevel="0" collapsed="false">
      <c r="A882" s="71"/>
      <c r="B882" s="72"/>
      <c r="C882" s="73"/>
      <c r="D882" s="73"/>
      <c r="E882" s="74"/>
      <c r="F882" s="74"/>
      <c r="G882" s="72"/>
      <c r="H882" s="74"/>
      <c r="I882" s="72"/>
      <c r="J882" s="73"/>
      <c r="K882" s="73"/>
      <c r="L882" s="75" t="str">
        <f aca="false">IF(OR($A882&lt;&gt;"",$E882&lt;&gt;""),N($F882)+N($H882),"")</f>
        <v/>
      </c>
      <c r="M882" s="76" t="str">
        <f aca="false">IF(OR($O882="",$O882="Cancelled",$O882="Amount missing"),"",IF($O882="Realised",0,$E882-N($F882)-N($H882)))</f>
        <v/>
      </c>
      <c r="N882" s="77" t="str">
        <f aca="false">IF(OR($M882="",FX=""),"",$M882*FX)</f>
        <v/>
      </c>
      <c r="O882" s="78" t="str">
        <f aca="false">IF(NOT(OR($A882&lt;&gt;"",$E882&lt;&gt;"")),"",IF($J882="Cancelled","Cancelled",IF($E882="","Amount missing",IF(OR($J882="Settled",$E882-N($F882)-N($H882)&lt;=0.005),"Realised",IF(N($H882)&gt;0,"Part realised",IF(N($F882)&gt;0,"Advance received","On hand"))))))</f>
        <v/>
      </c>
      <c r="P882" s="79" t="str">
        <f aca="false">IF(AND($V882=1,ISNUMBER($B882)),AsAt-$B882,"")</f>
        <v/>
      </c>
      <c r="Q882" s="78" t="str">
        <f aca="false">IF($V882&lt;&gt;1,"",IF($P882="","No invoice date",IF($P882&lt;=30,"0–30 days",IF($P882&lt;=60,"31–60 days",IF($P882&lt;=90,"61–90 days","Over 90 days")))))</f>
        <v/>
      </c>
      <c r="R882" s="80" t="str">
        <f aca="false">IF($V882=1,ROW(),"")</f>
        <v/>
      </c>
      <c r="S882" s="80" t="str">
        <f aca="false">IF(OR($A882&lt;&gt;"",$E882&lt;&gt;""),IF(TRIM($D882)="","Buyer not noted",TRIM($D882)),"")</f>
        <v/>
      </c>
      <c r="T882" s="80" t="n">
        <f aca="false">IF(AND($V882=1,ISNUMBER($M882)),$M882,0)</f>
        <v>0</v>
      </c>
      <c r="U882" s="80" t="str">
        <f aca="false">IF($V882=1,IF(COUNTIFS($S$7:$S882,$S882,$V$7:$V882,1)=1,SUMIFS($T$7:$T$1006,$S$7:$S$1006,$S882)-ROW()/1000000000,""),"")</f>
        <v/>
      </c>
      <c r="V882" s="80" t="n">
        <f aca="false">IF(OR($O882="On hand",$O882="Advance received",$O882="Part realised",$O882="Amount missing"),1,0)</f>
        <v>0</v>
      </c>
      <c r="W882" s="80" t="str">
        <f aca="false">IF(AND($V882=1,N($F882)&gt;0),ROW(),"")</f>
        <v/>
      </c>
      <c r="X882" s="80" t="n">
        <f aca="false">IF(AND(OR($A882&lt;&gt;"",$E882&lt;&gt;""),$O882&lt;&gt;"Cancelled",ISNUMBER($E882),N($F882)+N($H882)&gt;$E882+0.005),1,0)</f>
        <v>0</v>
      </c>
      <c r="Y882" s="80" t="n">
        <f aca="false">IF(AND(OR($A882&lt;&gt;"",$E882&lt;&gt;""),OR($A882="",$E882="")),1,0)</f>
        <v>0</v>
      </c>
      <c r="Z882" s="80" t="n">
        <f aca="false">IF(AND($A882&lt;&gt;"",COUNTIF($A$7:$A$1006,$A882)&gt;1),1,0)</f>
        <v>0</v>
      </c>
    </row>
    <row r="883" customFormat="false" ht="15" hidden="false" customHeight="false" outlineLevel="0" collapsed="false">
      <c r="A883" s="71"/>
      <c r="B883" s="72"/>
      <c r="C883" s="73"/>
      <c r="D883" s="73"/>
      <c r="E883" s="74"/>
      <c r="F883" s="74"/>
      <c r="G883" s="72"/>
      <c r="H883" s="74"/>
      <c r="I883" s="72"/>
      <c r="J883" s="73"/>
      <c r="K883" s="73"/>
      <c r="L883" s="75" t="str">
        <f aca="false">IF(OR($A883&lt;&gt;"",$E883&lt;&gt;""),N($F883)+N($H883),"")</f>
        <v/>
      </c>
      <c r="M883" s="76" t="str">
        <f aca="false">IF(OR($O883="",$O883="Cancelled",$O883="Amount missing"),"",IF($O883="Realised",0,$E883-N($F883)-N($H883)))</f>
        <v/>
      </c>
      <c r="N883" s="77" t="str">
        <f aca="false">IF(OR($M883="",FX=""),"",$M883*FX)</f>
        <v/>
      </c>
      <c r="O883" s="78" t="str">
        <f aca="false">IF(NOT(OR($A883&lt;&gt;"",$E883&lt;&gt;"")),"",IF($J883="Cancelled","Cancelled",IF($E883="","Amount missing",IF(OR($J883="Settled",$E883-N($F883)-N($H883)&lt;=0.005),"Realised",IF(N($H883)&gt;0,"Part realised",IF(N($F883)&gt;0,"Advance received","On hand"))))))</f>
        <v/>
      </c>
      <c r="P883" s="79" t="str">
        <f aca="false">IF(AND($V883=1,ISNUMBER($B883)),AsAt-$B883,"")</f>
        <v/>
      </c>
      <c r="Q883" s="78" t="str">
        <f aca="false">IF($V883&lt;&gt;1,"",IF($P883="","No invoice date",IF($P883&lt;=30,"0–30 days",IF($P883&lt;=60,"31–60 days",IF($P883&lt;=90,"61–90 days","Over 90 days")))))</f>
        <v/>
      </c>
      <c r="R883" s="80" t="str">
        <f aca="false">IF($V883=1,ROW(),"")</f>
        <v/>
      </c>
      <c r="S883" s="80" t="str">
        <f aca="false">IF(OR($A883&lt;&gt;"",$E883&lt;&gt;""),IF(TRIM($D883)="","Buyer not noted",TRIM($D883)),"")</f>
        <v/>
      </c>
      <c r="T883" s="80" t="n">
        <f aca="false">IF(AND($V883=1,ISNUMBER($M883)),$M883,0)</f>
        <v>0</v>
      </c>
      <c r="U883" s="80" t="str">
        <f aca="false">IF($V883=1,IF(COUNTIFS($S$7:$S883,$S883,$V$7:$V883,1)=1,SUMIFS($T$7:$T$1006,$S$7:$S$1006,$S883)-ROW()/1000000000,""),"")</f>
        <v/>
      </c>
      <c r="V883" s="80" t="n">
        <f aca="false">IF(OR($O883="On hand",$O883="Advance received",$O883="Part realised",$O883="Amount missing"),1,0)</f>
        <v>0</v>
      </c>
      <c r="W883" s="80" t="str">
        <f aca="false">IF(AND($V883=1,N($F883)&gt;0),ROW(),"")</f>
        <v/>
      </c>
      <c r="X883" s="80" t="n">
        <f aca="false">IF(AND(OR($A883&lt;&gt;"",$E883&lt;&gt;""),$O883&lt;&gt;"Cancelled",ISNUMBER($E883),N($F883)+N($H883)&gt;$E883+0.005),1,0)</f>
        <v>0</v>
      </c>
      <c r="Y883" s="80" t="n">
        <f aca="false">IF(AND(OR($A883&lt;&gt;"",$E883&lt;&gt;""),OR($A883="",$E883="")),1,0)</f>
        <v>0</v>
      </c>
      <c r="Z883" s="80" t="n">
        <f aca="false">IF(AND($A883&lt;&gt;"",COUNTIF($A$7:$A$1006,$A883)&gt;1),1,0)</f>
        <v>0</v>
      </c>
    </row>
    <row r="884" customFormat="false" ht="15" hidden="false" customHeight="false" outlineLevel="0" collapsed="false">
      <c r="A884" s="71"/>
      <c r="B884" s="72"/>
      <c r="C884" s="73"/>
      <c r="D884" s="73"/>
      <c r="E884" s="74"/>
      <c r="F884" s="74"/>
      <c r="G884" s="72"/>
      <c r="H884" s="74"/>
      <c r="I884" s="72"/>
      <c r="J884" s="73"/>
      <c r="K884" s="73"/>
      <c r="L884" s="75" t="str">
        <f aca="false">IF(OR($A884&lt;&gt;"",$E884&lt;&gt;""),N($F884)+N($H884),"")</f>
        <v/>
      </c>
      <c r="M884" s="76" t="str">
        <f aca="false">IF(OR($O884="",$O884="Cancelled",$O884="Amount missing"),"",IF($O884="Realised",0,$E884-N($F884)-N($H884)))</f>
        <v/>
      </c>
      <c r="N884" s="77" t="str">
        <f aca="false">IF(OR($M884="",FX=""),"",$M884*FX)</f>
        <v/>
      </c>
      <c r="O884" s="78" t="str">
        <f aca="false">IF(NOT(OR($A884&lt;&gt;"",$E884&lt;&gt;"")),"",IF($J884="Cancelled","Cancelled",IF($E884="","Amount missing",IF(OR($J884="Settled",$E884-N($F884)-N($H884)&lt;=0.005),"Realised",IF(N($H884)&gt;0,"Part realised",IF(N($F884)&gt;0,"Advance received","On hand"))))))</f>
        <v/>
      </c>
      <c r="P884" s="79" t="str">
        <f aca="false">IF(AND($V884=1,ISNUMBER($B884)),AsAt-$B884,"")</f>
        <v/>
      </c>
      <c r="Q884" s="78" t="str">
        <f aca="false">IF($V884&lt;&gt;1,"",IF($P884="","No invoice date",IF($P884&lt;=30,"0–30 days",IF($P884&lt;=60,"31–60 days",IF($P884&lt;=90,"61–90 days","Over 90 days")))))</f>
        <v/>
      </c>
      <c r="R884" s="80" t="str">
        <f aca="false">IF($V884=1,ROW(),"")</f>
        <v/>
      </c>
      <c r="S884" s="80" t="str">
        <f aca="false">IF(OR($A884&lt;&gt;"",$E884&lt;&gt;""),IF(TRIM($D884)="","Buyer not noted",TRIM($D884)),"")</f>
        <v/>
      </c>
      <c r="T884" s="80" t="n">
        <f aca="false">IF(AND($V884=1,ISNUMBER($M884)),$M884,0)</f>
        <v>0</v>
      </c>
      <c r="U884" s="80" t="str">
        <f aca="false">IF($V884=1,IF(COUNTIFS($S$7:$S884,$S884,$V$7:$V884,1)=1,SUMIFS($T$7:$T$1006,$S$7:$S$1006,$S884)-ROW()/1000000000,""),"")</f>
        <v/>
      </c>
      <c r="V884" s="80" t="n">
        <f aca="false">IF(OR($O884="On hand",$O884="Advance received",$O884="Part realised",$O884="Amount missing"),1,0)</f>
        <v>0</v>
      </c>
      <c r="W884" s="80" t="str">
        <f aca="false">IF(AND($V884=1,N($F884)&gt;0),ROW(),"")</f>
        <v/>
      </c>
      <c r="X884" s="80" t="n">
        <f aca="false">IF(AND(OR($A884&lt;&gt;"",$E884&lt;&gt;""),$O884&lt;&gt;"Cancelled",ISNUMBER($E884),N($F884)+N($H884)&gt;$E884+0.005),1,0)</f>
        <v>0</v>
      </c>
      <c r="Y884" s="80" t="n">
        <f aca="false">IF(AND(OR($A884&lt;&gt;"",$E884&lt;&gt;""),OR($A884="",$E884="")),1,0)</f>
        <v>0</v>
      </c>
      <c r="Z884" s="80" t="n">
        <f aca="false">IF(AND($A884&lt;&gt;"",COUNTIF($A$7:$A$1006,$A884)&gt;1),1,0)</f>
        <v>0</v>
      </c>
    </row>
    <row r="885" customFormat="false" ht="15" hidden="false" customHeight="false" outlineLevel="0" collapsed="false">
      <c r="A885" s="71"/>
      <c r="B885" s="72"/>
      <c r="C885" s="73"/>
      <c r="D885" s="73"/>
      <c r="E885" s="74"/>
      <c r="F885" s="74"/>
      <c r="G885" s="72"/>
      <c r="H885" s="74"/>
      <c r="I885" s="72"/>
      <c r="J885" s="73"/>
      <c r="K885" s="73"/>
      <c r="L885" s="75" t="str">
        <f aca="false">IF(OR($A885&lt;&gt;"",$E885&lt;&gt;""),N($F885)+N($H885),"")</f>
        <v/>
      </c>
      <c r="M885" s="76" t="str">
        <f aca="false">IF(OR($O885="",$O885="Cancelled",$O885="Amount missing"),"",IF($O885="Realised",0,$E885-N($F885)-N($H885)))</f>
        <v/>
      </c>
      <c r="N885" s="77" t="str">
        <f aca="false">IF(OR($M885="",FX=""),"",$M885*FX)</f>
        <v/>
      </c>
      <c r="O885" s="78" t="str">
        <f aca="false">IF(NOT(OR($A885&lt;&gt;"",$E885&lt;&gt;"")),"",IF($J885="Cancelled","Cancelled",IF($E885="","Amount missing",IF(OR($J885="Settled",$E885-N($F885)-N($H885)&lt;=0.005),"Realised",IF(N($H885)&gt;0,"Part realised",IF(N($F885)&gt;0,"Advance received","On hand"))))))</f>
        <v/>
      </c>
      <c r="P885" s="79" t="str">
        <f aca="false">IF(AND($V885=1,ISNUMBER($B885)),AsAt-$B885,"")</f>
        <v/>
      </c>
      <c r="Q885" s="78" t="str">
        <f aca="false">IF($V885&lt;&gt;1,"",IF($P885="","No invoice date",IF($P885&lt;=30,"0–30 days",IF($P885&lt;=60,"31–60 days",IF($P885&lt;=90,"61–90 days","Over 90 days")))))</f>
        <v/>
      </c>
      <c r="R885" s="80" t="str">
        <f aca="false">IF($V885=1,ROW(),"")</f>
        <v/>
      </c>
      <c r="S885" s="80" t="str">
        <f aca="false">IF(OR($A885&lt;&gt;"",$E885&lt;&gt;""),IF(TRIM($D885)="","Buyer not noted",TRIM($D885)),"")</f>
        <v/>
      </c>
      <c r="T885" s="80" t="n">
        <f aca="false">IF(AND($V885=1,ISNUMBER($M885)),$M885,0)</f>
        <v>0</v>
      </c>
      <c r="U885" s="80" t="str">
        <f aca="false">IF($V885=1,IF(COUNTIFS($S$7:$S885,$S885,$V$7:$V885,1)=1,SUMIFS($T$7:$T$1006,$S$7:$S$1006,$S885)-ROW()/1000000000,""),"")</f>
        <v/>
      </c>
      <c r="V885" s="80" t="n">
        <f aca="false">IF(OR($O885="On hand",$O885="Advance received",$O885="Part realised",$O885="Amount missing"),1,0)</f>
        <v>0</v>
      </c>
      <c r="W885" s="80" t="str">
        <f aca="false">IF(AND($V885=1,N($F885)&gt;0),ROW(),"")</f>
        <v/>
      </c>
      <c r="X885" s="80" t="n">
        <f aca="false">IF(AND(OR($A885&lt;&gt;"",$E885&lt;&gt;""),$O885&lt;&gt;"Cancelled",ISNUMBER($E885),N($F885)+N($H885)&gt;$E885+0.005),1,0)</f>
        <v>0</v>
      </c>
      <c r="Y885" s="80" t="n">
        <f aca="false">IF(AND(OR($A885&lt;&gt;"",$E885&lt;&gt;""),OR($A885="",$E885="")),1,0)</f>
        <v>0</v>
      </c>
      <c r="Z885" s="80" t="n">
        <f aca="false">IF(AND($A885&lt;&gt;"",COUNTIF($A$7:$A$1006,$A885)&gt;1),1,0)</f>
        <v>0</v>
      </c>
    </row>
    <row r="886" customFormat="false" ht="15" hidden="false" customHeight="false" outlineLevel="0" collapsed="false">
      <c r="A886" s="71"/>
      <c r="B886" s="72"/>
      <c r="C886" s="73"/>
      <c r="D886" s="73"/>
      <c r="E886" s="74"/>
      <c r="F886" s="74"/>
      <c r="G886" s="72"/>
      <c r="H886" s="74"/>
      <c r="I886" s="72"/>
      <c r="J886" s="73"/>
      <c r="K886" s="73"/>
      <c r="L886" s="75" t="str">
        <f aca="false">IF(OR($A886&lt;&gt;"",$E886&lt;&gt;""),N($F886)+N($H886),"")</f>
        <v/>
      </c>
      <c r="M886" s="76" t="str">
        <f aca="false">IF(OR($O886="",$O886="Cancelled",$O886="Amount missing"),"",IF($O886="Realised",0,$E886-N($F886)-N($H886)))</f>
        <v/>
      </c>
      <c r="N886" s="77" t="str">
        <f aca="false">IF(OR($M886="",FX=""),"",$M886*FX)</f>
        <v/>
      </c>
      <c r="O886" s="78" t="str">
        <f aca="false">IF(NOT(OR($A886&lt;&gt;"",$E886&lt;&gt;"")),"",IF($J886="Cancelled","Cancelled",IF($E886="","Amount missing",IF(OR($J886="Settled",$E886-N($F886)-N($H886)&lt;=0.005),"Realised",IF(N($H886)&gt;0,"Part realised",IF(N($F886)&gt;0,"Advance received","On hand"))))))</f>
        <v/>
      </c>
      <c r="P886" s="79" t="str">
        <f aca="false">IF(AND($V886=1,ISNUMBER($B886)),AsAt-$B886,"")</f>
        <v/>
      </c>
      <c r="Q886" s="78" t="str">
        <f aca="false">IF($V886&lt;&gt;1,"",IF($P886="","No invoice date",IF($P886&lt;=30,"0–30 days",IF($P886&lt;=60,"31–60 days",IF($P886&lt;=90,"61–90 days","Over 90 days")))))</f>
        <v/>
      </c>
      <c r="R886" s="80" t="str">
        <f aca="false">IF($V886=1,ROW(),"")</f>
        <v/>
      </c>
      <c r="S886" s="80" t="str">
        <f aca="false">IF(OR($A886&lt;&gt;"",$E886&lt;&gt;""),IF(TRIM($D886)="","Buyer not noted",TRIM($D886)),"")</f>
        <v/>
      </c>
      <c r="T886" s="80" t="n">
        <f aca="false">IF(AND($V886=1,ISNUMBER($M886)),$M886,0)</f>
        <v>0</v>
      </c>
      <c r="U886" s="80" t="str">
        <f aca="false">IF($V886=1,IF(COUNTIFS($S$7:$S886,$S886,$V$7:$V886,1)=1,SUMIFS($T$7:$T$1006,$S$7:$S$1006,$S886)-ROW()/1000000000,""),"")</f>
        <v/>
      </c>
      <c r="V886" s="80" t="n">
        <f aca="false">IF(OR($O886="On hand",$O886="Advance received",$O886="Part realised",$O886="Amount missing"),1,0)</f>
        <v>0</v>
      </c>
      <c r="W886" s="80" t="str">
        <f aca="false">IF(AND($V886=1,N($F886)&gt;0),ROW(),"")</f>
        <v/>
      </c>
      <c r="X886" s="80" t="n">
        <f aca="false">IF(AND(OR($A886&lt;&gt;"",$E886&lt;&gt;""),$O886&lt;&gt;"Cancelled",ISNUMBER($E886),N($F886)+N($H886)&gt;$E886+0.005),1,0)</f>
        <v>0</v>
      </c>
      <c r="Y886" s="80" t="n">
        <f aca="false">IF(AND(OR($A886&lt;&gt;"",$E886&lt;&gt;""),OR($A886="",$E886="")),1,0)</f>
        <v>0</v>
      </c>
      <c r="Z886" s="80" t="n">
        <f aca="false">IF(AND($A886&lt;&gt;"",COUNTIF($A$7:$A$1006,$A886)&gt;1),1,0)</f>
        <v>0</v>
      </c>
    </row>
    <row r="887" customFormat="false" ht="15" hidden="false" customHeight="false" outlineLevel="0" collapsed="false">
      <c r="A887" s="71"/>
      <c r="B887" s="72"/>
      <c r="C887" s="73"/>
      <c r="D887" s="73"/>
      <c r="E887" s="74"/>
      <c r="F887" s="74"/>
      <c r="G887" s="72"/>
      <c r="H887" s="74"/>
      <c r="I887" s="72"/>
      <c r="J887" s="73"/>
      <c r="K887" s="73"/>
      <c r="L887" s="75" t="str">
        <f aca="false">IF(OR($A887&lt;&gt;"",$E887&lt;&gt;""),N($F887)+N($H887),"")</f>
        <v/>
      </c>
      <c r="M887" s="76" t="str">
        <f aca="false">IF(OR($O887="",$O887="Cancelled",$O887="Amount missing"),"",IF($O887="Realised",0,$E887-N($F887)-N($H887)))</f>
        <v/>
      </c>
      <c r="N887" s="77" t="str">
        <f aca="false">IF(OR($M887="",FX=""),"",$M887*FX)</f>
        <v/>
      </c>
      <c r="O887" s="78" t="str">
        <f aca="false">IF(NOT(OR($A887&lt;&gt;"",$E887&lt;&gt;"")),"",IF($J887="Cancelled","Cancelled",IF($E887="","Amount missing",IF(OR($J887="Settled",$E887-N($F887)-N($H887)&lt;=0.005),"Realised",IF(N($H887)&gt;0,"Part realised",IF(N($F887)&gt;0,"Advance received","On hand"))))))</f>
        <v/>
      </c>
      <c r="P887" s="79" t="str">
        <f aca="false">IF(AND($V887=1,ISNUMBER($B887)),AsAt-$B887,"")</f>
        <v/>
      </c>
      <c r="Q887" s="78" t="str">
        <f aca="false">IF($V887&lt;&gt;1,"",IF($P887="","No invoice date",IF($P887&lt;=30,"0–30 days",IF($P887&lt;=60,"31–60 days",IF($P887&lt;=90,"61–90 days","Over 90 days")))))</f>
        <v/>
      </c>
      <c r="R887" s="80" t="str">
        <f aca="false">IF($V887=1,ROW(),"")</f>
        <v/>
      </c>
      <c r="S887" s="80" t="str">
        <f aca="false">IF(OR($A887&lt;&gt;"",$E887&lt;&gt;""),IF(TRIM($D887)="","Buyer not noted",TRIM($D887)),"")</f>
        <v/>
      </c>
      <c r="T887" s="80" t="n">
        <f aca="false">IF(AND($V887=1,ISNUMBER($M887)),$M887,0)</f>
        <v>0</v>
      </c>
      <c r="U887" s="80" t="str">
        <f aca="false">IF($V887=1,IF(COUNTIFS($S$7:$S887,$S887,$V$7:$V887,1)=1,SUMIFS($T$7:$T$1006,$S$7:$S$1006,$S887)-ROW()/1000000000,""),"")</f>
        <v/>
      </c>
      <c r="V887" s="80" t="n">
        <f aca="false">IF(OR($O887="On hand",$O887="Advance received",$O887="Part realised",$O887="Amount missing"),1,0)</f>
        <v>0</v>
      </c>
      <c r="W887" s="80" t="str">
        <f aca="false">IF(AND($V887=1,N($F887)&gt;0),ROW(),"")</f>
        <v/>
      </c>
      <c r="X887" s="80" t="n">
        <f aca="false">IF(AND(OR($A887&lt;&gt;"",$E887&lt;&gt;""),$O887&lt;&gt;"Cancelled",ISNUMBER($E887),N($F887)+N($H887)&gt;$E887+0.005),1,0)</f>
        <v>0</v>
      </c>
      <c r="Y887" s="80" t="n">
        <f aca="false">IF(AND(OR($A887&lt;&gt;"",$E887&lt;&gt;""),OR($A887="",$E887="")),1,0)</f>
        <v>0</v>
      </c>
      <c r="Z887" s="80" t="n">
        <f aca="false">IF(AND($A887&lt;&gt;"",COUNTIF($A$7:$A$1006,$A887)&gt;1),1,0)</f>
        <v>0</v>
      </c>
    </row>
    <row r="888" customFormat="false" ht="15" hidden="false" customHeight="false" outlineLevel="0" collapsed="false">
      <c r="A888" s="71"/>
      <c r="B888" s="72"/>
      <c r="C888" s="73"/>
      <c r="D888" s="73"/>
      <c r="E888" s="74"/>
      <c r="F888" s="74"/>
      <c r="G888" s="72"/>
      <c r="H888" s="74"/>
      <c r="I888" s="72"/>
      <c r="J888" s="73"/>
      <c r="K888" s="73"/>
      <c r="L888" s="75" t="str">
        <f aca="false">IF(OR($A888&lt;&gt;"",$E888&lt;&gt;""),N($F888)+N($H888),"")</f>
        <v/>
      </c>
      <c r="M888" s="76" t="str">
        <f aca="false">IF(OR($O888="",$O888="Cancelled",$O888="Amount missing"),"",IF($O888="Realised",0,$E888-N($F888)-N($H888)))</f>
        <v/>
      </c>
      <c r="N888" s="77" t="str">
        <f aca="false">IF(OR($M888="",FX=""),"",$M888*FX)</f>
        <v/>
      </c>
      <c r="O888" s="78" t="str">
        <f aca="false">IF(NOT(OR($A888&lt;&gt;"",$E888&lt;&gt;"")),"",IF($J888="Cancelled","Cancelled",IF($E888="","Amount missing",IF(OR($J888="Settled",$E888-N($F888)-N($H888)&lt;=0.005),"Realised",IF(N($H888)&gt;0,"Part realised",IF(N($F888)&gt;0,"Advance received","On hand"))))))</f>
        <v/>
      </c>
      <c r="P888" s="79" t="str">
        <f aca="false">IF(AND($V888=1,ISNUMBER($B888)),AsAt-$B888,"")</f>
        <v/>
      </c>
      <c r="Q888" s="78" t="str">
        <f aca="false">IF($V888&lt;&gt;1,"",IF($P888="","No invoice date",IF($P888&lt;=30,"0–30 days",IF($P888&lt;=60,"31–60 days",IF($P888&lt;=90,"61–90 days","Over 90 days")))))</f>
        <v/>
      </c>
      <c r="R888" s="80" t="str">
        <f aca="false">IF($V888=1,ROW(),"")</f>
        <v/>
      </c>
      <c r="S888" s="80" t="str">
        <f aca="false">IF(OR($A888&lt;&gt;"",$E888&lt;&gt;""),IF(TRIM($D888)="","Buyer not noted",TRIM($D888)),"")</f>
        <v/>
      </c>
      <c r="T888" s="80" t="n">
        <f aca="false">IF(AND($V888=1,ISNUMBER($M888)),$M888,0)</f>
        <v>0</v>
      </c>
      <c r="U888" s="80" t="str">
        <f aca="false">IF($V888=1,IF(COUNTIFS($S$7:$S888,$S888,$V$7:$V888,1)=1,SUMIFS($T$7:$T$1006,$S$7:$S$1006,$S888)-ROW()/1000000000,""),"")</f>
        <v/>
      </c>
      <c r="V888" s="80" t="n">
        <f aca="false">IF(OR($O888="On hand",$O888="Advance received",$O888="Part realised",$O888="Amount missing"),1,0)</f>
        <v>0</v>
      </c>
      <c r="W888" s="80" t="str">
        <f aca="false">IF(AND($V888=1,N($F888)&gt;0),ROW(),"")</f>
        <v/>
      </c>
      <c r="X888" s="80" t="n">
        <f aca="false">IF(AND(OR($A888&lt;&gt;"",$E888&lt;&gt;""),$O888&lt;&gt;"Cancelled",ISNUMBER($E888),N($F888)+N($H888)&gt;$E888+0.005),1,0)</f>
        <v>0</v>
      </c>
      <c r="Y888" s="80" t="n">
        <f aca="false">IF(AND(OR($A888&lt;&gt;"",$E888&lt;&gt;""),OR($A888="",$E888="")),1,0)</f>
        <v>0</v>
      </c>
      <c r="Z888" s="80" t="n">
        <f aca="false">IF(AND($A888&lt;&gt;"",COUNTIF($A$7:$A$1006,$A888)&gt;1),1,0)</f>
        <v>0</v>
      </c>
    </row>
    <row r="889" customFormat="false" ht="15" hidden="false" customHeight="false" outlineLevel="0" collapsed="false">
      <c r="A889" s="71"/>
      <c r="B889" s="72"/>
      <c r="C889" s="73"/>
      <c r="D889" s="73"/>
      <c r="E889" s="74"/>
      <c r="F889" s="74"/>
      <c r="G889" s="72"/>
      <c r="H889" s="74"/>
      <c r="I889" s="72"/>
      <c r="J889" s="73"/>
      <c r="K889" s="73"/>
      <c r="L889" s="75" t="str">
        <f aca="false">IF(OR($A889&lt;&gt;"",$E889&lt;&gt;""),N($F889)+N($H889),"")</f>
        <v/>
      </c>
      <c r="M889" s="76" t="str">
        <f aca="false">IF(OR($O889="",$O889="Cancelled",$O889="Amount missing"),"",IF($O889="Realised",0,$E889-N($F889)-N($H889)))</f>
        <v/>
      </c>
      <c r="N889" s="77" t="str">
        <f aca="false">IF(OR($M889="",FX=""),"",$M889*FX)</f>
        <v/>
      </c>
      <c r="O889" s="78" t="str">
        <f aca="false">IF(NOT(OR($A889&lt;&gt;"",$E889&lt;&gt;"")),"",IF($J889="Cancelled","Cancelled",IF($E889="","Amount missing",IF(OR($J889="Settled",$E889-N($F889)-N($H889)&lt;=0.005),"Realised",IF(N($H889)&gt;0,"Part realised",IF(N($F889)&gt;0,"Advance received","On hand"))))))</f>
        <v/>
      </c>
      <c r="P889" s="79" t="str">
        <f aca="false">IF(AND($V889=1,ISNUMBER($B889)),AsAt-$B889,"")</f>
        <v/>
      </c>
      <c r="Q889" s="78" t="str">
        <f aca="false">IF($V889&lt;&gt;1,"",IF($P889="","No invoice date",IF($P889&lt;=30,"0–30 days",IF($P889&lt;=60,"31–60 days",IF($P889&lt;=90,"61–90 days","Over 90 days")))))</f>
        <v/>
      </c>
      <c r="R889" s="80" t="str">
        <f aca="false">IF($V889=1,ROW(),"")</f>
        <v/>
      </c>
      <c r="S889" s="80" t="str">
        <f aca="false">IF(OR($A889&lt;&gt;"",$E889&lt;&gt;""),IF(TRIM($D889)="","Buyer not noted",TRIM($D889)),"")</f>
        <v/>
      </c>
      <c r="T889" s="80" t="n">
        <f aca="false">IF(AND($V889=1,ISNUMBER($M889)),$M889,0)</f>
        <v>0</v>
      </c>
      <c r="U889" s="80" t="str">
        <f aca="false">IF($V889=1,IF(COUNTIFS($S$7:$S889,$S889,$V$7:$V889,1)=1,SUMIFS($T$7:$T$1006,$S$7:$S$1006,$S889)-ROW()/1000000000,""),"")</f>
        <v/>
      </c>
      <c r="V889" s="80" t="n">
        <f aca="false">IF(OR($O889="On hand",$O889="Advance received",$O889="Part realised",$O889="Amount missing"),1,0)</f>
        <v>0</v>
      </c>
      <c r="W889" s="80" t="str">
        <f aca="false">IF(AND($V889=1,N($F889)&gt;0),ROW(),"")</f>
        <v/>
      </c>
      <c r="X889" s="80" t="n">
        <f aca="false">IF(AND(OR($A889&lt;&gt;"",$E889&lt;&gt;""),$O889&lt;&gt;"Cancelled",ISNUMBER($E889),N($F889)+N($H889)&gt;$E889+0.005),1,0)</f>
        <v>0</v>
      </c>
      <c r="Y889" s="80" t="n">
        <f aca="false">IF(AND(OR($A889&lt;&gt;"",$E889&lt;&gt;""),OR($A889="",$E889="")),1,0)</f>
        <v>0</v>
      </c>
      <c r="Z889" s="80" t="n">
        <f aca="false">IF(AND($A889&lt;&gt;"",COUNTIF($A$7:$A$1006,$A889)&gt;1),1,0)</f>
        <v>0</v>
      </c>
    </row>
    <row r="890" customFormat="false" ht="15" hidden="false" customHeight="false" outlineLevel="0" collapsed="false">
      <c r="A890" s="71"/>
      <c r="B890" s="72"/>
      <c r="C890" s="73"/>
      <c r="D890" s="73"/>
      <c r="E890" s="74"/>
      <c r="F890" s="74"/>
      <c r="G890" s="72"/>
      <c r="H890" s="74"/>
      <c r="I890" s="72"/>
      <c r="J890" s="73"/>
      <c r="K890" s="73"/>
      <c r="L890" s="75" t="str">
        <f aca="false">IF(OR($A890&lt;&gt;"",$E890&lt;&gt;""),N($F890)+N($H890),"")</f>
        <v/>
      </c>
      <c r="M890" s="76" t="str">
        <f aca="false">IF(OR($O890="",$O890="Cancelled",$O890="Amount missing"),"",IF($O890="Realised",0,$E890-N($F890)-N($H890)))</f>
        <v/>
      </c>
      <c r="N890" s="77" t="str">
        <f aca="false">IF(OR($M890="",FX=""),"",$M890*FX)</f>
        <v/>
      </c>
      <c r="O890" s="78" t="str">
        <f aca="false">IF(NOT(OR($A890&lt;&gt;"",$E890&lt;&gt;"")),"",IF($J890="Cancelled","Cancelled",IF($E890="","Amount missing",IF(OR($J890="Settled",$E890-N($F890)-N($H890)&lt;=0.005),"Realised",IF(N($H890)&gt;0,"Part realised",IF(N($F890)&gt;0,"Advance received","On hand"))))))</f>
        <v/>
      </c>
      <c r="P890" s="79" t="str">
        <f aca="false">IF(AND($V890=1,ISNUMBER($B890)),AsAt-$B890,"")</f>
        <v/>
      </c>
      <c r="Q890" s="78" t="str">
        <f aca="false">IF($V890&lt;&gt;1,"",IF($P890="","No invoice date",IF($P890&lt;=30,"0–30 days",IF($P890&lt;=60,"31–60 days",IF($P890&lt;=90,"61–90 days","Over 90 days")))))</f>
        <v/>
      </c>
      <c r="R890" s="80" t="str">
        <f aca="false">IF($V890=1,ROW(),"")</f>
        <v/>
      </c>
      <c r="S890" s="80" t="str">
        <f aca="false">IF(OR($A890&lt;&gt;"",$E890&lt;&gt;""),IF(TRIM($D890)="","Buyer not noted",TRIM($D890)),"")</f>
        <v/>
      </c>
      <c r="T890" s="80" t="n">
        <f aca="false">IF(AND($V890=1,ISNUMBER($M890)),$M890,0)</f>
        <v>0</v>
      </c>
      <c r="U890" s="80" t="str">
        <f aca="false">IF($V890=1,IF(COUNTIFS($S$7:$S890,$S890,$V$7:$V890,1)=1,SUMIFS($T$7:$T$1006,$S$7:$S$1006,$S890)-ROW()/1000000000,""),"")</f>
        <v/>
      </c>
      <c r="V890" s="80" t="n">
        <f aca="false">IF(OR($O890="On hand",$O890="Advance received",$O890="Part realised",$O890="Amount missing"),1,0)</f>
        <v>0</v>
      </c>
      <c r="W890" s="80" t="str">
        <f aca="false">IF(AND($V890=1,N($F890)&gt;0),ROW(),"")</f>
        <v/>
      </c>
      <c r="X890" s="80" t="n">
        <f aca="false">IF(AND(OR($A890&lt;&gt;"",$E890&lt;&gt;""),$O890&lt;&gt;"Cancelled",ISNUMBER($E890),N($F890)+N($H890)&gt;$E890+0.005),1,0)</f>
        <v>0</v>
      </c>
      <c r="Y890" s="80" t="n">
        <f aca="false">IF(AND(OR($A890&lt;&gt;"",$E890&lt;&gt;""),OR($A890="",$E890="")),1,0)</f>
        <v>0</v>
      </c>
      <c r="Z890" s="80" t="n">
        <f aca="false">IF(AND($A890&lt;&gt;"",COUNTIF($A$7:$A$1006,$A890)&gt;1),1,0)</f>
        <v>0</v>
      </c>
    </row>
    <row r="891" customFormat="false" ht="15" hidden="false" customHeight="false" outlineLevel="0" collapsed="false">
      <c r="A891" s="71"/>
      <c r="B891" s="72"/>
      <c r="C891" s="73"/>
      <c r="D891" s="73"/>
      <c r="E891" s="74"/>
      <c r="F891" s="74"/>
      <c r="G891" s="72"/>
      <c r="H891" s="74"/>
      <c r="I891" s="72"/>
      <c r="J891" s="73"/>
      <c r="K891" s="73"/>
      <c r="L891" s="75" t="str">
        <f aca="false">IF(OR($A891&lt;&gt;"",$E891&lt;&gt;""),N($F891)+N($H891),"")</f>
        <v/>
      </c>
      <c r="M891" s="76" t="str">
        <f aca="false">IF(OR($O891="",$O891="Cancelled",$O891="Amount missing"),"",IF($O891="Realised",0,$E891-N($F891)-N($H891)))</f>
        <v/>
      </c>
      <c r="N891" s="77" t="str">
        <f aca="false">IF(OR($M891="",FX=""),"",$M891*FX)</f>
        <v/>
      </c>
      <c r="O891" s="78" t="str">
        <f aca="false">IF(NOT(OR($A891&lt;&gt;"",$E891&lt;&gt;"")),"",IF($J891="Cancelled","Cancelled",IF($E891="","Amount missing",IF(OR($J891="Settled",$E891-N($F891)-N($H891)&lt;=0.005),"Realised",IF(N($H891)&gt;0,"Part realised",IF(N($F891)&gt;0,"Advance received","On hand"))))))</f>
        <v/>
      </c>
      <c r="P891" s="79" t="str">
        <f aca="false">IF(AND($V891=1,ISNUMBER($B891)),AsAt-$B891,"")</f>
        <v/>
      </c>
      <c r="Q891" s="78" t="str">
        <f aca="false">IF($V891&lt;&gt;1,"",IF($P891="","No invoice date",IF($P891&lt;=30,"0–30 days",IF($P891&lt;=60,"31–60 days",IF($P891&lt;=90,"61–90 days","Over 90 days")))))</f>
        <v/>
      </c>
      <c r="R891" s="80" t="str">
        <f aca="false">IF($V891=1,ROW(),"")</f>
        <v/>
      </c>
      <c r="S891" s="80" t="str">
        <f aca="false">IF(OR($A891&lt;&gt;"",$E891&lt;&gt;""),IF(TRIM($D891)="","Buyer not noted",TRIM($D891)),"")</f>
        <v/>
      </c>
      <c r="T891" s="80" t="n">
        <f aca="false">IF(AND($V891=1,ISNUMBER($M891)),$M891,0)</f>
        <v>0</v>
      </c>
      <c r="U891" s="80" t="str">
        <f aca="false">IF($V891=1,IF(COUNTIFS($S$7:$S891,$S891,$V$7:$V891,1)=1,SUMIFS($T$7:$T$1006,$S$7:$S$1006,$S891)-ROW()/1000000000,""),"")</f>
        <v/>
      </c>
      <c r="V891" s="80" t="n">
        <f aca="false">IF(OR($O891="On hand",$O891="Advance received",$O891="Part realised",$O891="Amount missing"),1,0)</f>
        <v>0</v>
      </c>
      <c r="W891" s="80" t="str">
        <f aca="false">IF(AND($V891=1,N($F891)&gt;0),ROW(),"")</f>
        <v/>
      </c>
      <c r="X891" s="80" t="n">
        <f aca="false">IF(AND(OR($A891&lt;&gt;"",$E891&lt;&gt;""),$O891&lt;&gt;"Cancelled",ISNUMBER($E891),N($F891)+N($H891)&gt;$E891+0.005),1,0)</f>
        <v>0</v>
      </c>
      <c r="Y891" s="80" t="n">
        <f aca="false">IF(AND(OR($A891&lt;&gt;"",$E891&lt;&gt;""),OR($A891="",$E891="")),1,0)</f>
        <v>0</v>
      </c>
      <c r="Z891" s="80" t="n">
        <f aca="false">IF(AND($A891&lt;&gt;"",COUNTIF($A$7:$A$1006,$A891)&gt;1),1,0)</f>
        <v>0</v>
      </c>
    </row>
    <row r="892" customFormat="false" ht="15" hidden="false" customHeight="false" outlineLevel="0" collapsed="false">
      <c r="A892" s="71"/>
      <c r="B892" s="72"/>
      <c r="C892" s="73"/>
      <c r="D892" s="73"/>
      <c r="E892" s="74"/>
      <c r="F892" s="74"/>
      <c r="G892" s="72"/>
      <c r="H892" s="74"/>
      <c r="I892" s="72"/>
      <c r="J892" s="73"/>
      <c r="K892" s="73"/>
      <c r="L892" s="75" t="str">
        <f aca="false">IF(OR($A892&lt;&gt;"",$E892&lt;&gt;""),N($F892)+N($H892),"")</f>
        <v/>
      </c>
      <c r="M892" s="76" t="str">
        <f aca="false">IF(OR($O892="",$O892="Cancelled",$O892="Amount missing"),"",IF($O892="Realised",0,$E892-N($F892)-N($H892)))</f>
        <v/>
      </c>
      <c r="N892" s="77" t="str">
        <f aca="false">IF(OR($M892="",FX=""),"",$M892*FX)</f>
        <v/>
      </c>
      <c r="O892" s="78" t="str">
        <f aca="false">IF(NOT(OR($A892&lt;&gt;"",$E892&lt;&gt;"")),"",IF($J892="Cancelled","Cancelled",IF($E892="","Amount missing",IF(OR($J892="Settled",$E892-N($F892)-N($H892)&lt;=0.005),"Realised",IF(N($H892)&gt;0,"Part realised",IF(N($F892)&gt;0,"Advance received","On hand"))))))</f>
        <v/>
      </c>
      <c r="P892" s="79" t="str">
        <f aca="false">IF(AND($V892=1,ISNUMBER($B892)),AsAt-$B892,"")</f>
        <v/>
      </c>
      <c r="Q892" s="78" t="str">
        <f aca="false">IF($V892&lt;&gt;1,"",IF($P892="","No invoice date",IF($P892&lt;=30,"0–30 days",IF($P892&lt;=60,"31–60 days",IF($P892&lt;=90,"61–90 days","Over 90 days")))))</f>
        <v/>
      </c>
      <c r="R892" s="80" t="str">
        <f aca="false">IF($V892=1,ROW(),"")</f>
        <v/>
      </c>
      <c r="S892" s="80" t="str">
        <f aca="false">IF(OR($A892&lt;&gt;"",$E892&lt;&gt;""),IF(TRIM($D892)="","Buyer not noted",TRIM($D892)),"")</f>
        <v/>
      </c>
      <c r="T892" s="80" t="n">
        <f aca="false">IF(AND($V892=1,ISNUMBER($M892)),$M892,0)</f>
        <v>0</v>
      </c>
      <c r="U892" s="80" t="str">
        <f aca="false">IF($V892=1,IF(COUNTIFS($S$7:$S892,$S892,$V$7:$V892,1)=1,SUMIFS($T$7:$T$1006,$S$7:$S$1006,$S892)-ROW()/1000000000,""),"")</f>
        <v/>
      </c>
      <c r="V892" s="80" t="n">
        <f aca="false">IF(OR($O892="On hand",$O892="Advance received",$O892="Part realised",$O892="Amount missing"),1,0)</f>
        <v>0</v>
      </c>
      <c r="W892" s="80" t="str">
        <f aca="false">IF(AND($V892=1,N($F892)&gt;0),ROW(),"")</f>
        <v/>
      </c>
      <c r="X892" s="80" t="n">
        <f aca="false">IF(AND(OR($A892&lt;&gt;"",$E892&lt;&gt;""),$O892&lt;&gt;"Cancelled",ISNUMBER($E892),N($F892)+N($H892)&gt;$E892+0.005),1,0)</f>
        <v>0</v>
      </c>
      <c r="Y892" s="80" t="n">
        <f aca="false">IF(AND(OR($A892&lt;&gt;"",$E892&lt;&gt;""),OR($A892="",$E892="")),1,0)</f>
        <v>0</v>
      </c>
      <c r="Z892" s="80" t="n">
        <f aca="false">IF(AND($A892&lt;&gt;"",COUNTIF($A$7:$A$1006,$A892)&gt;1),1,0)</f>
        <v>0</v>
      </c>
    </row>
    <row r="893" customFormat="false" ht="15" hidden="false" customHeight="false" outlineLevel="0" collapsed="false">
      <c r="A893" s="71"/>
      <c r="B893" s="72"/>
      <c r="C893" s="73"/>
      <c r="D893" s="73"/>
      <c r="E893" s="74"/>
      <c r="F893" s="74"/>
      <c r="G893" s="72"/>
      <c r="H893" s="74"/>
      <c r="I893" s="72"/>
      <c r="J893" s="73"/>
      <c r="K893" s="73"/>
      <c r="L893" s="75" t="str">
        <f aca="false">IF(OR($A893&lt;&gt;"",$E893&lt;&gt;""),N($F893)+N($H893),"")</f>
        <v/>
      </c>
      <c r="M893" s="76" t="str">
        <f aca="false">IF(OR($O893="",$O893="Cancelled",$O893="Amount missing"),"",IF($O893="Realised",0,$E893-N($F893)-N($H893)))</f>
        <v/>
      </c>
      <c r="N893" s="77" t="str">
        <f aca="false">IF(OR($M893="",FX=""),"",$M893*FX)</f>
        <v/>
      </c>
      <c r="O893" s="78" t="str">
        <f aca="false">IF(NOT(OR($A893&lt;&gt;"",$E893&lt;&gt;"")),"",IF($J893="Cancelled","Cancelled",IF($E893="","Amount missing",IF(OR($J893="Settled",$E893-N($F893)-N($H893)&lt;=0.005),"Realised",IF(N($H893)&gt;0,"Part realised",IF(N($F893)&gt;0,"Advance received","On hand"))))))</f>
        <v/>
      </c>
      <c r="P893" s="79" t="str">
        <f aca="false">IF(AND($V893=1,ISNUMBER($B893)),AsAt-$B893,"")</f>
        <v/>
      </c>
      <c r="Q893" s="78" t="str">
        <f aca="false">IF($V893&lt;&gt;1,"",IF($P893="","No invoice date",IF($P893&lt;=30,"0–30 days",IF($P893&lt;=60,"31–60 days",IF($P893&lt;=90,"61–90 days","Over 90 days")))))</f>
        <v/>
      </c>
      <c r="R893" s="80" t="str">
        <f aca="false">IF($V893=1,ROW(),"")</f>
        <v/>
      </c>
      <c r="S893" s="80" t="str">
        <f aca="false">IF(OR($A893&lt;&gt;"",$E893&lt;&gt;""),IF(TRIM($D893)="","Buyer not noted",TRIM($D893)),"")</f>
        <v/>
      </c>
      <c r="T893" s="80" t="n">
        <f aca="false">IF(AND($V893=1,ISNUMBER($M893)),$M893,0)</f>
        <v>0</v>
      </c>
      <c r="U893" s="80" t="str">
        <f aca="false">IF($V893=1,IF(COUNTIFS($S$7:$S893,$S893,$V$7:$V893,1)=1,SUMIFS($T$7:$T$1006,$S$7:$S$1006,$S893)-ROW()/1000000000,""),"")</f>
        <v/>
      </c>
      <c r="V893" s="80" t="n">
        <f aca="false">IF(OR($O893="On hand",$O893="Advance received",$O893="Part realised",$O893="Amount missing"),1,0)</f>
        <v>0</v>
      </c>
      <c r="W893" s="80" t="str">
        <f aca="false">IF(AND($V893=1,N($F893)&gt;0),ROW(),"")</f>
        <v/>
      </c>
      <c r="X893" s="80" t="n">
        <f aca="false">IF(AND(OR($A893&lt;&gt;"",$E893&lt;&gt;""),$O893&lt;&gt;"Cancelled",ISNUMBER($E893),N($F893)+N($H893)&gt;$E893+0.005),1,0)</f>
        <v>0</v>
      </c>
      <c r="Y893" s="80" t="n">
        <f aca="false">IF(AND(OR($A893&lt;&gt;"",$E893&lt;&gt;""),OR($A893="",$E893="")),1,0)</f>
        <v>0</v>
      </c>
      <c r="Z893" s="80" t="n">
        <f aca="false">IF(AND($A893&lt;&gt;"",COUNTIF($A$7:$A$1006,$A893)&gt;1),1,0)</f>
        <v>0</v>
      </c>
    </row>
    <row r="894" customFormat="false" ht="15" hidden="false" customHeight="false" outlineLevel="0" collapsed="false">
      <c r="A894" s="71"/>
      <c r="B894" s="72"/>
      <c r="C894" s="73"/>
      <c r="D894" s="73"/>
      <c r="E894" s="74"/>
      <c r="F894" s="74"/>
      <c r="G894" s="72"/>
      <c r="H894" s="74"/>
      <c r="I894" s="72"/>
      <c r="J894" s="73"/>
      <c r="K894" s="73"/>
      <c r="L894" s="75" t="str">
        <f aca="false">IF(OR($A894&lt;&gt;"",$E894&lt;&gt;""),N($F894)+N($H894),"")</f>
        <v/>
      </c>
      <c r="M894" s="76" t="str">
        <f aca="false">IF(OR($O894="",$O894="Cancelled",$O894="Amount missing"),"",IF($O894="Realised",0,$E894-N($F894)-N($H894)))</f>
        <v/>
      </c>
      <c r="N894" s="77" t="str">
        <f aca="false">IF(OR($M894="",FX=""),"",$M894*FX)</f>
        <v/>
      </c>
      <c r="O894" s="78" t="str">
        <f aca="false">IF(NOT(OR($A894&lt;&gt;"",$E894&lt;&gt;"")),"",IF($J894="Cancelled","Cancelled",IF($E894="","Amount missing",IF(OR($J894="Settled",$E894-N($F894)-N($H894)&lt;=0.005),"Realised",IF(N($H894)&gt;0,"Part realised",IF(N($F894)&gt;0,"Advance received","On hand"))))))</f>
        <v/>
      </c>
      <c r="P894" s="79" t="str">
        <f aca="false">IF(AND($V894=1,ISNUMBER($B894)),AsAt-$B894,"")</f>
        <v/>
      </c>
      <c r="Q894" s="78" t="str">
        <f aca="false">IF($V894&lt;&gt;1,"",IF($P894="","No invoice date",IF($P894&lt;=30,"0–30 days",IF($P894&lt;=60,"31–60 days",IF($P894&lt;=90,"61–90 days","Over 90 days")))))</f>
        <v/>
      </c>
      <c r="R894" s="80" t="str">
        <f aca="false">IF($V894=1,ROW(),"")</f>
        <v/>
      </c>
      <c r="S894" s="80" t="str">
        <f aca="false">IF(OR($A894&lt;&gt;"",$E894&lt;&gt;""),IF(TRIM($D894)="","Buyer not noted",TRIM($D894)),"")</f>
        <v/>
      </c>
      <c r="T894" s="80" t="n">
        <f aca="false">IF(AND($V894=1,ISNUMBER($M894)),$M894,0)</f>
        <v>0</v>
      </c>
      <c r="U894" s="80" t="str">
        <f aca="false">IF($V894=1,IF(COUNTIFS($S$7:$S894,$S894,$V$7:$V894,1)=1,SUMIFS($T$7:$T$1006,$S$7:$S$1006,$S894)-ROW()/1000000000,""),"")</f>
        <v/>
      </c>
      <c r="V894" s="80" t="n">
        <f aca="false">IF(OR($O894="On hand",$O894="Advance received",$O894="Part realised",$O894="Amount missing"),1,0)</f>
        <v>0</v>
      </c>
      <c r="W894" s="80" t="str">
        <f aca="false">IF(AND($V894=1,N($F894)&gt;0),ROW(),"")</f>
        <v/>
      </c>
      <c r="X894" s="80" t="n">
        <f aca="false">IF(AND(OR($A894&lt;&gt;"",$E894&lt;&gt;""),$O894&lt;&gt;"Cancelled",ISNUMBER($E894),N($F894)+N($H894)&gt;$E894+0.005),1,0)</f>
        <v>0</v>
      </c>
      <c r="Y894" s="80" t="n">
        <f aca="false">IF(AND(OR($A894&lt;&gt;"",$E894&lt;&gt;""),OR($A894="",$E894="")),1,0)</f>
        <v>0</v>
      </c>
      <c r="Z894" s="80" t="n">
        <f aca="false">IF(AND($A894&lt;&gt;"",COUNTIF($A$7:$A$1006,$A894)&gt;1),1,0)</f>
        <v>0</v>
      </c>
    </row>
    <row r="895" customFormat="false" ht="15" hidden="false" customHeight="false" outlineLevel="0" collapsed="false">
      <c r="A895" s="71"/>
      <c r="B895" s="72"/>
      <c r="C895" s="73"/>
      <c r="D895" s="73"/>
      <c r="E895" s="74"/>
      <c r="F895" s="74"/>
      <c r="G895" s="72"/>
      <c r="H895" s="74"/>
      <c r="I895" s="72"/>
      <c r="J895" s="73"/>
      <c r="K895" s="73"/>
      <c r="L895" s="75" t="str">
        <f aca="false">IF(OR($A895&lt;&gt;"",$E895&lt;&gt;""),N($F895)+N($H895),"")</f>
        <v/>
      </c>
      <c r="M895" s="76" t="str">
        <f aca="false">IF(OR($O895="",$O895="Cancelled",$O895="Amount missing"),"",IF($O895="Realised",0,$E895-N($F895)-N($H895)))</f>
        <v/>
      </c>
      <c r="N895" s="77" t="str">
        <f aca="false">IF(OR($M895="",FX=""),"",$M895*FX)</f>
        <v/>
      </c>
      <c r="O895" s="78" t="str">
        <f aca="false">IF(NOT(OR($A895&lt;&gt;"",$E895&lt;&gt;"")),"",IF($J895="Cancelled","Cancelled",IF($E895="","Amount missing",IF(OR($J895="Settled",$E895-N($F895)-N($H895)&lt;=0.005),"Realised",IF(N($H895)&gt;0,"Part realised",IF(N($F895)&gt;0,"Advance received","On hand"))))))</f>
        <v/>
      </c>
      <c r="P895" s="79" t="str">
        <f aca="false">IF(AND($V895=1,ISNUMBER($B895)),AsAt-$B895,"")</f>
        <v/>
      </c>
      <c r="Q895" s="78" t="str">
        <f aca="false">IF($V895&lt;&gt;1,"",IF($P895="","No invoice date",IF($P895&lt;=30,"0–30 days",IF($P895&lt;=60,"31–60 days",IF($P895&lt;=90,"61–90 days","Over 90 days")))))</f>
        <v/>
      </c>
      <c r="R895" s="80" t="str">
        <f aca="false">IF($V895=1,ROW(),"")</f>
        <v/>
      </c>
      <c r="S895" s="80" t="str">
        <f aca="false">IF(OR($A895&lt;&gt;"",$E895&lt;&gt;""),IF(TRIM($D895)="","Buyer not noted",TRIM($D895)),"")</f>
        <v/>
      </c>
      <c r="T895" s="80" t="n">
        <f aca="false">IF(AND($V895=1,ISNUMBER($M895)),$M895,0)</f>
        <v>0</v>
      </c>
      <c r="U895" s="80" t="str">
        <f aca="false">IF($V895=1,IF(COUNTIFS($S$7:$S895,$S895,$V$7:$V895,1)=1,SUMIFS($T$7:$T$1006,$S$7:$S$1006,$S895)-ROW()/1000000000,""),"")</f>
        <v/>
      </c>
      <c r="V895" s="80" t="n">
        <f aca="false">IF(OR($O895="On hand",$O895="Advance received",$O895="Part realised",$O895="Amount missing"),1,0)</f>
        <v>0</v>
      </c>
      <c r="W895" s="80" t="str">
        <f aca="false">IF(AND($V895=1,N($F895)&gt;0),ROW(),"")</f>
        <v/>
      </c>
      <c r="X895" s="80" t="n">
        <f aca="false">IF(AND(OR($A895&lt;&gt;"",$E895&lt;&gt;""),$O895&lt;&gt;"Cancelled",ISNUMBER($E895),N($F895)+N($H895)&gt;$E895+0.005),1,0)</f>
        <v>0</v>
      </c>
      <c r="Y895" s="80" t="n">
        <f aca="false">IF(AND(OR($A895&lt;&gt;"",$E895&lt;&gt;""),OR($A895="",$E895="")),1,0)</f>
        <v>0</v>
      </c>
      <c r="Z895" s="80" t="n">
        <f aca="false">IF(AND($A895&lt;&gt;"",COUNTIF($A$7:$A$1006,$A895)&gt;1),1,0)</f>
        <v>0</v>
      </c>
    </row>
    <row r="896" customFormat="false" ht="15" hidden="false" customHeight="false" outlineLevel="0" collapsed="false">
      <c r="A896" s="71"/>
      <c r="B896" s="72"/>
      <c r="C896" s="73"/>
      <c r="D896" s="73"/>
      <c r="E896" s="74"/>
      <c r="F896" s="74"/>
      <c r="G896" s="72"/>
      <c r="H896" s="74"/>
      <c r="I896" s="72"/>
      <c r="J896" s="73"/>
      <c r="K896" s="73"/>
      <c r="L896" s="75" t="str">
        <f aca="false">IF(OR($A896&lt;&gt;"",$E896&lt;&gt;""),N($F896)+N($H896),"")</f>
        <v/>
      </c>
      <c r="M896" s="76" t="str">
        <f aca="false">IF(OR($O896="",$O896="Cancelled",$O896="Amount missing"),"",IF($O896="Realised",0,$E896-N($F896)-N($H896)))</f>
        <v/>
      </c>
      <c r="N896" s="77" t="str">
        <f aca="false">IF(OR($M896="",FX=""),"",$M896*FX)</f>
        <v/>
      </c>
      <c r="O896" s="78" t="str">
        <f aca="false">IF(NOT(OR($A896&lt;&gt;"",$E896&lt;&gt;"")),"",IF($J896="Cancelled","Cancelled",IF($E896="","Amount missing",IF(OR($J896="Settled",$E896-N($F896)-N($H896)&lt;=0.005),"Realised",IF(N($H896)&gt;0,"Part realised",IF(N($F896)&gt;0,"Advance received","On hand"))))))</f>
        <v/>
      </c>
      <c r="P896" s="79" t="str">
        <f aca="false">IF(AND($V896=1,ISNUMBER($B896)),AsAt-$B896,"")</f>
        <v/>
      </c>
      <c r="Q896" s="78" t="str">
        <f aca="false">IF($V896&lt;&gt;1,"",IF($P896="","No invoice date",IF($P896&lt;=30,"0–30 days",IF($P896&lt;=60,"31–60 days",IF($P896&lt;=90,"61–90 days","Over 90 days")))))</f>
        <v/>
      </c>
      <c r="R896" s="80" t="str">
        <f aca="false">IF($V896=1,ROW(),"")</f>
        <v/>
      </c>
      <c r="S896" s="80" t="str">
        <f aca="false">IF(OR($A896&lt;&gt;"",$E896&lt;&gt;""),IF(TRIM($D896)="","Buyer not noted",TRIM($D896)),"")</f>
        <v/>
      </c>
      <c r="T896" s="80" t="n">
        <f aca="false">IF(AND($V896=1,ISNUMBER($M896)),$M896,0)</f>
        <v>0</v>
      </c>
      <c r="U896" s="80" t="str">
        <f aca="false">IF($V896=1,IF(COUNTIFS($S$7:$S896,$S896,$V$7:$V896,1)=1,SUMIFS($T$7:$T$1006,$S$7:$S$1006,$S896)-ROW()/1000000000,""),"")</f>
        <v/>
      </c>
      <c r="V896" s="80" t="n">
        <f aca="false">IF(OR($O896="On hand",$O896="Advance received",$O896="Part realised",$O896="Amount missing"),1,0)</f>
        <v>0</v>
      </c>
      <c r="W896" s="80" t="str">
        <f aca="false">IF(AND($V896=1,N($F896)&gt;0),ROW(),"")</f>
        <v/>
      </c>
      <c r="X896" s="80" t="n">
        <f aca="false">IF(AND(OR($A896&lt;&gt;"",$E896&lt;&gt;""),$O896&lt;&gt;"Cancelled",ISNUMBER($E896),N($F896)+N($H896)&gt;$E896+0.005),1,0)</f>
        <v>0</v>
      </c>
      <c r="Y896" s="80" t="n">
        <f aca="false">IF(AND(OR($A896&lt;&gt;"",$E896&lt;&gt;""),OR($A896="",$E896="")),1,0)</f>
        <v>0</v>
      </c>
      <c r="Z896" s="80" t="n">
        <f aca="false">IF(AND($A896&lt;&gt;"",COUNTIF($A$7:$A$1006,$A896)&gt;1),1,0)</f>
        <v>0</v>
      </c>
    </row>
    <row r="897" customFormat="false" ht="15" hidden="false" customHeight="false" outlineLevel="0" collapsed="false">
      <c r="A897" s="71"/>
      <c r="B897" s="72"/>
      <c r="C897" s="73"/>
      <c r="D897" s="73"/>
      <c r="E897" s="74"/>
      <c r="F897" s="74"/>
      <c r="G897" s="72"/>
      <c r="H897" s="74"/>
      <c r="I897" s="72"/>
      <c r="J897" s="73"/>
      <c r="K897" s="73"/>
      <c r="L897" s="75" t="str">
        <f aca="false">IF(OR($A897&lt;&gt;"",$E897&lt;&gt;""),N($F897)+N($H897),"")</f>
        <v/>
      </c>
      <c r="M897" s="76" t="str">
        <f aca="false">IF(OR($O897="",$O897="Cancelled",$O897="Amount missing"),"",IF($O897="Realised",0,$E897-N($F897)-N($H897)))</f>
        <v/>
      </c>
      <c r="N897" s="77" t="str">
        <f aca="false">IF(OR($M897="",FX=""),"",$M897*FX)</f>
        <v/>
      </c>
      <c r="O897" s="78" t="str">
        <f aca="false">IF(NOT(OR($A897&lt;&gt;"",$E897&lt;&gt;"")),"",IF($J897="Cancelled","Cancelled",IF($E897="","Amount missing",IF(OR($J897="Settled",$E897-N($F897)-N($H897)&lt;=0.005),"Realised",IF(N($H897)&gt;0,"Part realised",IF(N($F897)&gt;0,"Advance received","On hand"))))))</f>
        <v/>
      </c>
      <c r="P897" s="79" t="str">
        <f aca="false">IF(AND($V897=1,ISNUMBER($B897)),AsAt-$B897,"")</f>
        <v/>
      </c>
      <c r="Q897" s="78" t="str">
        <f aca="false">IF($V897&lt;&gt;1,"",IF($P897="","No invoice date",IF($P897&lt;=30,"0–30 days",IF($P897&lt;=60,"31–60 days",IF($P897&lt;=90,"61–90 days","Over 90 days")))))</f>
        <v/>
      </c>
      <c r="R897" s="80" t="str">
        <f aca="false">IF($V897=1,ROW(),"")</f>
        <v/>
      </c>
      <c r="S897" s="80" t="str">
        <f aca="false">IF(OR($A897&lt;&gt;"",$E897&lt;&gt;""),IF(TRIM($D897)="","Buyer not noted",TRIM($D897)),"")</f>
        <v/>
      </c>
      <c r="T897" s="80" t="n">
        <f aca="false">IF(AND($V897=1,ISNUMBER($M897)),$M897,0)</f>
        <v>0</v>
      </c>
      <c r="U897" s="80" t="str">
        <f aca="false">IF($V897=1,IF(COUNTIFS($S$7:$S897,$S897,$V$7:$V897,1)=1,SUMIFS($T$7:$T$1006,$S$7:$S$1006,$S897)-ROW()/1000000000,""),"")</f>
        <v/>
      </c>
      <c r="V897" s="80" t="n">
        <f aca="false">IF(OR($O897="On hand",$O897="Advance received",$O897="Part realised",$O897="Amount missing"),1,0)</f>
        <v>0</v>
      </c>
      <c r="W897" s="80" t="str">
        <f aca="false">IF(AND($V897=1,N($F897)&gt;0),ROW(),"")</f>
        <v/>
      </c>
      <c r="X897" s="80" t="n">
        <f aca="false">IF(AND(OR($A897&lt;&gt;"",$E897&lt;&gt;""),$O897&lt;&gt;"Cancelled",ISNUMBER($E897),N($F897)+N($H897)&gt;$E897+0.005),1,0)</f>
        <v>0</v>
      </c>
      <c r="Y897" s="80" t="n">
        <f aca="false">IF(AND(OR($A897&lt;&gt;"",$E897&lt;&gt;""),OR($A897="",$E897="")),1,0)</f>
        <v>0</v>
      </c>
      <c r="Z897" s="80" t="n">
        <f aca="false">IF(AND($A897&lt;&gt;"",COUNTIF($A$7:$A$1006,$A897)&gt;1),1,0)</f>
        <v>0</v>
      </c>
    </row>
    <row r="898" customFormat="false" ht="15" hidden="false" customHeight="false" outlineLevel="0" collapsed="false">
      <c r="A898" s="71"/>
      <c r="B898" s="72"/>
      <c r="C898" s="73"/>
      <c r="D898" s="73"/>
      <c r="E898" s="74"/>
      <c r="F898" s="74"/>
      <c r="G898" s="72"/>
      <c r="H898" s="74"/>
      <c r="I898" s="72"/>
      <c r="J898" s="73"/>
      <c r="K898" s="73"/>
      <c r="L898" s="75" t="str">
        <f aca="false">IF(OR($A898&lt;&gt;"",$E898&lt;&gt;""),N($F898)+N($H898),"")</f>
        <v/>
      </c>
      <c r="M898" s="76" t="str">
        <f aca="false">IF(OR($O898="",$O898="Cancelled",$O898="Amount missing"),"",IF($O898="Realised",0,$E898-N($F898)-N($H898)))</f>
        <v/>
      </c>
      <c r="N898" s="77" t="str">
        <f aca="false">IF(OR($M898="",FX=""),"",$M898*FX)</f>
        <v/>
      </c>
      <c r="O898" s="78" t="str">
        <f aca="false">IF(NOT(OR($A898&lt;&gt;"",$E898&lt;&gt;"")),"",IF($J898="Cancelled","Cancelled",IF($E898="","Amount missing",IF(OR($J898="Settled",$E898-N($F898)-N($H898)&lt;=0.005),"Realised",IF(N($H898)&gt;0,"Part realised",IF(N($F898)&gt;0,"Advance received","On hand"))))))</f>
        <v/>
      </c>
      <c r="P898" s="79" t="str">
        <f aca="false">IF(AND($V898=1,ISNUMBER($B898)),AsAt-$B898,"")</f>
        <v/>
      </c>
      <c r="Q898" s="78" t="str">
        <f aca="false">IF($V898&lt;&gt;1,"",IF($P898="","No invoice date",IF($P898&lt;=30,"0–30 days",IF($P898&lt;=60,"31–60 days",IF($P898&lt;=90,"61–90 days","Over 90 days")))))</f>
        <v/>
      </c>
      <c r="R898" s="80" t="str">
        <f aca="false">IF($V898=1,ROW(),"")</f>
        <v/>
      </c>
      <c r="S898" s="80" t="str">
        <f aca="false">IF(OR($A898&lt;&gt;"",$E898&lt;&gt;""),IF(TRIM($D898)="","Buyer not noted",TRIM($D898)),"")</f>
        <v/>
      </c>
      <c r="T898" s="80" t="n">
        <f aca="false">IF(AND($V898=1,ISNUMBER($M898)),$M898,0)</f>
        <v>0</v>
      </c>
      <c r="U898" s="80" t="str">
        <f aca="false">IF($V898=1,IF(COUNTIFS($S$7:$S898,$S898,$V$7:$V898,1)=1,SUMIFS($T$7:$T$1006,$S$7:$S$1006,$S898)-ROW()/1000000000,""),"")</f>
        <v/>
      </c>
      <c r="V898" s="80" t="n">
        <f aca="false">IF(OR($O898="On hand",$O898="Advance received",$O898="Part realised",$O898="Amount missing"),1,0)</f>
        <v>0</v>
      </c>
      <c r="W898" s="80" t="str">
        <f aca="false">IF(AND($V898=1,N($F898)&gt;0),ROW(),"")</f>
        <v/>
      </c>
      <c r="X898" s="80" t="n">
        <f aca="false">IF(AND(OR($A898&lt;&gt;"",$E898&lt;&gt;""),$O898&lt;&gt;"Cancelled",ISNUMBER($E898),N($F898)+N($H898)&gt;$E898+0.005),1,0)</f>
        <v>0</v>
      </c>
      <c r="Y898" s="80" t="n">
        <f aca="false">IF(AND(OR($A898&lt;&gt;"",$E898&lt;&gt;""),OR($A898="",$E898="")),1,0)</f>
        <v>0</v>
      </c>
      <c r="Z898" s="80" t="n">
        <f aca="false">IF(AND($A898&lt;&gt;"",COUNTIF($A$7:$A$1006,$A898)&gt;1),1,0)</f>
        <v>0</v>
      </c>
    </row>
    <row r="899" customFormat="false" ht="15" hidden="false" customHeight="false" outlineLevel="0" collapsed="false">
      <c r="A899" s="71"/>
      <c r="B899" s="72"/>
      <c r="C899" s="73"/>
      <c r="D899" s="73"/>
      <c r="E899" s="74"/>
      <c r="F899" s="74"/>
      <c r="G899" s="72"/>
      <c r="H899" s="74"/>
      <c r="I899" s="72"/>
      <c r="J899" s="73"/>
      <c r="K899" s="73"/>
      <c r="L899" s="75" t="str">
        <f aca="false">IF(OR($A899&lt;&gt;"",$E899&lt;&gt;""),N($F899)+N($H899),"")</f>
        <v/>
      </c>
      <c r="M899" s="76" t="str">
        <f aca="false">IF(OR($O899="",$O899="Cancelled",$O899="Amount missing"),"",IF($O899="Realised",0,$E899-N($F899)-N($H899)))</f>
        <v/>
      </c>
      <c r="N899" s="77" t="str">
        <f aca="false">IF(OR($M899="",FX=""),"",$M899*FX)</f>
        <v/>
      </c>
      <c r="O899" s="78" t="str">
        <f aca="false">IF(NOT(OR($A899&lt;&gt;"",$E899&lt;&gt;"")),"",IF($J899="Cancelled","Cancelled",IF($E899="","Amount missing",IF(OR($J899="Settled",$E899-N($F899)-N($H899)&lt;=0.005),"Realised",IF(N($H899)&gt;0,"Part realised",IF(N($F899)&gt;0,"Advance received","On hand"))))))</f>
        <v/>
      </c>
      <c r="P899" s="79" t="str">
        <f aca="false">IF(AND($V899=1,ISNUMBER($B899)),AsAt-$B899,"")</f>
        <v/>
      </c>
      <c r="Q899" s="78" t="str">
        <f aca="false">IF($V899&lt;&gt;1,"",IF($P899="","No invoice date",IF($P899&lt;=30,"0–30 days",IF($P899&lt;=60,"31–60 days",IF($P899&lt;=90,"61–90 days","Over 90 days")))))</f>
        <v/>
      </c>
      <c r="R899" s="80" t="str">
        <f aca="false">IF($V899=1,ROW(),"")</f>
        <v/>
      </c>
      <c r="S899" s="80" t="str">
        <f aca="false">IF(OR($A899&lt;&gt;"",$E899&lt;&gt;""),IF(TRIM($D899)="","Buyer not noted",TRIM($D899)),"")</f>
        <v/>
      </c>
      <c r="T899" s="80" t="n">
        <f aca="false">IF(AND($V899=1,ISNUMBER($M899)),$M899,0)</f>
        <v>0</v>
      </c>
      <c r="U899" s="80" t="str">
        <f aca="false">IF($V899=1,IF(COUNTIFS($S$7:$S899,$S899,$V$7:$V899,1)=1,SUMIFS($T$7:$T$1006,$S$7:$S$1006,$S899)-ROW()/1000000000,""),"")</f>
        <v/>
      </c>
      <c r="V899" s="80" t="n">
        <f aca="false">IF(OR($O899="On hand",$O899="Advance received",$O899="Part realised",$O899="Amount missing"),1,0)</f>
        <v>0</v>
      </c>
      <c r="W899" s="80" t="str">
        <f aca="false">IF(AND($V899=1,N($F899)&gt;0),ROW(),"")</f>
        <v/>
      </c>
      <c r="X899" s="80" t="n">
        <f aca="false">IF(AND(OR($A899&lt;&gt;"",$E899&lt;&gt;""),$O899&lt;&gt;"Cancelled",ISNUMBER($E899),N($F899)+N($H899)&gt;$E899+0.005),1,0)</f>
        <v>0</v>
      </c>
      <c r="Y899" s="80" t="n">
        <f aca="false">IF(AND(OR($A899&lt;&gt;"",$E899&lt;&gt;""),OR($A899="",$E899="")),1,0)</f>
        <v>0</v>
      </c>
      <c r="Z899" s="80" t="n">
        <f aca="false">IF(AND($A899&lt;&gt;"",COUNTIF($A$7:$A$1006,$A899)&gt;1),1,0)</f>
        <v>0</v>
      </c>
    </row>
    <row r="900" customFormat="false" ht="15" hidden="false" customHeight="false" outlineLevel="0" collapsed="false">
      <c r="A900" s="71"/>
      <c r="B900" s="72"/>
      <c r="C900" s="73"/>
      <c r="D900" s="73"/>
      <c r="E900" s="74"/>
      <c r="F900" s="74"/>
      <c r="G900" s="72"/>
      <c r="H900" s="74"/>
      <c r="I900" s="72"/>
      <c r="J900" s="73"/>
      <c r="K900" s="73"/>
      <c r="L900" s="75" t="str">
        <f aca="false">IF(OR($A900&lt;&gt;"",$E900&lt;&gt;""),N($F900)+N($H900),"")</f>
        <v/>
      </c>
      <c r="M900" s="76" t="str">
        <f aca="false">IF(OR($O900="",$O900="Cancelled",$O900="Amount missing"),"",IF($O900="Realised",0,$E900-N($F900)-N($H900)))</f>
        <v/>
      </c>
      <c r="N900" s="77" t="str">
        <f aca="false">IF(OR($M900="",FX=""),"",$M900*FX)</f>
        <v/>
      </c>
      <c r="O900" s="78" t="str">
        <f aca="false">IF(NOT(OR($A900&lt;&gt;"",$E900&lt;&gt;"")),"",IF($J900="Cancelled","Cancelled",IF($E900="","Amount missing",IF(OR($J900="Settled",$E900-N($F900)-N($H900)&lt;=0.005),"Realised",IF(N($H900)&gt;0,"Part realised",IF(N($F900)&gt;0,"Advance received","On hand"))))))</f>
        <v/>
      </c>
      <c r="P900" s="79" t="str">
        <f aca="false">IF(AND($V900=1,ISNUMBER($B900)),AsAt-$B900,"")</f>
        <v/>
      </c>
      <c r="Q900" s="78" t="str">
        <f aca="false">IF($V900&lt;&gt;1,"",IF($P900="","No invoice date",IF($P900&lt;=30,"0–30 days",IF($P900&lt;=60,"31–60 days",IF($P900&lt;=90,"61–90 days","Over 90 days")))))</f>
        <v/>
      </c>
      <c r="R900" s="80" t="str">
        <f aca="false">IF($V900=1,ROW(),"")</f>
        <v/>
      </c>
      <c r="S900" s="80" t="str">
        <f aca="false">IF(OR($A900&lt;&gt;"",$E900&lt;&gt;""),IF(TRIM($D900)="","Buyer not noted",TRIM($D900)),"")</f>
        <v/>
      </c>
      <c r="T900" s="80" t="n">
        <f aca="false">IF(AND($V900=1,ISNUMBER($M900)),$M900,0)</f>
        <v>0</v>
      </c>
      <c r="U900" s="80" t="str">
        <f aca="false">IF($V900=1,IF(COUNTIFS($S$7:$S900,$S900,$V$7:$V900,1)=1,SUMIFS($T$7:$T$1006,$S$7:$S$1006,$S900)-ROW()/1000000000,""),"")</f>
        <v/>
      </c>
      <c r="V900" s="80" t="n">
        <f aca="false">IF(OR($O900="On hand",$O900="Advance received",$O900="Part realised",$O900="Amount missing"),1,0)</f>
        <v>0</v>
      </c>
      <c r="W900" s="80" t="str">
        <f aca="false">IF(AND($V900=1,N($F900)&gt;0),ROW(),"")</f>
        <v/>
      </c>
      <c r="X900" s="80" t="n">
        <f aca="false">IF(AND(OR($A900&lt;&gt;"",$E900&lt;&gt;""),$O900&lt;&gt;"Cancelled",ISNUMBER($E900),N($F900)+N($H900)&gt;$E900+0.005),1,0)</f>
        <v>0</v>
      </c>
      <c r="Y900" s="80" t="n">
        <f aca="false">IF(AND(OR($A900&lt;&gt;"",$E900&lt;&gt;""),OR($A900="",$E900="")),1,0)</f>
        <v>0</v>
      </c>
      <c r="Z900" s="80" t="n">
        <f aca="false">IF(AND($A900&lt;&gt;"",COUNTIF($A$7:$A$1006,$A900)&gt;1),1,0)</f>
        <v>0</v>
      </c>
    </row>
    <row r="901" customFormat="false" ht="15" hidden="false" customHeight="false" outlineLevel="0" collapsed="false">
      <c r="A901" s="71"/>
      <c r="B901" s="72"/>
      <c r="C901" s="73"/>
      <c r="D901" s="73"/>
      <c r="E901" s="74"/>
      <c r="F901" s="74"/>
      <c r="G901" s="72"/>
      <c r="H901" s="74"/>
      <c r="I901" s="72"/>
      <c r="J901" s="73"/>
      <c r="K901" s="73"/>
      <c r="L901" s="75" t="str">
        <f aca="false">IF(OR($A901&lt;&gt;"",$E901&lt;&gt;""),N($F901)+N($H901),"")</f>
        <v/>
      </c>
      <c r="M901" s="76" t="str">
        <f aca="false">IF(OR($O901="",$O901="Cancelled",$O901="Amount missing"),"",IF($O901="Realised",0,$E901-N($F901)-N($H901)))</f>
        <v/>
      </c>
      <c r="N901" s="77" t="str">
        <f aca="false">IF(OR($M901="",FX=""),"",$M901*FX)</f>
        <v/>
      </c>
      <c r="O901" s="78" t="str">
        <f aca="false">IF(NOT(OR($A901&lt;&gt;"",$E901&lt;&gt;"")),"",IF($J901="Cancelled","Cancelled",IF($E901="","Amount missing",IF(OR($J901="Settled",$E901-N($F901)-N($H901)&lt;=0.005),"Realised",IF(N($H901)&gt;0,"Part realised",IF(N($F901)&gt;0,"Advance received","On hand"))))))</f>
        <v/>
      </c>
      <c r="P901" s="79" t="str">
        <f aca="false">IF(AND($V901=1,ISNUMBER($B901)),AsAt-$B901,"")</f>
        <v/>
      </c>
      <c r="Q901" s="78" t="str">
        <f aca="false">IF($V901&lt;&gt;1,"",IF($P901="","No invoice date",IF($P901&lt;=30,"0–30 days",IF($P901&lt;=60,"31–60 days",IF($P901&lt;=90,"61–90 days","Over 90 days")))))</f>
        <v/>
      </c>
      <c r="R901" s="80" t="str">
        <f aca="false">IF($V901=1,ROW(),"")</f>
        <v/>
      </c>
      <c r="S901" s="80" t="str">
        <f aca="false">IF(OR($A901&lt;&gt;"",$E901&lt;&gt;""),IF(TRIM($D901)="","Buyer not noted",TRIM($D901)),"")</f>
        <v/>
      </c>
      <c r="T901" s="80" t="n">
        <f aca="false">IF(AND($V901=1,ISNUMBER($M901)),$M901,0)</f>
        <v>0</v>
      </c>
      <c r="U901" s="80" t="str">
        <f aca="false">IF($V901=1,IF(COUNTIFS($S$7:$S901,$S901,$V$7:$V901,1)=1,SUMIFS($T$7:$T$1006,$S$7:$S$1006,$S901)-ROW()/1000000000,""),"")</f>
        <v/>
      </c>
      <c r="V901" s="80" t="n">
        <f aca="false">IF(OR($O901="On hand",$O901="Advance received",$O901="Part realised",$O901="Amount missing"),1,0)</f>
        <v>0</v>
      </c>
      <c r="W901" s="80" t="str">
        <f aca="false">IF(AND($V901=1,N($F901)&gt;0),ROW(),"")</f>
        <v/>
      </c>
      <c r="X901" s="80" t="n">
        <f aca="false">IF(AND(OR($A901&lt;&gt;"",$E901&lt;&gt;""),$O901&lt;&gt;"Cancelled",ISNUMBER($E901),N($F901)+N($H901)&gt;$E901+0.005),1,0)</f>
        <v>0</v>
      </c>
      <c r="Y901" s="80" t="n">
        <f aca="false">IF(AND(OR($A901&lt;&gt;"",$E901&lt;&gt;""),OR($A901="",$E901="")),1,0)</f>
        <v>0</v>
      </c>
      <c r="Z901" s="80" t="n">
        <f aca="false">IF(AND($A901&lt;&gt;"",COUNTIF($A$7:$A$1006,$A901)&gt;1),1,0)</f>
        <v>0</v>
      </c>
    </row>
    <row r="902" customFormat="false" ht="15" hidden="false" customHeight="false" outlineLevel="0" collapsed="false">
      <c r="A902" s="71"/>
      <c r="B902" s="72"/>
      <c r="C902" s="73"/>
      <c r="D902" s="73"/>
      <c r="E902" s="74"/>
      <c r="F902" s="74"/>
      <c r="G902" s="72"/>
      <c r="H902" s="74"/>
      <c r="I902" s="72"/>
      <c r="J902" s="73"/>
      <c r="K902" s="73"/>
      <c r="L902" s="75" t="str">
        <f aca="false">IF(OR($A902&lt;&gt;"",$E902&lt;&gt;""),N($F902)+N($H902),"")</f>
        <v/>
      </c>
      <c r="M902" s="76" t="str">
        <f aca="false">IF(OR($O902="",$O902="Cancelled",$O902="Amount missing"),"",IF($O902="Realised",0,$E902-N($F902)-N($H902)))</f>
        <v/>
      </c>
      <c r="N902" s="77" t="str">
        <f aca="false">IF(OR($M902="",FX=""),"",$M902*FX)</f>
        <v/>
      </c>
      <c r="O902" s="78" t="str">
        <f aca="false">IF(NOT(OR($A902&lt;&gt;"",$E902&lt;&gt;"")),"",IF($J902="Cancelled","Cancelled",IF($E902="","Amount missing",IF(OR($J902="Settled",$E902-N($F902)-N($H902)&lt;=0.005),"Realised",IF(N($H902)&gt;0,"Part realised",IF(N($F902)&gt;0,"Advance received","On hand"))))))</f>
        <v/>
      </c>
      <c r="P902" s="79" t="str">
        <f aca="false">IF(AND($V902=1,ISNUMBER($B902)),AsAt-$B902,"")</f>
        <v/>
      </c>
      <c r="Q902" s="78" t="str">
        <f aca="false">IF($V902&lt;&gt;1,"",IF($P902="","No invoice date",IF($P902&lt;=30,"0–30 days",IF($P902&lt;=60,"31–60 days",IF($P902&lt;=90,"61–90 days","Over 90 days")))))</f>
        <v/>
      </c>
      <c r="R902" s="80" t="str">
        <f aca="false">IF($V902=1,ROW(),"")</f>
        <v/>
      </c>
      <c r="S902" s="80" t="str">
        <f aca="false">IF(OR($A902&lt;&gt;"",$E902&lt;&gt;""),IF(TRIM($D902)="","Buyer not noted",TRIM($D902)),"")</f>
        <v/>
      </c>
      <c r="T902" s="80" t="n">
        <f aca="false">IF(AND($V902=1,ISNUMBER($M902)),$M902,0)</f>
        <v>0</v>
      </c>
      <c r="U902" s="80" t="str">
        <f aca="false">IF($V902=1,IF(COUNTIFS($S$7:$S902,$S902,$V$7:$V902,1)=1,SUMIFS($T$7:$T$1006,$S$7:$S$1006,$S902)-ROW()/1000000000,""),"")</f>
        <v/>
      </c>
      <c r="V902" s="80" t="n">
        <f aca="false">IF(OR($O902="On hand",$O902="Advance received",$O902="Part realised",$O902="Amount missing"),1,0)</f>
        <v>0</v>
      </c>
      <c r="W902" s="80" t="str">
        <f aca="false">IF(AND($V902=1,N($F902)&gt;0),ROW(),"")</f>
        <v/>
      </c>
      <c r="X902" s="80" t="n">
        <f aca="false">IF(AND(OR($A902&lt;&gt;"",$E902&lt;&gt;""),$O902&lt;&gt;"Cancelled",ISNUMBER($E902),N($F902)+N($H902)&gt;$E902+0.005),1,0)</f>
        <v>0</v>
      </c>
      <c r="Y902" s="80" t="n">
        <f aca="false">IF(AND(OR($A902&lt;&gt;"",$E902&lt;&gt;""),OR($A902="",$E902="")),1,0)</f>
        <v>0</v>
      </c>
      <c r="Z902" s="80" t="n">
        <f aca="false">IF(AND($A902&lt;&gt;"",COUNTIF($A$7:$A$1006,$A902)&gt;1),1,0)</f>
        <v>0</v>
      </c>
    </row>
    <row r="903" customFormat="false" ht="15" hidden="false" customHeight="false" outlineLevel="0" collapsed="false">
      <c r="A903" s="71"/>
      <c r="B903" s="72"/>
      <c r="C903" s="73"/>
      <c r="D903" s="73"/>
      <c r="E903" s="74"/>
      <c r="F903" s="74"/>
      <c r="G903" s="72"/>
      <c r="H903" s="74"/>
      <c r="I903" s="72"/>
      <c r="J903" s="73"/>
      <c r="K903" s="73"/>
      <c r="L903" s="75" t="str">
        <f aca="false">IF(OR($A903&lt;&gt;"",$E903&lt;&gt;""),N($F903)+N($H903),"")</f>
        <v/>
      </c>
      <c r="M903" s="76" t="str">
        <f aca="false">IF(OR($O903="",$O903="Cancelled",$O903="Amount missing"),"",IF($O903="Realised",0,$E903-N($F903)-N($H903)))</f>
        <v/>
      </c>
      <c r="N903" s="77" t="str">
        <f aca="false">IF(OR($M903="",FX=""),"",$M903*FX)</f>
        <v/>
      </c>
      <c r="O903" s="78" t="str">
        <f aca="false">IF(NOT(OR($A903&lt;&gt;"",$E903&lt;&gt;"")),"",IF($J903="Cancelled","Cancelled",IF($E903="","Amount missing",IF(OR($J903="Settled",$E903-N($F903)-N($H903)&lt;=0.005),"Realised",IF(N($H903)&gt;0,"Part realised",IF(N($F903)&gt;0,"Advance received","On hand"))))))</f>
        <v/>
      </c>
      <c r="P903" s="79" t="str">
        <f aca="false">IF(AND($V903=1,ISNUMBER($B903)),AsAt-$B903,"")</f>
        <v/>
      </c>
      <c r="Q903" s="78" t="str">
        <f aca="false">IF($V903&lt;&gt;1,"",IF($P903="","No invoice date",IF($P903&lt;=30,"0–30 days",IF($P903&lt;=60,"31–60 days",IF($P903&lt;=90,"61–90 days","Over 90 days")))))</f>
        <v/>
      </c>
      <c r="R903" s="80" t="str">
        <f aca="false">IF($V903=1,ROW(),"")</f>
        <v/>
      </c>
      <c r="S903" s="80" t="str">
        <f aca="false">IF(OR($A903&lt;&gt;"",$E903&lt;&gt;""),IF(TRIM($D903)="","Buyer not noted",TRIM($D903)),"")</f>
        <v/>
      </c>
      <c r="T903" s="80" t="n">
        <f aca="false">IF(AND($V903=1,ISNUMBER($M903)),$M903,0)</f>
        <v>0</v>
      </c>
      <c r="U903" s="80" t="str">
        <f aca="false">IF($V903=1,IF(COUNTIFS($S$7:$S903,$S903,$V$7:$V903,1)=1,SUMIFS($T$7:$T$1006,$S$7:$S$1006,$S903)-ROW()/1000000000,""),"")</f>
        <v/>
      </c>
      <c r="V903" s="80" t="n">
        <f aca="false">IF(OR($O903="On hand",$O903="Advance received",$O903="Part realised",$O903="Amount missing"),1,0)</f>
        <v>0</v>
      </c>
      <c r="W903" s="80" t="str">
        <f aca="false">IF(AND($V903=1,N($F903)&gt;0),ROW(),"")</f>
        <v/>
      </c>
      <c r="X903" s="80" t="n">
        <f aca="false">IF(AND(OR($A903&lt;&gt;"",$E903&lt;&gt;""),$O903&lt;&gt;"Cancelled",ISNUMBER($E903),N($F903)+N($H903)&gt;$E903+0.005),1,0)</f>
        <v>0</v>
      </c>
      <c r="Y903" s="80" t="n">
        <f aca="false">IF(AND(OR($A903&lt;&gt;"",$E903&lt;&gt;""),OR($A903="",$E903="")),1,0)</f>
        <v>0</v>
      </c>
      <c r="Z903" s="80" t="n">
        <f aca="false">IF(AND($A903&lt;&gt;"",COUNTIF($A$7:$A$1006,$A903)&gt;1),1,0)</f>
        <v>0</v>
      </c>
    </row>
    <row r="904" customFormat="false" ht="15" hidden="false" customHeight="false" outlineLevel="0" collapsed="false">
      <c r="A904" s="71"/>
      <c r="B904" s="72"/>
      <c r="C904" s="73"/>
      <c r="D904" s="73"/>
      <c r="E904" s="74"/>
      <c r="F904" s="74"/>
      <c r="G904" s="72"/>
      <c r="H904" s="74"/>
      <c r="I904" s="72"/>
      <c r="J904" s="73"/>
      <c r="K904" s="73"/>
      <c r="L904" s="75" t="str">
        <f aca="false">IF(OR($A904&lt;&gt;"",$E904&lt;&gt;""),N($F904)+N($H904),"")</f>
        <v/>
      </c>
      <c r="M904" s="76" t="str">
        <f aca="false">IF(OR($O904="",$O904="Cancelled",$O904="Amount missing"),"",IF($O904="Realised",0,$E904-N($F904)-N($H904)))</f>
        <v/>
      </c>
      <c r="N904" s="77" t="str">
        <f aca="false">IF(OR($M904="",FX=""),"",$M904*FX)</f>
        <v/>
      </c>
      <c r="O904" s="78" t="str">
        <f aca="false">IF(NOT(OR($A904&lt;&gt;"",$E904&lt;&gt;"")),"",IF($J904="Cancelled","Cancelled",IF($E904="","Amount missing",IF(OR($J904="Settled",$E904-N($F904)-N($H904)&lt;=0.005),"Realised",IF(N($H904)&gt;0,"Part realised",IF(N($F904)&gt;0,"Advance received","On hand"))))))</f>
        <v/>
      </c>
      <c r="P904" s="79" t="str">
        <f aca="false">IF(AND($V904=1,ISNUMBER($B904)),AsAt-$B904,"")</f>
        <v/>
      </c>
      <c r="Q904" s="78" t="str">
        <f aca="false">IF($V904&lt;&gt;1,"",IF($P904="","No invoice date",IF($P904&lt;=30,"0–30 days",IF($P904&lt;=60,"31–60 days",IF($P904&lt;=90,"61–90 days","Over 90 days")))))</f>
        <v/>
      </c>
      <c r="R904" s="80" t="str">
        <f aca="false">IF($V904=1,ROW(),"")</f>
        <v/>
      </c>
      <c r="S904" s="80" t="str">
        <f aca="false">IF(OR($A904&lt;&gt;"",$E904&lt;&gt;""),IF(TRIM($D904)="","Buyer not noted",TRIM($D904)),"")</f>
        <v/>
      </c>
      <c r="T904" s="80" t="n">
        <f aca="false">IF(AND($V904=1,ISNUMBER($M904)),$M904,0)</f>
        <v>0</v>
      </c>
      <c r="U904" s="80" t="str">
        <f aca="false">IF($V904=1,IF(COUNTIFS($S$7:$S904,$S904,$V$7:$V904,1)=1,SUMIFS($T$7:$T$1006,$S$7:$S$1006,$S904)-ROW()/1000000000,""),"")</f>
        <v/>
      </c>
      <c r="V904" s="80" t="n">
        <f aca="false">IF(OR($O904="On hand",$O904="Advance received",$O904="Part realised",$O904="Amount missing"),1,0)</f>
        <v>0</v>
      </c>
      <c r="W904" s="80" t="str">
        <f aca="false">IF(AND($V904=1,N($F904)&gt;0),ROW(),"")</f>
        <v/>
      </c>
      <c r="X904" s="80" t="n">
        <f aca="false">IF(AND(OR($A904&lt;&gt;"",$E904&lt;&gt;""),$O904&lt;&gt;"Cancelled",ISNUMBER($E904),N($F904)+N($H904)&gt;$E904+0.005),1,0)</f>
        <v>0</v>
      </c>
      <c r="Y904" s="80" t="n">
        <f aca="false">IF(AND(OR($A904&lt;&gt;"",$E904&lt;&gt;""),OR($A904="",$E904="")),1,0)</f>
        <v>0</v>
      </c>
      <c r="Z904" s="80" t="n">
        <f aca="false">IF(AND($A904&lt;&gt;"",COUNTIF($A$7:$A$1006,$A904)&gt;1),1,0)</f>
        <v>0</v>
      </c>
    </row>
    <row r="905" customFormat="false" ht="15" hidden="false" customHeight="false" outlineLevel="0" collapsed="false">
      <c r="A905" s="71"/>
      <c r="B905" s="72"/>
      <c r="C905" s="73"/>
      <c r="D905" s="73"/>
      <c r="E905" s="74"/>
      <c r="F905" s="74"/>
      <c r="G905" s="72"/>
      <c r="H905" s="74"/>
      <c r="I905" s="72"/>
      <c r="J905" s="73"/>
      <c r="K905" s="73"/>
      <c r="L905" s="75" t="str">
        <f aca="false">IF(OR($A905&lt;&gt;"",$E905&lt;&gt;""),N($F905)+N($H905),"")</f>
        <v/>
      </c>
      <c r="M905" s="76" t="str">
        <f aca="false">IF(OR($O905="",$O905="Cancelled",$O905="Amount missing"),"",IF($O905="Realised",0,$E905-N($F905)-N($H905)))</f>
        <v/>
      </c>
      <c r="N905" s="77" t="str">
        <f aca="false">IF(OR($M905="",FX=""),"",$M905*FX)</f>
        <v/>
      </c>
      <c r="O905" s="78" t="str">
        <f aca="false">IF(NOT(OR($A905&lt;&gt;"",$E905&lt;&gt;"")),"",IF($J905="Cancelled","Cancelled",IF($E905="","Amount missing",IF(OR($J905="Settled",$E905-N($F905)-N($H905)&lt;=0.005),"Realised",IF(N($H905)&gt;0,"Part realised",IF(N($F905)&gt;0,"Advance received","On hand"))))))</f>
        <v/>
      </c>
      <c r="P905" s="79" t="str">
        <f aca="false">IF(AND($V905=1,ISNUMBER($B905)),AsAt-$B905,"")</f>
        <v/>
      </c>
      <c r="Q905" s="78" t="str">
        <f aca="false">IF($V905&lt;&gt;1,"",IF($P905="","No invoice date",IF($P905&lt;=30,"0–30 days",IF($P905&lt;=60,"31–60 days",IF($P905&lt;=90,"61–90 days","Over 90 days")))))</f>
        <v/>
      </c>
      <c r="R905" s="80" t="str">
        <f aca="false">IF($V905=1,ROW(),"")</f>
        <v/>
      </c>
      <c r="S905" s="80" t="str">
        <f aca="false">IF(OR($A905&lt;&gt;"",$E905&lt;&gt;""),IF(TRIM($D905)="","Buyer not noted",TRIM($D905)),"")</f>
        <v/>
      </c>
      <c r="T905" s="80" t="n">
        <f aca="false">IF(AND($V905=1,ISNUMBER($M905)),$M905,0)</f>
        <v>0</v>
      </c>
      <c r="U905" s="80" t="str">
        <f aca="false">IF($V905=1,IF(COUNTIFS($S$7:$S905,$S905,$V$7:$V905,1)=1,SUMIFS($T$7:$T$1006,$S$7:$S$1006,$S905)-ROW()/1000000000,""),"")</f>
        <v/>
      </c>
      <c r="V905" s="80" t="n">
        <f aca="false">IF(OR($O905="On hand",$O905="Advance received",$O905="Part realised",$O905="Amount missing"),1,0)</f>
        <v>0</v>
      </c>
      <c r="W905" s="80" t="str">
        <f aca="false">IF(AND($V905=1,N($F905)&gt;0),ROW(),"")</f>
        <v/>
      </c>
      <c r="X905" s="80" t="n">
        <f aca="false">IF(AND(OR($A905&lt;&gt;"",$E905&lt;&gt;""),$O905&lt;&gt;"Cancelled",ISNUMBER($E905),N($F905)+N($H905)&gt;$E905+0.005),1,0)</f>
        <v>0</v>
      </c>
      <c r="Y905" s="80" t="n">
        <f aca="false">IF(AND(OR($A905&lt;&gt;"",$E905&lt;&gt;""),OR($A905="",$E905="")),1,0)</f>
        <v>0</v>
      </c>
      <c r="Z905" s="80" t="n">
        <f aca="false">IF(AND($A905&lt;&gt;"",COUNTIF($A$7:$A$1006,$A905)&gt;1),1,0)</f>
        <v>0</v>
      </c>
    </row>
    <row r="906" customFormat="false" ht="15" hidden="false" customHeight="false" outlineLevel="0" collapsed="false">
      <c r="A906" s="71"/>
      <c r="B906" s="72"/>
      <c r="C906" s="73"/>
      <c r="D906" s="73"/>
      <c r="E906" s="74"/>
      <c r="F906" s="74"/>
      <c r="G906" s="72"/>
      <c r="H906" s="74"/>
      <c r="I906" s="72"/>
      <c r="J906" s="73"/>
      <c r="K906" s="73"/>
      <c r="L906" s="75" t="str">
        <f aca="false">IF(OR($A906&lt;&gt;"",$E906&lt;&gt;""),N($F906)+N($H906),"")</f>
        <v/>
      </c>
      <c r="M906" s="76" t="str">
        <f aca="false">IF(OR($O906="",$O906="Cancelled",$O906="Amount missing"),"",IF($O906="Realised",0,$E906-N($F906)-N($H906)))</f>
        <v/>
      </c>
      <c r="N906" s="77" t="str">
        <f aca="false">IF(OR($M906="",FX=""),"",$M906*FX)</f>
        <v/>
      </c>
      <c r="O906" s="78" t="str">
        <f aca="false">IF(NOT(OR($A906&lt;&gt;"",$E906&lt;&gt;"")),"",IF($J906="Cancelled","Cancelled",IF($E906="","Amount missing",IF(OR($J906="Settled",$E906-N($F906)-N($H906)&lt;=0.005),"Realised",IF(N($H906)&gt;0,"Part realised",IF(N($F906)&gt;0,"Advance received","On hand"))))))</f>
        <v/>
      </c>
      <c r="P906" s="79" t="str">
        <f aca="false">IF(AND($V906=1,ISNUMBER($B906)),AsAt-$B906,"")</f>
        <v/>
      </c>
      <c r="Q906" s="78" t="str">
        <f aca="false">IF($V906&lt;&gt;1,"",IF($P906="","No invoice date",IF($P906&lt;=30,"0–30 days",IF($P906&lt;=60,"31–60 days",IF($P906&lt;=90,"61–90 days","Over 90 days")))))</f>
        <v/>
      </c>
      <c r="R906" s="80" t="str">
        <f aca="false">IF($V906=1,ROW(),"")</f>
        <v/>
      </c>
      <c r="S906" s="80" t="str">
        <f aca="false">IF(OR($A906&lt;&gt;"",$E906&lt;&gt;""),IF(TRIM($D906)="","Buyer not noted",TRIM($D906)),"")</f>
        <v/>
      </c>
      <c r="T906" s="80" t="n">
        <f aca="false">IF(AND($V906=1,ISNUMBER($M906)),$M906,0)</f>
        <v>0</v>
      </c>
      <c r="U906" s="80" t="str">
        <f aca="false">IF($V906=1,IF(COUNTIFS($S$7:$S906,$S906,$V$7:$V906,1)=1,SUMIFS($T$7:$T$1006,$S$7:$S$1006,$S906)-ROW()/1000000000,""),"")</f>
        <v/>
      </c>
      <c r="V906" s="80" t="n">
        <f aca="false">IF(OR($O906="On hand",$O906="Advance received",$O906="Part realised",$O906="Amount missing"),1,0)</f>
        <v>0</v>
      </c>
      <c r="W906" s="80" t="str">
        <f aca="false">IF(AND($V906=1,N($F906)&gt;0),ROW(),"")</f>
        <v/>
      </c>
      <c r="X906" s="80" t="n">
        <f aca="false">IF(AND(OR($A906&lt;&gt;"",$E906&lt;&gt;""),$O906&lt;&gt;"Cancelled",ISNUMBER($E906),N($F906)+N($H906)&gt;$E906+0.005),1,0)</f>
        <v>0</v>
      </c>
      <c r="Y906" s="80" t="n">
        <f aca="false">IF(AND(OR($A906&lt;&gt;"",$E906&lt;&gt;""),OR($A906="",$E906="")),1,0)</f>
        <v>0</v>
      </c>
      <c r="Z906" s="80" t="n">
        <f aca="false">IF(AND($A906&lt;&gt;"",COUNTIF($A$7:$A$1006,$A906)&gt;1),1,0)</f>
        <v>0</v>
      </c>
    </row>
    <row r="907" customFormat="false" ht="15" hidden="false" customHeight="false" outlineLevel="0" collapsed="false">
      <c r="A907" s="71"/>
      <c r="B907" s="72"/>
      <c r="C907" s="73"/>
      <c r="D907" s="73"/>
      <c r="E907" s="74"/>
      <c r="F907" s="74"/>
      <c r="G907" s="72"/>
      <c r="H907" s="74"/>
      <c r="I907" s="72"/>
      <c r="J907" s="73"/>
      <c r="K907" s="73"/>
      <c r="L907" s="75" t="str">
        <f aca="false">IF(OR($A907&lt;&gt;"",$E907&lt;&gt;""),N($F907)+N($H907),"")</f>
        <v/>
      </c>
      <c r="M907" s="76" t="str">
        <f aca="false">IF(OR($O907="",$O907="Cancelled",$O907="Amount missing"),"",IF($O907="Realised",0,$E907-N($F907)-N($H907)))</f>
        <v/>
      </c>
      <c r="N907" s="77" t="str">
        <f aca="false">IF(OR($M907="",FX=""),"",$M907*FX)</f>
        <v/>
      </c>
      <c r="O907" s="78" t="str">
        <f aca="false">IF(NOT(OR($A907&lt;&gt;"",$E907&lt;&gt;"")),"",IF($J907="Cancelled","Cancelled",IF($E907="","Amount missing",IF(OR($J907="Settled",$E907-N($F907)-N($H907)&lt;=0.005),"Realised",IF(N($H907)&gt;0,"Part realised",IF(N($F907)&gt;0,"Advance received","On hand"))))))</f>
        <v/>
      </c>
      <c r="P907" s="79" t="str">
        <f aca="false">IF(AND($V907=1,ISNUMBER($B907)),AsAt-$B907,"")</f>
        <v/>
      </c>
      <c r="Q907" s="78" t="str">
        <f aca="false">IF($V907&lt;&gt;1,"",IF($P907="","No invoice date",IF($P907&lt;=30,"0–30 days",IF($P907&lt;=60,"31–60 days",IF($P907&lt;=90,"61–90 days","Over 90 days")))))</f>
        <v/>
      </c>
      <c r="R907" s="80" t="str">
        <f aca="false">IF($V907=1,ROW(),"")</f>
        <v/>
      </c>
      <c r="S907" s="80" t="str">
        <f aca="false">IF(OR($A907&lt;&gt;"",$E907&lt;&gt;""),IF(TRIM($D907)="","Buyer not noted",TRIM($D907)),"")</f>
        <v/>
      </c>
      <c r="T907" s="80" t="n">
        <f aca="false">IF(AND($V907=1,ISNUMBER($M907)),$M907,0)</f>
        <v>0</v>
      </c>
      <c r="U907" s="80" t="str">
        <f aca="false">IF($V907=1,IF(COUNTIFS($S$7:$S907,$S907,$V$7:$V907,1)=1,SUMIFS($T$7:$T$1006,$S$7:$S$1006,$S907)-ROW()/1000000000,""),"")</f>
        <v/>
      </c>
      <c r="V907" s="80" t="n">
        <f aca="false">IF(OR($O907="On hand",$O907="Advance received",$O907="Part realised",$O907="Amount missing"),1,0)</f>
        <v>0</v>
      </c>
      <c r="W907" s="80" t="str">
        <f aca="false">IF(AND($V907=1,N($F907)&gt;0),ROW(),"")</f>
        <v/>
      </c>
      <c r="X907" s="80" t="n">
        <f aca="false">IF(AND(OR($A907&lt;&gt;"",$E907&lt;&gt;""),$O907&lt;&gt;"Cancelled",ISNUMBER($E907),N($F907)+N($H907)&gt;$E907+0.005),1,0)</f>
        <v>0</v>
      </c>
      <c r="Y907" s="80" t="n">
        <f aca="false">IF(AND(OR($A907&lt;&gt;"",$E907&lt;&gt;""),OR($A907="",$E907="")),1,0)</f>
        <v>0</v>
      </c>
      <c r="Z907" s="80" t="n">
        <f aca="false">IF(AND($A907&lt;&gt;"",COUNTIF($A$7:$A$1006,$A907)&gt;1),1,0)</f>
        <v>0</v>
      </c>
    </row>
    <row r="908" customFormat="false" ht="15" hidden="false" customHeight="false" outlineLevel="0" collapsed="false">
      <c r="A908" s="71"/>
      <c r="B908" s="72"/>
      <c r="C908" s="73"/>
      <c r="D908" s="73"/>
      <c r="E908" s="74"/>
      <c r="F908" s="74"/>
      <c r="G908" s="72"/>
      <c r="H908" s="74"/>
      <c r="I908" s="72"/>
      <c r="J908" s="73"/>
      <c r="K908" s="73"/>
      <c r="L908" s="75" t="str">
        <f aca="false">IF(OR($A908&lt;&gt;"",$E908&lt;&gt;""),N($F908)+N($H908),"")</f>
        <v/>
      </c>
      <c r="M908" s="76" t="str">
        <f aca="false">IF(OR($O908="",$O908="Cancelled",$O908="Amount missing"),"",IF($O908="Realised",0,$E908-N($F908)-N($H908)))</f>
        <v/>
      </c>
      <c r="N908" s="77" t="str">
        <f aca="false">IF(OR($M908="",FX=""),"",$M908*FX)</f>
        <v/>
      </c>
      <c r="O908" s="78" t="str">
        <f aca="false">IF(NOT(OR($A908&lt;&gt;"",$E908&lt;&gt;"")),"",IF($J908="Cancelled","Cancelled",IF($E908="","Amount missing",IF(OR($J908="Settled",$E908-N($F908)-N($H908)&lt;=0.005),"Realised",IF(N($H908)&gt;0,"Part realised",IF(N($F908)&gt;0,"Advance received","On hand"))))))</f>
        <v/>
      </c>
      <c r="P908" s="79" t="str">
        <f aca="false">IF(AND($V908=1,ISNUMBER($B908)),AsAt-$B908,"")</f>
        <v/>
      </c>
      <c r="Q908" s="78" t="str">
        <f aca="false">IF($V908&lt;&gt;1,"",IF($P908="","No invoice date",IF($P908&lt;=30,"0–30 days",IF($P908&lt;=60,"31–60 days",IF($P908&lt;=90,"61–90 days","Over 90 days")))))</f>
        <v/>
      </c>
      <c r="R908" s="80" t="str">
        <f aca="false">IF($V908=1,ROW(),"")</f>
        <v/>
      </c>
      <c r="S908" s="80" t="str">
        <f aca="false">IF(OR($A908&lt;&gt;"",$E908&lt;&gt;""),IF(TRIM($D908)="","Buyer not noted",TRIM($D908)),"")</f>
        <v/>
      </c>
      <c r="T908" s="80" t="n">
        <f aca="false">IF(AND($V908=1,ISNUMBER($M908)),$M908,0)</f>
        <v>0</v>
      </c>
      <c r="U908" s="80" t="str">
        <f aca="false">IF($V908=1,IF(COUNTIFS($S$7:$S908,$S908,$V$7:$V908,1)=1,SUMIFS($T$7:$T$1006,$S$7:$S$1006,$S908)-ROW()/1000000000,""),"")</f>
        <v/>
      </c>
      <c r="V908" s="80" t="n">
        <f aca="false">IF(OR($O908="On hand",$O908="Advance received",$O908="Part realised",$O908="Amount missing"),1,0)</f>
        <v>0</v>
      </c>
      <c r="W908" s="80" t="str">
        <f aca="false">IF(AND($V908=1,N($F908)&gt;0),ROW(),"")</f>
        <v/>
      </c>
      <c r="X908" s="80" t="n">
        <f aca="false">IF(AND(OR($A908&lt;&gt;"",$E908&lt;&gt;""),$O908&lt;&gt;"Cancelled",ISNUMBER($E908),N($F908)+N($H908)&gt;$E908+0.005),1,0)</f>
        <v>0</v>
      </c>
      <c r="Y908" s="80" t="n">
        <f aca="false">IF(AND(OR($A908&lt;&gt;"",$E908&lt;&gt;""),OR($A908="",$E908="")),1,0)</f>
        <v>0</v>
      </c>
      <c r="Z908" s="80" t="n">
        <f aca="false">IF(AND($A908&lt;&gt;"",COUNTIF($A$7:$A$1006,$A908)&gt;1),1,0)</f>
        <v>0</v>
      </c>
    </row>
    <row r="909" customFormat="false" ht="15" hidden="false" customHeight="false" outlineLevel="0" collapsed="false">
      <c r="A909" s="71"/>
      <c r="B909" s="72"/>
      <c r="C909" s="73"/>
      <c r="D909" s="73"/>
      <c r="E909" s="74"/>
      <c r="F909" s="74"/>
      <c r="G909" s="72"/>
      <c r="H909" s="74"/>
      <c r="I909" s="72"/>
      <c r="J909" s="73"/>
      <c r="K909" s="73"/>
      <c r="L909" s="75" t="str">
        <f aca="false">IF(OR($A909&lt;&gt;"",$E909&lt;&gt;""),N($F909)+N($H909),"")</f>
        <v/>
      </c>
      <c r="M909" s="76" t="str">
        <f aca="false">IF(OR($O909="",$O909="Cancelled",$O909="Amount missing"),"",IF($O909="Realised",0,$E909-N($F909)-N($H909)))</f>
        <v/>
      </c>
      <c r="N909" s="77" t="str">
        <f aca="false">IF(OR($M909="",FX=""),"",$M909*FX)</f>
        <v/>
      </c>
      <c r="O909" s="78" t="str">
        <f aca="false">IF(NOT(OR($A909&lt;&gt;"",$E909&lt;&gt;"")),"",IF($J909="Cancelled","Cancelled",IF($E909="","Amount missing",IF(OR($J909="Settled",$E909-N($F909)-N($H909)&lt;=0.005),"Realised",IF(N($H909)&gt;0,"Part realised",IF(N($F909)&gt;0,"Advance received","On hand"))))))</f>
        <v/>
      </c>
      <c r="P909" s="79" t="str">
        <f aca="false">IF(AND($V909=1,ISNUMBER($B909)),AsAt-$B909,"")</f>
        <v/>
      </c>
      <c r="Q909" s="78" t="str">
        <f aca="false">IF($V909&lt;&gt;1,"",IF($P909="","No invoice date",IF($P909&lt;=30,"0–30 days",IF($P909&lt;=60,"31–60 days",IF($P909&lt;=90,"61–90 days","Over 90 days")))))</f>
        <v/>
      </c>
      <c r="R909" s="80" t="str">
        <f aca="false">IF($V909=1,ROW(),"")</f>
        <v/>
      </c>
      <c r="S909" s="80" t="str">
        <f aca="false">IF(OR($A909&lt;&gt;"",$E909&lt;&gt;""),IF(TRIM($D909)="","Buyer not noted",TRIM($D909)),"")</f>
        <v/>
      </c>
      <c r="T909" s="80" t="n">
        <f aca="false">IF(AND($V909=1,ISNUMBER($M909)),$M909,0)</f>
        <v>0</v>
      </c>
      <c r="U909" s="80" t="str">
        <f aca="false">IF($V909=1,IF(COUNTIFS($S$7:$S909,$S909,$V$7:$V909,1)=1,SUMIFS($T$7:$T$1006,$S$7:$S$1006,$S909)-ROW()/1000000000,""),"")</f>
        <v/>
      </c>
      <c r="V909" s="80" t="n">
        <f aca="false">IF(OR($O909="On hand",$O909="Advance received",$O909="Part realised",$O909="Amount missing"),1,0)</f>
        <v>0</v>
      </c>
      <c r="W909" s="80" t="str">
        <f aca="false">IF(AND($V909=1,N($F909)&gt;0),ROW(),"")</f>
        <v/>
      </c>
      <c r="X909" s="80" t="n">
        <f aca="false">IF(AND(OR($A909&lt;&gt;"",$E909&lt;&gt;""),$O909&lt;&gt;"Cancelled",ISNUMBER($E909),N($F909)+N($H909)&gt;$E909+0.005),1,0)</f>
        <v>0</v>
      </c>
      <c r="Y909" s="80" t="n">
        <f aca="false">IF(AND(OR($A909&lt;&gt;"",$E909&lt;&gt;""),OR($A909="",$E909="")),1,0)</f>
        <v>0</v>
      </c>
      <c r="Z909" s="80" t="n">
        <f aca="false">IF(AND($A909&lt;&gt;"",COUNTIF($A$7:$A$1006,$A909)&gt;1),1,0)</f>
        <v>0</v>
      </c>
    </row>
    <row r="910" customFormat="false" ht="15" hidden="false" customHeight="false" outlineLevel="0" collapsed="false">
      <c r="A910" s="71"/>
      <c r="B910" s="72"/>
      <c r="C910" s="73"/>
      <c r="D910" s="73"/>
      <c r="E910" s="74"/>
      <c r="F910" s="74"/>
      <c r="G910" s="72"/>
      <c r="H910" s="74"/>
      <c r="I910" s="72"/>
      <c r="J910" s="73"/>
      <c r="K910" s="73"/>
      <c r="L910" s="75" t="str">
        <f aca="false">IF(OR($A910&lt;&gt;"",$E910&lt;&gt;""),N($F910)+N($H910),"")</f>
        <v/>
      </c>
      <c r="M910" s="76" t="str">
        <f aca="false">IF(OR($O910="",$O910="Cancelled",$O910="Amount missing"),"",IF($O910="Realised",0,$E910-N($F910)-N($H910)))</f>
        <v/>
      </c>
      <c r="N910" s="77" t="str">
        <f aca="false">IF(OR($M910="",FX=""),"",$M910*FX)</f>
        <v/>
      </c>
      <c r="O910" s="78" t="str">
        <f aca="false">IF(NOT(OR($A910&lt;&gt;"",$E910&lt;&gt;"")),"",IF($J910="Cancelled","Cancelled",IF($E910="","Amount missing",IF(OR($J910="Settled",$E910-N($F910)-N($H910)&lt;=0.005),"Realised",IF(N($H910)&gt;0,"Part realised",IF(N($F910)&gt;0,"Advance received","On hand"))))))</f>
        <v/>
      </c>
      <c r="P910" s="79" t="str">
        <f aca="false">IF(AND($V910=1,ISNUMBER($B910)),AsAt-$B910,"")</f>
        <v/>
      </c>
      <c r="Q910" s="78" t="str">
        <f aca="false">IF($V910&lt;&gt;1,"",IF($P910="","No invoice date",IF($P910&lt;=30,"0–30 days",IF($P910&lt;=60,"31–60 days",IF($P910&lt;=90,"61–90 days","Over 90 days")))))</f>
        <v/>
      </c>
      <c r="R910" s="80" t="str">
        <f aca="false">IF($V910=1,ROW(),"")</f>
        <v/>
      </c>
      <c r="S910" s="80" t="str">
        <f aca="false">IF(OR($A910&lt;&gt;"",$E910&lt;&gt;""),IF(TRIM($D910)="","Buyer not noted",TRIM($D910)),"")</f>
        <v/>
      </c>
      <c r="T910" s="80" t="n">
        <f aca="false">IF(AND($V910=1,ISNUMBER($M910)),$M910,0)</f>
        <v>0</v>
      </c>
      <c r="U910" s="80" t="str">
        <f aca="false">IF($V910=1,IF(COUNTIFS($S$7:$S910,$S910,$V$7:$V910,1)=1,SUMIFS($T$7:$T$1006,$S$7:$S$1006,$S910)-ROW()/1000000000,""),"")</f>
        <v/>
      </c>
      <c r="V910" s="80" t="n">
        <f aca="false">IF(OR($O910="On hand",$O910="Advance received",$O910="Part realised",$O910="Amount missing"),1,0)</f>
        <v>0</v>
      </c>
      <c r="W910" s="80" t="str">
        <f aca="false">IF(AND($V910=1,N($F910)&gt;0),ROW(),"")</f>
        <v/>
      </c>
      <c r="X910" s="80" t="n">
        <f aca="false">IF(AND(OR($A910&lt;&gt;"",$E910&lt;&gt;""),$O910&lt;&gt;"Cancelled",ISNUMBER($E910),N($F910)+N($H910)&gt;$E910+0.005),1,0)</f>
        <v>0</v>
      </c>
      <c r="Y910" s="80" t="n">
        <f aca="false">IF(AND(OR($A910&lt;&gt;"",$E910&lt;&gt;""),OR($A910="",$E910="")),1,0)</f>
        <v>0</v>
      </c>
      <c r="Z910" s="80" t="n">
        <f aca="false">IF(AND($A910&lt;&gt;"",COUNTIF($A$7:$A$1006,$A910)&gt;1),1,0)</f>
        <v>0</v>
      </c>
    </row>
    <row r="911" customFormat="false" ht="15" hidden="false" customHeight="false" outlineLevel="0" collapsed="false">
      <c r="A911" s="71"/>
      <c r="B911" s="72"/>
      <c r="C911" s="73"/>
      <c r="D911" s="73"/>
      <c r="E911" s="74"/>
      <c r="F911" s="74"/>
      <c r="G911" s="72"/>
      <c r="H911" s="74"/>
      <c r="I911" s="72"/>
      <c r="J911" s="73"/>
      <c r="K911" s="73"/>
      <c r="L911" s="75" t="str">
        <f aca="false">IF(OR($A911&lt;&gt;"",$E911&lt;&gt;""),N($F911)+N($H911),"")</f>
        <v/>
      </c>
      <c r="M911" s="76" t="str">
        <f aca="false">IF(OR($O911="",$O911="Cancelled",$O911="Amount missing"),"",IF($O911="Realised",0,$E911-N($F911)-N($H911)))</f>
        <v/>
      </c>
      <c r="N911" s="77" t="str">
        <f aca="false">IF(OR($M911="",FX=""),"",$M911*FX)</f>
        <v/>
      </c>
      <c r="O911" s="78" t="str">
        <f aca="false">IF(NOT(OR($A911&lt;&gt;"",$E911&lt;&gt;"")),"",IF($J911="Cancelled","Cancelled",IF($E911="","Amount missing",IF(OR($J911="Settled",$E911-N($F911)-N($H911)&lt;=0.005),"Realised",IF(N($H911)&gt;0,"Part realised",IF(N($F911)&gt;0,"Advance received","On hand"))))))</f>
        <v/>
      </c>
      <c r="P911" s="79" t="str">
        <f aca="false">IF(AND($V911=1,ISNUMBER($B911)),AsAt-$B911,"")</f>
        <v/>
      </c>
      <c r="Q911" s="78" t="str">
        <f aca="false">IF($V911&lt;&gt;1,"",IF($P911="","No invoice date",IF($P911&lt;=30,"0–30 days",IF($P911&lt;=60,"31–60 days",IF($P911&lt;=90,"61–90 days","Over 90 days")))))</f>
        <v/>
      </c>
      <c r="R911" s="80" t="str">
        <f aca="false">IF($V911=1,ROW(),"")</f>
        <v/>
      </c>
      <c r="S911" s="80" t="str">
        <f aca="false">IF(OR($A911&lt;&gt;"",$E911&lt;&gt;""),IF(TRIM($D911)="","Buyer not noted",TRIM($D911)),"")</f>
        <v/>
      </c>
      <c r="T911" s="80" t="n">
        <f aca="false">IF(AND($V911=1,ISNUMBER($M911)),$M911,0)</f>
        <v>0</v>
      </c>
      <c r="U911" s="80" t="str">
        <f aca="false">IF($V911=1,IF(COUNTIFS($S$7:$S911,$S911,$V$7:$V911,1)=1,SUMIFS($T$7:$T$1006,$S$7:$S$1006,$S911)-ROW()/1000000000,""),"")</f>
        <v/>
      </c>
      <c r="V911" s="80" t="n">
        <f aca="false">IF(OR($O911="On hand",$O911="Advance received",$O911="Part realised",$O911="Amount missing"),1,0)</f>
        <v>0</v>
      </c>
      <c r="W911" s="80" t="str">
        <f aca="false">IF(AND($V911=1,N($F911)&gt;0),ROW(),"")</f>
        <v/>
      </c>
      <c r="X911" s="80" t="n">
        <f aca="false">IF(AND(OR($A911&lt;&gt;"",$E911&lt;&gt;""),$O911&lt;&gt;"Cancelled",ISNUMBER($E911),N($F911)+N($H911)&gt;$E911+0.005),1,0)</f>
        <v>0</v>
      </c>
      <c r="Y911" s="80" t="n">
        <f aca="false">IF(AND(OR($A911&lt;&gt;"",$E911&lt;&gt;""),OR($A911="",$E911="")),1,0)</f>
        <v>0</v>
      </c>
      <c r="Z911" s="80" t="n">
        <f aca="false">IF(AND($A911&lt;&gt;"",COUNTIF($A$7:$A$1006,$A911)&gt;1),1,0)</f>
        <v>0</v>
      </c>
    </row>
    <row r="912" customFormat="false" ht="15" hidden="false" customHeight="false" outlineLevel="0" collapsed="false">
      <c r="A912" s="71"/>
      <c r="B912" s="72"/>
      <c r="C912" s="73"/>
      <c r="D912" s="73"/>
      <c r="E912" s="74"/>
      <c r="F912" s="74"/>
      <c r="G912" s="72"/>
      <c r="H912" s="74"/>
      <c r="I912" s="72"/>
      <c r="J912" s="73"/>
      <c r="K912" s="73"/>
      <c r="L912" s="75" t="str">
        <f aca="false">IF(OR($A912&lt;&gt;"",$E912&lt;&gt;""),N($F912)+N($H912),"")</f>
        <v/>
      </c>
      <c r="M912" s="76" t="str">
        <f aca="false">IF(OR($O912="",$O912="Cancelled",$O912="Amount missing"),"",IF($O912="Realised",0,$E912-N($F912)-N($H912)))</f>
        <v/>
      </c>
      <c r="N912" s="77" t="str">
        <f aca="false">IF(OR($M912="",FX=""),"",$M912*FX)</f>
        <v/>
      </c>
      <c r="O912" s="78" t="str">
        <f aca="false">IF(NOT(OR($A912&lt;&gt;"",$E912&lt;&gt;"")),"",IF($J912="Cancelled","Cancelled",IF($E912="","Amount missing",IF(OR($J912="Settled",$E912-N($F912)-N($H912)&lt;=0.005),"Realised",IF(N($H912)&gt;0,"Part realised",IF(N($F912)&gt;0,"Advance received","On hand"))))))</f>
        <v/>
      </c>
      <c r="P912" s="79" t="str">
        <f aca="false">IF(AND($V912=1,ISNUMBER($B912)),AsAt-$B912,"")</f>
        <v/>
      </c>
      <c r="Q912" s="78" t="str">
        <f aca="false">IF($V912&lt;&gt;1,"",IF($P912="","No invoice date",IF($P912&lt;=30,"0–30 days",IF($P912&lt;=60,"31–60 days",IF($P912&lt;=90,"61–90 days","Over 90 days")))))</f>
        <v/>
      </c>
      <c r="R912" s="80" t="str">
        <f aca="false">IF($V912=1,ROW(),"")</f>
        <v/>
      </c>
      <c r="S912" s="80" t="str">
        <f aca="false">IF(OR($A912&lt;&gt;"",$E912&lt;&gt;""),IF(TRIM($D912)="","Buyer not noted",TRIM($D912)),"")</f>
        <v/>
      </c>
      <c r="T912" s="80" t="n">
        <f aca="false">IF(AND($V912=1,ISNUMBER($M912)),$M912,0)</f>
        <v>0</v>
      </c>
      <c r="U912" s="80" t="str">
        <f aca="false">IF($V912=1,IF(COUNTIFS($S$7:$S912,$S912,$V$7:$V912,1)=1,SUMIFS($T$7:$T$1006,$S$7:$S$1006,$S912)-ROW()/1000000000,""),"")</f>
        <v/>
      </c>
      <c r="V912" s="80" t="n">
        <f aca="false">IF(OR($O912="On hand",$O912="Advance received",$O912="Part realised",$O912="Amount missing"),1,0)</f>
        <v>0</v>
      </c>
      <c r="W912" s="80" t="str">
        <f aca="false">IF(AND($V912=1,N($F912)&gt;0),ROW(),"")</f>
        <v/>
      </c>
      <c r="X912" s="80" t="n">
        <f aca="false">IF(AND(OR($A912&lt;&gt;"",$E912&lt;&gt;""),$O912&lt;&gt;"Cancelled",ISNUMBER($E912),N($F912)+N($H912)&gt;$E912+0.005),1,0)</f>
        <v>0</v>
      </c>
      <c r="Y912" s="80" t="n">
        <f aca="false">IF(AND(OR($A912&lt;&gt;"",$E912&lt;&gt;""),OR($A912="",$E912="")),1,0)</f>
        <v>0</v>
      </c>
      <c r="Z912" s="80" t="n">
        <f aca="false">IF(AND($A912&lt;&gt;"",COUNTIF($A$7:$A$1006,$A912)&gt;1),1,0)</f>
        <v>0</v>
      </c>
    </row>
    <row r="913" customFormat="false" ht="15" hidden="false" customHeight="false" outlineLevel="0" collapsed="false">
      <c r="A913" s="71"/>
      <c r="B913" s="72"/>
      <c r="C913" s="73"/>
      <c r="D913" s="73"/>
      <c r="E913" s="74"/>
      <c r="F913" s="74"/>
      <c r="G913" s="72"/>
      <c r="H913" s="74"/>
      <c r="I913" s="72"/>
      <c r="J913" s="73"/>
      <c r="K913" s="73"/>
      <c r="L913" s="75" t="str">
        <f aca="false">IF(OR($A913&lt;&gt;"",$E913&lt;&gt;""),N($F913)+N($H913),"")</f>
        <v/>
      </c>
      <c r="M913" s="76" t="str">
        <f aca="false">IF(OR($O913="",$O913="Cancelled",$O913="Amount missing"),"",IF($O913="Realised",0,$E913-N($F913)-N($H913)))</f>
        <v/>
      </c>
      <c r="N913" s="77" t="str">
        <f aca="false">IF(OR($M913="",FX=""),"",$M913*FX)</f>
        <v/>
      </c>
      <c r="O913" s="78" t="str">
        <f aca="false">IF(NOT(OR($A913&lt;&gt;"",$E913&lt;&gt;"")),"",IF($J913="Cancelled","Cancelled",IF($E913="","Amount missing",IF(OR($J913="Settled",$E913-N($F913)-N($H913)&lt;=0.005),"Realised",IF(N($H913)&gt;0,"Part realised",IF(N($F913)&gt;0,"Advance received","On hand"))))))</f>
        <v/>
      </c>
      <c r="P913" s="79" t="str">
        <f aca="false">IF(AND($V913=1,ISNUMBER($B913)),AsAt-$B913,"")</f>
        <v/>
      </c>
      <c r="Q913" s="78" t="str">
        <f aca="false">IF($V913&lt;&gt;1,"",IF($P913="","No invoice date",IF($P913&lt;=30,"0–30 days",IF($P913&lt;=60,"31–60 days",IF($P913&lt;=90,"61–90 days","Over 90 days")))))</f>
        <v/>
      </c>
      <c r="R913" s="80" t="str">
        <f aca="false">IF($V913=1,ROW(),"")</f>
        <v/>
      </c>
      <c r="S913" s="80" t="str">
        <f aca="false">IF(OR($A913&lt;&gt;"",$E913&lt;&gt;""),IF(TRIM($D913)="","Buyer not noted",TRIM($D913)),"")</f>
        <v/>
      </c>
      <c r="T913" s="80" t="n">
        <f aca="false">IF(AND($V913=1,ISNUMBER($M913)),$M913,0)</f>
        <v>0</v>
      </c>
      <c r="U913" s="80" t="str">
        <f aca="false">IF($V913=1,IF(COUNTIFS($S$7:$S913,$S913,$V$7:$V913,1)=1,SUMIFS($T$7:$T$1006,$S$7:$S$1006,$S913)-ROW()/1000000000,""),"")</f>
        <v/>
      </c>
      <c r="V913" s="80" t="n">
        <f aca="false">IF(OR($O913="On hand",$O913="Advance received",$O913="Part realised",$O913="Amount missing"),1,0)</f>
        <v>0</v>
      </c>
      <c r="W913" s="80" t="str">
        <f aca="false">IF(AND($V913=1,N($F913)&gt;0),ROW(),"")</f>
        <v/>
      </c>
      <c r="X913" s="80" t="n">
        <f aca="false">IF(AND(OR($A913&lt;&gt;"",$E913&lt;&gt;""),$O913&lt;&gt;"Cancelled",ISNUMBER($E913),N($F913)+N($H913)&gt;$E913+0.005),1,0)</f>
        <v>0</v>
      </c>
      <c r="Y913" s="80" t="n">
        <f aca="false">IF(AND(OR($A913&lt;&gt;"",$E913&lt;&gt;""),OR($A913="",$E913="")),1,0)</f>
        <v>0</v>
      </c>
      <c r="Z913" s="80" t="n">
        <f aca="false">IF(AND($A913&lt;&gt;"",COUNTIF($A$7:$A$1006,$A913)&gt;1),1,0)</f>
        <v>0</v>
      </c>
    </row>
    <row r="914" customFormat="false" ht="15" hidden="false" customHeight="false" outlineLevel="0" collapsed="false">
      <c r="A914" s="71"/>
      <c r="B914" s="72"/>
      <c r="C914" s="73"/>
      <c r="D914" s="73"/>
      <c r="E914" s="74"/>
      <c r="F914" s="74"/>
      <c r="G914" s="72"/>
      <c r="H914" s="74"/>
      <c r="I914" s="72"/>
      <c r="J914" s="73"/>
      <c r="K914" s="73"/>
      <c r="L914" s="75" t="str">
        <f aca="false">IF(OR($A914&lt;&gt;"",$E914&lt;&gt;""),N($F914)+N($H914),"")</f>
        <v/>
      </c>
      <c r="M914" s="76" t="str">
        <f aca="false">IF(OR($O914="",$O914="Cancelled",$O914="Amount missing"),"",IF($O914="Realised",0,$E914-N($F914)-N($H914)))</f>
        <v/>
      </c>
      <c r="N914" s="77" t="str">
        <f aca="false">IF(OR($M914="",FX=""),"",$M914*FX)</f>
        <v/>
      </c>
      <c r="O914" s="78" t="str">
        <f aca="false">IF(NOT(OR($A914&lt;&gt;"",$E914&lt;&gt;"")),"",IF($J914="Cancelled","Cancelled",IF($E914="","Amount missing",IF(OR($J914="Settled",$E914-N($F914)-N($H914)&lt;=0.005),"Realised",IF(N($H914)&gt;0,"Part realised",IF(N($F914)&gt;0,"Advance received","On hand"))))))</f>
        <v/>
      </c>
      <c r="P914" s="79" t="str">
        <f aca="false">IF(AND($V914=1,ISNUMBER($B914)),AsAt-$B914,"")</f>
        <v/>
      </c>
      <c r="Q914" s="78" t="str">
        <f aca="false">IF($V914&lt;&gt;1,"",IF($P914="","No invoice date",IF($P914&lt;=30,"0–30 days",IF($P914&lt;=60,"31–60 days",IF($P914&lt;=90,"61–90 days","Over 90 days")))))</f>
        <v/>
      </c>
      <c r="R914" s="80" t="str">
        <f aca="false">IF($V914=1,ROW(),"")</f>
        <v/>
      </c>
      <c r="S914" s="80" t="str">
        <f aca="false">IF(OR($A914&lt;&gt;"",$E914&lt;&gt;""),IF(TRIM($D914)="","Buyer not noted",TRIM($D914)),"")</f>
        <v/>
      </c>
      <c r="T914" s="80" t="n">
        <f aca="false">IF(AND($V914=1,ISNUMBER($M914)),$M914,0)</f>
        <v>0</v>
      </c>
      <c r="U914" s="80" t="str">
        <f aca="false">IF($V914=1,IF(COUNTIFS($S$7:$S914,$S914,$V$7:$V914,1)=1,SUMIFS($T$7:$T$1006,$S$7:$S$1006,$S914)-ROW()/1000000000,""),"")</f>
        <v/>
      </c>
      <c r="V914" s="80" t="n">
        <f aca="false">IF(OR($O914="On hand",$O914="Advance received",$O914="Part realised",$O914="Amount missing"),1,0)</f>
        <v>0</v>
      </c>
      <c r="W914" s="80" t="str">
        <f aca="false">IF(AND($V914=1,N($F914)&gt;0),ROW(),"")</f>
        <v/>
      </c>
      <c r="X914" s="80" t="n">
        <f aca="false">IF(AND(OR($A914&lt;&gt;"",$E914&lt;&gt;""),$O914&lt;&gt;"Cancelled",ISNUMBER($E914),N($F914)+N($H914)&gt;$E914+0.005),1,0)</f>
        <v>0</v>
      </c>
      <c r="Y914" s="80" t="n">
        <f aca="false">IF(AND(OR($A914&lt;&gt;"",$E914&lt;&gt;""),OR($A914="",$E914="")),1,0)</f>
        <v>0</v>
      </c>
      <c r="Z914" s="80" t="n">
        <f aca="false">IF(AND($A914&lt;&gt;"",COUNTIF($A$7:$A$1006,$A914)&gt;1),1,0)</f>
        <v>0</v>
      </c>
    </row>
    <row r="915" customFormat="false" ht="15" hidden="false" customHeight="false" outlineLevel="0" collapsed="false">
      <c r="A915" s="71"/>
      <c r="B915" s="72"/>
      <c r="C915" s="73"/>
      <c r="D915" s="73"/>
      <c r="E915" s="74"/>
      <c r="F915" s="74"/>
      <c r="G915" s="72"/>
      <c r="H915" s="74"/>
      <c r="I915" s="72"/>
      <c r="J915" s="73"/>
      <c r="K915" s="73"/>
      <c r="L915" s="75" t="str">
        <f aca="false">IF(OR($A915&lt;&gt;"",$E915&lt;&gt;""),N($F915)+N($H915),"")</f>
        <v/>
      </c>
      <c r="M915" s="76" t="str">
        <f aca="false">IF(OR($O915="",$O915="Cancelled",$O915="Amount missing"),"",IF($O915="Realised",0,$E915-N($F915)-N($H915)))</f>
        <v/>
      </c>
      <c r="N915" s="77" t="str">
        <f aca="false">IF(OR($M915="",FX=""),"",$M915*FX)</f>
        <v/>
      </c>
      <c r="O915" s="78" t="str">
        <f aca="false">IF(NOT(OR($A915&lt;&gt;"",$E915&lt;&gt;"")),"",IF($J915="Cancelled","Cancelled",IF($E915="","Amount missing",IF(OR($J915="Settled",$E915-N($F915)-N($H915)&lt;=0.005),"Realised",IF(N($H915)&gt;0,"Part realised",IF(N($F915)&gt;0,"Advance received","On hand"))))))</f>
        <v/>
      </c>
      <c r="P915" s="79" t="str">
        <f aca="false">IF(AND($V915=1,ISNUMBER($B915)),AsAt-$B915,"")</f>
        <v/>
      </c>
      <c r="Q915" s="78" t="str">
        <f aca="false">IF($V915&lt;&gt;1,"",IF($P915="","No invoice date",IF($P915&lt;=30,"0–30 days",IF($P915&lt;=60,"31–60 days",IF($P915&lt;=90,"61–90 days","Over 90 days")))))</f>
        <v/>
      </c>
      <c r="R915" s="80" t="str">
        <f aca="false">IF($V915=1,ROW(),"")</f>
        <v/>
      </c>
      <c r="S915" s="80" t="str">
        <f aca="false">IF(OR($A915&lt;&gt;"",$E915&lt;&gt;""),IF(TRIM($D915)="","Buyer not noted",TRIM($D915)),"")</f>
        <v/>
      </c>
      <c r="T915" s="80" t="n">
        <f aca="false">IF(AND($V915=1,ISNUMBER($M915)),$M915,0)</f>
        <v>0</v>
      </c>
      <c r="U915" s="80" t="str">
        <f aca="false">IF($V915=1,IF(COUNTIFS($S$7:$S915,$S915,$V$7:$V915,1)=1,SUMIFS($T$7:$T$1006,$S$7:$S$1006,$S915)-ROW()/1000000000,""),"")</f>
        <v/>
      </c>
      <c r="V915" s="80" t="n">
        <f aca="false">IF(OR($O915="On hand",$O915="Advance received",$O915="Part realised",$O915="Amount missing"),1,0)</f>
        <v>0</v>
      </c>
      <c r="W915" s="80" t="str">
        <f aca="false">IF(AND($V915=1,N($F915)&gt;0),ROW(),"")</f>
        <v/>
      </c>
      <c r="X915" s="80" t="n">
        <f aca="false">IF(AND(OR($A915&lt;&gt;"",$E915&lt;&gt;""),$O915&lt;&gt;"Cancelled",ISNUMBER($E915),N($F915)+N($H915)&gt;$E915+0.005),1,0)</f>
        <v>0</v>
      </c>
      <c r="Y915" s="80" t="n">
        <f aca="false">IF(AND(OR($A915&lt;&gt;"",$E915&lt;&gt;""),OR($A915="",$E915="")),1,0)</f>
        <v>0</v>
      </c>
      <c r="Z915" s="80" t="n">
        <f aca="false">IF(AND($A915&lt;&gt;"",COUNTIF($A$7:$A$1006,$A915)&gt;1),1,0)</f>
        <v>0</v>
      </c>
    </row>
    <row r="916" customFormat="false" ht="15" hidden="false" customHeight="false" outlineLevel="0" collapsed="false">
      <c r="A916" s="71"/>
      <c r="B916" s="72"/>
      <c r="C916" s="73"/>
      <c r="D916" s="73"/>
      <c r="E916" s="74"/>
      <c r="F916" s="74"/>
      <c r="G916" s="72"/>
      <c r="H916" s="74"/>
      <c r="I916" s="72"/>
      <c r="J916" s="73"/>
      <c r="K916" s="73"/>
      <c r="L916" s="75" t="str">
        <f aca="false">IF(OR($A916&lt;&gt;"",$E916&lt;&gt;""),N($F916)+N($H916),"")</f>
        <v/>
      </c>
      <c r="M916" s="76" t="str">
        <f aca="false">IF(OR($O916="",$O916="Cancelled",$O916="Amount missing"),"",IF($O916="Realised",0,$E916-N($F916)-N($H916)))</f>
        <v/>
      </c>
      <c r="N916" s="77" t="str">
        <f aca="false">IF(OR($M916="",FX=""),"",$M916*FX)</f>
        <v/>
      </c>
      <c r="O916" s="78" t="str">
        <f aca="false">IF(NOT(OR($A916&lt;&gt;"",$E916&lt;&gt;"")),"",IF($J916="Cancelled","Cancelled",IF($E916="","Amount missing",IF(OR($J916="Settled",$E916-N($F916)-N($H916)&lt;=0.005),"Realised",IF(N($H916)&gt;0,"Part realised",IF(N($F916)&gt;0,"Advance received","On hand"))))))</f>
        <v/>
      </c>
      <c r="P916" s="79" t="str">
        <f aca="false">IF(AND($V916=1,ISNUMBER($B916)),AsAt-$B916,"")</f>
        <v/>
      </c>
      <c r="Q916" s="78" t="str">
        <f aca="false">IF($V916&lt;&gt;1,"",IF($P916="","No invoice date",IF($P916&lt;=30,"0–30 days",IF($P916&lt;=60,"31–60 days",IF($P916&lt;=90,"61–90 days","Over 90 days")))))</f>
        <v/>
      </c>
      <c r="R916" s="80" t="str">
        <f aca="false">IF($V916=1,ROW(),"")</f>
        <v/>
      </c>
      <c r="S916" s="80" t="str">
        <f aca="false">IF(OR($A916&lt;&gt;"",$E916&lt;&gt;""),IF(TRIM($D916)="","Buyer not noted",TRIM($D916)),"")</f>
        <v/>
      </c>
      <c r="T916" s="80" t="n">
        <f aca="false">IF(AND($V916=1,ISNUMBER($M916)),$M916,0)</f>
        <v>0</v>
      </c>
      <c r="U916" s="80" t="str">
        <f aca="false">IF($V916=1,IF(COUNTIFS($S$7:$S916,$S916,$V$7:$V916,1)=1,SUMIFS($T$7:$T$1006,$S$7:$S$1006,$S916)-ROW()/1000000000,""),"")</f>
        <v/>
      </c>
      <c r="V916" s="80" t="n">
        <f aca="false">IF(OR($O916="On hand",$O916="Advance received",$O916="Part realised",$O916="Amount missing"),1,0)</f>
        <v>0</v>
      </c>
      <c r="W916" s="80" t="str">
        <f aca="false">IF(AND($V916=1,N($F916)&gt;0),ROW(),"")</f>
        <v/>
      </c>
      <c r="X916" s="80" t="n">
        <f aca="false">IF(AND(OR($A916&lt;&gt;"",$E916&lt;&gt;""),$O916&lt;&gt;"Cancelled",ISNUMBER($E916),N($F916)+N($H916)&gt;$E916+0.005),1,0)</f>
        <v>0</v>
      </c>
      <c r="Y916" s="80" t="n">
        <f aca="false">IF(AND(OR($A916&lt;&gt;"",$E916&lt;&gt;""),OR($A916="",$E916="")),1,0)</f>
        <v>0</v>
      </c>
      <c r="Z916" s="80" t="n">
        <f aca="false">IF(AND($A916&lt;&gt;"",COUNTIF($A$7:$A$1006,$A916)&gt;1),1,0)</f>
        <v>0</v>
      </c>
    </row>
    <row r="917" customFormat="false" ht="15" hidden="false" customHeight="false" outlineLevel="0" collapsed="false">
      <c r="A917" s="71"/>
      <c r="B917" s="72"/>
      <c r="C917" s="73"/>
      <c r="D917" s="73"/>
      <c r="E917" s="74"/>
      <c r="F917" s="74"/>
      <c r="G917" s="72"/>
      <c r="H917" s="74"/>
      <c r="I917" s="72"/>
      <c r="J917" s="73"/>
      <c r="K917" s="73"/>
      <c r="L917" s="75" t="str">
        <f aca="false">IF(OR($A917&lt;&gt;"",$E917&lt;&gt;""),N($F917)+N($H917),"")</f>
        <v/>
      </c>
      <c r="M917" s="76" t="str">
        <f aca="false">IF(OR($O917="",$O917="Cancelled",$O917="Amount missing"),"",IF($O917="Realised",0,$E917-N($F917)-N($H917)))</f>
        <v/>
      </c>
      <c r="N917" s="77" t="str">
        <f aca="false">IF(OR($M917="",FX=""),"",$M917*FX)</f>
        <v/>
      </c>
      <c r="O917" s="78" t="str">
        <f aca="false">IF(NOT(OR($A917&lt;&gt;"",$E917&lt;&gt;"")),"",IF($J917="Cancelled","Cancelled",IF($E917="","Amount missing",IF(OR($J917="Settled",$E917-N($F917)-N($H917)&lt;=0.005),"Realised",IF(N($H917)&gt;0,"Part realised",IF(N($F917)&gt;0,"Advance received","On hand"))))))</f>
        <v/>
      </c>
      <c r="P917" s="79" t="str">
        <f aca="false">IF(AND($V917=1,ISNUMBER($B917)),AsAt-$B917,"")</f>
        <v/>
      </c>
      <c r="Q917" s="78" t="str">
        <f aca="false">IF($V917&lt;&gt;1,"",IF($P917="","No invoice date",IF($P917&lt;=30,"0–30 days",IF($P917&lt;=60,"31–60 days",IF($P917&lt;=90,"61–90 days","Over 90 days")))))</f>
        <v/>
      </c>
      <c r="R917" s="80" t="str">
        <f aca="false">IF($V917=1,ROW(),"")</f>
        <v/>
      </c>
      <c r="S917" s="80" t="str">
        <f aca="false">IF(OR($A917&lt;&gt;"",$E917&lt;&gt;""),IF(TRIM($D917)="","Buyer not noted",TRIM($D917)),"")</f>
        <v/>
      </c>
      <c r="T917" s="80" t="n">
        <f aca="false">IF(AND($V917=1,ISNUMBER($M917)),$M917,0)</f>
        <v>0</v>
      </c>
      <c r="U917" s="80" t="str">
        <f aca="false">IF($V917=1,IF(COUNTIFS($S$7:$S917,$S917,$V$7:$V917,1)=1,SUMIFS($T$7:$T$1006,$S$7:$S$1006,$S917)-ROW()/1000000000,""),"")</f>
        <v/>
      </c>
      <c r="V917" s="80" t="n">
        <f aca="false">IF(OR($O917="On hand",$O917="Advance received",$O917="Part realised",$O917="Amount missing"),1,0)</f>
        <v>0</v>
      </c>
      <c r="W917" s="80" t="str">
        <f aca="false">IF(AND($V917=1,N($F917)&gt;0),ROW(),"")</f>
        <v/>
      </c>
      <c r="X917" s="80" t="n">
        <f aca="false">IF(AND(OR($A917&lt;&gt;"",$E917&lt;&gt;""),$O917&lt;&gt;"Cancelled",ISNUMBER($E917),N($F917)+N($H917)&gt;$E917+0.005),1,0)</f>
        <v>0</v>
      </c>
      <c r="Y917" s="80" t="n">
        <f aca="false">IF(AND(OR($A917&lt;&gt;"",$E917&lt;&gt;""),OR($A917="",$E917="")),1,0)</f>
        <v>0</v>
      </c>
      <c r="Z917" s="80" t="n">
        <f aca="false">IF(AND($A917&lt;&gt;"",COUNTIF($A$7:$A$1006,$A917)&gt;1),1,0)</f>
        <v>0</v>
      </c>
    </row>
    <row r="918" customFormat="false" ht="15" hidden="false" customHeight="false" outlineLevel="0" collapsed="false">
      <c r="A918" s="71"/>
      <c r="B918" s="72"/>
      <c r="C918" s="73"/>
      <c r="D918" s="73"/>
      <c r="E918" s="74"/>
      <c r="F918" s="74"/>
      <c r="G918" s="72"/>
      <c r="H918" s="74"/>
      <c r="I918" s="72"/>
      <c r="J918" s="73"/>
      <c r="K918" s="73"/>
      <c r="L918" s="75" t="str">
        <f aca="false">IF(OR($A918&lt;&gt;"",$E918&lt;&gt;""),N($F918)+N($H918),"")</f>
        <v/>
      </c>
      <c r="M918" s="76" t="str">
        <f aca="false">IF(OR($O918="",$O918="Cancelled",$O918="Amount missing"),"",IF($O918="Realised",0,$E918-N($F918)-N($H918)))</f>
        <v/>
      </c>
      <c r="N918" s="77" t="str">
        <f aca="false">IF(OR($M918="",FX=""),"",$M918*FX)</f>
        <v/>
      </c>
      <c r="O918" s="78" t="str">
        <f aca="false">IF(NOT(OR($A918&lt;&gt;"",$E918&lt;&gt;"")),"",IF($J918="Cancelled","Cancelled",IF($E918="","Amount missing",IF(OR($J918="Settled",$E918-N($F918)-N($H918)&lt;=0.005),"Realised",IF(N($H918)&gt;0,"Part realised",IF(N($F918)&gt;0,"Advance received","On hand"))))))</f>
        <v/>
      </c>
      <c r="P918" s="79" t="str">
        <f aca="false">IF(AND($V918=1,ISNUMBER($B918)),AsAt-$B918,"")</f>
        <v/>
      </c>
      <c r="Q918" s="78" t="str">
        <f aca="false">IF($V918&lt;&gt;1,"",IF($P918="","No invoice date",IF($P918&lt;=30,"0–30 days",IF($P918&lt;=60,"31–60 days",IF($P918&lt;=90,"61–90 days","Over 90 days")))))</f>
        <v/>
      </c>
      <c r="R918" s="80" t="str">
        <f aca="false">IF($V918=1,ROW(),"")</f>
        <v/>
      </c>
      <c r="S918" s="80" t="str">
        <f aca="false">IF(OR($A918&lt;&gt;"",$E918&lt;&gt;""),IF(TRIM($D918)="","Buyer not noted",TRIM($D918)),"")</f>
        <v/>
      </c>
      <c r="T918" s="80" t="n">
        <f aca="false">IF(AND($V918=1,ISNUMBER($M918)),$M918,0)</f>
        <v>0</v>
      </c>
      <c r="U918" s="80" t="str">
        <f aca="false">IF($V918=1,IF(COUNTIFS($S$7:$S918,$S918,$V$7:$V918,1)=1,SUMIFS($T$7:$T$1006,$S$7:$S$1006,$S918)-ROW()/1000000000,""),"")</f>
        <v/>
      </c>
      <c r="V918" s="80" t="n">
        <f aca="false">IF(OR($O918="On hand",$O918="Advance received",$O918="Part realised",$O918="Amount missing"),1,0)</f>
        <v>0</v>
      </c>
      <c r="W918" s="80" t="str">
        <f aca="false">IF(AND($V918=1,N($F918)&gt;0),ROW(),"")</f>
        <v/>
      </c>
      <c r="X918" s="80" t="n">
        <f aca="false">IF(AND(OR($A918&lt;&gt;"",$E918&lt;&gt;""),$O918&lt;&gt;"Cancelled",ISNUMBER($E918),N($F918)+N($H918)&gt;$E918+0.005),1,0)</f>
        <v>0</v>
      </c>
      <c r="Y918" s="80" t="n">
        <f aca="false">IF(AND(OR($A918&lt;&gt;"",$E918&lt;&gt;""),OR($A918="",$E918="")),1,0)</f>
        <v>0</v>
      </c>
      <c r="Z918" s="80" t="n">
        <f aca="false">IF(AND($A918&lt;&gt;"",COUNTIF($A$7:$A$1006,$A918)&gt;1),1,0)</f>
        <v>0</v>
      </c>
    </row>
    <row r="919" customFormat="false" ht="15" hidden="false" customHeight="false" outlineLevel="0" collapsed="false">
      <c r="A919" s="71"/>
      <c r="B919" s="72"/>
      <c r="C919" s="73"/>
      <c r="D919" s="73"/>
      <c r="E919" s="74"/>
      <c r="F919" s="74"/>
      <c r="G919" s="72"/>
      <c r="H919" s="74"/>
      <c r="I919" s="72"/>
      <c r="J919" s="73"/>
      <c r="K919" s="73"/>
      <c r="L919" s="75" t="str">
        <f aca="false">IF(OR($A919&lt;&gt;"",$E919&lt;&gt;""),N($F919)+N($H919),"")</f>
        <v/>
      </c>
      <c r="M919" s="76" t="str">
        <f aca="false">IF(OR($O919="",$O919="Cancelled",$O919="Amount missing"),"",IF($O919="Realised",0,$E919-N($F919)-N($H919)))</f>
        <v/>
      </c>
      <c r="N919" s="77" t="str">
        <f aca="false">IF(OR($M919="",FX=""),"",$M919*FX)</f>
        <v/>
      </c>
      <c r="O919" s="78" t="str">
        <f aca="false">IF(NOT(OR($A919&lt;&gt;"",$E919&lt;&gt;"")),"",IF($J919="Cancelled","Cancelled",IF($E919="","Amount missing",IF(OR($J919="Settled",$E919-N($F919)-N($H919)&lt;=0.005),"Realised",IF(N($H919)&gt;0,"Part realised",IF(N($F919)&gt;0,"Advance received","On hand"))))))</f>
        <v/>
      </c>
      <c r="P919" s="79" t="str">
        <f aca="false">IF(AND($V919=1,ISNUMBER($B919)),AsAt-$B919,"")</f>
        <v/>
      </c>
      <c r="Q919" s="78" t="str">
        <f aca="false">IF($V919&lt;&gt;1,"",IF($P919="","No invoice date",IF($P919&lt;=30,"0–30 days",IF($P919&lt;=60,"31–60 days",IF($P919&lt;=90,"61–90 days","Over 90 days")))))</f>
        <v/>
      </c>
      <c r="R919" s="80" t="str">
        <f aca="false">IF($V919=1,ROW(),"")</f>
        <v/>
      </c>
      <c r="S919" s="80" t="str">
        <f aca="false">IF(OR($A919&lt;&gt;"",$E919&lt;&gt;""),IF(TRIM($D919)="","Buyer not noted",TRIM($D919)),"")</f>
        <v/>
      </c>
      <c r="T919" s="80" t="n">
        <f aca="false">IF(AND($V919=1,ISNUMBER($M919)),$M919,0)</f>
        <v>0</v>
      </c>
      <c r="U919" s="80" t="str">
        <f aca="false">IF($V919=1,IF(COUNTIFS($S$7:$S919,$S919,$V$7:$V919,1)=1,SUMIFS($T$7:$T$1006,$S$7:$S$1006,$S919)-ROW()/1000000000,""),"")</f>
        <v/>
      </c>
      <c r="V919" s="80" t="n">
        <f aca="false">IF(OR($O919="On hand",$O919="Advance received",$O919="Part realised",$O919="Amount missing"),1,0)</f>
        <v>0</v>
      </c>
      <c r="W919" s="80" t="str">
        <f aca="false">IF(AND($V919=1,N($F919)&gt;0),ROW(),"")</f>
        <v/>
      </c>
      <c r="X919" s="80" t="n">
        <f aca="false">IF(AND(OR($A919&lt;&gt;"",$E919&lt;&gt;""),$O919&lt;&gt;"Cancelled",ISNUMBER($E919),N($F919)+N($H919)&gt;$E919+0.005),1,0)</f>
        <v>0</v>
      </c>
      <c r="Y919" s="80" t="n">
        <f aca="false">IF(AND(OR($A919&lt;&gt;"",$E919&lt;&gt;""),OR($A919="",$E919="")),1,0)</f>
        <v>0</v>
      </c>
      <c r="Z919" s="80" t="n">
        <f aca="false">IF(AND($A919&lt;&gt;"",COUNTIF($A$7:$A$1006,$A919)&gt;1),1,0)</f>
        <v>0</v>
      </c>
    </row>
    <row r="920" customFormat="false" ht="15" hidden="false" customHeight="false" outlineLevel="0" collapsed="false">
      <c r="A920" s="71"/>
      <c r="B920" s="72"/>
      <c r="C920" s="73"/>
      <c r="D920" s="73"/>
      <c r="E920" s="74"/>
      <c r="F920" s="74"/>
      <c r="G920" s="72"/>
      <c r="H920" s="74"/>
      <c r="I920" s="72"/>
      <c r="J920" s="73"/>
      <c r="K920" s="73"/>
      <c r="L920" s="75" t="str">
        <f aca="false">IF(OR($A920&lt;&gt;"",$E920&lt;&gt;""),N($F920)+N($H920),"")</f>
        <v/>
      </c>
      <c r="M920" s="76" t="str">
        <f aca="false">IF(OR($O920="",$O920="Cancelled",$O920="Amount missing"),"",IF($O920="Realised",0,$E920-N($F920)-N($H920)))</f>
        <v/>
      </c>
      <c r="N920" s="77" t="str">
        <f aca="false">IF(OR($M920="",FX=""),"",$M920*FX)</f>
        <v/>
      </c>
      <c r="O920" s="78" t="str">
        <f aca="false">IF(NOT(OR($A920&lt;&gt;"",$E920&lt;&gt;"")),"",IF($J920="Cancelled","Cancelled",IF($E920="","Amount missing",IF(OR($J920="Settled",$E920-N($F920)-N($H920)&lt;=0.005),"Realised",IF(N($H920)&gt;0,"Part realised",IF(N($F920)&gt;0,"Advance received","On hand"))))))</f>
        <v/>
      </c>
      <c r="P920" s="79" t="str">
        <f aca="false">IF(AND($V920=1,ISNUMBER($B920)),AsAt-$B920,"")</f>
        <v/>
      </c>
      <c r="Q920" s="78" t="str">
        <f aca="false">IF($V920&lt;&gt;1,"",IF($P920="","No invoice date",IF($P920&lt;=30,"0–30 days",IF($P920&lt;=60,"31–60 days",IF($P920&lt;=90,"61–90 days","Over 90 days")))))</f>
        <v/>
      </c>
      <c r="R920" s="80" t="str">
        <f aca="false">IF($V920=1,ROW(),"")</f>
        <v/>
      </c>
      <c r="S920" s="80" t="str">
        <f aca="false">IF(OR($A920&lt;&gt;"",$E920&lt;&gt;""),IF(TRIM($D920)="","Buyer not noted",TRIM($D920)),"")</f>
        <v/>
      </c>
      <c r="T920" s="80" t="n">
        <f aca="false">IF(AND($V920=1,ISNUMBER($M920)),$M920,0)</f>
        <v>0</v>
      </c>
      <c r="U920" s="80" t="str">
        <f aca="false">IF($V920=1,IF(COUNTIFS($S$7:$S920,$S920,$V$7:$V920,1)=1,SUMIFS($T$7:$T$1006,$S$7:$S$1006,$S920)-ROW()/1000000000,""),"")</f>
        <v/>
      </c>
      <c r="V920" s="80" t="n">
        <f aca="false">IF(OR($O920="On hand",$O920="Advance received",$O920="Part realised",$O920="Amount missing"),1,0)</f>
        <v>0</v>
      </c>
      <c r="W920" s="80" t="str">
        <f aca="false">IF(AND($V920=1,N($F920)&gt;0),ROW(),"")</f>
        <v/>
      </c>
      <c r="X920" s="80" t="n">
        <f aca="false">IF(AND(OR($A920&lt;&gt;"",$E920&lt;&gt;""),$O920&lt;&gt;"Cancelled",ISNUMBER($E920),N($F920)+N($H920)&gt;$E920+0.005),1,0)</f>
        <v>0</v>
      </c>
      <c r="Y920" s="80" t="n">
        <f aca="false">IF(AND(OR($A920&lt;&gt;"",$E920&lt;&gt;""),OR($A920="",$E920="")),1,0)</f>
        <v>0</v>
      </c>
      <c r="Z920" s="80" t="n">
        <f aca="false">IF(AND($A920&lt;&gt;"",COUNTIF($A$7:$A$1006,$A920)&gt;1),1,0)</f>
        <v>0</v>
      </c>
    </row>
    <row r="921" customFormat="false" ht="15" hidden="false" customHeight="false" outlineLevel="0" collapsed="false">
      <c r="A921" s="71"/>
      <c r="B921" s="72"/>
      <c r="C921" s="73"/>
      <c r="D921" s="73"/>
      <c r="E921" s="74"/>
      <c r="F921" s="74"/>
      <c r="G921" s="72"/>
      <c r="H921" s="74"/>
      <c r="I921" s="72"/>
      <c r="J921" s="73"/>
      <c r="K921" s="73"/>
      <c r="L921" s="75" t="str">
        <f aca="false">IF(OR($A921&lt;&gt;"",$E921&lt;&gt;""),N($F921)+N($H921),"")</f>
        <v/>
      </c>
      <c r="M921" s="76" t="str">
        <f aca="false">IF(OR($O921="",$O921="Cancelled",$O921="Amount missing"),"",IF($O921="Realised",0,$E921-N($F921)-N($H921)))</f>
        <v/>
      </c>
      <c r="N921" s="77" t="str">
        <f aca="false">IF(OR($M921="",FX=""),"",$M921*FX)</f>
        <v/>
      </c>
      <c r="O921" s="78" t="str">
        <f aca="false">IF(NOT(OR($A921&lt;&gt;"",$E921&lt;&gt;"")),"",IF($J921="Cancelled","Cancelled",IF($E921="","Amount missing",IF(OR($J921="Settled",$E921-N($F921)-N($H921)&lt;=0.005),"Realised",IF(N($H921)&gt;0,"Part realised",IF(N($F921)&gt;0,"Advance received","On hand"))))))</f>
        <v/>
      </c>
      <c r="P921" s="79" t="str">
        <f aca="false">IF(AND($V921=1,ISNUMBER($B921)),AsAt-$B921,"")</f>
        <v/>
      </c>
      <c r="Q921" s="78" t="str">
        <f aca="false">IF($V921&lt;&gt;1,"",IF($P921="","No invoice date",IF($P921&lt;=30,"0–30 days",IF($P921&lt;=60,"31–60 days",IF($P921&lt;=90,"61–90 days","Over 90 days")))))</f>
        <v/>
      </c>
      <c r="R921" s="80" t="str">
        <f aca="false">IF($V921=1,ROW(),"")</f>
        <v/>
      </c>
      <c r="S921" s="80" t="str">
        <f aca="false">IF(OR($A921&lt;&gt;"",$E921&lt;&gt;""),IF(TRIM($D921)="","Buyer not noted",TRIM($D921)),"")</f>
        <v/>
      </c>
      <c r="T921" s="80" t="n">
        <f aca="false">IF(AND($V921=1,ISNUMBER($M921)),$M921,0)</f>
        <v>0</v>
      </c>
      <c r="U921" s="80" t="str">
        <f aca="false">IF($V921=1,IF(COUNTIFS($S$7:$S921,$S921,$V$7:$V921,1)=1,SUMIFS($T$7:$T$1006,$S$7:$S$1006,$S921)-ROW()/1000000000,""),"")</f>
        <v/>
      </c>
      <c r="V921" s="80" t="n">
        <f aca="false">IF(OR($O921="On hand",$O921="Advance received",$O921="Part realised",$O921="Amount missing"),1,0)</f>
        <v>0</v>
      </c>
      <c r="W921" s="80" t="str">
        <f aca="false">IF(AND($V921=1,N($F921)&gt;0),ROW(),"")</f>
        <v/>
      </c>
      <c r="X921" s="80" t="n">
        <f aca="false">IF(AND(OR($A921&lt;&gt;"",$E921&lt;&gt;""),$O921&lt;&gt;"Cancelled",ISNUMBER($E921),N($F921)+N($H921)&gt;$E921+0.005),1,0)</f>
        <v>0</v>
      </c>
      <c r="Y921" s="80" t="n">
        <f aca="false">IF(AND(OR($A921&lt;&gt;"",$E921&lt;&gt;""),OR($A921="",$E921="")),1,0)</f>
        <v>0</v>
      </c>
      <c r="Z921" s="80" t="n">
        <f aca="false">IF(AND($A921&lt;&gt;"",COUNTIF($A$7:$A$1006,$A921)&gt;1),1,0)</f>
        <v>0</v>
      </c>
    </row>
    <row r="922" customFormat="false" ht="15" hidden="false" customHeight="false" outlineLevel="0" collapsed="false">
      <c r="A922" s="71"/>
      <c r="B922" s="72"/>
      <c r="C922" s="73"/>
      <c r="D922" s="73"/>
      <c r="E922" s="74"/>
      <c r="F922" s="74"/>
      <c r="G922" s="72"/>
      <c r="H922" s="74"/>
      <c r="I922" s="72"/>
      <c r="J922" s="73"/>
      <c r="K922" s="73"/>
      <c r="L922" s="75" t="str">
        <f aca="false">IF(OR($A922&lt;&gt;"",$E922&lt;&gt;""),N($F922)+N($H922),"")</f>
        <v/>
      </c>
      <c r="M922" s="76" t="str">
        <f aca="false">IF(OR($O922="",$O922="Cancelled",$O922="Amount missing"),"",IF($O922="Realised",0,$E922-N($F922)-N($H922)))</f>
        <v/>
      </c>
      <c r="N922" s="77" t="str">
        <f aca="false">IF(OR($M922="",FX=""),"",$M922*FX)</f>
        <v/>
      </c>
      <c r="O922" s="78" t="str">
        <f aca="false">IF(NOT(OR($A922&lt;&gt;"",$E922&lt;&gt;"")),"",IF($J922="Cancelled","Cancelled",IF($E922="","Amount missing",IF(OR($J922="Settled",$E922-N($F922)-N($H922)&lt;=0.005),"Realised",IF(N($H922)&gt;0,"Part realised",IF(N($F922)&gt;0,"Advance received","On hand"))))))</f>
        <v/>
      </c>
      <c r="P922" s="79" t="str">
        <f aca="false">IF(AND($V922=1,ISNUMBER($B922)),AsAt-$B922,"")</f>
        <v/>
      </c>
      <c r="Q922" s="78" t="str">
        <f aca="false">IF($V922&lt;&gt;1,"",IF($P922="","No invoice date",IF($P922&lt;=30,"0–30 days",IF($P922&lt;=60,"31–60 days",IF($P922&lt;=90,"61–90 days","Over 90 days")))))</f>
        <v/>
      </c>
      <c r="R922" s="80" t="str">
        <f aca="false">IF($V922=1,ROW(),"")</f>
        <v/>
      </c>
      <c r="S922" s="80" t="str">
        <f aca="false">IF(OR($A922&lt;&gt;"",$E922&lt;&gt;""),IF(TRIM($D922)="","Buyer not noted",TRIM($D922)),"")</f>
        <v/>
      </c>
      <c r="T922" s="80" t="n">
        <f aca="false">IF(AND($V922=1,ISNUMBER($M922)),$M922,0)</f>
        <v>0</v>
      </c>
      <c r="U922" s="80" t="str">
        <f aca="false">IF($V922=1,IF(COUNTIFS($S$7:$S922,$S922,$V$7:$V922,1)=1,SUMIFS($T$7:$T$1006,$S$7:$S$1006,$S922)-ROW()/1000000000,""),"")</f>
        <v/>
      </c>
      <c r="V922" s="80" t="n">
        <f aca="false">IF(OR($O922="On hand",$O922="Advance received",$O922="Part realised",$O922="Amount missing"),1,0)</f>
        <v>0</v>
      </c>
      <c r="W922" s="80" t="str">
        <f aca="false">IF(AND($V922=1,N($F922)&gt;0),ROW(),"")</f>
        <v/>
      </c>
      <c r="X922" s="80" t="n">
        <f aca="false">IF(AND(OR($A922&lt;&gt;"",$E922&lt;&gt;""),$O922&lt;&gt;"Cancelled",ISNUMBER($E922),N($F922)+N($H922)&gt;$E922+0.005),1,0)</f>
        <v>0</v>
      </c>
      <c r="Y922" s="80" t="n">
        <f aca="false">IF(AND(OR($A922&lt;&gt;"",$E922&lt;&gt;""),OR($A922="",$E922="")),1,0)</f>
        <v>0</v>
      </c>
      <c r="Z922" s="80" t="n">
        <f aca="false">IF(AND($A922&lt;&gt;"",COUNTIF($A$7:$A$1006,$A922)&gt;1),1,0)</f>
        <v>0</v>
      </c>
    </row>
    <row r="923" customFormat="false" ht="15" hidden="false" customHeight="false" outlineLevel="0" collapsed="false">
      <c r="A923" s="71"/>
      <c r="B923" s="72"/>
      <c r="C923" s="73"/>
      <c r="D923" s="73"/>
      <c r="E923" s="74"/>
      <c r="F923" s="74"/>
      <c r="G923" s="72"/>
      <c r="H923" s="74"/>
      <c r="I923" s="72"/>
      <c r="J923" s="73"/>
      <c r="K923" s="73"/>
      <c r="L923" s="75" t="str">
        <f aca="false">IF(OR($A923&lt;&gt;"",$E923&lt;&gt;""),N($F923)+N($H923),"")</f>
        <v/>
      </c>
      <c r="M923" s="76" t="str">
        <f aca="false">IF(OR($O923="",$O923="Cancelled",$O923="Amount missing"),"",IF($O923="Realised",0,$E923-N($F923)-N($H923)))</f>
        <v/>
      </c>
      <c r="N923" s="77" t="str">
        <f aca="false">IF(OR($M923="",FX=""),"",$M923*FX)</f>
        <v/>
      </c>
      <c r="O923" s="78" t="str">
        <f aca="false">IF(NOT(OR($A923&lt;&gt;"",$E923&lt;&gt;"")),"",IF($J923="Cancelled","Cancelled",IF($E923="","Amount missing",IF(OR($J923="Settled",$E923-N($F923)-N($H923)&lt;=0.005),"Realised",IF(N($H923)&gt;0,"Part realised",IF(N($F923)&gt;0,"Advance received","On hand"))))))</f>
        <v/>
      </c>
      <c r="P923" s="79" t="str">
        <f aca="false">IF(AND($V923=1,ISNUMBER($B923)),AsAt-$B923,"")</f>
        <v/>
      </c>
      <c r="Q923" s="78" t="str">
        <f aca="false">IF($V923&lt;&gt;1,"",IF($P923="","No invoice date",IF($P923&lt;=30,"0–30 days",IF($P923&lt;=60,"31–60 days",IF($P923&lt;=90,"61–90 days","Over 90 days")))))</f>
        <v/>
      </c>
      <c r="R923" s="80" t="str">
        <f aca="false">IF($V923=1,ROW(),"")</f>
        <v/>
      </c>
      <c r="S923" s="80" t="str">
        <f aca="false">IF(OR($A923&lt;&gt;"",$E923&lt;&gt;""),IF(TRIM($D923)="","Buyer not noted",TRIM($D923)),"")</f>
        <v/>
      </c>
      <c r="T923" s="80" t="n">
        <f aca="false">IF(AND($V923=1,ISNUMBER($M923)),$M923,0)</f>
        <v>0</v>
      </c>
      <c r="U923" s="80" t="str">
        <f aca="false">IF($V923=1,IF(COUNTIFS($S$7:$S923,$S923,$V$7:$V923,1)=1,SUMIFS($T$7:$T$1006,$S$7:$S$1006,$S923)-ROW()/1000000000,""),"")</f>
        <v/>
      </c>
      <c r="V923" s="80" t="n">
        <f aca="false">IF(OR($O923="On hand",$O923="Advance received",$O923="Part realised",$O923="Amount missing"),1,0)</f>
        <v>0</v>
      </c>
      <c r="W923" s="80" t="str">
        <f aca="false">IF(AND($V923=1,N($F923)&gt;0),ROW(),"")</f>
        <v/>
      </c>
      <c r="X923" s="80" t="n">
        <f aca="false">IF(AND(OR($A923&lt;&gt;"",$E923&lt;&gt;""),$O923&lt;&gt;"Cancelled",ISNUMBER($E923),N($F923)+N($H923)&gt;$E923+0.005),1,0)</f>
        <v>0</v>
      </c>
      <c r="Y923" s="80" t="n">
        <f aca="false">IF(AND(OR($A923&lt;&gt;"",$E923&lt;&gt;""),OR($A923="",$E923="")),1,0)</f>
        <v>0</v>
      </c>
      <c r="Z923" s="80" t="n">
        <f aca="false">IF(AND($A923&lt;&gt;"",COUNTIF($A$7:$A$1006,$A923)&gt;1),1,0)</f>
        <v>0</v>
      </c>
    </row>
    <row r="924" customFormat="false" ht="15" hidden="false" customHeight="false" outlineLevel="0" collapsed="false">
      <c r="A924" s="71"/>
      <c r="B924" s="72"/>
      <c r="C924" s="73"/>
      <c r="D924" s="73"/>
      <c r="E924" s="74"/>
      <c r="F924" s="74"/>
      <c r="G924" s="72"/>
      <c r="H924" s="74"/>
      <c r="I924" s="72"/>
      <c r="J924" s="73"/>
      <c r="K924" s="73"/>
      <c r="L924" s="75" t="str">
        <f aca="false">IF(OR($A924&lt;&gt;"",$E924&lt;&gt;""),N($F924)+N($H924),"")</f>
        <v/>
      </c>
      <c r="M924" s="76" t="str">
        <f aca="false">IF(OR($O924="",$O924="Cancelled",$O924="Amount missing"),"",IF($O924="Realised",0,$E924-N($F924)-N($H924)))</f>
        <v/>
      </c>
      <c r="N924" s="77" t="str">
        <f aca="false">IF(OR($M924="",FX=""),"",$M924*FX)</f>
        <v/>
      </c>
      <c r="O924" s="78" t="str">
        <f aca="false">IF(NOT(OR($A924&lt;&gt;"",$E924&lt;&gt;"")),"",IF($J924="Cancelled","Cancelled",IF($E924="","Amount missing",IF(OR($J924="Settled",$E924-N($F924)-N($H924)&lt;=0.005),"Realised",IF(N($H924)&gt;0,"Part realised",IF(N($F924)&gt;0,"Advance received","On hand"))))))</f>
        <v/>
      </c>
      <c r="P924" s="79" t="str">
        <f aca="false">IF(AND($V924=1,ISNUMBER($B924)),AsAt-$B924,"")</f>
        <v/>
      </c>
      <c r="Q924" s="78" t="str">
        <f aca="false">IF($V924&lt;&gt;1,"",IF($P924="","No invoice date",IF($P924&lt;=30,"0–30 days",IF($P924&lt;=60,"31–60 days",IF($P924&lt;=90,"61–90 days","Over 90 days")))))</f>
        <v/>
      </c>
      <c r="R924" s="80" t="str">
        <f aca="false">IF($V924=1,ROW(),"")</f>
        <v/>
      </c>
      <c r="S924" s="80" t="str">
        <f aca="false">IF(OR($A924&lt;&gt;"",$E924&lt;&gt;""),IF(TRIM($D924)="","Buyer not noted",TRIM($D924)),"")</f>
        <v/>
      </c>
      <c r="T924" s="80" t="n">
        <f aca="false">IF(AND($V924=1,ISNUMBER($M924)),$M924,0)</f>
        <v>0</v>
      </c>
      <c r="U924" s="80" t="str">
        <f aca="false">IF($V924=1,IF(COUNTIFS($S$7:$S924,$S924,$V$7:$V924,1)=1,SUMIFS($T$7:$T$1006,$S$7:$S$1006,$S924)-ROW()/1000000000,""),"")</f>
        <v/>
      </c>
      <c r="V924" s="80" t="n">
        <f aca="false">IF(OR($O924="On hand",$O924="Advance received",$O924="Part realised",$O924="Amount missing"),1,0)</f>
        <v>0</v>
      </c>
      <c r="W924" s="80" t="str">
        <f aca="false">IF(AND($V924=1,N($F924)&gt;0),ROW(),"")</f>
        <v/>
      </c>
      <c r="X924" s="80" t="n">
        <f aca="false">IF(AND(OR($A924&lt;&gt;"",$E924&lt;&gt;""),$O924&lt;&gt;"Cancelled",ISNUMBER($E924),N($F924)+N($H924)&gt;$E924+0.005),1,0)</f>
        <v>0</v>
      </c>
      <c r="Y924" s="80" t="n">
        <f aca="false">IF(AND(OR($A924&lt;&gt;"",$E924&lt;&gt;""),OR($A924="",$E924="")),1,0)</f>
        <v>0</v>
      </c>
      <c r="Z924" s="80" t="n">
        <f aca="false">IF(AND($A924&lt;&gt;"",COUNTIF($A$7:$A$1006,$A924)&gt;1),1,0)</f>
        <v>0</v>
      </c>
    </row>
    <row r="925" customFormat="false" ht="15" hidden="false" customHeight="false" outlineLevel="0" collapsed="false">
      <c r="A925" s="71"/>
      <c r="B925" s="72"/>
      <c r="C925" s="73"/>
      <c r="D925" s="73"/>
      <c r="E925" s="74"/>
      <c r="F925" s="74"/>
      <c r="G925" s="72"/>
      <c r="H925" s="74"/>
      <c r="I925" s="72"/>
      <c r="J925" s="73"/>
      <c r="K925" s="73"/>
      <c r="L925" s="75" t="str">
        <f aca="false">IF(OR($A925&lt;&gt;"",$E925&lt;&gt;""),N($F925)+N($H925),"")</f>
        <v/>
      </c>
      <c r="M925" s="76" t="str">
        <f aca="false">IF(OR($O925="",$O925="Cancelled",$O925="Amount missing"),"",IF($O925="Realised",0,$E925-N($F925)-N($H925)))</f>
        <v/>
      </c>
      <c r="N925" s="77" t="str">
        <f aca="false">IF(OR($M925="",FX=""),"",$M925*FX)</f>
        <v/>
      </c>
      <c r="O925" s="78" t="str">
        <f aca="false">IF(NOT(OR($A925&lt;&gt;"",$E925&lt;&gt;"")),"",IF($J925="Cancelled","Cancelled",IF($E925="","Amount missing",IF(OR($J925="Settled",$E925-N($F925)-N($H925)&lt;=0.005),"Realised",IF(N($H925)&gt;0,"Part realised",IF(N($F925)&gt;0,"Advance received","On hand"))))))</f>
        <v/>
      </c>
      <c r="P925" s="79" t="str">
        <f aca="false">IF(AND($V925=1,ISNUMBER($B925)),AsAt-$B925,"")</f>
        <v/>
      </c>
      <c r="Q925" s="78" t="str">
        <f aca="false">IF($V925&lt;&gt;1,"",IF($P925="","No invoice date",IF($P925&lt;=30,"0–30 days",IF($P925&lt;=60,"31–60 days",IF($P925&lt;=90,"61–90 days","Over 90 days")))))</f>
        <v/>
      </c>
      <c r="R925" s="80" t="str">
        <f aca="false">IF($V925=1,ROW(),"")</f>
        <v/>
      </c>
      <c r="S925" s="80" t="str">
        <f aca="false">IF(OR($A925&lt;&gt;"",$E925&lt;&gt;""),IF(TRIM($D925)="","Buyer not noted",TRIM($D925)),"")</f>
        <v/>
      </c>
      <c r="T925" s="80" t="n">
        <f aca="false">IF(AND($V925=1,ISNUMBER($M925)),$M925,0)</f>
        <v>0</v>
      </c>
      <c r="U925" s="80" t="str">
        <f aca="false">IF($V925=1,IF(COUNTIFS($S$7:$S925,$S925,$V$7:$V925,1)=1,SUMIFS($T$7:$T$1006,$S$7:$S$1006,$S925)-ROW()/1000000000,""),"")</f>
        <v/>
      </c>
      <c r="V925" s="80" t="n">
        <f aca="false">IF(OR($O925="On hand",$O925="Advance received",$O925="Part realised",$O925="Amount missing"),1,0)</f>
        <v>0</v>
      </c>
      <c r="W925" s="80" t="str">
        <f aca="false">IF(AND($V925=1,N($F925)&gt;0),ROW(),"")</f>
        <v/>
      </c>
      <c r="X925" s="80" t="n">
        <f aca="false">IF(AND(OR($A925&lt;&gt;"",$E925&lt;&gt;""),$O925&lt;&gt;"Cancelled",ISNUMBER($E925),N($F925)+N($H925)&gt;$E925+0.005),1,0)</f>
        <v>0</v>
      </c>
      <c r="Y925" s="80" t="n">
        <f aca="false">IF(AND(OR($A925&lt;&gt;"",$E925&lt;&gt;""),OR($A925="",$E925="")),1,0)</f>
        <v>0</v>
      </c>
      <c r="Z925" s="80" t="n">
        <f aca="false">IF(AND($A925&lt;&gt;"",COUNTIF($A$7:$A$1006,$A925)&gt;1),1,0)</f>
        <v>0</v>
      </c>
    </row>
    <row r="926" customFormat="false" ht="15" hidden="false" customHeight="false" outlineLevel="0" collapsed="false">
      <c r="A926" s="71"/>
      <c r="B926" s="72"/>
      <c r="C926" s="73"/>
      <c r="D926" s="73"/>
      <c r="E926" s="74"/>
      <c r="F926" s="74"/>
      <c r="G926" s="72"/>
      <c r="H926" s="74"/>
      <c r="I926" s="72"/>
      <c r="J926" s="73"/>
      <c r="K926" s="73"/>
      <c r="L926" s="75" t="str">
        <f aca="false">IF(OR($A926&lt;&gt;"",$E926&lt;&gt;""),N($F926)+N($H926),"")</f>
        <v/>
      </c>
      <c r="M926" s="76" t="str">
        <f aca="false">IF(OR($O926="",$O926="Cancelled",$O926="Amount missing"),"",IF($O926="Realised",0,$E926-N($F926)-N($H926)))</f>
        <v/>
      </c>
      <c r="N926" s="77" t="str">
        <f aca="false">IF(OR($M926="",FX=""),"",$M926*FX)</f>
        <v/>
      </c>
      <c r="O926" s="78" t="str">
        <f aca="false">IF(NOT(OR($A926&lt;&gt;"",$E926&lt;&gt;"")),"",IF($J926="Cancelled","Cancelled",IF($E926="","Amount missing",IF(OR($J926="Settled",$E926-N($F926)-N($H926)&lt;=0.005),"Realised",IF(N($H926)&gt;0,"Part realised",IF(N($F926)&gt;0,"Advance received","On hand"))))))</f>
        <v/>
      </c>
      <c r="P926" s="79" t="str">
        <f aca="false">IF(AND($V926=1,ISNUMBER($B926)),AsAt-$B926,"")</f>
        <v/>
      </c>
      <c r="Q926" s="78" t="str">
        <f aca="false">IF($V926&lt;&gt;1,"",IF($P926="","No invoice date",IF($P926&lt;=30,"0–30 days",IF($P926&lt;=60,"31–60 days",IF($P926&lt;=90,"61–90 days","Over 90 days")))))</f>
        <v/>
      </c>
      <c r="R926" s="80" t="str">
        <f aca="false">IF($V926=1,ROW(),"")</f>
        <v/>
      </c>
      <c r="S926" s="80" t="str">
        <f aca="false">IF(OR($A926&lt;&gt;"",$E926&lt;&gt;""),IF(TRIM($D926)="","Buyer not noted",TRIM($D926)),"")</f>
        <v/>
      </c>
      <c r="T926" s="80" t="n">
        <f aca="false">IF(AND($V926=1,ISNUMBER($M926)),$M926,0)</f>
        <v>0</v>
      </c>
      <c r="U926" s="80" t="str">
        <f aca="false">IF($V926=1,IF(COUNTIFS($S$7:$S926,$S926,$V$7:$V926,1)=1,SUMIFS($T$7:$T$1006,$S$7:$S$1006,$S926)-ROW()/1000000000,""),"")</f>
        <v/>
      </c>
      <c r="V926" s="80" t="n">
        <f aca="false">IF(OR($O926="On hand",$O926="Advance received",$O926="Part realised",$O926="Amount missing"),1,0)</f>
        <v>0</v>
      </c>
      <c r="W926" s="80" t="str">
        <f aca="false">IF(AND($V926=1,N($F926)&gt;0),ROW(),"")</f>
        <v/>
      </c>
      <c r="X926" s="80" t="n">
        <f aca="false">IF(AND(OR($A926&lt;&gt;"",$E926&lt;&gt;""),$O926&lt;&gt;"Cancelled",ISNUMBER($E926),N($F926)+N($H926)&gt;$E926+0.005),1,0)</f>
        <v>0</v>
      </c>
      <c r="Y926" s="80" t="n">
        <f aca="false">IF(AND(OR($A926&lt;&gt;"",$E926&lt;&gt;""),OR($A926="",$E926="")),1,0)</f>
        <v>0</v>
      </c>
      <c r="Z926" s="80" t="n">
        <f aca="false">IF(AND($A926&lt;&gt;"",COUNTIF($A$7:$A$1006,$A926)&gt;1),1,0)</f>
        <v>0</v>
      </c>
    </row>
    <row r="927" customFormat="false" ht="15" hidden="false" customHeight="false" outlineLevel="0" collapsed="false">
      <c r="A927" s="71"/>
      <c r="B927" s="72"/>
      <c r="C927" s="73"/>
      <c r="D927" s="73"/>
      <c r="E927" s="74"/>
      <c r="F927" s="74"/>
      <c r="G927" s="72"/>
      <c r="H927" s="74"/>
      <c r="I927" s="72"/>
      <c r="J927" s="73"/>
      <c r="K927" s="73"/>
      <c r="L927" s="75" t="str">
        <f aca="false">IF(OR($A927&lt;&gt;"",$E927&lt;&gt;""),N($F927)+N($H927),"")</f>
        <v/>
      </c>
      <c r="M927" s="76" t="str">
        <f aca="false">IF(OR($O927="",$O927="Cancelled",$O927="Amount missing"),"",IF($O927="Realised",0,$E927-N($F927)-N($H927)))</f>
        <v/>
      </c>
      <c r="N927" s="77" t="str">
        <f aca="false">IF(OR($M927="",FX=""),"",$M927*FX)</f>
        <v/>
      </c>
      <c r="O927" s="78" t="str">
        <f aca="false">IF(NOT(OR($A927&lt;&gt;"",$E927&lt;&gt;"")),"",IF($J927="Cancelled","Cancelled",IF($E927="","Amount missing",IF(OR($J927="Settled",$E927-N($F927)-N($H927)&lt;=0.005),"Realised",IF(N($H927)&gt;0,"Part realised",IF(N($F927)&gt;0,"Advance received","On hand"))))))</f>
        <v/>
      </c>
      <c r="P927" s="79" t="str">
        <f aca="false">IF(AND($V927=1,ISNUMBER($B927)),AsAt-$B927,"")</f>
        <v/>
      </c>
      <c r="Q927" s="78" t="str">
        <f aca="false">IF($V927&lt;&gt;1,"",IF($P927="","No invoice date",IF($P927&lt;=30,"0–30 days",IF($P927&lt;=60,"31–60 days",IF($P927&lt;=90,"61–90 days","Over 90 days")))))</f>
        <v/>
      </c>
      <c r="R927" s="80" t="str">
        <f aca="false">IF($V927=1,ROW(),"")</f>
        <v/>
      </c>
      <c r="S927" s="80" t="str">
        <f aca="false">IF(OR($A927&lt;&gt;"",$E927&lt;&gt;""),IF(TRIM($D927)="","Buyer not noted",TRIM($D927)),"")</f>
        <v/>
      </c>
      <c r="T927" s="80" t="n">
        <f aca="false">IF(AND($V927=1,ISNUMBER($M927)),$M927,0)</f>
        <v>0</v>
      </c>
      <c r="U927" s="80" t="str">
        <f aca="false">IF($V927=1,IF(COUNTIFS($S$7:$S927,$S927,$V$7:$V927,1)=1,SUMIFS($T$7:$T$1006,$S$7:$S$1006,$S927)-ROW()/1000000000,""),"")</f>
        <v/>
      </c>
      <c r="V927" s="80" t="n">
        <f aca="false">IF(OR($O927="On hand",$O927="Advance received",$O927="Part realised",$O927="Amount missing"),1,0)</f>
        <v>0</v>
      </c>
      <c r="W927" s="80" t="str">
        <f aca="false">IF(AND($V927=1,N($F927)&gt;0),ROW(),"")</f>
        <v/>
      </c>
      <c r="X927" s="80" t="n">
        <f aca="false">IF(AND(OR($A927&lt;&gt;"",$E927&lt;&gt;""),$O927&lt;&gt;"Cancelled",ISNUMBER($E927),N($F927)+N($H927)&gt;$E927+0.005),1,0)</f>
        <v>0</v>
      </c>
      <c r="Y927" s="80" t="n">
        <f aca="false">IF(AND(OR($A927&lt;&gt;"",$E927&lt;&gt;""),OR($A927="",$E927="")),1,0)</f>
        <v>0</v>
      </c>
      <c r="Z927" s="80" t="n">
        <f aca="false">IF(AND($A927&lt;&gt;"",COUNTIF($A$7:$A$1006,$A927)&gt;1),1,0)</f>
        <v>0</v>
      </c>
    </row>
    <row r="928" customFormat="false" ht="15" hidden="false" customHeight="false" outlineLevel="0" collapsed="false">
      <c r="A928" s="71"/>
      <c r="B928" s="72"/>
      <c r="C928" s="73"/>
      <c r="D928" s="73"/>
      <c r="E928" s="74"/>
      <c r="F928" s="74"/>
      <c r="G928" s="72"/>
      <c r="H928" s="74"/>
      <c r="I928" s="72"/>
      <c r="J928" s="73"/>
      <c r="K928" s="73"/>
      <c r="L928" s="75" t="str">
        <f aca="false">IF(OR($A928&lt;&gt;"",$E928&lt;&gt;""),N($F928)+N($H928),"")</f>
        <v/>
      </c>
      <c r="M928" s="76" t="str">
        <f aca="false">IF(OR($O928="",$O928="Cancelled",$O928="Amount missing"),"",IF($O928="Realised",0,$E928-N($F928)-N($H928)))</f>
        <v/>
      </c>
      <c r="N928" s="77" t="str">
        <f aca="false">IF(OR($M928="",FX=""),"",$M928*FX)</f>
        <v/>
      </c>
      <c r="O928" s="78" t="str">
        <f aca="false">IF(NOT(OR($A928&lt;&gt;"",$E928&lt;&gt;"")),"",IF($J928="Cancelled","Cancelled",IF($E928="","Amount missing",IF(OR($J928="Settled",$E928-N($F928)-N($H928)&lt;=0.005),"Realised",IF(N($H928)&gt;0,"Part realised",IF(N($F928)&gt;0,"Advance received","On hand"))))))</f>
        <v/>
      </c>
      <c r="P928" s="79" t="str">
        <f aca="false">IF(AND($V928=1,ISNUMBER($B928)),AsAt-$B928,"")</f>
        <v/>
      </c>
      <c r="Q928" s="78" t="str">
        <f aca="false">IF($V928&lt;&gt;1,"",IF($P928="","No invoice date",IF($P928&lt;=30,"0–30 days",IF($P928&lt;=60,"31–60 days",IF($P928&lt;=90,"61–90 days","Over 90 days")))))</f>
        <v/>
      </c>
      <c r="R928" s="80" t="str">
        <f aca="false">IF($V928=1,ROW(),"")</f>
        <v/>
      </c>
      <c r="S928" s="80" t="str">
        <f aca="false">IF(OR($A928&lt;&gt;"",$E928&lt;&gt;""),IF(TRIM($D928)="","Buyer not noted",TRIM($D928)),"")</f>
        <v/>
      </c>
      <c r="T928" s="80" t="n">
        <f aca="false">IF(AND($V928=1,ISNUMBER($M928)),$M928,0)</f>
        <v>0</v>
      </c>
      <c r="U928" s="80" t="str">
        <f aca="false">IF($V928=1,IF(COUNTIFS($S$7:$S928,$S928,$V$7:$V928,1)=1,SUMIFS($T$7:$T$1006,$S$7:$S$1006,$S928)-ROW()/1000000000,""),"")</f>
        <v/>
      </c>
      <c r="V928" s="80" t="n">
        <f aca="false">IF(OR($O928="On hand",$O928="Advance received",$O928="Part realised",$O928="Amount missing"),1,0)</f>
        <v>0</v>
      </c>
      <c r="W928" s="80" t="str">
        <f aca="false">IF(AND($V928=1,N($F928)&gt;0),ROW(),"")</f>
        <v/>
      </c>
      <c r="X928" s="80" t="n">
        <f aca="false">IF(AND(OR($A928&lt;&gt;"",$E928&lt;&gt;""),$O928&lt;&gt;"Cancelled",ISNUMBER($E928),N($F928)+N($H928)&gt;$E928+0.005),1,0)</f>
        <v>0</v>
      </c>
      <c r="Y928" s="80" t="n">
        <f aca="false">IF(AND(OR($A928&lt;&gt;"",$E928&lt;&gt;""),OR($A928="",$E928="")),1,0)</f>
        <v>0</v>
      </c>
      <c r="Z928" s="80" t="n">
        <f aca="false">IF(AND($A928&lt;&gt;"",COUNTIF($A$7:$A$1006,$A928)&gt;1),1,0)</f>
        <v>0</v>
      </c>
    </row>
    <row r="929" customFormat="false" ht="15" hidden="false" customHeight="false" outlineLevel="0" collapsed="false">
      <c r="A929" s="71"/>
      <c r="B929" s="72"/>
      <c r="C929" s="73"/>
      <c r="D929" s="73"/>
      <c r="E929" s="74"/>
      <c r="F929" s="74"/>
      <c r="G929" s="72"/>
      <c r="H929" s="74"/>
      <c r="I929" s="72"/>
      <c r="J929" s="73"/>
      <c r="K929" s="73"/>
      <c r="L929" s="75" t="str">
        <f aca="false">IF(OR($A929&lt;&gt;"",$E929&lt;&gt;""),N($F929)+N($H929),"")</f>
        <v/>
      </c>
      <c r="M929" s="76" t="str">
        <f aca="false">IF(OR($O929="",$O929="Cancelled",$O929="Amount missing"),"",IF($O929="Realised",0,$E929-N($F929)-N($H929)))</f>
        <v/>
      </c>
      <c r="N929" s="77" t="str">
        <f aca="false">IF(OR($M929="",FX=""),"",$M929*FX)</f>
        <v/>
      </c>
      <c r="O929" s="78" t="str">
        <f aca="false">IF(NOT(OR($A929&lt;&gt;"",$E929&lt;&gt;"")),"",IF($J929="Cancelled","Cancelled",IF($E929="","Amount missing",IF(OR($J929="Settled",$E929-N($F929)-N($H929)&lt;=0.005),"Realised",IF(N($H929)&gt;0,"Part realised",IF(N($F929)&gt;0,"Advance received","On hand"))))))</f>
        <v/>
      </c>
      <c r="P929" s="79" t="str">
        <f aca="false">IF(AND($V929=1,ISNUMBER($B929)),AsAt-$B929,"")</f>
        <v/>
      </c>
      <c r="Q929" s="78" t="str">
        <f aca="false">IF($V929&lt;&gt;1,"",IF($P929="","No invoice date",IF($P929&lt;=30,"0–30 days",IF($P929&lt;=60,"31–60 days",IF($P929&lt;=90,"61–90 days","Over 90 days")))))</f>
        <v/>
      </c>
      <c r="R929" s="80" t="str">
        <f aca="false">IF($V929=1,ROW(),"")</f>
        <v/>
      </c>
      <c r="S929" s="80" t="str">
        <f aca="false">IF(OR($A929&lt;&gt;"",$E929&lt;&gt;""),IF(TRIM($D929)="","Buyer not noted",TRIM($D929)),"")</f>
        <v/>
      </c>
      <c r="T929" s="80" t="n">
        <f aca="false">IF(AND($V929=1,ISNUMBER($M929)),$M929,0)</f>
        <v>0</v>
      </c>
      <c r="U929" s="80" t="str">
        <f aca="false">IF($V929=1,IF(COUNTIFS($S$7:$S929,$S929,$V$7:$V929,1)=1,SUMIFS($T$7:$T$1006,$S$7:$S$1006,$S929)-ROW()/1000000000,""),"")</f>
        <v/>
      </c>
      <c r="V929" s="80" t="n">
        <f aca="false">IF(OR($O929="On hand",$O929="Advance received",$O929="Part realised",$O929="Amount missing"),1,0)</f>
        <v>0</v>
      </c>
      <c r="W929" s="80" t="str">
        <f aca="false">IF(AND($V929=1,N($F929)&gt;0),ROW(),"")</f>
        <v/>
      </c>
      <c r="X929" s="80" t="n">
        <f aca="false">IF(AND(OR($A929&lt;&gt;"",$E929&lt;&gt;""),$O929&lt;&gt;"Cancelled",ISNUMBER($E929),N($F929)+N($H929)&gt;$E929+0.005),1,0)</f>
        <v>0</v>
      </c>
      <c r="Y929" s="80" t="n">
        <f aca="false">IF(AND(OR($A929&lt;&gt;"",$E929&lt;&gt;""),OR($A929="",$E929="")),1,0)</f>
        <v>0</v>
      </c>
      <c r="Z929" s="80" t="n">
        <f aca="false">IF(AND($A929&lt;&gt;"",COUNTIF($A$7:$A$1006,$A929)&gt;1),1,0)</f>
        <v>0</v>
      </c>
    </row>
    <row r="930" customFormat="false" ht="15" hidden="false" customHeight="false" outlineLevel="0" collapsed="false">
      <c r="A930" s="71"/>
      <c r="B930" s="72"/>
      <c r="C930" s="73"/>
      <c r="D930" s="73"/>
      <c r="E930" s="74"/>
      <c r="F930" s="74"/>
      <c r="G930" s="72"/>
      <c r="H930" s="74"/>
      <c r="I930" s="72"/>
      <c r="J930" s="73"/>
      <c r="K930" s="73"/>
      <c r="L930" s="75" t="str">
        <f aca="false">IF(OR($A930&lt;&gt;"",$E930&lt;&gt;""),N($F930)+N($H930),"")</f>
        <v/>
      </c>
      <c r="M930" s="76" t="str">
        <f aca="false">IF(OR($O930="",$O930="Cancelled",$O930="Amount missing"),"",IF($O930="Realised",0,$E930-N($F930)-N($H930)))</f>
        <v/>
      </c>
      <c r="N930" s="77" t="str">
        <f aca="false">IF(OR($M930="",FX=""),"",$M930*FX)</f>
        <v/>
      </c>
      <c r="O930" s="78" t="str">
        <f aca="false">IF(NOT(OR($A930&lt;&gt;"",$E930&lt;&gt;"")),"",IF($J930="Cancelled","Cancelled",IF($E930="","Amount missing",IF(OR($J930="Settled",$E930-N($F930)-N($H930)&lt;=0.005),"Realised",IF(N($H930)&gt;0,"Part realised",IF(N($F930)&gt;0,"Advance received","On hand"))))))</f>
        <v/>
      </c>
      <c r="P930" s="79" t="str">
        <f aca="false">IF(AND($V930=1,ISNUMBER($B930)),AsAt-$B930,"")</f>
        <v/>
      </c>
      <c r="Q930" s="78" t="str">
        <f aca="false">IF($V930&lt;&gt;1,"",IF($P930="","No invoice date",IF($P930&lt;=30,"0–30 days",IF($P930&lt;=60,"31–60 days",IF($P930&lt;=90,"61–90 days","Over 90 days")))))</f>
        <v/>
      </c>
      <c r="R930" s="80" t="str">
        <f aca="false">IF($V930=1,ROW(),"")</f>
        <v/>
      </c>
      <c r="S930" s="80" t="str">
        <f aca="false">IF(OR($A930&lt;&gt;"",$E930&lt;&gt;""),IF(TRIM($D930)="","Buyer not noted",TRIM($D930)),"")</f>
        <v/>
      </c>
      <c r="T930" s="80" t="n">
        <f aca="false">IF(AND($V930=1,ISNUMBER($M930)),$M930,0)</f>
        <v>0</v>
      </c>
      <c r="U930" s="80" t="str">
        <f aca="false">IF($V930=1,IF(COUNTIFS($S$7:$S930,$S930,$V$7:$V930,1)=1,SUMIFS($T$7:$T$1006,$S$7:$S$1006,$S930)-ROW()/1000000000,""),"")</f>
        <v/>
      </c>
      <c r="V930" s="80" t="n">
        <f aca="false">IF(OR($O930="On hand",$O930="Advance received",$O930="Part realised",$O930="Amount missing"),1,0)</f>
        <v>0</v>
      </c>
      <c r="W930" s="80" t="str">
        <f aca="false">IF(AND($V930=1,N($F930)&gt;0),ROW(),"")</f>
        <v/>
      </c>
      <c r="X930" s="80" t="n">
        <f aca="false">IF(AND(OR($A930&lt;&gt;"",$E930&lt;&gt;""),$O930&lt;&gt;"Cancelled",ISNUMBER($E930),N($F930)+N($H930)&gt;$E930+0.005),1,0)</f>
        <v>0</v>
      </c>
      <c r="Y930" s="80" t="n">
        <f aca="false">IF(AND(OR($A930&lt;&gt;"",$E930&lt;&gt;""),OR($A930="",$E930="")),1,0)</f>
        <v>0</v>
      </c>
      <c r="Z930" s="80" t="n">
        <f aca="false">IF(AND($A930&lt;&gt;"",COUNTIF($A$7:$A$1006,$A930)&gt;1),1,0)</f>
        <v>0</v>
      </c>
    </row>
    <row r="931" customFormat="false" ht="15" hidden="false" customHeight="false" outlineLevel="0" collapsed="false">
      <c r="A931" s="71"/>
      <c r="B931" s="72"/>
      <c r="C931" s="73"/>
      <c r="D931" s="73"/>
      <c r="E931" s="74"/>
      <c r="F931" s="74"/>
      <c r="G931" s="72"/>
      <c r="H931" s="74"/>
      <c r="I931" s="72"/>
      <c r="J931" s="73"/>
      <c r="K931" s="73"/>
      <c r="L931" s="75" t="str">
        <f aca="false">IF(OR($A931&lt;&gt;"",$E931&lt;&gt;""),N($F931)+N($H931),"")</f>
        <v/>
      </c>
      <c r="M931" s="76" t="str">
        <f aca="false">IF(OR($O931="",$O931="Cancelled",$O931="Amount missing"),"",IF($O931="Realised",0,$E931-N($F931)-N($H931)))</f>
        <v/>
      </c>
      <c r="N931" s="77" t="str">
        <f aca="false">IF(OR($M931="",FX=""),"",$M931*FX)</f>
        <v/>
      </c>
      <c r="O931" s="78" t="str">
        <f aca="false">IF(NOT(OR($A931&lt;&gt;"",$E931&lt;&gt;"")),"",IF($J931="Cancelled","Cancelled",IF($E931="","Amount missing",IF(OR($J931="Settled",$E931-N($F931)-N($H931)&lt;=0.005),"Realised",IF(N($H931)&gt;0,"Part realised",IF(N($F931)&gt;0,"Advance received","On hand"))))))</f>
        <v/>
      </c>
      <c r="P931" s="79" t="str">
        <f aca="false">IF(AND($V931=1,ISNUMBER($B931)),AsAt-$B931,"")</f>
        <v/>
      </c>
      <c r="Q931" s="78" t="str">
        <f aca="false">IF($V931&lt;&gt;1,"",IF($P931="","No invoice date",IF($P931&lt;=30,"0–30 days",IF($P931&lt;=60,"31–60 days",IF($P931&lt;=90,"61–90 days","Over 90 days")))))</f>
        <v/>
      </c>
      <c r="R931" s="80" t="str">
        <f aca="false">IF($V931=1,ROW(),"")</f>
        <v/>
      </c>
      <c r="S931" s="80" t="str">
        <f aca="false">IF(OR($A931&lt;&gt;"",$E931&lt;&gt;""),IF(TRIM($D931)="","Buyer not noted",TRIM($D931)),"")</f>
        <v/>
      </c>
      <c r="T931" s="80" t="n">
        <f aca="false">IF(AND($V931=1,ISNUMBER($M931)),$M931,0)</f>
        <v>0</v>
      </c>
      <c r="U931" s="80" t="str">
        <f aca="false">IF($V931=1,IF(COUNTIFS($S$7:$S931,$S931,$V$7:$V931,1)=1,SUMIFS($T$7:$T$1006,$S$7:$S$1006,$S931)-ROW()/1000000000,""),"")</f>
        <v/>
      </c>
      <c r="V931" s="80" t="n">
        <f aca="false">IF(OR($O931="On hand",$O931="Advance received",$O931="Part realised",$O931="Amount missing"),1,0)</f>
        <v>0</v>
      </c>
      <c r="W931" s="80" t="str">
        <f aca="false">IF(AND($V931=1,N($F931)&gt;0),ROW(),"")</f>
        <v/>
      </c>
      <c r="X931" s="80" t="n">
        <f aca="false">IF(AND(OR($A931&lt;&gt;"",$E931&lt;&gt;""),$O931&lt;&gt;"Cancelled",ISNUMBER($E931),N($F931)+N($H931)&gt;$E931+0.005),1,0)</f>
        <v>0</v>
      </c>
      <c r="Y931" s="80" t="n">
        <f aca="false">IF(AND(OR($A931&lt;&gt;"",$E931&lt;&gt;""),OR($A931="",$E931="")),1,0)</f>
        <v>0</v>
      </c>
      <c r="Z931" s="80" t="n">
        <f aca="false">IF(AND($A931&lt;&gt;"",COUNTIF($A$7:$A$1006,$A931)&gt;1),1,0)</f>
        <v>0</v>
      </c>
    </row>
    <row r="932" customFormat="false" ht="15" hidden="false" customHeight="false" outlineLevel="0" collapsed="false">
      <c r="A932" s="71"/>
      <c r="B932" s="72"/>
      <c r="C932" s="73"/>
      <c r="D932" s="73"/>
      <c r="E932" s="74"/>
      <c r="F932" s="74"/>
      <c r="G932" s="72"/>
      <c r="H932" s="74"/>
      <c r="I932" s="72"/>
      <c r="J932" s="73"/>
      <c r="K932" s="73"/>
      <c r="L932" s="75" t="str">
        <f aca="false">IF(OR($A932&lt;&gt;"",$E932&lt;&gt;""),N($F932)+N($H932),"")</f>
        <v/>
      </c>
      <c r="M932" s="76" t="str">
        <f aca="false">IF(OR($O932="",$O932="Cancelled",$O932="Amount missing"),"",IF($O932="Realised",0,$E932-N($F932)-N($H932)))</f>
        <v/>
      </c>
      <c r="N932" s="77" t="str">
        <f aca="false">IF(OR($M932="",FX=""),"",$M932*FX)</f>
        <v/>
      </c>
      <c r="O932" s="78" t="str">
        <f aca="false">IF(NOT(OR($A932&lt;&gt;"",$E932&lt;&gt;"")),"",IF($J932="Cancelled","Cancelled",IF($E932="","Amount missing",IF(OR($J932="Settled",$E932-N($F932)-N($H932)&lt;=0.005),"Realised",IF(N($H932)&gt;0,"Part realised",IF(N($F932)&gt;0,"Advance received","On hand"))))))</f>
        <v/>
      </c>
      <c r="P932" s="79" t="str">
        <f aca="false">IF(AND($V932=1,ISNUMBER($B932)),AsAt-$B932,"")</f>
        <v/>
      </c>
      <c r="Q932" s="78" t="str">
        <f aca="false">IF($V932&lt;&gt;1,"",IF($P932="","No invoice date",IF($P932&lt;=30,"0–30 days",IF($P932&lt;=60,"31–60 days",IF($P932&lt;=90,"61–90 days","Over 90 days")))))</f>
        <v/>
      </c>
      <c r="R932" s="80" t="str">
        <f aca="false">IF($V932=1,ROW(),"")</f>
        <v/>
      </c>
      <c r="S932" s="80" t="str">
        <f aca="false">IF(OR($A932&lt;&gt;"",$E932&lt;&gt;""),IF(TRIM($D932)="","Buyer not noted",TRIM($D932)),"")</f>
        <v/>
      </c>
      <c r="T932" s="80" t="n">
        <f aca="false">IF(AND($V932=1,ISNUMBER($M932)),$M932,0)</f>
        <v>0</v>
      </c>
      <c r="U932" s="80" t="str">
        <f aca="false">IF($V932=1,IF(COUNTIFS($S$7:$S932,$S932,$V$7:$V932,1)=1,SUMIFS($T$7:$T$1006,$S$7:$S$1006,$S932)-ROW()/1000000000,""),"")</f>
        <v/>
      </c>
      <c r="V932" s="80" t="n">
        <f aca="false">IF(OR($O932="On hand",$O932="Advance received",$O932="Part realised",$O932="Amount missing"),1,0)</f>
        <v>0</v>
      </c>
      <c r="W932" s="80" t="str">
        <f aca="false">IF(AND($V932=1,N($F932)&gt;0),ROW(),"")</f>
        <v/>
      </c>
      <c r="X932" s="80" t="n">
        <f aca="false">IF(AND(OR($A932&lt;&gt;"",$E932&lt;&gt;""),$O932&lt;&gt;"Cancelled",ISNUMBER($E932),N($F932)+N($H932)&gt;$E932+0.005),1,0)</f>
        <v>0</v>
      </c>
      <c r="Y932" s="80" t="n">
        <f aca="false">IF(AND(OR($A932&lt;&gt;"",$E932&lt;&gt;""),OR($A932="",$E932="")),1,0)</f>
        <v>0</v>
      </c>
      <c r="Z932" s="80" t="n">
        <f aca="false">IF(AND($A932&lt;&gt;"",COUNTIF($A$7:$A$1006,$A932)&gt;1),1,0)</f>
        <v>0</v>
      </c>
    </row>
    <row r="933" customFormat="false" ht="15" hidden="false" customHeight="false" outlineLevel="0" collapsed="false">
      <c r="A933" s="71"/>
      <c r="B933" s="72"/>
      <c r="C933" s="73"/>
      <c r="D933" s="73"/>
      <c r="E933" s="74"/>
      <c r="F933" s="74"/>
      <c r="G933" s="72"/>
      <c r="H933" s="74"/>
      <c r="I933" s="72"/>
      <c r="J933" s="73"/>
      <c r="K933" s="73"/>
      <c r="L933" s="75" t="str">
        <f aca="false">IF(OR($A933&lt;&gt;"",$E933&lt;&gt;""),N($F933)+N($H933),"")</f>
        <v/>
      </c>
      <c r="M933" s="76" t="str">
        <f aca="false">IF(OR($O933="",$O933="Cancelled",$O933="Amount missing"),"",IF($O933="Realised",0,$E933-N($F933)-N($H933)))</f>
        <v/>
      </c>
      <c r="N933" s="77" t="str">
        <f aca="false">IF(OR($M933="",FX=""),"",$M933*FX)</f>
        <v/>
      </c>
      <c r="O933" s="78" t="str">
        <f aca="false">IF(NOT(OR($A933&lt;&gt;"",$E933&lt;&gt;"")),"",IF($J933="Cancelled","Cancelled",IF($E933="","Amount missing",IF(OR($J933="Settled",$E933-N($F933)-N($H933)&lt;=0.005),"Realised",IF(N($H933)&gt;0,"Part realised",IF(N($F933)&gt;0,"Advance received","On hand"))))))</f>
        <v/>
      </c>
      <c r="P933" s="79" t="str">
        <f aca="false">IF(AND($V933=1,ISNUMBER($B933)),AsAt-$B933,"")</f>
        <v/>
      </c>
      <c r="Q933" s="78" t="str">
        <f aca="false">IF($V933&lt;&gt;1,"",IF($P933="","No invoice date",IF($P933&lt;=30,"0–30 days",IF($P933&lt;=60,"31–60 days",IF($P933&lt;=90,"61–90 days","Over 90 days")))))</f>
        <v/>
      </c>
      <c r="R933" s="80" t="str">
        <f aca="false">IF($V933=1,ROW(),"")</f>
        <v/>
      </c>
      <c r="S933" s="80" t="str">
        <f aca="false">IF(OR($A933&lt;&gt;"",$E933&lt;&gt;""),IF(TRIM($D933)="","Buyer not noted",TRIM($D933)),"")</f>
        <v/>
      </c>
      <c r="T933" s="80" t="n">
        <f aca="false">IF(AND($V933=1,ISNUMBER($M933)),$M933,0)</f>
        <v>0</v>
      </c>
      <c r="U933" s="80" t="str">
        <f aca="false">IF($V933=1,IF(COUNTIFS($S$7:$S933,$S933,$V$7:$V933,1)=1,SUMIFS($T$7:$T$1006,$S$7:$S$1006,$S933)-ROW()/1000000000,""),"")</f>
        <v/>
      </c>
      <c r="V933" s="80" t="n">
        <f aca="false">IF(OR($O933="On hand",$O933="Advance received",$O933="Part realised",$O933="Amount missing"),1,0)</f>
        <v>0</v>
      </c>
      <c r="W933" s="80" t="str">
        <f aca="false">IF(AND($V933=1,N($F933)&gt;0),ROW(),"")</f>
        <v/>
      </c>
      <c r="X933" s="80" t="n">
        <f aca="false">IF(AND(OR($A933&lt;&gt;"",$E933&lt;&gt;""),$O933&lt;&gt;"Cancelled",ISNUMBER($E933),N($F933)+N($H933)&gt;$E933+0.005),1,0)</f>
        <v>0</v>
      </c>
      <c r="Y933" s="80" t="n">
        <f aca="false">IF(AND(OR($A933&lt;&gt;"",$E933&lt;&gt;""),OR($A933="",$E933="")),1,0)</f>
        <v>0</v>
      </c>
      <c r="Z933" s="80" t="n">
        <f aca="false">IF(AND($A933&lt;&gt;"",COUNTIF($A$7:$A$1006,$A933)&gt;1),1,0)</f>
        <v>0</v>
      </c>
    </row>
    <row r="934" customFormat="false" ht="15" hidden="false" customHeight="false" outlineLevel="0" collapsed="false">
      <c r="A934" s="71"/>
      <c r="B934" s="72"/>
      <c r="C934" s="73"/>
      <c r="D934" s="73"/>
      <c r="E934" s="74"/>
      <c r="F934" s="74"/>
      <c r="G934" s="72"/>
      <c r="H934" s="74"/>
      <c r="I934" s="72"/>
      <c r="J934" s="73"/>
      <c r="K934" s="73"/>
      <c r="L934" s="75" t="str">
        <f aca="false">IF(OR($A934&lt;&gt;"",$E934&lt;&gt;""),N($F934)+N($H934),"")</f>
        <v/>
      </c>
      <c r="M934" s="76" t="str">
        <f aca="false">IF(OR($O934="",$O934="Cancelled",$O934="Amount missing"),"",IF($O934="Realised",0,$E934-N($F934)-N($H934)))</f>
        <v/>
      </c>
      <c r="N934" s="77" t="str">
        <f aca="false">IF(OR($M934="",FX=""),"",$M934*FX)</f>
        <v/>
      </c>
      <c r="O934" s="78" t="str">
        <f aca="false">IF(NOT(OR($A934&lt;&gt;"",$E934&lt;&gt;"")),"",IF($J934="Cancelled","Cancelled",IF($E934="","Amount missing",IF(OR($J934="Settled",$E934-N($F934)-N($H934)&lt;=0.005),"Realised",IF(N($H934)&gt;0,"Part realised",IF(N($F934)&gt;0,"Advance received","On hand"))))))</f>
        <v/>
      </c>
      <c r="P934" s="79" t="str">
        <f aca="false">IF(AND($V934=1,ISNUMBER($B934)),AsAt-$B934,"")</f>
        <v/>
      </c>
      <c r="Q934" s="78" t="str">
        <f aca="false">IF($V934&lt;&gt;1,"",IF($P934="","No invoice date",IF($P934&lt;=30,"0–30 days",IF($P934&lt;=60,"31–60 days",IF($P934&lt;=90,"61–90 days","Over 90 days")))))</f>
        <v/>
      </c>
      <c r="R934" s="80" t="str">
        <f aca="false">IF($V934=1,ROW(),"")</f>
        <v/>
      </c>
      <c r="S934" s="80" t="str">
        <f aca="false">IF(OR($A934&lt;&gt;"",$E934&lt;&gt;""),IF(TRIM($D934)="","Buyer not noted",TRIM($D934)),"")</f>
        <v/>
      </c>
      <c r="T934" s="80" t="n">
        <f aca="false">IF(AND($V934=1,ISNUMBER($M934)),$M934,0)</f>
        <v>0</v>
      </c>
      <c r="U934" s="80" t="str">
        <f aca="false">IF($V934=1,IF(COUNTIFS($S$7:$S934,$S934,$V$7:$V934,1)=1,SUMIFS($T$7:$T$1006,$S$7:$S$1006,$S934)-ROW()/1000000000,""),"")</f>
        <v/>
      </c>
      <c r="V934" s="80" t="n">
        <f aca="false">IF(OR($O934="On hand",$O934="Advance received",$O934="Part realised",$O934="Amount missing"),1,0)</f>
        <v>0</v>
      </c>
      <c r="W934" s="80" t="str">
        <f aca="false">IF(AND($V934=1,N($F934)&gt;0),ROW(),"")</f>
        <v/>
      </c>
      <c r="X934" s="80" t="n">
        <f aca="false">IF(AND(OR($A934&lt;&gt;"",$E934&lt;&gt;""),$O934&lt;&gt;"Cancelled",ISNUMBER($E934),N($F934)+N($H934)&gt;$E934+0.005),1,0)</f>
        <v>0</v>
      </c>
      <c r="Y934" s="80" t="n">
        <f aca="false">IF(AND(OR($A934&lt;&gt;"",$E934&lt;&gt;""),OR($A934="",$E934="")),1,0)</f>
        <v>0</v>
      </c>
      <c r="Z934" s="80" t="n">
        <f aca="false">IF(AND($A934&lt;&gt;"",COUNTIF($A$7:$A$1006,$A934)&gt;1),1,0)</f>
        <v>0</v>
      </c>
    </row>
    <row r="935" customFormat="false" ht="15" hidden="false" customHeight="false" outlineLevel="0" collapsed="false">
      <c r="A935" s="71"/>
      <c r="B935" s="72"/>
      <c r="C935" s="73"/>
      <c r="D935" s="73"/>
      <c r="E935" s="74"/>
      <c r="F935" s="74"/>
      <c r="G935" s="72"/>
      <c r="H935" s="74"/>
      <c r="I935" s="72"/>
      <c r="J935" s="73"/>
      <c r="K935" s="73"/>
      <c r="L935" s="75" t="str">
        <f aca="false">IF(OR($A935&lt;&gt;"",$E935&lt;&gt;""),N($F935)+N($H935),"")</f>
        <v/>
      </c>
      <c r="M935" s="76" t="str">
        <f aca="false">IF(OR($O935="",$O935="Cancelled",$O935="Amount missing"),"",IF($O935="Realised",0,$E935-N($F935)-N($H935)))</f>
        <v/>
      </c>
      <c r="N935" s="77" t="str">
        <f aca="false">IF(OR($M935="",FX=""),"",$M935*FX)</f>
        <v/>
      </c>
      <c r="O935" s="78" t="str">
        <f aca="false">IF(NOT(OR($A935&lt;&gt;"",$E935&lt;&gt;"")),"",IF($J935="Cancelled","Cancelled",IF($E935="","Amount missing",IF(OR($J935="Settled",$E935-N($F935)-N($H935)&lt;=0.005),"Realised",IF(N($H935)&gt;0,"Part realised",IF(N($F935)&gt;0,"Advance received","On hand"))))))</f>
        <v/>
      </c>
      <c r="P935" s="79" t="str">
        <f aca="false">IF(AND($V935=1,ISNUMBER($B935)),AsAt-$B935,"")</f>
        <v/>
      </c>
      <c r="Q935" s="78" t="str">
        <f aca="false">IF($V935&lt;&gt;1,"",IF($P935="","No invoice date",IF($P935&lt;=30,"0–30 days",IF($P935&lt;=60,"31–60 days",IF($P935&lt;=90,"61–90 days","Over 90 days")))))</f>
        <v/>
      </c>
      <c r="R935" s="80" t="str">
        <f aca="false">IF($V935=1,ROW(),"")</f>
        <v/>
      </c>
      <c r="S935" s="80" t="str">
        <f aca="false">IF(OR($A935&lt;&gt;"",$E935&lt;&gt;""),IF(TRIM($D935)="","Buyer not noted",TRIM($D935)),"")</f>
        <v/>
      </c>
      <c r="T935" s="80" t="n">
        <f aca="false">IF(AND($V935=1,ISNUMBER($M935)),$M935,0)</f>
        <v>0</v>
      </c>
      <c r="U935" s="80" t="str">
        <f aca="false">IF($V935=1,IF(COUNTIFS($S$7:$S935,$S935,$V$7:$V935,1)=1,SUMIFS($T$7:$T$1006,$S$7:$S$1006,$S935)-ROW()/1000000000,""),"")</f>
        <v/>
      </c>
      <c r="V935" s="80" t="n">
        <f aca="false">IF(OR($O935="On hand",$O935="Advance received",$O935="Part realised",$O935="Amount missing"),1,0)</f>
        <v>0</v>
      </c>
      <c r="W935" s="80" t="str">
        <f aca="false">IF(AND($V935=1,N($F935)&gt;0),ROW(),"")</f>
        <v/>
      </c>
      <c r="X935" s="80" t="n">
        <f aca="false">IF(AND(OR($A935&lt;&gt;"",$E935&lt;&gt;""),$O935&lt;&gt;"Cancelled",ISNUMBER($E935),N($F935)+N($H935)&gt;$E935+0.005),1,0)</f>
        <v>0</v>
      </c>
      <c r="Y935" s="80" t="n">
        <f aca="false">IF(AND(OR($A935&lt;&gt;"",$E935&lt;&gt;""),OR($A935="",$E935="")),1,0)</f>
        <v>0</v>
      </c>
      <c r="Z935" s="80" t="n">
        <f aca="false">IF(AND($A935&lt;&gt;"",COUNTIF($A$7:$A$1006,$A935)&gt;1),1,0)</f>
        <v>0</v>
      </c>
    </row>
    <row r="936" customFormat="false" ht="15" hidden="false" customHeight="false" outlineLevel="0" collapsed="false">
      <c r="A936" s="71"/>
      <c r="B936" s="72"/>
      <c r="C936" s="73"/>
      <c r="D936" s="73"/>
      <c r="E936" s="74"/>
      <c r="F936" s="74"/>
      <c r="G936" s="72"/>
      <c r="H936" s="74"/>
      <c r="I936" s="72"/>
      <c r="J936" s="73"/>
      <c r="K936" s="73"/>
      <c r="L936" s="75" t="str">
        <f aca="false">IF(OR($A936&lt;&gt;"",$E936&lt;&gt;""),N($F936)+N($H936),"")</f>
        <v/>
      </c>
      <c r="M936" s="76" t="str">
        <f aca="false">IF(OR($O936="",$O936="Cancelled",$O936="Amount missing"),"",IF($O936="Realised",0,$E936-N($F936)-N($H936)))</f>
        <v/>
      </c>
      <c r="N936" s="77" t="str">
        <f aca="false">IF(OR($M936="",FX=""),"",$M936*FX)</f>
        <v/>
      </c>
      <c r="O936" s="78" t="str">
        <f aca="false">IF(NOT(OR($A936&lt;&gt;"",$E936&lt;&gt;"")),"",IF($J936="Cancelled","Cancelled",IF($E936="","Amount missing",IF(OR($J936="Settled",$E936-N($F936)-N($H936)&lt;=0.005),"Realised",IF(N($H936)&gt;0,"Part realised",IF(N($F936)&gt;0,"Advance received","On hand"))))))</f>
        <v/>
      </c>
      <c r="P936" s="79" t="str">
        <f aca="false">IF(AND($V936=1,ISNUMBER($B936)),AsAt-$B936,"")</f>
        <v/>
      </c>
      <c r="Q936" s="78" t="str">
        <f aca="false">IF($V936&lt;&gt;1,"",IF($P936="","No invoice date",IF($P936&lt;=30,"0–30 days",IF($P936&lt;=60,"31–60 days",IF($P936&lt;=90,"61–90 days","Over 90 days")))))</f>
        <v/>
      </c>
      <c r="R936" s="80" t="str">
        <f aca="false">IF($V936=1,ROW(),"")</f>
        <v/>
      </c>
      <c r="S936" s="80" t="str">
        <f aca="false">IF(OR($A936&lt;&gt;"",$E936&lt;&gt;""),IF(TRIM($D936)="","Buyer not noted",TRIM($D936)),"")</f>
        <v/>
      </c>
      <c r="T936" s="80" t="n">
        <f aca="false">IF(AND($V936=1,ISNUMBER($M936)),$M936,0)</f>
        <v>0</v>
      </c>
      <c r="U936" s="80" t="str">
        <f aca="false">IF($V936=1,IF(COUNTIFS($S$7:$S936,$S936,$V$7:$V936,1)=1,SUMIFS($T$7:$T$1006,$S$7:$S$1006,$S936)-ROW()/1000000000,""),"")</f>
        <v/>
      </c>
      <c r="V936" s="80" t="n">
        <f aca="false">IF(OR($O936="On hand",$O936="Advance received",$O936="Part realised",$O936="Amount missing"),1,0)</f>
        <v>0</v>
      </c>
      <c r="W936" s="80" t="str">
        <f aca="false">IF(AND($V936=1,N($F936)&gt;0),ROW(),"")</f>
        <v/>
      </c>
      <c r="X936" s="80" t="n">
        <f aca="false">IF(AND(OR($A936&lt;&gt;"",$E936&lt;&gt;""),$O936&lt;&gt;"Cancelled",ISNUMBER($E936),N($F936)+N($H936)&gt;$E936+0.005),1,0)</f>
        <v>0</v>
      </c>
      <c r="Y936" s="80" t="n">
        <f aca="false">IF(AND(OR($A936&lt;&gt;"",$E936&lt;&gt;""),OR($A936="",$E936="")),1,0)</f>
        <v>0</v>
      </c>
      <c r="Z936" s="80" t="n">
        <f aca="false">IF(AND($A936&lt;&gt;"",COUNTIF($A$7:$A$1006,$A936)&gt;1),1,0)</f>
        <v>0</v>
      </c>
    </row>
    <row r="937" customFormat="false" ht="15" hidden="false" customHeight="false" outlineLevel="0" collapsed="false">
      <c r="A937" s="71"/>
      <c r="B937" s="72"/>
      <c r="C937" s="73"/>
      <c r="D937" s="73"/>
      <c r="E937" s="74"/>
      <c r="F937" s="74"/>
      <c r="G937" s="72"/>
      <c r="H937" s="74"/>
      <c r="I937" s="72"/>
      <c r="J937" s="73"/>
      <c r="K937" s="73"/>
      <c r="L937" s="75" t="str">
        <f aca="false">IF(OR($A937&lt;&gt;"",$E937&lt;&gt;""),N($F937)+N($H937),"")</f>
        <v/>
      </c>
      <c r="M937" s="76" t="str">
        <f aca="false">IF(OR($O937="",$O937="Cancelled",$O937="Amount missing"),"",IF($O937="Realised",0,$E937-N($F937)-N($H937)))</f>
        <v/>
      </c>
      <c r="N937" s="77" t="str">
        <f aca="false">IF(OR($M937="",FX=""),"",$M937*FX)</f>
        <v/>
      </c>
      <c r="O937" s="78" t="str">
        <f aca="false">IF(NOT(OR($A937&lt;&gt;"",$E937&lt;&gt;"")),"",IF($J937="Cancelled","Cancelled",IF($E937="","Amount missing",IF(OR($J937="Settled",$E937-N($F937)-N($H937)&lt;=0.005),"Realised",IF(N($H937)&gt;0,"Part realised",IF(N($F937)&gt;0,"Advance received","On hand"))))))</f>
        <v/>
      </c>
      <c r="P937" s="79" t="str">
        <f aca="false">IF(AND($V937=1,ISNUMBER($B937)),AsAt-$B937,"")</f>
        <v/>
      </c>
      <c r="Q937" s="78" t="str">
        <f aca="false">IF($V937&lt;&gt;1,"",IF($P937="","No invoice date",IF($P937&lt;=30,"0–30 days",IF($P937&lt;=60,"31–60 days",IF($P937&lt;=90,"61–90 days","Over 90 days")))))</f>
        <v/>
      </c>
      <c r="R937" s="80" t="str">
        <f aca="false">IF($V937=1,ROW(),"")</f>
        <v/>
      </c>
      <c r="S937" s="80" t="str">
        <f aca="false">IF(OR($A937&lt;&gt;"",$E937&lt;&gt;""),IF(TRIM($D937)="","Buyer not noted",TRIM($D937)),"")</f>
        <v/>
      </c>
      <c r="T937" s="80" t="n">
        <f aca="false">IF(AND($V937=1,ISNUMBER($M937)),$M937,0)</f>
        <v>0</v>
      </c>
      <c r="U937" s="80" t="str">
        <f aca="false">IF($V937=1,IF(COUNTIFS($S$7:$S937,$S937,$V$7:$V937,1)=1,SUMIFS($T$7:$T$1006,$S$7:$S$1006,$S937)-ROW()/1000000000,""),"")</f>
        <v/>
      </c>
      <c r="V937" s="80" t="n">
        <f aca="false">IF(OR($O937="On hand",$O937="Advance received",$O937="Part realised",$O937="Amount missing"),1,0)</f>
        <v>0</v>
      </c>
      <c r="W937" s="80" t="str">
        <f aca="false">IF(AND($V937=1,N($F937)&gt;0),ROW(),"")</f>
        <v/>
      </c>
      <c r="X937" s="80" t="n">
        <f aca="false">IF(AND(OR($A937&lt;&gt;"",$E937&lt;&gt;""),$O937&lt;&gt;"Cancelled",ISNUMBER($E937),N($F937)+N($H937)&gt;$E937+0.005),1,0)</f>
        <v>0</v>
      </c>
      <c r="Y937" s="80" t="n">
        <f aca="false">IF(AND(OR($A937&lt;&gt;"",$E937&lt;&gt;""),OR($A937="",$E937="")),1,0)</f>
        <v>0</v>
      </c>
      <c r="Z937" s="80" t="n">
        <f aca="false">IF(AND($A937&lt;&gt;"",COUNTIF($A$7:$A$1006,$A937)&gt;1),1,0)</f>
        <v>0</v>
      </c>
    </row>
    <row r="938" customFormat="false" ht="15" hidden="false" customHeight="false" outlineLevel="0" collapsed="false">
      <c r="A938" s="71"/>
      <c r="B938" s="72"/>
      <c r="C938" s="73"/>
      <c r="D938" s="73"/>
      <c r="E938" s="74"/>
      <c r="F938" s="74"/>
      <c r="G938" s="72"/>
      <c r="H938" s="74"/>
      <c r="I938" s="72"/>
      <c r="J938" s="73"/>
      <c r="K938" s="73"/>
      <c r="L938" s="75" t="str">
        <f aca="false">IF(OR($A938&lt;&gt;"",$E938&lt;&gt;""),N($F938)+N($H938),"")</f>
        <v/>
      </c>
      <c r="M938" s="76" t="str">
        <f aca="false">IF(OR($O938="",$O938="Cancelled",$O938="Amount missing"),"",IF($O938="Realised",0,$E938-N($F938)-N($H938)))</f>
        <v/>
      </c>
      <c r="N938" s="77" t="str">
        <f aca="false">IF(OR($M938="",FX=""),"",$M938*FX)</f>
        <v/>
      </c>
      <c r="O938" s="78" t="str">
        <f aca="false">IF(NOT(OR($A938&lt;&gt;"",$E938&lt;&gt;"")),"",IF($J938="Cancelled","Cancelled",IF($E938="","Amount missing",IF(OR($J938="Settled",$E938-N($F938)-N($H938)&lt;=0.005),"Realised",IF(N($H938)&gt;0,"Part realised",IF(N($F938)&gt;0,"Advance received","On hand"))))))</f>
        <v/>
      </c>
      <c r="P938" s="79" t="str">
        <f aca="false">IF(AND($V938=1,ISNUMBER($B938)),AsAt-$B938,"")</f>
        <v/>
      </c>
      <c r="Q938" s="78" t="str">
        <f aca="false">IF($V938&lt;&gt;1,"",IF($P938="","No invoice date",IF($P938&lt;=30,"0–30 days",IF($P938&lt;=60,"31–60 days",IF($P938&lt;=90,"61–90 days","Over 90 days")))))</f>
        <v/>
      </c>
      <c r="R938" s="80" t="str">
        <f aca="false">IF($V938=1,ROW(),"")</f>
        <v/>
      </c>
      <c r="S938" s="80" t="str">
        <f aca="false">IF(OR($A938&lt;&gt;"",$E938&lt;&gt;""),IF(TRIM($D938)="","Buyer not noted",TRIM($D938)),"")</f>
        <v/>
      </c>
      <c r="T938" s="80" t="n">
        <f aca="false">IF(AND($V938=1,ISNUMBER($M938)),$M938,0)</f>
        <v>0</v>
      </c>
      <c r="U938" s="80" t="str">
        <f aca="false">IF($V938=1,IF(COUNTIFS($S$7:$S938,$S938,$V$7:$V938,1)=1,SUMIFS($T$7:$T$1006,$S$7:$S$1006,$S938)-ROW()/1000000000,""),"")</f>
        <v/>
      </c>
      <c r="V938" s="80" t="n">
        <f aca="false">IF(OR($O938="On hand",$O938="Advance received",$O938="Part realised",$O938="Amount missing"),1,0)</f>
        <v>0</v>
      </c>
      <c r="W938" s="80" t="str">
        <f aca="false">IF(AND($V938=1,N($F938)&gt;0),ROW(),"")</f>
        <v/>
      </c>
      <c r="X938" s="80" t="n">
        <f aca="false">IF(AND(OR($A938&lt;&gt;"",$E938&lt;&gt;""),$O938&lt;&gt;"Cancelled",ISNUMBER($E938),N($F938)+N($H938)&gt;$E938+0.005),1,0)</f>
        <v>0</v>
      </c>
      <c r="Y938" s="80" t="n">
        <f aca="false">IF(AND(OR($A938&lt;&gt;"",$E938&lt;&gt;""),OR($A938="",$E938="")),1,0)</f>
        <v>0</v>
      </c>
      <c r="Z938" s="80" t="n">
        <f aca="false">IF(AND($A938&lt;&gt;"",COUNTIF($A$7:$A$1006,$A938)&gt;1),1,0)</f>
        <v>0</v>
      </c>
    </row>
    <row r="939" customFormat="false" ht="15" hidden="false" customHeight="false" outlineLevel="0" collapsed="false">
      <c r="A939" s="71"/>
      <c r="B939" s="72"/>
      <c r="C939" s="73"/>
      <c r="D939" s="73"/>
      <c r="E939" s="74"/>
      <c r="F939" s="74"/>
      <c r="G939" s="72"/>
      <c r="H939" s="74"/>
      <c r="I939" s="72"/>
      <c r="J939" s="73"/>
      <c r="K939" s="73"/>
      <c r="L939" s="75" t="str">
        <f aca="false">IF(OR($A939&lt;&gt;"",$E939&lt;&gt;""),N($F939)+N($H939),"")</f>
        <v/>
      </c>
      <c r="M939" s="76" t="str">
        <f aca="false">IF(OR($O939="",$O939="Cancelled",$O939="Amount missing"),"",IF($O939="Realised",0,$E939-N($F939)-N($H939)))</f>
        <v/>
      </c>
      <c r="N939" s="77" t="str">
        <f aca="false">IF(OR($M939="",FX=""),"",$M939*FX)</f>
        <v/>
      </c>
      <c r="O939" s="78" t="str">
        <f aca="false">IF(NOT(OR($A939&lt;&gt;"",$E939&lt;&gt;"")),"",IF($J939="Cancelled","Cancelled",IF($E939="","Amount missing",IF(OR($J939="Settled",$E939-N($F939)-N($H939)&lt;=0.005),"Realised",IF(N($H939)&gt;0,"Part realised",IF(N($F939)&gt;0,"Advance received","On hand"))))))</f>
        <v/>
      </c>
      <c r="P939" s="79" t="str">
        <f aca="false">IF(AND($V939=1,ISNUMBER($B939)),AsAt-$B939,"")</f>
        <v/>
      </c>
      <c r="Q939" s="78" t="str">
        <f aca="false">IF($V939&lt;&gt;1,"",IF($P939="","No invoice date",IF($P939&lt;=30,"0–30 days",IF($P939&lt;=60,"31–60 days",IF($P939&lt;=90,"61–90 days","Over 90 days")))))</f>
        <v/>
      </c>
      <c r="R939" s="80" t="str">
        <f aca="false">IF($V939=1,ROW(),"")</f>
        <v/>
      </c>
      <c r="S939" s="80" t="str">
        <f aca="false">IF(OR($A939&lt;&gt;"",$E939&lt;&gt;""),IF(TRIM($D939)="","Buyer not noted",TRIM($D939)),"")</f>
        <v/>
      </c>
      <c r="T939" s="80" t="n">
        <f aca="false">IF(AND($V939=1,ISNUMBER($M939)),$M939,0)</f>
        <v>0</v>
      </c>
      <c r="U939" s="80" t="str">
        <f aca="false">IF($V939=1,IF(COUNTIFS($S$7:$S939,$S939,$V$7:$V939,1)=1,SUMIFS($T$7:$T$1006,$S$7:$S$1006,$S939)-ROW()/1000000000,""),"")</f>
        <v/>
      </c>
      <c r="V939" s="80" t="n">
        <f aca="false">IF(OR($O939="On hand",$O939="Advance received",$O939="Part realised",$O939="Amount missing"),1,0)</f>
        <v>0</v>
      </c>
      <c r="W939" s="80" t="str">
        <f aca="false">IF(AND($V939=1,N($F939)&gt;0),ROW(),"")</f>
        <v/>
      </c>
      <c r="X939" s="80" t="n">
        <f aca="false">IF(AND(OR($A939&lt;&gt;"",$E939&lt;&gt;""),$O939&lt;&gt;"Cancelled",ISNUMBER($E939),N($F939)+N($H939)&gt;$E939+0.005),1,0)</f>
        <v>0</v>
      </c>
      <c r="Y939" s="80" t="n">
        <f aca="false">IF(AND(OR($A939&lt;&gt;"",$E939&lt;&gt;""),OR($A939="",$E939="")),1,0)</f>
        <v>0</v>
      </c>
      <c r="Z939" s="80" t="n">
        <f aca="false">IF(AND($A939&lt;&gt;"",COUNTIF($A$7:$A$1006,$A939)&gt;1),1,0)</f>
        <v>0</v>
      </c>
    </row>
    <row r="940" customFormat="false" ht="15" hidden="false" customHeight="false" outlineLevel="0" collapsed="false">
      <c r="A940" s="71"/>
      <c r="B940" s="72"/>
      <c r="C940" s="73"/>
      <c r="D940" s="73"/>
      <c r="E940" s="74"/>
      <c r="F940" s="74"/>
      <c r="G940" s="72"/>
      <c r="H940" s="74"/>
      <c r="I940" s="72"/>
      <c r="J940" s="73"/>
      <c r="K940" s="73"/>
      <c r="L940" s="75" t="str">
        <f aca="false">IF(OR($A940&lt;&gt;"",$E940&lt;&gt;""),N($F940)+N($H940),"")</f>
        <v/>
      </c>
      <c r="M940" s="76" t="str">
        <f aca="false">IF(OR($O940="",$O940="Cancelled",$O940="Amount missing"),"",IF($O940="Realised",0,$E940-N($F940)-N($H940)))</f>
        <v/>
      </c>
      <c r="N940" s="77" t="str">
        <f aca="false">IF(OR($M940="",FX=""),"",$M940*FX)</f>
        <v/>
      </c>
      <c r="O940" s="78" t="str">
        <f aca="false">IF(NOT(OR($A940&lt;&gt;"",$E940&lt;&gt;"")),"",IF($J940="Cancelled","Cancelled",IF($E940="","Amount missing",IF(OR($J940="Settled",$E940-N($F940)-N($H940)&lt;=0.005),"Realised",IF(N($H940)&gt;0,"Part realised",IF(N($F940)&gt;0,"Advance received","On hand"))))))</f>
        <v/>
      </c>
      <c r="P940" s="79" t="str">
        <f aca="false">IF(AND($V940=1,ISNUMBER($B940)),AsAt-$B940,"")</f>
        <v/>
      </c>
      <c r="Q940" s="78" t="str">
        <f aca="false">IF($V940&lt;&gt;1,"",IF($P940="","No invoice date",IF($P940&lt;=30,"0–30 days",IF($P940&lt;=60,"31–60 days",IF($P940&lt;=90,"61–90 days","Over 90 days")))))</f>
        <v/>
      </c>
      <c r="R940" s="80" t="str">
        <f aca="false">IF($V940=1,ROW(),"")</f>
        <v/>
      </c>
      <c r="S940" s="80" t="str">
        <f aca="false">IF(OR($A940&lt;&gt;"",$E940&lt;&gt;""),IF(TRIM($D940)="","Buyer not noted",TRIM($D940)),"")</f>
        <v/>
      </c>
      <c r="T940" s="80" t="n">
        <f aca="false">IF(AND($V940=1,ISNUMBER($M940)),$M940,0)</f>
        <v>0</v>
      </c>
      <c r="U940" s="80" t="str">
        <f aca="false">IF($V940=1,IF(COUNTIFS($S$7:$S940,$S940,$V$7:$V940,1)=1,SUMIFS($T$7:$T$1006,$S$7:$S$1006,$S940)-ROW()/1000000000,""),"")</f>
        <v/>
      </c>
      <c r="V940" s="80" t="n">
        <f aca="false">IF(OR($O940="On hand",$O940="Advance received",$O940="Part realised",$O940="Amount missing"),1,0)</f>
        <v>0</v>
      </c>
      <c r="W940" s="80" t="str">
        <f aca="false">IF(AND($V940=1,N($F940)&gt;0),ROW(),"")</f>
        <v/>
      </c>
      <c r="X940" s="80" t="n">
        <f aca="false">IF(AND(OR($A940&lt;&gt;"",$E940&lt;&gt;""),$O940&lt;&gt;"Cancelled",ISNUMBER($E940),N($F940)+N($H940)&gt;$E940+0.005),1,0)</f>
        <v>0</v>
      </c>
      <c r="Y940" s="80" t="n">
        <f aca="false">IF(AND(OR($A940&lt;&gt;"",$E940&lt;&gt;""),OR($A940="",$E940="")),1,0)</f>
        <v>0</v>
      </c>
      <c r="Z940" s="80" t="n">
        <f aca="false">IF(AND($A940&lt;&gt;"",COUNTIF($A$7:$A$1006,$A940)&gt;1),1,0)</f>
        <v>0</v>
      </c>
    </row>
    <row r="941" customFormat="false" ht="15" hidden="false" customHeight="false" outlineLevel="0" collapsed="false">
      <c r="A941" s="71"/>
      <c r="B941" s="72"/>
      <c r="C941" s="73"/>
      <c r="D941" s="73"/>
      <c r="E941" s="74"/>
      <c r="F941" s="74"/>
      <c r="G941" s="72"/>
      <c r="H941" s="74"/>
      <c r="I941" s="72"/>
      <c r="J941" s="73"/>
      <c r="K941" s="73"/>
      <c r="L941" s="75" t="str">
        <f aca="false">IF(OR($A941&lt;&gt;"",$E941&lt;&gt;""),N($F941)+N($H941),"")</f>
        <v/>
      </c>
      <c r="M941" s="76" t="str">
        <f aca="false">IF(OR($O941="",$O941="Cancelled",$O941="Amount missing"),"",IF($O941="Realised",0,$E941-N($F941)-N($H941)))</f>
        <v/>
      </c>
      <c r="N941" s="77" t="str">
        <f aca="false">IF(OR($M941="",FX=""),"",$M941*FX)</f>
        <v/>
      </c>
      <c r="O941" s="78" t="str">
        <f aca="false">IF(NOT(OR($A941&lt;&gt;"",$E941&lt;&gt;"")),"",IF($J941="Cancelled","Cancelled",IF($E941="","Amount missing",IF(OR($J941="Settled",$E941-N($F941)-N($H941)&lt;=0.005),"Realised",IF(N($H941)&gt;0,"Part realised",IF(N($F941)&gt;0,"Advance received","On hand"))))))</f>
        <v/>
      </c>
      <c r="P941" s="79" t="str">
        <f aca="false">IF(AND($V941=1,ISNUMBER($B941)),AsAt-$B941,"")</f>
        <v/>
      </c>
      <c r="Q941" s="78" t="str">
        <f aca="false">IF($V941&lt;&gt;1,"",IF($P941="","No invoice date",IF($P941&lt;=30,"0–30 days",IF($P941&lt;=60,"31–60 days",IF($P941&lt;=90,"61–90 days","Over 90 days")))))</f>
        <v/>
      </c>
      <c r="R941" s="80" t="str">
        <f aca="false">IF($V941=1,ROW(),"")</f>
        <v/>
      </c>
      <c r="S941" s="80" t="str">
        <f aca="false">IF(OR($A941&lt;&gt;"",$E941&lt;&gt;""),IF(TRIM($D941)="","Buyer not noted",TRIM($D941)),"")</f>
        <v/>
      </c>
      <c r="T941" s="80" t="n">
        <f aca="false">IF(AND($V941=1,ISNUMBER($M941)),$M941,0)</f>
        <v>0</v>
      </c>
      <c r="U941" s="80" t="str">
        <f aca="false">IF($V941=1,IF(COUNTIFS($S$7:$S941,$S941,$V$7:$V941,1)=1,SUMIFS($T$7:$T$1006,$S$7:$S$1006,$S941)-ROW()/1000000000,""),"")</f>
        <v/>
      </c>
      <c r="V941" s="80" t="n">
        <f aca="false">IF(OR($O941="On hand",$O941="Advance received",$O941="Part realised",$O941="Amount missing"),1,0)</f>
        <v>0</v>
      </c>
      <c r="W941" s="80" t="str">
        <f aca="false">IF(AND($V941=1,N($F941)&gt;0),ROW(),"")</f>
        <v/>
      </c>
      <c r="X941" s="80" t="n">
        <f aca="false">IF(AND(OR($A941&lt;&gt;"",$E941&lt;&gt;""),$O941&lt;&gt;"Cancelled",ISNUMBER($E941),N($F941)+N($H941)&gt;$E941+0.005),1,0)</f>
        <v>0</v>
      </c>
      <c r="Y941" s="80" t="n">
        <f aca="false">IF(AND(OR($A941&lt;&gt;"",$E941&lt;&gt;""),OR($A941="",$E941="")),1,0)</f>
        <v>0</v>
      </c>
      <c r="Z941" s="80" t="n">
        <f aca="false">IF(AND($A941&lt;&gt;"",COUNTIF($A$7:$A$1006,$A941)&gt;1),1,0)</f>
        <v>0</v>
      </c>
    </row>
    <row r="942" customFormat="false" ht="15" hidden="false" customHeight="false" outlineLevel="0" collapsed="false">
      <c r="A942" s="71"/>
      <c r="B942" s="72"/>
      <c r="C942" s="73"/>
      <c r="D942" s="73"/>
      <c r="E942" s="74"/>
      <c r="F942" s="74"/>
      <c r="G942" s="72"/>
      <c r="H942" s="74"/>
      <c r="I942" s="72"/>
      <c r="J942" s="73"/>
      <c r="K942" s="73"/>
      <c r="L942" s="75" t="str">
        <f aca="false">IF(OR($A942&lt;&gt;"",$E942&lt;&gt;""),N($F942)+N($H942),"")</f>
        <v/>
      </c>
      <c r="M942" s="76" t="str">
        <f aca="false">IF(OR($O942="",$O942="Cancelled",$O942="Amount missing"),"",IF($O942="Realised",0,$E942-N($F942)-N($H942)))</f>
        <v/>
      </c>
      <c r="N942" s="77" t="str">
        <f aca="false">IF(OR($M942="",FX=""),"",$M942*FX)</f>
        <v/>
      </c>
      <c r="O942" s="78" t="str">
        <f aca="false">IF(NOT(OR($A942&lt;&gt;"",$E942&lt;&gt;"")),"",IF($J942="Cancelled","Cancelled",IF($E942="","Amount missing",IF(OR($J942="Settled",$E942-N($F942)-N($H942)&lt;=0.005),"Realised",IF(N($H942)&gt;0,"Part realised",IF(N($F942)&gt;0,"Advance received","On hand"))))))</f>
        <v/>
      </c>
      <c r="P942" s="79" t="str">
        <f aca="false">IF(AND($V942=1,ISNUMBER($B942)),AsAt-$B942,"")</f>
        <v/>
      </c>
      <c r="Q942" s="78" t="str">
        <f aca="false">IF($V942&lt;&gt;1,"",IF($P942="","No invoice date",IF($P942&lt;=30,"0–30 days",IF($P942&lt;=60,"31–60 days",IF($P942&lt;=90,"61–90 days","Over 90 days")))))</f>
        <v/>
      </c>
      <c r="R942" s="80" t="str">
        <f aca="false">IF($V942=1,ROW(),"")</f>
        <v/>
      </c>
      <c r="S942" s="80" t="str">
        <f aca="false">IF(OR($A942&lt;&gt;"",$E942&lt;&gt;""),IF(TRIM($D942)="","Buyer not noted",TRIM($D942)),"")</f>
        <v/>
      </c>
      <c r="T942" s="80" t="n">
        <f aca="false">IF(AND($V942=1,ISNUMBER($M942)),$M942,0)</f>
        <v>0</v>
      </c>
      <c r="U942" s="80" t="str">
        <f aca="false">IF($V942=1,IF(COUNTIFS($S$7:$S942,$S942,$V$7:$V942,1)=1,SUMIFS($T$7:$T$1006,$S$7:$S$1006,$S942)-ROW()/1000000000,""),"")</f>
        <v/>
      </c>
      <c r="V942" s="80" t="n">
        <f aca="false">IF(OR($O942="On hand",$O942="Advance received",$O942="Part realised",$O942="Amount missing"),1,0)</f>
        <v>0</v>
      </c>
      <c r="W942" s="80" t="str">
        <f aca="false">IF(AND($V942=1,N($F942)&gt;0),ROW(),"")</f>
        <v/>
      </c>
      <c r="X942" s="80" t="n">
        <f aca="false">IF(AND(OR($A942&lt;&gt;"",$E942&lt;&gt;""),$O942&lt;&gt;"Cancelled",ISNUMBER($E942),N($F942)+N($H942)&gt;$E942+0.005),1,0)</f>
        <v>0</v>
      </c>
      <c r="Y942" s="80" t="n">
        <f aca="false">IF(AND(OR($A942&lt;&gt;"",$E942&lt;&gt;""),OR($A942="",$E942="")),1,0)</f>
        <v>0</v>
      </c>
      <c r="Z942" s="80" t="n">
        <f aca="false">IF(AND($A942&lt;&gt;"",COUNTIF($A$7:$A$1006,$A942)&gt;1),1,0)</f>
        <v>0</v>
      </c>
    </row>
    <row r="943" customFormat="false" ht="15" hidden="false" customHeight="false" outlineLevel="0" collapsed="false">
      <c r="A943" s="71"/>
      <c r="B943" s="72"/>
      <c r="C943" s="73"/>
      <c r="D943" s="73"/>
      <c r="E943" s="74"/>
      <c r="F943" s="74"/>
      <c r="G943" s="72"/>
      <c r="H943" s="74"/>
      <c r="I943" s="72"/>
      <c r="J943" s="73"/>
      <c r="K943" s="73"/>
      <c r="L943" s="75" t="str">
        <f aca="false">IF(OR($A943&lt;&gt;"",$E943&lt;&gt;""),N($F943)+N($H943),"")</f>
        <v/>
      </c>
      <c r="M943" s="76" t="str">
        <f aca="false">IF(OR($O943="",$O943="Cancelled",$O943="Amount missing"),"",IF($O943="Realised",0,$E943-N($F943)-N($H943)))</f>
        <v/>
      </c>
      <c r="N943" s="77" t="str">
        <f aca="false">IF(OR($M943="",FX=""),"",$M943*FX)</f>
        <v/>
      </c>
      <c r="O943" s="78" t="str">
        <f aca="false">IF(NOT(OR($A943&lt;&gt;"",$E943&lt;&gt;"")),"",IF($J943="Cancelled","Cancelled",IF($E943="","Amount missing",IF(OR($J943="Settled",$E943-N($F943)-N($H943)&lt;=0.005),"Realised",IF(N($H943)&gt;0,"Part realised",IF(N($F943)&gt;0,"Advance received","On hand"))))))</f>
        <v/>
      </c>
      <c r="P943" s="79" t="str">
        <f aca="false">IF(AND($V943=1,ISNUMBER($B943)),AsAt-$B943,"")</f>
        <v/>
      </c>
      <c r="Q943" s="78" t="str">
        <f aca="false">IF($V943&lt;&gt;1,"",IF($P943="","No invoice date",IF($P943&lt;=30,"0–30 days",IF($P943&lt;=60,"31–60 days",IF($P943&lt;=90,"61–90 days","Over 90 days")))))</f>
        <v/>
      </c>
      <c r="R943" s="80" t="str">
        <f aca="false">IF($V943=1,ROW(),"")</f>
        <v/>
      </c>
      <c r="S943" s="80" t="str">
        <f aca="false">IF(OR($A943&lt;&gt;"",$E943&lt;&gt;""),IF(TRIM($D943)="","Buyer not noted",TRIM($D943)),"")</f>
        <v/>
      </c>
      <c r="T943" s="80" t="n">
        <f aca="false">IF(AND($V943=1,ISNUMBER($M943)),$M943,0)</f>
        <v>0</v>
      </c>
      <c r="U943" s="80" t="str">
        <f aca="false">IF($V943=1,IF(COUNTIFS($S$7:$S943,$S943,$V$7:$V943,1)=1,SUMIFS($T$7:$T$1006,$S$7:$S$1006,$S943)-ROW()/1000000000,""),"")</f>
        <v/>
      </c>
      <c r="V943" s="80" t="n">
        <f aca="false">IF(OR($O943="On hand",$O943="Advance received",$O943="Part realised",$O943="Amount missing"),1,0)</f>
        <v>0</v>
      </c>
      <c r="W943" s="80" t="str">
        <f aca="false">IF(AND($V943=1,N($F943)&gt;0),ROW(),"")</f>
        <v/>
      </c>
      <c r="X943" s="80" t="n">
        <f aca="false">IF(AND(OR($A943&lt;&gt;"",$E943&lt;&gt;""),$O943&lt;&gt;"Cancelled",ISNUMBER($E943),N($F943)+N($H943)&gt;$E943+0.005),1,0)</f>
        <v>0</v>
      </c>
      <c r="Y943" s="80" t="n">
        <f aca="false">IF(AND(OR($A943&lt;&gt;"",$E943&lt;&gt;""),OR($A943="",$E943="")),1,0)</f>
        <v>0</v>
      </c>
      <c r="Z943" s="80" t="n">
        <f aca="false">IF(AND($A943&lt;&gt;"",COUNTIF($A$7:$A$1006,$A943)&gt;1),1,0)</f>
        <v>0</v>
      </c>
    </row>
    <row r="944" customFormat="false" ht="15" hidden="false" customHeight="false" outlineLevel="0" collapsed="false">
      <c r="A944" s="71"/>
      <c r="B944" s="72"/>
      <c r="C944" s="73"/>
      <c r="D944" s="73"/>
      <c r="E944" s="74"/>
      <c r="F944" s="74"/>
      <c r="G944" s="72"/>
      <c r="H944" s="74"/>
      <c r="I944" s="72"/>
      <c r="J944" s="73"/>
      <c r="K944" s="73"/>
      <c r="L944" s="75" t="str">
        <f aca="false">IF(OR($A944&lt;&gt;"",$E944&lt;&gt;""),N($F944)+N($H944),"")</f>
        <v/>
      </c>
      <c r="M944" s="76" t="str">
        <f aca="false">IF(OR($O944="",$O944="Cancelled",$O944="Amount missing"),"",IF($O944="Realised",0,$E944-N($F944)-N($H944)))</f>
        <v/>
      </c>
      <c r="N944" s="77" t="str">
        <f aca="false">IF(OR($M944="",FX=""),"",$M944*FX)</f>
        <v/>
      </c>
      <c r="O944" s="78" t="str">
        <f aca="false">IF(NOT(OR($A944&lt;&gt;"",$E944&lt;&gt;"")),"",IF($J944="Cancelled","Cancelled",IF($E944="","Amount missing",IF(OR($J944="Settled",$E944-N($F944)-N($H944)&lt;=0.005),"Realised",IF(N($H944)&gt;0,"Part realised",IF(N($F944)&gt;0,"Advance received","On hand"))))))</f>
        <v/>
      </c>
      <c r="P944" s="79" t="str">
        <f aca="false">IF(AND($V944=1,ISNUMBER($B944)),AsAt-$B944,"")</f>
        <v/>
      </c>
      <c r="Q944" s="78" t="str">
        <f aca="false">IF($V944&lt;&gt;1,"",IF($P944="","No invoice date",IF($P944&lt;=30,"0–30 days",IF($P944&lt;=60,"31–60 days",IF($P944&lt;=90,"61–90 days","Over 90 days")))))</f>
        <v/>
      </c>
      <c r="R944" s="80" t="str">
        <f aca="false">IF($V944=1,ROW(),"")</f>
        <v/>
      </c>
      <c r="S944" s="80" t="str">
        <f aca="false">IF(OR($A944&lt;&gt;"",$E944&lt;&gt;""),IF(TRIM($D944)="","Buyer not noted",TRIM($D944)),"")</f>
        <v/>
      </c>
      <c r="T944" s="80" t="n">
        <f aca="false">IF(AND($V944=1,ISNUMBER($M944)),$M944,0)</f>
        <v>0</v>
      </c>
      <c r="U944" s="80" t="str">
        <f aca="false">IF($V944=1,IF(COUNTIFS($S$7:$S944,$S944,$V$7:$V944,1)=1,SUMIFS($T$7:$T$1006,$S$7:$S$1006,$S944)-ROW()/1000000000,""),"")</f>
        <v/>
      </c>
      <c r="V944" s="80" t="n">
        <f aca="false">IF(OR($O944="On hand",$O944="Advance received",$O944="Part realised",$O944="Amount missing"),1,0)</f>
        <v>0</v>
      </c>
      <c r="W944" s="80" t="str">
        <f aca="false">IF(AND($V944=1,N($F944)&gt;0),ROW(),"")</f>
        <v/>
      </c>
      <c r="X944" s="80" t="n">
        <f aca="false">IF(AND(OR($A944&lt;&gt;"",$E944&lt;&gt;""),$O944&lt;&gt;"Cancelled",ISNUMBER($E944),N($F944)+N($H944)&gt;$E944+0.005),1,0)</f>
        <v>0</v>
      </c>
      <c r="Y944" s="80" t="n">
        <f aca="false">IF(AND(OR($A944&lt;&gt;"",$E944&lt;&gt;""),OR($A944="",$E944="")),1,0)</f>
        <v>0</v>
      </c>
      <c r="Z944" s="80" t="n">
        <f aca="false">IF(AND($A944&lt;&gt;"",COUNTIF($A$7:$A$1006,$A944)&gt;1),1,0)</f>
        <v>0</v>
      </c>
    </row>
    <row r="945" customFormat="false" ht="15" hidden="false" customHeight="false" outlineLevel="0" collapsed="false">
      <c r="A945" s="71"/>
      <c r="B945" s="72"/>
      <c r="C945" s="73"/>
      <c r="D945" s="73"/>
      <c r="E945" s="74"/>
      <c r="F945" s="74"/>
      <c r="G945" s="72"/>
      <c r="H945" s="74"/>
      <c r="I945" s="72"/>
      <c r="J945" s="73"/>
      <c r="K945" s="73"/>
      <c r="L945" s="75" t="str">
        <f aca="false">IF(OR($A945&lt;&gt;"",$E945&lt;&gt;""),N($F945)+N($H945),"")</f>
        <v/>
      </c>
      <c r="M945" s="76" t="str">
        <f aca="false">IF(OR($O945="",$O945="Cancelled",$O945="Amount missing"),"",IF($O945="Realised",0,$E945-N($F945)-N($H945)))</f>
        <v/>
      </c>
      <c r="N945" s="77" t="str">
        <f aca="false">IF(OR($M945="",FX=""),"",$M945*FX)</f>
        <v/>
      </c>
      <c r="O945" s="78" t="str">
        <f aca="false">IF(NOT(OR($A945&lt;&gt;"",$E945&lt;&gt;"")),"",IF($J945="Cancelled","Cancelled",IF($E945="","Amount missing",IF(OR($J945="Settled",$E945-N($F945)-N($H945)&lt;=0.005),"Realised",IF(N($H945)&gt;0,"Part realised",IF(N($F945)&gt;0,"Advance received","On hand"))))))</f>
        <v/>
      </c>
      <c r="P945" s="79" t="str">
        <f aca="false">IF(AND($V945=1,ISNUMBER($B945)),AsAt-$B945,"")</f>
        <v/>
      </c>
      <c r="Q945" s="78" t="str">
        <f aca="false">IF($V945&lt;&gt;1,"",IF($P945="","No invoice date",IF($P945&lt;=30,"0–30 days",IF($P945&lt;=60,"31–60 days",IF($P945&lt;=90,"61–90 days","Over 90 days")))))</f>
        <v/>
      </c>
      <c r="R945" s="80" t="str">
        <f aca="false">IF($V945=1,ROW(),"")</f>
        <v/>
      </c>
      <c r="S945" s="80" t="str">
        <f aca="false">IF(OR($A945&lt;&gt;"",$E945&lt;&gt;""),IF(TRIM($D945)="","Buyer not noted",TRIM($D945)),"")</f>
        <v/>
      </c>
      <c r="T945" s="80" t="n">
        <f aca="false">IF(AND($V945=1,ISNUMBER($M945)),$M945,0)</f>
        <v>0</v>
      </c>
      <c r="U945" s="80" t="str">
        <f aca="false">IF($V945=1,IF(COUNTIFS($S$7:$S945,$S945,$V$7:$V945,1)=1,SUMIFS($T$7:$T$1006,$S$7:$S$1006,$S945)-ROW()/1000000000,""),"")</f>
        <v/>
      </c>
      <c r="V945" s="80" t="n">
        <f aca="false">IF(OR($O945="On hand",$O945="Advance received",$O945="Part realised",$O945="Amount missing"),1,0)</f>
        <v>0</v>
      </c>
      <c r="W945" s="80" t="str">
        <f aca="false">IF(AND($V945=1,N($F945)&gt;0),ROW(),"")</f>
        <v/>
      </c>
      <c r="X945" s="80" t="n">
        <f aca="false">IF(AND(OR($A945&lt;&gt;"",$E945&lt;&gt;""),$O945&lt;&gt;"Cancelled",ISNUMBER($E945),N($F945)+N($H945)&gt;$E945+0.005),1,0)</f>
        <v>0</v>
      </c>
      <c r="Y945" s="80" t="n">
        <f aca="false">IF(AND(OR($A945&lt;&gt;"",$E945&lt;&gt;""),OR($A945="",$E945="")),1,0)</f>
        <v>0</v>
      </c>
      <c r="Z945" s="80" t="n">
        <f aca="false">IF(AND($A945&lt;&gt;"",COUNTIF($A$7:$A$1006,$A945)&gt;1),1,0)</f>
        <v>0</v>
      </c>
    </row>
    <row r="946" customFormat="false" ht="15" hidden="false" customHeight="false" outlineLevel="0" collapsed="false">
      <c r="A946" s="71"/>
      <c r="B946" s="72"/>
      <c r="C946" s="73"/>
      <c r="D946" s="73"/>
      <c r="E946" s="74"/>
      <c r="F946" s="74"/>
      <c r="G946" s="72"/>
      <c r="H946" s="74"/>
      <c r="I946" s="72"/>
      <c r="J946" s="73"/>
      <c r="K946" s="73"/>
      <c r="L946" s="75" t="str">
        <f aca="false">IF(OR($A946&lt;&gt;"",$E946&lt;&gt;""),N($F946)+N($H946),"")</f>
        <v/>
      </c>
      <c r="M946" s="76" t="str">
        <f aca="false">IF(OR($O946="",$O946="Cancelled",$O946="Amount missing"),"",IF($O946="Realised",0,$E946-N($F946)-N($H946)))</f>
        <v/>
      </c>
      <c r="N946" s="77" t="str">
        <f aca="false">IF(OR($M946="",FX=""),"",$M946*FX)</f>
        <v/>
      </c>
      <c r="O946" s="78" t="str">
        <f aca="false">IF(NOT(OR($A946&lt;&gt;"",$E946&lt;&gt;"")),"",IF($J946="Cancelled","Cancelled",IF($E946="","Amount missing",IF(OR($J946="Settled",$E946-N($F946)-N($H946)&lt;=0.005),"Realised",IF(N($H946)&gt;0,"Part realised",IF(N($F946)&gt;0,"Advance received","On hand"))))))</f>
        <v/>
      </c>
      <c r="P946" s="79" t="str">
        <f aca="false">IF(AND($V946=1,ISNUMBER($B946)),AsAt-$B946,"")</f>
        <v/>
      </c>
      <c r="Q946" s="78" t="str">
        <f aca="false">IF($V946&lt;&gt;1,"",IF($P946="","No invoice date",IF($P946&lt;=30,"0–30 days",IF($P946&lt;=60,"31–60 days",IF($P946&lt;=90,"61–90 days","Over 90 days")))))</f>
        <v/>
      </c>
      <c r="R946" s="80" t="str">
        <f aca="false">IF($V946=1,ROW(),"")</f>
        <v/>
      </c>
      <c r="S946" s="80" t="str">
        <f aca="false">IF(OR($A946&lt;&gt;"",$E946&lt;&gt;""),IF(TRIM($D946)="","Buyer not noted",TRIM($D946)),"")</f>
        <v/>
      </c>
      <c r="T946" s="80" t="n">
        <f aca="false">IF(AND($V946=1,ISNUMBER($M946)),$M946,0)</f>
        <v>0</v>
      </c>
      <c r="U946" s="80" t="str">
        <f aca="false">IF($V946=1,IF(COUNTIFS($S$7:$S946,$S946,$V$7:$V946,1)=1,SUMIFS($T$7:$T$1006,$S$7:$S$1006,$S946)-ROW()/1000000000,""),"")</f>
        <v/>
      </c>
      <c r="V946" s="80" t="n">
        <f aca="false">IF(OR($O946="On hand",$O946="Advance received",$O946="Part realised",$O946="Amount missing"),1,0)</f>
        <v>0</v>
      </c>
      <c r="W946" s="80" t="str">
        <f aca="false">IF(AND($V946=1,N($F946)&gt;0),ROW(),"")</f>
        <v/>
      </c>
      <c r="X946" s="80" t="n">
        <f aca="false">IF(AND(OR($A946&lt;&gt;"",$E946&lt;&gt;""),$O946&lt;&gt;"Cancelled",ISNUMBER($E946),N($F946)+N($H946)&gt;$E946+0.005),1,0)</f>
        <v>0</v>
      </c>
      <c r="Y946" s="80" t="n">
        <f aca="false">IF(AND(OR($A946&lt;&gt;"",$E946&lt;&gt;""),OR($A946="",$E946="")),1,0)</f>
        <v>0</v>
      </c>
      <c r="Z946" s="80" t="n">
        <f aca="false">IF(AND($A946&lt;&gt;"",COUNTIF($A$7:$A$1006,$A946)&gt;1),1,0)</f>
        <v>0</v>
      </c>
    </row>
    <row r="947" customFormat="false" ht="15" hidden="false" customHeight="false" outlineLevel="0" collapsed="false">
      <c r="A947" s="71"/>
      <c r="B947" s="72"/>
      <c r="C947" s="73"/>
      <c r="D947" s="73"/>
      <c r="E947" s="74"/>
      <c r="F947" s="74"/>
      <c r="G947" s="72"/>
      <c r="H947" s="74"/>
      <c r="I947" s="72"/>
      <c r="J947" s="73"/>
      <c r="K947" s="73"/>
      <c r="L947" s="75" t="str">
        <f aca="false">IF(OR($A947&lt;&gt;"",$E947&lt;&gt;""),N($F947)+N($H947),"")</f>
        <v/>
      </c>
      <c r="M947" s="76" t="str">
        <f aca="false">IF(OR($O947="",$O947="Cancelled",$O947="Amount missing"),"",IF($O947="Realised",0,$E947-N($F947)-N($H947)))</f>
        <v/>
      </c>
      <c r="N947" s="77" t="str">
        <f aca="false">IF(OR($M947="",FX=""),"",$M947*FX)</f>
        <v/>
      </c>
      <c r="O947" s="78" t="str">
        <f aca="false">IF(NOT(OR($A947&lt;&gt;"",$E947&lt;&gt;"")),"",IF($J947="Cancelled","Cancelled",IF($E947="","Amount missing",IF(OR($J947="Settled",$E947-N($F947)-N($H947)&lt;=0.005),"Realised",IF(N($H947)&gt;0,"Part realised",IF(N($F947)&gt;0,"Advance received","On hand"))))))</f>
        <v/>
      </c>
      <c r="P947" s="79" t="str">
        <f aca="false">IF(AND($V947=1,ISNUMBER($B947)),AsAt-$B947,"")</f>
        <v/>
      </c>
      <c r="Q947" s="78" t="str">
        <f aca="false">IF($V947&lt;&gt;1,"",IF($P947="","No invoice date",IF($P947&lt;=30,"0–30 days",IF($P947&lt;=60,"31–60 days",IF($P947&lt;=90,"61–90 days","Over 90 days")))))</f>
        <v/>
      </c>
      <c r="R947" s="80" t="str">
        <f aca="false">IF($V947=1,ROW(),"")</f>
        <v/>
      </c>
      <c r="S947" s="80" t="str">
        <f aca="false">IF(OR($A947&lt;&gt;"",$E947&lt;&gt;""),IF(TRIM($D947)="","Buyer not noted",TRIM($D947)),"")</f>
        <v/>
      </c>
      <c r="T947" s="80" t="n">
        <f aca="false">IF(AND($V947=1,ISNUMBER($M947)),$M947,0)</f>
        <v>0</v>
      </c>
      <c r="U947" s="80" t="str">
        <f aca="false">IF($V947=1,IF(COUNTIFS($S$7:$S947,$S947,$V$7:$V947,1)=1,SUMIFS($T$7:$T$1006,$S$7:$S$1006,$S947)-ROW()/1000000000,""),"")</f>
        <v/>
      </c>
      <c r="V947" s="80" t="n">
        <f aca="false">IF(OR($O947="On hand",$O947="Advance received",$O947="Part realised",$O947="Amount missing"),1,0)</f>
        <v>0</v>
      </c>
      <c r="W947" s="80" t="str">
        <f aca="false">IF(AND($V947=1,N($F947)&gt;0),ROW(),"")</f>
        <v/>
      </c>
      <c r="X947" s="80" t="n">
        <f aca="false">IF(AND(OR($A947&lt;&gt;"",$E947&lt;&gt;""),$O947&lt;&gt;"Cancelled",ISNUMBER($E947),N($F947)+N($H947)&gt;$E947+0.005),1,0)</f>
        <v>0</v>
      </c>
      <c r="Y947" s="80" t="n">
        <f aca="false">IF(AND(OR($A947&lt;&gt;"",$E947&lt;&gt;""),OR($A947="",$E947="")),1,0)</f>
        <v>0</v>
      </c>
      <c r="Z947" s="80" t="n">
        <f aca="false">IF(AND($A947&lt;&gt;"",COUNTIF($A$7:$A$1006,$A947)&gt;1),1,0)</f>
        <v>0</v>
      </c>
    </row>
    <row r="948" customFormat="false" ht="15" hidden="false" customHeight="false" outlineLevel="0" collapsed="false">
      <c r="A948" s="71"/>
      <c r="B948" s="72"/>
      <c r="C948" s="73"/>
      <c r="D948" s="73"/>
      <c r="E948" s="74"/>
      <c r="F948" s="74"/>
      <c r="G948" s="72"/>
      <c r="H948" s="74"/>
      <c r="I948" s="72"/>
      <c r="J948" s="73"/>
      <c r="K948" s="73"/>
      <c r="L948" s="75" t="str">
        <f aca="false">IF(OR($A948&lt;&gt;"",$E948&lt;&gt;""),N($F948)+N($H948),"")</f>
        <v/>
      </c>
      <c r="M948" s="76" t="str">
        <f aca="false">IF(OR($O948="",$O948="Cancelled",$O948="Amount missing"),"",IF($O948="Realised",0,$E948-N($F948)-N($H948)))</f>
        <v/>
      </c>
      <c r="N948" s="77" t="str">
        <f aca="false">IF(OR($M948="",FX=""),"",$M948*FX)</f>
        <v/>
      </c>
      <c r="O948" s="78" t="str">
        <f aca="false">IF(NOT(OR($A948&lt;&gt;"",$E948&lt;&gt;"")),"",IF($J948="Cancelled","Cancelled",IF($E948="","Amount missing",IF(OR($J948="Settled",$E948-N($F948)-N($H948)&lt;=0.005),"Realised",IF(N($H948)&gt;0,"Part realised",IF(N($F948)&gt;0,"Advance received","On hand"))))))</f>
        <v/>
      </c>
      <c r="P948" s="79" t="str">
        <f aca="false">IF(AND($V948=1,ISNUMBER($B948)),AsAt-$B948,"")</f>
        <v/>
      </c>
      <c r="Q948" s="78" t="str">
        <f aca="false">IF($V948&lt;&gt;1,"",IF($P948="","No invoice date",IF($P948&lt;=30,"0–30 days",IF($P948&lt;=60,"31–60 days",IF($P948&lt;=90,"61–90 days","Over 90 days")))))</f>
        <v/>
      </c>
      <c r="R948" s="80" t="str">
        <f aca="false">IF($V948=1,ROW(),"")</f>
        <v/>
      </c>
      <c r="S948" s="80" t="str">
        <f aca="false">IF(OR($A948&lt;&gt;"",$E948&lt;&gt;""),IF(TRIM($D948)="","Buyer not noted",TRIM($D948)),"")</f>
        <v/>
      </c>
      <c r="T948" s="80" t="n">
        <f aca="false">IF(AND($V948=1,ISNUMBER($M948)),$M948,0)</f>
        <v>0</v>
      </c>
      <c r="U948" s="80" t="str">
        <f aca="false">IF($V948=1,IF(COUNTIFS($S$7:$S948,$S948,$V$7:$V948,1)=1,SUMIFS($T$7:$T$1006,$S$7:$S$1006,$S948)-ROW()/1000000000,""),"")</f>
        <v/>
      </c>
      <c r="V948" s="80" t="n">
        <f aca="false">IF(OR($O948="On hand",$O948="Advance received",$O948="Part realised",$O948="Amount missing"),1,0)</f>
        <v>0</v>
      </c>
      <c r="W948" s="80" t="str">
        <f aca="false">IF(AND($V948=1,N($F948)&gt;0),ROW(),"")</f>
        <v/>
      </c>
      <c r="X948" s="80" t="n">
        <f aca="false">IF(AND(OR($A948&lt;&gt;"",$E948&lt;&gt;""),$O948&lt;&gt;"Cancelled",ISNUMBER($E948),N($F948)+N($H948)&gt;$E948+0.005),1,0)</f>
        <v>0</v>
      </c>
      <c r="Y948" s="80" t="n">
        <f aca="false">IF(AND(OR($A948&lt;&gt;"",$E948&lt;&gt;""),OR($A948="",$E948="")),1,0)</f>
        <v>0</v>
      </c>
      <c r="Z948" s="80" t="n">
        <f aca="false">IF(AND($A948&lt;&gt;"",COUNTIF($A$7:$A$1006,$A948)&gt;1),1,0)</f>
        <v>0</v>
      </c>
    </row>
    <row r="949" customFormat="false" ht="15" hidden="false" customHeight="false" outlineLevel="0" collapsed="false">
      <c r="A949" s="71"/>
      <c r="B949" s="72"/>
      <c r="C949" s="73"/>
      <c r="D949" s="73"/>
      <c r="E949" s="74"/>
      <c r="F949" s="74"/>
      <c r="G949" s="72"/>
      <c r="H949" s="74"/>
      <c r="I949" s="72"/>
      <c r="J949" s="73"/>
      <c r="K949" s="73"/>
      <c r="L949" s="75" t="str">
        <f aca="false">IF(OR($A949&lt;&gt;"",$E949&lt;&gt;""),N($F949)+N($H949),"")</f>
        <v/>
      </c>
      <c r="M949" s="76" t="str">
        <f aca="false">IF(OR($O949="",$O949="Cancelled",$O949="Amount missing"),"",IF($O949="Realised",0,$E949-N($F949)-N($H949)))</f>
        <v/>
      </c>
      <c r="N949" s="77" t="str">
        <f aca="false">IF(OR($M949="",FX=""),"",$M949*FX)</f>
        <v/>
      </c>
      <c r="O949" s="78" t="str">
        <f aca="false">IF(NOT(OR($A949&lt;&gt;"",$E949&lt;&gt;"")),"",IF($J949="Cancelled","Cancelled",IF($E949="","Amount missing",IF(OR($J949="Settled",$E949-N($F949)-N($H949)&lt;=0.005),"Realised",IF(N($H949)&gt;0,"Part realised",IF(N($F949)&gt;0,"Advance received","On hand"))))))</f>
        <v/>
      </c>
      <c r="P949" s="79" t="str">
        <f aca="false">IF(AND($V949=1,ISNUMBER($B949)),AsAt-$B949,"")</f>
        <v/>
      </c>
      <c r="Q949" s="78" t="str">
        <f aca="false">IF($V949&lt;&gt;1,"",IF($P949="","No invoice date",IF($P949&lt;=30,"0–30 days",IF($P949&lt;=60,"31–60 days",IF($P949&lt;=90,"61–90 days","Over 90 days")))))</f>
        <v/>
      </c>
      <c r="R949" s="80" t="str">
        <f aca="false">IF($V949=1,ROW(),"")</f>
        <v/>
      </c>
      <c r="S949" s="80" t="str">
        <f aca="false">IF(OR($A949&lt;&gt;"",$E949&lt;&gt;""),IF(TRIM($D949)="","Buyer not noted",TRIM($D949)),"")</f>
        <v/>
      </c>
      <c r="T949" s="80" t="n">
        <f aca="false">IF(AND($V949=1,ISNUMBER($M949)),$M949,0)</f>
        <v>0</v>
      </c>
      <c r="U949" s="80" t="str">
        <f aca="false">IF($V949=1,IF(COUNTIFS($S$7:$S949,$S949,$V$7:$V949,1)=1,SUMIFS($T$7:$T$1006,$S$7:$S$1006,$S949)-ROW()/1000000000,""),"")</f>
        <v/>
      </c>
      <c r="V949" s="80" t="n">
        <f aca="false">IF(OR($O949="On hand",$O949="Advance received",$O949="Part realised",$O949="Amount missing"),1,0)</f>
        <v>0</v>
      </c>
      <c r="W949" s="80" t="str">
        <f aca="false">IF(AND($V949=1,N($F949)&gt;0),ROW(),"")</f>
        <v/>
      </c>
      <c r="X949" s="80" t="n">
        <f aca="false">IF(AND(OR($A949&lt;&gt;"",$E949&lt;&gt;""),$O949&lt;&gt;"Cancelled",ISNUMBER($E949),N($F949)+N($H949)&gt;$E949+0.005),1,0)</f>
        <v>0</v>
      </c>
      <c r="Y949" s="80" t="n">
        <f aca="false">IF(AND(OR($A949&lt;&gt;"",$E949&lt;&gt;""),OR($A949="",$E949="")),1,0)</f>
        <v>0</v>
      </c>
      <c r="Z949" s="80" t="n">
        <f aca="false">IF(AND($A949&lt;&gt;"",COUNTIF($A$7:$A$1006,$A949)&gt;1),1,0)</f>
        <v>0</v>
      </c>
    </row>
    <row r="950" customFormat="false" ht="15" hidden="false" customHeight="false" outlineLevel="0" collapsed="false">
      <c r="A950" s="71"/>
      <c r="B950" s="72"/>
      <c r="C950" s="73"/>
      <c r="D950" s="73"/>
      <c r="E950" s="74"/>
      <c r="F950" s="74"/>
      <c r="G950" s="72"/>
      <c r="H950" s="74"/>
      <c r="I950" s="72"/>
      <c r="J950" s="73"/>
      <c r="K950" s="73"/>
      <c r="L950" s="75" t="str">
        <f aca="false">IF(OR($A950&lt;&gt;"",$E950&lt;&gt;""),N($F950)+N($H950),"")</f>
        <v/>
      </c>
      <c r="M950" s="76" t="str">
        <f aca="false">IF(OR($O950="",$O950="Cancelled",$O950="Amount missing"),"",IF($O950="Realised",0,$E950-N($F950)-N($H950)))</f>
        <v/>
      </c>
      <c r="N950" s="77" t="str">
        <f aca="false">IF(OR($M950="",FX=""),"",$M950*FX)</f>
        <v/>
      </c>
      <c r="O950" s="78" t="str">
        <f aca="false">IF(NOT(OR($A950&lt;&gt;"",$E950&lt;&gt;"")),"",IF($J950="Cancelled","Cancelled",IF($E950="","Amount missing",IF(OR($J950="Settled",$E950-N($F950)-N($H950)&lt;=0.005),"Realised",IF(N($H950)&gt;0,"Part realised",IF(N($F950)&gt;0,"Advance received","On hand"))))))</f>
        <v/>
      </c>
      <c r="P950" s="79" t="str">
        <f aca="false">IF(AND($V950=1,ISNUMBER($B950)),AsAt-$B950,"")</f>
        <v/>
      </c>
      <c r="Q950" s="78" t="str">
        <f aca="false">IF($V950&lt;&gt;1,"",IF($P950="","No invoice date",IF($P950&lt;=30,"0–30 days",IF($P950&lt;=60,"31–60 days",IF($P950&lt;=90,"61–90 days","Over 90 days")))))</f>
        <v/>
      </c>
      <c r="R950" s="80" t="str">
        <f aca="false">IF($V950=1,ROW(),"")</f>
        <v/>
      </c>
      <c r="S950" s="80" t="str">
        <f aca="false">IF(OR($A950&lt;&gt;"",$E950&lt;&gt;""),IF(TRIM($D950)="","Buyer not noted",TRIM($D950)),"")</f>
        <v/>
      </c>
      <c r="T950" s="80" t="n">
        <f aca="false">IF(AND($V950=1,ISNUMBER($M950)),$M950,0)</f>
        <v>0</v>
      </c>
      <c r="U950" s="80" t="str">
        <f aca="false">IF($V950=1,IF(COUNTIFS($S$7:$S950,$S950,$V$7:$V950,1)=1,SUMIFS($T$7:$T$1006,$S$7:$S$1006,$S950)-ROW()/1000000000,""),"")</f>
        <v/>
      </c>
      <c r="V950" s="80" t="n">
        <f aca="false">IF(OR($O950="On hand",$O950="Advance received",$O950="Part realised",$O950="Amount missing"),1,0)</f>
        <v>0</v>
      </c>
      <c r="W950" s="80" t="str">
        <f aca="false">IF(AND($V950=1,N($F950)&gt;0),ROW(),"")</f>
        <v/>
      </c>
      <c r="X950" s="80" t="n">
        <f aca="false">IF(AND(OR($A950&lt;&gt;"",$E950&lt;&gt;""),$O950&lt;&gt;"Cancelled",ISNUMBER($E950),N($F950)+N($H950)&gt;$E950+0.005),1,0)</f>
        <v>0</v>
      </c>
      <c r="Y950" s="80" t="n">
        <f aca="false">IF(AND(OR($A950&lt;&gt;"",$E950&lt;&gt;""),OR($A950="",$E950="")),1,0)</f>
        <v>0</v>
      </c>
      <c r="Z950" s="80" t="n">
        <f aca="false">IF(AND($A950&lt;&gt;"",COUNTIF($A$7:$A$1006,$A950)&gt;1),1,0)</f>
        <v>0</v>
      </c>
    </row>
    <row r="951" customFormat="false" ht="15" hidden="false" customHeight="false" outlineLevel="0" collapsed="false">
      <c r="A951" s="71"/>
      <c r="B951" s="72"/>
      <c r="C951" s="73"/>
      <c r="D951" s="73"/>
      <c r="E951" s="74"/>
      <c r="F951" s="74"/>
      <c r="G951" s="72"/>
      <c r="H951" s="74"/>
      <c r="I951" s="72"/>
      <c r="J951" s="73"/>
      <c r="K951" s="73"/>
      <c r="L951" s="75" t="str">
        <f aca="false">IF(OR($A951&lt;&gt;"",$E951&lt;&gt;""),N($F951)+N($H951),"")</f>
        <v/>
      </c>
      <c r="M951" s="76" t="str">
        <f aca="false">IF(OR($O951="",$O951="Cancelled",$O951="Amount missing"),"",IF($O951="Realised",0,$E951-N($F951)-N($H951)))</f>
        <v/>
      </c>
      <c r="N951" s="77" t="str">
        <f aca="false">IF(OR($M951="",FX=""),"",$M951*FX)</f>
        <v/>
      </c>
      <c r="O951" s="78" t="str">
        <f aca="false">IF(NOT(OR($A951&lt;&gt;"",$E951&lt;&gt;"")),"",IF($J951="Cancelled","Cancelled",IF($E951="","Amount missing",IF(OR($J951="Settled",$E951-N($F951)-N($H951)&lt;=0.005),"Realised",IF(N($H951)&gt;0,"Part realised",IF(N($F951)&gt;0,"Advance received","On hand"))))))</f>
        <v/>
      </c>
      <c r="P951" s="79" t="str">
        <f aca="false">IF(AND($V951=1,ISNUMBER($B951)),AsAt-$B951,"")</f>
        <v/>
      </c>
      <c r="Q951" s="78" t="str">
        <f aca="false">IF($V951&lt;&gt;1,"",IF($P951="","No invoice date",IF($P951&lt;=30,"0–30 days",IF($P951&lt;=60,"31–60 days",IF($P951&lt;=90,"61–90 days","Over 90 days")))))</f>
        <v/>
      </c>
      <c r="R951" s="80" t="str">
        <f aca="false">IF($V951=1,ROW(),"")</f>
        <v/>
      </c>
      <c r="S951" s="80" t="str">
        <f aca="false">IF(OR($A951&lt;&gt;"",$E951&lt;&gt;""),IF(TRIM($D951)="","Buyer not noted",TRIM($D951)),"")</f>
        <v/>
      </c>
      <c r="T951" s="80" t="n">
        <f aca="false">IF(AND($V951=1,ISNUMBER($M951)),$M951,0)</f>
        <v>0</v>
      </c>
      <c r="U951" s="80" t="str">
        <f aca="false">IF($V951=1,IF(COUNTIFS($S$7:$S951,$S951,$V$7:$V951,1)=1,SUMIFS($T$7:$T$1006,$S$7:$S$1006,$S951)-ROW()/1000000000,""),"")</f>
        <v/>
      </c>
      <c r="V951" s="80" t="n">
        <f aca="false">IF(OR($O951="On hand",$O951="Advance received",$O951="Part realised",$O951="Amount missing"),1,0)</f>
        <v>0</v>
      </c>
      <c r="W951" s="80" t="str">
        <f aca="false">IF(AND($V951=1,N($F951)&gt;0),ROW(),"")</f>
        <v/>
      </c>
      <c r="X951" s="80" t="n">
        <f aca="false">IF(AND(OR($A951&lt;&gt;"",$E951&lt;&gt;""),$O951&lt;&gt;"Cancelled",ISNUMBER($E951),N($F951)+N($H951)&gt;$E951+0.005),1,0)</f>
        <v>0</v>
      </c>
      <c r="Y951" s="80" t="n">
        <f aca="false">IF(AND(OR($A951&lt;&gt;"",$E951&lt;&gt;""),OR($A951="",$E951="")),1,0)</f>
        <v>0</v>
      </c>
      <c r="Z951" s="80" t="n">
        <f aca="false">IF(AND($A951&lt;&gt;"",COUNTIF($A$7:$A$1006,$A951)&gt;1),1,0)</f>
        <v>0</v>
      </c>
    </row>
    <row r="952" customFormat="false" ht="15" hidden="false" customHeight="false" outlineLevel="0" collapsed="false">
      <c r="A952" s="71"/>
      <c r="B952" s="72"/>
      <c r="C952" s="73"/>
      <c r="D952" s="73"/>
      <c r="E952" s="74"/>
      <c r="F952" s="74"/>
      <c r="G952" s="72"/>
      <c r="H952" s="74"/>
      <c r="I952" s="72"/>
      <c r="J952" s="73"/>
      <c r="K952" s="73"/>
      <c r="L952" s="75" t="str">
        <f aca="false">IF(OR($A952&lt;&gt;"",$E952&lt;&gt;""),N($F952)+N($H952),"")</f>
        <v/>
      </c>
      <c r="M952" s="76" t="str">
        <f aca="false">IF(OR($O952="",$O952="Cancelled",$O952="Amount missing"),"",IF($O952="Realised",0,$E952-N($F952)-N($H952)))</f>
        <v/>
      </c>
      <c r="N952" s="77" t="str">
        <f aca="false">IF(OR($M952="",FX=""),"",$M952*FX)</f>
        <v/>
      </c>
      <c r="O952" s="78" t="str">
        <f aca="false">IF(NOT(OR($A952&lt;&gt;"",$E952&lt;&gt;"")),"",IF($J952="Cancelled","Cancelled",IF($E952="","Amount missing",IF(OR($J952="Settled",$E952-N($F952)-N($H952)&lt;=0.005),"Realised",IF(N($H952)&gt;0,"Part realised",IF(N($F952)&gt;0,"Advance received","On hand"))))))</f>
        <v/>
      </c>
      <c r="P952" s="79" t="str">
        <f aca="false">IF(AND($V952=1,ISNUMBER($B952)),AsAt-$B952,"")</f>
        <v/>
      </c>
      <c r="Q952" s="78" t="str">
        <f aca="false">IF($V952&lt;&gt;1,"",IF($P952="","No invoice date",IF($P952&lt;=30,"0–30 days",IF($P952&lt;=60,"31–60 days",IF($P952&lt;=90,"61–90 days","Over 90 days")))))</f>
        <v/>
      </c>
      <c r="R952" s="80" t="str">
        <f aca="false">IF($V952=1,ROW(),"")</f>
        <v/>
      </c>
      <c r="S952" s="80" t="str">
        <f aca="false">IF(OR($A952&lt;&gt;"",$E952&lt;&gt;""),IF(TRIM($D952)="","Buyer not noted",TRIM($D952)),"")</f>
        <v/>
      </c>
      <c r="T952" s="80" t="n">
        <f aca="false">IF(AND($V952=1,ISNUMBER($M952)),$M952,0)</f>
        <v>0</v>
      </c>
      <c r="U952" s="80" t="str">
        <f aca="false">IF($V952=1,IF(COUNTIFS($S$7:$S952,$S952,$V$7:$V952,1)=1,SUMIFS($T$7:$T$1006,$S$7:$S$1006,$S952)-ROW()/1000000000,""),"")</f>
        <v/>
      </c>
      <c r="V952" s="80" t="n">
        <f aca="false">IF(OR($O952="On hand",$O952="Advance received",$O952="Part realised",$O952="Amount missing"),1,0)</f>
        <v>0</v>
      </c>
      <c r="W952" s="80" t="str">
        <f aca="false">IF(AND($V952=1,N($F952)&gt;0),ROW(),"")</f>
        <v/>
      </c>
      <c r="X952" s="80" t="n">
        <f aca="false">IF(AND(OR($A952&lt;&gt;"",$E952&lt;&gt;""),$O952&lt;&gt;"Cancelled",ISNUMBER($E952),N($F952)+N($H952)&gt;$E952+0.005),1,0)</f>
        <v>0</v>
      </c>
      <c r="Y952" s="80" t="n">
        <f aca="false">IF(AND(OR($A952&lt;&gt;"",$E952&lt;&gt;""),OR($A952="",$E952="")),1,0)</f>
        <v>0</v>
      </c>
      <c r="Z952" s="80" t="n">
        <f aca="false">IF(AND($A952&lt;&gt;"",COUNTIF($A$7:$A$1006,$A952)&gt;1),1,0)</f>
        <v>0</v>
      </c>
    </row>
    <row r="953" customFormat="false" ht="15" hidden="false" customHeight="false" outlineLevel="0" collapsed="false">
      <c r="A953" s="71"/>
      <c r="B953" s="72"/>
      <c r="C953" s="73"/>
      <c r="D953" s="73"/>
      <c r="E953" s="74"/>
      <c r="F953" s="74"/>
      <c r="G953" s="72"/>
      <c r="H953" s="74"/>
      <c r="I953" s="72"/>
      <c r="J953" s="73"/>
      <c r="K953" s="73"/>
      <c r="L953" s="75" t="str">
        <f aca="false">IF(OR($A953&lt;&gt;"",$E953&lt;&gt;""),N($F953)+N($H953),"")</f>
        <v/>
      </c>
      <c r="M953" s="76" t="str">
        <f aca="false">IF(OR($O953="",$O953="Cancelled",$O953="Amount missing"),"",IF($O953="Realised",0,$E953-N($F953)-N($H953)))</f>
        <v/>
      </c>
      <c r="N953" s="77" t="str">
        <f aca="false">IF(OR($M953="",FX=""),"",$M953*FX)</f>
        <v/>
      </c>
      <c r="O953" s="78" t="str">
        <f aca="false">IF(NOT(OR($A953&lt;&gt;"",$E953&lt;&gt;"")),"",IF($J953="Cancelled","Cancelled",IF($E953="","Amount missing",IF(OR($J953="Settled",$E953-N($F953)-N($H953)&lt;=0.005),"Realised",IF(N($H953)&gt;0,"Part realised",IF(N($F953)&gt;0,"Advance received","On hand"))))))</f>
        <v/>
      </c>
      <c r="P953" s="79" t="str">
        <f aca="false">IF(AND($V953=1,ISNUMBER($B953)),AsAt-$B953,"")</f>
        <v/>
      </c>
      <c r="Q953" s="78" t="str">
        <f aca="false">IF($V953&lt;&gt;1,"",IF($P953="","No invoice date",IF($P953&lt;=30,"0–30 days",IF($P953&lt;=60,"31–60 days",IF($P953&lt;=90,"61–90 days","Over 90 days")))))</f>
        <v/>
      </c>
      <c r="R953" s="80" t="str">
        <f aca="false">IF($V953=1,ROW(),"")</f>
        <v/>
      </c>
      <c r="S953" s="80" t="str">
        <f aca="false">IF(OR($A953&lt;&gt;"",$E953&lt;&gt;""),IF(TRIM($D953)="","Buyer not noted",TRIM($D953)),"")</f>
        <v/>
      </c>
      <c r="T953" s="80" t="n">
        <f aca="false">IF(AND($V953=1,ISNUMBER($M953)),$M953,0)</f>
        <v>0</v>
      </c>
      <c r="U953" s="80" t="str">
        <f aca="false">IF($V953=1,IF(COUNTIFS($S$7:$S953,$S953,$V$7:$V953,1)=1,SUMIFS($T$7:$T$1006,$S$7:$S$1006,$S953)-ROW()/1000000000,""),"")</f>
        <v/>
      </c>
      <c r="V953" s="80" t="n">
        <f aca="false">IF(OR($O953="On hand",$O953="Advance received",$O953="Part realised",$O953="Amount missing"),1,0)</f>
        <v>0</v>
      </c>
      <c r="W953" s="80" t="str">
        <f aca="false">IF(AND($V953=1,N($F953)&gt;0),ROW(),"")</f>
        <v/>
      </c>
      <c r="X953" s="80" t="n">
        <f aca="false">IF(AND(OR($A953&lt;&gt;"",$E953&lt;&gt;""),$O953&lt;&gt;"Cancelled",ISNUMBER($E953),N($F953)+N($H953)&gt;$E953+0.005),1,0)</f>
        <v>0</v>
      </c>
      <c r="Y953" s="80" t="n">
        <f aca="false">IF(AND(OR($A953&lt;&gt;"",$E953&lt;&gt;""),OR($A953="",$E953="")),1,0)</f>
        <v>0</v>
      </c>
      <c r="Z953" s="80" t="n">
        <f aca="false">IF(AND($A953&lt;&gt;"",COUNTIF($A$7:$A$1006,$A953)&gt;1),1,0)</f>
        <v>0</v>
      </c>
    </row>
    <row r="954" customFormat="false" ht="15" hidden="false" customHeight="false" outlineLevel="0" collapsed="false">
      <c r="A954" s="71"/>
      <c r="B954" s="72"/>
      <c r="C954" s="73"/>
      <c r="D954" s="73"/>
      <c r="E954" s="74"/>
      <c r="F954" s="74"/>
      <c r="G954" s="72"/>
      <c r="H954" s="74"/>
      <c r="I954" s="72"/>
      <c r="J954" s="73"/>
      <c r="K954" s="73"/>
      <c r="L954" s="75" t="str">
        <f aca="false">IF(OR($A954&lt;&gt;"",$E954&lt;&gt;""),N($F954)+N($H954),"")</f>
        <v/>
      </c>
      <c r="M954" s="76" t="str">
        <f aca="false">IF(OR($O954="",$O954="Cancelled",$O954="Amount missing"),"",IF($O954="Realised",0,$E954-N($F954)-N($H954)))</f>
        <v/>
      </c>
      <c r="N954" s="77" t="str">
        <f aca="false">IF(OR($M954="",FX=""),"",$M954*FX)</f>
        <v/>
      </c>
      <c r="O954" s="78" t="str">
        <f aca="false">IF(NOT(OR($A954&lt;&gt;"",$E954&lt;&gt;"")),"",IF($J954="Cancelled","Cancelled",IF($E954="","Amount missing",IF(OR($J954="Settled",$E954-N($F954)-N($H954)&lt;=0.005),"Realised",IF(N($H954)&gt;0,"Part realised",IF(N($F954)&gt;0,"Advance received","On hand"))))))</f>
        <v/>
      </c>
      <c r="P954" s="79" t="str">
        <f aca="false">IF(AND($V954=1,ISNUMBER($B954)),AsAt-$B954,"")</f>
        <v/>
      </c>
      <c r="Q954" s="78" t="str">
        <f aca="false">IF($V954&lt;&gt;1,"",IF($P954="","No invoice date",IF($P954&lt;=30,"0–30 days",IF($P954&lt;=60,"31–60 days",IF($P954&lt;=90,"61–90 days","Over 90 days")))))</f>
        <v/>
      </c>
      <c r="R954" s="80" t="str">
        <f aca="false">IF($V954=1,ROW(),"")</f>
        <v/>
      </c>
      <c r="S954" s="80" t="str">
        <f aca="false">IF(OR($A954&lt;&gt;"",$E954&lt;&gt;""),IF(TRIM($D954)="","Buyer not noted",TRIM($D954)),"")</f>
        <v/>
      </c>
      <c r="T954" s="80" t="n">
        <f aca="false">IF(AND($V954=1,ISNUMBER($M954)),$M954,0)</f>
        <v>0</v>
      </c>
      <c r="U954" s="80" t="str">
        <f aca="false">IF($V954=1,IF(COUNTIFS($S$7:$S954,$S954,$V$7:$V954,1)=1,SUMIFS($T$7:$T$1006,$S$7:$S$1006,$S954)-ROW()/1000000000,""),"")</f>
        <v/>
      </c>
      <c r="V954" s="80" t="n">
        <f aca="false">IF(OR($O954="On hand",$O954="Advance received",$O954="Part realised",$O954="Amount missing"),1,0)</f>
        <v>0</v>
      </c>
      <c r="W954" s="80" t="str">
        <f aca="false">IF(AND($V954=1,N($F954)&gt;0),ROW(),"")</f>
        <v/>
      </c>
      <c r="X954" s="80" t="n">
        <f aca="false">IF(AND(OR($A954&lt;&gt;"",$E954&lt;&gt;""),$O954&lt;&gt;"Cancelled",ISNUMBER($E954),N($F954)+N($H954)&gt;$E954+0.005),1,0)</f>
        <v>0</v>
      </c>
      <c r="Y954" s="80" t="n">
        <f aca="false">IF(AND(OR($A954&lt;&gt;"",$E954&lt;&gt;""),OR($A954="",$E954="")),1,0)</f>
        <v>0</v>
      </c>
      <c r="Z954" s="80" t="n">
        <f aca="false">IF(AND($A954&lt;&gt;"",COUNTIF($A$7:$A$1006,$A954)&gt;1),1,0)</f>
        <v>0</v>
      </c>
    </row>
    <row r="955" customFormat="false" ht="15" hidden="false" customHeight="false" outlineLevel="0" collapsed="false">
      <c r="A955" s="71"/>
      <c r="B955" s="72"/>
      <c r="C955" s="73"/>
      <c r="D955" s="73"/>
      <c r="E955" s="74"/>
      <c r="F955" s="74"/>
      <c r="G955" s="72"/>
      <c r="H955" s="74"/>
      <c r="I955" s="72"/>
      <c r="J955" s="73"/>
      <c r="K955" s="73"/>
      <c r="L955" s="75" t="str">
        <f aca="false">IF(OR($A955&lt;&gt;"",$E955&lt;&gt;""),N($F955)+N($H955),"")</f>
        <v/>
      </c>
      <c r="M955" s="76" t="str">
        <f aca="false">IF(OR($O955="",$O955="Cancelled",$O955="Amount missing"),"",IF($O955="Realised",0,$E955-N($F955)-N($H955)))</f>
        <v/>
      </c>
      <c r="N955" s="77" t="str">
        <f aca="false">IF(OR($M955="",FX=""),"",$M955*FX)</f>
        <v/>
      </c>
      <c r="O955" s="78" t="str">
        <f aca="false">IF(NOT(OR($A955&lt;&gt;"",$E955&lt;&gt;"")),"",IF($J955="Cancelled","Cancelled",IF($E955="","Amount missing",IF(OR($J955="Settled",$E955-N($F955)-N($H955)&lt;=0.005),"Realised",IF(N($H955)&gt;0,"Part realised",IF(N($F955)&gt;0,"Advance received","On hand"))))))</f>
        <v/>
      </c>
      <c r="P955" s="79" t="str">
        <f aca="false">IF(AND($V955=1,ISNUMBER($B955)),AsAt-$B955,"")</f>
        <v/>
      </c>
      <c r="Q955" s="78" t="str">
        <f aca="false">IF($V955&lt;&gt;1,"",IF($P955="","No invoice date",IF($P955&lt;=30,"0–30 days",IF($P955&lt;=60,"31–60 days",IF($P955&lt;=90,"61–90 days","Over 90 days")))))</f>
        <v/>
      </c>
      <c r="R955" s="80" t="str">
        <f aca="false">IF($V955=1,ROW(),"")</f>
        <v/>
      </c>
      <c r="S955" s="80" t="str">
        <f aca="false">IF(OR($A955&lt;&gt;"",$E955&lt;&gt;""),IF(TRIM($D955)="","Buyer not noted",TRIM($D955)),"")</f>
        <v/>
      </c>
      <c r="T955" s="80" t="n">
        <f aca="false">IF(AND($V955=1,ISNUMBER($M955)),$M955,0)</f>
        <v>0</v>
      </c>
      <c r="U955" s="80" t="str">
        <f aca="false">IF($V955=1,IF(COUNTIFS($S$7:$S955,$S955,$V$7:$V955,1)=1,SUMIFS($T$7:$T$1006,$S$7:$S$1006,$S955)-ROW()/1000000000,""),"")</f>
        <v/>
      </c>
      <c r="V955" s="80" t="n">
        <f aca="false">IF(OR($O955="On hand",$O955="Advance received",$O955="Part realised",$O955="Amount missing"),1,0)</f>
        <v>0</v>
      </c>
      <c r="W955" s="80" t="str">
        <f aca="false">IF(AND($V955=1,N($F955)&gt;0),ROW(),"")</f>
        <v/>
      </c>
      <c r="X955" s="80" t="n">
        <f aca="false">IF(AND(OR($A955&lt;&gt;"",$E955&lt;&gt;""),$O955&lt;&gt;"Cancelled",ISNUMBER($E955),N($F955)+N($H955)&gt;$E955+0.005),1,0)</f>
        <v>0</v>
      </c>
      <c r="Y955" s="80" t="n">
        <f aca="false">IF(AND(OR($A955&lt;&gt;"",$E955&lt;&gt;""),OR($A955="",$E955="")),1,0)</f>
        <v>0</v>
      </c>
      <c r="Z955" s="80" t="n">
        <f aca="false">IF(AND($A955&lt;&gt;"",COUNTIF($A$7:$A$1006,$A955)&gt;1),1,0)</f>
        <v>0</v>
      </c>
    </row>
    <row r="956" customFormat="false" ht="15" hidden="false" customHeight="false" outlineLevel="0" collapsed="false">
      <c r="A956" s="71"/>
      <c r="B956" s="72"/>
      <c r="C956" s="73"/>
      <c r="D956" s="73"/>
      <c r="E956" s="74"/>
      <c r="F956" s="74"/>
      <c r="G956" s="72"/>
      <c r="H956" s="74"/>
      <c r="I956" s="72"/>
      <c r="J956" s="73"/>
      <c r="K956" s="73"/>
      <c r="L956" s="75" t="str">
        <f aca="false">IF(OR($A956&lt;&gt;"",$E956&lt;&gt;""),N($F956)+N($H956),"")</f>
        <v/>
      </c>
      <c r="M956" s="76" t="str">
        <f aca="false">IF(OR($O956="",$O956="Cancelled",$O956="Amount missing"),"",IF($O956="Realised",0,$E956-N($F956)-N($H956)))</f>
        <v/>
      </c>
      <c r="N956" s="77" t="str">
        <f aca="false">IF(OR($M956="",FX=""),"",$M956*FX)</f>
        <v/>
      </c>
      <c r="O956" s="78" t="str">
        <f aca="false">IF(NOT(OR($A956&lt;&gt;"",$E956&lt;&gt;"")),"",IF($J956="Cancelled","Cancelled",IF($E956="","Amount missing",IF(OR($J956="Settled",$E956-N($F956)-N($H956)&lt;=0.005),"Realised",IF(N($H956)&gt;0,"Part realised",IF(N($F956)&gt;0,"Advance received","On hand"))))))</f>
        <v/>
      </c>
      <c r="P956" s="79" t="str">
        <f aca="false">IF(AND($V956=1,ISNUMBER($B956)),AsAt-$B956,"")</f>
        <v/>
      </c>
      <c r="Q956" s="78" t="str">
        <f aca="false">IF($V956&lt;&gt;1,"",IF($P956="","No invoice date",IF($P956&lt;=30,"0–30 days",IF($P956&lt;=60,"31–60 days",IF($P956&lt;=90,"61–90 days","Over 90 days")))))</f>
        <v/>
      </c>
      <c r="R956" s="80" t="str">
        <f aca="false">IF($V956=1,ROW(),"")</f>
        <v/>
      </c>
      <c r="S956" s="80" t="str">
        <f aca="false">IF(OR($A956&lt;&gt;"",$E956&lt;&gt;""),IF(TRIM($D956)="","Buyer not noted",TRIM($D956)),"")</f>
        <v/>
      </c>
      <c r="T956" s="80" t="n">
        <f aca="false">IF(AND($V956=1,ISNUMBER($M956)),$M956,0)</f>
        <v>0</v>
      </c>
      <c r="U956" s="80" t="str">
        <f aca="false">IF($V956=1,IF(COUNTIFS($S$7:$S956,$S956,$V$7:$V956,1)=1,SUMIFS($T$7:$T$1006,$S$7:$S$1006,$S956)-ROW()/1000000000,""),"")</f>
        <v/>
      </c>
      <c r="V956" s="80" t="n">
        <f aca="false">IF(OR($O956="On hand",$O956="Advance received",$O956="Part realised",$O956="Amount missing"),1,0)</f>
        <v>0</v>
      </c>
      <c r="W956" s="80" t="str">
        <f aca="false">IF(AND($V956=1,N($F956)&gt;0),ROW(),"")</f>
        <v/>
      </c>
      <c r="X956" s="80" t="n">
        <f aca="false">IF(AND(OR($A956&lt;&gt;"",$E956&lt;&gt;""),$O956&lt;&gt;"Cancelled",ISNUMBER($E956),N($F956)+N($H956)&gt;$E956+0.005),1,0)</f>
        <v>0</v>
      </c>
      <c r="Y956" s="80" t="n">
        <f aca="false">IF(AND(OR($A956&lt;&gt;"",$E956&lt;&gt;""),OR($A956="",$E956="")),1,0)</f>
        <v>0</v>
      </c>
      <c r="Z956" s="80" t="n">
        <f aca="false">IF(AND($A956&lt;&gt;"",COUNTIF($A$7:$A$1006,$A956)&gt;1),1,0)</f>
        <v>0</v>
      </c>
    </row>
    <row r="957" customFormat="false" ht="15" hidden="false" customHeight="false" outlineLevel="0" collapsed="false">
      <c r="A957" s="71"/>
      <c r="B957" s="72"/>
      <c r="C957" s="73"/>
      <c r="D957" s="73"/>
      <c r="E957" s="74"/>
      <c r="F957" s="74"/>
      <c r="G957" s="72"/>
      <c r="H957" s="74"/>
      <c r="I957" s="72"/>
      <c r="J957" s="73"/>
      <c r="K957" s="73"/>
      <c r="L957" s="75" t="str">
        <f aca="false">IF(OR($A957&lt;&gt;"",$E957&lt;&gt;""),N($F957)+N($H957),"")</f>
        <v/>
      </c>
      <c r="M957" s="76" t="str">
        <f aca="false">IF(OR($O957="",$O957="Cancelled",$O957="Amount missing"),"",IF($O957="Realised",0,$E957-N($F957)-N($H957)))</f>
        <v/>
      </c>
      <c r="N957" s="77" t="str">
        <f aca="false">IF(OR($M957="",FX=""),"",$M957*FX)</f>
        <v/>
      </c>
      <c r="O957" s="78" t="str">
        <f aca="false">IF(NOT(OR($A957&lt;&gt;"",$E957&lt;&gt;"")),"",IF($J957="Cancelled","Cancelled",IF($E957="","Amount missing",IF(OR($J957="Settled",$E957-N($F957)-N($H957)&lt;=0.005),"Realised",IF(N($H957)&gt;0,"Part realised",IF(N($F957)&gt;0,"Advance received","On hand"))))))</f>
        <v/>
      </c>
      <c r="P957" s="79" t="str">
        <f aca="false">IF(AND($V957=1,ISNUMBER($B957)),AsAt-$B957,"")</f>
        <v/>
      </c>
      <c r="Q957" s="78" t="str">
        <f aca="false">IF($V957&lt;&gt;1,"",IF($P957="","No invoice date",IF($P957&lt;=30,"0–30 days",IF($P957&lt;=60,"31–60 days",IF($P957&lt;=90,"61–90 days","Over 90 days")))))</f>
        <v/>
      </c>
      <c r="R957" s="80" t="str">
        <f aca="false">IF($V957=1,ROW(),"")</f>
        <v/>
      </c>
      <c r="S957" s="80" t="str">
        <f aca="false">IF(OR($A957&lt;&gt;"",$E957&lt;&gt;""),IF(TRIM($D957)="","Buyer not noted",TRIM($D957)),"")</f>
        <v/>
      </c>
      <c r="T957" s="80" t="n">
        <f aca="false">IF(AND($V957=1,ISNUMBER($M957)),$M957,0)</f>
        <v>0</v>
      </c>
      <c r="U957" s="80" t="str">
        <f aca="false">IF($V957=1,IF(COUNTIFS($S$7:$S957,$S957,$V$7:$V957,1)=1,SUMIFS($T$7:$T$1006,$S$7:$S$1006,$S957)-ROW()/1000000000,""),"")</f>
        <v/>
      </c>
      <c r="V957" s="80" t="n">
        <f aca="false">IF(OR($O957="On hand",$O957="Advance received",$O957="Part realised",$O957="Amount missing"),1,0)</f>
        <v>0</v>
      </c>
      <c r="W957" s="80" t="str">
        <f aca="false">IF(AND($V957=1,N($F957)&gt;0),ROW(),"")</f>
        <v/>
      </c>
      <c r="X957" s="80" t="n">
        <f aca="false">IF(AND(OR($A957&lt;&gt;"",$E957&lt;&gt;""),$O957&lt;&gt;"Cancelled",ISNUMBER($E957),N($F957)+N($H957)&gt;$E957+0.005),1,0)</f>
        <v>0</v>
      </c>
      <c r="Y957" s="80" t="n">
        <f aca="false">IF(AND(OR($A957&lt;&gt;"",$E957&lt;&gt;""),OR($A957="",$E957="")),1,0)</f>
        <v>0</v>
      </c>
      <c r="Z957" s="80" t="n">
        <f aca="false">IF(AND($A957&lt;&gt;"",COUNTIF($A$7:$A$1006,$A957)&gt;1),1,0)</f>
        <v>0</v>
      </c>
    </row>
    <row r="958" customFormat="false" ht="15" hidden="false" customHeight="false" outlineLevel="0" collapsed="false">
      <c r="A958" s="71"/>
      <c r="B958" s="72"/>
      <c r="C958" s="73"/>
      <c r="D958" s="73"/>
      <c r="E958" s="74"/>
      <c r="F958" s="74"/>
      <c r="G958" s="72"/>
      <c r="H958" s="74"/>
      <c r="I958" s="72"/>
      <c r="J958" s="73"/>
      <c r="K958" s="73"/>
      <c r="L958" s="75" t="str">
        <f aca="false">IF(OR($A958&lt;&gt;"",$E958&lt;&gt;""),N($F958)+N($H958),"")</f>
        <v/>
      </c>
      <c r="M958" s="76" t="str">
        <f aca="false">IF(OR($O958="",$O958="Cancelled",$O958="Amount missing"),"",IF($O958="Realised",0,$E958-N($F958)-N($H958)))</f>
        <v/>
      </c>
      <c r="N958" s="77" t="str">
        <f aca="false">IF(OR($M958="",FX=""),"",$M958*FX)</f>
        <v/>
      </c>
      <c r="O958" s="78" t="str">
        <f aca="false">IF(NOT(OR($A958&lt;&gt;"",$E958&lt;&gt;"")),"",IF($J958="Cancelled","Cancelled",IF($E958="","Amount missing",IF(OR($J958="Settled",$E958-N($F958)-N($H958)&lt;=0.005),"Realised",IF(N($H958)&gt;0,"Part realised",IF(N($F958)&gt;0,"Advance received","On hand"))))))</f>
        <v/>
      </c>
      <c r="P958" s="79" t="str">
        <f aca="false">IF(AND($V958=1,ISNUMBER($B958)),AsAt-$B958,"")</f>
        <v/>
      </c>
      <c r="Q958" s="78" t="str">
        <f aca="false">IF($V958&lt;&gt;1,"",IF($P958="","No invoice date",IF($P958&lt;=30,"0–30 days",IF($P958&lt;=60,"31–60 days",IF($P958&lt;=90,"61–90 days","Over 90 days")))))</f>
        <v/>
      </c>
      <c r="R958" s="80" t="str">
        <f aca="false">IF($V958=1,ROW(),"")</f>
        <v/>
      </c>
      <c r="S958" s="80" t="str">
        <f aca="false">IF(OR($A958&lt;&gt;"",$E958&lt;&gt;""),IF(TRIM($D958)="","Buyer not noted",TRIM($D958)),"")</f>
        <v/>
      </c>
      <c r="T958" s="80" t="n">
        <f aca="false">IF(AND($V958=1,ISNUMBER($M958)),$M958,0)</f>
        <v>0</v>
      </c>
      <c r="U958" s="80" t="str">
        <f aca="false">IF($V958=1,IF(COUNTIFS($S$7:$S958,$S958,$V$7:$V958,1)=1,SUMIFS($T$7:$T$1006,$S$7:$S$1006,$S958)-ROW()/1000000000,""),"")</f>
        <v/>
      </c>
      <c r="V958" s="80" t="n">
        <f aca="false">IF(OR($O958="On hand",$O958="Advance received",$O958="Part realised",$O958="Amount missing"),1,0)</f>
        <v>0</v>
      </c>
      <c r="W958" s="80" t="str">
        <f aca="false">IF(AND($V958=1,N($F958)&gt;0),ROW(),"")</f>
        <v/>
      </c>
      <c r="X958" s="80" t="n">
        <f aca="false">IF(AND(OR($A958&lt;&gt;"",$E958&lt;&gt;""),$O958&lt;&gt;"Cancelled",ISNUMBER($E958),N($F958)+N($H958)&gt;$E958+0.005),1,0)</f>
        <v>0</v>
      </c>
      <c r="Y958" s="80" t="n">
        <f aca="false">IF(AND(OR($A958&lt;&gt;"",$E958&lt;&gt;""),OR($A958="",$E958="")),1,0)</f>
        <v>0</v>
      </c>
      <c r="Z958" s="80" t="n">
        <f aca="false">IF(AND($A958&lt;&gt;"",COUNTIF($A$7:$A$1006,$A958)&gt;1),1,0)</f>
        <v>0</v>
      </c>
    </row>
    <row r="959" customFormat="false" ht="15" hidden="false" customHeight="false" outlineLevel="0" collapsed="false">
      <c r="A959" s="71"/>
      <c r="B959" s="72"/>
      <c r="C959" s="73"/>
      <c r="D959" s="73"/>
      <c r="E959" s="74"/>
      <c r="F959" s="74"/>
      <c r="G959" s="72"/>
      <c r="H959" s="74"/>
      <c r="I959" s="72"/>
      <c r="J959" s="73"/>
      <c r="K959" s="73"/>
      <c r="L959" s="75" t="str">
        <f aca="false">IF(OR($A959&lt;&gt;"",$E959&lt;&gt;""),N($F959)+N($H959),"")</f>
        <v/>
      </c>
      <c r="M959" s="76" t="str">
        <f aca="false">IF(OR($O959="",$O959="Cancelled",$O959="Amount missing"),"",IF($O959="Realised",0,$E959-N($F959)-N($H959)))</f>
        <v/>
      </c>
      <c r="N959" s="77" t="str">
        <f aca="false">IF(OR($M959="",FX=""),"",$M959*FX)</f>
        <v/>
      </c>
      <c r="O959" s="78" t="str">
        <f aca="false">IF(NOT(OR($A959&lt;&gt;"",$E959&lt;&gt;"")),"",IF($J959="Cancelled","Cancelled",IF($E959="","Amount missing",IF(OR($J959="Settled",$E959-N($F959)-N($H959)&lt;=0.005),"Realised",IF(N($H959)&gt;0,"Part realised",IF(N($F959)&gt;0,"Advance received","On hand"))))))</f>
        <v/>
      </c>
      <c r="P959" s="79" t="str">
        <f aca="false">IF(AND($V959=1,ISNUMBER($B959)),AsAt-$B959,"")</f>
        <v/>
      </c>
      <c r="Q959" s="78" t="str">
        <f aca="false">IF($V959&lt;&gt;1,"",IF($P959="","No invoice date",IF($P959&lt;=30,"0–30 days",IF($P959&lt;=60,"31–60 days",IF($P959&lt;=90,"61–90 days","Over 90 days")))))</f>
        <v/>
      </c>
      <c r="R959" s="80" t="str">
        <f aca="false">IF($V959=1,ROW(),"")</f>
        <v/>
      </c>
      <c r="S959" s="80" t="str">
        <f aca="false">IF(OR($A959&lt;&gt;"",$E959&lt;&gt;""),IF(TRIM($D959)="","Buyer not noted",TRIM($D959)),"")</f>
        <v/>
      </c>
      <c r="T959" s="80" t="n">
        <f aca="false">IF(AND($V959=1,ISNUMBER($M959)),$M959,0)</f>
        <v>0</v>
      </c>
      <c r="U959" s="80" t="str">
        <f aca="false">IF($V959=1,IF(COUNTIFS($S$7:$S959,$S959,$V$7:$V959,1)=1,SUMIFS($T$7:$T$1006,$S$7:$S$1006,$S959)-ROW()/1000000000,""),"")</f>
        <v/>
      </c>
      <c r="V959" s="80" t="n">
        <f aca="false">IF(OR($O959="On hand",$O959="Advance received",$O959="Part realised",$O959="Amount missing"),1,0)</f>
        <v>0</v>
      </c>
      <c r="W959" s="80" t="str">
        <f aca="false">IF(AND($V959=1,N($F959)&gt;0),ROW(),"")</f>
        <v/>
      </c>
      <c r="X959" s="80" t="n">
        <f aca="false">IF(AND(OR($A959&lt;&gt;"",$E959&lt;&gt;""),$O959&lt;&gt;"Cancelled",ISNUMBER($E959),N($F959)+N($H959)&gt;$E959+0.005),1,0)</f>
        <v>0</v>
      </c>
      <c r="Y959" s="80" t="n">
        <f aca="false">IF(AND(OR($A959&lt;&gt;"",$E959&lt;&gt;""),OR($A959="",$E959="")),1,0)</f>
        <v>0</v>
      </c>
      <c r="Z959" s="80" t="n">
        <f aca="false">IF(AND($A959&lt;&gt;"",COUNTIF($A$7:$A$1006,$A959)&gt;1),1,0)</f>
        <v>0</v>
      </c>
    </row>
    <row r="960" customFormat="false" ht="15" hidden="false" customHeight="false" outlineLevel="0" collapsed="false">
      <c r="A960" s="71"/>
      <c r="B960" s="72"/>
      <c r="C960" s="73"/>
      <c r="D960" s="73"/>
      <c r="E960" s="74"/>
      <c r="F960" s="74"/>
      <c r="G960" s="72"/>
      <c r="H960" s="74"/>
      <c r="I960" s="72"/>
      <c r="J960" s="73"/>
      <c r="K960" s="73"/>
      <c r="L960" s="75" t="str">
        <f aca="false">IF(OR($A960&lt;&gt;"",$E960&lt;&gt;""),N($F960)+N($H960),"")</f>
        <v/>
      </c>
      <c r="M960" s="76" t="str">
        <f aca="false">IF(OR($O960="",$O960="Cancelled",$O960="Amount missing"),"",IF($O960="Realised",0,$E960-N($F960)-N($H960)))</f>
        <v/>
      </c>
      <c r="N960" s="77" t="str">
        <f aca="false">IF(OR($M960="",FX=""),"",$M960*FX)</f>
        <v/>
      </c>
      <c r="O960" s="78" t="str">
        <f aca="false">IF(NOT(OR($A960&lt;&gt;"",$E960&lt;&gt;"")),"",IF($J960="Cancelled","Cancelled",IF($E960="","Amount missing",IF(OR($J960="Settled",$E960-N($F960)-N($H960)&lt;=0.005),"Realised",IF(N($H960)&gt;0,"Part realised",IF(N($F960)&gt;0,"Advance received","On hand"))))))</f>
        <v/>
      </c>
      <c r="P960" s="79" t="str">
        <f aca="false">IF(AND($V960=1,ISNUMBER($B960)),AsAt-$B960,"")</f>
        <v/>
      </c>
      <c r="Q960" s="78" t="str">
        <f aca="false">IF($V960&lt;&gt;1,"",IF($P960="","No invoice date",IF($P960&lt;=30,"0–30 days",IF($P960&lt;=60,"31–60 days",IF($P960&lt;=90,"61–90 days","Over 90 days")))))</f>
        <v/>
      </c>
      <c r="R960" s="80" t="str">
        <f aca="false">IF($V960=1,ROW(),"")</f>
        <v/>
      </c>
      <c r="S960" s="80" t="str">
        <f aca="false">IF(OR($A960&lt;&gt;"",$E960&lt;&gt;""),IF(TRIM($D960)="","Buyer not noted",TRIM($D960)),"")</f>
        <v/>
      </c>
      <c r="T960" s="80" t="n">
        <f aca="false">IF(AND($V960=1,ISNUMBER($M960)),$M960,0)</f>
        <v>0</v>
      </c>
      <c r="U960" s="80" t="str">
        <f aca="false">IF($V960=1,IF(COUNTIFS($S$7:$S960,$S960,$V$7:$V960,1)=1,SUMIFS($T$7:$T$1006,$S$7:$S$1006,$S960)-ROW()/1000000000,""),"")</f>
        <v/>
      </c>
      <c r="V960" s="80" t="n">
        <f aca="false">IF(OR($O960="On hand",$O960="Advance received",$O960="Part realised",$O960="Amount missing"),1,0)</f>
        <v>0</v>
      </c>
      <c r="W960" s="80" t="str">
        <f aca="false">IF(AND($V960=1,N($F960)&gt;0),ROW(),"")</f>
        <v/>
      </c>
      <c r="X960" s="80" t="n">
        <f aca="false">IF(AND(OR($A960&lt;&gt;"",$E960&lt;&gt;""),$O960&lt;&gt;"Cancelled",ISNUMBER($E960),N($F960)+N($H960)&gt;$E960+0.005),1,0)</f>
        <v>0</v>
      </c>
      <c r="Y960" s="80" t="n">
        <f aca="false">IF(AND(OR($A960&lt;&gt;"",$E960&lt;&gt;""),OR($A960="",$E960="")),1,0)</f>
        <v>0</v>
      </c>
      <c r="Z960" s="80" t="n">
        <f aca="false">IF(AND($A960&lt;&gt;"",COUNTIF($A$7:$A$1006,$A960)&gt;1),1,0)</f>
        <v>0</v>
      </c>
    </row>
    <row r="961" customFormat="false" ht="15" hidden="false" customHeight="false" outlineLevel="0" collapsed="false">
      <c r="A961" s="71"/>
      <c r="B961" s="72"/>
      <c r="C961" s="73"/>
      <c r="D961" s="73"/>
      <c r="E961" s="74"/>
      <c r="F961" s="74"/>
      <c r="G961" s="72"/>
      <c r="H961" s="74"/>
      <c r="I961" s="72"/>
      <c r="J961" s="73"/>
      <c r="K961" s="73"/>
      <c r="L961" s="75" t="str">
        <f aca="false">IF(OR($A961&lt;&gt;"",$E961&lt;&gt;""),N($F961)+N($H961),"")</f>
        <v/>
      </c>
      <c r="M961" s="76" t="str">
        <f aca="false">IF(OR($O961="",$O961="Cancelled",$O961="Amount missing"),"",IF($O961="Realised",0,$E961-N($F961)-N($H961)))</f>
        <v/>
      </c>
      <c r="N961" s="77" t="str">
        <f aca="false">IF(OR($M961="",FX=""),"",$M961*FX)</f>
        <v/>
      </c>
      <c r="O961" s="78" t="str">
        <f aca="false">IF(NOT(OR($A961&lt;&gt;"",$E961&lt;&gt;"")),"",IF($J961="Cancelled","Cancelled",IF($E961="","Amount missing",IF(OR($J961="Settled",$E961-N($F961)-N($H961)&lt;=0.005),"Realised",IF(N($H961)&gt;0,"Part realised",IF(N($F961)&gt;0,"Advance received","On hand"))))))</f>
        <v/>
      </c>
      <c r="P961" s="79" t="str">
        <f aca="false">IF(AND($V961=1,ISNUMBER($B961)),AsAt-$B961,"")</f>
        <v/>
      </c>
      <c r="Q961" s="78" t="str">
        <f aca="false">IF($V961&lt;&gt;1,"",IF($P961="","No invoice date",IF($P961&lt;=30,"0–30 days",IF($P961&lt;=60,"31–60 days",IF($P961&lt;=90,"61–90 days","Over 90 days")))))</f>
        <v/>
      </c>
      <c r="R961" s="80" t="str">
        <f aca="false">IF($V961=1,ROW(),"")</f>
        <v/>
      </c>
      <c r="S961" s="80" t="str">
        <f aca="false">IF(OR($A961&lt;&gt;"",$E961&lt;&gt;""),IF(TRIM($D961)="","Buyer not noted",TRIM($D961)),"")</f>
        <v/>
      </c>
      <c r="T961" s="80" t="n">
        <f aca="false">IF(AND($V961=1,ISNUMBER($M961)),$M961,0)</f>
        <v>0</v>
      </c>
      <c r="U961" s="80" t="str">
        <f aca="false">IF($V961=1,IF(COUNTIFS($S$7:$S961,$S961,$V$7:$V961,1)=1,SUMIFS($T$7:$T$1006,$S$7:$S$1006,$S961)-ROW()/1000000000,""),"")</f>
        <v/>
      </c>
      <c r="V961" s="80" t="n">
        <f aca="false">IF(OR($O961="On hand",$O961="Advance received",$O961="Part realised",$O961="Amount missing"),1,0)</f>
        <v>0</v>
      </c>
      <c r="W961" s="80" t="str">
        <f aca="false">IF(AND($V961=1,N($F961)&gt;0),ROW(),"")</f>
        <v/>
      </c>
      <c r="X961" s="80" t="n">
        <f aca="false">IF(AND(OR($A961&lt;&gt;"",$E961&lt;&gt;""),$O961&lt;&gt;"Cancelled",ISNUMBER($E961),N($F961)+N($H961)&gt;$E961+0.005),1,0)</f>
        <v>0</v>
      </c>
      <c r="Y961" s="80" t="n">
        <f aca="false">IF(AND(OR($A961&lt;&gt;"",$E961&lt;&gt;""),OR($A961="",$E961="")),1,0)</f>
        <v>0</v>
      </c>
      <c r="Z961" s="80" t="n">
        <f aca="false">IF(AND($A961&lt;&gt;"",COUNTIF($A$7:$A$1006,$A961)&gt;1),1,0)</f>
        <v>0</v>
      </c>
    </row>
    <row r="962" customFormat="false" ht="15" hidden="false" customHeight="false" outlineLevel="0" collapsed="false">
      <c r="A962" s="71"/>
      <c r="B962" s="72"/>
      <c r="C962" s="73"/>
      <c r="D962" s="73"/>
      <c r="E962" s="74"/>
      <c r="F962" s="74"/>
      <c r="G962" s="72"/>
      <c r="H962" s="74"/>
      <c r="I962" s="72"/>
      <c r="J962" s="73"/>
      <c r="K962" s="73"/>
      <c r="L962" s="75" t="str">
        <f aca="false">IF(OR($A962&lt;&gt;"",$E962&lt;&gt;""),N($F962)+N($H962),"")</f>
        <v/>
      </c>
      <c r="M962" s="76" t="str">
        <f aca="false">IF(OR($O962="",$O962="Cancelled",$O962="Amount missing"),"",IF($O962="Realised",0,$E962-N($F962)-N($H962)))</f>
        <v/>
      </c>
      <c r="N962" s="77" t="str">
        <f aca="false">IF(OR($M962="",FX=""),"",$M962*FX)</f>
        <v/>
      </c>
      <c r="O962" s="78" t="str">
        <f aca="false">IF(NOT(OR($A962&lt;&gt;"",$E962&lt;&gt;"")),"",IF($J962="Cancelled","Cancelled",IF($E962="","Amount missing",IF(OR($J962="Settled",$E962-N($F962)-N($H962)&lt;=0.005),"Realised",IF(N($H962)&gt;0,"Part realised",IF(N($F962)&gt;0,"Advance received","On hand"))))))</f>
        <v/>
      </c>
      <c r="P962" s="79" t="str">
        <f aca="false">IF(AND($V962=1,ISNUMBER($B962)),AsAt-$B962,"")</f>
        <v/>
      </c>
      <c r="Q962" s="78" t="str">
        <f aca="false">IF($V962&lt;&gt;1,"",IF($P962="","No invoice date",IF($P962&lt;=30,"0–30 days",IF($P962&lt;=60,"31–60 days",IF($P962&lt;=90,"61–90 days","Over 90 days")))))</f>
        <v/>
      </c>
      <c r="R962" s="80" t="str">
        <f aca="false">IF($V962=1,ROW(),"")</f>
        <v/>
      </c>
      <c r="S962" s="80" t="str">
        <f aca="false">IF(OR($A962&lt;&gt;"",$E962&lt;&gt;""),IF(TRIM($D962)="","Buyer not noted",TRIM($D962)),"")</f>
        <v/>
      </c>
      <c r="T962" s="80" t="n">
        <f aca="false">IF(AND($V962=1,ISNUMBER($M962)),$M962,0)</f>
        <v>0</v>
      </c>
      <c r="U962" s="80" t="str">
        <f aca="false">IF($V962=1,IF(COUNTIFS($S$7:$S962,$S962,$V$7:$V962,1)=1,SUMIFS($T$7:$T$1006,$S$7:$S$1006,$S962)-ROW()/1000000000,""),"")</f>
        <v/>
      </c>
      <c r="V962" s="80" t="n">
        <f aca="false">IF(OR($O962="On hand",$O962="Advance received",$O962="Part realised",$O962="Amount missing"),1,0)</f>
        <v>0</v>
      </c>
      <c r="W962" s="80" t="str">
        <f aca="false">IF(AND($V962=1,N($F962)&gt;0),ROW(),"")</f>
        <v/>
      </c>
      <c r="X962" s="80" t="n">
        <f aca="false">IF(AND(OR($A962&lt;&gt;"",$E962&lt;&gt;""),$O962&lt;&gt;"Cancelled",ISNUMBER($E962),N($F962)+N($H962)&gt;$E962+0.005),1,0)</f>
        <v>0</v>
      </c>
      <c r="Y962" s="80" t="n">
        <f aca="false">IF(AND(OR($A962&lt;&gt;"",$E962&lt;&gt;""),OR($A962="",$E962="")),1,0)</f>
        <v>0</v>
      </c>
      <c r="Z962" s="80" t="n">
        <f aca="false">IF(AND($A962&lt;&gt;"",COUNTIF($A$7:$A$1006,$A962)&gt;1),1,0)</f>
        <v>0</v>
      </c>
    </row>
    <row r="963" customFormat="false" ht="15" hidden="false" customHeight="false" outlineLevel="0" collapsed="false">
      <c r="A963" s="71"/>
      <c r="B963" s="72"/>
      <c r="C963" s="73"/>
      <c r="D963" s="73"/>
      <c r="E963" s="74"/>
      <c r="F963" s="74"/>
      <c r="G963" s="72"/>
      <c r="H963" s="74"/>
      <c r="I963" s="72"/>
      <c r="J963" s="73"/>
      <c r="K963" s="73"/>
      <c r="L963" s="75" t="str">
        <f aca="false">IF(OR($A963&lt;&gt;"",$E963&lt;&gt;""),N($F963)+N($H963),"")</f>
        <v/>
      </c>
      <c r="M963" s="76" t="str">
        <f aca="false">IF(OR($O963="",$O963="Cancelled",$O963="Amount missing"),"",IF($O963="Realised",0,$E963-N($F963)-N($H963)))</f>
        <v/>
      </c>
      <c r="N963" s="77" t="str">
        <f aca="false">IF(OR($M963="",FX=""),"",$M963*FX)</f>
        <v/>
      </c>
      <c r="O963" s="78" t="str">
        <f aca="false">IF(NOT(OR($A963&lt;&gt;"",$E963&lt;&gt;"")),"",IF($J963="Cancelled","Cancelled",IF($E963="","Amount missing",IF(OR($J963="Settled",$E963-N($F963)-N($H963)&lt;=0.005),"Realised",IF(N($H963)&gt;0,"Part realised",IF(N($F963)&gt;0,"Advance received","On hand"))))))</f>
        <v/>
      </c>
      <c r="P963" s="79" t="str">
        <f aca="false">IF(AND($V963=1,ISNUMBER($B963)),AsAt-$B963,"")</f>
        <v/>
      </c>
      <c r="Q963" s="78" t="str">
        <f aca="false">IF($V963&lt;&gt;1,"",IF($P963="","No invoice date",IF($P963&lt;=30,"0–30 days",IF($P963&lt;=60,"31–60 days",IF($P963&lt;=90,"61–90 days","Over 90 days")))))</f>
        <v/>
      </c>
      <c r="R963" s="80" t="str">
        <f aca="false">IF($V963=1,ROW(),"")</f>
        <v/>
      </c>
      <c r="S963" s="80" t="str">
        <f aca="false">IF(OR($A963&lt;&gt;"",$E963&lt;&gt;""),IF(TRIM($D963)="","Buyer not noted",TRIM($D963)),"")</f>
        <v/>
      </c>
      <c r="T963" s="80" t="n">
        <f aca="false">IF(AND($V963=1,ISNUMBER($M963)),$M963,0)</f>
        <v>0</v>
      </c>
      <c r="U963" s="80" t="str">
        <f aca="false">IF($V963=1,IF(COUNTIFS($S$7:$S963,$S963,$V$7:$V963,1)=1,SUMIFS($T$7:$T$1006,$S$7:$S$1006,$S963)-ROW()/1000000000,""),"")</f>
        <v/>
      </c>
      <c r="V963" s="80" t="n">
        <f aca="false">IF(OR($O963="On hand",$O963="Advance received",$O963="Part realised",$O963="Amount missing"),1,0)</f>
        <v>0</v>
      </c>
      <c r="W963" s="80" t="str">
        <f aca="false">IF(AND($V963=1,N($F963)&gt;0),ROW(),"")</f>
        <v/>
      </c>
      <c r="X963" s="80" t="n">
        <f aca="false">IF(AND(OR($A963&lt;&gt;"",$E963&lt;&gt;""),$O963&lt;&gt;"Cancelled",ISNUMBER($E963),N($F963)+N($H963)&gt;$E963+0.005),1,0)</f>
        <v>0</v>
      </c>
      <c r="Y963" s="80" t="n">
        <f aca="false">IF(AND(OR($A963&lt;&gt;"",$E963&lt;&gt;""),OR($A963="",$E963="")),1,0)</f>
        <v>0</v>
      </c>
      <c r="Z963" s="80" t="n">
        <f aca="false">IF(AND($A963&lt;&gt;"",COUNTIF($A$7:$A$1006,$A963)&gt;1),1,0)</f>
        <v>0</v>
      </c>
    </row>
    <row r="964" customFormat="false" ht="15" hidden="false" customHeight="false" outlineLevel="0" collapsed="false">
      <c r="A964" s="71"/>
      <c r="B964" s="72"/>
      <c r="C964" s="73"/>
      <c r="D964" s="73"/>
      <c r="E964" s="74"/>
      <c r="F964" s="74"/>
      <c r="G964" s="72"/>
      <c r="H964" s="74"/>
      <c r="I964" s="72"/>
      <c r="J964" s="73"/>
      <c r="K964" s="73"/>
      <c r="L964" s="75" t="str">
        <f aca="false">IF(OR($A964&lt;&gt;"",$E964&lt;&gt;""),N($F964)+N($H964),"")</f>
        <v/>
      </c>
      <c r="M964" s="76" t="str">
        <f aca="false">IF(OR($O964="",$O964="Cancelled",$O964="Amount missing"),"",IF($O964="Realised",0,$E964-N($F964)-N($H964)))</f>
        <v/>
      </c>
      <c r="N964" s="77" t="str">
        <f aca="false">IF(OR($M964="",FX=""),"",$M964*FX)</f>
        <v/>
      </c>
      <c r="O964" s="78" t="str">
        <f aca="false">IF(NOT(OR($A964&lt;&gt;"",$E964&lt;&gt;"")),"",IF($J964="Cancelled","Cancelled",IF($E964="","Amount missing",IF(OR($J964="Settled",$E964-N($F964)-N($H964)&lt;=0.005),"Realised",IF(N($H964)&gt;0,"Part realised",IF(N($F964)&gt;0,"Advance received","On hand"))))))</f>
        <v/>
      </c>
      <c r="P964" s="79" t="str">
        <f aca="false">IF(AND($V964=1,ISNUMBER($B964)),AsAt-$B964,"")</f>
        <v/>
      </c>
      <c r="Q964" s="78" t="str">
        <f aca="false">IF($V964&lt;&gt;1,"",IF($P964="","No invoice date",IF($P964&lt;=30,"0–30 days",IF($P964&lt;=60,"31–60 days",IF($P964&lt;=90,"61–90 days","Over 90 days")))))</f>
        <v/>
      </c>
      <c r="R964" s="80" t="str">
        <f aca="false">IF($V964=1,ROW(),"")</f>
        <v/>
      </c>
      <c r="S964" s="80" t="str">
        <f aca="false">IF(OR($A964&lt;&gt;"",$E964&lt;&gt;""),IF(TRIM($D964)="","Buyer not noted",TRIM($D964)),"")</f>
        <v/>
      </c>
      <c r="T964" s="80" t="n">
        <f aca="false">IF(AND($V964=1,ISNUMBER($M964)),$M964,0)</f>
        <v>0</v>
      </c>
      <c r="U964" s="80" t="str">
        <f aca="false">IF($V964=1,IF(COUNTIFS($S$7:$S964,$S964,$V$7:$V964,1)=1,SUMIFS($T$7:$T$1006,$S$7:$S$1006,$S964)-ROW()/1000000000,""),"")</f>
        <v/>
      </c>
      <c r="V964" s="80" t="n">
        <f aca="false">IF(OR($O964="On hand",$O964="Advance received",$O964="Part realised",$O964="Amount missing"),1,0)</f>
        <v>0</v>
      </c>
      <c r="W964" s="80" t="str">
        <f aca="false">IF(AND($V964=1,N($F964)&gt;0),ROW(),"")</f>
        <v/>
      </c>
      <c r="X964" s="80" t="n">
        <f aca="false">IF(AND(OR($A964&lt;&gt;"",$E964&lt;&gt;""),$O964&lt;&gt;"Cancelled",ISNUMBER($E964),N($F964)+N($H964)&gt;$E964+0.005),1,0)</f>
        <v>0</v>
      </c>
      <c r="Y964" s="80" t="n">
        <f aca="false">IF(AND(OR($A964&lt;&gt;"",$E964&lt;&gt;""),OR($A964="",$E964="")),1,0)</f>
        <v>0</v>
      </c>
      <c r="Z964" s="80" t="n">
        <f aca="false">IF(AND($A964&lt;&gt;"",COUNTIF($A$7:$A$1006,$A964)&gt;1),1,0)</f>
        <v>0</v>
      </c>
    </row>
    <row r="965" customFormat="false" ht="15" hidden="false" customHeight="false" outlineLevel="0" collapsed="false">
      <c r="A965" s="71"/>
      <c r="B965" s="72"/>
      <c r="C965" s="73"/>
      <c r="D965" s="73"/>
      <c r="E965" s="74"/>
      <c r="F965" s="74"/>
      <c r="G965" s="72"/>
      <c r="H965" s="74"/>
      <c r="I965" s="72"/>
      <c r="J965" s="73"/>
      <c r="K965" s="73"/>
      <c r="L965" s="75" t="str">
        <f aca="false">IF(OR($A965&lt;&gt;"",$E965&lt;&gt;""),N($F965)+N($H965),"")</f>
        <v/>
      </c>
      <c r="M965" s="76" t="str">
        <f aca="false">IF(OR($O965="",$O965="Cancelled",$O965="Amount missing"),"",IF($O965="Realised",0,$E965-N($F965)-N($H965)))</f>
        <v/>
      </c>
      <c r="N965" s="77" t="str">
        <f aca="false">IF(OR($M965="",FX=""),"",$M965*FX)</f>
        <v/>
      </c>
      <c r="O965" s="78" t="str">
        <f aca="false">IF(NOT(OR($A965&lt;&gt;"",$E965&lt;&gt;"")),"",IF($J965="Cancelled","Cancelled",IF($E965="","Amount missing",IF(OR($J965="Settled",$E965-N($F965)-N($H965)&lt;=0.005),"Realised",IF(N($H965)&gt;0,"Part realised",IF(N($F965)&gt;0,"Advance received","On hand"))))))</f>
        <v/>
      </c>
      <c r="P965" s="79" t="str">
        <f aca="false">IF(AND($V965=1,ISNUMBER($B965)),AsAt-$B965,"")</f>
        <v/>
      </c>
      <c r="Q965" s="78" t="str">
        <f aca="false">IF($V965&lt;&gt;1,"",IF($P965="","No invoice date",IF($P965&lt;=30,"0–30 days",IF($P965&lt;=60,"31–60 days",IF($P965&lt;=90,"61–90 days","Over 90 days")))))</f>
        <v/>
      </c>
      <c r="R965" s="80" t="str">
        <f aca="false">IF($V965=1,ROW(),"")</f>
        <v/>
      </c>
      <c r="S965" s="80" t="str">
        <f aca="false">IF(OR($A965&lt;&gt;"",$E965&lt;&gt;""),IF(TRIM($D965)="","Buyer not noted",TRIM($D965)),"")</f>
        <v/>
      </c>
      <c r="T965" s="80" t="n">
        <f aca="false">IF(AND($V965=1,ISNUMBER($M965)),$M965,0)</f>
        <v>0</v>
      </c>
      <c r="U965" s="80" t="str">
        <f aca="false">IF($V965=1,IF(COUNTIFS($S$7:$S965,$S965,$V$7:$V965,1)=1,SUMIFS($T$7:$T$1006,$S$7:$S$1006,$S965)-ROW()/1000000000,""),"")</f>
        <v/>
      </c>
      <c r="V965" s="80" t="n">
        <f aca="false">IF(OR($O965="On hand",$O965="Advance received",$O965="Part realised",$O965="Amount missing"),1,0)</f>
        <v>0</v>
      </c>
      <c r="W965" s="80" t="str">
        <f aca="false">IF(AND($V965=1,N($F965)&gt;0),ROW(),"")</f>
        <v/>
      </c>
      <c r="X965" s="80" t="n">
        <f aca="false">IF(AND(OR($A965&lt;&gt;"",$E965&lt;&gt;""),$O965&lt;&gt;"Cancelled",ISNUMBER($E965),N($F965)+N($H965)&gt;$E965+0.005),1,0)</f>
        <v>0</v>
      </c>
      <c r="Y965" s="80" t="n">
        <f aca="false">IF(AND(OR($A965&lt;&gt;"",$E965&lt;&gt;""),OR($A965="",$E965="")),1,0)</f>
        <v>0</v>
      </c>
      <c r="Z965" s="80" t="n">
        <f aca="false">IF(AND($A965&lt;&gt;"",COUNTIF($A$7:$A$1006,$A965)&gt;1),1,0)</f>
        <v>0</v>
      </c>
    </row>
    <row r="966" customFormat="false" ht="15" hidden="false" customHeight="false" outlineLevel="0" collapsed="false">
      <c r="A966" s="71"/>
      <c r="B966" s="72"/>
      <c r="C966" s="73"/>
      <c r="D966" s="73"/>
      <c r="E966" s="74"/>
      <c r="F966" s="74"/>
      <c r="G966" s="72"/>
      <c r="H966" s="74"/>
      <c r="I966" s="72"/>
      <c r="J966" s="73"/>
      <c r="K966" s="73"/>
      <c r="L966" s="75" t="str">
        <f aca="false">IF(OR($A966&lt;&gt;"",$E966&lt;&gt;""),N($F966)+N($H966),"")</f>
        <v/>
      </c>
      <c r="M966" s="76" t="str">
        <f aca="false">IF(OR($O966="",$O966="Cancelled",$O966="Amount missing"),"",IF($O966="Realised",0,$E966-N($F966)-N($H966)))</f>
        <v/>
      </c>
      <c r="N966" s="77" t="str">
        <f aca="false">IF(OR($M966="",FX=""),"",$M966*FX)</f>
        <v/>
      </c>
      <c r="O966" s="78" t="str">
        <f aca="false">IF(NOT(OR($A966&lt;&gt;"",$E966&lt;&gt;"")),"",IF($J966="Cancelled","Cancelled",IF($E966="","Amount missing",IF(OR($J966="Settled",$E966-N($F966)-N($H966)&lt;=0.005),"Realised",IF(N($H966)&gt;0,"Part realised",IF(N($F966)&gt;0,"Advance received","On hand"))))))</f>
        <v/>
      </c>
      <c r="P966" s="79" t="str">
        <f aca="false">IF(AND($V966=1,ISNUMBER($B966)),AsAt-$B966,"")</f>
        <v/>
      </c>
      <c r="Q966" s="78" t="str">
        <f aca="false">IF($V966&lt;&gt;1,"",IF($P966="","No invoice date",IF($P966&lt;=30,"0–30 days",IF($P966&lt;=60,"31–60 days",IF($P966&lt;=90,"61–90 days","Over 90 days")))))</f>
        <v/>
      </c>
      <c r="R966" s="80" t="str">
        <f aca="false">IF($V966=1,ROW(),"")</f>
        <v/>
      </c>
      <c r="S966" s="80" t="str">
        <f aca="false">IF(OR($A966&lt;&gt;"",$E966&lt;&gt;""),IF(TRIM($D966)="","Buyer not noted",TRIM($D966)),"")</f>
        <v/>
      </c>
      <c r="T966" s="80" t="n">
        <f aca="false">IF(AND($V966=1,ISNUMBER($M966)),$M966,0)</f>
        <v>0</v>
      </c>
      <c r="U966" s="80" t="str">
        <f aca="false">IF($V966=1,IF(COUNTIFS($S$7:$S966,$S966,$V$7:$V966,1)=1,SUMIFS($T$7:$T$1006,$S$7:$S$1006,$S966)-ROW()/1000000000,""),"")</f>
        <v/>
      </c>
      <c r="V966" s="80" t="n">
        <f aca="false">IF(OR($O966="On hand",$O966="Advance received",$O966="Part realised",$O966="Amount missing"),1,0)</f>
        <v>0</v>
      </c>
      <c r="W966" s="80" t="str">
        <f aca="false">IF(AND($V966=1,N($F966)&gt;0),ROW(),"")</f>
        <v/>
      </c>
      <c r="X966" s="80" t="n">
        <f aca="false">IF(AND(OR($A966&lt;&gt;"",$E966&lt;&gt;""),$O966&lt;&gt;"Cancelled",ISNUMBER($E966),N($F966)+N($H966)&gt;$E966+0.005),1,0)</f>
        <v>0</v>
      </c>
      <c r="Y966" s="80" t="n">
        <f aca="false">IF(AND(OR($A966&lt;&gt;"",$E966&lt;&gt;""),OR($A966="",$E966="")),1,0)</f>
        <v>0</v>
      </c>
      <c r="Z966" s="80" t="n">
        <f aca="false">IF(AND($A966&lt;&gt;"",COUNTIF($A$7:$A$1006,$A966)&gt;1),1,0)</f>
        <v>0</v>
      </c>
    </row>
    <row r="967" customFormat="false" ht="15" hidden="false" customHeight="false" outlineLevel="0" collapsed="false">
      <c r="A967" s="71"/>
      <c r="B967" s="72"/>
      <c r="C967" s="73"/>
      <c r="D967" s="73"/>
      <c r="E967" s="74"/>
      <c r="F967" s="74"/>
      <c r="G967" s="72"/>
      <c r="H967" s="74"/>
      <c r="I967" s="72"/>
      <c r="J967" s="73"/>
      <c r="K967" s="73"/>
      <c r="L967" s="75" t="str">
        <f aca="false">IF(OR($A967&lt;&gt;"",$E967&lt;&gt;""),N($F967)+N($H967),"")</f>
        <v/>
      </c>
      <c r="M967" s="76" t="str">
        <f aca="false">IF(OR($O967="",$O967="Cancelled",$O967="Amount missing"),"",IF($O967="Realised",0,$E967-N($F967)-N($H967)))</f>
        <v/>
      </c>
      <c r="N967" s="77" t="str">
        <f aca="false">IF(OR($M967="",FX=""),"",$M967*FX)</f>
        <v/>
      </c>
      <c r="O967" s="78" t="str">
        <f aca="false">IF(NOT(OR($A967&lt;&gt;"",$E967&lt;&gt;"")),"",IF($J967="Cancelled","Cancelled",IF($E967="","Amount missing",IF(OR($J967="Settled",$E967-N($F967)-N($H967)&lt;=0.005),"Realised",IF(N($H967)&gt;0,"Part realised",IF(N($F967)&gt;0,"Advance received","On hand"))))))</f>
        <v/>
      </c>
      <c r="P967" s="79" t="str">
        <f aca="false">IF(AND($V967=1,ISNUMBER($B967)),AsAt-$B967,"")</f>
        <v/>
      </c>
      <c r="Q967" s="78" t="str">
        <f aca="false">IF($V967&lt;&gt;1,"",IF($P967="","No invoice date",IF($P967&lt;=30,"0–30 days",IF($P967&lt;=60,"31–60 days",IF($P967&lt;=90,"61–90 days","Over 90 days")))))</f>
        <v/>
      </c>
      <c r="R967" s="80" t="str">
        <f aca="false">IF($V967=1,ROW(),"")</f>
        <v/>
      </c>
      <c r="S967" s="80" t="str">
        <f aca="false">IF(OR($A967&lt;&gt;"",$E967&lt;&gt;""),IF(TRIM($D967)="","Buyer not noted",TRIM($D967)),"")</f>
        <v/>
      </c>
      <c r="T967" s="80" t="n">
        <f aca="false">IF(AND($V967=1,ISNUMBER($M967)),$M967,0)</f>
        <v>0</v>
      </c>
      <c r="U967" s="80" t="str">
        <f aca="false">IF($V967=1,IF(COUNTIFS($S$7:$S967,$S967,$V$7:$V967,1)=1,SUMIFS($T$7:$T$1006,$S$7:$S$1006,$S967)-ROW()/1000000000,""),"")</f>
        <v/>
      </c>
      <c r="V967" s="80" t="n">
        <f aca="false">IF(OR($O967="On hand",$O967="Advance received",$O967="Part realised",$O967="Amount missing"),1,0)</f>
        <v>0</v>
      </c>
      <c r="W967" s="80" t="str">
        <f aca="false">IF(AND($V967=1,N($F967)&gt;0),ROW(),"")</f>
        <v/>
      </c>
      <c r="X967" s="80" t="n">
        <f aca="false">IF(AND(OR($A967&lt;&gt;"",$E967&lt;&gt;""),$O967&lt;&gt;"Cancelled",ISNUMBER($E967),N($F967)+N($H967)&gt;$E967+0.005),1,0)</f>
        <v>0</v>
      </c>
      <c r="Y967" s="80" t="n">
        <f aca="false">IF(AND(OR($A967&lt;&gt;"",$E967&lt;&gt;""),OR($A967="",$E967="")),1,0)</f>
        <v>0</v>
      </c>
      <c r="Z967" s="80" t="n">
        <f aca="false">IF(AND($A967&lt;&gt;"",COUNTIF($A$7:$A$1006,$A967)&gt;1),1,0)</f>
        <v>0</v>
      </c>
    </row>
    <row r="968" customFormat="false" ht="15" hidden="false" customHeight="false" outlineLevel="0" collapsed="false">
      <c r="A968" s="71"/>
      <c r="B968" s="72"/>
      <c r="C968" s="73"/>
      <c r="D968" s="73"/>
      <c r="E968" s="74"/>
      <c r="F968" s="74"/>
      <c r="G968" s="72"/>
      <c r="H968" s="74"/>
      <c r="I968" s="72"/>
      <c r="J968" s="73"/>
      <c r="K968" s="73"/>
      <c r="L968" s="75" t="str">
        <f aca="false">IF(OR($A968&lt;&gt;"",$E968&lt;&gt;""),N($F968)+N($H968),"")</f>
        <v/>
      </c>
      <c r="M968" s="76" t="str">
        <f aca="false">IF(OR($O968="",$O968="Cancelled",$O968="Amount missing"),"",IF($O968="Realised",0,$E968-N($F968)-N($H968)))</f>
        <v/>
      </c>
      <c r="N968" s="77" t="str">
        <f aca="false">IF(OR($M968="",FX=""),"",$M968*FX)</f>
        <v/>
      </c>
      <c r="O968" s="78" t="str">
        <f aca="false">IF(NOT(OR($A968&lt;&gt;"",$E968&lt;&gt;"")),"",IF($J968="Cancelled","Cancelled",IF($E968="","Amount missing",IF(OR($J968="Settled",$E968-N($F968)-N($H968)&lt;=0.005),"Realised",IF(N($H968)&gt;0,"Part realised",IF(N($F968)&gt;0,"Advance received","On hand"))))))</f>
        <v/>
      </c>
      <c r="P968" s="79" t="str">
        <f aca="false">IF(AND($V968=1,ISNUMBER($B968)),AsAt-$B968,"")</f>
        <v/>
      </c>
      <c r="Q968" s="78" t="str">
        <f aca="false">IF($V968&lt;&gt;1,"",IF($P968="","No invoice date",IF($P968&lt;=30,"0–30 days",IF($P968&lt;=60,"31–60 days",IF($P968&lt;=90,"61–90 days","Over 90 days")))))</f>
        <v/>
      </c>
      <c r="R968" s="80" t="str">
        <f aca="false">IF($V968=1,ROW(),"")</f>
        <v/>
      </c>
      <c r="S968" s="80" t="str">
        <f aca="false">IF(OR($A968&lt;&gt;"",$E968&lt;&gt;""),IF(TRIM($D968)="","Buyer not noted",TRIM($D968)),"")</f>
        <v/>
      </c>
      <c r="T968" s="80" t="n">
        <f aca="false">IF(AND($V968=1,ISNUMBER($M968)),$M968,0)</f>
        <v>0</v>
      </c>
      <c r="U968" s="80" t="str">
        <f aca="false">IF($V968=1,IF(COUNTIFS($S$7:$S968,$S968,$V$7:$V968,1)=1,SUMIFS($T$7:$T$1006,$S$7:$S$1006,$S968)-ROW()/1000000000,""),"")</f>
        <v/>
      </c>
      <c r="V968" s="80" t="n">
        <f aca="false">IF(OR($O968="On hand",$O968="Advance received",$O968="Part realised",$O968="Amount missing"),1,0)</f>
        <v>0</v>
      </c>
      <c r="W968" s="80" t="str">
        <f aca="false">IF(AND($V968=1,N($F968)&gt;0),ROW(),"")</f>
        <v/>
      </c>
      <c r="X968" s="80" t="n">
        <f aca="false">IF(AND(OR($A968&lt;&gt;"",$E968&lt;&gt;""),$O968&lt;&gt;"Cancelled",ISNUMBER($E968),N($F968)+N($H968)&gt;$E968+0.005),1,0)</f>
        <v>0</v>
      </c>
      <c r="Y968" s="80" t="n">
        <f aca="false">IF(AND(OR($A968&lt;&gt;"",$E968&lt;&gt;""),OR($A968="",$E968="")),1,0)</f>
        <v>0</v>
      </c>
      <c r="Z968" s="80" t="n">
        <f aca="false">IF(AND($A968&lt;&gt;"",COUNTIF($A$7:$A$1006,$A968)&gt;1),1,0)</f>
        <v>0</v>
      </c>
    </row>
    <row r="969" customFormat="false" ht="15" hidden="false" customHeight="false" outlineLevel="0" collapsed="false">
      <c r="A969" s="71"/>
      <c r="B969" s="72"/>
      <c r="C969" s="73"/>
      <c r="D969" s="73"/>
      <c r="E969" s="74"/>
      <c r="F969" s="74"/>
      <c r="G969" s="72"/>
      <c r="H969" s="74"/>
      <c r="I969" s="72"/>
      <c r="J969" s="73"/>
      <c r="K969" s="73"/>
      <c r="L969" s="75" t="str">
        <f aca="false">IF(OR($A969&lt;&gt;"",$E969&lt;&gt;""),N($F969)+N($H969),"")</f>
        <v/>
      </c>
      <c r="M969" s="76" t="str">
        <f aca="false">IF(OR($O969="",$O969="Cancelled",$O969="Amount missing"),"",IF($O969="Realised",0,$E969-N($F969)-N($H969)))</f>
        <v/>
      </c>
      <c r="N969" s="77" t="str">
        <f aca="false">IF(OR($M969="",FX=""),"",$M969*FX)</f>
        <v/>
      </c>
      <c r="O969" s="78" t="str">
        <f aca="false">IF(NOT(OR($A969&lt;&gt;"",$E969&lt;&gt;"")),"",IF($J969="Cancelled","Cancelled",IF($E969="","Amount missing",IF(OR($J969="Settled",$E969-N($F969)-N($H969)&lt;=0.005),"Realised",IF(N($H969)&gt;0,"Part realised",IF(N($F969)&gt;0,"Advance received","On hand"))))))</f>
        <v/>
      </c>
      <c r="P969" s="79" t="str">
        <f aca="false">IF(AND($V969=1,ISNUMBER($B969)),AsAt-$B969,"")</f>
        <v/>
      </c>
      <c r="Q969" s="78" t="str">
        <f aca="false">IF($V969&lt;&gt;1,"",IF($P969="","No invoice date",IF($P969&lt;=30,"0–30 days",IF($P969&lt;=60,"31–60 days",IF($P969&lt;=90,"61–90 days","Over 90 days")))))</f>
        <v/>
      </c>
      <c r="R969" s="80" t="str">
        <f aca="false">IF($V969=1,ROW(),"")</f>
        <v/>
      </c>
      <c r="S969" s="80" t="str">
        <f aca="false">IF(OR($A969&lt;&gt;"",$E969&lt;&gt;""),IF(TRIM($D969)="","Buyer not noted",TRIM($D969)),"")</f>
        <v/>
      </c>
      <c r="T969" s="80" t="n">
        <f aca="false">IF(AND($V969=1,ISNUMBER($M969)),$M969,0)</f>
        <v>0</v>
      </c>
      <c r="U969" s="80" t="str">
        <f aca="false">IF($V969=1,IF(COUNTIFS($S$7:$S969,$S969,$V$7:$V969,1)=1,SUMIFS($T$7:$T$1006,$S$7:$S$1006,$S969)-ROW()/1000000000,""),"")</f>
        <v/>
      </c>
      <c r="V969" s="80" t="n">
        <f aca="false">IF(OR($O969="On hand",$O969="Advance received",$O969="Part realised",$O969="Amount missing"),1,0)</f>
        <v>0</v>
      </c>
      <c r="W969" s="80" t="str">
        <f aca="false">IF(AND($V969=1,N($F969)&gt;0),ROW(),"")</f>
        <v/>
      </c>
      <c r="X969" s="80" t="n">
        <f aca="false">IF(AND(OR($A969&lt;&gt;"",$E969&lt;&gt;""),$O969&lt;&gt;"Cancelled",ISNUMBER($E969),N($F969)+N($H969)&gt;$E969+0.005),1,0)</f>
        <v>0</v>
      </c>
      <c r="Y969" s="80" t="n">
        <f aca="false">IF(AND(OR($A969&lt;&gt;"",$E969&lt;&gt;""),OR($A969="",$E969="")),1,0)</f>
        <v>0</v>
      </c>
      <c r="Z969" s="80" t="n">
        <f aca="false">IF(AND($A969&lt;&gt;"",COUNTIF($A$7:$A$1006,$A969)&gt;1),1,0)</f>
        <v>0</v>
      </c>
    </row>
    <row r="970" customFormat="false" ht="15" hidden="false" customHeight="false" outlineLevel="0" collapsed="false">
      <c r="A970" s="71"/>
      <c r="B970" s="72"/>
      <c r="C970" s="73"/>
      <c r="D970" s="73"/>
      <c r="E970" s="74"/>
      <c r="F970" s="74"/>
      <c r="G970" s="72"/>
      <c r="H970" s="74"/>
      <c r="I970" s="72"/>
      <c r="J970" s="73"/>
      <c r="K970" s="73"/>
      <c r="L970" s="75" t="str">
        <f aca="false">IF(OR($A970&lt;&gt;"",$E970&lt;&gt;""),N($F970)+N($H970),"")</f>
        <v/>
      </c>
      <c r="M970" s="76" t="str">
        <f aca="false">IF(OR($O970="",$O970="Cancelled",$O970="Amount missing"),"",IF($O970="Realised",0,$E970-N($F970)-N($H970)))</f>
        <v/>
      </c>
      <c r="N970" s="77" t="str">
        <f aca="false">IF(OR($M970="",FX=""),"",$M970*FX)</f>
        <v/>
      </c>
      <c r="O970" s="78" t="str">
        <f aca="false">IF(NOT(OR($A970&lt;&gt;"",$E970&lt;&gt;"")),"",IF($J970="Cancelled","Cancelled",IF($E970="","Amount missing",IF(OR($J970="Settled",$E970-N($F970)-N($H970)&lt;=0.005),"Realised",IF(N($H970)&gt;0,"Part realised",IF(N($F970)&gt;0,"Advance received","On hand"))))))</f>
        <v/>
      </c>
      <c r="P970" s="79" t="str">
        <f aca="false">IF(AND($V970=1,ISNUMBER($B970)),AsAt-$B970,"")</f>
        <v/>
      </c>
      <c r="Q970" s="78" t="str">
        <f aca="false">IF($V970&lt;&gt;1,"",IF($P970="","No invoice date",IF($P970&lt;=30,"0–30 days",IF($P970&lt;=60,"31–60 days",IF($P970&lt;=90,"61–90 days","Over 90 days")))))</f>
        <v/>
      </c>
      <c r="R970" s="80" t="str">
        <f aca="false">IF($V970=1,ROW(),"")</f>
        <v/>
      </c>
      <c r="S970" s="80" t="str">
        <f aca="false">IF(OR($A970&lt;&gt;"",$E970&lt;&gt;""),IF(TRIM($D970)="","Buyer not noted",TRIM($D970)),"")</f>
        <v/>
      </c>
      <c r="T970" s="80" t="n">
        <f aca="false">IF(AND($V970=1,ISNUMBER($M970)),$M970,0)</f>
        <v>0</v>
      </c>
      <c r="U970" s="80" t="str">
        <f aca="false">IF($V970=1,IF(COUNTIFS($S$7:$S970,$S970,$V$7:$V970,1)=1,SUMIFS($T$7:$T$1006,$S$7:$S$1006,$S970)-ROW()/1000000000,""),"")</f>
        <v/>
      </c>
      <c r="V970" s="80" t="n">
        <f aca="false">IF(OR($O970="On hand",$O970="Advance received",$O970="Part realised",$O970="Amount missing"),1,0)</f>
        <v>0</v>
      </c>
      <c r="W970" s="80" t="str">
        <f aca="false">IF(AND($V970=1,N($F970)&gt;0),ROW(),"")</f>
        <v/>
      </c>
      <c r="X970" s="80" t="n">
        <f aca="false">IF(AND(OR($A970&lt;&gt;"",$E970&lt;&gt;""),$O970&lt;&gt;"Cancelled",ISNUMBER($E970),N($F970)+N($H970)&gt;$E970+0.005),1,0)</f>
        <v>0</v>
      </c>
      <c r="Y970" s="80" t="n">
        <f aca="false">IF(AND(OR($A970&lt;&gt;"",$E970&lt;&gt;""),OR($A970="",$E970="")),1,0)</f>
        <v>0</v>
      </c>
      <c r="Z970" s="80" t="n">
        <f aca="false">IF(AND($A970&lt;&gt;"",COUNTIF($A$7:$A$1006,$A970)&gt;1),1,0)</f>
        <v>0</v>
      </c>
    </row>
    <row r="971" customFormat="false" ht="15" hidden="false" customHeight="false" outlineLevel="0" collapsed="false">
      <c r="A971" s="71"/>
      <c r="B971" s="72"/>
      <c r="C971" s="73"/>
      <c r="D971" s="73"/>
      <c r="E971" s="74"/>
      <c r="F971" s="74"/>
      <c r="G971" s="72"/>
      <c r="H971" s="74"/>
      <c r="I971" s="72"/>
      <c r="J971" s="73"/>
      <c r="K971" s="73"/>
      <c r="L971" s="75" t="str">
        <f aca="false">IF(OR($A971&lt;&gt;"",$E971&lt;&gt;""),N($F971)+N($H971),"")</f>
        <v/>
      </c>
      <c r="M971" s="76" t="str">
        <f aca="false">IF(OR($O971="",$O971="Cancelled",$O971="Amount missing"),"",IF($O971="Realised",0,$E971-N($F971)-N($H971)))</f>
        <v/>
      </c>
      <c r="N971" s="77" t="str">
        <f aca="false">IF(OR($M971="",FX=""),"",$M971*FX)</f>
        <v/>
      </c>
      <c r="O971" s="78" t="str">
        <f aca="false">IF(NOT(OR($A971&lt;&gt;"",$E971&lt;&gt;"")),"",IF($J971="Cancelled","Cancelled",IF($E971="","Amount missing",IF(OR($J971="Settled",$E971-N($F971)-N($H971)&lt;=0.005),"Realised",IF(N($H971)&gt;0,"Part realised",IF(N($F971)&gt;0,"Advance received","On hand"))))))</f>
        <v/>
      </c>
      <c r="P971" s="79" t="str">
        <f aca="false">IF(AND($V971=1,ISNUMBER($B971)),AsAt-$B971,"")</f>
        <v/>
      </c>
      <c r="Q971" s="78" t="str">
        <f aca="false">IF($V971&lt;&gt;1,"",IF($P971="","No invoice date",IF($P971&lt;=30,"0–30 days",IF($P971&lt;=60,"31–60 days",IF($P971&lt;=90,"61–90 days","Over 90 days")))))</f>
        <v/>
      </c>
      <c r="R971" s="80" t="str">
        <f aca="false">IF($V971=1,ROW(),"")</f>
        <v/>
      </c>
      <c r="S971" s="80" t="str">
        <f aca="false">IF(OR($A971&lt;&gt;"",$E971&lt;&gt;""),IF(TRIM($D971)="","Buyer not noted",TRIM($D971)),"")</f>
        <v/>
      </c>
      <c r="T971" s="80" t="n">
        <f aca="false">IF(AND($V971=1,ISNUMBER($M971)),$M971,0)</f>
        <v>0</v>
      </c>
      <c r="U971" s="80" t="str">
        <f aca="false">IF($V971=1,IF(COUNTIFS($S$7:$S971,$S971,$V$7:$V971,1)=1,SUMIFS($T$7:$T$1006,$S$7:$S$1006,$S971)-ROW()/1000000000,""),"")</f>
        <v/>
      </c>
      <c r="V971" s="80" t="n">
        <f aca="false">IF(OR($O971="On hand",$O971="Advance received",$O971="Part realised",$O971="Amount missing"),1,0)</f>
        <v>0</v>
      </c>
      <c r="W971" s="80" t="str">
        <f aca="false">IF(AND($V971=1,N($F971)&gt;0),ROW(),"")</f>
        <v/>
      </c>
      <c r="X971" s="80" t="n">
        <f aca="false">IF(AND(OR($A971&lt;&gt;"",$E971&lt;&gt;""),$O971&lt;&gt;"Cancelled",ISNUMBER($E971),N($F971)+N($H971)&gt;$E971+0.005),1,0)</f>
        <v>0</v>
      </c>
      <c r="Y971" s="80" t="n">
        <f aca="false">IF(AND(OR($A971&lt;&gt;"",$E971&lt;&gt;""),OR($A971="",$E971="")),1,0)</f>
        <v>0</v>
      </c>
      <c r="Z971" s="80" t="n">
        <f aca="false">IF(AND($A971&lt;&gt;"",COUNTIF($A$7:$A$1006,$A971)&gt;1),1,0)</f>
        <v>0</v>
      </c>
    </row>
    <row r="972" customFormat="false" ht="15" hidden="false" customHeight="false" outlineLevel="0" collapsed="false">
      <c r="A972" s="71"/>
      <c r="B972" s="72"/>
      <c r="C972" s="73"/>
      <c r="D972" s="73"/>
      <c r="E972" s="74"/>
      <c r="F972" s="74"/>
      <c r="G972" s="72"/>
      <c r="H972" s="74"/>
      <c r="I972" s="72"/>
      <c r="J972" s="73"/>
      <c r="K972" s="73"/>
      <c r="L972" s="75" t="str">
        <f aca="false">IF(OR($A972&lt;&gt;"",$E972&lt;&gt;""),N($F972)+N($H972),"")</f>
        <v/>
      </c>
      <c r="M972" s="76" t="str">
        <f aca="false">IF(OR($O972="",$O972="Cancelled",$O972="Amount missing"),"",IF($O972="Realised",0,$E972-N($F972)-N($H972)))</f>
        <v/>
      </c>
      <c r="N972" s="77" t="str">
        <f aca="false">IF(OR($M972="",FX=""),"",$M972*FX)</f>
        <v/>
      </c>
      <c r="O972" s="78" t="str">
        <f aca="false">IF(NOT(OR($A972&lt;&gt;"",$E972&lt;&gt;"")),"",IF($J972="Cancelled","Cancelled",IF($E972="","Amount missing",IF(OR($J972="Settled",$E972-N($F972)-N($H972)&lt;=0.005),"Realised",IF(N($H972)&gt;0,"Part realised",IF(N($F972)&gt;0,"Advance received","On hand"))))))</f>
        <v/>
      </c>
      <c r="P972" s="79" t="str">
        <f aca="false">IF(AND($V972=1,ISNUMBER($B972)),AsAt-$B972,"")</f>
        <v/>
      </c>
      <c r="Q972" s="78" t="str">
        <f aca="false">IF($V972&lt;&gt;1,"",IF($P972="","No invoice date",IF($P972&lt;=30,"0–30 days",IF($P972&lt;=60,"31–60 days",IF($P972&lt;=90,"61–90 days","Over 90 days")))))</f>
        <v/>
      </c>
      <c r="R972" s="80" t="str">
        <f aca="false">IF($V972=1,ROW(),"")</f>
        <v/>
      </c>
      <c r="S972" s="80" t="str">
        <f aca="false">IF(OR($A972&lt;&gt;"",$E972&lt;&gt;""),IF(TRIM($D972)="","Buyer not noted",TRIM($D972)),"")</f>
        <v/>
      </c>
      <c r="T972" s="80" t="n">
        <f aca="false">IF(AND($V972=1,ISNUMBER($M972)),$M972,0)</f>
        <v>0</v>
      </c>
      <c r="U972" s="80" t="str">
        <f aca="false">IF($V972=1,IF(COUNTIFS($S$7:$S972,$S972,$V$7:$V972,1)=1,SUMIFS($T$7:$T$1006,$S$7:$S$1006,$S972)-ROW()/1000000000,""),"")</f>
        <v/>
      </c>
      <c r="V972" s="80" t="n">
        <f aca="false">IF(OR($O972="On hand",$O972="Advance received",$O972="Part realised",$O972="Amount missing"),1,0)</f>
        <v>0</v>
      </c>
      <c r="W972" s="80" t="str">
        <f aca="false">IF(AND($V972=1,N($F972)&gt;0),ROW(),"")</f>
        <v/>
      </c>
      <c r="X972" s="80" t="n">
        <f aca="false">IF(AND(OR($A972&lt;&gt;"",$E972&lt;&gt;""),$O972&lt;&gt;"Cancelled",ISNUMBER($E972),N($F972)+N($H972)&gt;$E972+0.005),1,0)</f>
        <v>0</v>
      </c>
      <c r="Y972" s="80" t="n">
        <f aca="false">IF(AND(OR($A972&lt;&gt;"",$E972&lt;&gt;""),OR($A972="",$E972="")),1,0)</f>
        <v>0</v>
      </c>
      <c r="Z972" s="80" t="n">
        <f aca="false">IF(AND($A972&lt;&gt;"",COUNTIF($A$7:$A$1006,$A972)&gt;1),1,0)</f>
        <v>0</v>
      </c>
    </row>
    <row r="973" customFormat="false" ht="15" hidden="false" customHeight="false" outlineLevel="0" collapsed="false">
      <c r="A973" s="71"/>
      <c r="B973" s="72"/>
      <c r="C973" s="73"/>
      <c r="D973" s="73"/>
      <c r="E973" s="74"/>
      <c r="F973" s="74"/>
      <c r="G973" s="72"/>
      <c r="H973" s="74"/>
      <c r="I973" s="72"/>
      <c r="J973" s="73"/>
      <c r="K973" s="73"/>
      <c r="L973" s="75" t="str">
        <f aca="false">IF(OR($A973&lt;&gt;"",$E973&lt;&gt;""),N($F973)+N($H973),"")</f>
        <v/>
      </c>
      <c r="M973" s="76" t="str">
        <f aca="false">IF(OR($O973="",$O973="Cancelled",$O973="Amount missing"),"",IF($O973="Realised",0,$E973-N($F973)-N($H973)))</f>
        <v/>
      </c>
      <c r="N973" s="77" t="str">
        <f aca="false">IF(OR($M973="",FX=""),"",$M973*FX)</f>
        <v/>
      </c>
      <c r="O973" s="78" t="str">
        <f aca="false">IF(NOT(OR($A973&lt;&gt;"",$E973&lt;&gt;"")),"",IF($J973="Cancelled","Cancelled",IF($E973="","Amount missing",IF(OR($J973="Settled",$E973-N($F973)-N($H973)&lt;=0.005),"Realised",IF(N($H973)&gt;0,"Part realised",IF(N($F973)&gt;0,"Advance received","On hand"))))))</f>
        <v/>
      </c>
      <c r="P973" s="79" t="str">
        <f aca="false">IF(AND($V973=1,ISNUMBER($B973)),AsAt-$B973,"")</f>
        <v/>
      </c>
      <c r="Q973" s="78" t="str">
        <f aca="false">IF($V973&lt;&gt;1,"",IF($P973="","No invoice date",IF($P973&lt;=30,"0–30 days",IF($P973&lt;=60,"31–60 days",IF($P973&lt;=90,"61–90 days","Over 90 days")))))</f>
        <v/>
      </c>
      <c r="R973" s="80" t="str">
        <f aca="false">IF($V973=1,ROW(),"")</f>
        <v/>
      </c>
      <c r="S973" s="80" t="str">
        <f aca="false">IF(OR($A973&lt;&gt;"",$E973&lt;&gt;""),IF(TRIM($D973)="","Buyer not noted",TRIM($D973)),"")</f>
        <v/>
      </c>
      <c r="T973" s="80" t="n">
        <f aca="false">IF(AND($V973=1,ISNUMBER($M973)),$M973,0)</f>
        <v>0</v>
      </c>
      <c r="U973" s="80" t="str">
        <f aca="false">IF($V973=1,IF(COUNTIFS($S$7:$S973,$S973,$V$7:$V973,1)=1,SUMIFS($T$7:$T$1006,$S$7:$S$1006,$S973)-ROW()/1000000000,""),"")</f>
        <v/>
      </c>
      <c r="V973" s="80" t="n">
        <f aca="false">IF(OR($O973="On hand",$O973="Advance received",$O973="Part realised",$O973="Amount missing"),1,0)</f>
        <v>0</v>
      </c>
      <c r="W973" s="80" t="str">
        <f aca="false">IF(AND($V973=1,N($F973)&gt;0),ROW(),"")</f>
        <v/>
      </c>
      <c r="X973" s="80" t="n">
        <f aca="false">IF(AND(OR($A973&lt;&gt;"",$E973&lt;&gt;""),$O973&lt;&gt;"Cancelled",ISNUMBER($E973),N($F973)+N($H973)&gt;$E973+0.005),1,0)</f>
        <v>0</v>
      </c>
      <c r="Y973" s="80" t="n">
        <f aca="false">IF(AND(OR($A973&lt;&gt;"",$E973&lt;&gt;""),OR($A973="",$E973="")),1,0)</f>
        <v>0</v>
      </c>
      <c r="Z973" s="80" t="n">
        <f aca="false">IF(AND($A973&lt;&gt;"",COUNTIF($A$7:$A$1006,$A973)&gt;1),1,0)</f>
        <v>0</v>
      </c>
    </row>
    <row r="974" customFormat="false" ht="15" hidden="false" customHeight="false" outlineLevel="0" collapsed="false">
      <c r="A974" s="71"/>
      <c r="B974" s="72"/>
      <c r="C974" s="73"/>
      <c r="D974" s="73"/>
      <c r="E974" s="74"/>
      <c r="F974" s="74"/>
      <c r="G974" s="72"/>
      <c r="H974" s="74"/>
      <c r="I974" s="72"/>
      <c r="J974" s="73"/>
      <c r="K974" s="73"/>
      <c r="L974" s="75" t="str">
        <f aca="false">IF(OR($A974&lt;&gt;"",$E974&lt;&gt;""),N($F974)+N($H974),"")</f>
        <v/>
      </c>
      <c r="M974" s="76" t="str">
        <f aca="false">IF(OR($O974="",$O974="Cancelled",$O974="Amount missing"),"",IF($O974="Realised",0,$E974-N($F974)-N($H974)))</f>
        <v/>
      </c>
      <c r="N974" s="77" t="str">
        <f aca="false">IF(OR($M974="",FX=""),"",$M974*FX)</f>
        <v/>
      </c>
      <c r="O974" s="78" t="str">
        <f aca="false">IF(NOT(OR($A974&lt;&gt;"",$E974&lt;&gt;"")),"",IF($J974="Cancelled","Cancelled",IF($E974="","Amount missing",IF(OR($J974="Settled",$E974-N($F974)-N($H974)&lt;=0.005),"Realised",IF(N($H974)&gt;0,"Part realised",IF(N($F974)&gt;0,"Advance received","On hand"))))))</f>
        <v/>
      </c>
      <c r="P974" s="79" t="str">
        <f aca="false">IF(AND($V974=1,ISNUMBER($B974)),AsAt-$B974,"")</f>
        <v/>
      </c>
      <c r="Q974" s="78" t="str">
        <f aca="false">IF($V974&lt;&gt;1,"",IF($P974="","No invoice date",IF($P974&lt;=30,"0–30 days",IF($P974&lt;=60,"31–60 days",IF($P974&lt;=90,"61–90 days","Over 90 days")))))</f>
        <v/>
      </c>
      <c r="R974" s="80" t="str">
        <f aca="false">IF($V974=1,ROW(),"")</f>
        <v/>
      </c>
      <c r="S974" s="80" t="str">
        <f aca="false">IF(OR($A974&lt;&gt;"",$E974&lt;&gt;""),IF(TRIM($D974)="","Buyer not noted",TRIM($D974)),"")</f>
        <v/>
      </c>
      <c r="T974" s="80" t="n">
        <f aca="false">IF(AND($V974=1,ISNUMBER($M974)),$M974,0)</f>
        <v>0</v>
      </c>
      <c r="U974" s="80" t="str">
        <f aca="false">IF($V974=1,IF(COUNTIFS($S$7:$S974,$S974,$V$7:$V974,1)=1,SUMIFS($T$7:$T$1006,$S$7:$S$1006,$S974)-ROW()/1000000000,""),"")</f>
        <v/>
      </c>
      <c r="V974" s="80" t="n">
        <f aca="false">IF(OR($O974="On hand",$O974="Advance received",$O974="Part realised",$O974="Amount missing"),1,0)</f>
        <v>0</v>
      </c>
      <c r="W974" s="80" t="str">
        <f aca="false">IF(AND($V974=1,N($F974)&gt;0),ROW(),"")</f>
        <v/>
      </c>
      <c r="X974" s="80" t="n">
        <f aca="false">IF(AND(OR($A974&lt;&gt;"",$E974&lt;&gt;""),$O974&lt;&gt;"Cancelled",ISNUMBER($E974),N($F974)+N($H974)&gt;$E974+0.005),1,0)</f>
        <v>0</v>
      </c>
      <c r="Y974" s="80" t="n">
        <f aca="false">IF(AND(OR($A974&lt;&gt;"",$E974&lt;&gt;""),OR($A974="",$E974="")),1,0)</f>
        <v>0</v>
      </c>
      <c r="Z974" s="80" t="n">
        <f aca="false">IF(AND($A974&lt;&gt;"",COUNTIF($A$7:$A$1006,$A974)&gt;1),1,0)</f>
        <v>0</v>
      </c>
    </row>
    <row r="975" customFormat="false" ht="15" hidden="false" customHeight="false" outlineLevel="0" collapsed="false">
      <c r="A975" s="71"/>
      <c r="B975" s="72"/>
      <c r="C975" s="73"/>
      <c r="D975" s="73"/>
      <c r="E975" s="74"/>
      <c r="F975" s="74"/>
      <c r="G975" s="72"/>
      <c r="H975" s="74"/>
      <c r="I975" s="72"/>
      <c r="J975" s="73"/>
      <c r="K975" s="73"/>
      <c r="L975" s="75" t="str">
        <f aca="false">IF(OR($A975&lt;&gt;"",$E975&lt;&gt;""),N($F975)+N($H975),"")</f>
        <v/>
      </c>
      <c r="M975" s="76" t="str">
        <f aca="false">IF(OR($O975="",$O975="Cancelled",$O975="Amount missing"),"",IF($O975="Realised",0,$E975-N($F975)-N($H975)))</f>
        <v/>
      </c>
      <c r="N975" s="77" t="str">
        <f aca="false">IF(OR($M975="",FX=""),"",$M975*FX)</f>
        <v/>
      </c>
      <c r="O975" s="78" t="str">
        <f aca="false">IF(NOT(OR($A975&lt;&gt;"",$E975&lt;&gt;"")),"",IF($J975="Cancelled","Cancelled",IF($E975="","Amount missing",IF(OR($J975="Settled",$E975-N($F975)-N($H975)&lt;=0.005),"Realised",IF(N($H975)&gt;0,"Part realised",IF(N($F975)&gt;0,"Advance received","On hand"))))))</f>
        <v/>
      </c>
      <c r="P975" s="79" t="str">
        <f aca="false">IF(AND($V975=1,ISNUMBER($B975)),AsAt-$B975,"")</f>
        <v/>
      </c>
      <c r="Q975" s="78" t="str">
        <f aca="false">IF($V975&lt;&gt;1,"",IF($P975="","No invoice date",IF($P975&lt;=30,"0–30 days",IF($P975&lt;=60,"31–60 days",IF($P975&lt;=90,"61–90 days","Over 90 days")))))</f>
        <v/>
      </c>
      <c r="R975" s="80" t="str">
        <f aca="false">IF($V975=1,ROW(),"")</f>
        <v/>
      </c>
      <c r="S975" s="80" t="str">
        <f aca="false">IF(OR($A975&lt;&gt;"",$E975&lt;&gt;""),IF(TRIM($D975)="","Buyer not noted",TRIM($D975)),"")</f>
        <v/>
      </c>
      <c r="T975" s="80" t="n">
        <f aca="false">IF(AND($V975=1,ISNUMBER($M975)),$M975,0)</f>
        <v>0</v>
      </c>
      <c r="U975" s="80" t="str">
        <f aca="false">IF($V975=1,IF(COUNTIFS($S$7:$S975,$S975,$V$7:$V975,1)=1,SUMIFS($T$7:$T$1006,$S$7:$S$1006,$S975)-ROW()/1000000000,""),"")</f>
        <v/>
      </c>
      <c r="V975" s="80" t="n">
        <f aca="false">IF(OR($O975="On hand",$O975="Advance received",$O975="Part realised",$O975="Amount missing"),1,0)</f>
        <v>0</v>
      </c>
      <c r="W975" s="80" t="str">
        <f aca="false">IF(AND($V975=1,N($F975)&gt;0),ROW(),"")</f>
        <v/>
      </c>
      <c r="X975" s="80" t="n">
        <f aca="false">IF(AND(OR($A975&lt;&gt;"",$E975&lt;&gt;""),$O975&lt;&gt;"Cancelled",ISNUMBER($E975),N($F975)+N($H975)&gt;$E975+0.005),1,0)</f>
        <v>0</v>
      </c>
      <c r="Y975" s="80" t="n">
        <f aca="false">IF(AND(OR($A975&lt;&gt;"",$E975&lt;&gt;""),OR($A975="",$E975="")),1,0)</f>
        <v>0</v>
      </c>
      <c r="Z975" s="80" t="n">
        <f aca="false">IF(AND($A975&lt;&gt;"",COUNTIF($A$7:$A$1006,$A975)&gt;1),1,0)</f>
        <v>0</v>
      </c>
    </row>
    <row r="976" customFormat="false" ht="15" hidden="false" customHeight="false" outlineLevel="0" collapsed="false">
      <c r="A976" s="71"/>
      <c r="B976" s="72"/>
      <c r="C976" s="73"/>
      <c r="D976" s="73"/>
      <c r="E976" s="74"/>
      <c r="F976" s="74"/>
      <c r="G976" s="72"/>
      <c r="H976" s="74"/>
      <c r="I976" s="72"/>
      <c r="J976" s="73"/>
      <c r="K976" s="73"/>
      <c r="L976" s="75" t="str">
        <f aca="false">IF(OR($A976&lt;&gt;"",$E976&lt;&gt;""),N($F976)+N($H976),"")</f>
        <v/>
      </c>
      <c r="M976" s="76" t="str">
        <f aca="false">IF(OR($O976="",$O976="Cancelled",$O976="Amount missing"),"",IF($O976="Realised",0,$E976-N($F976)-N($H976)))</f>
        <v/>
      </c>
      <c r="N976" s="77" t="str">
        <f aca="false">IF(OR($M976="",FX=""),"",$M976*FX)</f>
        <v/>
      </c>
      <c r="O976" s="78" t="str">
        <f aca="false">IF(NOT(OR($A976&lt;&gt;"",$E976&lt;&gt;"")),"",IF($J976="Cancelled","Cancelled",IF($E976="","Amount missing",IF(OR($J976="Settled",$E976-N($F976)-N($H976)&lt;=0.005),"Realised",IF(N($H976)&gt;0,"Part realised",IF(N($F976)&gt;0,"Advance received","On hand"))))))</f>
        <v/>
      </c>
      <c r="P976" s="79" t="str">
        <f aca="false">IF(AND($V976=1,ISNUMBER($B976)),AsAt-$B976,"")</f>
        <v/>
      </c>
      <c r="Q976" s="78" t="str">
        <f aca="false">IF($V976&lt;&gt;1,"",IF($P976="","No invoice date",IF($P976&lt;=30,"0–30 days",IF($P976&lt;=60,"31–60 days",IF($P976&lt;=90,"61–90 days","Over 90 days")))))</f>
        <v/>
      </c>
      <c r="R976" s="80" t="str">
        <f aca="false">IF($V976=1,ROW(),"")</f>
        <v/>
      </c>
      <c r="S976" s="80" t="str">
        <f aca="false">IF(OR($A976&lt;&gt;"",$E976&lt;&gt;""),IF(TRIM($D976)="","Buyer not noted",TRIM($D976)),"")</f>
        <v/>
      </c>
      <c r="T976" s="80" t="n">
        <f aca="false">IF(AND($V976=1,ISNUMBER($M976)),$M976,0)</f>
        <v>0</v>
      </c>
      <c r="U976" s="80" t="str">
        <f aca="false">IF($V976=1,IF(COUNTIFS($S$7:$S976,$S976,$V$7:$V976,1)=1,SUMIFS($T$7:$T$1006,$S$7:$S$1006,$S976)-ROW()/1000000000,""),"")</f>
        <v/>
      </c>
      <c r="V976" s="80" t="n">
        <f aca="false">IF(OR($O976="On hand",$O976="Advance received",$O976="Part realised",$O976="Amount missing"),1,0)</f>
        <v>0</v>
      </c>
      <c r="W976" s="80" t="str">
        <f aca="false">IF(AND($V976=1,N($F976)&gt;0),ROW(),"")</f>
        <v/>
      </c>
      <c r="X976" s="80" t="n">
        <f aca="false">IF(AND(OR($A976&lt;&gt;"",$E976&lt;&gt;""),$O976&lt;&gt;"Cancelled",ISNUMBER($E976),N($F976)+N($H976)&gt;$E976+0.005),1,0)</f>
        <v>0</v>
      </c>
      <c r="Y976" s="80" t="n">
        <f aca="false">IF(AND(OR($A976&lt;&gt;"",$E976&lt;&gt;""),OR($A976="",$E976="")),1,0)</f>
        <v>0</v>
      </c>
      <c r="Z976" s="80" t="n">
        <f aca="false">IF(AND($A976&lt;&gt;"",COUNTIF($A$7:$A$1006,$A976)&gt;1),1,0)</f>
        <v>0</v>
      </c>
    </row>
    <row r="977" customFormat="false" ht="15" hidden="false" customHeight="false" outlineLevel="0" collapsed="false">
      <c r="A977" s="71"/>
      <c r="B977" s="72"/>
      <c r="C977" s="73"/>
      <c r="D977" s="73"/>
      <c r="E977" s="74"/>
      <c r="F977" s="74"/>
      <c r="G977" s="72"/>
      <c r="H977" s="74"/>
      <c r="I977" s="72"/>
      <c r="J977" s="73"/>
      <c r="K977" s="73"/>
      <c r="L977" s="75" t="str">
        <f aca="false">IF(OR($A977&lt;&gt;"",$E977&lt;&gt;""),N($F977)+N($H977),"")</f>
        <v/>
      </c>
      <c r="M977" s="76" t="str">
        <f aca="false">IF(OR($O977="",$O977="Cancelled",$O977="Amount missing"),"",IF($O977="Realised",0,$E977-N($F977)-N($H977)))</f>
        <v/>
      </c>
      <c r="N977" s="77" t="str">
        <f aca="false">IF(OR($M977="",FX=""),"",$M977*FX)</f>
        <v/>
      </c>
      <c r="O977" s="78" t="str">
        <f aca="false">IF(NOT(OR($A977&lt;&gt;"",$E977&lt;&gt;"")),"",IF($J977="Cancelled","Cancelled",IF($E977="","Amount missing",IF(OR($J977="Settled",$E977-N($F977)-N($H977)&lt;=0.005),"Realised",IF(N($H977)&gt;0,"Part realised",IF(N($F977)&gt;0,"Advance received","On hand"))))))</f>
        <v/>
      </c>
      <c r="P977" s="79" t="str">
        <f aca="false">IF(AND($V977=1,ISNUMBER($B977)),AsAt-$B977,"")</f>
        <v/>
      </c>
      <c r="Q977" s="78" t="str">
        <f aca="false">IF($V977&lt;&gt;1,"",IF($P977="","No invoice date",IF($P977&lt;=30,"0–30 days",IF($P977&lt;=60,"31–60 days",IF($P977&lt;=90,"61–90 days","Over 90 days")))))</f>
        <v/>
      </c>
      <c r="R977" s="80" t="str">
        <f aca="false">IF($V977=1,ROW(),"")</f>
        <v/>
      </c>
      <c r="S977" s="80" t="str">
        <f aca="false">IF(OR($A977&lt;&gt;"",$E977&lt;&gt;""),IF(TRIM($D977)="","Buyer not noted",TRIM($D977)),"")</f>
        <v/>
      </c>
      <c r="T977" s="80" t="n">
        <f aca="false">IF(AND($V977=1,ISNUMBER($M977)),$M977,0)</f>
        <v>0</v>
      </c>
      <c r="U977" s="80" t="str">
        <f aca="false">IF($V977=1,IF(COUNTIFS($S$7:$S977,$S977,$V$7:$V977,1)=1,SUMIFS($T$7:$T$1006,$S$7:$S$1006,$S977)-ROW()/1000000000,""),"")</f>
        <v/>
      </c>
      <c r="V977" s="80" t="n">
        <f aca="false">IF(OR($O977="On hand",$O977="Advance received",$O977="Part realised",$O977="Amount missing"),1,0)</f>
        <v>0</v>
      </c>
      <c r="W977" s="80" t="str">
        <f aca="false">IF(AND($V977=1,N($F977)&gt;0),ROW(),"")</f>
        <v/>
      </c>
      <c r="X977" s="80" t="n">
        <f aca="false">IF(AND(OR($A977&lt;&gt;"",$E977&lt;&gt;""),$O977&lt;&gt;"Cancelled",ISNUMBER($E977),N($F977)+N($H977)&gt;$E977+0.005),1,0)</f>
        <v>0</v>
      </c>
      <c r="Y977" s="80" t="n">
        <f aca="false">IF(AND(OR($A977&lt;&gt;"",$E977&lt;&gt;""),OR($A977="",$E977="")),1,0)</f>
        <v>0</v>
      </c>
      <c r="Z977" s="80" t="n">
        <f aca="false">IF(AND($A977&lt;&gt;"",COUNTIF($A$7:$A$1006,$A977)&gt;1),1,0)</f>
        <v>0</v>
      </c>
    </row>
    <row r="978" customFormat="false" ht="15" hidden="false" customHeight="false" outlineLevel="0" collapsed="false">
      <c r="A978" s="71"/>
      <c r="B978" s="72"/>
      <c r="C978" s="73"/>
      <c r="D978" s="73"/>
      <c r="E978" s="74"/>
      <c r="F978" s="74"/>
      <c r="G978" s="72"/>
      <c r="H978" s="74"/>
      <c r="I978" s="72"/>
      <c r="J978" s="73"/>
      <c r="K978" s="73"/>
      <c r="L978" s="75" t="str">
        <f aca="false">IF(OR($A978&lt;&gt;"",$E978&lt;&gt;""),N($F978)+N($H978),"")</f>
        <v/>
      </c>
      <c r="M978" s="76" t="str">
        <f aca="false">IF(OR($O978="",$O978="Cancelled",$O978="Amount missing"),"",IF($O978="Realised",0,$E978-N($F978)-N($H978)))</f>
        <v/>
      </c>
      <c r="N978" s="77" t="str">
        <f aca="false">IF(OR($M978="",FX=""),"",$M978*FX)</f>
        <v/>
      </c>
      <c r="O978" s="78" t="str">
        <f aca="false">IF(NOT(OR($A978&lt;&gt;"",$E978&lt;&gt;"")),"",IF($J978="Cancelled","Cancelled",IF($E978="","Amount missing",IF(OR($J978="Settled",$E978-N($F978)-N($H978)&lt;=0.005),"Realised",IF(N($H978)&gt;0,"Part realised",IF(N($F978)&gt;0,"Advance received","On hand"))))))</f>
        <v/>
      </c>
      <c r="P978" s="79" t="str">
        <f aca="false">IF(AND($V978=1,ISNUMBER($B978)),AsAt-$B978,"")</f>
        <v/>
      </c>
      <c r="Q978" s="78" t="str">
        <f aca="false">IF($V978&lt;&gt;1,"",IF($P978="","No invoice date",IF($P978&lt;=30,"0–30 days",IF($P978&lt;=60,"31–60 days",IF($P978&lt;=90,"61–90 days","Over 90 days")))))</f>
        <v/>
      </c>
      <c r="R978" s="80" t="str">
        <f aca="false">IF($V978=1,ROW(),"")</f>
        <v/>
      </c>
      <c r="S978" s="80" t="str">
        <f aca="false">IF(OR($A978&lt;&gt;"",$E978&lt;&gt;""),IF(TRIM($D978)="","Buyer not noted",TRIM($D978)),"")</f>
        <v/>
      </c>
      <c r="T978" s="80" t="n">
        <f aca="false">IF(AND($V978=1,ISNUMBER($M978)),$M978,0)</f>
        <v>0</v>
      </c>
      <c r="U978" s="80" t="str">
        <f aca="false">IF($V978=1,IF(COUNTIFS($S$7:$S978,$S978,$V$7:$V978,1)=1,SUMIFS($T$7:$T$1006,$S$7:$S$1006,$S978)-ROW()/1000000000,""),"")</f>
        <v/>
      </c>
      <c r="V978" s="80" t="n">
        <f aca="false">IF(OR($O978="On hand",$O978="Advance received",$O978="Part realised",$O978="Amount missing"),1,0)</f>
        <v>0</v>
      </c>
      <c r="W978" s="80" t="str">
        <f aca="false">IF(AND($V978=1,N($F978)&gt;0),ROW(),"")</f>
        <v/>
      </c>
      <c r="X978" s="80" t="n">
        <f aca="false">IF(AND(OR($A978&lt;&gt;"",$E978&lt;&gt;""),$O978&lt;&gt;"Cancelled",ISNUMBER($E978),N($F978)+N($H978)&gt;$E978+0.005),1,0)</f>
        <v>0</v>
      </c>
      <c r="Y978" s="80" t="n">
        <f aca="false">IF(AND(OR($A978&lt;&gt;"",$E978&lt;&gt;""),OR($A978="",$E978="")),1,0)</f>
        <v>0</v>
      </c>
      <c r="Z978" s="80" t="n">
        <f aca="false">IF(AND($A978&lt;&gt;"",COUNTIF($A$7:$A$1006,$A978)&gt;1),1,0)</f>
        <v>0</v>
      </c>
    </row>
    <row r="979" customFormat="false" ht="15" hidden="false" customHeight="false" outlineLevel="0" collapsed="false">
      <c r="A979" s="71"/>
      <c r="B979" s="72"/>
      <c r="C979" s="73"/>
      <c r="D979" s="73"/>
      <c r="E979" s="74"/>
      <c r="F979" s="74"/>
      <c r="G979" s="72"/>
      <c r="H979" s="74"/>
      <c r="I979" s="72"/>
      <c r="J979" s="73"/>
      <c r="K979" s="73"/>
      <c r="L979" s="75" t="str">
        <f aca="false">IF(OR($A979&lt;&gt;"",$E979&lt;&gt;""),N($F979)+N($H979),"")</f>
        <v/>
      </c>
      <c r="M979" s="76" t="str">
        <f aca="false">IF(OR($O979="",$O979="Cancelled",$O979="Amount missing"),"",IF($O979="Realised",0,$E979-N($F979)-N($H979)))</f>
        <v/>
      </c>
      <c r="N979" s="77" t="str">
        <f aca="false">IF(OR($M979="",FX=""),"",$M979*FX)</f>
        <v/>
      </c>
      <c r="O979" s="78" t="str">
        <f aca="false">IF(NOT(OR($A979&lt;&gt;"",$E979&lt;&gt;"")),"",IF($J979="Cancelled","Cancelled",IF($E979="","Amount missing",IF(OR($J979="Settled",$E979-N($F979)-N($H979)&lt;=0.005),"Realised",IF(N($H979)&gt;0,"Part realised",IF(N($F979)&gt;0,"Advance received","On hand"))))))</f>
        <v/>
      </c>
      <c r="P979" s="79" t="str">
        <f aca="false">IF(AND($V979=1,ISNUMBER($B979)),AsAt-$B979,"")</f>
        <v/>
      </c>
      <c r="Q979" s="78" t="str">
        <f aca="false">IF($V979&lt;&gt;1,"",IF($P979="","No invoice date",IF($P979&lt;=30,"0–30 days",IF($P979&lt;=60,"31–60 days",IF($P979&lt;=90,"61–90 days","Over 90 days")))))</f>
        <v/>
      </c>
      <c r="R979" s="80" t="str">
        <f aca="false">IF($V979=1,ROW(),"")</f>
        <v/>
      </c>
      <c r="S979" s="80" t="str">
        <f aca="false">IF(OR($A979&lt;&gt;"",$E979&lt;&gt;""),IF(TRIM($D979)="","Buyer not noted",TRIM($D979)),"")</f>
        <v/>
      </c>
      <c r="T979" s="80" t="n">
        <f aca="false">IF(AND($V979=1,ISNUMBER($M979)),$M979,0)</f>
        <v>0</v>
      </c>
      <c r="U979" s="80" t="str">
        <f aca="false">IF($V979=1,IF(COUNTIFS($S$7:$S979,$S979,$V$7:$V979,1)=1,SUMIFS($T$7:$T$1006,$S$7:$S$1006,$S979)-ROW()/1000000000,""),"")</f>
        <v/>
      </c>
      <c r="V979" s="80" t="n">
        <f aca="false">IF(OR($O979="On hand",$O979="Advance received",$O979="Part realised",$O979="Amount missing"),1,0)</f>
        <v>0</v>
      </c>
      <c r="W979" s="80" t="str">
        <f aca="false">IF(AND($V979=1,N($F979)&gt;0),ROW(),"")</f>
        <v/>
      </c>
      <c r="X979" s="80" t="n">
        <f aca="false">IF(AND(OR($A979&lt;&gt;"",$E979&lt;&gt;""),$O979&lt;&gt;"Cancelled",ISNUMBER($E979),N($F979)+N($H979)&gt;$E979+0.005),1,0)</f>
        <v>0</v>
      </c>
      <c r="Y979" s="80" t="n">
        <f aca="false">IF(AND(OR($A979&lt;&gt;"",$E979&lt;&gt;""),OR($A979="",$E979="")),1,0)</f>
        <v>0</v>
      </c>
      <c r="Z979" s="80" t="n">
        <f aca="false">IF(AND($A979&lt;&gt;"",COUNTIF($A$7:$A$1006,$A979)&gt;1),1,0)</f>
        <v>0</v>
      </c>
    </row>
    <row r="980" customFormat="false" ht="15" hidden="false" customHeight="false" outlineLevel="0" collapsed="false">
      <c r="A980" s="71"/>
      <c r="B980" s="72"/>
      <c r="C980" s="73"/>
      <c r="D980" s="73"/>
      <c r="E980" s="74"/>
      <c r="F980" s="74"/>
      <c r="G980" s="72"/>
      <c r="H980" s="74"/>
      <c r="I980" s="72"/>
      <c r="J980" s="73"/>
      <c r="K980" s="73"/>
      <c r="L980" s="75" t="str">
        <f aca="false">IF(OR($A980&lt;&gt;"",$E980&lt;&gt;""),N($F980)+N($H980),"")</f>
        <v/>
      </c>
      <c r="M980" s="76" t="str">
        <f aca="false">IF(OR($O980="",$O980="Cancelled",$O980="Amount missing"),"",IF($O980="Realised",0,$E980-N($F980)-N($H980)))</f>
        <v/>
      </c>
      <c r="N980" s="77" t="str">
        <f aca="false">IF(OR($M980="",FX=""),"",$M980*FX)</f>
        <v/>
      </c>
      <c r="O980" s="78" t="str">
        <f aca="false">IF(NOT(OR($A980&lt;&gt;"",$E980&lt;&gt;"")),"",IF($J980="Cancelled","Cancelled",IF($E980="","Amount missing",IF(OR($J980="Settled",$E980-N($F980)-N($H980)&lt;=0.005),"Realised",IF(N($H980)&gt;0,"Part realised",IF(N($F980)&gt;0,"Advance received","On hand"))))))</f>
        <v/>
      </c>
      <c r="P980" s="79" t="str">
        <f aca="false">IF(AND($V980=1,ISNUMBER($B980)),AsAt-$B980,"")</f>
        <v/>
      </c>
      <c r="Q980" s="78" t="str">
        <f aca="false">IF($V980&lt;&gt;1,"",IF($P980="","No invoice date",IF($P980&lt;=30,"0–30 days",IF($P980&lt;=60,"31–60 days",IF($P980&lt;=90,"61–90 days","Over 90 days")))))</f>
        <v/>
      </c>
      <c r="R980" s="80" t="str">
        <f aca="false">IF($V980=1,ROW(),"")</f>
        <v/>
      </c>
      <c r="S980" s="80" t="str">
        <f aca="false">IF(OR($A980&lt;&gt;"",$E980&lt;&gt;""),IF(TRIM($D980)="","Buyer not noted",TRIM($D980)),"")</f>
        <v/>
      </c>
      <c r="T980" s="80" t="n">
        <f aca="false">IF(AND($V980=1,ISNUMBER($M980)),$M980,0)</f>
        <v>0</v>
      </c>
      <c r="U980" s="80" t="str">
        <f aca="false">IF($V980=1,IF(COUNTIFS($S$7:$S980,$S980,$V$7:$V980,1)=1,SUMIFS($T$7:$T$1006,$S$7:$S$1006,$S980)-ROW()/1000000000,""),"")</f>
        <v/>
      </c>
      <c r="V980" s="80" t="n">
        <f aca="false">IF(OR($O980="On hand",$O980="Advance received",$O980="Part realised",$O980="Amount missing"),1,0)</f>
        <v>0</v>
      </c>
      <c r="W980" s="80" t="str">
        <f aca="false">IF(AND($V980=1,N($F980)&gt;0),ROW(),"")</f>
        <v/>
      </c>
      <c r="X980" s="80" t="n">
        <f aca="false">IF(AND(OR($A980&lt;&gt;"",$E980&lt;&gt;""),$O980&lt;&gt;"Cancelled",ISNUMBER($E980),N($F980)+N($H980)&gt;$E980+0.005),1,0)</f>
        <v>0</v>
      </c>
      <c r="Y980" s="80" t="n">
        <f aca="false">IF(AND(OR($A980&lt;&gt;"",$E980&lt;&gt;""),OR($A980="",$E980="")),1,0)</f>
        <v>0</v>
      </c>
      <c r="Z980" s="80" t="n">
        <f aca="false">IF(AND($A980&lt;&gt;"",COUNTIF($A$7:$A$1006,$A980)&gt;1),1,0)</f>
        <v>0</v>
      </c>
    </row>
    <row r="981" customFormat="false" ht="15" hidden="false" customHeight="false" outlineLevel="0" collapsed="false">
      <c r="A981" s="71"/>
      <c r="B981" s="72"/>
      <c r="C981" s="73"/>
      <c r="D981" s="73"/>
      <c r="E981" s="74"/>
      <c r="F981" s="74"/>
      <c r="G981" s="72"/>
      <c r="H981" s="74"/>
      <c r="I981" s="72"/>
      <c r="J981" s="73"/>
      <c r="K981" s="73"/>
      <c r="L981" s="75" t="str">
        <f aca="false">IF(OR($A981&lt;&gt;"",$E981&lt;&gt;""),N($F981)+N($H981),"")</f>
        <v/>
      </c>
      <c r="M981" s="76" t="str">
        <f aca="false">IF(OR($O981="",$O981="Cancelled",$O981="Amount missing"),"",IF($O981="Realised",0,$E981-N($F981)-N($H981)))</f>
        <v/>
      </c>
      <c r="N981" s="77" t="str">
        <f aca="false">IF(OR($M981="",FX=""),"",$M981*FX)</f>
        <v/>
      </c>
      <c r="O981" s="78" t="str">
        <f aca="false">IF(NOT(OR($A981&lt;&gt;"",$E981&lt;&gt;"")),"",IF($J981="Cancelled","Cancelled",IF($E981="","Amount missing",IF(OR($J981="Settled",$E981-N($F981)-N($H981)&lt;=0.005),"Realised",IF(N($H981)&gt;0,"Part realised",IF(N($F981)&gt;0,"Advance received","On hand"))))))</f>
        <v/>
      </c>
      <c r="P981" s="79" t="str">
        <f aca="false">IF(AND($V981=1,ISNUMBER($B981)),AsAt-$B981,"")</f>
        <v/>
      </c>
      <c r="Q981" s="78" t="str">
        <f aca="false">IF($V981&lt;&gt;1,"",IF($P981="","No invoice date",IF($P981&lt;=30,"0–30 days",IF($P981&lt;=60,"31–60 days",IF($P981&lt;=90,"61–90 days","Over 90 days")))))</f>
        <v/>
      </c>
      <c r="R981" s="80" t="str">
        <f aca="false">IF($V981=1,ROW(),"")</f>
        <v/>
      </c>
      <c r="S981" s="80" t="str">
        <f aca="false">IF(OR($A981&lt;&gt;"",$E981&lt;&gt;""),IF(TRIM($D981)="","Buyer not noted",TRIM($D981)),"")</f>
        <v/>
      </c>
      <c r="T981" s="80" t="n">
        <f aca="false">IF(AND($V981=1,ISNUMBER($M981)),$M981,0)</f>
        <v>0</v>
      </c>
      <c r="U981" s="80" t="str">
        <f aca="false">IF($V981=1,IF(COUNTIFS($S$7:$S981,$S981,$V$7:$V981,1)=1,SUMIFS($T$7:$T$1006,$S$7:$S$1006,$S981)-ROW()/1000000000,""),"")</f>
        <v/>
      </c>
      <c r="V981" s="80" t="n">
        <f aca="false">IF(OR($O981="On hand",$O981="Advance received",$O981="Part realised",$O981="Amount missing"),1,0)</f>
        <v>0</v>
      </c>
      <c r="W981" s="80" t="str">
        <f aca="false">IF(AND($V981=1,N($F981)&gt;0),ROW(),"")</f>
        <v/>
      </c>
      <c r="X981" s="80" t="n">
        <f aca="false">IF(AND(OR($A981&lt;&gt;"",$E981&lt;&gt;""),$O981&lt;&gt;"Cancelled",ISNUMBER($E981),N($F981)+N($H981)&gt;$E981+0.005),1,0)</f>
        <v>0</v>
      </c>
      <c r="Y981" s="80" t="n">
        <f aca="false">IF(AND(OR($A981&lt;&gt;"",$E981&lt;&gt;""),OR($A981="",$E981="")),1,0)</f>
        <v>0</v>
      </c>
      <c r="Z981" s="80" t="n">
        <f aca="false">IF(AND($A981&lt;&gt;"",COUNTIF($A$7:$A$1006,$A981)&gt;1),1,0)</f>
        <v>0</v>
      </c>
    </row>
    <row r="982" customFormat="false" ht="15" hidden="false" customHeight="false" outlineLevel="0" collapsed="false">
      <c r="A982" s="71"/>
      <c r="B982" s="72"/>
      <c r="C982" s="73"/>
      <c r="D982" s="73"/>
      <c r="E982" s="74"/>
      <c r="F982" s="74"/>
      <c r="G982" s="72"/>
      <c r="H982" s="74"/>
      <c r="I982" s="72"/>
      <c r="J982" s="73"/>
      <c r="K982" s="73"/>
      <c r="L982" s="75" t="str">
        <f aca="false">IF(OR($A982&lt;&gt;"",$E982&lt;&gt;""),N($F982)+N($H982),"")</f>
        <v/>
      </c>
      <c r="M982" s="76" t="str">
        <f aca="false">IF(OR($O982="",$O982="Cancelled",$O982="Amount missing"),"",IF($O982="Realised",0,$E982-N($F982)-N($H982)))</f>
        <v/>
      </c>
      <c r="N982" s="77" t="str">
        <f aca="false">IF(OR($M982="",FX=""),"",$M982*FX)</f>
        <v/>
      </c>
      <c r="O982" s="78" t="str">
        <f aca="false">IF(NOT(OR($A982&lt;&gt;"",$E982&lt;&gt;"")),"",IF($J982="Cancelled","Cancelled",IF($E982="","Amount missing",IF(OR($J982="Settled",$E982-N($F982)-N($H982)&lt;=0.005),"Realised",IF(N($H982)&gt;0,"Part realised",IF(N($F982)&gt;0,"Advance received","On hand"))))))</f>
        <v/>
      </c>
      <c r="P982" s="79" t="str">
        <f aca="false">IF(AND($V982=1,ISNUMBER($B982)),AsAt-$B982,"")</f>
        <v/>
      </c>
      <c r="Q982" s="78" t="str">
        <f aca="false">IF($V982&lt;&gt;1,"",IF($P982="","No invoice date",IF($P982&lt;=30,"0–30 days",IF($P982&lt;=60,"31–60 days",IF($P982&lt;=90,"61–90 days","Over 90 days")))))</f>
        <v/>
      </c>
      <c r="R982" s="80" t="str">
        <f aca="false">IF($V982=1,ROW(),"")</f>
        <v/>
      </c>
      <c r="S982" s="80" t="str">
        <f aca="false">IF(OR($A982&lt;&gt;"",$E982&lt;&gt;""),IF(TRIM($D982)="","Buyer not noted",TRIM($D982)),"")</f>
        <v/>
      </c>
      <c r="T982" s="80" t="n">
        <f aca="false">IF(AND($V982=1,ISNUMBER($M982)),$M982,0)</f>
        <v>0</v>
      </c>
      <c r="U982" s="80" t="str">
        <f aca="false">IF($V982=1,IF(COUNTIFS($S$7:$S982,$S982,$V$7:$V982,1)=1,SUMIFS($T$7:$T$1006,$S$7:$S$1006,$S982)-ROW()/1000000000,""),"")</f>
        <v/>
      </c>
      <c r="V982" s="80" t="n">
        <f aca="false">IF(OR($O982="On hand",$O982="Advance received",$O982="Part realised",$O982="Amount missing"),1,0)</f>
        <v>0</v>
      </c>
      <c r="W982" s="80" t="str">
        <f aca="false">IF(AND($V982=1,N($F982)&gt;0),ROW(),"")</f>
        <v/>
      </c>
      <c r="X982" s="80" t="n">
        <f aca="false">IF(AND(OR($A982&lt;&gt;"",$E982&lt;&gt;""),$O982&lt;&gt;"Cancelled",ISNUMBER($E982),N($F982)+N($H982)&gt;$E982+0.005),1,0)</f>
        <v>0</v>
      </c>
      <c r="Y982" s="80" t="n">
        <f aca="false">IF(AND(OR($A982&lt;&gt;"",$E982&lt;&gt;""),OR($A982="",$E982="")),1,0)</f>
        <v>0</v>
      </c>
      <c r="Z982" s="80" t="n">
        <f aca="false">IF(AND($A982&lt;&gt;"",COUNTIF($A$7:$A$1006,$A982)&gt;1),1,0)</f>
        <v>0</v>
      </c>
    </row>
    <row r="983" customFormat="false" ht="15" hidden="false" customHeight="false" outlineLevel="0" collapsed="false">
      <c r="A983" s="71"/>
      <c r="B983" s="72"/>
      <c r="C983" s="73"/>
      <c r="D983" s="73"/>
      <c r="E983" s="74"/>
      <c r="F983" s="74"/>
      <c r="G983" s="72"/>
      <c r="H983" s="74"/>
      <c r="I983" s="72"/>
      <c r="J983" s="73"/>
      <c r="K983" s="73"/>
      <c r="L983" s="75" t="str">
        <f aca="false">IF(OR($A983&lt;&gt;"",$E983&lt;&gt;""),N($F983)+N($H983),"")</f>
        <v/>
      </c>
      <c r="M983" s="76" t="str">
        <f aca="false">IF(OR($O983="",$O983="Cancelled",$O983="Amount missing"),"",IF($O983="Realised",0,$E983-N($F983)-N($H983)))</f>
        <v/>
      </c>
      <c r="N983" s="77" t="str">
        <f aca="false">IF(OR($M983="",FX=""),"",$M983*FX)</f>
        <v/>
      </c>
      <c r="O983" s="78" t="str">
        <f aca="false">IF(NOT(OR($A983&lt;&gt;"",$E983&lt;&gt;"")),"",IF($J983="Cancelled","Cancelled",IF($E983="","Amount missing",IF(OR($J983="Settled",$E983-N($F983)-N($H983)&lt;=0.005),"Realised",IF(N($H983)&gt;0,"Part realised",IF(N($F983)&gt;0,"Advance received","On hand"))))))</f>
        <v/>
      </c>
      <c r="P983" s="79" t="str">
        <f aca="false">IF(AND($V983=1,ISNUMBER($B983)),AsAt-$B983,"")</f>
        <v/>
      </c>
      <c r="Q983" s="78" t="str">
        <f aca="false">IF($V983&lt;&gt;1,"",IF($P983="","No invoice date",IF($P983&lt;=30,"0–30 days",IF($P983&lt;=60,"31–60 days",IF($P983&lt;=90,"61–90 days","Over 90 days")))))</f>
        <v/>
      </c>
      <c r="R983" s="80" t="str">
        <f aca="false">IF($V983=1,ROW(),"")</f>
        <v/>
      </c>
      <c r="S983" s="80" t="str">
        <f aca="false">IF(OR($A983&lt;&gt;"",$E983&lt;&gt;""),IF(TRIM($D983)="","Buyer not noted",TRIM($D983)),"")</f>
        <v/>
      </c>
      <c r="T983" s="80" t="n">
        <f aca="false">IF(AND($V983=1,ISNUMBER($M983)),$M983,0)</f>
        <v>0</v>
      </c>
      <c r="U983" s="80" t="str">
        <f aca="false">IF($V983=1,IF(COUNTIFS($S$7:$S983,$S983,$V$7:$V983,1)=1,SUMIFS($T$7:$T$1006,$S$7:$S$1006,$S983)-ROW()/1000000000,""),"")</f>
        <v/>
      </c>
      <c r="V983" s="80" t="n">
        <f aca="false">IF(OR($O983="On hand",$O983="Advance received",$O983="Part realised",$O983="Amount missing"),1,0)</f>
        <v>0</v>
      </c>
      <c r="W983" s="80" t="str">
        <f aca="false">IF(AND($V983=1,N($F983)&gt;0),ROW(),"")</f>
        <v/>
      </c>
      <c r="X983" s="80" t="n">
        <f aca="false">IF(AND(OR($A983&lt;&gt;"",$E983&lt;&gt;""),$O983&lt;&gt;"Cancelled",ISNUMBER($E983),N($F983)+N($H983)&gt;$E983+0.005),1,0)</f>
        <v>0</v>
      </c>
      <c r="Y983" s="80" t="n">
        <f aca="false">IF(AND(OR($A983&lt;&gt;"",$E983&lt;&gt;""),OR($A983="",$E983="")),1,0)</f>
        <v>0</v>
      </c>
      <c r="Z983" s="80" t="n">
        <f aca="false">IF(AND($A983&lt;&gt;"",COUNTIF($A$7:$A$1006,$A983)&gt;1),1,0)</f>
        <v>0</v>
      </c>
    </row>
    <row r="984" customFormat="false" ht="15" hidden="false" customHeight="false" outlineLevel="0" collapsed="false">
      <c r="A984" s="71"/>
      <c r="B984" s="72"/>
      <c r="C984" s="73"/>
      <c r="D984" s="73"/>
      <c r="E984" s="74"/>
      <c r="F984" s="74"/>
      <c r="G984" s="72"/>
      <c r="H984" s="74"/>
      <c r="I984" s="72"/>
      <c r="J984" s="73"/>
      <c r="K984" s="73"/>
      <c r="L984" s="75" t="str">
        <f aca="false">IF(OR($A984&lt;&gt;"",$E984&lt;&gt;""),N($F984)+N($H984),"")</f>
        <v/>
      </c>
      <c r="M984" s="76" t="str">
        <f aca="false">IF(OR($O984="",$O984="Cancelled",$O984="Amount missing"),"",IF($O984="Realised",0,$E984-N($F984)-N($H984)))</f>
        <v/>
      </c>
      <c r="N984" s="77" t="str">
        <f aca="false">IF(OR($M984="",FX=""),"",$M984*FX)</f>
        <v/>
      </c>
      <c r="O984" s="78" t="str">
        <f aca="false">IF(NOT(OR($A984&lt;&gt;"",$E984&lt;&gt;"")),"",IF($J984="Cancelled","Cancelled",IF($E984="","Amount missing",IF(OR($J984="Settled",$E984-N($F984)-N($H984)&lt;=0.005),"Realised",IF(N($H984)&gt;0,"Part realised",IF(N($F984)&gt;0,"Advance received","On hand"))))))</f>
        <v/>
      </c>
      <c r="P984" s="79" t="str">
        <f aca="false">IF(AND($V984=1,ISNUMBER($B984)),AsAt-$B984,"")</f>
        <v/>
      </c>
      <c r="Q984" s="78" t="str">
        <f aca="false">IF($V984&lt;&gt;1,"",IF($P984="","No invoice date",IF($P984&lt;=30,"0–30 days",IF($P984&lt;=60,"31–60 days",IF($P984&lt;=90,"61–90 days","Over 90 days")))))</f>
        <v/>
      </c>
      <c r="R984" s="80" t="str">
        <f aca="false">IF($V984=1,ROW(),"")</f>
        <v/>
      </c>
      <c r="S984" s="80" t="str">
        <f aca="false">IF(OR($A984&lt;&gt;"",$E984&lt;&gt;""),IF(TRIM($D984)="","Buyer not noted",TRIM($D984)),"")</f>
        <v/>
      </c>
      <c r="T984" s="80" t="n">
        <f aca="false">IF(AND($V984=1,ISNUMBER($M984)),$M984,0)</f>
        <v>0</v>
      </c>
      <c r="U984" s="80" t="str">
        <f aca="false">IF($V984=1,IF(COUNTIFS($S$7:$S984,$S984,$V$7:$V984,1)=1,SUMIFS($T$7:$T$1006,$S$7:$S$1006,$S984)-ROW()/1000000000,""),"")</f>
        <v/>
      </c>
      <c r="V984" s="80" t="n">
        <f aca="false">IF(OR($O984="On hand",$O984="Advance received",$O984="Part realised",$O984="Amount missing"),1,0)</f>
        <v>0</v>
      </c>
      <c r="W984" s="80" t="str">
        <f aca="false">IF(AND($V984=1,N($F984)&gt;0),ROW(),"")</f>
        <v/>
      </c>
      <c r="X984" s="80" t="n">
        <f aca="false">IF(AND(OR($A984&lt;&gt;"",$E984&lt;&gt;""),$O984&lt;&gt;"Cancelled",ISNUMBER($E984),N($F984)+N($H984)&gt;$E984+0.005),1,0)</f>
        <v>0</v>
      </c>
      <c r="Y984" s="80" t="n">
        <f aca="false">IF(AND(OR($A984&lt;&gt;"",$E984&lt;&gt;""),OR($A984="",$E984="")),1,0)</f>
        <v>0</v>
      </c>
      <c r="Z984" s="80" t="n">
        <f aca="false">IF(AND($A984&lt;&gt;"",COUNTIF($A$7:$A$1006,$A984)&gt;1),1,0)</f>
        <v>0</v>
      </c>
    </row>
    <row r="985" customFormat="false" ht="15" hidden="false" customHeight="false" outlineLevel="0" collapsed="false">
      <c r="A985" s="71"/>
      <c r="B985" s="72"/>
      <c r="C985" s="73"/>
      <c r="D985" s="73"/>
      <c r="E985" s="74"/>
      <c r="F985" s="74"/>
      <c r="G985" s="72"/>
      <c r="H985" s="74"/>
      <c r="I985" s="72"/>
      <c r="J985" s="73"/>
      <c r="K985" s="73"/>
      <c r="L985" s="75" t="str">
        <f aca="false">IF(OR($A985&lt;&gt;"",$E985&lt;&gt;""),N($F985)+N($H985),"")</f>
        <v/>
      </c>
      <c r="M985" s="76" t="str">
        <f aca="false">IF(OR($O985="",$O985="Cancelled",$O985="Amount missing"),"",IF($O985="Realised",0,$E985-N($F985)-N($H985)))</f>
        <v/>
      </c>
      <c r="N985" s="77" t="str">
        <f aca="false">IF(OR($M985="",FX=""),"",$M985*FX)</f>
        <v/>
      </c>
      <c r="O985" s="78" t="str">
        <f aca="false">IF(NOT(OR($A985&lt;&gt;"",$E985&lt;&gt;"")),"",IF($J985="Cancelled","Cancelled",IF($E985="","Amount missing",IF(OR($J985="Settled",$E985-N($F985)-N($H985)&lt;=0.005),"Realised",IF(N($H985)&gt;0,"Part realised",IF(N($F985)&gt;0,"Advance received","On hand"))))))</f>
        <v/>
      </c>
      <c r="P985" s="79" t="str">
        <f aca="false">IF(AND($V985=1,ISNUMBER($B985)),AsAt-$B985,"")</f>
        <v/>
      </c>
      <c r="Q985" s="78" t="str">
        <f aca="false">IF($V985&lt;&gt;1,"",IF($P985="","No invoice date",IF($P985&lt;=30,"0–30 days",IF($P985&lt;=60,"31–60 days",IF($P985&lt;=90,"61–90 days","Over 90 days")))))</f>
        <v/>
      </c>
      <c r="R985" s="80" t="str">
        <f aca="false">IF($V985=1,ROW(),"")</f>
        <v/>
      </c>
      <c r="S985" s="80" t="str">
        <f aca="false">IF(OR($A985&lt;&gt;"",$E985&lt;&gt;""),IF(TRIM($D985)="","Buyer not noted",TRIM($D985)),"")</f>
        <v/>
      </c>
      <c r="T985" s="80" t="n">
        <f aca="false">IF(AND($V985=1,ISNUMBER($M985)),$M985,0)</f>
        <v>0</v>
      </c>
      <c r="U985" s="80" t="str">
        <f aca="false">IF($V985=1,IF(COUNTIFS($S$7:$S985,$S985,$V$7:$V985,1)=1,SUMIFS($T$7:$T$1006,$S$7:$S$1006,$S985)-ROW()/1000000000,""),"")</f>
        <v/>
      </c>
      <c r="V985" s="80" t="n">
        <f aca="false">IF(OR($O985="On hand",$O985="Advance received",$O985="Part realised",$O985="Amount missing"),1,0)</f>
        <v>0</v>
      </c>
      <c r="W985" s="80" t="str">
        <f aca="false">IF(AND($V985=1,N($F985)&gt;0),ROW(),"")</f>
        <v/>
      </c>
      <c r="X985" s="80" t="n">
        <f aca="false">IF(AND(OR($A985&lt;&gt;"",$E985&lt;&gt;""),$O985&lt;&gt;"Cancelled",ISNUMBER($E985),N($F985)+N($H985)&gt;$E985+0.005),1,0)</f>
        <v>0</v>
      </c>
      <c r="Y985" s="80" t="n">
        <f aca="false">IF(AND(OR($A985&lt;&gt;"",$E985&lt;&gt;""),OR($A985="",$E985="")),1,0)</f>
        <v>0</v>
      </c>
      <c r="Z985" s="80" t="n">
        <f aca="false">IF(AND($A985&lt;&gt;"",COUNTIF($A$7:$A$1006,$A985)&gt;1),1,0)</f>
        <v>0</v>
      </c>
    </row>
    <row r="986" customFormat="false" ht="15" hidden="false" customHeight="false" outlineLevel="0" collapsed="false">
      <c r="A986" s="71"/>
      <c r="B986" s="72"/>
      <c r="C986" s="73"/>
      <c r="D986" s="73"/>
      <c r="E986" s="74"/>
      <c r="F986" s="74"/>
      <c r="G986" s="72"/>
      <c r="H986" s="74"/>
      <c r="I986" s="72"/>
      <c r="J986" s="73"/>
      <c r="K986" s="73"/>
      <c r="L986" s="75" t="str">
        <f aca="false">IF(OR($A986&lt;&gt;"",$E986&lt;&gt;""),N($F986)+N($H986),"")</f>
        <v/>
      </c>
      <c r="M986" s="76" t="str">
        <f aca="false">IF(OR($O986="",$O986="Cancelled",$O986="Amount missing"),"",IF($O986="Realised",0,$E986-N($F986)-N($H986)))</f>
        <v/>
      </c>
      <c r="N986" s="77" t="str">
        <f aca="false">IF(OR($M986="",FX=""),"",$M986*FX)</f>
        <v/>
      </c>
      <c r="O986" s="78" t="str">
        <f aca="false">IF(NOT(OR($A986&lt;&gt;"",$E986&lt;&gt;"")),"",IF($J986="Cancelled","Cancelled",IF($E986="","Amount missing",IF(OR($J986="Settled",$E986-N($F986)-N($H986)&lt;=0.005),"Realised",IF(N($H986)&gt;0,"Part realised",IF(N($F986)&gt;0,"Advance received","On hand"))))))</f>
        <v/>
      </c>
      <c r="P986" s="79" t="str">
        <f aca="false">IF(AND($V986=1,ISNUMBER($B986)),AsAt-$B986,"")</f>
        <v/>
      </c>
      <c r="Q986" s="78" t="str">
        <f aca="false">IF($V986&lt;&gt;1,"",IF($P986="","No invoice date",IF($P986&lt;=30,"0–30 days",IF($P986&lt;=60,"31–60 days",IF($P986&lt;=90,"61–90 days","Over 90 days")))))</f>
        <v/>
      </c>
      <c r="R986" s="80" t="str">
        <f aca="false">IF($V986=1,ROW(),"")</f>
        <v/>
      </c>
      <c r="S986" s="80" t="str">
        <f aca="false">IF(OR($A986&lt;&gt;"",$E986&lt;&gt;""),IF(TRIM($D986)="","Buyer not noted",TRIM($D986)),"")</f>
        <v/>
      </c>
      <c r="T986" s="80" t="n">
        <f aca="false">IF(AND($V986=1,ISNUMBER($M986)),$M986,0)</f>
        <v>0</v>
      </c>
      <c r="U986" s="80" t="str">
        <f aca="false">IF($V986=1,IF(COUNTIFS($S$7:$S986,$S986,$V$7:$V986,1)=1,SUMIFS($T$7:$T$1006,$S$7:$S$1006,$S986)-ROW()/1000000000,""),"")</f>
        <v/>
      </c>
      <c r="V986" s="80" t="n">
        <f aca="false">IF(OR($O986="On hand",$O986="Advance received",$O986="Part realised",$O986="Amount missing"),1,0)</f>
        <v>0</v>
      </c>
      <c r="W986" s="80" t="str">
        <f aca="false">IF(AND($V986=1,N($F986)&gt;0),ROW(),"")</f>
        <v/>
      </c>
      <c r="X986" s="80" t="n">
        <f aca="false">IF(AND(OR($A986&lt;&gt;"",$E986&lt;&gt;""),$O986&lt;&gt;"Cancelled",ISNUMBER($E986),N($F986)+N($H986)&gt;$E986+0.005),1,0)</f>
        <v>0</v>
      </c>
      <c r="Y986" s="80" t="n">
        <f aca="false">IF(AND(OR($A986&lt;&gt;"",$E986&lt;&gt;""),OR($A986="",$E986="")),1,0)</f>
        <v>0</v>
      </c>
      <c r="Z986" s="80" t="n">
        <f aca="false">IF(AND($A986&lt;&gt;"",COUNTIF($A$7:$A$1006,$A986)&gt;1),1,0)</f>
        <v>0</v>
      </c>
    </row>
    <row r="987" customFormat="false" ht="15" hidden="false" customHeight="false" outlineLevel="0" collapsed="false">
      <c r="A987" s="71"/>
      <c r="B987" s="72"/>
      <c r="C987" s="73"/>
      <c r="D987" s="73"/>
      <c r="E987" s="74"/>
      <c r="F987" s="74"/>
      <c r="G987" s="72"/>
      <c r="H987" s="74"/>
      <c r="I987" s="72"/>
      <c r="J987" s="73"/>
      <c r="K987" s="73"/>
      <c r="L987" s="75" t="str">
        <f aca="false">IF(OR($A987&lt;&gt;"",$E987&lt;&gt;""),N($F987)+N($H987),"")</f>
        <v/>
      </c>
      <c r="M987" s="76" t="str">
        <f aca="false">IF(OR($O987="",$O987="Cancelled",$O987="Amount missing"),"",IF($O987="Realised",0,$E987-N($F987)-N($H987)))</f>
        <v/>
      </c>
      <c r="N987" s="77" t="str">
        <f aca="false">IF(OR($M987="",FX=""),"",$M987*FX)</f>
        <v/>
      </c>
      <c r="O987" s="78" t="str">
        <f aca="false">IF(NOT(OR($A987&lt;&gt;"",$E987&lt;&gt;"")),"",IF($J987="Cancelled","Cancelled",IF($E987="","Amount missing",IF(OR($J987="Settled",$E987-N($F987)-N($H987)&lt;=0.005),"Realised",IF(N($H987)&gt;0,"Part realised",IF(N($F987)&gt;0,"Advance received","On hand"))))))</f>
        <v/>
      </c>
      <c r="P987" s="79" t="str">
        <f aca="false">IF(AND($V987=1,ISNUMBER($B987)),AsAt-$B987,"")</f>
        <v/>
      </c>
      <c r="Q987" s="78" t="str">
        <f aca="false">IF($V987&lt;&gt;1,"",IF($P987="","No invoice date",IF($P987&lt;=30,"0–30 days",IF($P987&lt;=60,"31–60 days",IF($P987&lt;=90,"61–90 days","Over 90 days")))))</f>
        <v/>
      </c>
      <c r="R987" s="80" t="str">
        <f aca="false">IF($V987=1,ROW(),"")</f>
        <v/>
      </c>
      <c r="S987" s="80" t="str">
        <f aca="false">IF(OR($A987&lt;&gt;"",$E987&lt;&gt;""),IF(TRIM($D987)="","Buyer not noted",TRIM($D987)),"")</f>
        <v/>
      </c>
      <c r="T987" s="80" t="n">
        <f aca="false">IF(AND($V987=1,ISNUMBER($M987)),$M987,0)</f>
        <v>0</v>
      </c>
      <c r="U987" s="80" t="str">
        <f aca="false">IF($V987=1,IF(COUNTIFS($S$7:$S987,$S987,$V$7:$V987,1)=1,SUMIFS($T$7:$T$1006,$S$7:$S$1006,$S987)-ROW()/1000000000,""),"")</f>
        <v/>
      </c>
      <c r="V987" s="80" t="n">
        <f aca="false">IF(OR($O987="On hand",$O987="Advance received",$O987="Part realised",$O987="Amount missing"),1,0)</f>
        <v>0</v>
      </c>
      <c r="W987" s="80" t="str">
        <f aca="false">IF(AND($V987=1,N($F987)&gt;0),ROW(),"")</f>
        <v/>
      </c>
      <c r="X987" s="80" t="n">
        <f aca="false">IF(AND(OR($A987&lt;&gt;"",$E987&lt;&gt;""),$O987&lt;&gt;"Cancelled",ISNUMBER($E987),N($F987)+N($H987)&gt;$E987+0.005),1,0)</f>
        <v>0</v>
      </c>
      <c r="Y987" s="80" t="n">
        <f aca="false">IF(AND(OR($A987&lt;&gt;"",$E987&lt;&gt;""),OR($A987="",$E987="")),1,0)</f>
        <v>0</v>
      </c>
      <c r="Z987" s="80" t="n">
        <f aca="false">IF(AND($A987&lt;&gt;"",COUNTIF($A$7:$A$1006,$A987)&gt;1),1,0)</f>
        <v>0</v>
      </c>
    </row>
    <row r="988" customFormat="false" ht="15" hidden="false" customHeight="false" outlineLevel="0" collapsed="false">
      <c r="A988" s="71"/>
      <c r="B988" s="72"/>
      <c r="C988" s="73"/>
      <c r="D988" s="73"/>
      <c r="E988" s="74"/>
      <c r="F988" s="74"/>
      <c r="G988" s="72"/>
      <c r="H988" s="74"/>
      <c r="I988" s="72"/>
      <c r="J988" s="73"/>
      <c r="K988" s="73"/>
      <c r="L988" s="75" t="str">
        <f aca="false">IF(OR($A988&lt;&gt;"",$E988&lt;&gt;""),N($F988)+N($H988),"")</f>
        <v/>
      </c>
      <c r="M988" s="76" t="str">
        <f aca="false">IF(OR($O988="",$O988="Cancelled",$O988="Amount missing"),"",IF($O988="Realised",0,$E988-N($F988)-N($H988)))</f>
        <v/>
      </c>
      <c r="N988" s="77" t="str">
        <f aca="false">IF(OR($M988="",FX=""),"",$M988*FX)</f>
        <v/>
      </c>
      <c r="O988" s="78" t="str">
        <f aca="false">IF(NOT(OR($A988&lt;&gt;"",$E988&lt;&gt;"")),"",IF($J988="Cancelled","Cancelled",IF($E988="","Amount missing",IF(OR($J988="Settled",$E988-N($F988)-N($H988)&lt;=0.005),"Realised",IF(N($H988)&gt;0,"Part realised",IF(N($F988)&gt;0,"Advance received","On hand"))))))</f>
        <v/>
      </c>
      <c r="P988" s="79" t="str">
        <f aca="false">IF(AND($V988=1,ISNUMBER($B988)),AsAt-$B988,"")</f>
        <v/>
      </c>
      <c r="Q988" s="78" t="str">
        <f aca="false">IF($V988&lt;&gt;1,"",IF($P988="","No invoice date",IF($P988&lt;=30,"0–30 days",IF($P988&lt;=60,"31–60 days",IF($P988&lt;=90,"61–90 days","Over 90 days")))))</f>
        <v/>
      </c>
      <c r="R988" s="80" t="str">
        <f aca="false">IF($V988=1,ROW(),"")</f>
        <v/>
      </c>
      <c r="S988" s="80" t="str">
        <f aca="false">IF(OR($A988&lt;&gt;"",$E988&lt;&gt;""),IF(TRIM($D988)="","Buyer not noted",TRIM($D988)),"")</f>
        <v/>
      </c>
      <c r="T988" s="80" t="n">
        <f aca="false">IF(AND($V988=1,ISNUMBER($M988)),$M988,0)</f>
        <v>0</v>
      </c>
      <c r="U988" s="80" t="str">
        <f aca="false">IF($V988=1,IF(COUNTIFS($S$7:$S988,$S988,$V$7:$V988,1)=1,SUMIFS($T$7:$T$1006,$S$7:$S$1006,$S988)-ROW()/1000000000,""),"")</f>
        <v/>
      </c>
      <c r="V988" s="80" t="n">
        <f aca="false">IF(OR($O988="On hand",$O988="Advance received",$O988="Part realised",$O988="Amount missing"),1,0)</f>
        <v>0</v>
      </c>
      <c r="W988" s="80" t="str">
        <f aca="false">IF(AND($V988=1,N($F988)&gt;0),ROW(),"")</f>
        <v/>
      </c>
      <c r="X988" s="80" t="n">
        <f aca="false">IF(AND(OR($A988&lt;&gt;"",$E988&lt;&gt;""),$O988&lt;&gt;"Cancelled",ISNUMBER($E988),N($F988)+N($H988)&gt;$E988+0.005),1,0)</f>
        <v>0</v>
      </c>
      <c r="Y988" s="80" t="n">
        <f aca="false">IF(AND(OR($A988&lt;&gt;"",$E988&lt;&gt;""),OR($A988="",$E988="")),1,0)</f>
        <v>0</v>
      </c>
      <c r="Z988" s="80" t="n">
        <f aca="false">IF(AND($A988&lt;&gt;"",COUNTIF($A$7:$A$1006,$A988)&gt;1),1,0)</f>
        <v>0</v>
      </c>
    </row>
    <row r="989" customFormat="false" ht="15" hidden="false" customHeight="false" outlineLevel="0" collapsed="false">
      <c r="A989" s="71"/>
      <c r="B989" s="72"/>
      <c r="C989" s="73"/>
      <c r="D989" s="73"/>
      <c r="E989" s="74"/>
      <c r="F989" s="74"/>
      <c r="G989" s="72"/>
      <c r="H989" s="74"/>
      <c r="I989" s="72"/>
      <c r="J989" s="73"/>
      <c r="K989" s="73"/>
      <c r="L989" s="75" t="str">
        <f aca="false">IF(OR($A989&lt;&gt;"",$E989&lt;&gt;""),N($F989)+N($H989),"")</f>
        <v/>
      </c>
      <c r="M989" s="76" t="str">
        <f aca="false">IF(OR($O989="",$O989="Cancelled",$O989="Amount missing"),"",IF($O989="Realised",0,$E989-N($F989)-N($H989)))</f>
        <v/>
      </c>
      <c r="N989" s="77" t="str">
        <f aca="false">IF(OR($M989="",FX=""),"",$M989*FX)</f>
        <v/>
      </c>
      <c r="O989" s="78" t="str">
        <f aca="false">IF(NOT(OR($A989&lt;&gt;"",$E989&lt;&gt;"")),"",IF($J989="Cancelled","Cancelled",IF($E989="","Amount missing",IF(OR($J989="Settled",$E989-N($F989)-N($H989)&lt;=0.005),"Realised",IF(N($H989)&gt;0,"Part realised",IF(N($F989)&gt;0,"Advance received","On hand"))))))</f>
        <v/>
      </c>
      <c r="P989" s="79" t="str">
        <f aca="false">IF(AND($V989=1,ISNUMBER($B989)),AsAt-$B989,"")</f>
        <v/>
      </c>
      <c r="Q989" s="78" t="str">
        <f aca="false">IF($V989&lt;&gt;1,"",IF($P989="","No invoice date",IF($P989&lt;=30,"0–30 days",IF($P989&lt;=60,"31–60 days",IF($P989&lt;=90,"61–90 days","Over 90 days")))))</f>
        <v/>
      </c>
      <c r="R989" s="80" t="str">
        <f aca="false">IF($V989=1,ROW(),"")</f>
        <v/>
      </c>
      <c r="S989" s="80" t="str">
        <f aca="false">IF(OR($A989&lt;&gt;"",$E989&lt;&gt;""),IF(TRIM($D989)="","Buyer not noted",TRIM($D989)),"")</f>
        <v/>
      </c>
      <c r="T989" s="80" t="n">
        <f aca="false">IF(AND($V989=1,ISNUMBER($M989)),$M989,0)</f>
        <v>0</v>
      </c>
      <c r="U989" s="80" t="str">
        <f aca="false">IF($V989=1,IF(COUNTIFS($S$7:$S989,$S989,$V$7:$V989,1)=1,SUMIFS($T$7:$T$1006,$S$7:$S$1006,$S989)-ROW()/1000000000,""),"")</f>
        <v/>
      </c>
      <c r="V989" s="80" t="n">
        <f aca="false">IF(OR($O989="On hand",$O989="Advance received",$O989="Part realised",$O989="Amount missing"),1,0)</f>
        <v>0</v>
      </c>
      <c r="W989" s="80" t="str">
        <f aca="false">IF(AND($V989=1,N($F989)&gt;0),ROW(),"")</f>
        <v/>
      </c>
      <c r="X989" s="80" t="n">
        <f aca="false">IF(AND(OR($A989&lt;&gt;"",$E989&lt;&gt;""),$O989&lt;&gt;"Cancelled",ISNUMBER($E989),N($F989)+N($H989)&gt;$E989+0.005),1,0)</f>
        <v>0</v>
      </c>
      <c r="Y989" s="80" t="n">
        <f aca="false">IF(AND(OR($A989&lt;&gt;"",$E989&lt;&gt;""),OR($A989="",$E989="")),1,0)</f>
        <v>0</v>
      </c>
      <c r="Z989" s="80" t="n">
        <f aca="false">IF(AND($A989&lt;&gt;"",COUNTIF($A$7:$A$1006,$A989)&gt;1),1,0)</f>
        <v>0</v>
      </c>
    </row>
    <row r="990" customFormat="false" ht="15" hidden="false" customHeight="false" outlineLevel="0" collapsed="false">
      <c r="A990" s="71"/>
      <c r="B990" s="72"/>
      <c r="C990" s="73"/>
      <c r="D990" s="73"/>
      <c r="E990" s="74"/>
      <c r="F990" s="74"/>
      <c r="G990" s="72"/>
      <c r="H990" s="74"/>
      <c r="I990" s="72"/>
      <c r="J990" s="73"/>
      <c r="K990" s="73"/>
      <c r="L990" s="75" t="str">
        <f aca="false">IF(OR($A990&lt;&gt;"",$E990&lt;&gt;""),N($F990)+N($H990),"")</f>
        <v/>
      </c>
      <c r="M990" s="76" t="str">
        <f aca="false">IF(OR($O990="",$O990="Cancelled",$O990="Amount missing"),"",IF($O990="Realised",0,$E990-N($F990)-N($H990)))</f>
        <v/>
      </c>
      <c r="N990" s="77" t="str">
        <f aca="false">IF(OR($M990="",FX=""),"",$M990*FX)</f>
        <v/>
      </c>
      <c r="O990" s="78" t="str">
        <f aca="false">IF(NOT(OR($A990&lt;&gt;"",$E990&lt;&gt;"")),"",IF($J990="Cancelled","Cancelled",IF($E990="","Amount missing",IF(OR($J990="Settled",$E990-N($F990)-N($H990)&lt;=0.005),"Realised",IF(N($H990)&gt;0,"Part realised",IF(N($F990)&gt;0,"Advance received","On hand"))))))</f>
        <v/>
      </c>
      <c r="P990" s="79" t="str">
        <f aca="false">IF(AND($V990=1,ISNUMBER($B990)),AsAt-$B990,"")</f>
        <v/>
      </c>
      <c r="Q990" s="78" t="str">
        <f aca="false">IF($V990&lt;&gt;1,"",IF($P990="","No invoice date",IF($P990&lt;=30,"0–30 days",IF($P990&lt;=60,"31–60 days",IF($P990&lt;=90,"61–90 days","Over 90 days")))))</f>
        <v/>
      </c>
      <c r="R990" s="80" t="str">
        <f aca="false">IF($V990=1,ROW(),"")</f>
        <v/>
      </c>
      <c r="S990" s="80" t="str">
        <f aca="false">IF(OR($A990&lt;&gt;"",$E990&lt;&gt;""),IF(TRIM($D990)="","Buyer not noted",TRIM($D990)),"")</f>
        <v/>
      </c>
      <c r="T990" s="80" t="n">
        <f aca="false">IF(AND($V990=1,ISNUMBER($M990)),$M990,0)</f>
        <v>0</v>
      </c>
      <c r="U990" s="80" t="str">
        <f aca="false">IF($V990=1,IF(COUNTIFS($S$7:$S990,$S990,$V$7:$V990,1)=1,SUMIFS($T$7:$T$1006,$S$7:$S$1006,$S990)-ROW()/1000000000,""),"")</f>
        <v/>
      </c>
      <c r="V990" s="80" t="n">
        <f aca="false">IF(OR($O990="On hand",$O990="Advance received",$O990="Part realised",$O990="Amount missing"),1,0)</f>
        <v>0</v>
      </c>
      <c r="W990" s="80" t="str">
        <f aca="false">IF(AND($V990=1,N($F990)&gt;0),ROW(),"")</f>
        <v/>
      </c>
      <c r="X990" s="80" t="n">
        <f aca="false">IF(AND(OR($A990&lt;&gt;"",$E990&lt;&gt;""),$O990&lt;&gt;"Cancelled",ISNUMBER($E990),N($F990)+N($H990)&gt;$E990+0.005),1,0)</f>
        <v>0</v>
      </c>
      <c r="Y990" s="80" t="n">
        <f aca="false">IF(AND(OR($A990&lt;&gt;"",$E990&lt;&gt;""),OR($A990="",$E990="")),1,0)</f>
        <v>0</v>
      </c>
      <c r="Z990" s="80" t="n">
        <f aca="false">IF(AND($A990&lt;&gt;"",COUNTIF($A$7:$A$1006,$A990)&gt;1),1,0)</f>
        <v>0</v>
      </c>
    </row>
    <row r="991" customFormat="false" ht="15" hidden="false" customHeight="false" outlineLevel="0" collapsed="false">
      <c r="A991" s="71"/>
      <c r="B991" s="72"/>
      <c r="C991" s="73"/>
      <c r="D991" s="73"/>
      <c r="E991" s="74"/>
      <c r="F991" s="74"/>
      <c r="G991" s="72"/>
      <c r="H991" s="74"/>
      <c r="I991" s="72"/>
      <c r="J991" s="73"/>
      <c r="K991" s="73"/>
      <c r="L991" s="75" t="str">
        <f aca="false">IF(OR($A991&lt;&gt;"",$E991&lt;&gt;""),N($F991)+N($H991),"")</f>
        <v/>
      </c>
      <c r="M991" s="76" t="str">
        <f aca="false">IF(OR($O991="",$O991="Cancelled",$O991="Amount missing"),"",IF($O991="Realised",0,$E991-N($F991)-N($H991)))</f>
        <v/>
      </c>
      <c r="N991" s="77" t="str">
        <f aca="false">IF(OR($M991="",FX=""),"",$M991*FX)</f>
        <v/>
      </c>
      <c r="O991" s="78" t="str">
        <f aca="false">IF(NOT(OR($A991&lt;&gt;"",$E991&lt;&gt;"")),"",IF($J991="Cancelled","Cancelled",IF($E991="","Amount missing",IF(OR($J991="Settled",$E991-N($F991)-N($H991)&lt;=0.005),"Realised",IF(N($H991)&gt;0,"Part realised",IF(N($F991)&gt;0,"Advance received","On hand"))))))</f>
        <v/>
      </c>
      <c r="P991" s="79" t="str">
        <f aca="false">IF(AND($V991=1,ISNUMBER($B991)),AsAt-$B991,"")</f>
        <v/>
      </c>
      <c r="Q991" s="78" t="str">
        <f aca="false">IF($V991&lt;&gt;1,"",IF($P991="","No invoice date",IF($P991&lt;=30,"0–30 days",IF($P991&lt;=60,"31–60 days",IF($P991&lt;=90,"61–90 days","Over 90 days")))))</f>
        <v/>
      </c>
      <c r="R991" s="80" t="str">
        <f aca="false">IF($V991=1,ROW(),"")</f>
        <v/>
      </c>
      <c r="S991" s="80" t="str">
        <f aca="false">IF(OR($A991&lt;&gt;"",$E991&lt;&gt;""),IF(TRIM($D991)="","Buyer not noted",TRIM($D991)),"")</f>
        <v/>
      </c>
      <c r="T991" s="80" t="n">
        <f aca="false">IF(AND($V991=1,ISNUMBER($M991)),$M991,0)</f>
        <v>0</v>
      </c>
      <c r="U991" s="80" t="str">
        <f aca="false">IF($V991=1,IF(COUNTIFS($S$7:$S991,$S991,$V$7:$V991,1)=1,SUMIFS($T$7:$T$1006,$S$7:$S$1006,$S991)-ROW()/1000000000,""),"")</f>
        <v/>
      </c>
      <c r="V991" s="80" t="n">
        <f aca="false">IF(OR($O991="On hand",$O991="Advance received",$O991="Part realised",$O991="Amount missing"),1,0)</f>
        <v>0</v>
      </c>
      <c r="W991" s="80" t="str">
        <f aca="false">IF(AND($V991=1,N($F991)&gt;0),ROW(),"")</f>
        <v/>
      </c>
      <c r="X991" s="80" t="n">
        <f aca="false">IF(AND(OR($A991&lt;&gt;"",$E991&lt;&gt;""),$O991&lt;&gt;"Cancelled",ISNUMBER($E991),N($F991)+N($H991)&gt;$E991+0.005),1,0)</f>
        <v>0</v>
      </c>
      <c r="Y991" s="80" t="n">
        <f aca="false">IF(AND(OR($A991&lt;&gt;"",$E991&lt;&gt;""),OR($A991="",$E991="")),1,0)</f>
        <v>0</v>
      </c>
      <c r="Z991" s="80" t="n">
        <f aca="false">IF(AND($A991&lt;&gt;"",COUNTIF($A$7:$A$1006,$A991)&gt;1),1,0)</f>
        <v>0</v>
      </c>
    </row>
    <row r="992" customFormat="false" ht="15" hidden="false" customHeight="false" outlineLevel="0" collapsed="false">
      <c r="A992" s="71"/>
      <c r="B992" s="72"/>
      <c r="C992" s="73"/>
      <c r="D992" s="73"/>
      <c r="E992" s="74"/>
      <c r="F992" s="74"/>
      <c r="G992" s="72"/>
      <c r="H992" s="74"/>
      <c r="I992" s="72"/>
      <c r="J992" s="73"/>
      <c r="K992" s="73"/>
      <c r="L992" s="75" t="str">
        <f aca="false">IF(OR($A992&lt;&gt;"",$E992&lt;&gt;""),N($F992)+N($H992),"")</f>
        <v/>
      </c>
      <c r="M992" s="76" t="str">
        <f aca="false">IF(OR($O992="",$O992="Cancelled",$O992="Amount missing"),"",IF($O992="Realised",0,$E992-N($F992)-N($H992)))</f>
        <v/>
      </c>
      <c r="N992" s="77" t="str">
        <f aca="false">IF(OR($M992="",FX=""),"",$M992*FX)</f>
        <v/>
      </c>
      <c r="O992" s="78" t="str">
        <f aca="false">IF(NOT(OR($A992&lt;&gt;"",$E992&lt;&gt;"")),"",IF($J992="Cancelled","Cancelled",IF($E992="","Amount missing",IF(OR($J992="Settled",$E992-N($F992)-N($H992)&lt;=0.005),"Realised",IF(N($H992)&gt;0,"Part realised",IF(N($F992)&gt;0,"Advance received","On hand"))))))</f>
        <v/>
      </c>
      <c r="P992" s="79" t="str">
        <f aca="false">IF(AND($V992=1,ISNUMBER($B992)),AsAt-$B992,"")</f>
        <v/>
      </c>
      <c r="Q992" s="78" t="str">
        <f aca="false">IF($V992&lt;&gt;1,"",IF($P992="","No invoice date",IF($P992&lt;=30,"0–30 days",IF($P992&lt;=60,"31–60 days",IF($P992&lt;=90,"61–90 days","Over 90 days")))))</f>
        <v/>
      </c>
      <c r="R992" s="80" t="str">
        <f aca="false">IF($V992=1,ROW(),"")</f>
        <v/>
      </c>
      <c r="S992" s="80" t="str">
        <f aca="false">IF(OR($A992&lt;&gt;"",$E992&lt;&gt;""),IF(TRIM($D992)="","Buyer not noted",TRIM($D992)),"")</f>
        <v/>
      </c>
      <c r="T992" s="80" t="n">
        <f aca="false">IF(AND($V992=1,ISNUMBER($M992)),$M992,0)</f>
        <v>0</v>
      </c>
      <c r="U992" s="80" t="str">
        <f aca="false">IF($V992=1,IF(COUNTIFS($S$7:$S992,$S992,$V$7:$V992,1)=1,SUMIFS($T$7:$T$1006,$S$7:$S$1006,$S992)-ROW()/1000000000,""),"")</f>
        <v/>
      </c>
      <c r="V992" s="80" t="n">
        <f aca="false">IF(OR($O992="On hand",$O992="Advance received",$O992="Part realised",$O992="Amount missing"),1,0)</f>
        <v>0</v>
      </c>
      <c r="W992" s="80" t="str">
        <f aca="false">IF(AND($V992=1,N($F992)&gt;0),ROW(),"")</f>
        <v/>
      </c>
      <c r="X992" s="80" t="n">
        <f aca="false">IF(AND(OR($A992&lt;&gt;"",$E992&lt;&gt;""),$O992&lt;&gt;"Cancelled",ISNUMBER($E992),N($F992)+N($H992)&gt;$E992+0.005),1,0)</f>
        <v>0</v>
      </c>
      <c r="Y992" s="80" t="n">
        <f aca="false">IF(AND(OR($A992&lt;&gt;"",$E992&lt;&gt;""),OR($A992="",$E992="")),1,0)</f>
        <v>0</v>
      </c>
      <c r="Z992" s="80" t="n">
        <f aca="false">IF(AND($A992&lt;&gt;"",COUNTIF($A$7:$A$1006,$A992)&gt;1),1,0)</f>
        <v>0</v>
      </c>
    </row>
    <row r="993" customFormat="false" ht="15" hidden="false" customHeight="false" outlineLevel="0" collapsed="false">
      <c r="A993" s="71"/>
      <c r="B993" s="72"/>
      <c r="C993" s="73"/>
      <c r="D993" s="73"/>
      <c r="E993" s="74"/>
      <c r="F993" s="74"/>
      <c r="G993" s="72"/>
      <c r="H993" s="74"/>
      <c r="I993" s="72"/>
      <c r="J993" s="73"/>
      <c r="K993" s="73"/>
      <c r="L993" s="75" t="str">
        <f aca="false">IF(OR($A993&lt;&gt;"",$E993&lt;&gt;""),N($F993)+N($H993),"")</f>
        <v/>
      </c>
      <c r="M993" s="76" t="str">
        <f aca="false">IF(OR($O993="",$O993="Cancelled",$O993="Amount missing"),"",IF($O993="Realised",0,$E993-N($F993)-N($H993)))</f>
        <v/>
      </c>
      <c r="N993" s="77" t="str">
        <f aca="false">IF(OR($M993="",FX=""),"",$M993*FX)</f>
        <v/>
      </c>
      <c r="O993" s="78" t="str">
        <f aca="false">IF(NOT(OR($A993&lt;&gt;"",$E993&lt;&gt;"")),"",IF($J993="Cancelled","Cancelled",IF($E993="","Amount missing",IF(OR($J993="Settled",$E993-N($F993)-N($H993)&lt;=0.005),"Realised",IF(N($H993)&gt;0,"Part realised",IF(N($F993)&gt;0,"Advance received","On hand"))))))</f>
        <v/>
      </c>
      <c r="P993" s="79" t="str">
        <f aca="false">IF(AND($V993=1,ISNUMBER($B993)),AsAt-$B993,"")</f>
        <v/>
      </c>
      <c r="Q993" s="78" t="str">
        <f aca="false">IF($V993&lt;&gt;1,"",IF($P993="","No invoice date",IF($P993&lt;=30,"0–30 days",IF($P993&lt;=60,"31–60 days",IF($P993&lt;=90,"61–90 days","Over 90 days")))))</f>
        <v/>
      </c>
      <c r="R993" s="80" t="str">
        <f aca="false">IF($V993=1,ROW(),"")</f>
        <v/>
      </c>
      <c r="S993" s="80" t="str">
        <f aca="false">IF(OR($A993&lt;&gt;"",$E993&lt;&gt;""),IF(TRIM($D993)="","Buyer not noted",TRIM($D993)),"")</f>
        <v/>
      </c>
      <c r="T993" s="80" t="n">
        <f aca="false">IF(AND($V993=1,ISNUMBER($M993)),$M993,0)</f>
        <v>0</v>
      </c>
      <c r="U993" s="80" t="str">
        <f aca="false">IF($V993=1,IF(COUNTIFS($S$7:$S993,$S993,$V$7:$V993,1)=1,SUMIFS($T$7:$T$1006,$S$7:$S$1006,$S993)-ROW()/1000000000,""),"")</f>
        <v/>
      </c>
      <c r="V993" s="80" t="n">
        <f aca="false">IF(OR($O993="On hand",$O993="Advance received",$O993="Part realised",$O993="Amount missing"),1,0)</f>
        <v>0</v>
      </c>
      <c r="W993" s="80" t="str">
        <f aca="false">IF(AND($V993=1,N($F993)&gt;0),ROW(),"")</f>
        <v/>
      </c>
      <c r="X993" s="80" t="n">
        <f aca="false">IF(AND(OR($A993&lt;&gt;"",$E993&lt;&gt;""),$O993&lt;&gt;"Cancelled",ISNUMBER($E993),N($F993)+N($H993)&gt;$E993+0.005),1,0)</f>
        <v>0</v>
      </c>
      <c r="Y993" s="80" t="n">
        <f aca="false">IF(AND(OR($A993&lt;&gt;"",$E993&lt;&gt;""),OR($A993="",$E993="")),1,0)</f>
        <v>0</v>
      </c>
      <c r="Z993" s="80" t="n">
        <f aca="false">IF(AND($A993&lt;&gt;"",COUNTIF($A$7:$A$1006,$A993)&gt;1),1,0)</f>
        <v>0</v>
      </c>
    </row>
    <row r="994" customFormat="false" ht="15" hidden="false" customHeight="false" outlineLevel="0" collapsed="false">
      <c r="A994" s="71"/>
      <c r="B994" s="72"/>
      <c r="C994" s="73"/>
      <c r="D994" s="73"/>
      <c r="E994" s="74"/>
      <c r="F994" s="74"/>
      <c r="G994" s="72"/>
      <c r="H994" s="74"/>
      <c r="I994" s="72"/>
      <c r="J994" s="73"/>
      <c r="K994" s="73"/>
      <c r="L994" s="75" t="str">
        <f aca="false">IF(OR($A994&lt;&gt;"",$E994&lt;&gt;""),N($F994)+N($H994),"")</f>
        <v/>
      </c>
      <c r="M994" s="76" t="str">
        <f aca="false">IF(OR($O994="",$O994="Cancelled",$O994="Amount missing"),"",IF($O994="Realised",0,$E994-N($F994)-N($H994)))</f>
        <v/>
      </c>
      <c r="N994" s="77" t="str">
        <f aca="false">IF(OR($M994="",FX=""),"",$M994*FX)</f>
        <v/>
      </c>
      <c r="O994" s="78" t="str">
        <f aca="false">IF(NOT(OR($A994&lt;&gt;"",$E994&lt;&gt;"")),"",IF($J994="Cancelled","Cancelled",IF($E994="","Amount missing",IF(OR($J994="Settled",$E994-N($F994)-N($H994)&lt;=0.005),"Realised",IF(N($H994)&gt;0,"Part realised",IF(N($F994)&gt;0,"Advance received","On hand"))))))</f>
        <v/>
      </c>
      <c r="P994" s="79" t="str">
        <f aca="false">IF(AND($V994=1,ISNUMBER($B994)),AsAt-$B994,"")</f>
        <v/>
      </c>
      <c r="Q994" s="78" t="str">
        <f aca="false">IF($V994&lt;&gt;1,"",IF($P994="","No invoice date",IF($P994&lt;=30,"0–30 days",IF($P994&lt;=60,"31–60 days",IF($P994&lt;=90,"61–90 days","Over 90 days")))))</f>
        <v/>
      </c>
      <c r="R994" s="80" t="str">
        <f aca="false">IF($V994=1,ROW(),"")</f>
        <v/>
      </c>
      <c r="S994" s="80" t="str">
        <f aca="false">IF(OR($A994&lt;&gt;"",$E994&lt;&gt;""),IF(TRIM($D994)="","Buyer not noted",TRIM($D994)),"")</f>
        <v/>
      </c>
      <c r="T994" s="80" t="n">
        <f aca="false">IF(AND($V994=1,ISNUMBER($M994)),$M994,0)</f>
        <v>0</v>
      </c>
      <c r="U994" s="80" t="str">
        <f aca="false">IF($V994=1,IF(COUNTIFS($S$7:$S994,$S994,$V$7:$V994,1)=1,SUMIFS($T$7:$T$1006,$S$7:$S$1006,$S994)-ROW()/1000000000,""),"")</f>
        <v/>
      </c>
      <c r="V994" s="80" t="n">
        <f aca="false">IF(OR($O994="On hand",$O994="Advance received",$O994="Part realised",$O994="Amount missing"),1,0)</f>
        <v>0</v>
      </c>
      <c r="W994" s="80" t="str">
        <f aca="false">IF(AND($V994=1,N($F994)&gt;0),ROW(),"")</f>
        <v/>
      </c>
      <c r="X994" s="80" t="n">
        <f aca="false">IF(AND(OR($A994&lt;&gt;"",$E994&lt;&gt;""),$O994&lt;&gt;"Cancelled",ISNUMBER($E994),N($F994)+N($H994)&gt;$E994+0.005),1,0)</f>
        <v>0</v>
      </c>
      <c r="Y994" s="80" t="n">
        <f aca="false">IF(AND(OR($A994&lt;&gt;"",$E994&lt;&gt;""),OR($A994="",$E994="")),1,0)</f>
        <v>0</v>
      </c>
      <c r="Z994" s="80" t="n">
        <f aca="false">IF(AND($A994&lt;&gt;"",COUNTIF($A$7:$A$1006,$A994)&gt;1),1,0)</f>
        <v>0</v>
      </c>
    </row>
    <row r="995" customFormat="false" ht="15" hidden="false" customHeight="false" outlineLevel="0" collapsed="false">
      <c r="A995" s="71"/>
      <c r="B995" s="72"/>
      <c r="C995" s="73"/>
      <c r="D995" s="73"/>
      <c r="E995" s="74"/>
      <c r="F995" s="74"/>
      <c r="G995" s="72"/>
      <c r="H995" s="74"/>
      <c r="I995" s="72"/>
      <c r="J995" s="73"/>
      <c r="K995" s="73"/>
      <c r="L995" s="75" t="str">
        <f aca="false">IF(OR($A995&lt;&gt;"",$E995&lt;&gt;""),N($F995)+N($H995),"")</f>
        <v/>
      </c>
      <c r="M995" s="76" t="str">
        <f aca="false">IF(OR($O995="",$O995="Cancelled",$O995="Amount missing"),"",IF($O995="Realised",0,$E995-N($F995)-N($H995)))</f>
        <v/>
      </c>
      <c r="N995" s="77" t="str">
        <f aca="false">IF(OR($M995="",FX=""),"",$M995*FX)</f>
        <v/>
      </c>
      <c r="O995" s="78" t="str">
        <f aca="false">IF(NOT(OR($A995&lt;&gt;"",$E995&lt;&gt;"")),"",IF($J995="Cancelled","Cancelled",IF($E995="","Amount missing",IF(OR($J995="Settled",$E995-N($F995)-N($H995)&lt;=0.005),"Realised",IF(N($H995)&gt;0,"Part realised",IF(N($F995)&gt;0,"Advance received","On hand"))))))</f>
        <v/>
      </c>
      <c r="P995" s="79" t="str">
        <f aca="false">IF(AND($V995=1,ISNUMBER($B995)),AsAt-$B995,"")</f>
        <v/>
      </c>
      <c r="Q995" s="78" t="str">
        <f aca="false">IF($V995&lt;&gt;1,"",IF($P995="","No invoice date",IF($P995&lt;=30,"0–30 days",IF($P995&lt;=60,"31–60 days",IF($P995&lt;=90,"61–90 days","Over 90 days")))))</f>
        <v/>
      </c>
      <c r="R995" s="80" t="str">
        <f aca="false">IF($V995=1,ROW(),"")</f>
        <v/>
      </c>
      <c r="S995" s="80" t="str">
        <f aca="false">IF(OR($A995&lt;&gt;"",$E995&lt;&gt;""),IF(TRIM($D995)="","Buyer not noted",TRIM($D995)),"")</f>
        <v/>
      </c>
      <c r="T995" s="80" t="n">
        <f aca="false">IF(AND($V995=1,ISNUMBER($M995)),$M995,0)</f>
        <v>0</v>
      </c>
      <c r="U995" s="80" t="str">
        <f aca="false">IF($V995=1,IF(COUNTIFS($S$7:$S995,$S995,$V$7:$V995,1)=1,SUMIFS($T$7:$T$1006,$S$7:$S$1006,$S995)-ROW()/1000000000,""),"")</f>
        <v/>
      </c>
      <c r="V995" s="80" t="n">
        <f aca="false">IF(OR($O995="On hand",$O995="Advance received",$O995="Part realised",$O995="Amount missing"),1,0)</f>
        <v>0</v>
      </c>
      <c r="W995" s="80" t="str">
        <f aca="false">IF(AND($V995=1,N($F995)&gt;0),ROW(),"")</f>
        <v/>
      </c>
      <c r="X995" s="80" t="n">
        <f aca="false">IF(AND(OR($A995&lt;&gt;"",$E995&lt;&gt;""),$O995&lt;&gt;"Cancelled",ISNUMBER($E995),N($F995)+N($H995)&gt;$E995+0.005),1,0)</f>
        <v>0</v>
      </c>
      <c r="Y995" s="80" t="n">
        <f aca="false">IF(AND(OR($A995&lt;&gt;"",$E995&lt;&gt;""),OR($A995="",$E995="")),1,0)</f>
        <v>0</v>
      </c>
      <c r="Z995" s="80" t="n">
        <f aca="false">IF(AND($A995&lt;&gt;"",COUNTIF($A$7:$A$1006,$A995)&gt;1),1,0)</f>
        <v>0</v>
      </c>
    </row>
    <row r="996" customFormat="false" ht="15" hidden="false" customHeight="false" outlineLevel="0" collapsed="false">
      <c r="A996" s="71"/>
      <c r="B996" s="72"/>
      <c r="C996" s="73"/>
      <c r="D996" s="73"/>
      <c r="E996" s="74"/>
      <c r="F996" s="74"/>
      <c r="G996" s="72"/>
      <c r="H996" s="74"/>
      <c r="I996" s="72"/>
      <c r="J996" s="73"/>
      <c r="K996" s="73"/>
      <c r="L996" s="75" t="str">
        <f aca="false">IF(OR($A996&lt;&gt;"",$E996&lt;&gt;""),N($F996)+N($H996),"")</f>
        <v/>
      </c>
      <c r="M996" s="76" t="str">
        <f aca="false">IF(OR($O996="",$O996="Cancelled",$O996="Amount missing"),"",IF($O996="Realised",0,$E996-N($F996)-N($H996)))</f>
        <v/>
      </c>
      <c r="N996" s="77" t="str">
        <f aca="false">IF(OR($M996="",FX=""),"",$M996*FX)</f>
        <v/>
      </c>
      <c r="O996" s="78" t="str">
        <f aca="false">IF(NOT(OR($A996&lt;&gt;"",$E996&lt;&gt;"")),"",IF($J996="Cancelled","Cancelled",IF($E996="","Amount missing",IF(OR($J996="Settled",$E996-N($F996)-N($H996)&lt;=0.005),"Realised",IF(N($H996)&gt;0,"Part realised",IF(N($F996)&gt;0,"Advance received","On hand"))))))</f>
        <v/>
      </c>
      <c r="P996" s="79" t="str">
        <f aca="false">IF(AND($V996=1,ISNUMBER($B996)),AsAt-$B996,"")</f>
        <v/>
      </c>
      <c r="Q996" s="78" t="str">
        <f aca="false">IF($V996&lt;&gt;1,"",IF($P996="","No invoice date",IF($P996&lt;=30,"0–30 days",IF($P996&lt;=60,"31–60 days",IF($P996&lt;=90,"61–90 days","Over 90 days")))))</f>
        <v/>
      </c>
      <c r="R996" s="80" t="str">
        <f aca="false">IF($V996=1,ROW(),"")</f>
        <v/>
      </c>
      <c r="S996" s="80" t="str">
        <f aca="false">IF(OR($A996&lt;&gt;"",$E996&lt;&gt;""),IF(TRIM($D996)="","Buyer not noted",TRIM($D996)),"")</f>
        <v/>
      </c>
      <c r="T996" s="80" t="n">
        <f aca="false">IF(AND($V996=1,ISNUMBER($M996)),$M996,0)</f>
        <v>0</v>
      </c>
      <c r="U996" s="80" t="str">
        <f aca="false">IF($V996=1,IF(COUNTIFS($S$7:$S996,$S996,$V$7:$V996,1)=1,SUMIFS($T$7:$T$1006,$S$7:$S$1006,$S996)-ROW()/1000000000,""),"")</f>
        <v/>
      </c>
      <c r="V996" s="80" t="n">
        <f aca="false">IF(OR($O996="On hand",$O996="Advance received",$O996="Part realised",$O996="Amount missing"),1,0)</f>
        <v>0</v>
      </c>
      <c r="W996" s="80" t="str">
        <f aca="false">IF(AND($V996=1,N($F996)&gt;0),ROW(),"")</f>
        <v/>
      </c>
      <c r="X996" s="80" t="n">
        <f aca="false">IF(AND(OR($A996&lt;&gt;"",$E996&lt;&gt;""),$O996&lt;&gt;"Cancelled",ISNUMBER($E996),N($F996)+N($H996)&gt;$E996+0.005),1,0)</f>
        <v>0</v>
      </c>
      <c r="Y996" s="80" t="n">
        <f aca="false">IF(AND(OR($A996&lt;&gt;"",$E996&lt;&gt;""),OR($A996="",$E996="")),1,0)</f>
        <v>0</v>
      </c>
      <c r="Z996" s="80" t="n">
        <f aca="false">IF(AND($A996&lt;&gt;"",COUNTIF($A$7:$A$1006,$A996)&gt;1),1,0)</f>
        <v>0</v>
      </c>
    </row>
    <row r="997" customFormat="false" ht="15" hidden="false" customHeight="false" outlineLevel="0" collapsed="false">
      <c r="A997" s="71"/>
      <c r="B997" s="72"/>
      <c r="C997" s="73"/>
      <c r="D997" s="73"/>
      <c r="E997" s="74"/>
      <c r="F997" s="74"/>
      <c r="G997" s="72"/>
      <c r="H997" s="74"/>
      <c r="I997" s="72"/>
      <c r="J997" s="73"/>
      <c r="K997" s="73"/>
      <c r="L997" s="75" t="str">
        <f aca="false">IF(OR($A997&lt;&gt;"",$E997&lt;&gt;""),N($F997)+N($H997),"")</f>
        <v/>
      </c>
      <c r="M997" s="76" t="str">
        <f aca="false">IF(OR($O997="",$O997="Cancelled",$O997="Amount missing"),"",IF($O997="Realised",0,$E997-N($F997)-N($H997)))</f>
        <v/>
      </c>
      <c r="N997" s="77" t="str">
        <f aca="false">IF(OR($M997="",FX=""),"",$M997*FX)</f>
        <v/>
      </c>
      <c r="O997" s="78" t="str">
        <f aca="false">IF(NOT(OR($A997&lt;&gt;"",$E997&lt;&gt;"")),"",IF($J997="Cancelled","Cancelled",IF($E997="","Amount missing",IF(OR($J997="Settled",$E997-N($F997)-N($H997)&lt;=0.005),"Realised",IF(N($H997)&gt;0,"Part realised",IF(N($F997)&gt;0,"Advance received","On hand"))))))</f>
        <v/>
      </c>
      <c r="P997" s="79" t="str">
        <f aca="false">IF(AND($V997=1,ISNUMBER($B997)),AsAt-$B997,"")</f>
        <v/>
      </c>
      <c r="Q997" s="78" t="str">
        <f aca="false">IF($V997&lt;&gt;1,"",IF($P997="","No invoice date",IF($P997&lt;=30,"0–30 days",IF($P997&lt;=60,"31–60 days",IF($P997&lt;=90,"61–90 days","Over 90 days")))))</f>
        <v/>
      </c>
      <c r="R997" s="80" t="str">
        <f aca="false">IF($V997=1,ROW(),"")</f>
        <v/>
      </c>
      <c r="S997" s="80" t="str">
        <f aca="false">IF(OR($A997&lt;&gt;"",$E997&lt;&gt;""),IF(TRIM($D997)="","Buyer not noted",TRIM($D997)),"")</f>
        <v/>
      </c>
      <c r="T997" s="80" t="n">
        <f aca="false">IF(AND($V997=1,ISNUMBER($M997)),$M997,0)</f>
        <v>0</v>
      </c>
      <c r="U997" s="80" t="str">
        <f aca="false">IF($V997=1,IF(COUNTIFS($S$7:$S997,$S997,$V$7:$V997,1)=1,SUMIFS($T$7:$T$1006,$S$7:$S$1006,$S997)-ROW()/1000000000,""),"")</f>
        <v/>
      </c>
      <c r="V997" s="80" t="n">
        <f aca="false">IF(OR($O997="On hand",$O997="Advance received",$O997="Part realised",$O997="Amount missing"),1,0)</f>
        <v>0</v>
      </c>
      <c r="W997" s="80" t="str">
        <f aca="false">IF(AND($V997=1,N($F997)&gt;0),ROW(),"")</f>
        <v/>
      </c>
      <c r="X997" s="80" t="n">
        <f aca="false">IF(AND(OR($A997&lt;&gt;"",$E997&lt;&gt;""),$O997&lt;&gt;"Cancelled",ISNUMBER($E997),N($F997)+N($H997)&gt;$E997+0.005),1,0)</f>
        <v>0</v>
      </c>
      <c r="Y997" s="80" t="n">
        <f aca="false">IF(AND(OR($A997&lt;&gt;"",$E997&lt;&gt;""),OR($A997="",$E997="")),1,0)</f>
        <v>0</v>
      </c>
      <c r="Z997" s="80" t="n">
        <f aca="false">IF(AND($A997&lt;&gt;"",COUNTIF($A$7:$A$1006,$A997)&gt;1),1,0)</f>
        <v>0</v>
      </c>
    </row>
    <row r="998" customFormat="false" ht="15" hidden="false" customHeight="false" outlineLevel="0" collapsed="false">
      <c r="A998" s="71"/>
      <c r="B998" s="72"/>
      <c r="C998" s="73"/>
      <c r="D998" s="73"/>
      <c r="E998" s="74"/>
      <c r="F998" s="74"/>
      <c r="G998" s="72"/>
      <c r="H998" s="74"/>
      <c r="I998" s="72"/>
      <c r="J998" s="73"/>
      <c r="K998" s="73"/>
      <c r="L998" s="75" t="str">
        <f aca="false">IF(OR($A998&lt;&gt;"",$E998&lt;&gt;""),N($F998)+N($H998),"")</f>
        <v/>
      </c>
      <c r="M998" s="76" t="str">
        <f aca="false">IF(OR($O998="",$O998="Cancelled",$O998="Amount missing"),"",IF($O998="Realised",0,$E998-N($F998)-N($H998)))</f>
        <v/>
      </c>
      <c r="N998" s="77" t="str">
        <f aca="false">IF(OR($M998="",FX=""),"",$M998*FX)</f>
        <v/>
      </c>
      <c r="O998" s="78" t="str">
        <f aca="false">IF(NOT(OR($A998&lt;&gt;"",$E998&lt;&gt;"")),"",IF($J998="Cancelled","Cancelled",IF($E998="","Amount missing",IF(OR($J998="Settled",$E998-N($F998)-N($H998)&lt;=0.005),"Realised",IF(N($H998)&gt;0,"Part realised",IF(N($F998)&gt;0,"Advance received","On hand"))))))</f>
        <v/>
      </c>
      <c r="P998" s="79" t="str">
        <f aca="false">IF(AND($V998=1,ISNUMBER($B998)),AsAt-$B998,"")</f>
        <v/>
      </c>
      <c r="Q998" s="78" t="str">
        <f aca="false">IF($V998&lt;&gt;1,"",IF($P998="","No invoice date",IF($P998&lt;=30,"0–30 days",IF($P998&lt;=60,"31–60 days",IF($P998&lt;=90,"61–90 days","Over 90 days")))))</f>
        <v/>
      </c>
      <c r="R998" s="80" t="str">
        <f aca="false">IF($V998=1,ROW(),"")</f>
        <v/>
      </c>
      <c r="S998" s="80" t="str">
        <f aca="false">IF(OR($A998&lt;&gt;"",$E998&lt;&gt;""),IF(TRIM($D998)="","Buyer not noted",TRIM($D998)),"")</f>
        <v/>
      </c>
      <c r="T998" s="80" t="n">
        <f aca="false">IF(AND($V998=1,ISNUMBER($M998)),$M998,0)</f>
        <v>0</v>
      </c>
      <c r="U998" s="80" t="str">
        <f aca="false">IF($V998=1,IF(COUNTIFS($S$7:$S998,$S998,$V$7:$V998,1)=1,SUMIFS($T$7:$T$1006,$S$7:$S$1006,$S998)-ROW()/1000000000,""),"")</f>
        <v/>
      </c>
      <c r="V998" s="80" t="n">
        <f aca="false">IF(OR($O998="On hand",$O998="Advance received",$O998="Part realised",$O998="Amount missing"),1,0)</f>
        <v>0</v>
      </c>
      <c r="W998" s="80" t="str">
        <f aca="false">IF(AND($V998=1,N($F998)&gt;0),ROW(),"")</f>
        <v/>
      </c>
      <c r="X998" s="80" t="n">
        <f aca="false">IF(AND(OR($A998&lt;&gt;"",$E998&lt;&gt;""),$O998&lt;&gt;"Cancelled",ISNUMBER($E998),N($F998)+N($H998)&gt;$E998+0.005),1,0)</f>
        <v>0</v>
      </c>
      <c r="Y998" s="80" t="n">
        <f aca="false">IF(AND(OR($A998&lt;&gt;"",$E998&lt;&gt;""),OR($A998="",$E998="")),1,0)</f>
        <v>0</v>
      </c>
      <c r="Z998" s="80" t="n">
        <f aca="false">IF(AND($A998&lt;&gt;"",COUNTIF($A$7:$A$1006,$A998)&gt;1),1,0)</f>
        <v>0</v>
      </c>
    </row>
    <row r="999" customFormat="false" ht="15" hidden="false" customHeight="false" outlineLevel="0" collapsed="false">
      <c r="A999" s="71"/>
      <c r="B999" s="72"/>
      <c r="C999" s="73"/>
      <c r="D999" s="73"/>
      <c r="E999" s="74"/>
      <c r="F999" s="74"/>
      <c r="G999" s="72"/>
      <c r="H999" s="74"/>
      <c r="I999" s="72"/>
      <c r="J999" s="73"/>
      <c r="K999" s="73"/>
      <c r="L999" s="75" t="str">
        <f aca="false">IF(OR($A999&lt;&gt;"",$E999&lt;&gt;""),N($F999)+N($H999),"")</f>
        <v/>
      </c>
      <c r="M999" s="76" t="str">
        <f aca="false">IF(OR($O999="",$O999="Cancelled",$O999="Amount missing"),"",IF($O999="Realised",0,$E999-N($F999)-N($H999)))</f>
        <v/>
      </c>
      <c r="N999" s="77" t="str">
        <f aca="false">IF(OR($M999="",FX=""),"",$M999*FX)</f>
        <v/>
      </c>
      <c r="O999" s="78" t="str">
        <f aca="false">IF(NOT(OR($A999&lt;&gt;"",$E999&lt;&gt;"")),"",IF($J999="Cancelled","Cancelled",IF($E999="","Amount missing",IF(OR($J999="Settled",$E999-N($F999)-N($H999)&lt;=0.005),"Realised",IF(N($H999)&gt;0,"Part realised",IF(N($F999)&gt;0,"Advance received","On hand"))))))</f>
        <v/>
      </c>
      <c r="P999" s="79" t="str">
        <f aca="false">IF(AND($V999=1,ISNUMBER($B999)),AsAt-$B999,"")</f>
        <v/>
      </c>
      <c r="Q999" s="78" t="str">
        <f aca="false">IF($V999&lt;&gt;1,"",IF($P999="","No invoice date",IF($P999&lt;=30,"0–30 days",IF($P999&lt;=60,"31–60 days",IF($P999&lt;=90,"61–90 days","Over 90 days")))))</f>
        <v/>
      </c>
      <c r="R999" s="80" t="str">
        <f aca="false">IF($V999=1,ROW(),"")</f>
        <v/>
      </c>
      <c r="S999" s="80" t="str">
        <f aca="false">IF(OR($A999&lt;&gt;"",$E999&lt;&gt;""),IF(TRIM($D999)="","Buyer not noted",TRIM($D999)),"")</f>
        <v/>
      </c>
      <c r="T999" s="80" t="n">
        <f aca="false">IF(AND($V999=1,ISNUMBER($M999)),$M999,0)</f>
        <v>0</v>
      </c>
      <c r="U999" s="80" t="str">
        <f aca="false">IF($V999=1,IF(COUNTIFS($S$7:$S999,$S999,$V$7:$V999,1)=1,SUMIFS($T$7:$T$1006,$S$7:$S$1006,$S999)-ROW()/1000000000,""),"")</f>
        <v/>
      </c>
      <c r="V999" s="80" t="n">
        <f aca="false">IF(OR($O999="On hand",$O999="Advance received",$O999="Part realised",$O999="Amount missing"),1,0)</f>
        <v>0</v>
      </c>
      <c r="W999" s="80" t="str">
        <f aca="false">IF(AND($V999=1,N($F999)&gt;0),ROW(),"")</f>
        <v/>
      </c>
      <c r="X999" s="80" t="n">
        <f aca="false">IF(AND(OR($A999&lt;&gt;"",$E999&lt;&gt;""),$O999&lt;&gt;"Cancelled",ISNUMBER($E999),N($F999)+N($H999)&gt;$E999+0.005),1,0)</f>
        <v>0</v>
      </c>
      <c r="Y999" s="80" t="n">
        <f aca="false">IF(AND(OR($A999&lt;&gt;"",$E999&lt;&gt;""),OR($A999="",$E999="")),1,0)</f>
        <v>0</v>
      </c>
      <c r="Z999" s="80" t="n">
        <f aca="false">IF(AND($A999&lt;&gt;"",COUNTIF($A$7:$A$1006,$A999)&gt;1),1,0)</f>
        <v>0</v>
      </c>
    </row>
    <row r="1000" customFormat="false" ht="15" hidden="false" customHeight="false" outlineLevel="0" collapsed="false">
      <c r="A1000" s="71"/>
      <c r="B1000" s="72"/>
      <c r="C1000" s="73"/>
      <c r="D1000" s="73"/>
      <c r="E1000" s="74"/>
      <c r="F1000" s="74"/>
      <c r="G1000" s="72"/>
      <c r="H1000" s="74"/>
      <c r="I1000" s="72"/>
      <c r="J1000" s="73"/>
      <c r="K1000" s="73"/>
      <c r="L1000" s="75" t="str">
        <f aca="false">IF(OR($A1000&lt;&gt;"",$E1000&lt;&gt;""),N($F1000)+N($H1000),"")</f>
        <v/>
      </c>
      <c r="M1000" s="76" t="str">
        <f aca="false">IF(OR($O1000="",$O1000="Cancelled",$O1000="Amount missing"),"",IF($O1000="Realised",0,$E1000-N($F1000)-N($H1000)))</f>
        <v/>
      </c>
      <c r="N1000" s="77" t="str">
        <f aca="false">IF(OR($M1000="",FX=""),"",$M1000*FX)</f>
        <v/>
      </c>
      <c r="O1000" s="78" t="str">
        <f aca="false">IF(NOT(OR($A1000&lt;&gt;"",$E1000&lt;&gt;"")),"",IF($J1000="Cancelled","Cancelled",IF($E1000="","Amount missing",IF(OR($J1000="Settled",$E1000-N($F1000)-N($H1000)&lt;=0.005),"Realised",IF(N($H1000)&gt;0,"Part realised",IF(N($F1000)&gt;0,"Advance received","On hand"))))))</f>
        <v/>
      </c>
      <c r="P1000" s="79" t="str">
        <f aca="false">IF(AND($V1000=1,ISNUMBER($B1000)),AsAt-$B1000,"")</f>
        <v/>
      </c>
      <c r="Q1000" s="78" t="str">
        <f aca="false">IF($V1000&lt;&gt;1,"",IF($P1000="","No invoice date",IF($P1000&lt;=30,"0–30 days",IF($P1000&lt;=60,"31–60 days",IF($P1000&lt;=90,"61–90 days","Over 90 days")))))</f>
        <v/>
      </c>
      <c r="R1000" s="80" t="str">
        <f aca="false">IF($V1000=1,ROW(),"")</f>
        <v/>
      </c>
      <c r="S1000" s="80" t="str">
        <f aca="false">IF(OR($A1000&lt;&gt;"",$E1000&lt;&gt;""),IF(TRIM($D1000)="","Buyer not noted",TRIM($D1000)),"")</f>
        <v/>
      </c>
      <c r="T1000" s="80" t="n">
        <f aca="false">IF(AND($V1000=1,ISNUMBER($M1000)),$M1000,0)</f>
        <v>0</v>
      </c>
      <c r="U1000" s="80" t="str">
        <f aca="false">IF($V1000=1,IF(COUNTIFS($S$7:$S1000,$S1000,$V$7:$V1000,1)=1,SUMIFS($T$7:$T$1006,$S$7:$S$1006,$S1000)-ROW()/1000000000,""),"")</f>
        <v/>
      </c>
      <c r="V1000" s="80" t="n">
        <f aca="false">IF(OR($O1000="On hand",$O1000="Advance received",$O1000="Part realised",$O1000="Amount missing"),1,0)</f>
        <v>0</v>
      </c>
      <c r="W1000" s="80" t="str">
        <f aca="false">IF(AND($V1000=1,N($F1000)&gt;0),ROW(),"")</f>
        <v/>
      </c>
      <c r="X1000" s="80" t="n">
        <f aca="false">IF(AND(OR($A1000&lt;&gt;"",$E1000&lt;&gt;""),$O1000&lt;&gt;"Cancelled",ISNUMBER($E1000),N($F1000)+N($H1000)&gt;$E1000+0.005),1,0)</f>
        <v>0</v>
      </c>
      <c r="Y1000" s="80" t="n">
        <f aca="false">IF(AND(OR($A1000&lt;&gt;"",$E1000&lt;&gt;""),OR($A1000="",$E1000="")),1,0)</f>
        <v>0</v>
      </c>
      <c r="Z1000" s="80" t="n">
        <f aca="false">IF(AND($A1000&lt;&gt;"",COUNTIF($A$7:$A$1006,$A1000)&gt;1),1,0)</f>
        <v>0</v>
      </c>
    </row>
    <row r="1001" customFormat="false" ht="15" hidden="false" customHeight="false" outlineLevel="0" collapsed="false">
      <c r="A1001" s="71"/>
      <c r="B1001" s="72"/>
      <c r="C1001" s="73"/>
      <c r="D1001" s="73"/>
      <c r="E1001" s="74"/>
      <c r="F1001" s="74"/>
      <c r="G1001" s="72"/>
      <c r="H1001" s="74"/>
      <c r="I1001" s="72"/>
      <c r="J1001" s="73"/>
      <c r="K1001" s="73"/>
      <c r="L1001" s="75" t="str">
        <f aca="false">IF(OR($A1001&lt;&gt;"",$E1001&lt;&gt;""),N($F1001)+N($H1001),"")</f>
        <v/>
      </c>
      <c r="M1001" s="76" t="str">
        <f aca="false">IF(OR($O1001="",$O1001="Cancelled",$O1001="Amount missing"),"",IF($O1001="Realised",0,$E1001-N($F1001)-N($H1001)))</f>
        <v/>
      </c>
      <c r="N1001" s="77" t="str">
        <f aca="false">IF(OR($M1001="",FX=""),"",$M1001*FX)</f>
        <v/>
      </c>
      <c r="O1001" s="78" t="str">
        <f aca="false">IF(NOT(OR($A1001&lt;&gt;"",$E1001&lt;&gt;"")),"",IF($J1001="Cancelled","Cancelled",IF($E1001="","Amount missing",IF(OR($J1001="Settled",$E1001-N($F1001)-N($H1001)&lt;=0.005),"Realised",IF(N($H1001)&gt;0,"Part realised",IF(N($F1001)&gt;0,"Advance received","On hand"))))))</f>
        <v/>
      </c>
      <c r="P1001" s="79" t="str">
        <f aca="false">IF(AND($V1001=1,ISNUMBER($B1001)),AsAt-$B1001,"")</f>
        <v/>
      </c>
      <c r="Q1001" s="78" t="str">
        <f aca="false">IF($V1001&lt;&gt;1,"",IF($P1001="","No invoice date",IF($P1001&lt;=30,"0–30 days",IF($P1001&lt;=60,"31–60 days",IF($P1001&lt;=90,"61–90 days","Over 90 days")))))</f>
        <v/>
      </c>
      <c r="R1001" s="80" t="str">
        <f aca="false">IF($V1001=1,ROW(),"")</f>
        <v/>
      </c>
      <c r="S1001" s="80" t="str">
        <f aca="false">IF(OR($A1001&lt;&gt;"",$E1001&lt;&gt;""),IF(TRIM($D1001)="","Buyer not noted",TRIM($D1001)),"")</f>
        <v/>
      </c>
      <c r="T1001" s="80" t="n">
        <f aca="false">IF(AND($V1001=1,ISNUMBER($M1001)),$M1001,0)</f>
        <v>0</v>
      </c>
      <c r="U1001" s="80" t="str">
        <f aca="false">IF($V1001=1,IF(COUNTIFS($S$7:$S1001,$S1001,$V$7:$V1001,1)=1,SUMIFS($T$7:$T$1006,$S$7:$S$1006,$S1001)-ROW()/1000000000,""),"")</f>
        <v/>
      </c>
      <c r="V1001" s="80" t="n">
        <f aca="false">IF(OR($O1001="On hand",$O1001="Advance received",$O1001="Part realised",$O1001="Amount missing"),1,0)</f>
        <v>0</v>
      </c>
      <c r="W1001" s="80" t="str">
        <f aca="false">IF(AND($V1001=1,N($F1001)&gt;0),ROW(),"")</f>
        <v/>
      </c>
      <c r="X1001" s="80" t="n">
        <f aca="false">IF(AND(OR($A1001&lt;&gt;"",$E1001&lt;&gt;""),$O1001&lt;&gt;"Cancelled",ISNUMBER($E1001),N($F1001)+N($H1001)&gt;$E1001+0.005),1,0)</f>
        <v>0</v>
      </c>
      <c r="Y1001" s="80" t="n">
        <f aca="false">IF(AND(OR($A1001&lt;&gt;"",$E1001&lt;&gt;""),OR($A1001="",$E1001="")),1,0)</f>
        <v>0</v>
      </c>
      <c r="Z1001" s="80" t="n">
        <f aca="false">IF(AND($A1001&lt;&gt;"",COUNTIF($A$7:$A$1006,$A1001)&gt;1),1,0)</f>
        <v>0</v>
      </c>
    </row>
    <row r="1002" customFormat="false" ht="15" hidden="false" customHeight="false" outlineLevel="0" collapsed="false">
      <c r="A1002" s="71"/>
      <c r="B1002" s="72"/>
      <c r="C1002" s="73"/>
      <c r="D1002" s="73"/>
      <c r="E1002" s="74"/>
      <c r="F1002" s="74"/>
      <c r="G1002" s="72"/>
      <c r="H1002" s="74"/>
      <c r="I1002" s="72"/>
      <c r="J1002" s="73"/>
      <c r="K1002" s="73"/>
      <c r="L1002" s="75" t="str">
        <f aca="false">IF(OR($A1002&lt;&gt;"",$E1002&lt;&gt;""),N($F1002)+N($H1002),"")</f>
        <v/>
      </c>
      <c r="M1002" s="76" t="str">
        <f aca="false">IF(OR($O1002="",$O1002="Cancelled",$O1002="Amount missing"),"",IF($O1002="Realised",0,$E1002-N($F1002)-N($H1002)))</f>
        <v/>
      </c>
      <c r="N1002" s="77" t="str">
        <f aca="false">IF(OR($M1002="",FX=""),"",$M1002*FX)</f>
        <v/>
      </c>
      <c r="O1002" s="78" t="str">
        <f aca="false">IF(NOT(OR($A1002&lt;&gt;"",$E1002&lt;&gt;"")),"",IF($J1002="Cancelled","Cancelled",IF($E1002="","Amount missing",IF(OR($J1002="Settled",$E1002-N($F1002)-N($H1002)&lt;=0.005),"Realised",IF(N($H1002)&gt;0,"Part realised",IF(N($F1002)&gt;0,"Advance received","On hand"))))))</f>
        <v/>
      </c>
      <c r="P1002" s="79" t="str">
        <f aca="false">IF(AND($V1002=1,ISNUMBER($B1002)),AsAt-$B1002,"")</f>
        <v/>
      </c>
      <c r="Q1002" s="78" t="str">
        <f aca="false">IF($V1002&lt;&gt;1,"",IF($P1002="","No invoice date",IF($P1002&lt;=30,"0–30 days",IF($P1002&lt;=60,"31–60 days",IF($P1002&lt;=90,"61–90 days","Over 90 days")))))</f>
        <v/>
      </c>
      <c r="R1002" s="80" t="str">
        <f aca="false">IF($V1002=1,ROW(),"")</f>
        <v/>
      </c>
      <c r="S1002" s="80" t="str">
        <f aca="false">IF(OR($A1002&lt;&gt;"",$E1002&lt;&gt;""),IF(TRIM($D1002)="","Buyer not noted",TRIM($D1002)),"")</f>
        <v/>
      </c>
      <c r="T1002" s="80" t="n">
        <f aca="false">IF(AND($V1002=1,ISNUMBER($M1002)),$M1002,0)</f>
        <v>0</v>
      </c>
      <c r="U1002" s="80" t="str">
        <f aca="false">IF($V1002=1,IF(COUNTIFS($S$7:$S1002,$S1002,$V$7:$V1002,1)=1,SUMIFS($T$7:$T$1006,$S$7:$S$1006,$S1002)-ROW()/1000000000,""),"")</f>
        <v/>
      </c>
      <c r="V1002" s="80" t="n">
        <f aca="false">IF(OR($O1002="On hand",$O1002="Advance received",$O1002="Part realised",$O1002="Amount missing"),1,0)</f>
        <v>0</v>
      </c>
      <c r="W1002" s="80" t="str">
        <f aca="false">IF(AND($V1002=1,N($F1002)&gt;0),ROW(),"")</f>
        <v/>
      </c>
      <c r="X1002" s="80" t="n">
        <f aca="false">IF(AND(OR($A1002&lt;&gt;"",$E1002&lt;&gt;""),$O1002&lt;&gt;"Cancelled",ISNUMBER($E1002),N($F1002)+N($H1002)&gt;$E1002+0.005),1,0)</f>
        <v>0</v>
      </c>
      <c r="Y1002" s="80" t="n">
        <f aca="false">IF(AND(OR($A1002&lt;&gt;"",$E1002&lt;&gt;""),OR($A1002="",$E1002="")),1,0)</f>
        <v>0</v>
      </c>
      <c r="Z1002" s="80" t="n">
        <f aca="false">IF(AND($A1002&lt;&gt;"",COUNTIF($A$7:$A$1006,$A1002)&gt;1),1,0)</f>
        <v>0</v>
      </c>
    </row>
    <row r="1003" customFormat="false" ht="15" hidden="false" customHeight="false" outlineLevel="0" collapsed="false">
      <c r="A1003" s="71"/>
      <c r="B1003" s="72"/>
      <c r="C1003" s="73"/>
      <c r="D1003" s="73"/>
      <c r="E1003" s="74"/>
      <c r="F1003" s="74"/>
      <c r="G1003" s="72"/>
      <c r="H1003" s="74"/>
      <c r="I1003" s="72"/>
      <c r="J1003" s="73"/>
      <c r="K1003" s="73"/>
      <c r="L1003" s="75" t="str">
        <f aca="false">IF(OR($A1003&lt;&gt;"",$E1003&lt;&gt;""),N($F1003)+N($H1003),"")</f>
        <v/>
      </c>
      <c r="M1003" s="76" t="str">
        <f aca="false">IF(OR($O1003="",$O1003="Cancelled",$O1003="Amount missing"),"",IF($O1003="Realised",0,$E1003-N($F1003)-N($H1003)))</f>
        <v/>
      </c>
      <c r="N1003" s="77" t="str">
        <f aca="false">IF(OR($M1003="",FX=""),"",$M1003*FX)</f>
        <v/>
      </c>
      <c r="O1003" s="78" t="str">
        <f aca="false">IF(NOT(OR($A1003&lt;&gt;"",$E1003&lt;&gt;"")),"",IF($J1003="Cancelled","Cancelled",IF($E1003="","Amount missing",IF(OR($J1003="Settled",$E1003-N($F1003)-N($H1003)&lt;=0.005),"Realised",IF(N($H1003)&gt;0,"Part realised",IF(N($F1003)&gt;0,"Advance received","On hand"))))))</f>
        <v/>
      </c>
      <c r="P1003" s="79" t="str">
        <f aca="false">IF(AND($V1003=1,ISNUMBER($B1003)),AsAt-$B1003,"")</f>
        <v/>
      </c>
      <c r="Q1003" s="78" t="str">
        <f aca="false">IF($V1003&lt;&gt;1,"",IF($P1003="","No invoice date",IF($P1003&lt;=30,"0–30 days",IF($P1003&lt;=60,"31–60 days",IF($P1003&lt;=90,"61–90 days","Over 90 days")))))</f>
        <v/>
      </c>
      <c r="R1003" s="80" t="str">
        <f aca="false">IF($V1003=1,ROW(),"")</f>
        <v/>
      </c>
      <c r="S1003" s="80" t="str">
        <f aca="false">IF(OR($A1003&lt;&gt;"",$E1003&lt;&gt;""),IF(TRIM($D1003)="","Buyer not noted",TRIM($D1003)),"")</f>
        <v/>
      </c>
      <c r="T1003" s="80" t="n">
        <f aca="false">IF(AND($V1003=1,ISNUMBER($M1003)),$M1003,0)</f>
        <v>0</v>
      </c>
      <c r="U1003" s="80" t="str">
        <f aca="false">IF($V1003=1,IF(COUNTIFS($S$7:$S1003,$S1003,$V$7:$V1003,1)=1,SUMIFS($T$7:$T$1006,$S$7:$S$1006,$S1003)-ROW()/1000000000,""),"")</f>
        <v/>
      </c>
      <c r="V1003" s="80" t="n">
        <f aca="false">IF(OR($O1003="On hand",$O1003="Advance received",$O1003="Part realised",$O1003="Amount missing"),1,0)</f>
        <v>0</v>
      </c>
      <c r="W1003" s="80" t="str">
        <f aca="false">IF(AND($V1003=1,N($F1003)&gt;0),ROW(),"")</f>
        <v/>
      </c>
      <c r="X1003" s="80" t="n">
        <f aca="false">IF(AND(OR($A1003&lt;&gt;"",$E1003&lt;&gt;""),$O1003&lt;&gt;"Cancelled",ISNUMBER($E1003),N($F1003)+N($H1003)&gt;$E1003+0.005),1,0)</f>
        <v>0</v>
      </c>
      <c r="Y1003" s="80" t="n">
        <f aca="false">IF(AND(OR($A1003&lt;&gt;"",$E1003&lt;&gt;""),OR($A1003="",$E1003="")),1,0)</f>
        <v>0</v>
      </c>
      <c r="Z1003" s="80" t="n">
        <f aca="false">IF(AND($A1003&lt;&gt;"",COUNTIF($A$7:$A$1006,$A1003)&gt;1),1,0)</f>
        <v>0</v>
      </c>
    </row>
    <row r="1004" customFormat="false" ht="15" hidden="false" customHeight="false" outlineLevel="0" collapsed="false">
      <c r="A1004" s="71"/>
      <c r="B1004" s="72"/>
      <c r="C1004" s="73"/>
      <c r="D1004" s="73"/>
      <c r="E1004" s="74"/>
      <c r="F1004" s="74"/>
      <c r="G1004" s="72"/>
      <c r="H1004" s="74"/>
      <c r="I1004" s="72"/>
      <c r="J1004" s="73"/>
      <c r="K1004" s="73"/>
      <c r="L1004" s="75" t="str">
        <f aca="false">IF(OR($A1004&lt;&gt;"",$E1004&lt;&gt;""),N($F1004)+N($H1004),"")</f>
        <v/>
      </c>
      <c r="M1004" s="76" t="str">
        <f aca="false">IF(OR($O1004="",$O1004="Cancelled",$O1004="Amount missing"),"",IF($O1004="Realised",0,$E1004-N($F1004)-N($H1004)))</f>
        <v/>
      </c>
      <c r="N1004" s="77" t="str">
        <f aca="false">IF(OR($M1004="",FX=""),"",$M1004*FX)</f>
        <v/>
      </c>
      <c r="O1004" s="78" t="str">
        <f aca="false">IF(NOT(OR($A1004&lt;&gt;"",$E1004&lt;&gt;"")),"",IF($J1004="Cancelled","Cancelled",IF($E1004="","Amount missing",IF(OR($J1004="Settled",$E1004-N($F1004)-N($H1004)&lt;=0.005),"Realised",IF(N($H1004)&gt;0,"Part realised",IF(N($F1004)&gt;0,"Advance received","On hand"))))))</f>
        <v/>
      </c>
      <c r="P1004" s="79" t="str">
        <f aca="false">IF(AND($V1004=1,ISNUMBER($B1004)),AsAt-$B1004,"")</f>
        <v/>
      </c>
      <c r="Q1004" s="78" t="str">
        <f aca="false">IF($V1004&lt;&gt;1,"",IF($P1004="","No invoice date",IF($P1004&lt;=30,"0–30 days",IF($P1004&lt;=60,"31–60 days",IF($P1004&lt;=90,"61–90 days","Over 90 days")))))</f>
        <v/>
      </c>
      <c r="R1004" s="80" t="str">
        <f aca="false">IF($V1004=1,ROW(),"")</f>
        <v/>
      </c>
      <c r="S1004" s="80" t="str">
        <f aca="false">IF(OR($A1004&lt;&gt;"",$E1004&lt;&gt;""),IF(TRIM($D1004)="","Buyer not noted",TRIM($D1004)),"")</f>
        <v/>
      </c>
      <c r="T1004" s="80" t="n">
        <f aca="false">IF(AND($V1004=1,ISNUMBER($M1004)),$M1004,0)</f>
        <v>0</v>
      </c>
      <c r="U1004" s="80" t="str">
        <f aca="false">IF($V1004=1,IF(COUNTIFS($S$7:$S1004,$S1004,$V$7:$V1004,1)=1,SUMIFS($T$7:$T$1006,$S$7:$S$1006,$S1004)-ROW()/1000000000,""),"")</f>
        <v/>
      </c>
      <c r="V1004" s="80" t="n">
        <f aca="false">IF(OR($O1004="On hand",$O1004="Advance received",$O1004="Part realised",$O1004="Amount missing"),1,0)</f>
        <v>0</v>
      </c>
      <c r="W1004" s="80" t="str">
        <f aca="false">IF(AND($V1004=1,N($F1004)&gt;0),ROW(),"")</f>
        <v/>
      </c>
      <c r="X1004" s="80" t="n">
        <f aca="false">IF(AND(OR($A1004&lt;&gt;"",$E1004&lt;&gt;""),$O1004&lt;&gt;"Cancelled",ISNUMBER($E1004),N($F1004)+N($H1004)&gt;$E1004+0.005),1,0)</f>
        <v>0</v>
      </c>
      <c r="Y1004" s="80" t="n">
        <f aca="false">IF(AND(OR($A1004&lt;&gt;"",$E1004&lt;&gt;""),OR($A1004="",$E1004="")),1,0)</f>
        <v>0</v>
      </c>
      <c r="Z1004" s="80" t="n">
        <f aca="false">IF(AND($A1004&lt;&gt;"",COUNTIF($A$7:$A$1006,$A1004)&gt;1),1,0)</f>
        <v>0</v>
      </c>
    </row>
    <row r="1005" customFormat="false" ht="15" hidden="false" customHeight="false" outlineLevel="0" collapsed="false">
      <c r="A1005" s="71"/>
      <c r="B1005" s="72"/>
      <c r="C1005" s="73"/>
      <c r="D1005" s="73"/>
      <c r="E1005" s="74"/>
      <c r="F1005" s="74"/>
      <c r="G1005" s="72"/>
      <c r="H1005" s="74"/>
      <c r="I1005" s="72"/>
      <c r="J1005" s="73"/>
      <c r="K1005" s="73"/>
      <c r="L1005" s="75" t="str">
        <f aca="false">IF(OR($A1005&lt;&gt;"",$E1005&lt;&gt;""),N($F1005)+N($H1005),"")</f>
        <v/>
      </c>
      <c r="M1005" s="76" t="str">
        <f aca="false">IF(OR($O1005="",$O1005="Cancelled",$O1005="Amount missing"),"",IF($O1005="Realised",0,$E1005-N($F1005)-N($H1005)))</f>
        <v/>
      </c>
      <c r="N1005" s="77" t="str">
        <f aca="false">IF(OR($M1005="",FX=""),"",$M1005*FX)</f>
        <v/>
      </c>
      <c r="O1005" s="78" t="str">
        <f aca="false">IF(NOT(OR($A1005&lt;&gt;"",$E1005&lt;&gt;"")),"",IF($J1005="Cancelled","Cancelled",IF($E1005="","Amount missing",IF(OR($J1005="Settled",$E1005-N($F1005)-N($H1005)&lt;=0.005),"Realised",IF(N($H1005)&gt;0,"Part realised",IF(N($F1005)&gt;0,"Advance received","On hand"))))))</f>
        <v/>
      </c>
      <c r="P1005" s="79" t="str">
        <f aca="false">IF(AND($V1005=1,ISNUMBER($B1005)),AsAt-$B1005,"")</f>
        <v/>
      </c>
      <c r="Q1005" s="78" t="str">
        <f aca="false">IF($V1005&lt;&gt;1,"",IF($P1005="","No invoice date",IF($P1005&lt;=30,"0–30 days",IF($P1005&lt;=60,"31–60 days",IF($P1005&lt;=90,"61–90 days","Over 90 days")))))</f>
        <v/>
      </c>
      <c r="R1005" s="80" t="str">
        <f aca="false">IF($V1005=1,ROW(),"")</f>
        <v/>
      </c>
      <c r="S1005" s="80" t="str">
        <f aca="false">IF(OR($A1005&lt;&gt;"",$E1005&lt;&gt;""),IF(TRIM($D1005)="","Buyer not noted",TRIM($D1005)),"")</f>
        <v/>
      </c>
      <c r="T1005" s="80" t="n">
        <f aca="false">IF(AND($V1005=1,ISNUMBER($M1005)),$M1005,0)</f>
        <v>0</v>
      </c>
      <c r="U1005" s="80" t="str">
        <f aca="false">IF($V1005=1,IF(COUNTIFS($S$7:$S1005,$S1005,$V$7:$V1005,1)=1,SUMIFS($T$7:$T$1006,$S$7:$S$1006,$S1005)-ROW()/1000000000,""),"")</f>
        <v/>
      </c>
      <c r="V1005" s="80" t="n">
        <f aca="false">IF(OR($O1005="On hand",$O1005="Advance received",$O1005="Part realised",$O1005="Amount missing"),1,0)</f>
        <v>0</v>
      </c>
      <c r="W1005" s="80" t="str">
        <f aca="false">IF(AND($V1005=1,N($F1005)&gt;0),ROW(),"")</f>
        <v/>
      </c>
      <c r="X1005" s="80" t="n">
        <f aca="false">IF(AND(OR($A1005&lt;&gt;"",$E1005&lt;&gt;""),$O1005&lt;&gt;"Cancelled",ISNUMBER($E1005),N($F1005)+N($H1005)&gt;$E1005+0.005),1,0)</f>
        <v>0</v>
      </c>
      <c r="Y1005" s="80" t="n">
        <f aca="false">IF(AND(OR($A1005&lt;&gt;"",$E1005&lt;&gt;""),OR($A1005="",$E1005="")),1,0)</f>
        <v>0</v>
      </c>
      <c r="Z1005" s="80" t="n">
        <f aca="false">IF(AND($A1005&lt;&gt;"",COUNTIF($A$7:$A$1006,$A1005)&gt;1),1,0)</f>
        <v>0</v>
      </c>
    </row>
    <row r="1006" customFormat="false" ht="15" hidden="false" customHeight="false" outlineLevel="0" collapsed="false">
      <c r="A1006" s="71"/>
      <c r="B1006" s="72"/>
      <c r="C1006" s="73"/>
      <c r="D1006" s="73"/>
      <c r="E1006" s="74"/>
      <c r="F1006" s="74"/>
      <c r="G1006" s="72"/>
      <c r="H1006" s="74"/>
      <c r="I1006" s="72"/>
      <c r="J1006" s="73"/>
      <c r="K1006" s="73"/>
      <c r="L1006" s="75" t="str">
        <f aca="false">IF(OR($A1006&lt;&gt;"",$E1006&lt;&gt;""),N($F1006)+N($H1006),"")</f>
        <v/>
      </c>
      <c r="M1006" s="76" t="str">
        <f aca="false">IF(OR($O1006="",$O1006="Cancelled",$O1006="Amount missing"),"",IF($O1006="Realised",0,$E1006-N($F1006)-N($H1006)))</f>
        <v/>
      </c>
      <c r="N1006" s="77" t="str">
        <f aca="false">IF(OR($M1006="",FX=""),"",$M1006*FX)</f>
        <v/>
      </c>
      <c r="O1006" s="78" t="str">
        <f aca="false">IF(NOT(OR($A1006&lt;&gt;"",$E1006&lt;&gt;"")),"",IF($J1006="Cancelled","Cancelled",IF($E1006="","Amount missing",IF(OR($J1006="Settled",$E1006-N($F1006)-N($H1006)&lt;=0.005),"Realised",IF(N($H1006)&gt;0,"Part realised",IF(N($F1006)&gt;0,"Advance received","On hand"))))))</f>
        <v/>
      </c>
      <c r="P1006" s="79" t="str">
        <f aca="false">IF(AND($V1006=1,ISNUMBER($B1006)),AsAt-$B1006,"")</f>
        <v/>
      </c>
      <c r="Q1006" s="78" t="str">
        <f aca="false">IF($V1006&lt;&gt;1,"",IF($P1006="","No invoice date",IF($P1006&lt;=30,"0–30 days",IF($P1006&lt;=60,"31–60 days",IF($P1006&lt;=90,"61–90 days","Over 90 days")))))</f>
        <v/>
      </c>
      <c r="R1006" s="80" t="str">
        <f aca="false">IF($V1006=1,ROW(),"")</f>
        <v/>
      </c>
      <c r="S1006" s="80" t="str">
        <f aca="false">IF(OR($A1006&lt;&gt;"",$E1006&lt;&gt;""),IF(TRIM($D1006)="","Buyer not noted",TRIM($D1006)),"")</f>
        <v/>
      </c>
      <c r="T1006" s="80" t="n">
        <f aca="false">IF(AND($V1006=1,ISNUMBER($M1006)),$M1006,0)</f>
        <v>0</v>
      </c>
      <c r="U1006" s="80" t="str">
        <f aca="false">IF($V1006=1,IF(COUNTIFS($S$7:$S1006,$S1006,$V$7:$V1006,1)=1,SUMIFS($T$7:$T$1006,$S$7:$S$1006,$S1006)-ROW()/1000000000,""),"")</f>
        <v/>
      </c>
      <c r="V1006" s="80" t="n">
        <f aca="false">IF(OR($O1006="On hand",$O1006="Advance received",$O1006="Part realised",$O1006="Amount missing"),1,0)</f>
        <v>0</v>
      </c>
      <c r="W1006" s="80" t="str">
        <f aca="false">IF(AND($V1006=1,N($F1006)&gt;0),ROW(),"")</f>
        <v/>
      </c>
      <c r="X1006" s="80" t="n">
        <f aca="false">IF(AND(OR($A1006&lt;&gt;"",$E1006&lt;&gt;""),$O1006&lt;&gt;"Cancelled",ISNUMBER($E1006),N($F1006)+N($H1006)&gt;$E1006+0.005),1,0)</f>
        <v>0</v>
      </c>
      <c r="Y1006" s="80" t="n">
        <f aca="false">IF(AND(OR($A1006&lt;&gt;"",$E1006&lt;&gt;""),OR($A1006="",$E1006="")),1,0)</f>
        <v>0</v>
      </c>
      <c r="Z1006" s="80" t="n">
        <f aca="false">IF(AND($A1006&lt;&gt;"",COUNTIF($A$7:$A$1006,$A1006)&gt;1),1,0)</f>
        <v>0</v>
      </c>
    </row>
  </sheetData>
  <sheetProtection sheet="true" password="df10" objects="true" scenarios="true" autoFilter="false"/>
  <autoFilter ref="A6:Q1006"/>
  <mergeCells count="2">
    <mergeCell ref="A5:K5"/>
    <mergeCell ref="L5:Q5"/>
  </mergeCells>
  <conditionalFormatting sqref="A7:A1006">
    <cfRule type="expression" priority="2" aboveAverage="0" equalAverage="0" bottom="0" percent="0" rank="0" text="" dxfId="9">
      <formula>$Z7=1</formula>
    </cfRule>
    <cfRule type="expression" priority="3" aboveAverage="0" equalAverage="0" bottom="0" percent="0" rank="0" text="" dxfId="10">
      <formula>AND($A7="",$E7&lt;&gt;"")</formula>
    </cfRule>
  </conditionalFormatting>
  <conditionalFormatting sqref="E7:E1006">
    <cfRule type="expression" priority="4" aboveAverage="0" equalAverage="0" bottom="0" percent="0" rank="0" text="" dxfId="10">
      <formula>AND($A7&lt;&gt;"",$E7="")</formula>
    </cfRule>
  </conditionalFormatting>
  <conditionalFormatting sqref="F7:H1006">
    <cfRule type="expression" priority="5" aboveAverage="0" equalAverage="0" bottom="0" percent="0" rank="0" text="" dxfId="10">
      <formula>$X7=1</formula>
    </cfRule>
  </conditionalFormatting>
  <conditionalFormatting sqref="A7:Q1006">
    <cfRule type="expression" priority="6" aboveAverage="0" equalAverage="0" bottom="0" percent="0" rank="0" text="" dxfId="11">
      <formula>$O7="Cancelled"</formula>
    </cfRule>
    <cfRule type="expression" priority="7" aboveAverage="0" equalAverage="0" bottom="0" percent="0" rank="0" text="" dxfId="12">
      <formula>$O7="Realised"</formula>
    </cfRule>
  </conditionalFormatting>
  <conditionalFormatting sqref="O7:O1006">
    <cfRule type="expression" priority="8" aboveAverage="0" equalAverage="0" bottom="0" percent="0" rank="0" text="" dxfId="13">
      <formula>$O7="Realised"</formula>
    </cfRule>
  </conditionalFormatting>
  <conditionalFormatting sqref="P7:Q1006">
    <cfRule type="expression" priority="9" aboveAverage="0" equalAverage="0" bottom="0" percent="0" rank="0" text="" dxfId="14">
      <formula>AND(ISNUMBER($P7),$P7&gt;90)</formula>
    </cfRule>
  </conditionalFormatting>
  <dataValidations count="5">
    <dataValidation allowBlank="true" error="Not on the Lists sheet. Keep it anyway?" errorStyle="warning" operator="between" showDropDown="false" showErrorMessage="true" showInputMessage="false" sqref="C7:C1006" type="list">
      <formula1>ItemList</formula1>
      <formula2>0</formula2>
    </dataValidation>
    <dataValidation allowBlank="true" error="Not on the Lists sheet. Keep it anyway? (Add new buyers there.)" errorStyle="warning" operator="between" showDropDown="false" showErrorMessage="true" showInputMessage="false" sqref="D7:D1006" type="list">
      <formula1>BuyerList</formula1>
      <formula2>0</formula2>
    </dataValidation>
    <dataValidation allowBlank="true" error="Choose Settled or Cancelled, or leave blank" errorStyle="stop" operator="between" showDropDown="false" showErrorMessage="true" showInputMessage="false" sqref="J7:J1006" type="list">
      <formula1>"Settled,Cancelled"</formula1>
      <formula2>0</formula2>
    </dataValidation>
    <dataValidation allowBlank="true" error="Enter an amount in US dollars, 0 or more" errorStyle="stop" operator="greaterThanOrEqual" showDropDown="false" showErrorMessage="true" showInputMessage="false" sqref="E7:F1006 H7:H1006" type="decimal">
      <formula1>0</formula1>
      <formula2>0</formula2>
    </dataValidation>
    <dataValidation allowBlank="true" error="Enter a date, e.g. 30/09/2026" errorStyle="stop" operator="between" showDropDown="false" showErrorMessage="true" showInputMessage="false" sqref="B7:B1006 G7:G1006 I7:I10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1" width="24"/>
    <col collapsed="false" customWidth="true" hidden="false" outlineLevel="0" max="2" min="2" style="92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135</v>
      </c>
    </row>
    <row r="3" customFormat="false" ht="15" hidden="false" customHeight="false" outlineLevel="0" collapsed="false">
      <c r="A3" s="46" t="s">
        <v>136</v>
      </c>
    </row>
    <row r="4" customFormat="false" ht="19.5" hidden="false" customHeight="true" outlineLevel="0" collapsed="false">
      <c r="A4" s="68" t="s">
        <v>71</v>
      </c>
      <c r="B4" s="68" t="s">
        <v>54</v>
      </c>
    </row>
    <row r="5" customFormat="false" ht="15" hidden="false" customHeight="false" outlineLevel="0" collapsed="false">
      <c r="A5" s="71" t="s">
        <v>98</v>
      </c>
      <c r="B5" s="71" t="s">
        <v>109</v>
      </c>
    </row>
    <row r="6" customFormat="false" ht="15" hidden="false" customHeight="false" outlineLevel="0" collapsed="false">
      <c r="A6" s="71" t="s">
        <v>103</v>
      </c>
      <c r="B6" s="71" t="s">
        <v>130</v>
      </c>
    </row>
    <row r="7" customFormat="false" ht="15" hidden="false" customHeight="false" outlineLevel="0" collapsed="false">
      <c r="A7" s="71" t="s">
        <v>137</v>
      </c>
      <c r="B7" s="71" t="s">
        <v>123</v>
      </c>
    </row>
    <row r="8" customFormat="false" ht="15" hidden="false" customHeight="false" outlineLevel="0" collapsed="false">
      <c r="A8" s="71" t="s">
        <v>138</v>
      </c>
      <c r="B8" s="71" t="s">
        <v>128</v>
      </c>
    </row>
    <row r="9" customFormat="false" ht="15" hidden="false" customHeight="false" outlineLevel="0" collapsed="false">
      <c r="A9" s="71" t="s">
        <v>139</v>
      </c>
      <c r="B9" s="71" t="s">
        <v>126</v>
      </c>
    </row>
    <row r="10" customFormat="false" ht="15" hidden="false" customHeight="false" outlineLevel="0" collapsed="false">
      <c r="A10" s="71"/>
      <c r="B10" s="71" t="s">
        <v>133</v>
      </c>
    </row>
    <row r="11" customFormat="false" ht="15" hidden="false" customHeight="false" outlineLevel="0" collapsed="false">
      <c r="A11" s="71"/>
      <c r="B11" s="71" t="s">
        <v>104</v>
      </c>
    </row>
    <row r="12" customFormat="false" ht="15" hidden="false" customHeight="false" outlineLevel="0" collapsed="false">
      <c r="A12" s="71"/>
      <c r="B12" s="71" t="s">
        <v>99</v>
      </c>
    </row>
    <row r="13" customFormat="false" ht="15" hidden="false" customHeight="false" outlineLevel="0" collapsed="false">
      <c r="A13" s="71"/>
      <c r="B13" s="71"/>
    </row>
    <row r="14" customFormat="false" ht="15" hidden="false" customHeight="false" outlineLevel="0" collapsed="false">
      <c r="A14" s="71"/>
      <c r="B14" s="71"/>
    </row>
    <row r="15" customFormat="false" ht="15" hidden="false" customHeight="false" outlineLevel="0" collapsed="false">
      <c r="A15" s="71"/>
      <c r="B15" s="71"/>
    </row>
    <row r="16" customFormat="false" ht="15" hidden="false" customHeight="false" outlineLevel="0" collapsed="false">
      <c r="A16" s="71"/>
      <c r="B16" s="71"/>
    </row>
    <row r="17" customFormat="false" ht="15" hidden="false" customHeight="false" outlineLevel="0" collapsed="false">
      <c r="A17" s="71"/>
      <c r="B17" s="71"/>
    </row>
    <row r="18" customFormat="false" ht="15" hidden="false" customHeight="false" outlineLevel="0" collapsed="false">
      <c r="A18" s="71"/>
      <c r="B18" s="71"/>
    </row>
    <row r="19" customFormat="false" ht="15" hidden="false" customHeight="false" outlineLevel="0" collapsed="false">
      <c r="A19" s="71"/>
      <c r="B19" s="71"/>
    </row>
    <row r="20" customFormat="false" ht="15" hidden="false" customHeight="false" outlineLevel="0" collapsed="false">
      <c r="A20" s="71"/>
      <c r="B20" s="71"/>
    </row>
    <row r="21" customFormat="false" ht="15" hidden="false" customHeight="false" outlineLevel="0" collapsed="false">
      <c r="A21" s="71"/>
      <c r="B21" s="71"/>
    </row>
    <row r="22" customFormat="false" ht="15" hidden="false" customHeight="false" outlineLevel="0" collapsed="false">
      <c r="A22" s="71"/>
      <c r="B22" s="71"/>
    </row>
    <row r="23" customFormat="false" ht="15" hidden="false" customHeight="false" outlineLevel="0" collapsed="false">
      <c r="A23" s="71"/>
      <c r="B23" s="71"/>
    </row>
    <row r="24" customFormat="false" ht="15" hidden="false" customHeight="false" outlineLevel="0" collapsed="false">
      <c r="A24" s="71"/>
      <c r="B24" s="71"/>
    </row>
    <row r="25" customFormat="false" ht="15" hidden="false" customHeight="false" outlineLevel="0" collapsed="false">
      <c r="A25" s="71"/>
      <c r="B25" s="71"/>
    </row>
    <row r="26" customFormat="false" ht="15" hidden="false" customHeight="false" outlineLevel="0" collapsed="false">
      <c r="A26" s="71"/>
      <c r="B26" s="71"/>
    </row>
    <row r="27" customFormat="false" ht="15" hidden="false" customHeight="false" outlineLevel="0" collapsed="false">
      <c r="A27" s="71"/>
      <c r="B27" s="71"/>
    </row>
    <row r="28" customFormat="false" ht="15" hidden="false" customHeight="false" outlineLevel="0" collapsed="false">
      <c r="A28" s="71"/>
      <c r="B28" s="71"/>
    </row>
    <row r="29" customFormat="false" ht="15" hidden="false" customHeight="false" outlineLevel="0" collapsed="false">
      <c r="A29" s="71"/>
      <c r="B29" s="71"/>
    </row>
    <row r="30" customFormat="false" ht="15" hidden="false" customHeight="false" outlineLevel="0" collapsed="false">
      <c r="A30" s="71"/>
      <c r="B30" s="71"/>
    </row>
    <row r="31" customFormat="false" ht="15" hidden="false" customHeight="false" outlineLevel="0" collapsed="false">
      <c r="A31" s="71"/>
      <c r="B31" s="71"/>
    </row>
    <row r="32" customFormat="false" ht="15" hidden="false" customHeight="false" outlineLevel="0" collapsed="false">
      <c r="A32" s="71"/>
      <c r="B32" s="71"/>
    </row>
    <row r="33" customFormat="false" ht="15" hidden="false" customHeight="false" outlineLevel="0" collapsed="false">
      <c r="A33" s="71"/>
      <c r="B33" s="71"/>
    </row>
    <row r="34" customFormat="false" ht="15" hidden="false" customHeight="false" outlineLevel="0" collapsed="false">
      <c r="A34" s="71"/>
      <c r="B34" s="71"/>
    </row>
    <row r="35" customFormat="false" ht="15" hidden="false" customHeight="false" outlineLevel="0" collapsed="false">
      <c r="A35" s="71"/>
      <c r="B35" s="71"/>
    </row>
    <row r="36" customFormat="false" ht="15" hidden="false" customHeight="false" outlineLevel="0" collapsed="false">
      <c r="A36" s="71"/>
      <c r="B36" s="71"/>
    </row>
    <row r="37" customFormat="false" ht="15" hidden="false" customHeight="false" outlineLevel="0" collapsed="false">
      <c r="A37" s="71"/>
      <c r="B37" s="71"/>
    </row>
    <row r="38" customFormat="false" ht="15" hidden="false" customHeight="false" outlineLevel="0" collapsed="false">
      <c r="A38" s="71"/>
      <c r="B38" s="71"/>
    </row>
    <row r="39" customFormat="false" ht="15" hidden="false" customHeight="false" outlineLevel="0" collapsed="false">
      <c r="A39" s="71"/>
      <c r="B39" s="71"/>
    </row>
    <row r="40" customFormat="false" ht="15" hidden="false" customHeight="false" outlineLevel="0" collapsed="false">
      <c r="A40" s="71"/>
      <c r="B40" s="71"/>
    </row>
    <row r="41" customFormat="false" ht="15" hidden="false" customHeight="false" outlineLevel="0" collapsed="false">
      <c r="A41" s="71"/>
      <c r="B41" s="71"/>
    </row>
    <row r="42" customFormat="false" ht="15" hidden="false" customHeight="false" outlineLevel="0" collapsed="false">
      <c r="A42" s="71"/>
      <c r="B42" s="71"/>
    </row>
    <row r="43" customFormat="false" ht="15" hidden="false" customHeight="false" outlineLevel="0" collapsed="false">
      <c r="A43" s="71"/>
      <c r="B43" s="71"/>
    </row>
    <row r="44" customFormat="false" ht="15" hidden="false" customHeight="false" outlineLevel="0" collapsed="false">
      <c r="A44" s="71"/>
      <c r="B44" s="71"/>
    </row>
    <row r="45" customFormat="false" ht="15" hidden="false" customHeight="false" outlineLevel="0" collapsed="false">
      <c r="A45" s="71"/>
      <c r="B45" s="71"/>
    </row>
    <row r="46" customFormat="false" ht="15" hidden="false" customHeight="false" outlineLevel="0" collapsed="false">
      <c r="A46" s="71"/>
      <c r="B46" s="71"/>
    </row>
    <row r="47" customFormat="false" ht="15" hidden="false" customHeight="false" outlineLevel="0" collapsed="false">
      <c r="A47" s="71"/>
      <c r="B47" s="71"/>
    </row>
    <row r="48" customFormat="false" ht="15" hidden="false" customHeight="false" outlineLevel="0" collapsed="false">
      <c r="A48" s="71"/>
      <c r="B48" s="71"/>
    </row>
    <row r="49" customFormat="false" ht="15" hidden="false" customHeight="false" outlineLevel="0" collapsed="false">
      <c r="A49" s="71"/>
      <c r="B49" s="71"/>
    </row>
    <row r="50" customFormat="false" ht="15" hidden="false" customHeight="false" outlineLevel="0" collapsed="false">
      <c r="A50" s="71"/>
      <c r="B50" s="71"/>
    </row>
    <row r="51" customFormat="false" ht="15" hidden="false" customHeight="false" outlineLevel="0" collapsed="false">
      <c r="A51" s="71"/>
      <c r="B51" s="71"/>
    </row>
    <row r="52" customFormat="false" ht="15" hidden="false" customHeight="false" outlineLevel="0" collapsed="false">
      <c r="A52" s="71"/>
      <c r="B52" s="71"/>
    </row>
    <row r="53" customFormat="false" ht="15" hidden="false" customHeight="false" outlineLevel="0" collapsed="false">
      <c r="A53" s="71"/>
      <c r="B53" s="71"/>
    </row>
    <row r="54" customFormat="false" ht="15" hidden="false" customHeight="false" outlineLevel="0" collapsed="false">
      <c r="A54" s="71"/>
      <c r="B54" s="71"/>
    </row>
    <row r="55" customFormat="false" ht="15" hidden="false" customHeight="false" outlineLevel="0" collapsed="false">
      <c r="A55" s="71"/>
      <c r="B55" s="71"/>
    </row>
    <row r="56" customFormat="false" ht="15" hidden="false" customHeight="false" outlineLevel="0" collapsed="false">
      <c r="A56" s="71"/>
      <c r="B56" s="71"/>
    </row>
    <row r="57" customFormat="false" ht="15" hidden="false" customHeight="false" outlineLevel="0" collapsed="false">
      <c r="A57" s="71"/>
      <c r="B57" s="71"/>
    </row>
    <row r="58" customFormat="false" ht="15" hidden="false" customHeight="false" outlineLevel="0" collapsed="false">
      <c r="A58" s="71"/>
      <c r="B58" s="71"/>
    </row>
    <row r="59" customFormat="false" ht="15" hidden="false" customHeight="false" outlineLevel="0" collapsed="false">
      <c r="A59" s="71"/>
      <c r="B59" s="71"/>
    </row>
    <row r="60" customFormat="false" ht="15" hidden="false" customHeight="false" outlineLevel="0" collapsed="false">
      <c r="A60" s="71"/>
      <c r="B60" s="71"/>
    </row>
    <row r="61" customFormat="false" ht="15" hidden="false" customHeight="false" outlineLevel="0" collapsed="false">
      <c r="A61" s="71"/>
      <c r="B61" s="71"/>
    </row>
    <row r="62" customFormat="false" ht="15" hidden="false" customHeight="false" outlineLevel="0" collapsed="false">
      <c r="A62" s="71"/>
      <c r="B62" s="71"/>
    </row>
    <row r="63" customFormat="false" ht="15" hidden="false" customHeight="false" outlineLevel="0" collapsed="false">
      <c r="A63" s="71"/>
      <c r="B63" s="71"/>
    </row>
    <row r="64" customFormat="false" ht="15" hidden="false" customHeight="false" outlineLevel="0" collapsed="false">
      <c r="A64" s="71"/>
      <c r="B64" s="71"/>
    </row>
    <row r="65" customFormat="false" ht="15" hidden="false" customHeight="false" outlineLevel="0" collapsed="false">
      <c r="A65" s="71"/>
      <c r="B65" s="71"/>
    </row>
    <row r="66" customFormat="false" ht="15" hidden="false" customHeight="false" outlineLevel="0" collapsed="false">
      <c r="A66" s="71"/>
      <c r="B66" s="71"/>
    </row>
    <row r="67" customFormat="false" ht="15" hidden="false" customHeight="false" outlineLevel="0" collapsed="false">
      <c r="A67" s="71"/>
      <c r="B67" s="71"/>
    </row>
    <row r="68" customFormat="false" ht="15" hidden="false" customHeight="false" outlineLevel="0" collapsed="false">
      <c r="A68" s="71"/>
      <c r="B68" s="71"/>
    </row>
    <row r="69" customFormat="false" ht="15" hidden="false" customHeight="false" outlineLevel="0" collapsed="false">
      <c r="A69" s="71"/>
      <c r="B69" s="71"/>
    </row>
    <row r="70" customFormat="false" ht="15" hidden="false" customHeight="false" outlineLevel="0" collapsed="false">
      <c r="A70" s="71"/>
      <c r="B70" s="71"/>
    </row>
    <row r="71" customFormat="false" ht="15" hidden="false" customHeight="false" outlineLevel="0" collapsed="false">
      <c r="A71" s="71"/>
      <c r="B71" s="71"/>
    </row>
    <row r="72" customFormat="false" ht="15" hidden="false" customHeight="false" outlineLevel="0" collapsed="false">
      <c r="A72" s="71"/>
      <c r="B72" s="71"/>
    </row>
    <row r="73" customFormat="false" ht="15" hidden="false" customHeight="false" outlineLevel="0" collapsed="false">
      <c r="A73" s="71"/>
      <c r="B73" s="71"/>
    </row>
    <row r="74" customFormat="false" ht="15" hidden="false" customHeight="false" outlineLevel="0" collapsed="false">
      <c r="A74" s="71"/>
      <c r="B74" s="71"/>
    </row>
    <row r="75" customFormat="false" ht="15" hidden="false" customHeight="false" outlineLevel="0" collapsed="false">
      <c r="A75" s="71"/>
      <c r="B75" s="71"/>
    </row>
    <row r="76" customFormat="false" ht="15" hidden="false" customHeight="false" outlineLevel="0" collapsed="false">
      <c r="A76" s="71"/>
      <c r="B76" s="71"/>
    </row>
    <row r="77" customFormat="false" ht="15" hidden="false" customHeight="false" outlineLevel="0" collapsed="false">
      <c r="A77" s="71"/>
      <c r="B77" s="71"/>
    </row>
    <row r="78" customFormat="false" ht="15" hidden="false" customHeight="false" outlineLevel="0" collapsed="false">
      <c r="A78" s="71"/>
      <c r="B78" s="71"/>
    </row>
    <row r="79" customFormat="false" ht="15" hidden="false" customHeight="false" outlineLevel="0" collapsed="false">
      <c r="A79" s="71"/>
      <c r="B79" s="71"/>
    </row>
    <row r="80" customFormat="false" ht="15" hidden="false" customHeight="false" outlineLevel="0" collapsed="false">
      <c r="A80" s="71"/>
      <c r="B80" s="71"/>
    </row>
    <row r="81" customFormat="false" ht="15" hidden="false" customHeight="false" outlineLevel="0" collapsed="false">
      <c r="A81" s="71"/>
      <c r="B81" s="71"/>
    </row>
    <row r="82" customFormat="false" ht="15" hidden="false" customHeight="false" outlineLevel="0" collapsed="false">
      <c r="A82" s="71"/>
      <c r="B82" s="71"/>
    </row>
    <row r="83" customFormat="false" ht="15" hidden="false" customHeight="false" outlineLevel="0" collapsed="false">
      <c r="A83" s="71"/>
      <c r="B83" s="71"/>
    </row>
    <row r="84" customFormat="false" ht="15" hidden="false" customHeight="false" outlineLevel="0" collapsed="false">
      <c r="A84" s="71"/>
      <c r="B84" s="71"/>
    </row>
    <row r="85" customFormat="false" ht="15" hidden="false" customHeight="false" outlineLevel="0" collapsed="false">
      <c r="A85" s="71"/>
      <c r="B85" s="71"/>
    </row>
    <row r="86" customFormat="false" ht="15" hidden="false" customHeight="false" outlineLevel="0" collapsed="false">
      <c r="A86" s="71"/>
      <c r="B86" s="71"/>
    </row>
    <row r="87" customFormat="false" ht="15" hidden="false" customHeight="false" outlineLevel="0" collapsed="false">
      <c r="A87" s="71"/>
      <c r="B87" s="71"/>
    </row>
    <row r="88" customFormat="false" ht="15" hidden="false" customHeight="false" outlineLevel="0" collapsed="false">
      <c r="A88" s="71"/>
      <c r="B88" s="71"/>
    </row>
    <row r="89" customFormat="false" ht="15" hidden="false" customHeight="false" outlineLevel="0" collapsed="false">
      <c r="A89" s="71"/>
      <c r="B89" s="71"/>
    </row>
    <row r="90" customFormat="false" ht="15" hidden="false" customHeight="false" outlineLevel="0" collapsed="false">
      <c r="A90" s="71"/>
      <c r="B90" s="71"/>
    </row>
    <row r="91" customFormat="false" ht="15" hidden="false" customHeight="false" outlineLevel="0" collapsed="false">
      <c r="A91" s="71"/>
      <c r="B91" s="71"/>
    </row>
    <row r="92" customFormat="false" ht="15" hidden="false" customHeight="false" outlineLevel="0" collapsed="false">
      <c r="A92" s="71"/>
      <c r="B92" s="71"/>
    </row>
    <row r="93" customFormat="false" ht="15" hidden="false" customHeight="false" outlineLevel="0" collapsed="false">
      <c r="A93" s="71"/>
      <c r="B93" s="71"/>
    </row>
    <row r="94" customFormat="false" ht="15" hidden="false" customHeight="false" outlineLevel="0" collapsed="false">
      <c r="A94" s="71"/>
      <c r="B94" s="71"/>
    </row>
    <row r="95" customFormat="false" ht="15" hidden="false" customHeight="false" outlineLevel="0" collapsed="false">
      <c r="A95" s="71"/>
      <c r="B95" s="71"/>
    </row>
    <row r="96" customFormat="false" ht="15" hidden="false" customHeight="false" outlineLevel="0" collapsed="false">
      <c r="A96" s="71"/>
      <c r="B96" s="71"/>
    </row>
    <row r="97" customFormat="false" ht="15" hidden="false" customHeight="false" outlineLevel="0" collapsed="false">
      <c r="A97" s="71"/>
      <c r="B97" s="71"/>
    </row>
    <row r="98" customFormat="false" ht="15" hidden="false" customHeight="false" outlineLevel="0" collapsed="false">
      <c r="A98" s="71"/>
      <c r="B98" s="71"/>
    </row>
    <row r="99" customFormat="false" ht="15" hidden="false" customHeight="false" outlineLevel="0" collapsed="false">
      <c r="A99" s="71"/>
      <c r="B99" s="71"/>
    </row>
    <row r="100" customFormat="false" ht="15" hidden="false" customHeight="false" outlineLevel="0" collapsed="false">
      <c r="A100" s="71"/>
      <c r="B100" s="71"/>
    </row>
    <row r="101" customFormat="false" ht="15" hidden="false" customHeight="false" outlineLevel="0" collapsed="false">
      <c r="A101" s="71"/>
      <c r="B101" s="71"/>
    </row>
    <row r="102" customFormat="false" ht="15" hidden="false" customHeight="false" outlineLevel="0" collapsed="false">
      <c r="A102" s="71"/>
      <c r="B102" s="71"/>
    </row>
    <row r="103" customFormat="false" ht="15" hidden="false" customHeight="false" outlineLevel="0" collapsed="false">
      <c r="A103" s="71"/>
      <c r="B103" s="71"/>
    </row>
    <row r="104" customFormat="false" ht="15" hidden="false" customHeight="false" outlineLevel="0" collapsed="false">
      <c r="A104" s="71"/>
      <c r="B104" s="71"/>
    </row>
  </sheetData>
  <sheetProtection sheet="true" password="df10" objects="true" scenarios="tru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2026-10-03T07:19:19Z</dcterms:created>
  <dc:creator>openpyxl</dc:creator>
  <dc:description/>
  <dc:language>en-US</dc:language>
  <cp:lastModifiedBy/>
  <dcterms:modified xsi:type="dcterms:W3CDTF">2026-10-03T07:19:21Z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