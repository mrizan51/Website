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 workbookPassword="DF10" lockStructure="1"/>
  <bookViews>
    <workbookView showHorizontalScroll="true" showVerticalScroll="true" showSheetTabs="true" xWindow="0" yWindow="0" windowWidth="16384" windowHeight="8192" tabRatio="500" firstSheet="0" activeTab="5"/>
  </bookViews>
  <sheets>
    <sheet name="Read me" sheetId="1" state="visible" r:id="rId3"/>
    <sheet name="Grades" sheetId="2" state="visible" r:id="rId4"/>
    <sheet name="Expenses" sheetId="3" state="visible" r:id="rId5"/>
    <sheet name="Lots" sheetId="4" state="visible" r:id="rId6"/>
    <sheet name="Lot Entry" sheetId="5" state="visible" r:id="rId7"/>
    <sheet name="Lot Report" sheetId="6" state="visible" r:id="rId8"/>
    <sheet name="Summary" sheetId="7" state="visible" r:id="rId9"/>
  </sheets>
  <definedNames>
    <definedName function="false" hidden="false" localSheetId="2" name="_xlnm.Print_Area" vbProcedure="false">Expenses!$A$1:$B$19</definedName>
    <definedName function="false" hidden="false" localSheetId="1" name="_xlnm.Print_Area" vbProcedure="false">Grades!$A$1:$D$45</definedName>
    <definedName function="false" hidden="false" localSheetId="4" name="_xlnm.Print_Area" vbProcedure="false">'Lot Entry'!$A$1:$J$400</definedName>
    <definedName function="false" hidden="false" localSheetId="4" name="_xlnm.Print_Titles" vbProcedure="false">'Lot Entry'!$6:$6</definedName>
    <definedName function="false" hidden="true" localSheetId="4" name="_xlnm._FilterDatabase" vbProcedure="false">'Lot Entry'!$A$6:$J$400</definedName>
    <definedName function="false" hidden="false" localSheetId="5" name="_xlnm.Print_Area" vbProcedure="false">'Lot Report'!$A$1:$G$52</definedName>
    <definedName function="false" hidden="false" localSheetId="3" name="_xlnm.Print_Area" vbProcedure="false">Lots!$A$1:$V$200</definedName>
    <definedName function="false" hidden="false" localSheetId="3" name="_xlnm.Print_Titles" vbProcedure="false">Lots!$7:$7</definedName>
    <definedName function="false" hidden="true" localSheetId="3" name="_xlnm._FilterDatabase" vbProcedure="false">Lots!$A$7:$V$200</definedName>
    <definedName function="false" hidden="false" localSheetId="0" name="_xlnm.Print_Area" vbProcedure="false">'Read me'!$A$1:$B$43</definedName>
    <definedName function="false" hidden="false" localSheetId="6" name="_xlnm.Print_Area" vbProcedure="false">Summary!$A$1:$I$69</definedName>
    <definedName function="false" hidden="false" localSheetId="6" name="_xlnm.Print_Titles" vbProcedure="false">Summary!$6:$6</definedName>
    <definedName function="false" hidden="false" name="GradeList" vbProcedure="false">OFFSET(Grades!$B$6,0,0,MAX(1,COUNTA(Grades!$A$6:$A$45)),1)</definedName>
    <definedName function="false" hidden="false" name="LotList" vbProcedure="false">OFFSET(Lots!$A$8,0,0,MAX(1,COUNTA(Lots!$A$8:$A$200)),1)</definedName>
    <definedName function="false" hidden="false" name="SpecList" vbProcedure="false">OFFSET(Grades!$A$6,0,0,MAX(1,COUNTA(Grades!$A$6:$A$45)),1)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<sst xmlns="http://schemas.openxmlformats.org/spreadsheetml/2006/main" count="240" uniqueCount="166">
  <si>
    <t xml:space="preserve">PREMIER EXPORTS INTERNATIONAL</t>
  </si>
  <si>
    <t xml:space="preserve">LOT ANALYSIS — HOW IT WORKS</t>
  </si>
  <si>
    <t xml:space="preserve">For each lot</t>
  </si>
  <si>
    <t xml:space="preserve">1.  On 'Lots' add a row: lot no, dates, party, raw kg, raw amount, peeling ₹/kg,</t>
  </si>
  <si>
    <t xml:space="preserve">    and the exchange rate. Those eight are all you type.</t>
  </si>
  <si>
    <t xml:space="preserve">2.  On 'Lot Entry' add one row per grade produced: slabs, net kg per slab,</t>
  </si>
  <si>
    <t xml:space="preserve">    gross weight per slab and the sale price per kg.</t>
  </si>
  <si>
    <t xml:space="preserve">3.  On 'Lot Report' put the lot number in the yellow cell.</t>
  </si>
  <si>
    <t xml:space="preserve">4.  File ▸ Export ▸ Create PDF/XPS, "Selected sheet" — the directors' copy.</t>
  </si>
  <si>
    <t xml:space="preserve">The two weights are not the same</t>
  </si>
  <si>
    <t xml:space="preserve">Net kg per slab (usually 2) is what the buyer pays for:  Packed kg = slabs × net.</t>
  </si>
  <si>
    <t xml:space="preserve">Gross weight per slab (2.150, 2.200 …) is the final weight:  F.WT = slabs × gross.</t>
  </si>
  <si>
    <t xml:space="preserve">Yield is measured on F.WT, but the sale is on packed kg — so both are carried.</t>
  </si>
  <si>
    <t xml:space="preserve">The arithmetic</t>
  </si>
  <si>
    <t xml:space="preserve">    Amount (US$)   = Packed kg × Price per kg</t>
  </si>
  <si>
    <t xml:space="preserve">    Yield %        = total F.WT ÷ raw kg purchased</t>
  </si>
  <si>
    <t xml:space="preserve">    Total raw cost = raw amount + peeling ₹/kg × raw kg</t>
  </si>
  <si>
    <t xml:space="preserve">    Expenses       = expense ₹/kg × packed kg</t>
  </si>
  <si>
    <t xml:space="preserve">    Net profit     = sales value ₹ − total raw cost − expenses</t>
  </si>
  <si>
    <t xml:space="preserve">    Profit per kg  = net profit ÷ RAW kg, not finished kg</t>
  </si>
  <si>
    <t xml:space="preserve">Expenses</t>
  </si>
  <si>
    <t xml:space="preserve">'Expenses' holds the standard rate per kg for each head, used by every lot.</t>
  </si>
  <si>
    <t xml:space="preserve">A lot that differs — a different freight, say — can override any single head in</t>
  </si>
  <si>
    <t xml:space="preserve">the grey columns at the right of 'Lots'. Leave an override blank to use the</t>
  </si>
  <si>
    <t xml:space="preserve">standard rate. The report always shows the rate it actually used.</t>
  </si>
  <si>
    <t xml:space="preserve">What can be typed into — everything else is locked</t>
  </si>
  <si>
    <t xml:space="preserve">'Lots' — the eight blue columns and the grey expense overrides.</t>
  </si>
  <si>
    <t xml:space="preserve">'Lot Entry' — the whole grid.   'Grades' and 'Expenses' — the master lists.</t>
  </si>
  <si>
    <t xml:space="preserve">'Lot Report' — the lot number in the yellow cell F5.</t>
  </si>
  <si>
    <t xml:space="preserve">Every calculated cell is protected, and formatting is locked.</t>
  </si>
  <si>
    <t xml:space="preserve">A note on the printed statement</t>
  </si>
  <si>
    <t xml:space="preserve">Seeded from lot C 1374. Every figure on that sheet is reproduced here except the</t>
  </si>
  <si>
    <t xml:space="preserve">expense block: the rates printed there are rounded to two decimals, and the tool</t>
  </si>
  <si>
    <t xml:space="preserve">that produced it used slightly different underlying rates, so its expense total is</t>
  </si>
  <si>
    <t xml:space="preserve">₹107,433.37 where these rates multiply out to ₹107,428.20 — a ₹5.17 difference</t>
  </si>
  <si>
    <t xml:space="preserve">that carries into the profit. This workbook is arithmetically consistent.</t>
  </si>
  <si>
    <t xml:space="preserve">GRADE MASTER — SPEC, GRADE AND THE USUAL WEIGHT AND PRICE</t>
  </si>
  <si>
    <t xml:space="preserve">The dropdown on Lot Entry reads this list. Gross wt and price here are the usual figures — enter the actual ones on each lot line.</t>
  </si>
  <si>
    <t xml:space="preserve">Spec</t>
  </si>
  <si>
    <t xml:space="preserve">Grade</t>
  </si>
  <si>
    <t xml:space="preserve">Gross wt / slab (kg)</t>
  </si>
  <si>
    <t xml:space="preserve">Usual price (US$/kg)</t>
  </si>
  <si>
    <t xml:space="preserve">Key (do not edit)</t>
  </si>
  <si>
    <t xml:space="preserve">PVN PMS</t>
  </si>
  <si>
    <t xml:space="preserve">80/120</t>
  </si>
  <si>
    <t xml:space="preserve">PVN BD</t>
  </si>
  <si>
    <t xml:space="preserve">100/200 PD</t>
  </si>
  <si>
    <t xml:space="preserve">KKD BD</t>
  </si>
  <si>
    <t xml:space="preserve">200/300 PUD</t>
  </si>
  <si>
    <t xml:space="preserve">200/300 PD</t>
  </si>
  <si>
    <t xml:space="preserve">KKD PMS</t>
  </si>
  <si>
    <t xml:space="preserve">300/500</t>
  </si>
  <si>
    <t xml:space="preserve">EU</t>
  </si>
  <si>
    <t xml:space="preserve">100/200</t>
  </si>
  <si>
    <t xml:space="preserve">200/300</t>
  </si>
  <si>
    <t xml:space="preserve">500/800</t>
  </si>
  <si>
    <t xml:space="preserve">BKN</t>
  </si>
  <si>
    <t xml:space="preserve">KKD PMS (CHAINA)</t>
  </si>
  <si>
    <t xml:space="preserve">BRN</t>
  </si>
  <si>
    <t xml:space="preserve">80/12</t>
  </si>
  <si>
    <t xml:space="preserve">100/200 PUD</t>
  </si>
  <si>
    <t xml:space="preserve">EXPENSE HEADS — STANDARD RATE PER KG OF PACKED PRODUCT</t>
  </si>
  <si>
    <t xml:space="preserve">These rates apply to every lot. A lot that differs can override any head on the Lots sheet without changing them here.</t>
  </si>
  <si>
    <t xml:space="preserve">Expense head</t>
  </si>
  <si>
    <t xml:space="preserve">Rate ₹ / kg</t>
  </si>
  <si>
    <t xml:space="preserve">Freezing Charges</t>
  </si>
  <si>
    <t xml:space="preserve">Polythene</t>
  </si>
  <si>
    <t xml:space="preserve">Cartons</t>
  </si>
  <si>
    <t xml:space="preserve">Loading</t>
  </si>
  <si>
    <t xml:space="preserve">C&amp;F Charges</t>
  </si>
  <si>
    <t xml:space="preserve">Freight</t>
  </si>
  <si>
    <t xml:space="preserve">THC</t>
  </si>
  <si>
    <t xml:space="preserve">Shipment Expenses</t>
  </si>
  <si>
    <t xml:space="preserve">Preship Survey</t>
  </si>
  <si>
    <t xml:space="preserve">Nego. Int.</t>
  </si>
  <si>
    <t xml:space="preserve">Neg. Exp.</t>
  </si>
  <si>
    <t xml:space="preserve">Prop. Staff</t>
  </si>
  <si>
    <t xml:space="preserve">Other unseen</t>
  </si>
  <si>
    <t xml:space="preserve">TOTAL</t>
  </si>
  <si>
    <t xml:space="preserve">LOTS — ONE ROW PER RAW-MATERIAL PURCHASE</t>
  </si>
  <si>
    <t xml:space="preserve">Type the eight blue columns. Everything from Peeling Amount rightwards is calculated. Leave an expense override blank to use the standard rate.</t>
  </si>
  <si>
    <t xml:space="preserve">Lot No</t>
  </si>
  <si>
    <t xml:space="preserve">Statement Date</t>
  </si>
  <si>
    <t xml:space="preserve">Purchase Date</t>
  </si>
  <si>
    <t xml:space="preserve">Party</t>
  </si>
  <si>
    <t xml:space="preserve">Supervisor</t>
  </si>
  <si>
    <t xml:space="preserve">Raw Qty (kg)</t>
  </si>
  <si>
    <t xml:space="preserve">Raw Amount (₹)</t>
  </si>
  <si>
    <t xml:space="preserve">Peeling ₹/kg</t>
  </si>
  <si>
    <t xml:space="preserve">Exch. rate US$→₹</t>
  </si>
  <si>
    <t xml:space="preserve">Peeling Amount (₹)</t>
  </si>
  <si>
    <t xml:space="preserve">Total Raw Cost (₹)</t>
  </si>
  <si>
    <t xml:space="preserve">Avg Price /kg (₹)</t>
  </si>
  <si>
    <t xml:space="preserve">Packed (kg)</t>
  </si>
  <si>
    <t xml:space="preserve">F.WT (kg)</t>
  </si>
  <si>
    <t xml:space="preserve">Yield %</t>
  </si>
  <si>
    <t xml:space="preserve">Sales (US$)</t>
  </si>
  <si>
    <t xml:space="preserve">Sales Value (₹)</t>
  </si>
  <si>
    <t xml:space="preserve">Expense ₹/kg</t>
  </si>
  <si>
    <t xml:space="preserve">Expenses (₹)</t>
  </si>
  <si>
    <t xml:space="preserve">Total Cost (₹)</t>
  </si>
  <si>
    <t xml:space="preserve">Profit (₹)</t>
  </si>
  <si>
    <t xml:space="preserve">Profit / raw kg (₹)</t>
  </si>
  <si>
    <t xml:space="preserve">Freezing Charges ovr</t>
  </si>
  <si>
    <t xml:space="preserve">Polythene ovr</t>
  </si>
  <si>
    <t xml:space="preserve">Cartons ovr</t>
  </si>
  <si>
    <t xml:space="preserve">Loading ovr</t>
  </si>
  <si>
    <t xml:space="preserve">C&amp;F Charges ovr</t>
  </si>
  <si>
    <t xml:space="preserve">Freight ovr</t>
  </si>
  <si>
    <t xml:space="preserve">THC ovr</t>
  </si>
  <si>
    <t xml:space="preserve">Shipment Expenses ovr</t>
  </si>
  <si>
    <t xml:space="preserve">Preship Survey ovr</t>
  </si>
  <si>
    <t xml:space="preserve">Nego. Int. ovr</t>
  </si>
  <si>
    <t xml:space="preserve">Neg. Exp. ovr</t>
  </si>
  <si>
    <t xml:space="preserve">Prop. Staff ovr</t>
  </si>
  <si>
    <t xml:space="preserve">Other unseen ovr</t>
  </si>
  <si>
    <t xml:space="preserve">C 1374</t>
  </si>
  <si>
    <t xml:space="preserve">FRIENDS FISHERIES KARWAR</t>
  </si>
  <si>
    <t xml:space="preserve">LOT ENTRY — ONE ROW PER GRADE PRODUCED FROM A LOT</t>
  </si>
  <si>
    <t xml:space="preserve">Pick the lot and the spec/grade, then enter slabs, the net kg per slab (2 unless the buyer differs), the gross weight per slab and the sale price per kg.</t>
  </si>
  <si>
    <t xml:space="preserve">Lines whose lot is not on the Lots sheet:</t>
  </si>
  <si>
    <t xml:space="preserve">← must stay at 0</t>
  </si>
  <si>
    <t xml:space="preserve">Slabs</t>
  </si>
  <si>
    <t xml:space="preserve">Net kg / slab</t>
  </si>
  <si>
    <t xml:space="preserve">Gross wt / slab</t>
  </si>
  <si>
    <t xml:space="preserve">Price (US$/kg)</t>
  </si>
  <si>
    <t xml:space="preserve">Packed kg</t>
  </si>
  <si>
    <t xml:space="preserve">Amount (US$)</t>
  </si>
  <si>
    <t xml:space="preserve">Lot seq (do not edit)</t>
  </si>
  <si>
    <t xml:space="preserve">Premier Exports International</t>
  </si>
  <si>
    <t xml:space="preserve">AP X/453, NH-66 Highway, Chandiroor P.O.,</t>
  </si>
  <si>
    <t xml:space="preserve">Aroor, Alappuzha, Kerala - 688 537, India</t>
  </si>
  <si>
    <t xml:space="preserve">GSTIN 32AADFP3158P1ZZ</t>
  </si>
  <si>
    <t xml:space="preserve">PURCHASE &amp; PROCESSING REPORT</t>
  </si>
  <si>
    <t xml:space="preserve">YIELD AND COST ANALYSIS BY LOT</t>
  </si>
  <si>
    <t xml:space="preserve">LOT NO — TYPE OR PICK</t>
  </si>
  <si>
    <t xml:space="preserve">Purchase date</t>
  </si>
  <si>
    <t xml:space="preserve">Purchases (kg)</t>
  </si>
  <si>
    <t xml:space="preserve">Purchases (₹)</t>
  </si>
  <si>
    <t xml:space="preserve">Peeling @ ₹/kg</t>
  </si>
  <si>
    <t xml:space="preserve">Statement date</t>
  </si>
  <si>
    <t xml:space="preserve">Peeling (₹)</t>
  </si>
  <si>
    <t xml:space="preserve">Total raw cost (₹)</t>
  </si>
  <si>
    <t xml:space="preserve">Average price / kg (₹)</t>
  </si>
  <si>
    <t xml:space="preserve">YIELD</t>
  </si>
  <si>
    <t xml:space="preserve">NET PROFIT / RAW KG</t>
  </si>
  <si>
    <t xml:space="preserve">SALES VALUE (₹)</t>
  </si>
  <si>
    <t xml:space="preserve">NET PROFIT (₹)</t>
  </si>
  <si>
    <t xml:space="preserve">PRODUCTION BY GRADE</t>
  </si>
  <si>
    <t xml:space="preserve">US$/kg</t>
  </si>
  <si>
    <t xml:space="preserve">EXPENSES AND RESULT</t>
  </si>
  <si>
    <t xml:space="preserve">Rate ₹/kg</t>
  </si>
  <si>
    <t xml:space="preserve">Amount (₹)</t>
  </si>
  <si>
    <t xml:space="preserve">Sales value (₹)</t>
  </si>
  <si>
    <t xml:space="preserve">Less: total raw cost (₹)</t>
  </si>
  <si>
    <t xml:space="preserve">Less: expenses (₹)</t>
  </si>
  <si>
    <t xml:space="preserve">Total cost (₹)</t>
  </si>
  <si>
    <t xml:space="preserve">Net profit / raw kg (₹)</t>
  </si>
  <si>
    <t xml:space="preserve">TOTAL EXPENSES</t>
  </si>
  <si>
    <t xml:space="preserve">Yield is F.WT ÷ raw kg. Amount is packed kg × price. Expenses are charged on packed kg. Net profit per kg is over the raw kg purchased.</t>
  </si>
  <si>
    <t xml:space="preserve">ALL LOTS — YIELD AND PROFIT</t>
  </si>
  <si>
    <t xml:space="preserve">Raw (kg)</t>
  </si>
  <si>
    <t xml:space="preserve">Avg price /kg (₹)</t>
  </si>
  <si>
    <t xml:space="preserve">Net profit (₹)</t>
  </si>
  <si>
    <t xml:space="preserve">ALL LOTS</t>
  </si>
  <si>
    <t xml:space="preserve">Yield across all lots is weighted by raw kg, not a simple average.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</si>
</sst>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0"/>
    <numFmt numFmtId="166" formatCode="&quot;$ &quot;#,##0.00"/>
    <numFmt numFmtId="167" formatCode="#,##0.00"/>
    <numFmt numFmtId="168" formatCode="dd/mm/yyyy"/>
    <numFmt numFmtId="169" formatCode="#,##0"/>
    <numFmt numFmtId="170" formatCode="[&gt;=10000000]&quot;₹ &quot;##\,##\,##\,##0.00;[&gt;=100000]&quot;₹ &quot;##\,##\,##0.00;&quot;₹ &quot;#,##0.00"/>
    <numFmt numFmtId="171" formatCode="[&gt;=100000]##\,##\,##0.0;#,##0.0"/>
    <numFmt numFmtId="172" formatCode="0.00%"/>
    <numFmt numFmtId="173" formatCode="General"/>
    <numFmt numFmtId="174" formatCode="[&gt;=10000000]&quot;₹ &quot;##\,##\,##\,##0;[&gt;=100000]&quot;₹ &quot;##\,##\,##0;&quot;₹ &quot;#,##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65E7A"/>
      <name val="Arial"/>
      <family val="0"/>
      <charset val="1"/>
    </font>
    <font>
      <b val="true"/>
      <sz val="10"/>
      <color rgb="FF5E7C8B"/>
      <name val="Arial"/>
      <family val="0"/>
      <charset val="1"/>
    </font>
    <font>
      <b val="true"/>
      <sz val="10"/>
      <color rgb="FF065E7A"/>
      <name val="Arial"/>
      <family val="0"/>
      <charset val="1"/>
    </font>
    <font>
      <sz val="10"/>
      <color rgb="FF0B2C3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E7C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5E7C8B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E7C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5E7C8B"/>
      <name val="Arial"/>
      <family val="0"/>
      <charset val="1"/>
    </font>
    <font>
      <b val="true"/>
      <sz val="10"/>
      <color rgb="FF0B2C3A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sz val="16"/>
      <color rgb="FF00A2D3"/>
      <name val="Arial"/>
      <family val="0"/>
      <charset val="1"/>
    </font>
    <font>
      <sz val="8"/>
      <color rgb="FF5E7C8B"/>
      <name val="Arial"/>
      <family val="0"/>
      <charset val="1"/>
    </font>
    <font>
      <b val="true"/>
      <sz val="15"/>
      <color rgb="FF0B2C3A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sz val="9"/>
      <color rgb="FF0B2C3A"/>
      <name val="Arial"/>
      <family val="0"/>
      <charset val="1"/>
    </font>
    <font>
      <b val="true"/>
      <sz val="9"/>
      <color rgb="FF0B2C3A"/>
      <name val="Arial"/>
      <family val="0"/>
      <charset val="1"/>
    </font>
    <font>
      <b val="true"/>
      <sz val="8"/>
      <color rgb="FFCFE8F2"/>
      <name val="Arial"/>
      <family val="0"/>
      <charset val="1"/>
    </font>
    <font>
      <b val="true"/>
      <sz val="13"/>
      <color rgb="FF0B2C3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065E7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B3261E"/>
      <name val="Arial"/>
      <family val="0"/>
      <charset val="1"/>
    </font>
    <font>
      <i val="true"/>
      <sz val="8"/>
      <color rgb="FF5E7C8B"/>
      <name val="Arial"/>
      <family val="0"/>
      <charset val="1"/>
    </font>
    <font>
      <b val="true"/>
      <sz val="9"/>
      <color rgb="FFB3261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65E7A"/>
        <bgColor rgb="FF008080"/>
      </patternFill>
    </fill>
    <fill>
      <patternFill patternType="solid">
        <fgColor rgb="FFD9D9D9"/>
        <bgColor rgb="FFCBDFE8"/>
      </patternFill>
    </fill>
    <fill>
      <patternFill patternType="solid">
        <fgColor rgb="FFF2F8FB"/>
        <bgColor rgb="FFE7F3F9"/>
      </patternFill>
    </fill>
    <fill>
      <patternFill patternType="solid">
        <fgColor rgb="FFFFFFFF"/>
        <bgColor rgb="FFF2F8FB"/>
      </patternFill>
    </fill>
    <fill>
      <patternFill patternType="solid">
        <fgColor rgb="FFE7F3F9"/>
        <bgColor rgb="FFF2F8FB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CBDFE8"/>
      </left>
      <right style="thin">
        <color rgb="FFCBDFE8"/>
      </right>
      <top style="thin">
        <color rgb="FFCBDFE8"/>
      </top>
      <bottom style="thin">
        <color rgb="FFCBDFE8"/>
      </bottom>
      <diagonal/>
    </border>
    <border diagonalUp="false" diagonalDown="false">
      <left/>
      <right/>
      <top/>
      <bottom style="medium">
        <color rgb="FF00A2D3"/>
      </bottom>
      <diagonal/>
    </border>
    <border diagonalUp="false" diagonalDown="false">
      <left style="thin">
        <color rgb="FFCBDFE8"/>
      </left>
      <right/>
      <top style="thin">
        <color rgb="FFCBDFE8"/>
      </top>
      <bottom style="thin">
        <color rgb="FFCBDFE8"/>
      </bottom>
      <diagonal/>
    </border>
    <border diagonalUp="false" diagonalDown="false">
      <left style="thin">
        <color rgb="FFCBDFE8"/>
      </left>
      <right style="thin">
        <color rgb="FFCBDFE8"/>
      </right>
      <top style="thin">
        <color rgb="FFCBDFE8"/>
      </top>
      <bottom/>
      <diagonal/>
    </border>
    <border diagonalUp="false" diagonalDown="false">
      <left style="thin">
        <color rgb="FFCBDFE8"/>
      </left>
      <right style="thin">
        <color rgb="FFCBDFE8"/>
      </right>
      <top/>
      <bottom style="thin">
        <color rgb="FFCBDFE8"/>
      </bottom>
      <diagonal/>
    </border>
    <border diagonalUp="false" diagonalDown="false">
      <left/>
      <right/>
      <top style="thin">
        <color rgb="FFCBDFE8"/>
      </top>
      <bottom style="thin">
        <color rgb="FFCBDFE8"/>
      </bottom>
      <diagonal/>
    </border>
    <border diagonalUp="false" diagonalDown="false">
      <left style="thin">
        <color rgb="FFCBDFE8"/>
      </left>
      <right style="thin">
        <color rgb="FFCBDFE8"/>
      </right>
      <top style="medium">
        <color rgb="FF065E7A"/>
      </top>
      <bottom style="thin">
        <color rgb="FFCBDFE8"/>
      </bottom>
      <diagonal/>
    </border>
    <border diagonalUp="false" diagonalDown="false">
      <left/>
      <right/>
      <top style="thin">
        <color rgb="FFCBDF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5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5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2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2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12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9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5" fillId="3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26" fillId="5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26" fillId="5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26" fillId="5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27" fillId="3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8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0" hidden="0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0" hidden="0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0" hidden="0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0" hidden="0"/>
    </xf>
    <xf numFmtId="169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0" hidden="0"/>
    </xf>
    <xf numFmtId="165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0" hidden="0"/>
    </xf>
    <xf numFmtId="165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0" hidden="0"/>
    </xf>
    <xf numFmtId="166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0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65E7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2F8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B2C3A"/>
          <bgColor rgb="FF000000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8D7DA"/>
        </patternFill>
      </fill>
    </dxf>
    <dxf>
      <border diagonalUp="false" diagonalDown="false">
        <left style="thin">
          <color rgb="FFCBDFE8"/>
        </left>
        <right style="thin">
          <color rgb="FFCBDFE8"/>
        </right>
        <top style="thin">
          <color rgb="FFCBDFE8"/>
        </top>
        <bottom style="thin">
          <color rgb="FFCBDFE8"/>
        </bottom>
        <diagonal/>
      </border>
    </dxf>
    <dxf/>
    <dxf>
      <font>
        <name val="Arial"/>
        <charset val="1"/>
        <family val="0"/>
        <b val="1"/>
        <color rgb="FFB3261E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E7A"/>
      <rgbColor rgb="FFD9D9D9"/>
      <rgbColor rgb="FF808080"/>
      <rgbColor rgb="FF9999FF"/>
      <rgbColor rgb="FF993366"/>
      <rgbColor rgb="FFF2F8FB"/>
      <rgbColor rgb="FFE7F3F9"/>
      <rgbColor rgb="FF660066"/>
      <rgbColor rgb="FFFF8080"/>
      <rgbColor rgb="FF0066CC"/>
      <rgbColor rgb="FFCBD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2D3"/>
      <rgbColor rgb="FFCFE8F2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E7C8B"/>
      <rgbColor rgb="FF969696"/>
      <rgbColor rgb="FF0B2C3A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495000</xdr:colOff>
      <xdr:row>0</xdr:row>
      <xdr:rowOff>399600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49500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 t="s">
        <v>7</v>
      </c>
    </row>
    <row r="10" customFormat="false" ht="15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1" customFormat="false" ht="15" hidden="false" customHeight="false" outlineLevel="0" collapsed="false">
      <c r="B21" s="4" t="s">
        <v>17</v>
      </c>
    </row>
    <row r="22" customFormat="false" ht="15" hidden="false" customHeight="false" outlineLevel="0" collapsed="false">
      <c r="B22" s="4" t="s">
        <v>18</v>
      </c>
    </row>
    <row r="23" customFormat="false" ht="15" hidden="false" customHeight="false" outlineLevel="0" collapsed="false">
      <c r="B23" s="4" t="s">
        <v>19</v>
      </c>
    </row>
    <row r="24" customFormat="false" ht="15" hidden="false" customHeight="false" outlineLevel="0" collapsed="false">
      <c r="B24" s="4"/>
    </row>
    <row r="25" customFormat="false" ht="15" hidden="false" customHeight="false" outlineLevel="0" collapsed="false">
      <c r="B25" s="3" t="s">
        <v>20</v>
      </c>
    </row>
    <row r="26" customFormat="false" ht="15" hidden="false" customHeight="false" outlineLevel="0" collapsed="false">
      <c r="B26" s="4" t="s">
        <v>21</v>
      </c>
    </row>
    <row r="27" customFormat="false" ht="15" hidden="false" customHeight="false" outlineLevel="0" collapsed="false">
      <c r="B27" s="4" t="s">
        <v>22</v>
      </c>
    </row>
    <row r="28" customFormat="false" ht="15" hidden="false" customHeight="false" outlineLevel="0" collapsed="false">
      <c r="B28" s="4" t="s">
        <v>23</v>
      </c>
    </row>
    <row r="29" customFormat="false" ht="15" hidden="false" customHeight="false" outlineLevel="0" collapsed="false">
      <c r="B29" s="4" t="s">
        <v>24</v>
      </c>
    </row>
    <row r="30" customFormat="false" ht="15" hidden="false" customHeight="false" outlineLevel="0" collapsed="false">
      <c r="B30" s="4"/>
    </row>
    <row r="31" customFormat="false" ht="15" hidden="false" customHeight="false" outlineLevel="0" collapsed="false">
      <c r="B31" s="3" t="s">
        <v>25</v>
      </c>
    </row>
    <row r="32" customFormat="false" ht="15" hidden="false" customHeight="false" outlineLevel="0" collapsed="false">
      <c r="B32" s="5" t="s">
        <v>26</v>
      </c>
    </row>
    <row r="33" customFormat="false" ht="15" hidden="false" customHeight="false" outlineLevel="0" collapsed="false">
      <c r="B33" s="5" t="s">
        <v>27</v>
      </c>
    </row>
    <row r="34" customFormat="false" ht="15" hidden="false" customHeight="false" outlineLevel="0" collapsed="false">
      <c r="A34" s="6"/>
      <c r="B34" s="5" t="s">
        <v>28</v>
      </c>
    </row>
    <row r="35" customFormat="false" ht="15" hidden="false" customHeight="false" outlineLevel="0" collapsed="false">
      <c r="B35" s="4" t="s">
        <v>29</v>
      </c>
    </row>
    <row r="36" customFormat="false" ht="15" hidden="false" customHeight="false" outlineLevel="0" collapsed="false">
      <c r="B36" s="4"/>
    </row>
    <row r="37" customFormat="false" ht="15" hidden="false" customHeight="false" outlineLevel="0" collapsed="false">
      <c r="B37" s="3" t="s">
        <v>30</v>
      </c>
    </row>
    <row r="38" customFormat="false" ht="15" hidden="false" customHeight="false" outlineLevel="0" collapsed="false">
      <c r="B38" s="4" t="s">
        <v>31</v>
      </c>
    </row>
    <row r="39" customFormat="false" ht="15" hidden="false" customHeight="false" outlineLevel="0" collapsed="false">
      <c r="B39" s="4" t="s">
        <v>32</v>
      </c>
    </row>
    <row r="40" customFormat="false" ht="15" hidden="false" customHeight="false" outlineLevel="0" collapsed="false">
      <c r="B40" s="4" t="s">
        <v>33</v>
      </c>
    </row>
    <row r="41" customFormat="false" ht="15" hidden="false" customHeight="false" outlineLevel="0" collapsed="false">
      <c r="B41" s="4" t="s">
        <v>34</v>
      </c>
    </row>
    <row r="42" customFormat="false" ht="15" hidden="false" customHeight="false" outlineLevel="0" collapsed="false">
      <c r="B42" s="4" t="s">
        <v>35</v>
      </c>
    </row>
  </sheetData>
  <sheetProtection sheet="true" password="df10" objects="true" scenarios="tru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7" t="s">
        <v>37</v>
      </c>
    </row>
    <row r="5" customFormat="false" ht="27.75" hidden="false" customHeight="true" outlineLevel="0" collapsed="false">
      <c r="A5" s="8" t="s">
        <v>38</v>
      </c>
      <c r="B5" s="8" t="s">
        <v>39</v>
      </c>
      <c r="C5" s="9" t="s">
        <v>40</v>
      </c>
      <c r="D5" s="9" t="s">
        <v>41</v>
      </c>
      <c r="E5" s="9"/>
      <c r="F5" s="10" t="s">
        <v>42</v>
      </c>
    </row>
    <row r="6" customFormat="false" ht="15" hidden="false" customHeight="false" outlineLevel="0" collapsed="false">
      <c r="A6" s="11" t="s">
        <v>43</v>
      </c>
      <c r="B6" s="11" t="s">
        <v>44</v>
      </c>
      <c r="C6" s="12" t="n">
        <v>2.15</v>
      </c>
      <c r="D6" s="13" t="n">
        <v>7</v>
      </c>
      <c r="F6" s="14" t="str">
        <f aca="false">IF($A6="","",$A6&amp;"  "&amp;$B6)</f>
        <v>PVN PMS  80/120</v>
      </c>
    </row>
    <row r="7" customFormat="false" ht="15" hidden="false" customHeight="false" outlineLevel="0" collapsed="false">
      <c r="A7" s="15" t="s">
        <v>45</v>
      </c>
      <c r="B7" s="15" t="s">
        <v>46</v>
      </c>
      <c r="C7" s="16" t="n">
        <v>2.2</v>
      </c>
      <c r="D7" s="17" t="n">
        <v>7</v>
      </c>
      <c r="F7" s="14" t="str">
        <f aca="false">IF($A7="","",$A7&amp;"  "&amp;$B7)</f>
        <v>PVN BD  100/200 PD</v>
      </c>
    </row>
    <row r="8" customFormat="false" ht="15" hidden="false" customHeight="false" outlineLevel="0" collapsed="false">
      <c r="A8" s="11" t="s">
        <v>47</v>
      </c>
      <c r="B8" s="11" t="s">
        <v>46</v>
      </c>
      <c r="C8" s="12" t="n">
        <v>2.22</v>
      </c>
      <c r="D8" s="13" t="n">
        <v>7</v>
      </c>
      <c r="F8" s="14" t="str">
        <f aca="false">IF($A8="","",$A8&amp;"  "&amp;$B8)</f>
        <v>KKD BD  100/200 PD</v>
      </c>
    </row>
    <row r="9" customFormat="false" ht="15" hidden="false" customHeight="false" outlineLevel="0" collapsed="false">
      <c r="A9" s="15" t="s">
        <v>45</v>
      </c>
      <c r="B9" s="15" t="s">
        <v>48</v>
      </c>
      <c r="C9" s="16" t="n">
        <v>2.2</v>
      </c>
      <c r="D9" s="17" t="n">
        <v>6</v>
      </c>
      <c r="F9" s="14" t="str">
        <f aca="false">IF($A9="","",$A9&amp;"  "&amp;$B9)</f>
        <v>PVN BD  200/300 PUD</v>
      </c>
    </row>
    <row r="10" customFormat="false" ht="15" hidden="false" customHeight="false" outlineLevel="0" collapsed="false">
      <c r="A10" s="11" t="s">
        <v>47</v>
      </c>
      <c r="B10" s="11" t="s">
        <v>48</v>
      </c>
      <c r="C10" s="12" t="n">
        <v>2.22</v>
      </c>
      <c r="D10" s="13" t="n">
        <v>6</v>
      </c>
      <c r="F10" s="14" t="str">
        <f aca="false">IF($A10="","",$A10&amp;"  "&amp;$B10)</f>
        <v>KKD BD  200/300 PUD</v>
      </c>
    </row>
    <row r="11" customFormat="false" ht="15" hidden="false" customHeight="false" outlineLevel="0" collapsed="false">
      <c r="A11" s="15" t="s">
        <v>43</v>
      </c>
      <c r="B11" s="15" t="s">
        <v>49</v>
      </c>
      <c r="C11" s="16" t="n">
        <v>2.2</v>
      </c>
      <c r="D11" s="17" t="n">
        <v>6.4</v>
      </c>
      <c r="F11" s="14" t="str">
        <f aca="false">IF($A11="","",$A11&amp;"  "&amp;$B11)</f>
        <v>PVN PMS  200/300 PD</v>
      </c>
    </row>
    <row r="12" customFormat="false" ht="15" hidden="false" customHeight="false" outlineLevel="0" collapsed="false">
      <c r="A12" s="11" t="s">
        <v>50</v>
      </c>
      <c r="B12" s="11" t="s">
        <v>49</v>
      </c>
      <c r="C12" s="12" t="n">
        <v>2.22</v>
      </c>
      <c r="D12" s="13" t="n">
        <v>6.4</v>
      </c>
      <c r="F12" s="14" t="str">
        <f aca="false">IF($A12="","",$A12&amp;"  "&amp;$B12)</f>
        <v>KKD PMS  200/300 PD</v>
      </c>
    </row>
    <row r="13" customFormat="false" ht="15" hidden="false" customHeight="false" outlineLevel="0" collapsed="false">
      <c r="A13" s="15" t="s">
        <v>43</v>
      </c>
      <c r="B13" s="15" t="s">
        <v>51</v>
      </c>
      <c r="C13" s="16" t="n">
        <v>2.22</v>
      </c>
      <c r="D13" s="17" t="n">
        <v>6</v>
      </c>
      <c r="F13" s="14" t="str">
        <f aca="false">IF($A13="","",$A13&amp;"  "&amp;$B13)</f>
        <v>PVN PMS  300/500</v>
      </c>
    </row>
    <row r="14" customFormat="false" ht="15" hidden="false" customHeight="false" outlineLevel="0" collapsed="false">
      <c r="A14" s="11" t="s">
        <v>50</v>
      </c>
      <c r="B14" s="11" t="s">
        <v>51</v>
      </c>
      <c r="C14" s="12" t="n">
        <v>2.25</v>
      </c>
      <c r="D14" s="13" t="n">
        <v>6</v>
      </c>
      <c r="F14" s="14" t="str">
        <f aca="false">IF($A14="","",$A14&amp;"  "&amp;$B14)</f>
        <v>KKD PMS  300/500</v>
      </c>
    </row>
    <row r="15" customFormat="false" ht="15" hidden="false" customHeight="false" outlineLevel="0" collapsed="false">
      <c r="A15" s="15" t="s">
        <v>52</v>
      </c>
      <c r="B15" s="15" t="s">
        <v>44</v>
      </c>
      <c r="C15" s="16" t="n">
        <v>2.12</v>
      </c>
      <c r="D15" s="17" t="n">
        <v>4</v>
      </c>
      <c r="F15" s="14" t="str">
        <f aca="false">IF($A15="","",$A15&amp;"  "&amp;$B15)</f>
        <v>EU  80/120</v>
      </c>
    </row>
    <row r="16" customFormat="false" ht="15" hidden="false" customHeight="false" outlineLevel="0" collapsed="false">
      <c r="A16" s="11" t="s">
        <v>52</v>
      </c>
      <c r="B16" s="11" t="s">
        <v>53</v>
      </c>
      <c r="C16" s="12" t="n">
        <v>2.2</v>
      </c>
      <c r="D16" s="13" t="n">
        <v>3.5</v>
      </c>
      <c r="F16" s="14" t="str">
        <f aca="false">IF($A16="","",$A16&amp;"  "&amp;$B16)</f>
        <v>EU  100/200</v>
      </c>
    </row>
    <row r="17" customFormat="false" ht="15" hidden="false" customHeight="false" outlineLevel="0" collapsed="false">
      <c r="A17" s="15" t="s">
        <v>52</v>
      </c>
      <c r="B17" s="15" t="s">
        <v>54</v>
      </c>
      <c r="C17" s="16" t="n">
        <v>2.2</v>
      </c>
      <c r="D17" s="17" t="n">
        <v>3</v>
      </c>
      <c r="F17" s="14" t="str">
        <f aca="false">IF($A17="","",$A17&amp;"  "&amp;$B17)</f>
        <v>EU  200/300</v>
      </c>
    </row>
    <row r="18" customFormat="false" ht="15" hidden="false" customHeight="false" outlineLevel="0" collapsed="false">
      <c r="A18" s="11" t="s">
        <v>52</v>
      </c>
      <c r="B18" s="11" t="s">
        <v>51</v>
      </c>
      <c r="C18" s="12" t="n">
        <v>2.2</v>
      </c>
      <c r="D18" s="13" t="n">
        <v>2.5</v>
      </c>
      <c r="F18" s="14" t="str">
        <f aca="false">IF($A18="","",$A18&amp;"  "&amp;$B18)</f>
        <v>EU  300/500</v>
      </c>
    </row>
    <row r="19" customFormat="false" ht="15" hidden="false" customHeight="false" outlineLevel="0" collapsed="false">
      <c r="A19" s="15" t="s">
        <v>52</v>
      </c>
      <c r="B19" s="15" t="s">
        <v>55</v>
      </c>
      <c r="C19" s="16" t="n">
        <v>2.25</v>
      </c>
      <c r="D19" s="17" t="n">
        <v>3</v>
      </c>
      <c r="F19" s="14" t="str">
        <f aca="false">IF($A19="","",$A19&amp;"  "&amp;$B19)</f>
        <v>EU  500/800</v>
      </c>
    </row>
    <row r="20" customFormat="false" ht="15" hidden="false" customHeight="false" outlineLevel="0" collapsed="false">
      <c r="A20" s="11" t="s">
        <v>52</v>
      </c>
      <c r="B20" s="11" t="s">
        <v>56</v>
      </c>
      <c r="C20" s="12" t="n">
        <v>2.3</v>
      </c>
      <c r="D20" s="13" t="n">
        <v>2.5</v>
      </c>
      <c r="F20" s="14" t="str">
        <f aca="false">IF($A20="","",$A20&amp;"  "&amp;$B20)</f>
        <v>EU  BKN</v>
      </c>
    </row>
    <row r="21" customFormat="false" ht="15" hidden="false" customHeight="false" outlineLevel="0" collapsed="false">
      <c r="A21" s="15" t="s">
        <v>57</v>
      </c>
      <c r="B21" s="15" t="s">
        <v>51</v>
      </c>
      <c r="C21" s="16" t="n">
        <v>2.22</v>
      </c>
      <c r="D21" s="17" t="n">
        <v>4</v>
      </c>
      <c r="F21" s="14" t="str">
        <f aca="false">IF($A21="","",$A21&amp;"  "&amp;$B21)</f>
        <v>KKD PMS (CHAINA)  300/500</v>
      </c>
    </row>
    <row r="22" customFormat="false" ht="15" hidden="false" customHeight="false" outlineLevel="0" collapsed="false">
      <c r="A22" s="11" t="s">
        <v>58</v>
      </c>
      <c r="B22" s="11" t="s">
        <v>59</v>
      </c>
      <c r="C22" s="12" t="n">
        <v>2.2</v>
      </c>
      <c r="D22" s="13" t="n">
        <v>6</v>
      </c>
      <c r="F22" s="14" t="str">
        <f aca="false">IF($A22="","",$A22&amp;"  "&amp;$B22)</f>
        <v>BRN  80/12</v>
      </c>
    </row>
    <row r="23" customFormat="false" ht="15" hidden="false" customHeight="false" outlineLevel="0" collapsed="false">
      <c r="A23" s="15" t="s">
        <v>58</v>
      </c>
      <c r="B23" s="15" t="s">
        <v>53</v>
      </c>
      <c r="C23" s="16" t="n">
        <v>2.2</v>
      </c>
      <c r="D23" s="17" t="n">
        <v>5.5</v>
      </c>
      <c r="F23" s="14" t="str">
        <f aca="false">IF($A23="","",$A23&amp;"  "&amp;$B23)</f>
        <v>BRN  100/200</v>
      </c>
    </row>
    <row r="24" customFormat="false" ht="15" hidden="false" customHeight="false" outlineLevel="0" collapsed="false">
      <c r="A24" s="11" t="s">
        <v>58</v>
      </c>
      <c r="B24" s="11" t="s">
        <v>54</v>
      </c>
      <c r="C24" s="12" t="n">
        <v>2.2</v>
      </c>
      <c r="D24" s="13" t="n">
        <v>5</v>
      </c>
      <c r="F24" s="14" t="str">
        <f aca="false">IF($A24="","",$A24&amp;"  "&amp;$B24)</f>
        <v>BRN  200/300</v>
      </c>
    </row>
    <row r="25" customFormat="false" ht="15" hidden="false" customHeight="false" outlineLevel="0" collapsed="false">
      <c r="A25" s="15" t="s">
        <v>43</v>
      </c>
      <c r="B25" s="15" t="s">
        <v>60</v>
      </c>
      <c r="C25" s="16" t="n">
        <v>2.2</v>
      </c>
      <c r="D25" s="17" t="n">
        <v>6.4</v>
      </c>
      <c r="F25" s="14" t="str">
        <f aca="false">IF($A25="","",$A25&amp;"  "&amp;$B25)</f>
        <v>PVN PMS  100/200 PUD</v>
      </c>
    </row>
    <row r="26" customFormat="false" ht="15" hidden="false" customHeight="false" outlineLevel="0" collapsed="false">
      <c r="A26" s="11"/>
      <c r="B26" s="11"/>
      <c r="C26" s="12"/>
      <c r="D26" s="13"/>
      <c r="F26" s="14" t="str">
        <f aca="false">IF($A26="","",$A26&amp;"  "&amp;$B26)</f>
        <v/>
      </c>
    </row>
    <row r="27" customFormat="false" ht="15" hidden="false" customHeight="false" outlineLevel="0" collapsed="false">
      <c r="A27" s="15"/>
      <c r="B27" s="15"/>
      <c r="C27" s="16"/>
      <c r="D27" s="17"/>
      <c r="F27" s="14" t="str">
        <f aca="false">IF($A27="","",$A27&amp;"  "&amp;$B27)</f>
        <v/>
      </c>
    </row>
    <row r="28" customFormat="false" ht="15" hidden="false" customHeight="false" outlineLevel="0" collapsed="false">
      <c r="A28" s="11"/>
      <c r="B28" s="11"/>
      <c r="C28" s="12"/>
      <c r="D28" s="13"/>
      <c r="F28" s="14" t="str">
        <f aca="false">IF($A28="","",$A28&amp;"  "&amp;$B28)</f>
        <v/>
      </c>
    </row>
    <row r="29" customFormat="false" ht="15" hidden="false" customHeight="false" outlineLevel="0" collapsed="false">
      <c r="A29" s="15"/>
      <c r="B29" s="15"/>
      <c r="C29" s="16"/>
      <c r="D29" s="17"/>
      <c r="F29" s="14" t="str">
        <f aca="false">IF($A29="","",$A29&amp;"  "&amp;$B29)</f>
        <v/>
      </c>
    </row>
    <row r="30" customFormat="false" ht="15" hidden="false" customHeight="false" outlineLevel="0" collapsed="false">
      <c r="A30" s="11"/>
      <c r="B30" s="11"/>
      <c r="C30" s="12"/>
      <c r="D30" s="13"/>
      <c r="F30" s="14" t="str">
        <f aca="false">IF($A30="","",$A30&amp;"  "&amp;$B30)</f>
        <v/>
      </c>
    </row>
    <row r="31" customFormat="false" ht="15" hidden="false" customHeight="false" outlineLevel="0" collapsed="false">
      <c r="A31" s="15"/>
      <c r="B31" s="15"/>
      <c r="C31" s="16"/>
      <c r="D31" s="17"/>
      <c r="F31" s="14" t="str">
        <f aca="false">IF($A31="","",$A31&amp;"  "&amp;$B31)</f>
        <v/>
      </c>
    </row>
    <row r="32" customFormat="false" ht="15" hidden="false" customHeight="false" outlineLevel="0" collapsed="false">
      <c r="A32" s="11"/>
      <c r="B32" s="11"/>
      <c r="C32" s="12"/>
      <c r="D32" s="13"/>
      <c r="F32" s="14" t="str">
        <f aca="false">IF($A32="","",$A32&amp;"  "&amp;$B32)</f>
        <v/>
      </c>
    </row>
    <row r="33" customFormat="false" ht="15" hidden="false" customHeight="false" outlineLevel="0" collapsed="false">
      <c r="A33" s="15"/>
      <c r="B33" s="15"/>
      <c r="C33" s="16"/>
      <c r="D33" s="17"/>
      <c r="F33" s="14" t="str">
        <f aca="false">IF($A33="","",$A33&amp;"  "&amp;$B33)</f>
        <v/>
      </c>
    </row>
    <row r="34" customFormat="false" ht="15" hidden="false" customHeight="false" outlineLevel="0" collapsed="false">
      <c r="A34" s="11"/>
      <c r="B34" s="11"/>
      <c r="C34" s="12"/>
      <c r="D34" s="13"/>
      <c r="F34" s="14" t="str">
        <f aca="false">IF($A34="","",$A34&amp;"  "&amp;$B34)</f>
        <v/>
      </c>
    </row>
    <row r="35" customFormat="false" ht="15" hidden="false" customHeight="false" outlineLevel="0" collapsed="false">
      <c r="A35" s="15"/>
      <c r="B35" s="15"/>
      <c r="C35" s="16"/>
      <c r="D35" s="17"/>
      <c r="F35" s="14" t="str">
        <f aca="false">IF($A35="","",$A35&amp;"  "&amp;$B35)</f>
        <v/>
      </c>
    </row>
    <row r="36" customFormat="false" ht="15" hidden="false" customHeight="false" outlineLevel="0" collapsed="false">
      <c r="A36" s="11"/>
      <c r="B36" s="11"/>
      <c r="C36" s="12"/>
      <c r="D36" s="13"/>
      <c r="F36" s="14" t="str">
        <f aca="false">IF($A36="","",$A36&amp;"  "&amp;$B36)</f>
        <v/>
      </c>
    </row>
    <row r="37" customFormat="false" ht="15" hidden="false" customHeight="false" outlineLevel="0" collapsed="false">
      <c r="A37" s="15"/>
      <c r="B37" s="15"/>
      <c r="C37" s="16"/>
      <c r="D37" s="17"/>
      <c r="F37" s="14" t="str">
        <f aca="false">IF($A37="","",$A37&amp;"  "&amp;$B37)</f>
        <v/>
      </c>
    </row>
    <row r="38" customFormat="false" ht="15" hidden="false" customHeight="false" outlineLevel="0" collapsed="false">
      <c r="A38" s="11"/>
      <c r="B38" s="11"/>
      <c r="C38" s="12"/>
      <c r="D38" s="13"/>
      <c r="F38" s="14" t="str">
        <f aca="false">IF($A38="","",$A38&amp;"  "&amp;$B38)</f>
        <v/>
      </c>
    </row>
    <row r="39" customFormat="false" ht="15" hidden="false" customHeight="false" outlineLevel="0" collapsed="false">
      <c r="A39" s="15"/>
      <c r="B39" s="15"/>
      <c r="C39" s="16"/>
      <c r="D39" s="17"/>
      <c r="F39" s="14" t="str">
        <f aca="false">IF($A39="","",$A39&amp;"  "&amp;$B39)</f>
        <v/>
      </c>
    </row>
    <row r="40" customFormat="false" ht="15" hidden="false" customHeight="false" outlineLevel="0" collapsed="false">
      <c r="A40" s="11"/>
      <c r="B40" s="11"/>
      <c r="C40" s="12"/>
      <c r="D40" s="13"/>
      <c r="F40" s="14" t="str">
        <f aca="false">IF($A40="","",$A40&amp;"  "&amp;$B40)</f>
        <v/>
      </c>
    </row>
    <row r="41" customFormat="false" ht="15" hidden="false" customHeight="false" outlineLevel="0" collapsed="false">
      <c r="A41" s="15"/>
      <c r="B41" s="15"/>
      <c r="C41" s="16"/>
      <c r="D41" s="17"/>
      <c r="F41" s="14" t="str">
        <f aca="false">IF($A41="","",$A41&amp;"  "&amp;$B41)</f>
        <v/>
      </c>
    </row>
    <row r="42" customFormat="false" ht="15" hidden="false" customHeight="false" outlineLevel="0" collapsed="false">
      <c r="A42" s="11"/>
      <c r="B42" s="11"/>
      <c r="C42" s="12"/>
      <c r="D42" s="13"/>
      <c r="F42" s="14" t="str">
        <f aca="false">IF($A42="","",$A42&amp;"  "&amp;$B42)</f>
        <v/>
      </c>
    </row>
    <row r="43" customFormat="false" ht="15" hidden="false" customHeight="false" outlineLevel="0" collapsed="false">
      <c r="A43" s="15"/>
      <c r="B43" s="15"/>
      <c r="C43" s="16"/>
      <c r="D43" s="17"/>
      <c r="F43" s="14" t="str">
        <f aca="false">IF($A43="","",$A43&amp;"  "&amp;$B43)</f>
        <v/>
      </c>
    </row>
    <row r="44" customFormat="false" ht="15" hidden="false" customHeight="false" outlineLevel="0" collapsed="false">
      <c r="A44" s="11"/>
      <c r="B44" s="11"/>
      <c r="C44" s="12"/>
      <c r="D44" s="13"/>
      <c r="F44" s="14" t="str">
        <f aca="false">IF($A44="","",$A44&amp;"  "&amp;$B44)</f>
        <v/>
      </c>
    </row>
    <row r="45" customFormat="false" ht="15" hidden="false" customHeight="false" outlineLevel="0" collapsed="false">
      <c r="A45" s="15"/>
      <c r="B45" s="15"/>
      <c r="C45" s="16"/>
      <c r="D45" s="17"/>
      <c r="F45" s="14" t="str">
        <f aca="false">IF($A45="","",$A45&amp;"  "&amp;$B45)</f>
        <v/>
      </c>
    </row>
  </sheetData>
  <sheetProtection sheet="true" password="df10" objects="true" scenarios="tru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7" t="s">
        <v>62</v>
      </c>
    </row>
    <row r="5" customFormat="false" ht="27.75" hidden="false" customHeight="true" outlineLevel="0" collapsed="false">
      <c r="A5" s="8" t="s">
        <v>63</v>
      </c>
      <c r="B5" s="9" t="s">
        <v>64</v>
      </c>
    </row>
    <row r="6" customFormat="false" ht="15" hidden="false" customHeight="false" outlineLevel="0" collapsed="false">
      <c r="A6" s="18" t="s">
        <v>65</v>
      </c>
      <c r="B6" s="19" t="n">
        <v>15</v>
      </c>
    </row>
    <row r="7" customFormat="false" ht="15" hidden="false" customHeight="false" outlineLevel="0" collapsed="false">
      <c r="A7" s="18" t="s">
        <v>66</v>
      </c>
      <c r="B7" s="19" t="n">
        <v>1.94</v>
      </c>
    </row>
    <row r="8" customFormat="false" ht="15" hidden="false" customHeight="false" outlineLevel="0" collapsed="false">
      <c r="A8" s="18" t="s">
        <v>67</v>
      </c>
      <c r="B8" s="19" t="n">
        <v>2.6</v>
      </c>
    </row>
    <row r="9" customFormat="false" ht="15" hidden="false" customHeight="false" outlineLevel="0" collapsed="false">
      <c r="A9" s="18" t="s">
        <v>68</v>
      </c>
      <c r="B9" s="19" t="n">
        <v>0.15</v>
      </c>
    </row>
    <row r="10" customFormat="false" ht="15" hidden="false" customHeight="false" outlineLevel="0" collapsed="false">
      <c r="A10" s="18" t="s">
        <v>69</v>
      </c>
      <c r="B10" s="19" t="n">
        <v>0.75</v>
      </c>
    </row>
    <row r="11" customFormat="false" ht="15" hidden="false" customHeight="false" outlineLevel="0" collapsed="false">
      <c r="A11" s="18" t="s">
        <v>70</v>
      </c>
      <c r="B11" s="19" t="n">
        <v>10</v>
      </c>
    </row>
    <row r="12" customFormat="false" ht="15" hidden="false" customHeight="false" outlineLevel="0" collapsed="false">
      <c r="A12" s="18" t="s">
        <v>71</v>
      </c>
      <c r="B12" s="19" t="n">
        <v>1.75</v>
      </c>
    </row>
    <row r="13" customFormat="false" ht="15" hidden="false" customHeight="false" outlineLevel="0" collapsed="false">
      <c r="A13" s="18" t="s">
        <v>72</v>
      </c>
      <c r="B13" s="19" t="n">
        <v>0.25</v>
      </c>
    </row>
    <row r="14" customFormat="false" ht="15" hidden="false" customHeight="false" outlineLevel="0" collapsed="false">
      <c r="A14" s="18" t="s">
        <v>73</v>
      </c>
      <c r="B14" s="19" t="n">
        <v>0.06</v>
      </c>
    </row>
    <row r="15" customFormat="false" ht="15" hidden="false" customHeight="false" outlineLevel="0" collapsed="false">
      <c r="A15" s="18" t="s">
        <v>74</v>
      </c>
      <c r="B15" s="19" t="n">
        <v>0.1</v>
      </c>
    </row>
    <row r="16" customFormat="false" ht="15" hidden="false" customHeight="false" outlineLevel="0" collapsed="false">
      <c r="A16" s="18" t="s">
        <v>75</v>
      </c>
      <c r="B16" s="19" t="n">
        <v>0.1</v>
      </c>
    </row>
    <row r="17" customFormat="false" ht="15" hidden="false" customHeight="false" outlineLevel="0" collapsed="false">
      <c r="A17" s="18" t="s">
        <v>76</v>
      </c>
      <c r="B17" s="19" t="n">
        <v>5</v>
      </c>
    </row>
    <row r="18" customFormat="false" ht="15" hidden="false" customHeight="false" outlineLevel="0" collapsed="false">
      <c r="A18" s="18" t="s">
        <v>77</v>
      </c>
      <c r="B18" s="19" t="n">
        <v>2</v>
      </c>
    </row>
    <row r="19" customFormat="false" ht="15" hidden="false" customHeight="false" outlineLevel="0" collapsed="false">
      <c r="A19" s="20" t="s">
        <v>78</v>
      </c>
      <c r="B19" s="21" t="n">
        <f aca="false">SUM(B6:B18)</f>
        <v>39.7</v>
      </c>
    </row>
  </sheetData>
  <sheetProtection sheet="true" password="df10" objects="true" scenarios="tru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15" width="12"/>
    <col collapsed="false" customWidth="true" hidden="false" outlineLevel="0" max="3" min="2" style="116" width="14"/>
    <col collapsed="false" customWidth="true" hidden="false" outlineLevel="0" max="4" min="4" style="117" width="26"/>
    <col collapsed="false" customWidth="true" hidden="false" outlineLevel="0" max="5" min="5" style="118" width="14"/>
    <col collapsed="false" customWidth="true" hidden="false" outlineLevel="0" max="6" min="6" style="119" width="12"/>
    <col collapsed="false" customWidth="true" hidden="false" outlineLevel="0" max="7" min="7" style="120" width="15"/>
    <col collapsed="false" customWidth="true" hidden="false" outlineLevel="0" max="8" min="8" style="121" width="11"/>
    <col collapsed="false" customWidth="true" hidden="false" outlineLevel="0" max="9" min="9" style="122" width="13"/>
    <col collapsed="false" customWidth="true" hidden="false" outlineLevel="0" max="22" min="10" style="123" width="14"/>
    <col collapsed="false" customWidth="true" hidden="false" outlineLevel="0" max="35" min="23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7" t="s">
        <v>80</v>
      </c>
    </row>
    <row r="7" customFormat="false" ht="27.75" hidden="false" customHeight="true" outlineLevel="0" collapsed="false">
      <c r="A7" s="8" t="s">
        <v>81</v>
      </c>
      <c r="B7" s="8" t="s">
        <v>82</v>
      </c>
      <c r="C7" s="8" t="s">
        <v>83</v>
      </c>
      <c r="D7" s="8" t="s">
        <v>84</v>
      </c>
      <c r="E7" s="8" t="s">
        <v>85</v>
      </c>
      <c r="F7" s="9" t="s">
        <v>86</v>
      </c>
      <c r="G7" s="9" t="s">
        <v>87</v>
      </c>
      <c r="H7" s="9" t="s">
        <v>88</v>
      </c>
      <c r="I7" s="9" t="s">
        <v>89</v>
      </c>
      <c r="J7" s="9" t="s">
        <v>90</v>
      </c>
      <c r="K7" s="9" t="s">
        <v>91</v>
      </c>
      <c r="L7" s="9" t="s">
        <v>92</v>
      </c>
      <c r="M7" s="9" t="s">
        <v>93</v>
      </c>
      <c r="N7" s="9" t="s">
        <v>94</v>
      </c>
      <c r="O7" s="9" t="s">
        <v>95</v>
      </c>
      <c r="P7" s="9" t="s">
        <v>96</v>
      </c>
      <c r="Q7" s="9" t="s">
        <v>97</v>
      </c>
      <c r="R7" s="9" t="s">
        <v>98</v>
      </c>
      <c r="S7" s="9" t="s">
        <v>99</v>
      </c>
      <c r="T7" s="9" t="s">
        <v>100</v>
      </c>
      <c r="U7" s="9" t="s">
        <v>101</v>
      </c>
      <c r="V7" s="9" t="s">
        <v>102</v>
      </c>
      <c r="W7" s="22" t="s">
        <v>103</v>
      </c>
      <c r="X7" s="22" t="s">
        <v>104</v>
      </c>
      <c r="Y7" s="22" t="s">
        <v>105</v>
      </c>
      <c r="Z7" s="22" t="s">
        <v>106</v>
      </c>
      <c r="AA7" s="22" t="s">
        <v>107</v>
      </c>
      <c r="AB7" s="22" t="s">
        <v>108</v>
      </c>
      <c r="AC7" s="22" t="s">
        <v>109</v>
      </c>
      <c r="AD7" s="22" t="s">
        <v>110</v>
      </c>
      <c r="AE7" s="22" t="s">
        <v>111</v>
      </c>
      <c r="AF7" s="22" t="s">
        <v>112</v>
      </c>
      <c r="AG7" s="22" t="s">
        <v>113</v>
      </c>
      <c r="AH7" s="22" t="s">
        <v>114</v>
      </c>
      <c r="AI7" s="22" t="s">
        <v>115</v>
      </c>
    </row>
    <row r="8" customFormat="false" ht="15" hidden="false" customHeight="false" outlineLevel="0" collapsed="false">
      <c r="A8" s="23" t="s">
        <v>116</v>
      </c>
      <c r="B8" s="24" t="n">
        <v>46258</v>
      </c>
      <c r="C8" s="24" t="n">
        <v>46253</v>
      </c>
      <c r="D8" s="23" t="s">
        <v>117</v>
      </c>
      <c r="E8" s="23"/>
      <c r="F8" s="25" t="n">
        <v>5991</v>
      </c>
      <c r="G8" s="26" t="n">
        <v>1258110</v>
      </c>
      <c r="H8" s="19" t="n">
        <v>45</v>
      </c>
      <c r="I8" s="19" t="n">
        <v>90</v>
      </c>
      <c r="J8" s="27" t="n">
        <f aca="false">IF($A8="","",$H8*$F8)</f>
        <v>269595</v>
      </c>
      <c r="K8" s="27" t="n">
        <f aca="false">IF($A8="","",$G8+$J8)</f>
        <v>1527705</v>
      </c>
      <c r="L8" s="28" t="n">
        <f aca="false">IF(OR($A8="",$F8=0),"",$K8/$F8)</f>
        <v>255</v>
      </c>
      <c r="M8" s="29" t="n">
        <f aca="false">IF($A8="","",SUMIF('Lot Entry'!$A$7:$A$2000,$A8,'Lot Entry'!$H$7:$H$2000))</f>
        <v>2706</v>
      </c>
      <c r="N8" s="30" t="n">
        <f aca="false">IF($A8="","",SUMIF('Lot Entry'!$A$7:$A$2000,$A8,'Lot Entry'!$I$7:$I$2000))</f>
        <v>2947.85</v>
      </c>
      <c r="O8" s="31" t="n">
        <f aca="false">IF(OR($A8="",$F8=0),"",$N8/$F8)</f>
        <v>0.49204640293774</v>
      </c>
      <c r="P8" s="32" t="n">
        <f aca="false">IF($A8="","",SUMIF('Lot Entry'!$A$7:$A$2000,$A8,'Lot Entry'!$J$7:$J$2000))</f>
        <v>18581</v>
      </c>
      <c r="Q8" s="27" t="n">
        <f aca="false">IF($A8="","",$P8*$I8)</f>
        <v>1672290</v>
      </c>
      <c r="R8" s="28" t="n">
        <f aca="false">IF($A8="","",IF(W8="",Expenses!$B$6,W8)+IF(X8="",Expenses!$B$7,X8)+IF(Y8="",Expenses!$B$8,Y8)+IF(Z8="",Expenses!$B$9,Z8)+IF(AA8="",Expenses!$B$10,AA8)+IF(AB8="",Expenses!$B$11,AB8)+IF(AC8="",Expenses!$B$12,AC8)+IF(AD8="",Expenses!$B$13,AD8)+IF(AE8="",Expenses!$B$14,AE8)+IF(AF8="",Expenses!$B$15,AF8)+IF(AG8="",Expenses!$B$16,AG8)+IF(AH8="",Expenses!$B$17,AH8)+IF(AI8="",Expenses!$B$18,AI8))</f>
        <v>39.7</v>
      </c>
      <c r="S8" s="27" t="n">
        <f aca="false">IF($A8="","",$R8*$M8)</f>
        <v>107428.2</v>
      </c>
      <c r="T8" s="27" t="n">
        <f aca="false">IF($A8="","",$K8+$S8)</f>
        <v>1635133.2</v>
      </c>
      <c r="U8" s="33" t="n">
        <f aca="false">IF($A8="","",$Q8-$T8)</f>
        <v>37156.8000000001</v>
      </c>
      <c r="V8" s="34" t="n">
        <f aca="false">IF(OR($A8="",$F8=0),"",$U8/$F8)</f>
        <v>6.20210315473211</v>
      </c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 customFormat="false" ht="15" hidden="false" customHeight="false" outlineLevel="0" collapsed="false">
      <c r="A9" s="23"/>
      <c r="B9" s="24"/>
      <c r="C9" s="24"/>
      <c r="D9" s="23"/>
      <c r="E9" s="23"/>
      <c r="F9" s="25"/>
      <c r="G9" s="26"/>
      <c r="H9" s="19"/>
      <c r="I9" s="19"/>
      <c r="J9" s="36" t="str">
        <f aca="false">IF($A9="","",$H9*$F9)</f>
        <v/>
      </c>
      <c r="K9" s="36" t="str">
        <f aca="false">IF($A9="","",$G9+$J9)</f>
        <v/>
      </c>
      <c r="L9" s="37" t="str">
        <f aca="false">IF(OR($A9="",$F9=0),"",$K9/$F9)</f>
        <v/>
      </c>
      <c r="M9" s="38" t="str">
        <f aca="false">IF($A9="","",SUMIF('Lot Entry'!$A$7:$A$2000,$A9,'Lot Entry'!$H$7:$H$2000))</f>
        <v/>
      </c>
      <c r="N9" s="39" t="str">
        <f aca="false">IF($A9="","",SUMIF('Lot Entry'!$A$7:$A$2000,$A9,'Lot Entry'!$I$7:$I$2000))</f>
        <v/>
      </c>
      <c r="O9" s="40" t="str">
        <f aca="false">IF(OR($A9="",$F9=0),"",$N9/$F9)</f>
        <v/>
      </c>
      <c r="P9" s="41" t="str">
        <f aca="false">IF($A9="","",SUMIF('Lot Entry'!$A$7:$A$2000,$A9,'Lot Entry'!$J$7:$J$2000))</f>
        <v/>
      </c>
      <c r="Q9" s="36" t="str">
        <f aca="false">IF($A9="","",$P9*$I9)</f>
        <v/>
      </c>
      <c r="R9" s="37" t="str">
        <f aca="false">IF($A9="","",IF(W9="",Expenses!$B$6,W9)+IF(X9="",Expenses!$B$7,X9)+IF(Y9="",Expenses!$B$8,Y9)+IF(Z9="",Expenses!$B$9,Z9)+IF(AA9="",Expenses!$B$10,AA9)+IF(AB9="",Expenses!$B$11,AB9)+IF(AC9="",Expenses!$B$12,AC9)+IF(AD9="",Expenses!$B$13,AD9)+IF(AE9="",Expenses!$B$14,AE9)+IF(AF9="",Expenses!$B$15,AF9)+IF(AG9="",Expenses!$B$16,AG9)+IF(AH9="",Expenses!$B$17,AH9)+IF(AI9="",Expenses!$B$18,AI9))</f>
        <v/>
      </c>
      <c r="S9" s="36" t="str">
        <f aca="false">IF($A9="","",$R9*$M9)</f>
        <v/>
      </c>
      <c r="T9" s="36" t="str">
        <f aca="false">IF($A9="","",$K9+$S9)</f>
        <v/>
      </c>
      <c r="U9" s="42" t="str">
        <f aca="false">IF($A9="","",$Q9-$T9)</f>
        <v/>
      </c>
      <c r="V9" s="43" t="str">
        <f aca="false">IF(OR($A9="",$F9=0),"",$U9/$F9)</f>
        <v/>
      </c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 customFormat="false" ht="15" hidden="false" customHeight="false" outlineLevel="0" collapsed="false">
      <c r="A10" s="23"/>
      <c r="B10" s="24"/>
      <c r="C10" s="24"/>
      <c r="D10" s="23"/>
      <c r="E10" s="23"/>
      <c r="F10" s="25"/>
      <c r="G10" s="26"/>
      <c r="H10" s="19"/>
      <c r="I10" s="19"/>
      <c r="J10" s="27" t="str">
        <f aca="false">IF($A10="","",$H10*$F10)</f>
        <v/>
      </c>
      <c r="K10" s="27" t="str">
        <f aca="false">IF($A10="","",$G10+$J10)</f>
        <v/>
      </c>
      <c r="L10" s="28" t="str">
        <f aca="false">IF(OR($A10="",$F10=0),"",$K10/$F10)</f>
        <v/>
      </c>
      <c r="M10" s="29" t="str">
        <f aca="false">IF($A10="","",SUMIF('Lot Entry'!$A$7:$A$2000,$A10,'Lot Entry'!$H$7:$H$2000))</f>
        <v/>
      </c>
      <c r="N10" s="30" t="str">
        <f aca="false">IF($A10="","",SUMIF('Lot Entry'!$A$7:$A$2000,$A10,'Lot Entry'!$I$7:$I$2000))</f>
        <v/>
      </c>
      <c r="O10" s="31" t="str">
        <f aca="false">IF(OR($A10="",$F10=0),"",$N10/$F10)</f>
        <v/>
      </c>
      <c r="P10" s="32" t="str">
        <f aca="false">IF($A10="","",SUMIF('Lot Entry'!$A$7:$A$2000,$A10,'Lot Entry'!$J$7:$J$2000))</f>
        <v/>
      </c>
      <c r="Q10" s="27" t="str">
        <f aca="false">IF($A10="","",$P10*$I10)</f>
        <v/>
      </c>
      <c r="R10" s="28" t="str">
        <f aca="false">IF($A10="","",IF(W10="",Expenses!$B$6,W10)+IF(X10="",Expenses!$B$7,X10)+IF(Y10="",Expenses!$B$8,Y10)+IF(Z10="",Expenses!$B$9,Z10)+IF(AA10="",Expenses!$B$10,AA10)+IF(AB10="",Expenses!$B$11,AB10)+IF(AC10="",Expenses!$B$12,AC10)+IF(AD10="",Expenses!$B$13,AD10)+IF(AE10="",Expenses!$B$14,AE10)+IF(AF10="",Expenses!$B$15,AF10)+IF(AG10="",Expenses!$B$16,AG10)+IF(AH10="",Expenses!$B$17,AH10)+IF(AI10="",Expenses!$B$18,AI10))</f>
        <v/>
      </c>
      <c r="S10" s="27" t="str">
        <f aca="false">IF($A10="","",$R10*$M10)</f>
        <v/>
      </c>
      <c r="T10" s="27" t="str">
        <f aca="false">IF($A10="","",$K10+$S10)</f>
        <v/>
      </c>
      <c r="U10" s="33" t="str">
        <f aca="false">IF($A10="","",$Q10-$T10)</f>
        <v/>
      </c>
      <c r="V10" s="34" t="str">
        <f aca="false">IF(OR($A10="",$F10=0),"",$U10/$F10)</f>
        <v/>
      </c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 customFormat="false" ht="15" hidden="false" customHeight="false" outlineLevel="0" collapsed="false">
      <c r="A11" s="23"/>
      <c r="B11" s="24"/>
      <c r="C11" s="24"/>
      <c r="D11" s="23"/>
      <c r="E11" s="23"/>
      <c r="F11" s="25"/>
      <c r="G11" s="26"/>
      <c r="H11" s="19"/>
      <c r="I11" s="19"/>
      <c r="J11" s="36" t="str">
        <f aca="false">IF($A11="","",$H11*$F11)</f>
        <v/>
      </c>
      <c r="K11" s="36" t="str">
        <f aca="false">IF($A11="","",$G11+$J11)</f>
        <v/>
      </c>
      <c r="L11" s="37" t="str">
        <f aca="false">IF(OR($A11="",$F11=0),"",$K11/$F11)</f>
        <v/>
      </c>
      <c r="M11" s="38" t="str">
        <f aca="false">IF($A11="","",SUMIF('Lot Entry'!$A$7:$A$2000,$A11,'Lot Entry'!$H$7:$H$2000))</f>
        <v/>
      </c>
      <c r="N11" s="39" t="str">
        <f aca="false">IF($A11="","",SUMIF('Lot Entry'!$A$7:$A$2000,$A11,'Lot Entry'!$I$7:$I$2000))</f>
        <v/>
      </c>
      <c r="O11" s="40" t="str">
        <f aca="false">IF(OR($A11="",$F11=0),"",$N11/$F11)</f>
        <v/>
      </c>
      <c r="P11" s="41" t="str">
        <f aca="false">IF($A11="","",SUMIF('Lot Entry'!$A$7:$A$2000,$A11,'Lot Entry'!$J$7:$J$2000))</f>
        <v/>
      </c>
      <c r="Q11" s="36" t="str">
        <f aca="false">IF($A11="","",$P11*$I11)</f>
        <v/>
      </c>
      <c r="R11" s="37" t="str">
        <f aca="false">IF($A11="","",IF(W11="",Expenses!$B$6,W11)+IF(X11="",Expenses!$B$7,X11)+IF(Y11="",Expenses!$B$8,Y11)+IF(Z11="",Expenses!$B$9,Z11)+IF(AA11="",Expenses!$B$10,AA11)+IF(AB11="",Expenses!$B$11,AB11)+IF(AC11="",Expenses!$B$12,AC11)+IF(AD11="",Expenses!$B$13,AD11)+IF(AE11="",Expenses!$B$14,AE11)+IF(AF11="",Expenses!$B$15,AF11)+IF(AG11="",Expenses!$B$16,AG11)+IF(AH11="",Expenses!$B$17,AH11)+IF(AI11="",Expenses!$B$18,AI11))</f>
        <v/>
      </c>
      <c r="S11" s="36" t="str">
        <f aca="false">IF($A11="","",$R11*$M11)</f>
        <v/>
      </c>
      <c r="T11" s="36" t="str">
        <f aca="false">IF($A11="","",$K11+$S11)</f>
        <v/>
      </c>
      <c r="U11" s="42" t="str">
        <f aca="false">IF($A11="","",$Q11-$T11)</f>
        <v/>
      </c>
      <c r="V11" s="43" t="str">
        <f aca="false">IF(OR($A11="",$F11=0),"",$U11/$F11)</f>
        <v/>
      </c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customFormat="false" ht="15" hidden="false" customHeight="false" outlineLevel="0" collapsed="false">
      <c r="A12" s="23"/>
      <c r="B12" s="24"/>
      <c r="C12" s="24"/>
      <c r="D12" s="23"/>
      <c r="E12" s="23"/>
      <c r="F12" s="25"/>
      <c r="G12" s="26"/>
      <c r="H12" s="19"/>
      <c r="I12" s="19"/>
      <c r="J12" s="27" t="str">
        <f aca="false">IF($A12="","",$H12*$F12)</f>
        <v/>
      </c>
      <c r="K12" s="27" t="str">
        <f aca="false">IF($A12="","",$G12+$J12)</f>
        <v/>
      </c>
      <c r="L12" s="28" t="str">
        <f aca="false">IF(OR($A12="",$F12=0),"",$K12/$F12)</f>
        <v/>
      </c>
      <c r="M12" s="29" t="str">
        <f aca="false">IF($A12="","",SUMIF('Lot Entry'!$A$7:$A$2000,$A12,'Lot Entry'!$H$7:$H$2000))</f>
        <v/>
      </c>
      <c r="N12" s="30" t="str">
        <f aca="false">IF($A12="","",SUMIF('Lot Entry'!$A$7:$A$2000,$A12,'Lot Entry'!$I$7:$I$2000))</f>
        <v/>
      </c>
      <c r="O12" s="31" t="str">
        <f aca="false">IF(OR($A12="",$F12=0),"",$N12/$F12)</f>
        <v/>
      </c>
      <c r="P12" s="32" t="str">
        <f aca="false">IF($A12="","",SUMIF('Lot Entry'!$A$7:$A$2000,$A12,'Lot Entry'!$J$7:$J$2000))</f>
        <v/>
      </c>
      <c r="Q12" s="27" t="str">
        <f aca="false">IF($A12="","",$P12*$I12)</f>
        <v/>
      </c>
      <c r="R12" s="28" t="str">
        <f aca="false">IF($A12="","",IF(W12="",Expenses!$B$6,W12)+IF(X12="",Expenses!$B$7,X12)+IF(Y12="",Expenses!$B$8,Y12)+IF(Z12="",Expenses!$B$9,Z12)+IF(AA12="",Expenses!$B$10,AA12)+IF(AB12="",Expenses!$B$11,AB12)+IF(AC12="",Expenses!$B$12,AC12)+IF(AD12="",Expenses!$B$13,AD12)+IF(AE12="",Expenses!$B$14,AE12)+IF(AF12="",Expenses!$B$15,AF12)+IF(AG12="",Expenses!$B$16,AG12)+IF(AH12="",Expenses!$B$17,AH12)+IF(AI12="",Expenses!$B$18,AI12))</f>
        <v/>
      </c>
      <c r="S12" s="27" t="str">
        <f aca="false">IF($A12="","",$R12*$M12)</f>
        <v/>
      </c>
      <c r="T12" s="27" t="str">
        <f aca="false">IF($A12="","",$K12+$S12)</f>
        <v/>
      </c>
      <c r="U12" s="33" t="str">
        <f aca="false">IF($A12="","",$Q12-$T12)</f>
        <v/>
      </c>
      <c r="V12" s="34" t="str">
        <f aca="false">IF(OR($A12="",$F12=0),"",$U12/$F12)</f>
        <v/>
      </c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 customFormat="false" ht="15" hidden="false" customHeight="false" outlineLevel="0" collapsed="false">
      <c r="A13" s="23"/>
      <c r="B13" s="24"/>
      <c r="C13" s="24"/>
      <c r="D13" s="23"/>
      <c r="E13" s="23"/>
      <c r="F13" s="25"/>
      <c r="G13" s="26"/>
      <c r="H13" s="19"/>
      <c r="I13" s="19"/>
      <c r="J13" s="36" t="str">
        <f aca="false">IF($A13="","",$H13*$F13)</f>
        <v/>
      </c>
      <c r="K13" s="36" t="str">
        <f aca="false">IF($A13="","",$G13+$J13)</f>
        <v/>
      </c>
      <c r="L13" s="37" t="str">
        <f aca="false">IF(OR($A13="",$F13=0),"",$K13/$F13)</f>
        <v/>
      </c>
      <c r="M13" s="38" t="str">
        <f aca="false">IF($A13="","",SUMIF('Lot Entry'!$A$7:$A$2000,$A13,'Lot Entry'!$H$7:$H$2000))</f>
        <v/>
      </c>
      <c r="N13" s="39" t="str">
        <f aca="false">IF($A13="","",SUMIF('Lot Entry'!$A$7:$A$2000,$A13,'Lot Entry'!$I$7:$I$2000))</f>
        <v/>
      </c>
      <c r="O13" s="40" t="str">
        <f aca="false">IF(OR($A13="",$F13=0),"",$N13/$F13)</f>
        <v/>
      </c>
      <c r="P13" s="41" t="str">
        <f aca="false">IF($A13="","",SUMIF('Lot Entry'!$A$7:$A$2000,$A13,'Lot Entry'!$J$7:$J$2000))</f>
        <v/>
      </c>
      <c r="Q13" s="36" t="str">
        <f aca="false">IF($A13="","",$P13*$I13)</f>
        <v/>
      </c>
      <c r="R13" s="37" t="str">
        <f aca="false">IF($A13="","",IF(W13="",Expenses!$B$6,W13)+IF(X13="",Expenses!$B$7,X13)+IF(Y13="",Expenses!$B$8,Y13)+IF(Z13="",Expenses!$B$9,Z13)+IF(AA13="",Expenses!$B$10,AA13)+IF(AB13="",Expenses!$B$11,AB13)+IF(AC13="",Expenses!$B$12,AC13)+IF(AD13="",Expenses!$B$13,AD13)+IF(AE13="",Expenses!$B$14,AE13)+IF(AF13="",Expenses!$B$15,AF13)+IF(AG13="",Expenses!$B$16,AG13)+IF(AH13="",Expenses!$B$17,AH13)+IF(AI13="",Expenses!$B$18,AI13))</f>
        <v/>
      </c>
      <c r="S13" s="36" t="str">
        <f aca="false">IF($A13="","",$R13*$M13)</f>
        <v/>
      </c>
      <c r="T13" s="36" t="str">
        <f aca="false">IF($A13="","",$K13+$S13)</f>
        <v/>
      </c>
      <c r="U13" s="42" t="str">
        <f aca="false">IF($A13="","",$Q13-$T13)</f>
        <v/>
      </c>
      <c r="V13" s="43" t="str">
        <f aca="false">IF(OR($A13="",$F13=0),"",$U13/$F13)</f>
        <v/>
      </c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</row>
    <row r="14" customFormat="false" ht="15" hidden="false" customHeight="false" outlineLevel="0" collapsed="false">
      <c r="A14" s="23"/>
      <c r="B14" s="24"/>
      <c r="C14" s="24"/>
      <c r="D14" s="23"/>
      <c r="E14" s="23"/>
      <c r="F14" s="25"/>
      <c r="G14" s="26"/>
      <c r="H14" s="19"/>
      <c r="I14" s="19"/>
      <c r="J14" s="27" t="str">
        <f aca="false">IF($A14="","",$H14*$F14)</f>
        <v/>
      </c>
      <c r="K14" s="27" t="str">
        <f aca="false">IF($A14="","",$G14+$J14)</f>
        <v/>
      </c>
      <c r="L14" s="28" t="str">
        <f aca="false">IF(OR($A14="",$F14=0),"",$K14/$F14)</f>
        <v/>
      </c>
      <c r="M14" s="29" t="str">
        <f aca="false">IF($A14="","",SUMIF('Lot Entry'!$A$7:$A$2000,$A14,'Lot Entry'!$H$7:$H$2000))</f>
        <v/>
      </c>
      <c r="N14" s="30" t="str">
        <f aca="false">IF($A14="","",SUMIF('Lot Entry'!$A$7:$A$2000,$A14,'Lot Entry'!$I$7:$I$2000))</f>
        <v/>
      </c>
      <c r="O14" s="31" t="str">
        <f aca="false">IF(OR($A14="",$F14=0),"",$N14/$F14)</f>
        <v/>
      </c>
      <c r="P14" s="32" t="str">
        <f aca="false">IF($A14="","",SUMIF('Lot Entry'!$A$7:$A$2000,$A14,'Lot Entry'!$J$7:$J$2000))</f>
        <v/>
      </c>
      <c r="Q14" s="27" t="str">
        <f aca="false">IF($A14="","",$P14*$I14)</f>
        <v/>
      </c>
      <c r="R14" s="28" t="str">
        <f aca="false">IF($A14="","",IF(W14="",Expenses!$B$6,W14)+IF(X14="",Expenses!$B$7,X14)+IF(Y14="",Expenses!$B$8,Y14)+IF(Z14="",Expenses!$B$9,Z14)+IF(AA14="",Expenses!$B$10,AA14)+IF(AB14="",Expenses!$B$11,AB14)+IF(AC14="",Expenses!$B$12,AC14)+IF(AD14="",Expenses!$B$13,AD14)+IF(AE14="",Expenses!$B$14,AE14)+IF(AF14="",Expenses!$B$15,AF14)+IF(AG14="",Expenses!$B$16,AG14)+IF(AH14="",Expenses!$B$17,AH14)+IF(AI14="",Expenses!$B$18,AI14))</f>
        <v/>
      </c>
      <c r="S14" s="27" t="str">
        <f aca="false">IF($A14="","",$R14*$M14)</f>
        <v/>
      </c>
      <c r="T14" s="27" t="str">
        <f aca="false">IF($A14="","",$K14+$S14)</f>
        <v/>
      </c>
      <c r="U14" s="33" t="str">
        <f aca="false">IF($A14="","",$Q14-$T14)</f>
        <v/>
      </c>
      <c r="V14" s="34" t="str">
        <f aca="false">IF(OR($A14="",$F14=0),"",$U14/$F14)</f>
        <v/>
      </c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customFormat="false" ht="15" hidden="false" customHeight="false" outlineLevel="0" collapsed="false">
      <c r="A15" s="23"/>
      <c r="B15" s="24"/>
      <c r="C15" s="24"/>
      <c r="D15" s="23"/>
      <c r="E15" s="23"/>
      <c r="F15" s="25"/>
      <c r="G15" s="26"/>
      <c r="H15" s="19"/>
      <c r="I15" s="19"/>
      <c r="J15" s="36" t="str">
        <f aca="false">IF($A15="","",$H15*$F15)</f>
        <v/>
      </c>
      <c r="K15" s="36" t="str">
        <f aca="false">IF($A15="","",$G15+$J15)</f>
        <v/>
      </c>
      <c r="L15" s="37" t="str">
        <f aca="false">IF(OR($A15="",$F15=0),"",$K15/$F15)</f>
        <v/>
      </c>
      <c r="M15" s="38" t="str">
        <f aca="false">IF($A15="","",SUMIF('Lot Entry'!$A$7:$A$2000,$A15,'Lot Entry'!$H$7:$H$2000))</f>
        <v/>
      </c>
      <c r="N15" s="39" t="str">
        <f aca="false">IF($A15="","",SUMIF('Lot Entry'!$A$7:$A$2000,$A15,'Lot Entry'!$I$7:$I$2000))</f>
        <v/>
      </c>
      <c r="O15" s="40" t="str">
        <f aca="false">IF(OR($A15="",$F15=0),"",$N15/$F15)</f>
        <v/>
      </c>
      <c r="P15" s="41" t="str">
        <f aca="false">IF($A15="","",SUMIF('Lot Entry'!$A$7:$A$2000,$A15,'Lot Entry'!$J$7:$J$2000))</f>
        <v/>
      </c>
      <c r="Q15" s="36" t="str">
        <f aca="false">IF($A15="","",$P15*$I15)</f>
        <v/>
      </c>
      <c r="R15" s="37" t="str">
        <f aca="false">IF($A15="","",IF(W15="",Expenses!$B$6,W15)+IF(X15="",Expenses!$B$7,X15)+IF(Y15="",Expenses!$B$8,Y15)+IF(Z15="",Expenses!$B$9,Z15)+IF(AA15="",Expenses!$B$10,AA15)+IF(AB15="",Expenses!$B$11,AB15)+IF(AC15="",Expenses!$B$12,AC15)+IF(AD15="",Expenses!$B$13,AD15)+IF(AE15="",Expenses!$B$14,AE15)+IF(AF15="",Expenses!$B$15,AF15)+IF(AG15="",Expenses!$B$16,AG15)+IF(AH15="",Expenses!$B$17,AH15)+IF(AI15="",Expenses!$B$18,AI15))</f>
        <v/>
      </c>
      <c r="S15" s="36" t="str">
        <f aca="false">IF($A15="","",$R15*$M15)</f>
        <v/>
      </c>
      <c r="T15" s="36" t="str">
        <f aca="false">IF($A15="","",$K15+$S15)</f>
        <v/>
      </c>
      <c r="U15" s="42" t="str">
        <f aca="false">IF($A15="","",$Q15-$T15)</f>
        <v/>
      </c>
      <c r="V15" s="43" t="str">
        <f aca="false">IF(OR($A15="",$F15=0),"",$U15/$F15)</f>
        <v/>
      </c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customFormat="false" ht="15" hidden="false" customHeight="false" outlineLevel="0" collapsed="false">
      <c r="A16" s="23"/>
      <c r="B16" s="24"/>
      <c r="C16" s="24"/>
      <c r="D16" s="23"/>
      <c r="E16" s="23"/>
      <c r="F16" s="25"/>
      <c r="G16" s="26"/>
      <c r="H16" s="19"/>
      <c r="I16" s="19"/>
      <c r="J16" s="27" t="str">
        <f aca="false">IF($A16="","",$H16*$F16)</f>
        <v/>
      </c>
      <c r="K16" s="27" t="str">
        <f aca="false">IF($A16="","",$G16+$J16)</f>
        <v/>
      </c>
      <c r="L16" s="28" t="str">
        <f aca="false">IF(OR($A16="",$F16=0),"",$K16/$F16)</f>
        <v/>
      </c>
      <c r="M16" s="29" t="str">
        <f aca="false">IF($A16="","",SUMIF('Lot Entry'!$A$7:$A$2000,$A16,'Lot Entry'!$H$7:$H$2000))</f>
        <v/>
      </c>
      <c r="N16" s="30" t="str">
        <f aca="false">IF($A16="","",SUMIF('Lot Entry'!$A$7:$A$2000,$A16,'Lot Entry'!$I$7:$I$2000))</f>
        <v/>
      </c>
      <c r="O16" s="31" t="str">
        <f aca="false">IF(OR($A16="",$F16=0),"",$N16/$F16)</f>
        <v/>
      </c>
      <c r="P16" s="32" t="str">
        <f aca="false">IF($A16="","",SUMIF('Lot Entry'!$A$7:$A$2000,$A16,'Lot Entry'!$J$7:$J$2000))</f>
        <v/>
      </c>
      <c r="Q16" s="27" t="str">
        <f aca="false">IF($A16="","",$P16*$I16)</f>
        <v/>
      </c>
      <c r="R16" s="28" t="str">
        <f aca="false">IF($A16="","",IF(W16="",Expenses!$B$6,W16)+IF(X16="",Expenses!$B$7,X16)+IF(Y16="",Expenses!$B$8,Y16)+IF(Z16="",Expenses!$B$9,Z16)+IF(AA16="",Expenses!$B$10,AA16)+IF(AB16="",Expenses!$B$11,AB16)+IF(AC16="",Expenses!$B$12,AC16)+IF(AD16="",Expenses!$B$13,AD16)+IF(AE16="",Expenses!$B$14,AE16)+IF(AF16="",Expenses!$B$15,AF16)+IF(AG16="",Expenses!$B$16,AG16)+IF(AH16="",Expenses!$B$17,AH16)+IF(AI16="",Expenses!$B$18,AI16))</f>
        <v/>
      </c>
      <c r="S16" s="27" t="str">
        <f aca="false">IF($A16="","",$R16*$M16)</f>
        <v/>
      </c>
      <c r="T16" s="27" t="str">
        <f aca="false">IF($A16="","",$K16+$S16)</f>
        <v/>
      </c>
      <c r="U16" s="33" t="str">
        <f aca="false">IF($A16="","",$Q16-$T16)</f>
        <v/>
      </c>
      <c r="V16" s="34" t="str">
        <f aca="false">IF(OR($A16="",$F16=0),"",$U16/$F16)</f>
        <v/>
      </c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</row>
    <row r="17" customFormat="false" ht="15" hidden="false" customHeight="false" outlineLevel="0" collapsed="false">
      <c r="A17" s="23"/>
      <c r="B17" s="24"/>
      <c r="C17" s="24"/>
      <c r="D17" s="23"/>
      <c r="E17" s="23"/>
      <c r="F17" s="25"/>
      <c r="G17" s="26"/>
      <c r="H17" s="19"/>
      <c r="I17" s="19"/>
      <c r="J17" s="36" t="str">
        <f aca="false">IF($A17="","",$H17*$F17)</f>
        <v/>
      </c>
      <c r="K17" s="36" t="str">
        <f aca="false">IF($A17="","",$G17+$J17)</f>
        <v/>
      </c>
      <c r="L17" s="37" t="str">
        <f aca="false">IF(OR($A17="",$F17=0),"",$K17/$F17)</f>
        <v/>
      </c>
      <c r="M17" s="38" t="str">
        <f aca="false">IF($A17="","",SUMIF('Lot Entry'!$A$7:$A$2000,$A17,'Lot Entry'!$H$7:$H$2000))</f>
        <v/>
      </c>
      <c r="N17" s="39" t="str">
        <f aca="false">IF($A17="","",SUMIF('Lot Entry'!$A$7:$A$2000,$A17,'Lot Entry'!$I$7:$I$2000))</f>
        <v/>
      </c>
      <c r="O17" s="40" t="str">
        <f aca="false">IF(OR($A17="",$F17=0),"",$N17/$F17)</f>
        <v/>
      </c>
      <c r="P17" s="41" t="str">
        <f aca="false">IF($A17="","",SUMIF('Lot Entry'!$A$7:$A$2000,$A17,'Lot Entry'!$J$7:$J$2000))</f>
        <v/>
      </c>
      <c r="Q17" s="36" t="str">
        <f aca="false">IF($A17="","",$P17*$I17)</f>
        <v/>
      </c>
      <c r="R17" s="37" t="str">
        <f aca="false">IF($A17="","",IF(W17="",Expenses!$B$6,W17)+IF(X17="",Expenses!$B$7,X17)+IF(Y17="",Expenses!$B$8,Y17)+IF(Z17="",Expenses!$B$9,Z17)+IF(AA17="",Expenses!$B$10,AA17)+IF(AB17="",Expenses!$B$11,AB17)+IF(AC17="",Expenses!$B$12,AC17)+IF(AD17="",Expenses!$B$13,AD17)+IF(AE17="",Expenses!$B$14,AE17)+IF(AF17="",Expenses!$B$15,AF17)+IF(AG17="",Expenses!$B$16,AG17)+IF(AH17="",Expenses!$B$17,AH17)+IF(AI17="",Expenses!$B$18,AI17))</f>
        <v/>
      </c>
      <c r="S17" s="36" t="str">
        <f aca="false">IF($A17="","",$R17*$M17)</f>
        <v/>
      </c>
      <c r="T17" s="36" t="str">
        <f aca="false">IF($A17="","",$K17+$S17)</f>
        <v/>
      </c>
      <c r="U17" s="42" t="str">
        <f aca="false">IF($A17="","",$Q17-$T17)</f>
        <v/>
      </c>
      <c r="V17" s="43" t="str">
        <f aca="false">IF(OR($A17="",$F17=0),"",$U17/$F17)</f>
        <v/>
      </c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</row>
    <row r="18" customFormat="false" ht="15" hidden="false" customHeight="false" outlineLevel="0" collapsed="false">
      <c r="A18" s="23"/>
      <c r="B18" s="24"/>
      <c r="C18" s="24"/>
      <c r="D18" s="23"/>
      <c r="E18" s="23"/>
      <c r="F18" s="25"/>
      <c r="G18" s="26"/>
      <c r="H18" s="19"/>
      <c r="I18" s="19"/>
      <c r="J18" s="27" t="str">
        <f aca="false">IF($A18="","",$H18*$F18)</f>
        <v/>
      </c>
      <c r="K18" s="27" t="str">
        <f aca="false">IF($A18="","",$G18+$J18)</f>
        <v/>
      </c>
      <c r="L18" s="28" t="str">
        <f aca="false">IF(OR($A18="",$F18=0),"",$K18/$F18)</f>
        <v/>
      </c>
      <c r="M18" s="29" t="str">
        <f aca="false">IF($A18="","",SUMIF('Lot Entry'!$A$7:$A$2000,$A18,'Lot Entry'!$H$7:$H$2000))</f>
        <v/>
      </c>
      <c r="N18" s="30" t="str">
        <f aca="false">IF($A18="","",SUMIF('Lot Entry'!$A$7:$A$2000,$A18,'Lot Entry'!$I$7:$I$2000))</f>
        <v/>
      </c>
      <c r="O18" s="31" t="str">
        <f aca="false">IF(OR($A18="",$F18=0),"",$N18/$F18)</f>
        <v/>
      </c>
      <c r="P18" s="32" t="str">
        <f aca="false">IF($A18="","",SUMIF('Lot Entry'!$A$7:$A$2000,$A18,'Lot Entry'!$J$7:$J$2000))</f>
        <v/>
      </c>
      <c r="Q18" s="27" t="str">
        <f aca="false">IF($A18="","",$P18*$I18)</f>
        <v/>
      </c>
      <c r="R18" s="28" t="str">
        <f aca="false">IF($A18="","",IF(W18="",Expenses!$B$6,W18)+IF(X18="",Expenses!$B$7,X18)+IF(Y18="",Expenses!$B$8,Y18)+IF(Z18="",Expenses!$B$9,Z18)+IF(AA18="",Expenses!$B$10,AA18)+IF(AB18="",Expenses!$B$11,AB18)+IF(AC18="",Expenses!$B$12,AC18)+IF(AD18="",Expenses!$B$13,AD18)+IF(AE18="",Expenses!$B$14,AE18)+IF(AF18="",Expenses!$B$15,AF18)+IF(AG18="",Expenses!$B$16,AG18)+IF(AH18="",Expenses!$B$17,AH18)+IF(AI18="",Expenses!$B$18,AI18))</f>
        <v/>
      </c>
      <c r="S18" s="27" t="str">
        <f aca="false">IF($A18="","",$R18*$M18)</f>
        <v/>
      </c>
      <c r="T18" s="27" t="str">
        <f aca="false">IF($A18="","",$K18+$S18)</f>
        <v/>
      </c>
      <c r="U18" s="33" t="str">
        <f aca="false">IF($A18="","",$Q18-$T18)</f>
        <v/>
      </c>
      <c r="V18" s="34" t="str">
        <f aca="false">IF(OR($A18="",$F18=0),"",$U18/$F18)</f>
        <v/>
      </c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</row>
    <row r="19" customFormat="false" ht="15" hidden="false" customHeight="false" outlineLevel="0" collapsed="false">
      <c r="A19" s="23"/>
      <c r="B19" s="24"/>
      <c r="C19" s="24"/>
      <c r="D19" s="23"/>
      <c r="E19" s="23"/>
      <c r="F19" s="25"/>
      <c r="G19" s="26"/>
      <c r="H19" s="19"/>
      <c r="I19" s="19"/>
      <c r="J19" s="36" t="str">
        <f aca="false">IF($A19="","",$H19*$F19)</f>
        <v/>
      </c>
      <c r="K19" s="36" t="str">
        <f aca="false">IF($A19="","",$G19+$J19)</f>
        <v/>
      </c>
      <c r="L19" s="37" t="str">
        <f aca="false">IF(OR($A19="",$F19=0),"",$K19/$F19)</f>
        <v/>
      </c>
      <c r="M19" s="38" t="str">
        <f aca="false">IF($A19="","",SUMIF('Lot Entry'!$A$7:$A$2000,$A19,'Lot Entry'!$H$7:$H$2000))</f>
        <v/>
      </c>
      <c r="N19" s="39" t="str">
        <f aca="false">IF($A19="","",SUMIF('Lot Entry'!$A$7:$A$2000,$A19,'Lot Entry'!$I$7:$I$2000))</f>
        <v/>
      </c>
      <c r="O19" s="40" t="str">
        <f aca="false">IF(OR($A19="",$F19=0),"",$N19/$F19)</f>
        <v/>
      </c>
      <c r="P19" s="41" t="str">
        <f aca="false">IF($A19="","",SUMIF('Lot Entry'!$A$7:$A$2000,$A19,'Lot Entry'!$J$7:$J$2000))</f>
        <v/>
      </c>
      <c r="Q19" s="36" t="str">
        <f aca="false">IF($A19="","",$P19*$I19)</f>
        <v/>
      </c>
      <c r="R19" s="37" t="str">
        <f aca="false">IF($A19="","",IF(W19="",Expenses!$B$6,W19)+IF(X19="",Expenses!$B$7,X19)+IF(Y19="",Expenses!$B$8,Y19)+IF(Z19="",Expenses!$B$9,Z19)+IF(AA19="",Expenses!$B$10,AA19)+IF(AB19="",Expenses!$B$11,AB19)+IF(AC19="",Expenses!$B$12,AC19)+IF(AD19="",Expenses!$B$13,AD19)+IF(AE19="",Expenses!$B$14,AE19)+IF(AF19="",Expenses!$B$15,AF19)+IF(AG19="",Expenses!$B$16,AG19)+IF(AH19="",Expenses!$B$17,AH19)+IF(AI19="",Expenses!$B$18,AI19))</f>
        <v/>
      </c>
      <c r="S19" s="36" t="str">
        <f aca="false">IF($A19="","",$R19*$M19)</f>
        <v/>
      </c>
      <c r="T19" s="36" t="str">
        <f aca="false">IF($A19="","",$K19+$S19)</f>
        <v/>
      </c>
      <c r="U19" s="42" t="str">
        <f aca="false">IF($A19="","",$Q19-$T19)</f>
        <v/>
      </c>
      <c r="V19" s="43" t="str">
        <f aca="false">IF(OR($A19="",$F19=0),"",$U19/$F19)</f>
        <v/>
      </c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</row>
    <row r="20" customFormat="false" ht="15" hidden="false" customHeight="false" outlineLevel="0" collapsed="false">
      <c r="A20" s="23"/>
      <c r="B20" s="24"/>
      <c r="C20" s="24"/>
      <c r="D20" s="23"/>
      <c r="E20" s="23"/>
      <c r="F20" s="25"/>
      <c r="G20" s="26"/>
      <c r="H20" s="19"/>
      <c r="I20" s="19"/>
      <c r="J20" s="27" t="str">
        <f aca="false">IF($A20="","",$H20*$F20)</f>
        <v/>
      </c>
      <c r="K20" s="27" t="str">
        <f aca="false">IF($A20="","",$G20+$J20)</f>
        <v/>
      </c>
      <c r="L20" s="28" t="str">
        <f aca="false">IF(OR($A20="",$F20=0),"",$K20/$F20)</f>
        <v/>
      </c>
      <c r="M20" s="29" t="str">
        <f aca="false">IF($A20="","",SUMIF('Lot Entry'!$A$7:$A$2000,$A20,'Lot Entry'!$H$7:$H$2000))</f>
        <v/>
      </c>
      <c r="N20" s="30" t="str">
        <f aca="false">IF($A20="","",SUMIF('Lot Entry'!$A$7:$A$2000,$A20,'Lot Entry'!$I$7:$I$2000))</f>
        <v/>
      </c>
      <c r="O20" s="31" t="str">
        <f aca="false">IF(OR($A20="",$F20=0),"",$N20/$F20)</f>
        <v/>
      </c>
      <c r="P20" s="32" t="str">
        <f aca="false">IF($A20="","",SUMIF('Lot Entry'!$A$7:$A$2000,$A20,'Lot Entry'!$J$7:$J$2000))</f>
        <v/>
      </c>
      <c r="Q20" s="27" t="str">
        <f aca="false">IF($A20="","",$P20*$I20)</f>
        <v/>
      </c>
      <c r="R20" s="28" t="str">
        <f aca="false">IF($A20="","",IF(W20="",Expenses!$B$6,W20)+IF(X20="",Expenses!$B$7,X20)+IF(Y20="",Expenses!$B$8,Y20)+IF(Z20="",Expenses!$B$9,Z20)+IF(AA20="",Expenses!$B$10,AA20)+IF(AB20="",Expenses!$B$11,AB20)+IF(AC20="",Expenses!$B$12,AC20)+IF(AD20="",Expenses!$B$13,AD20)+IF(AE20="",Expenses!$B$14,AE20)+IF(AF20="",Expenses!$B$15,AF20)+IF(AG20="",Expenses!$B$16,AG20)+IF(AH20="",Expenses!$B$17,AH20)+IF(AI20="",Expenses!$B$18,AI20))</f>
        <v/>
      </c>
      <c r="S20" s="27" t="str">
        <f aca="false">IF($A20="","",$R20*$M20)</f>
        <v/>
      </c>
      <c r="T20" s="27" t="str">
        <f aca="false">IF($A20="","",$K20+$S20)</f>
        <v/>
      </c>
      <c r="U20" s="33" t="str">
        <f aca="false">IF($A20="","",$Q20-$T20)</f>
        <v/>
      </c>
      <c r="V20" s="34" t="str">
        <f aca="false">IF(OR($A20="",$F20=0),"",$U20/$F20)</f>
        <v/>
      </c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 customFormat="false" ht="15" hidden="false" customHeight="false" outlineLevel="0" collapsed="false">
      <c r="A21" s="23"/>
      <c r="B21" s="24"/>
      <c r="C21" s="24"/>
      <c r="D21" s="23"/>
      <c r="E21" s="23"/>
      <c r="F21" s="25"/>
      <c r="G21" s="26"/>
      <c r="H21" s="19"/>
      <c r="I21" s="19"/>
      <c r="J21" s="36" t="str">
        <f aca="false">IF($A21="","",$H21*$F21)</f>
        <v/>
      </c>
      <c r="K21" s="36" t="str">
        <f aca="false">IF($A21="","",$G21+$J21)</f>
        <v/>
      </c>
      <c r="L21" s="37" t="str">
        <f aca="false">IF(OR($A21="",$F21=0),"",$K21/$F21)</f>
        <v/>
      </c>
      <c r="M21" s="38" t="str">
        <f aca="false">IF($A21="","",SUMIF('Lot Entry'!$A$7:$A$2000,$A21,'Lot Entry'!$H$7:$H$2000))</f>
        <v/>
      </c>
      <c r="N21" s="39" t="str">
        <f aca="false">IF($A21="","",SUMIF('Lot Entry'!$A$7:$A$2000,$A21,'Lot Entry'!$I$7:$I$2000))</f>
        <v/>
      </c>
      <c r="O21" s="40" t="str">
        <f aca="false">IF(OR($A21="",$F21=0),"",$N21/$F21)</f>
        <v/>
      </c>
      <c r="P21" s="41" t="str">
        <f aca="false">IF($A21="","",SUMIF('Lot Entry'!$A$7:$A$2000,$A21,'Lot Entry'!$J$7:$J$2000))</f>
        <v/>
      </c>
      <c r="Q21" s="36" t="str">
        <f aca="false">IF($A21="","",$P21*$I21)</f>
        <v/>
      </c>
      <c r="R21" s="37" t="str">
        <f aca="false">IF($A21="","",IF(W21="",Expenses!$B$6,W21)+IF(X21="",Expenses!$B$7,X21)+IF(Y21="",Expenses!$B$8,Y21)+IF(Z21="",Expenses!$B$9,Z21)+IF(AA21="",Expenses!$B$10,AA21)+IF(AB21="",Expenses!$B$11,AB21)+IF(AC21="",Expenses!$B$12,AC21)+IF(AD21="",Expenses!$B$13,AD21)+IF(AE21="",Expenses!$B$14,AE21)+IF(AF21="",Expenses!$B$15,AF21)+IF(AG21="",Expenses!$B$16,AG21)+IF(AH21="",Expenses!$B$17,AH21)+IF(AI21="",Expenses!$B$18,AI21))</f>
        <v/>
      </c>
      <c r="S21" s="36" t="str">
        <f aca="false">IF($A21="","",$R21*$M21)</f>
        <v/>
      </c>
      <c r="T21" s="36" t="str">
        <f aca="false">IF($A21="","",$K21+$S21)</f>
        <v/>
      </c>
      <c r="U21" s="42" t="str">
        <f aca="false">IF($A21="","",$Q21-$T21)</f>
        <v/>
      </c>
      <c r="V21" s="43" t="str">
        <f aca="false">IF(OR($A21="",$F21=0),"",$U21/$F21)</f>
        <v/>
      </c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customFormat="false" ht="15" hidden="false" customHeight="false" outlineLevel="0" collapsed="false">
      <c r="A22" s="23"/>
      <c r="B22" s="24"/>
      <c r="C22" s="24"/>
      <c r="D22" s="23"/>
      <c r="E22" s="23"/>
      <c r="F22" s="25"/>
      <c r="G22" s="26"/>
      <c r="H22" s="19"/>
      <c r="I22" s="19"/>
      <c r="J22" s="27" t="str">
        <f aca="false">IF($A22="","",$H22*$F22)</f>
        <v/>
      </c>
      <c r="K22" s="27" t="str">
        <f aca="false">IF($A22="","",$G22+$J22)</f>
        <v/>
      </c>
      <c r="L22" s="28" t="str">
        <f aca="false">IF(OR($A22="",$F22=0),"",$K22/$F22)</f>
        <v/>
      </c>
      <c r="M22" s="29" t="str">
        <f aca="false">IF($A22="","",SUMIF('Lot Entry'!$A$7:$A$2000,$A22,'Lot Entry'!$H$7:$H$2000))</f>
        <v/>
      </c>
      <c r="N22" s="30" t="str">
        <f aca="false">IF($A22="","",SUMIF('Lot Entry'!$A$7:$A$2000,$A22,'Lot Entry'!$I$7:$I$2000))</f>
        <v/>
      </c>
      <c r="O22" s="31" t="str">
        <f aca="false">IF(OR($A22="",$F22=0),"",$N22/$F22)</f>
        <v/>
      </c>
      <c r="P22" s="32" t="str">
        <f aca="false">IF($A22="","",SUMIF('Lot Entry'!$A$7:$A$2000,$A22,'Lot Entry'!$J$7:$J$2000))</f>
        <v/>
      </c>
      <c r="Q22" s="27" t="str">
        <f aca="false">IF($A22="","",$P22*$I22)</f>
        <v/>
      </c>
      <c r="R22" s="28" t="str">
        <f aca="false">IF($A22="","",IF(W22="",Expenses!$B$6,W22)+IF(X22="",Expenses!$B$7,X22)+IF(Y22="",Expenses!$B$8,Y22)+IF(Z22="",Expenses!$B$9,Z22)+IF(AA22="",Expenses!$B$10,AA22)+IF(AB22="",Expenses!$B$11,AB22)+IF(AC22="",Expenses!$B$12,AC22)+IF(AD22="",Expenses!$B$13,AD22)+IF(AE22="",Expenses!$B$14,AE22)+IF(AF22="",Expenses!$B$15,AF22)+IF(AG22="",Expenses!$B$16,AG22)+IF(AH22="",Expenses!$B$17,AH22)+IF(AI22="",Expenses!$B$18,AI22))</f>
        <v/>
      </c>
      <c r="S22" s="27" t="str">
        <f aca="false">IF($A22="","",$R22*$M22)</f>
        <v/>
      </c>
      <c r="T22" s="27" t="str">
        <f aca="false">IF($A22="","",$K22+$S22)</f>
        <v/>
      </c>
      <c r="U22" s="33" t="str">
        <f aca="false">IF($A22="","",$Q22-$T22)</f>
        <v/>
      </c>
      <c r="V22" s="34" t="str">
        <f aca="false">IF(OR($A22="",$F22=0),"",$U22/$F22)</f>
        <v/>
      </c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customFormat="false" ht="15" hidden="false" customHeight="false" outlineLevel="0" collapsed="false">
      <c r="A23" s="23"/>
      <c r="B23" s="24"/>
      <c r="C23" s="24"/>
      <c r="D23" s="23"/>
      <c r="E23" s="23"/>
      <c r="F23" s="25"/>
      <c r="G23" s="26"/>
      <c r="H23" s="19"/>
      <c r="I23" s="19"/>
      <c r="J23" s="36" t="str">
        <f aca="false">IF($A23="","",$H23*$F23)</f>
        <v/>
      </c>
      <c r="K23" s="36" t="str">
        <f aca="false">IF($A23="","",$G23+$J23)</f>
        <v/>
      </c>
      <c r="L23" s="37" t="str">
        <f aca="false">IF(OR($A23="",$F23=0),"",$K23/$F23)</f>
        <v/>
      </c>
      <c r="M23" s="38" t="str">
        <f aca="false">IF($A23="","",SUMIF('Lot Entry'!$A$7:$A$2000,$A23,'Lot Entry'!$H$7:$H$2000))</f>
        <v/>
      </c>
      <c r="N23" s="39" t="str">
        <f aca="false">IF($A23="","",SUMIF('Lot Entry'!$A$7:$A$2000,$A23,'Lot Entry'!$I$7:$I$2000))</f>
        <v/>
      </c>
      <c r="O23" s="40" t="str">
        <f aca="false">IF(OR($A23="",$F23=0),"",$N23/$F23)</f>
        <v/>
      </c>
      <c r="P23" s="41" t="str">
        <f aca="false">IF($A23="","",SUMIF('Lot Entry'!$A$7:$A$2000,$A23,'Lot Entry'!$J$7:$J$2000))</f>
        <v/>
      </c>
      <c r="Q23" s="36" t="str">
        <f aca="false">IF($A23="","",$P23*$I23)</f>
        <v/>
      </c>
      <c r="R23" s="37" t="str">
        <f aca="false">IF($A23="","",IF(W23="",Expenses!$B$6,W23)+IF(X23="",Expenses!$B$7,X23)+IF(Y23="",Expenses!$B$8,Y23)+IF(Z23="",Expenses!$B$9,Z23)+IF(AA23="",Expenses!$B$10,AA23)+IF(AB23="",Expenses!$B$11,AB23)+IF(AC23="",Expenses!$B$12,AC23)+IF(AD23="",Expenses!$B$13,AD23)+IF(AE23="",Expenses!$B$14,AE23)+IF(AF23="",Expenses!$B$15,AF23)+IF(AG23="",Expenses!$B$16,AG23)+IF(AH23="",Expenses!$B$17,AH23)+IF(AI23="",Expenses!$B$18,AI23))</f>
        <v/>
      </c>
      <c r="S23" s="36" t="str">
        <f aca="false">IF($A23="","",$R23*$M23)</f>
        <v/>
      </c>
      <c r="T23" s="36" t="str">
        <f aca="false">IF($A23="","",$K23+$S23)</f>
        <v/>
      </c>
      <c r="U23" s="42" t="str">
        <f aca="false">IF($A23="","",$Q23-$T23)</f>
        <v/>
      </c>
      <c r="V23" s="43" t="str">
        <f aca="false">IF(OR($A23="",$F23=0),"",$U23/$F23)</f>
        <v/>
      </c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</row>
    <row r="24" customFormat="false" ht="15" hidden="false" customHeight="false" outlineLevel="0" collapsed="false">
      <c r="A24" s="23"/>
      <c r="B24" s="24"/>
      <c r="C24" s="24"/>
      <c r="D24" s="23"/>
      <c r="E24" s="23"/>
      <c r="F24" s="25"/>
      <c r="G24" s="26"/>
      <c r="H24" s="19"/>
      <c r="I24" s="19"/>
      <c r="J24" s="27" t="str">
        <f aca="false">IF($A24="","",$H24*$F24)</f>
        <v/>
      </c>
      <c r="K24" s="27" t="str">
        <f aca="false">IF($A24="","",$G24+$J24)</f>
        <v/>
      </c>
      <c r="L24" s="28" t="str">
        <f aca="false">IF(OR($A24="",$F24=0),"",$K24/$F24)</f>
        <v/>
      </c>
      <c r="M24" s="29" t="str">
        <f aca="false">IF($A24="","",SUMIF('Lot Entry'!$A$7:$A$2000,$A24,'Lot Entry'!$H$7:$H$2000))</f>
        <v/>
      </c>
      <c r="N24" s="30" t="str">
        <f aca="false">IF($A24="","",SUMIF('Lot Entry'!$A$7:$A$2000,$A24,'Lot Entry'!$I$7:$I$2000))</f>
        <v/>
      </c>
      <c r="O24" s="31" t="str">
        <f aca="false">IF(OR($A24="",$F24=0),"",$N24/$F24)</f>
        <v/>
      </c>
      <c r="P24" s="32" t="str">
        <f aca="false">IF($A24="","",SUMIF('Lot Entry'!$A$7:$A$2000,$A24,'Lot Entry'!$J$7:$J$2000))</f>
        <v/>
      </c>
      <c r="Q24" s="27" t="str">
        <f aca="false">IF($A24="","",$P24*$I24)</f>
        <v/>
      </c>
      <c r="R24" s="28" t="str">
        <f aca="false">IF($A24="","",IF(W24="",Expenses!$B$6,W24)+IF(X24="",Expenses!$B$7,X24)+IF(Y24="",Expenses!$B$8,Y24)+IF(Z24="",Expenses!$B$9,Z24)+IF(AA24="",Expenses!$B$10,AA24)+IF(AB24="",Expenses!$B$11,AB24)+IF(AC24="",Expenses!$B$12,AC24)+IF(AD24="",Expenses!$B$13,AD24)+IF(AE24="",Expenses!$B$14,AE24)+IF(AF24="",Expenses!$B$15,AF24)+IF(AG24="",Expenses!$B$16,AG24)+IF(AH24="",Expenses!$B$17,AH24)+IF(AI24="",Expenses!$B$18,AI24))</f>
        <v/>
      </c>
      <c r="S24" s="27" t="str">
        <f aca="false">IF($A24="","",$R24*$M24)</f>
        <v/>
      </c>
      <c r="T24" s="27" t="str">
        <f aca="false">IF($A24="","",$K24+$S24)</f>
        <v/>
      </c>
      <c r="U24" s="33" t="str">
        <f aca="false">IF($A24="","",$Q24-$T24)</f>
        <v/>
      </c>
      <c r="V24" s="34" t="str">
        <f aca="false">IF(OR($A24="",$F24=0),"",$U24/$F24)</f>
        <v/>
      </c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</row>
    <row r="25" customFormat="false" ht="15" hidden="false" customHeight="false" outlineLevel="0" collapsed="false">
      <c r="A25" s="23"/>
      <c r="B25" s="24"/>
      <c r="C25" s="24"/>
      <c r="D25" s="23"/>
      <c r="E25" s="23"/>
      <c r="F25" s="25"/>
      <c r="G25" s="26"/>
      <c r="H25" s="19"/>
      <c r="I25" s="19"/>
      <c r="J25" s="36" t="str">
        <f aca="false">IF($A25="","",$H25*$F25)</f>
        <v/>
      </c>
      <c r="K25" s="36" t="str">
        <f aca="false">IF($A25="","",$G25+$J25)</f>
        <v/>
      </c>
      <c r="L25" s="37" t="str">
        <f aca="false">IF(OR($A25="",$F25=0),"",$K25/$F25)</f>
        <v/>
      </c>
      <c r="M25" s="38" t="str">
        <f aca="false">IF($A25="","",SUMIF('Lot Entry'!$A$7:$A$2000,$A25,'Lot Entry'!$H$7:$H$2000))</f>
        <v/>
      </c>
      <c r="N25" s="39" t="str">
        <f aca="false">IF($A25="","",SUMIF('Lot Entry'!$A$7:$A$2000,$A25,'Lot Entry'!$I$7:$I$2000))</f>
        <v/>
      </c>
      <c r="O25" s="40" t="str">
        <f aca="false">IF(OR($A25="",$F25=0),"",$N25/$F25)</f>
        <v/>
      </c>
      <c r="P25" s="41" t="str">
        <f aca="false">IF($A25="","",SUMIF('Lot Entry'!$A$7:$A$2000,$A25,'Lot Entry'!$J$7:$J$2000))</f>
        <v/>
      </c>
      <c r="Q25" s="36" t="str">
        <f aca="false">IF($A25="","",$P25*$I25)</f>
        <v/>
      </c>
      <c r="R25" s="37" t="str">
        <f aca="false">IF($A25="","",IF(W25="",Expenses!$B$6,W25)+IF(X25="",Expenses!$B$7,X25)+IF(Y25="",Expenses!$B$8,Y25)+IF(Z25="",Expenses!$B$9,Z25)+IF(AA25="",Expenses!$B$10,AA25)+IF(AB25="",Expenses!$B$11,AB25)+IF(AC25="",Expenses!$B$12,AC25)+IF(AD25="",Expenses!$B$13,AD25)+IF(AE25="",Expenses!$B$14,AE25)+IF(AF25="",Expenses!$B$15,AF25)+IF(AG25="",Expenses!$B$16,AG25)+IF(AH25="",Expenses!$B$17,AH25)+IF(AI25="",Expenses!$B$18,AI25))</f>
        <v/>
      </c>
      <c r="S25" s="36" t="str">
        <f aca="false">IF($A25="","",$R25*$M25)</f>
        <v/>
      </c>
      <c r="T25" s="36" t="str">
        <f aca="false">IF($A25="","",$K25+$S25)</f>
        <v/>
      </c>
      <c r="U25" s="42" t="str">
        <f aca="false">IF($A25="","",$Q25-$T25)</f>
        <v/>
      </c>
      <c r="V25" s="43" t="str">
        <f aca="false">IF(OR($A25="",$F25=0),"",$U25/$F25)</f>
        <v/>
      </c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</row>
    <row r="26" customFormat="false" ht="15" hidden="false" customHeight="false" outlineLevel="0" collapsed="false">
      <c r="A26" s="23"/>
      <c r="B26" s="24"/>
      <c r="C26" s="24"/>
      <c r="D26" s="23"/>
      <c r="E26" s="23"/>
      <c r="F26" s="25"/>
      <c r="G26" s="26"/>
      <c r="H26" s="19"/>
      <c r="I26" s="19"/>
      <c r="J26" s="27" t="str">
        <f aca="false">IF($A26="","",$H26*$F26)</f>
        <v/>
      </c>
      <c r="K26" s="27" t="str">
        <f aca="false">IF($A26="","",$G26+$J26)</f>
        <v/>
      </c>
      <c r="L26" s="28" t="str">
        <f aca="false">IF(OR($A26="",$F26=0),"",$K26/$F26)</f>
        <v/>
      </c>
      <c r="M26" s="29" t="str">
        <f aca="false">IF($A26="","",SUMIF('Lot Entry'!$A$7:$A$2000,$A26,'Lot Entry'!$H$7:$H$2000))</f>
        <v/>
      </c>
      <c r="N26" s="30" t="str">
        <f aca="false">IF($A26="","",SUMIF('Lot Entry'!$A$7:$A$2000,$A26,'Lot Entry'!$I$7:$I$2000))</f>
        <v/>
      </c>
      <c r="O26" s="31" t="str">
        <f aca="false">IF(OR($A26="",$F26=0),"",$N26/$F26)</f>
        <v/>
      </c>
      <c r="P26" s="32" t="str">
        <f aca="false">IF($A26="","",SUMIF('Lot Entry'!$A$7:$A$2000,$A26,'Lot Entry'!$J$7:$J$2000))</f>
        <v/>
      </c>
      <c r="Q26" s="27" t="str">
        <f aca="false">IF($A26="","",$P26*$I26)</f>
        <v/>
      </c>
      <c r="R26" s="28" t="str">
        <f aca="false">IF($A26="","",IF(W26="",Expenses!$B$6,W26)+IF(X26="",Expenses!$B$7,X26)+IF(Y26="",Expenses!$B$8,Y26)+IF(Z26="",Expenses!$B$9,Z26)+IF(AA26="",Expenses!$B$10,AA26)+IF(AB26="",Expenses!$B$11,AB26)+IF(AC26="",Expenses!$B$12,AC26)+IF(AD26="",Expenses!$B$13,AD26)+IF(AE26="",Expenses!$B$14,AE26)+IF(AF26="",Expenses!$B$15,AF26)+IF(AG26="",Expenses!$B$16,AG26)+IF(AH26="",Expenses!$B$17,AH26)+IF(AI26="",Expenses!$B$18,AI26))</f>
        <v/>
      </c>
      <c r="S26" s="27" t="str">
        <f aca="false">IF($A26="","",$R26*$M26)</f>
        <v/>
      </c>
      <c r="T26" s="27" t="str">
        <f aca="false">IF($A26="","",$K26+$S26)</f>
        <v/>
      </c>
      <c r="U26" s="33" t="str">
        <f aca="false">IF($A26="","",$Q26-$T26)</f>
        <v/>
      </c>
      <c r="V26" s="34" t="str">
        <f aca="false">IF(OR($A26="",$F26=0),"",$U26/$F26)</f>
        <v/>
      </c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customFormat="false" ht="15" hidden="false" customHeight="false" outlineLevel="0" collapsed="false">
      <c r="A27" s="23"/>
      <c r="B27" s="24"/>
      <c r="C27" s="24"/>
      <c r="D27" s="23"/>
      <c r="E27" s="23"/>
      <c r="F27" s="25"/>
      <c r="G27" s="26"/>
      <c r="H27" s="19"/>
      <c r="I27" s="19"/>
      <c r="J27" s="36" t="str">
        <f aca="false">IF($A27="","",$H27*$F27)</f>
        <v/>
      </c>
      <c r="K27" s="36" t="str">
        <f aca="false">IF($A27="","",$G27+$J27)</f>
        <v/>
      </c>
      <c r="L27" s="37" t="str">
        <f aca="false">IF(OR($A27="",$F27=0),"",$K27/$F27)</f>
        <v/>
      </c>
      <c r="M27" s="38" t="str">
        <f aca="false">IF($A27="","",SUMIF('Lot Entry'!$A$7:$A$2000,$A27,'Lot Entry'!$H$7:$H$2000))</f>
        <v/>
      </c>
      <c r="N27" s="39" t="str">
        <f aca="false">IF($A27="","",SUMIF('Lot Entry'!$A$7:$A$2000,$A27,'Lot Entry'!$I$7:$I$2000))</f>
        <v/>
      </c>
      <c r="O27" s="40" t="str">
        <f aca="false">IF(OR($A27="",$F27=0),"",$N27/$F27)</f>
        <v/>
      </c>
      <c r="P27" s="41" t="str">
        <f aca="false">IF($A27="","",SUMIF('Lot Entry'!$A$7:$A$2000,$A27,'Lot Entry'!$J$7:$J$2000))</f>
        <v/>
      </c>
      <c r="Q27" s="36" t="str">
        <f aca="false">IF($A27="","",$P27*$I27)</f>
        <v/>
      </c>
      <c r="R27" s="37" t="str">
        <f aca="false">IF($A27="","",IF(W27="",Expenses!$B$6,W27)+IF(X27="",Expenses!$B$7,X27)+IF(Y27="",Expenses!$B$8,Y27)+IF(Z27="",Expenses!$B$9,Z27)+IF(AA27="",Expenses!$B$10,AA27)+IF(AB27="",Expenses!$B$11,AB27)+IF(AC27="",Expenses!$B$12,AC27)+IF(AD27="",Expenses!$B$13,AD27)+IF(AE27="",Expenses!$B$14,AE27)+IF(AF27="",Expenses!$B$15,AF27)+IF(AG27="",Expenses!$B$16,AG27)+IF(AH27="",Expenses!$B$17,AH27)+IF(AI27="",Expenses!$B$18,AI27))</f>
        <v/>
      </c>
      <c r="S27" s="36" t="str">
        <f aca="false">IF($A27="","",$R27*$M27)</f>
        <v/>
      </c>
      <c r="T27" s="36" t="str">
        <f aca="false">IF($A27="","",$K27+$S27)</f>
        <v/>
      </c>
      <c r="U27" s="42" t="str">
        <f aca="false">IF($A27="","",$Q27-$T27)</f>
        <v/>
      </c>
      <c r="V27" s="43" t="str">
        <f aca="false">IF(OR($A27="",$F27=0),"",$U27/$F27)</f>
        <v/>
      </c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customFormat="false" ht="15" hidden="false" customHeight="false" outlineLevel="0" collapsed="false">
      <c r="A28" s="23"/>
      <c r="B28" s="24"/>
      <c r="C28" s="24"/>
      <c r="D28" s="23"/>
      <c r="E28" s="23"/>
      <c r="F28" s="25"/>
      <c r="G28" s="26"/>
      <c r="H28" s="19"/>
      <c r="I28" s="19"/>
      <c r="J28" s="27" t="str">
        <f aca="false">IF($A28="","",$H28*$F28)</f>
        <v/>
      </c>
      <c r="K28" s="27" t="str">
        <f aca="false">IF($A28="","",$G28+$J28)</f>
        <v/>
      </c>
      <c r="L28" s="28" t="str">
        <f aca="false">IF(OR($A28="",$F28=0),"",$K28/$F28)</f>
        <v/>
      </c>
      <c r="M28" s="29" t="str">
        <f aca="false">IF($A28="","",SUMIF('Lot Entry'!$A$7:$A$2000,$A28,'Lot Entry'!$H$7:$H$2000))</f>
        <v/>
      </c>
      <c r="N28" s="30" t="str">
        <f aca="false">IF($A28="","",SUMIF('Lot Entry'!$A$7:$A$2000,$A28,'Lot Entry'!$I$7:$I$2000))</f>
        <v/>
      </c>
      <c r="O28" s="31" t="str">
        <f aca="false">IF(OR($A28="",$F28=0),"",$N28/$F28)</f>
        <v/>
      </c>
      <c r="P28" s="32" t="str">
        <f aca="false">IF($A28="","",SUMIF('Lot Entry'!$A$7:$A$2000,$A28,'Lot Entry'!$J$7:$J$2000))</f>
        <v/>
      </c>
      <c r="Q28" s="27" t="str">
        <f aca="false">IF($A28="","",$P28*$I28)</f>
        <v/>
      </c>
      <c r="R28" s="28" t="str">
        <f aca="false">IF($A28="","",IF(W28="",Expenses!$B$6,W28)+IF(X28="",Expenses!$B$7,X28)+IF(Y28="",Expenses!$B$8,Y28)+IF(Z28="",Expenses!$B$9,Z28)+IF(AA28="",Expenses!$B$10,AA28)+IF(AB28="",Expenses!$B$11,AB28)+IF(AC28="",Expenses!$B$12,AC28)+IF(AD28="",Expenses!$B$13,AD28)+IF(AE28="",Expenses!$B$14,AE28)+IF(AF28="",Expenses!$B$15,AF28)+IF(AG28="",Expenses!$B$16,AG28)+IF(AH28="",Expenses!$B$17,AH28)+IF(AI28="",Expenses!$B$18,AI28))</f>
        <v/>
      </c>
      <c r="S28" s="27" t="str">
        <f aca="false">IF($A28="","",$R28*$M28)</f>
        <v/>
      </c>
      <c r="T28" s="27" t="str">
        <f aca="false">IF($A28="","",$K28+$S28)</f>
        <v/>
      </c>
      <c r="U28" s="33" t="str">
        <f aca="false">IF($A28="","",$Q28-$T28)</f>
        <v/>
      </c>
      <c r="V28" s="34" t="str">
        <f aca="false">IF(OR($A28="",$F28=0),"",$U28/$F28)</f>
        <v/>
      </c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customFormat="false" ht="15" hidden="false" customHeight="false" outlineLevel="0" collapsed="false">
      <c r="A29" s="23"/>
      <c r="B29" s="24"/>
      <c r="C29" s="24"/>
      <c r="D29" s="23"/>
      <c r="E29" s="23"/>
      <c r="F29" s="25"/>
      <c r="G29" s="26"/>
      <c r="H29" s="19"/>
      <c r="I29" s="19"/>
      <c r="J29" s="36" t="str">
        <f aca="false">IF($A29="","",$H29*$F29)</f>
        <v/>
      </c>
      <c r="K29" s="36" t="str">
        <f aca="false">IF($A29="","",$G29+$J29)</f>
        <v/>
      </c>
      <c r="L29" s="37" t="str">
        <f aca="false">IF(OR($A29="",$F29=0),"",$K29/$F29)</f>
        <v/>
      </c>
      <c r="M29" s="38" t="str">
        <f aca="false">IF($A29="","",SUMIF('Lot Entry'!$A$7:$A$2000,$A29,'Lot Entry'!$H$7:$H$2000))</f>
        <v/>
      </c>
      <c r="N29" s="39" t="str">
        <f aca="false">IF($A29="","",SUMIF('Lot Entry'!$A$7:$A$2000,$A29,'Lot Entry'!$I$7:$I$2000))</f>
        <v/>
      </c>
      <c r="O29" s="40" t="str">
        <f aca="false">IF(OR($A29="",$F29=0),"",$N29/$F29)</f>
        <v/>
      </c>
      <c r="P29" s="41" t="str">
        <f aca="false">IF($A29="","",SUMIF('Lot Entry'!$A$7:$A$2000,$A29,'Lot Entry'!$J$7:$J$2000))</f>
        <v/>
      </c>
      <c r="Q29" s="36" t="str">
        <f aca="false">IF($A29="","",$P29*$I29)</f>
        <v/>
      </c>
      <c r="R29" s="37" t="str">
        <f aca="false">IF($A29="","",IF(W29="",Expenses!$B$6,W29)+IF(X29="",Expenses!$B$7,X29)+IF(Y29="",Expenses!$B$8,Y29)+IF(Z29="",Expenses!$B$9,Z29)+IF(AA29="",Expenses!$B$10,AA29)+IF(AB29="",Expenses!$B$11,AB29)+IF(AC29="",Expenses!$B$12,AC29)+IF(AD29="",Expenses!$B$13,AD29)+IF(AE29="",Expenses!$B$14,AE29)+IF(AF29="",Expenses!$B$15,AF29)+IF(AG29="",Expenses!$B$16,AG29)+IF(AH29="",Expenses!$B$17,AH29)+IF(AI29="",Expenses!$B$18,AI29))</f>
        <v/>
      </c>
      <c r="S29" s="36" t="str">
        <f aca="false">IF($A29="","",$R29*$M29)</f>
        <v/>
      </c>
      <c r="T29" s="36" t="str">
        <f aca="false">IF($A29="","",$K29+$S29)</f>
        <v/>
      </c>
      <c r="U29" s="42" t="str">
        <f aca="false">IF($A29="","",$Q29-$T29)</f>
        <v/>
      </c>
      <c r="V29" s="43" t="str">
        <f aca="false">IF(OR($A29="",$F29=0),"",$U29/$F29)</f>
        <v/>
      </c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</row>
    <row r="30" customFormat="false" ht="15" hidden="false" customHeight="false" outlineLevel="0" collapsed="false">
      <c r="A30" s="23"/>
      <c r="B30" s="24"/>
      <c r="C30" s="24"/>
      <c r="D30" s="23"/>
      <c r="E30" s="23"/>
      <c r="F30" s="25"/>
      <c r="G30" s="26"/>
      <c r="H30" s="19"/>
      <c r="I30" s="19"/>
      <c r="J30" s="27" t="str">
        <f aca="false">IF($A30="","",$H30*$F30)</f>
        <v/>
      </c>
      <c r="K30" s="27" t="str">
        <f aca="false">IF($A30="","",$G30+$J30)</f>
        <v/>
      </c>
      <c r="L30" s="28" t="str">
        <f aca="false">IF(OR($A30="",$F30=0),"",$K30/$F30)</f>
        <v/>
      </c>
      <c r="M30" s="29" t="str">
        <f aca="false">IF($A30="","",SUMIF('Lot Entry'!$A$7:$A$2000,$A30,'Lot Entry'!$H$7:$H$2000))</f>
        <v/>
      </c>
      <c r="N30" s="30" t="str">
        <f aca="false">IF($A30="","",SUMIF('Lot Entry'!$A$7:$A$2000,$A30,'Lot Entry'!$I$7:$I$2000))</f>
        <v/>
      </c>
      <c r="O30" s="31" t="str">
        <f aca="false">IF(OR($A30="",$F30=0),"",$N30/$F30)</f>
        <v/>
      </c>
      <c r="P30" s="32" t="str">
        <f aca="false">IF($A30="","",SUMIF('Lot Entry'!$A$7:$A$2000,$A30,'Lot Entry'!$J$7:$J$2000))</f>
        <v/>
      </c>
      <c r="Q30" s="27" t="str">
        <f aca="false">IF($A30="","",$P30*$I30)</f>
        <v/>
      </c>
      <c r="R30" s="28" t="str">
        <f aca="false">IF($A30="","",IF(W30="",Expenses!$B$6,W30)+IF(X30="",Expenses!$B$7,X30)+IF(Y30="",Expenses!$B$8,Y30)+IF(Z30="",Expenses!$B$9,Z30)+IF(AA30="",Expenses!$B$10,AA30)+IF(AB30="",Expenses!$B$11,AB30)+IF(AC30="",Expenses!$B$12,AC30)+IF(AD30="",Expenses!$B$13,AD30)+IF(AE30="",Expenses!$B$14,AE30)+IF(AF30="",Expenses!$B$15,AF30)+IF(AG30="",Expenses!$B$16,AG30)+IF(AH30="",Expenses!$B$17,AH30)+IF(AI30="",Expenses!$B$18,AI30))</f>
        <v/>
      </c>
      <c r="S30" s="27" t="str">
        <f aca="false">IF($A30="","",$R30*$M30)</f>
        <v/>
      </c>
      <c r="T30" s="27" t="str">
        <f aca="false">IF($A30="","",$K30+$S30)</f>
        <v/>
      </c>
      <c r="U30" s="33" t="str">
        <f aca="false">IF($A30="","",$Q30-$T30)</f>
        <v/>
      </c>
      <c r="V30" s="34" t="str">
        <f aca="false">IF(OR($A30="",$F30=0),"",$U30/$F30)</f>
        <v/>
      </c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</row>
    <row r="31" customFormat="false" ht="15" hidden="false" customHeight="false" outlineLevel="0" collapsed="false">
      <c r="A31" s="23"/>
      <c r="B31" s="24"/>
      <c r="C31" s="24"/>
      <c r="D31" s="23"/>
      <c r="E31" s="23"/>
      <c r="F31" s="25"/>
      <c r="G31" s="26"/>
      <c r="H31" s="19"/>
      <c r="I31" s="19"/>
      <c r="J31" s="36" t="str">
        <f aca="false">IF($A31="","",$H31*$F31)</f>
        <v/>
      </c>
      <c r="K31" s="36" t="str">
        <f aca="false">IF($A31="","",$G31+$J31)</f>
        <v/>
      </c>
      <c r="L31" s="37" t="str">
        <f aca="false">IF(OR($A31="",$F31=0),"",$K31/$F31)</f>
        <v/>
      </c>
      <c r="M31" s="38" t="str">
        <f aca="false">IF($A31="","",SUMIF('Lot Entry'!$A$7:$A$2000,$A31,'Lot Entry'!$H$7:$H$2000))</f>
        <v/>
      </c>
      <c r="N31" s="39" t="str">
        <f aca="false">IF($A31="","",SUMIF('Lot Entry'!$A$7:$A$2000,$A31,'Lot Entry'!$I$7:$I$2000))</f>
        <v/>
      </c>
      <c r="O31" s="40" t="str">
        <f aca="false">IF(OR($A31="",$F31=0),"",$N31/$F31)</f>
        <v/>
      </c>
      <c r="P31" s="41" t="str">
        <f aca="false">IF($A31="","",SUMIF('Lot Entry'!$A$7:$A$2000,$A31,'Lot Entry'!$J$7:$J$2000))</f>
        <v/>
      </c>
      <c r="Q31" s="36" t="str">
        <f aca="false">IF($A31="","",$P31*$I31)</f>
        <v/>
      </c>
      <c r="R31" s="37" t="str">
        <f aca="false">IF($A31="","",IF(W31="",Expenses!$B$6,W31)+IF(X31="",Expenses!$B$7,X31)+IF(Y31="",Expenses!$B$8,Y31)+IF(Z31="",Expenses!$B$9,Z31)+IF(AA31="",Expenses!$B$10,AA31)+IF(AB31="",Expenses!$B$11,AB31)+IF(AC31="",Expenses!$B$12,AC31)+IF(AD31="",Expenses!$B$13,AD31)+IF(AE31="",Expenses!$B$14,AE31)+IF(AF31="",Expenses!$B$15,AF31)+IF(AG31="",Expenses!$B$16,AG31)+IF(AH31="",Expenses!$B$17,AH31)+IF(AI31="",Expenses!$B$18,AI31))</f>
        <v/>
      </c>
      <c r="S31" s="36" t="str">
        <f aca="false">IF($A31="","",$R31*$M31)</f>
        <v/>
      </c>
      <c r="T31" s="36" t="str">
        <f aca="false">IF($A31="","",$K31+$S31)</f>
        <v/>
      </c>
      <c r="U31" s="42" t="str">
        <f aca="false">IF($A31="","",$Q31-$T31)</f>
        <v/>
      </c>
      <c r="V31" s="43" t="str">
        <f aca="false">IF(OR($A31="",$F31=0),"",$U31/$F31)</f>
        <v/>
      </c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</row>
    <row r="32" customFormat="false" ht="15" hidden="false" customHeight="false" outlineLevel="0" collapsed="false">
      <c r="A32" s="23"/>
      <c r="B32" s="24"/>
      <c r="C32" s="24"/>
      <c r="D32" s="23"/>
      <c r="E32" s="23"/>
      <c r="F32" s="25"/>
      <c r="G32" s="26"/>
      <c r="H32" s="19"/>
      <c r="I32" s="19"/>
      <c r="J32" s="27" t="str">
        <f aca="false">IF($A32="","",$H32*$F32)</f>
        <v/>
      </c>
      <c r="K32" s="27" t="str">
        <f aca="false">IF($A32="","",$G32+$J32)</f>
        <v/>
      </c>
      <c r="L32" s="28" t="str">
        <f aca="false">IF(OR($A32="",$F32=0),"",$K32/$F32)</f>
        <v/>
      </c>
      <c r="M32" s="29" t="str">
        <f aca="false">IF($A32="","",SUMIF('Lot Entry'!$A$7:$A$2000,$A32,'Lot Entry'!$H$7:$H$2000))</f>
        <v/>
      </c>
      <c r="N32" s="30" t="str">
        <f aca="false">IF($A32="","",SUMIF('Lot Entry'!$A$7:$A$2000,$A32,'Lot Entry'!$I$7:$I$2000))</f>
        <v/>
      </c>
      <c r="O32" s="31" t="str">
        <f aca="false">IF(OR($A32="",$F32=0),"",$N32/$F32)</f>
        <v/>
      </c>
      <c r="P32" s="32" t="str">
        <f aca="false">IF($A32="","",SUMIF('Lot Entry'!$A$7:$A$2000,$A32,'Lot Entry'!$J$7:$J$2000))</f>
        <v/>
      </c>
      <c r="Q32" s="27" t="str">
        <f aca="false">IF($A32="","",$P32*$I32)</f>
        <v/>
      </c>
      <c r="R32" s="28" t="str">
        <f aca="false">IF($A32="","",IF(W32="",Expenses!$B$6,W32)+IF(X32="",Expenses!$B$7,X32)+IF(Y32="",Expenses!$B$8,Y32)+IF(Z32="",Expenses!$B$9,Z32)+IF(AA32="",Expenses!$B$10,AA32)+IF(AB32="",Expenses!$B$11,AB32)+IF(AC32="",Expenses!$B$12,AC32)+IF(AD32="",Expenses!$B$13,AD32)+IF(AE32="",Expenses!$B$14,AE32)+IF(AF32="",Expenses!$B$15,AF32)+IF(AG32="",Expenses!$B$16,AG32)+IF(AH32="",Expenses!$B$17,AH32)+IF(AI32="",Expenses!$B$18,AI32))</f>
        <v/>
      </c>
      <c r="S32" s="27" t="str">
        <f aca="false">IF($A32="","",$R32*$M32)</f>
        <v/>
      </c>
      <c r="T32" s="27" t="str">
        <f aca="false">IF($A32="","",$K32+$S32)</f>
        <v/>
      </c>
      <c r="U32" s="33" t="str">
        <f aca="false">IF($A32="","",$Q32-$T32)</f>
        <v/>
      </c>
      <c r="V32" s="34" t="str">
        <f aca="false">IF(OR($A32="",$F32=0),"",$U32/$F32)</f>
        <v/>
      </c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</row>
    <row r="33" customFormat="false" ht="15" hidden="false" customHeight="false" outlineLevel="0" collapsed="false">
      <c r="A33" s="23"/>
      <c r="B33" s="24"/>
      <c r="C33" s="24"/>
      <c r="D33" s="23"/>
      <c r="E33" s="23"/>
      <c r="F33" s="25"/>
      <c r="G33" s="26"/>
      <c r="H33" s="19"/>
      <c r="I33" s="19"/>
      <c r="J33" s="36" t="str">
        <f aca="false">IF($A33="","",$H33*$F33)</f>
        <v/>
      </c>
      <c r="K33" s="36" t="str">
        <f aca="false">IF($A33="","",$G33+$J33)</f>
        <v/>
      </c>
      <c r="L33" s="37" t="str">
        <f aca="false">IF(OR($A33="",$F33=0),"",$K33/$F33)</f>
        <v/>
      </c>
      <c r="M33" s="38" t="str">
        <f aca="false">IF($A33="","",SUMIF('Lot Entry'!$A$7:$A$2000,$A33,'Lot Entry'!$H$7:$H$2000))</f>
        <v/>
      </c>
      <c r="N33" s="39" t="str">
        <f aca="false">IF($A33="","",SUMIF('Lot Entry'!$A$7:$A$2000,$A33,'Lot Entry'!$I$7:$I$2000))</f>
        <v/>
      </c>
      <c r="O33" s="40" t="str">
        <f aca="false">IF(OR($A33="",$F33=0),"",$N33/$F33)</f>
        <v/>
      </c>
      <c r="P33" s="41" t="str">
        <f aca="false">IF($A33="","",SUMIF('Lot Entry'!$A$7:$A$2000,$A33,'Lot Entry'!$J$7:$J$2000))</f>
        <v/>
      </c>
      <c r="Q33" s="36" t="str">
        <f aca="false">IF($A33="","",$P33*$I33)</f>
        <v/>
      </c>
      <c r="R33" s="37" t="str">
        <f aca="false">IF($A33="","",IF(W33="",Expenses!$B$6,W33)+IF(X33="",Expenses!$B$7,X33)+IF(Y33="",Expenses!$B$8,Y33)+IF(Z33="",Expenses!$B$9,Z33)+IF(AA33="",Expenses!$B$10,AA33)+IF(AB33="",Expenses!$B$11,AB33)+IF(AC33="",Expenses!$B$12,AC33)+IF(AD33="",Expenses!$B$13,AD33)+IF(AE33="",Expenses!$B$14,AE33)+IF(AF33="",Expenses!$B$15,AF33)+IF(AG33="",Expenses!$B$16,AG33)+IF(AH33="",Expenses!$B$17,AH33)+IF(AI33="",Expenses!$B$18,AI33))</f>
        <v/>
      </c>
      <c r="S33" s="36" t="str">
        <f aca="false">IF($A33="","",$R33*$M33)</f>
        <v/>
      </c>
      <c r="T33" s="36" t="str">
        <f aca="false">IF($A33="","",$K33+$S33)</f>
        <v/>
      </c>
      <c r="U33" s="42" t="str">
        <f aca="false">IF($A33="","",$Q33-$T33)</f>
        <v/>
      </c>
      <c r="V33" s="43" t="str">
        <f aca="false">IF(OR($A33="",$F33=0),"",$U33/$F33)</f>
        <v/>
      </c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</row>
    <row r="34" customFormat="false" ht="15" hidden="false" customHeight="false" outlineLevel="0" collapsed="false">
      <c r="A34" s="23"/>
      <c r="B34" s="24"/>
      <c r="C34" s="24"/>
      <c r="D34" s="23"/>
      <c r="E34" s="23"/>
      <c r="F34" s="25"/>
      <c r="G34" s="26"/>
      <c r="H34" s="19"/>
      <c r="I34" s="19"/>
      <c r="J34" s="27" t="str">
        <f aca="false">IF($A34="","",$H34*$F34)</f>
        <v/>
      </c>
      <c r="K34" s="27" t="str">
        <f aca="false">IF($A34="","",$G34+$J34)</f>
        <v/>
      </c>
      <c r="L34" s="28" t="str">
        <f aca="false">IF(OR($A34="",$F34=0),"",$K34/$F34)</f>
        <v/>
      </c>
      <c r="M34" s="29" t="str">
        <f aca="false">IF($A34="","",SUMIF('Lot Entry'!$A$7:$A$2000,$A34,'Lot Entry'!$H$7:$H$2000))</f>
        <v/>
      </c>
      <c r="N34" s="30" t="str">
        <f aca="false">IF($A34="","",SUMIF('Lot Entry'!$A$7:$A$2000,$A34,'Lot Entry'!$I$7:$I$2000))</f>
        <v/>
      </c>
      <c r="O34" s="31" t="str">
        <f aca="false">IF(OR($A34="",$F34=0),"",$N34/$F34)</f>
        <v/>
      </c>
      <c r="P34" s="32" t="str">
        <f aca="false">IF($A34="","",SUMIF('Lot Entry'!$A$7:$A$2000,$A34,'Lot Entry'!$J$7:$J$2000))</f>
        <v/>
      </c>
      <c r="Q34" s="27" t="str">
        <f aca="false">IF($A34="","",$P34*$I34)</f>
        <v/>
      </c>
      <c r="R34" s="28" t="str">
        <f aca="false">IF($A34="","",IF(W34="",Expenses!$B$6,W34)+IF(X34="",Expenses!$B$7,X34)+IF(Y34="",Expenses!$B$8,Y34)+IF(Z34="",Expenses!$B$9,Z34)+IF(AA34="",Expenses!$B$10,AA34)+IF(AB34="",Expenses!$B$11,AB34)+IF(AC34="",Expenses!$B$12,AC34)+IF(AD34="",Expenses!$B$13,AD34)+IF(AE34="",Expenses!$B$14,AE34)+IF(AF34="",Expenses!$B$15,AF34)+IF(AG34="",Expenses!$B$16,AG34)+IF(AH34="",Expenses!$B$17,AH34)+IF(AI34="",Expenses!$B$18,AI34))</f>
        <v/>
      </c>
      <c r="S34" s="27" t="str">
        <f aca="false">IF($A34="","",$R34*$M34)</f>
        <v/>
      </c>
      <c r="T34" s="27" t="str">
        <f aca="false">IF($A34="","",$K34+$S34)</f>
        <v/>
      </c>
      <c r="U34" s="33" t="str">
        <f aca="false">IF($A34="","",$Q34-$T34)</f>
        <v/>
      </c>
      <c r="V34" s="34" t="str">
        <f aca="false">IF(OR($A34="",$F34=0),"",$U34/$F34)</f>
        <v/>
      </c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</row>
    <row r="35" customFormat="false" ht="15" hidden="false" customHeight="false" outlineLevel="0" collapsed="false">
      <c r="A35" s="23"/>
      <c r="B35" s="24"/>
      <c r="C35" s="24"/>
      <c r="D35" s="23"/>
      <c r="E35" s="23"/>
      <c r="F35" s="25"/>
      <c r="G35" s="26"/>
      <c r="H35" s="19"/>
      <c r="I35" s="19"/>
      <c r="J35" s="36" t="str">
        <f aca="false">IF($A35="","",$H35*$F35)</f>
        <v/>
      </c>
      <c r="K35" s="36" t="str">
        <f aca="false">IF($A35="","",$G35+$J35)</f>
        <v/>
      </c>
      <c r="L35" s="37" t="str">
        <f aca="false">IF(OR($A35="",$F35=0),"",$K35/$F35)</f>
        <v/>
      </c>
      <c r="M35" s="38" t="str">
        <f aca="false">IF($A35="","",SUMIF('Lot Entry'!$A$7:$A$2000,$A35,'Lot Entry'!$H$7:$H$2000))</f>
        <v/>
      </c>
      <c r="N35" s="39" t="str">
        <f aca="false">IF($A35="","",SUMIF('Lot Entry'!$A$7:$A$2000,$A35,'Lot Entry'!$I$7:$I$2000))</f>
        <v/>
      </c>
      <c r="O35" s="40" t="str">
        <f aca="false">IF(OR($A35="",$F35=0),"",$N35/$F35)</f>
        <v/>
      </c>
      <c r="P35" s="41" t="str">
        <f aca="false">IF($A35="","",SUMIF('Lot Entry'!$A$7:$A$2000,$A35,'Lot Entry'!$J$7:$J$2000))</f>
        <v/>
      </c>
      <c r="Q35" s="36" t="str">
        <f aca="false">IF($A35="","",$P35*$I35)</f>
        <v/>
      </c>
      <c r="R35" s="37" t="str">
        <f aca="false">IF($A35="","",IF(W35="",Expenses!$B$6,W35)+IF(X35="",Expenses!$B$7,X35)+IF(Y35="",Expenses!$B$8,Y35)+IF(Z35="",Expenses!$B$9,Z35)+IF(AA35="",Expenses!$B$10,AA35)+IF(AB35="",Expenses!$B$11,AB35)+IF(AC35="",Expenses!$B$12,AC35)+IF(AD35="",Expenses!$B$13,AD35)+IF(AE35="",Expenses!$B$14,AE35)+IF(AF35="",Expenses!$B$15,AF35)+IF(AG35="",Expenses!$B$16,AG35)+IF(AH35="",Expenses!$B$17,AH35)+IF(AI35="",Expenses!$B$18,AI35))</f>
        <v/>
      </c>
      <c r="S35" s="36" t="str">
        <f aca="false">IF($A35="","",$R35*$M35)</f>
        <v/>
      </c>
      <c r="T35" s="36" t="str">
        <f aca="false">IF($A35="","",$K35+$S35)</f>
        <v/>
      </c>
      <c r="U35" s="42" t="str">
        <f aca="false">IF($A35="","",$Q35-$T35)</f>
        <v/>
      </c>
      <c r="V35" s="43" t="str">
        <f aca="false">IF(OR($A35="",$F35=0),"",$U35/$F35)</f>
        <v/>
      </c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customFormat="false" ht="15" hidden="false" customHeight="false" outlineLevel="0" collapsed="false">
      <c r="A36" s="23"/>
      <c r="B36" s="24"/>
      <c r="C36" s="24"/>
      <c r="D36" s="23"/>
      <c r="E36" s="23"/>
      <c r="F36" s="25"/>
      <c r="G36" s="26"/>
      <c r="H36" s="19"/>
      <c r="I36" s="19"/>
      <c r="J36" s="27" t="str">
        <f aca="false">IF($A36="","",$H36*$F36)</f>
        <v/>
      </c>
      <c r="K36" s="27" t="str">
        <f aca="false">IF($A36="","",$G36+$J36)</f>
        <v/>
      </c>
      <c r="L36" s="28" t="str">
        <f aca="false">IF(OR($A36="",$F36=0),"",$K36/$F36)</f>
        <v/>
      </c>
      <c r="M36" s="29" t="str">
        <f aca="false">IF($A36="","",SUMIF('Lot Entry'!$A$7:$A$2000,$A36,'Lot Entry'!$H$7:$H$2000))</f>
        <v/>
      </c>
      <c r="N36" s="30" t="str">
        <f aca="false">IF($A36="","",SUMIF('Lot Entry'!$A$7:$A$2000,$A36,'Lot Entry'!$I$7:$I$2000))</f>
        <v/>
      </c>
      <c r="O36" s="31" t="str">
        <f aca="false">IF(OR($A36="",$F36=0),"",$N36/$F36)</f>
        <v/>
      </c>
      <c r="P36" s="32" t="str">
        <f aca="false">IF($A36="","",SUMIF('Lot Entry'!$A$7:$A$2000,$A36,'Lot Entry'!$J$7:$J$2000))</f>
        <v/>
      </c>
      <c r="Q36" s="27" t="str">
        <f aca="false">IF($A36="","",$P36*$I36)</f>
        <v/>
      </c>
      <c r="R36" s="28" t="str">
        <f aca="false">IF($A36="","",IF(W36="",Expenses!$B$6,W36)+IF(X36="",Expenses!$B$7,X36)+IF(Y36="",Expenses!$B$8,Y36)+IF(Z36="",Expenses!$B$9,Z36)+IF(AA36="",Expenses!$B$10,AA36)+IF(AB36="",Expenses!$B$11,AB36)+IF(AC36="",Expenses!$B$12,AC36)+IF(AD36="",Expenses!$B$13,AD36)+IF(AE36="",Expenses!$B$14,AE36)+IF(AF36="",Expenses!$B$15,AF36)+IF(AG36="",Expenses!$B$16,AG36)+IF(AH36="",Expenses!$B$17,AH36)+IF(AI36="",Expenses!$B$18,AI36))</f>
        <v/>
      </c>
      <c r="S36" s="27" t="str">
        <f aca="false">IF($A36="","",$R36*$M36)</f>
        <v/>
      </c>
      <c r="T36" s="27" t="str">
        <f aca="false">IF($A36="","",$K36+$S36)</f>
        <v/>
      </c>
      <c r="U36" s="33" t="str">
        <f aca="false">IF($A36="","",$Q36-$T36)</f>
        <v/>
      </c>
      <c r="V36" s="34" t="str">
        <f aca="false">IF(OR($A36="",$F36=0),"",$U36/$F36)</f>
        <v/>
      </c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customFormat="false" ht="15" hidden="false" customHeight="false" outlineLevel="0" collapsed="false">
      <c r="A37" s="23"/>
      <c r="B37" s="24"/>
      <c r="C37" s="24"/>
      <c r="D37" s="23"/>
      <c r="E37" s="23"/>
      <c r="F37" s="25"/>
      <c r="G37" s="26"/>
      <c r="H37" s="19"/>
      <c r="I37" s="19"/>
      <c r="J37" s="36" t="str">
        <f aca="false">IF($A37="","",$H37*$F37)</f>
        <v/>
      </c>
      <c r="K37" s="36" t="str">
        <f aca="false">IF($A37="","",$G37+$J37)</f>
        <v/>
      </c>
      <c r="L37" s="37" t="str">
        <f aca="false">IF(OR($A37="",$F37=0),"",$K37/$F37)</f>
        <v/>
      </c>
      <c r="M37" s="38" t="str">
        <f aca="false">IF($A37="","",SUMIF('Lot Entry'!$A$7:$A$2000,$A37,'Lot Entry'!$H$7:$H$2000))</f>
        <v/>
      </c>
      <c r="N37" s="39" t="str">
        <f aca="false">IF($A37="","",SUMIF('Lot Entry'!$A$7:$A$2000,$A37,'Lot Entry'!$I$7:$I$2000))</f>
        <v/>
      </c>
      <c r="O37" s="40" t="str">
        <f aca="false">IF(OR($A37="",$F37=0),"",$N37/$F37)</f>
        <v/>
      </c>
      <c r="P37" s="41" t="str">
        <f aca="false">IF($A37="","",SUMIF('Lot Entry'!$A$7:$A$2000,$A37,'Lot Entry'!$J$7:$J$2000))</f>
        <v/>
      </c>
      <c r="Q37" s="36" t="str">
        <f aca="false">IF($A37="","",$P37*$I37)</f>
        <v/>
      </c>
      <c r="R37" s="37" t="str">
        <f aca="false">IF($A37="","",IF(W37="",Expenses!$B$6,W37)+IF(X37="",Expenses!$B$7,X37)+IF(Y37="",Expenses!$B$8,Y37)+IF(Z37="",Expenses!$B$9,Z37)+IF(AA37="",Expenses!$B$10,AA37)+IF(AB37="",Expenses!$B$11,AB37)+IF(AC37="",Expenses!$B$12,AC37)+IF(AD37="",Expenses!$B$13,AD37)+IF(AE37="",Expenses!$B$14,AE37)+IF(AF37="",Expenses!$B$15,AF37)+IF(AG37="",Expenses!$B$16,AG37)+IF(AH37="",Expenses!$B$17,AH37)+IF(AI37="",Expenses!$B$18,AI37))</f>
        <v/>
      </c>
      <c r="S37" s="36" t="str">
        <f aca="false">IF($A37="","",$R37*$M37)</f>
        <v/>
      </c>
      <c r="T37" s="36" t="str">
        <f aca="false">IF($A37="","",$K37+$S37)</f>
        <v/>
      </c>
      <c r="U37" s="42" t="str">
        <f aca="false">IF($A37="","",$Q37-$T37)</f>
        <v/>
      </c>
      <c r="V37" s="43" t="str">
        <f aca="false">IF(OR($A37="",$F37=0),"",$U37/$F37)</f>
        <v/>
      </c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</row>
    <row r="38" customFormat="false" ht="15" hidden="false" customHeight="false" outlineLevel="0" collapsed="false">
      <c r="A38" s="23"/>
      <c r="B38" s="24"/>
      <c r="C38" s="24"/>
      <c r="D38" s="23"/>
      <c r="E38" s="23"/>
      <c r="F38" s="25"/>
      <c r="G38" s="26"/>
      <c r="H38" s="19"/>
      <c r="I38" s="19"/>
      <c r="J38" s="27" t="str">
        <f aca="false">IF($A38="","",$H38*$F38)</f>
        <v/>
      </c>
      <c r="K38" s="27" t="str">
        <f aca="false">IF($A38="","",$G38+$J38)</f>
        <v/>
      </c>
      <c r="L38" s="28" t="str">
        <f aca="false">IF(OR($A38="",$F38=0),"",$K38/$F38)</f>
        <v/>
      </c>
      <c r="M38" s="29" t="str">
        <f aca="false">IF($A38="","",SUMIF('Lot Entry'!$A$7:$A$2000,$A38,'Lot Entry'!$H$7:$H$2000))</f>
        <v/>
      </c>
      <c r="N38" s="30" t="str">
        <f aca="false">IF($A38="","",SUMIF('Lot Entry'!$A$7:$A$2000,$A38,'Lot Entry'!$I$7:$I$2000))</f>
        <v/>
      </c>
      <c r="O38" s="31" t="str">
        <f aca="false">IF(OR($A38="",$F38=0),"",$N38/$F38)</f>
        <v/>
      </c>
      <c r="P38" s="32" t="str">
        <f aca="false">IF($A38="","",SUMIF('Lot Entry'!$A$7:$A$2000,$A38,'Lot Entry'!$J$7:$J$2000))</f>
        <v/>
      </c>
      <c r="Q38" s="27" t="str">
        <f aca="false">IF($A38="","",$P38*$I38)</f>
        <v/>
      </c>
      <c r="R38" s="28" t="str">
        <f aca="false">IF($A38="","",IF(W38="",Expenses!$B$6,W38)+IF(X38="",Expenses!$B$7,X38)+IF(Y38="",Expenses!$B$8,Y38)+IF(Z38="",Expenses!$B$9,Z38)+IF(AA38="",Expenses!$B$10,AA38)+IF(AB38="",Expenses!$B$11,AB38)+IF(AC38="",Expenses!$B$12,AC38)+IF(AD38="",Expenses!$B$13,AD38)+IF(AE38="",Expenses!$B$14,AE38)+IF(AF38="",Expenses!$B$15,AF38)+IF(AG38="",Expenses!$B$16,AG38)+IF(AH38="",Expenses!$B$17,AH38)+IF(AI38="",Expenses!$B$18,AI38))</f>
        <v/>
      </c>
      <c r="S38" s="27" t="str">
        <f aca="false">IF($A38="","",$R38*$M38)</f>
        <v/>
      </c>
      <c r="T38" s="27" t="str">
        <f aca="false">IF($A38="","",$K38+$S38)</f>
        <v/>
      </c>
      <c r="U38" s="33" t="str">
        <f aca="false">IF($A38="","",$Q38-$T38)</f>
        <v/>
      </c>
      <c r="V38" s="34" t="str">
        <f aca="false">IF(OR($A38="",$F38=0),"",$U38/$F38)</f>
        <v/>
      </c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</row>
    <row r="39" customFormat="false" ht="15" hidden="false" customHeight="false" outlineLevel="0" collapsed="false">
      <c r="A39" s="23"/>
      <c r="B39" s="24"/>
      <c r="C39" s="24"/>
      <c r="D39" s="23"/>
      <c r="E39" s="23"/>
      <c r="F39" s="25"/>
      <c r="G39" s="26"/>
      <c r="H39" s="19"/>
      <c r="I39" s="19"/>
      <c r="J39" s="36" t="str">
        <f aca="false">IF($A39="","",$H39*$F39)</f>
        <v/>
      </c>
      <c r="K39" s="36" t="str">
        <f aca="false">IF($A39="","",$G39+$J39)</f>
        <v/>
      </c>
      <c r="L39" s="37" t="str">
        <f aca="false">IF(OR($A39="",$F39=0),"",$K39/$F39)</f>
        <v/>
      </c>
      <c r="M39" s="38" t="str">
        <f aca="false">IF($A39="","",SUMIF('Lot Entry'!$A$7:$A$2000,$A39,'Lot Entry'!$H$7:$H$2000))</f>
        <v/>
      </c>
      <c r="N39" s="39" t="str">
        <f aca="false">IF($A39="","",SUMIF('Lot Entry'!$A$7:$A$2000,$A39,'Lot Entry'!$I$7:$I$2000))</f>
        <v/>
      </c>
      <c r="O39" s="40" t="str">
        <f aca="false">IF(OR($A39="",$F39=0),"",$N39/$F39)</f>
        <v/>
      </c>
      <c r="P39" s="41" t="str">
        <f aca="false">IF($A39="","",SUMIF('Lot Entry'!$A$7:$A$2000,$A39,'Lot Entry'!$J$7:$J$2000))</f>
        <v/>
      </c>
      <c r="Q39" s="36" t="str">
        <f aca="false">IF($A39="","",$P39*$I39)</f>
        <v/>
      </c>
      <c r="R39" s="37" t="str">
        <f aca="false">IF($A39="","",IF(W39="",Expenses!$B$6,W39)+IF(X39="",Expenses!$B$7,X39)+IF(Y39="",Expenses!$B$8,Y39)+IF(Z39="",Expenses!$B$9,Z39)+IF(AA39="",Expenses!$B$10,AA39)+IF(AB39="",Expenses!$B$11,AB39)+IF(AC39="",Expenses!$B$12,AC39)+IF(AD39="",Expenses!$B$13,AD39)+IF(AE39="",Expenses!$B$14,AE39)+IF(AF39="",Expenses!$B$15,AF39)+IF(AG39="",Expenses!$B$16,AG39)+IF(AH39="",Expenses!$B$17,AH39)+IF(AI39="",Expenses!$B$18,AI39))</f>
        <v/>
      </c>
      <c r="S39" s="36" t="str">
        <f aca="false">IF($A39="","",$R39*$M39)</f>
        <v/>
      </c>
      <c r="T39" s="36" t="str">
        <f aca="false">IF($A39="","",$K39+$S39)</f>
        <v/>
      </c>
      <c r="U39" s="42" t="str">
        <f aca="false">IF($A39="","",$Q39-$T39)</f>
        <v/>
      </c>
      <c r="V39" s="43" t="str">
        <f aca="false">IF(OR($A39="",$F39=0),"",$U39/$F39)</f>
        <v/>
      </c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</row>
    <row r="40" customFormat="false" ht="15" hidden="false" customHeight="false" outlineLevel="0" collapsed="false">
      <c r="A40" s="23"/>
      <c r="B40" s="24"/>
      <c r="C40" s="24"/>
      <c r="D40" s="23"/>
      <c r="E40" s="23"/>
      <c r="F40" s="25"/>
      <c r="G40" s="26"/>
      <c r="H40" s="19"/>
      <c r="I40" s="19"/>
      <c r="J40" s="27" t="str">
        <f aca="false">IF($A40="","",$H40*$F40)</f>
        <v/>
      </c>
      <c r="K40" s="27" t="str">
        <f aca="false">IF($A40="","",$G40+$J40)</f>
        <v/>
      </c>
      <c r="L40" s="28" t="str">
        <f aca="false">IF(OR($A40="",$F40=0),"",$K40/$F40)</f>
        <v/>
      </c>
      <c r="M40" s="29" t="str">
        <f aca="false">IF($A40="","",SUMIF('Lot Entry'!$A$7:$A$2000,$A40,'Lot Entry'!$H$7:$H$2000))</f>
        <v/>
      </c>
      <c r="N40" s="30" t="str">
        <f aca="false">IF($A40="","",SUMIF('Lot Entry'!$A$7:$A$2000,$A40,'Lot Entry'!$I$7:$I$2000))</f>
        <v/>
      </c>
      <c r="O40" s="31" t="str">
        <f aca="false">IF(OR($A40="",$F40=0),"",$N40/$F40)</f>
        <v/>
      </c>
      <c r="P40" s="32" t="str">
        <f aca="false">IF($A40="","",SUMIF('Lot Entry'!$A$7:$A$2000,$A40,'Lot Entry'!$J$7:$J$2000))</f>
        <v/>
      </c>
      <c r="Q40" s="27" t="str">
        <f aca="false">IF($A40="","",$P40*$I40)</f>
        <v/>
      </c>
      <c r="R40" s="28" t="str">
        <f aca="false">IF($A40="","",IF(W40="",Expenses!$B$6,W40)+IF(X40="",Expenses!$B$7,X40)+IF(Y40="",Expenses!$B$8,Y40)+IF(Z40="",Expenses!$B$9,Z40)+IF(AA40="",Expenses!$B$10,AA40)+IF(AB40="",Expenses!$B$11,AB40)+IF(AC40="",Expenses!$B$12,AC40)+IF(AD40="",Expenses!$B$13,AD40)+IF(AE40="",Expenses!$B$14,AE40)+IF(AF40="",Expenses!$B$15,AF40)+IF(AG40="",Expenses!$B$16,AG40)+IF(AH40="",Expenses!$B$17,AH40)+IF(AI40="",Expenses!$B$18,AI40))</f>
        <v/>
      </c>
      <c r="S40" s="27" t="str">
        <f aca="false">IF($A40="","",$R40*$M40)</f>
        <v/>
      </c>
      <c r="T40" s="27" t="str">
        <f aca="false">IF($A40="","",$K40+$S40)</f>
        <v/>
      </c>
      <c r="U40" s="33" t="str">
        <f aca="false">IF($A40="","",$Q40-$T40)</f>
        <v/>
      </c>
      <c r="V40" s="34" t="str">
        <f aca="false">IF(OR($A40="",$F40=0),"",$U40/$F40)</f>
        <v/>
      </c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</row>
    <row r="41" customFormat="false" ht="15" hidden="false" customHeight="false" outlineLevel="0" collapsed="false">
      <c r="A41" s="23"/>
      <c r="B41" s="24"/>
      <c r="C41" s="24"/>
      <c r="D41" s="23"/>
      <c r="E41" s="23"/>
      <c r="F41" s="25"/>
      <c r="G41" s="26"/>
      <c r="H41" s="19"/>
      <c r="I41" s="19"/>
      <c r="J41" s="36" t="str">
        <f aca="false">IF($A41="","",$H41*$F41)</f>
        <v/>
      </c>
      <c r="K41" s="36" t="str">
        <f aca="false">IF($A41="","",$G41+$J41)</f>
        <v/>
      </c>
      <c r="L41" s="37" t="str">
        <f aca="false">IF(OR($A41="",$F41=0),"",$K41/$F41)</f>
        <v/>
      </c>
      <c r="M41" s="38" t="str">
        <f aca="false">IF($A41="","",SUMIF('Lot Entry'!$A$7:$A$2000,$A41,'Lot Entry'!$H$7:$H$2000))</f>
        <v/>
      </c>
      <c r="N41" s="39" t="str">
        <f aca="false">IF($A41="","",SUMIF('Lot Entry'!$A$7:$A$2000,$A41,'Lot Entry'!$I$7:$I$2000))</f>
        <v/>
      </c>
      <c r="O41" s="40" t="str">
        <f aca="false">IF(OR($A41="",$F41=0),"",$N41/$F41)</f>
        <v/>
      </c>
      <c r="P41" s="41" t="str">
        <f aca="false">IF($A41="","",SUMIF('Lot Entry'!$A$7:$A$2000,$A41,'Lot Entry'!$J$7:$J$2000))</f>
        <v/>
      </c>
      <c r="Q41" s="36" t="str">
        <f aca="false">IF($A41="","",$P41*$I41)</f>
        <v/>
      </c>
      <c r="R41" s="37" t="str">
        <f aca="false">IF($A41="","",IF(W41="",Expenses!$B$6,W41)+IF(X41="",Expenses!$B$7,X41)+IF(Y41="",Expenses!$B$8,Y41)+IF(Z41="",Expenses!$B$9,Z41)+IF(AA41="",Expenses!$B$10,AA41)+IF(AB41="",Expenses!$B$11,AB41)+IF(AC41="",Expenses!$B$12,AC41)+IF(AD41="",Expenses!$B$13,AD41)+IF(AE41="",Expenses!$B$14,AE41)+IF(AF41="",Expenses!$B$15,AF41)+IF(AG41="",Expenses!$B$16,AG41)+IF(AH41="",Expenses!$B$17,AH41)+IF(AI41="",Expenses!$B$18,AI41))</f>
        <v/>
      </c>
      <c r="S41" s="36" t="str">
        <f aca="false">IF($A41="","",$R41*$M41)</f>
        <v/>
      </c>
      <c r="T41" s="36" t="str">
        <f aca="false">IF($A41="","",$K41+$S41)</f>
        <v/>
      </c>
      <c r="U41" s="42" t="str">
        <f aca="false">IF($A41="","",$Q41-$T41)</f>
        <v/>
      </c>
      <c r="V41" s="43" t="str">
        <f aca="false">IF(OR($A41="",$F41=0),"",$U41/$F41)</f>
        <v/>
      </c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</row>
    <row r="42" customFormat="false" ht="15" hidden="false" customHeight="false" outlineLevel="0" collapsed="false">
      <c r="A42" s="23"/>
      <c r="B42" s="24"/>
      <c r="C42" s="24"/>
      <c r="D42" s="23"/>
      <c r="E42" s="23"/>
      <c r="F42" s="25"/>
      <c r="G42" s="26"/>
      <c r="H42" s="19"/>
      <c r="I42" s="19"/>
      <c r="J42" s="27" t="str">
        <f aca="false">IF($A42="","",$H42*$F42)</f>
        <v/>
      </c>
      <c r="K42" s="27" t="str">
        <f aca="false">IF($A42="","",$G42+$J42)</f>
        <v/>
      </c>
      <c r="L42" s="28" t="str">
        <f aca="false">IF(OR($A42="",$F42=0),"",$K42/$F42)</f>
        <v/>
      </c>
      <c r="M42" s="29" t="str">
        <f aca="false">IF($A42="","",SUMIF('Lot Entry'!$A$7:$A$2000,$A42,'Lot Entry'!$H$7:$H$2000))</f>
        <v/>
      </c>
      <c r="N42" s="30" t="str">
        <f aca="false">IF($A42="","",SUMIF('Lot Entry'!$A$7:$A$2000,$A42,'Lot Entry'!$I$7:$I$2000))</f>
        <v/>
      </c>
      <c r="O42" s="31" t="str">
        <f aca="false">IF(OR($A42="",$F42=0),"",$N42/$F42)</f>
        <v/>
      </c>
      <c r="P42" s="32" t="str">
        <f aca="false">IF($A42="","",SUMIF('Lot Entry'!$A$7:$A$2000,$A42,'Lot Entry'!$J$7:$J$2000))</f>
        <v/>
      </c>
      <c r="Q42" s="27" t="str">
        <f aca="false">IF($A42="","",$P42*$I42)</f>
        <v/>
      </c>
      <c r="R42" s="28" t="str">
        <f aca="false">IF($A42="","",IF(W42="",Expenses!$B$6,W42)+IF(X42="",Expenses!$B$7,X42)+IF(Y42="",Expenses!$B$8,Y42)+IF(Z42="",Expenses!$B$9,Z42)+IF(AA42="",Expenses!$B$10,AA42)+IF(AB42="",Expenses!$B$11,AB42)+IF(AC42="",Expenses!$B$12,AC42)+IF(AD42="",Expenses!$B$13,AD42)+IF(AE42="",Expenses!$B$14,AE42)+IF(AF42="",Expenses!$B$15,AF42)+IF(AG42="",Expenses!$B$16,AG42)+IF(AH42="",Expenses!$B$17,AH42)+IF(AI42="",Expenses!$B$18,AI42))</f>
        <v/>
      </c>
      <c r="S42" s="27" t="str">
        <f aca="false">IF($A42="","",$R42*$M42)</f>
        <v/>
      </c>
      <c r="T42" s="27" t="str">
        <f aca="false">IF($A42="","",$K42+$S42)</f>
        <v/>
      </c>
      <c r="U42" s="33" t="str">
        <f aca="false">IF($A42="","",$Q42-$T42)</f>
        <v/>
      </c>
      <c r="V42" s="34" t="str">
        <f aca="false">IF(OR($A42="",$F42=0),"",$U42/$F42)</f>
        <v/>
      </c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customFormat="false" ht="15" hidden="false" customHeight="false" outlineLevel="0" collapsed="false">
      <c r="A43" s="23"/>
      <c r="B43" s="24"/>
      <c r="C43" s="24"/>
      <c r="D43" s="23"/>
      <c r="E43" s="23"/>
      <c r="F43" s="25"/>
      <c r="G43" s="26"/>
      <c r="H43" s="19"/>
      <c r="I43" s="19"/>
      <c r="J43" s="36" t="str">
        <f aca="false">IF($A43="","",$H43*$F43)</f>
        <v/>
      </c>
      <c r="K43" s="36" t="str">
        <f aca="false">IF($A43="","",$G43+$J43)</f>
        <v/>
      </c>
      <c r="L43" s="37" t="str">
        <f aca="false">IF(OR($A43="",$F43=0),"",$K43/$F43)</f>
        <v/>
      </c>
      <c r="M43" s="38" t="str">
        <f aca="false">IF($A43="","",SUMIF('Lot Entry'!$A$7:$A$2000,$A43,'Lot Entry'!$H$7:$H$2000))</f>
        <v/>
      </c>
      <c r="N43" s="39" t="str">
        <f aca="false">IF($A43="","",SUMIF('Lot Entry'!$A$7:$A$2000,$A43,'Lot Entry'!$I$7:$I$2000))</f>
        <v/>
      </c>
      <c r="O43" s="40" t="str">
        <f aca="false">IF(OR($A43="",$F43=0),"",$N43/$F43)</f>
        <v/>
      </c>
      <c r="P43" s="41" t="str">
        <f aca="false">IF($A43="","",SUMIF('Lot Entry'!$A$7:$A$2000,$A43,'Lot Entry'!$J$7:$J$2000))</f>
        <v/>
      </c>
      <c r="Q43" s="36" t="str">
        <f aca="false">IF($A43="","",$P43*$I43)</f>
        <v/>
      </c>
      <c r="R43" s="37" t="str">
        <f aca="false">IF($A43="","",IF(W43="",Expenses!$B$6,W43)+IF(X43="",Expenses!$B$7,X43)+IF(Y43="",Expenses!$B$8,Y43)+IF(Z43="",Expenses!$B$9,Z43)+IF(AA43="",Expenses!$B$10,AA43)+IF(AB43="",Expenses!$B$11,AB43)+IF(AC43="",Expenses!$B$12,AC43)+IF(AD43="",Expenses!$B$13,AD43)+IF(AE43="",Expenses!$B$14,AE43)+IF(AF43="",Expenses!$B$15,AF43)+IF(AG43="",Expenses!$B$16,AG43)+IF(AH43="",Expenses!$B$17,AH43)+IF(AI43="",Expenses!$B$18,AI43))</f>
        <v/>
      </c>
      <c r="S43" s="36" t="str">
        <f aca="false">IF($A43="","",$R43*$M43)</f>
        <v/>
      </c>
      <c r="T43" s="36" t="str">
        <f aca="false">IF($A43="","",$K43+$S43)</f>
        <v/>
      </c>
      <c r="U43" s="42" t="str">
        <f aca="false">IF($A43="","",$Q43-$T43)</f>
        <v/>
      </c>
      <c r="V43" s="43" t="str">
        <f aca="false">IF(OR($A43="",$F43=0),"",$U43/$F43)</f>
        <v/>
      </c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customFormat="false" ht="15" hidden="false" customHeight="false" outlineLevel="0" collapsed="false">
      <c r="A44" s="23"/>
      <c r="B44" s="24"/>
      <c r="C44" s="24"/>
      <c r="D44" s="23"/>
      <c r="E44" s="23"/>
      <c r="F44" s="25"/>
      <c r="G44" s="26"/>
      <c r="H44" s="19"/>
      <c r="I44" s="19"/>
      <c r="J44" s="27" t="str">
        <f aca="false">IF($A44="","",$H44*$F44)</f>
        <v/>
      </c>
      <c r="K44" s="27" t="str">
        <f aca="false">IF($A44="","",$G44+$J44)</f>
        <v/>
      </c>
      <c r="L44" s="28" t="str">
        <f aca="false">IF(OR($A44="",$F44=0),"",$K44/$F44)</f>
        <v/>
      </c>
      <c r="M44" s="29" t="str">
        <f aca="false">IF($A44="","",SUMIF('Lot Entry'!$A$7:$A$2000,$A44,'Lot Entry'!$H$7:$H$2000))</f>
        <v/>
      </c>
      <c r="N44" s="30" t="str">
        <f aca="false">IF($A44="","",SUMIF('Lot Entry'!$A$7:$A$2000,$A44,'Lot Entry'!$I$7:$I$2000))</f>
        <v/>
      </c>
      <c r="O44" s="31" t="str">
        <f aca="false">IF(OR($A44="",$F44=0),"",$N44/$F44)</f>
        <v/>
      </c>
      <c r="P44" s="32" t="str">
        <f aca="false">IF($A44="","",SUMIF('Lot Entry'!$A$7:$A$2000,$A44,'Lot Entry'!$J$7:$J$2000))</f>
        <v/>
      </c>
      <c r="Q44" s="27" t="str">
        <f aca="false">IF($A44="","",$P44*$I44)</f>
        <v/>
      </c>
      <c r="R44" s="28" t="str">
        <f aca="false">IF($A44="","",IF(W44="",Expenses!$B$6,W44)+IF(X44="",Expenses!$B$7,X44)+IF(Y44="",Expenses!$B$8,Y44)+IF(Z44="",Expenses!$B$9,Z44)+IF(AA44="",Expenses!$B$10,AA44)+IF(AB44="",Expenses!$B$11,AB44)+IF(AC44="",Expenses!$B$12,AC44)+IF(AD44="",Expenses!$B$13,AD44)+IF(AE44="",Expenses!$B$14,AE44)+IF(AF44="",Expenses!$B$15,AF44)+IF(AG44="",Expenses!$B$16,AG44)+IF(AH44="",Expenses!$B$17,AH44)+IF(AI44="",Expenses!$B$18,AI44))</f>
        <v/>
      </c>
      <c r="S44" s="27" t="str">
        <f aca="false">IF($A44="","",$R44*$M44)</f>
        <v/>
      </c>
      <c r="T44" s="27" t="str">
        <f aca="false">IF($A44="","",$K44+$S44)</f>
        <v/>
      </c>
      <c r="U44" s="33" t="str">
        <f aca="false">IF($A44="","",$Q44-$T44)</f>
        <v/>
      </c>
      <c r="V44" s="34" t="str">
        <f aca="false">IF(OR($A44="",$F44=0),"",$U44/$F44)</f>
        <v/>
      </c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</row>
    <row r="45" customFormat="false" ht="15" hidden="false" customHeight="false" outlineLevel="0" collapsed="false">
      <c r="A45" s="23"/>
      <c r="B45" s="24"/>
      <c r="C45" s="24"/>
      <c r="D45" s="23"/>
      <c r="E45" s="23"/>
      <c r="F45" s="25"/>
      <c r="G45" s="26"/>
      <c r="H45" s="19"/>
      <c r="I45" s="19"/>
      <c r="J45" s="36" t="str">
        <f aca="false">IF($A45="","",$H45*$F45)</f>
        <v/>
      </c>
      <c r="K45" s="36" t="str">
        <f aca="false">IF($A45="","",$G45+$J45)</f>
        <v/>
      </c>
      <c r="L45" s="37" t="str">
        <f aca="false">IF(OR($A45="",$F45=0),"",$K45/$F45)</f>
        <v/>
      </c>
      <c r="M45" s="38" t="str">
        <f aca="false">IF($A45="","",SUMIF('Lot Entry'!$A$7:$A$2000,$A45,'Lot Entry'!$H$7:$H$2000))</f>
        <v/>
      </c>
      <c r="N45" s="39" t="str">
        <f aca="false">IF($A45="","",SUMIF('Lot Entry'!$A$7:$A$2000,$A45,'Lot Entry'!$I$7:$I$2000))</f>
        <v/>
      </c>
      <c r="O45" s="40" t="str">
        <f aca="false">IF(OR($A45="",$F45=0),"",$N45/$F45)</f>
        <v/>
      </c>
      <c r="P45" s="41" t="str">
        <f aca="false">IF($A45="","",SUMIF('Lot Entry'!$A$7:$A$2000,$A45,'Lot Entry'!$J$7:$J$2000))</f>
        <v/>
      </c>
      <c r="Q45" s="36" t="str">
        <f aca="false">IF($A45="","",$P45*$I45)</f>
        <v/>
      </c>
      <c r="R45" s="37" t="str">
        <f aca="false">IF($A45="","",IF(W45="",Expenses!$B$6,W45)+IF(X45="",Expenses!$B$7,X45)+IF(Y45="",Expenses!$B$8,Y45)+IF(Z45="",Expenses!$B$9,Z45)+IF(AA45="",Expenses!$B$10,AA45)+IF(AB45="",Expenses!$B$11,AB45)+IF(AC45="",Expenses!$B$12,AC45)+IF(AD45="",Expenses!$B$13,AD45)+IF(AE45="",Expenses!$B$14,AE45)+IF(AF45="",Expenses!$B$15,AF45)+IF(AG45="",Expenses!$B$16,AG45)+IF(AH45="",Expenses!$B$17,AH45)+IF(AI45="",Expenses!$B$18,AI45))</f>
        <v/>
      </c>
      <c r="S45" s="36" t="str">
        <f aca="false">IF($A45="","",$R45*$M45)</f>
        <v/>
      </c>
      <c r="T45" s="36" t="str">
        <f aca="false">IF($A45="","",$K45+$S45)</f>
        <v/>
      </c>
      <c r="U45" s="42" t="str">
        <f aca="false">IF($A45="","",$Q45-$T45)</f>
        <v/>
      </c>
      <c r="V45" s="43" t="str">
        <f aca="false">IF(OR($A45="",$F45=0),"",$U45/$F45)</f>
        <v/>
      </c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</row>
    <row r="46" customFormat="false" ht="15" hidden="false" customHeight="false" outlineLevel="0" collapsed="false">
      <c r="A46" s="23"/>
      <c r="B46" s="24"/>
      <c r="C46" s="24"/>
      <c r="D46" s="23"/>
      <c r="E46" s="23"/>
      <c r="F46" s="25"/>
      <c r="G46" s="26"/>
      <c r="H46" s="19"/>
      <c r="I46" s="19"/>
      <c r="J46" s="27" t="str">
        <f aca="false">IF($A46="","",$H46*$F46)</f>
        <v/>
      </c>
      <c r="K46" s="27" t="str">
        <f aca="false">IF($A46="","",$G46+$J46)</f>
        <v/>
      </c>
      <c r="L46" s="28" t="str">
        <f aca="false">IF(OR($A46="",$F46=0),"",$K46/$F46)</f>
        <v/>
      </c>
      <c r="M46" s="29" t="str">
        <f aca="false">IF($A46="","",SUMIF('Lot Entry'!$A$7:$A$2000,$A46,'Lot Entry'!$H$7:$H$2000))</f>
        <v/>
      </c>
      <c r="N46" s="30" t="str">
        <f aca="false">IF($A46="","",SUMIF('Lot Entry'!$A$7:$A$2000,$A46,'Lot Entry'!$I$7:$I$2000))</f>
        <v/>
      </c>
      <c r="O46" s="31" t="str">
        <f aca="false">IF(OR($A46="",$F46=0),"",$N46/$F46)</f>
        <v/>
      </c>
      <c r="P46" s="32" t="str">
        <f aca="false">IF($A46="","",SUMIF('Lot Entry'!$A$7:$A$2000,$A46,'Lot Entry'!$J$7:$J$2000))</f>
        <v/>
      </c>
      <c r="Q46" s="27" t="str">
        <f aca="false">IF($A46="","",$P46*$I46)</f>
        <v/>
      </c>
      <c r="R46" s="28" t="str">
        <f aca="false">IF($A46="","",IF(W46="",Expenses!$B$6,W46)+IF(X46="",Expenses!$B$7,X46)+IF(Y46="",Expenses!$B$8,Y46)+IF(Z46="",Expenses!$B$9,Z46)+IF(AA46="",Expenses!$B$10,AA46)+IF(AB46="",Expenses!$B$11,AB46)+IF(AC46="",Expenses!$B$12,AC46)+IF(AD46="",Expenses!$B$13,AD46)+IF(AE46="",Expenses!$B$14,AE46)+IF(AF46="",Expenses!$B$15,AF46)+IF(AG46="",Expenses!$B$16,AG46)+IF(AH46="",Expenses!$B$17,AH46)+IF(AI46="",Expenses!$B$18,AI46))</f>
        <v/>
      </c>
      <c r="S46" s="27" t="str">
        <f aca="false">IF($A46="","",$R46*$M46)</f>
        <v/>
      </c>
      <c r="T46" s="27" t="str">
        <f aca="false">IF($A46="","",$K46+$S46)</f>
        <v/>
      </c>
      <c r="U46" s="33" t="str">
        <f aca="false">IF($A46="","",$Q46-$T46)</f>
        <v/>
      </c>
      <c r="V46" s="34" t="str">
        <f aca="false">IF(OR($A46="",$F46=0),"",$U46/$F46)</f>
        <v/>
      </c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</row>
    <row r="47" customFormat="false" ht="15" hidden="false" customHeight="false" outlineLevel="0" collapsed="false">
      <c r="A47" s="23"/>
      <c r="B47" s="24"/>
      <c r="C47" s="24"/>
      <c r="D47" s="23"/>
      <c r="E47" s="23"/>
      <c r="F47" s="25"/>
      <c r="G47" s="26"/>
      <c r="H47" s="19"/>
      <c r="I47" s="19"/>
      <c r="J47" s="36" t="str">
        <f aca="false">IF($A47="","",$H47*$F47)</f>
        <v/>
      </c>
      <c r="K47" s="36" t="str">
        <f aca="false">IF($A47="","",$G47+$J47)</f>
        <v/>
      </c>
      <c r="L47" s="37" t="str">
        <f aca="false">IF(OR($A47="",$F47=0),"",$K47/$F47)</f>
        <v/>
      </c>
      <c r="M47" s="38" t="str">
        <f aca="false">IF($A47="","",SUMIF('Lot Entry'!$A$7:$A$2000,$A47,'Lot Entry'!$H$7:$H$2000))</f>
        <v/>
      </c>
      <c r="N47" s="39" t="str">
        <f aca="false">IF($A47="","",SUMIF('Lot Entry'!$A$7:$A$2000,$A47,'Lot Entry'!$I$7:$I$2000))</f>
        <v/>
      </c>
      <c r="O47" s="40" t="str">
        <f aca="false">IF(OR($A47="",$F47=0),"",$N47/$F47)</f>
        <v/>
      </c>
      <c r="P47" s="41" t="str">
        <f aca="false">IF($A47="","",SUMIF('Lot Entry'!$A$7:$A$2000,$A47,'Lot Entry'!$J$7:$J$2000))</f>
        <v/>
      </c>
      <c r="Q47" s="36" t="str">
        <f aca="false">IF($A47="","",$P47*$I47)</f>
        <v/>
      </c>
      <c r="R47" s="37" t="str">
        <f aca="false">IF($A47="","",IF(W47="",Expenses!$B$6,W47)+IF(X47="",Expenses!$B$7,X47)+IF(Y47="",Expenses!$B$8,Y47)+IF(Z47="",Expenses!$B$9,Z47)+IF(AA47="",Expenses!$B$10,AA47)+IF(AB47="",Expenses!$B$11,AB47)+IF(AC47="",Expenses!$B$12,AC47)+IF(AD47="",Expenses!$B$13,AD47)+IF(AE47="",Expenses!$B$14,AE47)+IF(AF47="",Expenses!$B$15,AF47)+IF(AG47="",Expenses!$B$16,AG47)+IF(AH47="",Expenses!$B$17,AH47)+IF(AI47="",Expenses!$B$18,AI47))</f>
        <v/>
      </c>
      <c r="S47" s="36" t="str">
        <f aca="false">IF($A47="","",$R47*$M47)</f>
        <v/>
      </c>
      <c r="T47" s="36" t="str">
        <f aca="false">IF($A47="","",$K47+$S47)</f>
        <v/>
      </c>
      <c r="U47" s="42" t="str">
        <f aca="false">IF($A47="","",$Q47-$T47)</f>
        <v/>
      </c>
      <c r="V47" s="43" t="str">
        <f aca="false">IF(OR($A47="",$F47=0),"",$U47/$F47)</f>
        <v/>
      </c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</row>
    <row r="48" customFormat="false" ht="15" hidden="false" customHeight="false" outlineLevel="0" collapsed="false">
      <c r="A48" s="23"/>
      <c r="B48" s="24"/>
      <c r="C48" s="24"/>
      <c r="D48" s="23"/>
      <c r="E48" s="23"/>
      <c r="F48" s="25"/>
      <c r="G48" s="26"/>
      <c r="H48" s="19"/>
      <c r="I48" s="19"/>
      <c r="J48" s="27" t="str">
        <f aca="false">IF($A48="","",$H48*$F48)</f>
        <v/>
      </c>
      <c r="K48" s="27" t="str">
        <f aca="false">IF($A48="","",$G48+$J48)</f>
        <v/>
      </c>
      <c r="L48" s="28" t="str">
        <f aca="false">IF(OR($A48="",$F48=0),"",$K48/$F48)</f>
        <v/>
      </c>
      <c r="M48" s="29" t="str">
        <f aca="false">IF($A48="","",SUMIF('Lot Entry'!$A$7:$A$2000,$A48,'Lot Entry'!$H$7:$H$2000))</f>
        <v/>
      </c>
      <c r="N48" s="30" t="str">
        <f aca="false">IF($A48="","",SUMIF('Lot Entry'!$A$7:$A$2000,$A48,'Lot Entry'!$I$7:$I$2000))</f>
        <v/>
      </c>
      <c r="O48" s="31" t="str">
        <f aca="false">IF(OR($A48="",$F48=0),"",$N48/$F48)</f>
        <v/>
      </c>
      <c r="P48" s="32" t="str">
        <f aca="false">IF($A48="","",SUMIF('Lot Entry'!$A$7:$A$2000,$A48,'Lot Entry'!$J$7:$J$2000))</f>
        <v/>
      </c>
      <c r="Q48" s="27" t="str">
        <f aca="false">IF($A48="","",$P48*$I48)</f>
        <v/>
      </c>
      <c r="R48" s="28" t="str">
        <f aca="false">IF($A48="","",IF(W48="",Expenses!$B$6,W48)+IF(X48="",Expenses!$B$7,X48)+IF(Y48="",Expenses!$B$8,Y48)+IF(Z48="",Expenses!$B$9,Z48)+IF(AA48="",Expenses!$B$10,AA48)+IF(AB48="",Expenses!$B$11,AB48)+IF(AC48="",Expenses!$B$12,AC48)+IF(AD48="",Expenses!$B$13,AD48)+IF(AE48="",Expenses!$B$14,AE48)+IF(AF48="",Expenses!$B$15,AF48)+IF(AG48="",Expenses!$B$16,AG48)+IF(AH48="",Expenses!$B$17,AH48)+IF(AI48="",Expenses!$B$18,AI48))</f>
        <v/>
      </c>
      <c r="S48" s="27" t="str">
        <f aca="false">IF($A48="","",$R48*$M48)</f>
        <v/>
      </c>
      <c r="T48" s="27" t="str">
        <f aca="false">IF($A48="","",$K48+$S48)</f>
        <v/>
      </c>
      <c r="U48" s="33" t="str">
        <f aca="false">IF($A48="","",$Q48-$T48)</f>
        <v/>
      </c>
      <c r="V48" s="34" t="str">
        <f aca="false">IF(OR($A48="",$F48=0),"",$U48/$F48)</f>
        <v/>
      </c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</row>
    <row r="49" customFormat="false" ht="15" hidden="false" customHeight="false" outlineLevel="0" collapsed="false">
      <c r="A49" s="23"/>
      <c r="B49" s="24"/>
      <c r="C49" s="24"/>
      <c r="D49" s="23"/>
      <c r="E49" s="23"/>
      <c r="F49" s="25"/>
      <c r="G49" s="26"/>
      <c r="H49" s="19"/>
      <c r="I49" s="19"/>
      <c r="J49" s="36" t="str">
        <f aca="false">IF($A49="","",$H49*$F49)</f>
        <v/>
      </c>
      <c r="K49" s="36" t="str">
        <f aca="false">IF($A49="","",$G49+$J49)</f>
        <v/>
      </c>
      <c r="L49" s="37" t="str">
        <f aca="false">IF(OR($A49="",$F49=0),"",$K49/$F49)</f>
        <v/>
      </c>
      <c r="M49" s="38" t="str">
        <f aca="false">IF($A49="","",SUMIF('Lot Entry'!$A$7:$A$2000,$A49,'Lot Entry'!$H$7:$H$2000))</f>
        <v/>
      </c>
      <c r="N49" s="39" t="str">
        <f aca="false">IF($A49="","",SUMIF('Lot Entry'!$A$7:$A$2000,$A49,'Lot Entry'!$I$7:$I$2000))</f>
        <v/>
      </c>
      <c r="O49" s="40" t="str">
        <f aca="false">IF(OR($A49="",$F49=0),"",$N49/$F49)</f>
        <v/>
      </c>
      <c r="P49" s="41" t="str">
        <f aca="false">IF($A49="","",SUMIF('Lot Entry'!$A$7:$A$2000,$A49,'Lot Entry'!$J$7:$J$2000))</f>
        <v/>
      </c>
      <c r="Q49" s="36" t="str">
        <f aca="false">IF($A49="","",$P49*$I49)</f>
        <v/>
      </c>
      <c r="R49" s="37" t="str">
        <f aca="false">IF($A49="","",IF(W49="",Expenses!$B$6,W49)+IF(X49="",Expenses!$B$7,X49)+IF(Y49="",Expenses!$B$8,Y49)+IF(Z49="",Expenses!$B$9,Z49)+IF(AA49="",Expenses!$B$10,AA49)+IF(AB49="",Expenses!$B$11,AB49)+IF(AC49="",Expenses!$B$12,AC49)+IF(AD49="",Expenses!$B$13,AD49)+IF(AE49="",Expenses!$B$14,AE49)+IF(AF49="",Expenses!$B$15,AF49)+IF(AG49="",Expenses!$B$16,AG49)+IF(AH49="",Expenses!$B$17,AH49)+IF(AI49="",Expenses!$B$18,AI49))</f>
        <v/>
      </c>
      <c r="S49" s="36" t="str">
        <f aca="false">IF($A49="","",$R49*$M49)</f>
        <v/>
      </c>
      <c r="T49" s="36" t="str">
        <f aca="false">IF($A49="","",$K49+$S49)</f>
        <v/>
      </c>
      <c r="U49" s="42" t="str">
        <f aca="false">IF($A49="","",$Q49-$T49)</f>
        <v/>
      </c>
      <c r="V49" s="43" t="str">
        <f aca="false">IF(OR($A49="",$F49=0),"",$U49/$F49)</f>
        <v/>
      </c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</row>
    <row r="50" customFormat="false" ht="15" hidden="false" customHeight="false" outlineLevel="0" collapsed="false">
      <c r="A50" s="23"/>
      <c r="B50" s="24"/>
      <c r="C50" s="24"/>
      <c r="D50" s="23"/>
      <c r="E50" s="23"/>
      <c r="F50" s="25"/>
      <c r="G50" s="26"/>
      <c r="H50" s="19"/>
      <c r="I50" s="19"/>
      <c r="J50" s="27" t="str">
        <f aca="false">IF($A50="","",$H50*$F50)</f>
        <v/>
      </c>
      <c r="K50" s="27" t="str">
        <f aca="false">IF($A50="","",$G50+$J50)</f>
        <v/>
      </c>
      <c r="L50" s="28" t="str">
        <f aca="false">IF(OR($A50="",$F50=0),"",$K50/$F50)</f>
        <v/>
      </c>
      <c r="M50" s="29" t="str">
        <f aca="false">IF($A50="","",SUMIF('Lot Entry'!$A$7:$A$2000,$A50,'Lot Entry'!$H$7:$H$2000))</f>
        <v/>
      </c>
      <c r="N50" s="30" t="str">
        <f aca="false">IF($A50="","",SUMIF('Lot Entry'!$A$7:$A$2000,$A50,'Lot Entry'!$I$7:$I$2000))</f>
        <v/>
      </c>
      <c r="O50" s="31" t="str">
        <f aca="false">IF(OR($A50="",$F50=0),"",$N50/$F50)</f>
        <v/>
      </c>
      <c r="P50" s="32" t="str">
        <f aca="false">IF($A50="","",SUMIF('Lot Entry'!$A$7:$A$2000,$A50,'Lot Entry'!$J$7:$J$2000))</f>
        <v/>
      </c>
      <c r="Q50" s="27" t="str">
        <f aca="false">IF($A50="","",$P50*$I50)</f>
        <v/>
      </c>
      <c r="R50" s="28" t="str">
        <f aca="false">IF($A50="","",IF(W50="",Expenses!$B$6,W50)+IF(X50="",Expenses!$B$7,X50)+IF(Y50="",Expenses!$B$8,Y50)+IF(Z50="",Expenses!$B$9,Z50)+IF(AA50="",Expenses!$B$10,AA50)+IF(AB50="",Expenses!$B$11,AB50)+IF(AC50="",Expenses!$B$12,AC50)+IF(AD50="",Expenses!$B$13,AD50)+IF(AE50="",Expenses!$B$14,AE50)+IF(AF50="",Expenses!$B$15,AF50)+IF(AG50="",Expenses!$B$16,AG50)+IF(AH50="",Expenses!$B$17,AH50)+IF(AI50="",Expenses!$B$18,AI50))</f>
        <v/>
      </c>
      <c r="S50" s="27" t="str">
        <f aca="false">IF($A50="","",$R50*$M50)</f>
        <v/>
      </c>
      <c r="T50" s="27" t="str">
        <f aca="false">IF($A50="","",$K50+$S50)</f>
        <v/>
      </c>
      <c r="U50" s="33" t="str">
        <f aca="false">IF($A50="","",$Q50-$T50)</f>
        <v/>
      </c>
      <c r="V50" s="34" t="str">
        <f aca="false">IF(OR($A50="",$F50=0),"",$U50/$F50)</f>
        <v/>
      </c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</row>
    <row r="51" customFormat="false" ht="15" hidden="false" customHeight="false" outlineLevel="0" collapsed="false">
      <c r="A51" s="23"/>
      <c r="B51" s="24"/>
      <c r="C51" s="24"/>
      <c r="D51" s="23"/>
      <c r="E51" s="23"/>
      <c r="F51" s="25"/>
      <c r="G51" s="26"/>
      <c r="H51" s="19"/>
      <c r="I51" s="19"/>
      <c r="J51" s="36" t="str">
        <f aca="false">IF($A51="","",$H51*$F51)</f>
        <v/>
      </c>
      <c r="K51" s="36" t="str">
        <f aca="false">IF($A51="","",$G51+$J51)</f>
        <v/>
      </c>
      <c r="L51" s="37" t="str">
        <f aca="false">IF(OR($A51="",$F51=0),"",$K51/$F51)</f>
        <v/>
      </c>
      <c r="M51" s="38" t="str">
        <f aca="false">IF($A51="","",SUMIF('Lot Entry'!$A$7:$A$2000,$A51,'Lot Entry'!$H$7:$H$2000))</f>
        <v/>
      </c>
      <c r="N51" s="39" t="str">
        <f aca="false">IF($A51="","",SUMIF('Lot Entry'!$A$7:$A$2000,$A51,'Lot Entry'!$I$7:$I$2000))</f>
        <v/>
      </c>
      <c r="O51" s="40" t="str">
        <f aca="false">IF(OR($A51="",$F51=0),"",$N51/$F51)</f>
        <v/>
      </c>
      <c r="P51" s="41" t="str">
        <f aca="false">IF($A51="","",SUMIF('Lot Entry'!$A$7:$A$2000,$A51,'Lot Entry'!$J$7:$J$2000))</f>
        <v/>
      </c>
      <c r="Q51" s="36" t="str">
        <f aca="false">IF($A51="","",$P51*$I51)</f>
        <v/>
      </c>
      <c r="R51" s="37" t="str">
        <f aca="false">IF($A51="","",IF(W51="",Expenses!$B$6,W51)+IF(X51="",Expenses!$B$7,X51)+IF(Y51="",Expenses!$B$8,Y51)+IF(Z51="",Expenses!$B$9,Z51)+IF(AA51="",Expenses!$B$10,AA51)+IF(AB51="",Expenses!$B$11,AB51)+IF(AC51="",Expenses!$B$12,AC51)+IF(AD51="",Expenses!$B$13,AD51)+IF(AE51="",Expenses!$B$14,AE51)+IF(AF51="",Expenses!$B$15,AF51)+IF(AG51="",Expenses!$B$16,AG51)+IF(AH51="",Expenses!$B$17,AH51)+IF(AI51="",Expenses!$B$18,AI51))</f>
        <v/>
      </c>
      <c r="S51" s="36" t="str">
        <f aca="false">IF($A51="","",$R51*$M51)</f>
        <v/>
      </c>
      <c r="T51" s="36" t="str">
        <f aca="false">IF($A51="","",$K51+$S51)</f>
        <v/>
      </c>
      <c r="U51" s="42" t="str">
        <f aca="false">IF($A51="","",$Q51-$T51)</f>
        <v/>
      </c>
      <c r="V51" s="43" t="str">
        <f aca="false">IF(OR($A51="",$F51=0),"",$U51/$F51)</f>
        <v/>
      </c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</row>
    <row r="52" customFormat="false" ht="15" hidden="false" customHeight="false" outlineLevel="0" collapsed="false">
      <c r="A52" s="23"/>
      <c r="B52" s="24"/>
      <c r="C52" s="24"/>
      <c r="D52" s="23"/>
      <c r="E52" s="23"/>
      <c r="F52" s="25"/>
      <c r="G52" s="26"/>
      <c r="H52" s="19"/>
      <c r="I52" s="19"/>
      <c r="J52" s="27" t="str">
        <f aca="false">IF($A52="","",$H52*$F52)</f>
        <v/>
      </c>
      <c r="K52" s="27" t="str">
        <f aca="false">IF($A52="","",$G52+$J52)</f>
        <v/>
      </c>
      <c r="L52" s="28" t="str">
        <f aca="false">IF(OR($A52="",$F52=0),"",$K52/$F52)</f>
        <v/>
      </c>
      <c r="M52" s="29" t="str">
        <f aca="false">IF($A52="","",SUMIF('Lot Entry'!$A$7:$A$2000,$A52,'Lot Entry'!$H$7:$H$2000))</f>
        <v/>
      </c>
      <c r="N52" s="30" t="str">
        <f aca="false">IF($A52="","",SUMIF('Lot Entry'!$A$7:$A$2000,$A52,'Lot Entry'!$I$7:$I$2000))</f>
        <v/>
      </c>
      <c r="O52" s="31" t="str">
        <f aca="false">IF(OR($A52="",$F52=0),"",$N52/$F52)</f>
        <v/>
      </c>
      <c r="P52" s="32" t="str">
        <f aca="false">IF($A52="","",SUMIF('Lot Entry'!$A$7:$A$2000,$A52,'Lot Entry'!$J$7:$J$2000))</f>
        <v/>
      </c>
      <c r="Q52" s="27" t="str">
        <f aca="false">IF($A52="","",$P52*$I52)</f>
        <v/>
      </c>
      <c r="R52" s="28" t="str">
        <f aca="false">IF($A52="","",IF(W52="",Expenses!$B$6,W52)+IF(X52="",Expenses!$B$7,X52)+IF(Y52="",Expenses!$B$8,Y52)+IF(Z52="",Expenses!$B$9,Z52)+IF(AA52="",Expenses!$B$10,AA52)+IF(AB52="",Expenses!$B$11,AB52)+IF(AC52="",Expenses!$B$12,AC52)+IF(AD52="",Expenses!$B$13,AD52)+IF(AE52="",Expenses!$B$14,AE52)+IF(AF52="",Expenses!$B$15,AF52)+IF(AG52="",Expenses!$B$16,AG52)+IF(AH52="",Expenses!$B$17,AH52)+IF(AI52="",Expenses!$B$18,AI52))</f>
        <v/>
      </c>
      <c r="S52" s="27" t="str">
        <f aca="false">IF($A52="","",$R52*$M52)</f>
        <v/>
      </c>
      <c r="T52" s="27" t="str">
        <f aca="false">IF($A52="","",$K52+$S52)</f>
        <v/>
      </c>
      <c r="U52" s="33" t="str">
        <f aca="false">IF($A52="","",$Q52-$T52)</f>
        <v/>
      </c>
      <c r="V52" s="34" t="str">
        <f aca="false">IF(OR($A52="",$F52=0),"",$U52/$F52)</f>
        <v/>
      </c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 customFormat="false" ht="15" hidden="false" customHeight="false" outlineLevel="0" collapsed="false">
      <c r="A53" s="23"/>
      <c r="B53" s="24"/>
      <c r="C53" s="24"/>
      <c r="D53" s="23"/>
      <c r="E53" s="23"/>
      <c r="F53" s="25"/>
      <c r="G53" s="26"/>
      <c r="H53" s="19"/>
      <c r="I53" s="19"/>
      <c r="J53" s="36" t="str">
        <f aca="false">IF($A53="","",$H53*$F53)</f>
        <v/>
      </c>
      <c r="K53" s="36" t="str">
        <f aca="false">IF($A53="","",$G53+$J53)</f>
        <v/>
      </c>
      <c r="L53" s="37" t="str">
        <f aca="false">IF(OR($A53="",$F53=0),"",$K53/$F53)</f>
        <v/>
      </c>
      <c r="M53" s="38" t="str">
        <f aca="false">IF($A53="","",SUMIF('Lot Entry'!$A$7:$A$2000,$A53,'Lot Entry'!$H$7:$H$2000))</f>
        <v/>
      </c>
      <c r="N53" s="39" t="str">
        <f aca="false">IF($A53="","",SUMIF('Lot Entry'!$A$7:$A$2000,$A53,'Lot Entry'!$I$7:$I$2000))</f>
        <v/>
      </c>
      <c r="O53" s="40" t="str">
        <f aca="false">IF(OR($A53="",$F53=0),"",$N53/$F53)</f>
        <v/>
      </c>
      <c r="P53" s="41" t="str">
        <f aca="false">IF($A53="","",SUMIF('Lot Entry'!$A$7:$A$2000,$A53,'Lot Entry'!$J$7:$J$2000))</f>
        <v/>
      </c>
      <c r="Q53" s="36" t="str">
        <f aca="false">IF($A53="","",$P53*$I53)</f>
        <v/>
      </c>
      <c r="R53" s="37" t="str">
        <f aca="false">IF($A53="","",IF(W53="",Expenses!$B$6,W53)+IF(X53="",Expenses!$B$7,X53)+IF(Y53="",Expenses!$B$8,Y53)+IF(Z53="",Expenses!$B$9,Z53)+IF(AA53="",Expenses!$B$10,AA53)+IF(AB53="",Expenses!$B$11,AB53)+IF(AC53="",Expenses!$B$12,AC53)+IF(AD53="",Expenses!$B$13,AD53)+IF(AE53="",Expenses!$B$14,AE53)+IF(AF53="",Expenses!$B$15,AF53)+IF(AG53="",Expenses!$B$16,AG53)+IF(AH53="",Expenses!$B$17,AH53)+IF(AI53="",Expenses!$B$18,AI53))</f>
        <v/>
      </c>
      <c r="S53" s="36" t="str">
        <f aca="false">IF($A53="","",$R53*$M53)</f>
        <v/>
      </c>
      <c r="T53" s="36" t="str">
        <f aca="false">IF($A53="","",$K53+$S53)</f>
        <v/>
      </c>
      <c r="U53" s="42" t="str">
        <f aca="false">IF($A53="","",$Q53-$T53)</f>
        <v/>
      </c>
      <c r="V53" s="43" t="str">
        <f aca="false">IF(OR($A53="",$F53=0),"",$U53/$F53)</f>
        <v/>
      </c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</row>
    <row r="54" customFormat="false" ht="15" hidden="false" customHeight="false" outlineLevel="0" collapsed="false">
      <c r="A54" s="23"/>
      <c r="B54" s="24"/>
      <c r="C54" s="24"/>
      <c r="D54" s="23"/>
      <c r="E54" s="23"/>
      <c r="F54" s="25"/>
      <c r="G54" s="26"/>
      <c r="H54" s="19"/>
      <c r="I54" s="19"/>
      <c r="J54" s="27" t="str">
        <f aca="false">IF($A54="","",$H54*$F54)</f>
        <v/>
      </c>
      <c r="K54" s="27" t="str">
        <f aca="false">IF($A54="","",$G54+$J54)</f>
        <v/>
      </c>
      <c r="L54" s="28" t="str">
        <f aca="false">IF(OR($A54="",$F54=0),"",$K54/$F54)</f>
        <v/>
      </c>
      <c r="M54" s="29" t="str">
        <f aca="false">IF($A54="","",SUMIF('Lot Entry'!$A$7:$A$2000,$A54,'Lot Entry'!$H$7:$H$2000))</f>
        <v/>
      </c>
      <c r="N54" s="30" t="str">
        <f aca="false">IF($A54="","",SUMIF('Lot Entry'!$A$7:$A$2000,$A54,'Lot Entry'!$I$7:$I$2000))</f>
        <v/>
      </c>
      <c r="O54" s="31" t="str">
        <f aca="false">IF(OR($A54="",$F54=0),"",$N54/$F54)</f>
        <v/>
      </c>
      <c r="P54" s="32" t="str">
        <f aca="false">IF($A54="","",SUMIF('Lot Entry'!$A$7:$A$2000,$A54,'Lot Entry'!$J$7:$J$2000))</f>
        <v/>
      </c>
      <c r="Q54" s="27" t="str">
        <f aca="false">IF($A54="","",$P54*$I54)</f>
        <v/>
      </c>
      <c r="R54" s="28" t="str">
        <f aca="false">IF($A54="","",IF(W54="",Expenses!$B$6,W54)+IF(X54="",Expenses!$B$7,X54)+IF(Y54="",Expenses!$B$8,Y54)+IF(Z54="",Expenses!$B$9,Z54)+IF(AA54="",Expenses!$B$10,AA54)+IF(AB54="",Expenses!$B$11,AB54)+IF(AC54="",Expenses!$B$12,AC54)+IF(AD54="",Expenses!$B$13,AD54)+IF(AE54="",Expenses!$B$14,AE54)+IF(AF54="",Expenses!$B$15,AF54)+IF(AG54="",Expenses!$B$16,AG54)+IF(AH54="",Expenses!$B$17,AH54)+IF(AI54="",Expenses!$B$18,AI54))</f>
        <v/>
      </c>
      <c r="S54" s="27" t="str">
        <f aca="false">IF($A54="","",$R54*$M54)</f>
        <v/>
      </c>
      <c r="T54" s="27" t="str">
        <f aca="false">IF($A54="","",$K54+$S54)</f>
        <v/>
      </c>
      <c r="U54" s="33" t="str">
        <f aca="false">IF($A54="","",$Q54-$T54)</f>
        <v/>
      </c>
      <c r="V54" s="34" t="str">
        <f aca="false">IF(OR($A54="",$F54=0),"",$U54/$F54)</f>
        <v/>
      </c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</row>
    <row r="55" customFormat="false" ht="15" hidden="false" customHeight="false" outlineLevel="0" collapsed="false">
      <c r="A55" s="23"/>
      <c r="B55" s="24"/>
      <c r="C55" s="24"/>
      <c r="D55" s="23"/>
      <c r="E55" s="23"/>
      <c r="F55" s="25"/>
      <c r="G55" s="26"/>
      <c r="H55" s="19"/>
      <c r="I55" s="19"/>
      <c r="J55" s="36" t="str">
        <f aca="false">IF($A55="","",$H55*$F55)</f>
        <v/>
      </c>
      <c r="K55" s="36" t="str">
        <f aca="false">IF($A55="","",$G55+$J55)</f>
        <v/>
      </c>
      <c r="L55" s="37" t="str">
        <f aca="false">IF(OR($A55="",$F55=0),"",$K55/$F55)</f>
        <v/>
      </c>
      <c r="M55" s="38" t="str">
        <f aca="false">IF($A55="","",SUMIF('Lot Entry'!$A$7:$A$2000,$A55,'Lot Entry'!$H$7:$H$2000))</f>
        <v/>
      </c>
      <c r="N55" s="39" t="str">
        <f aca="false">IF($A55="","",SUMIF('Lot Entry'!$A$7:$A$2000,$A55,'Lot Entry'!$I$7:$I$2000))</f>
        <v/>
      </c>
      <c r="O55" s="40" t="str">
        <f aca="false">IF(OR($A55="",$F55=0),"",$N55/$F55)</f>
        <v/>
      </c>
      <c r="P55" s="41" t="str">
        <f aca="false">IF($A55="","",SUMIF('Lot Entry'!$A$7:$A$2000,$A55,'Lot Entry'!$J$7:$J$2000))</f>
        <v/>
      </c>
      <c r="Q55" s="36" t="str">
        <f aca="false">IF($A55="","",$P55*$I55)</f>
        <v/>
      </c>
      <c r="R55" s="37" t="str">
        <f aca="false">IF($A55="","",IF(W55="",Expenses!$B$6,W55)+IF(X55="",Expenses!$B$7,X55)+IF(Y55="",Expenses!$B$8,Y55)+IF(Z55="",Expenses!$B$9,Z55)+IF(AA55="",Expenses!$B$10,AA55)+IF(AB55="",Expenses!$B$11,AB55)+IF(AC55="",Expenses!$B$12,AC55)+IF(AD55="",Expenses!$B$13,AD55)+IF(AE55="",Expenses!$B$14,AE55)+IF(AF55="",Expenses!$B$15,AF55)+IF(AG55="",Expenses!$B$16,AG55)+IF(AH55="",Expenses!$B$17,AH55)+IF(AI55="",Expenses!$B$18,AI55))</f>
        <v/>
      </c>
      <c r="S55" s="36" t="str">
        <f aca="false">IF($A55="","",$R55*$M55)</f>
        <v/>
      </c>
      <c r="T55" s="36" t="str">
        <f aca="false">IF($A55="","",$K55+$S55)</f>
        <v/>
      </c>
      <c r="U55" s="42" t="str">
        <f aca="false">IF($A55="","",$Q55-$T55)</f>
        <v/>
      </c>
      <c r="V55" s="43" t="str">
        <f aca="false">IF(OR($A55="",$F55=0),"",$U55/$F55)</f>
        <v/>
      </c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</row>
    <row r="56" customFormat="false" ht="15" hidden="false" customHeight="false" outlineLevel="0" collapsed="false">
      <c r="A56" s="23"/>
      <c r="B56" s="24"/>
      <c r="C56" s="24"/>
      <c r="D56" s="23"/>
      <c r="E56" s="23"/>
      <c r="F56" s="25"/>
      <c r="G56" s="26"/>
      <c r="H56" s="19"/>
      <c r="I56" s="19"/>
      <c r="J56" s="27" t="str">
        <f aca="false">IF($A56="","",$H56*$F56)</f>
        <v/>
      </c>
      <c r="K56" s="27" t="str">
        <f aca="false">IF($A56="","",$G56+$J56)</f>
        <v/>
      </c>
      <c r="L56" s="28" t="str">
        <f aca="false">IF(OR($A56="",$F56=0),"",$K56/$F56)</f>
        <v/>
      </c>
      <c r="M56" s="29" t="str">
        <f aca="false">IF($A56="","",SUMIF('Lot Entry'!$A$7:$A$2000,$A56,'Lot Entry'!$H$7:$H$2000))</f>
        <v/>
      </c>
      <c r="N56" s="30" t="str">
        <f aca="false">IF($A56="","",SUMIF('Lot Entry'!$A$7:$A$2000,$A56,'Lot Entry'!$I$7:$I$2000))</f>
        <v/>
      </c>
      <c r="O56" s="31" t="str">
        <f aca="false">IF(OR($A56="",$F56=0),"",$N56/$F56)</f>
        <v/>
      </c>
      <c r="P56" s="32" t="str">
        <f aca="false">IF($A56="","",SUMIF('Lot Entry'!$A$7:$A$2000,$A56,'Lot Entry'!$J$7:$J$2000))</f>
        <v/>
      </c>
      <c r="Q56" s="27" t="str">
        <f aca="false">IF($A56="","",$P56*$I56)</f>
        <v/>
      </c>
      <c r="R56" s="28" t="str">
        <f aca="false">IF($A56="","",IF(W56="",Expenses!$B$6,W56)+IF(X56="",Expenses!$B$7,X56)+IF(Y56="",Expenses!$B$8,Y56)+IF(Z56="",Expenses!$B$9,Z56)+IF(AA56="",Expenses!$B$10,AA56)+IF(AB56="",Expenses!$B$11,AB56)+IF(AC56="",Expenses!$B$12,AC56)+IF(AD56="",Expenses!$B$13,AD56)+IF(AE56="",Expenses!$B$14,AE56)+IF(AF56="",Expenses!$B$15,AF56)+IF(AG56="",Expenses!$B$16,AG56)+IF(AH56="",Expenses!$B$17,AH56)+IF(AI56="",Expenses!$B$18,AI56))</f>
        <v/>
      </c>
      <c r="S56" s="27" t="str">
        <f aca="false">IF($A56="","",$R56*$M56)</f>
        <v/>
      </c>
      <c r="T56" s="27" t="str">
        <f aca="false">IF($A56="","",$K56+$S56)</f>
        <v/>
      </c>
      <c r="U56" s="33" t="str">
        <f aca="false">IF($A56="","",$Q56-$T56)</f>
        <v/>
      </c>
      <c r="V56" s="34" t="str">
        <f aca="false">IF(OR($A56="",$F56=0),"",$U56/$F56)</f>
        <v/>
      </c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</row>
    <row r="57" customFormat="false" ht="15" hidden="false" customHeight="false" outlineLevel="0" collapsed="false">
      <c r="A57" s="23"/>
      <c r="B57" s="24"/>
      <c r="C57" s="24"/>
      <c r="D57" s="23"/>
      <c r="E57" s="23"/>
      <c r="F57" s="25"/>
      <c r="G57" s="26"/>
      <c r="H57" s="19"/>
      <c r="I57" s="19"/>
      <c r="J57" s="36" t="str">
        <f aca="false">IF($A57="","",$H57*$F57)</f>
        <v/>
      </c>
      <c r="K57" s="36" t="str">
        <f aca="false">IF($A57="","",$G57+$J57)</f>
        <v/>
      </c>
      <c r="L57" s="37" t="str">
        <f aca="false">IF(OR($A57="",$F57=0),"",$K57/$F57)</f>
        <v/>
      </c>
      <c r="M57" s="38" t="str">
        <f aca="false">IF($A57="","",SUMIF('Lot Entry'!$A$7:$A$2000,$A57,'Lot Entry'!$H$7:$H$2000))</f>
        <v/>
      </c>
      <c r="N57" s="39" t="str">
        <f aca="false">IF($A57="","",SUMIF('Lot Entry'!$A$7:$A$2000,$A57,'Lot Entry'!$I$7:$I$2000))</f>
        <v/>
      </c>
      <c r="O57" s="40" t="str">
        <f aca="false">IF(OR($A57="",$F57=0),"",$N57/$F57)</f>
        <v/>
      </c>
      <c r="P57" s="41" t="str">
        <f aca="false">IF($A57="","",SUMIF('Lot Entry'!$A$7:$A$2000,$A57,'Lot Entry'!$J$7:$J$2000))</f>
        <v/>
      </c>
      <c r="Q57" s="36" t="str">
        <f aca="false">IF($A57="","",$P57*$I57)</f>
        <v/>
      </c>
      <c r="R57" s="37" t="str">
        <f aca="false">IF($A57="","",IF(W57="",Expenses!$B$6,W57)+IF(X57="",Expenses!$B$7,X57)+IF(Y57="",Expenses!$B$8,Y57)+IF(Z57="",Expenses!$B$9,Z57)+IF(AA57="",Expenses!$B$10,AA57)+IF(AB57="",Expenses!$B$11,AB57)+IF(AC57="",Expenses!$B$12,AC57)+IF(AD57="",Expenses!$B$13,AD57)+IF(AE57="",Expenses!$B$14,AE57)+IF(AF57="",Expenses!$B$15,AF57)+IF(AG57="",Expenses!$B$16,AG57)+IF(AH57="",Expenses!$B$17,AH57)+IF(AI57="",Expenses!$B$18,AI57))</f>
        <v/>
      </c>
      <c r="S57" s="36" t="str">
        <f aca="false">IF($A57="","",$R57*$M57)</f>
        <v/>
      </c>
      <c r="T57" s="36" t="str">
        <f aca="false">IF($A57="","",$K57+$S57)</f>
        <v/>
      </c>
      <c r="U57" s="42" t="str">
        <f aca="false">IF($A57="","",$Q57-$T57)</f>
        <v/>
      </c>
      <c r="V57" s="43" t="str">
        <f aca="false">IF(OR($A57="",$F57=0),"",$U57/$F57)</f>
        <v/>
      </c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</row>
    <row r="58" customFormat="false" ht="15" hidden="false" customHeight="false" outlineLevel="0" collapsed="false">
      <c r="A58" s="23"/>
      <c r="B58" s="24"/>
      <c r="C58" s="24"/>
      <c r="D58" s="23"/>
      <c r="E58" s="23"/>
      <c r="F58" s="25"/>
      <c r="G58" s="26"/>
      <c r="H58" s="19"/>
      <c r="I58" s="19"/>
      <c r="J58" s="27" t="str">
        <f aca="false">IF($A58="","",$H58*$F58)</f>
        <v/>
      </c>
      <c r="K58" s="27" t="str">
        <f aca="false">IF($A58="","",$G58+$J58)</f>
        <v/>
      </c>
      <c r="L58" s="28" t="str">
        <f aca="false">IF(OR($A58="",$F58=0),"",$K58/$F58)</f>
        <v/>
      </c>
      <c r="M58" s="29" t="str">
        <f aca="false">IF($A58="","",SUMIF('Lot Entry'!$A$7:$A$2000,$A58,'Lot Entry'!$H$7:$H$2000))</f>
        <v/>
      </c>
      <c r="N58" s="30" t="str">
        <f aca="false">IF($A58="","",SUMIF('Lot Entry'!$A$7:$A$2000,$A58,'Lot Entry'!$I$7:$I$2000))</f>
        <v/>
      </c>
      <c r="O58" s="31" t="str">
        <f aca="false">IF(OR($A58="",$F58=0),"",$N58/$F58)</f>
        <v/>
      </c>
      <c r="P58" s="32" t="str">
        <f aca="false">IF($A58="","",SUMIF('Lot Entry'!$A$7:$A$2000,$A58,'Lot Entry'!$J$7:$J$2000))</f>
        <v/>
      </c>
      <c r="Q58" s="27" t="str">
        <f aca="false">IF($A58="","",$P58*$I58)</f>
        <v/>
      </c>
      <c r="R58" s="28" t="str">
        <f aca="false">IF($A58="","",IF(W58="",Expenses!$B$6,W58)+IF(X58="",Expenses!$B$7,X58)+IF(Y58="",Expenses!$B$8,Y58)+IF(Z58="",Expenses!$B$9,Z58)+IF(AA58="",Expenses!$B$10,AA58)+IF(AB58="",Expenses!$B$11,AB58)+IF(AC58="",Expenses!$B$12,AC58)+IF(AD58="",Expenses!$B$13,AD58)+IF(AE58="",Expenses!$B$14,AE58)+IF(AF58="",Expenses!$B$15,AF58)+IF(AG58="",Expenses!$B$16,AG58)+IF(AH58="",Expenses!$B$17,AH58)+IF(AI58="",Expenses!$B$18,AI58))</f>
        <v/>
      </c>
      <c r="S58" s="27" t="str">
        <f aca="false">IF($A58="","",$R58*$M58)</f>
        <v/>
      </c>
      <c r="T58" s="27" t="str">
        <f aca="false">IF($A58="","",$K58+$S58)</f>
        <v/>
      </c>
      <c r="U58" s="33" t="str">
        <f aca="false">IF($A58="","",$Q58-$T58)</f>
        <v/>
      </c>
      <c r="V58" s="34" t="str">
        <f aca="false">IF(OR($A58="",$F58=0),"",$U58/$F58)</f>
        <v/>
      </c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</row>
    <row r="59" customFormat="false" ht="15" hidden="false" customHeight="false" outlineLevel="0" collapsed="false">
      <c r="A59" s="23"/>
      <c r="B59" s="24"/>
      <c r="C59" s="24"/>
      <c r="D59" s="23"/>
      <c r="E59" s="23"/>
      <c r="F59" s="25"/>
      <c r="G59" s="26"/>
      <c r="H59" s="19"/>
      <c r="I59" s="19"/>
      <c r="J59" s="36" t="str">
        <f aca="false">IF($A59="","",$H59*$F59)</f>
        <v/>
      </c>
      <c r="K59" s="36" t="str">
        <f aca="false">IF($A59="","",$G59+$J59)</f>
        <v/>
      </c>
      <c r="L59" s="37" t="str">
        <f aca="false">IF(OR($A59="",$F59=0),"",$K59/$F59)</f>
        <v/>
      </c>
      <c r="M59" s="38" t="str">
        <f aca="false">IF($A59="","",SUMIF('Lot Entry'!$A$7:$A$2000,$A59,'Lot Entry'!$H$7:$H$2000))</f>
        <v/>
      </c>
      <c r="N59" s="39" t="str">
        <f aca="false">IF($A59="","",SUMIF('Lot Entry'!$A$7:$A$2000,$A59,'Lot Entry'!$I$7:$I$2000))</f>
        <v/>
      </c>
      <c r="O59" s="40" t="str">
        <f aca="false">IF(OR($A59="",$F59=0),"",$N59/$F59)</f>
        <v/>
      </c>
      <c r="P59" s="41" t="str">
        <f aca="false">IF($A59="","",SUMIF('Lot Entry'!$A$7:$A$2000,$A59,'Lot Entry'!$J$7:$J$2000))</f>
        <v/>
      </c>
      <c r="Q59" s="36" t="str">
        <f aca="false">IF($A59="","",$P59*$I59)</f>
        <v/>
      </c>
      <c r="R59" s="37" t="str">
        <f aca="false">IF($A59="","",IF(W59="",Expenses!$B$6,W59)+IF(X59="",Expenses!$B$7,X59)+IF(Y59="",Expenses!$B$8,Y59)+IF(Z59="",Expenses!$B$9,Z59)+IF(AA59="",Expenses!$B$10,AA59)+IF(AB59="",Expenses!$B$11,AB59)+IF(AC59="",Expenses!$B$12,AC59)+IF(AD59="",Expenses!$B$13,AD59)+IF(AE59="",Expenses!$B$14,AE59)+IF(AF59="",Expenses!$B$15,AF59)+IF(AG59="",Expenses!$B$16,AG59)+IF(AH59="",Expenses!$B$17,AH59)+IF(AI59="",Expenses!$B$18,AI59))</f>
        <v/>
      </c>
      <c r="S59" s="36" t="str">
        <f aca="false">IF($A59="","",$R59*$M59)</f>
        <v/>
      </c>
      <c r="T59" s="36" t="str">
        <f aca="false">IF($A59="","",$K59+$S59)</f>
        <v/>
      </c>
      <c r="U59" s="42" t="str">
        <f aca="false">IF($A59="","",$Q59-$T59)</f>
        <v/>
      </c>
      <c r="V59" s="43" t="str">
        <f aca="false">IF(OR($A59="",$F59=0),"",$U59/$F59)</f>
        <v/>
      </c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</row>
    <row r="60" customFormat="false" ht="15" hidden="false" customHeight="false" outlineLevel="0" collapsed="false">
      <c r="A60" s="23"/>
      <c r="B60" s="24"/>
      <c r="C60" s="24"/>
      <c r="D60" s="23"/>
      <c r="E60" s="23"/>
      <c r="F60" s="25"/>
      <c r="G60" s="26"/>
      <c r="H60" s="19"/>
      <c r="I60" s="19"/>
      <c r="J60" s="27" t="str">
        <f aca="false">IF($A60="","",$H60*$F60)</f>
        <v/>
      </c>
      <c r="K60" s="27" t="str">
        <f aca="false">IF($A60="","",$G60+$J60)</f>
        <v/>
      </c>
      <c r="L60" s="28" t="str">
        <f aca="false">IF(OR($A60="",$F60=0),"",$K60/$F60)</f>
        <v/>
      </c>
      <c r="M60" s="29" t="str">
        <f aca="false">IF($A60="","",SUMIF('Lot Entry'!$A$7:$A$2000,$A60,'Lot Entry'!$H$7:$H$2000))</f>
        <v/>
      </c>
      <c r="N60" s="30" t="str">
        <f aca="false">IF($A60="","",SUMIF('Lot Entry'!$A$7:$A$2000,$A60,'Lot Entry'!$I$7:$I$2000))</f>
        <v/>
      </c>
      <c r="O60" s="31" t="str">
        <f aca="false">IF(OR($A60="",$F60=0),"",$N60/$F60)</f>
        <v/>
      </c>
      <c r="P60" s="32" t="str">
        <f aca="false">IF($A60="","",SUMIF('Lot Entry'!$A$7:$A$2000,$A60,'Lot Entry'!$J$7:$J$2000))</f>
        <v/>
      </c>
      <c r="Q60" s="27" t="str">
        <f aca="false">IF($A60="","",$P60*$I60)</f>
        <v/>
      </c>
      <c r="R60" s="28" t="str">
        <f aca="false">IF($A60="","",IF(W60="",Expenses!$B$6,W60)+IF(X60="",Expenses!$B$7,X60)+IF(Y60="",Expenses!$B$8,Y60)+IF(Z60="",Expenses!$B$9,Z60)+IF(AA60="",Expenses!$B$10,AA60)+IF(AB60="",Expenses!$B$11,AB60)+IF(AC60="",Expenses!$B$12,AC60)+IF(AD60="",Expenses!$B$13,AD60)+IF(AE60="",Expenses!$B$14,AE60)+IF(AF60="",Expenses!$B$15,AF60)+IF(AG60="",Expenses!$B$16,AG60)+IF(AH60="",Expenses!$B$17,AH60)+IF(AI60="",Expenses!$B$18,AI60))</f>
        <v/>
      </c>
      <c r="S60" s="27" t="str">
        <f aca="false">IF($A60="","",$R60*$M60)</f>
        <v/>
      </c>
      <c r="T60" s="27" t="str">
        <f aca="false">IF($A60="","",$K60+$S60)</f>
        <v/>
      </c>
      <c r="U60" s="33" t="str">
        <f aca="false">IF($A60="","",$Q60-$T60)</f>
        <v/>
      </c>
      <c r="V60" s="34" t="str">
        <f aca="false">IF(OR($A60="",$F60=0),"",$U60/$F60)</f>
        <v/>
      </c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</row>
    <row r="61" customFormat="false" ht="15" hidden="false" customHeight="false" outlineLevel="0" collapsed="false">
      <c r="A61" s="23"/>
      <c r="B61" s="24"/>
      <c r="C61" s="24"/>
      <c r="D61" s="23"/>
      <c r="E61" s="23"/>
      <c r="F61" s="25"/>
      <c r="G61" s="26"/>
      <c r="H61" s="19"/>
      <c r="I61" s="19"/>
      <c r="J61" s="36" t="str">
        <f aca="false">IF($A61="","",$H61*$F61)</f>
        <v/>
      </c>
      <c r="K61" s="36" t="str">
        <f aca="false">IF($A61="","",$G61+$J61)</f>
        <v/>
      </c>
      <c r="L61" s="37" t="str">
        <f aca="false">IF(OR($A61="",$F61=0),"",$K61/$F61)</f>
        <v/>
      </c>
      <c r="M61" s="38" t="str">
        <f aca="false">IF($A61="","",SUMIF('Lot Entry'!$A$7:$A$2000,$A61,'Lot Entry'!$H$7:$H$2000))</f>
        <v/>
      </c>
      <c r="N61" s="39" t="str">
        <f aca="false">IF($A61="","",SUMIF('Lot Entry'!$A$7:$A$2000,$A61,'Lot Entry'!$I$7:$I$2000))</f>
        <v/>
      </c>
      <c r="O61" s="40" t="str">
        <f aca="false">IF(OR($A61="",$F61=0),"",$N61/$F61)</f>
        <v/>
      </c>
      <c r="P61" s="41" t="str">
        <f aca="false">IF($A61="","",SUMIF('Lot Entry'!$A$7:$A$2000,$A61,'Lot Entry'!$J$7:$J$2000))</f>
        <v/>
      </c>
      <c r="Q61" s="36" t="str">
        <f aca="false">IF($A61="","",$P61*$I61)</f>
        <v/>
      </c>
      <c r="R61" s="37" t="str">
        <f aca="false">IF($A61="","",IF(W61="",Expenses!$B$6,W61)+IF(X61="",Expenses!$B$7,X61)+IF(Y61="",Expenses!$B$8,Y61)+IF(Z61="",Expenses!$B$9,Z61)+IF(AA61="",Expenses!$B$10,AA61)+IF(AB61="",Expenses!$B$11,AB61)+IF(AC61="",Expenses!$B$12,AC61)+IF(AD61="",Expenses!$B$13,AD61)+IF(AE61="",Expenses!$B$14,AE61)+IF(AF61="",Expenses!$B$15,AF61)+IF(AG61="",Expenses!$B$16,AG61)+IF(AH61="",Expenses!$B$17,AH61)+IF(AI61="",Expenses!$B$18,AI61))</f>
        <v/>
      </c>
      <c r="S61" s="36" t="str">
        <f aca="false">IF($A61="","",$R61*$M61)</f>
        <v/>
      </c>
      <c r="T61" s="36" t="str">
        <f aca="false">IF($A61="","",$K61+$S61)</f>
        <v/>
      </c>
      <c r="U61" s="42" t="str">
        <f aca="false">IF($A61="","",$Q61-$T61)</f>
        <v/>
      </c>
      <c r="V61" s="43" t="str">
        <f aca="false">IF(OR($A61="",$F61=0),"",$U61/$F61)</f>
        <v/>
      </c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</row>
    <row r="62" customFormat="false" ht="15" hidden="false" customHeight="false" outlineLevel="0" collapsed="false">
      <c r="A62" s="23"/>
      <c r="B62" s="24"/>
      <c r="C62" s="24"/>
      <c r="D62" s="23"/>
      <c r="E62" s="23"/>
      <c r="F62" s="25"/>
      <c r="G62" s="26"/>
      <c r="H62" s="19"/>
      <c r="I62" s="19"/>
      <c r="J62" s="27" t="str">
        <f aca="false">IF($A62="","",$H62*$F62)</f>
        <v/>
      </c>
      <c r="K62" s="27" t="str">
        <f aca="false">IF($A62="","",$G62+$J62)</f>
        <v/>
      </c>
      <c r="L62" s="28" t="str">
        <f aca="false">IF(OR($A62="",$F62=0),"",$K62/$F62)</f>
        <v/>
      </c>
      <c r="M62" s="29" t="str">
        <f aca="false">IF($A62="","",SUMIF('Lot Entry'!$A$7:$A$2000,$A62,'Lot Entry'!$H$7:$H$2000))</f>
        <v/>
      </c>
      <c r="N62" s="30" t="str">
        <f aca="false">IF($A62="","",SUMIF('Lot Entry'!$A$7:$A$2000,$A62,'Lot Entry'!$I$7:$I$2000))</f>
        <v/>
      </c>
      <c r="O62" s="31" t="str">
        <f aca="false">IF(OR($A62="",$F62=0),"",$N62/$F62)</f>
        <v/>
      </c>
      <c r="P62" s="32" t="str">
        <f aca="false">IF($A62="","",SUMIF('Lot Entry'!$A$7:$A$2000,$A62,'Lot Entry'!$J$7:$J$2000))</f>
        <v/>
      </c>
      <c r="Q62" s="27" t="str">
        <f aca="false">IF($A62="","",$P62*$I62)</f>
        <v/>
      </c>
      <c r="R62" s="28" t="str">
        <f aca="false">IF($A62="","",IF(W62="",Expenses!$B$6,W62)+IF(X62="",Expenses!$B$7,X62)+IF(Y62="",Expenses!$B$8,Y62)+IF(Z62="",Expenses!$B$9,Z62)+IF(AA62="",Expenses!$B$10,AA62)+IF(AB62="",Expenses!$B$11,AB62)+IF(AC62="",Expenses!$B$12,AC62)+IF(AD62="",Expenses!$B$13,AD62)+IF(AE62="",Expenses!$B$14,AE62)+IF(AF62="",Expenses!$B$15,AF62)+IF(AG62="",Expenses!$B$16,AG62)+IF(AH62="",Expenses!$B$17,AH62)+IF(AI62="",Expenses!$B$18,AI62))</f>
        <v/>
      </c>
      <c r="S62" s="27" t="str">
        <f aca="false">IF($A62="","",$R62*$M62)</f>
        <v/>
      </c>
      <c r="T62" s="27" t="str">
        <f aca="false">IF($A62="","",$K62+$S62)</f>
        <v/>
      </c>
      <c r="U62" s="33" t="str">
        <f aca="false">IF($A62="","",$Q62-$T62)</f>
        <v/>
      </c>
      <c r="V62" s="34" t="str">
        <f aca="false">IF(OR($A62="",$F62=0),"",$U62/$F62)</f>
        <v/>
      </c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</row>
    <row r="63" customFormat="false" ht="15" hidden="false" customHeight="false" outlineLevel="0" collapsed="false">
      <c r="A63" s="23"/>
      <c r="B63" s="24"/>
      <c r="C63" s="24"/>
      <c r="D63" s="23"/>
      <c r="E63" s="23"/>
      <c r="F63" s="25"/>
      <c r="G63" s="26"/>
      <c r="H63" s="19"/>
      <c r="I63" s="19"/>
      <c r="J63" s="36" t="str">
        <f aca="false">IF($A63="","",$H63*$F63)</f>
        <v/>
      </c>
      <c r="K63" s="36" t="str">
        <f aca="false">IF($A63="","",$G63+$J63)</f>
        <v/>
      </c>
      <c r="L63" s="37" t="str">
        <f aca="false">IF(OR($A63="",$F63=0),"",$K63/$F63)</f>
        <v/>
      </c>
      <c r="M63" s="38" t="str">
        <f aca="false">IF($A63="","",SUMIF('Lot Entry'!$A$7:$A$2000,$A63,'Lot Entry'!$H$7:$H$2000))</f>
        <v/>
      </c>
      <c r="N63" s="39" t="str">
        <f aca="false">IF($A63="","",SUMIF('Lot Entry'!$A$7:$A$2000,$A63,'Lot Entry'!$I$7:$I$2000))</f>
        <v/>
      </c>
      <c r="O63" s="40" t="str">
        <f aca="false">IF(OR($A63="",$F63=0),"",$N63/$F63)</f>
        <v/>
      </c>
      <c r="P63" s="41" t="str">
        <f aca="false">IF($A63="","",SUMIF('Lot Entry'!$A$7:$A$2000,$A63,'Lot Entry'!$J$7:$J$2000))</f>
        <v/>
      </c>
      <c r="Q63" s="36" t="str">
        <f aca="false">IF($A63="","",$P63*$I63)</f>
        <v/>
      </c>
      <c r="R63" s="37" t="str">
        <f aca="false">IF($A63="","",IF(W63="",Expenses!$B$6,W63)+IF(X63="",Expenses!$B$7,X63)+IF(Y63="",Expenses!$B$8,Y63)+IF(Z63="",Expenses!$B$9,Z63)+IF(AA63="",Expenses!$B$10,AA63)+IF(AB63="",Expenses!$B$11,AB63)+IF(AC63="",Expenses!$B$12,AC63)+IF(AD63="",Expenses!$B$13,AD63)+IF(AE63="",Expenses!$B$14,AE63)+IF(AF63="",Expenses!$B$15,AF63)+IF(AG63="",Expenses!$B$16,AG63)+IF(AH63="",Expenses!$B$17,AH63)+IF(AI63="",Expenses!$B$18,AI63))</f>
        <v/>
      </c>
      <c r="S63" s="36" t="str">
        <f aca="false">IF($A63="","",$R63*$M63)</f>
        <v/>
      </c>
      <c r="T63" s="36" t="str">
        <f aca="false">IF($A63="","",$K63+$S63)</f>
        <v/>
      </c>
      <c r="U63" s="42" t="str">
        <f aca="false">IF($A63="","",$Q63-$T63)</f>
        <v/>
      </c>
      <c r="V63" s="43" t="str">
        <f aca="false">IF(OR($A63="",$F63=0),"",$U63/$F63)</f>
        <v/>
      </c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</row>
    <row r="64" customFormat="false" ht="15" hidden="false" customHeight="false" outlineLevel="0" collapsed="false">
      <c r="A64" s="23"/>
      <c r="B64" s="24"/>
      <c r="C64" s="24"/>
      <c r="D64" s="23"/>
      <c r="E64" s="23"/>
      <c r="F64" s="25"/>
      <c r="G64" s="26"/>
      <c r="H64" s="19"/>
      <c r="I64" s="19"/>
      <c r="J64" s="27" t="str">
        <f aca="false">IF($A64="","",$H64*$F64)</f>
        <v/>
      </c>
      <c r="K64" s="27" t="str">
        <f aca="false">IF($A64="","",$G64+$J64)</f>
        <v/>
      </c>
      <c r="L64" s="28" t="str">
        <f aca="false">IF(OR($A64="",$F64=0),"",$K64/$F64)</f>
        <v/>
      </c>
      <c r="M64" s="29" t="str">
        <f aca="false">IF($A64="","",SUMIF('Lot Entry'!$A$7:$A$2000,$A64,'Lot Entry'!$H$7:$H$2000))</f>
        <v/>
      </c>
      <c r="N64" s="30" t="str">
        <f aca="false">IF($A64="","",SUMIF('Lot Entry'!$A$7:$A$2000,$A64,'Lot Entry'!$I$7:$I$2000))</f>
        <v/>
      </c>
      <c r="O64" s="31" t="str">
        <f aca="false">IF(OR($A64="",$F64=0),"",$N64/$F64)</f>
        <v/>
      </c>
      <c r="P64" s="32" t="str">
        <f aca="false">IF($A64="","",SUMIF('Lot Entry'!$A$7:$A$2000,$A64,'Lot Entry'!$J$7:$J$2000))</f>
        <v/>
      </c>
      <c r="Q64" s="27" t="str">
        <f aca="false">IF($A64="","",$P64*$I64)</f>
        <v/>
      </c>
      <c r="R64" s="28" t="str">
        <f aca="false">IF($A64="","",IF(W64="",Expenses!$B$6,W64)+IF(X64="",Expenses!$B$7,X64)+IF(Y64="",Expenses!$B$8,Y64)+IF(Z64="",Expenses!$B$9,Z64)+IF(AA64="",Expenses!$B$10,AA64)+IF(AB64="",Expenses!$B$11,AB64)+IF(AC64="",Expenses!$B$12,AC64)+IF(AD64="",Expenses!$B$13,AD64)+IF(AE64="",Expenses!$B$14,AE64)+IF(AF64="",Expenses!$B$15,AF64)+IF(AG64="",Expenses!$B$16,AG64)+IF(AH64="",Expenses!$B$17,AH64)+IF(AI64="",Expenses!$B$18,AI64))</f>
        <v/>
      </c>
      <c r="S64" s="27" t="str">
        <f aca="false">IF($A64="","",$R64*$M64)</f>
        <v/>
      </c>
      <c r="T64" s="27" t="str">
        <f aca="false">IF($A64="","",$K64+$S64)</f>
        <v/>
      </c>
      <c r="U64" s="33" t="str">
        <f aca="false">IF($A64="","",$Q64-$T64)</f>
        <v/>
      </c>
      <c r="V64" s="34" t="str">
        <f aca="false">IF(OR($A64="",$F64=0),"",$U64/$F64)</f>
        <v/>
      </c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</row>
    <row r="65" customFormat="false" ht="15" hidden="false" customHeight="false" outlineLevel="0" collapsed="false">
      <c r="A65" s="23"/>
      <c r="B65" s="24"/>
      <c r="C65" s="24"/>
      <c r="D65" s="23"/>
      <c r="E65" s="23"/>
      <c r="F65" s="25"/>
      <c r="G65" s="26"/>
      <c r="H65" s="19"/>
      <c r="I65" s="19"/>
      <c r="J65" s="36" t="str">
        <f aca="false">IF($A65="","",$H65*$F65)</f>
        <v/>
      </c>
      <c r="K65" s="36" t="str">
        <f aca="false">IF($A65="","",$G65+$J65)</f>
        <v/>
      </c>
      <c r="L65" s="37" t="str">
        <f aca="false">IF(OR($A65="",$F65=0),"",$K65/$F65)</f>
        <v/>
      </c>
      <c r="M65" s="38" t="str">
        <f aca="false">IF($A65="","",SUMIF('Lot Entry'!$A$7:$A$2000,$A65,'Lot Entry'!$H$7:$H$2000))</f>
        <v/>
      </c>
      <c r="N65" s="39" t="str">
        <f aca="false">IF($A65="","",SUMIF('Lot Entry'!$A$7:$A$2000,$A65,'Lot Entry'!$I$7:$I$2000))</f>
        <v/>
      </c>
      <c r="O65" s="40" t="str">
        <f aca="false">IF(OR($A65="",$F65=0),"",$N65/$F65)</f>
        <v/>
      </c>
      <c r="P65" s="41" t="str">
        <f aca="false">IF($A65="","",SUMIF('Lot Entry'!$A$7:$A$2000,$A65,'Lot Entry'!$J$7:$J$2000))</f>
        <v/>
      </c>
      <c r="Q65" s="36" t="str">
        <f aca="false">IF($A65="","",$P65*$I65)</f>
        <v/>
      </c>
      <c r="R65" s="37" t="str">
        <f aca="false">IF($A65="","",IF(W65="",Expenses!$B$6,W65)+IF(X65="",Expenses!$B$7,X65)+IF(Y65="",Expenses!$B$8,Y65)+IF(Z65="",Expenses!$B$9,Z65)+IF(AA65="",Expenses!$B$10,AA65)+IF(AB65="",Expenses!$B$11,AB65)+IF(AC65="",Expenses!$B$12,AC65)+IF(AD65="",Expenses!$B$13,AD65)+IF(AE65="",Expenses!$B$14,AE65)+IF(AF65="",Expenses!$B$15,AF65)+IF(AG65="",Expenses!$B$16,AG65)+IF(AH65="",Expenses!$B$17,AH65)+IF(AI65="",Expenses!$B$18,AI65))</f>
        <v/>
      </c>
      <c r="S65" s="36" t="str">
        <f aca="false">IF($A65="","",$R65*$M65)</f>
        <v/>
      </c>
      <c r="T65" s="36" t="str">
        <f aca="false">IF($A65="","",$K65+$S65)</f>
        <v/>
      </c>
      <c r="U65" s="42" t="str">
        <f aca="false">IF($A65="","",$Q65-$T65)</f>
        <v/>
      </c>
      <c r="V65" s="43" t="str">
        <f aca="false">IF(OR($A65="",$F65=0),"",$U65/$F65)</f>
        <v/>
      </c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</row>
    <row r="66" customFormat="false" ht="15" hidden="false" customHeight="false" outlineLevel="0" collapsed="false">
      <c r="A66" s="23"/>
      <c r="B66" s="24"/>
      <c r="C66" s="24"/>
      <c r="D66" s="23"/>
      <c r="E66" s="23"/>
      <c r="F66" s="25"/>
      <c r="G66" s="26"/>
      <c r="H66" s="19"/>
      <c r="I66" s="19"/>
      <c r="J66" s="27" t="str">
        <f aca="false">IF($A66="","",$H66*$F66)</f>
        <v/>
      </c>
      <c r="K66" s="27" t="str">
        <f aca="false">IF($A66="","",$G66+$J66)</f>
        <v/>
      </c>
      <c r="L66" s="28" t="str">
        <f aca="false">IF(OR($A66="",$F66=0),"",$K66/$F66)</f>
        <v/>
      </c>
      <c r="M66" s="29" t="str">
        <f aca="false">IF($A66="","",SUMIF('Lot Entry'!$A$7:$A$2000,$A66,'Lot Entry'!$H$7:$H$2000))</f>
        <v/>
      </c>
      <c r="N66" s="30" t="str">
        <f aca="false">IF($A66="","",SUMIF('Lot Entry'!$A$7:$A$2000,$A66,'Lot Entry'!$I$7:$I$2000))</f>
        <v/>
      </c>
      <c r="O66" s="31" t="str">
        <f aca="false">IF(OR($A66="",$F66=0),"",$N66/$F66)</f>
        <v/>
      </c>
      <c r="P66" s="32" t="str">
        <f aca="false">IF($A66="","",SUMIF('Lot Entry'!$A$7:$A$2000,$A66,'Lot Entry'!$J$7:$J$2000))</f>
        <v/>
      </c>
      <c r="Q66" s="27" t="str">
        <f aca="false">IF($A66="","",$P66*$I66)</f>
        <v/>
      </c>
      <c r="R66" s="28" t="str">
        <f aca="false">IF($A66="","",IF(W66="",Expenses!$B$6,W66)+IF(X66="",Expenses!$B$7,X66)+IF(Y66="",Expenses!$B$8,Y66)+IF(Z66="",Expenses!$B$9,Z66)+IF(AA66="",Expenses!$B$10,AA66)+IF(AB66="",Expenses!$B$11,AB66)+IF(AC66="",Expenses!$B$12,AC66)+IF(AD66="",Expenses!$B$13,AD66)+IF(AE66="",Expenses!$B$14,AE66)+IF(AF66="",Expenses!$B$15,AF66)+IF(AG66="",Expenses!$B$16,AG66)+IF(AH66="",Expenses!$B$17,AH66)+IF(AI66="",Expenses!$B$18,AI66))</f>
        <v/>
      </c>
      <c r="S66" s="27" t="str">
        <f aca="false">IF($A66="","",$R66*$M66)</f>
        <v/>
      </c>
      <c r="T66" s="27" t="str">
        <f aca="false">IF($A66="","",$K66+$S66)</f>
        <v/>
      </c>
      <c r="U66" s="33" t="str">
        <f aca="false">IF($A66="","",$Q66-$T66)</f>
        <v/>
      </c>
      <c r="V66" s="34" t="str">
        <f aca="false">IF(OR($A66="",$F66=0),"",$U66/$F66)</f>
        <v/>
      </c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</row>
    <row r="67" customFormat="false" ht="15" hidden="false" customHeight="false" outlineLevel="0" collapsed="false">
      <c r="A67" s="23"/>
      <c r="B67" s="24"/>
      <c r="C67" s="24"/>
      <c r="D67" s="23"/>
      <c r="E67" s="23"/>
      <c r="F67" s="25"/>
      <c r="G67" s="26"/>
      <c r="H67" s="19"/>
      <c r="I67" s="19"/>
      <c r="J67" s="36" t="str">
        <f aca="false">IF($A67="","",$H67*$F67)</f>
        <v/>
      </c>
      <c r="K67" s="36" t="str">
        <f aca="false">IF($A67="","",$G67+$J67)</f>
        <v/>
      </c>
      <c r="L67" s="37" t="str">
        <f aca="false">IF(OR($A67="",$F67=0),"",$K67/$F67)</f>
        <v/>
      </c>
      <c r="M67" s="38" t="str">
        <f aca="false">IF($A67="","",SUMIF('Lot Entry'!$A$7:$A$2000,$A67,'Lot Entry'!$H$7:$H$2000))</f>
        <v/>
      </c>
      <c r="N67" s="39" t="str">
        <f aca="false">IF($A67="","",SUMIF('Lot Entry'!$A$7:$A$2000,$A67,'Lot Entry'!$I$7:$I$2000))</f>
        <v/>
      </c>
      <c r="O67" s="40" t="str">
        <f aca="false">IF(OR($A67="",$F67=0),"",$N67/$F67)</f>
        <v/>
      </c>
      <c r="P67" s="41" t="str">
        <f aca="false">IF($A67="","",SUMIF('Lot Entry'!$A$7:$A$2000,$A67,'Lot Entry'!$J$7:$J$2000))</f>
        <v/>
      </c>
      <c r="Q67" s="36" t="str">
        <f aca="false">IF($A67="","",$P67*$I67)</f>
        <v/>
      </c>
      <c r="R67" s="37" t="str">
        <f aca="false">IF($A67="","",IF(W67="",Expenses!$B$6,W67)+IF(X67="",Expenses!$B$7,X67)+IF(Y67="",Expenses!$B$8,Y67)+IF(Z67="",Expenses!$B$9,Z67)+IF(AA67="",Expenses!$B$10,AA67)+IF(AB67="",Expenses!$B$11,AB67)+IF(AC67="",Expenses!$B$12,AC67)+IF(AD67="",Expenses!$B$13,AD67)+IF(AE67="",Expenses!$B$14,AE67)+IF(AF67="",Expenses!$B$15,AF67)+IF(AG67="",Expenses!$B$16,AG67)+IF(AH67="",Expenses!$B$17,AH67)+IF(AI67="",Expenses!$B$18,AI67))</f>
        <v/>
      </c>
      <c r="S67" s="36" t="str">
        <f aca="false">IF($A67="","",$R67*$M67)</f>
        <v/>
      </c>
      <c r="T67" s="36" t="str">
        <f aca="false">IF($A67="","",$K67+$S67)</f>
        <v/>
      </c>
      <c r="U67" s="42" t="str">
        <f aca="false">IF($A67="","",$Q67-$T67)</f>
        <v/>
      </c>
      <c r="V67" s="43" t="str">
        <f aca="false">IF(OR($A67="",$F67=0),"",$U67/$F67)</f>
        <v/>
      </c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</row>
    <row r="68" customFormat="false" ht="15" hidden="false" customHeight="false" outlineLevel="0" collapsed="false">
      <c r="A68" s="23"/>
      <c r="B68" s="24"/>
      <c r="C68" s="24"/>
      <c r="D68" s="23"/>
      <c r="E68" s="23"/>
      <c r="F68" s="25"/>
      <c r="G68" s="26"/>
      <c r="H68" s="19"/>
      <c r="I68" s="19"/>
      <c r="J68" s="27" t="str">
        <f aca="false">IF($A68="","",$H68*$F68)</f>
        <v/>
      </c>
      <c r="K68" s="27" t="str">
        <f aca="false">IF($A68="","",$G68+$J68)</f>
        <v/>
      </c>
      <c r="L68" s="28" t="str">
        <f aca="false">IF(OR($A68="",$F68=0),"",$K68/$F68)</f>
        <v/>
      </c>
      <c r="M68" s="29" t="str">
        <f aca="false">IF($A68="","",SUMIF('Lot Entry'!$A$7:$A$2000,$A68,'Lot Entry'!$H$7:$H$2000))</f>
        <v/>
      </c>
      <c r="N68" s="30" t="str">
        <f aca="false">IF($A68="","",SUMIF('Lot Entry'!$A$7:$A$2000,$A68,'Lot Entry'!$I$7:$I$2000))</f>
        <v/>
      </c>
      <c r="O68" s="31" t="str">
        <f aca="false">IF(OR($A68="",$F68=0),"",$N68/$F68)</f>
        <v/>
      </c>
      <c r="P68" s="32" t="str">
        <f aca="false">IF($A68="","",SUMIF('Lot Entry'!$A$7:$A$2000,$A68,'Lot Entry'!$J$7:$J$2000))</f>
        <v/>
      </c>
      <c r="Q68" s="27" t="str">
        <f aca="false">IF($A68="","",$P68*$I68)</f>
        <v/>
      </c>
      <c r="R68" s="28" t="str">
        <f aca="false">IF($A68="","",IF(W68="",Expenses!$B$6,W68)+IF(X68="",Expenses!$B$7,X68)+IF(Y68="",Expenses!$B$8,Y68)+IF(Z68="",Expenses!$B$9,Z68)+IF(AA68="",Expenses!$B$10,AA68)+IF(AB68="",Expenses!$B$11,AB68)+IF(AC68="",Expenses!$B$12,AC68)+IF(AD68="",Expenses!$B$13,AD68)+IF(AE68="",Expenses!$B$14,AE68)+IF(AF68="",Expenses!$B$15,AF68)+IF(AG68="",Expenses!$B$16,AG68)+IF(AH68="",Expenses!$B$17,AH68)+IF(AI68="",Expenses!$B$18,AI68))</f>
        <v/>
      </c>
      <c r="S68" s="27" t="str">
        <f aca="false">IF($A68="","",$R68*$M68)</f>
        <v/>
      </c>
      <c r="T68" s="27" t="str">
        <f aca="false">IF($A68="","",$K68+$S68)</f>
        <v/>
      </c>
      <c r="U68" s="33" t="str">
        <f aca="false">IF($A68="","",$Q68-$T68)</f>
        <v/>
      </c>
      <c r="V68" s="34" t="str">
        <f aca="false">IF(OR($A68="",$F68=0),"",$U68/$F68)</f>
        <v/>
      </c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</row>
    <row r="69" customFormat="false" ht="15" hidden="false" customHeight="false" outlineLevel="0" collapsed="false">
      <c r="A69" s="23"/>
      <c r="B69" s="24"/>
      <c r="C69" s="24"/>
      <c r="D69" s="23"/>
      <c r="E69" s="23"/>
      <c r="F69" s="25"/>
      <c r="G69" s="26"/>
      <c r="H69" s="19"/>
      <c r="I69" s="19"/>
      <c r="J69" s="36" t="str">
        <f aca="false">IF($A69="","",$H69*$F69)</f>
        <v/>
      </c>
      <c r="K69" s="36" t="str">
        <f aca="false">IF($A69="","",$G69+$J69)</f>
        <v/>
      </c>
      <c r="L69" s="37" t="str">
        <f aca="false">IF(OR($A69="",$F69=0),"",$K69/$F69)</f>
        <v/>
      </c>
      <c r="M69" s="38" t="str">
        <f aca="false">IF($A69="","",SUMIF('Lot Entry'!$A$7:$A$2000,$A69,'Lot Entry'!$H$7:$H$2000))</f>
        <v/>
      </c>
      <c r="N69" s="39" t="str">
        <f aca="false">IF($A69="","",SUMIF('Lot Entry'!$A$7:$A$2000,$A69,'Lot Entry'!$I$7:$I$2000))</f>
        <v/>
      </c>
      <c r="O69" s="40" t="str">
        <f aca="false">IF(OR($A69="",$F69=0),"",$N69/$F69)</f>
        <v/>
      </c>
      <c r="P69" s="41" t="str">
        <f aca="false">IF($A69="","",SUMIF('Lot Entry'!$A$7:$A$2000,$A69,'Lot Entry'!$J$7:$J$2000))</f>
        <v/>
      </c>
      <c r="Q69" s="36" t="str">
        <f aca="false">IF($A69="","",$P69*$I69)</f>
        <v/>
      </c>
      <c r="R69" s="37" t="str">
        <f aca="false">IF($A69="","",IF(W69="",Expenses!$B$6,W69)+IF(X69="",Expenses!$B$7,X69)+IF(Y69="",Expenses!$B$8,Y69)+IF(Z69="",Expenses!$B$9,Z69)+IF(AA69="",Expenses!$B$10,AA69)+IF(AB69="",Expenses!$B$11,AB69)+IF(AC69="",Expenses!$B$12,AC69)+IF(AD69="",Expenses!$B$13,AD69)+IF(AE69="",Expenses!$B$14,AE69)+IF(AF69="",Expenses!$B$15,AF69)+IF(AG69="",Expenses!$B$16,AG69)+IF(AH69="",Expenses!$B$17,AH69)+IF(AI69="",Expenses!$B$18,AI69))</f>
        <v/>
      </c>
      <c r="S69" s="36" t="str">
        <f aca="false">IF($A69="","",$R69*$M69)</f>
        <v/>
      </c>
      <c r="T69" s="36" t="str">
        <f aca="false">IF($A69="","",$K69+$S69)</f>
        <v/>
      </c>
      <c r="U69" s="42" t="str">
        <f aca="false">IF($A69="","",$Q69-$T69)</f>
        <v/>
      </c>
      <c r="V69" s="43" t="str">
        <f aca="false">IF(OR($A69="",$F69=0),"",$U69/$F69)</f>
        <v/>
      </c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</row>
    <row r="70" customFormat="false" ht="15" hidden="false" customHeight="false" outlineLevel="0" collapsed="false">
      <c r="A70" s="23"/>
      <c r="B70" s="24"/>
      <c r="C70" s="24"/>
      <c r="D70" s="23"/>
      <c r="E70" s="23"/>
      <c r="F70" s="25"/>
      <c r="G70" s="26"/>
      <c r="H70" s="19"/>
      <c r="I70" s="19"/>
      <c r="J70" s="27" t="str">
        <f aca="false">IF($A70="","",$H70*$F70)</f>
        <v/>
      </c>
      <c r="K70" s="27" t="str">
        <f aca="false">IF($A70="","",$G70+$J70)</f>
        <v/>
      </c>
      <c r="L70" s="28" t="str">
        <f aca="false">IF(OR($A70="",$F70=0),"",$K70/$F70)</f>
        <v/>
      </c>
      <c r="M70" s="29" t="str">
        <f aca="false">IF($A70="","",SUMIF('Lot Entry'!$A$7:$A$2000,$A70,'Lot Entry'!$H$7:$H$2000))</f>
        <v/>
      </c>
      <c r="N70" s="30" t="str">
        <f aca="false">IF($A70="","",SUMIF('Lot Entry'!$A$7:$A$2000,$A70,'Lot Entry'!$I$7:$I$2000))</f>
        <v/>
      </c>
      <c r="O70" s="31" t="str">
        <f aca="false">IF(OR($A70="",$F70=0),"",$N70/$F70)</f>
        <v/>
      </c>
      <c r="P70" s="32" t="str">
        <f aca="false">IF($A70="","",SUMIF('Lot Entry'!$A$7:$A$2000,$A70,'Lot Entry'!$J$7:$J$2000))</f>
        <v/>
      </c>
      <c r="Q70" s="27" t="str">
        <f aca="false">IF($A70="","",$P70*$I70)</f>
        <v/>
      </c>
      <c r="R70" s="28" t="str">
        <f aca="false">IF($A70="","",IF(W70="",Expenses!$B$6,W70)+IF(X70="",Expenses!$B$7,X70)+IF(Y70="",Expenses!$B$8,Y70)+IF(Z70="",Expenses!$B$9,Z70)+IF(AA70="",Expenses!$B$10,AA70)+IF(AB70="",Expenses!$B$11,AB70)+IF(AC70="",Expenses!$B$12,AC70)+IF(AD70="",Expenses!$B$13,AD70)+IF(AE70="",Expenses!$B$14,AE70)+IF(AF70="",Expenses!$B$15,AF70)+IF(AG70="",Expenses!$B$16,AG70)+IF(AH70="",Expenses!$B$17,AH70)+IF(AI70="",Expenses!$B$18,AI70))</f>
        <v/>
      </c>
      <c r="S70" s="27" t="str">
        <f aca="false">IF($A70="","",$R70*$M70)</f>
        <v/>
      </c>
      <c r="T70" s="27" t="str">
        <f aca="false">IF($A70="","",$K70+$S70)</f>
        <v/>
      </c>
      <c r="U70" s="33" t="str">
        <f aca="false">IF($A70="","",$Q70-$T70)</f>
        <v/>
      </c>
      <c r="V70" s="34" t="str">
        <f aca="false">IF(OR($A70="",$F70=0),"",$U70/$F70)</f>
        <v/>
      </c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</row>
    <row r="71" customFormat="false" ht="15" hidden="false" customHeight="false" outlineLevel="0" collapsed="false">
      <c r="A71" s="23"/>
      <c r="B71" s="24"/>
      <c r="C71" s="24"/>
      <c r="D71" s="23"/>
      <c r="E71" s="23"/>
      <c r="F71" s="25"/>
      <c r="G71" s="26"/>
      <c r="H71" s="19"/>
      <c r="I71" s="19"/>
      <c r="J71" s="36" t="str">
        <f aca="false">IF($A71="","",$H71*$F71)</f>
        <v/>
      </c>
      <c r="K71" s="36" t="str">
        <f aca="false">IF($A71="","",$G71+$J71)</f>
        <v/>
      </c>
      <c r="L71" s="37" t="str">
        <f aca="false">IF(OR($A71="",$F71=0),"",$K71/$F71)</f>
        <v/>
      </c>
      <c r="M71" s="38" t="str">
        <f aca="false">IF($A71="","",SUMIF('Lot Entry'!$A$7:$A$2000,$A71,'Lot Entry'!$H$7:$H$2000))</f>
        <v/>
      </c>
      <c r="N71" s="39" t="str">
        <f aca="false">IF($A71="","",SUMIF('Lot Entry'!$A$7:$A$2000,$A71,'Lot Entry'!$I$7:$I$2000))</f>
        <v/>
      </c>
      <c r="O71" s="40" t="str">
        <f aca="false">IF(OR($A71="",$F71=0),"",$N71/$F71)</f>
        <v/>
      </c>
      <c r="P71" s="41" t="str">
        <f aca="false">IF($A71="","",SUMIF('Lot Entry'!$A$7:$A$2000,$A71,'Lot Entry'!$J$7:$J$2000))</f>
        <v/>
      </c>
      <c r="Q71" s="36" t="str">
        <f aca="false">IF($A71="","",$P71*$I71)</f>
        <v/>
      </c>
      <c r="R71" s="37" t="str">
        <f aca="false">IF($A71="","",IF(W71="",Expenses!$B$6,W71)+IF(X71="",Expenses!$B$7,X71)+IF(Y71="",Expenses!$B$8,Y71)+IF(Z71="",Expenses!$B$9,Z71)+IF(AA71="",Expenses!$B$10,AA71)+IF(AB71="",Expenses!$B$11,AB71)+IF(AC71="",Expenses!$B$12,AC71)+IF(AD71="",Expenses!$B$13,AD71)+IF(AE71="",Expenses!$B$14,AE71)+IF(AF71="",Expenses!$B$15,AF71)+IF(AG71="",Expenses!$B$16,AG71)+IF(AH71="",Expenses!$B$17,AH71)+IF(AI71="",Expenses!$B$18,AI71))</f>
        <v/>
      </c>
      <c r="S71" s="36" t="str">
        <f aca="false">IF($A71="","",$R71*$M71)</f>
        <v/>
      </c>
      <c r="T71" s="36" t="str">
        <f aca="false">IF($A71="","",$K71+$S71)</f>
        <v/>
      </c>
      <c r="U71" s="42" t="str">
        <f aca="false">IF($A71="","",$Q71-$T71)</f>
        <v/>
      </c>
      <c r="V71" s="43" t="str">
        <f aca="false">IF(OR($A71="",$F71=0),"",$U71/$F71)</f>
        <v/>
      </c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</row>
    <row r="72" customFormat="false" ht="15" hidden="false" customHeight="false" outlineLevel="0" collapsed="false">
      <c r="A72" s="23"/>
      <c r="B72" s="24"/>
      <c r="C72" s="24"/>
      <c r="D72" s="23"/>
      <c r="E72" s="23"/>
      <c r="F72" s="25"/>
      <c r="G72" s="26"/>
      <c r="H72" s="19"/>
      <c r="I72" s="19"/>
      <c r="J72" s="27" t="str">
        <f aca="false">IF($A72="","",$H72*$F72)</f>
        <v/>
      </c>
      <c r="K72" s="27" t="str">
        <f aca="false">IF($A72="","",$G72+$J72)</f>
        <v/>
      </c>
      <c r="L72" s="28" t="str">
        <f aca="false">IF(OR($A72="",$F72=0),"",$K72/$F72)</f>
        <v/>
      </c>
      <c r="M72" s="29" t="str">
        <f aca="false">IF($A72="","",SUMIF('Lot Entry'!$A$7:$A$2000,$A72,'Lot Entry'!$H$7:$H$2000))</f>
        <v/>
      </c>
      <c r="N72" s="30" t="str">
        <f aca="false">IF($A72="","",SUMIF('Lot Entry'!$A$7:$A$2000,$A72,'Lot Entry'!$I$7:$I$2000))</f>
        <v/>
      </c>
      <c r="O72" s="31" t="str">
        <f aca="false">IF(OR($A72="",$F72=0),"",$N72/$F72)</f>
        <v/>
      </c>
      <c r="P72" s="32" t="str">
        <f aca="false">IF($A72="","",SUMIF('Lot Entry'!$A$7:$A$2000,$A72,'Lot Entry'!$J$7:$J$2000))</f>
        <v/>
      </c>
      <c r="Q72" s="27" t="str">
        <f aca="false">IF($A72="","",$P72*$I72)</f>
        <v/>
      </c>
      <c r="R72" s="28" t="str">
        <f aca="false">IF($A72="","",IF(W72="",Expenses!$B$6,W72)+IF(X72="",Expenses!$B$7,X72)+IF(Y72="",Expenses!$B$8,Y72)+IF(Z72="",Expenses!$B$9,Z72)+IF(AA72="",Expenses!$B$10,AA72)+IF(AB72="",Expenses!$B$11,AB72)+IF(AC72="",Expenses!$B$12,AC72)+IF(AD72="",Expenses!$B$13,AD72)+IF(AE72="",Expenses!$B$14,AE72)+IF(AF72="",Expenses!$B$15,AF72)+IF(AG72="",Expenses!$B$16,AG72)+IF(AH72="",Expenses!$B$17,AH72)+IF(AI72="",Expenses!$B$18,AI72))</f>
        <v/>
      </c>
      <c r="S72" s="27" t="str">
        <f aca="false">IF($A72="","",$R72*$M72)</f>
        <v/>
      </c>
      <c r="T72" s="27" t="str">
        <f aca="false">IF($A72="","",$K72+$S72)</f>
        <v/>
      </c>
      <c r="U72" s="33" t="str">
        <f aca="false">IF($A72="","",$Q72-$T72)</f>
        <v/>
      </c>
      <c r="V72" s="34" t="str">
        <f aca="false">IF(OR($A72="",$F72=0),"",$U72/$F72)</f>
        <v/>
      </c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</row>
    <row r="73" customFormat="false" ht="15" hidden="false" customHeight="false" outlineLevel="0" collapsed="false">
      <c r="A73" s="23"/>
      <c r="B73" s="24"/>
      <c r="C73" s="24"/>
      <c r="D73" s="23"/>
      <c r="E73" s="23"/>
      <c r="F73" s="25"/>
      <c r="G73" s="26"/>
      <c r="H73" s="19"/>
      <c r="I73" s="19"/>
      <c r="J73" s="36" t="str">
        <f aca="false">IF($A73="","",$H73*$F73)</f>
        <v/>
      </c>
      <c r="K73" s="36" t="str">
        <f aca="false">IF($A73="","",$G73+$J73)</f>
        <v/>
      </c>
      <c r="L73" s="37" t="str">
        <f aca="false">IF(OR($A73="",$F73=0),"",$K73/$F73)</f>
        <v/>
      </c>
      <c r="M73" s="38" t="str">
        <f aca="false">IF($A73="","",SUMIF('Lot Entry'!$A$7:$A$2000,$A73,'Lot Entry'!$H$7:$H$2000))</f>
        <v/>
      </c>
      <c r="N73" s="39" t="str">
        <f aca="false">IF($A73="","",SUMIF('Lot Entry'!$A$7:$A$2000,$A73,'Lot Entry'!$I$7:$I$2000))</f>
        <v/>
      </c>
      <c r="O73" s="40" t="str">
        <f aca="false">IF(OR($A73="",$F73=0),"",$N73/$F73)</f>
        <v/>
      </c>
      <c r="P73" s="41" t="str">
        <f aca="false">IF($A73="","",SUMIF('Lot Entry'!$A$7:$A$2000,$A73,'Lot Entry'!$J$7:$J$2000))</f>
        <v/>
      </c>
      <c r="Q73" s="36" t="str">
        <f aca="false">IF($A73="","",$P73*$I73)</f>
        <v/>
      </c>
      <c r="R73" s="37" t="str">
        <f aca="false">IF($A73="","",IF(W73="",Expenses!$B$6,W73)+IF(X73="",Expenses!$B$7,X73)+IF(Y73="",Expenses!$B$8,Y73)+IF(Z73="",Expenses!$B$9,Z73)+IF(AA73="",Expenses!$B$10,AA73)+IF(AB73="",Expenses!$B$11,AB73)+IF(AC73="",Expenses!$B$12,AC73)+IF(AD73="",Expenses!$B$13,AD73)+IF(AE73="",Expenses!$B$14,AE73)+IF(AF73="",Expenses!$B$15,AF73)+IF(AG73="",Expenses!$B$16,AG73)+IF(AH73="",Expenses!$B$17,AH73)+IF(AI73="",Expenses!$B$18,AI73))</f>
        <v/>
      </c>
      <c r="S73" s="36" t="str">
        <f aca="false">IF($A73="","",$R73*$M73)</f>
        <v/>
      </c>
      <c r="T73" s="36" t="str">
        <f aca="false">IF($A73="","",$K73+$S73)</f>
        <v/>
      </c>
      <c r="U73" s="42" t="str">
        <f aca="false">IF($A73="","",$Q73-$T73)</f>
        <v/>
      </c>
      <c r="V73" s="43" t="str">
        <f aca="false">IF(OR($A73="",$F73=0),"",$U73/$F73)</f>
        <v/>
      </c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</row>
    <row r="74" customFormat="false" ht="15" hidden="false" customHeight="false" outlineLevel="0" collapsed="false">
      <c r="A74" s="23"/>
      <c r="B74" s="24"/>
      <c r="C74" s="24"/>
      <c r="D74" s="23"/>
      <c r="E74" s="23"/>
      <c r="F74" s="25"/>
      <c r="G74" s="26"/>
      <c r="H74" s="19"/>
      <c r="I74" s="19"/>
      <c r="J74" s="27" t="str">
        <f aca="false">IF($A74="","",$H74*$F74)</f>
        <v/>
      </c>
      <c r="K74" s="27" t="str">
        <f aca="false">IF($A74="","",$G74+$J74)</f>
        <v/>
      </c>
      <c r="L74" s="28" t="str">
        <f aca="false">IF(OR($A74="",$F74=0),"",$K74/$F74)</f>
        <v/>
      </c>
      <c r="M74" s="29" t="str">
        <f aca="false">IF($A74="","",SUMIF('Lot Entry'!$A$7:$A$2000,$A74,'Lot Entry'!$H$7:$H$2000))</f>
        <v/>
      </c>
      <c r="N74" s="30" t="str">
        <f aca="false">IF($A74="","",SUMIF('Lot Entry'!$A$7:$A$2000,$A74,'Lot Entry'!$I$7:$I$2000))</f>
        <v/>
      </c>
      <c r="O74" s="31" t="str">
        <f aca="false">IF(OR($A74="",$F74=0),"",$N74/$F74)</f>
        <v/>
      </c>
      <c r="P74" s="32" t="str">
        <f aca="false">IF($A74="","",SUMIF('Lot Entry'!$A$7:$A$2000,$A74,'Lot Entry'!$J$7:$J$2000))</f>
        <v/>
      </c>
      <c r="Q74" s="27" t="str">
        <f aca="false">IF($A74="","",$P74*$I74)</f>
        <v/>
      </c>
      <c r="R74" s="28" t="str">
        <f aca="false">IF($A74="","",IF(W74="",Expenses!$B$6,W74)+IF(X74="",Expenses!$B$7,X74)+IF(Y74="",Expenses!$B$8,Y74)+IF(Z74="",Expenses!$B$9,Z74)+IF(AA74="",Expenses!$B$10,AA74)+IF(AB74="",Expenses!$B$11,AB74)+IF(AC74="",Expenses!$B$12,AC74)+IF(AD74="",Expenses!$B$13,AD74)+IF(AE74="",Expenses!$B$14,AE74)+IF(AF74="",Expenses!$B$15,AF74)+IF(AG74="",Expenses!$B$16,AG74)+IF(AH74="",Expenses!$B$17,AH74)+IF(AI74="",Expenses!$B$18,AI74))</f>
        <v/>
      </c>
      <c r="S74" s="27" t="str">
        <f aca="false">IF($A74="","",$R74*$M74)</f>
        <v/>
      </c>
      <c r="T74" s="27" t="str">
        <f aca="false">IF($A74="","",$K74+$S74)</f>
        <v/>
      </c>
      <c r="U74" s="33" t="str">
        <f aca="false">IF($A74="","",$Q74-$T74)</f>
        <v/>
      </c>
      <c r="V74" s="34" t="str">
        <f aca="false">IF(OR($A74="",$F74=0),"",$U74/$F74)</f>
        <v/>
      </c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</row>
    <row r="75" customFormat="false" ht="15" hidden="false" customHeight="false" outlineLevel="0" collapsed="false">
      <c r="A75" s="23"/>
      <c r="B75" s="24"/>
      <c r="C75" s="24"/>
      <c r="D75" s="23"/>
      <c r="E75" s="23"/>
      <c r="F75" s="25"/>
      <c r="G75" s="26"/>
      <c r="H75" s="19"/>
      <c r="I75" s="19"/>
      <c r="J75" s="36" t="str">
        <f aca="false">IF($A75="","",$H75*$F75)</f>
        <v/>
      </c>
      <c r="K75" s="36" t="str">
        <f aca="false">IF($A75="","",$G75+$J75)</f>
        <v/>
      </c>
      <c r="L75" s="37" t="str">
        <f aca="false">IF(OR($A75="",$F75=0),"",$K75/$F75)</f>
        <v/>
      </c>
      <c r="M75" s="38" t="str">
        <f aca="false">IF($A75="","",SUMIF('Lot Entry'!$A$7:$A$2000,$A75,'Lot Entry'!$H$7:$H$2000))</f>
        <v/>
      </c>
      <c r="N75" s="39" t="str">
        <f aca="false">IF($A75="","",SUMIF('Lot Entry'!$A$7:$A$2000,$A75,'Lot Entry'!$I$7:$I$2000))</f>
        <v/>
      </c>
      <c r="O75" s="40" t="str">
        <f aca="false">IF(OR($A75="",$F75=0),"",$N75/$F75)</f>
        <v/>
      </c>
      <c r="P75" s="41" t="str">
        <f aca="false">IF($A75="","",SUMIF('Lot Entry'!$A$7:$A$2000,$A75,'Lot Entry'!$J$7:$J$2000))</f>
        <v/>
      </c>
      <c r="Q75" s="36" t="str">
        <f aca="false">IF($A75="","",$P75*$I75)</f>
        <v/>
      </c>
      <c r="R75" s="37" t="str">
        <f aca="false">IF($A75="","",IF(W75="",Expenses!$B$6,W75)+IF(X75="",Expenses!$B$7,X75)+IF(Y75="",Expenses!$B$8,Y75)+IF(Z75="",Expenses!$B$9,Z75)+IF(AA75="",Expenses!$B$10,AA75)+IF(AB75="",Expenses!$B$11,AB75)+IF(AC75="",Expenses!$B$12,AC75)+IF(AD75="",Expenses!$B$13,AD75)+IF(AE75="",Expenses!$B$14,AE75)+IF(AF75="",Expenses!$B$15,AF75)+IF(AG75="",Expenses!$B$16,AG75)+IF(AH75="",Expenses!$B$17,AH75)+IF(AI75="",Expenses!$B$18,AI75))</f>
        <v/>
      </c>
      <c r="S75" s="36" t="str">
        <f aca="false">IF($A75="","",$R75*$M75)</f>
        <v/>
      </c>
      <c r="T75" s="36" t="str">
        <f aca="false">IF($A75="","",$K75+$S75)</f>
        <v/>
      </c>
      <c r="U75" s="42" t="str">
        <f aca="false">IF($A75="","",$Q75-$T75)</f>
        <v/>
      </c>
      <c r="V75" s="43" t="str">
        <f aca="false">IF(OR($A75="",$F75=0),"",$U75/$F75)</f>
        <v/>
      </c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</row>
    <row r="76" customFormat="false" ht="15" hidden="false" customHeight="false" outlineLevel="0" collapsed="false">
      <c r="A76" s="23"/>
      <c r="B76" s="24"/>
      <c r="C76" s="24"/>
      <c r="D76" s="23"/>
      <c r="E76" s="23"/>
      <c r="F76" s="25"/>
      <c r="G76" s="26"/>
      <c r="H76" s="19"/>
      <c r="I76" s="19"/>
      <c r="J76" s="27" t="str">
        <f aca="false">IF($A76="","",$H76*$F76)</f>
        <v/>
      </c>
      <c r="K76" s="27" t="str">
        <f aca="false">IF($A76="","",$G76+$J76)</f>
        <v/>
      </c>
      <c r="L76" s="28" t="str">
        <f aca="false">IF(OR($A76="",$F76=0),"",$K76/$F76)</f>
        <v/>
      </c>
      <c r="M76" s="29" t="str">
        <f aca="false">IF($A76="","",SUMIF('Lot Entry'!$A$7:$A$2000,$A76,'Lot Entry'!$H$7:$H$2000))</f>
        <v/>
      </c>
      <c r="N76" s="30" t="str">
        <f aca="false">IF($A76="","",SUMIF('Lot Entry'!$A$7:$A$2000,$A76,'Lot Entry'!$I$7:$I$2000))</f>
        <v/>
      </c>
      <c r="O76" s="31" t="str">
        <f aca="false">IF(OR($A76="",$F76=0),"",$N76/$F76)</f>
        <v/>
      </c>
      <c r="P76" s="32" t="str">
        <f aca="false">IF($A76="","",SUMIF('Lot Entry'!$A$7:$A$2000,$A76,'Lot Entry'!$J$7:$J$2000))</f>
        <v/>
      </c>
      <c r="Q76" s="27" t="str">
        <f aca="false">IF($A76="","",$P76*$I76)</f>
        <v/>
      </c>
      <c r="R76" s="28" t="str">
        <f aca="false">IF($A76="","",IF(W76="",Expenses!$B$6,W76)+IF(X76="",Expenses!$B$7,X76)+IF(Y76="",Expenses!$B$8,Y76)+IF(Z76="",Expenses!$B$9,Z76)+IF(AA76="",Expenses!$B$10,AA76)+IF(AB76="",Expenses!$B$11,AB76)+IF(AC76="",Expenses!$B$12,AC76)+IF(AD76="",Expenses!$B$13,AD76)+IF(AE76="",Expenses!$B$14,AE76)+IF(AF76="",Expenses!$B$15,AF76)+IF(AG76="",Expenses!$B$16,AG76)+IF(AH76="",Expenses!$B$17,AH76)+IF(AI76="",Expenses!$B$18,AI76))</f>
        <v/>
      </c>
      <c r="S76" s="27" t="str">
        <f aca="false">IF($A76="","",$R76*$M76)</f>
        <v/>
      </c>
      <c r="T76" s="27" t="str">
        <f aca="false">IF($A76="","",$K76+$S76)</f>
        <v/>
      </c>
      <c r="U76" s="33" t="str">
        <f aca="false">IF($A76="","",$Q76-$T76)</f>
        <v/>
      </c>
      <c r="V76" s="34" t="str">
        <f aca="false">IF(OR($A76="",$F76=0),"",$U76/$F76)</f>
        <v/>
      </c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</row>
    <row r="77" customFormat="false" ht="15" hidden="false" customHeight="false" outlineLevel="0" collapsed="false">
      <c r="A77" s="23"/>
      <c r="B77" s="24"/>
      <c r="C77" s="24"/>
      <c r="D77" s="23"/>
      <c r="E77" s="23"/>
      <c r="F77" s="25"/>
      <c r="G77" s="26"/>
      <c r="H77" s="19"/>
      <c r="I77" s="19"/>
      <c r="J77" s="36" t="str">
        <f aca="false">IF($A77="","",$H77*$F77)</f>
        <v/>
      </c>
      <c r="K77" s="36" t="str">
        <f aca="false">IF($A77="","",$G77+$J77)</f>
        <v/>
      </c>
      <c r="L77" s="37" t="str">
        <f aca="false">IF(OR($A77="",$F77=0),"",$K77/$F77)</f>
        <v/>
      </c>
      <c r="M77" s="38" t="str">
        <f aca="false">IF($A77="","",SUMIF('Lot Entry'!$A$7:$A$2000,$A77,'Lot Entry'!$H$7:$H$2000))</f>
        <v/>
      </c>
      <c r="N77" s="39" t="str">
        <f aca="false">IF($A77="","",SUMIF('Lot Entry'!$A$7:$A$2000,$A77,'Lot Entry'!$I$7:$I$2000))</f>
        <v/>
      </c>
      <c r="O77" s="40" t="str">
        <f aca="false">IF(OR($A77="",$F77=0),"",$N77/$F77)</f>
        <v/>
      </c>
      <c r="P77" s="41" t="str">
        <f aca="false">IF($A77="","",SUMIF('Lot Entry'!$A$7:$A$2000,$A77,'Lot Entry'!$J$7:$J$2000))</f>
        <v/>
      </c>
      <c r="Q77" s="36" t="str">
        <f aca="false">IF($A77="","",$P77*$I77)</f>
        <v/>
      </c>
      <c r="R77" s="37" t="str">
        <f aca="false">IF($A77="","",IF(W77="",Expenses!$B$6,W77)+IF(X77="",Expenses!$B$7,X77)+IF(Y77="",Expenses!$B$8,Y77)+IF(Z77="",Expenses!$B$9,Z77)+IF(AA77="",Expenses!$B$10,AA77)+IF(AB77="",Expenses!$B$11,AB77)+IF(AC77="",Expenses!$B$12,AC77)+IF(AD77="",Expenses!$B$13,AD77)+IF(AE77="",Expenses!$B$14,AE77)+IF(AF77="",Expenses!$B$15,AF77)+IF(AG77="",Expenses!$B$16,AG77)+IF(AH77="",Expenses!$B$17,AH77)+IF(AI77="",Expenses!$B$18,AI77))</f>
        <v/>
      </c>
      <c r="S77" s="36" t="str">
        <f aca="false">IF($A77="","",$R77*$M77)</f>
        <v/>
      </c>
      <c r="T77" s="36" t="str">
        <f aca="false">IF($A77="","",$K77+$S77)</f>
        <v/>
      </c>
      <c r="U77" s="42" t="str">
        <f aca="false">IF($A77="","",$Q77-$T77)</f>
        <v/>
      </c>
      <c r="V77" s="43" t="str">
        <f aca="false">IF(OR($A77="",$F77=0),"",$U77/$F77)</f>
        <v/>
      </c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  <row r="78" customFormat="false" ht="15" hidden="false" customHeight="false" outlineLevel="0" collapsed="false">
      <c r="A78" s="23"/>
      <c r="B78" s="24"/>
      <c r="C78" s="24"/>
      <c r="D78" s="23"/>
      <c r="E78" s="23"/>
      <c r="F78" s="25"/>
      <c r="G78" s="26"/>
      <c r="H78" s="19"/>
      <c r="I78" s="19"/>
      <c r="J78" s="27" t="str">
        <f aca="false">IF($A78="","",$H78*$F78)</f>
        <v/>
      </c>
      <c r="K78" s="27" t="str">
        <f aca="false">IF($A78="","",$G78+$J78)</f>
        <v/>
      </c>
      <c r="L78" s="28" t="str">
        <f aca="false">IF(OR($A78="",$F78=0),"",$K78/$F78)</f>
        <v/>
      </c>
      <c r="M78" s="29" t="str">
        <f aca="false">IF($A78="","",SUMIF('Lot Entry'!$A$7:$A$2000,$A78,'Lot Entry'!$H$7:$H$2000))</f>
        <v/>
      </c>
      <c r="N78" s="30" t="str">
        <f aca="false">IF($A78="","",SUMIF('Lot Entry'!$A$7:$A$2000,$A78,'Lot Entry'!$I$7:$I$2000))</f>
        <v/>
      </c>
      <c r="O78" s="31" t="str">
        <f aca="false">IF(OR($A78="",$F78=0),"",$N78/$F78)</f>
        <v/>
      </c>
      <c r="P78" s="32" t="str">
        <f aca="false">IF($A78="","",SUMIF('Lot Entry'!$A$7:$A$2000,$A78,'Lot Entry'!$J$7:$J$2000))</f>
        <v/>
      </c>
      <c r="Q78" s="27" t="str">
        <f aca="false">IF($A78="","",$P78*$I78)</f>
        <v/>
      </c>
      <c r="R78" s="28" t="str">
        <f aca="false">IF($A78="","",IF(W78="",Expenses!$B$6,W78)+IF(X78="",Expenses!$B$7,X78)+IF(Y78="",Expenses!$B$8,Y78)+IF(Z78="",Expenses!$B$9,Z78)+IF(AA78="",Expenses!$B$10,AA78)+IF(AB78="",Expenses!$B$11,AB78)+IF(AC78="",Expenses!$B$12,AC78)+IF(AD78="",Expenses!$B$13,AD78)+IF(AE78="",Expenses!$B$14,AE78)+IF(AF78="",Expenses!$B$15,AF78)+IF(AG78="",Expenses!$B$16,AG78)+IF(AH78="",Expenses!$B$17,AH78)+IF(AI78="",Expenses!$B$18,AI78))</f>
        <v/>
      </c>
      <c r="S78" s="27" t="str">
        <f aca="false">IF($A78="","",$R78*$M78)</f>
        <v/>
      </c>
      <c r="T78" s="27" t="str">
        <f aca="false">IF($A78="","",$K78+$S78)</f>
        <v/>
      </c>
      <c r="U78" s="33" t="str">
        <f aca="false">IF($A78="","",$Q78-$T78)</f>
        <v/>
      </c>
      <c r="V78" s="34" t="str">
        <f aca="false">IF(OR($A78="",$F78=0),"",$U78/$F78)</f>
        <v/>
      </c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</row>
    <row r="79" customFormat="false" ht="15" hidden="false" customHeight="false" outlineLevel="0" collapsed="false">
      <c r="A79" s="23"/>
      <c r="B79" s="24"/>
      <c r="C79" s="24"/>
      <c r="D79" s="23"/>
      <c r="E79" s="23"/>
      <c r="F79" s="25"/>
      <c r="G79" s="26"/>
      <c r="H79" s="19"/>
      <c r="I79" s="19"/>
      <c r="J79" s="36" t="str">
        <f aca="false">IF($A79="","",$H79*$F79)</f>
        <v/>
      </c>
      <c r="K79" s="36" t="str">
        <f aca="false">IF($A79="","",$G79+$J79)</f>
        <v/>
      </c>
      <c r="L79" s="37" t="str">
        <f aca="false">IF(OR($A79="",$F79=0),"",$K79/$F79)</f>
        <v/>
      </c>
      <c r="M79" s="38" t="str">
        <f aca="false">IF($A79="","",SUMIF('Lot Entry'!$A$7:$A$2000,$A79,'Lot Entry'!$H$7:$H$2000))</f>
        <v/>
      </c>
      <c r="N79" s="39" t="str">
        <f aca="false">IF($A79="","",SUMIF('Lot Entry'!$A$7:$A$2000,$A79,'Lot Entry'!$I$7:$I$2000))</f>
        <v/>
      </c>
      <c r="O79" s="40" t="str">
        <f aca="false">IF(OR($A79="",$F79=0),"",$N79/$F79)</f>
        <v/>
      </c>
      <c r="P79" s="41" t="str">
        <f aca="false">IF($A79="","",SUMIF('Lot Entry'!$A$7:$A$2000,$A79,'Lot Entry'!$J$7:$J$2000))</f>
        <v/>
      </c>
      <c r="Q79" s="36" t="str">
        <f aca="false">IF($A79="","",$P79*$I79)</f>
        <v/>
      </c>
      <c r="R79" s="37" t="str">
        <f aca="false">IF($A79="","",IF(W79="",Expenses!$B$6,W79)+IF(X79="",Expenses!$B$7,X79)+IF(Y79="",Expenses!$B$8,Y79)+IF(Z79="",Expenses!$B$9,Z79)+IF(AA79="",Expenses!$B$10,AA79)+IF(AB79="",Expenses!$B$11,AB79)+IF(AC79="",Expenses!$B$12,AC79)+IF(AD79="",Expenses!$B$13,AD79)+IF(AE79="",Expenses!$B$14,AE79)+IF(AF79="",Expenses!$B$15,AF79)+IF(AG79="",Expenses!$B$16,AG79)+IF(AH79="",Expenses!$B$17,AH79)+IF(AI79="",Expenses!$B$18,AI79))</f>
        <v/>
      </c>
      <c r="S79" s="36" t="str">
        <f aca="false">IF($A79="","",$R79*$M79)</f>
        <v/>
      </c>
      <c r="T79" s="36" t="str">
        <f aca="false">IF($A79="","",$K79+$S79)</f>
        <v/>
      </c>
      <c r="U79" s="42" t="str">
        <f aca="false">IF($A79="","",$Q79-$T79)</f>
        <v/>
      </c>
      <c r="V79" s="43" t="str">
        <f aca="false">IF(OR($A79="",$F79=0),"",$U79/$F79)</f>
        <v/>
      </c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</row>
    <row r="80" customFormat="false" ht="15" hidden="false" customHeight="false" outlineLevel="0" collapsed="false">
      <c r="A80" s="23"/>
      <c r="B80" s="24"/>
      <c r="C80" s="24"/>
      <c r="D80" s="23"/>
      <c r="E80" s="23"/>
      <c r="F80" s="25"/>
      <c r="G80" s="26"/>
      <c r="H80" s="19"/>
      <c r="I80" s="19"/>
      <c r="J80" s="27" t="str">
        <f aca="false">IF($A80="","",$H80*$F80)</f>
        <v/>
      </c>
      <c r="K80" s="27" t="str">
        <f aca="false">IF($A80="","",$G80+$J80)</f>
        <v/>
      </c>
      <c r="L80" s="28" t="str">
        <f aca="false">IF(OR($A80="",$F80=0),"",$K80/$F80)</f>
        <v/>
      </c>
      <c r="M80" s="29" t="str">
        <f aca="false">IF($A80="","",SUMIF('Lot Entry'!$A$7:$A$2000,$A80,'Lot Entry'!$H$7:$H$2000))</f>
        <v/>
      </c>
      <c r="N80" s="30" t="str">
        <f aca="false">IF($A80="","",SUMIF('Lot Entry'!$A$7:$A$2000,$A80,'Lot Entry'!$I$7:$I$2000))</f>
        <v/>
      </c>
      <c r="O80" s="31" t="str">
        <f aca="false">IF(OR($A80="",$F80=0),"",$N80/$F80)</f>
        <v/>
      </c>
      <c r="P80" s="32" t="str">
        <f aca="false">IF($A80="","",SUMIF('Lot Entry'!$A$7:$A$2000,$A80,'Lot Entry'!$J$7:$J$2000))</f>
        <v/>
      </c>
      <c r="Q80" s="27" t="str">
        <f aca="false">IF($A80="","",$P80*$I80)</f>
        <v/>
      </c>
      <c r="R80" s="28" t="str">
        <f aca="false">IF($A80="","",IF(W80="",Expenses!$B$6,W80)+IF(X80="",Expenses!$B$7,X80)+IF(Y80="",Expenses!$B$8,Y80)+IF(Z80="",Expenses!$B$9,Z80)+IF(AA80="",Expenses!$B$10,AA80)+IF(AB80="",Expenses!$B$11,AB80)+IF(AC80="",Expenses!$B$12,AC80)+IF(AD80="",Expenses!$B$13,AD80)+IF(AE80="",Expenses!$B$14,AE80)+IF(AF80="",Expenses!$B$15,AF80)+IF(AG80="",Expenses!$B$16,AG80)+IF(AH80="",Expenses!$B$17,AH80)+IF(AI80="",Expenses!$B$18,AI80))</f>
        <v/>
      </c>
      <c r="S80" s="27" t="str">
        <f aca="false">IF($A80="","",$R80*$M80)</f>
        <v/>
      </c>
      <c r="T80" s="27" t="str">
        <f aca="false">IF($A80="","",$K80+$S80)</f>
        <v/>
      </c>
      <c r="U80" s="33" t="str">
        <f aca="false">IF($A80="","",$Q80-$T80)</f>
        <v/>
      </c>
      <c r="V80" s="34" t="str">
        <f aca="false">IF(OR($A80="",$F80=0),"",$U80/$F80)</f>
        <v/>
      </c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</row>
    <row r="81" customFormat="false" ht="15" hidden="false" customHeight="false" outlineLevel="0" collapsed="false">
      <c r="A81" s="23"/>
      <c r="B81" s="24"/>
      <c r="C81" s="24"/>
      <c r="D81" s="23"/>
      <c r="E81" s="23"/>
      <c r="F81" s="25"/>
      <c r="G81" s="26"/>
      <c r="H81" s="19"/>
      <c r="I81" s="19"/>
      <c r="J81" s="36" t="str">
        <f aca="false">IF($A81="","",$H81*$F81)</f>
        <v/>
      </c>
      <c r="K81" s="36" t="str">
        <f aca="false">IF($A81="","",$G81+$J81)</f>
        <v/>
      </c>
      <c r="L81" s="37" t="str">
        <f aca="false">IF(OR($A81="",$F81=0),"",$K81/$F81)</f>
        <v/>
      </c>
      <c r="M81" s="38" t="str">
        <f aca="false">IF($A81="","",SUMIF('Lot Entry'!$A$7:$A$2000,$A81,'Lot Entry'!$H$7:$H$2000))</f>
        <v/>
      </c>
      <c r="N81" s="39" t="str">
        <f aca="false">IF($A81="","",SUMIF('Lot Entry'!$A$7:$A$2000,$A81,'Lot Entry'!$I$7:$I$2000))</f>
        <v/>
      </c>
      <c r="O81" s="40" t="str">
        <f aca="false">IF(OR($A81="",$F81=0),"",$N81/$F81)</f>
        <v/>
      </c>
      <c r="P81" s="41" t="str">
        <f aca="false">IF($A81="","",SUMIF('Lot Entry'!$A$7:$A$2000,$A81,'Lot Entry'!$J$7:$J$2000))</f>
        <v/>
      </c>
      <c r="Q81" s="36" t="str">
        <f aca="false">IF($A81="","",$P81*$I81)</f>
        <v/>
      </c>
      <c r="R81" s="37" t="str">
        <f aca="false">IF($A81="","",IF(W81="",Expenses!$B$6,W81)+IF(X81="",Expenses!$B$7,X81)+IF(Y81="",Expenses!$B$8,Y81)+IF(Z81="",Expenses!$B$9,Z81)+IF(AA81="",Expenses!$B$10,AA81)+IF(AB81="",Expenses!$B$11,AB81)+IF(AC81="",Expenses!$B$12,AC81)+IF(AD81="",Expenses!$B$13,AD81)+IF(AE81="",Expenses!$B$14,AE81)+IF(AF81="",Expenses!$B$15,AF81)+IF(AG81="",Expenses!$B$16,AG81)+IF(AH81="",Expenses!$B$17,AH81)+IF(AI81="",Expenses!$B$18,AI81))</f>
        <v/>
      </c>
      <c r="S81" s="36" t="str">
        <f aca="false">IF($A81="","",$R81*$M81)</f>
        <v/>
      </c>
      <c r="T81" s="36" t="str">
        <f aca="false">IF($A81="","",$K81+$S81)</f>
        <v/>
      </c>
      <c r="U81" s="42" t="str">
        <f aca="false">IF($A81="","",$Q81-$T81)</f>
        <v/>
      </c>
      <c r="V81" s="43" t="str">
        <f aca="false">IF(OR($A81="",$F81=0),"",$U81/$F81)</f>
        <v/>
      </c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</row>
    <row r="82" customFormat="false" ht="15" hidden="false" customHeight="false" outlineLevel="0" collapsed="false">
      <c r="A82" s="23"/>
      <c r="B82" s="24"/>
      <c r="C82" s="24"/>
      <c r="D82" s="23"/>
      <c r="E82" s="23"/>
      <c r="F82" s="25"/>
      <c r="G82" s="26"/>
      <c r="H82" s="19"/>
      <c r="I82" s="19"/>
      <c r="J82" s="27" t="str">
        <f aca="false">IF($A82="","",$H82*$F82)</f>
        <v/>
      </c>
      <c r="K82" s="27" t="str">
        <f aca="false">IF($A82="","",$G82+$J82)</f>
        <v/>
      </c>
      <c r="L82" s="28" t="str">
        <f aca="false">IF(OR($A82="",$F82=0),"",$K82/$F82)</f>
        <v/>
      </c>
      <c r="M82" s="29" t="str">
        <f aca="false">IF($A82="","",SUMIF('Lot Entry'!$A$7:$A$2000,$A82,'Lot Entry'!$H$7:$H$2000))</f>
        <v/>
      </c>
      <c r="N82" s="30" t="str">
        <f aca="false">IF($A82="","",SUMIF('Lot Entry'!$A$7:$A$2000,$A82,'Lot Entry'!$I$7:$I$2000))</f>
        <v/>
      </c>
      <c r="O82" s="31" t="str">
        <f aca="false">IF(OR($A82="",$F82=0),"",$N82/$F82)</f>
        <v/>
      </c>
      <c r="P82" s="32" t="str">
        <f aca="false">IF($A82="","",SUMIF('Lot Entry'!$A$7:$A$2000,$A82,'Lot Entry'!$J$7:$J$2000))</f>
        <v/>
      </c>
      <c r="Q82" s="27" t="str">
        <f aca="false">IF($A82="","",$P82*$I82)</f>
        <v/>
      </c>
      <c r="R82" s="28" t="str">
        <f aca="false">IF($A82="","",IF(W82="",Expenses!$B$6,W82)+IF(X82="",Expenses!$B$7,X82)+IF(Y82="",Expenses!$B$8,Y82)+IF(Z82="",Expenses!$B$9,Z82)+IF(AA82="",Expenses!$B$10,AA82)+IF(AB82="",Expenses!$B$11,AB82)+IF(AC82="",Expenses!$B$12,AC82)+IF(AD82="",Expenses!$B$13,AD82)+IF(AE82="",Expenses!$B$14,AE82)+IF(AF82="",Expenses!$B$15,AF82)+IF(AG82="",Expenses!$B$16,AG82)+IF(AH82="",Expenses!$B$17,AH82)+IF(AI82="",Expenses!$B$18,AI82))</f>
        <v/>
      </c>
      <c r="S82" s="27" t="str">
        <f aca="false">IF($A82="","",$R82*$M82)</f>
        <v/>
      </c>
      <c r="T82" s="27" t="str">
        <f aca="false">IF($A82="","",$K82+$S82)</f>
        <v/>
      </c>
      <c r="U82" s="33" t="str">
        <f aca="false">IF($A82="","",$Q82-$T82)</f>
        <v/>
      </c>
      <c r="V82" s="34" t="str">
        <f aca="false">IF(OR($A82="",$F82=0),"",$U82/$F82)</f>
        <v/>
      </c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</row>
    <row r="83" customFormat="false" ht="15" hidden="false" customHeight="false" outlineLevel="0" collapsed="false">
      <c r="A83" s="23"/>
      <c r="B83" s="24"/>
      <c r="C83" s="24"/>
      <c r="D83" s="23"/>
      <c r="E83" s="23"/>
      <c r="F83" s="25"/>
      <c r="G83" s="26"/>
      <c r="H83" s="19"/>
      <c r="I83" s="19"/>
      <c r="J83" s="36" t="str">
        <f aca="false">IF($A83="","",$H83*$F83)</f>
        <v/>
      </c>
      <c r="K83" s="36" t="str">
        <f aca="false">IF($A83="","",$G83+$J83)</f>
        <v/>
      </c>
      <c r="L83" s="37" t="str">
        <f aca="false">IF(OR($A83="",$F83=0),"",$K83/$F83)</f>
        <v/>
      </c>
      <c r="M83" s="38" t="str">
        <f aca="false">IF($A83="","",SUMIF('Lot Entry'!$A$7:$A$2000,$A83,'Lot Entry'!$H$7:$H$2000))</f>
        <v/>
      </c>
      <c r="N83" s="39" t="str">
        <f aca="false">IF($A83="","",SUMIF('Lot Entry'!$A$7:$A$2000,$A83,'Lot Entry'!$I$7:$I$2000))</f>
        <v/>
      </c>
      <c r="O83" s="40" t="str">
        <f aca="false">IF(OR($A83="",$F83=0),"",$N83/$F83)</f>
        <v/>
      </c>
      <c r="P83" s="41" t="str">
        <f aca="false">IF($A83="","",SUMIF('Lot Entry'!$A$7:$A$2000,$A83,'Lot Entry'!$J$7:$J$2000))</f>
        <v/>
      </c>
      <c r="Q83" s="36" t="str">
        <f aca="false">IF($A83="","",$P83*$I83)</f>
        <v/>
      </c>
      <c r="R83" s="37" t="str">
        <f aca="false">IF($A83="","",IF(W83="",Expenses!$B$6,W83)+IF(X83="",Expenses!$B$7,X83)+IF(Y83="",Expenses!$B$8,Y83)+IF(Z83="",Expenses!$B$9,Z83)+IF(AA83="",Expenses!$B$10,AA83)+IF(AB83="",Expenses!$B$11,AB83)+IF(AC83="",Expenses!$B$12,AC83)+IF(AD83="",Expenses!$B$13,AD83)+IF(AE83="",Expenses!$B$14,AE83)+IF(AF83="",Expenses!$B$15,AF83)+IF(AG83="",Expenses!$B$16,AG83)+IF(AH83="",Expenses!$B$17,AH83)+IF(AI83="",Expenses!$B$18,AI83))</f>
        <v/>
      </c>
      <c r="S83" s="36" t="str">
        <f aca="false">IF($A83="","",$R83*$M83)</f>
        <v/>
      </c>
      <c r="T83" s="36" t="str">
        <f aca="false">IF($A83="","",$K83+$S83)</f>
        <v/>
      </c>
      <c r="U83" s="42" t="str">
        <f aca="false">IF($A83="","",$Q83-$T83)</f>
        <v/>
      </c>
      <c r="V83" s="43" t="str">
        <f aca="false">IF(OR($A83="",$F83=0),"",$U83/$F83)</f>
        <v/>
      </c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</row>
    <row r="84" customFormat="false" ht="15" hidden="false" customHeight="false" outlineLevel="0" collapsed="false">
      <c r="A84" s="23"/>
      <c r="B84" s="24"/>
      <c r="C84" s="24"/>
      <c r="D84" s="23"/>
      <c r="E84" s="23"/>
      <c r="F84" s="25"/>
      <c r="G84" s="26"/>
      <c r="H84" s="19"/>
      <c r="I84" s="19"/>
      <c r="J84" s="27" t="str">
        <f aca="false">IF($A84="","",$H84*$F84)</f>
        <v/>
      </c>
      <c r="K84" s="27" t="str">
        <f aca="false">IF($A84="","",$G84+$J84)</f>
        <v/>
      </c>
      <c r="L84" s="28" t="str">
        <f aca="false">IF(OR($A84="",$F84=0),"",$K84/$F84)</f>
        <v/>
      </c>
      <c r="M84" s="29" t="str">
        <f aca="false">IF($A84="","",SUMIF('Lot Entry'!$A$7:$A$2000,$A84,'Lot Entry'!$H$7:$H$2000))</f>
        <v/>
      </c>
      <c r="N84" s="30" t="str">
        <f aca="false">IF($A84="","",SUMIF('Lot Entry'!$A$7:$A$2000,$A84,'Lot Entry'!$I$7:$I$2000))</f>
        <v/>
      </c>
      <c r="O84" s="31" t="str">
        <f aca="false">IF(OR($A84="",$F84=0),"",$N84/$F84)</f>
        <v/>
      </c>
      <c r="P84" s="32" t="str">
        <f aca="false">IF($A84="","",SUMIF('Lot Entry'!$A$7:$A$2000,$A84,'Lot Entry'!$J$7:$J$2000))</f>
        <v/>
      </c>
      <c r="Q84" s="27" t="str">
        <f aca="false">IF($A84="","",$P84*$I84)</f>
        <v/>
      </c>
      <c r="R84" s="28" t="str">
        <f aca="false">IF($A84="","",IF(W84="",Expenses!$B$6,W84)+IF(X84="",Expenses!$B$7,X84)+IF(Y84="",Expenses!$B$8,Y84)+IF(Z84="",Expenses!$B$9,Z84)+IF(AA84="",Expenses!$B$10,AA84)+IF(AB84="",Expenses!$B$11,AB84)+IF(AC84="",Expenses!$B$12,AC84)+IF(AD84="",Expenses!$B$13,AD84)+IF(AE84="",Expenses!$B$14,AE84)+IF(AF84="",Expenses!$B$15,AF84)+IF(AG84="",Expenses!$B$16,AG84)+IF(AH84="",Expenses!$B$17,AH84)+IF(AI84="",Expenses!$B$18,AI84))</f>
        <v/>
      </c>
      <c r="S84" s="27" t="str">
        <f aca="false">IF($A84="","",$R84*$M84)</f>
        <v/>
      </c>
      <c r="T84" s="27" t="str">
        <f aca="false">IF($A84="","",$K84+$S84)</f>
        <v/>
      </c>
      <c r="U84" s="33" t="str">
        <f aca="false">IF($A84="","",$Q84-$T84)</f>
        <v/>
      </c>
      <c r="V84" s="34" t="str">
        <f aca="false">IF(OR($A84="",$F84=0),"",$U84/$F84)</f>
        <v/>
      </c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</row>
    <row r="85" customFormat="false" ht="15" hidden="false" customHeight="false" outlineLevel="0" collapsed="false">
      <c r="A85" s="23"/>
      <c r="B85" s="24"/>
      <c r="C85" s="24"/>
      <c r="D85" s="23"/>
      <c r="E85" s="23"/>
      <c r="F85" s="25"/>
      <c r="G85" s="26"/>
      <c r="H85" s="19"/>
      <c r="I85" s="19"/>
      <c r="J85" s="36" t="str">
        <f aca="false">IF($A85="","",$H85*$F85)</f>
        <v/>
      </c>
      <c r="K85" s="36" t="str">
        <f aca="false">IF($A85="","",$G85+$J85)</f>
        <v/>
      </c>
      <c r="L85" s="37" t="str">
        <f aca="false">IF(OR($A85="",$F85=0),"",$K85/$F85)</f>
        <v/>
      </c>
      <c r="M85" s="38" t="str">
        <f aca="false">IF($A85="","",SUMIF('Lot Entry'!$A$7:$A$2000,$A85,'Lot Entry'!$H$7:$H$2000))</f>
        <v/>
      </c>
      <c r="N85" s="39" t="str">
        <f aca="false">IF($A85="","",SUMIF('Lot Entry'!$A$7:$A$2000,$A85,'Lot Entry'!$I$7:$I$2000))</f>
        <v/>
      </c>
      <c r="O85" s="40" t="str">
        <f aca="false">IF(OR($A85="",$F85=0),"",$N85/$F85)</f>
        <v/>
      </c>
      <c r="P85" s="41" t="str">
        <f aca="false">IF($A85="","",SUMIF('Lot Entry'!$A$7:$A$2000,$A85,'Lot Entry'!$J$7:$J$2000))</f>
        <v/>
      </c>
      <c r="Q85" s="36" t="str">
        <f aca="false">IF($A85="","",$P85*$I85)</f>
        <v/>
      </c>
      <c r="R85" s="37" t="str">
        <f aca="false">IF($A85="","",IF(W85="",Expenses!$B$6,W85)+IF(X85="",Expenses!$B$7,X85)+IF(Y85="",Expenses!$B$8,Y85)+IF(Z85="",Expenses!$B$9,Z85)+IF(AA85="",Expenses!$B$10,AA85)+IF(AB85="",Expenses!$B$11,AB85)+IF(AC85="",Expenses!$B$12,AC85)+IF(AD85="",Expenses!$B$13,AD85)+IF(AE85="",Expenses!$B$14,AE85)+IF(AF85="",Expenses!$B$15,AF85)+IF(AG85="",Expenses!$B$16,AG85)+IF(AH85="",Expenses!$B$17,AH85)+IF(AI85="",Expenses!$B$18,AI85))</f>
        <v/>
      </c>
      <c r="S85" s="36" t="str">
        <f aca="false">IF($A85="","",$R85*$M85)</f>
        <v/>
      </c>
      <c r="T85" s="36" t="str">
        <f aca="false">IF($A85="","",$K85+$S85)</f>
        <v/>
      </c>
      <c r="U85" s="42" t="str">
        <f aca="false">IF($A85="","",$Q85-$T85)</f>
        <v/>
      </c>
      <c r="V85" s="43" t="str">
        <f aca="false">IF(OR($A85="",$F85=0),"",$U85/$F85)</f>
        <v/>
      </c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</row>
    <row r="86" customFormat="false" ht="15" hidden="false" customHeight="false" outlineLevel="0" collapsed="false">
      <c r="A86" s="23"/>
      <c r="B86" s="24"/>
      <c r="C86" s="24"/>
      <c r="D86" s="23"/>
      <c r="E86" s="23"/>
      <c r="F86" s="25"/>
      <c r="G86" s="26"/>
      <c r="H86" s="19"/>
      <c r="I86" s="19"/>
      <c r="J86" s="27" t="str">
        <f aca="false">IF($A86="","",$H86*$F86)</f>
        <v/>
      </c>
      <c r="K86" s="27" t="str">
        <f aca="false">IF($A86="","",$G86+$J86)</f>
        <v/>
      </c>
      <c r="L86" s="28" t="str">
        <f aca="false">IF(OR($A86="",$F86=0),"",$K86/$F86)</f>
        <v/>
      </c>
      <c r="M86" s="29" t="str">
        <f aca="false">IF($A86="","",SUMIF('Lot Entry'!$A$7:$A$2000,$A86,'Lot Entry'!$H$7:$H$2000))</f>
        <v/>
      </c>
      <c r="N86" s="30" t="str">
        <f aca="false">IF($A86="","",SUMIF('Lot Entry'!$A$7:$A$2000,$A86,'Lot Entry'!$I$7:$I$2000))</f>
        <v/>
      </c>
      <c r="O86" s="31" t="str">
        <f aca="false">IF(OR($A86="",$F86=0),"",$N86/$F86)</f>
        <v/>
      </c>
      <c r="P86" s="32" t="str">
        <f aca="false">IF($A86="","",SUMIF('Lot Entry'!$A$7:$A$2000,$A86,'Lot Entry'!$J$7:$J$2000))</f>
        <v/>
      </c>
      <c r="Q86" s="27" t="str">
        <f aca="false">IF($A86="","",$P86*$I86)</f>
        <v/>
      </c>
      <c r="R86" s="28" t="str">
        <f aca="false">IF($A86="","",IF(W86="",Expenses!$B$6,W86)+IF(X86="",Expenses!$B$7,X86)+IF(Y86="",Expenses!$B$8,Y86)+IF(Z86="",Expenses!$B$9,Z86)+IF(AA86="",Expenses!$B$10,AA86)+IF(AB86="",Expenses!$B$11,AB86)+IF(AC86="",Expenses!$B$12,AC86)+IF(AD86="",Expenses!$B$13,AD86)+IF(AE86="",Expenses!$B$14,AE86)+IF(AF86="",Expenses!$B$15,AF86)+IF(AG86="",Expenses!$B$16,AG86)+IF(AH86="",Expenses!$B$17,AH86)+IF(AI86="",Expenses!$B$18,AI86))</f>
        <v/>
      </c>
      <c r="S86" s="27" t="str">
        <f aca="false">IF($A86="","",$R86*$M86)</f>
        <v/>
      </c>
      <c r="T86" s="27" t="str">
        <f aca="false">IF($A86="","",$K86+$S86)</f>
        <v/>
      </c>
      <c r="U86" s="33" t="str">
        <f aca="false">IF($A86="","",$Q86-$T86)</f>
        <v/>
      </c>
      <c r="V86" s="34" t="str">
        <f aca="false">IF(OR($A86="",$F86=0),"",$U86/$F86)</f>
        <v/>
      </c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</row>
    <row r="87" customFormat="false" ht="15" hidden="false" customHeight="false" outlineLevel="0" collapsed="false">
      <c r="A87" s="23"/>
      <c r="B87" s="24"/>
      <c r="C87" s="24"/>
      <c r="D87" s="23"/>
      <c r="E87" s="23"/>
      <c r="F87" s="25"/>
      <c r="G87" s="26"/>
      <c r="H87" s="19"/>
      <c r="I87" s="19"/>
      <c r="J87" s="36" t="str">
        <f aca="false">IF($A87="","",$H87*$F87)</f>
        <v/>
      </c>
      <c r="K87" s="36" t="str">
        <f aca="false">IF($A87="","",$G87+$J87)</f>
        <v/>
      </c>
      <c r="L87" s="37" t="str">
        <f aca="false">IF(OR($A87="",$F87=0),"",$K87/$F87)</f>
        <v/>
      </c>
      <c r="M87" s="38" t="str">
        <f aca="false">IF($A87="","",SUMIF('Lot Entry'!$A$7:$A$2000,$A87,'Lot Entry'!$H$7:$H$2000))</f>
        <v/>
      </c>
      <c r="N87" s="39" t="str">
        <f aca="false">IF($A87="","",SUMIF('Lot Entry'!$A$7:$A$2000,$A87,'Lot Entry'!$I$7:$I$2000))</f>
        <v/>
      </c>
      <c r="O87" s="40" t="str">
        <f aca="false">IF(OR($A87="",$F87=0),"",$N87/$F87)</f>
        <v/>
      </c>
      <c r="P87" s="41" t="str">
        <f aca="false">IF($A87="","",SUMIF('Lot Entry'!$A$7:$A$2000,$A87,'Lot Entry'!$J$7:$J$2000))</f>
        <v/>
      </c>
      <c r="Q87" s="36" t="str">
        <f aca="false">IF($A87="","",$P87*$I87)</f>
        <v/>
      </c>
      <c r="R87" s="37" t="str">
        <f aca="false">IF($A87="","",IF(W87="",Expenses!$B$6,W87)+IF(X87="",Expenses!$B$7,X87)+IF(Y87="",Expenses!$B$8,Y87)+IF(Z87="",Expenses!$B$9,Z87)+IF(AA87="",Expenses!$B$10,AA87)+IF(AB87="",Expenses!$B$11,AB87)+IF(AC87="",Expenses!$B$12,AC87)+IF(AD87="",Expenses!$B$13,AD87)+IF(AE87="",Expenses!$B$14,AE87)+IF(AF87="",Expenses!$B$15,AF87)+IF(AG87="",Expenses!$B$16,AG87)+IF(AH87="",Expenses!$B$17,AH87)+IF(AI87="",Expenses!$B$18,AI87))</f>
        <v/>
      </c>
      <c r="S87" s="36" t="str">
        <f aca="false">IF($A87="","",$R87*$M87)</f>
        <v/>
      </c>
      <c r="T87" s="36" t="str">
        <f aca="false">IF($A87="","",$K87+$S87)</f>
        <v/>
      </c>
      <c r="U87" s="42" t="str">
        <f aca="false">IF($A87="","",$Q87-$T87)</f>
        <v/>
      </c>
      <c r="V87" s="43" t="str">
        <f aca="false">IF(OR($A87="",$F87=0),"",$U87/$F87)</f>
        <v/>
      </c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</row>
    <row r="88" customFormat="false" ht="15" hidden="false" customHeight="false" outlineLevel="0" collapsed="false">
      <c r="A88" s="23"/>
      <c r="B88" s="24"/>
      <c r="C88" s="24"/>
      <c r="D88" s="23"/>
      <c r="E88" s="23"/>
      <c r="F88" s="25"/>
      <c r="G88" s="26"/>
      <c r="H88" s="19"/>
      <c r="I88" s="19"/>
      <c r="J88" s="27" t="str">
        <f aca="false">IF($A88="","",$H88*$F88)</f>
        <v/>
      </c>
      <c r="K88" s="27" t="str">
        <f aca="false">IF($A88="","",$G88+$J88)</f>
        <v/>
      </c>
      <c r="L88" s="28" t="str">
        <f aca="false">IF(OR($A88="",$F88=0),"",$K88/$F88)</f>
        <v/>
      </c>
      <c r="M88" s="29" t="str">
        <f aca="false">IF($A88="","",SUMIF('Lot Entry'!$A$7:$A$2000,$A88,'Lot Entry'!$H$7:$H$2000))</f>
        <v/>
      </c>
      <c r="N88" s="30" t="str">
        <f aca="false">IF($A88="","",SUMIF('Lot Entry'!$A$7:$A$2000,$A88,'Lot Entry'!$I$7:$I$2000))</f>
        <v/>
      </c>
      <c r="O88" s="31" t="str">
        <f aca="false">IF(OR($A88="",$F88=0),"",$N88/$F88)</f>
        <v/>
      </c>
      <c r="P88" s="32" t="str">
        <f aca="false">IF($A88="","",SUMIF('Lot Entry'!$A$7:$A$2000,$A88,'Lot Entry'!$J$7:$J$2000))</f>
        <v/>
      </c>
      <c r="Q88" s="27" t="str">
        <f aca="false">IF($A88="","",$P88*$I88)</f>
        <v/>
      </c>
      <c r="R88" s="28" t="str">
        <f aca="false">IF($A88="","",IF(W88="",Expenses!$B$6,W88)+IF(X88="",Expenses!$B$7,X88)+IF(Y88="",Expenses!$B$8,Y88)+IF(Z88="",Expenses!$B$9,Z88)+IF(AA88="",Expenses!$B$10,AA88)+IF(AB88="",Expenses!$B$11,AB88)+IF(AC88="",Expenses!$B$12,AC88)+IF(AD88="",Expenses!$B$13,AD88)+IF(AE88="",Expenses!$B$14,AE88)+IF(AF88="",Expenses!$B$15,AF88)+IF(AG88="",Expenses!$B$16,AG88)+IF(AH88="",Expenses!$B$17,AH88)+IF(AI88="",Expenses!$B$18,AI88))</f>
        <v/>
      </c>
      <c r="S88" s="27" t="str">
        <f aca="false">IF($A88="","",$R88*$M88)</f>
        <v/>
      </c>
      <c r="T88" s="27" t="str">
        <f aca="false">IF($A88="","",$K88+$S88)</f>
        <v/>
      </c>
      <c r="U88" s="33" t="str">
        <f aca="false">IF($A88="","",$Q88-$T88)</f>
        <v/>
      </c>
      <c r="V88" s="34" t="str">
        <f aca="false">IF(OR($A88="",$F88=0),"",$U88/$F88)</f>
        <v/>
      </c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</row>
    <row r="89" customFormat="false" ht="15" hidden="false" customHeight="false" outlineLevel="0" collapsed="false">
      <c r="A89" s="23"/>
      <c r="B89" s="24"/>
      <c r="C89" s="24"/>
      <c r="D89" s="23"/>
      <c r="E89" s="23"/>
      <c r="F89" s="25"/>
      <c r="G89" s="26"/>
      <c r="H89" s="19"/>
      <c r="I89" s="19"/>
      <c r="J89" s="36" t="str">
        <f aca="false">IF($A89="","",$H89*$F89)</f>
        <v/>
      </c>
      <c r="K89" s="36" t="str">
        <f aca="false">IF($A89="","",$G89+$J89)</f>
        <v/>
      </c>
      <c r="L89" s="37" t="str">
        <f aca="false">IF(OR($A89="",$F89=0),"",$K89/$F89)</f>
        <v/>
      </c>
      <c r="M89" s="38" t="str">
        <f aca="false">IF($A89="","",SUMIF('Lot Entry'!$A$7:$A$2000,$A89,'Lot Entry'!$H$7:$H$2000))</f>
        <v/>
      </c>
      <c r="N89" s="39" t="str">
        <f aca="false">IF($A89="","",SUMIF('Lot Entry'!$A$7:$A$2000,$A89,'Lot Entry'!$I$7:$I$2000))</f>
        <v/>
      </c>
      <c r="O89" s="40" t="str">
        <f aca="false">IF(OR($A89="",$F89=0),"",$N89/$F89)</f>
        <v/>
      </c>
      <c r="P89" s="41" t="str">
        <f aca="false">IF($A89="","",SUMIF('Lot Entry'!$A$7:$A$2000,$A89,'Lot Entry'!$J$7:$J$2000))</f>
        <v/>
      </c>
      <c r="Q89" s="36" t="str">
        <f aca="false">IF($A89="","",$P89*$I89)</f>
        <v/>
      </c>
      <c r="R89" s="37" t="str">
        <f aca="false">IF($A89="","",IF(W89="",Expenses!$B$6,W89)+IF(X89="",Expenses!$B$7,X89)+IF(Y89="",Expenses!$B$8,Y89)+IF(Z89="",Expenses!$B$9,Z89)+IF(AA89="",Expenses!$B$10,AA89)+IF(AB89="",Expenses!$B$11,AB89)+IF(AC89="",Expenses!$B$12,AC89)+IF(AD89="",Expenses!$B$13,AD89)+IF(AE89="",Expenses!$B$14,AE89)+IF(AF89="",Expenses!$B$15,AF89)+IF(AG89="",Expenses!$B$16,AG89)+IF(AH89="",Expenses!$B$17,AH89)+IF(AI89="",Expenses!$B$18,AI89))</f>
        <v/>
      </c>
      <c r="S89" s="36" t="str">
        <f aca="false">IF($A89="","",$R89*$M89)</f>
        <v/>
      </c>
      <c r="T89" s="36" t="str">
        <f aca="false">IF($A89="","",$K89+$S89)</f>
        <v/>
      </c>
      <c r="U89" s="42" t="str">
        <f aca="false">IF($A89="","",$Q89-$T89)</f>
        <v/>
      </c>
      <c r="V89" s="43" t="str">
        <f aca="false">IF(OR($A89="",$F89=0),"",$U89/$F89)</f>
        <v/>
      </c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</row>
    <row r="90" customFormat="false" ht="15" hidden="false" customHeight="false" outlineLevel="0" collapsed="false">
      <c r="A90" s="23"/>
      <c r="B90" s="24"/>
      <c r="C90" s="24"/>
      <c r="D90" s="23"/>
      <c r="E90" s="23"/>
      <c r="F90" s="25"/>
      <c r="G90" s="26"/>
      <c r="H90" s="19"/>
      <c r="I90" s="19"/>
      <c r="J90" s="27" t="str">
        <f aca="false">IF($A90="","",$H90*$F90)</f>
        <v/>
      </c>
      <c r="K90" s="27" t="str">
        <f aca="false">IF($A90="","",$G90+$J90)</f>
        <v/>
      </c>
      <c r="L90" s="28" t="str">
        <f aca="false">IF(OR($A90="",$F90=0),"",$K90/$F90)</f>
        <v/>
      </c>
      <c r="M90" s="29" t="str">
        <f aca="false">IF($A90="","",SUMIF('Lot Entry'!$A$7:$A$2000,$A90,'Lot Entry'!$H$7:$H$2000))</f>
        <v/>
      </c>
      <c r="N90" s="30" t="str">
        <f aca="false">IF($A90="","",SUMIF('Lot Entry'!$A$7:$A$2000,$A90,'Lot Entry'!$I$7:$I$2000))</f>
        <v/>
      </c>
      <c r="O90" s="31" t="str">
        <f aca="false">IF(OR($A90="",$F90=0),"",$N90/$F90)</f>
        <v/>
      </c>
      <c r="P90" s="32" t="str">
        <f aca="false">IF($A90="","",SUMIF('Lot Entry'!$A$7:$A$2000,$A90,'Lot Entry'!$J$7:$J$2000))</f>
        <v/>
      </c>
      <c r="Q90" s="27" t="str">
        <f aca="false">IF($A90="","",$P90*$I90)</f>
        <v/>
      </c>
      <c r="R90" s="28" t="str">
        <f aca="false">IF($A90="","",IF(W90="",Expenses!$B$6,W90)+IF(X90="",Expenses!$B$7,X90)+IF(Y90="",Expenses!$B$8,Y90)+IF(Z90="",Expenses!$B$9,Z90)+IF(AA90="",Expenses!$B$10,AA90)+IF(AB90="",Expenses!$B$11,AB90)+IF(AC90="",Expenses!$B$12,AC90)+IF(AD90="",Expenses!$B$13,AD90)+IF(AE90="",Expenses!$B$14,AE90)+IF(AF90="",Expenses!$B$15,AF90)+IF(AG90="",Expenses!$B$16,AG90)+IF(AH90="",Expenses!$B$17,AH90)+IF(AI90="",Expenses!$B$18,AI90))</f>
        <v/>
      </c>
      <c r="S90" s="27" t="str">
        <f aca="false">IF($A90="","",$R90*$M90)</f>
        <v/>
      </c>
      <c r="T90" s="27" t="str">
        <f aca="false">IF($A90="","",$K90+$S90)</f>
        <v/>
      </c>
      <c r="U90" s="33" t="str">
        <f aca="false">IF($A90="","",$Q90-$T90)</f>
        <v/>
      </c>
      <c r="V90" s="34" t="str">
        <f aca="false">IF(OR($A90="",$F90=0),"",$U90/$F90)</f>
        <v/>
      </c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</row>
    <row r="91" customFormat="false" ht="15" hidden="false" customHeight="false" outlineLevel="0" collapsed="false">
      <c r="A91" s="23"/>
      <c r="B91" s="24"/>
      <c r="C91" s="24"/>
      <c r="D91" s="23"/>
      <c r="E91" s="23"/>
      <c r="F91" s="25"/>
      <c r="G91" s="26"/>
      <c r="H91" s="19"/>
      <c r="I91" s="19"/>
      <c r="J91" s="36" t="str">
        <f aca="false">IF($A91="","",$H91*$F91)</f>
        <v/>
      </c>
      <c r="K91" s="36" t="str">
        <f aca="false">IF($A91="","",$G91+$J91)</f>
        <v/>
      </c>
      <c r="L91" s="37" t="str">
        <f aca="false">IF(OR($A91="",$F91=0),"",$K91/$F91)</f>
        <v/>
      </c>
      <c r="M91" s="38" t="str">
        <f aca="false">IF($A91="","",SUMIF('Lot Entry'!$A$7:$A$2000,$A91,'Lot Entry'!$H$7:$H$2000))</f>
        <v/>
      </c>
      <c r="N91" s="39" t="str">
        <f aca="false">IF($A91="","",SUMIF('Lot Entry'!$A$7:$A$2000,$A91,'Lot Entry'!$I$7:$I$2000))</f>
        <v/>
      </c>
      <c r="O91" s="40" t="str">
        <f aca="false">IF(OR($A91="",$F91=0),"",$N91/$F91)</f>
        <v/>
      </c>
      <c r="P91" s="41" t="str">
        <f aca="false">IF($A91="","",SUMIF('Lot Entry'!$A$7:$A$2000,$A91,'Lot Entry'!$J$7:$J$2000))</f>
        <v/>
      </c>
      <c r="Q91" s="36" t="str">
        <f aca="false">IF($A91="","",$P91*$I91)</f>
        <v/>
      </c>
      <c r="R91" s="37" t="str">
        <f aca="false">IF($A91="","",IF(W91="",Expenses!$B$6,W91)+IF(X91="",Expenses!$B$7,X91)+IF(Y91="",Expenses!$B$8,Y91)+IF(Z91="",Expenses!$B$9,Z91)+IF(AA91="",Expenses!$B$10,AA91)+IF(AB91="",Expenses!$B$11,AB91)+IF(AC91="",Expenses!$B$12,AC91)+IF(AD91="",Expenses!$B$13,AD91)+IF(AE91="",Expenses!$B$14,AE91)+IF(AF91="",Expenses!$B$15,AF91)+IF(AG91="",Expenses!$B$16,AG91)+IF(AH91="",Expenses!$B$17,AH91)+IF(AI91="",Expenses!$B$18,AI91))</f>
        <v/>
      </c>
      <c r="S91" s="36" t="str">
        <f aca="false">IF($A91="","",$R91*$M91)</f>
        <v/>
      </c>
      <c r="T91" s="36" t="str">
        <f aca="false">IF($A91="","",$K91+$S91)</f>
        <v/>
      </c>
      <c r="U91" s="42" t="str">
        <f aca="false">IF($A91="","",$Q91-$T91)</f>
        <v/>
      </c>
      <c r="V91" s="43" t="str">
        <f aca="false">IF(OR($A91="",$F91=0),"",$U91/$F91)</f>
        <v/>
      </c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</row>
    <row r="92" customFormat="false" ht="15" hidden="false" customHeight="false" outlineLevel="0" collapsed="false">
      <c r="A92" s="23"/>
      <c r="B92" s="24"/>
      <c r="C92" s="24"/>
      <c r="D92" s="23"/>
      <c r="E92" s="23"/>
      <c r="F92" s="25"/>
      <c r="G92" s="26"/>
      <c r="H92" s="19"/>
      <c r="I92" s="19"/>
      <c r="J92" s="27" t="str">
        <f aca="false">IF($A92="","",$H92*$F92)</f>
        <v/>
      </c>
      <c r="K92" s="27" t="str">
        <f aca="false">IF($A92="","",$G92+$J92)</f>
        <v/>
      </c>
      <c r="L92" s="28" t="str">
        <f aca="false">IF(OR($A92="",$F92=0),"",$K92/$F92)</f>
        <v/>
      </c>
      <c r="M92" s="29" t="str">
        <f aca="false">IF($A92="","",SUMIF('Lot Entry'!$A$7:$A$2000,$A92,'Lot Entry'!$H$7:$H$2000))</f>
        <v/>
      </c>
      <c r="N92" s="30" t="str">
        <f aca="false">IF($A92="","",SUMIF('Lot Entry'!$A$7:$A$2000,$A92,'Lot Entry'!$I$7:$I$2000))</f>
        <v/>
      </c>
      <c r="O92" s="31" t="str">
        <f aca="false">IF(OR($A92="",$F92=0),"",$N92/$F92)</f>
        <v/>
      </c>
      <c r="P92" s="32" t="str">
        <f aca="false">IF($A92="","",SUMIF('Lot Entry'!$A$7:$A$2000,$A92,'Lot Entry'!$J$7:$J$2000))</f>
        <v/>
      </c>
      <c r="Q92" s="27" t="str">
        <f aca="false">IF($A92="","",$P92*$I92)</f>
        <v/>
      </c>
      <c r="R92" s="28" t="str">
        <f aca="false">IF($A92="","",IF(W92="",Expenses!$B$6,W92)+IF(X92="",Expenses!$B$7,X92)+IF(Y92="",Expenses!$B$8,Y92)+IF(Z92="",Expenses!$B$9,Z92)+IF(AA92="",Expenses!$B$10,AA92)+IF(AB92="",Expenses!$B$11,AB92)+IF(AC92="",Expenses!$B$12,AC92)+IF(AD92="",Expenses!$B$13,AD92)+IF(AE92="",Expenses!$B$14,AE92)+IF(AF92="",Expenses!$B$15,AF92)+IF(AG92="",Expenses!$B$16,AG92)+IF(AH92="",Expenses!$B$17,AH92)+IF(AI92="",Expenses!$B$18,AI92))</f>
        <v/>
      </c>
      <c r="S92" s="27" t="str">
        <f aca="false">IF($A92="","",$R92*$M92)</f>
        <v/>
      </c>
      <c r="T92" s="27" t="str">
        <f aca="false">IF($A92="","",$K92+$S92)</f>
        <v/>
      </c>
      <c r="U92" s="33" t="str">
        <f aca="false">IF($A92="","",$Q92-$T92)</f>
        <v/>
      </c>
      <c r="V92" s="34" t="str">
        <f aca="false">IF(OR($A92="",$F92=0),"",$U92/$F92)</f>
        <v/>
      </c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</row>
    <row r="93" customFormat="false" ht="15" hidden="false" customHeight="false" outlineLevel="0" collapsed="false">
      <c r="A93" s="23"/>
      <c r="B93" s="24"/>
      <c r="C93" s="24"/>
      <c r="D93" s="23"/>
      <c r="E93" s="23"/>
      <c r="F93" s="25"/>
      <c r="G93" s="26"/>
      <c r="H93" s="19"/>
      <c r="I93" s="19"/>
      <c r="J93" s="36" t="str">
        <f aca="false">IF($A93="","",$H93*$F93)</f>
        <v/>
      </c>
      <c r="K93" s="36" t="str">
        <f aca="false">IF($A93="","",$G93+$J93)</f>
        <v/>
      </c>
      <c r="L93" s="37" t="str">
        <f aca="false">IF(OR($A93="",$F93=0),"",$K93/$F93)</f>
        <v/>
      </c>
      <c r="M93" s="38" t="str">
        <f aca="false">IF($A93="","",SUMIF('Lot Entry'!$A$7:$A$2000,$A93,'Lot Entry'!$H$7:$H$2000))</f>
        <v/>
      </c>
      <c r="N93" s="39" t="str">
        <f aca="false">IF($A93="","",SUMIF('Lot Entry'!$A$7:$A$2000,$A93,'Lot Entry'!$I$7:$I$2000))</f>
        <v/>
      </c>
      <c r="O93" s="40" t="str">
        <f aca="false">IF(OR($A93="",$F93=0),"",$N93/$F93)</f>
        <v/>
      </c>
      <c r="P93" s="41" t="str">
        <f aca="false">IF($A93="","",SUMIF('Lot Entry'!$A$7:$A$2000,$A93,'Lot Entry'!$J$7:$J$2000))</f>
        <v/>
      </c>
      <c r="Q93" s="36" t="str">
        <f aca="false">IF($A93="","",$P93*$I93)</f>
        <v/>
      </c>
      <c r="R93" s="37" t="str">
        <f aca="false">IF($A93="","",IF(W93="",Expenses!$B$6,W93)+IF(X93="",Expenses!$B$7,X93)+IF(Y93="",Expenses!$B$8,Y93)+IF(Z93="",Expenses!$B$9,Z93)+IF(AA93="",Expenses!$B$10,AA93)+IF(AB93="",Expenses!$B$11,AB93)+IF(AC93="",Expenses!$B$12,AC93)+IF(AD93="",Expenses!$B$13,AD93)+IF(AE93="",Expenses!$B$14,AE93)+IF(AF93="",Expenses!$B$15,AF93)+IF(AG93="",Expenses!$B$16,AG93)+IF(AH93="",Expenses!$B$17,AH93)+IF(AI93="",Expenses!$B$18,AI93))</f>
        <v/>
      </c>
      <c r="S93" s="36" t="str">
        <f aca="false">IF($A93="","",$R93*$M93)</f>
        <v/>
      </c>
      <c r="T93" s="36" t="str">
        <f aca="false">IF($A93="","",$K93+$S93)</f>
        <v/>
      </c>
      <c r="U93" s="42" t="str">
        <f aca="false">IF($A93="","",$Q93-$T93)</f>
        <v/>
      </c>
      <c r="V93" s="43" t="str">
        <f aca="false">IF(OR($A93="",$F93=0),"",$U93/$F93)</f>
        <v/>
      </c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</row>
    <row r="94" customFormat="false" ht="15" hidden="false" customHeight="false" outlineLevel="0" collapsed="false">
      <c r="A94" s="23"/>
      <c r="B94" s="24"/>
      <c r="C94" s="24"/>
      <c r="D94" s="23"/>
      <c r="E94" s="23"/>
      <c r="F94" s="25"/>
      <c r="G94" s="26"/>
      <c r="H94" s="19"/>
      <c r="I94" s="19"/>
      <c r="J94" s="27" t="str">
        <f aca="false">IF($A94="","",$H94*$F94)</f>
        <v/>
      </c>
      <c r="K94" s="27" t="str">
        <f aca="false">IF($A94="","",$G94+$J94)</f>
        <v/>
      </c>
      <c r="L94" s="28" t="str">
        <f aca="false">IF(OR($A94="",$F94=0),"",$K94/$F94)</f>
        <v/>
      </c>
      <c r="M94" s="29" t="str">
        <f aca="false">IF($A94="","",SUMIF('Lot Entry'!$A$7:$A$2000,$A94,'Lot Entry'!$H$7:$H$2000))</f>
        <v/>
      </c>
      <c r="N94" s="30" t="str">
        <f aca="false">IF($A94="","",SUMIF('Lot Entry'!$A$7:$A$2000,$A94,'Lot Entry'!$I$7:$I$2000))</f>
        <v/>
      </c>
      <c r="O94" s="31" t="str">
        <f aca="false">IF(OR($A94="",$F94=0),"",$N94/$F94)</f>
        <v/>
      </c>
      <c r="P94" s="32" t="str">
        <f aca="false">IF($A94="","",SUMIF('Lot Entry'!$A$7:$A$2000,$A94,'Lot Entry'!$J$7:$J$2000))</f>
        <v/>
      </c>
      <c r="Q94" s="27" t="str">
        <f aca="false">IF($A94="","",$P94*$I94)</f>
        <v/>
      </c>
      <c r="R94" s="28" t="str">
        <f aca="false">IF($A94="","",IF(W94="",Expenses!$B$6,W94)+IF(X94="",Expenses!$B$7,X94)+IF(Y94="",Expenses!$B$8,Y94)+IF(Z94="",Expenses!$B$9,Z94)+IF(AA94="",Expenses!$B$10,AA94)+IF(AB94="",Expenses!$B$11,AB94)+IF(AC94="",Expenses!$B$12,AC94)+IF(AD94="",Expenses!$B$13,AD94)+IF(AE94="",Expenses!$B$14,AE94)+IF(AF94="",Expenses!$B$15,AF94)+IF(AG94="",Expenses!$B$16,AG94)+IF(AH94="",Expenses!$B$17,AH94)+IF(AI94="",Expenses!$B$18,AI94))</f>
        <v/>
      </c>
      <c r="S94" s="27" t="str">
        <f aca="false">IF($A94="","",$R94*$M94)</f>
        <v/>
      </c>
      <c r="T94" s="27" t="str">
        <f aca="false">IF($A94="","",$K94+$S94)</f>
        <v/>
      </c>
      <c r="U94" s="33" t="str">
        <f aca="false">IF($A94="","",$Q94-$T94)</f>
        <v/>
      </c>
      <c r="V94" s="34" t="str">
        <f aca="false">IF(OR($A94="",$F94=0),"",$U94/$F94)</f>
        <v/>
      </c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</row>
    <row r="95" customFormat="false" ht="15" hidden="false" customHeight="false" outlineLevel="0" collapsed="false">
      <c r="A95" s="23"/>
      <c r="B95" s="24"/>
      <c r="C95" s="24"/>
      <c r="D95" s="23"/>
      <c r="E95" s="23"/>
      <c r="F95" s="25"/>
      <c r="G95" s="26"/>
      <c r="H95" s="19"/>
      <c r="I95" s="19"/>
      <c r="J95" s="36" t="str">
        <f aca="false">IF($A95="","",$H95*$F95)</f>
        <v/>
      </c>
      <c r="K95" s="36" t="str">
        <f aca="false">IF($A95="","",$G95+$J95)</f>
        <v/>
      </c>
      <c r="L95" s="37" t="str">
        <f aca="false">IF(OR($A95="",$F95=0),"",$K95/$F95)</f>
        <v/>
      </c>
      <c r="M95" s="38" t="str">
        <f aca="false">IF($A95="","",SUMIF('Lot Entry'!$A$7:$A$2000,$A95,'Lot Entry'!$H$7:$H$2000))</f>
        <v/>
      </c>
      <c r="N95" s="39" t="str">
        <f aca="false">IF($A95="","",SUMIF('Lot Entry'!$A$7:$A$2000,$A95,'Lot Entry'!$I$7:$I$2000))</f>
        <v/>
      </c>
      <c r="O95" s="40" t="str">
        <f aca="false">IF(OR($A95="",$F95=0),"",$N95/$F95)</f>
        <v/>
      </c>
      <c r="P95" s="41" t="str">
        <f aca="false">IF($A95="","",SUMIF('Lot Entry'!$A$7:$A$2000,$A95,'Lot Entry'!$J$7:$J$2000))</f>
        <v/>
      </c>
      <c r="Q95" s="36" t="str">
        <f aca="false">IF($A95="","",$P95*$I95)</f>
        <v/>
      </c>
      <c r="R95" s="37" t="str">
        <f aca="false">IF($A95="","",IF(W95="",Expenses!$B$6,W95)+IF(X95="",Expenses!$B$7,X95)+IF(Y95="",Expenses!$B$8,Y95)+IF(Z95="",Expenses!$B$9,Z95)+IF(AA95="",Expenses!$B$10,AA95)+IF(AB95="",Expenses!$B$11,AB95)+IF(AC95="",Expenses!$B$12,AC95)+IF(AD95="",Expenses!$B$13,AD95)+IF(AE95="",Expenses!$B$14,AE95)+IF(AF95="",Expenses!$B$15,AF95)+IF(AG95="",Expenses!$B$16,AG95)+IF(AH95="",Expenses!$B$17,AH95)+IF(AI95="",Expenses!$B$18,AI95))</f>
        <v/>
      </c>
      <c r="S95" s="36" t="str">
        <f aca="false">IF($A95="","",$R95*$M95)</f>
        <v/>
      </c>
      <c r="T95" s="36" t="str">
        <f aca="false">IF($A95="","",$K95+$S95)</f>
        <v/>
      </c>
      <c r="U95" s="42" t="str">
        <f aca="false">IF($A95="","",$Q95-$T95)</f>
        <v/>
      </c>
      <c r="V95" s="43" t="str">
        <f aca="false">IF(OR($A95="",$F95=0),"",$U95/$F95)</f>
        <v/>
      </c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</row>
    <row r="96" customFormat="false" ht="15" hidden="false" customHeight="false" outlineLevel="0" collapsed="false">
      <c r="A96" s="23"/>
      <c r="B96" s="24"/>
      <c r="C96" s="24"/>
      <c r="D96" s="23"/>
      <c r="E96" s="23"/>
      <c r="F96" s="25"/>
      <c r="G96" s="26"/>
      <c r="H96" s="19"/>
      <c r="I96" s="19"/>
      <c r="J96" s="27" t="str">
        <f aca="false">IF($A96="","",$H96*$F96)</f>
        <v/>
      </c>
      <c r="K96" s="27" t="str">
        <f aca="false">IF($A96="","",$G96+$J96)</f>
        <v/>
      </c>
      <c r="L96" s="28" t="str">
        <f aca="false">IF(OR($A96="",$F96=0),"",$K96/$F96)</f>
        <v/>
      </c>
      <c r="M96" s="29" t="str">
        <f aca="false">IF($A96="","",SUMIF('Lot Entry'!$A$7:$A$2000,$A96,'Lot Entry'!$H$7:$H$2000))</f>
        <v/>
      </c>
      <c r="N96" s="30" t="str">
        <f aca="false">IF($A96="","",SUMIF('Lot Entry'!$A$7:$A$2000,$A96,'Lot Entry'!$I$7:$I$2000))</f>
        <v/>
      </c>
      <c r="O96" s="31" t="str">
        <f aca="false">IF(OR($A96="",$F96=0),"",$N96/$F96)</f>
        <v/>
      </c>
      <c r="P96" s="32" t="str">
        <f aca="false">IF($A96="","",SUMIF('Lot Entry'!$A$7:$A$2000,$A96,'Lot Entry'!$J$7:$J$2000))</f>
        <v/>
      </c>
      <c r="Q96" s="27" t="str">
        <f aca="false">IF($A96="","",$P96*$I96)</f>
        <v/>
      </c>
      <c r="R96" s="28" t="str">
        <f aca="false">IF($A96="","",IF(W96="",Expenses!$B$6,W96)+IF(X96="",Expenses!$B$7,X96)+IF(Y96="",Expenses!$B$8,Y96)+IF(Z96="",Expenses!$B$9,Z96)+IF(AA96="",Expenses!$B$10,AA96)+IF(AB96="",Expenses!$B$11,AB96)+IF(AC96="",Expenses!$B$12,AC96)+IF(AD96="",Expenses!$B$13,AD96)+IF(AE96="",Expenses!$B$14,AE96)+IF(AF96="",Expenses!$B$15,AF96)+IF(AG96="",Expenses!$B$16,AG96)+IF(AH96="",Expenses!$B$17,AH96)+IF(AI96="",Expenses!$B$18,AI96))</f>
        <v/>
      </c>
      <c r="S96" s="27" t="str">
        <f aca="false">IF($A96="","",$R96*$M96)</f>
        <v/>
      </c>
      <c r="T96" s="27" t="str">
        <f aca="false">IF($A96="","",$K96+$S96)</f>
        <v/>
      </c>
      <c r="U96" s="33" t="str">
        <f aca="false">IF($A96="","",$Q96-$T96)</f>
        <v/>
      </c>
      <c r="V96" s="34" t="str">
        <f aca="false">IF(OR($A96="",$F96=0),"",$U96/$F96)</f>
        <v/>
      </c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</row>
    <row r="97" customFormat="false" ht="15" hidden="false" customHeight="false" outlineLevel="0" collapsed="false">
      <c r="A97" s="23"/>
      <c r="B97" s="24"/>
      <c r="C97" s="24"/>
      <c r="D97" s="23"/>
      <c r="E97" s="23"/>
      <c r="F97" s="25"/>
      <c r="G97" s="26"/>
      <c r="H97" s="19"/>
      <c r="I97" s="19"/>
      <c r="J97" s="36" t="str">
        <f aca="false">IF($A97="","",$H97*$F97)</f>
        <v/>
      </c>
      <c r="K97" s="36" t="str">
        <f aca="false">IF($A97="","",$G97+$J97)</f>
        <v/>
      </c>
      <c r="L97" s="37" t="str">
        <f aca="false">IF(OR($A97="",$F97=0),"",$K97/$F97)</f>
        <v/>
      </c>
      <c r="M97" s="38" t="str">
        <f aca="false">IF($A97="","",SUMIF('Lot Entry'!$A$7:$A$2000,$A97,'Lot Entry'!$H$7:$H$2000))</f>
        <v/>
      </c>
      <c r="N97" s="39" t="str">
        <f aca="false">IF($A97="","",SUMIF('Lot Entry'!$A$7:$A$2000,$A97,'Lot Entry'!$I$7:$I$2000))</f>
        <v/>
      </c>
      <c r="O97" s="40" t="str">
        <f aca="false">IF(OR($A97="",$F97=0),"",$N97/$F97)</f>
        <v/>
      </c>
      <c r="P97" s="41" t="str">
        <f aca="false">IF($A97="","",SUMIF('Lot Entry'!$A$7:$A$2000,$A97,'Lot Entry'!$J$7:$J$2000))</f>
        <v/>
      </c>
      <c r="Q97" s="36" t="str">
        <f aca="false">IF($A97="","",$P97*$I97)</f>
        <v/>
      </c>
      <c r="R97" s="37" t="str">
        <f aca="false">IF($A97="","",IF(W97="",Expenses!$B$6,W97)+IF(X97="",Expenses!$B$7,X97)+IF(Y97="",Expenses!$B$8,Y97)+IF(Z97="",Expenses!$B$9,Z97)+IF(AA97="",Expenses!$B$10,AA97)+IF(AB97="",Expenses!$B$11,AB97)+IF(AC97="",Expenses!$B$12,AC97)+IF(AD97="",Expenses!$B$13,AD97)+IF(AE97="",Expenses!$B$14,AE97)+IF(AF97="",Expenses!$B$15,AF97)+IF(AG97="",Expenses!$B$16,AG97)+IF(AH97="",Expenses!$B$17,AH97)+IF(AI97="",Expenses!$B$18,AI97))</f>
        <v/>
      </c>
      <c r="S97" s="36" t="str">
        <f aca="false">IF($A97="","",$R97*$M97)</f>
        <v/>
      </c>
      <c r="T97" s="36" t="str">
        <f aca="false">IF($A97="","",$K97+$S97)</f>
        <v/>
      </c>
      <c r="U97" s="42" t="str">
        <f aca="false">IF($A97="","",$Q97-$T97)</f>
        <v/>
      </c>
      <c r="V97" s="43" t="str">
        <f aca="false">IF(OR($A97="",$F97=0),"",$U97/$F97)</f>
        <v/>
      </c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</row>
    <row r="98" customFormat="false" ht="15" hidden="false" customHeight="false" outlineLevel="0" collapsed="false">
      <c r="A98" s="23"/>
      <c r="B98" s="24"/>
      <c r="C98" s="24"/>
      <c r="D98" s="23"/>
      <c r="E98" s="23"/>
      <c r="F98" s="25"/>
      <c r="G98" s="26"/>
      <c r="H98" s="19"/>
      <c r="I98" s="19"/>
      <c r="J98" s="27" t="str">
        <f aca="false">IF($A98="","",$H98*$F98)</f>
        <v/>
      </c>
      <c r="K98" s="27" t="str">
        <f aca="false">IF($A98="","",$G98+$J98)</f>
        <v/>
      </c>
      <c r="L98" s="28" t="str">
        <f aca="false">IF(OR($A98="",$F98=0),"",$K98/$F98)</f>
        <v/>
      </c>
      <c r="M98" s="29" t="str">
        <f aca="false">IF($A98="","",SUMIF('Lot Entry'!$A$7:$A$2000,$A98,'Lot Entry'!$H$7:$H$2000))</f>
        <v/>
      </c>
      <c r="N98" s="30" t="str">
        <f aca="false">IF($A98="","",SUMIF('Lot Entry'!$A$7:$A$2000,$A98,'Lot Entry'!$I$7:$I$2000))</f>
        <v/>
      </c>
      <c r="O98" s="31" t="str">
        <f aca="false">IF(OR($A98="",$F98=0),"",$N98/$F98)</f>
        <v/>
      </c>
      <c r="P98" s="32" t="str">
        <f aca="false">IF($A98="","",SUMIF('Lot Entry'!$A$7:$A$2000,$A98,'Lot Entry'!$J$7:$J$2000))</f>
        <v/>
      </c>
      <c r="Q98" s="27" t="str">
        <f aca="false">IF($A98="","",$P98*$I98)</f>
        <v/>
      </c>
      <c r="R98" s="28" t="str">
        <f aca="false">IF($A98="","",IF(W98="",Expenses!$B$6,W98)+IF(X98="",Expenses!$B$7,X98)+IF(Y98="",Expenses!$B$8,Y98)+IF(Z98="",Expenses!$B$9,Z98)+IF(AA98="",Expenses!$B$10,AA98)+IF(AB98="",Expenses!$B$11,AB98)+IF(AC98="",Expenses!$B$12,AC98)+IF(AD98="",Expenses!$B$13,AD98)+IF(AE98="",Expenses!$B$14,AE98)+IF(AF98="",Expenses!$B$15,AF98)+IF(AG98="",Expenses!$B$16,AG98)+IF(AH98="",Expenses!$B$17,AH98)+IF(AI98="",Expenses!$B$18,AI98))</f>
        <v/>
      </c>
      <c r="S98" s="27" t="str">
        <f aca="false">IF($A98="","",$R98*$M98)</f>
        <v/>
      </c>
      <c r="T98" s="27" t="str">
        <f aca="false">IF($A98="","",$K98+$S98)</f>
        <v/>
      </c>
      <c r="U98" s="33" t="str">
        <f aca="false">IF($A98="","",$Q98-$T98)</f>
        <v/>
      </c>
      <c r="V98" s="34" t="str">
        <f aca="false">IF(OR($A98="",$F98=0),"",$U98/$F98)</f>
        <v/>
      </c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</row>
    <row r="99" customFormat="false" ht="15" hidden="false" customHeight="false" outlineLevel="0" collapsed="false">
      <c r="A99" s="23"/>
      <c r="B99" s="24"/>
      <c r="C99" s="24"/>
      <c r="D99" s="23"/>
      <c r="E99" s="23"/>
      <c r="F99" s="25"/>
      <c r="G99" s="26"/>
      <c r="H99" s="19"/>
      <c r="I99" s="19"/>
      <c r="J99" s="36" t="str">
        <f aca="false">IF($A99="","",$H99*$F99)</f>
        <v/>
      </c>
      <c r="K99" s="36" t="str">
        <f aca="false">IF($A99="","",$G99+$J99)</f>
        <v/>
      </c>
      <c r="L99" s="37" t="str">
        <f aca="false">IF(OR($A99="",$F99=0),"",$K99/$F99)</f>
        <v/>
      </c>
      <c r="M99" s="38" t="str">
        <f aca="false">IF($A99="","",SUMIF('Lot Entry'!$A$7:$A$2000,$A99,'Lot Entry'!$H$7:$H$2000))</f>
        <v/>
      </c>
      <c r="N99" s="39" t="str">
        <f aca="false">IF($A99="","",SUMIF('Lot Entry'!$A$7:$A$2000,$A99,'Lot Entry'!$I$7:$I$2000))</f>
        <v/>
      </c>
      <c r="O99" s="40" t="str">
        <f aca="false">IF(OR($A99="",$F99=0),"",$N99/$F99)</f>
        <v/>
      </c>
      <c r="P99" s="41" t="str">
        <f aca="false">IF($A99="","",SUMIF('Lot Entry'!$A$7:$A$2000,$A99,'Lot Entry'!$J$7:$J$2000))</f>
        <v/>
      </c>
      <c r="Q99" s="36" t="str">
        <f aca="false">IF($A99="","",$P99*$I99)</f>
        <v/>
      </c>
      <c r="R99" s="37" t="str">
        <f aca="false">IF($A99="","",IF(W99="",Expenses!$B$6,W99)+IF(X99="",Expenses!$B$7,X99)+IF(Y99="",Expenses!$B$8,Y99)+IF(Z99="",Expenses!$B$9,Z99)+IF(AA99="",Expenses!$B$10,AA99)+IF(AB99="",Expenses!$B$11,AB99)+IF(AC99="",Expenses!$B$12,AC99)+IF(AD99="",Expenses!$B$13,AD99)+IF(AE99="",Expenses!$B$14,AE99)+IF(AF99="",Expenses!$B$15,AF99)+IF(AG99="",Expenses!$B$16,AG99)+IF(AH99="",Expenses!$B$17,AH99)+IF(AI99="",Expenses!$B$18,AI99))</f>
        <v/>
      </c>
      <c r="S99" s="36" t="str">
        <f aca="false">IF($A99="","",$R99*$M99)</f>
        <v/>
      </c>
      <c r="T99" s="36" t="str">
        <f aca="false">IF($A99="","",$K99+$S99)</f>
        <v/>
      </c>
      <c r="U99" s="42" t="str">
        <f aca="false">IF($A99="","",$Q99-$T99)</f>
        <v/>
      </c>
      <c r="V99" s="43" t="str">
        <f aca="false">IF(OR($A99="",$F99=0),"",$U99/$F99)</f>
        <v/>
      </c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</row>
    <row r="100" customFormat="false" ht="15" hidden="false" customHeight="false" outlineLevel="0" collapsed="false">
      <c r="A100" s="23"/>
      <c r="B100" s="24"/>
      <c r="C100" s="24"/>
      <c r="D100" s="23"/>
      <c r="E100" s="23"/>
      <c r="F100" s="25"/>
      <c r="G100" s="26"/>
      <c r="H100" s="19"/>
      <c r="I100" s="19"/>
      <c r="J100" s="27" t="str">
        <f aca="false">IF($A100="","",$H100*$F100)</f>
        <v/>
      </c>
      <c r="K100" s="27" t="str">
        <f aca="false">IF($A100="","",$G100+$J100)</f>
        <v/>
      </c>
      <c r="L100" s="28" t="str">
        <f aca="false">IF(OR($A100="",$F100=0),"",$K100/$F100)</f>
        <v/>
      </c>
      <c r="M100" s="29" t="str">
        <f aca="false">IF($A100="","",SUMIF('Lot Entry'!$A$7:$A$2000,$A100,'Lot Entry'!$H$7:$H$2000))</f>
        <v/>
      </c>
      <c r="N100" s="30" t="str">
        <f aca="false">IF($A100="","",SUMIF('Lot Entry'!$A$7:$A$2000,$A100,'Lot Entry'!$I$7:$I$2000))</f>
        <v/>
      </c>
      <c r="O100" s="31" t="str">
        <f aca="false">IF(OR($A100="",$F100=0),"",$N100/$F100)</f>
        <v/>
      </c>
      <c r="P100" s="32" t="str">
        <f aca="false">IF($A100="","",SUMIF('Lot Entry'!$A$7:$A$2000,$A100,'Lot Entry'!$J$7:$J$2000))</f>
        <v/>
      </c>
      <c r="Q100" s="27" t="str">
        <f aca="false">IF($A100="","",$P100*$I100)</f>
        <v/>
      </c>
      <c r="R100" s="28" t="str">
        <f aca="false">IF($A100="","",IF(W100="",Expenses!$B$6,W100)+IF(X100="",Expenses!$B$7,X100)+IF(Y100="",Expenses!$B$8,Y100)+IF(Z100="",Expenses!$B$9,Z100)+IF(AA100="",Expenses!$B$10,AA100)+IF(AB100="",Expenses!$B$11,AB100)+IF(AC100="",Expenses!$B$12,AC100)+IF(AD100="",Expenses!$B$13,AD100)+IF(AE100="",Expenses!$B$14,AE100)+IF(AF100="",Expenses!$B$15,AF100)+IF(AG100="",Expenses!$B$16,AG100)+IF(AH100="",Expenses!$B$17,AH100)+IF(AI100="",Expenses!$B$18,AI100))</f>
        <v/>
      </c>
      <c r="S100" s="27" t="str">
        <f aca="false">IF($A100="","",$R100*$M100)</f>
        <v/>
      </c>
      <c r="T100" s="27" t="str">
        <f aca="false">IF($A100="","",$K100+$S100)</f>
        <v/>
      </c>
      <c r="U100" s="33" t="str">
        <f aca="false">IF($A100="","",$Q100-$T100)</f>
        <v/>
      </c>
      <c r="V100" s="34" t="str">
        <f aca="false">IF(OR($A100="",$F100=0),"",$U100/$F100)</f>
        <v/>
      </c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</row>
    <row r="101" customFormat="false" ht="15" hidden="false" customHeight="false" outlineLevel="0" collapsed="false">
      <c r="A101" s="23"/>
      <c r="B101" s="24"/>
      <c r="C101" s="24"/>
      <c r="D101" s="23"/>
      <c r="E101" s="23"/>
      <c r="F101" s="25"/>
      <c r="G101" s="26"/>
      <c r="H101" s="19"/>
      <c r="I101" s="19"/>
      <c r="J101" s="36" t="str">
        <f aca="false">IF($A101="","",$H101*$F101)</f>
        <v/>
      </c>
      <c r="K101" s="36" t="str">
        <f aca="false">IF($A101="","",$G101+$J101)</f>
        <v/>
      </c>
      <c r="L101" s="37" t="str">
        <f aca="false">IF(OR($A101="",$F101=0),"",$K101/$F101)</f>
        <v/>
      </c>
      <c r="M101" s="38" t="str">
        <f aca="false">IF($A101="","",SUMIF('Lot Entry'!$A$7:$A$2000,$A101,'Lot Entry'!$H$7:$H$2000))</f>
        <v/>
      </c>
      <c r="N101" s="39" t="str">
        <f aca="false">IF($A101="","",SUMIF('Lot Entry'!$A$7:$A$2000,$A101,'Lot Entry'!$I$7:$I$2000))</f>
        <v/>
      </c>
      <c r="O101" s="40" t="str">
        <f aca="false">IF(OR($A101="",$F101=0),"",$N101/$F101)</f>
        <v/>
      </c>
      <c r="P101" s="41" t="str">
        <f aca="false">IF($A101="","",SUMIF('Lot Entry'!$A$7:$A$2000,$A101,'Lot Entry'!$J$7:$J$2000))</f>
        <v/>
      </c>
      <c r="Q101" s="36" t="str">
        <f aca="false">IF($A101="","",$P101*$I101)</f>
        <v/>
      </c>
      <c r="R101" s="37" t="str">
        <f aca="false">IF($A101="","",IF(W101="",Expenses!$B$6,W101)+IF(X101="",Expenses!$B$7,X101)+IF(Y101="",Expenses!$B$8,Y101)+IF(Z101="",Expenses!$B$9,Z101)+IF(AA101="",Expenses!$B$10,AA101)+IF(AB101="",Expenses!$B$11,AB101)+IF(AC101="",Expenses!$B$12,AC101)+IF(AD101="",Expenses!$B$13,AD101)+IF(AE101="",Expenses!$B$14,AE101)+IF(AF101="",Expenses!$B$15,AF101)+IF(AG101="",Expenses!$B$16,AG101)+IF(AH101="",Expenses!$B$17,AH101)+IF(AI101="",Expenses!$B$18,AI101))</f>
        <v/>
      </c>
      <c r="S101" s="36" t="str">
        <f aca="false">IF($A101="","",$R101*$M101)</f>
        <v/>
      </c>
      <c r="T101" s="36" t="str">
        <f aca="false">IF($A101="","",$K101+$S101)</f>
        <v/>
      </c>
      <c r="U101" s="42" t="str">
        <f aca="false">IF($A101="","",$Q101-$T101)</f>
        <v/>
      </c>
      <c r="V101" s="43" t="str">
        <f aca="false">IF(OR($A101="",$F101=0),"",$U101/$F101)</f>
        <v/>
      </c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</row>
    <row r="102" customFormat="false" ht="15" hidden="false" customHeight="false" outlineLevel="0" collapsed="false">
      <c r="A102" s="23"/>
      <c r="B102" s="24"/>
      <c r="C102" s="24"/>
      <c r="D102" s="23"/>
      <c r="E102" s="23"/>
      <c r="F102" s="25"/>
      <c r="G102" s="26"/>
      <c r="H102" s="19"/>
      <c r="I102" s="19"/>
      <c r="J102" s="27" t="str">
        <f aca="false">IF($A102="","",$H102*$F102)</f>
        <v/>
      </c>
      <c r="K102" s="27" t="str">
        <f aca="false">IF($A102="","",$G102+$J102)</f>
        <v/>
      </c>
      <c r="L102" s="28" t="str">
        <f aca="false">IF(OR($A102="",$F102=0),"",$K102/$F102)</f>
        <v/>
      </c>
      <c r="M102" s="29" t="str">
        <f aca="false">IF($A102="","",SUMIF('Lot Entry'!$A$7:$A$2000,$A102,'Lot Entry'!$H$7:$H$2000))</f>
        <v/>
      </c>
      <c r="N102" s="30" t="str">
        <f aca="false">IF($A102="","",SUMIF('Lot Entry'!$A$7:$A$2000,$A102,'Lot Entry'!$I$7:$I$2000))</f>
        <v/>
      </c>
      <c r="O102" s="31" t="str">
        <f aca="false">IF(OR($A102="",$F102=0),"",$N102/$F102)</f>
        <v/>
      </c>
      <c r="P102" s="32" t="str">
        <f aca="false">IF($A102="","",SUMIF('Lot Entry'!$A$7:$A$2000,$A102,'Lot Entry'!$J$7:$J$2000))</f>
        <v/>
      </c>
      <c r="Q102" s="27" t="str">
        <f aca="false">IF($A102="","",$P102*$I102)</f>
        <v/>
      </c>
      <c r="R102" s="28" t="str">
        <f aca="false">IF($A102="","",IF(W102="",Expenses!$B$6,W102)+IF(X102="",Expenses!$B$7,X102)+IF(Y102="",Expenses!$B$8,Y102)+IF(Z102="",Expenses!$B$9,Z102)+IF(AA102="",Expenses!$B$10,AA102)+IF(AB102="",Expenses!$B$11,AB102)+IF(AC102="",Expenses!$B$12,AC102)+IF(AD102="",Expenses!$B$13,AD102)+IF(AE102="",Expenses!$B$14,AE102)+IF(AF102="",Expenses!$B$15,AF102)+IF(AG102="",Expenses!$B$16,AG102)+IF(AH102="",Expenses!$B$17,AH102)+IF(AI102="",Expenses!$B$18,AI102))</f>
        <v/>
      </c>
      <c r="S102" s="27" t="str">
        <f aca="false">IF($A102="","",$R102*$M102)</f>
        <v/>
      </c>
      <c r="T102" s="27" t="str">
        <f aca="false">IF($A102="","",$K102+$S102)</f>
        <v/>
      </c>
      <c r="U102" s="33" t="str">
        <f aca="false">IF($A102="","",$Q102-$T102)</f>
        <v/>
      </c>
      <c r="V102" s="34" t="str">
        <f aca="false">IF(OR($A102="",$F102=0),"",$U102/$F102)</f>
        <v/>
      </c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</row>
    <row r="103" customFormat="false" ht="15" hidden="false" customHeight="false" outlineLevel="0" collapsed="false">
      <c r="A103" s="23"/>
      <c r="B103" s="24"/>
      <c r="C103" s="24"/>
      <c r="D103" s="23"/>
      <c r="E103" s="23"/>
      <c r="F103" s="25"/>
      <c r="G103" s="26"/>
      <c r="H103" s="19"/>
      <c r="I103" s="19"/>
      <c r="J103" s="36" t="str">
        <f aca="false">IF($A103="","",$H103*$F103)</f>
        <v/>
      </c>
      <c r="K103" s="36" t="str">
        <f aca="false">IF($A103="","",$G103+$J103)</f>
        <v/>
      </c>
      <c r="L103" s="37" t="str">
        <f aca="false">IF(OR($A103="",$F103=0),"",$K103/$F103)</f>
        <v/>
      </c>
      <c r="M103" s="38" t="str">
        <f aca="false">IF($A103="","",SUMIF('Lot Entry'!$A$7:$A$2000,$A103,'Lot Entry'!$H$7:$H$2000))</f>
        <v/>
      </c>
      <c r="N103" s="39" t="str">
        <f aca="false">IF($A103="","",SUMIF('Lot Entry'!$A$7:$A$2000,$A103,'Lot Entry'!$I$7:$I$2000))</f>
        <v/>
      </c>
      <c r="O103" s="40" t="str">
        <f aca="false">IF(OR($A103="",$F103=0),"",$N103/$F103)</f>
        <v/>
      </c>
      <c r="P103" s="41" t="str">
        <f aca="false">IF($A103="","",SUMIF('Lot Entry'!$A$7:$A$2000,$A103,'Lot Entry'!$J$7:$J$2000))</f>
        <v/>
      </c>
      <c r="Q103" s="36" t="str">
        <f aca="false">IF($A103="","",$P103*$I103)</f>
        <v/>
      </c>
      <c r="R103" s="37" t="str">
        <f aca="false">IF($A103="","",IF(W103="",Expenses!$B$6,W103)+IF(X103="",Expenses!$B$7,X103)+IF(Y103="",Expenses!$B$8,Y103)+IF(Z103="",Expenses!$B$9,Z103)+IF(AA103="",Expenses!$B$10,AA103)+IF(AB103="",Expenses!$B$11,AB103)+IF(AC103="",Expenses!$B$12,AC103)+IF(AD103="",Expenses!$B$13,AD103)+IF(AE103="",Expenses!$B$14,AE103)+IF(AF103="",Expenses!$B$15,AF103)+IF(AG103="",Expenses!$B$16,AG103)+IF(AH103="",Expenses!$B$17,AH103)+IF(AI103="",Expenses!$B$18,AI103))</f>
        <v/>
      </c>
      <c r="S103" s="36" t="str">
        <f aca="false">IF($A103="","",$R103*$M103)</f>
        <v/>
      </c>
      <c r="T103" s="36" t="str">
        <f aca="false">IF($A103="","",$K103+$S103)</f>
        <v/>
      </c>
      <c r="U103" s="42" t="str">
        <f aca="false">IF($A103="","",$Q103-$T103)</f>
        <v/>
      </c>
      <c r="V103" s="43" t="str">
        <f aca="false">IF(OR($A103="",$F103=0),"",$U103/$F103)</f>
        <v/>
      </c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</row>
    <row r="104" customFormat="false" ht="15" hidden="false" customHeight="false" outlineLevel="0" collapsed="false">
      <c r="A104" s="23"/>
      <c r="B104" s="24"/>
      <c r="C104" s="24"/>
      <c r="D104" s="23"/>
      <c r="E104" s="23"/>
      <c r="F104" s="25"/>
      <c r="G104" s="26"/>
      <c r="H104" s="19"/>
      <c r="I104" s="19"/>
      <c r="J104" s="27" t="str">
        <f aca="false">IF($A104="","",$H104*$F104)</f>
        <v/>
      </c>
      <c r="K104" s="27" t="str">
        <f aca="false">IF($A104="","",$G104+$J104)</f>
        <v/>
      </c>
      <c r="L104" s="28" t="str">
        <f aca="false">IF(OR($A104="",$F104=0),"",$K104/$F104)</f>
        <v/>
      </c>
      <c r="M104" s="29" t="str">
        <f aca="false">IF($A104="","",SUMIF('Lot Entry'!$A$7:$A$2000,$A104,'Lot Entry'!$H$7:$H$2000))</f>
        <v/>
      </c>
      <c r="N104" s="30" t="str">
        <f aca="false">IF($A104="","",SUMIF('Lot Entry'!$A$7:$A$2000,$A104,'Lot Entry'!$I$7:$I$2000))</f>
        <v/>
      </c>
      <c r="O104" s="31" t="str">
        <f aca="false">IF(OR($A104="",$F104=0),"",$N104/$F104)</f>
        <v/>
      </c>
      <c r="P104" s="32" t="str">
        <f aca="false">IF($A104="","",SUMIF('Lot Entry'!$A$7:$A$2000,$A104,'Lot Entry'!$J$7:$J$2000))</f>
        <v/>
      </c>
      <c r="Q104" s="27" t="str">
        <f aca="false">IF($A104="","",$P104*$I104)</f>
        <v/>
      </c>
      <c r="R104" s="28" t="str">
        <f aca="false">IF($A104="","",IF(W104="",Expenses!$B$6,W104)+IF(X104="",Expenses!$B$7,X104)+IF(Y104="",Expenses!$B$8,Y104)+IF(Z104="",Expenses!$B$9,Z104)+IF(AA104="",Expenses!$B$10,AA104)+IF(AB104="",Expenses!$B$11,AB104)+IF(AC104="",Expenses!$B$12,AC104)+IF(AD104="",Expenses!$B$13,AD104)+IF(AE104="",Expenses!$B$14,AE104)+IF(AF104="",Expenses!$B$15,AF104)+IF(AG104="",Expenses!$B$16,AG104)+IF(AH104="",Expenses!$B$17,AH104)+IF(AI104="",Expenses!$B$18,AI104))</f>
        <v/>
      </c>
      <c r="S104" s="27" t="str">
        <f aca="false">IF($A104="","",$R104*$M104)</f>
        <v/>
      </c>
      <c r="T104" s="27" t="str">
        <f aca="false">IF($A104="","",$K104+$S104)</f>
        <v/>
      </c>
      <c r="U104" s="33" t="str">
        <f aca="false">IF($A104="","",$Q104-$T104)</f>
        <v/>
      </c>
      <c r="V104" s="34" t="str">
        <f aca="false">IF(OR($A104="",$F104=0),"",$U104/$F104)</f>
        <v/>
      </c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</row>
    <row r="105" customFormat="false" ht="15" hidden="false" customHeight="false" outlineLevel="0" collapsed="false">
      <c r="A105" s="23"/>
      <c r="B105" s="24"/>
      <c r="C105" s="24"/>
      <c r="D105" s="23"/>
      <c r="E105" s="23"/>
      <c r="F105" s="25"/>
      <c r="G105" s="26"/>
      <c r="H105" s="19"/>
      <c r="I105" s="19"/>
      <c r="J105" s="36" t="str">
        <f aca="false">IF($A105="","",$H105*$F105)</f>
        <v/>
      </c>
      <c r="K105" s="36" t="str">
        <f aca="false">IF($A105="","",$G105+$J105)</f>
        <v/>
      </c>
      <c r="L105" s="37" t="str">
        <f aca="false">IF(OR($A105="",$F105=0),"",$K105/$F105)</f>
        <v/>
      </c>
      <c r="M105" s="38" t="str">
        <f aca="false">IF($A105="","",SUMIF('Lot Entry'!$A$7:$A$2000,$A105,'Lot Entry'!$H$7:$H$2000))</f>
        <v/>
      </c>
      <c r="N105" s="39" t="str">
        <f aca="false">IF($A105="","",SUMIF('Lot Entry'!$A$7:$A$2000,$A105,'Lot Entry'!$I$7:$I$2000))</f>
        <v/>
      </c>
      <c r="O105" s="40" t="str">
        <f aca="false">IF(OR($A105="",$F105=0),"",$N105/$F105)</f>
        <v/>
      </c>
      <c r="P105" s="41" t="str">
        <f aca="false">IF($A105="","",SUMIF('Lot Entry'!$A$7:$A$2000,$A105,'Lot Entry'!$J$7:$J$2000))</f>
        <v/>
      </c>
      <c r="Q105" s="36" t="str">
        <f aca="false">IF($A105="","",$P105*$I105)</f>
        <v/>
      </c>
      <c r="R105" s="37" t="str">
        <f aca="false">IF($A105="","",IF(W105="",Expenses!$B$6,W105)+IF(X105="",Expenses!$B$7,X105)+IF(Y105="",Expenses!$B$8,Y105)+IF(Z105="",Expenses!$B$9,Z105)+IF(AA105="",Expenses!$B$10,AA105)+IF(AB105="",Expenses!$B$11,AB105)+IF(AC105="",Expenses!$B$12,AC105)+IF(AD105="",Expenses!$B$13,AD105)+IF(AE105="",Expenses!$B$14,AE105)+IF(AF105="",Expenses!$B$15,AF105)+IF(AG105="",Expenses!$B$16,AG105)+IF(AH105="",Expenses!$B$17,AH105)+IF(AI105="",Expenses!$B$18,AI105))</f>
        <v/>
      </c>
      <c r="S105" s="36" t="str">
        <f aca="false">IF($A105="","",$R105*$M105)</f>
        <v/>
      </c>
      <c r="T105" s="36" t="str">
        <f aca="false">IF($A105="","",$K105+$S105)</f>
        <v/>
      </c>
      <c r="U105" s="42" t="str">
        <f aca="false">IF($A105="","",$Q105-$T105)</f>
        <v/>
      </c>
      <c r="V105" s="43" t="str">
        <f aca="false">IF(OR($A105="",$F105=0),"",$U105/$F105)</f>
        <v/>
      </c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</row>
    <row r="106" customFormat="false" ht="15" hidden="false" customHeight="false" outlineLevel="0" collapsed="false">
      <c r="A106" s="23"/>
      <c r="B106" s="24"/>
      <c r="C106" s="24"/>
      <c r="D106" s="23"/>
      <c r="E106" s="23"/>
      <c r="F106" s="25"/>
      <c r="G106" s="26"/>
      <c r="H106" s="19"/>
      <c r="I106" s="19"/>
      <c r="J106" s="27" t="str">
        <f aca="false">IF($A106="","",$H106*$F106)</f>
        <v/>
      </c>
      <c r="K106" s="27" t="str">
        <f aca="false">IF($A106="","",$G106+$J106)</f>
        <v/>
      </c>
      <c r="L106" s="28" t="str">
        <f aca="false">IF(OR($A106="",$F106=0),"",$K106/$F106)</f>
        <v/>
      </c>
      <c r="M106" s="29" t="str">
        <f aca="false">IF($A106="","",SUMIF('Lot Entry'!$A$7:$A$2000,$A106,'Lot Entry'!$H$7:$H$2000))</f>
        <v/>
      </c>
      <c r="N106" s="30" t="str">
        <f aca="false">IF($A106="","",SUMIF('Lot Entry'!$A$7:$A$2000,$A106,'Lot Entry'!$I$7:$I$2000))</f>
        <v/>
      </c>
      <c r="O106" s="31" t="str">
        <f aca="false">IF(OR($A106="",$F106=0),"",$N106/$F106)</f>
        <v/>
      </c>
      <c r="P106" s="32" t="str">
        <f aca="false">IF($A106="","",SUMIF('Lot Entry'!$A$7:$A$2000,$A106,'Lot Entry'!$J$7:$J$2000))</f>
        <v/>
      </c>
      <c r="Q106" s="27" t="str">
        <f aca="false">IF($A106="","",$P106*$I106)</f>
        <v/>
      </c>
      <c r="R106" s="28" t="str">
        <f aca="false">IF($A106="","",IF(W106="",Expenses!$B$6,W106)+IF(X106="",Expenses!$B$7,X106)+IF(Y106="",Expenses!$B$8,Y106)+IF(Z106="",Expenses!$B$9,Z106)+IF(AA106="",Expenses!$B$10,AA106)+IF(AB106="",Expenses!$B$11,AB106)+IF(AC106="",Expenses!$B$12,AC106)+IF(AD106="",Expenses!$B$13,AD106)+IF(AE106="",Expenses!$B$14,AE106)+IF(AF106="",Expenses!$B$15,AF106)+IF(AG106="",Expenses!$B$16,AG106)+IF(AH106="",Expenses!$B$17,AH106)+IF(AI106="",Expenses!$B$18,AI106))</f>
        <v/>
      </c>
      <c r="S106" s="27" t="str">
        <f aca="false">IF($A106="","",$R106*$M106)</f>
        <v/>
      </c>
      <c r="T106" s="27" t="str">
        <f aca="false">IF($A106="","",$K106+$S106)</f>
        <v/>
      </c>
      <c r="U106" s="33" t="str">
        <f aca="false">IF($A106="","",$Q106-$T106)</f>
        <v/>
      </c>
      <c r="V106" s="34" t="str">
        <f aca="false">IF(OR($A106="",$F106=0),"",$U106/$F106)</f>
        <v/>
      </c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</row>
    <row r="107" customFormat="false" ht="15" hidden="false" customHeight="false" outlineLevel="0" collapsed="false">
      <c r="A107" s="23"/>
      <c r="B107" s="24"/>
      <c r="C107" s="24"/>
      <c r="D107" s="23"/>
      <c r="E107" s="23"/>
      <c r="F107" s="25"/>
      <c r="G107" s="26"/>
      <c r="H107" s="19"/>
      <c r="I107" s="19"/>
      <c r="J107" s="36" t="str">
        <f aca="false">IF($A107="","",$H107*$F107)</f>
        <v/>
      </c>
      <c r="K107" s="36" t="str">
        <f aca="false">IF($A107="","",$G107+$J107)</f>
        <v/>
      </c>
      <c r="L107" s="37" t="str">
        <f aca="false">IF(OR($A107="",$F107=0),"",$K107/$F107)</f>
        <v/>
      </c>
      <c r="M107" s="38" t="str">
        <f aca="false">IF($A107="","",SUMIF('Lot Entry'!$A$7:$A$2000,$A107,'Lot Entry'!$H$7:$H$2000))</f>
        <v/>
      </c>
      <c r="N107" s="39" t="str">
        <f aca="false">IF($A107="","",SUMIF('Lot Entry'!$A$7:$A$2000,$A107,'Lot Entry'!$I$7:$I$2000))</f>
        <v/>
      </c>
      <c r="O107" s="40" t="str">
        <f aca="false">IF(OR($A107="",$F107=0),"",$N107/$F107)</f>
        <v/>
      </c>
      <c r="P107" s="41" t="str">
        <f aca="false">IF($A107="","",SUMIF('Lot Entry'!$A$7:$A$2000,$A107,'Lot Entry'!$J$7:$J$2000))</f>
        <v/>
      </c>
      <c r="Q107" s="36" t="str">
        <f aca="false">IF($A107="","",$P107*$I107)</f>
        <v/>
      </c>
      <c r="R107" s="37" t="str">
        <f aca="false">IF($A107="","",IF(W107="",Expenses!$B$6,W107)+IF(X107="",Expenses!$B$7,X107)+IF(Y107="",Expenses!$B$8,Y107)+IF(Z107="",Expenses!$B$9,Z107)+IF(AA107="",Expenses!$B$10,AA107)+IF(AB107="",Expenses!$B$11,AB107)+IF(AC107="",Expenses!$B$12,AC107)+IF(AD107="",Expenses!$B$13,AD107)+IF(AE107="",Expenses!$B$14,AE107)+IF(AF107="",Expenses!$B$15,AF107)+IF(AG107="",Expenses!$B$16,AG107)+IF(AH107="",Expenses!$B$17,AH107)+IF(AI107="",Expenses!$B$18,AI107))</f>
        <v/>
      </c>
      <c r="S107" s="36" t="str">
        <f aca="false">IF($A107="","",$R107*$M107)</f>
        <v/>
      </c>
      <c r="T107" s="36" t="str">
        <f aca="false">IF($A107="","",$K107+$S107)</f>
        <v/>
      </c>
      <c r="U107" s="42" t="str">
        <f aca="false">IF($A107="","",$Q107-$T107)</f>
        <v/>
      </c>
      <c r="V107" s="43" t="str">
        <f aca="false">IF(OR($A107="",$F107=0),"",$U107/$F107)</f>
        <v/>
      </c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</row>
    <row r="108" customFormat="false" ht="15" hidden="false" customHeight="false" outlineLevel="0" collapsed="false">
      <c r="A108" s="23"/>
      <c r="B108" s="24"/>
      <c r="C108" s="24"/>
      <c r="D108" s="23"/>
      <c r="E108" s="23"/>
      <c r="F108" s="25"/>
      <c r="G108" s="26"/>
      <c r="H108" s="19"/>
      <c r="I108" s="19"/>
      <c r="J108" s="27" t="str">
        <f aca="false">IF($A108="","",$H108*$F108)</f>
        <v/>
      </c>
      <c r="K108" s="27" t="str">
        <f aca="false">IF($A108="","",$G108+$J108)</f>
        <v/>
      </c>
      <c r="L108" s="28" t="str">
        <f aca="false">IF(OR($A108="",$F108=0),"",$K108/$F108)</f>
        <v/>
      </c>
      <c r="M108" s="29" t="str">
        <f aca="false">IF($A108="","",SUMIF('Lot Entry'!$A$7:$A$2000,$A108,'Lot Entry'!$H$7:$H$2000))</f>
        <v/>
      </c>
      <c r="N108" s="30" t="str">
        <f aca="false">IF($A108="","",SUMIF('Lot Entry'!$A$7:$A$2000,$A108,'Lot Entry'!$I$7:$I$2000))</f>
        <v/>
      </c>
      <c r="O108" s="31" t="str">
        <f aca="false">IF(OR($A108="",$F108=0),"",$N108/$F108)</f>
        <v/>
      </c>
      <c r="P108" s="32" t="str">
        <f aca="false">IF($A108="","",SUMIF('Lot Entry'!$A$7:$A$2000,$A108,'Lot Entry'!$J$7:$J$2000))</f>
        <v/>
      </c>
      <c r="Q108" s="27" t="str">
        <f aca="false">IF($A108="","",$P108*$I108)</f>
        <v/>
      </c>
      <c r="R108" s="28" t="str">
        <f aca="false">IF($A108="","",IF(W108="",Expenses!$B$6,W108)+IF(X108="",Expenses!$B$7,X108)+IF(Y108="",Expenses!$B$8,Y108)+IF(Z108="",Expenses!$B$9,Z108)+IF(AA108="",Expenses!$B$10,AA108)+IF(AB108="",Expenses!$B$11,AB108)+IF(AC108="",Expenses!$B$12,AC108)+IF(AD108="",Expenses!$B$13,AD108)+IF(AE108="",Expenses!$B$14,AE108)+IF(AF108="",Expenses!$B$15,AF108)+IF(AG108="",Expenses!$B$16,AG108)+IF(AH108="",Expenses!$B$17,AH108)+IF(AI108="",Expenses!$B$18,AI108))</f>
        <v/>
      </c>
      <c r="S108" s="27" t="str">
        <f aca="false">IF($A108="","",$R108*$M108)</f>
        <v/>
      </c>
      <c r="T108" s="27" t="str">
        <f aca="false">IF($A108="","",$K108+$S108)</f>
        <v/>
      </c>
      <c r="U108" s="33" t="str">
        <f aca="false">IF($A108="","",$Q108-$T108)</f>
        <v/>
      </c>
      <c r="V108" s="34" t="str">
        <f aca="false">IF(OR($A108="",$F108=0),"",$U108/$F108)</f>
        <v/>
      </c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</row>
    <row r="109" customFormat="false" ht="15" hidden="false" customHeight="false" outlineLevel="0" collapsed="false">
      <c r="A109" s="23"/>
      <c r="B109" s="24"/>
      <c r="C109" s="24"/>
      <c r="D109" s="23"/>
      <c r="E109" s="23"/>
      <c r="F109" s="25"/>
      <c r="G109" s="26"/>
      <c r="H109" s="19"/>
      <c r="I109" s="19"/>
      <c r="J109" s="36" t="str">
        <f aca="false">IF($A109="","",$H109*$F109)</f>
        <v/>
      </c>
      <c r="K109" s="36" t="str">
        <f aca="false">IF($A109="","",$G109+$J109)</f>
        <v/>
      </c>
      <c r="L109" s="37" t="str">
        <f aca="false">IF(OR($A109="",$F109=0),"",$K109/$F109)</f>
        <v/>
      </c>
      <c r="M109" s="38" t="str">
        <f aca="false">IF($A109="","",SUMIF('Lot Entry'!$A$7:$A$2000,$A109,'Lot Entry'!$H$7:$H$2000))</f>
        <v/>
      </c>
      <c r="N109" s="39" t="str">
        <f aca="false">IF($A109="","",SUMIF('Lot Entry'!$A$7:$A$2000,$A109,'Lot Entry'!$I$7:$I$2000))</f>
        <v/>
      </c>
      <c r="O109" s="40" t="str">
        <f aca="false">IF(OR($A109="",$F109=0),"",$N109/$F109)</f>
        <v/>
      </c>
      <c r="P109" s="41" t="str">
        <f aca="false">IF($A109="","",SUMIF('Lot Entry'!$A$7:$A$2000,$A109,'Lot Entry'!$J$7:$J$2000))</f>
        <v/>
      </c>
      <c r="Q109" s="36" t="str">
        <f aca="false">IF($A109="","",$P109*$I109)</f>
        <v/>
      </c>
      <c r="R109" s="37" t="str">
        <f aca="false">IF($A109="","",IF(W109="",Expenses!$B$6,W109)+IF(X109="",Expenses!$B$7,X109)+IF(Y109="",Expenses!$B$8,Y109)+IF(Z109="",Expenses!$B$9,Z109)+IF(AA109="",Expenses!$B$10,AA109)+IF(AB109="",Expenses!$B$11,AB109)+IF(AC109="",Expenses!$B$12,AC109)+IF(AD109="",Expenses!$B$13,AD109)+IF(AE109="",Expenses!$B$14,AE109)+IF(AF109="",Expenses!$B$15,AF109)+IF(AG109="",Expenses!$B$16,AG109)+IF(AH109="",Expenses!$B$17,AH109)+IF(AI109="",Expenses!$B$18,AI109))</f>
        <v/>
      </c>
      <c r="S109" s="36" t="str">
        <f aca="false">IF($A109="","",$R109*$M109)</f>
        <v/>
      </c>
      <c r="T109" s="36" t="str">
        <f aca="false">IF($A109="","",$K109+$S109)</f>
        <v/>
      </c>
      <c r="U109" s="42" t="str">
        <f aca="false">IF($A109="","",$Q109-$T109)</f>
        <v/>
      </c>
      <c r="V109" s="43" t="str">
        <f aca="false">IF(OR($A109="",$F109=0),"",$U109/$F109)</f>
        <v/>
      </c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</row>
    <row r="110" customFormat="false" ht="15" hidden="false" customHeight="false" outlineLevel="0" collapsed="false">
      <c r="A110" s="23"/>
      <c r="B110" s="24"/>
      <c r="C110" s="24"/>
      <c r="D110" s="23"/>
      <c r="E110" s="23"/>
      <c r="F110" s="25"/>
      <c r="G110" s="26"/>
      <c r="H110" s="19"/>
      <c r="I110" s="19"/>
      <c r="J110" s="27" t="str">
        <f aca="false">IF($A110="","",$H110*$F110)</f>
        <v/>
      </c>
      <c r="K110" s="27" t="str">
        <f aca="false">IF($A110="","",$G110+$J110)</f>
        <v/>
      </c>
      <c r="L110" s="28" t="str">
        <f aca="false">IF(OR($A110="",$F110=0),"",$K110/$F110)</f>
        <v/>
      </c>
      <c r="M110" s="29" t="str">
        <f aca="false">IF($A110="","",SUMIF('Lot Entry'!$A$7:$A$2000,$A110,'Lot Entry'!$H$7:$H$2000))</f>
        <v/>
      </c>
      <c r="N110" s="30" t="str">
        <f aca="false">IF($A110="","",SUMIF('Lot Entry'!$A$7:$A$2000,$A110,'Lot Entry'!$I$7:$I$2000))</f>
        <v/>
      </c>
      <c r="O110" s="31" t="str">
        <f aca="false">IF(OR($A110="",$F110=0),"",$N110/$F110)</f>
        <v/>
      </c>
      <c r="P110" s="32" t="str">
        <f aca="false">IF($A110="","",SUMIF('Lot Entry'!$A$7:$A$2000,$A110,'Lot Entry'!$J$7:$J$2000))</f>
        <v/>
      </c>
      <c r="Q110" s="27" t="str">
        <f aca="false">IF($A110="","",$P110*$I110)</f>
        <v/>
      </c>
      <c r="R110" s="28" t="str">
        <f aca="false">IF($A110="","",IF(W110="",Expenses!$B$6,W110)+IF(X110="",Expenses!$B$7,X110)+IF(Y110="",Expenses!$B$8,Y110)+IF(Z110="",Expenses!$B$9,Z110)+IF(AA110="",Expenses!$B$10,AA110)+IF(AB110="",Expenses!$B$11,AB110)+IF(AC110="",Expenses!$B$12,AC110)+IF(AD110="",Expenses!$B$13,AD110)+IF(AE110="",Expenses!$B$14,AE110)+IF(AF110="",Expenses!$B$15,AF110)+IF(AG110="",Expenses!$B$16,AG110)+IF(AH110="",Expenses!$B$17,AH110)+IF(AI110="",Expenses!$B$18,AI110))</f>
        <v/>
      </c>
      <c r="S110" s="27" t="str">
        <f aca="false">IF($A110="","",$R110*$M110)</f>
        <v/>
      </c>
      <c r="T110" s="27" t="str">
        <f aca="false">IF($A110="","",$K110+$S110)</f>
        <v/>
      </c>
      <c r="U110" s="33" t="str">
        <f aca="false">IF($A110="","",$Q110-$T110)</f>
        <v/>
      </c>
      <c r="V110" s="34" t="str">
        <f aca="false">IF(OR($A110="",$F110=0),"",$U110/$F110)</f>
        <v/>
      </c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</row>
    <row r="111" customFormat="false" ht="15" hidden="false" customHeight="false" outlineLevel="0" collapsed="false">
      <c r="A111" s="23"/>
      <c r="B111" s="24"/>
      <c r="C111" s="24"/>
      <c r="D111" s="23"/>
      <c r="E111" s="23"/>
      <c r="F111" s="25"/>
      <c r="G111" s="26"/>
      <c r="H111" s="19"/>
      <c r="I111" s="19"/>
      <c r="J111" s="36" t="str">
        <f aca="false">IF($A111="","",$H111*$F111)</f>
        <v/>
      </c>
      <c r="K111" s="36" t="str">
        <f aca="false">IF($A111="","",$G111+$J111)</f>
        <v/>
      </c>
      <c r="L111" s="37" t="str">
        <f aca="false">IF(OR($A111="",$F111=0),"",$K111/$F111)</f>
        <v/>
      </c>
      <c r="M111" s="38" t="str">
        <f aca="false">IF($A111="","",SUMIF('Lot Entry'!$A$7:$A$2000,$A111,'Lot Entry'!$H$7:$H$2000))</f>
        <v/>
      </c>
      <c r="N111" s="39" t="str">
        <f aca="false">IF($A111="","",SUMIF('Lot Entry'!$A$7:$A$2000,$A111,'Lot Entry'!$I$7:$I$2000))</f>
        <v/>
      </c>
      <c r="O111" s="40" t="str">
        <f aca="false">IF(OR($A111="",$F111=0),"",$N111/$F111)</f>
        <v/>
      </c>
      <c r="P111" s="41" t="str">
        <f aca="false">IF($A111="","",SUMIF('Lot Entry'!$A$7:$A$2000,$A111,'Lot Entry'!$J$7:$J$2000))</f>
        <v/>
      </c>
      <c r="Q111" s="36" t="str">
        <f aca="false">IF($A111="","",$P111*$I111)</f>
        <v/>
      </c>
      <c r="R111" s="37" t="str">
        <f aca="false">IF($A111="","",IF(W111="",Expenses!$B$6,W111)+IF(X111="",Expenses!$B$7,X111)+IF(Y111="",Expenses!$B$8,Y111)+IF(Z111="",Expenses!$B$9,Z111)+IF(AA111="",Expenses!$B$10,AA111)+IF(AB111="",Expenses!$B$11,AB111)+IF(AC111="",Expenses!$B$12,AC111)+IF(AD111="",Expenses!$B$13,AD111)+IF(AE111="",Expenses!$B$14,AE111)+IF(AF111="",Expenses!$B$15,AF111)+IF(AG111="",Expenses!$B$16,AG111)+IF(AH111="",Expenses!$B$17,AH111)+IF(AI111="",Expenses!$B$18,AI111))</f>
        <v/>
      </c>
      <c r="S111" s="36" t="str">
        <f aca="false">IF($A111="","",$R111*$M111)</f>
        <v/>
      </c>
      <c r="T111" s="36" t="str">
        <f aca="false">IF($A111="","",$K111+$S111)</f>
        <v/>
      </c>
      <c r="U111" s="42" t="str">
        <f aca="false">IF($A111="","",$Q111-$T111)</f>
        <v/>
      </c>
      <c r="V111" s="43" t="str">
        <f aca="false">IF(OR($A111="",$F111=0),"",$U111/$F111)</f>
        <v/>
      </c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</row>
    <row r="112" customFormat="false" ht="15" hidden="false" customHeight="false" outlineLevel="0" collapsed="false">
      <c r="A112" s="23"/>
      <c r="B112" s="24"/>
      <c r="C112" s="24"/>
      <c r="D112" s="23"/>
      <c r="E112" s="23"/>
      <c r="F112" s="25"/>
      <c r="G112" s="26"/>
      <c r="H112" s="19"/>
      <c r="I112" s="19"/>
      <c r="J112" s="27" t="str">
        <f aca="false">IF($A112="","",$H112*$F112)</f>
        <v/>
      </c>
      <c r="K112" s="27" t="str">
        <f aca="false">IF($A112="","",$G112+$J112)</f>
        <v/>
      </c>
      <c r="L112" s="28" t="str">
        <f aca="false">IF(OR($A112="",$F112=0),"",$K112/$F112)</f>
        <v/>
      </c>
      <c r="M112" s="29" t="str">
        <f aca="false">IF($A112="","",SUMIF('Lot Entry'!$A$7:$A$2000,$A112,'Lot Entry'!$H$7:$H$2000))</f>
        <v/>
      </c>
      <c r="N112" s="30" t="str">
        <f aca="false">IF($A112="","",SUMIF('Lot Entry'!$A$7:$A$2000,$A112,'Lot Entry'!$I$7:$I$2000))</f>
        <v/>
      </c>
      <c r="O112" s="31" t="str">
        <f aca="false">IF(OR($A112="",$F112=0),"",$N112/$F112)</f>
        <v/>
      </c>
      <c r="P112" s="32" t="str">
        <f aca="false">IF($A112="","",SUMIF('Lot Entry'!$A$7:$A$2000,$A112,'Lot Entry'!$J$7:$J$2000))</f>
        <v/>
      </c>
      <c r="Q112" s="27" t="str">
        <f aca="false">IF($A112="","",$P112*$I112)</f>
        <v/>
      </c>
      <c r="R112" s="28" t="str">
        <f aca="false">IF($A112="","",IF(W112="",Expenses!$B$6,W112)+IF(X112="",Expenses!$B$7,X112)+IF(Y112="",Expenses!$B$8,Y112)+IF(Z112="",Expenses!$B$9,Z112)+IF(AA112="",Expenses!$B$10,AA112)+IF(AB112="",Expenses!$B$11,AB112)+IF(AC112="",Expenses!$B$12,AC112)+IF(AD112="",Expenses!$B$13,AD112)+IF(AE112="",Expenses!$B$14,AE112)+IF(AF112="",Expenses!$B$15,AF112)+IF(AG112="",Expenses!$B$16,AG112)+IF(AH112="",Expenses!$B$17,AH112)+IF(AI112="",Expenses!$B$18,AI112))</f>
        <v/>
      </c>
      <c r="S112" s="27" t="str">
        <f aca="false">IF($A112="","",$R112*$M112)</f>
        <v/>
      </c>
      <c r="T112" s="27" t="str">
        <f aca="false">IF($A112="","",$K112+$S112)</f>
        <v/>
      </c>
      <c r="U112" s="33" t="str">
        <f aca="false">IF($A112="","",$Q112-$T112)</f>
        <v/>
      </c>
      <c r="V112" s="34" t="str">
        <f aca="false">IF(OR($A112="",$F112=0),"",$U112/$F112)</f>
        <v/>
      </c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</row>
    <row r="113" customFormat="false" ht="15" hidden="false" customHeight="false" outlineLevel="0" collapsed="false">
      <c r="A113" s="23"/>
      <c r="B113" s="24"/>
      <c r="C113" s="24"/>
      <c r="D113" s="23"/>
      <c r="E113" s="23"/>
      <c r="F113" s="25"/>
      <c r="G113" s="26"/>
      <c r="H113" s="19"/>
      <c r="I113" s="19"/>
      <c r="J113" s="36" t="str">
        <f aca="false">IF($A113="","",$H113*$F113)</f>
        <v/>
      </c>
      <c r="K113" s="36" t="str">
        <f aca="false">IF($A113="","",$G113+$J113)</f>
        <v/>
      </c>
      <c r="L113" s="37" t="str">
        <f aca="false">IF(OR($A113="",$F113=0),"",$K113/$F113)</f>
        <v/>
      </c>
      <c r="M113" s="38" t="str">
        <f aca="false">IF($A113="","",SUMIF('Lot Entry'!$A$7:$A$2000,$A113,'Lot Entry'!$H$7:$H$2000))</f>
        <v/>
      </c>
      <c r="N113" s="39" t="str">
        <f aca="false">IF($A113="","",SUMIF('Lot Entry'!$A$7:$A$2000,$A113,'Lot Entry'!$I$7:$I$2000))</f>
        <v/>
      </c>
      <c r="O113" s="40" t="str">
        <f aca="false">IF(OR($A113="",$F113=0),"",$N113/$F113)</f>
        <v/>
      </c>
      <c r="P113" s="41" t="str">
        <f aca="false">IF($A113="","",SUMIF('Lot Entry'!$A$7:$A$2000,$A113,'Lot Entry'!$J$7:$J$2000))</f>
        <v/>
      </c>
      <c r="Q113" s="36" t="str">
        <f aca="false">IF($A113="","",$P113*$I113)</f>
        <v/>
      </c>
      <c r="R113" s="37" t="str">
        <f aca="false">IF($A113="","",IF(W113="",Expenses!$B$6,W113)+IF(X113="",Expenses!$B$7,X113)+IF(Y113="",Expenses!$B$8,Y113)+IF(Z113="",Expenses!$B$9,Z113)+IF(AA113="",Expenses!$B$10,AA113)+IF(AB113="",Expenses!$B$11,AB113)+IF(AC113="",Expenses!$B$12,AC113)+IF(AD113="",Expenses!$B$13,AD113)+IF(AE113="",Expenses!$B$14,AE113)+IF(AF113="",Expenses!$B$15,AF113)+IF(AG113="",Expenses!$B$16,AG113)+IF(AH113="",Expenses!$B$17,AH113)+IF(AI113="",Expenses!$B$18,AI113))</f>
        <v/>
      </c>
      <c r="S113" s="36" t="str">
        <f aca="false">IF($A113="","",$R113*$M113)</f>
        <v/>
      </c>
      <c r="T113" s="36" t="str">
        <f aca="false">IF($A113="","",$K113+$S113)</f>
        <v/>
      </c>
      <c r="U113" s="42" t="str">
        <f aca="false">IF($A113="","",$Q113-$T113)</f>
        <v/>
      </c>
      <c r="V113" s="43" t="str">
        <f aca="false">IF(OR($A113="",$F113=0),"",$U113/$F113)</f>
        <v/>
      </c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</row>
    <row r="114" customFormat="false" ht="15" hidden="false" customHeight="false" outlineLevel="0" collapsed="false">
      <c r="A114" s="23"/>
      <c r="B114" s="24"/>
      <c r="C114" s="24"/>
      <c r="D114" s="23"/>
      <c r="E114" s="23"/>
      <c r="F114" s="25"/>
      <c r="G114" s="26"/>
      <c r="H114" s="19"/>
      <c r="I114" s="19"/>
      <c r="J114" s="27" t="str">
        <f aca="false">IF($A114="","",$H114*$F114)</f>
        <v/>
      </c>
      <c r="K114" s="27" t="str">
        <f aca="false">IF($A114="","",$G114+$J114)</f>
        <v/>
      </c>
      <c r="L114" s="28" t="str">
        <f aca="false">IF(OR($A114="",$F114=0),"",$K114/$F114)</f>
        <v/>
      </c>
      <c r="M114" s="29" t="str">
        <f aca="false">IF($A114="","",SUMIF('Lot Entry'!$A$7:$A$2000,$A114,'Lot Entry'!$H$7:$H$2000))</f>
        <v/>
      </c>
      <c r="N114" s="30" t="str">
        <f aca="false">IF($A114="","",SUMIF('Lot Entry'!$A$7:$A$2000,$A114,'Lot Entry'!$I$7:$I$2000))</f>
        <v/>
      </c>
      <c r="O114" s="31" t="str">
        <f aca="false">IF(OR($A114="",$F114=0),"",$N114/$F114)</f>
        <v/>
      </c>
      <c r="P114" s="32" t="str">
        <f aca="false">IF($A114="","",SUMIF('Lot Entry'!$A$7:$A$2000,$A114,'Lot Entry'!$J$7:$J$2000))</f>
        <v/>
      </c>
      <c r="Q114" s="27" t="str">
        <f aca="false">IF($A114="","",$P114*$I114)</f>
        <v/>
      </c>
      <c r="R114" s="28" t="str">
        <f aca="false">IF($A114="","",IF(W114="",Expenses!$B$6,W114)+IF(X114="",Expenses!$B$7,X114)+IF(Y114="",Expenses!$B$8,Y114)+IF(Z114="",Expenses!$B$9,Z114)+IF(AA114="",Expenses!$B$10,AA114)+IF(AB114="",Expenses!$B$11,AB114)+IF(AC114="",Expenses!$B$12,AC114)+IF(AD114="",Expenses!$B$13,AD114)+IF(AE114="",Expenses!$B$14,AE114)+IF(AF114="",Expenses!$B$15,AF114)+IF(AG114="",Expenses!$B$16,AG114)+IF(AH114="",Expenses!$B$17,AH114)+IF(AI114="",Expenses!$B$18,AI114))</f>
        <v/>
      </c>
      <c r="S114" s="27" t="str">
        <f aca="false">IF($A114="","",$R114*$M114)</f>
        <v/>
      </c>
      <c r="T114" s="27" t="str">
        <f aca="false">IF($A114="","",$K114+$S114)</f>
        <v/>
      </c>
      <c r="U114" s="33" t="str">
        <f aca="false">IF($A114="","",$Q114-$T114)</f>
        <v/>
      </c>
      <c r="V114" s="34" t="str">
        <f aca="false">IF(OR($A114="",$F114=0),"",$U114/$F114)</f>
        <v/>
      </c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</row>
    <row r="115" customFormat="false" ht="15" hidden="false" customHeight="false" outlineLevel="0" collapsed="false">
      <c r="A115" s="23"/>
      <c r="B115" s="24"/>
      <c r="C115" s="24"/>
      <c r="D115" s="23"/>
      <c r="E115" s="23"/>
      <c r="F115" s="25"/>
      <c r="G115" s="26"/>
      <c r="H115" s="19"/>
      <c r="I115" s="19"/>
      <c r="J115" s="36" t="str">
        <f aca="false">IF($A115="","",$H115*$F115)</f>
        <v/>
      </c>
      <c r="K115" s="36" t="str">
        <f aca="false">IF($A115="","",$G115+$J115)</f>
        <v/>
      </c>
      <c r="L115" s="37" t="str">
        <f aca="false">IF(OR($A115="",$F115=0),"",$K115/$F115)</f>
        <v/>
      </c>
      <c r="M115" s="38" t="str">
        <f aca="false">IF($A115="","",SUMIF('Lot Entry'!$A$7:$A$2000,$A115,'Lot Entry'!$H$7:$H$2000))</f>
        <v/>
      </c>
      <c r="N115" s="39" t="str">
        <f aca="false">IF($A115="","",SUMIF('Lot Entry'!$A$7:$A$2000,$A115,'Lot Entry'!$I$7:$I$2000))</f>
        <v/>
      </c>
      <c r="O115" s="40" t="str">
        <f aca="false">IF(OR($A115="",$F115=0),"",$N115/$F115)</f>
        <v/>
      </c>
      <c r="P115" s="41" t="str">
        <f aca="false">IF($A115="","",SUMIF('Lot Entry'!$A$7:$A$2000,$A115,'Lot Entry'!$J$7:$J$2000))</f>
        <v/>
      </c>
      <c r="Q115" s="36" t="str">
        <f aca="false">IF($A115="","",$P115*$I115)</f>
        <v/>
      </c>
      <c r="R115" s="37" t="str">
        <f aca="false">IF($A115="","",IF(W115="",Expenses!$B$6,W115)+IF(X115="",Expenses!$B$7,X115)+IF(Y115="",Expenses!$B$8,Y115)+IF(Z115="",Expenses!$B$9,Z115)+IF(AA115="",Expenses!$B$10,AA115)+IF(AB115="",Expenses!$B$11,AB115)+IF(AC115="",Expenses!$B$12,AC115)+IF(AD115="",Expenses!$B$13,AD115)+IF(AE115="",Expenses!$B$14,AE115)+IF(AF115="",Expenses!$B$15,AF115)+IF(AG115="",Expenses!$B$16,AG115)+IF(AH115="",Expenses!$B$17,AH115)+IF(AI115="",Expenses!$B$18,AI115))</f>
        <v/>
      </c>
      <c r="S115" s="36" t="str">
        <f aca="false">IF($A115="","",$R115*$M115)</f>
        <v/>
      </c>
      <c r="T115" s="36" t="str">
        <f aca="false">IF($A115="","",$K115+$S115)</f>
        <v/>
      </c>
      <c r="U115" s="42" t="str">
        <f aca="false">IF($A115="","",$Q115-$T115)</f>
        <v/>
      </c>
      <c r="V115" s="43" t="str">
        <f aca="false">IF(OR($A115="",$F115=0),"",$U115/$F115)</f>
        <v/>
      </c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</row>
    <row r="116" customFormat="false" ht="15" hidden="false" customHeight="false" outlineLevel="0" collapsed="false">
      <c r="A116" s="23"/>
      <c r="B116" s="24"/>
      <c r="C116" s="24"/>
      <c r="D116" s="23"/>
      <c r="E116" s="23"/>
      <c r="F116" s="25"/>
      <c r="G116" s="26"/>
      <c r="H116" s="19"/>
      <c r="I116" s="19"/>
      <c r="J116" s="27" t="str">
        <f aca="false">IF($A116="","",$H116*$F116)</f>
        <v/>
      </c>
      <c r="K116" s="27" t="str">
        <f aca="false">IF($A116="","",$G116+$J116)</f>
        <v/>
      </c>
      <c r="L116" s="28" t="str">
        <f aca="false">IF(OR($A116="",$F116=0),"",$K116/$F116)</f>
        <v/>
      </c>
      <c r="M116" s="29" t="str">
        <f aca="false">IF($A116="","",SUMIF('Lot Entry'!$A$7:$A$2000,$A116,'Lot Entry'!$H$7:$H$2000))</f>
        <v/>
      </c>
      <c r="N116" s="30" t="str">
        <f aca="false">IF($A116="","",SUMIF('Lot Entry'!$A$7:$A$2000,$A116,'Lot Entry'!$I$7:$I$2000))</f>
        <v/>
      </c>
      <c r="O116" s="31" t="str">
        <f aca="false">IF(OR($A116="",$F116=0),"",$N116/$F116)</f>
        <v/>
      </c>
      <c r="P116" s="32" t="str">
        <f aca="false">IF($A116="","",SUMIF('Lot Entry'!$A$7:$A$2000,$A116,'Lot Entry'!$J$7:$J$2000))</f>
        <v/>
      </c>
      <c r="Q116" s="27" t="str">
        <f aca="false">IF($A116="","",$P116*$I116)</f>
        <v/>
      </c>
      <c r="R116" s="28" t="str">
        <f aca="false">IF($A116="","",IF(W116="",Expenses!$B$6,W116)+IF(X116="",Expenses!$B$7,X116)+IF(Y116="",Expenses!$B$8,Y116)+IF(Z116="",Expenses!$B$9,Z116)+IF(AA116="",Expenses!$B$10,AA116)+IF(AB116="",Expenses!$B$11,AB116)+IF(AC116="",Expenses!$B$12,AC116)+IF(AD116="",Expenses!$B$13,AD116)+IF(AE116="",Expenses!$B$14,AE116)+IF(AF116="",Expenses!$B$15,AF116)+IF(AG116="",Expenses!$B$16,AG116)+IF(AH116="",Expenses!$B$17,AH116)+IF(AI116="",Expenses!$B$18,AI116))</f>
        <v/>
      </c>
      <c r="S116" s="27" t="str">
        <f aca="false">IF($A116="","",$R116*$M116)</f>
        <v/>
      </c>
      <c r="T116" s="27" t="str">
        <f aca="false">IF($A116="","",$K116+$S116)</f>
        <v/>
      </c>
      <c r="U116" s="33" t="str">
        <f aca="false">IF($A116="","",$Q116-$T116)</f>
        <v/>
      </c>
      <c r="V116" s="34" t="str">
        <f aca="false">IF(OR($A116="",$F116=0),"",$U116/$F116)</f>
        <v/>
      </c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</row>
    <row r="117" customFormat="false" ht="15" hidden="false" customHeight="false" outlineLevel="0" collapsed="false">
      <c r="A117" s="23"/>
      <c r="B117" s="24"/>
      <c r="C117" s="24"/>
      <c r="D117" s="23"/>
      <c r="E117" s="23"/>
      <c r="F117" s="25"/>
      <c r="G117" s="26"/>
      <c r="H117" s="19"/>
      <c r="I117" s="19"/>
      <c r="J117" s="36" t="str">
        <f aca="false">IF($A117="","",$H117*$F117)</f>
        <v/>
      </c>
      <c r="K117" s="36" t="str">
        <f aca="false">IF($A117="","",$G117+$J117)</f>
        <v/>
      </c>
      <c r="L117" s="37" t="str">
        <f aca="false">IF(OR($A117="",$F117=0),"",$K117/$F117)</f>
        <v/>
      </c>
      <c r="M117" s="38" t="str">
        <f aca="false">IF($A117="","",SUMIF('Lot Entry'!$A$7:$A$2000,$A117,'Lot Entry'!$H$7:$H$2000))</f>
        <v/>
      </c>
      <c r="N117" s="39" t="str">
        <f aca="false">IF($A117="","",SUMIF('Lot Entry'!$A$7:$A$2000,$A117,'Lot Entry'!$I$7:$I$2000))</f>
        <v/>
      </c>
      <c r="O117" s="40" t="str">
        <f aca="false">IF(OR($A117="",$F117=0),"",$N117/$F117)</f>
        <v/>
      </c>
      <c r="P117" s="41" t="str">
        <f aca="false">IF($A117="","",SUMIF('Lot Entry'!$A$7:$A$2000,$A117,'Lot Entry'!$J$7:$J$2000))</f>
        <v/>
      </c>
      <c r="Q117" s="36" t="str">
        <f aca="false">IF($A117="","",$P117*$I117)</f>
        <v/>
      </c>
      <c r="R117" s="37" t="str">
        <f aca="false">IF($A117="","",IF(W117="",Expenses!$B$6,W117)+IF(X117="",Expenses!$B$7,X117)+IF(Y117="",Expenses!$B$8,Y117)+IF(Z117="",Expenses!$B$9,Z117)+IF(AA117="",Expenses!$B$10,AA117)+IF(AB117="",Expenses!$B$11,AB117)+IF(AC117="",Expenses!$B$12,AC117)+IF(AD117="",Expenses!$B$13,AD117)+IF(AE117="",Expenses!$B$14,AE117)+IF(AF117="",Expenses!$B$15,AF117)+IF(AG117="",Expenses!$B$16,AG117)+IF(AH117="",Expenses!$B$17,AH117)+IF(AI117="",Expenses!$B$18,AI117))</f>
        <v/>
      </c>
      <c r="S117" s="36" t="str">
        <f aca="false">IF($A117="","",$R117*$M117)</f>
        <v/>
      </c>
      <c r="T117" s="36" t="str">
        <f aca="false">IF($A117="","",$K117+$S117)</f>
        <v/>
      </c>
      <c r="U117" s="42" t="str">
        <f aca="false">IF($A117="","",$Q117-$T117)</f>
        <v/>
      </c>
      <c r="V117" s="43" t="str">
        <f aca="false">IF(OR($A117="",$F117=0),"",$U117/$F117)</f>
        <v/>
      </c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</row>
    <row r="118" customFormat="false" ht="15" hidden="false" customHeight="false" outlineLevel="0" collapsed="false">
      <c r="A118" s="23"/>
      <c r="B118" s="24"/>
      <c r="C118" s="24"/>
      <c r="D118" s="23"/>
      <c r="E118" s="23"/>
      <c r="F118" s="25"/>
      <c r="G118" s="26"/>
      <c r="H118" s="19"/>
      <c r="I118" s="19"/>
      <c r="J118" s="27" t="str">
        <f aca="false">IF($A118="","",$H118*$F118)</f>
        <v/>
      </c>
      <c r="K118" s="27" t="str">
        <f aca="false">IF($A118="","",$G118+$J118)</f>
        <v/>
      </c>
      <c r="L118" s="28" t="str">
        <f aca="false">IF(OR($A118="",$F118=0),"",$K118/$F118)</f>
        <v/>
      </c>
      <c r="M118" s="29" t="str">
        <f aca="false">IF($A118="","",SUMIF('Lot Entry'!$A$7:$A$2000,$A118,'Lot Entry'!$H$7:$H$2000))</f>
        <v/>
      </c>
      <c r="N118" s="30" t="str">
        <f aca="false">IF($A118="","",SUMIF('Lot Entry'!$A$7:$A$2000,$A118,'Lot Entry'!$I$7:$I$2000))</f>
        <v/>
      </c>
      <c r="O118" s="31" t="str">
        <f aca="false">IF(OR($A118="",$F118=0),"",$N118/$F118)</f>
        <v/>
      </c>
      <c r="P118" s="32" t="str">
        <f aca="false">IF($A118="","",SUMIF('Lot Entry'!$A$7:$A$2000,$A118,'Lot Entry'!$J$7:$J$2000))</f>
        <v/>
      </c>
      <c r="Q118" s="27" t="str">
        <f aca="false">IF($A118="","",$P118*$I118)</f>
        <v/>
      </c>
      <c r="R118" s="28" t="str">
        <f aca="false">IF($A118="","",IF(W118="",Expenses!$B$6,W118)+IF(X118="",Expenses!$B$7,X118)+IF(Y118="",Expenses!$B$8,Y118)+IF(Z118="",Expenses!$B$9,Z118)+IF(AA118="",Expenses!$B$10,AA118)+IF(AB118="",Expenses!$B$11,AB118)+IF(AC118="",Expenses!$B$12,AC118)+IF(AD118="",Expenses!$B$13,AD118)+IF(AE118="",Expenses!$B$14,AE118)+IF(AF118="",Expenses!$B$15,AF118)+IF(AG118="",Expenses!$B$16,AG118)+IF(AH118="",Expenses!$B$17,AH118)+IF(AI118="",Expenses!$B$18,AI118))</f>
        <v/>
      </c>
      <c r="S118" s="27" t="str">
        <f aca="false">IF($A118="","",$R118*$M118)</f>
        <v/>
      </c>
      <c r="T118" s="27" t="str">
        <f aca="false">IF($A118="","",$K118+$S118)</f>
        <v/>
      </c>
      <c r="U118" s="33" t="str">
        <f aca="false">IF($A118="","",$Q118-$T118)</f>
        <v/>
      </c>
      <c r="V118" s="34" t="str">
        <f aca="false">IF(OR($A118="",$F118=0),"",$U118/$F118)</f>
        <v/>
      </c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</row>
    <row r="119" customFormat="false" ht="15" hidden="false" customHeight="false" outlineLevel="0" collapsed="false">
      <c r="A119" s="23"/>
      <c r="B119" s="24"/>
      <c r="C119" s="24"/>
      <c r="D119" s="23"/>
      <c r="E119" s="23"/>
      <c r="F119" s="25"/>
      <c r="G119" s="26"/>
      <c r="H119" s="19"/>
      <c r="I119" s="19"/>
      <c r="J119" s="36" t="str">
        <f aca="false">IF($A119="","",$H119*$F119)</f>
        <v/>
      </c>
      <c r="K119" s="36" t="str">
        <f aca="false">IF($A119="","",$G119+$J119)</f>
        <v/>
      </c>
      <c r="L119" s="37" t="str">
        <f aca="false">IF(OR($A119="",$F119=0),"",$K119/$F119)</f>
        <v/>
      </c>
      <c r="M119" s="38" t="str">
        <f aca="false">IF($A119="","",SUMIF('Lot Entry'!$A$7:$A$2000,$A119,'Lot Entry'!$H$7:$H$2000))</f>
        <v/>
      </c>
      <c r="N119" s="39" t="str">
        <f aca="false">IF($A119="","",SUMIF('Lot Entry'!$A$7:$A$2000,$A119,'Lot Entry'!$I$7:$I$2000))</f>
        <v/>
      </c>
      <c r="O119" s="40" t="str">
        <f aca="false">IF(OR($A119="",$F119=0),"",$N119/$F119)</f>
        <v/>
      </c>
      <c r="P119" s="41" t="str">
        <f aca="false">IF($A119="","",SUMIF('Lot Entry'!$A$7:$A$2000,$A119,'Lot Entry'!$J$7:$J$2000))</f>
        <v/>
      </c>
      <c r="Q119" s="36" t="str">
        <f aca="false">IF($A119="","",$P119*$I119)</f>
        <v/>
      </c>
      <c r="R119" s="37" t="str">
        <f aca="false">IF($A119="","",IF(W119="",Expenses!$B$6,W119)+IF(X119="",Expenses!$B$7,X119)+IF(Y119="",Expenses!$B$8,Y119)+IF(Z119="",Expenses!$B$9,Z119)+IF(AA119="",Expenses!$B$10,AA119)+IF(AB119="",Expenses!$B$11,AB119)+IF(AC119="",Expenses!$B$12,AC119)+IF(AD119="",Expenses!$B$13,AD119)+IF(AE119="",Expenses!$B$14,AE119)+IF(AF119="",Expenses!$B$15,AF119)+IF(AG119="",Expenses!$B$16,AG119)+IF(AH119="",Expenses!$B$17,AH119)+IF(AI119="",Expenses!$B$18,AI119))</f>
        <v/>
      </c>
      <c r="S119" s="36" t="str">
        <f aca="false">IF($A119="","",$R119*$M119)</f>
        <v/>
      </c>
      <c r="T119" s="36" t="str">
        <f aca="false">IF($A119="","",$K119+$S119)</f>
        <v/>
      </c>
      <c r="U119" s="42" t="str">
        <f aca="false">IF($A119="","",$Q119-$T119)</f>
        <v/>
      </c>
      <c r="V119" s="43" t="str">
        <f aca="false">IF(OR($A119="",$F119=0),"",$U119/$F119)</f>
        <v/>
      </c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</row>
    <row r="120" customFormat="false" ht="15" hidden="false" customHeight="false" outlineLevel="0" collapsed="false">
      <c r="A120" s="23"/>
      <c r="B120" s="24"/>
      <c r="C120" s="24"/>
      <c r="D120" s="23"/>
      <c r="E120" s="23"/>
      <c r="F120" s="25"/>
      <c r="G120" s="26"/>
      <c r="H120" s="19"/>
      <c r="I120" s="19"/>
      <c r="J120" s="27" t="str">
        <f aca="false">IF($A120="","",$H120*$F120)</f>
        <v/>
      </c>
      <c r="K120" s="27" t="str">
        <f aca="false">IF($A120="","",$G120+$J120)</f>
        <v/>
      </c>
      <c r="L120" s="28" t="str">
        <f aca="false">IF(OR($A120="",$F120=0),"",$K120/$F120)</f>
        <v/>
      </c>
      <c r="M120" s="29" t="str">
        <f aca="false">IF($A120="","",SUMIF('Lot Entry'!$A$7:$A$2000,$A120,'Lot Entry'!$H$7:$H$2000))</f>
        <v/>
      </c>
      <c r="N120" s="30" t="str">
        <f aca="false">IF($A120="","",SUMIF('Lot Entry'!$A$7:$A$2000,$A120,'Lot Entry'!$I$7:$I$2000))</f>
        <v/>
      </c>
      <c r="O120" s="31" t="str">
        <f aca="false">IF(OR($A120="",$F120=0),"",$N120/$F120)</f>
        <v/>
      </c>
      <c r="P120" s="32" t="str">
        <f aca="false">IF($A120="","",SUMIF('Lot Entry'!$A$7:$A$2000,$A120,'Lot Entry'!$J$7:$J$2000))</f>
        <v/>
      </c>
      <c r="Q120" s="27" t="str">
        <f aca="false">IF($A120="","",$P120*$I120)</f>
        <v/>
      </c>
      <c r="R120" s="28" t="str">
        <f aca="false">IF($A120="","",IF(W120="",Expenses!$B$6,W120)+IF(X120="",Expenses!$B$7,X120)+IF(Y120="",Expenses!$B$8,Y120)+IF(Z120="",Expenses!$B$9,Z120)+IF(AA120="",Expenses!$B$10,AA120)+IF(AB120="",Expenses!$B$11,AB120)+IF(AC120="",Expenses!$B$12,AC120)+IF(AD120="",Expenses!$B$13,AD120)+IF(AE120="",Expenses!$B$14,AE120)+IF(AF120="",Expenses!$B$15,AF120)+IF(AG120="",Expenses!$B$16,AG120)+IF(AH120="",Expenses!$B$17,AH120)+IF(AI120="",Expenses!$B$18,AI120))</f>
        <v/>
      </c>
      <c r="S120" s="27" t="str">
        <f aca="false">IF($A120="","",$R120*$M120)</f>
        <v/>
      </c>
      <c r="T120" s="27" t="str">
        <f aca="false">IF($A120="","",$K120+$S120)</f>
        <v/>
      </c>
      <c r="U120" s="33" t="str">
        <f aca="false">IF($A120="","",$Q120-$T120)</f>
        <v/>
      </c>
      <c r="V120" s="34" t="str">
        <f aca="false">IF(OR($A120="",$F120=0),"",$U120/$F120)</f>
        <v/>
      </c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</row>
    <row r="121" customFormat="false" ht="15" hidden="false" customHeight="false" outlineLevel="0" collapsed="false">
      <c r="A121" s="23"/>
      <c r="B121" s="24"/>
      <c r="C121" s="24"/>
      <c r="D121" s="23"/>
      <c r="E121" s="23"/>
      <c r="F121" s="25"/>
      <c r="G121" s="26"/>
      <c r="H121" s="19"/>
      <c r="I121" s="19"/>
      <c r="J121" s="36" t="str">
        <f aca="false">IF($A121="","",$H121*$F121)</f>
        <v/>
      </c>
      <c r="K121" s="36" t="str">
        <f aca="false">IF($A121="","",$G121+$J121)</f>
        <v/>
      </c>
      <c r="L121" s="37" t="str">
        <f aca="false">IF(OR($A121="",$F121=0),"",$K121/$F121)</f>
        <v/>
      </c>
      <c r="M121" s="38" t="str">
        <f aca="false">IF($A121="","",SUMIF('Lot Entry'!$A$7:$A$2000,$A121,'Lot Entry'!$H$7:$H$2000))</f>
        <v/>
      </c>
      <c r="N121" s="39" t="str">
        <f aca="false">IF($A121="","",SUMIF('Lot Entry'!$A$7:$A$2000,$A121,'Lot Entry'!$I$7:$I$2000))</f>
        <v/>
      </c>
      <c r="O121" s="40" t="str">
        <f aca="false">IF(OR($A121="",$F121=0),"",$N121/$F121)</f>
        <v/>
      </c>
      <c r="P121" s="41" t="str">
        <f aca="false">IF($A121="","",SUMIF('Lot Entry'!$A$7:$A$2000,$A121,'Lot Entry'!$J$7:$J$2000))</f>
        <v/>
      </c>
      <c r="Q121" s="36" t="str">
        <f aca="false">IF($A121="","",$P121*$I121)</f>
        <v/>
      </c>
      <c r="R121" s="37" t="str">
        <f aca="false">IF($A121="","",IF(W121="",Expenses!$B$6,W121)+IF(X121="",Expenses!$B$7,X121)+IF(Y121="",Expenses!$B$8,Y121)+IF(Z121="",Expenses!$B$9,Z121)+IF(AA121="",Expenses!$B$10,AA121)+IF(AB121="",Expenses!$B$11,AB121)+IF(AC121="",Expenses!$B$12,AC121)+IF(AD121="",Expenses!$B$13,AD121)+IF(AE121="",Expenses!$B$14,AE121)+IF(AF121="",Expenses!$B$15,AF121)+IF(AG121="",Expenses!$B$16,AG121)+IF(AH121="",Expenses!$B$17,AH121)+IF(AI121="",Expenses!$B$18,AI121))</f>
        <v/>
      </c>
      <c r="S121" s="36" t="str">
        <f aca="false">IF($A121="","",$R121*$M121)</f>
        <v/>
      </c>
      <c r="T121" s="36" t="str">
        <f aca="false">IF($A121="","",$K121+$S121)</f>
        <v/>
      </c>
      <c r="U121" s="42" t="str">
        <f aca="false">IF($A121="","",$Q121-$T121)</f>
        <v/>
      </c>
      <c r="V121" s="43" t="str">
        <f aca="false">IF(OR($A121="",$F121=0),"",$U121/$F121)</f>
        <v/>
      </c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</row>
    <row r="122" customFormat="false" ht="15" hidden="false" customHeight="false" outlineLevel="0" collapsed="false">
      <c r="A122" s="23"/>
      <c r="B122" s="24"/>
      <c r="C122" s="24"/>
      <c r="D122" s="23"/>
      <c r="E122" s="23"/>
      <c r="F122" s="25"/>
      <c r="G122" s="26"/>
      <c r="H122" s="19"/>
      <c r="I122" s="19"/>
      <c r="J122" s="27" t="str">
        <f aca="false">IF($A122="","",$H122*$F122)</f>
        <v/>
      </c>
      <c r="K122" s="27" t="str">
        <f aca="false">IF($A122="","",$G122+$J122)</f>
        <v/>
      </c>
      <c r="L122" s="28" t="str">
        <f aca="false">IF(OR($A122="",$F122=0),"",$K122/$F122)</f>
        <v/>
      </c>
      <c r="M122" s="29" t="str">
        <f aca="false">IF($A122="","",SUMIF('Lot Entry'!$A$7:$A$2000,$A122,'Lot Entry'!$H$7:$H$2000))</f>
        <v/>
      </c>
      <c r="N122" s="30" t="str">
        <f aca="false">IF($A122="","",SUMIF('Lot Entry'!$A$7:$A$2000,$A122,'Lot Entry'!$I$7:$I$2000))</f>
        <v/>
      </c>
      <c r="O122" s="31" t="str">
        <f aca="false">IF(OR($A122="",$F122=0),"",$N122/$F122)</f>
        <v/>
      </c>
      <c r="P122" s="32" t="str">
        <f aca="false">IF($A122="","",SUMIF('Lot Entry'!$A$7:$A$2000,$A122,'Lot Entry'!$J$7:$J$2000))</f>
        <v/>
      </c>
      <c r="Q122" s="27" t="str">
        <f aca="false">IF($A122="","",$P122*$I122)</f>
        <v/>
      </c>
      <c r="R122" s="28" t="str">
        <f aca="false">IF($A122="","",IF(W122="",Expenses!$B$6,W122)+IF(X122="",Expenses!$B$7,X122)+IF(Y122="",Expenses!$B$8,Y122)+IF(Z122="",Expenses!$B$9,Z122)+IF(AA122="",Expenses!$B$10,AA122)+IF(AB122="",Expenses!$B$11,AB122)+IF(AC122="",Expenses!$B$12,AC122)+IF(AD122="",Expenses!$B$13,AD122)+IF(AE122="",Expenses!$B$14,AE122)+IF(AF122="",Expenses!$B$15,AF122)+IF(AG122="",Expenses!$B$16,AG122)+IF(AH122="",Expenses!$B$17,AH122)+IF(AI122="",Expenses!$B$18,AI122))</f>
        <v/>
      </c>
      <c r="S122" s="27" t="str">
        <f aca="false">IF($A122="","",$R122*$M122)</f>
        <v/>
      </c>
      <c r="T122" s="27" t="str">
        <f aca="false">IF($A122="","",$K122+$S122)</f>
        <v/>
      </c>
      <c r="U122" s="33" t="str">
        <f aca="false">IF($A122="","",$Q122-$T122)</f>
        <v/>
      </c>
      <c r="V122" s="34" t="str">
        <f aca="false">IF(OR($A122="",$F122=0),"",$U122/$F122)</f>
        <v/>
      </c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</row>
    <row r="123" customFormat="false" ht="15" hidden="false" customHeight="false" outlineLevel="0" collapsed="false">
      <c r="A123" s="23"/>
      <c r="B123" s="24"/>
      <c r="C123" s="24"/>
      <c r="D123" s="23"/>
      <c r="E123" s="23"/>
      <c r="F123" s="25"/>
      <c r="G123" s="26"/>
      <c r="H123" s="19"/>
      <c r="I123" s="19"/>
      <c r="J123" s="36" t="str">
        <f aca="false">IF($A123="","",$H123*$F123)</f>
        <v/>
      </c>
      <c r="K123" s="36" t="str">
        <f aca="false">IF($A123="","",$G123+$J123)</f>
        <v/>
      </c>
      <c r="L123" s="37" t="str">
        <f aca="false">IF(OR($A123="",$F123=0),"",$K123/$F123)</f>
        <v/>
      </c>
      <c r="M123" s="38" t="str">
        <f aca="false">IF($A123="","",SUMIF('Lot Entry'!$A$7:$A$2000,$A123,'Lot Entry'!$H$7:$H$2000))</f>
        <v/>
      </c>
      <c r="N123" s="39" t="str">
        <f aca="false">IF($A123="","",SUMIF('Lot Entry'!$A$7:$A$2000,$A123,'Lot Entry'!$I$7:$I$2000))</f>
        <v/>
      </c>
      <c r="O123" s="40" t="str">
        <f aca="false">IF(OR($A123="",$F123=0),"",$N123/$F123)</f>
        <v/>
      </c>
      <c r="P123" s="41" t="str">
        <f aca="false">IF($A123="","",SUMIF('Lot Entry'!$A$7:$A$2000,$A123,'Lot Entry'!$J$7:$J$2000))</f>
        <v/>
      </c>
      <c r="Q123" s="36" t="str">
        <f aca="false">IF($A123="","",$P123*$I123)</f>
        <v/>
      </c>
      <c r="R123" s="37" t="str">
        <f aca="false">IF($A123="","",IF(W123="",Expenses!$B$6,W123)+IF(X123="",Expenses!$B$7,X123)+IF(Y123="",Expenses!$B$8,Y123)+IF(Z123="",Expenses!$B$9,Z123)+IF(AA123="",Expenses!$B$10,AA123)+IF(AB123="",Expenses!$B$11,AB123)+IF(AC123="",Expenses!$B$12,AC123)+IF(AD123="",Expenses!$B$13,AD123)+IF(AE123="",Expenses!$B$14,AE123)+IF(AF123="",Expenses!$B$15,AF123)+IF(AG123="",Expenses!$B$16,AG123)+IF(AH123="",Expenses!$B$17,AH123)+IF(AI123="",Expenses!$B$18,AI123))</f>
        <v/>
      </c>
      <c r="S123" s="36" t="str">
        <f aca="false">IF($A123="","",$R123*$M123)</f>
        <v/>
      </c>
      <c r="T123" s="36" t="str">
        <f aca="false">IF($A123="","",$K123+$S123)</f>
        <v/>
      </c>
      <c r="U123" s="42" t="str">
        <f aca="false">IF($A123="","",$Q123-$T123)</f>
        <v/>
      </c>
      <c r="V123" s="43" t="str">
        <f aca="false">IF(OR($A123="",$F123=0),"",$U123/$F123)</f>
        <v/>
      </c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</row>
    <row r="124" customFormat="false" ht="15" hidden="false" customHeight="false" outlineLevel="0" collapsed="false">
      <c r="A124" s="23"/>
      <c r="B124" s="24"/>
      <c r="C124" s="24"/>
      <c r="D124" s="23"/>
      <c r="E124" s="23"/>
      <c r="F124" s="25"/>
      <c r="G124" s="26"/>
      <c r="H124" s="19"/>
      <c r="I124" s="19"/>
      <c r="J124" s="27" t="str">
        <f aca="false">IF($A124="","",$H124*$F124)</f>
        <v/>
      </c>
      <c r="K124" s="27" t="str">
        <f aca="false">IF($A124="","",$G124+$J124)</f>
        <v/>
      </c>
      <c r="L124" s="28" t="str">
        <f aca="false">IF(OR($A124="",$F124=0),"",$K124/$F124)</f>
        <v/>
      </c>
      <c r="M124" s="29" t="str">
        <f aca="false">IF($A124="","",SUMIF('Lot Entry'!$A$7:$A$2000,$A124,'Lot Entry'!$H$7:$H$2000))</f>
        <v/>
      </c>
      <c r="N124" s="30" t="str">
        <f aca="false">IF($A124="","",SUMIF('Lot Entry'!$A$7:$A$2000,$A124,'Lot Entry'!$I$7:$I$2000))</f>
        <v/>
      </c>
      <c r="O124" s="31" t="str">
        <f aca="false">IF(OR($A124="",$F124=0),"",$N124/$F124)</f>
        <v/>
      </c>
      <c r="P124" s="32" t="str">
        <f aca="false">IF($A124="","",SUMIF('Lot Entry'!$A$7:$A$2000,$A124,'Lot Entry'!$J$7:$J$2000))</f>
        <v/>
      </c>
      <c r="Q124" s="27" t="str">
        <f aca="false">IF($A124="","",$P124*$I124)</f>
        <v/>
      </c>
      <c r="R124" s="28" t="str">
        <f aca="false">IF($A124="","",IF(W124="",Expenses!$B$6,W124)+IF(X124="",Expenses!$B$7,X124)+IF(Y124="",Expenses!$B$8,Y124)+IF(Z124="",Expenses!$B$9,Z124)+IF(AA124="",Expenses!$B$10,AA124)+IF(AB124="",Expenses!$B$11,AB124)+IF(AC124="",Expenses!$B$12,AC124)+IF(AD124="",Expenses!$B$13,AD124)+IF(AE124="",Expenses!$B$14,AE124)+IF(AF124="",Expenses!$B$15,AF124)+IF(AG124="",Expenses!$B$16,AG124)+IF(AH124="",Expenses!$B$17,AH124)+IF(AI124="",Expenses!$B$18,AI124))</f>
        <v/>
      </c>
      <c r="S124" s="27" t="str">
        <f aca="false">IF($A124="","",$R124*$M124)</f>
        <v/>
      </c>
      <c r="T124" s="27" t="str">
        <f aca="false">IF($A124="","",$K124+$S124)</f>
        <v/>
      </c>
      <c r="U124" s="33" t="str">
        <f aca="false">IF($A124="","",$Q124-$T124)</f>
        <v/>
      </c>
      <c r="V124" s="34" t="str">
        <f aca="false">IF(OR($A124="",$F124=0),"",$U124/$F124)</f>
        <v/>
      </c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</row>
    <row r="125" customFormat="false" ht="15" hidden="false" customHeight="false" outlineLevel="0" collapsed="false">
      <c r="A125" s="23"/>
      <c r="B125" s="24"/>
      <c r="C125" s="24"/>
      <c r="D125" s="23"/>
      <c r="E125" s="23"/>
      <c r="F125" s="25"/>
      <c r="G125" s="26"/>
      <c r="H125" s="19"/>
      <c r="I125" s="19"/>
      <c r="J125" s="36" t="str">
        <f aca="false">IF($A125="","",$H125*$F125)</f>
        <v/>
      </c>
      <c r="K125" s="36" t="str">
        <f aca="false">IF($A125="","",$G125+$J125)</f>
        <v/>
      </c>
      <c r="L125" s="37" t="str">
        <f aca="false">IF(OR($A125="",$F125=0),"",$K125/$F125)</f>
        <v/>
      </c>
      <c r="M125" s="38" t="str">
        <f aca="false">IF($A125="","",SUMIF('Lot Entry'!$A$7:$A$2000,$A125,'Lot Entry'!$H$7:$H$2000))</f>
        <v/>
      </c>
      <c r="N125" s="39" t="str">
        <f aca="false">IF($A125="","",SUMIF('Lot Entry'!$A$7:$A$2000,$A125,'Lot Entry'!$I$7:$I$2000))</f>
        <v/>
      </c>
      <c r="O125" s="40" t="str">
        <f aca="false">IF(OR($A125="",$F125=0),"",$N125/$F125)</f>
        <v/>
      </c>
      <c r="P125" s="41" t="str">
        <f aca="false">IF($A125="","",SUMIF('Lot Entry'!$A$7:$A$2000,$A125,'Lot Entry'!$J$7:$J$2000))</f>
        <v/>
      </c>
      <c r="Q125" s="36" t="str">
        <f aca="false">IF($A125="","",$P125*$I125)</f>
        <v/>
      </c>
      <c r="R125" s="37" t="str">
        <f aca="false">IF($A125="","",IF(W125="",Expenses!$B$6,W125)+IF(X125="",Expenses!$B$7,X125)+IF(Y125="",Expenses!$B$8,Y125)+IF(Z125="",Expenses!$B$9,Z125)+IF(AA125="",Expenses!$B$10,AA125)+IF(AB125="",Expenses!$B$11,AB125)+IF(AC125="",Expenses!$B$12,AC125)+IF(AD125="",Expenses!$B$13,AD125)+IF(AE125="",Expenses!$B$14,AE125)+IF(AF125="",Expenses!$B$15,AF125)+IF(AG125="",Expenses!$B$16,AG125)+IF(AH125="",Expenses!$B$17,AH125)+IF(AI125="",Expenses!$B$18,AI125))</f>
        <v/>
      </c>
      <c r="S125" s="36" t="str">
        <f aca="false">IF($A125="","",$R125*$M125)</f>
        <v/>
      </c>
      <c r="T125" s="36" t="str">
        <f aca="false">IF($A125="","",$K125+$S125)</f>
        <v/>
      </c>
      <c r="U125" s="42" t="str">
        <f aca="false">IF($A125="","",$Q125-$T125)</f>
        <v/>
      </c>
      <c r="V125" s="43" t="str">
        <f aca="false">IF(OR($A125="",$F125=0),"",$U125/$F125)</f>
        <v/>
      </c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</row>
    <row r="126" customFormat="false" ht="15" hidden="false" customHeight="false" outlineLevel="0" collapsed="false">
      <c r="A126" s="23"/>
      <c r="B126" s="24"/>
      <c r="C126" s="24"/>
      <c r="D126" s="23"/>
      <c r="E126" s="23"/>
      <c r="F126" s="25"/>
      <c r="G126" s="26"/>
      <c r="H126" s="19"/>
      <c r="I126" s="19"/>
      <c r="J126" s="27" t="str">
        <f aca="false">IF($A126="","",$H126*$F126)</f>
        <v/>
      </c>
      <c r="K126" s="27" t="str">
        <f aca="false">IF($A126="","",$G126+$J126)</f>
        <v/>
      </c>
      <c r="L126" s="28" t="str">
        <f aca="false">IF(OR($A126="",$F126=0),"",$K126/$F126)</f>
        <v/>
      </c>
      <c r="M126" s="29" t="str">
        <f aca="false">IF($A126="","",SUMIF('Lot Entry'!$A$7:$A$2000,$A126,'Lot Entry'!$H$7:$H$2000))</f>
        <v/>
      </c>
      <c r="N126" s="30" t="str">
        <f aca="false">IF($A126="","",SUMIF('Lot Entry'!$A$7:$A$2000,$A126,'Lot Entry'!$I$7:$I$2000))</f>
        <v/>
      </c>
      <c r="O126" s="31" t="str">
        <f aca="false">IF(OR($A126="",$F126=0),"",$N126/$F126)</f>
        <v/>
      </c>
      <c r="P126" s="32" t="str">
        <f aca="false">IF($A126="","",SUMIF('Lot Entry'!$A$7:$A$2000,$A126,'Lot Entry'!$J$7:$J$2000))</f>
        <v/>
      </c>
      <c r="Q126" s="27" t="str">
        <f aca="false">IF($A126="","",$P126*$I126)</f>
        <v/>
      </c>
      <c r="R126" s="28" t="str">
        <f aca="false">IF($A126="","",IF(W126="",Expenses!$B$6,W126)+IF(X126="",Expenses!$B$7,X126)+IF(Y126="",Expenses!$B$8,Y126)+IF(Z126="",Expenses!$B$9,Z126)+IF(AA126="",Expenses!$B$10,AA126)+IF(AB126="",Expenses!$B$11,AB126)+IF(AC126="",Expenses!$B$12,AC126)+IF(AD126="",Expenses!$B$13,AD126)+IF(AE126="",Expenses!$B$14,AE126)+IF(AF126="",Expenses!$B$15,AF126)+IF(AG126="",Expenses!$B$16,AG126)+IF(AH126="",Expenses!$B$17,AH126)+IF(AI126="",Expenses!$B$18,AI126))</f>
        <v/>
      </c>
      <c r="S126" s="27" t="str">
        <f aca="false">IF($A126="","",$R126*$M126)</f>
        <v/>
      </c>
      <c r="T126" s="27" t="str">
        <f aca="false">IF($A126="","",$K126+$S126)</f>
        <v/>
      </c>
      <c r="U126" s="33" t="str">
        <f aca="false">IF($A126="","",$Q126-$T126)</f>
        <v/>
      </c>
      <c r="V126" s="34" t="str">
        <f aca="false">IF(OR($A126="",$F126=0),"",$U126/$F126)</f>
        <v/>
      </c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</row>
    <row r="127" customFormat="false" ht="15" hidden="false" customHeight="false" outlineLevel="0" collapsed="false">
      <c r="A127" s="23"/>
      <c r="B127" s="24"/>
      <c r="C127" s="24"/>
      <c r="D127" s="23"/>
      <c r="E127" s="23"/>
      <c r="F127" s="25"/>
      <c r="G127" s="26"/>
      <c r="H127" s="19"/>
      <c r="I127" s="19"/>
      <c r="J127" s="36" t="str">
        <f aca="false">IF($A127="","",$H127*$F127)</f>
        <v/>
      </c>
      <c r="K127" s="36" t="str">
        <f aca="false">IF($A127="","",$G127+$J127)</f>
        <v/>
      </c>
      <c r="L127" s="37" t="str">
        <f aca="false">IF(OR($A127="",$F127=0),"",$K127/$F127)</f>
        <v/>
      </c>
      <c r="M127" s="38" t="str">
        <f aca="false">IF($A127="","",SUMIF('Lot Entry'!$A$7:$A$2000,$A127,'Lot Entry'!$H$7:$H$2000))</f>
        <v/>
      </c>
      <c r="N127" s="39" t="str">
        <f aca="false">IF($A127="","",SUMIF('Lot Entry'!$A$7:$A$2000,$A127,'Lot Entry'!$I$7:$I$2000))</f>
        <v/>
      </c>
      <c r="O127" s="40" t="str">
        <f aca="false">IF(OR($A127="",$F127=0),"",$N127/$F127)</f>
        <v/>
      </c>
      <c r="P127" s="41" t="str">
        <f aca="false">IF($A127="","",SUMIF('Lot Entry'!$A$7:$A$2000,$A127,'Lot Entry'!$J$7:$J$2000))</f>
        <v/>
      </c>
      <c r="Q127" s="36" t="str">
        <f aca="false">IF($A127="","",$P127*$I127)</f>
        <v/>
      </c>
      <c r="R127" s="37" t="str">
        <f aca="false">IF($A127="","",IF(W127="",Expenses!$B$6,W127)+IF(X127="",Expenses!$B$7,X127)+IF(Y127="",Expenses!$B$8,Y127)+IF(Z127="",Expenses!$B$9,Z127)+IF(AA127="",Expenses!$B$10,AA127)+IF(AB127="",Expenses!$B$11,AB127)+IF(AC127="",Expenses!$B$12,AC127)+IF(AD127="",Expenses!$B$13,AD127)+IF(AE127="",Expenses!$B$14,AE127)+IF(AF127="",Expenses!$B$15,AF127)+IF(AG127="",Expenses!$B$16,AG127)+IF(AH127="",Expenses!$B$17,AH127)+IF(AI127="",Expenses!$B$18,AI127))</f>
        <v/>
      </c>
      <c r="S127" s="36" t="str">
        <f aca="false">IF($A127="","",$R127*$M127)</f>
        <v/>
      </c>
      <c r="T127" s="36" t="str">
        <f aca="false">IF($A127="","",$K127+$S127)</f>
        <v/>
      </c>
      <c r="U127" s="42" t="str">
        <f aca="false">IF($A127="","",$Q127-$T127)</f>
        <v/>
      </c>
      <c r="V127" s="43" t="str">
        <f aca="false">IF(OR($A127="",$F127=0),"",$U127/$F127)</f>
        <v/>
      </c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</row>
    <row r="128" customFormat="false" ht="15" hidden="false" customHeight="false" outlineLevel="0" collapsed="false">
      <c r="A128" s="23"/>
      <c r="B128" s="24"/>
      <c r="C128" s="24"/>
      <c r="D128" s="23"/>
      <c r="E128" s="23"/>
      <c r="F128" s="25"/>
      <c r="G128" s="26"/>
      <c r="H128" s="19"/>
      <c r="I128" s="19"/>
      <c r="J128" s="27" t="str">
        <f aca="false">IF($A128="","",$H128*$F128)</f>
        <v/>
      </c>
      <c r="K128" s="27" t="str">
        <f aca="false">IF($A128="","",$G128+$J128)</f>
        <v/>
      </c>
      <c r="L128" s="28" t="str">
        <f aca="false">IF(OR($A128="",$F128=0),"",$K128/$F128)</f>
        <v/>
      </c>
      <c r="M128" s="29" t="str">
        <f aca="false">IF($A128="","",SUMIF('Lot Entry'!$A$7:$A$2000,$A128,'Lot Entry'!$H$7:$H$2000))</f>
        <v/>
      </c>
      <c r="N128" s="30" t="str">
        <f aca="false">IF($A128="","",SUMIF('Lot Entry'!$A$7:$A$2000,$A128,'Lot Entry'!$I$7:$I$2000))</f>
        <v/>
      </c>
      <c r="O128" s="31" t="str">
        <f aca="false">IF(OR($A128="",$F128=0),"",$N128/$F128)</f>
        <v/>
      </c>
      <c r="P128" s="32" t="str">
        <f aca="false">IF($A128="","",SUMIF('Lot Entry'!$A$7:$A$2000,$A128,'Lot Entry'!$J$7:$J$2000))</f>
        <v/>
      </c>
      <c r="Q128" s="27" t="str">
        <f aca="false">IF($A128="","",$P128*$I128)</f>
        <v/>
      </c>
      <c r="R128" s="28" t="str">
        <f aca="false">IF($A128="","",IF(W128="",Expenses!$B$6,W128)+IF(X128="",Expenses!$B$7,X128)+IF(Y128="",Expenses!$B$8,Y128)+IF(Z128="",Expenses!$B$9,Z128)+IF(AA128="",Expenses!$B$10,AA128)+IF(AB128="",Expenses!$B$11,AB128)+IF(AC128="",Expenses!$B$12,AC128)+IF(AD128="",Expenses!$B$13,AD128)+IF(AE128="",Expenses!$B$14,AE128)+IF(AF128="",Expenses!$B$15,AF128)+IF(AG128="",Expenses!$B$16,AG128)+IF(AH128="",Expenses!$B$17,AH128)+IF(AI128="",Expenses!$B$18,AI128))</f>
        <v/>
      </c>
      <c r="S128" s="27" t="str">
        <f aca="false">IF($A128="","",$R128*$M128)</f>
        <v/>
      </c>
      <c r="T128" s="27" t="str">
        <f aca="false">IF($A128="","",$K128+$S128)</f>
        <v/>
      </c>
      <c r="U128" s="33" t="str">
        <f aca="false">IF($A128="","",$Q128-$T128)</f>
        <v/>
      </c>
      <c r="V128" s="34" t="str">
        <f aca="false">IF(OR($A128="",$F128=0),"",$U128/$F128)</f>
        <v/>
      </c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</row>
    <row r="129" customFormat="false" ht="15" hidden="false" customHeight="false" outlineLevel="0" collapsed="false">
      <c r="A129" s="23"/>
      <c r="B129" s="24"/>
      <c r="C129" s="24"/>
      <c r="D129" s="23"/>
      <c r="E129" s="23"/>
      <c r="F129" s="25"/>
      <c r="G129" s="26"/>
      <c r="H129" s="19"/>
      <c r="I129" s="19"/>
      <c r="J129" s="36" t="str">
        <f aca="false">IF($A129="","",$H129*$F129)</f>
        <v/>
      </c>
      <c r="K129" s="36" t="str">
        <f aca="false">IF($A129="","",$G129+$J129)</f>
        <v/>
      </c>
      <c r="L129" s="37" t="str">
        <f aca="false">IF(OR($A129="",$F129=0),"",$K129/$F129)</f>
        <v/>
      </c>
      <c r="M129" s="38" t="str">
        <f aca="false">IF($A129="","",SUMIF('Lot Entry'!$A$7:$A$2000,$A129,'Lot Entry'!$H$7:$H$2000))</f>
        <v/>
      </c>
      <c r="N129" s="39" t="str">
        <f aca="false">IF($A129="","",SUMIF('Lot Entry'!$A$7:$A$2000,$A129,'Lot Entry'!$I$7:$I$2000))</f>
        <v/>
      </c>
      <c r="O129" s="40" t="str">
        <f aca="false">IF(OR($A129="",$F129=0),"",$N129/$F129)</f>
        <v/>
      </c>
      <c r="P129" s="41" t="str">
        <f aca="false">IF($A129="","",SUMIF('Lot Entry'!$A$7:$A$2000,$A129,'Lot Entry'!$J$7:$J$2000))</f>
        <v/>
      </c>
      <c r="Q129" s="36" t="str">
        <f aca="false">IF($A129="","",$P129*$I129)</f>
        <v/>
      </c>
      <c r="R129" s="37" t="str">
        <f aca="false">IF($A129="","",IF(W129="",Expenses!$B$6,W129)+IF(X129="",Expenses!$B$7,X129)+IF(Y129="",Expenses!$B$8,Y129)+IF(Z129="",Expenses!$B$9,Z129)+IF(AA129="",Expenses!$B$10,AA129)+IF(AB129="",Expenses!$B$11,AB129)+IF(AC129="",Expenses!$B$12,AC129)+IF(AD129="",Expenses!$B$13,AD129)+IF(AE129="",Expenses!$B$14,AE129)+IF(AF129="",Expenses!$B$15,AF129)+IF(AG129="",Expenses!$B$16,AG129)+IF(AH129="",Expenses!$B$17,AH129)+IF(AI129="",Expenses!$B$18,AI129))</f>
        <v/>
      </c>
      <c r="S129" s="36" t="str">
        <f aca="false">IF($A129="","",$R129*$M129)</f>
        <v/>
      </c>
      <c r="T129" s="36" t="str">
        <f aca="false">IF($A129="","",$K129+$S129)</f>
        <v/>
      </c>
      <c r="U129" s="42" t="str">
        <f aca="false">IF($A129="","",$Q129-$T129)</f>
        <v/>
      </c>
      <c r="V129" s="43" t="str">
        <f aca="false">IF(OR($A129="",$F129=0),"",$U129/$F129)</f>
        <v/>
      </c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</row>
    <row r="130" customFormat="false" ht="15" hidden="false" customHeight="false" outlineLevel="0" collapsed="false">
      <c r="A130" s="23"/>
      <c r="B130" s="24"/>
      <c r="C130" s="24"/>
      <c r="D130" s="23"/>
      <c r="E130" s="23"/>
      <c r="F130" s="25"/>
      <c r="G130" s="26"/>
      <c r="H130" s="19"/>
      <c r="I130" s="19"/>
      <c r="J130" s="27" t="str">
        <f aca="false">IF($A130="","",$H130*$F130)</f>
        <v/>
      </c>
      <c r="K130" s="27" t="str">
        <f aca="false">IF($A130="","",$G130+$J130)</f>
        <v/>
      </c>
      <c r="L130" s="28" t="str">
        <f aca="false">IF(OR($A130="",$F130=0),"",$K130/$F130)</f>
        <v/>
      </c>
      <c r="M130" s="29" t="str">
        <f aca="false">IF($A130="","",SUMIF('Lot Entry'!$A$7:$A$2000,$A130,'Lot Entry'!$H$7:$H$2000))</f>
        <v/>
      </c>
      <c r="N130" s="30" t="str">
        <f aca="false">IF($A130="","",SUMIF('Lot Entry'!$A$7:$A$2000,$A130,'Lot Entry'!$I$7:$I$2000))</f>
        <v/>
      </c>
      <c r="O130" s="31" t="str">
        <f aca="false">IF(OR($A130="",$F130=0),"",$N130/$F130)</f>
        <v/>
      </c>
      <c r="P130" s="32" t="str">
        <f aca="false">IF($A130="","",SUMIF('Lot Entry'!$A$7:$A$2000,$A130,'Lot Entry'!$J$7:$J$2000))</f>
        <v/>
      </c>
      <c r="Q130" s="27" t="str">
        <f aca="false">IF($A130="","",$P130*$I130)</f>
        <v/>
      </c>
      <c r="R130" s="28" t="str">
        <f aca="false">IF($A130="","",IF(W130="",Expenses!$B$6,W130)+IF(X130="",Expenses!$B$7,X130)+IF(Y130="",Expenses!$B$8,Y130)+IF(Z130="",Expenses!$B$9,Z130)+IF(AA130="",Expenses!$B$10,AA130)+IF(AB130="",Expenses!$B$11,AB130)+IF(AC130="",Expenses!$B$12,AC130)+IF(AD130="",Expenses!$B$13,AD130)+IF(AE130="",Expenses!$B$14,AE130)+IF(AF130="",Expenses!$B$15,AF130)+IF(AG130="",Expenses!$B$16,AG130)+IF(AH130="",Expenses!$B$17,AH130)+IF(AI130="",Expenses!$B$18,AI130))</f>
        <v/>
      </c>
      <c r="S130" s="27" t="str">
        <f aca="false">IF($A130="","",$R130*$M130)</f>
        <v/>
      </c>
      <c r="T130" s="27" t="str">
        <f aca="false">IF($A130="","",$K130+$S130)</f>
        <v/>
      </c>
      <c r="U130" s="33" t="str">
        <f aca="false">IF($A130="","",$Q130-$T130)</f>
        <v/>
      </c>
      <c r="V130" s="34" t="str">
        <f aca="false">IF(OR($A130="",$F130=0),"",$U130/$F130)</f>
        <v/>
      </c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</row>
    <row r="131" customFormat="false" ht="15" hidden="false" customHeight="false" outlineLevel="0" collapsed="false">
      <c r="A131" s="23"/>
      <c r="B131" s="24"/>
      <c r="C131" s="24"/>
      <c r="D131" s="23"/>
      <c r="E131" s="23"/>
      <c r="F131" s="25"/>
      <c r="G131" s="26"/>
      <c r="H131" s="19"/>
      <c r="I131" s="19"/>
      <c r="J131" s="36" t="str">
        <f aca="false">IF($A131="","",$H131*$F131)</f>
        <v/>
      </c>
      <c r="K131" s="36" t="str">
        <f aca="false">IF($A131="","",$G131+$J131)</f>
        <v/>
      </c>
      <c r="L131" s="37" t="str">
        <f aca="false">IF(OR($A131="",$F131=0),"",$K131/$F131)</f>
        <v/>
      </c>
      <c r="M131" s="38" t="str">
        <f aca="false">IF($A131="","",SUMIF('Lot Entry'!$A$7:$A$2000,$A131,'Lot Entry'!$H$7:$H$2000))</f>
        <v/>
      </c>
      <c r="N131" s="39" t="str">
        <f aca="false">IF($A131="","",SUMIF('Lot Entry'!$A$7:$A$2000,$A131,'Lot Entry'!$I$7:$I$2000))</f>
        <v/>
      </c>
      <c r="O131" s="40" t="str">
        <f aca="false">IF(OR($A131="",$F131=0),"",$N131/$F131)</f>
        <v/>
      </c>
      <c r="P131" s="41" t="str">
        <f aca="false">IF($A131="","",SUMIF('Lot Entry'!$A$7:$A$2000,$A131,'Lot Entry'!$J$7:$J$2000))</f>
        <v/>
      </c>
      <c r="Q131" s="36" t="str">
        <f aca="false">IF($A131="","",$P131*$I131)</f>
        <v/>
      </c>
      <c r="R131" s="37" t="str">
        <f aca="false">IF($A131="","",IF(W131="",Expenses!$B$6,W131)+IF(X131="",Expenses!$B$7,X131)+IF(Y131="",Expenses!$B$8,Y131)+IF(Z131="",Expenses!$B$9,Z131)+IF(AA131="",Expenses!$B$10,AA131)+IF(AB131="",Expenses!$B$11,AB131)+IF(AC131="",Expenses!$B$12,AC131)+IF(AD131="",Expenses!$B$13,AD131)+IF(AE131="",Expenses!$B$14,AE131)+IF(AF131="",Expenses!$B$15,AF131)+IF(AG131="",Expenses!$B$16,AG131)+IF(AH131="",Expenses!$B$17,AH131)+IF(AI131="",Expenses!$B$18,AI131))</f>
        <v/>
      </c>
      <c r="S131" s="36" t="str">
        <f aca="false">IF($A131="","",$R131*$M131)</f>
        <v/>
      </c>
      <c r="T131" s="36" t="str">
        <f aca="false">IF($A131="","",$K131+$S131)</f>
        <v/>
      </c>
      <c r="U131" s="42" t="str">
        <f aca="false">IF($A131="","",$Q131-$T131)</f>
        <v/>
      </c>
      <c r="V131" s="43" t="str">
        <f aca="false">IF(OR($A131="",$F131=0),"",$U131/$F131)</f>
        <v/>
      </c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</row>
    <row r="132" customFormat="false" ht="15" hidden="false" customHeight="false" outlineLevel="0" collapsed="false">
      <c r="A132" s="23"/>
      <c r="B132" s="24"/>
      <c r="C132" s="24"/>
      <c r="D132" s="23"/>
      <c r="E132" s="23"/>
      <c r="F132" s="25"/>
      <c r="G132" s="26"/>
      <c r="H132" s="19"/>
      <c r="I132" s="19"/>
      <c r="J132" s="27" t="str">
        <f aca="false">IF($A132="","",$H132*$F132)</f>
        <v/>
      </c>
      <c r="K132" s="27" t="str">
        <f aca="false">IF($A132="","",$G132+$J132)</f>
        <v/>
      </c>
      <c r="L132" s="28" t="str">
        <f aca="false">IF(OR($A132="",$F132=0),"",$K132/$F132)</f>
        <v/>
      </c>
      <c r="M132" s="29" t="str">
        <f aca="false">IF($A132="","",SUMIF('Lot Entry'!$A$7:$A$2000,$A132,'Lot Entry'!$H$7:$H$2000))</f>
        <v/>
      </c>
      <c r="N132" s="30" t="str">
        <f aca="false">IF($A132="","",SUMIF('Lot Entry'!$A$7:$A$2000,$A132,'Lot Entry'!$I$7:$I$2000))</f>
        <v/>
      </c>
      <c r="O132" s="31" t="str">
        <f aca="false">IF(OR($A132="",$F132=0),"",$N132/$F132)</f>
        <v/>
      </c>
      <c r="P132" s="32" t="str">
        <f aca="false">IF($A132="","",SUMIF('Lot Entry'!$A$7:$A$2000,$A132,'Lot Entry'!$J$7:$J$2000))</f>
        <v/>
      </c>
      <c r="Q132" s="27" t="str">
        <f aca="false">IF($A132="","",$P132*$I132)</f>
        <v/>
      </c>
      <c r="R132" s="28" t="str">
        <f aca="false">IF($A132="","",IF(W132="",Expenses!$B$6,W132)+IF(X132="",Expenses!$B$7,X132)+IF(Y132="",Expenses!$B$8,Y132)+IF(Z132="",Expenses!$B$9,Z132)+IF(AA132="",Expenses!$B$10,AA132)+IF(AB132="",Expenses!$B$11,AB132)+IF(AC132="",Expenses!$B$12,AC132)+IF(AD132="",Expenses!$B$13,AD132)+IF(AE132="",Expenses!$B$14,AE132)+IF(AF132="",Expenses!$B$15,AF132)+IF(AG132="",Expenses!$B$16,AG132)+IF(AH132="",Expenses!$B$17,AH132)+IF(AI132="",Expenses!$B$18,AI132))</f>
        <v/>
      </c>
      <c r="S132" s="27" t="str">
        <f aca="false">IF($A132="","",$R132*$M132)</f>
        <v/>
      </c>
      <c r="T132" s="27" t="str">
        <f aca="false">IF($A132="","",$K132+$S132)</f>
        <v/>
      </c>
      <c r="U132" s="33" t="str">
        <f aca="false">IF($A132="","",$Q132-$T132)</f>
        <v/>
      </c>
      <c r="V132" s="34" t="str">
        <f aca="false">IF(OR($A132="",$F132=0),"",$U132/$F132)</f>
        <v/>
      </c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</row>
    <row r="133" customFormat="false" ht="15" hidden="false" customHeight="false" outlineLevel="0" collapsed="false">
      <c r="A133" s="23"/>
      <c r="B133" s="24"/>
      <c r="C133" s="24"/>
      <c r="D133" s="23"/>
      <c r="E133" s="23"/>
      <c r="F133" s="25"/>
      <c r="G133" s="26"/>
      <c r="H133" s="19"/>
      <c r="I133" s="19"/>
      <c r="J133" s="36" t="str">
        <f aca="false">IF($A133="","",$H133*$F133)</f>
        <v/>
      </c>
      <c r="K133" s="36" t="str">
        <f aca="false">IF($A133="","",$G133+$J133)</f>
        <v/>
      </c>
      <c r="L133" s="37" t="str">
        <f aca="false">IF(OR($A133="",$F133=0),"",$K133/$F133)</f>
        <v/>
      </c>
      <c r="M133" s="38" t="str">
        <f aca="false">IF($A133="","",SUMIF('Lot Entry'!$A$7:$A$2000,$A133,'Lot Entry'!$H$7:$H$2000))</f>
        <v/>
      </c>
      <c r="N133" s="39" t="str">
        <f aca="false">IF($A133="","",SUMIF('Lot Entry'!$A$7:$A$2000,$A133,'Lot Entry'!$I$7:$I$2000))</f>
        <v/>
      </c>
      <c r="O133" s="40" t="str">
        <f aca="false">IF(OR($A133="",$F133=0),"",$N133/$F133)</f>
        <v/>
      </c>
      <c r="P133" s="41" t="str">
        <f aca="false">IF($A133="","",SUMIF('Lot Entry'!$A$7:$A$2000,$A133,'Lot Entry'!$J$7:$J$2000))</f>
        <v/>
      </c>
      <c r="Q133" s="36" t="str">
        <f aca="false">IF($A133="","",$P133*$I133)</f>
        <v/>
      </c>
      <c r="R133" s="37" t="str">
        <f aca="false">IF($A133="","",IF(W133="",Expenses!$B$6,W133)+IF(X133="",Expenses!$B$7,X133)+IF(Y133="",Expenses!$B$8,Y133)+IF(Z133="",Expenses!$B$9,Z133)+IF(AA133="",Expenses!$B$10,AA133)+IF(AB133="",Expenses!$B$11,AB133)+IF(AC133="",Expenses!$B$12,AC133)+IF(AD133="",Expenses!$B$13,AD133)+IF(AE133="",Expenses!$B$14,AE133)+IF(AF133="",Expenses!$B$15,AF133)+IF(AG133="",Expenses!$B$16,AG133)+IF(AH133="",Expenses!$B$17,AH133)+IF(AI133="",Expenses!$B$18,AI133))</f>
        <v/>
      </c>
      <c r="S133" s="36" t="str">
        <f aca="false">IF($A133="","",$R133*$M133)</f>
        <v/>
      </c>
      <c r="T133" s="36" t="str">
        <f aca="false">IF($A133="","",$K133+$S133)</f>
        <v/>
      </c>
      <c r="U133" s="42" t="str">
        <f aca="false">IF($A133="","",$Q133-$T133)</f>
        <v/>
      </c>
      <c r="V133" s="43" t="str">
        <f aca="false">IF(OR($A133="",$F133=0),"",$U133/$F133)</f>
        <v/>
      </c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</row>
    <row r="134" customFormat="false" ht="15" hidden="false" customHeight="false" outlineLevel="0" collapsed="false">
      <c r="A134" s="23"/>
      <c r="B134" s="24"/>
      <c r="C134" s="24"/>
      <c r="D134" s="23"/>
      <c r="E134" s="23"/>
      <c r="F134" s="25"/>
      <c r="G134" s="26"/>
      <c r="H134" s="19"/>
      <c r="I134" s="19"/>
      <c r="J134" s="27" t="str">
        <f aca="false">IF($A134="","",$H134*$F134)</f>
        <v/>
      </c>
      <c r="K134" s="27" t="str">
        <f aca="false">IF($A134="","",$G134+$J134)</f>
        <v/>
      </c>
      <c r="L134" s="28" t="str">
        <f aca="false">IF(OR($A134="",$F134=0),"",$K134/$F134)</f>
        <v/>
      </c>
      <c r="M134" s="29" t="str">
        <f aca="false">IF($A134="","",SUMIF('Lot Entry'!$A$7:$A$2000,$A134,'Lot Entry'!$H$7:$H$2000))</f>
        <v/>
      </c>
      <c r="N134" s="30" t="str">
        <f aca="false">IF($A134="","",SUMIF('Lot Entry'!$A$7:$A$2000,$A134,'Lot Entry'!$I$7:$I$2000))</f>
        <v/>
      </c>
      <c r="O134" s="31" t="str">
        <f aca="false">IF(OR($A134="",$F134=0),"",$N134/$F134)</f>
        <v/>
      </c>
      <c r="P134" s="32" t="str">
        <f aca="false">IF($A134="","",SUMIF('Lot Entry'!$A$7:$A$2000,$A134,'Lot Entry'!$J$7:$J$2000))</f>
        <v/>
      </c>
      <c r="Q134" s="27" t="str">
        <f aca="false">IF($A134="","",$P134*$I134)</f>
        <v/>
      </c>
      <c r="R134" s="28" t="str">
        <f aca="false">IF($A134="","",IF(W134="",Expenses!$B$6,W134)+IF(X134="",Expenses!$B$7,X134)+IF(Y134="",Expenses!$B$8,Y134)+IF(Z134="",Expenses!$B$9,Z134)+IF(AA134="",Expenses!$B$10,AA134)+IF(AB134="",Expenses!$B$11,AB134)+IF(AC134="",Expenses!$B$12,AC134)+IF(AD134="",Expenses!$B$13,AD134)+IF(AE134="",Expenses!$B$14,AE134)+IF(AF134="",Expenses!$B$15,AF134)+IF(AG134="",Expenses!$B$16,AG134)+IF(AH134="",Expenses!$B$17,AH134)+IF(AI134="",Expenses!$B$18,AI134))</f>
        <v/>
      </c>
      <c r="S134" s="27" t="str">
        <f aca="false">IF($A134="","",$R134*$M134)</f>
        <v/>
      </c>
      <c r="T134" s="27" t="str">
        <f aca="false">IF($A134="","",$K134+$S134)</f>
        <v/>
      </c>
      <c r="U134" s="33" t="str">
        <f aca="false">IF($A134="","",$Q134-$T134)</f>
        <v/>
      </c>
      <c r="V134" s="34" t="str">
        <f aca="false">IF(OR($A134="",$F134=0),"",$U134/$F134)</f>
        <v/>
      </c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</row>
    <row r="135" customFormat="false" ht="15" hidden="false" customHeight="false" outlineLevel="0" collapsed="false">
      <c r="A135" s="23"/>
      <c r="B135" s="24"/>
      <c r="C135" s="24"/>
      <c r="D135" s="23"/>
      <c r="E135" s="23"/>
      <c r="F135" s="25"/>
      <c r="G135" s="26"/>
      <c r="H135" s="19"/>
      <c r="I135" s="19"/>
      <c r="J135" s="36" t="str">
        <f aca="false">IF($A135="","",$H135*$F135)</f>
        <v/>
      </c>
      <c r="K135" s="36" t="str">
        <f aca="false">IF($A135="","",$G135+$J135)</f>
        <v/>
      </c>
      <c r="L135" s="37" t="str">
        <f aca="false">IF(OR($A135="",$F135=0),"",$K135/$F135)</f>
        <v/>
      </c>
      <c r="M135" s="38" t="str">
        <f aca="false">IF($A135="","",SUMIF('Lot Entry'!$A$7:$A$2000,$A135,'Lot Entry'!$H$7:$H$2000))</f>
        <v/>
      </c>
      <c r="N135" s="39" t="str">
        <f aca="false">IF($A135="","",SUMIF('Lot Entry'!$A$7:$A$2000,$A135,'Lot Entry'!$I$7:$I$2000))</f>
        <v/>
      </c>
      <c r="O135" s="40" t="str">
        <f aca="false">IF(OR($A135="",$F135=0),"",$N135/$F135)</f>
        <v/>
      </c>
      <c r="P135" s="41" t="str">
        <f aca="false">IF($A135="","",SUMIF('Lot Entry'!$A$7:$A$2000,$A135,'Lot Entry'!$J$7:$J$2000))</f>
        <v/>
      </c>
      <c r="Q135" s="36" t="str">
        <f aca="false">IF($A135="","",$P135*$I135)</f>
        <v/>
      </c>
      <c r="R135" s="37" t="str">
        <f aca="false">IF($A135="","",IF(W135="",Expenses!$B$6,W135)+IF(X135="",Expenses!$B$7,X135)+IF(Y135="",Expenses!$B$8,Y135)+IF(Z135="",Expenses!$B$9,Z135)+IF(AA135="",Expenses!$B$10,AA135)+IF(AB135="",Expenses!$B$11,AB135)+IF(AC135="",Expenses!$B$12,AC135)+IF(AD135="",Expenses!$B$13,AD135)+IF(AE135="",Expenses!$B$14,AE135)+IF(AF135="",Expenses!$B$15,AF135)+IF(AG135="",Expenses!$B$16,AG135)+IF(AH135="",Expenses!$B$17,AH135)+IF(AI135="",Expenses!$B$18,AI135))</f>
        <v/>
      </c>
      <c r="S135" s="36" t="str">
        <f aca="false">IF($A135="","",$R135*$M135)</f>
        <v/>
      </c>
      <c r="T135" s="36" t="str">
        <f aca="false">IF($A135="","",$K135+$S135)</f>
        <v/>
      </c>
      <c r="U135" s="42" t="str">
        <f aca="false">IF($A135="","",$Q135-$T135)</f>
        <v/>
      </c>
      <c r="V135" s="43" t="str">
        <f aca="false">IF(OR($A135="",$F135=0),"",$U135/$F135)</f>
        <v/>
      </c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</row>
    <row r="136" customFormat="false" ht="15" hidden="false" customHeight="false" outlineLevel="0" collapsed="false">
      <c r="A136" s="23"/>
      <c r="B136" s="24"/>
      <c r="C136" s="24"/>
      <c r="D136" s="23"/>
      <c r="E136" s="23"/>
      <c r="F136" s="25"/>
      <c r="G136" s="26"/>
      <c r="H136" s="19"/>
      <c r="I136" s="19"/>
      <c r="J136" s="27" t="str">
        <f aca="false">IF($A136="","",$H136*$F136)</f>
        <v/>
      </c>
      <c r="K136" s="27" t="str">
        <f aca="false">IF($A136="","",$G136+$J136)</f>
        <v/>
      </c>
      <c r="L136" s="28" t="str">
        <f aca="false">IF(OR($A136="",$F136=0),"",$K136/$F136)</f>
        <v/>
      </c>
      <c r="M136" s="29" t="str">
        <f aca="false">IF($A136="","",SUMIF('Lot Entry'!$A$7:$A$2000,$A136,'Lot Entry'!$H$7:$H$2000))</f>
        <v/>
      </c>
      <c r="N136" s="30" t="str">
        <f aca="false">IF($A136="","",SUMIF('Lot Entry'!$A$7:$A$2000,$A136,'Lot Entry'!$I$7:$I$2000))</f>
        <v/>
      </c>
      <c r="O136" s="31" t="str">
        <f aca="false">IF(OR($A136="",$F136=0),"",$N136/$F136)</f>
        <v/>
      </c>
      <c r="P136" s="32" t="str">
        <f aca="false">IF($A136="","",SUMIF('Lot Entry'!$A$7:$A$2000,$A136,'Lot Entry'!$J$7:$J$2000))</f>
        <v/>
      </c>
      <c r="Q136" s="27" t="str">
        <f aca="false">IF($A136="","",$P136*$I136)</f>
        <v/>
      </c>
      <c r="R136" s="28" t="str">
        <f aca="false">IF($A136="","",IF(W136="",Expenses!$B$6,W136)+IF(X136="",Expenses!$B$7,X136)+IF(Y136="",Expenses!$B$8,Y136)+IF(Z136="",Expenses!$B$9,Z136)+IF(AA136="",Expenses!$B$10,AA136)+IF(AB136="",Expenses!$B$11,AB136)+IF(AC136="",Expenses!$B$12,AC136)+IF(AD136="",Expenses!$B$13,AD136)+IF(AE136="",Expenses!$B$14,AE136)+IF(AF136="",Expenses!$B$15,AF136)+IF(AG136="",Expenses!$B$16,AG136)+IF(AH136="",Expenses!$B$17,AH136)+IF(AI136="",Expenses!$B$18,AI136))</f>
        <v/>
      </c>
      <c r="S136" s="27" t="str">
        <f aca="false">IF($A136="","",$R136*$M136)</f>
        <v/>
      </c>
      <c r="T136" s="27" t="str">
        <f aca="false">IF($A136="","",$K136+$S136)</f>
        <v/>
      </c>
      <c r="U136" s="33" t="str">
        <f aca="false">IF($A136="","",$Q136-$T136)</f>
        <v/>
      </c>
      <c r="V136" s="34" t="str">
        <f aca="false">IF(OR($A136="",$F136=0),"",$U136/$F136)</f>
        <v/>
      </c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</row>
    <row r="137" customFormat="false" ht="15" hidden="false" customHeight="false" outlineLevel="0" collapsed="false">
      <c r="A137" s="23"/>
      <c r="B137" s="24"/>
      <c r="C137" s="24"/>
      <c r="D137" s="23"/>
      <c r="E137" s="23"/>
      <c r="F137" s="25"/>
      <c r="G137" s="26"/>
      <c r="H137" s="19"/>
      <c r="I137" s="19"/>
      <c r="J137" s="36" t="str">
        <f aca="false">IF($A137="","",$H137*$F137)</f>
        <v/>
      </c>
      <c r="K137" s="36" t="str">
        <f aca="false">IF($A137="","",$G137+$J137)</f>
        <v/>
      </c>
      <c r="L137" s="37" t="str">
        <f aca="false">IF(OR($A137="",$F137=0),"",$K137/$F137)</f>
        <v/>
      </c>
      <c r="M137" s="38" t="str">
        <f aca="false">IF($A137="","",SUMIF('Lot Entry'!$A$7:$A$2000,$A137,'Lot Entry'!$H$7:$H$2000))</f>
        <v/>
      </c>
      <c r="N137" s="39" t="str">
        <f aca="false">IF($A137="","",SUMIF('Lot Entry'!$A$7:$A$2000,$A137,'Lot Entry'!$I$7:$I$2000))</f>
        <v/>
      </c>
      <c r="O137" s="40" t="str">
        <f aca="false">IF(OR($A137="",$F137=0),"",$N137/$F137)</f>
        <v/>
      </c>
      <c r="P137" s="41" t="str">
        <f aca="false">IF($A137="","",SUMIF('Lot Entry'!$A$7:$A$2000,$A137,'Lot Entry'!$J$7:$J$2000))</f>
        <v/>
      </c>
      <c r="Q137" s="36" t="str">
        <f aca="false">IF($A137="","",$P137*$I137)</f>
        <v/>
      </c>
      <c r="R137" s="37" t="str">
        <f aca="false">IF($A137="","",IF(W137="",Expenses!$B$6,W137)+IF(X137="",Expenses!$B$7,X137)+IF(Y137="",Expenses!$B$8,Y137)+IF(Z137="",Expenses!$B$9,Z137)+IF(AA137="",Expenses!$B$10,AA137)+IF(AB137="",Expenses!$B$11,AB137)+IF(AC137="",Expenses!$B$12,AC137)+IF(AD137="",Expenses!$B$13,AD137)+IF(AE137="",Expenses!$B$14,AE137)+IF(AF137="",Expenses!$B$15,AF137)+IF(AG137="",Expenses!$B$16,AG137)+IF(AH137="",Expenses!$B$17,AH137)+IF(AI137="",Expenses!$B$18,AI137))</f>
        <v/>
      </c>
      <c r="S137" s="36" t="str">
        <f aca="false">IF($A137="","",$R137*$M137)</f>
        <v/>
      </c>
      <c r="T137" s="36" t="str">
        <f aca="false">IF($A137="","",$K137+$S137)</f>
        <v/>
      </c>
      <c r="U137" s="42" t="str">
        <f aca="false">IF($A137="","",$Q137-$T137)</f>
        <v/>
      </c>
      <c r="V137" s="43" t="str">
        <f aca="false">IF(OR($A137="",$F137=0),"",$U137/$F137)</f>
        <v/>
      </c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</row>
    <row r="138" customFormat="false" ht="15" hidden="false" customHeight="false" outlineLevel="0" collapsed="false">
      <c r="A138" s="23"/>
      <c r="B138" s="24"/>
      <c r="C138" s="24"/>
      <c r="D138" s="23"/>
      <c r="E138" s="23"/>
      <c r="F138" s="25"/>
      <c r="G138" s="26"/>
      <c r="H138" s="19"/>
      <c r="I138" s="19"/>
      <c r="J138" s="27" t="str">
        <f aca="false">IF($A138="","",$H138*$F138)</f>
        <v/>
      </c>
      <c r="K138" s="27" t="str">
        <f aca="false">IF($A138="","",$G138+$J138)</f>
        <v/>
      </c>
      <c r="L138" s="28" t="str">
        <f aca="false">IF(OR($A138="",$F138=0),"",$K138/$F138)</f>
        <v/>
      </c>
      <c r="M138" s="29" t="str">
        <f aca="false">IF($A138="","",SUMIF('Lot Entry'!$A$7:$A$2000,$A138,'Lot Entry'!$H$7:$H$2000))</f>
        <v/>
      </c>
      <c r="N138" s="30" t="str">
        <f aca="false">IF($A138="","",SUMIF('Lot Entry'!$A$7:$A$2000,$A138,'Lot Entry'!$I$7:$I$2000))</f>
        <v/>
      </c>
      <c r="O138" s="31" t="str">
        <f aca="false">IF(OR($A138="",$F138=0),"",$N138/$F138)</f>
        <v/>
      </c>
      <c r="P138" s="32" t="str">
        <f aca="false">IF($A138="","",SUMIF('Lot Entry'!$A$7:$A$2000,$A138,'Lot Entry'!$J$7:$J$2000))</f>
        <v/>
      </c>
      <c r="Q138" s="27" t="str">
        <f aca="false">IF($A138="","",$P138*$I138)</f>
        <v/>
      </c>
      <c r="R138" s="28" t="str">
        <f aca="false">IF($A138="","",IF(W138="",Expenses!$B$6,W138)+IF(X138="",Expenses!$B$7,X138)+IF(Y138="",Expenses!$B$8,Y138)+IF(Z138="",Expenses!$B$9,Z138)+IF(AA138="",Expenses!$B$10,AA138)+IF(AB138="",Expenses!$B$11,AB138)+IF(AC138="",Expenses!$B$12,AC138)+IF(AD138="",Expenses!$B$13,AD138)+IF(AE138="",Expenses!$B$14,AE138)+IF(AF138="",Expenses!$B$15,AF138)+IF(AG138="",Expenses!$B$16,AG138)+IF(AH138="",Expenses!$B$17,AH138)+IF(AI138="",Expenses!$B$18,AI138))</f>
        <v/>
      </c>
      <c r="S138" s="27" t="str">
        <f aca="false">IF($A138="","",$R138*$M138)</f>
        <v/>
      </c>
      <c r="T138" s="27" t="str">
        <f aca="false">IF($A138="","",$K138+$S138)</f>
        <v/>
      </c>
      <c r="U138" s="33" t="str">
        <f aca="false">IF($A138="","",$Q138-$T138)</f>
        <v/>
      </c>
      <c r="V138" s="34" t="str">
        <f aca="false">IF(OR($A138="",$F138=0),"",$U138/$F138)</f>
        <v/>
      </c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</row>
    <row r="139" customFormat="false" ht="15" hidden="false" customHeight="false" outlineLevel="0" collapsed="false">
      <c r="A139" s="23"/>
      <c r="B139" s="24"/>
      <c r="C139" s="24"/>
      <c r="D139" s="23"/>
      <c r="E139" s="23"/>
      <c r="F139" s="25"/>
      <c r="G139" s="26"/>
      <c r="H139" s="19"/>
      <c r="I139" s="19"/>
      <c r="J139" s="36" t="str">
        <f aca="false">IF($A139="","",$H139*$F139)</f>
        <v/>
      </c>
      <c r="K139" s="36" t="str">
        <f aca="false">IF($A139="","",$G139+$J139)</f>
        <v/>
      </c>
      <c r="L139" s="37" t="str">
        <f aca="false">IF(OR($A139="",$F139=0),"",$K139/$F139)</f>
        <v/>
      </c>
      <c r="M139" s="38" t="str">
        <f aca="false">IF($A139="","",SUMIF('Lot Entry'!$A$7:$A$2000,$A139,'Lot Entry'!$H$7:$H$2000))</f>
        <v/>
      </c>
      <c r="N139" s="39" t="str">
        <f aca="false">IF($A139="","",SUMIF('Lot Entry'!$A$7:$A$2000,$A139,'Lot Entry'!$I$7:$I$2000))</f>
        <v/>
      </c>
      <c r="O139" s="40" t="str">
        <f aca="false">IF(OR($A139="",$F139=0),"",$N139/$F139)</f>
        <v/>
      </c>
      <c r="P139" s="41" t="str">
        <f aca="false">IF($A139="","",SUMIF('Lot Entry'!$A$7:$A$2000,$A139,'Lot Entry'!$J$7:$J$2000))</f>
        <v/>
      </c>
      <c r="Q139" s="36" t="str">
        <f aca="false">IF($A139="","",$P139*$I139)</f>
        <v/>
      </c>
      <c r="R139" s="37" t="str">
        <f aca="false">IF($A139="","",IF(W139="",Expenses!$B$6,W139)+IF(X139="",Expenses!$B$7,X139)+IF(Y139="",Expenses!$B$8,Y139)+IF(Z139="",Expenses!$B$9,Z139)+IF(AA139="",Expenses!$B$10,AA139)+IF(AB139="",Expenses!$B$11,AB139)+IF(AC139="",Expenses!$B$12,AC139)+IF(AD139="",Expenses!$B$13,AD139)+IF(AE139="",Expenses!$B$14,AE139)+IF(AF139="",Expenses!$B$15,AF139)+IF(AG139="",Expenses!$B$16,AG139)+IF(AH139="",Expenses!$B$17,AH139)+IF(AI139="",Expenses!$B$18,AI139))</f>
        <v/>
      </c>
      <c r="S139" s="36" t="str">
        <f aca="false">IF($A139="","",$R139*$M139)</f>
        <v/>
      </c>
      <c r="T139" s="36" t="str">
        <f aca="false">IF($A139="","",$K139+$S139)</f>
        <v/>
      </c>
      <c r="U139" s="42" t="str">
        <f aca="false">IF($A139="","",$Q139-$T139)</f>
        <v/>
      </c>
      <c r="V139" s="43" t="str">
        <f aca="false">IF(OR($A139="",$F139=0),"",$U139/$F139)</f>
        <v/>
      </c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</row>
    <row r="140" customFormat="false" ht="15" hidden="false" customHeight="false" outlineLevel="0" collapsed="false">
      <c r="A140" s="23"/>
      <c r="B140" s="24"/>
      <c r="C140" s="24"/>
      <c r="D140" s="23"/>
      <c r="E140" s="23"/>
      <c r="F140" s="25"/>
      <c r="G140" s="26"/>
      <c r="H140" s="19"/>
      <c r="I140" s="19"/>
      <c r="J140" s="27" t="str">
        <f aca="false">IF($A140="","",$H140*$F140)</f>
        <v/>
      </c>
      <c r="K140" s="27" t="str">
        <f aca="false">IF($A140="","",$G140+$J140)</f>
        <v/>
      </c>
      <c r="L140" s="28" t="str">
        <f aca="false">IF(OR($A140="",$F140=0),"",$K140/$F140)</f>
        <v/>
      </c>
      <c r="M140" s="29" t="str">
        <f aca="false">IF($A140="","",SUMIF('Lot Entry'!$A$7:$A$2000,$A140,'Lot Entry'!$H$7:$H$2000))</f>
        <v/>
      </c>
      <c r="N140" s="30" t="str">
        <f aca="false">IF($A140="","",SUMIF('Lot Entry'!$A$7:$A$2000,$A140,'Lot Entry'!$I$7:$I$2000))</f>
        <v/>
      </c>
      <c r="O140" s="31" t="str">
        <f aca="false">IF(OR($A140="",$F140=0),"",$N140/$F140)</f>
        <v/>
      </c>
      <c r="P140" s="32" t="str">
        <f aca="false">IF($A140="","",SUMIF('Lot Entry'!$A$7:$A$2000,$A140,'Lot Entry'!$J$7:$J$2000))</f>
        <v/>
      </c>
      <c r="Q140" s="27" t="str">
        <f aca="false">IF($A140="","",$P140*$I140)</f>
        <v/>
      </c>
      <c r="R140" s="28" t="str">
        <f aca="false">IF($A140="","",IF(W140="",Expenses!$B$6,W140)+IF(X140="",Expenses!$B$7,X140)+IF(Y140="",Expenses!$B$8,Y140)+IF(Z140="",Expenses!$B$9,Z140)+IF(AA140="",Expenses!$B$10,AA140)+IF(AB140="",Expenses!$B$11,AB140)+IF(AC140="",Expenses!$B$12,AC140)+IF(AD140="",Expenses!$B$13,AD140)+IF(AE140="",Expenses!$B$14,AE140)+IF(AF140="",Expenses!$B$15,AF140)+IF(AG140="",Expenses!$B$16,AG140)+IF(AH140="",Expenses!$B$17,AH140)+IF(AI140="",Expenses!$B$18,AI140))</f>
        <v/>
      </c>
      <c r="S140" s="27" t="str">
        <f aca="false">IF($A140="","",$R140*$M140)</f>
        <v/>
      </c>
      <c r="T140" s="27" t="str">
        <f aca="false">IF($A140="","",$K140+$S140)</f>
        <v/>
      </c>
      <c r="U140" s="33" t="str">
        <f aca="false">IF($A140="","",$Q140-$T140)</f>
        <v/>
      </c>
      <c r="V140" s="34" t="str">
        <f aca="false">IF(OR($A140="",$F140=0),"",$U140/$F140)</f>
        <v/>
      </c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</row>
    <row r="141" customFormat="false" ht="15" hidden="false" customHeight="false" outlineLevel="0" collapsed="false">
      <c r="A141" s="23"/>
      <c r="B141" s="24"/>
      <c r="C141" s="24"/>
      <c r="D141" s="23"/>
      <c r="E141" s="23"/>
      <c r="F141" s="25"/>
      <c r="G141" s="26"/>
      <c r="H141" s="19"/>
      <c r="I141" s="19"/>
      <c r="J141" s="36" t="str">
        <f aca="false">IF($A141="","",$H141*$F141)</f>
        <v/>
      </c>
      <c r="K141" s="36" t="str">
        <f aca="false">IF($A141="","",$G141+$J141)</f>
        <v/>
      </c>
      <c r="L141" s="37" t="str">
        <f aca="false">IF(OR($A141="",$F141=0),"",$K141/$F141)</f>
        <v/>
      </c>
      <c r="M141" s="38" t="str">
        <f aca="false">IF($A141="","",SUMIF('Lot Entry'!$A$7:$A$2000,$A141,'Lot Entry'!$H$7:$H$2000))</f>
        <v/>
      </c>
      <c r="N141" s="39" t="str">
        <f aca="false">IF($A141="","",SUMIF('Lot Entry'!$A$7:$A$2000,$A141,'Lot Entry'!$I$7:$I$2000))</f>
        <v/>
      </c>
      <c r="O141" s="40" t="str">
        <f aca="false">IF(OR($A141="",$F141=0),"",$N141/$F141)</f>
        <v/>
      </c>
      <c r="P141" s="41" t="str">
        <f aca="false">IF($A141="","",SUMIF('Lot Entry'!$A$7:$A$2000,$A141,'Lot Entry'!$J$7:$J$2000))</f>
        <v/>
      </c>
      <c r="Q141" s="36" t="str">
        <f aca="false">IF($A141="","",$P141*$I141)</f>
        <v/>
      </c>
      <c r="R141" s="37" t="str">
        <f aca="false">IF($A141="","",IF(W141="",Expenses!$B$6,W141)+IF(X141="",Expenses!$B$7,X141)+IF(Y141="",Expenses!$B$8,Y141)+IF(Z141="",Expenses!$B$9,Z141)+IF(AA141="",Expenses!$B$10,AA141)+IF(AB141="",Expenses!$B$11,AB141)+IF(AC141="",Expenses!$B$12,AC141)+IF(AD141="",Expenses!$B$13,AD141)+IF(AE141="",Expenses!$B$14,AE141)+IF(AF141="",Expenses!$B$15,AF141)+IF(AG141="",Expenses!$B$16,AG141)+IF(AH141="",Expenses!$B$17,AH141)+IF(AI141="",Expenses!$B$18,AI141))</f>
        <v/>
      </c>
      <c r="S141" s="36" t="str">
        <f aca="false">IF($A141="","",$R141*$M141)</f>
        <v/>
      </c>
      <c r="T141" s="36" t="str">
        <f aca="false">IF($A141="","",$K141+$S141)</f>
        <v/>
      </c>
      <c r="U141" s="42" t="str">
        <f aca="false">IF($A141="","",$Q141-$T141)</f>
        <v/>
      </c>
      <c r="V141" s="43" t="str">
        <f aca="false">IF(OR($A141="",$F141=0),"",$U141/$F141)</f>
        <v/>
      </c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</row>
    <row r="142" customFormat="false" ht="15" hidden="false" customHeight="false" outlineLevel="0" collapsed="false">
      <c r="A142" s="23"/>
      <c r="B142" s="24"/>
      <c r="C142" s="24"/>
      <c r="D142" s="23"/>
      <c r="E142" s="23"/>
      <c r="F142" s="25"/>
      <c r="G142" s="26"/>
      <c r="H142" s="19"/>
      <c r="I142" s="19"/>
      <c r="J142" s="27" t="str">
        <f aca="false">IF($A142="","",$H142*$F142)</f>
        <v/>
      </c>
      <c r="K142" s="27" t="str">
        <f aca="false">IF($A142="","",$G142+$J142)</f>
        <v/>
      </c>
      <c r="L142" s="28" t="str">
        <f aca="false">IF(OR($A142="",$F142=0),"",$K142/$F142)</f>
        <v/>
      </c>
      <c r="M142" s="29" t="str">
        <f aca="false">IF($A142="","",SUMIF('Lot Entry'!$A$7:$A$2000,$A142,'Lot Entry'!$H$7:$H$2000))</f>
        <v/>
      </c>
      <c r="N142" s="30" t="str">
        <f aca="false">IF($A142="","",SUMIF('Lot Entry'!$A$7:$A$2000,$A142,'Lot Entry'!$I$7:$I$2000))</f>
        <v/>
      </c>
      <c r="O142" s="31" t="str">
        <f aca="false">IF(OR($A142="",$F142=0),"",$N142/$F142)</f>
        <v/>
      </c>
      <c r="P142" s="32" t="str">
        <f aca="false">IF($A142="","",SUMIF('Lot Entry'!$A$7:$A$2000,$A142,'Lot Entry'!$J$7:$J$2000))</f>
        <v/>
      </c>
      <c r="Q142" s="27" t="str">
        <f aca="false">IF($A142="","",$P142*$I142)</f>
        <v/>
      </c>
      <c r="R142" s="28" t="str">
        <f aca="false">IF($A142="","",IF(W142="",Expenses!$B$6,W142)+IF(X142="",Expenses!$B$7,X142)+IF(Y142="",Expenses!$B$8,Y142)+IF(Z142="",Expenses!$B$9,Z142)+IF(AA142="",Expenses!$B$10,AA142)+IF(AB142="",Expenses!$B$11,AB142)+IF(AC142="",Expenses!$B$12,AC142)+IF(AD142="",Expenses!$B$13,AD142)+IF(AE142="",Expenses!$B$14,AE142)+IF(AF142="",Expenses!$B$15,AF142)+IF(AG142="",Expenses!$B$16,AG142)+IF(AH142="",Expenses!$B$17,AH142)+IF(AI142="",Expenses!$B$18,AI142))</f>
        <v/>
      </c>
      <c r="S142" s="27" t="str">
        <f aca="false">IF($A142="","",$R142*$M142)</f>
        <v/>
      </c>
      <c r="T142" s="27" t="str">
        <f aca="false">IF($A142="","",$K142+$S142)</f>
        <v/>
      </c>
      <c r="U142" s="33" t="str">
        <f aca="false">IF($A142="","",$Q142-$T142)</f>
        <v/>
      </c>
      <c r="V142" s="34" t="str">
        <f aca="false">IF(OR($A142="",$F142=0),"",$U142/$F142)</f>
        <v/>
      </c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</row>
    <row r="143" customFormat="false" ht="15" hidden="false" customHeight="false" outlineLevel="0" collapsed="false">
      <c r="A143" s="23"/>
      <c r="B143" s="24"/>
      <c r="C143" s="24"/>
      <c r="D143" s="23"/>
      <c r="E143" s="23"/>
      <c r="F143" s="25"/>
      <c r="G143" s="26"/>
      <c r="H143" s="19"/>
      <c r="I143" s="19"/>
      <c r="J143" s="36" t="str">
        <f aca="false">IF($A143="","",$H143*$F143)</f>
        <v/>
      </c>
      <c r="K143" s="36" t="str">
        <f aca="false">IF($A143="","",$G143+$J143)</f>
        <v/>
      </c>
      <c r="L143" s="37" t="str">
        <f aca="false">IF(OR($A143="",$F143=0),"",$K143/$F143)</f>
        <v/>
      </c>
      <c r="M143" s="38" t="str">
        <f aca="false">IF($A143="","",SUMIF('Lot Entry'!$A$7:$A$2000,$A143,'Lot Entry'!$H$7:$H$2000))</f>
        <v/>
      </c>
      <c r="N143" s="39" t="str">
        <f aca="false">IF($A143="","",SUMIF('Lot Entry'!$A$7:$A$2000,$A143,'Lot Entry'!$I$7:$I$2000))</f>
        <v/>
      </c>
      <c r="O143" s="40" t="str">
        <f aca="false">IF(OR($A143="",$F143=0),"",$N143/$F143)</f>
        <v/>
      </c>
      <c r="P143" s="41" t="str">
        <f aca="false">IF($A143="","",SUMIF('Lot Entry'!$A$7:$A$2000,$A143,'Lot Entry'!$J$7:$J$2000))</f>
        <v/>
      </c>
      <c r="Q143" s="36" t="str">
        <f aca="false">IF($A143="","",$P143*$I143)</f>
        <v/>
      </c>
      <c r="R143" s="37" t="str">
        <f aca="false">IF($A143="","",IF(W143="",Expenses!$B$6,W143)+IF(X143="",Expenses!$B$7,X143)+IF(Y143="",Expenses!$B$8,Y143)+IF(Z143="",Expenses!$B$9,Z143)+IF(AA143="",Expenses!$B$10,AA143)+IF(AB143="",Expenses!$B$11,AB143)+IF(AC143="",Expenses!$B$12,AC143)+IF(AD143="",Expenses!$B$13,AD143)+IF(AE143="",Expenses!$B$14,AE143)+IF(AF143="",Expenses!$B$15,AF143)+IF(AG143="",Expenses!$B$16,AG143)+IF(AH143="",Expenses!$B$17,AH143)+IF(AI143="",Expenses!$B$18,AI143))</f>
        <v/>
      </c>
      <c r="S143" s="36" t="str">
        <f aca="false">IF($A143="","",$R143*$M143)</f>
        <v/>
      </c>
      <c r="T143" s="36" t="str">
        <f aca="false">IF($A143="","",$K143+$S143)</f>
        <v/>
      </c>
      <c r="U143" s="42" t="str">
        <f aca="false">IF($A143="","",$Q143-$T143)</f>
        <v/>
      </c>
      <c r="V143" s="43" t="str">
        <f aca="false">IF(OR($A143="",$F143=0),"",$U143/$F143)</f>
        <v/>
      </c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</row>
    <row r="144" customFormat="false" ht="15" hidden="false" customHeight="false" outlineLevel="0" collapsed="false">
      <c r="A144" s="23"/>
      <c r="B144" s="24"/>
      <c r="C144" s="24"/>
      <c r="D144" s="23"/>
      <c r="E144" s="23"/>
      <c r="F144" s="25"/>
      <c r="G144" s="26"/>
      <c r="H144" s="19"/>
      <c r="I144" s="19"/>
      <c r="J144" s="27" t="str">
        <f aca="false">IF($A144="","",$H144*$F144)</f>
        <v/>
      </c>
      <c r="K144" s="27" t="str">
        <f aca="false">IF($A144="","",$G144+$J144)</f>
        <v/>
      </c>
      <c r="L144" s="28" t="str">
        <f aca="false">IF(OR($A144="",$F144=0),"",$K144/$F144)</f>
        <v/>
      </c>
      <c r="M144" s="29" t="str">
        <f aca="false">IF($A144="","",SUMIF('Lot Entry'!$A$7:$A$2000,$A144,'Lot Entry'!$H$7:$H$2000))</f>
        <v/>
      </c>
      <c r="N144" s="30" t="str">
        <f aca="false">IF($A144="","",SUMIF('Lot Entry'!$A$7:$A$2000,$A144,'Lot Entry'!$I$7:$I$2000))</f>
        <v/>
      </c>
      <c r="O144" s="31" t="str">
        <f aca="false">IF(OR($A144="",$F144=0),"",$N144/$F144)</f>
        <v/>
      </c>
      <c r="P144" s="32" t="str">
        <f aca="false">IF($A144="","",SUMIF('Lot Entry'!$A$7:$A$2000,$A144,'Lot Entry'!$J$7:$J$2000))</f>
        <v/>
      </c>
      <c r="Q144" s="27" t="str">
        <f aca="false">IF($A144="","",$P144*$I144)</f>
        <v/>
      </c>
      <c r="R144" s="28" t="str">
        <f aca="false">IF($A144="","",IF(W144="",Expenses!$B$6,W144)+IF(X144="",Expenses!$B$7,X144)+IF(Y144="",Expenses!$B$8,Y144)+IF(Z144="",Expenses!$B$9,Z144)+IF(AA144="",Expenses!$B$10,AA144)+IF(AB144="",Expenses!$B$11,AB144)+IF(AC144="",Expenses!$B$12,AC144)+IF(AD144="",Expenses!$B$13,AD144)+IF(AE144="",Expenses!$B$14,AE144)+IF(AF144="",Expenses!$B$15,AF144)+IF(AG144="",Expenses!$B$16,AG144)+IF(AH144="",Expenses!$B$17,AH144)+IF(AI144="",Expenses!$B$18,AI144))</f>
        <v/>
      </c>
      <c r="S144" s="27" t="str">
        <f aca="false">IF($A144="","",$R144*$M144)</f>
        <v/>
      </c>
      <c r="T144" s="27" t="str">
        <f aca="false">IF($A144="","",$K144+$S144)</f>
        <v/>
      </c>
      <c r="U144" s="33" t="str">
        <f aca="false">IF($A144="","",$Q144-$T144)</f>
        <v/>
      </c>
      <c r="V144" s="34" t="str">
        <f aca="false">IF(OR($A144="",$F144=0),"",$U144/$F144)</f>
        <v/>
      </c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</row>
    <row r="145" customFormat="false" ht="15" hidden="false" customHeight="false" outlineLevel="0" collapsed="false">
      <c r="A145" s="23"/>
      <c r="B145" s="24"/>
      <c r="C145" s="24"/>
      <c r="D145" s="23"/>
      <c r="E145" s="23"/>
      <c r="F145" s="25"/>
      <c r="G145" s="26"/>
      <c r="H145" s="19"/>
      <c r="I145" s="19"/>
      <c r="J145" s="36" t="str">
        <f aca="false">IF($A145="","",$H145*$F145)</f>
        <v/>
      </c>
      <c r="K145" s="36" t="str">
        <f aca="false">IF($A145="","",$G145+$J145)</f>
        <v/>
      </c>
      <c r="L145" s="37" t="str">
        <f aca="false">IF(OR($A145="",$F145=0),"",$K145/$F145)</f>
        <v/>
      </c>
      <c r="M145" s="38" t="str">
        <f aca="false">IF($A145="","",SUMIF('Lot Entry'!$A$7:$A$2000,$A145,'Lot Entry'!$H$7:$H$2000))</f>
        <v/>
      </c>
      <c r="N145" s="39" t="str">
        <f aca="false">IF($A145="","",SUMIF('Lot Entry'!$A$7:$A$2000,$A145,'Lot Entry'!$I$7:$I$2000))</f>
        <v/>
      </c>
      <c r="O145" s="40" t="str">
        <f aca="false">IF(OR($A145="",$F145=0),"",$N145/$F145)</f>
        <v/>
      </c>
      <c r="P145" s="41" t="str">
        <f aca="false">IF($A145="","",SUMIF('Lot Entry'!$A$7:$A$2000,$A145,'Lot Entry'!$J$7:$J$2000))</f>
        <v/>
      </c>
      <c r="Q145" s="36" t="str">
        <f aca="false">IF($A145="","",$P145*$I145)</f>
        <v/>
      </c>
      <c r="R145" s="37" t="str">
        <f aca="false">IF($A145="","",IF(W145="",Expenses!$B$6,W145)+IF(X145="",Expenses!$B$7,X145)+IF(Y145="",Expenses!$B$8,Y145)+IF(Z145="",Expenses!$B$9,Z145)+IF(AA145="",Expenses!$B$10,AA145)+IF(AB145="",Expenses!$B$11,AB145)+IF(AC145="",Expenses!$B$12,AC145)+IF(AD145="",Expenses!$B$13,AD145)+IF(AE145="",Expenses!$B$14,AE145)+IF(AF145="",Expenses!$B$15,AF145)+IF(AG145="",Expenses!$B$16,AG145)+IF(AH145="",Expenses!$B$17,AH145)+IF(AI145="",Expenses!$B$18,AI145))</f>
        <v/>
      </c>
      <c r="S145" s="36" t="str">
        <f aca="false">IF($A145="","",$R145*$M145)</f>
        <v/>
      </c>
      <c r="T145" s="36" t="str">
        <f aca="false">IF($A145="","",$K145+$S145)</f>
        <v/>
      </c>
      <c r="U145" s="42" t="str">
        <f aca="false">IF($A145="","",$Q145-$T145)</f>
        <v/>
      </c>
      <c r="V145" s="43" t="str">
        <f aca="false">IF(OR($A145="",$F145=0),"",$U145/$F145)</f>
        <v/>
      </c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</row>
    <row r="146" customFormat="false" ht="15" hidden="false" customHeight="false" outlineLevel="0" collapsed="false">
      <c r="A146" s="23"/>
      <c r="B146" s="24"/>
      <c r="C146" s="24"/>
      <c r="D146" s="23"/>
      <c r="E146" s="23"/>
      <c r="F146" s="25"/>
      <c r="G146" s="26"/>
      <c r="H146" s="19"/>
      <c r="I146" s="19"/>
      <c r="J146" s="27" t="str">
        <f aca="false">IF($A146="","",$H146*$F146)</f>
        <v/>
      </c>
      <c r="K146" s="27" t="str">
        <f aca="false">IF($A146="","",$G146+$J146)</f>
        <v/>
      </c>
      <c r="L146" s="28" t="str">
        <f aca="false">IF(OR($A146="",$F146=0),"",$K146/$F146)</f>
        <v/>
      </c>
      <c r="M146" s="29" t="str">
        <f aca="false">IF($A146="","",SUMIF('Lot Entry'!$A$7:$A$2000,$A146,'Lot Entry'!$H$7:$H$2000))</f>
        <v/>
      </c>
      <c r="N146" s="30" t="str">
        <f aca="false">IF($A146="","",SUMIF('Lot Entry'!$A$7:$A$2000,$A146,'Lot Entry'!$I$7:$I$2000))</f>
        <v/>
      </c>
      <c r="O146" s="31" t="str">
        <f aca="false">IF(OR($A146="",$F146=0),"",$N146/$F146)</f>
        <v/>
      </c>
      <c r="P146" s="32" t="str">
        <f aca="false">IF($A146="","",SUMIF('Lot Entry'!$A$7:$A$2000,$A146,'Lot Entry'!$J$7:$J$2000))</f>
        <v/>
      </c>
      <c r="Q146" s="27" t="str">
        <f aca="false">IF($A146="","",$P146*$I146)</f>
        <v/>
      </c>
      <c r="R146" s="28" t="str">
        <f aca="false">IF($A146="","",IF(W146="",Expenses!$B$6,W146)+IF(X146="",Expenses!$B$7,X146)+IF(Y146="",Expenses!$B$8,Y146)+IF(Z146="",Expenses!$B$9,Z146)+IF(AA146="",Expenses!$B$10,AA146)+IF(AB146="",Expenses!$B$11,AB146)+IF(AC146="",Expenses!$B$12,AC146)+IF(AD146="",Expenses!$B$13,AD146)+IF(AE146="",Expenses!$B$14,AE146)+IF(AF146="",Expenses!$B$15,AF146)+IF(AG146="",Expenses!$B$16,AG146)+IF(AH146="",Expenses!$B$17,AH146)+IF(AI146="",Expenses!$B$18,AI146))</f>
        <v/>
      </c>
      <c r="S146" s="27" t="str">
        <f aca="false">IF($A146="","",$R146*$M146)</f>
        <v/>
      </c>
      <c r="T146" s="27" t="str">
        <f aca="false">IF($A146="","",$K146+$S146)</f>
        <v/>
      </c>
      <c r="U146" s="33" t="str">
        <f aca="false">IF($A146="","",$Q146-$T146)</f>
        <v/>
      </c>
      <c r="V146" s="34" t="str">
        <f aca="false">IF(OR($A146="",$F146=0),"",$U146/$F146)</f>
        <v/>
      </c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</row>
    <row r="147" customFormat="false" ht="15" hidden="false" customHeight="false" outlineLevel="0" collapsed="false">
      <c r="A147" s="23"/>
      <c r="B147" s="24"/>
      <c r="C147" s="24"/>
      <c r="D147" s="23"/>
      <c r="E147" s="23"/>
      <c r="F147" s="25"/>
      <c r="G147" s="26"/>
      <c r="H147" s="19"/>
      <c r="I147" s="19"/>
      <c r="J147" s="36" t="str">
        <f aca="false">IF($A147="","",$H147*$F147)</f>
        <v/>
      </c>
      <c r="K147" s="36" t="str">
        <f aca="false">IF($A147="","",$G147+$J147)</f>
        <v/>
      </c>
      <c r="L147" s="37" t="str">
        <f aca="false">IF(OR($A147="",$F147=0),"",$K147/$F147)</f>
        <v/>
      </c>
      <c r="M147" s="38" t="str">
        <f aca="false">IF($A147="","",SUMIF('Lot Entry'!$A$7:$A$2000,$A147,'Lot Entry'!$H$7:$H$2000))</f>
        <v/>
      </c>
      <c r="N147" s="39" t="str">
        <f aca="false">IF($A147="","",SUMIF('Lot Entry'!$A$7:$A$2000,$A147,'Lot Entry'!$I$7:$I$2000))</f>
        <v/>
      </c>
      <c r="O147" s="40" t="str">
        <f aca="false">IF(OR($A147="",$F147=0),"",$N147/$F147)</f>
        <v/>
      </c>
      <c r="P147" s="41" t="str">
        <f aca="false">IF($A147="","",SUMIF('Lot Entry'!$A$7:$A$2000,$A147,'Lot Entry'!$J$7:$J$2000))</f>
        <v/>
      </c>
      <c r="Q147" s="36" t="str">
        <f aca="false">IF($A147="","",$P147*$I147)</f>
        <v/>
      </c>
      <c r="R147" s="37" t="str">
        <f aca="false">IF($A147="","",IF(W147="",Expenses!$B$6,W147)+IF(X147="",Expenses!$B$7,X147)+IF(Y147="",Expenses!$B$8,Y147)+IF(Z147="",Expenses!$B$9,Z147)+IF(AA147="",Expenses!$B$10,AA147)+IF(AB147="",Expenses!$B$11,AB147)+IF(AC147="",Expenses!$B$12,AC147)+IF(AD147="",Expenses!$B$13,AD147)+IF(AE147="",Expenses!$B$14,AE147)+IF(AF147="",Expenses!$B$15,AF147)+IF(AG147="",Expenses!$B$16,AG147)+IF(AH147="",Expenses!$B$17,AH147)+IF(AI147="",Expenses!$B$18,AI147))</f>
        <v/>
      </c>
      <c r="S147" s="36" t="str">
        <f aca="false">IF($A147="","",$R147*$M147)</f>
        <v/>
      </c>
      <c r="T147" s="36" t="str">
        <f aca="false">IF($A147="","",$K147+$S147)</f>
        <v/>
      </c>
      <c r="U147" s="42" t="str">
        <f aca="false">IF($A147="","",$Q147-$T147)</f>
        <v/>
      </c>
      <c r="V147" s="43" t="str">
        <f aca="false">IF(OR($A147="",$F147=0),"",$U147/$F147)</f>
        <v/>
      </c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</row>
    <row r="148" customFormat="false" ht="15" hidden="false" customHeight="false" outlineLevel="0" collapsed="false">
      <c r="A148" s="23"/>
      <c r="B148" s="24"/>
      <c r="C148" s="24"/>
      <c r="D148" s="23"/>
      <c r="E148" s="23"/>
      <c r="F148" s="25"/>
      <c r="G148" s="26"/>
      <c r="H148" s="19"/>
      <c r="I148" s="19"/>
      <c r="J148" s="27" t="str">
        <f aca="false">IF($A148="","",$H148*$F148)</f>
        <v/>
      </c>
      <c r="K148" s="27" t="str">
        <f aca="false">IF($A148="","",$G148+$J148)</f>
        <v/>
      </c>
      <c r="L148" s="28" t="str">
        <f aca="false">IF(OR($A148="",$F148=0),"",$K148/$F148)</f>
        <v/>
      </c>
      <c r="M148" s="29" t="str">
        <f aca="false">IF($A148="","",SUMIF('Lot Entry'!$A$7:$A$2000,$A148,'Lot Entry'!$H$7:$H$2000))</f>
        <v/>
      </c>
      <c r="N148" s="30" t="str">
        <f aca="false">IF($A148="","",SUMIF('Lot Entry'!$A$7:$A$2000,$A148,'Lot Entry'!$I$7:$I$2000))</f>
        <v/>
      </c>
      <c r="O148" s="31" t="str">
        <f aca="false">IF(OR($A148="",$F148=0),"",$N148/$F148)</f>
        <v/>
      </c>
      <c r="P148" s="32" t="str">
        <f aca="false">IF($A148="","",SUMIF('Lot Entry'!$A$7:$A$2000,$A148,'Lot Entry'!$J$7:$J$2000))</f>
        <v/>
      </c>
      <c r="Q148" s="27" t="str">
        <f aca="false">IF($A148="","",$P148*$I148)</f>
        <v/>
      </c>
      <c r="R148" s="28" t="str">
        <f aca="false">IF($A148="","",IF(W148="",Expenses!$B$6,W148)+IF(X148="",Expenses!$B$7,X148)+IF(Y148="",Expenses!$B$8,Y148)+IF(Z148="",Expenses!$B$9,Z148)+IF(AA148="",Expenses!$B$10,AA148)+IF(AB148="",Expenses!$B$11,AB148)+IF(AC148="",Expenses!$B$12,AC148)+IF(AD148="",Expenses!$B$13,AD148)+IF(AE148="",Expenses!$B$14,AE148)+IF(AF148="",Expenses!$B$15,AF148)+IF(AG148="",Expenses!$B$16,AG148)+IF(AH148="",Expenses!$B$17,AH148)+IF(AI148="",Expenses!$B$18,AI148))</f>
        <v/>
      </c>
      <c r="S148" s="27" t="str">
        <f aca="false">IF($A148="","",$R148*$M148)</f>
        <v/>
      </c>
      <c r="T148" s="27" t="str">
        <f aca="false">IF($A148="","",$K148+$S148)</f>
        <v/>
      </c>
      <c r="U148" s="33" t="str">
        <f aca="false">IF($A148="","",$Q148-$T148)</f>
        <v/>
      </c>
      <c r="V148" s="34" t="str">
        <f aca="false">IF(OR($A148="",$F148=0),"",$U148/$F148)</f>
        <v/>
      </c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</row>
    <row r="149" customFormat="false" ht="15" hidden="false" customHeight="false" outlineLevel="0" collapsed="false">
      <c r="A149" s="23"/>
      <c r="B149" s="24"/>
      <c r="C149" s="24"/>
      <c r="D149" s="23"/>
      <c r="E149" s="23"/>
      <c r="F149" s="25"/>
      <c r="G149" s="26"/>
      <c r="H149" s="19"/>
      <c r="I149" s="19"/>
      <c r="J149" s="36" t="str">
        <f aca="false">IF($A149="","",$H149*$F149)</f>
        <v/>
      </c>
      <c r="K149" s="36" t="str">
        <f aca="false">IF($A149="","",$G149+$J149)</f>
        <v/>
      </c>
      <c r="L149" s="37" t="str">
        <f aca="false">IF(OR($A149="",$F149=0),"",$K149/$F149)</f>
        <v/>
      </c>
      <c r="M149" s="38" t="str">
        <f aca="false">IF($A149="","",SUMIF('Lot Entry'!$A$7:$A$2000,$A149,'Lot Entry'!$H$7:$H$2000))</f>
        <v/>
      </c>
      <c r="N149" s="39" t="str">
        <f aca="false">IF($A149="","",SUMIF('Lot Entry'!$A$7:$A$2000,$A149,'Lot Entry'!$I$7:$I$2000))</f>
        <v/>
      </c>
      <c r="O149" s="40" t="str">
        <f aca="false">IF(OR($A149="",$F149=0),"",$N149/$F149)</f>
        <v/>
      </c>
      <c r="P149" s="41" t="str">
        <f aca="false">IF($A149="","",SUMIF('Lot Entry'!$A$7:$A$2000,$A149,'Lot Entry'!$J$7:$J$2000))</f>
        <v/>
      </c>
      <c r="Q149" s="36" t="str">
        <f aca="false">IF($A149="","",$P149*$I149)</f>
        <v/>
      </c>
      <c r="R149" s="37" t="str">
        <f aca="false">IF($A149="","",IF(W149="",Expenses!$B$6,W149)+IF(X149="",Expenses!$B$7,X149)+IF(Y149="",Expenses!$B$8,Y149)+IF(Z149="",Expenses!$B$9,Z149)+IF(AA149="",Expenses!$B$10,AA149)+IF(AB149="",Expenses!$B$11,AB149)+IF(AC149="",Expenses!$B$12,AC149)+IF(AD149="",Expenses!$B$13,AD149)+IF(AE149="",Expenses!$B$14,AE149)+IF(AF149="",Expenses!$B$15,AF149)+IF(AG149="",Expenses!$B$16,AG149)+IF(AH149="",Expenses!$B$17,AH149)+IF(AI149="",Expenses!$B$18,AI149))</f>
        <v/>
      </c>
      <c r="S149" s="36" t="str">
        <f aca="false">IF($A149="","",$R149*$M149)</f>
        <v/>
      </c>
      <c r="T149" s="36" t="str">
        <f aca="false">IF($A149="","",$K149+$S149)</f>
        <v/>
      </c>
      <c r="U149" s="42" t="str">
        <f aca="false">IF($A149="","",$Q149-$T149)</f>
        <v/>
      </c>
      <c r="V149" s="43" t="str">
        <f aca="false">IF(OR($A149="",$F149=0),"",$U149/$F149)</f>
        <v/>
      </c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</row>
    <row r="150" customFormat="false" ht="15" hidden="false" customHeight="false" outlineLevel="0" collapsed="false">
      <c r="A150" s="23"/>
      <c r="B150" s="24"/>
      <c r="C150" s="24"/>
      <c r="D150" s="23"/>
      <c r="E150" s="23"/>
      <c r="F150" s="25"/>
      <c r="G150" s="26"/>
      <c r="H150" s="19"/>
      <c r="I150" s="19"/>
      <c r="J150" s="27" t="str">
        <f aca="false">IF($A150="","",$H150*$F150)</f>
        <v/>
      </c>
      <c r="K150" s="27" t="str">
        <f aca="false">IF($A150="","",$G150+$J150)</f>
        <v/>
      </c>
      <c r="L150" s="28" t="str">
        <f aca="false">IF(OR($A150="",$F150=0),"",$K150/$F150)</f>
        <v/>
      </c>
      <c r="M150" s="29" t="str">
        <f aca="false">IF($A150="","",SUMIF('Lot Entry'!$A$7:$A$2000,$A150,'Lot Entry'!$H$7:$H$2000))</f>
        <v/>
      </c>
      <c r="N150" s="30" t="str">
        <f aca="false">IF($A150="","",SUMIF('Lot Entry'!$A$7:$A$2000,$A150,'Lot Entry'!$I$7:$I$2000))</f>
        <v/>
      </c>
      <c r="O150" s="31" t="str">
        <f aca="false">IF(OR($A150="",$F150=0),"",$N150/$F150)</f>
        <v/>
      </c>
      <c r="P150" s="32" t="str">
        <f aca="false">IF($A150="","",SUMIF('Lot Entry'!$A$7:$A$2000,$A150,'Lot Entry'!$J$7:$J$2000))</f>
        <v/>
      </c>
      <c r="Q150" s="27" t="str">
        <f aca="false">IF($A150="","",$P150*$I150)</f>
        <v/>
      </c>
      <c r="R150" s="28" t="str">
        <f aca="false">IF($A150="","",IF(W150="",Expenses!$B$6,W150)+IF(X150="",Expenses!$B$7,X150)+IF(Y150="",Expenses!$B$8,Y150)+IF(Z150="",Expenses!$B$9,Z150)+IF(AA150="",Expenses!$B$10,AA150)+IF(AB150="",Expenses!$B$11,AB150)+IF(AC150="",Expenses!$B$12,AC150)+IF(AD150="",Expenses!$B$13,AD150)+IF(AE150="",Expenses!$B$14,AE150)+IF(AF150="",Expenses!$B$15,AF150)+IF(AG150="",Expenses!$B$16,AG150)+IF(AH150="",Expenses!$B$17,AH150)+IF(AI150="",Expenses!$B$18,AI150))</f>
        <v/>
      </c>
      <c r="S150" s="27" t="str">
        <f aca="false">IF($A150="","",$R150*$M150)</f>
        <v/>
      </c>
      <c r="T150" s="27" t="str">
        <f aca="false">IF($A150="","",$K150+$S150)</f>
        <v/>
      </c>
      <c r="U150" s="33" t="str">
        <f aca="false">IF($A150="","",$Q150-$T150)</f>
        <v/>
      </c>
      <c r="V150" s="34" t="str">
        <f aca="false">IF(OR($A150="",$F150=0),"",$U150/$F150)</f>
        <v/>
      </c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</row>
    <row r="151" customFormat="false" ht="15" hidden="false" customHeight="false" outlineLevel="0" collapsed="false">
      <c r="A151" s="23"/>
      <c r="B151" s="24"/>
      <c r="C151" s="24"/>
      <c r="D151" s="23"/>
      <c r="E151" s="23"/>
      <c r="F151" s="25"/>
      <c r="G151" s="26"/>
      <c r="H151" s="19"/>
      <c r="I151" s="19"/>
      <c r="J151" s="36" t="str">
        <f aca="false">IF($A151="","",$H151*$F151)</f>
        <v/>
      </c>
      <c r="K151" s="36" t="str">
        <f aca="false">IF($A151="","",$G151+$J151)</f>
        <v/>
      </c>
      <c r="L151" s="37" t="str">
        <f aca="false">IF(OR($A151="",$F151=0),"",$K151/$F151)</f>
        <v/>
      </c>
      <c r="M151" s="38" t="str">
        <f aca="false">IF($A151="","",SUMIF('Lot Entry'!$A$7:$A$2000,$A151,'Lot Entry'!$H$7:$H$2000))</f>
        <v/>
      </c>
      <c r="N151" s="39" t="str">
        <f aca="false">IF($A151="","",SUMIF('Lot Entry'!$A$7:$A$2000,$A151,'Lot Entry'!$I$7:$I$2000))</f>
        <v/>
      </c>
      <c r="O151" s="40" t="str">
        <f aca="false">IF(OR($A151="",$F151=0),"",$N151/$F151)</f>
        <v/>
      </c>
      <c r="P151" s="41" t="str">
        <f aca="false">IF($A151="","",SUMIF('Lot Entry'!$A$7:$A$2000,$A151,'Lot Entry'!$J$7:$J$2000))</f>
        <v/>
      </c>
      <c r="Q151" s="36" t="str">
        <f aca="false">IF($A151="","",$P151*$I151)</f>
        <v/>
      </c>
      <c r="R151" s="37" t="str">
        <f aca="false">IF($A151="","",IF(W151="",Expenses!$B$6,W151)+IF(X151="",Expenses!$B$7,X151)+IF(Y151="",Expenses!$B$8,Y151)+IF(Z151="",Expenses!$B$9,Z151)+IF(AA151="",Expenses!$B$10,AA151)+IF(AB151="",Expenses!$B$11,AB151)+IF(AC151="",Expenses!$B$12,AC151)+IF(AD151="",Expenses!$B$13,AD151)+IF(AE151="",Expenses!$B$14,AE151)+IF(AF151="",Expenses!$B$15,AF151)+IF(AG151="",Expenses!$B$16,AG151)+IF(AH151="",Expenses!$B$17,AH151)+IF(AI151="",Expenses!$B$18,AI151))</f>
        <v/>
      </c>
      <c r="S151" s="36" t="str">
        <f aca="false">IF($A151="","",$R151*$M151)</f>
        <v/>
      </c>
      <c r="T151" s="36" t="str">
        <f aca="false">IF($A151="","",$K151+$S151)</f>
        <v/>
      </c>
      <c r="U151" s="42" t="str">
        <f aca="false">IF($A151="","",$Q151-$T151)</f>
        <v/>
      </c>
      <c r="V151" s="43" t="str">
        <f aca="false">IF(OR($A151="",$F151=0),"",$U151/$F151)</f>
        <v/>
      </c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</row>
    <row r="152" customFormat="false" ht="15" hidden="false" customHeight="false" outlineLevel="0" collapsed="false">
      <c r="A152" s="23"/>
      <c r="B152" s="24"/>
      <c r="C152" s="24"/>
      <c r="D152" s="23"/>
      <c r="E152" s="23"/>
      <c r="F152" s="25"/>
      <c r="G152" s="26"/>
      <c r="H152" s="19"/>
      <c r="I152" s="19"/>
      <c r="J152" s="27" t="str">
        <f aca="false">IF($A152="","",$H152*$F152)</f>
        <v/>
      </c>
      <c r="K152" s="27" t="str">
        <f aca="false">IF($A152="","",$G152+$J152)</f>
        <v/>
      </c>
      <c r="L152" s="28" t="str">
        <f aca="false">IF(OR($A152="",$F152=0),"",$K152/$F152)</f>
        <v/>
      </c>
      <c r="M152" s="29" t="str">
        <f aca="false">IF($A152="","",SUMIF('Lot Entry'!$A$7:$A$2000,$A152,'Lot Entry'!$H$7:$H$2000))</f>
        <v/>
      </c>
      <c r="N152" s="30" t="str">
        <f aca="false">IF($A152="","",SUMIF('Lot Entry'!$A$7:$A$2000,$A152,'Lot Entry'!$I$7:$I$2000))</f>
        <v/>
      </c>
      <c r="O152" s="31" t="str">
        <f aca="false">IF(OR($A152="",$F152=0),"",$N152/$F152)</f>
        <v/>
      </c>
      <c r="P152" s="32" t="str">
        <f aca="false">IF($A152="","",SUMIF('Lot Entry'!$A$7:$A$2000,$A152,'Lot Entry'!$J$7:$J$2000))</f>
        <v/>
      </c>
      <c r="Q152" s="27" t="str">
        <f aca="false">IF($A152="","",$P152*$I152)</f>
        <v/>
      </c>
      <c r="R152" s="28" t="str">
        <f aca="false">IF($A152="","",IF(W152="",Expenses!$B$6,W152)+IF(X152="",Expenses!$B$7,X152)+IF(Y152="",Expenses!$B$8,Y152)+IF(Z152="",Expenses!$B$9,Z152)+IF(AA152="",Expenses!$B$10,AA152)+IF(AB152="",Expenses!$B$11,AB152)+IF(AC152="",Expenses!$B$12,AC152)+IF(AD152="",Expenses!$B$13,AD152)+IF(AE152="",Expenses!$B$14,AE152)+IF(AF152="",Expenses!$B$15,AF152)+IF(AG152="",Expenses!$B$16,AG152)+IF(AH152="",Expenses!$B$17,AH152)+IF(AI152="",Expenses!$B$18,AI152))</f>
        <v/>
      </c>
      <c r="S152" s="27" t="str">
        <f aca="false">IF($A152="","",$R152*$M152)</f>
        <v/>
      </c>
      <c r="T152" s="27" t="str">
        <f aca="false">IF($A152="","",$K152+$S152)</f>
        <v/>
      </c>
      <c r="U152" s="33" t="str">
        <f aca="false">IF($A152="","",$Q152-$T152)</f>
        <v/>
      </c>
      <c r="V152" s="34" t="str">
        <f aca="false">IF(OR($A152="",$F152=0),"",$U152/$F152)</f>
        <v/>
      </c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</row>
    <row r="153" customFormat="false" ht="15" hidden="false" customHeight="false" outlineLevel="0" collapsed="false">
      <c r="A153" s="23"/>
      <c r="B153" s="24"/>
      <c r="C153" s="24"/>
      <c r="D153" s="23"/>
      <c r="E153" s="23"/>
      <c r="F153" s="25"/>
      <c r="G153" s="26"/>
      <c r="H153" s="19"/>
      <c r="I153" s="19"/>
      <c r="J153" s="36" t="str">
        <f aca="false">IF($A153="","",$H153*$F153)</f>
        <v/>
      </c>
      <c r="K153" s="36" t="str">
        <f aca="false">IF($A153="","",$G153+$J153)</f>
        <v/>
      </c>
      <c r="L153" s="37" t="str">
        <f aca="false">IF(OR($A153="",$F153=0),"",$K153/$F153)</f>
        <v/>
      </c>
      <c r="M153" s="38" t="str">
        <f aca="false">IF($A153="","",SUMIF('Lot Entry'!$A$7:$A$2000,$A153,'Lot Entry'!$H$7:$H$2000))</f>
        <v/>
      </c>
      <c r="N153" s="39" t="str">
        <f aca="false">IF($A153="","",SUMIF('Lot Entry'!$A$7:$A$2000,$A153,'Lot Entry'!$I$7:$I$2000))</f>
        <v/>
      </c>
      <c r="O153" s="40" t="str">
        <f aca="false">IF(OR($A153="",$F153=0),"",$N153/$F153)</f>
        <v/>
      </c>
      <c r="P153" s="41" t="str">
        <f aca="false">IF($A153="","",SUMIF('Lot Entry'!$A$7:$A$2000,$A153,'Lot Entry'!$J$7:$J$2000))</f>
        <v/>
      </c>
      <c r="Q153" s="36" t="str">
        <f aca="false">IF($A153="","",$P153*$I153)</f>
        <v/>
      </c>
      <c r="R153" s="37" t="str">
        <f aca="false">IF($A153="","",IF(W153="",Expenses!$B$6,W153)+IF(X153="",Expenses!$B$7,X153)+IF(Y153="",Expenses!$B$8,Y153)+IF(Z153="",Expenses!$B$9,Z153)+IF(AA153="",Expenses!$B$10,AA153)+IF(AB153="",Expenses!$B$11,AB153)+IF(AC153="",Expenses!$B$12,AC153)+IF(AD153="",Expenses!$B$13,AD153)+IF(AE153="",Expenses!$B$14,AE153)+IF(AF153="",Expenses!$B$15,AF153)+IF(AG153="",Expenses!$B$16,AG153)+IF(AH153="",Expenses!$B$17,AH153)+IF(AI153="",Expenses!$B$18,AI153))</f>
        <v/>
      </c>
      <c r="S153" s="36" t="str">
        <f aca="false">IF($A153="","",$R153*$M153)</f>
        <v/>
      </c>
      <c r="T153" s="36" t="str">
        <f aca="false">IF($A153="","",$K153+$S153)</f>
        <v/>
      </c>
      <c r="U153" s="42" t="str">
        <f aca="false">IF($A153="","",$Q153-$T153)</f>
        <v/>
      </c>
      <c r="V153" s="43" t="str">
        <f aca="false">IF(OR($A153="",$F153=0),"",$U153/$F153)</f>
        <v/>
      </c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</row>
    <row r="154" customFormat="false" ht="15" hidden="false" customHeight="false" outlineLevel="0" collapsed="false">
      <c r="A154" s="23"/>
      <c r="B154" s="24"/>
      <c r="C154" s="24"/>
      <c r="D154" s="23"/>
      <c r="E154" s="23"/>
      <c r="F154" s="25"/>
      <c r="G154" s="26"/>
      <c r="H154" s="19"/>
      <c r="I154" s="19"/>
      <c r="J154" s="27" t="str">
        <f aca="false">IF($A154="","",$H154*$F154)</f>
        <v/>
      </c>
      <c r="K154" s="27" t="str">
        <f aca="false">IF($A154="","",$G154+$J154)</f>
        <v/>
      </c>
      <c r="L154" s="28" t="str">
        <f aca="false">IF(OR($A154="",$F154=0),"",$K154/$F154)</f>
        <v/>
      </c>
      <c r="M154" s="29" t="str">
        <f aca="false">IF($A154="","",SUMIF('Lot Entry'!$A$7:$A$2000,$A154,'Lot Entry'!$H$7:$H$2000))</f>
        <v/>
      </c>
      <c r="N154" s="30" t="str">
        <f aca="false">IF($A154="","",SUMIF('Lot Entry'!$A$7:$A$2000,$A154,'Lot Entry'!$I$7:$I$2000))</f>
        <v/>
      </c>
      <c r="O154" s="31" t="str">
        <f aca="false">IF(OR($A154="",$F154=0),"",$N154/$F154)</f>
        <v/>
      </c>
      <c r="P154" s="32" t="str">
        <f aca="false">IF($A154="","",SUMIF('Lot Entry'!$A$7:$A$2000,$A154,'Lot Entry'!$J$7:$J$2000))</f>
        <v/>
      </c>
      <c r="Q154" s="27" t="str">
        <f aca="false">IF($A154="","",$P154*$I154)</f>
        <v/>
      </c>
      <c r="R154" s="28" t="str">
        <f aca="false">IF($A154="","",IF(W154="",Expenses!$B$6,W154)+IF(X154="",Expenses!$B$7,X154)+IF(Y154="",Expenses!$B$8,Y154)+IF(Z154="",Expenses!$B$9,Z154)+IF(AA154="",Expenses!$B$10,AA154)+IF(AB154="",Expenses!$B$11,AB154)+IF(AC154="",Expenses!$B$12,AC154)+IF(AD154="",Expenses!$B$13,AD154)+IF(AE154="",Expenses!$B$14,AE154)+IF(AF154="",Expenses!$B$15,AF154)+IF(AG154="",Expenses!$B$16,AG154)+IF(AH154="",Expenses!$B$17,AH154)+IF(AI154="",Expenses!$B$18,AI154))</f>
        <v/>
      </c>
      <c r="S154" s="27" t="str">
        <f aca="false">IF($A154="","",$R154*$M154)</f>
        <v/>
      </c>
      <c r="T154" s="27" t="str">
        <f aca="false">IF($A154="","",$K154+$S154)</f>
        <v/>
      </c>
      <c r="U154" s="33" t="str">
        <f aca="false">IF($A154="","",$Q154-$T154)</f>
        <v/>
      </c>
      <c r="V154" s="34" t="str">
        <f aca="false">IF(OR($A154="",$F154=0),"",$U154/$F154)</f>
        <v/>
      </c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</row>
    <row r="155" customFormat="false" ht="15" hidden="false" customHeight="false" outlineLevel="0" collapsed="false">
      <c r="A155" s="23"/>
      <c r="B155" s="24"/>
      <c r="C155" s="24"/>
      <c r="D155" s="23"/>
      <c r="E155" s="23"/>
      <c r="F155" s="25"/>
      <c r="G155" s="26"/>
      <c r="H155" s="19"/>
      <c r="I155" s="19"/>
      <c r="J155" s="36" t="str">
        <f aca="false">IF($A155="","",$H155*$F155)</f>
        <v/>
      </c>
      <c r="K155" s="36" t="str">
        <f aca="false">IF($A155="","",$G155+$J155)</f>
        <v/>
      </c>
      <c r="L155" s="37" t="str">
        <f aca="false">IF(OR($A155="",$F155=0),"",$K155/$F155)</f>
        <v/>
      </c>
      <c r="M155" s="38" t="str">
        <f aca="false">IF($A155="","",SUMIF('Lot Entry'!$A$7:$A$2000,$A155,'Lot Entry'!$H$7:$H$2000))</f>
        <v/>
      </c>
      <c r="N155" s="39" t="str">
        <f aca="false">IF($A155="","",SUMIF('Lot Entry'!$A$7:$A$2000,$A155,'Lot Entry'!$I$7:$I$2000))</f>
        <v/>
      </c>
      <c r="O155" s="40" t="str">
        <f aca="false">IF(OR($A155="",$F155=0),"",$N155/$F155)</f>
        <v/>
      </c>
      <c r="P155" s="41" t="str">
        <f aca="false">IF($A155="","",SUMIF('Lot Entry'!$A$7:$A$2000,$A155,'Lot Entry'!$J$7:$J$2000))</f>
        <v/>
      </c>
      <c r="Q155" s="36" t="str">
        <f aca="false">IF($A155="","",$P155*$I155)</f>
        <v/>
      </c>
      <c r="R155" s="37" t="str">
        <f aca="false">IF($A155="","",IF(W155="",Expenses!$B$6,W155)+IF(X155="",Expenses!$B$7,X155)+IF(Y155="",Expenses!$B$8,Y155)+IF(Z155="",Expenses!$B$9,Z155)+IF(AA155="",Expenses!$B$10,AA155)+IF(AB155="",Expenses!$B$11,AB155)+IF(AC155="",Expenses!$B$12,AC155)+IF(AD155="",Expenses!$B$13,AD155)+IF(AE155="",Expenses!$B$14,AE155)+IF(AF155="",Expenses!$B$15,AF155)+IF(AG155="",Expenses!$B$16,AG155)+IF(AH155="",Expenses!$B$17,AH155)+IF(AI155="",Expenses!$B$18,AI155))</f>
        <v/>
      </c>
      <c r="S155" s="36" t="str">
        <f aca="false">IF($A155="","",$R155*$M155)</f>
        <v/>
      </c>
      <c r="T155" s="36" t="str">
        <f aca="false">IF($A155="","",$K155+$S155)</f>
        <v/>
      </c>
      <c r="U155" s="42" t="str">
        <f aca="false">IF($A155="","",$Q155-$T155)</f>
        <v/>
      </c>
      <c r="V155" s="43" t="str">
        <f aca="false">IF(OR($A155="",$F155=0),"",$U155/$F155)</f>
        <v/>
      </c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</row>
    <row r="156" customFormat="false" ht="15" hidden="false" customHeight="false" outlineLevel="0" collapsed="false">
      <c r="A156" s="23"/>
      <c r="B156" s="24"/>
      <c r="C156" s="24"/>
      <c r="D156" s="23"/>
      <c r="E156" s="23"/>
      <c r="F156" s="25"/>
      <c r="G156" s="26"/>
      <c r="H156" s="19"/>
      <c r="I156" s="19"/>
      <c r="J156" s="27" t="str">
        <f aca="false">IF($A156="","",$H156*$F156)</f>
        <v/>
      </c>
      <c r="K156" s="27" t="str">
        <f aca="false">IF($A156="","",$G156+$J156)</f>
        <v/>
      </c>
      <c r="L156" s="28" t="str">
        <f aca="false">IF(OR($A156="",$F156=0),"",$K156/$F156)</f>
        <v/>
      </c>
      <c r="M156" s="29" t="str">
        <f aca="false">IF($A156="","",SUMIF('Lot Entry'!$A$7:$A$2000,$A156,'Lot Entry'!$H$7:$H$2000))</f>
        <v/>
      </c>
      <c r="N156" s="30" t="str">
        <f aca="false">IF($A156="","",SUMIF('Lot Entry'!$A$7:$A$2000,$A156,'Lot Entry'!$I$7:$I$2000))</f>
        <v/>
      </c>
      <c r="O156" s="31" t="str">
        <f aca="false">IF(OR($A156="",$F156=0),"",$N156/$F156)</f>
        <v/>
      </c>
      <c r="P156" s="32" t="str">
        <f aca="false">IF($A156="","",SUMIF('Lot Entry'!$A$7:$A$2000,$A156,'Lot Entry'!$J$7:$J$2000))</f>
        <v/>
      </c>
      <c r="Q156" s="27" t="str">
        <f aca="false">IF($A156="","",$P156*$I156)</f>
        <v/>
      </c>
      <c r="R156" s="28" t="str">
        <f aca="false">IF($A156="","",IF(W156="",Expenses!$B$6,W156)+IF(X156="",Expenses!$B$7,X156)+IF(Y156="",Expenses!$B$8,Y156)+IF(Z156="",Expenses!$B$9,Z156)+IF(AA156="",Expenses!$B$10,AA156)+IF(AB156="",Expenses!$B$11,AB156)+IF(AC156="",Expenses!$B$12,AC156)+IF(AD156="",Expenses!$B$13,AD156)+IF(AE156="",Expenses!$B$14,AE156)+IF(AF156="",Expenses!$B$15,AF156)+IF(AG156="",Expenses!$B$16,AG156)+IF(AH156="",Expenses!$B$17,AH156)+IF(AI156="",Expenses!$B$18,AI156))</f>
        <v/>
      </c>
      <c r="S156" s="27" t="str">
        <f aca="false">IF($A156="","",$R156*$M156)</f>
        <v/>
      </c>
      <c r="T156" s="27" t="str">
        <f aca="false">IF($A156="","",$K156+$S156)</f>
        <v/>
      </c>
      <c r="U156" s="33" t="str">
        <f aca="false">IF($A156="","",$Q156-$T156)</f>
        <v/>
      </c>
      <c r="V156" s="34" t="str">
        <f aca="false">IF(OR($A156="",$F156=0),"",$U156/$F156)</f>
        <v/>
      </c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</row>
    <row r="157" customFormat="false" ht="15" hidden="false" customHeight="false" outlineLevel="0" collapsed="false">
      <c r="A157" s="23"/>
      <c r="B157" s="24"/>
      <c r="C157" s="24"/>
      <c r="D157" s="23"/>
      <c r="E157" s="23"/>
      <c r="F157" s="25"/>
      <c r="G157" s="26"/>
      <c r="H157" s="19"/>
      <c r="I157" s="19"/>
      <c r="J157" s="36" t="str">
        <f aca="false">IF($A157="","",$H157*$F157)</f>
        <v/>
      </c>
      <c r="K157" s="36" t="str">
        <f aca="false">IF($A157="","",$G157+$J157)</f>
        <v/>
      </c>
      <c r="L157" s="37" t="str">
        <f aca="false">IF(OR($A157="",$F157=0),"",$K157/$F157)</f>
        <v/>
      </c>
      <c r="M157" s="38" t="str">
        <f aca="false">IF($A157="","",SUMIF('Lot Entry'!$A$7:$A$2000,$A157,'Lot Entry'!$H$7:$H$2000))</f>
        <v/>
      </c>
      <c r="N157" s="39" t="str">
        <f aca="false">IF($A157="","",SUMIF('Lot Entry'!$A$7:$A$2000,$A157,'Lot Entry'!$I$7:$I$2000))</f>
        <v/>
      </c>
      <c r="O157" s="40" t="str">
        <f aca="false">IF(OR($A157="",$F157=0),"",$N157/$F157)</f>
        <v/>
      </c>
      <c r="P157" s="41" t="str">
        <f aca="false">IF($A157="","",SUMIF('Lot Entry'!$A$7:$A$2000,$A157,'Lot Entry'!$J$7:$J$2000))</f>
        <v/>
      </c>
      <c r="Q157" s="36" t="str">
        <f aca="false">IF($A157="","",$P157*$I157)</f>
        <v/>
      </c>
      <c r="R157" s="37" t="str">
        <f aca="false">IF($A157="","",IF(W157="",Expenses!$B$6,W157)+IF(X157="",Expenses!$B$7,X157)+IF(Y157="",Expenses!$B$8,Y157)+IF(Z157="",Expenses!$B$9,Z157)+IF(AA157="",Expenses!$B$10,AA157)+IF(AB157="",Expenses!$B$11,AB157)+IF(AC157="",Expenses!$B$12,AC157)+IF(AD157="",Expenses!$B$13,AD157)+IF(AE157="",Expenses!$B$14,AE157)+IF(AF157="",Expenses!$B$15,AF157)+IF(AG157="",Expenses!$B$16,AG157)+IF(AH157="",Expenses!$B$17,AH157)+IF(AI157="",Expenses!$B$18,AI157))</f>
        <v/>
      </c>
      <c r="S157" s="36" t="str">
        <f aca="false">IF($A157="","",$R157*$M157)</f>
        <v/>
      </c>
      <c r="T157" s="36" t="str">
        <f aca="false">IF($A157="","",$K157+$S157)</f>
        <v/>
      </c>
      <c r="U157" s="42" t="str">
        <f aca="false">IF($A157="","",$Q157-$T157)</f>
        <v/>
      </c>
      <c r="V157" s="43" t="str">
        <f aca="false">IF(OR($A157="",$F157=0),"",$U157/$F157)</f>
        <v/>
      </c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</row>
    <row r="158" customFormat="false" ht="15" hidden="false" customHeight="false" outlineLevel="0" collapsed="false">
      <c r="A158" s="23"/>
      <c r="B158" s="24"/>
      <c r="C158" s="24"/>
      <c r="D158" s="23"/>
      <c r="E158" s="23"/>
      <c r="F158" s="25"/>
      <c r="G158" s="26"/>
      <c r="H158" s="19"/>
      <c r="I158" s="19"/>
      <c r="J158" s="27" t="str">
        <f aca="false">IF($A158="","",$H158*$F158)</f>
        <v/>
      </c>
      <c r="K158" s="27" t="str">
        <f aca="false">IF($A158="","",$G158+$J158)</f>
        <v/>
      </c>
      <c r="L158" s="28" t="str">
        <f aca="false">IF(OR($A158="",$F158=0),"",$K158/$F158)</f>
        <v/>
      </c>
      <c r="M158" s="29" t="str">
        <f aca="false">IF($A158="","",SUMIF('Lot Entry'!$A$7:$A$2000,$A158,'Lot Entry'!$H$7:$H$2000))</f>
        <v/>
      </c>
      <c r="N158" s="30" t="str">
        <f aca="false">IF($A158="","",SUMIF('Lot Entry'!$A$7:$A$2000,$A158,'Lot Entry'!$I$7:$I$2000))</f>
        <v/>
      </c>
      <c r="O158" s="31" t="str">
        <f aca="false">IF(OR($A158="",$F158=0),"",$N158/$F158)</f>
        <v/>
      </c>
      <c r="P158" s="32" t="str">
        <f aca="false">IF($A158="","",SUMIF('Lot Entry'!$A$7:$A$2000,$A158,'Lot Entry'!$J$7:$J$2000))</f>
        <v/>
      </c>
      <c r="Q158" s="27" t="str">
        <f aca="false">IF($A158="","",$P158*$I158)</f>
        <v/>
      </c>
      <c r="R158" s="28" t="str">
        <f aca="false">IF($A158="","",IF(W158="",Expenses!$B$6,W158)+IF(X158="",Expenses!$B$7,X158)+IF(Y158="",Expenses!$B$8,Y158)+IF(Z158="",Expenses!$B$9,Z158)+IF(AA158="",Expenses!$B$10,AA158)+IF(AB158="",Expenses!$B$11,AB158)+IF(AC158="",Expenses!$B$12,AC158)+IF(AD158="",Expenses!$B$13,AD158)+IF(AE158="",Expenses!$B$14,AE158)+IF(AF158="",Expenses!$B$15,AF158)+IF(AG158="",Expenses!$B$16,AG158)+IF(AH158="",Expenses!$B$17,AH158)+IF(AI158="",Expenses!$B$18,AI158))</f>
        <v/>
      </c>
      <c r="S158" s="27" t="str">
        <f aca="false">IF($A158="","",$R158*$M158)</f>
        <v/>
      </c>
      <c r="T158" s="27" t="str">
        <f aca="false">IF($A158="","",$K158+$S158)</f>
        <v/>
      </c>
      <c r="U158" s="33" t="str">
        <f aca="false">IF($A158="","",$Q158-$T158)</f>
        <v/>
      </c>
      <c r="V158" s="34" t="str">
        <f aca="false">IF(OR($A158="",$F158=0),"",$U158/$F158)</f>
        <v/>
      </c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</row>
    <row r="159" customFormat="false" ht="15" hidden="false" customHeight="false" outlineLevel="0" collapsed="false">
      <c r="A159" s="23"/>
      <c r="B159" s="24"/>
      <c r="C159" s="24"/>
      <c r="D159" s="23"/>
      <c r="E159" s="23"/>
      <c r="F159" s="25"/>
      <c r="G159" s="26"/>
      <c r="H159" s="19"/>
      <c r="I159" s="19"/>
      <c r="J159" s="36" t="str">
        <f aca="false">IF($A159="","",$H159*$F159)</f>
        <v/>
      </c>
      <c r="K159" s="36" t="str">
        <f aca="false">IF($A159="","",$G159+$J159)</f>
        <v/>
      </c>
      <c r="L159" s="37" t="str">
        <f aca="false">IF(OR($A159="",$F159=0),"",$K159/$F159)</f>
        <v/>
      </c>
      <c r="M159" s="38" t="str">
        <f aca="false">IF($A159="","",SUMIF('Lot Entry'!$A$7:$A$2000,$A159,'Lot Entry'!$H$7:$H$2000))</f>
        <v/>
      </c>
      <c r="N159" s="39" t="str">
        <f aca="false">IF($A159="","",SUMIF('Lot Entry'!$A$7:$A$2000,$A159,'Lot Entry'!$I$7:$I$2000))</f>
        <v/>
      </c>
      <c r="O159" s="40" t="str">
        <f aca="false">IF(OR($A159="",$F159=0),"",$N159/$F159)</f>
        <v/>
      </c>
      <c r="P159" s="41" t="str">
        <f aca="false">IF($A159="","",SUMIF('Lot Entry'!$A$7:$A$2000,$A159,'Lot Entry'!$J$7:$J$2000))</f>
        <v/>
      </c>
      <c r="Q159" s="36" t="str">
        <f aca="false">IF($A159="","",$P159*$I159)</f>
        <v/>
      </c>
      <c r="R159" s="37" t="str">
        <f aca="false">IF($A159="","",IF(W159="",Expenses!$B$6,W159)+IF(X159="",Expenses!$B$7,X159)+IF(Y159="",Expenses!$B$8,Y159)+IF(Z159="",Expenses!$B$9,Z159)+IF(AA159="",Expenses!$B$10,AA159)+IF(AB159="",Expenses!$B$11,AB159)+IF(AC159="",Expenses!$B$12,AC159)+IF(AD159="",Expenses!$B$13,AD159)+IF(AE159="",Expenses!$B$14,AE159)+IF(AF159="",Expenses!$B$15,AF159)+IF(AG159="",Expenses!$B$16,AG159)+IF(AH159="",Expenses!$B$17,AH159)+IF(AI159="",Expenses!$B$18,AI159))</f>
        <v/>
      </c>
      <c r="S159" s="36" t="str">
        <f aca="false">IF($A159="","",$R159*$M159)</f>
        <v/>
      </c>
      <c r="T159" s="36" t="str">
        <f aca="false">IF($A159="","",$K159+$S159)</f>
        <v/>
      </c>
      <c r="U159" s="42" t="str">
        <f aca="false">IF($A159="","",$Q159-$T159)</f>
        <v/>
      </c>
      <c r="V159" s="43" t="str">
        <f aca="false">IF(OR($A159="",$F159=0),"",$U159/$F159)</f>
        <v/>
      </c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</row>
    <row r="160" customFormat="false" ht="15" hidden="false" customHeight="false" outlineLevel="0" collapsed="false">
      <c r="A160" s="23"/>
      <c r="B160" s="24"/>
      <c r="C160" s="24"/>
      <c r="D160" s="23"/>
      <c r="E160" s="23"/>
      <c r="F160" s="25"/>
      <c r="G160" s="26"/>
      <c r="H160" s="19"/>
      <c r="I160" s="19"/>
      <c r="J160" s="27" t="str">
        <f aca="false">IF($A160="","",$H160*$F160)</f>
        <v/>
      </c>
      <c r="K160" s="27" t="str">
        <f aca="false">IF($A160="","",$G160+$J160)</f>
        <v/>
      </c>
      <c r="L160" s="28" t="str">
        <f aca="false">IF(OR($A160="",$F160=0),"",$K160/$F160)</f>
        <v/>
      </c>
      <c r="M160" s="29" t="str">
        <f aca="false">IF($A160="","",SUMIF('Lot Entry'!$A$7:$A$2000,$A160,'Lot Entry'!$H$7:$H$2000))</f>
        <v/>
      </c>
      <c r="N160" s="30" t="str">
        <f aca="false">IF($A160="","",SUMIF('Lot Entry'!$A$7:$A$2000,$A160,'Lot Entry'!$I$7:$I$2000))</f>
        <v/>
      </c>
      <c r="O160" s="31" t="str">
        <f aca="false">IF(OR($A160="",$F160=0),"",$N160/$F160)</f>
        <v/>
      </c>
      <c r="P160" s="32" t="str">
        <f aca="false">IF($A160="","",SUMIF('Lot Entry'!$A$7:$A$2000,$A160,'Lot Entry'!$J$7:$J$2000))</f>
        <v/>
      </c>
      <c r="Q160" s="27" t="str">
        <f aca="false">IF($A160="","",$P160*$I160)</f>
        <v/>
      </c>
      <c r="R160" s="28" t="str">
        <f aca="false">IF($A160="","",IF(W160="",Expenses!$B$6,W160)+IF(X160="",Expenses!$B$7,X160)+IF(Y160="",Expenses!$B$8,Y160)+IF(Z160="",Expenses!$B$9,Z160)+IF(AA160="",Expenses!$B$10,AA160)+IF(AB160="",Expenses!$B$11,AB160)+IF(AC160="",Expenses!$B$12,AC160)+IF(AD160="",Expenses!$B$13,AD160)+IF(AE160="",Expenses!$B$14,AE160)+IF(AF160="",Expenses!$B$15,AF160)+IF(AG160="",Expenses!$B$16,AG160)+IF(AH160="",Expenses!$B$17,AH160)+IF(AI160="",Expenses!$B$18,AI160))</f>
        <v/>
      </c>
      <c r="S160" s="27" t="str">
        <f aca="false">IF($A160="","",$R160*$M160)</f>
        <v/>
      </c>
      <c r="T160" s="27" t="str">
        <f aca="false">IF($A160="","",$K160+$S160)</f>
        <v/>
      </c>
      <c r="U160" s="33" t="str">
        <f aca="false">IF($A160="","",$Q160-$T160)</f>
        <v/>
      </c>
      <c r="V160" s="34" t="str">
        <f aca="false">IF(OR($A160="",$F160=0),"",$U160/$F160)</f>
        <v/>
      </c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</row>
    <row r="161" customFormat="false" ht="15" hidden="false" customHeight="false" outlineLevel="0" collapsed="false">
      <c r="A161" s="23"/>
      <c r="B161" s="24"/>
      <c r="C161" s="24"/>
      <c r="D161" s="23"/>
      <c r="E161" s="23"/>
      <c r="F161" s="25"/>
      <c r="G161" s="26"/>
      <c r="H161" s="19"/>
      <c r="I161" s="19"/>
      <c r="J161" s="36" t="str">
        <f aca="false">IF($A161="","",$H161*$F161)</f>
        <v/>
      </c>
      <c r="K161" s="36" t="str">
        <f aca="false">IF($A161="","",$G161+$J161)</f>
        <v/>
      </c>
      <c r="L161" s="37" t="str">
        <f aca="false">IF(OR($A161="",$F161=0),"",$K161/$F161)</f>
        <v/>
      </c>
      <c r="M161" s="38" t="str">
        <f aca="false">IF($A161="","",SUMIF('Lot Entry'!$A$7:$A$2000,$A161,'Lot Entry'!$H$7:$H$2000))</f>
        <v/>
      </c>
      <c r="N161" s="39" t="str">
        <f aca="false">IF($A161="","",SUMIF('Lot Entry'!$A$7:$A$2000,$A161,'Lot Entry'!$I$7:$I$2000))</f>
        <v/>
      </c>
      <c r="O161" s="40" t="str">
        <f aca="false">IF(OR($A161="",$F161=0),"",$N161/$F161)</f>
        <v/>
      </c>
      <c r="P161" s="41" t="str">
        <f aca="false">IF($A161="","",SUMIF('Lot Entry'!$A$7:$A$2000,$A161,'Lot Entry'!$J$7:$J$2000))</f>
        <v/>
      </c>
      <c r="Q161" s="36" t="str">
        <f aca="false">IF($A161="","",$P161*$I161)</f>
        <v/>
      </c>
      <c r="R161" s="37" t="str">
        <f aca="false">IF($A161="","",IF(W161="",Expenses!$B$6,W161)+IF(X161="",Expenses!$B$7,X161)+IF(Y161="",Expenses!$B$8,Y161)+IF(Z161="",Expenses!$B$9,Z161)+IF(AA161="",Expenses!$B$10,AA161)+IF(AB161="",Expenses!$B$11,AB161)+IF(AC161="",Expenses!$B$12,AC161)+IF(AD161="",Expenses!$B$13,AD161)+IF(AE161="",Expenses!$B$14,AE161)+IF(AF161="",Expenses!$B$15,AF161)+IF(AG161="",Expenses!$B$16,AG161)+IF(AH161="",Expenses!$B$17,AH161)+IF(AI161="",Expenses!$B$18,AI161))</f>
        <v/>
      </c>
      <c r="S161" s="36" t="str">
        <f aca="false">IF($A161="","",$R161*$M161)</f>
        <v/>
      </c>
      <c r="T161" s="36" t="str">
        <f aca="false">IF($A161="","",$K161+$S161)</f>
        <v/>
      </c>
      <c r="U161" s="42" t="str">
        <f aca="false">IF($A161="","",$Q161-$T161)</f>
        <v/>
      </c>
      <c r="V161" s="43" t="str">
        <f aca="false">IF(OR($A161="",$F161=0),"",$U161/$F161)</f>
        <v/>
      </c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</row>
    <row r="162" customFormat="false" ht="15" hidden="false" customHeight="false" outlineLevel="0" collapsed="false">
      <c r="A162" s="23"/>
      <c r="B162" s="24"/>
      <c r="C162" s="24"/>
      <c r="D162" s="23"/>
      <c r="E162" s="23"/>
      <c r="F162" s="25"/>
      <c r="G162" s="26"/>
      <c r="H162" s="19"/>
      <c r="I162" s="19"/>
      <c r="J162" s="27" t="str">
        <f aca="false">IF($A162="","",$H162*$F162)</f>
        <v/>
      </c>
      <c r="K162" s="27" t="str">
        <f aca="false">IF($A162="","",$G162+$J162)</f>
        <v/>
      </c>
      <c r="L162" s="28" t="str">
        <f aca="false">IF(OR($A162="",$F162=0),"",$K162/$F162)</f>
        <v/>
      </c>
      <c r="M162" s="29" t="str">
        <f aca="false">IF($A162="","",SUMIF('Lot Entry'!$A$7:$A$2000,$A162,'Lot Entry'!$H$7:$H$2000))</f>
        <v/>
      </c>
      <c r="N162" s="30" t="str">
        <f aca="false">IF($A162="","",SUMIF('Lot Entry'!$A$7:$A$2000,$A162,'Lot Entry'!$I$7:$I$2000))</f>
        <v/>
      </c>
      <c r="O162" s="31" t="str">
        <f aca="false">IF(OR($A162="",$F162=0),"",$N162/$F162)</f>
        <v/>
      </c>
      <c r="P162" s="32" t="str">
        <f aca="false">IF($A162="","",SUMIF('Lot Entry'!$A$7:$A$2000,$A162,'Lot Entry'!$J$7:$J$2000))</f>
        <v/>
      </c>
      <c r="Q162" s="27" t="str">
        <f aca="false">IF($A162="","",$P162*$I162)</f>
        <v/>
      </c>
      <c r="R162" s="28" t="str">
        <f aca="false">IF($A162="","",IF(W162="",Expenses!$B$6,W162)+IF(X162="",Expenses!$B$7,X162)+IF(Y162="",Expenses!$B$8,Y162)+IF(Z162="",Expenses!$B$9,Z162)+IF(AA162="",Expenses!$B$10,AA162)+IF(AB162="",Expenses!$B$11,AB162)+IF(AC162="",Expenses!$B$12,AC162)+IF(AD162="",Expenses!$B$13,AD162)+IF(AE162="",Expenses!$B$14,AE162)+IF(AF162="",Expenses!$B$15,AF162)+IF(AG162="",Expenses!$B$16,AG162)+IF(AH162="",Expenses!$B$17,AH162)+IF(AI162="",Expenses!$B$18,AI162))</f>
        <v/>
      </c>
      <c r="S162" s="27" t="str">
        <f aca="false">IF($A162="","",$R162*$M162)</f>
        <v/>
      </c>
      <c r="T162" s="27" t="str">
        <f aca="false">IF($A162="","",$K162+$S162)</f>
        <v/>
      </c>
      <c r="U162" s="33" t="str">
        <f aca="false">IF($A162="","",$Q162-$T162)</f>
        <v/>
      </c>
      <c r="V162" s="34" t="str">
        <f aca="false">IF(OR($A162="",$F162=0),"",$U162/$F162)</f>
        <v/>
      </c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</row>
    <row r="163" customFormat="false" ht="15" hidden="false" customHeight="false" outlineLevel="0" collapsed="false">
      <c r="A163" s="23"/>
      <c r="B163" s="24"/>
      <c r="C163" s="24"/>
      <c r="D163" s="23"/>
      <c r="E163" s="23"/>
      <c r="F163" s="25"/>
      <c r="G163" s="26"/>
      <c r="H163" s="19"/>
      <c r="I163" s="19"/>
      <c r="J163" s="36" t="str">
        <f aca="false">IF($A163="","",$H163*$F163)</f>
        <v/>
      </c>
      <c r="K163" s="36" t="str">
        <f aca="false">IF($A163="","",$G163+$J163)</f>
        <v/>
      </c>
      <c r="L163" s="37" t="str">
        <f aca="false">IF(OR($A163="",$F163=0),"",$K163/$F163)</f>
        <v/>
      </c>
      <c r="M163" s="38" t="str">
        <f aca="false">IF($A163="","",SUMIF('Lot Entry'!$A$7:$A$2000,$A163,'Lot Entry'!$H$7:$H$2000))</f>
        <v/>
      </c>
      <c r="N163" s="39" t="str">
        <f aca="false">IF($A163="","",SUMIF('Lot Entry'!$A$7:$A$2000,$A163,'Lot Entry'!$I$7:$I$2000))</f>
        <v/>
      </c>
      <c r="O163" s="40" t="str">
        <f aca="false">IF(OR($A163="",$F163=0),"",$N163/$F163)</f>
        <v/>
      </c>
      <c r="P163" s="41" t="str">
        <f aca="false">IF($A163="","",SUMIF('Lot Entry'!$A$7:$A$2000,$A163,'Lot Entry'!$J$7:$J$2000))</f>
        <v/>
      </c>
      <c r="Q163" s="36" t="str">
        <f aca="false">IF($A163="","",$P163*$I163)</f>
        <v/>
      </c>
      <c r="R163" s="37" t="str">
        <f aca="false">IF($A163="","",IF(W163="",Expenses!$B$6,W163)+IF(X163="",Expenses!$B$7,X163)+IF(Y163="",Expenses!$B$8,Y163)+IF(Z163="",Expenses!$B$9,Z163)+IF(AA163="",Expenses!$B$10,AA163)+IF(AB163="",Expenses!$B$11,AB163)+IF(AC163="",Expenses!$B$12,AC163)+IF(AD163="",Expenses!$B$13,AD163)+IF(AE163="",Expenses!$B$14,AE163)+IF(AF163="",Expenses!$B$15,AF163)+IF(AG163="",Expenses!$B$16,AG163)+IF(AH163="",Expenses!$B$17,AH163)+IF(AI163="",Expenses!$B$18,AI163))</f>
        <v/>
      </c>
      <c r="S163" s="36" t="str">
        <f aca="false">IF($A163="","",$R163*$M163)</f>
        <v/>
      </c>
      <c r="T163" s="36" t="str">
        <f aca="false">IF($A163="","",$K163+$S163)</f>
        <v/>
      </c>
      <c r="U163" s="42" t="str">
        <f aca="false">IF($A163="","",$Q163-$T163)</f>
        <v/>
      </c>
      <c r="V163" s="43" t="str">
        <f aca="false">IF(OR($A163="",$F163=0),"",$U163/$F163)</f>
        <v/>
      </c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</row>
    <row r="164" customFormat="false" ht="15" hidden="false" customHeight="false" outlineLevel="0" collapsed="false">
      <c r="A164" s="23"/>
      <c r="B164" s="24"/>
      <c r="C164" s="24"/>
      <c r="D164" s="23"/>
      <c r="E164" s="23"/>
      <c r="F164" s="25"/>
      <c r="G164" s="26"/>
      <c r="H164" s="19"/>
      <c r="I164" s="19"/>
      <c r="J164" s="27" t="str">
        <f aca="false">IF($A164="","",$H164*$F164)</f>
        <v/>
      </c>
      <c r="K164" s="27" t="str">
        <f aca="false">IF($A164="","",$G164+$J164)</f>
        <v/>
      </c>
      <c r="L164" s="28" t="str">
        <f aca="false">IF(OR($A164="",$F164=0),"",$K164/$F164)</f>
        <v/>
      </c>
      <c r="M164" s="29" t="str">
        <f aca="false">IF($A164="","",SUMIF('Lot Entry'!$A$7:$A$2000,$A164,'Lot Entry'!$H$7:$H$2000))</f>
        <v/>
      </c>
      <c r="N164" s="30" t="str">
        <f aca="false">IF($A164="","",SUMIF('Lot Entry'!$A$7:$A$2000,$A164,'Lot Entry'!$I$7:$I$2000))</f>
        <v/>
      </c>
      <c r="O164" s="31" t="str">
        <f aca="false">IF(OR($A164="",$F164=0),"",$N164/$F164)</f>
        <v/>
      </c>
      <c r="P164" s="32" t="str">
        <f aca="false">IF($A164="","",SUMIF('Lot Entry'!$A$7:$A$2000,$A164,'Lot Entry'!$J$7:$J$2000))</f>
        <v/>
      </c>
      <c r="Q164" s="27" t="str">
        <f aca="false">IF($A164="","",$P164*$I164)</f>
        <v/>
      </c>
      <c r="R164" s="28" t="str">
        <f aca="false">IF($A164="","",IF(W164="",Expenses!$B$6,W164)+IF(X164="",Expenses!$B$7,X164)+IF(Y164="",Expenses!$B$8,Y164)+IF(Z164="",Expenses!$B$9,Z164)+IF(AA164="",Expenses!$B$10,AA164)+IF(AB164="",Expenses!$B$11,AB164)+IF(AC164="",Expenses!$B$12,AC164)+IF(AD164="",Expenses!$B$13,AD164)+IF(AE164="",Expenses!$B$14,AE164)+IF(AF164="",Expenses!$B$15,AF164)+IF(AG164="",Expenses!$B$16,AG164)+IF(AH164="",Expenses!$B$17,AH164)+IF(AI164="",Expenses!$B$18,AI164))</f>
        <v/>
      </c>
      <c r="S164" s="27" t="str">
        <f aca="false">IF($A164="","",$R164*$M164)</f>
        <v/>
      </c>
      <c r="T164" s="27" t="str">
        <f aca="false">IF($A164="","",$K164+$S164)</f>
        <v/>
      </c>
      <c r="U164" s="33" t="str">
        <f aca="false">IF($A164="","",$Q164-$T164)</f>
        <v/>
      </c>
      <c r="V164" s="34" t="str">
        <f aca="false">IF(OR($A164="",$F164=0),"",$U164/$F164)</f>
        <v/>
      </c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</row>
    <row r="165" customFormat="false" ht="15" hidden="false" customHeight="false" outlineLevel="0" collapsed="false">
      <c r="A165" s="23"/>
      <c r="B165" s="24"/>
      <c r="C165" s="24"/>
      <c r="D165" s="23"/>
      <c r="E165" s="23"/>
      <c r="F165" s="25"/>
      <c r="G165" s="26"/>
      <c r="H165" s="19"/>
      <c r="I165" s="19"/>
      <c r="J165" s="36" t="str">
        <f aca="false">IF($A165="","",$H165*$F165)</f>
        <v/>
      </c>
      <c r="K165" s="36" t="str">
        <f aca="false">IF($A165="","",$G165+$J165)</f>
        <v/>
      </c>
      <c r="L165" s="37" t="str">
        <f aca="false">IF(OR($A165="",$F165=0),"",$K165/$F165)</f>
        <v/>
      </c>
      <c r="M165" s="38" t="str">
        <f aca="false">IF($A165="","",SUMIF('Lot Entry'!$A$7:$A$2000,$A165,'Lot Entry'!$H$7:$H$2000))</f>
        <v/>
      </c>
      <c r="N165" s="39" t="str">
        <f aca="false">IF($A165="","",SUMIF('Lot Entry'!$A$7:$A$2000,$A165,'Lot Entry'!$I$7:$I$2000))</f>
        <v/>
      </c>
      <c r="O165" s="40" t="str">
        <f aca="false">IF(OR($A165="",$F165=0),"",$N165/$F165)</f>
        <v/>
      </c>
      <c r="P165" s="41" t="str">
        <f aca="false">IF($A165="","",SUMIF('Lot Entry'!$A$7:$A$2000,$A165,'Lot Entry'!$J$7:$J$2000))</f>
        <v/>
      </c>
      <c r="Q165" s="36" t="str">
        <f aca="false">IF($A165="","",$P165*$I165)</f>
        <v/>
      </c>
      <c r="R165" s="37" t="str">
        <f aca="false">IF($A165="","",IF(W165="",Expenses!$B$6,W165)+IF(X165="",Expenses!$B$7,X165)+IF(Y165="",Expenses!$B$8,Y165)+IF(Z165="",Expenses!$B$9,Z165)+IF(AA165="",Expenses!$B$10,AA165)+IF(AB165="",Expenses!$B$11,AB165)+IF(AC165="",Expenses!$B$12,AC165)+IF(AD165="",Expenses!$B$13,AD165)+IF(AE165="",Expenses!$B$14,AE165)+IF(AF165="",Expenses!$B$15,AF165)+IF(AG165="",Expenses!$B$16,AG165)+IF(AH165="",Expenses!$B$17,AH165)+IF(AI165="",Expenses!$B$18,AI165))</f>
        <v/>
      </c>
      <c r="S165" s="36" t="str">
        <f aca="false">IF($A165="","",$R165*$M165)</f>
        <v/>
      </c>
      <c r="T165" s="36" t="str">
        <f aca="false">IF($A165="","",$K165+$S165)</f>
        <v/>
      </c>
      <c r="U165" s="42" t="str">
        <f aca="false">IF($A165="","",$Q165-$T165)</f>
        <v/>
      </c>
      <c r="V165" s="43" t="str">
        <f aca="false">IF(OR($A165="",$F165=0),"",$U165/$F165)</f>
        <v/>
      </c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</row>
    <row r="166" customFormat="false" ht="15" hidden="false" customHeight="false" outlineLevel="0" collapsed="false">
      <c r="A166" s="23"/>
      <c r="B166" s="24"/>
      <c r="C166" s="24"/>
      <c r="D166" s="23"/>
      <c r="E166" s="23"/>
      <c r="F166" s="25"/>
      <c r="G166" s="26"/>
      <c r="H166" s="19"/>
      <c r="I166" s="19"/>
      <c r="J166" s="27" t="str">
        <f aca="false">IF($A166="","",$H166*$F166)</f>
        <v/>
      </c>
      <c r="K166" s="27" t="str">
        <f aca="false">IF($A166="","",$G166+$J166)</f>
        <v/>
      </c>
      <c r="L166" s="28" t="str">
        <f aca="false">IF(OR($A166="",$F166=0),"",$K166/$F166)</f>
        <v/>
      </c>
      <c r="M166" s="29" t="str">
        <f aca="false">IF($A166="","",SUMIF('Lot Entry'!$A$7:$A$2000,$A166,'Lot Entry'!$H$7:$H$2000))</f>
        <v/>
      </c>
      <c r="N166" s="30" t="str">
        <f aca="false">IF($A166="","",SUMIF('Lot Entry'!$A$7:$A$2000,$A166,'Lot Entry'!$I$7:$I$2000))</f>
        <v/>
      </c>
      <c r="O166" s="31" t="str">
        <f aca="false">IF(OR($A166="",$F166=0),"",$N166/$F166)</f>
        <v/>
      </c>
      <c r="P166" s="32" t="str">
        <f aca="false">IF($A166="","",SUMIF('Lot Entry'!$A$7:$A$2000,$A166,'Lot Entry'!$J$7:$J$2000))</f>
        <v/>
      </c>
      <c r="Q166" s="27" t="str">
        <f aca="false">IF($A166="","",$P166*$I166)</f>
        <v/>
      </c>
      <c r="R166" s="28" t="str">
        <f aca="false">IF($A166="","",IF(W166="",Expenses!$B$6,W166)+IF(X166="",Expenses!$B$7,X166)+IF(Y166="",Expenses!$B$8,Y166)+IF(Z166="",Expenses!$B$9,Z166)+IF(AA166="",Expenses!$B$10,AA166)+IF(AB166="",Expenses!$B$11,AB166)+IF(AC166="",Expenses!$B$12,AC166)+IF(AD166="",Expenses!$B$13,AD166)+IF(AE166="",Expenses!$B$14,AE166)+IF(AF166="",Expenses!$B$15,AF166)+IF(AG166="",Expenses!$B$16,AG166)+IF(AH166="",Expenses!$B$17,AH166)+IF(AI166="",Expenses!$B$18,AI166))</f>
        <v/>
      </c>
      <c r="S166" s="27" t="str">
        <f aca="false">IF($A166="","",$R166*$M166)</f>
        <v/>
      </c>
      <c r="T166" s="27" t="str">
        <f aca="false">IF($A166="","",$K166+$S166)</f>
        <v/>
      </c>
      <c r="U166" s="33" t="str">
        <f aca="false">IF($A166="","",$Q166-$T166)</f>
        <v/>
      </c>
      <c r="V166" s="34" t="str">
        <f aca="false">IF(OR($A166="",$F166=0),"",$U166/$F166)</f>
        <v/>
      </c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</row>
    <row r="167" customFormat="false" ht="15" hidden="false" customHeight="false" outlineLevel="0" collapsed="false">
      <c r="A167" s="23"/>
      <c r="B167" s="24"/>
      <c r="C167" s="24"/>
      <c r="D167" s="23"/>
      <c r="E167" s="23"/>
      <c r="F167" s="25"/>
      <c r="G167" s="26"/>
      <c r="H167" s="19"/>
      <c r="I167" s="19"/>
      <c r="J167" s="36" t="str">
        <f aca="false">IF($A167="","",$H167*$F167)</f>
        <v/>
      </c>
      <c r="K167" s="36" t="str">
        <f aca="false">IF($A167="","",$G167+$J167)</f>
        <v/>
      </c>
      <c r="L167" s="37" t="str">
        <f aca="false">IF(OR($A167="",$F167=0),"",$K167/$F167)</f>
        <v/>
      </c>
      <c r="M167" s="38" t="str">
        <f aca="false">IF($A167="","",SUMIF('Lot Entry'!$A$7:$A$2000,$A167,'Lot Entry'!$H$7:$H$2000))</f>
        <v/>
      </c>
      <c r="N167" s="39" t="str">
        <f aca="false">IF($A167="","",SUMIF('Lot Entry'!$A$7:$A$2000,$A167,'Lot Entry'!$I$7:$I$2000))</f>
        <v/>
      </c>
      <c r="O167" s="40" t="str">
        <f aca="false">IF(OR($A167="",$F167=0),"",$N167/$F167)</f>
        <v/>
      </c>
      <c r="P167" s="41" t="str">
        <f aca="false">IF($A167="","",SUMIF('Lot Entry'!$A$7:$A$2000,$A167,'Lot Entry'!$J$7:$J$2000))</f>
        <v/>
      </c>
      <c r="Q167" s="36" t="str">
        <f aca="false">IF($A167="","",$P167*$I167)</f>
        <v/>
      </c>
      <c r="R167" s="37" t="str">
        <f aca="false">IF($A167="","",IF(W167="",Expenses!$B$6,W167)+IF(X167="",Expenses!$B$7,X167)+IF(Y167="",Expenses!$B$8,Y167)+IF(Z167="",Expenses!$B$9,Z167)+IF(AA167="",Expenses!$B$10,AA167)+IF(AB167="",Expenses!$B$11,AB167)+IF(AC167="",Expenses!$B$12,AC167)+IF(AD167="",Expenses!$B$13,AD167)+IF(AE167="",Expenses!$B$14,AE167)+IF(AF167="",Expenses!$B$15,AF167)+IF(AG167="",Expenses!$B$16,AG167)+IF(AH167="",Expenses!$B$17,AH167)+IF(AI167="",Expenses!$B$18,AI167))</f>
        <v/>
      </c>
      <c r="S167" s="36" t="str">
        <f aca="false">IF($A167="","",$R167*$M167)</f>
        <v/>
      </c>
      <c r="T167" s="36" t="str">
        <f aca="false">IF($A167="","",$K167+$S167)</f>
        <v/>
      </c>
      <c r="U167" s="42" t="str">
        <f aca="false">IF($A167="","",$Q167-$T167)</f>
        <v/>
      </c>
      <c r="V167" s="43" t="str">
        <f aca="false">IF(OR($A167="",$F167=0),"",$U167/$F167)</f>
        <v/>
      </c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</row>
    <row r="168" customFormat="false" ht="15" hidden="false" customHeight="false" outlineLevel="0" collapsed="false">
      <c r="A168" s="23"/>
      <c r="B168" s="24"/>
      <c r="C168" s="24"/>
      <c r="D168" s="23"/>
      <c r="E168" s="23"/>
      <c r="F168" s="25"/>
      <c r="G168" s="26"/>
      <c r="H168" s="19"/>
      <c r="I168" s="19"/>
      <c r="J168" s="27" t="str">
        <f aca="false">IF($A168="","",$H168*$F168)</f>
        <v/>
      </c>
      <c r="K168" s="27" t="str">
        <f aca="false">IF($A168="","",$G168+$J168)</f>
        <v/>
      </c>
      <c r="L168" s="28" t="str">
        <f aca="false">IF(OR($A168="",$F168=0),"",$K168/$F168)</f>
        <v/>
      </c>
      <c r="M168" s="29" t="str">
        <f aca="false">IF($A168="","",SUMIF('Lot Entry'!$A$7:$A$2000,$A168,'Lot Entry'!$H$7:$H$2000))</f>
        <v/>
      </c>
      <c r="N168" s="30" t="str">
        <f aca="false">IF($A168="","",SUMIF('Lot Entry'!$A$7:$A$2000,$A168,'Lot Entry'!$I$7:$I$2000))</f>
        <v/>
      </c>
      <c r="O168" s="31" t="str">
        <f aca="false">IF(OR($A168="",$F168=0),"",$N168/$F168)</f>
        <v/>
      </c>
      <c r="P168" s="32" t="str">
        <f aca="false">IF($A168="","",SUMIF('Lot Entry'!$A$7:$A$2000,$A168,'Lot Entry'!$J$7:$J$2000))</f>
        <v/>
      </c>
      <c r="Q168" s="27" t="str">
        <f aca="false">IF($A168="","",$P168*$I168)</f>
        <v/>
      </c>
      <c r="R168" s="28" t="str">
        <f aca="false">IF($A168="","",IF(W168="",Expenses!$B$6,W168)+IF(X168="",Expenses!$B$7,X168)+IF(Y168="",Expenses!$B$8,Y168)+IF(Z168="",Expenses!$B$9,Z168)+IF(AA168="",Expenses!$B$10,AA168)+IF(AB168="",Expenses!$B$11,AB168)+IF(AC168="",Expenses!$B$12,AC168)+IF(AD168="",Expenses!$B$13,AD168)+IF(AE168="",Expenses!$B$14,AE168)+IF(AF168="",Expenses!$B$15,AF168)+IF(AG168="",Expenses!$B$16,AG168)+IF(AH168="",Expenses!$B$17,AH168)+IF(AI168="",Expenses!$B$18,AI168))</f>
        <v/>
      </c>
      <c r="S168" s="27" t="str">
        <f aca="false">IF($A168="","",$R168*$M168)</f>
        <v/>
      </c>
      <c r="T168" s="27" t="str">
        <f aca="false">IF($A168="","",$K168+$S168)</f>
        <v/>
      </c>
      <c r="U168" s="33" t="str">
        <f aca="false">IF($A168="","",$Q168-$T168)</f>
        <v/>
      </c>
      <c r="V168" s="34" t="str">
        <f aca="false">IF(OR($A168="",$F168=0),"",$U168/$F168)</f>
        <v/>
      </c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</row>
    <row r="169" customFormat="false" ht="15" hidden="false" customHeight="false" outlineLevel="0" collapsed="false">
      <c r="A169" s="23"/>
      <c r="B169" s="24"/>
      <c r="C169" s="24"/>
      <c r="D169" s="23"/>
      <c r="E169" s="23"/>
      <c r="F169" s="25"/>
      <c r="G169" s="26"/>
      <c r="H169" s="19"/>
      <c r="I169" s="19"/>
      <c r="J169" s="36" t="str">
        <f aca="false">IF($A169="","",$H169*$F169)</f>
        <v/>
      </c>
      <c r="K169" s="36" t="str">
        <f aca="false">IF($A169="","",$G169+$J169)</f>
        <v/>
      </c>
      <c r="L169" s="37" t="str">
        <f aca="false">IF(OR($A169="",$F169=0),"",$K169/$F169)</f>
        <v/>
      </c>
      <c r="M169" s="38" t="str">
        <f aca="false">IF($A169="","",SUMIF('Lot Entry'!$A$7:$A$2000,$A169,'Lot Entry'!$H$7:$H$2000))</f>
        <v/>
      </c>
      <c r="N169" s="39" t="str">
        <f aca="false">IF($A169="","",SUMIF('Lot Entry'!$A$7:$A$2000,$A169,'Lot Entry'!$I$7:$I$2000))</f>
        <v/>
      </c>
      <c r="O169" s="40" t="str">
        <f aca="false">IF(OR($A169="",$F169=0),"",$N169/$F169)</f>
        <v/>
      </c>
      <c r="P169" s="41" t="str">
        <f aca="false">IF($A169="","",SUMIF('Lot Entry'!$A$7:$A$2000,$A169,'Lot Entry'!$J$7:$J$2000))</f>
        <v/>
      </c>
      <c r="Q169" s="36" t="str">
        <f aca="false">IF($A169="","",$P169*$I169)</f>
        <v/>
      </c>
      <c r="R169" s="37" t="str">
        <f aca="false">IF($A169="","",IF(W169="",Expenses!$B$6,W169)+IF(X169="",Expenses!$B$7,X169)+IF(Y169="",Expenses!$B$8,Y169)+IF(Z169="",Expenses!$B$9,Z169)+IF(AA169="",Expenses!$B$10,AA169)+IF(AB169="",Expenses!$B$11,AB169)+IF(AC169="",Expenses!$B$12,AC169)+IF(AD169="",Expenses!$B$13,AD169)+IF(AE169="",Expenses!$B$14,AE169)+IF(AF169="",Expenses!$B$15,AF169)+IF(AG169="",Expenses!$B$16,AG169)+IF(AH169="",Expenses!$B$17,AH169)+IF(AI169="",Expenses!$B$18,AI169))</f>
        <v/>
      </c>
      <c r="S169" s="36" t="str">
        <f aca="false">IF($A169="","",$R169*$M169)</f>
        <v/>
      </c>
      <c r="T169" s="36" t="str">
        <f aca="false">IF($A169="","",$K169+$S169)</f>
        <v/>
      </c>
      <c r="U169" s="42" t="str">
        <f aca="false">IF($A169="","",$Q169-$T169)</f>
        <v/>
      </c>
      <c r="V169" s="43" t="str">
        <f aca="false">IF(OR($A169="",$F169=0),"",$U169/$F169)</f>
        <v/>
      </c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</row>
    <row r="170" customFormat="false" ht="15" hidden="false" customHeight="false" outlineLevel="0" collapsed="false">
      <c r="A170" s="23"/>
      <c r="B170" s="24"/>
      <c r="C170" s="24"/>
      <c r="D170" s="23"/>
      <c r="E170" s="23"/>
      <c r="F170" s="25"/>
      <c r="G170" s="26"/>
      <c r="H170" s="19"/>
      <c r="I170" s="19"/>
      <c r="J170" s="27" t="str">
        <f aca="false">IF($A170="","",$H170*$F170)</f>
        <v/>
      </c>
      <c r="K170" s="27" t="str">
        <f aca="false">IF($A170="","",$G170+$J170)</f>
        <v/>
      </c>
      <c r="L170" s="28" t="str">
        <f aca="false">IF(OR($A170="",$F170=0),"",$K170/$F170)</f>
        <v/>
      </c>
      <c r="M170" s="29" t="str">
        <f aca="false">IF($A170="","",SUMIF('Lot Entry'!$A$7:$A$2000,$A170,'Lot Entry'!$H$7:$H$2000))</f>
        <v/>
      </c>
      <c r="N170" s="30" t="str">
        <f aca="false">IF($A170="","",SUMIF('Lot Entry'!$A$7:$A$2000,$A170,'Lot Entry'!$I$7:$I$2000))</f>
        <v/>
      </c>
      <c r="O170" s="31" t="str">
        <f aca="false">IF(OR($A170="",$F170=0),"",$N170/$F170)</f>
        <v/>
      </c>
      <c r="P170" s="32" t="str">
        <f aca="false">IF($A170="","",SUMIF('Lot Entry'!$A$7:$A$2000,$A170,'Lot Entry'!$J$7:$J$2000))</f>
        <v/>
      </c>
      <c r="Q170" s="27" t="str">
        <f aca="false">IF($A170="","",$P170*$I170)</f>
        <v/>
      </c>
      <c r="R170" s="28" t="str">
        <f aca="false">IF($A170="","",IF(W170="",Expenses!$B$6,W170)+IF(X170="",Expenses!$B$7,X170)+IF(Y170="",Expenses!$B$8,Y170)+IF(Z170="",Expenses!$B$9,Z170)+IF(AA170="",Expenses!$B$10,AA170)+IF(AB170="",Expenses!$B$11,AB170)+IF(AC170="",Expenses!$B$12,AC170)+IF(AD170="",Expenses!$B$13,AD170)+IF(AE170="",Expenses!$B$14,AE170)+IF(AF170="",Expenses!$B$15,AF170)+IF(AG170="",Expenses!$B$16,AG170)+IF(AH170="",Expenses!$B$17,AH170)+IF(AI170="",Expenses!$B$18,AI170))</f>
        <v/>
      </c>
      <c r="S170" s="27" t="str">
        <f aca="false">IF($A170="","",$R170*$M170)</f>
        <v/>
      </c>
      <c r="T170" s="27" t="str">
        <f aca="false">IF($A170="","",$K170+$S170)</f>
        <v/>
      </c>
      <c r="U170" s="33" t="str">
        <f aca="false">IF($A170="","",$Q170-$T170)</f>
        <v/>
      </c>
      <c r="V170" s="34" t="str">
        <f aca="false">IF(OR($A170="",$F170=0),"",$U170/$F170)</f>
        <v/>
      </c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</row>
    <row r="171" customFormat="false" ht="15" hidden="false" customHeight="false" outlineLevel="0" collapsed="false">
      <c r="A171" s="23"/>
      <c r="B171" s="24"/>
      <c r="C171" s="24"/>
      <c r="D171" s="23"/>
      <c r="E171" s="23"/>
      <c r="F171" s="25"/>
      <c r="G171" s="26"/>
      <c r="H171" s="19"/>
      <c r="I171" s="19"/>
      <c r="J171" s="36" t="str">
        <f aca="false">IF($A171="","",$H171*$F171)</f>
        <v/>
      </c>
      <c r="K171" s="36" t="str">
        <f aca="false">IF($A171="","",$G171+$J171)</f>
        <v/>
      </c>
      <c r="L171" s="37" t="str">
        <f aca="false">IF(OR($A171="",$F171=0),"",$K171/$F171)</f>
        <v/>
      </c>
      <c r="M171" s="38" t="str">
        <f aca="false">IF($A171="","",SUMIF('Lot Entry'!$A$7:$A$2000,$A171,'Lot Entry'!$H$7:$H$2000))</f>
        <v/>
      </c>
      <c r="N171" s="39" t="str">
        <f aca="false">IF($A171="","",SUMIF('Lot Entry'!$A$7:$A$2000,$A171,'Lot Entry'!$I$7:$I$2000))</f>
        <v/>
      </c>
      <c r="O171" s="40" t="str">
        <f aca="false">IF(OR($A171="",$F171=0),"",$N171/$F171)</f>
        <v/>
      </c>
      <c r="P171" s="41" t="str">
        <f aca="false">IF($A171="","",SUMIF('Lot Entry'!$A$7:$A$2000,$A171,'Lot Entry'!$J$7:$J$2000))</f>
        <v/>
      </c>
      <c r="Q171" s="36" t="str">
        <f aca="false">IF($A171="","",$P171*$I171)</f>
        <v/>
      </c>
      <c r="R171" s="37" t="str">
        <f aca="false">IF($A171="","",IF(W171="",Expenses!$B$6,W171)+IF(X171="",Expenses!$B$7,X171)+IF(Y171="",Expenses!$B$8,Y171)+IF(Z171="",Expenses!$B$9,Z171)+IF(AA171="",Expenses!$B$10,AA171)+IF(AB171="",Expenses!$B$11,AB171)+IF(AC171="",Expenses!$B$12,AC171)+IF(AD171="",Expenses!$B$13,AD171)+IF(AE171="",Expenses!$B$14,AE171)+IF(AF171="",Expenses!$B$15,AF171)+IF(AG171="",Expenses!$B$16,AG171)+IF(AH171="",Expenses!$B$17,AH171)+IF(AI171="",Expenses!$B$18,AI171))</f>
        <v/>
      </c>
      <c r="S171" s="36" t="str">
        <f aca="false">IF($A171="","",$R171*$M171)</f>
        <v/>
      </c>
      <c r="T171" s="36" t="str">
        <f aca="false">IF($A171="","",$K171+$S171)</f>
        <v/>
      </c>
      <c r="U171" s="42" t="str">
        <f aca="false">IF($A171="","",$Q171-$T171)</f>
        <v/>
      </c>
      <c r="V171" s="43" t="str">
        <f aca="false">IF(OR($A171="",$F171=0),"",$U171/$F171)</f>
        <v/>
      </c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</row>
    <row r="172" customFormat="false" ht="15" hidden="false" customHeight="false" outlineLevel="0" collapsed="false">
      <c r="A172" s="23"/>
      <c r="B172" s="24"/>
      <c r="C172" s="24"/>
      <c r="D172" s="23"/>
      <c r="E172" s="23"/>
      <c r="F172" s="25"/>
      <c r="G172" s="26"/>
      <c r="H172" s="19"/>
      <c r="I172" s="19"/>
      <c r="J172" s="27" t="str">
        <f aca="false">IF($A172="","",$H172*$F172)</f>
        <v/>
      </c>
      <c r="K172" s="27" t="str">
        <f aca="false">IF($A172="","",$G172+$J172)</f>
        <v/>
      </c>
      <c r="L172" s="28" t="str">
        <f aca="false">IF(OR($A172="",$F172=0),"",$K172/$F172)</f>
        <v/>
      </c>
      <c r="M172" s="29" t="str">
        <f aca="false">IF($A172="","",SUMIF('Lot Entry'!$A$7:$A$2000,$A172,'Lot Entry'!$H$7:$H$2000))</f>
        <v/>
      </c>
      <c r="N172" s="30" t="str">
        <f aca="false">IF($A172="","",SUMIF('Lot Entry'!$A$7:$A$2000,$A172,'Lot Entry'!$I$7:$I$2000))</f>
        <v/>
      </c>
      <c r="O172" s="31" t="str">
        <f aca="false">IF(OR($A172="",$F172=0),"",$N172/$F172)</f>
        <v/>
      </c>
      <c r="P172" s="32" t="str">
        <f aca="false">IF($A172="","",SUMIF('Lot Entry'!$A$7:$A$2000,$A172,'Lot Entry'!$J$7:$J$2000))</f>
        <v/>
      </c>
      <c r="Q172" s="27" t="str">
        <f aca="false">IF($A172="","",$P172*$I172)</f>
        <v/>
      </c>
      <c r="R172" s="28" t="str">
        <f aca="false">IF($A172="","",IF(W172="",Expenses!$B$6,W172)+IF(X172="",Expenses!$B$7,X172)+IF(Y172="",Expenses!$B$8,Y172)+IF(Z172="",Expenses!$B$9,Z172)+IF(AA172="",Expenses!$B$10,AA172)+IF(AB172="",Expenses!$B$11,AB172)+IF(AC172="",Expenses!$B$12,AC172)+IF(AD172="",Expenses!$B$13,AD172)+IF(AE172="",Expenses!$B$14,AE172)+IF(AF172="",Expenses!$B$15,AF172)+IF(AG172="",Expenses!$B$16,AG172)+IF(AH172="",Expenses!$B$17,AH172)+IF(AI172="",Expenses!$B$18,AI172))</f>
        <v/>
      </c>
      <c r="S172" s="27" t="str">
        <f aca="false">IF($A172="","",$R172*$M172)</f>
        <v/>
      </c>
      <c r="T172" s="27" t="str">
        <f aca="false">IF($A172="","",$K172+$S172)</f>
        <v/>
      </c>
      <c r="U172" s="33" t="str">
        <f aca="false">IF($A172="","",$Q172-$T172)</f>
        <v/>
      </c>
      <c r="V172" s="34" t="str">
        <f aca="false">IF(OR($A172="",$F172=0),"",$U172/$F172)</f>
        <v/>
      </c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</row>
    <row r="173" customFormat="false" ht="15" hidden="false" customHeight="false" outlineLevel="0" collapsed="false">
      <c r="A173" s="23"/>
      <c r="B173" s="24"/>
      <c r="C173" s="24"/>
      <c r="D173" s="23"/>
      <c r="E173" s="23"/>
      <c r="F173" s="25"/>
      <c r="G173" s="26"/>
      <c r="H173" s="19"/>
      <c r="I173" s="19"/>
      <c r="J173" s="36" t="str">
        <f aca="false">IF($A173="","",$H173*$F173)</f>
        <v/>
      </c>
      <c r="K173" s="36" t="str">
        <f aca="false">IF($A173="","",$G173+$J173)</f>
        <v/>
      </c>
      <c r="L173" s="37" t="str">
        <f aca="false">IF(OR($A173="",$F173=0),"",$K173/$F173)</f>
        <v/>
      </c>
      <c r="M173" s="38" t="str">
        <f aca="false">IF($A173="","",SUMIF('Lot Entry'!$A$7:$A$2000,$A173,'Lot Entry'!$H$7:$H$2000))</f>
        <v/>
      </c>
      <c r="N173" s="39" t="str">
        <f aca="false">IF($A173="","",SUMIF('Lot Entry'!$A$7:$A$2000,$A173,'Lot Entry'!$I$7:$I$2000))</f>
        <v/>
      </c>
      <c r="O173" s="40" t="str">
        <f aca="false">IF(OR($A173="",$F173=0),"",$N173/$F173)</f>
        <v/>
      </c>
      <c r="P173" s="41" t="str">
        <f aca="false">IF($A173="","",SUMIF('Lot Entry'!$A$7:$A$2000,$A173,'Lot Entry'!$J$7:$J$2000))</f>
        <v/>
      </c>
      <c r="Q173" s="36" t="str">
        <f aca="false">IF($A173="","",$P173*$I173)</f>
        <v/>
      </c>
      <c r="R173" s="37" t="str">
        <f aca="false">IF($A173="","",IF(W173="",Expenses!$B$6,W173)+IF(X173="",Expenses!$B$7,X173)+IF(Y173="",Expenses!$B$8,Y173)+IF(Z173="",Expenses!$B$9,Z173)+IF(AA173="",Expenses!$B$10,AA173)+IF(AB173="",Expenses!$B$11,AB173)+IF(AC173="",Expenses!$B$12,AC173)+IF(AD173="",Expenses!$B$13,AD173)+IF(AE173="",Expenses!$B$14,AE173)+IF(AF173="",Expenses!$B$15,AF173)+IF(AG173="",Expenses!$B$16,AG173)+IF(AH173="",Expenses!$B$17,AH173)+IF(AI173="",Expenses!$B$18,AI173))</f>
        <v/>
      </c>
      <c r="S173" s="36" t="str">
        <f aca="false">IF($A173="","",$R173*$M173)</f>
        <v/>
      </c>
      <c r="T173" s="36" t="str">
        <f aca="false">IF($A173="","",$K173+$S173)</f>
        <v/>
      </c>
      <c r="U173" s="42" t="str">
        <f aca="false">IF($A173="","",$Q173-$T173)</f>
        <v/>
      </c>
      <c r="V173" s="43" t="str">
        <f aca="false">IF(OR($A173="",$F173=0),"",$U173/$F173)</f>
        <v/>
      </c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</row>
    <row r="174" customFormat="false" ht="15" hidden="false" customHeight="false" outlineLevel="0" collapsed="false">
      <c r="A174" s="23"/>
      <c r="B174" s="24"/>
      <c r="C174" s="24"/>
      <c r="D174" s="23"/>
      <c r="E174" s="23"/>
      <c r="F174" s="25"/>
      <c r="G174" s="26"/>
      <c r="H174" s="19"/>
      <c r="I174" s="19"/>
      <c r="J174" s="27" t="str">
        <f aca="false">IF($A174="","",$H174*$F174)</f>
        <v/>
      </c>
      <c r="K174" s="27" t="str">
        <f aca="false">IF($A174="","",$G174+$J174)</f>
        <v/>
      </c>
      <c r="L174" s="28" t="str">
        <f aca="false">IF(OR($A174="",$F174=0),"",$K174/$F174)</f>
        <v/>
      </c>
      <c r="M174" s="29" t="str">
        <f aca="false">IF($A174="","",SUMIF('Lot Entry'!$A$7:$A$2000,$A174,'Lot Entry'!$H$7:$H$2000))</f>
        <v/>
      </c>
      <c r="N174" s="30" t="str">
        <f aca="false">IF($A174="","",SUMIF('Lot Entry'!$A$7:$A$2000,$A174,'Lot Entry'!$I$7:$I$2000))</f>
        <v/>
      </c>
      <c r="O174" s="31" t="str">
        <f aca="false">IF(OR($A174="",$F174=0),"",$N174/$F174)</f>
        <v/>
      </c>
      <c r="P174" s="32" t="str">
        <f aca="false">IF($A174="","",SUMIF('Lot Entry'!$A$7:$A$2000,$A174,'Lot Entry'!$J$7:$J$2000))</f>
        <v/>
      </c>
      <c r="Q174" s="27" t="str">
        <f aca="false">IF($A174="","",$P174*$I174)</f>
        <v/>
      </c>
      <c r="R174" s="28" t="str">
        <f aca="false">IF($A174="","",IF(W174="",Expenses!$B$6,W174)+IF(X174="",Expenses!$B$7,X174)+IF(Y174="",Expenses!$B$8,Y174)+IF(Z174="",Expenses!$B$9,Z174)+IF(AA174="",Expenses!$B$10,AA174)+IF(AB174="",Expenses!$B$11,AB174)+IF(AC174="",Expenses!$B$12,AC174)+IF(AD174="",Expenses!$B$13,AD174)+IF(AE174="",Expenses!$B$14,AE174)+IF(AF174="",Expenses!$B$15,AF174)+IF(AG174="",Expenses!$B$16,AG174)+IF(AH174="",Expenses!$B$17,AH174)+IF(AI174="",Expenses!$B$18,AI174))</f>
        <v/>
      </c>
      <c r="S174" s="27" t="str">
        <f aca="false">IF($A174="","",$R174*$M174)</f>
        <v/>
      </c>
      <c r="T174" s="27" t="str">
        <f aca="false">IF($A174="","",$K174+$S174)</f>
        <v/>
      </c>
      <c r="U174" s="33" t="str">
        <f aca="false">IF($A174="","",$Q174-$T174)</f>
        <v/>
      </c>
      <c r="V174" s="34" t="str">
        <f aca="false">IF(OR($A174="",$F174=0),"",$U174/$F174)</f>
        <v/>
      </c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</row>
    <row r="175" customFormat="false" ht="15" hidden="false" customHeight="false" outlineLevel="0" collapsed="false">
      <c r="A175" s="23"/>
      <c r="B175" s="24"/>
      <c r="C175" s="24"/>
      <c r="D175" s="23"/>
      <c r="E175" s="23"/>
      <c r="F175" s="25"/>
      <c r="G175" s="26"/>
      <c r="H175" s="19"/>
      <c r="I175" s="19"/>
      <c r="J175" s="36" t="str">
        <f aca="false">IF($A175="","",$H175*$F175)</f>
        <v/>
      </c>
      <c r="K175" s="36" t="str">
        <f aca="false">IF($A175="","",$G175+$J175)</f>
        <v/>
      </c>
      <c r="L175" s="37" t="str">
        <f aca="false">IF(OR($A175="",$F175=0),"",$K175/$F175)</f>
        <v/>
      </c>
      <c r="M175" s="38" t="str">
        <f aca="false">IF($A175="","",SUMIF('Lot Entry'!$A$7:$A$2000,$A175,'Lot Entry'!$H$7:$H$2000))</f>
        <v/>
      </c>
      <c r="N175" s="39" t="str">
        <f aca="false">IF($A175="","",SUMIF('Lot Entry'!$A$7:$A$2000,$A175,'Lot Entry'!$I$7:$I$2000))</f>
        <v/>
      </c>
      <c r="O175" s="40" t="str">
        <f aca="false">IF(OR($A175="",$F175=0),"",$N175/$F175)</f>
        <v/>
      </c>
      <c r="P175" s="41" t="str">
        <f aca="false">IF($A175="","",SUMIF('Lot Entry'!$A$7:$A$2000,$A175,'Lot Entry'!$J$7:$J$2000))</f>
        <v/>
      </c>
      <c r="Q175" s="36" t="str">
        <f aca="false">IF($A175="","",$P175*$I175)</f>
        <v/>
      </c>
      <c r="R175" s="37" t="str">
        <f aca="false">IF($A175="","",IF(W175="",Expenses!$B$6,W175)+IF(X175="",Expenses!$B$7,X175)+IF(Y175="",Expenses!$B$8,Y175)+IF(Z175="",Expenses!$B$9,Z175)+IF(AA175="",Expenses!$B$10,AA175)+IF(AB175="",Expenses!$B$11,AB175)+IF(AC175="",Expenses!$B$12,AC175)+IF(AD175="",Expenses!$B$13,AD175)+IF(AE175="",Expenses!$B$14,AE175)+IF(AF175="",Expenses!$B$15,AF175)+IF(AG175="",Expenses!$B$16,AG175)+IF(AH175="",Expenses!$B$17,AH175)+IF(AI175="",Expenses!$B$18,AI175))</f>
        <v/>
      </c>
      <c r="S175" s="36" t="str">
        <f aca="false">IF($A175="","",$R175*$M175)</f>
        <v/>
      </c>
      <c r="T175" s="36" t="str">
        <f aca="false">IF($A175="","",$K175+$S175)</f>
        <v/>
      </c>
      <c r="U175" s="42" t="str">
        <f aca="false">IF($A175="","",$Q175-$T175)</f>
        <v/>
      </c>
      <c r="V175" s="43" t="str">
        <f aca="false">IF(OR($A175="",$F175=0),"",$U175/$F175)</f>
        <v/>
      </c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</row>
    <row r="176" customFormat="false" ht="15" hidden="false" customHeight="false" outlineLevel="0" collapsed="false">
      <c r="A176" s="23"/>
      <c r="B176" s="24"/>
      <c r="C176" s="24"/>
      <c r="D176" s="23"/>
      <c r="E176" s="23"/>
      <c r="F176" s="25"/>
      <c r="G176" s="26"/>
      <c r="H176" s="19"/>
      <c r="I176" s="19"/>
      <c r="J176" s="27" t="str">
        <f aca="false">IF($A176="","",$H176*$F176)</f>
        <v/>
      </c>
      <c r="K176" s="27" t="str">
        <f aca="false">IF($A176="","",$G176+$J176)</f>
        <v/>
      </c>
      <c r="L176" s="28" t="str">
        <f aca="false">IF(OR($A176="",$F176=0),"",$K176/$F176)</f>
        <v/>
      </c>
      <c r="M176" s="29" t="str">
        <f aca="false">IF($A176="","",SUMIF('Lot Entry'!$A$7:$A$2000,$A176,'Lot Entry'!$H$7:$H$2000))</f>
        <v/>
      </c>
      <c r="N176" s="30" t="str">
        <f aca="false">IF($A176="","",SUMIF('Lot Entry'!$A$7:$A$2000,$A176,'Lot Entry'!$I$7:$I$2000))</f>
        <v/>
      </c>
      <c r="O176" s="31" t="str">
        <f aca="false">IF(OR($A176="",$F176=0),"",$N176/$F176)</f>
        <v/>
      </c>
      <c r="P176" s="32" t="str">
        <f aca="false">IF($A176="","",SUMIF('Lot Entry'!$A$7:$A$2000,$A176,'Lot Entry'!$J$7:$J$2000))</f>
        <v/>
      </c>
      <c r="Q176" s="27" t="str">
        <f aca="false">IF($A176="","",$P176*$I176)</f>
        <v/>
      </c>
      <c r="R176" s="28" t="str">
        <f aca="false">IF($A176="","",IF(W176="",Expenses!$B$6,W176)+IF(X176="",Expenses!$B$7,X176)+IF(Y176="",Expenses!$B$8,Y176)+IF(Z176="",Expenses!$B$9,Z176)+IF(AA176="",Expenses!$B$10,AA176)+IF(AB176="",Expenses!$B$11,AB176)+IF(AC176="",Expenses!$B$12,AC176)+IF(AD176="",Expenses!$B$13,AD176)+IF(AE176="",Expenses!$B$14,AE176)+IF(AF176="",Expenses!$B$15,AF176)+IF(AG176="",Expenses!$B$16,AG176)+IF(AH176="",Expenses!$B$17,AH176)+IF(AI176="",Expenses!$B$18,AI176))</f>
        <v/>
      </c>
      <c r="S176" s="27" t="str">
        <f aca="false">IF($A176="","",$R176*$M176)</f>
        <v/>
      </c>
      <c r="T176" s="27" t="str">
        <f aca="false">IF($A176="","",$K176+$S176)</f>
        <v/>
      </c>
      <c r="U176" s="33" t="str">
        <f aca="false">IF($A176="","",$Q176-$T176)</f>
        <v/>
      </c>
      <c r="V176" s="34" t="str">
        <f aca="false">IF(OR($A176="",$F176=0),"",$U176/$F176)</f>
        <v/>
      </c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</row>
    <row r="177" customFormat="false" ht="15" hidden="false" customHeight="false" outlineLevel="0" collapsed="false">
      <c r="A177" s="23"/>
      <c r="B177" s="24"/>
      <c r="C177" s="24"/>
      <c r="D177" s="23"/>
      <c r="E177" s="23"/>
      <c r="F177" s="25"/>
      <c r="G177" s="26"/>
      <c r="H177" s="19"/>
      <c r="I177" s="19"/>
      <c r="J177" s="36" t="str">
        <f aca="false">IF($A177="","",$H177*$F177)</f>
        <v/>
      </c>
      <c r="K177" s="36" t="str">
        <f aca="false">IF($A177="","",$G177+$J177)</f>
        <v/>
      </c>
      <c r="L177" s="37" t="str">
        <f aca="false">IF(OR($A177="",$F177=0),"",$K177/$F177)</f>
        <v/>
      </c>
      <c r="M177" s="38" t="str">
        <f aca="false">IF($A177="","",SUMIF('Lot Entry'!$A$7:$A$2000,$A177,'Lot Entry'!$H$7:$H$2000))</f>
        <v/>
      </c>
      <c r="N177" s="39" t="str">
        <f aca="false">IF($A177="","",SUMIF('Lot Entry'!$A$7:$A$2000,$A177,'Lot Entry'!$I$7:$I$2000))</f>
        <v/>
      </c>
      <c r="O177" s="40" t="str">
        <f aca="false">IF(OR($A177="",$F177=0),"",$N177/$F177)</f>
        <v/>
      </c>
      <c r="P177" s="41" t="str">
        <f aca="false">IF($A177="","",SUMIF('Lot Entry'!$A$7:$A$2000,$A177,'Lot Entry'!$J$7:$J$2000))</f>
        <v/>
      </c>
      <c r="Q177" s="36" t="str">
        <f aca="false">IF($A177="","",$P177*$I177)</f>
        <v/>
      </c>
      <c r="R177" s="37" t="str">
        <f aca="false">IF($A177="","",IF(W177="",Expenses!$B$6,W177)+IF(X177="",Expenses!$B$7,X177)+IF(Y177="",Expenses!$B$8,Y177)+IF(Z177="",Expenses!$B$9,Z177)+IF(AA177="",Expenses!$B$10,AA177)+IF(AB177="",Expenses!$B$11,AB177)+IF(AC177="",Expenses!$B$12,AC177)+IF(AD177="",Expenses!$B$13,AD177)+IF(AE177="",Expenses!$B$14,AE177)+IF(AF177="",Expenses!$B$15,AF177)+IF(AG177="",Expenses!$B$16,AG177)+IF(AH177="",Expenses!$B$17,AH177)+IF(AI177="",Expenses!$B$18,AI177))</f>
        <v/>
      </c>
      <c r="S177" s="36" t="str">
        <f aca="false">IF($A177="","",$R177*$M177)</f>
        <v/>
      </c>
      <c r="T177" s="36" t="str">
        <f aca="false">IF($A177="","",$K177+$S177)</f>
        <v/>
      </c>
      <c r="U177" s="42" t="str">
        <f aca="false">IF($A177="","",$Q177-$T177)</f>
        <v/>
      </c>
      <c r="V177" s="43" t="str">
        <f aca="false">IF(OR($A177="",$F177=0),"",$U177/$F177)</f>
        <v/>
      </c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</row>
    <row r="178" customFormat="false" ht="15" hidden="false" customHeight="false" outlineLevel="0" collapsed="false">
      <c r="A178" s="23"/>
      <c r="B178" s="24"/>
      <c r="C178" s="24"/>
      <c r="D178" s="23"/>
      <c r="E178" s="23"/>
      <c r="F178" s="25"/>
      <c r="G178" s="26"/>
      <c r="H178" s="19"/>
      <c r="I178" s="19"/>
      <c r="J178" s="27" t="str">
        <f aca="false">IF($A178="","",$H178*$F178)</f>
        <v/>
      </c>
      <c r="K178" s="27" t="str">
        <f aca="false">IF($A178="","",$G178+$J178)</f>
        <v/>
      </c>
      <c r="L178" s="28" t="str">
        <f aca="false">IF(OR($A178="",$F178=0),"",$K178/$F178)</f>
        <v/>
      </c>
      <c r="M178" s="29" t="str">
        <f aca="false">IF($A178="","",SUMIF('Lot Entry'!$A$7:$A$2000,$A178,'Lot Entry'!$H$7:$H$2000))</f>
        <v/>
      </c>
      <c r="N178" s="30" t="str">
        <f aca="false">IF($A178="","",SUMIF('Lot Entry'!$A$7:$A$2000,$A178,'Lot Entry'!$I$7:$I$2000))</f>
        <v/>
      </c>
      <c r="O178" s="31" t="str">
        <f aca="false">IF(OR($A178="",$F178=0),"",$N178/$F178)</f>
        <v/>
      </c>
      <c r="P178" s="32" t="str">
        <f aca="false">IF($A178="","",SUMIF('Lot Entry'!$A$7:$A$2000,$A178,'Lot Entry'!$J$7:$J$2000))</f>
        <v/>
      </c>
      <c r="Q178" s="27" t="str">
        <f aca="false">IF($A178="","",$P178*$I178)</f>
        <v/>
      </c>
      <c r="R178" s="28" t="str">
        <f aca="false">IF($A178="","",IF(W178="",Expenses!$B$6,W178)+IF(X178="",Expenses!$B$7,X178)+IF(Y178="",Expenses!$B$8,Y178)+IF(Z178="",Expenses!$B$9,Z178)+IF(AA178="",Expenses!$B$10,AA178)+IF(AB178="",Expenses!$B$11,AB178)+IF(AC178="",Expenses!$B$12,AC178)+IF(AD178="",Expenses!$B$13,AD178)+IF(AE178="",Expenses!$B$14,AE178)+IF(AF178="",Expenses!$B$15,AF178)+IF(AG178="",Expenses!$B$16,AG178)+IF(AH178="",Expenses!$B$17,AH178)+IF(AI178="",Expenses!$B$18,AI178))</f>
        <v/>
      </c>
      <c r="S178" s="27" t="str">
        <f aca="false">IF($A178="","",$R178*$M178)</f>
        <v/>
      </c>
      <c r="T178" s="27" t="str">
        <f aca="false">IF($A178="","",$K178+$S178)</f>
        <v/>
      </c>
      <c r="U178" s="33" t="str">
        <f aca="false">IF($A178="","",$Q178-$T178)</f>
        <v/>
      </c>
      <c r="V178" s="34" t="str">
        <f aca="false">IF(OR($A178="",$F178=0),"",$U178/$F178)</f>
        <v/>
      </c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</row>
    <row r="179" customFormat="false" ht="15" hidden="false" customHeight="false" outlineLevel="0" collapsed="false">
      <c r="A179" s="23"/>
      <c r="B179" s="24"/>
      <c r="C179" s="24"/>
      <c r="D179" s="23"/>
      <c r="E179" s="23"/>
      <c r="F179" s="25"/>
      <c r="G179" s="26"/>
      <c r="H179" s="19"/>
      <c r="I179" s="19"/>
      <c r="J179" s="36" t="str">
        <f aca="false">IF($A179="","",$H179*$F179)</f>
        <v/>
      </c>
      <c r="K179" s="36" t="str">
        <f aca="false">IF($A179="","",$G179+$J179)</f>
        <v/>
      </c>
      <c r="L179" s="37" t="str">
        <f aca="false">IF(OR($A179="",$F179=0),"",$K179/$F179)</f>
        <v/>
      </c>
      <c r="M179" s="38" t="str">
        <f aca="false">IF($A179="","",SUMIF('Lot Entry'!$A$7:$A$2000,$A179,'Lot Entry'!$H$7:$H$2000))</f>
        <v/>
      </c>
      <c r="N179" s="39" t="str">
        <f aca="false">IF($A179="","",SUMIF('Lot Entry'!$A$7:$A$2000,$A179,'Lot Entry'!$I$7:$I$2000))</f>
        <v/>
      </c>
      <c r="O179" s="40" t="str">
        <f aca="false">IF(OR($A179="",$F179=0),"",$N179/$F179)</f>
        <v/>
      </c>
      <c r="P179" s="41" t="str">
        <f aca="false">IF($A179="","",SUMIF('Lot Entry'!$A$7:$A$2000,$A179,'Lot Entry'!$J$7:$J$2000))</f>
        <v/>
      </c>
      <c r="Q179" s="36" t="str">
        <f aca="false">IF($A179="","",$P179*$I179)</f>
        <v/>
      </c>
      <c r="R179" s="37" t="str">
        <f aca="false">IF($A179="","",IF(W179="",Expenses!$B$6,W179)+IF(X179="",Expenses!$B$7,X179)+IF(Y179="",Expenses!$B$8,Y179)+IF(Z179="",Expenses!$B$9,Z179)+IF(AA179="",Expenses!$B$10,AA179)+IF(AB179="",Expenses!$B$11,AB179)+IF(AC179="",Expenses!$B$12,AC179)+IF(AD179="",Expenses!$B$13,AD179)+IF(AE179="",Expenses!$B$14,AE179)+IF(AF179="",Expenses!$B$15,AF179)+IF(AG179="",Expenses!$B$16,AG179)+IF(AH179="",Expenses!$B$17,AH179)+IF(AI179="",Expenses!$B$18,AI179))</f>
        <v/>
      </c>
      <c r="S179" s="36" t="str">
        <f aca="false">IF($A179="","",$R179*$M179)</f>
        <v/>
      </c>
      <c r="T179" s="36" t="str">
        <f aca="false">IF($A179="","",$K179+$S179)</f>
        <v/>
      </c>
      <c r="U179" s="42" t="str">
        <f aca="false">IF($A179="","",$Q179-$T179)</f>
        <v/>
      </c>
      <c r="V179" s="43" t="str">
        <f aca="false">IF(OR($A179="",$F179=0),"",$U179/$F179)</f>
        <v/>
      </c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</row>
    <row r="180" customFormat="false" ht="15" hidden="false" customHeight="false" outlineLevel="0" collapsed="false">
      <c r="A180" s="23"/>
      <c r="B180" s="24"/>
      <c r="C180" s="24"/>
      <c r="D180" s="23"/>
      <c r="E180" s="23"/>
      <c r="F180" s="25"/>
      <c r="G180" s="26"/>
      <c r="H180" s="19"/>
      <c r="I180" s="19"/>
      <c r="J180" s="27" t="str">
        <f aca="false">IF($A180="","",$H180*$F180)</f>
        <v/>
      </c>
      <c r="K180" s="27" t="str">
        <f aca="false">IF($A180="","",$G180+$J180)</f>
        <v/>
      </c>
      <c r="L180" s="28" t="str">
        <f aca="false">IF(OR($A180="",$F180=0),"",$K180/$F180)</f>
        <v/>
      </c>
      <c r="M180" s="29" t="str">
        <f aca="false">IF($A180="","",SUMIF('Lot Entry'!$A$7:$A$2000,$A180,'Lot Entry'!$H$7:$H$2000))</f>
        <v/>
      </c>
      <c r="N180" s="30" t="str">
        <f aca="false">IF($A180="","",SUMIF('Lot Entry'!$A$7:$A$2000,$A180,'Lot Entry'!$I$7:$I$2000))</f>
        <v/>
      </c>
      <c r="O180" s="31" t="str">
        <f aca="false">IF(OR($A180="",$F180=0),"",$N180/$F180)</f>
        <v/>
      </c>
      <c r="P180" s="32" t="str">
        <f aca="false">IF($A180="","",SUMIF('Lot Entry'!$A$7:$A$2000,$A180,'Lot Entry'!$J$7:$J$2000))</f>
        <v/>
      </c>
      <c r="Q180" s="27" t="str">
        <f aca="false">IF($A180="","",$P180*$I180)</f>
        <v/>
      </c>
      <c r="R180" s="28" t="str">
        <f aca="false">IF($A180="","",IF(W180="",Expenses!$B$6,W180)+IF(X180="",Expenses!$B$7,X180)+IF(Y180="",Expenses!$B$8,Y180)+IF(Z180="",Expenses!$B$9,Z180)+IF(AA180="",Expenses!$B$10,AA180)+IF(AB180="",Expenses!$B$11,AB180)+IF(AC180="",Expenses!$B$12,AC180)+IF(AD180="",Expenses!$B$13,AD180)+IF(AE180="",Expenses!$B$14,AE180)+IF(AF180="",Expenses!$B$15,AF180)+IF(AG180="",Expenses!$B$16,AG180)+IF(AH180="",Expenses!$B$17,AH180)+IF(AI180="",Expenses!$B$18,AI180))</f>
        <v/>
      </c>
      <c r="S180" s="27" t="str">
        <f aca="false">IF($A180="","",$R180*$M180)</f>
        <v/>
      </c>
      <c r="T180" s="27" t="str">
        <f aca="false">IF($A180="","",$K180+$S180)</f>
        <v/>
      </c>
      <c r="U180" s="33" t="str">
        <f aca="false">IF($A180="","",$Q180-$T180)</f>
        <v/>
      </c>
      <c r="V180" s="34" t="str">
        <f aca="false">IF(OR($A180="",$F180=0),"",$U180/$F180)</f>
        <v/>
      </c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</row>
    <row r="181" customFormat="false" ht="15" hidden="false" customHeight="false" outlineLevel="0" collapsed="false">
      <c r="A181" s="23"/>
      <c r="B181" s="24"/>
      <c r="C181" s="24"/>
      <c r="D181" s="23"/>
      <c r="E181" s="23"/>
      <c r="F181" s="25"/>
      <c r="G181" s="26"/>
      <c r="H181" s="19"/>
      <c r="I181" s="19"/>
      <c r="J181" s="36" t="str">
        <f aca="false">IF($A181="","",$H181*$F181)</f>
        <v/>
      </c>
      <c r="K181" s="36" t="str">
        <f aca="false">IF($A181="","",$G181+$J181)</f>
        <v/>
      </c>
      <c r="L181" s="37" t="str">
        <f aca="false">IF(OR($A181="",$F181=0),"",$K181/$F181)</f>
        <v/>
      </c>
      <c r="M181" s="38" t="str">
        <f aca="false">IF($A181="","",SUMIF('Lot Entry'!$A$7:$A$2000,$A181,'Lot Entry'!$H$7:$H$2000))</f>
        <v/>
      </c>
      <c r="N181" s="39" t="str">
        <f aca="false">IF($A181="","",SUMIF('Lot Entry'!$A$7:$A$2000,$A181,'Lot Entry'!$I$7:$I$2000))</f>
        <v/>
      </c>
      <c r="O181" s="40" t="str">
        <f aca="false">IF(OR($A181="",$F181=0),"",$N181/$F181)</f>
        <v/>
      </c>
      <c r="P181" s="41" t="str">
        <f aca="false">IF($A181="","",SUMIF('Lot Entry'!$A$7:$A$2000,$A181,'Lot Entry'!$J$7:$J$2000))</f>
        <v/>
      </c>
      <c r="Q181" s="36" t="str">
        <f aca="false">IF($A181="","",$P181*$I181)</f>
        <v/>
      </c>
      <c r="R181" s="37" t="str">
        <f aca="false">IF($A181="","",IF(W181="",Expenses!$B$6,W181)+IF(X181="",Expenses!$B$7,X181)+IF(Y181="",Expenses!$B$8,Y181)+IF(Z181="",Expenses!$B$9,Z181)+IF(AA181="",Expenses!$B$10,AA181)+IF(AB181="",Expenses!$B$11,AB181)+IF(AC181="",Expenses!$B$12,AC181)+IF(AD181="",Expenses!$B$13,AD181)+IF(AE181="",Expenses!$B$14,AE181)+IF(AF181="",Expenses!$B$15,AF181)+IF(AG181="",Expenses!$B$16,AG181)+IF(AH181="",Expenses!$B$17,AH181)+IF(AI181="",Expenses!$B$18,AI181))</f>
        <v/>
      </c>
      <c r="S181" s="36" t="str">
        <f aca="false">IF($A181="","",$R181*$M181)</f>
        <v/>
      </c>
      <c r="T181" s="36" t="str">
        <f aca="false">IF($A181="","",$K181+$S181)</f>
        <v/>
      </c>
      <c r="U181" s="42" t="str">
        <f aca="false">IF($A181="","",$Q181-$T181)</f>
        <v/>
      </c>
      <c r="V181" s="43" t="str">
        <f aca="false">IF(OR($A181="",$F181=0),"",$U181/$F181)</f>
        <v/>
      </c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</row>
    <row r="182" customFormat="false" ht="15" hidden="false" customHeight="false" outlineLevel="0" collapsed="false">
      <c r="A182" s="23"/>
      <c r="B182" s="24"/>
      <c r="C182" s="24"/>
      <c r="D182" s="23"/>
      <c r="E182" s="23"/>
      <c r="F182" s="25"/>
      <c r="G182" s="26"/>
      <c r="H182" s="19"/>
      <c r="I182" s="19"/>
      <c r="J182" s="27" t="str">
        <f aca="false">IF($A182="","",$H182*$F182)</f>
        <v/>
      </c>
      <c r="K182" s="27" t="str">
        <f aca="false">IF($A182="","",$G182+$J182)</f>
        <v/>
      </c>
      <c r="L182" s="28" t="str">
        <f aca="false">IF(OR($A182="",$F182=0),"",$K182/$F182)</f>
        <v/>
      </c>
      <c r="M182" s="29" t="str">
        <f aca="false">IF($A182="","",SUMIF('Lot Entry'!$A$7:$A$2000,$A182,'Lot Entry'!$H$7:$H$2000))</f>
        <v/>
      </c>
      <c r="N182" s="30" t="str">
        <f aca="false">IF($A182="","",SUMIF('Lot Entry'!$A$7:$A$2000,$A182,'Lot Entry'!$I$7:$I$2000))</f>
        <v/>
      </c>
      <c r="O182" s="31" t="str">
        <f aca="false">IF(OR($A182="",$F182=0),"",$N182/$F182)</f>
        <v/>
      </c>
      <c r="P182" s="32" t="str">
        <f aca="false">IF($A182="","",SUMIF('Lot Entry'!$A$7:$A$2000,$A182,'Lot Entry'!$J$7:$J$2000))</f>
        <v/>
      </c>
      <c r="Q182" s="27" t="str">
        <f aca="false">IF($A182="","",$P182*$I182)</f>
        <v/>
      </c>
      <c r="R182" s="28" t="str">
        <f aca="false">IF($A182="","",IF(W182="",Expenses!$B$6,W182)+IF(X182="",Expenses!$B$7,X182)+IF(Y182="",Expenses!$B$8,Y182)+IF(Z182="",Expenses!$B$9,Z182)+IF(AA182="",Expenses!$B$10,AA182)+IF(AB182="",Expenses!$B$11,AB182)+IF(AC182="",Expenses!$B$12,AC182)+IF(AD182="",Expenses!$B$13,AD182)+IF(AE182="",Expenses!$B$14,AE182)+IF(AF182="",Expenses!$B$15,AF182)+IF(AG182="",Expenses!$B$16,AG182)+IF(AH182="",Expenses!$B$17,AH182)+IF(AI182="",Expenses!$B$18,AI182))</f>
        <v/>
      </c>
      <c r="S182" s="27" t="str">
        <f aca="false">IF($A182="","",$R182*$M182)</f>
        <v/>
      </c>
      <c r="T182" s="27" t="str">
        <f aca="false">IF($A182="","",$K182+$S182)</f>
        <v/>
      </c>
      <c r="U182" s="33" t="str">
        <f aca="false">IF($A182="","",$Q182-$T182)</f>
        <v/>
      </c>
      <c r="V182" s="34" t="str">
        <f aca="false">IF(OR($A182="",$F182=0),"",$U182/$F182)</f>
        <v/>
      </c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</row>
    <row r="183" customFormat="false" ht="15" hidden="false" customHeight="false" outlineLevel="0" collapsed="false">
      <c r="A183" s="23"/>
      <c r="B183" s="24"/>
      <c r="C183" s="24"/>
      <c r="D183" s="23"/>
      <c r="E183" s="23"/>
      <c r="F183" s="25"/>
      <c r="G183" s="26"/>
      <c r="H183" s="19"/>
      <c r="I183" s="19"/>
      <c r="J183" s="36" t="str">
        <f aca="false">IF($A183="","",$H183*$F183)</f>
        <v/>
      </c>
      <c r="K183" s="36" t="str">
        <f aca="false">IF($A183="","",$G183+$J183)</f>
        <v/>
      </c>
      <c r="L183" s="37" t="str">
        <f aca="false">IF(OR($A183="",$F183=0),"",$K183/$F183)</f>
        <v/>
      </c>
      <c r="M183" s="38" t="str">
        <f aca="false">IF($A183="","",SUMIF('Lot Entry'!$A$7:$A$2000,$A183,'Lot Entry'!$H$7:$H$2000))</f>
        <v/>
      </c>
      <c r="N183" s="39" t="str">
        <f aca="false">IF($A183="","",SUMIF('Lot Entry'!$A$7:$A$2000,$A183,'Lot Entry'!$I$7:$I$2000))</f>
        <v/>
      </c>
      <c r="O183" s="40" t="str">
        <f aca="false">IF(OR($A183="",$F183=0),"",$N183/$F183)</f>
        <v/>
      </c>
      <c r="P183" s="41" t="str">
        <f aca="false">IF($A183="","",SUMIF('Lot Entry'!$A$7:$A$2000,$A183,'Lot Entry'!$J$7:$J$2000))</f>
        <v/>
      </c>
      <c r="Q183" s="36" t="str">
        <f aca="false">IF($A183="","",$P183*$I183)</f>
        <v/>
      </c>
      <c r="R183" s="37" t="str">
        <f aca="false">IF($A183="","",IF(W183="",Expenses!$B$6,W183)+IF(X183="",Expenses!$B$7,X183)+IF(Y183="",Expenses!$B$8,Y183)+IF(Z183="",Expenses!$B$9,Z183)+IF(AA183="",Expenses!$B$10,AA183)+IF(AB183="",Expenses!$B$11,AB183)+IF(AC183="",Expenses!$B$12,AC183)+IF(AD183="",Expenses!$B$13,AD183)+IF(AE183="",Expenses!$B$14,AE183)+IF(AF183="",Expenses!$B$15,AF183)+IF(AG183="",Expenses!$B$16,AG183)+IF(AH183="",Expenses!$B$17,AH183)+IF(AI183="",Expenses!$B$18,AI183))</f>
        <v/>
      </c>
      <c r="S183" s="36" t="str">
        <f aca="false">IF($A183="","",$R183*$M183)</f>
        <v/>
      </c>
      <c r="T183" s="36" t="str">
        <f aca="false">IF($A183="","",$K183+$S183)</f>
        <v/>
      </c>
      <c r="U183" s="42" t="str">
        <f aca="false">IF($A183="","",$Q183-$T183)</f>
        <v/>
      </c>
      <c r="V183" s="43" t="str">
        <f aca="false">IF(OR($A183="",$F183=0),"",$U183/$F183)</f>
        <v/>
      </c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</row>
    <row r="184" customFormat="false" ht="15" hidden="false" customHeight="false" outlineLevel="0" collapsed="false">
      <c r="A184" s="23"/>
      <c r="B184" s="24"/>
      <c r="C184" s="24"/>
      <c r="D184" s="23"/>
      <c r="E184" s="23"/>
      <c r="F184" s="25"/>
      <c r="G184" s="26"/>
      <c r="H184" s="19"/>
      <c r="I184" s="19"/>
      <c r="J184" s="27" t="str">
        <f aca="false">IF($A184="","",$H184*$F184)</f>
        <v/>
      </c>
      <c r="K184" s="27" t="str">
        <f aca="false">IF($A184="","",$G184+$J184)</f>
        <v/>
      </c>
      <c r="L184" s="28" t="str">
        <f aca="false">IF(OR($A184="",$F184=0),"",$K184/$F184)</f>
        <v/>
      </c>
      <c r="M184" s="29" t="str">
        <f aca="false">IF($A184="","",SUMIF('Lot Entry'!$A$7:$A$2000,$A184,'Lot Entry'!$H$7:$H$2000))</f>
        <v/>
      </c>
      <c r="N184" s="30" t="str">
        <f aca="false">IF($A184="","",SUMIF('Lot Entry'!$A$7:$A$2000,$A184,'Lot Entry'!$I$7:$I$2000))</f>
        <v/>
      </c>
      <c r="O184" s="31" t="str">
        <f aca="false">IF(OR($A184="",$F184=0),"",$N184/$F184)</f>
        <v/>
      </c>
      <c r="P184" s="32" t="str">
        <f aca="false">IF($A184="","",SUMIF('Lot Entry'!$A$7:$A$2000,$A184,'Lot Entry'!$J$7:$J$2000))</f>
        <v/>
      </c>
      <c r="Q184" s="27" t="str">
        <f aca="false">IF($A184="","",$P184*$I184)</f>
        <v/>
      </c>
      <c r="R184" s="28" t="str">
        <f aca="false">IF($A184="","",IF(W184="",Expenses!$B$6,W184)+IF(X184="",Expenses!$B$7,X184)+IF(Y184="",Expenses!$B$8,Y184)+IF(Z184="",Expenses!$B$9,Z184)+IF(AA184="",Expenses!$B$10,AA184)+IF(AB184="",Expenses!$B$11,AB184)+IF(AC184="",Expenses!$B$12,AC184)+IF(AD184="",Expenses!$B$13,AD184)+IF(AE184="",Expenses!$B$14,AE184)+IF(AF184="",Expenses!$B$15,AF184)+IF(AG184="",Expenses!$B$16,AG184)+IF(AH184="",Expenses!$B$17,AH184)+IF(AI184="",Expenses!$B$18,AI184))</f>
        <v/>
      </c>
      <c r="S184" s="27" t="str">
        <f aca="false">IF($A184="","",$R184*$M184)</f>
        <v/>
      </c>
      <c r="T184" s="27" t="str">
        <f aca="false">IF($A184="","",$K184+$S184)</f>
        <v/>
      </c>
      <c r="U184" s="33" t="str">
        <f aca="false">IF($A184="","",$Q184-$T184)</f>
        <v/>
      </c>
      <c r="V184" s="34" t="str">
        <f aca="false">IF(OR($A184="",$F184=0),"",$U184/$F184)</f>
        <v/>
      </c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</row>
    <row r="185" customFormat="false" ht="15" hidden="false" customHeight="false" outlineLevel="0" collapsed="false">
      <c r="A185" s="23"/>
      <c r="B185" s="24"/>
      <c r="C185" s="24"/>
      <c r="D185" s="23"/>
      <c r="E185" s="23"/>
      <c r="F185" s="25"/>
      <c r="G185" s="26"/>
      <c r="H185" s="19"/>
      <c r="I185" s="19"/>
      <c r="J185" s="36" t="str">
        <f aca="false">IF($A185="","",$H185*$F185)</f>
        <v/>
      </c>
      <c r="K185" s="36" t="str">
        <f aca="false">IF($A185="","",$G185+$J185)</f>
        <v/>
      </c>
      <c r="L185" s="37" t="str">
        <f aca="false">IF(OR($A185="",$F185=0),"",$K185/$F185)</f>
        <v/>
      </c>
      <c r="M185" s="38" t="str">
        <f aca="false">IF($A185="","",SUMIF('Lot Entry'!$A$7:$A$2000,$A185,'Lot Entry'!$H$7:$H$2000))</f>
        <v/>
      </c>
      <c r="N185" s="39" t="str">
        <f aca="false">IF($A185="","",SUMIF('Lot Entry'!$A$7:$A$2000,$A185,'Lot Entry'!$I$7:$I$2000))</f>
        <v/>
      </c>
      <c r="O185" s="40" t="str">
        <f aca="false">IF(OR($A185="",$F185=0),"",$N185/$F185)</f>
        <v/>
      </c>
      <c r="P185" s="41" t="str">
        <f aca="false">IF($A185="","",SUMIF('Lot Entry'!$A$7:$A$2000,$A185,'Lot Entry'!$J$7:$J$2000))</f>
        <v/>
      </c>
      <c r="Q185" s="36" t="str">
        <f aca="false">IF($A185="","",$P185*$I185)</f>
        <v/>
      </c>
      <c r="R185" s="37" t="str">
        <f aca="false">IF($A185="","",IF(W185="",Expenses!$B$6,W185)+IF(X185="",Expenses!$B$7,X185)+IF(Y185="",Expenses!$B$8,Y185)+IF(Z185="",Expenses!$B$9,Z185)+IF(AA185="",Expenses!$B$10,AA185)+IF(AB185="",Expenses!$B$11,AB185)+IF(AC185="",Expenses!$B$12,AC185)+IF(AD185="",Expenses!$B$13,AD185)+IF(AE185="",Expenses!$B$14,AE185)+IF(AF185="",Expenses!$B$15,AF185)+IF(AG185="",Expenses!$B$16,AG185)+IF(AH185="",Expenses!$B$17,AH185)+IF(AI185="",Expenses!$B$18,AI185))</f>
        <v/>
      </c>
      <c r="S185" s="36" t="str">
        <f aca="false">IF($A185="","",$R185*$M185)</f>
        <v/>
      </c>
      <c r="T185" s="36" t="str">
        <f aca="false">IF($A185="","",$K185+$S185)</f>
        <v/>
      </c>
      <c r="U185" s="42" t="str">
        <f aca="false">IF($A185="","",$Q185-$T185)</f>
        <v/>
      </c>
      <c r="V185" s="43" t="str">
        <f aca="false">IF(OR($A185="",$F185=0),"",$U185/$F185)</f>
        <v/>
      </c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</row>
    <row r="186" customFormat="false" ht="15" hidden="false" customHeight="false" outlineLevel="0" collapsed="false">
      <c r="A186" s="23"/>
      <c r="B186" s="24"/>
      <c r="C186" s="24"/>
      <c r="D186" s="23"/>
      <c r="E186" s="23"/>
      <c r="F186" s="25"/>
      <c r="G186" s="26"/>
      <c r="H186" s="19"/>
      <c r="I186" s="19"/>
      <c r="J186" s="27" t="str">
        <f aca="false">IF($A186="","",$H186*$F186)</f>
        <v/>
      </c>
      <c r="K186" s="27" t="str">
        <f aca="false">IF($A186="","",$G186+$J186)</f>
        <v/>
      </c>
      <c r="L186" s="28" t="str">
        <f aca="false">IF(OR($A186="",$F186=0),"",$K186/$F186)</f>
        <v/>
      </c>
      <c r="M186" s="29" t="str">
        <f aca="false">IF($A186="","",SUMIF('Lot Entry'!$A$7:$A$2000,$A186,'Lot Entry'!$H$7:$H$2000))</f>
        <v/>
      </c>
      <c r="N186" s="30" t="str">
        <f aca="false">IF($A186="","",SUMIF('Lot Entry'!$A$7:$A$2000,$A186,'Lot Entry'!$I$7:$I$2000))</f>
        <v/>
      </c>
      <c r="O186" s="31" t="str">
        <f aca="false">IF(OR($A186="",$F186=0),"",$N186/$F186)</f>
        <v/>
      </c>
      <c r="P186" s="32" t="str">
        <f aca="false">IF($A186="","",SUMIF('Lot Entry'!$A$7:$A$2000,$A186,'Lot Entry'!$J$7:$J$2000))</f>
        <v/>
      </c>
      <c r="Q186" s="27" t="str">
        <f aca="false">IF($A186="","",$P186*$I186)</f>
        <v/>
      </c>
      <c r="R186" s="28" t="str">
        <f aca="false">IF($A186="","",IF(W186="",Expenses!$B$6,W186)+IF(X186="",Expenses!$B$7,X186)+IF(Y186="",Expenses!$B$8,Y186)+IF(Z186="",Expenses!$B$9,Z186)+IF(AA186="",Expenses!$B$10,AA186)+IF(AB186="",Expenses!$B$11,AB186)+IF(AC186="",Expenses!$B$12,AC186)+IF(AD186="",Expenses!$B$13,AD186)+IF(AE186="",Expenses!$B$14,AE186)+IF(AF186="",Expenses!$B$15,AF186)+IF(AG186="",Expenses!$B$16,AG186)+IF(AH186="",Expenses!$B$17,AH186)+IF(AI186="",Expenses!$B$18,AI186))</f>
        <v/>
      </c>
      <c r="S186" s="27" t="str">
        <f aca="false">IF($A186="","",$R186*$M186)</f>
        <v/>
      </c>
      <c r="T186" s="27" t="str">
        <f aca="false">IF($A186="","",$K186+$S186)</f>
        <v/>
      </c>
      <c r="U186" s="33" t="str">
        <f aca="false">IF($A186="","",$Q186-$T186)</f>
        <v/>
      </c>
      <c r="V186" s="34" t="str">
        <f aca="false">IF(OR($A186="",$F186=0),"",$U186/$F186)</f>
        <v/>
      </c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</row>
    <row r="187" customFormat="false" ht="15" hidden="false" customHeight="false" outlineLevel="0" collapsed="false">
      <c r="A187" s="23"/>
      <c r="B187" s="24"/>
      <c r="C187" s="24"/>
      <c r="D187" s="23"/>
      <c r="E187" s="23"/>
      <c r="F187" s="25"/>
      <c r="G187" s="26"/>
      <c r="H187" s="19"/>
      <c r="I187" s="19"/>
      <c r="J187" s="36" t="str">
        <f aca="false">IF($A187="","",$H187*$F187)</f>
        <v/>
      </c>
      <c r="K187" s="36" t="str">
        <f aca="false">IF($A187="","",$G187+$J187)</f>
        <v/>
      </c>
      <c r="L187" s="37" t="str">
        <f aca="false">IF(OR($A187="",$F187=0),"",$K187/$F187)</f>
        <v/>
      </c>
      <c r="M187" s="38" t="str">
        <f aca="false">IF($A187="","",SUMIF('Lot Entry'!$A$7:$A$2000,$A187,'Lot Entry'!$H$7:$H$2000))</f>
        <v/>
      </c>
      <c r="N187" s="39" t="str">
        <f aca="false">IF($A187="","",SUMIF('Lot Entry'!$A$7:$A$2000,$A187,'Lot Entry'!$I$7:$I$2000))</f>
        <v/>
      </c>
      <c r="O187" s="40" t="str">
        <f aca="false">IF(OR($A187="",$F187=0),"",$N187/$F187)</f>
        <v/>
      </c>
      <c r="P187" s="41" t="str">
        <f aca="false">IF($A187="","",SUMIF('Lot Entry'!$A$7:$A$2000,$A187,'Lot Entry'!$J$7:$J$2000))</f>
        <v/>
      </c>
      <c r="Q187" s="36" t="str">
        <f aca="false">IF($A187="","",$P187*$I187)</f>
        <v/>
      </c>
      <c r="R187" s="37" t="str">
        <f aca="false">IF($A187="","",IF(W187="",Expenses!$B$6,W187)+IF(X187="",Expenses!$B$7,X187)+IF(Y187="",Expenses!$B$8,Y187)+IF(Z187="",Expenses!$B$9,Z187)+IF(AA187="",Expenses!$B$10,AA187)+IF(AB187="",Expenses!$B$11,AB187)+IF(AC187="",Expenses!$B$12,AC187)+IF(AD187="",Expenses!$B$13,AD187)+IF(AE187="",Expenses!$B$14,AE187)+IF(AF187="",Expenses!$B$15,AF187)+IF(AG187="",Expenses!$B$16,AG187)+IF(AH187="",Expenses!$B$17,AH187)+IF(AI187="",Expenses!$B$18,AI187))</f>
        <v/>
      </c>
      <c r="S187" s="36" t="str">
        <f aca="false">IF($A187="","",$R187*$M187)</f>
        <v/>
      </c>
      <c r="T187" s="36" t="str">
        <f aca="false">IF($A187="","",$K187+$S187)</f>
        <v/>
      </c>
      <c r="U187" s="42" t="str">
        <f aca="false">IF($A187="","",$Q187-$T187)</f>
        <v/>
      </c>
      <c r="V187" s="43" t="str">
        <f aca="false">IF(OR($A187="",$F187=0),"",$U187/$F187)</f>
        <v/>
      </c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</row>
    <row r="188" customFormat="false" ht="15" hidden="false" customHeight="false" outlineLevel="0" collapsed="false">
      <c r="A188" s="23"/>
      <c r="B188" s="24"/>
      <c r="C188" s="24"/>
      <c r="D188" s="23"/>
      <c r="E188" s="23"/>
      <c r="F188" s="25"/>
      <c r="G188" s="26"/>
      <c r="H188" s="19"/>
      <c r="I188" s="19"/>
      <c r="J188" s="27" t="str">
        <f aca="false">IF($A188="","",$H188*$F188)</f>
        <v/>
      </c>
      <c r="K188" s="27" t="str">
        <f aca="false">IF($A188="","",$G188+$J188)</f>
        <v/>
      </c>
      <c r="L188" s="28" t="str">
        <f aca="false">IF(OR($A188="",$F188=0),"",$K188/$F188)</f>
        <v/>
      </c>
      <c r="M188" s="29" t="str">
        <f aca="false">IF($A188="","",SUMIF('Lot Entry'!$A$7:$A$2000,$A188,'Lot Entry'!$H$7:$H$2000))</f>
        <v/>
      </c>
      <c r="N188" s="30" t="str">
        <f aca="false">IF($A188="","",SUMIF('Lot Entry'!$A$7:$A$2000,$A188,'Lot Entry'!$I$7:$I$2000))</f>
        <v/>
      </c>
      <c r="O188" s="31" t="str">
        <f aca="false">IF(OR($A188="",$F188=0),"",$N188/$F188)</f>
        <v/>
      </c>
      <c r="P188" s="32" t="str">
        <f aca="false">IF($A188="","",SUMIF('Lot Entry'!$A$7:$A$2000,$A188,'Lot Entry'!$J$7:$J$2000))</f>
        <v/>
      </c>
      <c r="Q188" s="27" t="str">
        <f aca="false">IF($A188="","",$P188*$I188)</f>
        <v/>
      </c>
      <c r="R188" s="28" t="str">
        <f aca="false">IF($A188="","",IF(W188="",Expenses!$B$6,W188)+IF(X188="",Expenses!$B$7,X188)+IF(Y188="",Expenses!$B$8,Y188)+IF(Z188="",Expenses!$B$9,Z188)+IF(AA188="",Expenses!$B$10,AA188)+IF(AB188="",Expenses!$B$11,AB188)+IF(AC188="",Expenses!$B$12,AC188)+IF(AD188="",Expenses!$B$13,AD188)+IF(AE188="",Expenses!$B$14,AE188)+IF(AF188="",Expenses!$B$15,AF188)+IF(AG188="",Expenses!$B$16,AG188)+IF(AH188="",Expenses!$B$17,AH188)+IF(AI188="",Expenses!$B$18,AI188))</f>
        <v/>
      </c>
      <c r="S188" s="27" t="str">
        <f aca="false">IF($A188="","",$R188*$M188)</f>
        <v/>
      </c>
      <c r="T188" s="27" t="str">
        <f aca="false">IF($A188="","",$K188+$S188)</f>
        <v/>
      </c>
      <c r="U188" s="33" t="str">
        <f aca="false">IF($A188="","",$Q188-$T188)</f>
        <v/>
      </c>
      <c r="V188" s="34" t="str">
        <f aca="false">IF(OR($A188="",$F188=0),"",$U188/$F188)</f>
        <v/>
      </c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</row>
    <row r="189" customFormat="false" ht="15" hidden="false" customHeight="false" outlineLevel="0" collapsed="false">
      <c r="A189" s="23"/>
      <c r="B189" s="24"/>
      <c r="C189" s="24"/>
      <c r="D189" s="23"/>
      <c r="E189" s="23"/>
      <c r="F189" s="25"/>
      <c r="G189" s="26"/>
      <c r="H189" s="19"/>
      <c r="I189" s="19"/>
      <c r="J189" s="36" t="str">
        <f aca="false">IF($A189="","",$H189*$F189)</f>
        <v/>
      </c>
      <c r="K189" s="36" t="str">
        <f aca="false">IF($A189="","",$G189+$J189)</f>
        <v/>
      </c>
      <c r="L189" s="37" t="str">
        <f aca="false">IF(OR($A189="",$F189=0),"",$K189/$F189)</f>
        <v/>
      </c>
      <c r="M189" s="38" t="str">
        <f aca="false">IF($A189="","",SUMIF('Lot Entry'!$A$7:$A$2000,$A189,'Lot Entry'!$H$7:$H$2000))</f>
        <v/>
      </c>
      <c r="N189" s="39" t="str">
        <f aca="false">IF($A189="","",SUMIF('Lot Entry'!$A$7:$A$2000,$A189,'Lot Entry'!$I$7:$I$2000))</f>
        <v/>
      </c>
      <c r="O189" s="40" t="str">
        <f aca="false">IF(OR($A189="",$F189=0),"",$N189/$F189)</f>
        <v/>
      </c>
      <c r="P189" s="41" t="str">
        <f aca="false">IF($A189="","",SUMIF('Lot Entry'!$A$7:$A$2000,$A189,'Lot Entry'!$J$7:$J$2000))</f>
        <v/>
      </c>
      <c r="Q189" s="36" t="str">
        <f aca="false">IF($A189="","",$P189*$I189)</f>
        <v/>
      </c>
      <c r="R189" s="37" t="str">
        <f aca="false">IF($A189="","",IF(W189="",Expenses!$B$6,W189)+IF(X189="",Expenses!$B$7,X189)+IF(Y189="",Expenses!$B$8,Y189)+IF(Z189="",Expenses!$B$9,Z189)+IF(AA189="",Expenses!$B$10,AA189)+IF(AB189="",Expenses!$B$11,AB189)+IF(AC189="",Expenses!$B$12,AC189)+IF(AD189="",Expenses!$B$13,AD189)+IF(AE189="",Expenses!$B$14,AE189)+IF(AF189="",Expenses!$B$15,AF189)+IF(AG189="",Expenses!$B$16,AG189)+IF(AH189="",Expenses!$B$17,AH189)+IF(AI189="",Expenses!$B$18,AI189))</f>
        <v/>
      </c>
      <c r="S189" s="36" t="str">
        <f aca="false">IF($A189="","",$R189*$M189)</f>
        <v/>
      </c>
      <c r="T189" s="36" t="str">
        <f aca="false">IF($A189="","",$K189+$S189)</f>
        <v/>
      </c>
      <c r="U189" s="42" t="str">
        <f aca="false">IF($A189="","",$Q189-$T189)</f>
        <v/>
      </c>
      <c r="V189" s="43" t="str">
        <f aca="false">IF(OR($A189="",$F189=0),"",$U189/$F189)</f>
        <v/>
      </c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</row>
    <row r="190" customFormat="false" ht="15" hidden="false" customHeight="false" outlineLevel="0" collapsed="false">
      <c r="A190" s="23"/>
      <c r="B190" s="24"/>
      <c r="C190" s="24"/>
      <c r="D190" s="23"/>
      <c r="E190" s="23"/>
      <c r="F190" s="25"/>
      <c r="G190" s="26"/>
      <c r="H190" s="19"/>
      <c r="I190" s="19"/>
      <c r="J190" s="27" t="str">
        <f aca="false">IF($A190="","",$H190*$F190)</f>
        <v/>
      </c>
      <c r="K190" s="27" t="str">
        <f aca="false">IF($A190="","",$G190+$J190)</f>
        <v/>
      </c>
      <c r="L190" s="28" t="str">
        <f aca="false">IF(OR($A190="",$F190=0),"",$K190/$F190)</f>
        <v/>
      </c>
      <c r="M190" s="29" t="str">
        <f aca="false">IF($A190="","",SUMIF('Lot Entry'!$A$7:$A$2000,$A190,'Lot Entry'!$H$7:$H$2000))</f>
        <v/>
      </c>
      <c r="N190" s="30" t="str">
        <f aca="false">IF($A190="","",SUMIF('Lot Entry'!$A$7:$A$2000,$A190,'Lot Entry'!$I$7:$I$2000))</f>
        <v/>
      </c>
      <c r="O190" s="31" t="str">
        <f aca="false">IF(OR($A190="",$F190=0),"",$N190/$F190)</f>
        <v/>
      </c>
      <c r="P190" s="32" t="str">
        <f aca="false">IF($A190="","",SUMIF('Lot Entry'!$A$7:$A$2000,$A190,'Lot Entry'!$J$7:$J$2000))</f>
        <v/>
      </c>
      <c r="Q190" s="27" t="str">
        <f aca="false">IF($A190="","",$P190*$I190)</f>
        <v/>
      </c>
      <c r="R190" s="28" t="str">
        <f aca="false">IF($A190="","",IF(W190="",Expenses!$B$6,W190)+IF(X190="",Expenses!$B$7,X190)+IF(Y190="",Expenses!$B$8,Y190)+IF(Z190="",Expenses!$B$9,Z190)+IF(AA190="",Expenses!$B$10,AA190)+IF(AB190="",Expenses!$B$11,AB190)+IF(AC190="",Expenses!$B$12,AC190)+IF(AD190="",Expenses!$B$13,AD190)+IF(AE190="",Expenses!$B$14,AE190)+IF(AF190="",Expenses!$B$15,AF190)+IF(AG190="",Expenses!$B$16,AG190)+IF(AH190="",Expenses!$B$17,AH190)+IF(AI190="",Expenses!$B$18,AI190))</f>
        <v/>
      </c>
      <c r="S190" s="27" t="str">
        <f aca="false">IF($A190="","",$R190*$M190)</f>
        <v/>
      </c>
      <c r="T190" s="27" t="str">
        <f aca="false">IF($A190="","",$K190+$S190)</f>
        <v/>
      </c>
      <c r="U190" s="33" t="str">
        <f aca="false">IF($A190="","",$Q190-$T190)</f>
        <v/>
      </c>
      <c r="V190" s="34" t="str">
        <f aca="false">IF(OR($A190="",$F190=0),"",$U190/$F190)</f>
        <v/>
      </c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</row>
    <row r="191" customFormat="false" ht="15" hidden="false" customHeight="false" outlineLevel="0" collapsed="false">
      <c r="A191" s="23"/>
      <c r="B191" s="24"/>
      <c r="C191" s="24"/>
      <c r="D191" s="23"/>
      <c r="E191" s="23"/>
      <c r="F191" s="25"/>
      <c r="G191" s="26"/>
      <c r="H191" s="19"/>
      <c r="I191" s="19"/>
      <c r="J191" s="36" t="str">
        <f aca="false">IF($A191="","",$H191*$F191)</f>
        <v/>
      </c>
      <c r="K191" s="36" t="str">
        <f aca="false">IF($A191="","",$G191+$J191)</f>
        <v/>
      </c>
      <c r="L191" s="37" t="str">
        <f aca="false">IF(OR($A191="",$F191=0),"",$K191/$F191)</f>
        <v/>
      </c>
      <c r="M191" s="38" t="str">
        <f aca="false">IF($A191="","",SUMIF('Lot Entry'!$A$7:$A$2000,$A191,'Lot Entry'!$H$7:$H$2000))</f>
        <v/>
      </c>
      <c r="N191" s="39" t="str">
        <f aca="false">IF($A191="","",SUMIF('Lot Entry'!$A$7:$A$2000,$A191,'Lot Entry'!$I$7:$I$2000))</f>
        <v/>
      </c>
      <c r="O191" s="40" t="str">
        <f aca="false">IF(OR($A191="",$F191=0),"",$N191/$F191)</f>
        <v/>
      </c>
      <c r="P191" s="41" t="str">
        <f aca="false">IF($A191="","",SUMIF('Lot Entry'!$A$7:$A$2000,$A191,'Lot Entry'!$J$7:$J$2000))</f>
        <v/>
      </c>
      <c r="Q191" s="36" t="str">
        <f aca="false">IF($A191="","",$P191*$I191)</f>
        <v/>
      </c>
      <c r="R191" s="37" t="str">
        <f aca="false">IF($A191="","",IF(W191="",Expenses!$B$6,W191)+IF(X191="",Expenses!$B$7,X191)+IF(Y191="",Expenses!$B$8,Y191)+IF(Z191="",Expenses!$B$9,Z191)+IF(AA191="",Expenses!$B$10,AA191)+IF(AB191="",Expenses!$B$11,AB191)+IF(AC191="",Expenses!$B$12,AC191)+IF(AD191="",Expenses!$B$13,AD191)+IF(AE191="",Expenses!$B$14,AE191)+IF(AF191="",Expenses!$B$15,AF191)+IF(AG191="",Expenses!$B$16,AG191)+IF(AH191="",Expenses!$B$17,AH191)+IF(AI191="",Expenses!$B$18,AI191))</f>
        <v/>
      </c>
      <c r="S191" s="36" t="str">
        <f aca="false">IF($A191="","",$R191*$M191)</f>
        <v/>
      </c>
      <c r="T191" s="36" t="str">
        <f aca="false">IF($A191="","",$K191+$S191)</f>
        <v/>
      </c>
      <c r="U191" s="42" t="str">
        <f aca="false">IF($A191="","",$Q191-$T191)</f>
        <v/>
      </c>
      <c r="V191" s="43" t="str">
        <f aca="false">IF(OR($A191="",$F191=0),"",$U191/$F191)</f>
        <v/>
      </c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</row>
    <row r="192" customFormat="false" ht="15" hidden="false" customHeight="false" outlineLevel="0" collapsed="false">
      <c r="A192" s="23"/>
      <c r="B192" s="24"/>
      <c r="C192" s="24"/>
      <c r="D192" s="23"/>
      <c r="E192" s="23"/>
      <c r="F192" s="25"/>
      <c r="G192" s="26"/>
      <c r="H192" s="19"/>
      <c r="I192" s="19"/>
      <c r="J192" s="27" t="str">
        <f aca="false">IF($A192="","",$H192*$F192)</f>
        <v/>
      </c>
      <c r="K192" s="27" t="str">
        <f aca="false">IF($A192="","",$G192+$J192)</f>
        <v/>
      </c>
      <c r="L192" s="28" t="str">
        <f aca="false">IF(OR($A192="",$F192=0),"",$K192/$F192)</f>
        <v/>
      </c>
      <c r="M192" s="29" t="str">
        <f aca="false">IF($A192="","",SUMIF('Lot Entry'!$A$7:$A$2000,$A192,'Lot Entry'!$H$7:$H$2000))</f>
        <v/>
      </c>
      <c r="N192" s="30" t="str">
        <f aca="false">IF($A192="","",SUMIF('Lot Entry'!$A$7:$A$2000,$A192,'Lot Entry'!$I$7:$I$2000))</f>
        <v/>
      </c>
      <c r="O192" s="31" t="str">
        <f aca="false">IF(OR($A192="",$F192=0),"",$N192/$F192)</f>
        <v/>
      </c>
      <c r="P192" s="32" t="str">
        <f aca="false">IF($A192="","",SUMIF('Lot Entry'!$A$7:$A$2000,$A192,'Lot Entry'!$J$7:$J$2000))</f>
        <v/>
      </c>
      <c r="Q192" s="27" t="str">
        <f aca="false">IF($A192="","",$P192*$I192)</f>
        <v/>
      </c>
      <c r="R192" s="28" t="str">
        <f aca="false">IF($A192="","",IF(W192="",Expenses!$B$6,W192)+IF(X192="",Expenses!$B$7,X192)+IF(Y192="",Expenses!$B$8,Y192)+IF(Z192="",Expenses!$B$9,Z192)+IF(AA192="",Expenses!$B$10,AA192)+IF(AB192="",Expenses!$B$11,AB192)+IF(AC192="",Expenses!$B$12,AC192)+IF(AD192="",Expenses!$B$13,AD192)+IF(AE192="",Expenses!$B$14,AE192)+IF(AF192="",Expenses!$B$15,AF192)+IF(AG192="",Expenses!$B$16,AG192)+IF(AH192="",Expenses!$B$17,AH192)+IF(AI192="",Expenses!$B$18,AI192))</f>
        <v/>
      </c>
      <c r="S192" s="27" t="str">
        <f aca="false">IF($A192="","",$R192*$M192)</f>
        <v/>
      </c>
      <c r="T192" s="27" t="str">
        <f aca="false">IF($A192="","",$K192+$S192)</f>
        <v/>
      </c>
      <c r="U192" s="33" t="str">
        <f aca="false">IF($A192="","",$Q192-$T192)</f>
        <v/>
      </c>
      <c r="V192" s="34" t="str">
        <f aca="false">IF(OR($A192="",$F192=0),"",$U192/$F192)</f>
        <v/>
      </c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</row>
    <row r="193" customFormat="false" ht="15" hidden="false" customHeight="false" outlineLevel="0" collapsed="false">
      <c r="A193" s="23"/>
      <c r="B193" s="24"/>
      <c r="C193" s="24"/>
      <c r="D193" s="23"/>
      <c r="E193" s="23"/>
      <c r="F193" s="25"/>
      <c r="G193" s="26"/>
      <c r="H193" s="19"/>
      <c r="I193" s="19"/>
      <c r="J193" s="36" t="str">
        <f aca="false">IF($A193="","",$H193*$F193)</f>
        <v/>
      </c>
      <c r="K193" s="36" t="str">
        <f aca="false">IF($A193="","",$G193+$J193)</f>
        <v/>
      </c>
      <c r="L193" s="37" t="str">
        <f aca="false">IF(OR($A193="",$F193=0),"",$K193/$F193)</f>
        <v/>
      </c>
      <c r="M193" s="38" t="str">
        <f aca="false">IF($A193="","",SUMIF('Lot Entry'!$A$7:$A$2000,$A193,'Lot Entry'!$H$7:$H$2000))</f>
        <v/>
      </c>
      <c r="N193" s="39" t="str">
        <f aca="false">IF($A193="","",SUMIF('Lot Entry'!$A$7:$A$2000,$A193,'Lot Entry'!$I$7:$I$2000))</f>
        <v/>
      </c>
      <c r="O193" s="40" t="str">
        <f aca="false">IF(OR($A193="",$F193=0),"",$N193/$F193)</f>
        <v/>
      </c>
      <c r="P193" s="41" t="str">
        <f aca="false">IF($A193="","",SUMIF('Lot Entry'!$A$7:$A$2000,$A193,'Lot Entry'!$J$7:$J$2000))</f>
        <v/>
      </c>
      <c r="Q193" s="36" t="str">
        <f aca="false">IF($A193="","",$P193*$I193)</f>
        <v/>
      </c>
      <c r="R193" s="37" t="str">
        <f aca="false">IF($A193="","",IF(W193="",Expenses!$B$6,W193)+IF(X193="",Expenses!$B$7,X193)+IF(Y193="",Expenses!$B$8,Y193)+IF(Z193="",Expenses!$B$9,Z193)+IF(AA193="",Expenses!$B$10,AA193)+IF(AB193="",Expenses!$B$11,AB193)+IF(AC193="",Expenses!$B$12,AC193)+IF(AD193="",Expenses!$B$13,AD193)+IF(AE193="",Expenses!$B$14,AE193)+IF(AF193="",Expenses!$B$15,AF193)+IF(AG193="",Expenses!$B$16,AG193)+IF(AH193="",Expenses!$B$17,AH193)+IF(AI193="",Expenses!$B$18,AI193))</f>
        <v/>
      </c>
      <c r="S193" s="36" t="str">
        <f aca="false">IF($A193="","",$R193*$M193)</f>
        <v/>
      </c>
      <c r="T193" s="36" t="str">
        <f aca="false">IF($A193="","",$K193+$S193)</f>
        <v/>
      </c>
      <c r="U193" s="42" t="str">
        <f aca="false">IF($A193="","",$Q193-$T193)</f>
        <v/>
      </c>
      <c r="V193" s="43" t="str">
        <f aca="false">IF(OR($A193="",$F193=0),"",$U193/$F193)</f>
        <v/>
      </c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</row>
    <row r="194" customFormat="false" ht="15" hidden="false" customHeight="false" outlineLevel="0" collapsed="false">
      <c r="A194" s="23"/>
      <c r="B194" s="24"/>
      <c r="C194" s="24"/>
      <c r="D194" s="23"/>
      <c r="E194" s="23"/>
      <c r="F194" s="25"/>
      <c r="G194" s="26"/>
      <c r="H194" s="19"/>
      <c r="I194" s="19"/>
      <c r="J194" s="27" t="str">
        <f aca="false">IF($A194="","",$H194*$F194)</f>
        <v/>
      </c>
      <c r="K194" s="27" t="str">
        <f aca="false">IF($A194="","",$G194+$J194)</f>
        <v/>
      </c>
      <c r="L194" s="28" t="str">
        <f aca="false">IF(OR($A194="",$F194=0),"",$K194/$F194)</f>
        <v/>
      </c>
      <c r="M194" s="29" t="str">
        <f aca="false">IF($A194="","",SUMIF('Lot Entry'!$A$7:$A$2000,$A194,'Lot Entry'!$H$7:$H$2000))</f>
        <v/>
      </c>
      <c r="N194" s="30" t="str">
        <f aca="false">IF($A194="","",SUMIF('Lot Entry'!$A$7:$A$2000,$A194,'Lot Entry'!$I$7:$I$2000))</f>
        <v/>
      </c>
      <c r="O194" s="31" t="str">
        <f aca="false">IF(OR($A194="",$F194=0),"",$N194/$F194)</f>
        <v/>
      </c>
      <c r="P194" s="32" t="str">
        <f aca="false">IF($A194="","",SUMIF('Lot Entry'!$A$7:$A$2000,$A194,'Lot Entry'!$J$7:$J$2000))</f>
        <v/>
      </c>
      <c r="Q194" s="27" t="str">
        <f aca="false">IF($A194="","",$P194*$I194)</f>
        <v/>
      </c>
      <c r="R194" s="28" t="str">
        <f aca="false">IF($A194="","",IF(W194="",Expenses!$B$6,W194)+IF(X194="",Expenses!$B$7,X194)+IF(Y194="",Expenses!$B$8,Y194)+IF(Z194="",Expenses!$B$9,Z194)+IF(AA194="",Expenses!$B$10,AA194)+IF(AB194="",Expenses!$B$11,AB194)+IF(AC194="",Expenses!$B$12,AC194)+IF(AD194="",Expenses!$B$13,AD194)+IF(AE194="",Expenses!$B$14,AE194)+IF(AF194="",Expenses!$B$15,AF194)+IF(AG194="",Expenses!$B$16,AG194)+IF(AH194="",Expenses!$B$17,AH194)+IF(AI194="",Expenses!$B$18,AI194))</f>
        <v/>
      </c>
      <c r="S194" s="27" t="str">
        <f aca="false">IF($A194="","",$R194*$M194)</f>
        <v/>
      </c>
      <c r="T194" s="27" t="str">
        <f aca="false">IF($A194="","",$K194+$S194)</f>
        <v/>
      </c>
      <c r="U194" s="33" t="str">
        <f aca="false">IF($A194="","",$Q194-$T194)</f>
        <v/>
      </c>
      <c r="V194" s="34" t="str">
        <f aca="false">IF(OR($A194="",$F194=0),"",$U194/$F194)</f>
        <v/>
      </c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</row>
    <row r="195" customFormat="false" ht="15" hidden="false" customHeight="false" outlineLevel="0" collapsed="false">
      <c r="A195" s="23"/>
      <c r="B195" s="24"/>
      <c r="C195" s="24"/>
      <c r="D195" s="23"/>
      <c r="E195" s="23"/>
      <c r="F195" s="25"/>
      <c r="G195" s="26"/>
      <c r="H195" s="19"/>
      <c r="I195" s="19"/>
      <c r="J195" s="36" t="str">
        <f aca="false">IF($A195="","",$H195*$F195)</f>
        <v/>
      </c>
      <c r="K195" s="36" t="str">
        <f aca="false">IF($A195="","",$G195+$J195)</f>
        <v/>
      </c>
      <c r="L195" s="37" t="str">
        <f aca="false">IF(OR($A195="",$F195=0),"",$K195/$F195)</f>
        <v/>
      </c>
      <c r="M195" s="38" t="str">
        <f aca="false">IF($A195="","",SUMIF('Lot Entry'!$A$7:$A$2000,$A195,'Lot Entry'!$H$7:$H$2000))</f>
        <v/>
      </c>
      <c r="N195" s="39" t="str">
        <f aca="false">IF($A195="","",SUMIF('Lot Entry'!$A$7:$A$2000,$A195,'Lot Entry'!$I$7:$I$2000))</f>
        <v/>
      </c>
      <c r="O195" s="40" t="str">
        <f aca="false">IF(OR($A195="",$F195=0),"",$N195/$F195)</f>
        <v/>
      </c>
      <c r="P195" s="41" t="str">
        <f aca="false">IF($A195="","",SUMIF('Lot Entry'!$A$7:$A$2000,$A195,'Lot Entry'!$J$7:$J$2000))</f>
        <v/>
      </c>
      <c r="Q195" s="36" t="str">
        <f aca="false">IF($A195="","",$P195*$I195)</f>
        <v/>
      </c>
      <c r="R195" s="37" t="str">
        <f aca="false">IF($A195="","",IF(W195="",Expenses!$B$6,W195)+IF(X195="",Expenses!$B$7,X195)+IF(Y195="",Expenses!$B$8,Y195)+IF(Z195="",Expenses!$B$9,Z195)+IF(AA195="",Expenses!$B$10,AA195)+IF(AB195="",Expenses!$B$11,AB195)+IF(AC195="",Expenses!$B$12,AC195)+IF(AD195="",Expenses!$B$13,AD195)+IF(AE195="",Expenses!$B$14,AE195)+IF(AF195="",Expenses!$B$15,AF195)+IF(AG195="",Expenses!$B$16,AG195)+IF(AH195="",Expenses!$B$17,AH195)+IF(AI195="",Expenses!$B$18,AI195))</f>
        <v/>
      </c>
      <c r="S195" s="36" t="str">
        <f aca="false">IF($A195="","",$R195*$M195)</f>
        <v/>
      </c>
      <c r="T195" s="36" t="str">
        <f aca="false">IF($A195="","",$K195+$S195)</f>
        <v/>
      </c>
      <c r="U195" s="42" t="str">
        <f aca="false">IF($A195="","",$Q195-$T195)</f>
        <v/>
      </c>
      <c r="V195" s="43" t="str">
        <f aca="false">IF(OR($A195="",$F195=0),"",$U195/$F195)</f>
        <v/>
      </c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</row>
    <row r="196" customFormat="false" ht="15" hidden="false" customHeight="false" outlineLevel="0" collapsed="false">
      <c r="A196" s="23"/>
      <c r="B196" s="24"/>
      <c r="C196" s="24"/>
      <c r="D196" s="23"/>
      <c r="E196" s="23"/>
      <c r="F196" s="25"/>
      <c r="G196" s="26"/>
      <c r="H196" s="19"/>
      <c r="I196" s="19"/>
      <c r="J196" s="27" t="str">
        <f aca="false">IF($A196="","",$H196*$F196)</f>
        <v/>
      </c>
      <c r="K196" s="27" t="str">
        <f aca="false">IF($A196="","",$G196+$J196)</f>
        <v/>
      </c>
      <c r="L196" s="28" t="str">
        <f aca="false">IF(OR($A196="",$F196=0),"",$K196/$F196)</f>
        <v/>
      </c>
      <c r="M196" s="29" t="str">
        <f aca="false">IF($A196="","",SUMIF('Lot Entry'!$A$7:$A$2000,$A196,'Lot Entry'!$H$7:$H$2000))</f>
        <v/>
      </c>
      <c r="N196" s="30" t="str">
        <f aca="false">IF($A196="","",SUMIF('Lot Entry'!$A$7:$A$2000,$A196,'Lot Entry'!$I$7:$I$2000))</f>
        <v/>
      </c>
      <c r="O196" s="31" t="str">
        <f aca="false">IF(OR($A196="",$F196=0),"",$N196/$F196)</f>
        <v/>
      </c>
      <c r="P196" s="32" t="str">
        <f aca="false">IF($A196="","",SUMIF('Lot Entry'!$A$7:$A$2000,$A196,'Lot Entry'!$J$7:$J$2000))</f>
        <v/>
      </c>
      <c r="Q196" s="27" t="str">
        <f aca="false">IF($A196="","",$P196*$I196)</f>
        <v/>
      </c>
      <c r="R196" s="28" t="str">
        <f aca="false">IF($A196="","",IF(W196="",Expenses!$B$6,W196)+IF(X196="",Expenses!$B$7,X196)+IF(Y196="",Expenses!$B$8,Y196)+IF(Z196="",Expenses!$B$9,Z196)+IF(AA196="",Expenses!$B$10,AA196)+IF(AB196="",Expenses!$B$11,AB196)+IF(AC196="",Expenses!$B$12,AC196)+IF(AD196="",Expenses!$B$13,AD196)+IF(AE196="",Expenses!$B$14,AE196)+IF(AF196="",Expenses!$B$15,AF196)+IF(AG196="",Expenses!$B$16,AG196)+IF(AH196="",Expenses!$B$17,AH196)+IF(AI196="",Expenses!$B$18,AI196))</f>
        <v/>
      </c>
      <c r="S196" s="27" t="str">
        <f aca="false">IF($A196="","",$R196*$M196)</f>
        <v/>
      </c>
      <c r="T196" s="27" t="str">
        <f aca="false">IF($A196="","",$K196+$S196)</f>
        <v/>
      </c>
      <c r="U196" s="33" t="str">
        <f aca="false">IF($A196="","",$Q196-$T196)</f>
        <v/>
      </c>
      <c r="V196" s="34" t="str">
        <f aca="false">IF(OR($A196="",$F196=0),"",$U196/$F196)</f>
        <v/>
      </c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</row>
    <row r="197" customFormat="false" ht="15" hidden="false" customHeight="false" outlineLevel="0" collapsed="false">
      <c r="A197" s="23"/>
      <c r="B197" s="24"/>
      <c r="C197" s="24"/>
      <c r="D197" s="23"/>
      <c r="E197" s="23"/>
      <c r="F197" s="25"/>
      <c r="G197" s="26"/>
      <c r="H197" s="19"/>
      <c r="I197" s="19"/>
      <c r="J197" s="36" t="str">
        <f aca="false">IF($A197="","",$H197*$F197)</f>
        <v/>
      </c>
      <c r="K197" s="36" t="str">
        <f aca="false">IF($A197="","",$G197+$J197)</f>
        <v/>
      </c>
      <c r="L197" s="37" t="str">
        <f aca="false">IF(OR($A197="",$F197=0),"",$K197/$F197)</f>
        <v/>
      </c>
      <c r="M197" s="38" t="str">
        <f aca="false">IF($A197="","",SUMIF('Lot Entry'!$A$7:$A$2000,$A197,'Lot Entry'!$H$7:$H$2000))</f>
        <v/>
      </c>
      <c r="N197" s="39" t="str">
        <f aca="false">IF($A197="","",SUMIF('Lot Entry'!$A$7:$A$2000,$A197,'Lot Entry'!$I$7:$I$2000))</f>
        <v/>
      </c>
      <c r="O197" s="40" t="str">
        <f aca="false">IF(OR($A197="",$F197=0),"",$N197/$F197)</f>
        <v/>
      </c>
      <c r="P197" s="41" t="str">
        <f aca="false">IF($A197="","",SUMIF('Lot Entry'!$A$7:$A$2000,$A197,'Lot Entry'!$J$7:$J$2000))</f>
        <v/>
      </c>
      <c r="Q197" s="36" t="str">
        <f aca="false">IF($A197="","",$P197*$I197)</f>
        <v/>
      </c>
      <c r="R197" s="37" t="str">
        <f aca="false">IF($A197="","",IF(W197="",Expenses!$B$6,W197)+IF(X197="",Expenses!$B$7,X197)+IF(Y197="",Expenses!$B$8,Y197)+IF(Z197="",Expenses!$B$9,Z197)+IF(AA197="",Expenses!$B$10,AA197)+IF(AB197="",Expenses!$B$11,AB197)+IF(AC197="",Expenses!$B$12,AC197)+IF(AD197="",Expenses!$B$13,AD197)+IF(AE197="",Expenses!$B$14,AE197)+IF(AF197="",Expenses!$B$15,AF197)+IF(AG197="",Expenses!$B$16,AG197)+IF(AH197="",Expenses!$B$17,AH197)+IF(AI197="",Expenses!$B$18,AI197))</f>
        <v/>
      </c>
      <c r="S197" s="36" t="str">
        <f aca="false">IF($A197="","",$R197*$M197)</f>
        <v/>
      </c>
      <c r="T197" s="36" t="str">
        <f aca="false">IF($A197="","",$K197+$S197)</f>
        <v/>
      </c>
      <c r="U197" s="42" t="str">
        <f aca="false">IF($A197="","",$Q197-$T197)</f>
        <v/>
      </c>
      <c r="V197" s="43" t="str">
        <f aca="false">IF(OR($A197="",$F197=0),"",$U197/$F197)</f>
        <v/>
      </c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</row>
    <row r="198" customFormat="false" ht="15" hidden="false" customHeight="false" outlineLevel="0" collapsed="false">
      <c r="A198" s="23"/>
      <c r="B198" s="24"/>
      <c r="C198" s="24"/>
      <c r="D198" s="23"/>
      <c r="E198" s="23"/>
      <c r="F198" s="25"/>
      <c r="G198" s="26"/>
      <c r="H198" s="19"/>
      <c r="I198" s="19"/>
      <c r="J198" s="27" t="str">
        <f aca="false">IF($A198="","",$H198*$F198)</f>
        <v/>
      </c>
      <c r="K198" s="27" t="str">
        <f aca="false">IF($A198="","",$G198+$J198)</f>
        <v/>
      </c>
      <c r="L198" s="28" t="str">
        <f aca="false">IF(OR($A198="",$F198=0),"",$K198/$F198)</f>
        <v/>
      </c>
      <c r="M198" s="29" t="str">
        <f aca="false">IF($A198="","",SUMIF('Lot Entry'!$A$7:$A$2000,$A198,'Lot Entry'!$H$7:$H$2000))</f>
        <v/>
      </c>
      <c r="N198" s="30" t="str">
        <f aca="false">IF($A198="","",SUMIF('Lot Entry'!$A$7:$A$2000,$A198,'Lot Entry'!$I$7:$I$2000))</f>
        <v/>
      </c>
      <c r="O198" s="31" t="str">
        <f aca="false">IF(OR($A198="",$F198=0),"",$N198/$F198)</f>
        <v/>
      </c>
      <c r="P198" s="32" t="str">
        <f aca="false">IF($A198="","",SUMIF('Lot Entry'!$A$7:$A$2000,$A198,'Lot Entry'!$J$7:$J$2000))</f>
        <v/>
      </c>
      <c r="Q198" s="27" t="str">
        <f aca="false">IF($A198="","",$P198*$I198)</f>
        <v/>
      </c>
      <c r="R198" s="28" t="str">
        <f aca="false">IF($A198="","",IF(W198="",Expenses!$B$6,W198)+IF(X198="",Expenses!$B$7,X198)+IF(Y198="",Expenses!$B$8,Y198)+IF(Z198="",Expenses!$B$9,Z198)+IF(AA198="",Expenses!$B$10,AA198)+IF(AB198="",Expenses!$B$11,AB198)+IF(AC198="",Expenses!$B$12,AC198)+IF(AD198="",Expenses!$B$13,AD198)+IF(AE198="",Expenses!$B$14,AE198)+IF(AF198="",Expenses!$B$15,AF198)+IF(AG198="",Expenses!$B$16,AG198)+IF(AH198="",Expenses!$B$17,AH198)+IF(AI198="",Expenses!$B$18,AI198))</f>
        <v/>
      </c>
      <c r="S198" s="27" t="str">
        <f aca="false">IF($A198="","",$R198*$M198)</f>
        <v/>
      </c>
      <c r="T198" s="27" t="str">
        <f aca="false">IF($A198="","",$K198+$S198)</f>
        <v/>
      </c>
      <c r="U198" s="33" t="str">
        <f aca="false">IF($A198="","",$Q198-$T198)</f>
        <v/>
      </c>
      <c r="V198" s="34" t="str">
        <f aca="false">IF(OR($A198="",$F198=0),"",$U198/$F198)</f>
        <v/>
      </c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</row>
    <row r="199" customFormat="false" ht="15" hidden="false" customHeight="false" outlineLevel="0" collapsed="false">
      <c r="A199" s="23"/>
      <c r="B199" s="24"/>
      <c r="C199" s="24"/>
      <c r="D199" s="23"/>
      <c r="E199" s="23"/>
      <c r="F199" s="25"/>
      <c r="G199" s="26"/>
      <c r="H199" s="19"/>
      <c r="I199" s="19"/>
      <c r="J199" s="36" t="str">
        <f aca="false">IF($A199="","",$H199*$F199)</f>
        <v/>
      </c>
      <c r="K199" s="36" t="str">
        <f aca="false">IF($A199="","",$G199+$J199)</f>
        <v/>
      </c>
      <c r="L199" s="37" t="str">
        <f aca="false">IF(OR($A199="",$F199=0),"",$K199/$F199)</f>
        <v/>
      </c>
      <c r="M199" s="38" t="str">
        <f aca="false">IF($A199="","",SUMIF('Lot Entry'!$A$7:$A$2000,$A199,'Lot Entry'!$H$7:$H$2000))</f>
        <v/>
      </c>
      <c r="N199" s="39" t="str">
        <f aca="false">IF($A199="","",SUMIF('Lot Entry'!$A$7:$A$2000,$A199,'Lot Entry'!$I$7:$I$2000))</f>
        <v/>
      </c>
      <c r="O199" s="40" t="str">
        <f aca="false">IF(OR($A199="",$F199=0),"",$N199/$F199)</f>
        <v/>
      </c>
      <c r="P199" s="41" t="str">
        <f aca="false">IF($A199="","",SUMIF('Lot Entry'!$A$7:$A$2000,$A199,'Lot Entry'!$J$7:$J$2000))</f>
        <v/>
      </c>
      <c r="Q199" s="36" t="str">
        <f aca="false">IF($A199="","",$P199*$I199)</f>
        <v/>
      </c>
      <c r="R199" s="37" t="str">
        <f aca="false">IF($A199="","",IF(W199="",Expenses!$B$6,W199)+IF(X199="",Expenses!$B$7,X199)+IF(Y199="",Expenses!$B$8,Y199)+IF(Z199="",Expenses!$B$9,Z199)+IF(AA199="",Expenses!$B$10,AA199)+IF(AB199="",Expenses!$B$11,AB199)+IF(AC199="",Expenses!$B$12,AC199)+IF(AD199="",Expenses!$B$13,AD199)+IF(AE199="",Expenses!$B$14,AE199)+IF(AF199="",Expenses!$B$15,AF199)+IF(AG199="",Expenses!$B$16,AG199)+IF(AH199="",Expenses!$B$17,AH199)+IF(AI199="",Expenses!$B$18,AI199))</f>
        <v/>
      </c>
      <c r="S199" s="36" t="str">
        <f aca="false">IF($A199="","",$R199*$M199)</f>
        <v/>
      </c>
      <c r="T199" s="36" t="str">
        <f aca="false">IF($A199="","",$K199+$S199)</f>
        <v/>
      </c>
      <c r="U199" s="42" t="str">
        <f aca="false">IF($A199="","",$Q199-$T199)</f>
        <v/>
      </c>
      <c r="V199" s="43" t="str">
        <f aca="false">IF(OR($A199="",$F199=0),"",$U199/$F199)</f>
        <v/>
      </c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</row>
    <row r="200" customFormat="false" ht="15" hidden="false" customHeight="false" outlineLevel="0" collapsed="false">
      <c r="A200" s="23"/>
      <c r="B200" s="24"/>
      <c r="C200" s="24"/>
      <c r="D200" s="23"/>
      <c r="E200" s="23"/>
      <c r="F200" s="25"/>
      <c r="G200" s="26"/>
      <c r="H200" s="19"/>
      <c r="I200" s="19"/>
      <c r="J200" s="27" t="str">
        <f aca="false">IF($A200="","",$H200*$F200)</f>
        <v/>
      </c>
      <c r="K200" s="27" t="str">
        <f aca="false">IF($A200="","",$G200+$J200)</f>
        <v/>
      </c>
      <c r="L200" s="28" t="str">
        <f aca="false">IF(OR($A200="",$F200=0),"",$K200/$F200)</f>
        <v/>
      </c>
      <c r="M200" s="29" t="str">
        <f aca="false">IF($A200="","",SUMIF('Lot Entry'!$A$7:$A$2000,$A200,'Lot Entry'!$H$7:$H$2000))</f>
        <v/>
      </c>
      <c r="N200" s="30" t="str">
        <f aca="false">IF($A200="","",SUMIF('Lot Entry'!$A$7:$A$2000,$A200,'Lot Entry'!$I$7:$I$2000))</f>
        <v/>
      </c>
      <c r="O200" s="31" t="str">
        <f aca="false">IF(OR($A200="",$F200=0),"",$N200/$F200)</f>
        <v/>
      </c>
      <c r="P200" s="32" t="str">
        <f aca="false">IF($A200="","",SUMIF('Lot Entry'!$A$7:$A$2000,$A200,'Lot Entry'!$J$7:$J$2000))</f>
        <v/>
      </c>
      <c r="Q200" s="27" t="str">
        <f aca="false">IF($A200="","",$P200*$I200)</f>
        <v/>
      </c>
      <c r="R200" s="28" t="str">
        <f aca="false">IF($A200="","",IF(W200="",Expenses!$B$6,W200)+IF(X200="",Expenses!$B$7,X200)+IF(Y200="",Expenses!$B$8,Y200)+IF(Z200="",Expenses!$B$9,Z200)+IF(AA200="",Expenses!$B$10,AA200)+IF(AB200="",Expenses!$B$11,AB200)+IF(AC200="",Expenses!$B$12,AC200)+IF(AD200="",Expenses!$B$13,AD200)+IF(AE200="",Expenses!$B$14,AE200)+IF(AF200="",Expenses!$B$15,AF200)+IF(AG200="",Expenses!$B$16,AG200)+IF(AH200="",Expenses!$B$17,AH200)+IF(AI200="",Expenses!$B$18,AI200))</f>
        <v/>
      </c>
      <c r="S200" s="27" t="str">
        <f aca="false">IF($A200="","",$R200*$M200)</f>
        <v/>
      </c>
      <c r="T200" s="27" t="str">
        <f aca="false">IF($A200="","",$K200+$S200)</f>
        <v/>
      </c>
      <c r="U200" s="33" t="str">
        <f aca="false">IF($A200="","",$Q200-$T200)</f>
        <v/>
      </c>
      <c r="V200" s="34" t="str">
        <f aca="false">IF(OR($A200="",$F200=0),"",$U200/$F200)</f>
        <v/>
      </c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</row>
  </sheetData>
  <sheetProtection sheet="true" password="df10" objects="true" scenarios="true" autoFilter="false"/>
  <autoFilter ref="A7:V200"/>
  <conditionalFormatting sqref="U8:U200">
    <cfRule type="expression" priority="2" aboveAverage="0" equalAverage="0" bottom="0" percent="0" rank="0" text="" dxfId="7">
      <formula>AND($A8&lt;&gt;"",$U8&lt;0)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24" width="12"/>
    <col collapsed="false" customWidth="true" hidden="false" outlineLevel="0" max="2" min="2" style="125" width="20"/>
    <col collapsed="false" customWidth="true" hidden="false" outlineLevel="0" max="3" min="3" style="126" width="18"/>
    <col collapsed="false" customWidth="true" hidden="false" outlineLevel="0" max="4" min="4" style="127" width="10"/>
    <col collapsed="false" customWidth="true" hidden="false" outlineLevel="0" max="5" min="5" style="128" width="12"/>
    <col collapsed="false" customWidth="true" hidden="false" outlineLevel="0" max="6" min="6" style="129" width="14"/>
    <col collapsed="false" customWidth="true" hidden="false" outlineLevel="0" max="7" min="7" style="130" width="13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2"/>
    <col collapsed="false" customWidth="true" hidden="false" outlineLevel="0" max="12" min="12" style="0" width="22"/>
    <col collapsed="false" customWidth="true" hidden="false" outlineLevel="0" max="14" min="14" style="0" width="30"/>
    <col collapsed="false" customWidth="true" hidden="false" outlineLevel="0" max="18" min="18" style="0" width="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7" t="s">
        <v>119</v>
      </c>
      <c r="N4" s="48" t="s">
        <v>120</v>
      </c>
      <c r="R4" s="49" t="n">
        <f aca="false">SUMPRODUCT((A7:A2000&lt;&gt;"")*(COUNTIF(Lots!$A$8:$A$200,A7:A2000)=0))</f>
        <v>0</v>
      </c>
      <c r="S4" s="7" t="s">
        <v>121</v>
      </c>
    </row>
    <row r="6" customFormat="false" ht="27.75" hidden="false" customHeight="true" outlineLevel="0" collapsed="false">
      <c r="A6" s="8" t="s">
        <v>81</v>
      </c>
      <c r="B6" s="8" t="s">
        <v>38</v>
      </c>
      <c r="C6" s="8" t="s">
        <v>39</v>
      </c>
      <c r="D6" s="9" t="s">
        <v>122</v>
      </c>
      <c r="E6" s="9" t="s">
        <v>123</v>
      </c>
      <c r="F6" s="9" t="s">
        <v>124</v>
      </c>
      <c r="G6" s="9" t="s">
        <v>125</v>
      </c>
      <c r="H6" s="9" t="s">
        <v>126</v>
      </c>
      <c r="I6" s="9" t="s">
        <v>94</v>
      </c>
      <c r="J6" s="9" t="s">
        <v>127</v>
      </c>
      <c r="K6" s="50"/>
      <c r="L6" s="10" t="s">
        <v>128</v>
      </c>
    </row>
    <row r="7" customFormat="false" ht="15" hidden="false" customHeight="false" outlineLevel="0" collapsed="false">
      <c r="A7" s="11" t="s">
        <v>116</v>
      </c>
      <c r="B7" s="11" t="s">
        <v>43</v>
      </c>
      <c r="C7" s="11" t="s">
        <v>44</v>
      </c>
      <c r="D7" s="51" t="n">
        <v>617</v>
      </c>
      <c r="E7" s="12" t="n">
        <v>2</v>
      </c>
      <c r="F7" s="12" t="n">
        <v>2.15</v>
      </c>
      <c r="G7" s="13" t="n">
        <v>7</v>
      </c>
      <c r="H7" s="52" t="n">
        <f aca="false">IF($A7="","",$D7*$E7)</f>
        <v>1234</v>
      </c>
      <c r="I7" s="30" t="n">
        <f aca="false">IF($A7="","",$D7*$F7)</f>
        <v>1326.55</v>
      </c>
      <c r="J7" s="32" t="n">
        <f aca="false">IF($A7="","",$H7*$G7)</f>
        <v>8638</v>
      </c>
      <c r="L7" s="14" t="str">
        <f aca="false">IF($A7="","",$A7&amp;"#"&amp;COUNTIF($A$7:$A7,$A7))</f>
        <v>C 1374#1</v>
      </c>
    </row>
    <row r="8" customFormat="false" ht="15" hidden="false" customHeight="false" outlineLevel="0" collapsed="false">
      <c r="A8" s="11" t="s">
        <v>116</v>
      </c>
      <c r="B8" s="11" t="s">
        <v>45</v>
      </c>
      <c r="C8" s="11" t="s">
        <v>46</v>
      </c>
      <c r="D8" s="51" t="n">
        <v>629</v>
      </c>
      <c r="E8" s="12" t="n">
        <v>2</v>
      </c>
      <c r="F8" s="12" t="n">
        <v>2.2</v>
      </c>
      <c r="G8" s="13" t="n">
        <v>7</v>
      </c>
      <c r="H8" s="53" t="n">
        <f aca="false">IF($A8="","",$D8*$E8)</f>
        <v>1258</v>
      </c>
      <c r="I8" s="39" t="n">
        <f aca="false">IF($A8="","",$D8*$F8)</f>
        <v>1383.8</v>
      </c>
      <c r="J8" s="41" t="n">
        <f aca="false">IF($A8="","",$H8*$G8)</f>
        <v>8806</v>
      </c>
      <c r="L8" s="14" t="str">
        <f aca="false">IF($A8="","",$A8&amp;"#"&amp;COUNTIF($A$7:$A8,$A8))</f>
        <v>C 1374#2</v>
      </c>
    </row>
    <row r="9" customFormat="false" ht="15" hidden="false" customHeight="false" outlineLevel="0" collapsed="false">
      <c r="A9" s="11" t="s">
        <v>116</v>
      </c>
      <c r="B9" s="11" t="s">
        <v>45</v>
      </c>
      <c r="C9" s="11" t="s">
        <v>48</v>
      </c>
      <c r="D9" s="51" t="n">
        <v>86</v>
      </c>
      <c r="E9" s="12" t="n">
        <v>2</v>
      </c>
      <c r="F9" s="12" t="n">
        <v>2.2</v>
      </c>
      <c r="G9" s="13" t="n">
        <v>6</v>
      </c>
      <c r="H9" s="52" t="n">
        <f aca="false">IF($A9="","",$D9*$E9)</f>
        <v>172</v>
      </c>
      <c r="I9" s="30" t="n">
        <f aca="false">IF($A9="","",$D9*$F9)</f>
        <v>189.2</v>
      </c>
      <c r="J9" s="32" t="n">
        <f aca="false">IF($A9="","",$H9*$G9)</f>
        <v>1032</v>
      </c>
      <c r="L9" s="14" t="str">
        <f aca="false">IF($A9="","",$A9&amp;"#"&amp;COUNTIF($A$7:$A9,$A9))</f>
        <v>C 1374#3</v>
      </c>
    </row>
    <row r="10" customFormat="false" ht="15" hidden="false" customHeight="false" outlineLevel="0" collapsed="false">
      <c r="A10" s="11" t="s">
        <v>116</v>
      </c>
      <c r="B10" s="11" t="s">
        <v>52</v>
      </c>
      <c r="C10" s="11" t="s">
        <v>56</v>
      </c>
      <c r="D10" s="51" t="n">
        <v>21</v>
      </c>
      <c r="E10" s="12" t="n">
        <v>2</v>
      </c>
      <c r="F10" s="12" t="n">
        <v>2.3</v>
      </c>
      <c r="G10" s="13" t="n">
        <v>2.5</v>
      </c>
      <c r="H10" s="53" t="n">
        <f aca="false">IF($A10="","",$D10*$E10)</f>
        <v>42</v>
      </c>
      <c r="I10" s="39" t="n">
        <f aca="false">IF($A10="","",$D10*$F10)</f>
        <v>48.3</v>
      </c>
      <c r="J10" s="41" t="n">
        <f aca="false">IF($A10="","",$H10*$G10)</f>
        <v>105</v>
      </c>
      <c r="L10" s="14" t="str">
        <f aca="false">IF($A10="","",$A10&amp;"#"&amp;COUNTIF($A$7:$A10,$A10))</f>
        <v>C 1374#4</v>
      </c>
    </row>
    <row r="11" customFormat="false" ht="15" hidden="false" customHeight="false" outlineLevel="0" collapsed="false">
      <c r="A11" s="11"/>
      <c r="B11" s="11"/>
      <c r="C11" s="11"/>
      <c r="D11" s="51"/>
      <c r="E11" s="12"/>
      <c r="F11" s="12"/>
      <c r="G11" s="13"/>
      <c r="H11" s="52" t="str">
        <f aca="false">IF($A11="","",$D11*$E11)</f>
        <v/>
      </c>
      <c r="I11" s="30" t="str">
        <f aca="false">IF($A11="","",$D11*$F11)</f>
        <v/>
      </c>
      <c r="J11" s="32" t="str">
        <f aca="false">IF($A11="","",$H11*$G11)</f>
        <v/>
      </c>
      <c r="L11" s="14" t="str">
        <f aca="false">IF($A11="","",$A11&amp;"#"&amp;COUNTIF($A$7:$A11,$A11))</f>
        <v/>
      </c>
    </row>
    <row r="12" customFormat="false" ht="15" hidden="false" customHeight="false" outlineLevel="0" collapsed="false">
      <c r="A12" s="11"/>
      <c r="B12" s="11"/>
      <c r="C12" s="11"/>
      <c r="D12" s="51"/>
      <c r="E12" s="12"/>
      <c r="F12" s="12"/>
      <c r="G12" s="13"/>
      <c r="H12" s="53" t="str">
        <f aca="false">IF($A12="","",$D12*$E12)</f>
        <v/>
      </c>
      <c r="I12" s="39" t="str">
        <f aca="false">IF($A12="","",$D12*$F12)</f>
        <v/>
      </c>
      <c r="J12" s="41" t="str">
        <f aca="false">IF($A12="","",$H12*$G12)</f>
        <v/>
      </c>
      <c r="L12" s="14" t="str">
        <f aca="false">IF($A12="","",$A12&amp;"#"&amp;COUNTIF($A$7:$A12,$A12))</f>
        <v/>
      </c>
    </row>
    <row r="13" customFormat="false" ht="15" hidden="false" customHeight="false" outlineLevel="0" collapsed="false">
      <c r="A13" s="11"/>
      <c r="B13" s="11"/>
      <c r="C13" s="11"/>
      <c r="D13" s="51"/>
      <c r="E13" s="12"/>
      <c r="F13" s="12"/>
      <c r="G13" s="13"/>
      <c r="H13" s="52" t="str">
        <f aca="false">IF($A13="","",$D13*$E13)</f>
        <v/>
      </c>
      <c r="I13" s="30" t="str">
        <f aca="false">IF($A13="","",$D13*$F13)</f>
        <v/>
      </c>
      <c r="J13" s="32" t="str">
        <f aca="false">IF($A13="","",$H13*$G13)</f>
        <v/>
      </c>
      <c r="L13" s="14" t="str">
        <f aca="false">IF($A13="","",$A13&amp;"#"&amp;COUNTIF($A$7:$A13,$A13))</f>
        <v/>
      </c>
    </row>
    <row r="14" customFormat="false" ht="15" hidden="false" customHeight="false" outlineLevel="0" collapsed="false">
      <c r="A14" s="11"/>
      <c r="B14" s="11"/>
      <c r="C14" s="11"/>
      <c r="D14" s="51"/>
      <c r="E14" s="12"/>
      <c r="F14" s="12"/>
      <c r="G14" s="13"/>
      <c r="H14" s="53" t="str">
        <f aca="false">IF($A14="","",$D14*$E14)</f>
        <v/>
      </c>
      <c r="I14" s="39" t="str">
        <f aca="false">IF($A14="","",$D14*$F14)</f>
        <v/>
      </c>
      <c r="J14" s="41" t="str">
        <f aca="false">IF($A14="","",$H14*$G14)</f>
        <v/>
      </c>
      <c r="L14" s="14" t="str">
        <f aca="false">IF($A14="","",$A14&amp;"#"&amp;COUNTIF($A$7:$A14,$A14))</f>
        <v/>
      </c>
    </row>
    <row r="15" customFormat="false" ht="15" hidden="false" customHeight="false" outlineLevel="0" collapsed="false">
      <c r="A15" s="11"/>
      <c r="B15" s="11"/>
      <c r="C15" s="11"/>
      <c r="D15" s="51"/>
      <c r="E15" s="12"/>
      <c r="F15" s="12"/>
      <c r="G15" s="13"/>
      <c r="H15" s="52" t="str">
        <f aca="false">IF($A15="","",$D15*$E15)</f>
        <v/>
      </c>
      <c r="I15" s="30" t="str">
        <f aca="false">IF($A15="","",$D15*$F15)</f>
        <v/>
      </c>
      <c r="J15" s="32" t="str">
        <f aca="false">IF($A15="","",$H15*$G15)</f>
        <v/>
      </c>
      <c r="L15" s="14" t="str">
        <f aca="false">IF($A15="","",$A15&amp;"#"&amp;COUNTIF($A$7:$A15,$A15))</f>
        <v/>
      </c>
    </row>
    <row r="16" customFormat="false" ht="15" hidden="false" customHeight="false" outlineLevel="0" collapsed="false">
      <c r="A16" s="11"/>
      <c r="B16" s="11"/>
      <c r="C16" s="11"/>
      <c r="D16" s="51"/>
      <c r="E16" s="12"/>
      <c r="F16" s="12"/>
      <c r="G16" s="13"/>
      <c r="H16" s="53" t="str">
        <f aca="false">IF($A16="","",$D16*$E16)</f>
        <v/>
      </c>
      <c r="I16" s="39" t="str">
        <f aca="false">IF($A16="","",$D16*$F16)</f>
        <v/>
      </c>
      <c r="J16" s="41" t="str">
        <f aca="false">IF($A16="","",$H16*$G16)</f>
        <v/>
      </c>
      <c r="L16" s="14" t="str">
        <f aca="false">IF($A16="","",$A16&amp;"#"&amp;COUNTIF($A$7:$A16,$A16))</f>
        <v/>
      </c>
    </row>
    <row r="17" customFormat="false" ht="15" hidden="false" customHeight="false" outlineLevel="0" collapsed="false">
      <c r="A17" s="11"/>
      <c r="B17" s="11"/>
      <c r="C17" s="11"/>
      <c r="D17" s="51"/>
      <c r="E17" s="12"/>
      <c r="F17" s="12"/>
      <c r="G17" s="13"/>
      <c r="H17" s="52" t="str">
        <f aca="false">IF($A17="","",$D17*$E17)</f>
        <v/>
      </c>
      <c r="I17" s="30" t="str">
        <f aca="false">IF($A17="","",$D17*$F17)</f>
        <v/>
      </c>
      <c r="J17" s="32" t="str">
        <f aca="false">IF($A17="","",$H17*$G17)</f>
        <v/>
      </c>
      <c r="L17" s="14" t="str">
        <f aca="false">IF($A17="","",$A17&amp;"#"&amp;COUNTIF($A$7:$A17,$A17))</f>
        <v/>
      </c>
    </row>
    <row r="18" customFormat="false" ht="15" hidden="false" customHeight="false" outlineLevel="0" collapsed="false">
      <c r="A18" s="11"/>
      <c r="B18" s="11"/>
      <c r="C18" s="11"/>
      <c r="D18" s="51"/>
      <c r="E18" s="12"/>
      <c r="F18" s="12"/>
      <c r="G18" s="13"/>
      <c r="H18" s="53" t="str">
        <f aca="false">IF($A18="","",$D18*$E18)</f>
        <v/>
      </c>
      <c r="I18" s="39" t="str">
        <f aca="false">IF($A18="","",$D18*$F18)</f>
        <v/>
      </c>
      <c r="J18" s="41" t="str">
        <f aca="false">IF($A18="","",$H18*$G18)</f>
        <v/>
      </c>
      <c r="L18" s="14" t="str">
        <f aca="false">IF($A18="","",$A18&amp;"#"&amp;COUNTIF($A$7:$A18,$A18))</f>
        <v/>
      </c>
    </row>
    <row r="19" customFormat="false" ht="15" hidden="false" customHeight="false" outlineLevel="0" collapsed="false">
      <c r="A19" s="11"/>
      <c r="B19" s="11"/>
      <c r="C19" s="11"/>
      <c r="D19" s="51"/>
      <c r="E19" s="12"/>
      <c r="F19" s="12"/>
      <c r="G19" s="13"/>
      <c r="H19" s="52" t="str">
        <f aca="false">IF($A19="","",$D19*$E19)</f>
        <v/>
      </c>
      <c r="I19" s="30" t="str">
        <f aca="false">IF($A19="","",$D19*$F19)</f>
        <v/>
      </c>
      <c r="J19" s="32" t="str">
        <f aca="false">IF($A19="","",$H19*$G19)</f>
        <v/>
      </c>
      <c r="L19" s="14" t="str">
        <f aca="false">IF($A19="","",$A19&amp;"#"&amp;COUNTIF($A$7:$A19,$A19))</f>
        <v/>
      </c>
    </row>
    <row r="20" customFormat="false" ht="15" hidden="false" customHeight="false" outlineLevel="0" collapsed="false">
      <c r="A20" s="11"/>
      <c r="B20" s="11"/>
      <c r="C20" s="11"/>
      <c r="D20" s="51"/>
      <c r="E20" s="12"/>
      <c r="F20" s="12"/>
      <c r="G20" s="13"/>
      <c r="H20" s="53" t="str">
        <f aca="false">IF($A20="","",$D20*$E20)</f>
        <v/>
      </c>
      <c r="I20" s="39" t="str">
        <f aca="false">IF($A20="","",$D20*$F20)</f>
        <v/>
      </c>
      <c r="J20" s="41" t="str">
        <f aca="false">IF($A20="","",$H20*$G20)</f>
        <v/>
      </c>
      <c r="L20" s="14" t="str">
        <f aca="false">IF($A20="","",$A20&amp;"#"&amp;COUNTIF($A$7:$A20,$A20))</f>
        <v/>
      </c>
    </row>
    <row r="21" customFormat="false" ht="15" hidden="false" customHeight="false" outlineLevel="0" collapsed="false">
      <c r="A21" s="11"/>
      <c r="B21" s="11"/>
      <c r="C21" s="11"/>
      <c r="D21" s="51"/>
      <c r="E21" s="12"/>
      <c r="F21" s="12"/>
      <c r="G21" s="13"/>
      <c r="H21" s="52" t="str">
        <f aca="false">IF($A21="","",$D21*$E21)</f>
        <v/>
      </c>
      <c r="I21" s="30" t="str">
        <f aca="false">IF($A21="","",$D21*$F21)</f>
        <v/>
      </c>
      <c r="J21" s="32" t="str">
        <f aca="false">IF($A21="","",$H21*$G21)</f>
        <v/>
      </c>
      <c r="L21" s="14" t="str">
        <f aca="false">IF($A21="","",$A21&amp;"#"&amp;COUNTIF($A$7:$A21,$A21))</f>
        <v/>
      </c>
    </row>
    <row r="22" customFormat="false" ht="15" hidden="false" customHeight="false" outlineLevel="0" collapsed="false">
      <c r="A22" s="11"/>
      <c r="B22" s="11"/>
      <c r="C22" s="11"/>
      <c r="D22" s="51"/>
      <c r="E22" s="12"/>
      <c r="F22" s="12"/>
      <c r="G22" s="13"/>
      <c r="H22" s="53" t="str">
        <f aca="false">IF($A22="","",$D22*$E22)</f>
        <v/>
      </c>
      <c r="I22" s="39" t="str">
        <f aca="false">IF($A22="","",$D22*$F22)</f>
        <v/>
      </c>
      <c r="J22" s="41" t="str">
        <f aca="false">IF($A22="","",$H22*$G22)</f>
        <v/>
      </c>
      <c r="L22" s="14" t="str">
        <f aca="false">IF($A22="","",$A22&amp;"#"&amp;COUNTIF($A$7:$A22,$A22))</f>
        <v/>
      </c>
    </row>
    <row r="23" customFormat="false" ht="15" hidden="false" customHeight="false" outlineLevel="0" collapsed="false">
      <c r="A23" s="11"/>
      <c r="B23" s="11"/>
      <c r="C23" s="11"/>
      <c r="D23" s="51"/>
      <c r="E23" s="12"/>
      <c r="F23" s="12"/>
      <c r="G23" s="13"/>
      <c r="H23" s="52" t="str">
        <f aca="false">IF($A23="","",$D23*$E23)</f>
        <v/>
      </c>
      <c r="I23" s="30" t="str">
        <f aca="false">IF($A23="","",$D23*$F23)</f>
        <v/>
      </c>
      <c r="J23" s="32" t="str">
        <f aca="false">IF($A23="","",$H23*$G23)</f>
        <v/>
      </c>
      <c r="L23" s="14" t="str">
        <f aca="false">IF($A23="","",$A23&amp;"#"&amp;COUNTIF($A$7:$A23,$A23))</f>
        <v/>
      </c>
    </row>
    <row r="24" customFormat="false" ht="15" hidden="false" customHeight="false" outlineLevel="0" collapsed="false">
      <c r="A24" s="11"/>
      <c r="B24" s="11"/>
      <c r="C24" s="11"/>
      <c r="D24" s="51"/>
      <c r="E24" s="12"/>
      <c r="F24" s="12"/>
      <c r="G24" s="13"/>
      <c r="H24" s="53" t="str">
        <f aca="false">IF($A24="","",$D24*$E24)</f>
        <v/>
      </c>
      <c r="I24" s="39" t="str">
        <f aca="false">IF($A24="","",$D24*$F24)</f>
        <v/>
      </c>
      <c r="J24" s="41" t="str">
        <f aca="false">IF($A24="","",$H24*$G24)</f>
        <v/>
      </c>
      <c r="L24" s="14" t="str">
        <f aca="false">IF($A24="","",$A24&amp;"#"&amp;COUNTIF($A$7:$A24,$A24))</f>
        <v/>
      </c>
    </row>
    <row r="25" customFormat="false" ht="15" hidden="false" customHeight="false" outlineLevel="0" collapsed="false">
      <c r="A25" s="11"/>
      <c r="B25" s="11"/>
      <c r="C25" s="11"/>
      <c r="D25" s="51"/>
      <c r="E25" s="12"/>
      <c r="F25" s="12"/>
      <c r="G25" s="13"/>
      <c r="H25" s="52" t="str">
        <f aca="false">IF($A25="","",$D25*$E25)</f>
        <v/>
      </c>
      <c r="I25" s="30" t="str">
        <f aca="false">IF($A25="","",$D25*$F25)</f>
        <v/>
      </c>
      <c r="J25" s="32" t="str">
        <f aca="false">IF($A25="","",$H25*$G25)</f>
        <v/>
      </c>
      <c r="L25" s="14" t="str">
        <f aca="false">IF($A25="","",$A25&amp;"#"&amp;COUNTIF($A$7:$A25,$A25))</f>
        <v/>
      </c>
    </row>
    <row r="26" customFormat="false" ht="15" hidden="false" customHeight="false" outlineLevel="0" collapsed="false">
      <c r="A26" s="11"/>
      <c r="B26" s="11"/>
      <c r="C26" s="11"/>
      <c r="D26" s="51"/>
      <c r="E26" s="12"/>
      <c r="F26" s="12"/>
      <c r="G26" s="13"/>
      <c r="H26" s="53" t="str">
        <f aca="false">IF($A26="","",$D26*$E26)</f>
        <v/>
      </c>
      <c r="I26" s="39" t="str">
        <f aca="false">IF($A26="","",$D26*$F26)</f>
        <v/>
      </c>
      <c r="J26" s="41" t="str">
        <f aca="false">IF($A26="","",$H26*$G26)</f>
        <v/>
      </c>
      <c r="L26" s="14" t="str">
        <f aca="false">IF($A26="","",$A26&amp;"#"&amp;COUNTIF($A$7:$A26,$A26))</f>
        <v/>
      </c>
    </row>
    <row r="27" customFormat="false" ht="15" hidden="false" customHeight="false" outlineLevel="0" collapsed="false">
      <c r="A27" s="11"/>
      <c r="B27" s="11"/>
      <c r="C27" s="11"/>
      <c r="D27" s="51"/>
      <c r="E27" s="12"/>
      <c r="F27" s="12"/>
      <c r="G27" s="13"/>
      <c r="H27" s="52" t="str">
        <f aca="false">IF($A27="","",$D27*$E27)</f>
        <v/>
      </c>
      <c r="I27" s="30" t="str">
        <f aca="false">IF($A27="","",$D27*$F27)</f>
        <v/>
      </c>
      <c r="J27" s="32" t="str">
        <f aca="false">IF($A27="","",$H27*$G27)</f>
        <v/>
      </c>
      <c r="L27" s="14" t="str">
        <f aca="false">IF($A27="","",$A27&amp;"#"&amp;COUNTIF($A$7:$A27,$A27))</f>
        <v/>
      </c>
    </row>
    <row r="28" customFormat="false" ht="15" hidden="false" customHeight="false" outlineLevel="0" collapsed="false">
      <c r="A28" s="11"/>
      <c r="B28" s="11"/>
      <c r="C28" s="11"/>
      <c r="D28" s="51"/>
      <c r="E28" s="12"/>
      <c r="F28" s="12"/>
      <c r="G28" s="13"/>
      <c r="H28" s="53" t="str">
        <f aca="false">IF($A28="","",$D28*$E28)</f>
        <v/>
      </c>
      <c r="I28" s="39" t="str">
        <f aca="false">IF($A28="","",$D28*$F28)</f>
        <v/>
      </c>
      <c r="J28" s="41" t="str">
        <f aca="false">IF($A28="","",$H28*$G28)</f>
        <v/>
      </c>
      <c r="L28" s="14" t="str">
        <f aca="false">IF($A28="","",$A28&amp;"#"&amp;COUNTIF($A$7:$A28,$A28))</f>
        <v/>
      </c>
    </row>
    <row r="29" customFormat="false" ht="15" hidden="false" customHeight="false" outlineLevel="0" collapsed="false">
      <c r="A29" s="11"/>
      <c r="B29" s="11"/>
      <c r="C29" s="11"/>
      <c r="D29" s="51"/>
      <c r="E29" s="12"/>
      <c r="F29" s="12"/>
      <c r="G29" s="13"/>
      <c r="H29" s="52" t="str">
        <f aca="false">IF($A29="","",$D29*$E29)</f>
        <v/>
      </c>
      <c r="I29" s="30" t="str">
        <f aca="false">IF($A29="","",$D29*$F29)</f>
        <v/>
      </c>
      <c r="J29" s="32" t="str">
        <f aca="false">IF($A29="","",$H29*$G29)</f>
        <v/>
      </c>
      <c r="L29" s="14" t="str">
        <f aca="false">IF($A29="","",$A29&amp;"#"&amp;COUNTIF($A$7:$A29,$A29))</f>
        <v/>
      </c>
    </row>
    <row r="30" customFormat="false" ht="15" hidden="false" customHeight="false" outlineLevel="0" collapsed="false">
      <c r="A30" s="11"/>
      <c r="B30" s="11"/>
      <c r="C30" s="11"/>
      <c r="D30" s="51"/>
      <c r="E30" s="12"/>
      <c r="F30" s="12"/>
      <c r="G30" s="13"/>
      <c r="H30" s="53" t="str">
        <f aca="false">IF($A30="","",$D30*$E30)</f>
        <v/>
      </c>
      <c r="I30" s="39" t="str">
        <f aca="false">IF($A30="","",$D30*$F30)</f>
        <v/>
      </c>
      <c r="J30" s="41" t="str">
        <f aca="false">IF($A30="","",$H30*$G30)</f>
        <v/>
      </c>
      <c r="L30" s="14" t="str">
        <f aca="false">IF($A30="","",$A30&amp;"#"&amp;COUNTIF($A$7:$A30,$A30))</f>
        <v/>
      </c>
    </row>
    <row r="31" customFormat="false" ht="15" hidden="false" customHeight="false" outlineLevel="0" collapsed="false">
      <c r="A31" s="11"/>
      <c r="B31" s="11"/>
      <c r="C31" s="11"/>
      <c r="D31" s="51"/>
      <c r="E31" s="12"/>
      <c r="F31" s="12"/>
      <c r="G31" s="13"/>
      <c r="H31" s="52" t="str">
        <f aca="false">IF($A31="","",$D31*$E31)</f>
        <v/>
      </c>
      <c r="I31" s="30" t="str">
        <f aca="false">IF($A31="","",$D31*$F31)</f>
        <v/>
      </c>
      <c r="J31" s="32" t="str">
        <f aca="false">IF($A31="","",$H31*$G31)</f>
        <v/>
      </c>
      <c r="L31" s="14" t="str">
        <f aca="false">IF($A31="","",$A31&amp;"#"&amp;COUNTIF($A$7:$A31,$A31))</f>
        <v/>
      </c>
    </row>
    <row r="32" customFormat="false" ht="15" hidden="false" customHeight="false" outlineLevel="0" collapsed="false">
      <c r="A32" s="11"/>
      <c r="B32" s="11"/>
      <c r="C32" s="11"/>
      <c r="D32" s="51"/>
      <c r="E32" s="12"/>
      <c r="F32" s="12"/>
      <c r="G32" s="13"/>
      <c r="H32" s="53" t="str">
        <f aca="false">IF($A32="","",$D32*$E32)</f>
        <v/>
      </c>
      <c r="I32" s="39" t="str">
        <f aca="false">IF($A32="","",$D32*$F32)</f>
        <v/>
      </c>
      <c r="J32" s="41" t="str">
        <f aca="false">IF($A32="","",$H32*$G32)</f>
        <v/>
      </c>
      <c r="L32" s="14" t="str">
        <f aca="false">IF($A32="","",$A32&amp;"#"&amp;COUNTIF($A$7:$A32,$A32))</f>
        <v/>
      </c>
    </row>
    <row r="33" customFormat="false" ht="15" hidden="false" customHeight="false" outlineLevel="0" collapsed="false">
      <c r="A33" s="11"/>
      <c r="B33" s="11"/>
      <c r="C33" s="11"/>
      <c r="D33" s="51"/>
      <c r="E33" s="12"/>
      <c r="F33" s="12"/>
      <c r="G33" s="13"/>
      <c r="H33" s="52" t="str">
        <f aca="false">IF($A33="","",$D33*$E33)</f>
        <v/>
      </c>
      <c r="I33" s="30" t="str">
        <f aca="false">IF($A33="","",$D33*$F33)</f>
        <v/>
      </c>
      <c r="J33" s="32" t="str">
        <f aca="false">IF($A33="","",$H33*$G33)</f>
        <v/>
      </c>
      <c r="L33" s="14" t="str">
        <f aca="false">IF($A33="","",$A33&amp;"#"&amp;COUNTIF($A$7:$A33,$A33))</f>
        <v/>
      </c>
    </row>
    <row r="34" customFormat="false" ht="15" hidden="false" customHeight="false" outlineLevel="0" collapsed="false">
      <c r="A34" s="11"/>
      <c r="B34" s="11"/>
      <c r="C34" s="11"/>
      <c r="D34" s="51"/>
      <c r="E34" s="12"/>
      <c r="F34" s="12"/>
      <c r="G34" s="13"/>
      <c r="H34" s="53" t="str">
        <f aca="false">IF($A34="","",$D34*$E34)</f>
        <v/>
      </c>
      <c r="I34" s="39" t="str">
        <f aca="false">IF($A34="","",$D34*$F34)</f>
        <v/>
      </c>
      <c r="J34" s="41" t="str">
        <f aca="false">IF($A34="","",$H34*$G34)</f>
        <v/>
      </c>
      <c r="L34" s="14" t="str">
        <f aca="false">IF($A34="","",$A34&amp;"#"&amp;COUNTIF($A$7:$A34,$A34))</f>
        <v/>
      </c>
    </row>
    <row r="35" customFormat="false" ht="15" hidden="false" customHeight="false" outlineLevel="0" collapsed="false">
      <c r="A35" s="11"/>
      <c r="B35" s="11"/>
      <c r="C35" s="11"/>
      <c r="D35" s="51"/>
      <c r="E35" s="12"/>
      <c r="F35" s="12"/>
      <c r="G35" s="13"/>
      <c r="H35" s="52" t="str">
        <f aca="false">IF($A35="","",$D35*$E35)</f>
        <v/>
      </c>
      <c r="I35" s="30" t="str">
        <f aca="false">IF($A35="","",$D35*$F35)</f>
        <v/>
      </c>
      <c r="J35" s="32" t="str">
        <f aca="false">IF($A35="","",$H35*$G35)</f>
        <v/>
      </c>
      <c r="L35" s="14" t="str">
        <f aca="false">IF($A35="","",$A35&amp;"#"&amp;COUNTIF($A$7:$A35,$A35))</f>
        <v/>
      </c>
    </row>
    <row r="36" customFormat="false" ht="15" hidden="false" customHeight="false" outlineLevel="0" collapsed="false">
      <c r="A36" s="11"/>
      <c r="B36" s="11"/>
      <c r="C36" s="11"/>
      <c r="D36" s="51"/>
      <c r="E36" s="12"/>
      <c r="F36" s="12"/>
      <c r="G36" s="13"/>
      <c r="H36" s="53" t="str">
        <f aca="false">IF($A36="","",$D36*$E36)</f>
        <v/>
      </c>
      <c r="I36" s="39" t="str">
        <f aca="false">IF($A36="","",$D36*$F36)</f>
        <v/>
      </c>
      <c r="J36" s="41" t="str">
        <f aca="false">IF($A36="","",$H36*$G36)</f>
        <v/>
      </c>
      <c r="L36" s="14" t="str">
        <f aca="false">IF($A36="","",$A36&amp;"#"&amp;COUNTIF($A$7:$A36,$A36))</f>
        <v/>
      </c>
    </row>
    <row r="37" customFormat="false" ht="15" hidden="false" customHeight="false" outlineLevel="0" collapsed="false">
      <c r="A37" s="11"/>
      <c r="B37" s="11"/>
      <c r="C37" s="11"/>
      <c r="D37" s="51"/>
      <c r="E37" s="12"/>
      <c r="F37" s="12"/>
      <c r="G37" s="13"/>
      <c r="H37" s="52" t="str">
        <f aca="false">IF($A37="","",$D37*$E37)</f>
        <v/>
      </c>
      <c r="I37" s="30" t="str">
        <f aca="false">IF($A37="","",$D37*$F37)</f>
        <v/>
      </c>
      <c r="J37" s="32" t="str">
        <f aca="false">IF($A37="","",$H37*$G37)</f>
        <v/>
      </c>
      <c r="L37" s="14" t="str">
        <f aca="false">IF($A37="","",$A37&amp;"#"&amp;COUNTIF($A$7:$A37,$A37))</f>
        <v/>
      </c>
    </row>
    <row r="38" customFormat="false" ht="15" hidden="false" customHeight="false" outlineLevel="0" collapsed="false">
      <c r="A38" s="11"/>
      <c r="B38" s="11"/>
      <c r="C38" s="11"/>
      <c r="D38" s="51"/>
      <c r="E38" s="12"/>
      <c r="F38" s="12"/>
      <c r="G38" s="13"/>
      <c r="H38" s="53" t="str">
        <f aca="false">IF($A38="","",$D38*$E38)</f>
        <v/>
      </c>
      <c r="I38" s="39" t="str">
        <f aca="false">IF($A38="","",$D38*$F38)</f>
        <v/>
      </c>
      <c r="J38" s="41" t="str">
        <f aca="false">IF($A38="","",$H38*$G38)</f>
        <v/>
      </c>
      <c r="L38" s="14" t="str">
        <f aca="false">IF($A38="","",$A38&amp;"#"&amp;COUNTIF($A$7:$A38,$A38))</f>
        <v/>
      </c>
    </row>
    <row r="39" customFormat="false" ht="15" hidden="false" customHeight="false" outlineLevel="0" collapsed="false">
      <c r="A39" s="11"/>
      <c r="B39" s="11"/>
      <c r="C39" s="11"/>
      <c r="D39" s="51"/>
      <c r="E39" s="12"/>
      <c r="F39" s="12"/>
      <c r="G39" s="13"/>
      <c r="H39" s="52" t="str">
        <f aca="false">IF($A39="","",$D39*$E39)</f>
        <v/>
      </c>
      <c r="I39" s="30" t="str">
        <f aca="false">IF($A39="","",$D39*$F39)</f>
        <v/>
      </c>
      <c r="J39" s="32" t="str">
        <f aca="false">IF($A39="","",$H39*$G39)</f>
        <v/>
      </c>
      <c r="L39" s="14" t="str">
        <f aca="false">IF($A39="","",$A39&amp;"#"&amp;COUNTIF($A$7:$A39,$A39))</f>
        <v/>
      </c>
    </row>
    <row r="40" customFormat="false" ht="15" hidden="false" customHeight="false" outlineLevel="0" collapsed="false">
      <c r="A40" s="11"/>
      <c r="B40" s="11"/>
      <c r="C40" s="11"/>
      <c r="D40" s="51"/>
      <c r="E40" s="12"/>
      <c r="F40" s="12"/>
      <c r="G40" s="13"/>
      <c r="H40" s="53" t="str">
        <f aca="false">IF($A40="","",$D40*$E40)</f>
        <v/>
      </c>
      <c r="I40" s="39" t="str">
        <f aca="false">IF($A40="","",$D40*$F40)</f>
        <v/>
      </c>
      <c r="J40" s="41" t="str">
        <f aca="false">IF($A40="","",$H40*$G40)</f>
        <v/>
      </c>
      <c r="L40" s="14" t="str">
        <f aca="false">IF($A40="","",$A40&amp;"#"&amp;COUNTIF($A$7:$A40,$A40))</f>
        <v/>
      </c>
    </row>
    <row r="41" customFormat="false" ht="15" hidden="false" customHeight="false" outlineLevel="0" collapsed="false">
      <c r="A41" s="11"/>
      <c r="B41" s="11"/>
      <c r="C41" s="11"/>
      <c r="D41" s="51"/>
      <c r="E41" s="12"/>
      <c r="F41" s="12"/>
      <c r="G41" s="13"/>
      <c r="H41" s="52" t="str">
        <f aca="false">IF($A41="","",$D41*$E41)</f>
        <v/>
      </c>
      <c r="I41" s="30" t="str">
        <f aca="false">IF($A41="","",$D41*$F41)</f>
        <v/>
      </c>
      <c r="J41" s="32" t="str">
        <f aca="false">IF($A41="","",$H41*$G41)</f>
        <v/>
      </c>
      <c r="L41" s="14" t="str">
        <f aca="false">IF($A41="","",$A41&amp;"#"&amp;COUNTIF($A$7:$A41,$A41))</f>
        <v/>
      </c>
    </row>
    <row r="42" customFormat="false" ht="15" hidden="false" customHeight="false" outlineLevel="0" collapsed="false">
      <c r="A42" s="11"/>
      <c r="B42" s="11"/>
      <c r="C42" s="11"/>
      <c r="D42" s="51"/>
      <c r="E42" s="12"/>
      <c r="F42" s="12"/>
      <c r="G42" s="13"/>
      <c r="H42" s="53" t="str">
        <f aca="false">IF($A42="","",$D42*$E42)</f>
        <v/>
      </c>
      <c r="I42" s="39" t="str">
        <f aca="false">IF($A42="","",$D42*$F42)</f>
        <v/>
      </c>
      <c r="J42" s="41" t="str">
        <f aca="false">IF($A42="","",$H42*$G42)</f>
        <v/>
      </c>
      <c r="L42" s="14" t="str">
        <f aca="false">IF($A42="","",$A42&amp;"#"&amp;COUNTIF($A$7:$A42,$A42))</f>
        <v/>
      </c>
    </row>
    <row r="43" customFormat="false" ht="15" hidden="false" customHeight="false" outlineLevel="0" collapsed="false">
      <c r="A43" s="11"/>
      <c r="B43" s="11"/>
      <c r="C43" s="11"/>
      <c r="D43" s="51"/>
      <c r="E43" s="12"/>
      <c r="F43" s="12"/>
      <c r="G43" s="13"/>
      <c r="H43" s="52" t="str">
        <f aca="false">IF($A43="","",$D43*$E43)</f>
        <v/>
      </c>
      <c r="I43" s="30" t="str">
        <f aca="false">IF($A43="","",$D43*$F43)</f>
        <v/>
      </c>
      <c r="J43" s="32" t="str">
        <f aca="false">IF($A43="","",$H43*$G43)</f>
        <v/>
      </c>
      <c r="L43" s="14" t="str">
        <f aca="false">IF($A43="","",$A43&amp;"#"&amp;COUNTIF($A$7:$A43,$A43))</f>
        <v/>
      </c>
    </row>
    <row r="44" customFormat="false" ht="15" hidden="false" customHeight="false" outlineLevel="0" collapsed="false">
      <c r="A44" s="11"/>
      <c r="B44" s="11"/>
      <c r="C44" s="11"/>
      <c r="D44" s="51"/>
      <c r="E44" s="12"/>
      <c r="F44" s="12"/>
      <c r="G44" s="13"/>
      <c r="H44" s="53" t="str">
        <f aca="false">IF($A44="","",$D44*$E44)</f>
        <v/>
      </c>
      <c r="I44" s="39" t="str">
        <f aca="false">IF($A44="","",$D44*$F44)</f>
        <v/>
      </c>
      <c r="J44" s="41" t="str">
        <f aca="false">IF($A44="","",$H44*$G44)</f>
        <v/>
      </c>
      <c r="L44" s="14" t="str">
        <f aca="false">IF($A44="","",$A44&amp;"#"&amp;COUNTIF($A$7:$A44,$A44))</f>
        <v/>
      </c>
    </row>
    <row r="45" customFormat="false" ht="15" hidden="false" customHeight="false" outlineLevel="0" collapsed="false">
      <c r="A45" s="11"/>
      <c r="B45" s="11"/>
      <c r="C45" s="11"/>
      <c r="D45" s="51"/>
      <c r="E45" s="12"/>
      <c r="F45" s="12"/>
      <c r="G45" s="13"/>
      <c r="H45" s="52" t="str">
        <f aca="false">IF($A45="","",$D45*$E45)</f>
        <v/>
      </c>
      <c r="I45" s="30" t="str">
        <f aca="false">IF($A45="","",$D45*$F45)</f>
        <v/>
      </c>
      <c r="J45" s="32" t="str">
        <f aca="false">IF($A45="","",$H45*$G45)</f>
        <v/>
      </c>
      <c r="L45" s="14" t="str">
        <f aca="false">IF($A45="","",$A45&amp;"#"&amp;COUNTIF($A$7:$A45,$A45))</f>
        <v/>
      </c>
    </row>
    <row r="46" customFormat="false" ht="15" hidden="false" customHeight="false" outlineLevel="0" collapsed="false">
      <c r="A46" s="11"/>
      <c r="B46" s="11"/>
      <c r="C46" s="11"/>
      <c r="D46" s="51"/>
      <c r="E46" s="12"/>
      <c r="F46" s="12"/>
      <c r="G46" s="13"/>
      <c r="H46" s="53" t="str">
        <f aca="false">IF($A46="","",$D46*$E46)</f>
        <v/>
      </c>
      <c r="I46" s="39" t="str">
        <f aca="false">IF($A46="","",$D46*$F46)</f>
        <v/>
      </c>
      <c r="J46" s="41" t="str">
        <f aca="false">IF($A46="","",$H46*$G46)</f>
        <v/>
      </c>
      <c r="L46" s="14" t="str">
        <f aca="false">IF($A46="","",$A46&amp;"#"&amp;COUNTIF($A$7:$A46,$A46))</f>
        <v/>
      </c>
    </row>
    <row r="47" customFormat="false" ht="15" hidden="false" customHeight="false" outlineLevel="0" collapsed="false">
      <c r="A47" s="11"/>
      <c r="B47" s="11"/>
      <c r="C47" s="11"/>
      <c r="D47" s="51"/>
      <c r="E47" s="12"/>
      <c r="F47" s="12"/>
      <c r="G47" s="13"/>
      <c r="H47" s="52" t="str">
        <f aca="false">IF($A47="","",$D47*$E47)</f>
        <v/>
      </c>
      <c r="I47" s="30" t="str">
        <f aca="false">IF($A47="","",$D47*$F47)</f>
        <v/>
      </c>
      <c r="J47" s="32" t="str">
        <f aca="false">IF($A47="","",$H47*$G47)</f>
        <v/>
      </c>
      <c r="L47" s="14" t="str">
        <f aca="false">IF($A47="","",$A47&amp;"#"&amp;COUNTIF($A$7:$A47,$A47))</f>
        <v/>
      </c>
    </row>
    <row r="48" customFormat="false" ht="15" hidden="false" customHeight="false" outlineLevel="0" collapsed="false">
      <c r="A48" s="11"/>
      <c r="B48" s="11"/>
      <c r="C48" s="11"/>
      <c r="D48" s="51"/>
      <c r="E48" s="12"/>
      <c r="F48" s="12"/>
      <c r="G48" s="13"/>
      <c r="H48" s="53" t="str">
        <f aca="false">IF($A48="","",$D48*$E48)</f>
        <v/>
      </c>
      <c r="I48" s="39" t="str">
        <f aca="false">IF($A48="","",$D48*$F48)</f>
        <v/>
      </c>
      <c r="J48" s="41" t="str">
        <f aca="false">IF($A48="","",$H48*$G48)</f>
        <v/>
      </c>
      <c r="L48" s="14" t="str">
        <f aca="false">IF($A48="","",$A48&amp;"#"&amp;COUNTIF($A$7:$A48,$A48))</f>
        <v/>
      </c>
    </row>
    <row r="49" customFormat="false" ht="15" hidden="false" customHeight="false" outlineLevel="0" collapsed="false">
      <c r="A49" s="11"/>
      <c r="B49" s="11"/>
      <c r="C49" s="11"/>
      <c r="D49" s="51"/>
      <c r="E49" s="12"/>
      <c r="F49" s="12"/>
      <c r="G49" s="13"/>
      <c r="H49" s="52" t="str">
        <f aca="false">IF($A49="","",$D49*$E49)</f>
        <v/>
      </c>
      <c r="I49" s="30" t="str">
        <f aca="false">IF($A49="","",$D49*$F49)</f>
        <v/>
      </c>
      <c r="J49" s="32" t="str">
        <f aca="false">IF($A49="","",$H49*$G49)</f>
        <v/>
      </c>
      <c r="L49" s="14" t="str">
        <f aca="false">IF($A49="","",$A49&amp;"#"&amp;COUNTIF($A$7:$A49,$A49))</f>
        <v/>
      </c>
    </row>
    <row r="50" customFormat="false" ht="15" hidden="false" customHeight="false" outlineLevel="0" collapsed="false">
      <c r="A50" s="11"/>
      <c r="B50" s="11"/>
      <c r="C50" s="11"/>
      <c r="D50" s="51"/>
      <c r="E50" s="12"/>
      <c r="F50" s="12"/>
      <c r="G50" s="13"/>
      <c r="H50" s="53" t="str">
        <f aca="false">IF($A50="","",$D50*$E50)</f>
        <v/>
      </c>
      <c r="I50" s="39" t="str">
        <f aca="false">IF($A50="","",$D50*$F50)</f>
        <v/>
      </c>
      <c r="J50" s="41" t="str">
        <f aca="false">IF($A50="","",$H50*$G50)</f>
        <v/>
      </c>
      <c r="L50" s="14" t="str">
        <f aca="false">IF($A50="","",$A50&amp;"#"&amp;COUNTIF($A$7:$A50,$A50))</f>
        <v/>
      </c>
    </row>
    <row r="51" customFormat="false" ht="15" hidden="false" customHeight="false" outlineLevel="0" collapsed="false">
      <c r="A51" s="11"/>
      <c r="B51" s="11"/>
      <c r="C51" s="11"/>
      <c r="D51" s="51"/>
      <c r="E51" s="12"/>
      <c r="F51" s="12"/>
      <c r="G51" s="13"/>
      <c r="H51" s="52" t="str">
        <f aca="false">IF($A51="","",$D51*$E51)</f>
        <v/>
      </c>
      <c r="I51" s="30" t="str">
        <f aca="false">IF($A51="","",$D51*$F51)</f>
        <v/>
      </c>
      <c r="J51" s="32" t="str">
        <f aca="false">IF($A51="","",$H51*$G51)</f>
        <v/>
      </c>
      <c r="L51" s="14" t="str">
        <f aca="false">IF($A51="","",$A51&amp;"#"&amp;COUNTIF($A$7:$A51,$A51))</f>
        <v/>
      </c>
    </row>
    <row r="52" customFormat="false" ht="15" hidden="false" customHeight="false" outlineLevel="0" collapsed="false">
      <c r="A52" s="11"/>
      <c r="B52" s="11"/>
      <c r="C52" s="11"/>
      <c r="D52" s="51"/>
      <c r="E52" s="12"/>
      <c r="F52" s="12"/>
      <c r="G52" s="13"/>
      <c r="H52" s="53" t="str">
        <f aca="false">IF($A52="","",$D52*$E52)</f>
        <v/>
      </c>
      <c r="I52" s="39" t="str">
        <f aca="false">IF($A52="","",$D52*$F52)</f>
        <v/>
      </c>
      <c r="J52" s="41" t="str">
        <f aca="false">IF($A52="","",$H52*$G52)</f>
        <v/>
      </c>
      <c r="L52" s="14" t="str">
        <f aca="false">IF($A52="","",$A52&amp;"#"&amp;COUNTIF($A$7:$A52,$A52))</f>
        <v/>
      </c>
    </row>
    <row r="53" customFormat="false" ht="15" hidden="false" customHeight="false" outlineLevel="0" collapsed="false">
      <c r="A53" s="11"/>
      <c r="B53" s="11"/>
      <c r="C53" s="11"/>
      <c r="D53" s="51"/>
      <c r="E53" s="12"/>
      <c r="F53" s="12"/>
      <c r="G53" s="13"/>
      <c r="H53" s="52" t="str">
        <f aca="false">IF($A53="","",$D53*$E53)</f>
        <v/>
      </c>
      <c r="I53" s="30" t="str">
        <f aca="false">IF($A53="","",$D53*$F53)</f>
        <v/>
      </c>
      <c r="J53" s="32" t="str">
        <f aca="false">IF($A53="","",$H53*$G53)</f>
        <v/>
      </c>
      <c r="L53" s="14" t="str">
        <f aca="false">IF($A53="","",$A53&amp;"#"&amp;COUNTIF($A$7:$A53,$A53))</f>
        <v/>
      </c>
    </row>
    <row r="54" customFormat="false" ht="15" hidden="false" customHeight="false" outlineLevel="0" collapsed="false">
      <c r="A54" s="11"/>
      <c r="B54" s="11"/>
      <c r="C54" s="11"/>
      <c r="D54" s="51"/>
      <c r="E54" s="12"/>
      <c r="F54" s="12"/>
      <c r="G54" s="13"/>
      <c r="H54" s="53" t="str">
        <f aca="false">IF($A54="","",$D54*$E54)</f>
        <v/>
      </c>
      <c r="I54" s="39" t="str">
        <f aca="false">IF($A54="","",$D54*$F54)</f>
        <v/>
      </c>
      <c r="J54" s="41" t="str">
        <f aca="false">IF($A54="","",$H54*$G54)</f>
        <v/>
      </c>
      <c r="L54" s="14" t="str">
        <f aca="false">IF($A54="","",$A54&amp;"#"&amp;COUNTIF($A$7:$A54,$A54))</f>
        <v/>
      </c>
    </row>
    <row r="55" customFormat="false" ht="15" hidden="false" customHeight="false" outlineLevel="0" collapsed="false">
      <c r="A55" s="11"/>
      <c r="B55" s="11"/>
      <c r="C55" s="11"/>
      <c r="D55" s="51"/>
      <c r="E55" s="12"/>
      <c r="F55" s="12"/>
      <c r="G55" s="13"/>
      <c r="H55" s="52" t="str">
        <f aca="false">IF($A55="","",$D55*$E55)</f>
        <v/>
      </c>
      <c r="I55" s="30" t="str">
        <f aca="false">IF($A55="","",$D55*$F55)</f>
        <v/>
      </c>
      <c r="J55" s="32" t="str">
        <f aca="false">IF($A55="","",$H55*$G55)</f>
        <v/>
      </c>
      <c r="L55" s="14" t="str">
        <f aca="false">IF($A55="","",$A55&amp;"#"&amp;COUNTIF($A$7:$A55,$A55))</f>
        <v/>
      </c>
    </row>
    <row r="56" customFormat="false" ht="15" hidden="false" customHeight="false" outlineLevel="0" collapsed="false">
      <c r="A56" s="11"/>
      <c r="B56" s="11"/>
      <c r="C56" s="11"/>
      <c r="D56" s="51"/>
      <c r="E56" s="12"/>
      <c r="F56" s="12"/>
      <c r="G56" s="13"/>
      <c r="H56" s="53" t="str">
        <f aca="false">IF($A56="","",$D56*$E56)</f>
        <v/>
      </c>
      <c r="I56" s="39" t="str">
        <f aca="false">IF($A56="","",$D56*$F56)</f>
        <v/>
      </c>
      <c r="J56" s="41" t="str">
        <f aca="false">IF($A56="","",$H56*$G56)</f>
        <v/>
      </c>
      <c r="L56" s="14" t="str">
        <f aca="false">IF($A56="","",$A56&amp;"#"&amp;COUNTIF($A$7:$A56,$A56))</f>
        <v/>
      </c>
    </row>
    <row r="57" customFormat="false" ht="15" hidden="false" customHeight="false" outlineLevel="0" collapsed="false">
      <c r="A57" s="11"/>
      <c r="B57" s="11"/>
      <c r="C57" s="11"/>
      <c r="D57" s="51"/>
      <c r="E57" s="12"/>
      <c r="F57" s="12"/>
      <c r="G57" s="13"/>
      <c r="H57" s="52" t="str">
        <f aca="false">IF($A57="","",$D57*$E57)</f>
        <v/>
      </c>
      <c r="I57" s="30" t="str">
        <f aca="false">IF($A57="","",$D57*$F57)</f>
        <v/>
      </c>
      <c r="J57" s="32" t="str">
        <f aca="false">IF($A57="","",$H57*$G57)</f>
        <v/>
      </c>
      <c r="L57" s="14" t="str">
        <f aca="false">IF($A57="","",$A57&amp;"#"&amp;COUNTIF($A$7:$A57,$A57))</f>
        <v/>
      </c>
    </row>
    <row r="58" customFormat="false" ht="15" hidden="false" customHeight="false" outlineLevel="0" collapsed="false">
      <c r="A58" s="11"/>
      <c r="B58" s="11"/>
      <c r="C58" s="11"/>
      <c r="D58" s="51"/>
      <c r="E58" s="12"/>
      <c r="F58" s="12"/>
      <c r="G58" s="13"/>
      <c r="H58" s="53" t="str">
        <f aca="false">IF($A58="","",$D58*$E58)</f>
        <v/>
      </c>
      <c r="I58" s="39" t="str">
        <f aca="false">IF($A58="","",$D58*$F58)</f>
        <v/>
      </c>
      <c r="J58" s="41" t="str">
        <f aca="false">IF($A58="","",$H58*$G58)</f>
        <v/>
      </c>
      <c r="L58" s="14" t="str">
        <f aca="false">IF($A58="","",$A58&amp;"#"&amp;COUNTIF($A$7:$A58,$A58))</f>
        <v/>
      </c>
    </row>
    <row r="59" customFormat="false" ht="15" hidden="false" customHeight="false" outlineLevel="0" collapsed="false">
      <c r="A59" s="11"/>
      <c r="B59" s="11"/>
      <c r="C59" s="11"/>
      <c r="D59" s="51"/>
      <c r="E59" s="12"/>
      <c r="F59" s="12"/>
      <c r="G59" s="13"/>
      <c r="H59" s="52" t="str">
        <f aca="false">IF($A59="","",$D59*$E59)</f>
        <v/>
      </c>
      <c r="I59" s="30" t="str">
        <f aca="false">IF($A59="","",$D59*$F59)</f>
        <v/>
      </c>
      <c r="J59" s="32" t="str">
        <f aca="false">IF($A59="","",$H59*$G59)</f>
        <v/>
      </c>
      <c r="L59" s="14" t="str">
        <f aca="false">IF($A59="","",$A59&amp;"#"&amp;COUNTIF($A$7:$A59,$A59))</f>
        <v/>
      </c>
    </row>
    <row r="60" customFormat="false" ht="15" hidden="false" customHeight="false" outlineLevel="0" collapsed="false">
      <c r="A60" s="11"/>
      <c r="B60" s="11"/>
      <c r="C60" s="11"/>
      <c r="D60" s="51"/>
      <c r="E60" s="12"/>
      <c r="F60" s="12"/>
      <c r="G60" s="13"/>
      <c r="H60" s="53" t="str">
        <f aca="false">IF($A60="","",$D60*$E60)</f>
        <v/>
      </c>
      <c r="I60" s="39" t="str">
        <f aca="false">IF($A60="","",$D60*$F60)</f>
        <v/>
      </c>
      <c r="J60" s="41" t="str">
        <f aca="false">IF($A60="","",$H60*$G60)</f>
        <v/>
      </c>
      <c r="L60" s="14" t="str">
        <f aca="false">IF($A60="","",$A60&amp;"#"&amp;COUNTIF($A$7:$A60,$A60))</f>
        <v/>
      </c>
    </row>
    <row r="61" customFormat="false" ht="15" hidden="false" customHeight="false" outlineLevel="0" collapsed="false">
      <c r="A61" s="11"/>
      <c r="B61" s="11"/>
      <c r="C61" s="11"/>
      <c r="D61" s="51"/>
      <c r="E61" s="12"/>
      <c r="F61" s="12"/>
      <c r="G61" s="13"/>
      <c r="H61" s="52" t="str">
        <f aca="false">IF($A61="","",$D61*$E61)</f>
        <v/>
      </c>
      <c r="I61" s="30" t="str">
        <f aca="false">IF($A61="","",$D61*$F61)</f>
        <v/>
      </c>
      <c r="J61" s="32" t="str">
        <f aca="false">IF($A61="","",$H61*$G61)</f>
        <v/>
      </c>
      <c r="L61" s="14" t="str">
        <f aca="false">IF($A61="","",$A61&amp;"#"&amp;COUNTIF($A$7:$A61,$A61))</f>
        <v/>
      </c>
    </row>
    <row r="62" customFormat="false" ht="15" hidden="false" customHeight="false" outlineLevel="0" collapsed="false">
      <c r="A62" s="11"/>
      <c r="B62" s="11"/>
      <c r="C62" s="11"/>
      <c r="D62" s="51"/>
      <c r="E62" s="12"/>
      <c r="F62" s="12"/>
      <c r="G62" s="13"/>
      <c r="H62" s="53" t="str">
        <f aca="false">IF($A62="","",$D62*$E62)</f>
        <v/>
      </c>
      <c r="I62" s="39" t="str">
        <f aca="false">IF($A62="","",$D62*$F62)</f>
        <v/>
      </c>
      <c r="J62" s="41" t="str">
        <f aca="false">IF($A62="","",$H62*$G62)</f>
        <v/>
      </c>
      <c r="L62" s="14" t="str">
        <f aca="false">IF($A62="","",$A62&amp;"#"&amp;COUNTIF($A$7:$A62,$A62))</f>
        <v/>
      </c>
    </row>
    <row r="63" customFormat="false" ht="15" hidden="false" customHeight="false" outlineLevel="0" collapsed="false">
      <c r="A63" s="11"/>
      <c r="B63" s="11"/>
      <c r="C63" s="11"/>
      <c r="D63" s="51"/>
      <c r="E63" s="12"/>
      <c r="F63" s="12"/>
      <c r="G63" s="13"/>
      <c r="H63" s="52" t="str">
        <f aca="false">IF($A63="","",$D63*$E63)</f>
        <v/>
      </c>
      <c r="I63" s="30" t="str">
        <f aca="false">IF($A63="","",$D63*$F63)</f>
        <v/>
      </c>
      <c r="J63" s="32" t="str">
        <f aca="false">IF($A63="","",$H63*$G63)</f>
        <v/>
      </c>
      <c r="L63" s="14" t="str">
        <f aca="false">IF($A63="","",$A63&amp;"#"&amp;COUNTIF($A$7:$A63,$A63))</f>
        <v/>
      </c>
    </row>
    <row r="64" customFormat="false" ht="15" hidden="false" customHeight="false" outlineLevel="0" collapsed="false">
      <c r="A64" s="11"/>
      <c r="B64" s="11"/>
      <c r="C64" s="11"/>
      <c r="D64" s="51"/>
      <c r="E64" s="12"/>
      <c r="F64" s="12"/>
      <c r="G64" s="13"/>
      <c r="H64" s="53" t="str">
        <f aca="false">IF($A64="","",$D64*$E64)</f>
        <v/>
      </c>
      <c r="I64" s="39" t="str">
        <f aca="false">IF($A64="","",$D64*$F64)</f>
        <v/>
      </c>
      <c r="J64" s="41" t="str">
        <f aca="false">IF($A64="","",$H64*$G64)</f>
        <v/>
      </c>
      <c r="L64" s="14" t="str">
        <f aca="false">IF($A64="","",$A64&amp;"#"&amp;COUNTIF($A$7:$A64,$A64))</f>
        <v/>
      </c>
    </row>
    <row r="65" customFormat="false" ht="15" hidden="false" customHeight="false" outlineLevel="0" collapsed="false">
      <c r="A65" s="11"/>
      <c r="B65" s="11"/>
      <c r="C65" s="11"/>
      <c r="D65" s="51"/>
      <c r="E65" s="12"/>
      <c r="F65" s="12"/>
      <c r="G65" s="13"/>
      <c r="H65" s="52" t="str">
        <f aca="false">IF($A65="","",$D65*$E65)</f>
        <v/>
      </c>
      <c r="I65" s="30" t="str">
        <f aca="false">IF($A65="","",$D65*$F65)</f>
        <v/>
      </c>
      <c r="J65" s="32" t="str">
        <f aca="false">IF($A65="","",$H65*$G65)</f>
        <v/>
      </c>
      <c r="L65" s="14" t="str">
        <f aca="false">IF($A65="","",$A65&amp;"#"&amp;COUNTIF($A$7:$A65,$A65))</f>
        <v/>
      </c>
    </row>
    <row r="66" customFormat="false" ht="15" hidden="false" customHeight="false" outlineLevel="0" collapsed="false">
      <c r="A66" s="11"/>
      <c r="B66" s="11"/>
      <c r="C66" s="11"/>
      <c r="D66" s="51"/>
      <c r="E66" s="12"/>
      <c r="F66" s="12"/>
      <c r="G66" s="13"/>
      <c r="H66" s="53" t="str">
        <f aca="false">IF($A66="","",$D66*$E66)</f>
        <v/>
      </c>
      <c r="I66" s="39" t="str">
        <f aca="false">IF($A66="","",$D66*$F66)</f>
        <v/>
      </c>
      <c r="J66" s="41" t="str">
        <f aca="false">IF($A66="","",$H66*$G66)</f>
        <v/>
      </c>
      <c r="L66" s="14" t="str">
        <f aca="false">IF($A66="","",$A66&amp;"#"&amp;COUNTIF($A$7:$A66,$A66))</f>
        <v/>
      </c>
    </row>
    <row r="67" customFormat="false" ht="15" hidden="false" customHeight="false" outlineLevel="0" collapsed="false">
      <c r="A67" s="11"/>
      <c r="B67" s="11"/>
      <c r="C67" s="11"/>
      <c r="D67" s="51"/>
      <c r="E67" s="12"/>
      <c r="F67" s="12"/>
      <c r="G67" s="13"/>
      <c r="H67" s="52" t="str">
        <f aca="false">IF($A67="","",$D67*$E67)</f>
        <v/>
      </c>
      <c r="I67" s="30" t="str">
        <f aca="false">IF($A67="","",$D67*$F67)</f>
        <v/>
      </c>
      <c r="J67" s="32" t="str">
        <f aca="false">IF($A67="","",$H67*$G67)</f>
        <v/>
      </c>
      <c r="L67" s="14" t="str">
        <f aca="false">IF($A67="","",$A67&amp;"#"&amp;COUNTIF($A$7:$A67,$A67))</f>
        <v/>
      </c>
    </row>
    <row r="68" customFormat="false" ht="15" hidden="false" customHeight="false" outlineLevel="0" collapsed="false">
      <c r="A68" s="11"/>
      <c r="B68" s="11"/>
      <c r="C68" s="11"/>
      <c r="D68" s="51"/>
      <c r="E68" s="12"/>
      <c r="F68" s="12"/>
      <c r="G68" s="13"/>
      <c r="H68" s="53" t="str">
        <f aca="false">IF($A68="","",$D68*$E68)</f>
        <v/>
      </c>
      <c r="I68" s="39" t="str">
        <f aca="false">IF($A68="","",$D68*$F68)</f>
        <v/>
      </c>
      <c r="J68" s="41" t="str">
        <f aca="false">IF($A68="","",$H68*$G68)</f>
        <v/>
      </c>
      <c r="L68" s="14" t="str">
        <f aca="false">IF($A68="","",$A68&amp;"#"&amp;COUNTIF($A$7:$A68,$A68))</f>
        <v/>
      </c>
    </row>
    <row r="69" customFormat="false" ht="15" hidden="false" customHeight="false" outlineLevel="0" collapsed="false">
      <c r="A69" s="11"/>
      <c r="B69" s="11"/>
      <c r="C69" s="11"/>
      <c r="D69" s="51"/>
      <c r="E69" s="12"/>
      <c r="F69" s="12"/>
      <c r="G69" s="13"/>
      <c r="H69" s="52" t="str">
        <f aca="false">IF($A69="","",$D69*$E69)</f>
        <v/>
      </c>
      <c r="I69" s="30" t="str">
        <f aca="false">IF($A69="","",$D69*$F69)</f>
        <v/>
      </c>
      <c r="J69" s="32" t="str">
        <f aca="false">IF($A69="","",$H69*$G69)</f>
        <v/>
      </c>
      <c r="L69" s="14" t="str">
        <f aca="false">IF($A69="","",$A69&amp;"#"&amp;COUNTIF($A$7:$A69,$A69))</f>
        <v/>
      </c>
    </row>
    <row r="70" customFormat="false" ht="15" hidden="false" customHeight="false" outlineLevel="0" collapsed="false">
      <c r="A70" s="11"/>
      <c r="B70" s="11"/>
      <c r="C70" s="11"/>
      <c r="D70" s="51"/>
      <c r="E70" s="12"/>
      <c r="F70" s="12"/>
      <c r="G70" s="13"/>
      <c r="H70" s="53" t="str">
        <f aca="false">IF($A70="","",$D70*$E70)</f>
        <v/>
      </c>
      <c r="I70" s="39" t="str">
        <f aca="false">IF($A70="","",$D70*$F70)</f>
        <v/>
      </c>
      <c r="J70" s="41" t="str">
        <f aca="false">IF($A70="","",$H70*$G70)</f>
        <v/>
      </c>
      <c r="L70" s="14" t="str">
        <f aca="false">IF($A70="","",$A70&amp;"#"&amp;COUNTIF($A$7:$A70,$A70))</f>
        <v/>
      </c>
    </row>
    <row r="71" customFormat="false" ht="15" hidden="false" customHeight="false" outlineLevel="0" collapsed="false">
      <c r="A71" s="11"/>
      <c r="B71" s="11"/>
      <c r="C71" s="11"/>
      <c r="D71" s="51"/>
      <c r="E71" s="12"/>
      <c r="F71" s="12"/>
      <c r="G71" s="13"/>
      <c r="H71" s="52" t="str">
        <f aca="false">IF($A71="","",$D71*$E71)</f>
        <v/>
      </c>
      <c r="I71" s="30" t="str">
        <f aca="false">IF($A71="","",$D71*$F71)</f>
        <v/>
      </c>
      <c r="J71" s="32" t="str">
        <f aca="false">IF($A71="","",$H71*$G71)</f>
        <v/>
      </c>
      <c r="L71" s="14" t="str">
        <f aca="false">IF($A71="","",$A71&amp;"#"&amp;COUNTIF($A$7:$A71,$A71))</f>
        <v/>
      </c>
    </row>
    <row r="72" customFormat="false" ht="15" hidden="false" customHeight="false" outlineLevel="0" collapsed="false">
      <c r="A72" s="11"/>
      <c r="B72" s="11"/>
      <c r="C72" s="11"/>
      <c r="D72" s="51"/>
      <c r="E72" s="12"/>
      <c r="F72" s="12"/>
      <c r="G72" s="13"/>
      <c r="H72" s="53" t="str">
        <f aca="false">IF($A72="","",$D72*$E72)</f>
        <v/>
      </c>
      <c r="I72" s="39" t="str">
        <f aca="false">IF($A72="","",$D72*$F72)</f>
        <v/>
      </c>
      <c r="J72" s="41" t="str">
        <f aca="false">IF($A72="","",$H72*$G72)</f>
        <v/>
      </c>
      <c r="L72" s="14" t="str">
        <f aca="false">IF($A72="","",$A72&amp;"#"&amp;COUNTIF($A$7:$A72,$A72))</f>
        <v/>
      </c>
    </row>
    <row r="73" customFormat="false" ht="15" hidden="false" customHeight="false" outlineLevel="0" collapsed="false">
      <c r="A73" s="11"/>
      <c r="B73" s="11"/>
      <c r="C73" s="11"/>
      <c r="D73" s="51"/>
      <c r="E73" s="12"/>
      <c r="F73" s="12"/>
      <c r="G73" s="13"/>
      <c r="H73" s="52" t="str">
        <f aca="false">IF($A73="","",$D73*$E73)</f>
        <v/>
      </c>
      <c r="I73" s="30" t="str">
        <f aca="false">IF($A73="","",$D73*$F73)</f>
        <v/>
      </c>
      <c r="J73" s="32" t="str">
        <f aca="false">IF($A73="","",$H73*$G73)</f>
        <v/>
      </c>
      <c r="L73" s="14" t="str">
        <f aca="false">IF($A73="","",$A73&amp;"#"&amp;COUNTIF($A$7:$A73,$A73))</f>
        <v/>
      </c>
    </row>
    <row r="74" customFormat="false" ht="15" hidden="false" customHeight="false" outlineLevel="0" collapsed="false">
      <c r="A74" s="11"/>
      <c r="B74" s="11"/>
      <c r="C74" s="11"/>
      <c r="D74" s="51"/>
      <c r="E74" s="12"/>
      <c r="F74" s="12"/>
      <c r="G74" s="13"/>
      <c r="H74" s="53" t="str">
        <f aca="false">IF($A74="","",$D74*$E74)</f>
        <v/>
      </c>
      <c r="I74" s="39" t="str">
        <f aca="false">IF($A74="","",$D74*$F74)</f>
        <v/>
      </c>
      <c r="J74" s="41" t="str">
        <f aca="false">IF($A74="","",$H74*$G74)</f>
        <v/>
      </c>
      <c r="L74" s="14" t="str">
        <f aca="false">IF($A74="","",$A74&amp;"#"&amp;COUNTIF($A$7:$A74,$A74))</f>
        <v/>
      </c>
    </row>
    <row r="75" customFormat="false" ht="15" hidden="false" customHeight="false" outlineLevel="0" collapsed="false">
      <c r="A75" s="11"/>
      <c r="B75" s="11"/>
      <c r="C75" s="11"/>
      <c r="D75" s="51"/>
      <c r="E75" s="12"/>
      <c r="F75" s="12"/>
      <c r="G75" s="13"/>
      <c r="H75" s="52" t="str">
        <f aca="false">IF($A75="","",$D75*$E75)</f>
        <v/>
      </c>
      <c r="I75" s="30" t="str">
        <f aca="false">IF($A75="","",$D75*$F75)</f>
        <v/>
      </c>
      <c r="J75" s="32" t="str">
        <f aca="false">IF($A75="","",$H75*$G75)</f>
        <v/>
      </c>
      <c r="L75" s="14" t="str">
        <f aca="false">IF($A75="","",$A75&amp;"#"&amp;COUNTIF($A$7:$A75,$A75))</f>
        <v/>
      </c>
    </row>
    <row r="76" customFormat="false" ht="15" hidden="false" customHeight="false" outlineLevel="0" collapsed="false">
      <c r="A76" s="11"/>
      <c r="B76" s="11"/>
      <c r="C76" s="11"/>
      <c r="D76" s="51"/>
      <c r="E76" s="12"/>
      <c r="F76" s="12"/>
      <c r="G76" s="13"/>
      <c r="H76" s="53" t="str">
        <f aca="false">IF($A76="","",$D76*$E76)</f>
        <v/>
      </c>
      <c r="I76" s="39" t="str">
        <f aca="false">IF($A76="","",$D76*$F76)</f>
        <v/>
      </c>
      <c r="J76" s="41" t="str">
        <f aca="false">IF($A76="","",$H76*$G76)</f>
        <v/>
      </c>
      <c r="L76" s="14" t="str">
        <f aca="false">IF($A76="","",$A76&amp;"#"&amp;COUNTIF($A$7:$A76,$A76))</f>
        <v/>
      </c>
    </row>
    <row r="77" customFormat="false" ht="15" hidden="false" customHeight="false" outlineLevel="0" collapsed="false">
      <c r="A77" s="11"/>
      <c r="B77" s="11"/>
      <c r="C77" s="11"/>
      <c r="D77" s="51"/>
      <c r="E77" s="12"/>
      <c r="F77" s="12"/>
      <c r="G77" s="13"/>
      <c r="H77" s="52" t="str">
        <f aca="false">IF($A77="","",$D77*$E77)</f>
        <v/>
      </c>
      <c r="I77" s="30" t="str">
        <f aca="false">IF($A77="","",$D77*$F77)</f>
        <v/>
      </c>
      <c r="J77" s="32" t="str">
        <f aca="false">IF($A77="","",$H77*$G77)</f>
        <v/>
      </c>
      <c r="L77" s="14" t="str">
        <f aca="false">IF($A77="","",$A77&amp;"#"&amp;COUNTIF($A$7:$A77,$A77))</f>
        <v/>
      </c>
    </row>
    <row r="78" customFormat="false" ht="15" hidden="false" customHeight="false" outlineLevel="0" collapsed="false">
      <c r="A78" s="11"/>
      <c r="B78" s="11"/>
      <c r="C78" s="11"/>
      <c r="D78" s="51"/>
      <c r="E78" s="12"/>
      <c r="F78" s="12"/>
      <c r="G78" s="13"/>
      <c r="H78" s="53" t="str">
        <f aca="false">IF($A78="","",$D78*$E78)</f>
        <v/>
      </c>
      <c r="I78" s="39" t="str">
        <f aca="false">IF($A78="","",$D78*$F78)</f>
        <v/>
      </c>
      <c r="J78" s="41" t="str">
        <f aca="false">IF($A78="","",$H78*$G78)</f>
        <v/>
      </c>
      <c r="L78" s="14" t="str">
        <f aca="false">IF($A78="","",$A78&amp;"#"&amp;COUNTIF($A$7:$A78,$A78))</f>
        <v/>
      </c>
    </row>
    <row r="79" customFormat="false" ht="15" hidden="false" customHeight="false" outlineLevel="0" collapsed="false">
      <c r="A79" s="11"/>
      <c r="B79" s="11"/>
      <c r="C79" s="11"/>
      <c r="D79" s="51"/>
      <c r="E79" s="12"/>
      <c r="F79" s="12"/>
      <c r="G79" s="13"/>
      <c r="H79" s="52" t="str">
        <f aca="false">IF($A79="","",$D79*$E79)</f>
        <v/>
      </c>
      <c r="I79" s="30" t="str">
        <f aca="false">IF($A79="","",$D79*$F79)</f>
        <v/>
      </c>
      <c r="J79" s="32" t="str">
        <f aca="false">IF($A79="","",$H79*$G79)</f>
        <v/>
      </c>
      <c r="L79" s="14" t="str">
        <f aca="false">IF($A79="","",$A79&amp;"#"&amp;COUNTIF($A$7:$A79,$A79))</f>
        <v/>
      </c>
    </row>
    <row r="80" customFormat="false" ht="15" hidden="false" customHeight="false" outlineLevel="0" collapsed="false">
      <c r="A80" s="11"/>
      <c r="B80" s="11"/>
      <c r="C80" s="11"/>
      <c r="D80" s="51"/>
      <c r="E80" s="12"/>
      <c r="F80" s="12"/>
      <c r="G80" s="13"/>
      <c r="H80" s="53" t="str">
        <f aca="false">IF($A80="","",$D80*$E80)</f>
        <v/>
      </c>
      <c r="I80" s="39" t="str">
        <f aca="false">IF($A80="","",$D80*$F80)</f>
        <v/>
      </c>
      <c r="J80" s="41" t="str">
        <f aca="false">IF($A80="","",$H80*$G80)</f>
        <v/>
      </c>
      <c r="L80" s="14" t="str">
        <f aca="false">IF($A80="","",$A80&amp;"#"&amp;COUNTIF($A$7:$A80,$A80))</f>
        <v/>
      </c>
    </row>
    <row r="81" customFormat="false" ht="15" hidden="false" customHeight="false" outlineLevel="0" collapsed="false">
      <c r="A81" s="11"/>
      <c r="B81" s="11"/>
      <c r="C81" s="11"/>
      <c r="D81" s="51"/>
      <c r="E81" s="12"/>
      <c r="F81" s="12"/>
      <c r="G81" s="13"/>
      <c r="H81" s="52" t="str">
        <f aca="false">IF($A81="","",$D81*$E81)</f>
        <v/>
      </c>
      <c r="I81" s="30" t="str">
        <f aca="false">IF($A81="","",$D81*$F81)</f>
        <v/>
      </c>
      <c r="J81" s="32" t="str">
        <f aca="false">IF($A81="","",$H81*$G81)</f>
        <v/>
      </c>
      <c r="L81" s="14" t="str">
        <f aca="false">IF($A81="","",$A81&amp;"#"&amp;COUNTIF($A$7:$A81,$A81))</f>
        <v/>
      </c>
    </row>
    <row r="82" customFormat="false" ht="15" hidden="false" customHeight="false" outlineLevel="0" collapsed="false">
      <c r="A82" s="11"/>
      <c r="B82" s="11"/>
      <c r="C82" s="11"/>
      <c r="D82" s="51"/>
      <c r="E82" s="12"/>
      <c r="F82" s="12"/>
      <c r="G82" s="13"/>
      <c r="H82" s="53" t="str">
        <f aca="false">IF($A82="","",$D82*$E82)</f>
        <v/>
      </c>
      <c r="I82" s="39" t="str">
        <f aca="false">IF($A82="","",$D82*$F82)</f>
        <v/>
      </c>
      <c r="J82" s="41" t="str">
        <f aca="false">IF($A82="","",$H82*$G82)</f>
        <v/>
      </c>
      <c r="L82" s="14" t="str">
        <f aca="false">IF($A82="","",$A82&amp;"#"&amp;COUNTIF($A$7:$A82,$A82))</f>
        <v/>
      </c>
    </row>
    <row r="83" customFormat="false" ht="15" hidden="false" customHeight="false" outlineLevel="0" collapsed="false">
      <c r="A83" s="11"/>
      <c r="B83" s="11"/>
      <c r="C83" s="11"/>
      <c r="D83" s="51"/>
      <c r="E83" s="12"/>
      <c r="F83" s="12"/>
      <c r="G83" s="13"/>
      <c r="H83" s="52" t="str">
        <f aca="false">IF($A83="","",$D83*$E83)</f>
        <v/>
      </c>
      <c r="I83" s="30" t="str">
        <f aca="false">IF($A83="","",$D83*$F83)</f>
        <v/>
      </c>
      <c r="J83" s="32" t="str">
        <f aca="false">IF($A83="","",$H83*$G83)</f>
        <v/>
      </c>
      <c r="L83" s="14" t="str">
        <f aca="false">IF($A83="","",$A83&amp;"#"&amp;COUNTIF($A$7:$A83,$A83))</f>
        <v/>
      </c>
    </row>
    <row r="84" customFormat="false" ht="15" hidden="false" customHeight="false" outlineLevel="0" collapsed="false">
      <c r="A84" s="11"/>
      <c r="B84" s="11"/>
      <c r="C84" s="11"/>
      <c r="D84" s="51"/>
      <c r="E84" s="12"/>
      <c r="F84" s="12"/>
      <c r="G84" s="13"/>
      <c r="H84" s="53" t="str">
        <f aca="false">IF($A84="","",$D84*$E84)</f>
        <v/>
      </c>
      <c r="I84" s="39" t="str">
        <f aca="false">IF($A84="","",$D84*$F84)</f>
        <v/>
      </c>
      <c r="J84" s="41" t="str">
        <f aca="false">IF($A84="","",$H84*$G84)</f>
        <v/>
      </c>
      <c r="L84" s="14" t="str">
        <f aca="false">IF($A84="","",$A84&amp;"#"&amp;COUNTIF($A$7:$A84,$A84))</f>
        <v/>
      </c>
    </row>
    <row r="85" customFormat="false" ht="15" hidden="false" customHeight="false" outlineLevel="0" collapsed="false">
      <c r="A85" s="11"/>
      <c r="B85" s="11"/>
      <c r="C85" s="11"/>
      <c r="D85" s="51"/>
      <c r="E85" s="12"/>
      <c r="F85" s="12"/>
      <c r="G85" s="13"/>
      <c r="H85" s="52" t="str">
        <f aca="false">IF($A85="","",$D85*$E85)</f>
        <v/>
      </c>
      <c r="I85" s="30" t="str">
        <f aca="false">IF($A85="","",$D85*$F85)</f>
        <v/>
      </c>
      <c r="J85" s="32" t="str">
        <f aca="false">IF($A85="","",$H85*$G85)</f>
        <v/>
      </c>
      <c r="L85" s="14" t="str">
        <f aca="false">IF($A85="","",$A85&amp;"#"&amp;COUNTIF($A$7:$A85,$A85))</f>
        <v/>
      </c>
    </row>
    <row r="86" customFormat="false" ht="15" hidden="false" customHeight="false" outlineLevel="0" collapsed="false">
      <c r="A86" s="11"/>
      <c r="B86" s="11"/>
      <c r="C86" s="11"/>
      <c r="D86" s="51"/>
      <c r="E86" s="12"/>
      <c r="F86" s="12"/>
      <c r="G86" s="13"/>
      <c r="H86" s="53" t="str">
        <f aca="false">IF($A86="","",$D86*$E86)</f>
        <v/>
      </c>
      <c r="I86" s="39" t="str">
        <f aca="false">IF($A86="","",$D86*$F86)</f>
        <v/>
      </c>
      <c r="J86" s="41" t="str">
        <f aca="false">IF($A86="","",$H86*$G86)</f>
        <v/>
      </c>
      <c r="L86" s="14" t="str">
        <f aca="false">IF($A86="","",$A86&amp;"#"&amp;COUNTIF($A$7:$A86,$A86))</f>
        <v/>
      </c>
    </row>
    <row r="87" customFormat="false" ht="15" hidden="false" customHeight="false" outlineLevel="0" collapsed="false">
      <c r="A87" s="11"/>
      <c r="B87" s="11"/>
      <c r="C87" s="11"/>
      <c r="D87" s="51"/>
      <c r="E87" s="12"/>
      <c r="F87" s="12"/>
      <c r="G87" s="13"/>
      <c r="H87" s="52" t="str">
        <f aca="false">IF($A87="","",$D87*$E87)</f>
        <v/>
      </c>
      <c r="I87" s="30" t="str">
        <f aca="false">IF($A87="","",$D87*$F87)</f>
        <v/>
      </c>
      <c r="J87" s="32" t="str">
        <f aca="false">IF($A87="","",$H87*$G87)</f>
        <v/>
      </c>
      <c r="L87" s="14" t="str">
        <f aca="false">IF($A87="","",$A87&amp;"#"&amp;COUNTIF($A$7:$A87,$A87))</f>
        <v/>
      </c>
    </row>
    <row r="88" customFormat="false" ht="15" hidden="false" customHeight="false" outlineLevel="0" collapsed="false">
      <c r="A88" s="11"/>
      <c r="B88" s="11"/>
      <c r="C88" s="11"/>
      <c r="D88" s="51"/>
      <c r="E88" s="12"/>
      <c r="F88" s="12"/>
      <c r="G88" s="13"/>
      <c r="H88" s="53" t="str">
        <f aca="false">IF($A88="","",$D88*$E88)</f>
        <v/>
      </c>
      <c r="I88" s="39" t="str">
        <f aca="false">IF($A88="","",$D88*$F88)</f>
        <v/>
      </c>
      <c r="J88" s="41" t="str">
        <f aca="false">IF($A88="","",$H88*$G88)</f>
        <v/>
      </c>
      <c r="L88" s="14" t="str">
        <f aca="false">IF($A88="","",$A88&amp;"#"&amp;COUNTIF($A$7:$A88,$A88))</f>
        <v/>
      </c>
    </row>
    <row r="89" customFormat="false" ht="15" hidden="false" customHeight="false" outlineLevel="0" collapsed="false">
      <c r="A89" s="11"/>
      <c r="B89" s="11"/>
      <c r="C89" s="11"/>
      <c r="D89" s="51"/>
      <c r="E89" s="12"/>
      <c r="F89" s="12"/>
      <c r="G89" s="13"/>
      <c r="H89" s="52" t="str">
        <f aca="false">IF($A89="","",$D89*$E89)</f>
        <v/>
      </c>
      <c r="I89" s="30" t="str">
        <f aca="false">IF($A89="","",$D89*$F89)</f>
        <v/>
      </c>
      <c r="J89" s="32" t="str">
        <f aca="false">IF($A89="","",$H89*$G89)</f>
        <v/>
      </c>
      <c r="L89" s="14" t="str">
        <f aca="false">IF($A89="","",$A89&amp;"#"&amp;COUNTIF($A$7:$A89,$A89))</f>
        <v/>
      </c>
    </row>
    <row r="90" customFormat="false" ht="15" hidden="false" customHeight="false" outlineLevel="0" collapsed="false">
      <c r="A90" s="11"/>
      <c r="B90" s="11"/>
      <c r="C90" s="11"/>
      <c r="D90" s="51"/>
      <c r="E90" s="12"/>
      <c r="F90" s="12"/>
      <c r="G90" s="13"/>
      <c r="H90" s="53" t="str">
        <f aca="false">IF($A90="","",$D90*$E90)</f>
        <v/>
      </c>
      <c r="I90" s="39" t="str">
        <f aca="false">IF($A90="","",$D90*$F90)</f>
        <v/>
      </c>
      <c r="J90" s="41" t="str">
        <f aca="false">IF($A90="","",$H90*$G90)</f>
        <v/>
      </c>
      <c r="L90" s="14" t="str">
        <f aca="false">IF($A90="","",$A90&amp;"#"&amp;COUNTIF($A$7:$A90,$A90))</f>
        <v/>
      </c>
    </row>
    <row r="91" customFormat="false" ht="15" hidden="false" customHeight="false" outlineLevel="0" collapsed="false">
      <c r="A91" s="11"/>
      <c r="B91" s="11"/>
      <c r="C91" s="11"/>
      <c r="D91" s="51"/>
      <c r="E91" s="12"/>
      <c r="F91" s="12"/>
      <c r="G91" s="13"/>
      <c r="H91" s="52" t="str">
        <f aca="false">IF($A91="","",$D91*$E91)</f>
        <v/>
      </c>
      <c r="I91" s="30" t="str">
        <f aca="false">IF($A91="","",$D91*$F91)</f>
        <v/>
      </c>
      <c r="J91" s="32" t="str">
        <f aca="false">IF($A91="","",$H91*$G91)</f>
        <v/>
      </c>
      <c r="L91" s="14" t="str">
        <f aca="false">IF($A91="","",$A91&amp;"#"&amp;COUNTIF($A$7:$A91,$A91))</f>
        <v/>
      </c>
    </row>
    <row r="92" customFormat="false" ht="15" hidden="false" customHeight="false" outlineLevel="0" collapsed="false">
      <c r="A92" s="11"/>
      <c r="B92" s="11"/>
      <c r="C92" s="11"/>
      <c r="D92" s="51"/>
      <c r="E92" s="12"/>
      <c r="F92" s="12"/>
      <c r="G92" s="13"/>
      <c r="H92" s="53" t="str">
        <f aca="false">IF($A92="","",$D92*$E92)</f>
        <v/>
      </c>
      <c r="I92" s="39" t="str">
        <f aca="false">IF($A92="","",$D92*$F92)</f>
        <v/>
      </c>
      <c r="J92" s="41" t="str">
        <f aca="false">IF($A92="","",$H92*$G92)</f>
        <v/>
      </c>
      <c r="L92" s="14" t="str">
        <f aca="false">IF($A92="","",$A92&amp;"#"&amp;COUNTIF($A$7:$A92,$A92))</f>
        <v/>
      </c>
    </row>
    <row r="93" customFormat="false" ht="15" hidden="false" customHeight="false" outlineLevel="0" collapsed="false">
      <c r="A93" s="11"/>
      <c r="B93" s="11"/>
      <c r="C93" s="11"/>
      <c r="D93" s="51"/>
      <c r="E93" s="12"/>
      <c r="F93" s="12"/>
      <c r="G93" s="13"/>
      <c r="H93" s="52" t="str">
        <f aca="false">IF($A93="","",$D93*$E93)</f>
        <v/>
      </c>
      <c r="I93" s="30" t="str">
        <f aca="false">IF($A93="","",$D93*$F93)</f>
        <v/>
      </c>
      <c r="J93" s="32" t="str">
        <f aca="false">IF($A93="","",$H93*$G93)</f>
        <v/>
      </c>
      <c r="L93" s="14" t="str">
        <f aca="false">IF($A93="","",$A93&amp;"#"&amp;COUNTIF($A$7:$A93,$A93))</f>
        <v/>
      </c>
    </row>
    <row r="94" customFormat="false" ht="15" hidden="false" customHeight="false" outlineLevel="0" collapsed="false">
      <c r="A94" s="11"/>
      <c r="B94" s="11"/>
      <c r="C94" s="11"/>
      <c r="D94" s="51"/>
      <c r="E94" s="12"/>
      <c r="F94" s="12"/>
      <c r="G94" s="13"/>
      <c r="H94" s="53" t="str">
        <f aca="false">IF($A94="","",$D94*$E94)</f>
        <v/>
      </c>
      <c r="I94" s="39" t="str">
        <f aca="false">IF($A94="","",$D94*$F94)</f>
        <v/>
      </c>
      <c r="J94" s="41" t="str">
        <f aca="false">IF($A94="","",$H94*$G94)</f>
        <v/>
      </c>
      <c r="L94" s="14" t="str">
        <f aca="false">IF($A94="","",$A94&amp;"#"&amp;COUNTIF($A$7:$A94,$A94))</f>
        <v/>
      </c>
    </row>
    <row r="95" customFormat="false" ht="15" hidden="false" customHeight="false" outlineLevel="0" collapsed="false">
      <c r="A95" s="11"/>
      <c r="B95" s="11"/>
      <c r="C95" s="11"/>
      <c r="D95" s="51"/>
      <c r="E95" s="12"/>
      <c r="F95" s="12"/>
      <c r="G95" s="13"/>
      <c r="H95" s="52" t="str">
        <f aca="false">IF($A95="","",$D95*$E95)</f>
        <v/>
      </c>
      <c r="I95" s="30" t="str">
        <f aca="false">IF($A95="","",$D95*$F95)</f>
        <v/>
      </c>
      <c r="J95" s="32" t="str">
        <f aca="false">IF($A95="","",$H95*$G95)</f>
        <v/>
      </c>
      <c r="L95" s="14" t="str">
        <f aca="false">IF($A95="","",$A95&amp;"#"&amp;COUNTIF($A$7:$A95,$A95))</f>
        <v/>
      </c>
    </row>
    <row r="96" customFormat="false" ht="15" hidden="false" customHeight="false" outlineLevel="0" collapsed="false">
      <c r="A96" s="11"/>
      <c r="B96" s="11"/>
      <c r="C96" s="11"/>
      <c r="D96" s="51"/>
      <c r="E96" s="12"/>
      <c r="F96" s="12"/>
      <c r="G96" s="13"/>
      <c r="H96" s="53" t="str">
        <f aca="false">IF($A96="","",$D96*$E96)</f>
        <v/>
      </c>
      <c r="I96" s="39" t="str">
        <f aca="false">IF($A96="","",$D96*$F96)</f>
        <v/>
      </c>
      <c r="J96" s="41" t="str">
        <f aca="false">IF($A96="","",$H96*$G96)</f>
        <v/>
      </c>
      <c r="L96" s="14" t="str">
        <f aca="false">IF($A96="","",$A96&amp;"#"&amp;COUNTIF($A$7:$A96,$A96))</f>
        <v/>
      </c>
    </row>
    <row r="97" customFormat="false" ht="15" hidden="false" customHeight="false" outlineLevel="0" collapsed="false">
      <c r="A97" s="11"/>
      <c r="B97" s="11"/>
      <c r="C97" s="11"/>
      <c r="D97" s="51"/>
      <c r="E97" s="12"/>
      <c r="F97" s="12"/>
      <c r="G97" s="13"/>
      <c r="H97" s="52" t="str">
        <f aca="false">IF($A97="","",$D97*$E97)</f>
        <v/>
      </c>
      <c r="I97" s="30" t="str">
        <f aca="false">IF($A97="","",$D97*$F97)</f>
        <v/>
      </c>
      <c r="J97" s="32" t="str">
        <f aca="false">IF($A97="","",$H97*$G97)</f>
        <v/>
      </c>
      <c r="L97" s="14" t="str">
        <f aca="false">IF($A97="","",$A97&amp;"#"&amp;COUNTIF($A$7:$A97,$A97))</f>
        <v/>
      </c>
    </row>
    <row r="98" customFormat="false" ht="15" hidden="false" customHeight="false" outlineLevel="0" collapsed="false">
      <c r="A98" s="11"/>
      <c r="B98" s="11"/>
      <c r="C98" s="11"/>
      <c r="D98" s="51"/>
      <c r="E98" s="12"/>
      <c r="F98" s="12"/>
      <c r="G98" s="13"/>
      <c r="H98" s="53" t="str">
        <f aca="false">IF($A98="","",$D98*$E98)</f>
        <v/>
      </c>
      <c r="I98" s="39" t="str">
        <f aca="false">IF($A98="","",$D98*$F98)</f>
        <v/>
      </c>
      <c r="J98" s="41" t="str">
        <f aca="false">IF($A98="","",$H98*$G98)</f>
        <v/>
      </c>
      <c r="L98" s="14" t="str">
        <f aca="false">IF($A98="","",$A98&amp;"#"&amp;COUNTIF($A$7:$A98,$A98))</f>
        <v/>
      </c>
    </row>
    <row r="99" customFormat="false" ht="15" hidden="false" customHeight="false" outlineLevel="0" collapsed="false">
      <c r="A99" s="11"/>
      <c r="B99" s="11"/>
      <c r="C99" s="11"/>
      <c r="D99" s="51"/>
      <c r="E99" s="12"/>
      <c r="F99" s="12"/>
      <c r="G99" s="13"/>
      <c r="H99" s="52" t="str">
        <f aca="false">IF($A99="","",$D99*$E99)</f>
        <v/>
      </c>
      <c r="I99" s="30" t="str">
        <f aca="false">IF($A99="","",$D99*$F99)</f>
        <v/>
      </c>
      <c r="J99" s="32" t="str">
        <f aca="false">IF($A99="","",$H99*$G99)</f>
        <v/>
      </c>
      <c r="L99" s="14" t="str">
        <f aca="false">IF($A99="","",$A99&amp;"#"&amp;COUNTIF($A$7:$A99,$A99))</f>
        <v/>
      </c>
    </row>
    <row r="100" customFormat="false" ht="15" hidden="false" customHeight="false" outlineLevel="0" collapsed="false">
      <c r="A100" s="11"/>
      <c r="B100" s="11"/>
      <c r="C100" s="11"/>
      <c r="D100" s="51"/>
      <c r="E100" s="12"/>
      <c r="F100" s="12"/>
      <c r="G100" s="13"/>
      <c r="H100" s="53" t="str">
        <f aca="false">IF($A100="","",$D100*$E100)</f>
        <v/>
      </c>
      <c r="I100" s="39" t="str">
        <f aca="false">IF($A100="","",$D100*$F100)</f>
        <v/>
      </c>
      <c r="J100" s="41" t="str">
        <f aca="false">IF($A100="","",$H100*$G100)</f>
        <v/>
      </c>
      <c r="L100" s="14" t="str">
        <f aca="false">IF($A100="","",$A100&amp;"#"&amp;COUNTIF($A$7:$A100,$A100))</f>
        <v/>
      </c>
    </row>
    <row r="101" customFormat="false" ht="15" hidden="false" customHeight="false" outlineLevel="0" collapsed="false">
      <c r="A101" s="11"/>
      <c r="B101" s="11"/>
      <c r="C101" s="11"/>
      <c r="D101" s="51"/>
      <c r="E101" s="12"/>
      <c r="F101" s="12"/>
      <c r="G101" s="13"/>
      <c r="H101" s="52" t="str">
        <f aca="false">IF($A101="","",$D101*$E101)</f>
        <v/>
      </c>
      <c r="I101" s="30" t="str">
        <f aca="false">IF($A101="","",$D101*$F101)</f>
        <v/>
      </c>
      <c r="J101" s="32" t="str">
        <f aca="false">IF($A101="","",$H101*$G101)</f>
        <v/>
      </c>
      <c r="L101" s="14" t="str">
        <f aca="false">IF($A101="","",$A101&amp;"#"&amp;COUNTIF($A$7:$A101,$A101))</f>
        <v/>
      </c>
    </row>
    <row r="102" customFormat="false" ht="15" hidden="false" customHeight="false" outlineLevel="0" collapsed="false">
      <c r="A102" s="11"/>
      <c r="B102" s="11"/>
      <c r="C102" s="11"/>
      <c r="D102" s="51"/>
      <c r="E102" s="12"/>
      <c r="F102" s="12"/>
      <c r="G102" s="13"/>
      <c r="H102" s="53" t="str">
        <f aca="false">IF($A102="","",$D102*$E102)</f>
        <v/>
      </c>
      <c r="I102" s="39" t="str">
        <f aca="false">IF($A102="","",$D102*$F102)</f>
        <v/>
      </c>
      <c r="J102" s="41" t="str">
        <f aca="false">IF($A102="","",$H102*$G102)</f>
        <v/>
      </c>
      <c r="L102" s="14" t="str">
        <f aca="false">IF($A102="","",$A102&amp;"#"&amp;COUNTIF($A$7:$A102,$A102))</f>
        <v/>
      </c>
    </row>
    <row r="103" customFormat="false" ht="15" hidden="false" customHeight="false" outlineLevel="0" collapsed="false">
      <c r="A103" s="11"/>
      <c r="B103" s="11"/>
      <c r="C103" s="11"/>
      <c r="D103" s="51"/>
      <c r="E103" s="12"/>
      <c r="F103" s="12"/>
      <c r="G103" s="13"/>
      <c r="H103" s="52" t="str">
        <f aca="false">IF($A103="","",$D103*$E103)</f>
        <v/>
      </c>
      <c r="I103" s="30" t="str">
        <f aca="false">IF($A103="","",$D103*$F103)</f>
        <v/>
      </c>
      <c r="J103" s="32" t="str">
        <f aca="false">IF($A103="","",$H103*$G103)</f>
        <v/>
      </c>
      <c r="L103" s="14" t="str">
        <f aca="false">IF($A103="","",$A103&amp;"#"&amp;COUNTIF($A$7:$A103,$A103))</f>
        <v/>
      </c>
    </row>
    <row r="104" customFormat="false" ht="15" hidden="false" customHeight="false" outlineLevel="0" collapsed="false">
      <c r="A104" s="11"/>
      <c r="B104" s="11"/>
      <c r="C104" s="11"/>
      <c r="D104" s="51"/>
      <c r="E104" s="12"/>
      <c r="F104" s="12"/>
      <c r="G104" s="13"/>
      <c r="H104" s="53" t="str">
        <f aca="false">IF($A104="","",$D104*$E104)</f>
        <v/>
      </c>
      <c r="I104" s="39" t="str">
        <f aca="false">IF($A104="","",$D104*$F104)</f>
        <v/>
      </c>
      <c r="J104" s="41" t="str">
        <f aca="false">IF($A104="","",$H104*$G104)</f>
        <v/>
      </c>
      <c r="L104" s="14" t="str">
        <f aca="false">IF($A104="","",$A104&amp;"#"&amp;COUNTIF($A$7:$A104,$A104))</f>
        <v/>
      </c>
    </row>
    <row r="105" customFormat="false" ht="15" hidden="false" customHeight="false" outlineLevel="0" collapsed="false">
      <c r="A105" s="11"/>
      <c r="B105" s="11"/>
      <c r="C105" s="11"/>
      <c r="D105" s="51"/>
      <c r="E105" s="12"/>
      <c r="F105" s="12"/>
      <c r="G105" s="13"/>
      <c r="H105" s="52" t="str">
        <f aca="false">IF($A105="","",$D105*$E105)</f>
        <v/>
      </c>
      <c r="I105" s="30" t="str">
        <f aca="false">IF($A105="","",$D105*$F105)</f>
        <v/>
      </c>
      <c r="J105" s="32" t="str">
        <f aca="false">IF($A105="","",$H105*$G105)</f>
        <v/>
      </c>
      <c r="L105" s="14" t="str">
        <f aca="false">IF($A105="","",$A105&amp;"#"&amp;COUNTIF($A$7:$A105,$A105))</f>
        <v/>
      </c>
    </row>
    <row r="106" customFormat="false" ht="15" hidden="false" customHeight="false" outlineLevel="0" collapsed="false">
      <c r="A106" s="11"/>
      <c r="B106" s="11"/>
      <c r="C106" s="11"/>
      <c r="D106" s="51"/>
      <c r="E106" s="12"/>
      <c r="F106" s="12"/>
      <c r="G106" s="13"/>
      <c r="H106" s="53" t="str">
        <f aca="false">IF($A106="","",$D106*$E106)</f>
        <v/>
      </c>
      <c r="I106" s="39" t="str">
        <f aca="false">IF($A106="","",$D106*$F106)</f>
        <v/>
      </c>
      <c r="J106" s="41" t="str">
        <f aca="false">IF($A106="","",$H106*$G106)</f>
        <v/>
      </c>
      <c r="L106" s="14" t="str">
        <f aca="false">IF($A106="","",$A106&amp;"#"&amp;COUNTIF($A$7:$A106,$A106))</f>
        <v/>
      </c>
    </row>
    <row r="107" customFormat="false" ht="15" hidden="false" customHeight="false" outlineLevel="0" collapsed="false">
      <c r="A107" s="11"/>
      <c r="B107" s="11"/>
      <c r="C107" s="11"/>
      <c r="D107" s="51"/>
      <c r="E107" s="12"/>
      <c r="F107" s="12"/>
      <c r="G107" s="13"/>
      <c r="H107" s="52" t="str">
        <f aca="false">IF($A107="","",$D107*$E107)</f>
        <v/>
      </c>
      <c r="I107" s="30" t="str">
        <f aca="false">IF($A107="","",$D107*$F107)</f>
        <v/>
      </c>
      <c r="J107" s="32" t="str">
        <f aca="false">IF($A107="","",$H107*$G107)</f>
        <v/>
      </c>
      <c r="L107" s="14" t="str">
        <f aca="false">IF($A107="","",$A107&amp;"#"&amp;COUNTIF($A$7:$A107,$A107))</f>
        <v/>
      </c>
    </row>
    <row r="108" customFormat="false" ht="15" hidden="false" customHeight="false" outlineLevel="0" collapsed="false">
      <c r="A108" s="11"/>
      <c r="B108" s="11"/>
      <c r="C108" s="11"/>
      <c r="D108" s="51"/>
      <c r="E108" s="12"/>
      <c r="F108" s="12"/>
      <c r="G108" s="13"/>
      <c r="H108" s="53" t="str">
        <f aca="false">IF($A108="","",$D108*$E108)</f>
        <v/>
      </c>
      <c r="I108" s="39" t="str">
        <f aca="false">IF($A108="","",$D108*$F108)</f>
        <v/>
      </c>
      <c r="J108" s="41" t="str">
        <f aca="false">IF($A108="","",$H108*$G108)</f>
        <v/>
      </c>
      <c r="L108" s="14" t="str">
        <f aca="false">IF($A108="","",$A108&amp;"#"&amp;COUNTIF($A$7:$A108,$A108))</f>
        <v/>
      </c>
    </row>
    <row r="109" customFormat="false" ht="15" hidden="false" customHeight="false" outlineLevel="0" collapsed="false">
      <c r="A109" s="11"/>
      <c r="B109" s="11"/>
      <c r="C109" s="11"/>
      <c r="D109" s="51"/>
      <c r="E109" s="12"/>
      <c r="F109" s="12"/>
      <c r="G109" s="13"/>
      <c r="H109" s="52" t="str">
        <f aca="false">IF($A109="","",$D109*$E109)</f>
        <v/>
      </c>
      <c r="I109" s="30" t="str">
        <f aca="false">IF($A109="","",$D109*$F109)</f>
        <v/>
      </c>
      <c r="J109" s="32" t="str">
        <f aca="false">IF($A109="","",$H109*$G109)</f>
        <v/>
      </c>
      <c r="L109" s="14" t="str">
        <f aca="false">IF($A109="","",$A109&amp;"#"&amp;COUNTIF($A$7:$A109,$A109))</f>
        <v/>
      </c>
    </row>
    <row r="110" customFormat="false" ht="15" hidden="false" customHeight="false" outlineLevel="0" collapsed="false">
      <c r="A110" s="11"/>
      <c r="B110" s="11"/>
      <c r="C110" s="11"/>
      <c r="D110" s="51"/>
      <c r="E110" s="12"/>
      <c r="F110" s="12"/>
      <c r="G110" s="13"/>
      <c r="H110" s="53" t="str">
        <f aca="false">IF($A110="","",$D110*$E110)</f>
        <v/>
      </c>
      <c r="I110" s="39" t="str">
        <f aca="false">IF($A110="","",$D110*$F110)</f>
        <v/>
      </c>
      <c r="J110" s="41" t="str">
        <f aca="false">IF($A110="","",$H110*$G110)</f>
        <v/>
      </c>
      <c r="L110" s="14" t="str">
        <f aca="false">IF($A110="","",$A110&amp;"#"&amp;COUNTIF($A$7:$A110,$A110))</f>
        <v/>
      </c>
    </row>
    <row r="111" customFormat="false" ht="15" hidden="false" customHeight="false" outlineLevel="0" collapsed="false">
      <c r="A111" s="11"/>
      <c r="B111" s="11"/>
      <c r="C111" s="11"/>
      <c r="D111" s="51"/>
      <c r="E111" s="12"/>
      <c r="F111" s="12"/>
      <c r="G111" s="13"/>
      <c r="H111" s="52" t="str">
        <f aca="false">IF($A111="","",$D111*$E111)</f>
        <v/>
      </c>
      <c r="I111" s="30" t="str">
        <f aca="false">IF($A111="","",$D111*$F111)</f>
        <v/>
      </c>
      <c r="J111" s="32" t="str">
        <f aca="false">IF($A111="","",$H111*$G111)</f>
        <v/>
      </c>
      <c r="L111" s="14" t="str">
        <f aca="false">IF($A111="","",$A111&amp;"#"&amp;COUNTIF($A$7:$A111,$A111))</f>
        <v/>
      </c>
    </row>
    <row r="112" customFormat="false" ht="15" hidden="false" customHeight="false" outlineLevel="0" collapsed="false">
      <c r="A112" s="11"/>
      <c r="B112" s="11"/>
      <c r="C112" s="11"/>
      <c r="D112" s="51"/>
      <c r="E112" s="12"/>
      <c r="F112" s="12"/>
      <c r="G112" s="13"/>
      <c r="H112" s="53" t="str">
        <f aca="false">IF($A112="","",$D112*$E112)</f>
        <v/>
      </c>
      <c r="I112" s="39" t="str">
        <f aca="false">IF($A112="","",$D112*$F112)</f>
        <v/>
      </c>
      <c r="J112" s="41" t="str">
        <f aca="false">IF($A112="","",$H112*$G112)</f>
        <v/>
      </c>
      <c r="L112" s="14" t="str">
        <f aca="false">IF($A112="","",$A112&amp;"#"&amp;COUNTIF($A$7:$A112,$A112))</f>
        <v/>
      </c>
    </row>
    <row r="113" customFormat="false" ht="15" hidden="false" customHeight="false" outlineLevel="0" collapsed="false">
      <c r="A113" s="11"/>
      <c r="B113" s="11"/>
      <c r="C113" s="11"/>
      <c r="D113" s="51"/>
      <c r="E113" s="12"/>
      <c r="F113" s="12"/>
      <c r="G113" s="13"/>
      <c r="H113" s="52" t="str">
        <f aca="false">IF($A113="","",$D113*$E113)</f>
        <v/>
      </c>
      <c r="I113" s="30" t="str">
        <f aca="false">IF($A113="","",$D113*$F113)</f>
        <v/>
      </c>
      <c r="J113" s="32" t="str">
        <f aca="false">IF($A113="","",$H113*$G113)</f>
        <v/>
      </c>
      <c r="L113" s="14" t="str">
        <f aca="false">IF($A113="","",$A113&amp;"#"&amp;COUNTIF($A$7:$A113,$A113))</f>
        <v/>
      </c>
    </row>
    <row r="114" customFormat="false" ht="15" hidden="false" customHeight="false" outlineLevel="0" collapsed="false">
      <c r="A114" s="11"/>
      <c r="B114" s="11"/>
      <c r="C114" s="11"/>
      <c r="D114" s="51"/>
      <c r="E114" s="12"/>
      <c r="F114" s="12"/>
      <c r="G114" s="13"/>
      <c r="H114" s="53" t="str">
        <f aca="false">IF($A114="","",$D114*$E114)</f>
        <v/>
      </c>
      <c r="I114" s="39" t="str">
        <f aca="false">IF($A114="","",$D114*$F114)</f>
        <v/>
      </c>
      <c r="J114" s="41" t="str">
        <f aca="false">IF($A114="","",$H114*$G114)</f>
        <v/>
      </c>
      <c r="L114" s="14" t="str">
        <f aca="false">IF($A114="","",$A114&amp;"#"&amp;COUNTIF($A$7:$A114,$A114))</f>
        <v/>
      </c>
    </row>
    <row r="115" customFormat="false" ht="15" hidden="false" customHeight="false" outlineLevel="0" collapsed="false">
      <c r="A115" s="11"/>
      <c r="B115" s="11"/>
      <c r="C115" s="11"/>
      <c r="D115" s="51"/>
      <c r="E115" s="12"/>
      <c r="F115" s="12"/>
      <c r="G115" s="13"/>
      <c r="H115" s="52" t="str">
        <f aca="false">IF($A115="","",$D115*$E115)</f>
        <v/>
      </c>
      <c r="I115" s="30" t="str">
        <f aca="false">IF($A115="","",$D115*$F115)</f>
        <v/>
      </c>
      <c r="J115" s="32" t="str">
        <f aca="false">IF($A115="","",$H115*$G115)</f>
        <v/>
      </c>
      <c r="L115" s="14" t="str">
        <f aca="false">IF($A115="","",$A115&amp;"#"&amp;COUNTIF($A$7:$A115,$A115))</f>
        <v/>
      </c>
    </row>
    <row r="116" customFormat="false" ht="15" hidden="false" customHeight="false" outlineLevel="0" collapsed="false">
      <c r="A116" s="11"/>
      <c r="B116" s="11"/>
      <c r="C116" s="11"/>
      <c r="D116" s="51"/>
      <c r="E116" s="12"/>
      <c r="F116" s="12"/>
      <c r="G116" s="13"/>
      <c r="H116" s="53" t="str">
        <f aca="false">IF($A116="","",$D116*$E116)</f>
        <v/>
      </c>
      <c r="I116" s="39" t="str">
        <f aca="false">IF($A116="","",$D116*$F116)</f>
        <v/>
      </c>
      <c r="J116" s="41" t="str">
        <f aca="false">IF($A116="","",$H116*$G116)</f>
        <v/>
      </c>
      <c r="L116" s="14" t="str">
        <f aca="false">IF($A116="","",$A116&amp;"#"&amp;COUNTIF($A$7:$A116,$A116))</f>
        <v/>
      </c>
    </row>
    <row r="117" customFormat="false" ht="15" hidden="false" customHeight="false" outlineLevel="0" collapsed="false">
      <c r="A117" s="11"/>
      <c r="B117" s="11"/>
      <c r="C117" s="11"/>
      <c r="D117" s="51"/>
      <c r="E117" s="12"/>
      <c r="F117" s="12"/>
      <c r="G117" s="13"/>
      <c r="H117" s="52" t="str">
        <f aca="false">IF($A117="","",$D117*$E117)</f>
        <v/>
      </c>
      <c r="I117" s="30" t="str">
        <f aca="false">IF($A117="","",$D117*$F117)</f>
        <v/>
      </c>
      <c r="J117" s="32" t="str">
        <f aca="false">IF($A117="","",$H117*$G117)</f>
        <v/>
      </c>
      <c r="L117" s="14" t="str">
        <f aca="false">IF($A117="","",$A117&amp;"#"&amp;COUNTIF($A$7:$A117,$A117))</f>
        <v/>
      </c>
    </row>
    <row r="118" customFormat="false" ht="15" hidden="false" customHeight="false" outlineLevel="0" collapsed="false">
      <c r="A118" s="11"/>
      <c r="B118" s="11"/>
      <c r="C118" s="11"/>
      <c r="D118" s="51"/>
      <c r="E118" s="12"/>
      <c r="F118" s="12"/>
      <c r="G118" s="13"/>
      <c r="H118" s="53" t="str">
        <f aca="false">IF($A118="","",$D118*$E118)</f>
        <v/>
      </c>
      <c r="I118" s="39" t="str">
        <f aca="false">IF($A118="","",$D118*$F118)</f>
        <v/>
      </c>
      <c r="J118" s="41" t="str">
        <f aca="false">IF($A118="","",$H118*$G118)</f>
        <v/>
      </c>
      <c r="L118" s="14" t="str">
        <f aca="false">IF($A118="","",$A118&amp;"#"&amp;COUNTIF($A$7:$A118,$A118))</f>
        <v/>
      </c>
    </row>
    <row r="119" customFormat="false" ht="15" hidden="false" customHeight="false" outlineLevel="0" collapsed="false">
      <c r="A119" s="11"/>
      <c r="B119" s="11"/>
      <c r="C119" s="11"/>
      <c r="D119" s="51"/>
      <c r="E119" s="12"/>
      <c r="F119" s="12"/>
      <c r="G119" s="13"/>
      <c r="H119" s="52" t="str">
        <f aca="false">IF($A119="","",$D119*$E119)</f>
        <v/>
      </c>
      <c r="I119" s="30" t="str">
        <f aca="false">IF($A119="","",$D119*$F119)</f>
        <v/>
      </c>
      <c r="J119" s="32" t="str">
        <f aca="false">IF($A119="","",$H119*$G119)</f>
        <v/>
      </c>
      <c r="L119" s="14" t="str">
        <f aca="false">IF($A119="","",$A119&amp;"#"&amp;COUNTIF($A$7:$A119,$A119))</f>
        <v/>
      </c>
    </row>
    <row r="120" customFormat="false" ht="15" hidden="false" customHeight="false" outlineLevel="0" collapsed="false">
      <c r="A120" s="11"/>
      <c r="B120" s="11"/>
      <c r="C120" s="11"/>
      <c r="D120" s="51"/>
      <c r="E120" s="12"/>
      <c r="F120" s="12"/>
      <c r="G120" s="13"/>
      <c r="H120" s="53" t="str">
        <f aca="false">IF($A120="","",$D120*$E120)</f>
        <v/>
      </c>
      <c r="I120" s="39" t="str">
        <f aca="false">IF($A120="","",$D120*$F120)</f>
        <v/>
      </c>
      <c r="J120" s="41" t="str">
        <f aca="false">IF($A120="","",$H120*$G120)</f>
        <v/>
      </c>
      <c r="L120" s="14" t="str">
        <f aca="false">IF($A120="","",$A120&amp;"#"&amp;COUNTIF($A$7:$A120,$A120))</f>
        <v/>
      </c>
    </row>
    <row r="121" customFormat="false" ht="15" hidden="false" customHeight="false" outlineLevel="0" collapsed="false">
      <c r="A121" s="11"/>
      <c r="B121" s="11"/>
      <c r="C121" s="11"/>
      <c r="D121" s="51"/>
      <c r="E121" s="12"/>
      <c r="F121" s="12"/>
      <c r="G121" s="13"/>
      <c r="H121" s="52" t="str">
        <f aca="false">IF($A121="","",$D121*$E121)</f>
        <v/>
      </c>
      <c r="I121" s="30" t="str">
        <f aca="false">IF($A121="","",$D121*$F121)</f>
        <v/>
      </c>
      <c r="J121" s="32" t="str">
        <f aca="false">IF($A121="","",$H121*$G121)</f>
        <v/>
      </c>
      <c r="L121" s="14" t="str">
        <f aca="false">IF($A121="","",$A121&amp;"#"&amp;COUNTIF($A$7:$A121,$A121))</f>
        <v/>
      </c>
    </row>
    <row r="122" customFormat="false" ht="15" hidden="false" customHeight="false" outlineLevel="0" collapsed="false">
      <c r="A122" s="11"/>
      <c r="B122" s="11"/>
      <c r="C122" s="11"/>
      <c r="D122" s="51"/>
      <c r="E122" s="12"/>
      <c r="F122" s="12"/>
      <c r="G122" s="13"/>
      <c r="H122" s="53" t="str">
        <f aca="false">IF($A122="","",$D122*$E122)</f>
        <v/>
      </c>
      <c r="I122" s="39" t="str">
        <f aca="false">IF($A122="","",$D122*$F122)</f>
        <v/>
      </c>
      <c r="J122" s="41" t="str">
        <f aca="false">IF($A122="","",$H122*$G122)</f>
        <v/>
      </c>
      <c r="L122" s="14" t="str">
        <f aca="false">IF($A122="","",$A122&amp;"#"&amp;COUNTIF($A$7:$A122,$A122))</f>
        <v/>
      </c>
    </row>
    <row r="123" customFormat="false" ht="15" hidden="false" customHeight="false" outlineLevel="0" collapsed="false">
      <c r="A123" s="11"/>
      <c r="B123" s="11"/>
      <c r="C123" s="11"/>
      <c r="D123" s="51"/>
      <c r="E123" s="12"/>
      <c r="F123" s="12"/>
      <c r="G123" s="13"/>
      <c r="H123" s="52" t="str">
        <f aca="false">IF($A123="","",$D123*$E123)</f>
        <v/>
      </c>
      <c r="I123" s="30" t="str">
        <f aca="false">IF($A123="","",$D123*$F123)</f>
        <v/>
      </c>
      <c r="J123" s="32" t="str">
        <f aca="false">IF($A123="","",$H123*$G123)</f>
        <v/>
      </c>
      <c r="L123" s="14" t="str">
        <f aca="false">IF($A123="","",$A123&amp;"#"&amp;COUNTIF($A$7:$A123,$A123))</f>
        <v/>
      </c>
    </row>
    <row r="124" customFormat="false" ht="15" hidden="false" customHeight="false" outlineLevel="0" collapsed="false">
      <c r="A124" s="11"/>
      <c r="B124" s="11"/>
      <c r="C124" s="11"/>
      <c r="D124" s="51"/>
      <c r="E124" s="12"/>
      <c r="F124" s="12"/>
      <c r="G124" s="13"/>
      <c r="H124" s="53" t="str">
        <f aca="false">IF($A124="","",$D124*$E124)</f>
        <v/>
      </c>
      <c r="I124" s="39" t="str">
        <f aca="false">IF($A124="","",$D124*$F124)</f>
        <v/>
      </c>
      <c r="J124" s="41" t="str">
        <f aca="false">IF($A124="","",$H124*$G124)</f>
        <v/>
      </c>
      <c r="L124" s="14" t="str">
        <f aca="false">IF($A124="","",$A124&amp;"#"&amp;COUNTIF($A$7:$A124,$A124))</f>
        <v/>
      </c>
    </row>
    <row r="125" customFormat="false" ht="15" hidden="false" customHeight="false" outlineLevel="0" collapsed="false">
      <c r="A125" s="11"/>
      <c r="B125" s="11"/>
      <c r="C125" s="11"/>
      <c r="D125" s="51"/>
      <c r="E125" s="12"/>
      <c r="F125" s="12"/>
      <c r="G125" s="13"/>
      <c r="H125" s="52" t="str">
        <f aca="false">IF($A125="","",$D125*$E125)</f>
        <v/>
      </c>
      <c r="I125" s="30" t="str">
        <f aca="false">IF($A125="","",$D125*$F125)</f>
        <v/>
      </c>
      <c r="J125" s="32" t="str">
        <f aca="false">IF($A125="","",$H125*$G125)</f>
        <v/>
      </c>
      <c r="L125" s="14" t="str">
        <f aca="false">IF($A125="","",$A125&amp;"#"&amp;COUNTIF($A$7:$A125,$A125))</f>
        <v/>
      </c>
    </row>
    <row r="126" customFormat="false" ht="15" hidden="false" customHeight="false" outlineLevel="0" collapsed="false">
      <c r="A126" s="11"/>
      <c r="B126" s="11"/>
      <c r="C126" s="11"/>
      <c r="D126" s="51"/>
      <c r="E126" s="12"/>
      <c r="F126" s="12"/>
      <c r="G126" s="13"/>
      <c r="H126" s="53" t="str">
        <f aca="false">IF($A126="","",$D126*$E126)</f>
        <v/>
      </c>
      <c r="I126" s="39" t="str">
        <f aca="false">IF($A126="","",$D126*$F126)</f>
        <v/>
      </c>
      <c r="J126" s="41" t="str">
        <f aca="false">IF($A126="","",$H126*$G126)</f>
        <v/>
      </c>
      <c r="L126" s="14" t="str">
        <f aca="false">IF($A126="","",$A126&amp;"#"&amp;COUNTIF($A$7:$A126,$A126))</f>
        <v/>
      </c>
    </row>
    <row r="127" customFormat="false" ht="15" hidden="false" customHeight="false" outlineLevel="0" collapsed="false">
      <c r="A127" s="11"/>
      <c r="B127" s="11"/>
      <c r="C127" s="11"/>
      <c r="D127" s="51"/>
      <c r="E127" s="12"/>
      <c r="F127" s="12"/>
      <c r="G127" s="13"/>
      <c r="H127" s="52" t="str">
        <f aca="false">IF($A127="","",$D127*$E127)</f>
        <v/>
      </c>
      <c r="I127" s="30" t="str">
        <f aca="false">IF($A127="","",$D127*$F127)</f>
        <v/>
      </c>
      <c r="J127" s="32" t="str">
        <f aca="false">IF($A127="","",$H127*$G127)</f>
        <v/>
      </c>
      <c r="L127" s="14" t="str">
        <f aca="false">IF($A127="","",$A127&amp;"#"&amp;COUNTIF($A$7:$A127,$A127))</f>
        <v/>
      </c>
    </row>
    <row r="128" customFormat="false" ht="15" hidden="false" customHeight="false" outlineLevel="0" collapsed="false">
      <c r="A128" s="11"/>
      <c r="B128" s="11"/>
      <c r="C128" s="11"/>
      <c r="D128" s="51"/>
      <c r="E128" s="12"/>
      <c r="F128" s="12"/>
      <c r="G128" s="13"/>
      <c r="H128" s="53" t="str">
        <f aca="false">IF($A128="","",$D128*$E128)</f>
        <v/>
      </c>
      <c r="I128" s="39" t="str">
        <f aca="false">IF($A128="","",$D128*$F128)</f>
        <v/>
      </c>
      <c r="J128" s="41" t="str">
        <f aca="false">IF($A128="","",$H128*$G128)</f>
        <v/>
      </c>
      <c r="L128" s="14" t="str">
        <f aca="false">IF($A128="","",$A128&amp;"#"&amp;COUNTIF($A$7:$A128,$A128))</f>
        <v/>
      </c>
    </row>
    <row r="129" customFormat="false" ht="15" hidden="false" customHeight="false" outlineLevel="0" collapsed="false">
      <c r="A129" s="11"/>
      <c r="B129" s="11"/>
      <c r="C129" s="11"/>
      <c r="D129" s="51"/>
      <c r="E129" s="12"/>
      <c r="F129" s="12"/>
      <c r="G129" s="13"/>
      <c r="H129" s="52" t="str">
        <f aca="false">IF($A129="","",$D129*$E129)</f>
        <v/>
      </c>
      <c r="I129" s="30" t="str">
        <f aca="false">IF($A129="","",$D129*$F129)</f>
        <v/>
      </c>
      <c r="J129" s="32" t="str">
        <f aca="false">IF($A129="","",$H129*$G129)</f>
        <v/>
      </c>
      <c r="L129" s="14" t="str">
        <f aca="false">IF($A129="","",$A129&amp;"#"&amp;COUNTIF($A$7:$A129,$A129))</f>
        <v/>
      </c>
    </row>
    <row r="130" customFormat="false" ht="15" hidden="false" customHeight="false" outlineLevel="0" collapsed="false">
      <c r="A130" s="11"/>
      <c r="B130" s="11"/>
      <c r="C130" s="11"/>
      <c r="D130" s="51"/>
      <c r="E130" s="12"/>
      <c r="F130" s="12"/>
      <c r="G130" s="13"/>
      <c r="H130" s="53" t="str">
        <f aca="false">IF($A130="","",$D130*$E130)</f>
        <v/>
      </c>
      <c r="I130" s="39" t="str">
        <f aca="false">IF($A130="","",$D130*$F130)</f>
        <v/>
      </c>
      <c r="J130" s="41" t="str">
        <f aca="false">IF($A130="","",$H130*$G130)</f>
        <v/>
      </c>
      <c r="L130" s="14" t="str">
        <f aca="false">IF($A130="","",$A130&amp;"#"&amp;COUNTIF($A$7:$A130,$A130))</f>
        <v/>
      </c>
    </row>
    <row r="131" customFormat="false" ht="15" hidden="false" customHeight="false" outlineLevel="0" collapsed="false">
      <c r="A131" s="11"/>
      <c r="B131" s="11"/>
      <c r="C131" s="11"/>
      <c r="D131" s="51"/>
      <c r="E131" s="12"/>
      <c r="F131" s="12"/>
      <c r="G131" s="13"/>
      <c r="H131" s="52" t="str">
        <f aca="false">IF($A131="","",$D131*$E131)</f>
        <v/>
      </c>
      <c r="I131" s="30" t="str">
        <f aca="false">IF($A131="","",$D131*$F131)</f>
        <v/>
      </c>
      <c r="J131" s="32" t="str">
        <f aca="false">IF($A131="","",$H131*$G131)</f>
        <v/>
      </c>
      <c r="L131" s="14" t="str">
        <f aca="false">IF($A131="","",$A131&amp;"#"&amp;COUNTIF($A$7:$A131,$A131))</f>
        <v/>
      </c>
    </row>
    <row r="132" customFormat="false" ht="15" hidden="false" customHeight="false" outlineLevel="0" collapsed="false">
      <c r="A132" s="11"/>
      <c r="B132" s="11"/>
      <c r="C132" s="11"/>
      <c r="D132" s="51"/>
      <c r="E132" s="12"/>
      <c r="F132" s="12"/>
      <c r="G132" s="13"/>
      <c r="H132" s="53" t="str">
        <f aca="false">IF($A132="","",$D132*$E132)</f>
        <v/>
      </c>
      <c r="I132" s="39" t="str">
        <f aca="false">IF($A132="","",$D132*$F132)</f>
        <v/>
      </c>
      <c r="J132" s="41" t="str">
        <f aca="false">IF($A132="","",$H132*$G132)</f>
        <v/>
      </c>
      <c r="L132" s="14" t="str">
        <f aca="false">IF($A132="","",$A132&amp;"#"&amp;COUNTIF($A$7:$A132,$A132))</f>
        <v/>
      </c>
    </row>
    <row r="133" customFormat="false" ht="15" hidden="false" customHeight="false" outlineLevel="0" collapsed="false">
      <c r="A133" s="11"/>
      <c r="B133" s="11"/>
      <c r="C133" s="11"/>
      <c r="D133" s="51"/>
      <c r="E133" s="12"/>
      <c r="F133" s="12"/>
      <c r="G133" s="13"/>
      <c r="H133" s="52" t="str">
        <f aca="false">IF($A133="","",$D133*$E133)</f>
        <v/>
      </c>
      <c r="I133" s="30" t="str">
        <f aca="false">IF($A133="","",$D133*$F133)</f>
        <v/>
      </c>
      <c r="J133" s="32" t="str">
        <f aca="false">IF($A133="","",$H133*$G133)</f>
        <v/>
      </c>
      <c r="L133" s="14" t="str">
        <f aca="false">IF($A133="","",$A133&amp;"#"&amp;COUNTIF($A$7:$A133,$A133))</f>
        <v/>
      </c>
    </row>
    <row r="134" customFormat="false" ht="15" hidden="false" customHeight="false" outlineLevel="0" collapsed="false">
      <c r="A134" s="11"/>
      <c r="B134" s="11"/>
      <c r="C134" s="11"/>
      <c r="D134" s="51"/>
      <c r="E134" s="12"/>
      <c r="F134" s="12"/>
      <c r="G134" s="13"/>
      <c r="H134" s="53" t="str">
        <f aca="false">IF($A134="","",$D134*$E134)</f>
        <v/>
      </c>
      <c r="I134" s="39" t="str">
        <f aca="false">IF($A134="","",$D134*$F134)</f>
        <v/>
      </c>
      <c r="J134" s="41" t="str">
        <f aca="false">IF($A134="","",$H134*$G134)</f>
        <v/>
      </c>
      <c r="L134" s="14" t="str">
        <f aca="false">IF($A134="","",$A134&amp;"#"&amp;COUNTIF($A$7:$A134,$A134))</f>
        <v/>
      </c>
    </row>
    <row r="135" customFormat="false" ht="15" hidden="false" customHeight="false" outlineLevel="0" collapsed="false">
      <c r="A135" s="11"/>
      <c r="B135" s="11"/>
      <c r="C135" s="11"/>
      <c r="D135" s="51"/>
      <c r="E135" s="12"/>
      <c r="F135" s="12"/>
      <c r="G135" s="13"/>
      <c r="H135" s="52" t="str">
        <f aca="false">IF($A135="","",$D135*$E135)</f>
        <v/>
      </c>
      <c r="I135" s="30" t="str">
        <f aca="false">IF($A135="","",$D135*$F135)</f>
        <v/>
      </c>
      <c r="J135" s="32" t="str">
        <f aca="false">IF($A135="","",$H135*$G135)</f>
        <v/>
      </c>
      <c r="L135" s="14" t="str">
        <f aca="false">IF($A135="","",$A135&amp;"#"&amp;COUNTIF($A$7:$A135,$A135))</f>
        <v/>
      </c>
    </row>
    <row r="136" customFormat="false" ht="15" hidden="false" customHeight="false" outlineLevel="0" collapsed="false">
      <c r="A136" s="11"/>
      <c r="B136" s="11"/>
      <c r="C136" s="11"/>
      <c r="D136" s="51"/>
      <c r="E136" s="12"/>
      <c r="F136" s="12"/>
      <c r="G136" s="13"/>
      <c r="H136" s="53" t="str">
        <f aca="false">IF($A136="","",$D136*$E136)</f>
        <v/>
      </c>
      <c r="I136" s="39" t="str">
        <f aca="false">IF($A136="","",$D136*$F136)</f>
        <v/>
      </c>
      <c r="J136" s="41" t="str">
        <f aca="false">IF($A136="","",$H136*$G136)</f>
        <v/>
      </c>
      <c r="L136" s="14" t="str">
        <f aca="false">IF($A136="","",$A136&amp;"#"&amp;COUNTIF($A$7:$A136,$A136))</f>
        <v/>
      </c>
    </row>
    <row r="137" customFormat="false" ht="15" hidden="false" customHeight="false" outlineLevel="0" collapsed="false">
      <c r="A137" s="11"/>
      <c r="B137" s="11"/>
      <c r="C137" s="11"/>
      <c r="D137" s="51"/>
      <c r="E137" s="12"/>
      <c r="F137" s="12"/>
      <c r="G137" s="13"/>
      <c r="H137" s="52" t="str">
        <f aca="false">IF($A137="","",$D137*$E137)</f>
        <v/>
      </c>
      <c r="I137" s="30" t="str">
        <f aca="false">IF($A137="","",$D137*$F137)</f>
        <v/>
      </c>
      <c r="J137" s="32" t="str">
        <f aca="false">IF($A137="","",$H137*$G137)</f>
        <v/>
      </c>
      <c r="L137" s="14" t="str">
        <f aca="false">IF($A137="","",$A137&amp;"#"&amp;COUNTIF($A$7:$A137,$A137))</f>
        <v/>
      </c>
    </row>
    <row r="138" customFormat="false" ht="15" hidden="false" customHeight="false" outlineLevel="0" collapsed="false">
      <c r="A138" s="11"/>
      <c r="B138" s="11"/>
      <c r="C138" s="11"/>
      <c r="D138" s="51"/>
      <c r="E138" s="12"/>
      <c r="F138" s="12"/>
      <c r="G138" s="13"/>
      <c r="H138" s="53" t="str">
        <f aca="false">IF($A138="","",$D138*$E138)</f>
        <v/>
      </c>
      <c r="I138" s="39" t="str">
        <f aca="false">IF($A138="","",$D138*$F138)</f>
        <v/>
      </c>
      <c r="J138" s="41" t="str">
        <f aca="false">IF($A138="","",$H138*$G138)</f>
        <v/>
      </c>
      <c r="L138" s="14" t="str">
        <f aca="false">IF($A138="","",$A138&amp;"#"&amp;COUNTIF($A$7:$A138,$A138))</f>
        <v/>
      </c>
    </row>
    <row r="139" customFormat="false" ht="15" hidden="false" customHeight="false" outlineLevel="0" collapsed="false">
      <c r="A139" s="11"/>
      <c r="B139" s="11"/>
      <c r="C139" s="11"/>
      <c r="D139" s="51"/>
      <c r="E139" s="12"/>
      <c r="F139" s="12"/>
      <c r="G139" s="13"/>
      <c r="H139" s="52" t="str">
        <f aca="false">IF($A139="","",$D139*$E139)</f>
        <v/>
      </c>
      <c r="I139" s="30" t="str">
        <f aca="false">IF($A139="","",$D139*$F139)</f>
        <v/>
      </c>
      <c r="J139" s="32" t="str">
        <f aca="false">IF($A139="","",$H139*$G139)</f>
        <v/>
      </c>
      <c r="L139" s="14" t="str">
        <f aca="false">IF($A139="","",$A139&amp;"#"&amp;COUNTIF($A$7:$A139,$A139))</f>
        <v/>
      </c>
    </row>
    <row r="140" customFormat="false" ht="15" hidden="false" customHeight="false" outlineLevel="0" collapsed="false">
      <c r="A140" s="11"/>
      <c r="B140" s="11"/>
      <c r="C140" s="11"/>
      <c r="D140" s="51"/>
      <c r="E140" s="12"/>
      <c r="F140" s="12"/>
      <c r="G140" s="13"/>
      <c r="H140" s="53" t="str">
        <f aca="false">IF($A140="","",$D140*$E140)</f>
        <v/>
      </c>
      <c r="I140" s="39" t="str">
        <f aca="false">IF($A140="","",$D140*$F140)</f>
        <v/>
      </c>
      <c r="J140" s="41" t="str">
        <f aca="false">IF($A140="","",$H140*$G140)</f>
        <v/>
      </c>
      <c r="L140" s="14" t="str">
        <f aca="false">IF($A140="","",$A140&amp;"#"&amp;COUNTIF($A$7:$A140,$A140))</f>
        <v/>
      </c>
    </row>
    <row r="141" customFormat="false" ht="15" hidden="false" customHeight="false" outlineLevel="0" collapsed="false">
      <c r="A141" s="11"/>
      <c r="B141" s="11"/>
      <c r="C141" s="11"/>
      <c r="D141" s="51"/>
      <c r="E141" s="12"/>
      <c r="F141" s="12"/>
      <c r="G141" s="13"/>
      <c r="H141" s="52" t="str">
        <f aca="false">IF($A141="","",$D141*$E141)</f>
        <v/>
      </c>
      <c r="I141" s="30" t="str">
        <f aca="false">IF($A141="","",$D141*$F141)</f>
        <v/>
      </c>
      <c r="J141" s="32" t="str">
        <f aca="false">IF($A141="","",$H141*$G141)</f>
        <v/>
      </c>
      <c r="L141" s="14" t="str">
        <f aca="false">IF($A141="","",$A141&amp;"#"&amp;COUNTIF($A$7:$A141,$A141))</f>
        <v/>
      </c>
    </row>
    <row r="142" customFormat="false" ht="15" hidden="false" customHeight="false" outlineLevel="0" collapsed="false">
      <c r="A142" s="11"/>
      <c r="B142" s="11"/>
      <c r="C142" s="11"/>
      <c r="D142" s="51"/>
      <c r="E142" s="12"/>
      <c r="F142" s="12"/>
      <c r="G142" s="13"/>
      <c r="H142" s="53" t="str">
        <f aca="false">IF($A142="","",$D142*$E142)</f>
        <v/>
      </c>
      <c r="I142" s="39" t="str">
        <f aca="false">IF($A142="","",$D142*$F142)</f>
        <v/>
      </c>
      <c r="J142" s="41" t="str">
        <f aca="false">IF($A142="","",$H142*$G142)</f>
        <v/>
      </c>
      <c r="L142" s="14" t="str">
        <f aca="false">IF($A142="","",$A142&amp;"#"&amp;COUNTIF($A$7:$A142,$A142))</f>
        <v/>
      </c>
    </row>
    <row r="143" customFormat="false" ht="15" hidden="false" customHeight="false" outlineLevel="0" collapsed="false">
      <c r="A143" s="11"/>
      <c r="B143" s="11"/>
      <c r="C143" s="11"/>
      <c r="D143" s="51"/>
      <c r="E143" s="12"/>
      <c r="F143" s="12"/>
      <c r="G143" s="13"/>
      <c r="H143" s="52" t="str">
        <f aca="false">IF($A143="","",$D143*$E143)</f>
        <v/>
      </c>
      <c r="I143" s="30" t="str">
        <f aca="false">IF($A143="","",$D143*$F143)</f>
        <v/>
      </c>
      <c r="J143" s="32" t="str">
        <f aca="false">IF($A143="","",$H143*$G143)</f>
        <v/>
      </c>
      <c r="L143" s="14" t="str">
        <f aca="false">IF($A143="","",$A143&amp;"#"&amp;COUNTIF($A$7:$A143,$A143))</f>
        <v/>
      </c>
    </row>
    <row r="144" customFormat="false" ht="15" hidden="false" customHeight="false" outlineLevel="0" collapsed="false">
      <c r="A144" s="11"/>
      <c r="B144" s="11"/>
      <c r="C144" s="11"/>
      <c r="D144" s="51"/>
      <c r="E144" s="12"/>
      <c r="F144" s="12"/>
      <c r="G144" s="13"/>
      <c r="H144" s="53" t="str">
        <f aca="false">IF($A144="","",$D144*$E144)</f>
        <v/>
      </c>
      <c r="I144" s="39" t="str">
        <f aca="false">IF($A144="","",$D144*$F144)</f>
        <v/>
      </c>
      <c r="J144" s="41" t="str">
        <f aca="false">IF($A144="","",$H144*$G144)</f>
        <v/>
      </c>
      <c r="L144" s="14" t="str">
        <f aca="false">IF($A144="","",$A144&amp;"#"&amp;COUNTIF($A$7:$A144,$A144))</f>
        <v/>
      </c>
    </row>
    <row r="145" customFormat="false" ht="15" hidden="false" customHeight="false" outlineLevel="0" collapsed="false">
      <c r="A145" s="11"/>
      <c r="B145" s="11"/>
      <c r="C145" s="11"/>
      <c r="D145" s="51"/>
      <c r="E145" s="12"/>
      <c r="F145" s="12"/>
      <c r="G145" s="13"/>
      <c r="H145" s="52" t="str">
        <f aca="false">IF($A145="","",$D145*$E145)</f>
        <v/>
      </c>
      <c r="I145" s="30" t="str">
        <f aca="false">IF($A145="","",$D145*$F145)</f>
        <v/>
      </c>
      <c r="J145" s="32" t="str">
        <f aca="false">IF($A145="","",$H145*$G145)</f>
        <v/>
      </c>
      <c r="L145" s="14" t="str">
        <f aca="false">IF($A145="","",$A145&amp;"#"&amp;COUNTIF($A$7:$A145,$A145))</f>
        <v/>
      </c>
    </row>
    <row r="146" customFormat="false" ht="15" hidden="false" customHeight="false" outlineLevel="0" collapsed="false">
      <c r="A146" s="11"/>
      <c r="B146" s="11"/>
      <c r="C146" s="11"/>
      <c r="D146" s="51"/>
      <c r="E146" s="12"/>
      <c r="F146" s="12"/>
      <c r="G146" s="13"/>
      <c r="H146" s="53" t="str">
        <f aca="false">IF($A146="","",$D146*$E146)</f>
        <v/>
      </c>
      <c r="I146" s="39" t="str">
        <f aca="false">IF($A146="","",$D146*$F146)</f>
        <v/>
      </c>
      <c r="J146" s="41" t="str">
        <f aca="false">IF($A146="","",$H146*$G146)</f>
        <v/>
      </c>
      <c r="L146" s="14" t="str">
        <f aca="false">IF($A146="","",$A146&amp;"#"&amp;COUNTIF($A$7:$A146,$A146))</f>
        <v/>
      </c>
    </row>
    <row r="147" customFormat="false" ht="15" hidden="false" customHeight="false" outlineLevel="0" collapsed="false">
      <c r="A147" s="11"/>
      <c r="B147" s="11"/>
      <c r="C147" s="11"/>
      <c r="D147" s="51"/>
      <c r="E147" s="12"/>
      <c r="F147" s="12"/>
      <c r="G147" s="13"/>
      <c r="H147" s="52" t="str">
        <f aca="false">IF($A147="","",$D147*$E147)</f>
        <v/>
      </c>
      <c r="I147" s="30" t="str">
        <f aca="false">IF($A147="","",$D147*$F147)</f>
        <v/>
      </c>
      <c r="J147" s="32" t="str">
        <f aca="false">IF($A147="","",$H147*$G147)</f>
        <v/>
      </c>
      <c r="L147" s="14" t="str">
        <f aca="false">IF($A147="","",$A147&amp;"#"&amp;COUNTIF($A$7:$A147,$A147))</f>
        <v/>
      </c>
    </row>
    <row r="148" customFormat="false" ht="15" hidden="false" customHeight="false" outlineLevel="0" collapsed="false">
      <c r="A148" s="11"/>
      <c r="B148" s="11"/>
      <c r="C148" s="11"/>
      <c r="D148" s="51"/>
      <c r="E148" s="12"/>
      <c r="F148" s="12"/>
      <c r="G148" s="13"/>
      <c r="H148" s="53" t="str">
        <f aca="false">IF($A148="","",$D148*$E148)</f>
        <v/>
      </c>
      <c r="I148" s="39" t="str">
        <f aca="false">IF($A148="","",$D148*$F148)</f>
        <v/>
      </c>
      <c r="J148" s="41" t="str">
        <f aca="false">IF($A148="","",$H148*$G148)</f>
        <v/>
      </c>
      <c r="L148" s="14" t="str">
        <f aca="false">IF($A148="","",$A148&amp;"#"&amp;COUNTIF($A$7:$A148,$A148))</f>
        <v/>
      </c>
    </row>
    <row r="149" customFormat="false" ht="15" hidden="false" customHeight="false" outlineLevel="0" collapsed="false">
      <c r="A149" s="11"/>
      <c r="B149" s="11"/>
      <c r="C149" s="11"/>
      <c r="D149" s="51"/>
      <c r="E149" s="12"/>
      <c r="F149" s="12"/>
      <c r="G149" s="13"/>
      <c r="H149" s="52" t="str">
        <f aca="false">IF($A149="","",$D149*$E149)</f>
        <v/>
      </c>
      <c r="I149" s="30" t="str">
        <f aca="false">IF($A149="","",$D149*$F149)</f>
        <v/>
      </c>
      <c r="J149" s="32" t="str">
        <f aca="false">IF($A149="","",$H149*$G149)</f>
        <v/>
      </c>
      <c r="L149" s="14" t="str">
        <f aca="false">IF($A149="","",$A149&amp;"#"&amp;COUNTIF($A$7:$A149,$A149))</f>
        <v/>
      </c>
    </row>
    <row r="150" customFormat="false" ht="15" hidden="false" customHeight="false" outlineLevel="0" collapsed="false">
      <c r="A150" s="11"/>
      <c r="B150" s="11"/>
      <c r="C150" s="11"/>
      <c r="D150" s="51"/>
      <c r="E150" s="12"/>
      <c r="F150" s="12"/>
      <c r="G150" s="13"/>
      <c r="H150" s="53" t="str">
        <f aca="false">IF($A150="","",$D150*$E150)</f>
        <v/>
      </c>
      <c r="I150" s="39" t="str">
        <f aca="false">IF($A150="","",$D150*$F150)</f>
        <v/>
      </c>
      <c r="J150" s="41" t="str">
        <f aca="false">IF($A150="","",$H150*$G150)</f>
        <v/>
      </c>
      <c r="L150" s="14" t="str">
        <f aca="false">IF($A150="","",$A150&amp;"#"&amp;COUNTIF($A$7:$A150,$A150))</f>
        <v/>
      </c>
    </row>
    <row r="151" customFormat="false" ht="15" hidden="false" customHeight="false" outlineLevel="0" collapsed="false">
      <c r="A151" s="11"/>
      <c r="B151" s="11"/>
      <c r="C151" s="11"/>
      <c r="D151" s="51"/>
      <c r="E151" s="12"/>
      <c r="F151" s="12"/>
      <c r="G151" s="13"/>
      <c r="H151" s="52" t="str">
        <f aca="false">IF($A151="","",$D151*$E151)</f>
        <v/>
      </c>
      <c r="I151" s="30" t="str">
        <f aca="false">IF($A151="","",$D151*$F151)</f>
        <v/>
      </c>
      <c r="J151" s="32" t="str">
        <f aca="false">IF($A151="","",$H151*$G151)</f>
        <v/>
      </c>
      <c r="L151" s="14" t="str">
        <f aca="false">IF($A151="","",$A151&amp;"#"&amp;COUNTIF($A$7:$A151,$A151))</f>
        <v/>
      </c>
    </row>
    <row r="152" customFormat="false" ht="15" hidden="false" customHeight="false" outlineLevel="0" collapsed="false">
      <c r="A152" s="11"/>
      <c r="B152" s="11"/>
      <c r="C152" s="11"/>
      <c r="D152" s="51"/>
      <c r="E152" s="12"/>
      <c r="F152" s="12"/>
      <c r="G152" s="13"/>
      <c r="H152" s="53" t="str">
        <f aca="false">IF($A152="","",$D152*$E152)</f>
        <v/>
      </c>
      <c r="I152" s="39" t="str">
        <f aca="false">IF($A152="","",$D152*$F152)</f>
        <v/>
      </c>
      <c r="J152" s="41" t="str">
        <f aca="false">IF($A152="","",$H152*$G152)</f>
        <v/>
      </c>
      <c r="L152" s="14" t="str">
        <f aca="false">IF($A152="","",$A152&amp;"#"&amp;COUNTIF($A$7:$A152,$A152))</f>
        <v/>
      </c>
    </row>
    <row r="153" customFormat="false" ht="15" hidden="false" customHeight="false" outlineLevel="0" collapsed="false">
      <c r="A153" s="11"/>
      <c r="B153" s="11"/>
      <c r="C153" s="11"/>
      <c r="D153" s="51"/>
      <c r="E153" s="12"/>
      <c r="F153" s="12"/>
      <c r="G153" s="13"/>
      <c r="H153" s="52" t="str">
        <f aca="false">IF($A153="","",$D153*$E153)</f>
        <v/>
      </c>
      <c r="I153" s="30" t="str">
        <f aca="false">IF($A153="","",$D153*$F153)</f>
        <v/>
      </c>
      <c r="J153" s="32" t="str">
        <f aca="false">IF($A153="","",$H153*$G153)</f>
        <v/>
      </c>
      <c r="L153" s="14" t="str">
        <f aca="false">IF($A153="","",$A153&amp;"#"&amp;COUNTIF($A$7:$A153,$A153))</f>
        <v/>
      </c>
    </row>
    <row r="154" customFormat="false" ht="15" hidden="false" customHeight="false" outlineLevel="0" collapsed="false">
      <c r="A154" s="11"/>
      <c r="B154" s="11"/>
      <c r="C154" s="11"/>
      <c r="D154" s="51"/>
      <c r="E154" s="12"/>
      <c r="F154" s="12"/>
      <c r="G154" s="13"/>
      <c r="H154" s="53" t="str">
        <f aca="false">IF($A154="","",$D154*$E154)</f>
        <v/>
      </c>
      <c r="I154" s="39" t="str">
        <f aca="false">IF($A154="","",$D154*$F154)</f>
        <v/>
      </c>
      <c r="J154" s="41" t="str">
        <f aca="false">IF($A154="","",$H154*$G154)</f>
        <v/>
      </c>
      <c r="L154" s="14" t="str">
        <f aca="false">IF($A154="","",$A154&amp;"#"&amp;COUNTIF($A$7:$A154,$A154))</f>
        <v/>
      </c>
    </row>
    <row r="155" customFormat="false" ht="15" hidden="false" customHeight="false" outlineLevel="0" collapsed="false">
      <c r="A155" s="11"/>
      <c r="B155" s="11"/>
      <c r="C155" s="11"/>
      <c r="D155" s="51"/>
      <c r="E155" s="12"/>
      <c r="F155" s="12"/>
      <c r="G155" s="13"/>
      <c r="H155" s="52" t="str">
        <f aca="false">IF($A155="","",$D155*$E155)</f>
        <v/>
      </c>
      <c r="I155" s="30" t="str">
        <f aca="false">IF($A155="","",$D155*$F155)</f>
        <v/>
      </c>
      <c r="J155" s="32" t="str">
        <f aca="false">IF($A155="","",$H155*$G155)</f>
        <v/>
      </c>
      <c r="L155" s="14" t="str">
        <f aca="false">IF($A155="","",$A155&amp;"#"&amp;COUNTIF($A$7:$A155,$A155))</f>
        <v/>
      </c>
    </row>
    <row r="156" customFormat="false" ht="15" hidden="false" customHeight="false" outlineLevel="0" collapsed="false">
      <c r="A156" s="11"/>
      <c r="B156" s="11"/>
      <c r="C156" s="11"/>
      <c r="D156" s="51"/>
      <c r="E156" s="12"/>
      <c r="F156" s="12"/>
      <c r="G156" s="13"/>
      <c r="H156" s="53" t="str">
        <f aca="false">IF($A156="","",$D156*$E156)</f>
        <v/>
      </c>
      <c r="I156" s="39" t="str">
        <f aca="false">IF($A156="","",$D156*$F156)</f>
        <v/>
      </c>
      <c r="J156" s="41" t="str">
        <f aca="false">IF($A156="","",$H156*$G156)</f>
        <v/>
      </c>
      <c r="L156" s="14" t="str">
        <f aca="false">IF($A156="","",$A156&amp;"#"&amp;COUNTIF($A$7:$A156,$A156))</f>
        <v/>
      </c>
    </row>
    <row r="157" customFormat="false" ht="15" hidden="false" customHeight="false" outlineLevel="0" collapsed="false">
      <c r="A157" s="11"/>
      <c r="B157" s="11"/>
      <c r="C157" s="11"/>
      <c r="D157" s="51"/>
      <c r="E157" s="12"/>
      <c r="F157" s="12"/>
      <c r="G157" s="13"/>
      <c r="H157" s="52" t="str">
        <f aca="false">IF($A157="","",$D157*$E157)</f>
        <v/>
      </c>
      <c r="I157" s="30" t="str">
        <f aca="false">IF($A157="","",$D157*$F157)</f>
        <v/>
      </c>
      <c r="J157" s="32" t="str">
        <f aca="false">IF($A157="","",$H157*$G157)</f>
        <v/>
      </c>
      <c r="L157" s="14" t="str">
        <f aca="false">IF($A157="","",$A157&amp;"#"&amp;COUNTIF($A$7:$A157,$A157))</f>
        <v/>
      </c>
    </row>
    <row r="158" customFormat="false" ht="15" hidden="false" customHeight="false" outlineLevel="0" collapsed="false">
      <c r="A158" s="11"/>
      <c r="B158" s="11"/>
      <c r="C158" s="11"/>
      <c r="D158" s="51"/>
      <c r="E158" s="12"/>
      <c r="F158" s="12"/>
      <c r="G158" s="13"/>
      <c r="H158" s="53" t="str">
        <f aca="false">IF($A158="","",$D158*$E158)</f>
        <v/>
      </c>
      <c r="I158" s="39" t="str">
        <f aca="false">IF($A158="","",$D158*$F158)</f>
        <v/>
      </c>
      <c r="J158" s="41" t="str">
        <f aca="false">IF($A158="","",$H158*$G158)</f>
        <v/>
      </c>
      <c r="L158" s="14" t="str">
        <f aca="false">IF($A158="","",$A158&amp;"#"&amp;COUNTIF($A$7:$A158,$A158))</f>
        <v/>
      </c>
    </row>
    <row r="159" customFormat="false" ht="15" hidden="false" customHeight="false" outlineLevel="0" collapsed="false">
      <c r="A159" s="11"/>
      <c r="B159" s="11"/>
      <c r="C159" s="11"/>
      <c r="D159" s="51"/>
      <c r="E159" s="12"/>
      <c r="F159" s="12"/>
      <c r="G159" s="13"/>
      <c r="H159" s="52" t="str">
        <f aca="false">IF($A159="","",$D159*$E159)</f>
        <v/>
      </c>
      <c r="I159" s="30" t="str">
        <f aca="false">IF($A159="","",$D159*$F159)</f>
        <v/>
      </c>
      <c r="J159" s="32" t="str">
        <f aca="false">IF($A159="","",$H159*$G159)</f>
        <v/>
      </c>
      <c r="L159" s="14" t="str">
        <f aca="false">IF($A159="","",$A159&amp;"#"&amp;COUNTIF($A$7:$A159,$A159))</f>
        <v/>
      </c>
    </row>
    <row r="160" customFormat="false" ht="15" hidden="false" customHeight="false" outlineLevel="0" collapsed="false">
      <c r="A160" s="11"/>
      <c r="B160" s="11"/>
      <c r="C160" s="11"/>
      <c r="D160" s="51"/>
      <c r="E160" s="12"/>
      <c r="F160" s="12"/>
      <c r="G160" s="13"/>
      <c r="H160" s="53" t="str">
        <f aca="false">IF($A160="","",$D160*$E160)</f>
        <v/>
      </c>
      <c r="I160" s="39" t="str">
        <f aca="false">IF($A160="","",$D160*$F160)</f>
        <v/>
      </c>
      <c r="J160" s="41" t="str">
        <f aca="false">IF($A160="","",$H160*$G160)</f>
        <v/>
      </c>
      <c r="L160" s="14" t="str">
        <f aca="false">IF($A160="","",$A160&amp;"#"&amp;COUNTIF($A$7:$A160,$A160))</f>
        <v/>
      </c>
    </row>
    <row r="161" customFormat="false" ht="15" hidden="false" customHeight="false" outlineLevel="0" collapsed="false">
      <c r="A161" s="11"/>
      <c r="B161" s="11"/>
      <c r="C161" s="11"/>
      <c r="D161" s="51"/>
      <c r="E161" s="12"/>
      <c r="F161" s="12"/>
      <c r="G161" s="13"/>
      <c r="H161" s="52" t="str">
        <f aca="false">IF($A161="","",$D161*$E161)</f>
        <v/>
      </c>
      <c r="I161" s="30" t="str">
        <f aca="false">IF($A161="","",$D161*$F161)</f>
        <v/>
      </c>
      <c r="J161" s="32" t="str">
        <f aca="false">IF($A161="","",$H161*$G161)</f>
        <v/>
      </c>
      <c r="L161" s="14" t="str">
        <f aca="false">IF($A161="","",$A161&amp;"#"&amp;COUNTIF($A$7:$A161,$A161))</f>
        <v/>
      </c>
    </row>
    <row r="162" customFormat="false" ht="15" hidden="false" customHeight="false" outlineLevel="0" collapsed="false">
      <c r="A162" s="11"/>
      <c r="B162" s="11"/>
      <c r="C162" s="11"/>
      <c r="D162" s="51"/>
      <c r="E162" s="12"/>
      <c r="F162" s="12"/>
      <c r="G162" s="13"/>
      <c r="H162" s="53" t="str">
        <f aca="false">IF($A162="","",$D162*$E162)</f>
        <v/>
      </c>
      <c r="I162" s="39" t="str">
        <f aca="false">IF($A162="","",$D162*$F162)</f>
        <v/>
      </c>
      <c r="J162" s="41" t="str">
        <f aca="false">IF($A162="","",$H162*$G162)</f>
        <v/>
      </c>
      <c r="L162" s="14" t="str">
        <f aca="false">IF($A162="","",$A162&amp;"#"&amp;COUNTIF($A$7:$A162,$A162))</f>
        <v/>
      </c>
    </row>
    <row r="163" customFormat="false" ht="15" hidden="false" customHeight="false" outlineLevel="0" collapsed="false">
      <c r="A163" s="11"/>
      <c r="B163" s="11"/>
      <c r="C163" s="11"/>
      <c r="D163" s="51"/>
      <c r="E163" s="12"/>
      <c r="F163" s="12"/>
      <c r="G163" s="13"/>
      <c r="H163" s="52" t="str">
        <f aca="false">IF($A163="","",$D163*$E163)</f>
        <v/>
      </c>
      <c r="I163" s="30" t="str">
        <f aca="false">IF($A163="","",$D163*$F163)</f>
        <v/>
      </c>
      <c r="J163" s="32" t="str">
        <f aca="false">IF($A163="","",$H163*$G163)</f>
        <v/>
      </c>
      <c r="L163" s="14" t="str">
        <f aca="false">IF($A163="","",$A163&amp;"#"&amp;COUNTIF($A$7:$A163,$A163))</f>
        <v/>
      </c>
    </row>
    <row r="164" customFormat="false" ht="15" hidden="false" customHeight="false" outlineLevel="0" collapsed="false">
      <c r="A164" s="11"/>
      <c r="B164" s="11"/>
      <c r="C164" s="11"/>
      <c r="D164" s="51"/>
      <c r="E164" s="12"/>
      <c r="F164" s="12"/>
      <c r="G164" s="13"/>
      <c r="H164" s="53" t="str">
        <f aca="false">IF($A164="","",$D164*$E164)</f>
        <v/>
      </c>
      <c r="I164" s="39" t="str">
        <f aca="false">IF($A164="","",$D164*$F164)</f>
        <v/>
      </c>
      <c r="J164" s="41" t="str">
        <f aca="false">IF($A164="","",$H164*$G164)</f>
        <v/>
      </c>
      <c r="L164" s="14" t="str">
        <f aca="false">IF($A164="","",$A164&amp;"#"&amp;COUNTIF($A$7:$A164,$A164))</f>
        <v/>
      </c>
    </row>
    <row r="165" customFormat="false" ht="15" hidden="false" customHeight="false" outlineLevel="0" collapsed="false">
      <c r="A165" s="11"/>
      <c r="B165" s="11"/>
      <c r="C165" s="11"/>
      <c r="D165" s="51"/>
      <c r="E165" s="12"/>
      <c r="F165" s="12"/>
      <c r="G165" s="13"/>
      <c r="H165" s="52" t="str">
        <f aca="false">IF($A165="","",$D165*$E165)</f>
        <v/>
      </c>
      <c r="I165" s="30" t="str">
        <f aca="false">IF($A165="","",$D165*$F165)</f>
        <v/>
      </c>
      <c r="J165" s="32" t="str">
        <f aca="false">IF($A165="","",$H165*$G165)</f>
        <v/>
      </c>
      <c r="L165" s="14" t="str">
        <f aca="false">IF($A165="","",$A165&amp;"#"&amp;COUNTIF($A$7:$A165,$A165))</f>
        <v/>
      </c>
    </row>
    <row r="166" customFormat="false" ht="15" hidden="false" customHeight="false" outlineLevel="0" collapsed="false">
      <c r="A166" s="11"/>
      <c r="B166" s="11"/>
      <c r="C166" s="11"/>
      <c r="D166" s="51"/>
      <c r="E166" s="12"/>
      <c r="F166" s="12"/>
      <c r="G166" s="13"/>
      <c r="H166" s="53" t="str">
        <f aca="false">IF($A166="","",$D166*$E166)</f>
        <v/>
      </c>
      <c r="I166" s="39" t="str">
        <f aca="false">IF($A166="","",$D166*$F166)</f>
        <v/>
      </c>
      <c r="J166" s="41" t="str">
        <f aca="false">IF($A166="","",$H166*$G166)</f>
        <v/>
      </c>
      <c r="L166" s="14" t="str">
        <f aca="false">IF($A166="","",$A166&amp;"#"&amp;COUNTIF($A$7:$A166,$A166))</f>
        <v/>
      </c>
    </row>
    <row r="167" customFormat="false" ht="15" hidden="false" customHeight="false" outlineLevel="0" collapsed="false">
      <c r="A167" s="11"/>
      <c r="B167" s="11"/>
      <c r="C167" s="11"/>
      <c r="D167" s="51"/>
      <c r="E167" s="12"/>
      <c r="F167" s="12"/>
      <c r="G167" s="13"/>
      <c r="H167" s="52" t="str">
        <f aca="false">IF($A167="","",$D167*$E167)</f>
        <v/>
      </c>
      <c r="I167" s="30" t="str">
        <f aca="false">IF($A167="","",$D167*$F167)</f>
        <v/>
      </c>
      <c r="J167" s="32" t="str">
        <f aca="false">IF($A167="","",$H167*$G167)</f>
        <v/>
      </c>
      <c r="L167" s="14" t="str">
        <f aca="false">IF($A167="","",$A167&amp;"#"&amp;COUNTIF($A$7:$A167,$A167))</f>
        <v/>
      </c>
    </row>
    <row r="168" customFormat="false" ht="15" hidden="false" customHeight="false" outlineLevel="0" collapsed="false">
      <c r="A168" s="11"/>
      <c r="B168" s="11"/>
      <c r="C168" s="11"/>
      <c r="D168" s="51"/>
      <c r="E168" s="12"/>
      <c r="F168" s="12"/>
      <c r="G168" s="13"/>
      <c r="H168" s="53" t="str">
        <f aca="false">IF($A168="","",$D168*$E168)</f>
        <v/>
      </c>
      <c r="I168" s="39" t="str">
        <f aca="false">IF($A168="","",$D168*$F168)</f>
        <v/>
      </c>
      <c r="J168" s="41" t="str">
        <f aca="false">IF($A168="","",$H168*$G168)</f>
        <v/>
      </c>
      <c r="L168" s="14" t="str">
        <f aca="false">IF($A168="","",$A168&amp;"#"&amp;COUNTIF($A$7:$A168,$A168))</f>
        <v/>
      </c>
    </row>
    <row r="169" customFormat="false" ht="15" hidden="false" customHeight="false" outlineLevel="0" collapsed="false">
      <c r="A169" s="11"/>
      <c r="B169" s="11"/>
      <c r="C169" s="11"/>
      <c r="D169" s="51"/>
      <c r="E169" s="12"/>
      <c r="F169" s="12"/>
      <c r="G169" s="13"/>
      <c r="H169" s="52" t="str">
        <f aca="false">IF($A169="","",$D169*$E169)</f>
        <v/>
      </c>
      <c r="I169" s="30" t="str">
        <f aca="false">IF($A169="","",$D169*$F169)</f>
        <v/>
      </c>
      <c r="J169" s="32" t="str">
        <f aca="false">IF($A169="","",$H169*$G169)</f>
        <v/>
      </c>
      <c r="L169" s="14" t="str">
        <f aca="false">IF($A169="","",$A169&amp;"#"&amp;COUNTIF($A$7:$A169,$A169))</f>
        <v/>
      </c>
    </row>
    <row r="170" customFormat="false" ht="15" hidden="false" customHeight="false" outlineLevel="0" collapsed="false">
      <c r="A170" s="11"/>
      <c r="B170" s="11"/>
      <c r="C170" s="11"/>
      <c r="D170" s="51"/>
      <c r="E170" s="12"/>
      <c r="F170" s="12"/>
      <c r="G170" s="13"/>
      <c r="H170" s="53" t="str">
        <f aca="false">IF($A170="","",$D170*$E170)</f>
        <v/>
      </c>
      <c r="I170" s="39" t="str">
        <f aca="false">IF($A170="","",$D170*$F170)</f>
        <v/>
      </c>
      <c r="J170" s="41" t="str">
        <f aca="false">IF($A170="","",$H170*$G170)</f>
        <v/>
      </c>
      <c r="L170" s="14" t="str">
        <f aca="false">IF($A170="","",$A170&amp;"#"&amp;COUNTIF($A$7:$A170,$A170))</f>
        <v/>
      </c>
    </row>
    <row r="171" customFormat="false" ht="15" hidden="false" customHeight="false" outlineLevel="0" collapsed="false">
      <c r="A171" s="11"/>
      <c r="B171" s="11"/>
      <c r="C171" s="11"/>
      <c r="D171" s="51"/>
      <c r="E171" s="12"/>
      <c r="F171" s="12"/>
      <c r="G171" s="13"/>
      <c r="H171" s="52" t="str">
        <f aca="false">IF($A171="","",$D171*$E171)</f>
        <v/>
      </c>
      <c r="I171" s="30" t="str">
        <f aca="false">IF($A171="","",$D171*$F171)</f>
        <v/>
      </c>
      <c r="J171" s="32" t="str">
        <f aca="false">IF($A171="","",$H171*$G171)</f>
        <v/>
      </c>
      <c r="L171" s="14" t="str">
        <f aca="false">IF($A171="","",$A171&amp;"#"&amp;COUNTIF($A$7:$A171,$A171))</f>
        <v/>
      </c>
    </row>
    <row r="172" customFormat="false" ht="15" hidden="false" customHeight="false" outlineLevel="0" collapsed="false">
      <c r="A172" s="11"/>
      <c r="B172" s="11"/>
      <c r="C172" s="11"/>
      <c r="D172" s="51"/>
      <c r="E172" s="12"/>
      <c r="F172" s="12"/>
      <c r="G172" s="13"/>
      <c r="H172" s="53" t="str">
        <f aca="false">IF($A172="","",$D172*$E172)</f>
        <v/>
      </c>
      <c r="I172" s="39" t="str">
        <f aca="false">IF($A172="","",$D172*$F172)</f>
        <v/>
      </c>
      <c r="J172" s="41" t="str">
        <f aca="false">IF($A172="","",$H172*$G172)</f>
        <v/>
      </c>
      <c r="L172" s="14" t="str">
        <f aca="false">IF($A172="","",$A172&amp;"#"&amp;COUNTIF($A$7:$A172,$A172))</f>
        <v/>
      </c>
    </row>
    <row r="173" customFormat="false" ht="15" hidden="false" customHeight="false" outlineLevel="0" collapsed="false">
      <c r="A173" s="11"/>
      <c r="B173" s="11"/>
      <c r="C173" s="11"/>
      <c r="D173" s="51"/>
      <c r="E173" s="12"/>
      <c r="F173" s="12"/>
      <c r="G173" s="13"/>
      <c r="H173" s="52" t="str">
        <f aca="false">IF($A173="","",$D173*$E173)</f>
        <v/>
      </c>
      <c r="I173" s="30" t="str">
        <f aca="false">IF($A173="","",$D173*$F173)</f>
        <v/>
      </c>
      <c r="J173" s="32" t="str">
        <f aca="false">IF($A173="","",$H173*$G173)</f>
        <v/>
      </c>
      <c r="L173" s="14" t="str">
        <f aca="false">IF($A173="","",$A173&amp;"#"&amp;COUNTIF($A$7:$A173,$A173))</f>
        <v/>
      </c>
    </row>
    <row r="174" customFormat="false" ht="15" hidden="false" customHeight="false" outlineLevel="0" collapsed="false">
      <c r="A174" s="11"/>
      <c r="B174" s="11"/>
      <c r="C174" s="11"/>
      <c r="D174" s="51"/>
      <c r="E174" s="12"/>
      <c r="F174" s="12"/>
      <c r="G174" s="13"/>
      <c r="H174" s="53" t="str">
        <f aca="false">IF($A174="","",$D174*$E174)</f>
        <v/>
      </c>
      <c r="I174" s="39" t="str">
        <f aca="false">IF($A174="","",$D174*$F174)</f>
        <v/>
      </c>
      <c r="J174" s="41" t="str">
        <f aca="false">IF($A174="","",$H174*$G174)</f>
        <v/>
      </c>
      <c r="L174" s="14" t="str">
        <f aca="false">IF($A174="","",$A174&amp;"#"&amp;COUNTIF($A$7:$A174,$A174))</f>
        <v/>
      </c>
    </row>
    <row r="175" customFormat="false" ht="15" hidden="false" customHeight="false" outlineLevel="0" collapsed="false">
      <c r="A175" s="11"/>
      <c r="B175" s="11"/>
      <c r="C175" s="11"/>
      <c r="D175" s="51"/>
      <c r="E175" s="12"/>
      <c r="F175" s="12"/>
      <c r="G175" s="13"/>
      <c r="H175" s="52" t="str">
        <f aca="false">IF($A175="","",$D175*$E175)</f>
        <v/>
      </c>
      <c r="I175" s="30" t="str">
        <f aca="false">IF($A175="","",$D175*$F175)</f>
        <v/>
      </c>
      <c r="J175" s="32" t="str">
        <f aca="false">IF($A175="","",$H175*$G175)</f>
        <v/>
      </c>
      <c r="L175" s="14" t="str">
        <f aca="false">IF($A175="","",$A175&amp;"#"&amp;COUNTIF($A$7:$A175,$A175))</f>
        <v/>
      </c>
    </row>
    <row r="176" customFormat="false" ht="15" hidden="false" customHeight="false" outlineLevel="0" collapsed="false">
      <c r="A176" s="11"/>
      <c r="B176" s="11"/>
      <c r="C176" s="11"/>
      <c r="D176" s="51"/>
      <c r="E176" s="12"/>
      <c r="F176" s="12"/>
      <c r="G176" s="13"/>
      <c r="H176" s="53" t="str">
        <f aca="false">IF($A176="","",$D176*$E176)</f>
        <v/>
      </c>
      <c r="I176" s="39" t="str">
        <f aca="false">IF($A176="","",$D176*$F176)</f>
        <v/>
      </c>
      <c r="J176" s="41" t="str">
        <f aca="false">IF($A176="","",$H176*$G176)</f>
        <v/>
      </c>
      <c r="L176" s="14" t="str">
        <f aca="false">IF($A176="","",$A176&amp;"#"&amp;COUNTIF($A$7:$A176,$A176))</f>
        <v/>
      </c>
    </row>
    <row r="177" customFormat="false" ht="15" hidden="false" customHeight="false" outlineLevel="0" collapsed="false">
      <c r="A177" s="11"/>
      <c r="B177" s="11"/>
      <c r="C177" s="11"/>
      <c r="D177" s="51"/>
      <c r="E177" s="12"/>
      <c r="F177" s="12"/>
      <c r="G177" s="13"/>
      <c r="H177" s="52" t="str">
        <f aca="false">IF($A177="","",$D177*$E177)</f>
        <v/>
      </c>
      <c r="I177" s="30" t="str">
        <f aca="false">IF($A177="","",$D177*$F177)</f>
        <v/>
      </c>
      <c r="J177" s="32" t="str">
        <f aca="false">IF($A177="","",$H177*$G177)</f>
        <v/>
      </c>
      <c r="L177" s="14" t="str">
        <f aca="false">IF($A177="","",$A177&amp;"#"&amp;COUNTIF($A$7:$A177,$A177))</f>
        <v/>
      </c>
    </row>
    <row r="178" customFormat="false" ht="15" hidden="false" customHeight="false" outlineLevel="0" collapsed="false">
      <c r="A178" s="11"/>
      <c r="B178" s="11"/>
      <c r="C178" s="11"/>
      <c r="D178" s="51"/>
      <c r="E178" s="12"/>
      <c r="F178" s="12"/>
      <c r="G178" s="13"/>
      <c r="H178" s="53" t="str">
        <f aca="false">IF($A178="","",$D178*$E178)</f>
        <v/>
      </c>
      <c r="I178" s="39" t="str">
        <f aca="false">IF($A178="","",$D178*$F178)</f>
        <v/>
      </c>
      <c r="J178" s="41" t="str">
        <f aca="false">IF($A178="","",$H178*$G178)</f>
        <v/>
      </c>
      <c r="L178" s="14" t="str">
        <f aca="false">IF($A178="","",$A178&amp;"#"&amp;COUNTIF($A$7:$A178,$A178))</f>
        <v/>
      </c>
    </row>
    <row r="179" customFormat="false" ht="15" hidden="false" customHeight="false" outlineLevel="0" collapsed="false">
      <c r="A179" s="11"/>
      <c r="B179" s="11"/>
      <c r="C179" s="11"/>
      <c r="D179" s="51"/>
      <c r="E179" s="12"/>
      <c r="F179" s="12"/>
      <c r="G179" s="13"/>
      <c r="H179" s="52" t="str">
        <f aca="false">IF($A179="","",$D179*$E179)</f>
        <v/>
      </c>
      <c r="I179" s="30" t="str">
        <f aca="false">IF($A179="","",$D179*$F179)</f>
        <v/>
      </c>
      <c r="J179" s="32" t="str">
        <f aca="false">IF($A179="","",$H179*$G179)</f>
        <v/>
      </c>
      <c r="L179" s="14" t="str">
        <f aca="false">IF($A179="","",$A179&amp;"#"&amp;COUNTIF($A$7:$A179,$A179))</f>
        <v/>
      </c>
    </row>
    <row r="180" customFormat="false" ht="15" hidden="false" customHeight="false" outlineLevel="0" collapsed="false">
      <c r="A180" s="11"/>
      <c r="B180" s="11"/>
      <c r="C180" s="11"/>
      <c r="D180" s="51"/>
      <c r="E180" s="12"/>
      <c r="F180" s="12"/>
      <c r="G180" s="13"/>
      <c r="H180" s="53" t="str">
        <f aca="false">IF($A180="","",$D180*$E180)</f>
        <v/>
      </c>
      <c r="I180" s="39" t="str">
        <f aca="false">IF($A180="","",$D180*$F180)</f>
        <v/>
      </c>
      <c r="J180" s="41" t="str">
        <f aca="false">IF($A180="","",$H180*$G180)</f>
        <v/>
      </c>
      <c r="L180" s="14" t="str">
        <f aca="false">IF($A180="","",$A180&amp;"#"&amp;COUNTIF($A$7:$A180,$A180))</f>
        <v/>
      </c>
    </row>
    <row r="181" customFormat="false" ht="15" hidden="false" customHeight="false" outlineLevel="0" collapsed="false">
      <c r="A181" s="11"/>
      <c r="B181" s="11"/>
      <c r="C181" s="11"/>
      <c r="D181" s="51"/>
      <c r="E181" s="12"/>
      <c r="F181" s="12"/>
      <c r="G181" s="13"/>
      <c r="H181" s="52" t="str">
        <f aca="false">IF($A181="","",$D181*$E181)</f>
        <v/>
      </c>
      <c r="I181" s="30" t="str">
        <f aca="false">IF($A181="","",$D181*$F181)</f>
        <v/>
      </c>
      <c r="J181" s="32" t="str">
        <f aca="false">IF($A181="","",$H181*$G181)</f>
        <v/>
      </c>
      <c r="L181" s="14" t="str">
        <f aca="false">IF($A181="","",$A181&amp;"#"&amp;COUNTIF($A$7:$A181,$A181))</f>
        <v/>
      </c>
    </row>
    <row r="182" customFormat="false" ht="15" hidden="false" customHeight="false" outlineLevel="0" collapsed="false">
      <c r="A182" s="11"/>
      <c r="B182" s="11"/>
      <c r="C182" s="11"/>
      <c r="D182" s="51"/>
      <c r="E182" s="12"/>
      <c r="F182" s="12"/>
      <c r="G182" s="13"/>
      <c r="H182" s="53" t="str">
        <f aca="false">IF($A182="","",$D182*$E182)</f>
        <v/>
      </c>
      <c r="I182" s="39" t="str">
        <f aca="false">IF($A182="","",$D182*$F182)</f>
        <v/>
      </c>
      <c r="J182" s="41" t="str">
        <f aca="false">IF($A182="","",$H182*$G182)</f>
        <v/>
      </c>
      <c r="L182" s="14" t="str">
        <f aca="false">IF($A182="","",$A182&amp;"#"&amp;COUNTIF($A$7:$A182,$A182))</f>
        <v/>
      </c>
    </row>
    <row r="183" customFormat="false" ht="15" hidden="false" customHeight="false" outlineLevel="0" collapsed="false">
      <c r="A183" s="11"/>
      <c r="B183" s="11"/>
      <c r="C183" s="11"/>
      <c r="D183" s="51"/>
      <c r="E183" s="12"/>
      <c r="F183" s="12"/>
      <c r="G183" s="13"/>
      <c r="H183" s="52" t="str">
        <f aca="false">IF($A183="","",$D183*$E183)</f>
        <v/>
      </c>
      <c r="I183" s="30" t="str">
        <f aca="false">IF($A183="","",$D183*$F183)</f>
        <v/>
      </c>
      <c r="J183" s="32" t="str">
        <f aca="false">IF($A183="","",$H183*$G183)</f>
        <v/>
      </c>
      <c r="L183" s="14" t="str">
        <f aca="false">IF($A183="","",$A183&amp;"#"&amp;COUNTIF($A$7:$A183,$A183))</f>
        <v/>
      </c>
    </row>
    <row r="184" customFormat="false" ht="15" hidden="false" customHeight="false" outlineLevel="0" collapsed="false">
      <c r="A184" s="11"/>
      <c r="B184" s="11"/>
      <c r="C184" s="11"/>
      <c r="D184" s="51"/>
      <c r="E184" s="12"/>
      <c r="F184" s="12"/>
      <c r="G184" s="13"/>
      <c r="H184" s="53" t="str">
        <f aca="false">IF($A184="","",$D184*$E184)</f>
        <v/>
      </c>
      <c r="I184" s="39" t="str">
        <f aca="false">IF($A184="","",$D184*$F184)</f>
        <v/>
      </c>
      <c r="J184" s="41" t="str">
        <f aca="false">IF($A184="","",$H184*$G184)</f>
        <v/>
      </c>
      <c r="L184" s="14" t="str">
        <f aca="false">IF($A184="","",$A184&amp;"#"&amp;COUNTIF($A$7:$A184,$A184))</f>
        <v/>
      </c>
    </row>
    <row r="185" customFormat="false" ht="15" hidden="false" customHeight="false" outlineLevel="0" collapsed="false">
      <c r="A185" s="11"/>
      <c r="B185" s="11"/>
      <c r="C185" s="11"/>
      <c r="D185" s="51"/>
      <c r="E185" s="12"/>
      <c r="F185" s="12"/>
      <c r="G185" s="13"/>
      <c r="H185" s="52" t="str">
        <f aca="false">IF($A185="","",$D185*$E185)</f>
        <v/>
      </c>
      <c r="I185" s="30" t="str">
        <f aca="false">IF($A185="","",$D185*$F185)</f>
        <v/>
      </c>
      <c r="J185" s="32" t="str">
        <f aca="false">IF($A185="","",$H185*$G185)</f>
        <v/>
      </c>
      <c r="L185" s="14" t="str">
        <f aca="false">IF($A185="","",$A185&amp;"#"&amp;COUNTIF($A$7:$A185,$A185))</f>
        <v/>
      </c>
    </row>
    <row r="186" customFormat="false" ht="15" hidden="false" customHeight="false" outlineLevel="0" collapsed="false">
      <c r="A186" s="11"/>
      <c r="B186" s="11"/>
      <c r="C186" s="11"/>
      <c r="D186" s="51"/>
      <c r="E186" s="12"/>
      <c r="F186" s="12"/>
      <c r="G186" s="13"/>
      <c r="H186" s="53" t="str">
        <f aca="false">IF($A186="","",$D186*$E186)</f>
        <v/>
      </c>
      <c r="I186" s="39" t="str">
        <f aca="false">IF($A186="","",$D186*$F186)</f>
        <v/>
      </c>
      <c r="J186" s="41" t="str">
        <f aca="false">IF($A186="","",$H186*$G186)</f>
        <v/>
      </c>
      <c r="L186" s="14" t="str">
        <f aca="false">IF($A186="","",$A186&amp;"#"&amp;COUNTIF($A$7:$A186,$A186))</f>
        <v/>
      </c>
    </row>
    <row r="187" customFormat="false" ht="15" hidden="false" customHeight="false" outlineLevel="0" collapsed="false">
      <c r="A187" s="11"/>
      <c r="B187" s="11"/>
      <c r="C187" s="11"/>
      <c r="D187" s="51"/>
      <c r="E187" s="12"/>
      <c r="F187" s="12"/>
      <c r="G187" s="13"/>
      <c r="H187" s="52" t="str">
        <f aca="false">IF($A187="","",$D187*$E187)</f>
        <v/>
      </c>
      <c r="I187" s="30" t="str">
        <f aca="false">IF($A187="","",$D187*$F187)</f>
        <v/>
      </c>
      <c r="J187" s="32" t="str">
        <f aca="false">IF($A187="","",$H187*$G187)</f>
        <v/>
      </c>
      <c r="L187" s="14" t="str">
        <f aca="false">IF($A187="","",$A187&amp;"#"&amp;COUNTIF($A$7:$A187,$A187))</f>
        <v/>
      </c>
    </row>
    <row r="188" customFormat="false" ht="15" hidden="false" customHeight="false" outlineLevel="0" collapsed="false">
      <c r="A188" s="11"/>
      <c r="B188" s="11"/>
      <c r="C188" s="11"/>
      <c r="D188" s="51"/>
      <c r="E188" s="12"/>
      <c r="F188" s="12"/>
      <c r="G188" s="13"/>
      <c r="H188" s="53" t="str">
        <f aca="false">IF($A188="","",$D188*$E188)</f>
        <v/>
      </c>
      <c r="I188" s="39" t="str">
        <f aca="false">IF($A188="","",$D188*$F188)</f>
        <v/>
      </c>
      <c r="J188" s="41" t="str">
        <f aca="false">IF($A188="","",$H188*$G188)</f>
        <v/>
      </c>
      <c r="L188" s="14" t="str">
        <f aca="false">IF($A188="","",$A188&amp;"#"&amp;COUNTIF($A$7:$A188,$A188))</f>
        <v/>
      </c>
    </row>
    <row r="189" customFormat="false" ht="15" hidden="false" customHeight="false" outlineLevel="0" collapsed="false">
      <c r="A189" s="11"/>
      <c r="B189" s="11"/>
      <c r="C189" s="11"/>
      <c r="D189" s="51"/>
      <c r="E189" s="12"/>
      <c r="F189" s="12"/>
      <c r="G189" s="13"/>
      <c r="H189" s="52" t="str">
        <f aca="false">IF($A189="","",$D189*$E189)</f>
        <v/>
      </c>
      <c r="I189" s="30" t="str">
        <f aca="false">IF($A189="","",$D189*$F189)</f>
        <v/>
      </c>
      <c r="J189" s="32" t="str">
        <f aca="false">IF($A189="","",$H189*$G189)</f>
        <v/>
      </c>
      <c r="L189" s="14" t="str">
        <f aca="false">IF($A189="","",$A189&amp;"#"&amp;COUNTIF($A$7:$A189,$A189))</f>
        <v/>
      </c>
    </row>
    <row r="190" customFormat="false" ht="15" hidden="false" customHeight="false" outlineLevel="0" collapsed="false">
      <c r="A190" s="11"/>
      <c r="B190" s="11"/>
      <c r="C190" s="11"/>
      <c r="D190" s="51"/>
      <c r="E190" s="12"/>
      <c r="F190" s="12"/>
      <c r="G190" s="13"/>
      <c r="H190" s="53" t="str">
        <f aca="false">IF($A190="","",$D190*$E190)</f>
        <v/>
      </c>
      <c r="I190" s="39" t="str">
        <f aca="false">IF($A190="","",$D190*$F190)</f>
        <v/>
      </c>
      <c r="J190" s="41" t="str">
        <f aca="false">IF($A190="","",$H190*$G190)</f>
        <v/>
      </c>
      <c r="L190" s="14" t="str">
        <f aca="false">IF($A190="","",$A190&amp;"#"&amp;COUNTIF($A$7:$A190,$A190))</f>
        <v/>
      </c>
    </row>
    <row r="191" customFormat="false" ht="15" hidden="false" customHeight="false" outlineLevel="0" collapsed="false">
      <c r="A191" s="11"/>
      <c r="B191" s="11"/>
      <c r="C191" s="11"/>
      <c r="D191" s="51"/>
      <c r="E191" s="12"/>
      <c r="F191" s="12"/>
      <c r="G191" s="13"/>
      <c r="H191" s="52" t="str">
        <f aca="false">IF($A191="","",$D191*$E191)</f>
        <v/>
      </c>
      <c r="I191" s="30" t="str">
        <f aca="false">IF($A191="","",$D191*$F191)</f>
        <v/>
      </c>
      <c r="J191" s="32" t="str">
        <f aca="false">IF($A191="","",$H191*$G191)</f>
        <v/>
      </c>
      <c r="L191" s="14" t="str">
        <f aca="false">IF($A191="","",$A191&amp;"#"&amp;COUNTIF($A$7:$A191,$A191))</f>
        <v/>
      </c>
    </row>
    <row r="192" customFormat="false" ht="15" hidden="false" customHeight="false" outlineLevel="0" collapsed="false">
      <c r="A192" s="11"/>
      <c r="B192" s="11"/>
      <c r="C192" s="11"/>
      <c r="D192" s="51"/>
      <c r="E192" s="12"/>
      <c r="F192" s="12"/>
      <c r="G192" s="13"/>
      <c r="H192" s="53" t="str">
        <f aca="false">IF($A192="","",$D192*$E192)</f>
        <v/>
      </c>
      <c r="I192" s="39" t="str">
        <f aca="false">IF($A192="","",$D192*$F192)</f>
        <v/>
      </c>
      <c r="J192" s="41" t="str">
        <f aca="false">IF($A192="","",$H192*$G192)</f>
        <v/>
      </c>
      <c r="L192" s="14" t="str">
        <f aca="false">IF($A192="","",$A192&amp;"#"&amp;COUNTIF($A$7:$A192,$A192))</f>
        <v/>
      </c>
    </row>
    <row r="193" customFormat="false" ht="15" hidden="false" customHeight="false" outlineLevel="0" collapsed="false">
      <c r="A193" s="11"/>
      <c r="B193" s="11"/>
      <c r="C193" s="11"/>
      <c r="D193" s="51"/>
      <c r="E193" s="12"/>
      <c r="F193" s="12"/>
      <c r="G193" s="13"/>
      <c r="H193" s="52" t="str">
        <f aca="false">IF($A193="","",$D193*$E193)</f>
        <v/>
      </c>
      <c r="I193" s="30" t="str">
        <f aca="false">IF($A193="","",$D193*$F193)</f>
        <v/>
      </c>
      <c r="J193" s="32" t="str">
        <f aca="false">IF($A193="","",$H193*$G193)</f>
        <v/>
      </c>
      <c r="L193" s="14" t="str">
        <f aca="false">IF($A193="","",$A193&amp;"#"&amp;COUNTIF($A$7:$A193,$A193))</f>
        <v/>
      </c>
    </row>
    <row r="194" customFormat="false" ht="15" hidden="false" customHeight="false" outlineLevel="0" collapsed="false">
      <c r="A194" s="11"/>
      <c r="B194" s="11"/>
      <c r="C194" s="11"/>
      <c r="D194" s="51"/>
      <c r="E194" s="12"/>
      <c r="F194" s="12"/>
      <c r="G194" s="13"/>
      <c r="H194" s="53" t="str">
        <f aca="false">IF($A194="","",$D194*$E194)</f>
        <v/>
      </c>
      <c r="I194" s="39" t="str">
        <f aca="false">IF($A194="","",$D194*$F194)</f>
        <v/>
      </c>
      <c r="J194" s="41" t="str">
        <f aca="false">IF($A194="","",$H194*$G194)</f>
        <v/>
      </c>
      <c r="L194" s="14" t="str">
        <f aca="false">IF($A194="","",$A194&amp;"#"&amp;COUNTIF($A$7:$A194,$A194))</f>
        <v/>
      </c>
    </row>
    <row r="195" customFormat="false" ht="15" hidden="false" customHeight="false" outlineLevel="0" collapsed="false">
      <c r="A195" s="11"/>
      <c r="B195" s="11"/>
      <c r="C195" s="11"/>
      <c r="D195" s="51"/>
      <c r="E195" s="12"/>
      <c r="F195" s="12"/>
      <c r="G195" s="13"/>
      <c r="H195" s="52" t="str">
        <f aca="false">IF($A195="","",$D195*$E195)</f>
        <v/>
      </c>
      <c r="I195" s="30" t="str">
        <f aca="false">IF($A195="","",$D195*$F195)</f>
        <v/>
      </c>
      <c r="J195" s="32" t="str">
        <f aca="false">IF($A195="","",$H195*$G195)</f>
        <v/>
      </c>
      <c r="L195" s="14" t="str">
        <f aca="false">IF($A195="","",$A195&amp;"#"&amp;COUNTIF($A$7:$A195,$A195))</f>
        <v/>
      </c>
    </row>
    <row r="196" customFormat="false" ht="15" hidden="false" customHeight="false" outlineLevel="0" collapsed="false">
      <c r="A196" s="11"/>
      <c r="B196" s="11"/>
      <c r="C196" s="11"/>
      <c r="D196" s="51"/>
      <c r="E196" s="12"/>
      <c r="F196" s="12"/>
      <c r="G196" s="13"/>
      <c r="H196" s="53" t="str">
        <f aca="false">IF($A196="","",$D196*$E196)</f>
        <v/>
      </c>
      <c r="I196" s="39" t="str">
        <f aca="false">IF($A196="","",$D196*$F196)</f>
        <v/>
      </c>
      <c r="J196" s="41" t="str">
        <f aca="false">IF($A196="","",$H196*$G196)</f>
        <v/>
      </c>
      <c r="L196" s="14" t="str">
        <f aca="false">IF($A196="","",$A196&amp;"#"&amp;COUNTIF($A$7:$A196,$A196))</f>
        <v/>
      </c>
    </row>
    <row r="197" customFormat="false" ht="15" hidden="false" customHeight="false" outlineLevel="0" collapsed="false">
      <c r="A197" s="11"/>
      <c r="B197" s="11"/>
      <c r="C197" s="11"/>
      <c r="D197" s="51"/>
      <c r="E197" s="12"/>
      <c r="F197" s="12"/>
      <c r="G197" s="13"/>
      <c r="H197" s="52" t="str">
        <f aca="false">IF($A197="","",$D197*$E197)</f>
        <v/>
      </c>
      <c r="I197" s="30" t="str">
        <f aca="false">IF($A197="","",$D197*$F197)</f>
        <v/>
      </c>
      <c r="J197" s="32" t="str">
        <f aca="false">IF($A197="","",$H197*$G197)</f>
        <v/>
      </c>
      <c r="L197" s="14" t="str">
        <f aca="false">IF($A197="","",$A197&amp;"#"&amp;COUNTIF($A$7:$A197,$A197))</f>
        <v/>
      </c>
    </row>
    <row r="198" customFormat="false" ht="15" hidden="false" customHeight="false" outlineLevel="0" collapsed="false">
      <c r="A198" s="11"/>
      <c r="B198" s="11"/>
      <c r="C198" s="11"/>
      <c r="D198" s="51"/>
      <c r="E198" s="12"/>
      <c r="F198" s="12"/>
      <c r="G198" s="13"/>
      <c r="H198" s="53" t="str">
        <f aca="false">IF($A198="","",$D198*$E198)</f>
        <v/>
      </c>
      <c r="I198" s="39" t="str">
        <f aca="false">IF($A198="","",$D198*$F198)</f>
        <v/>
      </c>
      <c r="J198" s="41" t="str">
        <f aca="false">IF($A198="","",$H198*$G198)</f>
        <v/>
      </c>
      <c r="L198" s="14" t="str">
        <f aca="false">IF($A198="","",$A198&amp;"#"&amp;COUNTIF($A$7:$A198,$A198))</f>
        <v/>
      </c>
    </row>
    <row r="199" customFormat="false" ht="15" hidden="false" customHeight="false" outlineLevel="0" collapsed="false">
      <c r="A199" s="11"/>
      <c r="B199" s="11"/>
      <c r="C199" s="11"/>
      <c r="D199" s="51"/>
      <c r="E199" s="12"/>
      <c r="F199" s="12"/>
      <c r="G199" s="13"/>
      <c r="H199" s="52" t="str">
        <f aca="false">IF($A199="","",$D199*$E199)</f>
        <v/>
      </c>
      <c r="I199" s="30" t="str">
        <f aca="false">IF($A199="","",$D199*$F199)</f>
        <v/>
      </c>
      <c r="J199" s="32" t="str">
        <f aca="false">IF($A199="","",$H199*$G199)</f>
        <v/>
      </c>
      <c r="L199" s="14" t="str">
        <f aca="false">IF($A199="","",$A199&amp;"#"&amp;COUNTIF($A$7:$A199,$A199))</f>
        <v/>
      </c>
    </row>
    <row r="200" customFormat="false" ht="15" hidden="false" customHeight="false" outlineLevel="0" collapsed="false">
      <c r="A200" s="11"/>
      <c r="B200" s="11"/>
      <c r="C200" s="11"/>
      <c r="D200" s="51"/>
      <c r="E200" s="12"/>
      <c r="F200" s="12"/>
      <c r="G200" s="13"/>
      <c r="H200" s="53" t="str">
        <f aca="false">IF($A200="","",$D200*$E200)</f>
        <v/>
      </c>
      <c r="I200" s="39" t="str">
        <f aca="false">IF($A200="","",$D200*$F200)</f>
        <v/>
      </c>
      <c r="J200" s="41" t="str">
        <f aca="false">IF($A200="","",$H200*$G200)</f>
        <v/>
      </c>
      <c r="L200" s="14" t="str">
        <f aca="false">IF($A200="","",$A200&amp;"#"&amp;COUNTIF($A$7:$A200,$A200))</f>
        <v/>
      </c>
    </row>
    <row r="201" customFormat="false" ht="15" hidden="false" customHeight="false" outlineLevel="0" collapsed="false">
      <c r="A201" s="11"/>
      <c r="B201" s="11"/>
      <c r="C201" s="11"/>
      <c r="D201" s="51"/>
      <c r="E201" s="12"/>
      <c r="F201" s="12"/>
      <c r="G201" s="13"/>
      <c r="H201" s="52" t="str">
        <f aca="false">IF($A201="","",$D201*$E201)</f>
        <v/>
      </c>
      <c r="I201" s="30" t="str">
        <f aca="false">IF($A201="","",$D201*$F201)</f>
        <v/>
      </c>
      <c r="J201" s="32" t="str">
        <f aca="false">IF($A201="","",$H201*$G201)</f>
        <v/>
      </c>
      <c r="L201" s="14" t="str">
        <f aca="false">IF($A201="","",$A201&amp;"#"&amp;COUNTIF($A$7:$A201,$A201))</f>
        <v/>
      </c>
    </row>
    <row r="202" customFormat="false" ht="15" hidden="false" customHeight="false" outlineLevel="0" collapsed="false">
      <c r="A202" s="11"/>
      <c r="B202" s="11"/>
      <c r="C202" s="11"/>
      <c r="D202" s="51"/>
      <c r="E202" s="12"/>
      <c r="F202" s="12"/>
      <c r="G202" s="13"/>
      <c r="H202" s="53" t="str">
        <f aca="false">IF($A202="","",$D202*$E202)</f>
        <v/>
      </c>
      <c r="I202" s="39" t="str">
        <f aca="false">IF($A202="","",$D202*$F202)</f>
        <v/>
      </c>
      <c r="J202" s="41" t="str">
        <f aca="false">IF($A202="","",$H202*$G202)</f>
        <v/>
      </c>
      <c r="L202" s="14" t="str">
        <f aca="false">IF($A202="","",$A202&amp;"#"&amp;COUNTIF($A$7:$A202,$A202))</f>
        <v/>
      </c>
    </row>
    <row r="203" customFormat="false" ht="15" hidden="false" customHeight="false" outlineLevel="0" collapsed="false">
      <c r="A203" s="11"/>
      <c r="B203" s="11"/>
      <c r="C203" s="11"/>
      <c r="D203" s="51"/>
      <c r="E203" s="12"/>
      <c r="F203" s="12"/>
      <c r="G203" s="13"/>
      <c r="H203" s="52" t="str">
        <f aca="false">IF($A203="","",$D203*$E203)</f>
        <v/>
      </c>
      <c r="I203" s="30" t="str">
        <f aca="false">IF($A203="","",$D203*$F203)</f>
        <v/>
      </c>
      <c r="J203" s="32" t="str">
        <f aca="false">IF($A203="","",$H203*$G203)</f>
        <v/>
      </c>
      <c r="L203" s="14" t="str">
        <f aca="false">IF($A203="","",$A203&amp;"#"&amp;COUNTIF($A$7:$A203,$A203))</f>
        <v/>
      </c>
    </row>
    <row r="204" customFormat="false" ht="15" hidden="false" customHeight="false" outlineLevel="0" collapsed="false">
      <c r="A204" s="11"/>
      <c r="B204" s="11"/>
      <c r="C204" s="11"/>
      <c r="D204" s="51"/>
      <c r="E204" s="12"/>
      <c r="F204" s="12"/>
      <c r="G204" s="13"/>
      <c r="H204" s="53" t="str">
        <f aca="false">IF($A204="","",$D204*$E204)</f>
        <v/>
      </c>
      <c r="I204" s="39" t="str">
        <f aca="false">IF($A204="","",$D204*$F204)</f>
        <v/>
      </c>
      <c r="J204" s="41" t="str">
        <f aca="false">IF($A204="","",$H204*$G204)</f>
        <v/>
      </c>
      <c r="L204" s="14" t="str">
        <f aca="false">IF($A204="","",$A204&amp;"#"&amp;COUNTIF($A$7:$A204,$A204))</f>
        <v/>
      </c>
    </row>
    <row r="205" customFormat="false" ht="15" hidden="false" customHeight="false" outlineLevel="0" collapsed="false">
      <c r="A205" s="11"/>
      <c r="B205" s="11"/>
      <c r="C205" s="11"/>
      <c r="D205" s="51"/>
      <c r="E205" s="12"/>
      <c r="F205" s="12"/>
      <c r="G205" s="13"/>
      <c r="H205" s="52" t="str">
        <f aca="false">IF($A205="","",$D205*$E205)</f>
        <v/>
      </c>
      <c r="I205" s="30" t="str">
        <f aca="false">IF($A205="","",$D205*$F205)</f>
        <v/>
      </c>
      <c r="J205" s="32" t="str">
        <f aca="false">IF($A205="","",$H205*$G205)</f>
        <v/>
      </c>
      <c r="L205" s="14" t="str">
        <f aca="false">IF($A205="","",$A205&amp;"#"&amp;COUNTIF($A$7:$A205,$A205))</f>
        <v/>
      </c>
    </row>
    <row r="206" customFormat="false" ht="15" hidden="false" customHeight="false" outlineLevel="0" collapsed="false">
      <c r="A206" s="11"/>
      <c r="B206" s="11"/>
      <c r="C206" s="11"/>
      <c r="D206" s="51"/>
      <c r="E206" s="12"/>
      <c r="F206" s="12"/>
      <c r="G206" s="13"/>
      <c r="H206" s="53" t="str">
        <f aca="false">IF($A206="","",$D206*$E206)</f>
        <v/>
      </c>
      <c r="I206" s="39" t="str">
        <f aca="false">IF($A206="","",$D206*$F206)</f>
        <v/>
      </c>
      <c r="J206" s="41" t="str">
        <f aca="false">IF($A206="","",$H206*$G206)</f>
        <v/>
      </c>
      <c r="L206" s="14" t="str">
        <f aca="false">IF($A206="","",$A206&amp;"#"&amp;COUNTIF($A$7:$A206,$A206))</f>
        <v/>
      </c>
    </row>
    <row r="207" customFormat="false" ht="15" hidden="false" customHeight="false" outlineLevel="0" collapsed="false">
      <c r="A207" s="11"/>
      <c r="B207" s="11"/>
      <c r="C207" s="11"/>
      <c r="D207" s="51"/>
      <c r="E207" s="12"/>
      <c r="F207" s="12"/>
      <c r="G207" s="13"/>
      <c r="H207" s="52" t="str">
        <f aca="false">IF($A207="","",$D207*$E207)</f>
        <v/>
      </c>
      <c r="I207" s="30" t="str">
        <f aca="false">IF($A207="","",$D207*$F207)</f>
        <v/>
      </c>
      <c r="J207" s="32" t="str">
        <f aca="false">IF($A207="","",$H207*$G207)</f>
        <v/>
      </c>
      <c r="L207" s="14" t="str">
        <f aca="false">IF($A207="","",$A207&amp;"#"&amp;COUNTIF($A$7:$A207,$A207))</f>
        <v/>
      </c>
    </row>
    <row r="208" customFormat="false" ht="15" hidden="false" customHeight="false" outlineLevel="0" collapsed="false">
      <c r="A208" s="11"/>
      <c r="B208" s="11"/>
      <c r="C208" s="11"/>
      <c r="D208" s="51"/>
      <c r="E208" s="12"/>
      <c r="F208" s="12"/>
      <c r="G208" s="13"/>
      <c r="H208" s="53" t="str">
        <f aca="false">IF($A208="","",$D208*$E208)</f>
        <v/>
      </c>
      <c r="I208" s="39" t="str">
        <f aca="false">IF($A208="","",$D208*$F208)</f>
        <v/>
      </c>
      <c r="J208" s="41" t="str">
        <f aca="false">IF($A208="","",$H208*$G208)</f>
        <v/>
      </c>
      <c r="L208" s="14" t="str">
        <f aca="false">IF($A208="","",$A208&amp;"#"&amp;COUNTIF($A$7:$A208,$A208))</f>
        <v/>
      </c>
    </row>
    <row r="209" customFormat="false" ht="15" hidden="false" customHeight="false" outlineLevel="0" collapsed="false">
      <c r="A209" s="11"/>
      <c r="B209" s="11"/>
      <c r="C209" s="11"/>
      <c r="D209" s="51"/>
      <c r="E209" s="12"/>
      <c r="F209" s="12"/>
      <c r="G209" s="13"/>
      <c r="H209" s="52" t="str">
        <f aca="false">IF($A209="","",$D209*$E209)</f>
        <v/>
      </c>
      <c r="I209" s="30" t="str">
        <f aca="false">IF($A209="","",$D209*$F209)</f>
        <v/>
      </c>
      <c r="J209" s="32" t="str">
        <f aca="false">IF($A209="","",$H209*$G209)</f>
        <v/>
      </c>
      <c r="L209" s="14" t="str">
        <f aca="false">IF($A209="","",$A209&amp;"#"&amp;COUNTIF($A$7:$A209,$A209))</f>
        <v/>
      </c>
    </row>
    <row r="210" customFormat="false" ht="15" hidden="false" customHeight="false" outlineLevel="0" collapsed="false">
      <c r="A210" s="11"/>
      <c r="B210" s="11"/>
      <c r="C210" s="11"/>
      <c r="D210" s="51"/>
      <c r="E210" s="12"/>
      <c r="F210" s="12"/>
      <c r="G210" s="13"/>
      <c r="H210" s="53" t="str">
        <f aca="false">IF($A210="","",$D210*$E210)</f>
        <v/>
      </c>
      <c r="I210" s="39" t="str">
        <f aca="false">IF($A210="","",$D210*$F210)</f>
        <v/>
      </c>
      <c r="J210" s="41" t="str">
        <f aca="false">IF($A210="","",$H210*$G210)</f>
        <v/>
      </c>
      <c r="L210" s="14" t="str">
        <f aca="false">IF($A210="","",$A210&amp;"#"&amp;COUNTIF($A$7:$A210,$A210))</f>
        <v/>
      </c>
    </row>
    <row r="211" customFormat="false" ht="15" hidden="false" customHeight="false" outlineLevel="0" collapsed="false">
      <c r="A211" s="11"/>
      <c r="B211" s="11"/>
      <c r="C211" s="11"/>
      <c r="D211" s="51"/>
      <c r="E211" s="12"/>
      <c r="F211" s="12"/>
      <c r="G211" s="13"/>
      <c r="H211" s="52" t="str">
        <f aca="false">IF($A211="","",$D211*$E211)</f>
        <v/>
      </c>
      <c r="I211" s="30" t="str">
        <f aca="false">IF($A211="","",$D211*$F211)</f>
        <v/>
      </c>
      <c r="J211" s="32" t="str">
        <f aca="false">IF($A211="","",$H211*$G211)</f>
        <v/>
      </c>
      <c r="L211" s="14" t="str">
        <f aca="false">IF($A211="","",$A211&amp;"#"&amp;COUNTIF($A$7:$A211,$A211))</f>
        <v/>
      </c>
    </row>
    <row r="212" customFormat="false" ht="15" hidden="false" customHeight="false" outlineLevel="0" collapsed="false">
      <c r="A212" s="11"/>
      <c r="B212" s="11"/>
      <c r="C212" s="11"/>
      <c r="D212" s="51"/>
      <c r="E212" s="12"/>
      <c r="F212" s="12"/>
      <c r="G212" s="13"/>
      <c r="H212" s="53" t="str">
        <f aca="false">IF($A212="","",$D212*$E212)</f>
        <v/>
      </c>
      <c r="I212" s="39" t="str">
        <f aca="false">IF($A212="","",$D212*$F212)</f>
        <v/>
      </c>
      <c r="J212" s="41" t="str">
        <f aca="false">IF($A212="","",$H212*$G212)</f>
        <v/>
      </c>
      <c r="L212" s="14" t="str">
        <f aca="false">IF($A212="","",$A212&amp;"#"&amp;COUNTIF($A$7:$A212,$A212))</f>
        <v/>
      </c>
    </row>
    <row r="213" customFormat="false" ht="15" hidden="false" customHeight="false" outlineLevel="0" collapsed="false">
      <c r="A213" s="11"/>
      <c r="B213" s="11"/>
      <c r="C213" s="11"/>
      <c r="D213" s="51"/>
      <c r="E213" s="12"/>
      <c r="F213" s="12"/>
      <c r="G213" s="13"/>
      <c r="H213" s="52" t="str">
        <f aca="false">IF($A213="","",$D213*$E213)</f>
        <v/>
      </c>
      <c r="I213" s="30" t="str">
        <f aca="false">IF($A213="","",$D213*$F213)</f>
        <v/>
      </c>
      <c r="J213" s="32" t="str">
        <f aca="false">IF($A213="","",$H213*$G213)</f>
        <v/>
      </c>
      <c r="L213" s="14" t="str">
        <f aca="false">IF($A213="","",$A213&amp;"#"&amp;COUNTIF($A$7:$A213,$A213))</f>
        <v/>
      </c>
    </row>
    <row r="214" customFormat="false" ht="15" hidden="false" customHeight="false" outlineLevel="0" collapsed="false">
      <c r="A214" s="11"/>
      <c r="B214" s="11"/>
      <c r="C214" s="11"/>
      <c r="D214" s="51"/>
      <c r="E214" s="12"/>
      <c r="F214" s="12"/>
      <c r="G214" s="13"/>
      <c r="H214" s="53" t="str">
        <f aca="false">IF($A214="","",$D214*$E214)</f>
        <v/>
      </c>
      <c r="I214" s="39" t="str">
        <f aca="false">IF($A214="","",$D214*$F214)</f>
        <v/>
      </c>
      <c r="J214" s="41" t="str">
        <f aca="false">IF($A214="","",$H214*$G214)</f>
        <v/>
      </c>
      <c r="L214" s="14" t="str">
        <f aca="false">IF($A214="","",$A214&amp;"#"&amp;COUNTIF($A$7:$A214,$A214))</f>
        <v/>
      </c>
    </row>
    <row r="215" customFormat="false" ht="15" hidden="false" customHeight="false" outlineLevel="0" collapsed="false">
      <c r="A215" s="11"/>
      <c r="B215" s="11"/>
      <c r="C215" s="11"/>
      <c r="D215" s="51"/>
      <c r="E215" s="12"/>
      <c r="F215" s="12"/>
      <c r="G215" s="13"/>
      <c r="H215" s="52" t="str">
        <f aca="false">IF($A215="","",$D215*$E215)</f>
        <v/>
      </c>
      <c r="I215" s="30" t="str">
        <f aca="false">IF($A215="","",$D215*$F215)</f>
        <v/>
      </c>
      <c r="J215" s="32" t="str">
        <f aca="false">IF($A215="","",$H215*$G215)</f>
        <v/>
      </c>
      <c r="L215" s="14" t="str">
        <f aca="false">IF($A215="","",$A215&amp;"#"&amp;COUNTIF($A$7:$A215,$A215))</f>
        <v/>
      </c>
    </row>
    <row r="216" customFormat="false" ht="15" hidden="false" customHeight="false" outlineLevel="0" collapsed="false">
      <c r="A216" s="11"/>
      <c r="B216" s="11"/>
      <c r="C216" s="11"/>
      <c r="D216" s="51"/>
      <c r="E216" s="12"/>
      <c r="F216" s="12"/>
      <c r="G216" s="13"/>
      <c r="H216" s="53" t="str">
        <f aca="false">IF($A216="","",$D216*$E216)</f>
        <v/>
      </c>
      <c r="I216" s="39" t="str">
        <f aca="false">IF($A216="","",$D216*$F216)</f>
        <v/>
      </c>
      <c r="J216" s="41" t="str">
        <f aca="false">IF($A216="","",$H216*$G216)</f>
        <v/>
      </c>
      <c r="L216" s="14" t="str">
        <f aca="false">IF($A216="","",$A216&amp;"#"&amp;COUNTIF($A$7:$A216,$A216))</f>
        <v/>
      </c>
    </row>
    <row r="217" customFormat="false" ht="15" hidden="false" customHeight="false" outlineLevel="0" collapsed="false">
      <c r="A217" s="11"/>
      <c r="B217" s="11"/>
      <c r="C217" s="11"/>
      <c r="D217" s="51"/>
      <c r="E217" s="12"/>
      <c r="F217" s="12"/>
      <c r="G217" s="13"/>
      <c r="H217" s="52" t="str">
        <f aca="false">IF($A217="","",$D217*$E217)</f>
        <v/>
      </c>
      <c r="I217" s="30" t="str">
        <f aca="false">IF($A217="","",$D217*$F217)</f>
        <v/>
      </c>
      <c r="J217" s="32" t="str">
        <f aca="false">IF($A217="","",$H217*$G217)</f>
        <v/>
      </c>
      <c r="L217" s="14" t="str">
        <f aca="false">IF($A217="","",$A217&amp;"#"&amp;COUNTIF($A$7:$A217,$A217))</f>
        <v/>
      </c>
    </row>
    <row r="218" customFormat="false" ht="15" hidden="false" customHeight="false" outlineLevel="0" collapsed="false">
      <c r="A218" s="11"/>
      <c r="B218" s="11"/>
      <c r="C218" s="11"/>
      <c r="D218" s="51"/>
      <c r="E218" s="12"/>
      <c r="F218" s="12"/>
      <c r="G218" s="13"/>
      <c r="H218" s="53" t="str">
        <f aca="false">IF($A218="","",$D218*$E218)</f>
        <v/>
      </c>
      <c r="I218" s="39" t="str">
        <f aca="false">IF($A218="","",$D218*$F218)</f>
        <v/>
      </c>
      <c r="J218" s="41" t="str">
        <f aca="false">IF($A218="","",$H218*$G218)</f>
        <v/>
      </c>
      <c r="L218" s="14" t="str">
        <f aca="false">IF($A218="","",$A218&amp;"#"&amp;COUNTIF($A$7:$A218,$A218))</f>
        <v/>
      </c>
    </row>
    <row r="219" customFormat="false" ht="15" hidden="false" customHeight="false" outlineLevel="0" collapsed="false">
      <c r="A219" s="11"/>
      <c r="B219" s="11"/>
      <c r="C219" s="11"/>
      <c r="D219" s="51"/>
      <c r="E219" s="12"/>
      <c r="F219" s="12"/>
      <c r="G219" s="13"/>
      <c r="H219" s="52" t="str">
        <f aca="false">IF($A219="","",$D219*$E219)</f>
        <v/>
      </c>
      <c r="I219" s="30" t="str">
        <f aca="false">IF($A219="","",$D219*$F219)</f>
        <v/>
      </c>
      <c r="J219" s="32" t="str">
        <f aca="false">IF($A219="","",$H219*$G219)</f>
        <v/>
      </c>
      <c r="L219" s="14" t="str">
        <f aca="false">IF($A219="","",$A219&amp;"#"&amp;COUNTIF($A$7:$A219,$A219))</f>
        <v/>
      </c>
    </row>
    <row r="220" customFormat="false" ht="15" hidden="false" customHeight="false" outlineLevel="0" collapsed="false">
      <c r="A220" s="11"/>
      <c r="B220" s="11"/>
      <c r="C220" s="11"/>
      <c r="D220" s="51"/>
      <c r="E220" s="12"/>
      <c r="F220" s="12"/>
      <c r="G220" s="13"/>
      <c r="H220" s="53" t="str">
        <f aca="false">IF($A220="","",$D220*$E220)</f>
        <v/>
      </c>
      <c r="I220" s="39" t="str">
        <f aca="false">IF($A220="","",$D220*$F220)</f>
        <v/>
      </c>
      <c r="J220" s="41" t="str">
        <f aca="false">IF($A220="","",$H220*$G220)</f>
        <v/>
      </c>
      <c r="L220" s="14" t="str">
        <f aca="false">IF($A220="","",$A220&amp;"#"&amp;COUNTIF($A$7:$A220,$A220))</f>
        <v/>
      </c>
    </row>
    <row r="221" customFormat="false" ht="15" hidden="false" customHeight="false" outlineLevel="0" collapsed="false">
      <c r="A221" s="11"/>
      <c r="B221" s="11"/>
      <c r="C221" s="11"/>
      <c r="D221" s="51"/>
      <c r="E221" s="12"/>
      <c r="F221" s="12"/>
      <c r="G221" s="13"/>
      <c r="H221" s="52" t="str">
        <f aca="false">IF($A221="","",$D221*$E221)</f>
        <v/>
      </c>
      <c r="I221" s="30" t="str">
        <f aca="false">IF($A221="","",$D221*$F221)</f>
        <v/>
      </c>
      <c r="J221" s="32" t="str">
        <f aca="false">IF($A221="","",$H221*$G221)</f>
        <v/>
      </c>
      <c r="L221" s="14" t="str">
        <f aca="false">IF($A221="","",$A221&amp;"#"&amp;COUNTIF($A$7:$A221,$A221))</f>
        <v/>
      </c>
    </row>
    <row r="222" customFormat="false" ht="15" hidden="false" customHeight="false" outlineLevel="0" collapsed="false">
      <c r="A222" s="11"/>
      <c r="B222" s="11"/>
      <c r="C222" s="11"/>
      <c r="D222" s="51"/>
      <c r="E222" s="12"/>
      <c r="F222" s="12"/>
      <c r="G222" s="13"/>
      <c r="H222" s="53" t="str">
        <f aca="false">IF($A222="","",$D222*$E222)</f>
        <v/>
      </c>
      <c r="I222" s="39" t="str">
        <f aca="false">IF($A222="","",$D222*$F222)</f>
        <v/>
      </c>
      <c r="J222" s="41" t="str">
        <f aca="false">IF($A222="","",$H222*$G222)</f>
        <v/>
      </c>
      <c r="L222" s="14" t="str">
        <f aca="false">IF($A222="","",$A222&amp;"#"&amp;COUNTIF($A$7:$A222,$A222))</f>
        <v/>
      </c>
    </row>
    <row r="223" customFormat="false" ht="15" hidden="false" customHeight="false" outlineLevel="0" collapsed="false">
      <c r="A223" s="11"/>
      <c r="B223" s="11"/>
      <c r="C223" s="11"/>
      <c r="D223" s="51"/>
      <c r="E223" s="12"/>
      <c r="F223" s="12"/>
      <c r="G223" s="13"/>
      <c r="H223" s="52" t="str">
        <f aca="false">IF($A223="","",$D223*$E223)</f>
        <v/>
      </c>
      <c r="I223" s="30" t="str">
        <f aca="false">IF($A223="","",$D223*$F223)</f>
        <v/>
      </c>
      <c r="J223" s="32" t="str">
        <f aca="false">IF($A223="","",$H223*$G223)</f>
        <v/>
      </c>
      <c r="L223" s="14" t="str">
        <f aca="false">IF($A223="","",$A223&amp;"#"&amp;COUNTIF($A$7:$A223,$A223))</f>
        <v/>
      </c>
    </row>
    <row r="224" customFormat="false" ht="15" hidden="false" customHeight="false" outlineLevel="0" collapsed="false">
      <c r="A224" s="11"/>
      <c r="B224" s="11"/>
      <c r="C224" s="11"/>
      <c r="D224" s="51"/>
      <c r="E224" s="12"/>
      <c r="F224" s="12"/>
      <c r="G224" s="13"/>
      <c r="H224" s="53" t="str">
        <f aca="false">IF($A224="","",$D224*$E224)</f>
        <v/>
      </c>
      <c r="I224" s="39" t="str">
        <f aca="false">IF($A224="","",$D224*$F224)</f>
        <v/>
      </c>
      <c r="J224" s="41" t="str">
        <f aca="false">IF($A224="","",$H224*$G224)</f>
        <v/>
      </c>
      <c r="L224" s="14" t="str">
        <f aca="false">IF($A224="","",$A224&amp;"#"&amp;COUNTIF($A$7:$A224,$A224))</f>
        <v/>
      </c>
    </row>
    <row r="225" customFormat="false" ht="15" hidden="false" customHeight="false" outlineLevel="0" collapsed="false">
      <c r="A225" s="11"/>
      <c r="B225" s="11"/>
      <c r="C225" s="11"/>
      <c r="D225" s="51"/>
      <c r="E225" s="12"/>
      <c r="F225" s="12"/>
      <c r="G225" s="13"/>
      <c r="H225" s="52" t="str">
        <f aca="false">IF($A225="","",$D225*$E225)</f>
        <v/>
      </c>
      <c r="I225" s="30" t="str">
        <f aca="false">IF($A225="","",$D225*$F225)</f>
        <v/>
      </c>
      <c r="J225" s="32" t="str">
        <f aca="false">IF($A225="","",$H225*$G225)</f>
        <v/>
      </c>
      <c r="L225" s="14" t="str">
        <f aca="false">IF($A225="","",$A225&amp;"#"&amp;COUNTIF($A$7:$A225,$A225))</f>
        <v/>
      </c>
    </row>
    <row r="226" customFormat="false" ht="15" hidden="false" customHeight="false" outlineLevel="0" collapsed="false">
      <c r="A226" s="11"/>
      <c r="B226" s="11"/>
      <c r="C226" s="11"/>
      <c r="D226" s="51"/>
      <c r="E226" s="12"/>
      <c r="F226" s="12"/>
      <c r="G226" s="13"/>
      <c r="H226" s="53" t="str">
        <f aca="false">IF($A226="","",$D226*$E226)</f>
        <v/>
      </c>
      <c r="I226" s="39" t="str">
        <f aca="false">IF($A226="","",$D226*$F226)</f>
        <v/>
      </c>
      <c r="J226" s="41" t="str">
        <f aca="false">IF($A226="","",$H226*$G226)</f>
        <v/>
      </c>
      <c r="L226" s="14" t="str">
        <f aca="false">IF($A226="","",$A226&amp;"#"&amp;COUNTIF($A$7:$A226,$A226))</f>
        <v/>
      </c>
    </row>
    <row r="227" customFormat="false" ht="15" hidden="false" customHeight="false" outlineLevel="0" collapsed="false">
      <c r="A227" s="11"/>
      <c r="B227" s="11"/>
      <c r="C227" s="11"/>
      <c r="D227" s="51"/>
      <c r="E227" s="12"/>
      <c r="F227" s="12"/>
      <c r="G227" s="13"/>
      <c r="H227" s="52" t="str">
        <f aca="false">IF($A227="","",$D227*$E227)</f>
        <v/>
      </c>
      <c r="I227" s="30" t="str">
        <f aca="false">IF($A227="","",$D227*$F227)</f>
        <v/>
      </c>
      <c r="J227" s="32" t="str">
        <f aca="false">IF($A227="","",$H227*$G227)</f>
        <v/>
      </c>
      <c r="L227" s="14" t="str">
        <f aca="false">IF($A227="","",$A227&amp;"#"&amp;COUNTIF($A$7:$A227,$A227))</f>
        <v/>
      </c>
    </row>
    <row r="228" customFormat="false" ht="15" hidden="false" customHeight="false" outlineLevel="0" collapsed="false">
      <c r="A228" s="11"/>
      <c r="B228" s="11"/>
      <c r="C228" s="11"/>
      <c r="D228" s="51"/>
      <c r="E228" s="12"/>
      <c r="F228" s="12"/>
      <c r="G228" s="13"/>
      <c r="H228" s="53" t="str">
        <f aca="false">IF($A228="","",$D228*$E228)</f>
        <v/>
      </c>
      <c r="I228" s="39" t="str">
        <f aca="false">IF($A228="","",$D228*$F228)</f>
        <v/>
      </c>
      <c r="J228" s="41" t="str">
        <f aca="false">IF($A228="","",$H228*$G228)</f>
        <v/>
      </c>
      <c r="L228" s="14" t="str">
        <f aca="false">IF($A228="","",$A228&amp;"#"&amp;COUNTIF($A$7:$A228,$A228))</f>
        <v/>
      </c>
    </row>
    <row r="229" customFormat="false" ht="15" hidden="false" customHeight="false" outlineLevel="0" collapsed="false">
      <c r="A229" s="11"/>
      <c r="B229" s="11"/>
      <c r="C229" s="11"/>
      <c r="D229" s="51"/>
      <c r="E229" s="12"/>
      <c r="F229" s="12"/>
      <c r="G229" s="13"/>
      <c r="H229" s="52" t="str">
        <f aca="false">IF($A229="","",$D229*$E229)</f>
        <v/>
      </c>
      <c r="I229" s="30" t="str">
        <f aca="false">IF($A229="","",$D229*$F229)</f>
        <v/>
      </c>
      <c r="J229" s="32" t="str">
        <f aca="false">IF($A229="","",$H229*$G229)</f>
        <v/>
      </c>
      <c r="L229" s="14" t="str">
        <f aca="false">IF($A229="","",$A229&amp;"#"&amp;COUNTIF($A$7:$A229,$A229))</f>
        <v/>
      </c>
    </row>
    <row r="230" customFormat="false" ht="15" hidden="false" customHeight="false" outlineLevel="0" collapsed="false">
      <c r="A230" s="11"/>
      <c r="B230" s="11"/>
      <c r="C230" s="11"/>
      <c r="D230" s="51"/>
      <c r="E230" s="12"/>
      <c r="F230" s="12"/>
      <c r="G230" s="13"/>
      <c r="H230" s="53" t="str">
        <f aca="false">IF($A230="","",$D230*$E230)</f>
        <v/>
      </c>
      <c r="I230" s="39" t="str">
        <f aca="false">IF($A230="","",$D230*$F230)</f>
        <v/>
      </c>
      <c r="J230" s="41" t="str">
        <f aca="false">IF($A230="","",$H230*$G230)</f>
        <v/>
      </c>
      <c r="L230" s="14" t="str">
        <f aca="false">IF($A230="","",$A230&amp;"#"&amp;COUNTIF($A$7:$A230,$A230))</f>
        <v/>
      </c>
    </row>
    <row r="231" customFormat="false" ht="15" hidden="false" customHeight="false" outlineLevel="0" collapsed="false">
      <c r="A231" s="11"/>
      <c r="B231" s="11"/>
      <c r="C231" s="11"/>
      <c r="D231" s="51"/>
      <c r="E231" s="12"/>
      <c r="F231" s="12"/>
      <c r="G231" s="13"/>
      <c r="H231" s="52" t="str">
        <f aca="false">IF($A231="","",$D231*$E231)</f>
        <v/>
      </c>
      <c r="I231" s="30" t="str">
        <f aca="false">IF($A231="","",$D231*$F231)</f>
        <v/>
      </c>
      <c r="J231" s="32" t="str">
        <f aca="false">IF($A231="","",$H231*$G231)</f>
        <v/>
      </c>
      <c r="L231" s="14" t="str">
        <f aca="false">IF($A231="","",$A231&amp;"#"&amp;COUNTIF($A$7:$A231,$A231))</f>
        <v/>
      </c>
    </row>
    <row r="232" customFormat="false" ht="15" hidden="false" customHeight="false" outlineLevel="0" collapsed="false">
      <c r="A232" s="11"/>
      <c r="B232" s="11"/>
      <c r="C232" s="11"/>
      <c r="D232" s="51"/>
      <c r="E232" s="12"/>
      <c r="F232" s="12"/>
      <c r="G232" s="13"/>
      <c r="H232" s="53" t="str">
        <f aca="false">IF($A232="","",$D232*$E232)</f>
        <v/>
      </c>
      <c r="I232" s="39" t="str">
        <f aca="false">IF($A232="","",$D232*$F232)</f>
        <v/>
      </c>
      <c r="J232" s="41" t="str">
        <f aca="false">IF($A232="","",$H232*$G232)</f>
        <v/>
      </c>
      <c r="L232" s="14" t="str">
        <f aca="false">IF($A232="","",$A232&amp;"#"&amp;COUNTIF($A$7:$A232,$A232))</f>
        <v/>
      </c>
    </row>
    <row r="233" customFormat="false" ht="15" hidden="false" customHeight="false" outlineLevel="0" collapsed="false">
      <c r="A233" s="11"/>
      <c r="B233" s="11"/>
      <c r="C233" s="11"/>
      <c r="D233" s="51"/>
      <c r="E233" s="12"/>
      <c r="F233" s="12"/>
      <c r="G233" s="13"/>
      <c r="H233" s="52" t="str">
        <f aca="false">IF($A233="","",$D233*$E233)</f>
        <v/>
      </c>
      <c r="I233" s="30" t="str">
        <f aca="false">IF($A233="","",$D233*$F233)</f>
        <v/>
      </c>
      <c r="J233" s="32" t="str">
        <f aca="false">IF($A233="","",$H233*$G233)</f>
        <v/>
      </c>
      <c r="L233" s="14" t="str">
        <f aca="false">IF($A233="","",$A233&amp;"#"&amp;COUNTIF($A$7:$A233,$A233))</f>
        <v/>
      </c>
    </row>
    <row r="234" customFormat="false" ht="15" hidden="false" customHeight="false" outlineLevel="0" collapsed="false">
      <c r="A234" s="11"/>
      <c r="B234" s="11"/>
      <c r="C234" s="11"/>
      <c r="D234" s="51"/>
      <c r="E234" s="12"/>
      <c r="F234" s="12"/>
      <c r="G234" s="13"/>
      <c r="H234" s="53" t="str">
        <f aca="false">IF($A234="","",$D234*$E234)</f>
        <v/>
      </c>
      <c r="I234" s="39" t="str">
        <f aca="false">IF($A234="","",$D234*$F234)</f>
        <v/>
      </c>
      <c r="J234" s="41" t="str">
        <f aca="false">IF($A234="","",$H234*$G234)</f>
        <v/>
      </c>
      <c r="L234" s="14" t="str">
        <f aca="false">IF($A234="","",$A234&amp;"#"&amp;COUNTIF($A$7:$A234,$A234))</f>
        <v/>
      </c>
    </row>
    <row r="235" customFormat="false" ht="15" hidden="false" customHeight="false" outlineLevel="0" collapsed="false">
      <c r="A235" s="11"/>
      <c r="B235" s="11"/>
      <c r="C235" s="11"/>
      <c r="D235" s="51"/>
      <c r="E235" s="12"/>
      <c r="F235" s="12"/>
      <c r="G235" s="13"/>
      <c r="H235" s="52" t="str">
        <f aca="false">IF($A235="","",$D235*$E235)</f>
        <v/>
      </c>
      <c r="I235" s="30" t="str">
        <f aca="false">IF($A235="","",$D235*$F235)</f>
        <v/>
      </c>
      <c r="J235" s="32" t="str">
        <f aca="false">IF($A235="","",$H235*$G235)</f>
        <v/>
      </c>
      <c r="L235" s="14" t="str">
        <f aca="false">IF($A235="","",$A235&amp;"#"&amp;COUNTIF($A$7:$A235,$A235))</f>
        <v/>
      </c>
    </row>
    <row r="236" customFormat="false" ht="15" hidden="false" customHeight="false" outlineLevel="0" collapsed="false">
      <c r="A236" s="11"/>
      <c r="B236" s="11"/>
      <c r="C236" s="11"/>
      <c r="D236" s="51"/>
      <c r="E236" s="12"/>
      <c r="F236" s="12"/>
      <c r="G236" s="13"/>
      <c r="H236" s="53" t="str">
        <f aca="false">IF($A236="","",$D236*$E236)</f>
        <v/>
      </c>
      <c r="I236" s="39" t="str">
        <f aca="false">IF($A236="","",$D236*$F236)</f>
        <v/>
      </c>
      <c r="J236" s="41" t="str">
        <f aca="false">IF($A236="","",$H236*$G236)</f>
        <v/>
      </c>
      <c r="L236" s="14" t="str">
        <f aca="false">IF($A236="","",$A236&amp;"#"&amp;COUNTIF($A$7:$A236,$A236))</f>
        <v/>
      </c>
    </row>
    <row r="237" customFormat="false" ht="15" hidden="false" customHeight="false" outlineLevel="0" collapsed="false">
      <c r="A237" s="11"/>
      <c r="B237" s="11"/>
      <c r="C237" s="11"/>
      <c r="D237" s="51"/>
      <c r="E237" s="12"/>
      <c r="F237" s="12"/>
      <c r="G237" s="13"/>
      <c r="H237" s="52" t="str">
        <f aca="false">IF($A237="","",$D237*$E237)</f>
        <v/>
      </c>
      <c r="I237" s="30" t="str">
        <f aca="false">IF($A237="","",$D237*$F237)</f>
        <v/>
      </c>
      <c r="J237" s="32" t="str">
        <f aca="false">IF($A237="","",$H237*$G237)</f>
        <v/>
      </c>
      <c r="L237" s="14" t="str">
        <f aca="false">IF($A237="","",$A237&amp;"#"&amp;COUNTIF($A$7:$A237,$A237))</f>
        <v/>
      </c>
    </row>
    <row r="238" customFormat="false" ht="15" hidden="false" customHeight="false" outlineLevel="0" collapsed="false">
      <c r="A238" s="11"/>
      <c r="B238" s="11"/>
      <c r="C238" s="11"/>
      <c r="D238" s="51"/>
      <c r="E238" s="12"/>
      <c r="F238" s="12"/>
      <c r="G238" s="13"/>
      <c r="H238" s="53" t="str">
        <f aca="false">IF($A238="","",$D238*$E238)</f>
        <v/>
      </c>
      <c r="I238" s="39" t="str">
        <f aca="false">IF($A238="","",$D238*$F238)</f>
        <v/>
      </c>
      <c r="J238" s="41" t="str">
        <f aca="false">IF($A238="","",$H238*$G238)</f>
        <v/>
      </c>
      <c r="L238" s="14" t="str">
        <f aca="false">IF($A238="","",$A238&amp;"#"&amp;COUNTIF($A$7:$A238,$A238))</f>
        <v/>
      </c>
    </row>
    <row r="239" customFormat="false" ht="15" hidden="false" customHeight="false" outlineLevel="0" collapsed="false">
      <c r="A239" s="11"/>
      <c r="B239" s="11"/>
      <c r="C239" s="11"/>
      <c r="D239" s="51"/>
      <c r="E239" s="12"/>
      <c r="F239" s="12"/>
      <c r="G239" s="13"/>
      <c r="H239" s="52" t="str">
        <f aca="false">IF($A239="","",$D239*$E239)</f>
        <v/>
      </c>
      <c r="I239" s="30" t="str">
        <f aca="false">IF($A239="","",$D239*$F239)</f>
        <v/>
      </c>
      <c r="J239" s="32" t="str">
        <f aca="false">IF($A239="","",$H239*$G239)</f>
        <v/>
      </c>
      <c r="L239" s="14" t="str">
        <f aca="false">IF($A239="","",$A239&amp;"#"&amp;COUNTIF($A$7:$A239,$A239))</f>
        <v/>
      </c>
    </row>
    <row r="240" customFormat="false" ht="15" hidden="false" customHeight="false" outlineLevel="0" collapsed="false">
      <c r="A240" s="11"/>
      <c r="B240" s="11"/>
      <c r="C240" s="11"/>
      <c r="D240" s="51"/>
      <c r="E240" s="12"/>
      <c r="F240" s="12"/>
      <c r="G240" s="13"/>
      <c r="H240" s="53" t="str">
        <f aca="false">IF($A240="","",$D240*$E240)</f>
        <v/>
      </c>
      <c r="I240" s="39" t="str">
        <f aca="false">IF($A240="","",$D240*$F240)</f>
        <v/>
      </c>
      <c r="J240" s="41" t="str">
        <f aca="false">IF($A240="","",$H240*$G240)</f>
        <v/>
      </c>
      <c r="L240" s="14" t="str">
        <f aca="false">IF($A240="","",$A240&amp;"#"&amp;COUNTIF($A$7:$A240,$A240))</f>
        <v/>
      </c>
    </row>
    <row r="241" customFormat="false" ht="15" hidden="false" customHeight="false" outlineLevel="0" collapsed="false">
      <c r="A241" s="11"/>
      <c r="B241" s="11"/>
      <c r="C241" s="11"/>
      <c r="D241" s="51"/>
      <c r="E241" s="12"/>
      <c r="F241" s="12"/>
      <c r="G241" s="13"/>
      <c r="H241" s="52" t="str">
        <f aca="false">IF($A241="","",$D241*$E241)</f>
        <v/>
      </c>
      <c r="I241" s="30" t="str">
        <f aca="false">IF($A241="","",$D241*$F241)</f>
        <v/>
      </c>
      <c r="J241" s="32" t="str">
        <f aca="false">IF($A241="","",$H241*$G241)</f>
        <v/>
      </c>
      <c r="L241" s="14" t="str">
        <f aca="false">IF($A241="","",$A241&amp;"#"&amp;COUNTIF($A$7:$A241,$A241))</f>
        <v/>
      </c>
    </row>
    <row r="242" customFormat="false" ht="15" hidden="false" customHeight="false" outlineLevel="0" collapsed="false">
      <c r="A242" s="11"/>
      <c r="B242" s="11"/>
      <c r="C242" s="11"/>
      <c r="D242" s="51"/>
      <c r="E242" s="12"/>
      <c r="F242" s="12"/>
      <c r="G242" s="13"/>
      <c r="H242" s="53" t="str">
        <f aca="false">IF($A242="","",$D242*$E242)</f>
        <v/>
      </c>
      <c r="I242" s="39" t="str">
        <f aca="false">IF($A242="","",$D242*$F242)</f>
        <v/>
      </c>
      <c r="J242" s="41" t="str">
        <f aca="false">IF($A242="","",$H242*$G242)</f>
        <v/>
      </c>
      <c r="L242" s="14" t="str">
        <f aca="false">IF($A242="","",$A242&amp;"#"&amp;COUNTIF($A$7:$A242,$A242))</f>
        <v/>
      </c>
    </row>
    <row r="243" customFormat="false" ht="15" hidden="false" customHeight="false" outlineLevel="0" collapsed="false">
      <c r="A243" s="11"/>
      <c r="B243" s="11"/>
      <c r="C243" s="11"/>
      <c r="D243" s="51"/>
      <c r="E243" s="12"/>
      <c r="F243" s="12"/>
      <c r="G243" s="13"/>
      <c r="H243" s="52" t="str">
        <f aca="false">IF($A243="","",$D243*$E243)</f>
        <v/>
      </c>
      <c r="I243" s="30" t="str">
        <f aca="false">IF($A243="","",$D243*$F243)</f>
        <v/>
      </c>
      <c r="J243" s="32" t="str">
        <f aca="false">IF($A243="","",$H243*$G243)</f>
        <v/>
      </c>
      <c r="L243" s="14" t="str">
        <f aca="false">IF($A243="","",$A243&amp;"#"&amp;COUNTIF($A$7:$A243,$A243))</f>
        <v/>
      </c>
    </row>
    <row r="244" customFormat="false" ht="15" hidden="false" customHeight="false" outlineLevel="0" collapsed="false">
      <c r="A244" s="11"/>
      <c r="B244" s="11"/>
      <c r="C244" s="11"/>
      <c r="D244" s="51"/>
      <c r="E244" s="12"/>
      <c r="F244" s="12"/>
      <c r="G244" s="13"/>
      <c r="H244" s="53" t="str">
        <f aca="false">IF($A244="","",$D244*$E244)</f>
        <v/>
      </c>
      <c r="I244" s="39" t="str">
        <f aca="false">IF($A244="","",$D244*$F244)</f>
        <v/>
      </c>
      <c r="J244" s="41" t="str">
        <f aca="false">IF($A244="","",$H244*$G244)</f>
        <v/>
      </c>
      <c r="L244" s="14" t="str">
        <f aca="false">IF($A244="","",$A244&amp;"#"&amp;COUNTIF($A$7:$A244,$A244))</f>
        <v/>
      </c>
    </row>
    <row r="245" customFormat="false" ht="15" hidden="false" customHeight="false" outlineLevel="0" collapsed="false">
      <c r="A245" s="11"/>
      <c r="B245" s="11"/>
      <c r="C245" s="11"/>
      <c r="D245" s="51"/>
      <c r="E245" s="12"/>
      <c r="F245" s="12"/>
      <c r="G245" s="13"/>
      <c r="H245" s="52" t="str">
        <f aca="false">IF($A245="","",$D245*$E245)</f>
        <v/>
      </c>
      <c r="I245" s="30" t="str">
        <f aca="false">IF($A245="","",$D245*$F245)</f>
        <v/>
      </c>
      <c r="J245" s="32" t="str">
        <f aca="false">IF($A245="","",$H245*$G245)</f>
        <v/>
      </c>
      <c r="L245" s="14" t="str">
        <f aca="false">IF($A245="","",$A245&amp;"#"&amp;COUNTIF($A$7:$A245,$A245))</f>
        <v/>
      </c>
    </row>
    <row r="246" customFormat="false" ht="15" hidden="false" customHeight="false" outlineLevel="0" collapsed="false">
      <c r="A246" s="11"/>
      <c r="B246" s="11"/>
      <c r="C246" s="11"/>
      <c r="D246" s="51"/>
      <c r="E246" s="12"/>
      <c r="F246" s="12"/>
      <c r="G246" s="13"/>
      <c r="H246" s="53" t="str">
        <f aca="false">IF($A246="","",$D246*$E246)</f>
        <v/>
      </c>
      <c r="I246" s="39" t="str">
        <f aca="false">IF($A246="","",$D246*$F246)</f>
        <v/>
      </c>
      <c r="J246" s="41" t="str">
        <f aca="false">IF($A246="","",$H246*$G246)</f>
        <v/>
      </c>
      <c r="L246" s="14" t="str">
        <f aca="false">IF($A246="","",$A246&amp;"#"&amp;COUNTIF($A$7:$A246,$A246))</f>
        <v/>
      </c>
    </row>
    <row r="247" customFormat="false" ht="15" hidden="false" customHeight="false" outlineLevel="0" collapsed="false">
      <c r="A247" s="11"/>
      <c r="B247" s="11"/>
      <c r="C247" s="11"/>
      <c r="D247" s="51"/>
      <c r="E247" s="12"/>
      <c r="F247" s="12"/>
      <c r="G247" s="13"/>
      <c r="H247" s="52" t="str">
        <f aca="false">IF($A247="","",$D247*$E247)</f>
        <v/>
      </c>
      <c r="I247" s="30" t="str">
        <f aca="false">IF($A247="","",$D247*$F247)</f>
        <v/>
      </c>
      <c r="J247" s="32" t="str">
        <f aca="false">IF($A247="","",$H247*$G247)</f>
        <v/>
      </c>
      <c r="L247" s="14" t="str">
        <f aca="false">IF($A247="","",$A247&amp;"#"&amp;COUNTIF($A$7:$A247,$A247))</f>
        <v/>
      </c>
    </row>
    <row r="248" customFormat="false" ht="15" hidden="false" customHeight="false" outlineLevel="0" collapsed="false">
      <c r="A248" s="11"/>
      <c r="B248" s="11"/>
      <c r="C248" s="11"/>
      <c r="D248" s="51"/>
      <c r="E248" s="12"/>
      <c r="F248" s="12"/>
      <c r="G248" s="13"/>
      <c r="H248" s="53" t="str">
        <f aca="false">IF($A248="","",$D248*$E248)</f>
        <v/>
      </c>
      <c r="I248" s="39" t="str">
        <f aca="false">IF($A248="","",$D248*$F248)</f>
        <v/>
      </c>
      <c r="J248" s="41" t="str">
        <f aca="false">IF($A248="","",$H248*$G248)</f>
        <v/>
      </c>
      <c r="L248" s="14" t="str">
        <f aca="false">IF($A248="","",$A248&amp;"#"&amp;COUNTIF($A$7:$A248,$A248))</f>
        <v/>
      </c>
    </row>
    <row r="249" customFormat="false" ht="15" hidden="false" customHeight="false" outlineLevel="0" collapsed="false">
      <c r="A249" s="11"/>
      <c r="B249" s="11"/>
      <c r="C249" s="11"/>
      <c r="D249" s="51"/>
      <c r="E249" s="12"/>
      <c r="F249" s="12"/>
      <c r="G249" s="13"/>
      <c r="H249" s="52" t="str">
        <f aca="false">IF($A249="","",$D249*$E249)</f>
        <v/>
      </c>
      <c r="I249" s="30" t="str">
        <f aca="false">IF($A249="","",$D249*$F249)</f>
        <v/>
      </c>
      <c r="J249" s="32" t="str">
        <f aca="false">IF($A249="","",$H249*$G249)</f>
        <v/>
      </c>
      <c r="L249" s="14" t="str">
        <f aca="false">IF($A249="","",$A249&amp;"#"&amp;COUNTIF($A$7:$A249,$A249))</f>
        <v/>
      </c>
    </row>
    <row r="250" customFormat="false" ht="15" hidden="false" customHeight="false" outlineLevel="0" collapsed="false">
      <c r="A250" s="11"/>
      <c r="B250" s="11"/>
      <c r="C250" s="11"/>
      <c r="D250" s="51"/>
      <c r="E250" s="12"/>
      <c r="F250" s="12"/>
      <c r="G250" s="13"/>
      <c r="H250" s="53" t="str">
        <f aca="false">IF($A250="","",$D250*$E250)</f>
        <v/>
      </c>
      <c r="I250" s="39" t="str">
        <f aca="false">IF($A250="","",$D250*$F250)</f>
        <v/>
      </c>
      <c r="J250" s="41" t="str">
        <f aca="false">IF($A250="","",$H250*$G250)</f>
        <v/>
      </c>
      <c r="L250" s="14" t="str">
        <f aca="false">IF($A250="","",$A250&amp;"#"&amp;COUNTIF($A$7:$A250,$A250))</f>
        <v/>
      </c>
    </row>
    <row r="251" customFormat="false" ht="15" hidden="false" customHeight="false" outlineLevel="0" collapsed="false">
      <c r="A251" s="11"/>
      <c r="B251" s="11"/>
      <c r="C251" s="11"/>
      <c r="D251" s="51"/>
      <c r="E251" s="12"/>
      <c r="F251" s="12"/>
      <c r="G251" s="13"/>
      <c r="H251" s="52" t="str">
        <f aca="false">IF($A251="","",$D251*$E251)</f>
        <v/>
      </c>
      <c r="I251" s="30" t="str">
        <f aca="false">IF($A251="","",$D251*$F251)</f>
        <v/>
      </c>
      <c r="J251" s="32" t="str">
        <f aca="false">IF($A251="","",$H251*$G251)</f>
        <v/>
      </c>
      <c r="L251" s="14" t="str">
        <f aca="false">IF($A251="","",$A251&amp;"#"&amp;COUNTIF($A$7:$A251,$A251))</f>
        <v/>
      </c>
    </row>
    <row r="252" customFormat="false" ht="15" hidden="false" customHeight="false" outlineLevel="0" collapsed="false">
      <c r="A252" s="11"/>
      <c r="B252" s="11"/>
      <c r="C252" s="11"/>
      <c r="D252" s="51"/>
      <c r="E252" s="12"/>
      <c r="F252" s="12"/>
      <c r="G252" s="13"/>
      <c r="H252" s="53" t="str">
        <f aca="false">IF($A252="","",$D252*$E252)</f>
        <v/>
      </c>
      <c r="I252" s="39" t="str">
        <f aca="false">IF($A252="","",$D252*$F252)</f>
        <v/>
      </c>
      <c r="J252" s="41" t="str">
        <f aca="false">IF($A252="","",$H252*$G252)</f>
        <v/>
      </c>
      <c r="L252" s="14" t="str">
        <f aca="false">IF($A252="","",$A252&amp;"#"&amp;COUNTIF($A$7:$A252,$A252))</f>
        <v/>
      </c>
    </row>
    <row r="253" customFormat="false" ht="15" hidden="false" customHeight="false" outlineLevel="0" collapsed="false">
      <c r="A253" s="11"/>
      <c r="B253" s="11"/>
      <c r="C253" s="11"/>
      <c r="D253" s="51"/>
      <c r="E253" s="12"/>
      <c r="F253" s="12"/>
      <c r="G253" s="13"/>
      <c r="H253" s="52" t="str">
        <f aca="false">IF($A253="","",$D253*$E253)</f>
        <v/>
      </c>
      <c r="I253" s="30" t="str">
        <f aca="false">IF($A253="","",$D253*$F253)</f>
        <v/>
      </c>
      <c r="J253" s="32" t="str">
        <f aca="false">IF($A253="","",$H253*$G253)</f>
        <v/>
      </c>
      <c r="L253" s="14" t="str">
        <f aca="false">IF($A253="","",$A253&amp;"#"&amp;COUNTIF($A$7:$A253,$A253))</f>
        <v/>
      </c>
    </row>
    <row r="254" customFormat="false" ht="15" hidden="false" customHeight="false" outlineLevel="0" collapsed="false">
      <c r="A254" s="11"/>
      <c r="B254" s="11"/>
      <c r="C254" s="11"/>
      <c r="D254" s="51"/>
      <c r="E254" s="12"/>
      <c r="F254" s="12"/>
      <c r="G254" s="13"/>
      <c r="H254" s="53" t="str">
        <f aca="false">IF($A254="","",$D254*$E254)</f>
        <v/>
      </c>
      <c r="I254" s="39" t="str">
        <f aca="false">IF($A254="","",$D254*$F254)</f>
        <v/>
      </c>
      <c r="J254" s="41" t="str">
        <f aca="false">IF($A254="","",$H254*$G254)</f>
        <v/>
      </c>
      <c r="L254" s="14" t="str">
        <f aca="false">IF($A254="","",$A254&amp;"#"&amp;COUNTIF($A$7:$A254,$A254))</f>
        <v/>
      </c>
    </row>
    <row r="255" customFormat="false" ht="15" hidden="false" customHeight="false" outlineLevel="0" collapsed="false">
      <c r="A255" s="11"/>
      <c r="B255" s="11"/>
      <c r="C255" s="11"/>
      <c r="D255" s="51"/>
      <c r="E255" s="12"/>
      <c r="F255" s="12"/>
      <c r="G255" s="13"/>
      <c r="H255" s="52" t="str">
        <f aca="false">IF($A255="","",$D255*$E255)</f>
        <v/>
      </c>
      <c r="I255" s="30" t="str">
        <f aca="false">IF($A255="","",$D255*$F255)</f>
        <v/>
      </c>
      <c r="J255" s="32" t="str">
        <f aca="false">IF($A255="","",$H255*$G255)</f>
        <v/>
      </c>
      <c r="L255" s="14" t="str">
        <f aca="false">IF($A255="","",$A255&amp;"#"&amp;COUNTIF($A$7:$A255,$A255))</f>
        <v/>
      </c>
    </row>
    <row r="256" customFormat="false" ht="15" hidden="false" customHeight="false" outlineLevel="0" collapsed="false">
      <c r="A256" s="11"/>
      <c r="B256" s="11"/>
      <c r="C256" s="11"/>
      <c r="D256" s="51"/>
      <c r="E256" s="12"/>
      <c r="F256" s="12"/>
      <c r="G256" s="13"/>
      <c r="H256" s="53" t="str">
        <f aca="false">IF($A256="","",$D256*$E256)</f>
        <v/>
      </c>
      <c r="I256" s="39" t="str">
        <f aca="false">IF($A256="","",$D256*$F256)</f>
        <v/>
      </c>
      <c r="J256" s="41" t="str">
        <f aca="false">IF($A256="","",$H256*$G256)</f>
        <v/>
      </c>
      <c r="L256" s="14" t="str">
        <f aca="false">IF($A256="","",$A256&amp;"#"&amp;COUNTIF($A$7:$A256,$A256))</f>
        <v/>
      </c>
    </row>
    <row r="257" customFormat="false" ht="15" hidden="false" customHeight="false" outlineLevel="0" collapsed="false">
      <c r="A257" s="11"/>
      <c r="B257" s="11"/>
      <c r="C257" s="11"/>
      <c r="D257" s="51"/>
      <c r="E257" s="12"/>
      <c r="F257" s="12"/>
      <c r="G257" s="13"/>
      <c r="H257" s="52" t="str">
        <f aca="false">IF($A257="","",$D257*$E257)</f>
        <v/>
      </c>
      <c r="I257" s="30" t="str">
        <f aca="false">IF($A257="","",$D257*$F257)</f>
        <v/>
      </c>
      <c r="J257" s="32" t="str">
        <f aca="false">IF($A257="","",$H257*$G257)</f>
        <v/>
      </c>
      <c r="L257" s="14" t="str">
        <f aca="false">IF($A257="","",$A257&amp;"#"&amp;COUNTIF($A$7:$A257,$A257))</f>
        <v/>
      </c>
    </row>
    <row r="258" customFormat="false" ht="15" hidden="false" customHeight="false" outlineLevel="0" collapsed="false">
      <c r="A258" s="11"/>
      <c r="B258" s="11"/>
      <c r="C258" s="11"/>
      <c r="D258" s="51"/>
      <c r="E258" s="12"/>
      <c r="F258" s="12"/>
      <c r="G258" s="13"/>
      <c r="H258" s="53" t="str">
        <f aca="false">IF($A258="","",$D258*$E258)</f>
        <v/>
      </c>
      <c r="I258" s="39" t="str">
        <f aca="false">IF($A258="","",$D258*$F258)</f>
        <v/>
      </c>
      <c r="J258" s="41" t="str">
        <f aca="false">IF($A258="","",$H258*$G258)</f>
        <v/>
      </c>
      <c r="L258" s="14" t="str">
        <f aca="false">IF($A258="","",$A258&amp;"#"&amp;COUNTIF($A$7:$A258,$A258))</f>
        <v/>
      </c>
    </row>
    <row r="259" customFormat="false" ht="15" hidden="false" customHeight="false" outlineLevel="0" collapsed="false">
      <c r="A259" s="11"/>
      <c r="B259" s="11"/>
      <c r="C259" s="11"/>
      <c r="D259" s="51"/>
      <c r="E259" s="12"/>
      <c r="F259" s="12"/>
      <c r="G259" s="13"/>
      <c r="H259" s="52" t="str">
        <f aca="false">IF($A259="","",$D259*$E259)</f>
        <v/>
      </c>
      <c r="I259" s="30" t="str">
        <f aca="false">IF($A259="","",$D259*$F259)</f>
        <v/>
      </c>
      <c r="J259" s="32" t="str">
        <f aca="false">IF($A259="","",$H259*$G259)</f>
        <v/>
      </c>
      <c r="L259" s="14" t="str">
        <f aca="false">IF($A259="","",$A259&amp;"#"&amp;COUNTIF($A$7:$A259,$A259))</f>
        <v/>
      </c>
    </row>
    <row r="260" customFormat="false" ht="15" hidden="false" customHeight="false" outlineLevel="0" collapsed="false">
      <c r="A260" s="11"/>
      <c r="B260" s="11"/>
      <c r="C260" s="11"/>
      <c r="D260" s="51"/>
      <c r="E260" s="12"/>
      <c r="F260" s="12"/>
      <c r="G260" s="13"/>
      <c r="H260" s="53" t="str">
        <f aca="false">IF($A260="","",$D260*$E260)</f>
        <v/>
      </c>
      <c r="I260" s="39" t="str">
        <f aca="false">IF($A260="","",$D260*$F260)</f>
        <v/>
      </c>
      <c r="J260" s="41" t="str">
        <f aca="false">IF($A260="","",$H260*$G260)</f>
        <v/>
      </c>
      <c r="L260" s="14" t="str">
        <f aca="false">IF($A260="","",$A260&amp;"#"&amp;COUNTIF($A$7:$A260,$A260))</f>
        <v/>
      </c>
    </row>
    <row r="261" customFormat="false" ht="15" hidden="false" customHeight="false" outlineLevel="0" collapsed="false">
      <c r="A261" s="11"/>
      <c r="B261" s="11"/>
      <c r="C261" s="11"/>
      <c r="D261" s="51"/>
      <c r="E261" s="12"/>
      <c r="F261" s="12"/>
      <c r="G261" s="13"/>
      <c r="H261" s="52" t="str">
        <f aca="false">IF($A261="","",$D261*$E261)</f>
        <v/>
      </c>
      <c r="I261" s="30" t="str">
        <f aca="false">IF($A261="","",$D261*$F261)</f>
        <v/>
      </c>
      <c r="J261" s="32" t="str">
        <f aca="false">IF($A261="","",$H261*$G261)</f>
        <v/>
      </c>
      <c r="L261" s="14" t="str">
        <f aca="false">IF($A261="","",$A261&amp;"#"&amp;COUNTIF($A$7:$A261,$A261))</f>
        <v/>
      </c>
    </row>
    <row r="262" customFormat="false" ht="15" hidden="false" customHeight="false" outlineLevel="0" collapsed="false">
      <c r="A262" s="11"/>
      <c r="B262" s="11"/>
      <c r="C262" s="11"/>
      <c r="D262" s="51"/>
      <c r="E262" s="12"/>
      <c r="F262" s="12"/>
      <c r="G262" s="13"/>
      <c r="H262" s="53" t="str">
        <f aca="false">IF($A262="","",$D262*$E262)</f>
        <v/>
      </c>
      <c r="I262" s="39" t="str">
        <f aca="false">IF($A262="","",$D262*$F262)</f>
        <v/>
      </c>
      <c r="J262" s="41" t="str">
        <f aca="false">IF($A262="","",$H262*$G262)</f>
        <v/>
      </c>
      <c r="L262" s="14" t="str">
        <f aca="false">IF($A262="","",$A262&amp;"#"&amp;COUNTIF($A$7:$A262,$A262))</f>
        <v/>
      </c>
    </row>
    <row r="263" customFormat="false" ht="15" hidden="false" customHeight="false" outlineLevel="0" collapsed="false">
      <c r="A263" s="11"/>
      <c r="B263" s="11"/>
      <c r="C263" s="11"/>
      <c r="D263" s="51"/>
      <c r="E263" s="12"/>
      <c r="F263" s="12"/>
      <c r="G263" s="13"/>
      <c r="H263" s="52" t="str">
        <f aca="false">IF($A263="","",$D263*$E263)</f>
        <v/>
      </c>
      <c r="I263" s="30" t="str">
        <f aca="false">IF($A263="","",$D263*$F263)</f>
        <v/>
      </c>
      <c r="J263" s="32" t="str">
        <f aca="false">IF($A263="","",$H263*$G263)</f>
        <v/>
      </c>
      <c r="L263" s="14" t="str">
        <f aca="false">IF($A263="","",$A263&amp;"#"&amp;COUNTIF($A$7:$A263,$A263))</f>
        <v/>
      </c>
    </row>
    <row r="264" customFormat="false" ht="15" hidden="false" customHeight="false" outlineLevel="0" collapsed="false">
      <c r="A264" s="11"/>
      <c r="B264" s="11"/>
      <c r="C264" s="11"/>
      <c r="D264" s="51"/>
      <c r="E264" s="12"/>
      <c r="F264" s="12"/>
      <c r="G264" s="13"/>
      <c r="H264" s="53" t="str">
        <f aca="false">IF($A264="","",$D264*$E264)</f>
        <v/>
      </c>
      <c r="I264" s="39" t="str">
        <f aca="false">IF($A264="","",$D264*$F264)</f>
        <v/>
      </c>
      <c r="J264" s="41" t="str">
        <f aca="false">IF($A264="","",$H264*$G264)</f>
        <v/>
      </c>
      <c r="L264" s="14" t="str">
        <f aca="false">IF($A264="","",$A264&amp;"#"&amp;COUNTIF($A$7:$A264,$A264))</f>
        <v/>
      </c>
    </row>
    <row r="265" customFormat="false" ht="15" hidden="false" customHeight="false" outlineLevel="0" collapsed="false">
      <c r="A265" s="11"/>
      <c r="B265" s="11"/>
      <c r="C265" s="11"/>
      <c r="D265" s="51"/>
      <c r="E265" s="12"/>
      <c r="F265" s="12"/>
      <c r="G265" s="13"/>
      <c r="H265" s="52" t="str">
        <f aca="false">IF($A265="","",$D265*$E265)</f>
        <v/>
      </c>
      <c r="I265" s="30" t="str">
        <f aca="false">IF($A265="","",$D265*$F265)</f>
        <v/>
      </c>
      <c r="J265" s="32" t="str">
        <f aca="false">IF($A265="","",$H265*$G265)</f>
        <v/>
      </c>
      <c r="L265" s="14" t="str">
        <f aca="false">IF($A265="","",$A265&amp;"#"&amp;COUNTIF($A$7:$A265,$A265))</f>
        <v/>
      </c>
    </row>
    <row r="266" customFormat="false" ht="15" hidden="false" customHeight="false" outlineLevel="0" collapsed="false">
      <c r="A266" s="11"/>
      <c r="B266" s="11"/>
      <c r="C266" s="11"/>
      <c r="D266" s="51"/>
      <c r="E266" s="12"/>
      <c r="F266" s="12"/>
      <c r="G266" s="13"/>
      <c r="H266" s="53" t="str">
        <f aca="false">IF($A266="","",$D266*$E266)</f>
        <v/>
      </c>
      <c r="I266" s="39" t="str">
        <f aca="false">IF($A266="","",$D266*$F266)</f>
        <v/>
      </c>
      <c r="J266" s="41" t="str">
        <f aca="false">IF($A266="","",$H266*$G266)</f>
        <v/>
      </c>
      <c r="L266" s="14" t="str">
        <f aca="false">IF($A266="","",$A266&amp;"#"&amp;COUNTIF($A$7:$A266,$A266))</f>
        <v/>
      </c>
    </row>
    <row r="267" customFormat="false" ht="15" hidden="false" customHeight="false" outlineLevel="0" collapsed="false">
      <c r="A267" s="11"/>
      <c r="B267" s="11"/>
      <c r="C267" s="11"/>
      <c r="D267" s="51"/>
      <c r="E267" s="12"/>
      <c r="F267" s="12"/>
      <c r="G267" s="13"/>
      <c r="H267" s="52" t="str">
        <f aca="false">IF($A267="","",$D267*$E267)</f>
        <v/>
      </c>
      <c r="I267" s="30" t="str">
        <f aca="false">IF($A267="","",$D267*$F267)</f>
        <v/>
      </c>
      <c r="J267" s="32" t="str">
        <f aca="false">IF($A267="","",$H267*$G267)</f>
        <v/>
      </c>
      <c r="L267" s="14" t="str">
        <f aca="false">IF($A267="","",$A267&amp;"#"&amp;COUNTIF($A$7:$A267,$A267))</f>
        <v/>
      </c>
    </row>
    <row r="268" customFormat="false" ht="15" hidden="false" customHeight="false" outlineLevel="0" collapsed="false">
      <c r="A268" s="11"/>
      <c r="B268" s="11"/>
      <c r="C268" s="11"/>
      <c r="D268" s="51"/>
      <c r="E268" s="12"/>
      <c r="F268" s="12"/>
      <c r="G268" s="13"/>
      <c r="H268" s="53" t="str">
        <f aca="false">IF($A268="","",$D268*$E268)</f>
        <v/>
      </c>
      <c r="I268" s="39" t="str">
        <f aca="false">IF($A268="","",$D268*$F268)</f>
        <v/>
      </c>
      <c r="J268" s="41" t="str">
        <f aca="false">IF($A268="","",$H268*$G268)</f>
        <v/>
      </c>
      <c r="L268" s="14" t="str">
        <f aca="false">IF($A268="","",$A268&amp;"#"&amp;COUNTIF($A$7:$A268,$A268))</f>
        <v/>
      </c>
    </row>
    <row r="269" customFormat="false" ht="15" hidden="false" customHeight="false" outlineLevel="0" collapsed="false">
      <c r="A269" s="11"/>
      <c r="B269" s="11"/>
      <c r="C269" s="11"/>
      <c r="D269" s="51"/>
      <c r="E269" s="12"/>
      <c r="F269" s="12"/>
      <c r="G269" s="13"/>
      <c r="H269" s="52" t="str">
        <f aca="false">IF($A269="","",$D269*$E269)</f>
        <v/>
      </c>
      <c r="I269" s="30" t="str">
        <f aca="false">IF($A269="","",$D269*$F269)</f>
        <v/>
      </c>
      <c r="J269" s="32" t="str">
        <f aca="false">IF($A269="","",$H269*$G269)</f>
        <v/>
      </c>
      <c r="L269" s="14" t="str">
        <f aca="false">IF($A269="","",$A269&amp;"#"&amp;COUNTIF($A$7:$A269,$A269))</f>
        <v/>
      </c>
    </row>
    <row r="270" customFormat="false" ht="15" hidden="false" customHeight="false" outlineLevel="0" collapsed="false">
      <c r="A270" s="11"/>
      <c r="B270" s="11"/>
      <c r="C270" s="11"/>
      <c r="D270" s="51"/>
      <c r="E270" s="12"/>
      <c r="F270" s="12"/>
      <c r="G270" s="13"/>
      <c r="H270" s="53" t="str">
        <f aca="false">IF($A270="","",$D270*$E270)</f>
        <v/>
      </c>
      <c r="I270" s="39" t="str">
        <f aca="false">IF($A270="","",$D270*$F270)</f>
        <v/>
      </c>
      <c r="J270" s="41" t="str">
        <f aca="false">IF($A270="","",$H270*$G270)</f>
        <v/>
      </c>
      <c r="L270" s="14" t="str">
        <f aca="false">IF($A270="","",$A270&amp;"#"&amp;COUNTIF($A$7:$A270,$A270))</f>
        <v/>
      </c>
    </row>
    <row r="271" customFormat="false" ht="15" hidden="false" customHeight="false" outlineLevel="0" collapsed="false">
      <c r="A271" s="11"/>
      <c r="B271" s="11"/>
      <c r="C271" s="11"/>
      <c r="D271" s="51"/>
      <c r="E271" s="12"/>
      <c r="F271" s="12"/>
      <c r="G271" s="13"/>
      <c r="H271" s="52" t="str">
        <f aca="false">IF($A271="","",$D271*$E271)</f>
        <v/>
      </c>
      <c r="I271" s="30" t="str">
        <f aca="false">IF($A271="","",$D271*$F271)</f>
        <v/>
      </c>
      <c r="J271" s="32" t="str">
        <f aca="false">IF($A271="","",$H271*$G271)</f>
        <v/>
      </c>
      <c r="L271" s="14" t="str">
        <f aca="false">IF($A271="","",$A271&amp;"#"&amp;COUNTIF($A$7:$A271,$A271))</f>
        <v/>
      </c>
    </row>
    <row r="272" customFormat="false" ht="15" hidden="false" customHeight="false" outlineLevel="0" collapsed="false">
      <c r="A272" s="11"/>
      <c r="B272" s="11"/>
      <c r="C272" s="11"/>
      <c r="D272" s="51"/>
      <c r="E272" s="12"/>
      <c r="F272" s="12"/>
      <c r="G272" s="13"/>
      <c r="H272" s="53" t="str">
        <f aca="false">IF($A272="","",$D272*$E272)</f>
        <v/>
      </c>
      <c r="I272" s="39" t="str">
        <f aca="false">IF($A272="","",$D272*$F272)</f>
        <v/>
      </c>
      <c r="J272" s="41" t="str">
        <f aca="false">IF($A272="","",$H272*$G272)</f>
        <v/>
      </c>
      <c r="L272" s="14" t="str">
        <f aca="false">IF($A272="","",$A272&amp;"#"&amp;COUNTIF($A$7:$A272,$A272))</f>
        <v/>
      </c>
    </row>
    <row r="273" customFormat="false" ht="15" hidden="false" customHeight="false" outlineLevel="0" collapsed="false">
      <c r="A273" s="11"/>
      <c r="B273" s="11"/>
      <c r="C273" s="11"/>
      <c r="D273" s="51"/>
      <c r="E273" s="12"/>
      <c r="F273" s="12"/>
      <c r="G273" s="13"/>
      <c r="H273" s="52" t="str">
        <f aca="false">IF($A273="","",$D273*$E273)</f>
        <v/>
      </c>
      <c r="I273" s="30" t="str">
        <f aca="false">IF($A273="","",$D273*$F273)</f>
        <v/>
      </c>
      <c r="J273" s="32" t="str">
        <f aca="false">IF($A273="","",$H273*$G273)</f>
        <v/>
      </c>
      <c r="L273" s="14" t="str">
        <f aca="false">IF($A273="","",$A273&amp;"#"&amp;COUNTIF($A$7:$A273,$A273))</f>
        <v/>
      </c>
    </row>
    <row r="274" customFormat="false" ht="15" hidden="false" customHeight="false" outlineLevel="0" collapsed="false">
      <c r="A274" s="11"/>
      <c r="B274" s="11"/>
      <c r="C274" s="11"/>
      <c r="D274" s="51"/>
      <c r="E274" s="12"/>
      <c r="F274" s="12"/>
      <c r="G274" s="13"/>
      <c r="H274" s="53" t="str">
        <f aca="false">IF($A274="","",$D274*$E274)</f>
        <v/>
      </c>
      <c r="I274" s="39" t="str">
        <f aca="false">IF($A274="","",$D274*$F274)</f>
        <v/>
      </c>
      <c r="J274" s="41" t="str">
        <f aca="false">IF($A274="","",$H274*$G274)</f>
        <v/>
      </c>
      <c r="L274" s="14" t="str">
        <f aca="false">IF($A274="","",$A274&amp;"#"&amp;COUNTIF($A$7:$A274,$A274))</f>
        <v/>
      </c>
    </row>
    <row r="275" customFormat="false" ht="15" hidden="false" customHeight="false" outlineLevel="0" collapsed="false">
      <c r="A275" s="11"/>
      <c r="B275" s="11"/>
      <c r="C275" s="11"/>
      <c r="D275" s="51"/>
      <c r="E275" s="12"/>
      <c r="F275" s="12"/>
      <c r="G275" s="13"/>
      <c r="H275" s="52" t="str">
        <f aca="false">IF($A275="","",$D275*$E275)</f>
        <v/>
      </c>
      <c r="I275" s="30" t="str">
        <f aca="false">IF($A275="","",$D275*$F275)</f>
        <v/>
      </c>
      <c r="J275" s="32" t="str">
        <f aca="false">IF($A275="","",$H275*$G275)</f>
        <v/>
      </c>
      <c r="L275" s="14" t="str">
        <f aca="false">IF($A275="","",$A275&amp;"#"&amp;COUNTIF($A$7:$A275,$A275))</f>
        <v/>
      </c>
    </row>
    <row r="276" customFormat="false" ht="15" hidden="false" customHeight="false" outlineLevel="0" collapsed="false">
      <c r="A276" s="11"/>
      <c r="B276" s="11"/>
      <c r="C276" s="11"/>
      <c r="D276" s="51"/>
      <c r="E276" s="12"/>
      <c r="F276" s="12"/>
      <c r="G276" s="13"/>
      <c r="H276" s="53" t="str">
        <f aca="false">IF($A276="","",$D276*$E276)</f>
        <v/>
      </c>
      <c r="I276" s="39" t="str">
        <f aca="false">IF($A276="","",$D276*$F276)</f>
        <v/>
      </c>
      <c r="J276" s="41" t="str">
        <f aca="false">IF($A276="","",$H276*$G276)</f>
        <v/>
      </c>
      <c r="L276" s="14" t="str">
        <f aca="false">IF($A276="","",$A276&amp;"#"&amp;COUNTIF($A$7:$A276,$A276))</f>
        <v/>
      </c>
    </row>
    <row r="277" customFormat="false" ht="15" hidden="false" customHeight="false" outlineLevel="0" collapsed="false">
      <c r="A277" s="11"/>
      <c r="B277" s="11"/>
      <c r="C277" s="11"/>
      <c r="D277" s="51"/>
      <c r="E277" s="12"/>
      <c r="F277" s="12"/>
      <c r="G277" s="13"/>
      <c r="H277" s="52" t="str">
        <f aca="false">IF($A277="","",$D277*$E277)</f>
        <v/>
      </c>
      <c r="I277" s="30" t="str">
        <f aca="false">IF($A277="","",$D277*$F277)</f>
        <v/>
      </c>
      <c r="J277" s="32" t="str">
        <f aca="false">IF($A277="","",$H277*$G277)</f>
        <v/>
      </c>
      <c r="L277" s="14" t="str">
        <f aca="false">IF($A277="","",$A277&amp;"#"&amp;COUNTIF($A$7:$A277,$A277))</f>
        <v/>
      </c>
    </row>
    <row r="278" customFormat="false" ht="15" hidden="false" customHeight="false" outlineLevel="0" collapsed="false">
      <c r="A278" s="11"/>
      <c r="B278" s="11"/>
      <c r="C278" s="11"/>
      <c r="D278" s="51"/>
      <c r="E278" s="12"/>
      <c r="F278" s="12"/>
      <c r="G278" s="13"/>
      <c r="H278" s="53" t="str">
        <f aca="false">IF($A278="","",$D278*$E278)</f>
        <v/>
      </c>
      <c r="I278" s="39" t="str">
        <f aca="false">IF($A278="","",$D278*$F278)</f>
        <v/>
      </c>
      <c r="J278" s="41" t="str">
        <f aca="false">IF($A278="","",$H278*$G278)</f>
        <v/>
      </c>
      <c r="L278" s="14" t="str">
        <f aca="false">IF($A278="","",$A278&amp;"#"&amp;COUNTIF($A$7:$A278,$A278))</f>
        <v/>
      </c>
    </row>
    <row r="279" customFormat="false" ht="15" hidden="false" customHeight="false" outlineLevel="0" collapsed="false">
      <c r="A279" s="11"/>
      <c r="B279" s="11"/>
      <c r="C279" s="11"/>
      <c r="D279" s="51"/>
      <c r="E279" s="12"/>
      <c r="F279" s="12"/>
      <c r="G279" s="13"/>
      <c r="H279" s="52" t="str">
        <f aca="false">IF($A279="","",$D279*$E279)</f>
        <v/>
      </c>
      <c r="I279" s="30" t="str">
        <f aca="false">IF($A279="","",$D279*$F279)</f>
        <v/>
      </c>
      <c r="J279" s="32" t="str">
        <f aca="false">IF($A279="","",$H279*$G279)</f>
        <v/>
      </c>
      <c r="L279" s="14" t="str">
        <f aca="false">IF($A279="","",$A279&amp;"#"&amp;COUNTIF($A$7:$A279,$A279))</f>
        <v/>
      </c>
    </row>
    <row r="280" customFormat="false" ht="15" hidden="false" customHeight="false" outlineLevel="0" collapsed="false">
      <c r="A280" s="11"/>
      <c r="B280" s="11"/>
      <c r="C280" s="11"/>
      <c r="D280" s="51"/>
      <c r="E280" s="12"/>
      <c r="F280" s="12"/>
      <c r="G280" s="13"/>
      <c r="H280" s="53" t="str">
        <f aca="false">IF($A280="","",$D280*$E280)</f>
        <v/>
      </c>
      <c r="I280" s="39" t="str">
        <f aca="false">IF($A280="","",$D280*$F280)</f>
        <v/>
      </c>
      <c r="J280" s="41" t="str">
        <f aca="false">IF($A280="","",$H280*$G280)</f>
        <v/>
      </c>
      <c r="L280" s="14" t="str">
        <f aca="false">IF($A280="","",$A280&amp;"#"&amp;COUNTIF($A$7:$A280,$A280))</f>
        <v/>
      </c>
    </row>
    <row r="281" customFormat="false" ht="15" hidden="false" customHeight="false" outlineLevel="0" collapsed="false">
      <c r="A281" s="11"/>
      <c r="B281" s="11"/>
      <c r="C281" s="11"/>
      <c r="D281" s="51"/>
      <c r="E281" s="12"/>
      <c r="F281" s="12"/>
      <c r="G281" s="13"/>
      <c r="H281" s="52" t="str">
        <f aca="false">IF($A281="","",$D281*$E281)</f>
        <v/>
      </c>
      <c r="I281" s="30" t="str">
        <f aca="false">IF($A281="","",$D281*$F281)</f>
        <v/>
      </c>
      <c r="J281" s="32" t="str">
        <f aca="false">IF($A281="","",$H281*$G281)</f>
        <v/>
      </c>
      <c r="L281" s="14" t="str">
        <f aca="false">IF($A281="","",$A281&amp;"#"&amp;COUNTIF($A$7:$A281,$A281))</f>
        <v/>
      </c>
    </row>
    <row r="282" customFormat="false" ht="15" hidden="false" customHeight="false" outlineLevel="0" collapsed="false">
      <c r="A282" s="11"/>
      <c r="B282" s="11"/>
      <c r="C282" s="11"/>
      <c r="D282" s="51"/>
      <c r="E282" s="12"/>
      <c r="F282" s="12"/>
      <c r="G282" s="13"/>
      <c r="H282" s="53" t="str">
        <f aca="false">IF($A282="","",$D282*$E282)</f>
        <v/>
      </c>
      <c r="I282" s="39" t="str">
        <f aca="false">IF($A282="","",$D282*$F282)</f>
        <v/>
      </c>
      <c r="J282" s="41" t="str">
        <f aca="false">IF($A282="","",$H282*$G282)</f>
        <v/>
      </c>
      <c r="L282" s="14" t="str">
        <f aca="false">IF($A282="","",$A282&amp;"#"&amp;COUNTIF($A$7:$A282,$A282))</f>
        <v/>
      </c>
    </row>
    <row r="283" customFormat="false" ht="15" hidden="false" customHeight="false" outlineLevel="0" collapsed="false">
      <c r="A283" s="11"/>
      <c r="B283" s="11"/>
      <c r="C283" s="11"/>
      <c r="D283" s="51"/>
      <c r="E283" s="12"/>
      <c r="F283" s="12"/>
      <c r="G283" s="13"/>
      <c r="H283" s="52" t="str">
        <f aca="false">IF($A283="","",$D283*$E283)</f>
        <v/>
      </c>
      <c r="I283" s="30" t="str">
        <f aca="false">IF($A283="","",$D283*$F283)</f>
        <v/>
      </c>
      <c r="J283" s="32" t="str">
        <f aca="false">IF($A283="","",$H283*$G283)</f>
        <v/>
      </c>
      <c r="L283" s="14" t="str">
        <f aca="false">IF($A283="","",$A283&amp;"#"&amp;COUNTIF($A$7:$A283,$A283))</f>
        <v/>
      </c>
    </row>
    <row r="284" customFormat="false" ht="15" hidden="false" customHeight="false" outlineLevel="0" collapsed="false">
      <c r="A284" s="11"/>
      <c r="B284" s="11"/>
      <c r="C284" s="11"/>
      <c r="D284" s="51"/>
      <c r="E284" s="12"/>
      <c r="F284" s="12"/>
      <c r="G284" s="13"/>
      <c r="H284" s="53" t="str">
        <f aca="false">IF($A284="","",$D284*$E284)</f>
        <v/>
      </c>
      <c r="I284" s="39" t="str">
        <f aca="false">IF($A284="","",$D284*$F284)</f>
        <v/>
      </c>
      <c r="J284" s="41" t="str">
        <f aca="false">IF($A284="","",$H284*$G284)</f>
        <v/>
      </c>
      <c r="L284" s="14" t="str">
        <f aca="false">IF($A284="","",$A284&amp;"#"&amp;COUNTIF($A$7:$A284,$A284))</f>
        <v/>
      </c>
    </row>
    <row r="285" customFormat="false" ht="15" hidden="false" customHeight="false" outlineLevel="0" collapsed="false">
      <c r="A285" s="11"/>
      <c r="B285" s="11"/>
      <c r="C285" s="11"/>
      <c r="D285" s="51"/>
      <c r="E285" s="12"/>
      <c r="F285" s="12"/>
      <c r="G285" s="13"/>
      <c r="H285" s="52" t="str">
        <f aca="false">IF($A285="","",$D285*$E285)</f>
        <v/>
      </c>
      <c r="I285" s="30" t="str">
        <f aca="false">IF($A285="","",$D285*$F285)</f>
        <v/>
      </c>
      <c r="J285" s="32" t="str">
        <f aca="false">IF($A285="","",$H285*$G285)</f>
        <v/>
      </c>
      <c r="L285" s="14" t="str">
        <f aca="false">IF($A285="","",$A285&amp;"#"&amp;COUNTIF($A$7:$A285,$A285))</f>
        <v/>
      </c>
    </row>
    <row r="286" customFormat="false" ht="15" hidden="false" customHeight="false" outlineLevel="0" collapsed="false">
      <c r="A286" s="11"/>
      <c r="B286" s="11"/>
      <c r="C286" s="11"/>
      <c r="D286" s="51"/>
      <c r="E286" s="12"/>
      <c r="F286" s="12"/>
      <c r="G286" s="13"/>
      <c r="H286" s="53" t="str">
        <f aca="false">IF($A286="","",$D286*$E286)</f>
        <v/>
      </c>
      <c r="I286" s="39" t="str">
        <f aca="false">IF($A286="","",$D286*$F286)</f>
        <v/>
      </c>
      <c r="J286" s="41" t="str">
        <f aca="false">IF($A286="","",$H286*$G286)</f>
        <v/>
      </c>
      <c r="L286" s="14" t="str">
        <f aca="false">IF($A286="","",$A286&amp;"#"&amp;COUNTIF($A$7:$A286,$A286))</f>
        <v/>
      </c>
    </row>
    <row r="287" customFormat="false" ht="15" hidden="false" customHeight="false" outlineLevel="0" collapsed="false">
      <c r="A287" s="11"/>
      <c r="B287" s="11"/>
      <c r="C287" s="11"/>
      <c r="D287" s="51"/>
      <c r="E287" s="12"/>
      <c r="F287" s="12"/>
      <c r="G287" s="13"/>
      <c r="H287" s="52" t="str">
        <f aca="false">IF($A287="","",$D287*$E287)</f>
        <v/>
      </c>
      <c r="I287" s="30" t="str">
        <f aca="false">IF($A287="","",$D287*$F287)</f>
        <v/>
      </c>
      <c r="J287" s="32" t="str">
        <f aca="false">IF($A287="","",$H287*$G287)</f>
        <v/>
      </c>
      <c r="L287" s="14" t="str">
        <f aca="false">IF($A287="","",$A287&amp;"#"&amp;COUNTIF($A$7:$A287,$A287))</f>
        <v/>
      </c>
    </row>
    <row r="288" customFormat="false" ht="15" hidden="false" customHeight="false" outlineLevel="0" collapsed="false">
      <c r="A288" s="11"/>
      <c r="B288" s="11"/>
      <c r="C288" s="11"/>
      <c r="D288" s="51"/>
      <c r="E288" s="12"/>
      <c r="F288" s="12"/>
      <c r="G288" s="13"/>
      <c r="H288" s="53" t="str">
        <f aca="false">IF($A288="","",$D288*$E288)</f>
        <v/>
      </c>
      <c r="I288" s="39" t="str">
        <f aca="false">IF($A288="","",$D288*$F288)</f>
        <v/>
      </c>
      <c r="J288" s="41" t="str">
        <f aca="false">IF($A288="","",$H288*$G288)</f>
        <v/>
      </c>
      <c r="L288" s="14" t="str">
        <f aca="false">IF($A288="","",$A288&amp;"#"&amp;COUNTIF($A$7:$A288,$A288))</f>
        <v/>
      </c>
    </row>
    <row r="289" customFormat="false" ht="15" hidden="false" customHeight="false" outlineLevel="0" collapsed="false">
      <c r="A289" s="11"/>
      <c r="B289" s="11"/>
      <c r="C289" s="11"/>
      <c r="D289" s="51"/>
      <c r="E289" s="12"/>
      <c r="F289" s="12"/>
      <c r="G289" s="13"/>
      <c r="H289" s="52" t="str">
        <f aca="false">IF($A289="","",$D289*$E289)</f>
        <v/>
      </c>
      <c r="I289" s="30" t="str">
        <f aca="false">IF($A289="","",$D289*$F289)</f>
        <v/>
      </c>
      <c r="J289" s="32" t="str">
        <f aca="false">IF($A289="","",$H289*$G289)</f>
        <v/>
      </c>
      <c r="L289" s="14" t="str">
        <f aca="false">IF($A289="","",$A289&amp;"#"&amp;COUNTIF($A$7:$A289,$A289))</f>
        <v/>
      </c>
    </row>
    <row r="290" customFormat="false" ht="15" hidden="false" customHeight="false" outlineLevel="0" collapsed="false">
      <c r="A290" s="11"/>
      <c r="B290" s="11"/>
      <c r="C290" s="11"/>
      <c r="D290" s="51"/>
      <c r="E290" s="12"/>
      <c r="F290" s="12"/>
      <c r="G290" s="13"/>
      <c r="H290" s="53" t="str">
        <f aca="false">IF($A290="","",$D290*$E290)</f>
        <v/>
      </c>
      <c r="I290" s="39" t="str">
        <f aca="false">IF($A290="","",$D290*$F290)</f>
        <v/>
      </c>
      <c r="J290" s="41" t="str">
        <f aca="false">IF($A290="","",$H290*$G290)</f>
        <v/>
      </c>
      <c r="L290" s="14" t="str">
        <f aca="false">IF($A290="","",$A290&amp;"#"&amp;COUNTIF($A$7:$A290,$A290))</f>
        <v/>
      </c>
    </row>
    <row r="291" customFormat="false" ht="15" hidden="false" customHeight="false" outlineLevel="0" collapsed="false">
      <c r="A291" s="11"/>
      <c r="B291" s="11"/>
      <c r="C291" s="11"/>
      <c r="D291" s="51"/>
      <c r="E291" s="12"/>
      <c r="F291" s="12"/>
      <c r="G291" s="13"/>
      <c r="H291" s="52" t="str">
        <f aca="false">IF($A291="","",$D291*$E291)</f>
        <v/>
      </c>
      <c r="I291" s="30" t="str">
        <f aca="false">IF($A291="","",$D291*$F291)</f>
        <v/>
      </c>
      <c r="J291" s="32" t="str">
        <f aca="false">IF($A291="","",$H291*$G291)</f>
        <v/>
      </c>
      <c r="L291" s="14" t="str">
        <f aca="false">IF($A291="","",$A291&amp;"#"&amp;COUNTIF($A$7:$A291,$A291))</f>
        <v/>
      </c>
    </row>
    <row r="292" customFormat="false" ht="15" hidden="false" customHeight="false" outlineLevel="0" collapsed="false">
      <c r="A292" s="11"/>
      <c r="B292" s="11"/>
      <c r="C292" s="11"/>
      <c r="D292" s="51"/>
      <c r="E292" s="12"/>
      <c r="F292" s="12"/>
      <c r="G292" s="13"/>
      <c r="H292" s="53" t="str">
        <f aca="false">IF($A292="","",$D292*$E292)</f>
        <v/>
      </c>
      <c r="I292" s="39" t="str">
        <f aca="false">IF($A292="","",$D292*$F292)</f>
        <v/>
      </c>
      <c r="J292" s="41" t="str">
        <f aca="false">IF($A292="","",$H292*$G292)</f>
        <v/>
      </c>
      <c r="L292" s="14" t="str">
        <f aca="false">IF($A292="","",$A292&amp;"#"&amp;COUNTIF($A$7:$A292,$A292))</f>
        <v/>
      </c>
    </row>
    <row r="293" customFormat="false" ht="15" hidden="false" customHeight="false" outlineLevel="0" collapsed="false">
      <c r="A293" s="11"/>
      <c r="B293" s="11"/>
      <c r="C293" s="11"/>
      <c r="D293" s="51"/>
      <c r="E293" s="12"/>
      <c r="F293" s="12"/>
      <c r="G293" s="13"/>
      <c r="H293" s="52" t="str">
        <f aca="false">IF($A293="","",$D293*$E293)</f>
        <v/>
      </c>
      <c r="I293" s="30" t="str">
        <f aca="false">IF($A293="","",$D293*$F293)</f>
        <v/>
      </c>
      <c r="J293" s="32" t="str">
        <f aca="false">IF($A293="","",$H293*$G293)</f>
        <v/>
      </c>
      <c r="L293" s="14" t="str">
        <f aca="false">IF($A293="","",$A293&amp;"#"&amp;COUNTIF($A$7:$A293,$A293))</f>
        <v/>
      </c>
    </row>
    <row r="294" customFormat="false" ht="15" hidden="false" customHeight="false" outlineLevel="0" collapsed="false">
      <c r="A294" s="11"/>
      <c r="B294" s="11"/>
      <c r="C294" s="11"/>
      <c r="D294" s="51"/>
      <c r="E294" s="12"/>
      <c r="F294" s="12"/>
      <c r="G294" s="13"/>
      <c r="H294" s="53" t="str">
        <f aca="false">IF($A294="","",$D294*$E294)</f>
        <v/>
      </c>
      <c r="I294" s="39" t="str">
        <f aca="false">IF($A294="","",$D294*$F294)</f>
        <v/>
      </c>
      <c r="J294" s="41" t="str">
        <f aca="false">IF($A294="","",$H294*$G294)</f>
        <v/>
      </c>
      <c r="L294" s="14" t="str">
        <f aca="false">IF($A294="","",$A294&amp;"#"&amp;COUNTIF($A$7:$A294,$A294))</f>
        <v/>
      </c>
    </row>
    <row r="295" customFormat="false" ht="15" hidden="false" customHeight="false" outlineLevel="0" collapsed="false">
      <c r="A295" s="11"/>
      <c r="B295" s="11"/>
      <c r="C295" s="11"/>
      <c r="D295" s="51"/>
      <c r="E295" s="12"/>
      <c r="F295" s="12"/>
      <c r="G295" s="13"/>
      <c r="H295" s="52" t="str">
        <f aca="false">IF($A295="","",$D295*$E295)</f>
        <v/>
      </c>
      <c r="I295" s="30" t="str">
        <f aca="false">IF($A295="","",$D295*$F295)</f>
        <v/>
      </c>
      <c r="J295" s="32" t="str">
        <f aca="false">IF($A295="","",$H295*$G295)</f>
        <v/>
      </c>
      <c r="L295" s="14" t="str">
        <f aca="false">IF($A295="","",$A295&amp;"#"&amp;COUNTIF($A$7:$A295,$A295))</f>
        <v/>
      </c>
    </row>
    <row r="296" customFormat="false" ht="15" hidden="false" customHeight="false" outlineLevel="0" collapsed="false">
      <c r="A296" s="11"/>
      <c r="B296" s="11"/>
      <c r="C296" s="11"/>
      <c r="D296" s="51"/>
      <c r="E296" s="12"/>
      <c r="F296" s="12"/>
      <c r="G296" s="13"/>
      <c r="H296" s="53" t="str">
        <f aca="false">IF($A296="","",$D296*$E296)</f>
        <v/>
      </c>
      <c r="I296" s="39" t="str">
        <f aca="false">IF($A296="","",$D296*$F296)</f>
        <v/>
      </c>
      <c r="J296" s="41" t="str">
        <f aca="false">IF($A296="","",$H296*$G296)</f>
        <v/>
      </c>
      <c r="L296" s="14" t="str">
        <f aca="false">IF($A296="","",$A296&amp;"#"&amp;COUNTIF($A$7:$A296,$A296))</f>
        <v/>
      </c>
    </row>
    <row r="297" customFormat="false" ht="15" hidden="false" customHeight="false" outlineLevel="0" collapsed="false">
      <c r="A297" s="11"/>
      <c r="B297" s="11"/>
      <c r="C297" s="11"/>
      <c r="D297" s="51"/>
      <c r="E297" s="12"/>
      <c r="F297" s="12"/>
      <c r="G297" s="13"/>
      <c r="H297" s="52" t="str">
        <f aca="false">IF($A297="","",$D297*$E297)</f>
        <v/>
      </c>
      <c r="I297" s="30" t="str">
        <f aca="false">IF($A297="","",$D297*$F297)</f>
        <v/>
      </c>
      <c r="J297" s="32" t="str">
        <f aca="false">IF($A297="","",$H297*$G297)</f>
        <v/>
      </c>
      <c r="L297" s="14" t="str">
        <f aca="false">IF($A297="","",$A297&amp;"#"&amp;COUNTIF($A$7:$A297,$A297))</f>
        <v/>
      </c>
    </row>
    <row r="298" customFormat="false" ht="15" hidden="false" customHeight="false" outlineLevel="0" collapsed="false">
      <c r="A298" s="11"/>
      <c r="B298" s="11"/>
      <c r="C298" s="11"/>
      <c r="D298" s="51"/>
      <c r="E298" s="12"/>
      <c r="F298" s="12"/>
      <c r="G298" s="13"/>
      <c r="H298" s="53" t="str">
        <f aca="false">IF($A298="","",$D298*$E298)</f>
        <v/>
      </c>
      <c r="I298" s="39" t="str">
        <f aca="false">IF($A298="","",$D298*$F298)</f>
        <v/>
      </c>
      <c r="J298" s="41" t="str">
        <f aca="false">IF($A298="","",$H298*$G298)</f>
        <v/>
      </c>
      <c r="L298" s="14" t="str">
        <f aca="false">IF($A298="","",$A298&amp;"#"&amp;COUNTIF($A$7:$A298,$A298))</f>
        <v/>
      </c>
    </row>
    <row r="299" customFormat="false" ht="15" hidden="false" customHeight="false" outlineLevel="0" collapsed="false">
      <c r="A299" s="11"/>
      <c r="B299" s="11"/>
      <c r="C299" s="11"/>
      <c r="D299" s="51"/>
      <c r="E299" s="12"/>
      <c r="F299" s="12"/>
      <c r="G299" s="13"/>
      <c r="H299" s="52" t="str">
        <f aca="false">IF($A299="","",$D299*$E299)</f>
        <v/>
      </c>
      <c r="I299" s="30" t="str">
        <f aca="false">IF($A299="","",$D299*$F299)</f>
        <v/>
      </c>
      <c r="J299" s="32" t="str">
        <f aca="false">IF($A299="","",$H299*$G299)</f>
        <v/>
      </c>
      <c r="L299" s="14" t="str">
        <f aca="false">IF($A299="","",$A299&amp;"#"&amp;COUNTIF($A$7:$A299,$A299))</f>
        <v/>
      </c>
    </row>
    <row r="300" customFormat="false" ht="15" hidden="false" customHeight="false" outlineLevel="0" collapsed="false">
      <c r="A300" s="11"/>
      <c r="B300" s="11"/>
      <c r="C300" s="11"/>
      <c r="D300" s="51"/>
      <c r="E300" s="12"/>
      <c r="F300" s="12"/>
      <c r="G300" s="13"/>
      <c r="H300" s="53" t="str">
        <f aca="false">IF($A300="","",$D300*$E300)</f>
        <v/>
      </c>
      <c r="I300" s="39" t="str">
        <f aca="false">IF($A300="","",$D300*$F300)</f>
        <v/>
      </c>
      <c r="J300" s="41" t="str">
        <f aca="false">IF($A300="","",$H300*$G300)</f>
        <v/>
      </c>
      <c r="L300" s="14" t="str">
        <f aca="false">IF($A300="","",$A300&amp;"#"&amp;COUNTIF($A$7:$A300,$A300))</f>
        <v/>
      </c>
    </row>
    <row r="301" customFormat="false" ht="15" hidden="false" customHeight="false" outlineLevel="0" collapsed="false">
      <c r="A301" s="11"/>
      <c r="B301" s="11"/>
      <c r="C301" s="11"/>
      <c r="D301" s="51"/>
      <c r="E301" s="12"/>
      <c r="F301" s="12"/>
      <c r="G301" s="13"/>
      <c r="H301" s="52" t="str">
        <f aca="false">IF($A301="","",$D301*$E301)</f>
        <v/>
      </c>
      <c r="I301" s="30" t="str">
        <f aca="false">IF($A301="","",$D301*$F301)</f>
        <v/>
      </c>
      <c r="J301" s="32" t="str">
        <f aca="false">IF($A301="","",$H301*$G301)</f>
        <v/>
      </c>
      <c r="L301" s="14" t="str">
        <f aca="false">IF($A301="","",$A301&amp;"#"&amp;COUNTIF($A$7:$A301,$A301))</f>
        <v/>
      </c>
    </row>
    <row r="302" customFormat="false" ht="15" hidden="false" customHeight="false" outlineLevel="0" collapsed="false">
      <c r="A302" s="11"/>
      <c r="B302" s="11"/>
      <c r="C302" s="11"/>
      <c r="D302" s="51"/>
      <c r="E302" s="12"/>
      <c r="F302" s="12"/>
      <c r="G302" s="13"/>
      <c r="H302" s="53" t="str">
        <f aca="false">IF($A302="","",$D302*$E302)</f>
        <v/>
      </c>
      <c r="I302" s="39" t="str">
        <f aca="false">IF($A302="","",$D302*$F302)</f>
        <v/>
      </c>
      <c r="J302" s="41" t="str">
        <f aca="false">IF($A302="","",$H302*$G302)</f>
        <v/>
      </c>
      <c r="L302" s="14" t="str">
        <f aca="false">IF($A302="","",$A302&amp;"#"&amp;COUNTIF($A$7:$A302,$A302))</f>
        <v/>
      </c>
    </row>
    <row r="303" customFormat="false" ht="15" hidden="false" customHeight="false" outlineLevel="0" collapsed="false">
      <c r="A303" s="11"/>
      <c r="B303" s="11"/>
      <c r="C303" s="11"/>
      <c r="D303" s="51"/>
      <c r="E303" s="12"/>
      <c r="F303" s="12"/>
      <c r="G303" s="13"/>
      <c r="H303" s="52" t="str">
        <f aca="false">IF($A303="","",$D303*$E303)</f>
        <v/>
      </c>
      <c r="I303" s="30" t="str">
        <f aca="false">IF($A303="","",$D303*$F303)</f>
        <v/>
      </c>
      <c r="J303" s="32" t="str">
        <f aca="false">IF($A303="","",$H303*$G303)</f>
        <v/>
      </c>
      <c r="L303" s="14" t="str">
        <f aca="false">IF($A303="","",$A303&amp;"#"&amp;COUNTIF($A$7:$A303,$A303))</f>
        <v/>
      </c>
    </row>
    <row r="304" customFormat="false" ht="15" hidden="false" customHeight="false" outlineLevel="0" collapsed="false">
      <c r="A304" s="11"/>
      <c r="B304" s="11"/>
      <c r="C304" s="11"/>
      <c r="D304" s="51"/>
      <c r="E304" s="12"/>
      <c r="F304" s="12"/>
      <c r="G304" s="13"/>
      <c r="H304" s="53" t="str">
        <f aca="false">IF($A304="","",$D304*$E304)</f>
        <v/>
      </c>
      <c r="I304" s="39" t="str">
        <f aca="false">IF($A304="","",$D304*$F304)</f>
        <v/>
      </c>
      <c r="J304" s="41" t="str">
        <f aca="false">IF($A304="","",$H304*$G304)</f>
        <v/>
      </c>
      <c r="L304" s="14" t="str">
        <f aca="false">IF($A304="","",$A304&amp;"#"&amp;COUNTIF($A$7:$A304,$A304))</f>
        <v/>
      </c>
    </row>
    <row r="305" customFormat="false" ht="15" hidden="false" customHeight="false" outlineLevel="0" collapsed="false">
      <c r="A305" s="11"/>
      <c r="B305" s="11"/>
      <c r="C305" s="11"/>
      <c r="D305" s="51"/>
      <c r="E305" s="12"/>
      <c r="F305" s="12"/>
      <c r="G305" s="13"/>
      <c r="H305" s="52" t="str">
        <f aca="false">IF($A305="","",$D305*$E305)</f>
        <v/>
      </c>
      <c r="I305" s="30" t="str">
        <f aca="false">IF($A305="","",$D305*$F305)</f>
        <v/>
      </c>
      <c r="J305" s="32" t="str">
        <f aca="false">IF($A305="","",$H305*$G305)</f>
        <v/>
      </c>
      <c r="L305" s="14" t="str">
        <f aca="false">IF($A305="","",$A305&amp;"#"&amp;COUNTIF($A$7:$A305,$A305))</f>
        <v/>
      </c>
    </row>
    <row r="306" customFormat="false" ht="15" hidden="false" customHeight="false" outlineLevel="0" collapsed="false">
      <c r="A306" s="11"/>
      <c r="B306" s="11"/>
      <c r="C306" s="11"/>
      <c r="D306" s="51"/>
      <c r="E306" s="12"/>
      <c r="F306" s="12"/>
      <c r="G306" s="13"/>
      <c r="H306" s="53" t="str">
        <f aca="false">IF($A306="","",$D306*$E306)</f>
        <v/>
      </c>
      <c r="I306" s="39" t="str">
        <f aca="false">IF($A306="","",$D306*$F306)</f>
        <v/>
      </c>
      <c r="J306" s="41" t="str">
        <f aca="false">IF($A306="","",$H306*$G306)</f>
        <v/>
      </c>
      <c r="L306" s="14" t="str">
        <f aca="false">IF($A306="","",$A306&amp;"#"&amp;COUNTIF($A$7:$A306,$A306))</f>
        <v/>
      </c>
    </row>
    <row r="307" customFormat="false" ht="15" hidden="false" customHeight="false" outlineLevel="0" collapsed="false">
      <c r="A307" s="11"/>
      <c r="B307" s="11"/>
      <c r="C307" s="11"/>
      <c r="D307" s="51"/>
      <c r="E307" s="12"/>
      <c r="F307" s="12"/>
      <c r="G307" s="13"/>
      <c r="H307" s="52" t="str">
        <f aca="false">IF($A307="","",$D307*$E307)</f>
        <v/>
      </c>
      <c r="I307" s="30" t="str">
        <f aca="false">IF($A307="","",$D307*$F307)</f>
        <v/>
      </c>
      <c r="J307" s="32" t="str">
        <f aca="false">IF($A307="","",$H307*$G307)</f>
        <v/>
      </c>
      <c r="L307" s="14" t="str">
        <f aca="false">IF($A307="","",$A307&amp;"#"&amp;COUNTIF($A$7:$A307,$A307))</f>
        <v/>
      </c>
    </row>
    <row r="308" customFormat="false" ht="15" hidden="false" customHeight="false" outlineLevel="0" collapsed="false">
      <c r="A308" s="11"/>
      <c r="B308" s="11"/>
      <c r="C308" s="11"/>
      <c r="D308" s="51"/>
      <c r="E308" s="12"/>
      <c r="F308" s="12"/>
      <c r="G308" s="13"/>
      <c r="H308" s="53" t="str">
        <f aca="false">IF($A308="","",$D308*$E308)</f>
        <v/>
      </c>
      <c r="I308" s="39" t="str">
        <f aca="false">IF($A308="","",$D308*$F308)</f>
        <v/>
      </c>
      <c r="J308" s="41" t="str">
        <f aca="false">IF($A308="","",$H308*$G308)</f>
        <v/>
      </c>
      <c r="L308" s="14" t="str">
        <f aca="false">IF($A308="","",$A308&amp;"#"&amp;COUNTIF($A$7:$A308,$A308))</f>
        <v/>
      </c>
    </row>
    <row r="309" customFormat="false" ht="15" hidden="false" customHeight="false" outlineLevel="0" collapsed="false">
      <c r="A309" s="11"/>
      <c r="B309" s="11"/>
      <c r="C309" s="11"/>
      <c r="D309" s="51"/>
      <c r="E309" s="12"/>
      <c r="F309" s="12"/>
      <c r="G309" s="13"/>
      <c r="H309" s="52" t="str">
        <f aca="false">IF($A309="","",$D309*$E309)</f>
        <v/>
      </c>
      <c r="I309" s="30" t="str">
        <f aca="false">IF($A309="","",$D309*$F309)</f>
        <v/>
      </c>
      <c r="J309" s="32" t="str">
        <f aca="false">IF($A309="","",$H309*$G309)</f>
        <v/>
      </c>
      <c r="L309" s="14" t="str">
        <f aca="false">IF($A309="","",$A309&amp;"#"&amp;COUNTIF($A$7:$A309,$A309))</f>
        <v/>
      </c>
    </row>
    <row r="310" customFormat="false" ht="15" hidden="false" customHeight="false" outlineLevel="0" collapsed="false">
      <c r="A310" s="11"/>
      <c r="B310" s="11"/>
      <c r="C310" s="11"/>
      <c r="D310" s="51"/>
      <c r="E310" s="12"/>
      <c r="F310" s="12"/>
      <c r="G310" s="13"/>
      <c r="H310" s="53" t="str">
        <f aca="false">IF($A310="","",$D310*$E310)</f>
        <v/>
      </c>
      <c r="I310" s="39" t="str">
        <f aca="false">IF($A310="","",$D310*$F310)</f>
        <v/>
      </c>
      <c r="J310" s="41" t="str">
        <f aca="false">IF($A310="","",$H310*$G310)</f>
        <v/>
      </c>
      <c r="L310" s="14" t="str">
        <f aca="false">IF($A310="","",$A310&amp;"#"&amp;COUNTIF($A$7:$A310,$A310))</f>
        <v/>
      </c>
    </row>
    <row r="311" customFormat="false" ht="15" hidden="false" customHeight="false" outlineLevel="0" collapsed="false">
      <c r="A311" s="11"/>
      <c r="B311" s="11"/>
      <c r="C311" s="11"/>
      <c r="D311" s="51"/>
      <c r="E311" s="12"/>
      <c r="F311" s="12"/>
      <c r="G311" s="13"/>
      <c r="H311" s="52" t="str">
        <f aca="false">IF($A311="","",$D311*$E311)</f>
        <v/>
      </c>
      <c r="I311" s="30" t="str">
        <f aca="false">IF($A311="","",$D311*$F311)</f>
        <v/>
      </c>
      <c r="J311" s="32" t="str">
        <f aca="false">IF($A311="","",$H311*$G311)</f>
        <v/>
      </c>
      <c r="L311" s="14" t="str">
        <f aca="false">IF($A311="","",$A311&amp;"#"&amp;COUNTIF($A$7:$A311,$A311))</f>
        <v/>
      </c>
    </row>
    <row r="312" customFormat="false" ht="15" hidden="false" customHeight="false" outlineLevel="0" collapsed="false">
      <c r="A312" s="11"/>
      <c r="B312" s="11"/>
      <c r="C312" s="11"/>
      <c r="D312" s="51"/>
      <c r="E312" s="12"/>
      <c r="F312" s="12"/>
      <c r="G312" s="13"/>
      <c r="H312" s="53" t="str">
        <f aca="false">IF($A312="","",$D312*$E312)</f>
        <v/>
      </c>
      <c r="I312" s="39" t="str">
        <f aca="false">IF($A312="","",$D312*$F312)</f>
        <v/>
      </c>
      <c r="J312" s="41" t="str">
        <f aca="false">IF($A312="","",$H312*$G312)</f>
        <v/>
      </c>
      <c r="L312" s="14" t="str">
        <f aca="false">IF($A312="","",$A312&amp;"#"&amp;COUNTIF($A$7:$A312,$A312))</f>
        <v/>
      </c>
    </row>
    <row r="313" customFormat="false" ht="15" hidden="false" customHeight="false" outlineLevel="0" collapsed="false">
      <c r="A313" s="11"/>
      <c r="B313" s="11"/>
      <c r="C313" s="11"/>
      <c r="D313" s="51"/>
      <c r="E313" s="12"/>
      <c r="F313" s="12"/>
      <c r="G313" s="13"/>
      <c r="H313" s="52" t="str">
        <f aca="false">IF($A313="","",$D313*$E313)</f>
        <v/>
      </c>
      <c r="I313" s="30" t="str">
        <f aca="false">IF($A313="","",$D313*$F313)</f>
        <v/>
      </c>
      <c r="J313" s="32" t="str">
        <f aca="false">IF($A313="","",$H313*$G313)</f>
        <v/>
      </c>
      <c r="L313" s="14" t="str">
        <f aca="false">IF($A313="","",$A313&amp;"#"&amp;COUNTIF($A$7:$A313,$A313))</f>
        <v/>
      </c>
    </row>
    <row r="314" customFormat="false" ht="15" hidden="false" customHeight="false" outlineLevel="0" collapsed="false">
      <c r="A314" s="11"/>
      <c r="B314" s="11"/>
      <c r="C314" s="11"/>
      <c r="D314" s="51"/>
      <c r="E314" s="12"/>
      <c r="F314" s="12"/>
      <c r="G314" s="13"/>
      <c r="H314" s="53" t="str">
        <f aca="false">IF($A314="","",$D314*$E314)</f>
        <v/>
      </c>
      <c r="I314" s="39" t="str">
        <f aca="false">IF($A314="","",$D314*$F314)</f>
        <v/>
      </c>
      <c r="J314" s="41" t="str">
        <f aca="false">IF($A314="","",$H314*$G314)</f>
        <v/>
      </c>
      <c r="L314" s="14" t="str">
        <f aca="false">IF($A314="","",$A314&amp;"#"&amp;COUNTIF($A$7:$A314,$A314))</f>
        <v/>
      </c>
    </row>
    <row r="315" customFormat="false" ht="15" hidden="false" customHeight="false" outlineLevel="0" collapsed="false">
      <c r="A315" s="11"/>
      <c r="B315" s="11"/>
      <c r="C315" s="11"/>
      <c r="D315" s="51"/>
      <c r="E315" s="12"/>
      <c r="F315" s="12"/>
      <c r="G315" s="13"/>
      <c r="H315" s="52" t="str">
        <f aca="false">IF($A315="","",$D315*$E315)</f>
        <v/>
      </c>
      <c r="I315" s="30" t="str">
        <f aca="false">IF($A315="","",$D315*$F315)</f>
        <v/>
      </c>
      <c r="J315" s="32" t="str">
        <f aca="false">IF($A315="","",$H315*$G315)</f>
        <v/>
      </c>
      <c r="L315" s="14" t="str">
        <f aca="false">IF($A315="","",$A315&amp;"#"&amp;COUNTIF($A$7:$A315,$A315))</f>
        <v/>
      </c>
    </row>
    <row r="316" customFormat="false" ht="15" hidden="false" customHeight="false" outlineLevel="0" collapsed="false">
      <c r="A316" s="11"/>
      <c r="B316" s="11"/>
      <c r="C316" s="11"/>
      <c r="D316" s="51"/>
      <c r="E316" s="12"/>
      <c r="F316" s="12"/>
      <c r="G316" s="13"/>
      <c r="H316" s="53" t="str">
        <f aca="false">IF($A316="","",$D316*$E316)</f>
        <v/>
      </c>
      <c r="I316" s="39" t="str">
        <f aca="false">IF($A316="","",$D316*$F316)</f>
        <v/>
      </c>
      <c r="J316" s="41" t="str">
        <f aca="false">IF($A316="","",$H316*$G316)</f>
        <v/>
      </c>
      <c r="L316" s="14" t="str">
        <f aca="false">IF($A316="","",$A316&amp;"#"&amp;COUNTIF($A$7:$A316,$A316))</f>
        <v/>
      </c>
    </row>
    <row r="317" customFormat="false" ht="15" hidden="false" customHeight="false" outlineLevel="0" collapsed="false">
      <c r="A317" s="11"/>
      <c r="B317" s="11"/>
      <c r="C317" s="11"/>
      <c r="D317" s="51"/>
      <c r="E317" s="12"/>
      <c r="F317" s="12"/>
      <c r="G317" s="13"/>
      <c r="H317" s="52" t="str">
        <f aca="false">IF($A317="","",$D317*$E317)</f>
        <v/>
      </c>
      <c r="I317" s="30" t="str">
        <f aca="false">IF($A317="","",$D317*$F317)</f>
        <v/>
      </c>
      <c r="J317" s="32" t="str">
        <f aca="false">IF($A317="","",$H317*$G317)</f>
        <v/>
      </c>
      <c r="L317" s="14" t="str">
        <f aca="false">IF($A317="","",$A317&amp;"#"&amp;COUNTIF($A$7:$A317,$A317))</f>
        <v/>
      </c>
    </row>
    <row r="318" customFormat="false" ht="15" hidden="false" customHeight="false" outlineLevel="0" collapsed="false">
      <c r="A318" s="11"/>
      <c r="B318" s="11"/>
      <c r="C318" s="11"/>
      <c r="D318" s="51"/>
      <c r="E318" s="12"/>
      <c r="F318" s="12"/>
      <c r="G318" s="13"/>
      <c r="H318" s="53" t="str">
        <f aca="false">IF($A318="","",$D318*$E318)</f>
        <v/>
      </c>
      <c r="I318" s="39" t="str">
        <f aca="false">IF($A318="","",$D318*$F318)</f>
        <v/>
      </c>
      <c r="J318" s="41" t="str">
        <f aca="false">IF($A318="","",$H318*$G318)</f>
        <v/>
      </c>
      <c r="L318" s="14" t="str">
        <f aca="false">IF($A318="","",$A318&amp;"#"&amp;COUNTIF($A$7:$A318,$A318))</f>
        <v/>
      </c>
    </row>
    <row r="319" customFormat="false" ht="15" hidden="false" customHeight="false" outlineLevel="0" collapsed="false">
      <c r="A319" s="11"/>
      <c r="B319" s="11"/>
      <c r="C319" s="11"/>
      <c r="D319" s="51"/>
      <c r="E319" s="12"/>
      <c r="F319" s="12"/>
      <c r="G319" s="13"/>
      <c r="H319" s="52" t="str">
        <f aca="false">IF($A319="","",$D319*$E319)</f>
        <v/>
      </c>
      <c r="I319" s="30" t="str">
        <f aca="false">IF($A319="","",$D319*$F319)</f>
        <v/>
      </c>
      <c r="J319" s="32" t="str">
        <f aca="false">IF($A319="","",$H319*$G319)</f>
        <v/>
      </c>
      <c r="L319" s="14" t="str">
        <f aca="false">IF($A319="","",$A319&amp;"#"&amp;COUNTIF($A$7:$A319,$A319))</f>
        <v/>
      </c>
    </row>
    <row r="320" customFormat="false" ht="15" hidden="false" customHeight="false" outlineLevel="0" collapsed="false">
      <c r="A320" s="11"/>
      <c r="B320" s="11"/>
      <c r="C320" s="11"/>
      <c r="D320" s="51"/>
      <c r="E320" s="12"/>
      <c r="F320" s="12"/>
      <c r="G320" s="13"/>
      <c r="H320" s="53" t="str">
        <f aca="false">IF($A320="","",$D320*$E320)</f>
        <v/>
      </c>
      <c r="I320" s="39" t="str">
        <f aca="false">IF($A320="","",$D320*$F320)</f>
        <v/>
      </c>
      <c r="J320" s="41" t="str">
        <f aca="false">IF($A320="","",$H320*$G320)</f>
        <v/>
      </c>
      <c r="L320" s="14" t="str">
        <f aca="false">IF($A320="","",$A320&amp;"#"&amp;COUNTIF($A$7:$A320,$A320))</f>
        <v/>
      </c>
    </row>
    <row r="321" customFormat="false" ht="15" hidden="false" customHeight="false" outlineLevel="0" collapsed="false">
      <c r="A321" s="11"/>
      <c r="B321" s="11"/>
      <c r="C321" s="11"/>
      <c r="D321" s="51"/>
      <c r="E321" s="12"/>
      <c r="F321" s="12"/>
      <c r="G321" s="13"/>
      <c r="H321" s="52" t="str">
        <f aca="false">IF($A321="","",$D321*$E321)</f>
        <v/>
      </c>
      <c r="I321" s="30" t="str">
        <f aca="false">IF($A321="","",$D321*$F321)</f>
        <v/>
      </c>
      <c r="J321" s="32" t="str">
        <f aca="false">IF($A321="","",$H321*$G321)</f>
        <v/>
      </c>
      <c r="L321" s="14" t="str">
        <f aca="false">IF($A321="","",$A321&amp;"#"&amp;COUNTIF($A$7:$A321,$A321))</f>
        <v/>
      </c>
    </row>
    <row r="322" customFormat="false" ht="15" hidden="false" customHeight="false" outlineLevel="0" collapsed="false">
      <c r="A322" s="11"/>
      <c r="B322" s="11"/>
      <c r="C322" s="11"/>
      <c r="D322" s="51"/>
      <c r="E322" s="12"/>
      <c r="F322" s="12"/>
      <c r="G322" s="13"/>
      <c r="H322" s="53" t="str">
        <f aca="false">IF($A322="","",$D322*$E322)</f>
        <v/>
      </c>
      <c r="I322" s="39" t="str">
        <f aca="false">IF($A322="","",$D322*$F322)</f>
        <v/>
      </c>
      <c r="J322" s="41" t="str">
        <f aca="false">IF($A322="","",$H322*$G322)</f>
        <v/>
      </c>
      <c r="L322" s="14" t="str">
        <f aca="false">IF($A322="","",$A322&amp;"#"&amp;COUNTIF($A$7:$A322,$A322))</f>
        <v/>
      </c>
    </row>
    <row r="323" customFormat="false" ht="15" hidden="false" customHeight="false" outlineLevel="0" collapsed="false">
      <c r="A323" s="11"/>
      <c r="B323" s="11"/>
      <c r="C323" s="11"/>
      <c r="D323" s="51"/>
      <c r="E323" s="12"/>
      <c r="F323" s="12"/>
      <c r="G323" s="13"/>
      <c r="H323" s="52" t="str">
        <f aca="false">IF($A323="","",$D323*$E323)</f>
        <v/>
      </c>
      <c r="I323" s="30" t="str">
        <f aca="false">IF($A323="","",$D323*$F323)</f>
        <v/>
      </c>
      <c r="J323" s="32" t="str">
        <f aca="false">IF($A323="","",$H323*$G323)</f>
        <v/>
      </c>
      <c r="L323" s="14" t="str">
        <f aca="false">IF($A323="","",$A323&amp;"#"&amp;COUNTIF($A$7:$A323,$A323))</f>
        <v/>
      </c>
    </row>
    <row r="324" customFormat="false" ht="15" hidden="false" customHeight="false" outlineLevel="0" collapsed="false">
      <c r="A324" s="11"/>
      <c r="B324" s="11"/>
      <c r="C324" s="11"/>
      <c r="D324" s="51"/>
      <c r="E324" s="12"/>
      <c r="F324" s="12"/>
      <c r="G324" s="13"/>
      <c r="H324" s="53" t="str">
        <f aca="false">IF($A324="","",$D324*$E324)</f>
        <v/>
      </c>
      <c r="I324" s="39" t="str">
        <f aca="false">IF($A324="","",$D324*$F324)</f>
        <v/>
      </c>
      <c r="J324" s="41" t="str">
        <f aca="false">IF($A324="","",$H324*$G324)</f>
        <v/>
      </c>
      <c r="L324" s="14" t="str">
        <f aca="false">IF($A324="","",$A324&amp;"#"&amp;COUNTIF($A$7:$A324,$A324))</f>
        <v/>
      </c>
    </row>
    <row r="325" customFormat="false" ht="15" hidden="false" customHeight="false" outlineLevel="0" collapsed="false">
      <c r="A325" s="11"/>
      <c r="B325" s="11"/>
      <c r="C325" s="11"/>
      <c r="D325" s="51"/>
      <c r="E325" s="12"/>
      <c r="F325" s="12"/>
      <c r="G325" s="13"/>
      <c r="H325" s="52" t="str">
        <f aca="false">IF($A325="","",$D325*$E325)</f>
        <v/>
      </c>
      <c r="I325" s="30" t="str">
        <f aca="false">IF($A325="","",$D325*$F325)</f>
        <v/>
      </c>
      <c r="J325" s="32" t="str">
        <f aca="false">IF($A325="","",$H325*$G325)</f>
        <v/>
      </c>
      <c r="L325" s="14" t="str">
        <f aca="false">IF($A325="","",$A325&amp;"#"&amp;COUNTIF($A$7:$A325,$A325))</f>
        <v/>
      </c>
    </row>
    <row r="326" customFormat="false" ht="15" hidden="false" customHeight="false" outlineLevel="0" collapsed="false">
      <c r="A326" s="11"/>
      <c r="B326" s="11"/>
      <c r="C326" s="11"/>
      <c r="D326" s="51"/>
      <c r="E326" s="12"/>
      <c r="F326" s="12"/>
      <c r="G326" s="13"/>
      <c r="H326" s="53" t="str">
        <f aca="false">IF($A326="","",$D326*$E326)</f>
        <v/>
      </c>
      <c r="I326" s="39" t="str">
        <f aca="false">IF($A326="","",$D326*$F326)</f>
        <v/>
      </c>
      <c r="J326" s="41" t="str">
        <f aca="false">IF($A326="","",$H326*$G326)</f>
        <v/>
      </c>
      <c r="L326" s="14" t="str">
        <f aca="false">IF($A326="","",$A326&amp;"#"&amp;COUNTIF($A$7:$A326,$A326))</f>
        <v/>
      </c>
    </row>
    <row r="327" customFormat="false" ht="15" hidden="false" customHeight="false" outlineLevel="0" collapsed="false">
      <c r="A327" s="11"/>
      <c r="B327" s="11"/>
      <c r="C327" s="11"/>
      <c r="D327" s="51"/>
      <c r="E327" s="12"/>
      <c r="F327" s="12"/>
      <c r="G327" s="13"/>
      <c r="H327" s="52" t="str">
        <f aca="false">IF($A327="","",$D327*$E327)</f>
        <v/>
      </c>
      <c r="I327" s="30" t="str">
        <f aca="false">IF($A327="","",$D327*$F327)</f>
        <v/>
      </c>
      <c r="J327" s="32" t="str">
        <f aca="false">IF($A327="","",$H327*$G327)</f>
        <v/>
      </c>
      <c r="L327" s="14" t="str">
        <f aca="false">IF($A327="","",$A327&amp;"#"&amp;COUNTIF($A$7:$A327,$A327))</f>
        <v/>
      </c>
    </row>
    <row r="328" customFormat="false" ht="15" hidden="false" customHeight="false" outlineLevel="0" collapsed="false">
      <c r="A328" s="11"/>
      <c r="B328" s="11"/>
      <c r="C328" s="11"/>
      <c r="D328" s="51"/>
      <c r="E328" s="12"/>
      <c r="F328" s="12"/>
      <c r="G328" s="13"/>
      <c r="H328" s="53" t="str">
        <f aca="false">IF($A328="","",$D328*$E328)</f>
        <v/>
      </c>
      <c r="I328" s="39" t="str">
        <f aca="false">IF($A328="","",$D328*$F328)</f>
        <v/>
      </c>
      <c r="J328" s="41" t="str">
        <f aca="false">IF($A328="","",$H328*$G328)</f>
        <v/>
      </c>
      <c r="L328" s="14" t="str">
        <f aca="false">IF($A328="","",$A328&amp;"#"&amp;COUNTIF($A$7:$A328,$A328))</f>
        <v/>
      </c>
    </row>
    <row r="329" customFormat="false" ht="15" hidden="false" customHeight="false" outlineLevel="0" collapsed="false">
      <c r="A329" s="11"/>
      <c r="B329" s="11"/>
      <c r="C329" s="11"/>
      <c r="D329" s="51"/>
      <c r="E329" s="12"/>
      <c r="F329" s="12"/>
      <c r="G329" s="13"/>
      <c r="H329" s="52" t="str">
        <f aca="false">IF($A329="","",$D329*$E329)</f>
        <v/>
      </c>
      <c r="I329" s="30" t="str">
        <f aca="false">IF($A329="","",$D329*$F329)</f>
        <v/>
      </c>
      <c r="J329" s="32" t="str">
        <f aca="false">IF($A329="","",$H329*$G329)</f>
        <v/>
      </c>
      <c r="L329" s="14" t="str">
        <f aca="false">IF($A329="","",$A329&amp;"#"&amp;COUNTIF($A$7:$A329,$A329))</f>
        <v/>
      </c>
    </row>
    <row r="330" customFormat="false" ht="15" hidden="false" customHeight="false" outlineLevel="0" collapsed="false">
      <c r="A330" s="11"/>
      <c r="B330" s="11"/>
      <c r="C330" s="11"/>
      <c r="D330" s="51"/>
      <c r="E330" s="12"/>
      <c r="F330" s="12"/>
      <c r="G330" s="13"/>
      <c r="H330" s="53" t="str">
        <f aca="false">IF($A330="","",$D330*$E330)</f>
        <v/>
      </c>
      <c r="I330" s="39" t="str">
        <f aca="false">IF($A330="","",$D330*$F330)</f>
        <v/>
      </c>
      <c r="J330" s="41" t="str">
        <f aca="false">IF($A330="","",$H330*$G330)</f>
        <v/>
      </c>
      <c r="L330" s="14" t="str">
        <f aca="false">IF($A330="","",$A330&amp;"#"&amp;COUNTIF($A$7:$A330,$A330))</f>
        <v/>
      </c>
    </row>
    <row r="331" customFormat="false" ht="15" hidden="false" customHeight="false" outlineLevel="0" collapsed="false">
      <c r="A331" s="11"/>
      <c r="B331" s="11"/>
      <c r="C331" s="11"/>
      <c r="D331" s="51"/>
      <c r="E331" s="12"/>
      <c r="F331" s="12"/>
      <c r="G331" s="13"/>
      <c r="H331" s="52" t="str">
        <f aca="false">IF($A331="","",$D331*$E331)</f>
        <v/>
      </c>
      <c r="I331" s="30" t="str">
        <f aca="false">IF($A331="","",$D331*$F331)</f>
        <v/>
      </c>
      <c r="J331" s="32" t="str">
        <f aca="false">IF($A331="","",$H331*$G331)</f>
        <v/>
      </c>
      <c r="L331" s="14" t="str">
        <f aca="false">IF($A331="","",$A331&amp;"#"&amp;COUNTIF($A$7:$A331,$A331))</f>
        <v/>
      </c>
    </row>
    <row r="332" customFormat="false" ht="15" hidden="false" customHeight="false" outlineLevel="0" collapsed="false">
      <c r="A332" s="11"/>
      <c r="B332" s="11"/>
      <c r="C332" s="11"/>
      <c r="D332" s="51"/>
      <c r="E332" s="12"/>
      <c r="F332" s="12"/>
      <c r="G332" s="13"/>
      <c r="H332" s="53" t="str">
        <f aca="false">IF($A332="","",$D332*$E332)</f>
        <v/>
      </c>
      <c r="I332" s="39" t="str">
        <f aca="false">IF($A332="","",$D332*$F332)</f>
        <v/>
      </c>
      <c r="J332" s="41" t="str">
        <f aca="false">IF($A332="","",$H332*$G332)</f>
        <v/>
      </c>
      <c r="L332" s="14" t="str">
        <f aca="false">IF($A332="","",$A332&amp;"#"&amp;COUNTIF($A$7:$A332,$A332))</f>
        <v/>
      </c>
    </row>
    <row r="333" customFormat="false" ht="15" hidden="false" customHeight="false" outlineLevel="0" collapsed="false">
      <c r="A333" s="11"/>
      <c r="B333" s="11"/>
      <c r="C333" s="11"/>
      <c r="D333" s="51"/>
      <c r="E333" s="12"/>
      <c r="F333" s="12"/>
      <c r="G333" s="13"/>
      <c r="H333" s="52" t="str">
        <f aca="false">IF($A333="","",$D333*$E333)</f>
        <v/>
      </c>
      <c r="I333" s="30" t="str">
        <f aca="false">IF($A333="","",$D333*$F333)</f>
        <v/>
      </c>
      <c r="J333" s="32" t="str">
        <f aca="false">IF($A333="","",$H333*$G333)</f>
        <v/>
      </c>
      <c r="L333" s="14" t="str">
        <f aca="false">IF($A333="","",$A333&amp;"#"&amp;COUNTIF($A$7:$A333,$A333))</f>
        <v/>
      </c>
    </row>
    <row r="334" customFormat="false" ht="15" hidden="false" customHeight="false" outlineLevel="0" collapsed="false">
      <c r="A334" s="11"/>
      <c r="B334" s="11"/>
      <c r="C334" s="11"/>
      <c r="D334" s="51"/>
      <c r="E334" s="12"/>
      <c r="F334" s="12"/>
      <c r="G334" s="13"/>
      <c r="H334" s="53" t="str">
        <f aca="false">IF($A334="","",$D334*$E334)</f>
        <v/>
      </c>
      <c r="I334" s="39" t="str">
        <f aca="false">IF($A334="","",$D334*$F334)</f>
        <v/>
      </c>
      <c r="J334" s="41" t="str">
        <f aca="false">IF($A334="","",$H334*$G334)</f>
        <v/>
      </c>
      <c r="L334" s="14" t="str">
        <f aca="false">IF($A334="","",$A334&amp;"#"&amp;COUNTIF($A$7:$A334,$A334))</f>
        <v/>
      </c>
    </row>
    <row r="335" customFormat="false" ht="15" hidden="false" customHeight="false" outlineLevel="0" collapsed="false">
      <c r="A335" s="11"/>
      <c r="B335" s="11"/>
      <c r="C335" s="11"/>
      <c r="D335" s="51"/>
      <c r="E335" s="12"/>
      <c r="F335" s="12"/>
      <c r="G335" s="13"/>
      <c r="H335" s="52" t="str">
        <f aca="false">IF($A335="","",$D335*$E335)</f>
        <v/>
      </c>
      <c r="I335" s="30" t="str">
        <f aca="false">IF($A335="","",$D335*$F335)</f>
        <v/>
      </c>
      <c r="J335" s="32" t="str">
        <f aca="false">IF($A335="","",$H335*$G335)</f>
        <v/>
      </c>
      <c r="L335" s="14" t="str">
        <f aca="false">IF($A335="","",$A335&amp;"#"&amp;COUNTIF($A$7:$A335,$A335))</f>
        <v/>
      </c>
    </row>
    <row r="336" customFormat="false" ht="15" hidden="false" customHeight="false" outlineLevel="0" collapsed="false">
      <c r="A336" s="11"/>
      <c r="B336" s="11"/>
      <c r="C336" s="11"/>
      <c r="D336" s="51"/>
      <c r="E336" s="12"/>
      <c r="F336" s="12"/>
      <c r="G336" s="13"/>
      <c r="H336" s="53" t="str">
        <f aca="false">IF($A336="","",$D336*$E336)</f>
        <v/>
      </c>
      <c r="I336" s="39" t="str">
        <f aca="false">IF($A336="","",$D336*$F336)</f>
        <v/>
      </c>
      <c r="J336" s="41" t="str">
        <f aca="false">IF($A336="","",$H336*$G336)</f>
        <v/>
      </c>
      <c r="L336" s="14" t="str">
        <f aca="false">IF($A336="","",$A336&amp;"#"&amp;COUNTIF($A$7:$A336,$A336))</f>
        <v/>
      </c>
    </row>
    <row r="337" customFormat="false" ht="15" hidden="false" customHeight="false" outlineLevel="0" collapsed="false">
      <c r="A337" s="11"/>
      <c r="B337" s="11"/>
      <c r="C337" s="11"/>
      <c r="D337" s="51"/>
      <c r="E337" s="12"/>
      <c r="F337" s="12"/>
      <c r="G337" s="13"/>
      <c r="H337" s="52" t="str">
        <f aca="false">IF($A337="","",$D337*$E337)</f>
        <v/>
      </c>
      <c r="I337" s="30" t="str">
        <f aca="false">IF($A337="","",$D337*$F337)</f>
        <v/>
      </c>
      <c r="J337" s="32" t="str">
        <f aca="false">IF($A337="","",$H337*$G337)</f>
        <v/>
      </c>
      <c r="L337" s="14" t="str">
        <f aca="false">IF($A337="","",$A337&amp;"#"&amp;COUNTIF($A$7:$A337,$A337))</f>
        <v/>
      </c>
    </row>
    <row r="338" customFormat="false" ht="15" hidden="false" customHeight="false" outlineLevel="0" collapsed="false">
      <c r="A338" s="11"/>
      <c r="B338" s="11"/>
      <c r="C338" s="11"/>
      <c r="D338" s="51"/>
      <c r="E338" s="12"/>
      <c r="F338" s="12"/>
      <c r="G338" s="13"/>
      <c r="H338" s="53" t="str">
        <f aca="false">IF($A338="","",$D338*$E338)</f>
        <v/>
      </c>
      <c r="I338" s="39" t="str">
        <f aca="false">IF($A338="","",$D338*$F338)</f>
        <v/>
      </c>
      <c r="J338" s="41" t="str">
        <f aca="false">IF($A338="","",$H338*$G338)</f>
        <v/>
      </c>
      <c r="L338" s="14" t="str">
        <f aca="false">IF($A338="","",$A338&amp;"#"&amp;COUNTIF($A$7:$A338,$A338))</f>
        <v/>
      </c>
    </row>
    <row r="339" customFormat="false" ht="15" hidden="false" customHeight="false" outlineLevel="0" collapsed="false">
      <c r="A339" s="11"/>
      <c r="B339" s="11"/>
      <c r="C339" s="11"/>
      <c r="D339" s="51"/>
      <c r="E339" s="12"/>
      <c r="F339" s="12"/>
      <c r="G339" s="13"/>
      <c r="H339" s="52" t="str">
        <f aca="false">IF($A339="","",$D339*$E339)</f>
        <v/>
      </c>
      <c r="I339" s="30" t="str">
        <f aca="false">IF($A339="","",$D339*$F339)</f>
        <v/>
      </c>
      <c r="J339" s="32" t="str">
        <f aca="false">IF($A339="","",$H339*$G339)</f>
        <v/>
      </c>
      <c r="L339" s="14" t="str">
        <f aca="false">IF($A339="","",$A339&amp;"#"&amp;COUNTIF($A$7:$A339,$A339))</f>
        <v/>
      </c>
    </row>
    <row r="340" customFormat="false" ht="15" hidden="false" customHeight="false" outlineLevel="0" collapsed="false">
      <c r="A340" s="11"/>
      <c r="B340" s="11"/>
      <c r="C340" s="11"/>
      <c r="D340" s="51"/>
      <c r="E340" s="12"/>
      <c r="F340" s="12"/>
      <c r="G340" s="13"/>
      <c r="H340" s="53" t="str">
        <f aca="false">IF($A340="","",$D340*$E340)</f>
        <v/>
      </c>
      <c r="I340" s="39" t="str">
        <f aca="false">IF($A340="","",$D340*$F340)</f>
        <v/>
      </c>
      <c r="J340" s="41" t="str">
        <f aca="false">IF($A340="","",$H340*$G340)</f>
        <v/>
      </c>
      <c r="L340" s="14" t="str">
        <f aca="false">IF($A340="","",$A340&amp;"#"&amp;COUNTIF($A$7:$A340,$A340))</f>
        <v/>
      </c>
    </row>
    <row r="341" customFormat="false" ht="15" hidden="false" customHeight="false" outlineLevel="0" collapsed="false">
      <c r="A341" s="11"/>
      <c r="B341" s="11"/>
      <c r="C341" s="11"/>
      <c r="D341" s="51"/>
      <c r="E341" s="12"/>
      <c r="F341" s="12"/>
      <c r="G341" s="13"/>
      <c r="H341" s="52" t="str">
        <f aca="false">IF($A341="","",$D341*$E341)</f>
        <v/>
      </c>
      <c r="I341" s="30" t="str">
        <f aca="false">IF($A341="","",$D341*$F341)</f>
        <v/>
      </c>
      <c r="J341" s="32" t="str">
        <f aca="false">IF($A341="","",$H341*$G341)</f>
        <v/>
      </c>
      <c r="L341" s="14" t="str">
        <f aca="false">IF($A341="","",$A341&amp;"#"&amp;COUNTIF($A$7:$A341,$A341))</f>
        <v/>
      </c>
    </row>
    <row r="342" customFormat="false" ht="15" hidden="false" customHeight="false" outlineLevel="0" collapsed="false">
      <c r="A342" s="11"/>
      <c r="B342" s="11"/>
      <c r="C342" s="11"/>
      <c r="D342" s="51"/>
      <c r="E342" s="12"/>
      <c r="F342" s="12"/>
      <c r="G342" s="13"/>
      <c r="H342" s="53" t="str">
        <f aca="false">IF($A342="","",$D342*$E342)</f>
        <v/>
      </c>
      <c r="I342" s="39" t="str">
        <f aca="false">IF($A342="","",$D342*$F342)</f>
        <v/>
      </c>
      <c r="J342" s="41" t="str">
        <f aca="false">IF($A342="","",$H342*$G342)</f>
        <v/>
      </c>
      <c r="L342" s="14" t="str">
        <f aca="false">IF($A342="","",$A342&amp;"#"&amp;COUNTIF($A$7:$A342,$A342))</f>
        <v/>
      </c>
    </row>
    <row r="343" customFormat="false" ht="15" hidden="false" customHeight="false" outlineLevel="0" collapsed="false">
      <c r="A343" s="11"/>
      <c r="B343" s="11"/>
      <c r="C343" s="11"/>
      <c r="D343" s="51"/>
      <c r="E343" s="12"/>
      <c r="F343" s="12"/>
      <c r="G343" s="13"/>
      <c r="H343" s="52" t="str">
        <f aca="false">IF($A343="","",$D343*$E343)</f>
        <v/>
      </c>
      <c r="I343" s="30" t="str">
        <f aca="false">IF($A343="","",$D343*$F343)</f>
        <v/>
      </c>
      <c r="J343" s="32" t="str">
        <f aca="false">IF($A343="","",$H343*$G343)</f>
        <v/>
      </c>
      <c r="L343" s="14" t="str">
        <f aca="false">IF($A343="","",$A343&amp;"#"&amp;COUNTIF($A$7:$A343,$A343))</f>
        <v/>
      </c>
    </row>
    <row r="344" customFormat="false" ht="15" hidden="false" customHeight="false" outlineLevel="0" collapsed="false">
      <c r="A344" s="11"/>
      <c r="B344" s="11"/>
      <c r="C344" s="11"/>
      <c r="D344" s="51"/>
      <c r="E344" s="12"/>
      <c r="F344" s="12"/>
      <c r="G344" s="13"/>
      <c r="H344" s="53" t="str">
        <f aca="false">IF($A344="","",$D344*$E344)</f>
        <v/>
      </c>
      <c r="I344" s="39" t="str">
        <f aca="false">IF($A344="","",$D344*$F344)</f>
        <v/>
      </c>
      <c r="J344" s="41" t="str">
        <f aca="false">IF($A344="","",$H344*$G344)</f>
        <v/>
      </c>
      <c r="L344" s="14" t="str">
        <f aca="false">IF($A344="","",$A344&amp;"#"&amp;COUNTIF($A$7:$A344,$A344))</f>
        <v/>
      </c>
    </row>
    <row r="345" customFormat="false" ht="15" hidden="false" customHeight="false" outlineLevel="0" collapsed="false">
      <c r="A345" s="11"/>
      <c r="B345" s="11"/>
      <c r="C345" s="11"/>
      <c r="D345" s="51"/>
      <c r="E345" s="12"/>
      <c r="F345" s="12"/>
      <c r="G345" s="13"/>
      <c r="H345" s="52" t="str">
        <f aca="false">IF($A345="","",$D345*$E345)</f>
        <v/>
      </c>
      <c r="I345" s="30" t="str">
        <f aca="false">IF($A345="","",$D345*$F345)</f>
        <v/>
      </c>
      <c r="J345" s="32" t="str">
        <f aca="false">IF($A345="","",$H345*$G345)</f>
        <v/>
      </c>
      <c r="L345" s="14" t="str">
        <f aca="false">IF($A345="","",$A345&amp;"#"&amp;COUNTIF($A$7:$A345,$A345))</f>
        <v/>
      </c>
    </row>
    <row r="346" customFormat="false" ht="15" hidden="false" customHeight="false" outlineLevel="0" collapsed="false">
      <c r="A346" s="11"/>
      <c r="B346" s="11"/>
      <c r="C346" s="11"/>
      <c r="D346" s="51"/>
      <c r="E346" s="12"/>
      <c r="F346" s="12"/>
      <c r="G346" s="13"/>
      <c r="H346" s="53" t="str">
        <f aca="false">IF($A346="","",$D346*$E346)</f>
        <v/>
      </c>
      <c r="I346" s="39" t="str">
        <f aca="false">IF($A346="","",$D346*$F346)</f>
        <v/>
      </c>
      <c r="J346" s="41" t="str">
        <f aca="false">IF($A346="","",$H346*$G346)</f>
        <v/>
      </c>
      <c r="L346" s="14" t="str">
        <f aca="false">IF($A346="","",$A346&amp;"#"&amp;COUNTIF($A$7:$A346,$A346))</f>
        <v/>
      </c>
    </row>
    <row r="347" customFormat="false" ht="15" hidden="false" customHeight="false" outlineLevel="0" collapsed="false">
      <c r="A347" s="11"/>
      <c r="B347" s="11"/>
      <c r="C347" s="11"/>
      <c r="D347" s="51"/>
      <c r="E347" s="12"/>
      <c r="F347" s="12"/>
      <c r="G347" s="13"/>
      <c r="H347" s="52" t="str">
        <f aca="false">IF($A347="","",$D347*$E347)</f>
        <v/>
      </c>
      <c r="I347" s="30" t="str">
        <f aca="false">IF($A347="","",$D347*$F347)</f>
        <v/>
      </c>
      <c r="J347" s="32" t="str">
        <f aca="false">IF($A347="","",$H347*$G347)</f>
        <v/>
      </c>
      <c r="L347" s="14" t="str">
        <f aca="false">IF($A347="","",$A347&amp;"#"&amp;COUNTIF($A$7:$A347,$A347))</f>
        <v/>
      </c>
    </row>
    <row r="348" customFormat="false" ht="15" hidden="false" customHeight="false" outlineLevel="0" collapsed="false">
      <c r="A348" s="11"/>
      <c r="B348" s="11"/>
      <c r="C348" s="11"/>
      <c r="D348" s="51"/>
      <c r="E348" s="12"/>
      <c r="F348" s="12"/>
      <c r="G348" s="13"/>
      <c r="H348" s="53" t="str">
        <f aca="false">IF($A348="","",$D348*$E348)</f>
        <v/>
      </c>
      <c r="I348" s="39" t="str">
        <f aca="false">IF($A348="","",$D348*$F348)</f>
        <v/>
      </c>
      <c r="J348" s="41" t="str">
        <f aca="false">IF($A348="","",$H348*$G348)</f>
        <v/>
      </c>
      <c r="L348" s="14" t="str">
        <f aca="false">IF($A348="","",$A348&amp;"#"&amp;COUNTIF($A$7:$A348,$A348))</f>
        <v/>
      </c>
    </row>
    <row r="349" customFormat="false" ht="15" hidden="false" customHeight="false" outlineLevel="0" collapsed="false">
      <c r="A349" s="11"/>
      <c r="B349" s="11"/>
      <c r="C349" s="11"/>
      <c r="D349" s="51"/>
      <c r="E349" s="12"/>
      <c r="F349" s="12"/>
      <c r="G349" s="13"/>
      <c r="H349" s="52" t="str">
        <f aca="false">IF($A349="","",$D349*$E349)</f>
        <v/>
      </c>
      <c r="I349" s="30" t="str">
        <f aca="false">IF($A349="","",$D349*$F349)</f>
        <v/>
      </c>
      <c r="J349" s="32" t="str">
        <f aca="false">IF($A349="","",$H349*$G349)</f>
        <v/>
      </c>
      <c r="L349" s="14" t="str">
        <f aca="false">IF($A349="","",$A349&amp;"#"&amp;COUNTIF($A$7:$A349,$A349))</f>
        <v/>
      </c>
    </row>
    <row r="350" customFormat="false" ht="15" hidden="false" customHeight="false" outlineLevel="0" collapsed="false">
      <c r="A350" s="11"/>
      <c r="B350" s="11"/>
      <c r="C350" s="11"/>
      <c r="D350" s="51"/>
      <c r="E350" s="12"/>
      <c r="F350" s="12"/>
      <c r="G350" s="13"/>
      <c r="H350" s="53" t="str">
        <f aca="false">IF($A350="","",$D350*$E350)</f>
        <v/>
      </c>
      <c r="I350" s="39" t="str">
        <f aca="false">IF($A350="","",$D350*$F350)</f>
        <v/>
      </c>
      <c r="J350" s="41" t="str">
        <f aca="false">IF($A350="","",$H350*$G350)</f>
        <v/>
      </c>
      <c r="L350" s="14" t="str">
        <f aca="false">IF($A350="","",$A350&amp;"#"&amp;COUNTIF($A$7:$A350,$A350))</f>
        <v/>
      </c>
    </row>
    <row r="351" customFormat="false" ht="15" hidden="false" customHeight="false" outlineLevel="0" collapsed="false">
      <c r="A351" s="11"/>
      <c r="B351" s="11"/>
      <c r="C351" s="11"/>
      <c r="D351" s="51"/>
      <c r="E351" s="12"/>
      <c r="F351" s="12"/>
      <c r="G351" s="13"/>
      <c r="H351" s="52" t="str">
        <f aca="false">IF($A351="","",$D351*$E351)</f>
        <v/>
      </c>
      <c r="I351" s="30" t="str">
        <f aca="false">IF($A351="","",$D351*$F351)</f>
        <v/>
      </c>
      <c r="J351" s="32" t="str">
        <f aca="false">IF($A351="","",$H351*$G351)</f>
        <v/>
      </c>
      <c r="L351" s="14" t="str">
        <f aca="false">IF($A351="","",$A351&amp;"#"&amp;COUNTIF($A$7:$A351,$A351))</f>
        <v/>
      </c>
    </row>
    <row r="352" customFormat="false" ht="15" hidden="false" customHeight="false" outlineLevel="0" collapsed="false">
      <c r="A352" s="11"/>
      <c r="B352" s="11"/>
      <c r="C352" s="11"/>
      <c r="D352" s="51"/>
      <c r="E352" s="12"/>
      <c r="F352" s="12"/>
      <c r="G352" s="13"/>
      <c r="H352" s="53" t="str">
        <f aca="false">IF($A352="","",$D352*$E352)</f>
        <v/>
      </c>
      <c r="I352" s="39" t="str">
        <f aca="false">IF($A352="","",$D352*$F352)</f>
        <v/>
      </c>
      <c r="J352" s="41" t="str">
        <f aca="false">IF($A352="","",$H352*$G352)</f>
        <v/>
      </c>
      <c r="L352" s="14" t="str">
        <f aca="false">IF($A352="","",$A352&amp;"#"&amp;COUNTIF($A$7:$A352,$A352))</f>
        <v/>
      </c>
    </row>
    <row r="353" customFormat="false" ht="15" hidden="false" customHeight="false" outlineLevel="0" collapsed="false">
      <c r="A353" s="11"/>
      <c r="B353" s="11"/>
      <c r="C353" s="11"/>
      <c r="D353" s="51"/>
      <c r="E353" s="12"/>
      <c r="F353" s="12"/>
      <c r="G353" s="13"/>
      <c r="H353" s="52" t="str">
        <f aca="false">IF($A353="","",$D353*$E353)</f>
        <v/>
      </c>
      <c r="I353" s="30" t="str">
        <f aca="false">IF($A353="","",$D353*$F353)</f>
        <v/>
      </c>
      <c r="J353" s="32" t="str">
        <f aca="false">IF($A353="","",$H353*$G353)</f>
        <v/>
      </c>
      <c r="L353" s="14" t="str">
        <f aca="false">IF($A353="","",$A353&amp;"#"&amp;COUNTIF($A$7:$A353,$A353))</f>
        <v/>
      </c>
    </row>
    <row r="354" customFormat="false" ht="15" hidden="false" customHeight="false" outlineLevel="0" collapsed="false">
      <c r="A354" s="11"/>
      <c r="B354" s="11"/>
      <c r="C354" s="11"/>
      <c r="D354" s="51"/>
      <c r="E354" s="12"/>
      <c r="F354" s="12"/>
      <c r="G354" s="13"/>
      <c r="H354" s="53" t="str">
        <f aca="false">IF($A354="","",$D354*$E354)</f>
        <v/>
      </c>
      <c r="I354" s="39" t="str">
        <f aca="false">IF($A354="","",$D354*$F354)</f>
        <v/>
      </c>
      <c r="J354" s="41" t="str">
        <f aca="false">IF($A354="","",$H354*$G354)</f>
        <v/>
      </c>
      <c r="L354" s="14" t="str">
        <f aca="false">IF($A354="","",$A354&amp;"#"&amp;COUNTIF($A$7:$A354,$A354))</f>
        <v/>
      </c>
    </row>
    <row r="355" customFormat="false" ht="15" hidden="false" customHeight="false" outlineLevel="0" collapsed="false">
      <c r="A355" s="11"/>
      <c r="B355" s="11"/>
      <c r="C355" s="11"/>
      <c r="D355" s="51"/>
      <c r="E355" s="12"/>
      <c r="F355" s="12"/>
      <c r="G355" s="13"/>
      <c r="H355" s="52" t="str">
        <f aca="false">IF($A355="","",$D355*$E355)</f>
        <v/>
      </c>
      <c r="I355" s="30" t="str">
        <f aca="false">IF($A355="","",$D355*$F355)</f>
        <v/>
      </c>
      <c r="J355" s="32" t="str">
        <f aca="false">IF($A355="","",$H355*$G355)</f>
        <v/>
      </c>
      <c r="L355" s="14" t="str">
        <f aca="false">IF($A355="","",$A355&amp;"#"&amp;COUNTIF($A$7:$A355,$A355))</f>
        <v/>
      </c>
    </row>
    <row r="356" customFormat="false" ht="15" hidden="false" customHeight="false" outlineLevel="0" collapsed="false">
      <c r="A356" s="11"/>
      <c r="B356" s="11"/>
      <c r="C356" s="11"/>
      <c r="D356" s="51"/>
      <c r="E356" s="12"/>
      <c r="F356" s="12"/>
      <c r="G356" s="13"/>
      <c r="H356" s="53" t="str">
        <f aca="false">IF($A356="","",$D356*$E356)</f>
        <v/>
      </c>
      <c r="I356" s="39" t="str">
        <f aca="false">IF($A356="","",$D356*$F356)</f>
        <v/>
      </c>
      <c r="J356" s="41" t="str">
        <f aca="false">IF($A356="","",$H356*$G356)</f>
        <v/>
      </c>
      <c r="L356" s="14" t="str">
        <f aca="false">IF($A356="","",$A356&amp;"#"&amp;COUNTIF($A$7:$A356,$A356))</f>
        <v/>
      </c>
    </row>
    <row r="357" customFormat="false" ht="15" hidden="false" customHeight="false" outlineLevel="0" collapsed="false">
      <c r="A357" s="11"/>
      <c r="B357" s="11"/>
      <c r="C357" s="11"/>
      <c r="D357" s="51"/>
      <c r="E357" s="12"/>
      <c r="F357" s="12"/>
      <c r="G357" s="13"/>
      <c r="H357" s="52" t="str">
        <f aca="false">IF($A357="","",$D357*$E357)</f>
        <v/>
      </c>
      <c r="I357" s="30" t="str">
        <f aca="false">IF($A357="","",$D357*$F357)</f>
        <v/>
      </c>
      <c r="J357" s="32" t="str">
        <f aca="false">IF($A357="","",$H357*$G357)</f>
        <v/>
      </c>
      <c r="L357" s="14" t="str">
        <f aca="false">IF($A357="","",$A357&amp;"#"&amp;COUNTIF($A$7:$A357,$A357))</f>
        <v/>
      </c>
    </row>
    <row r="358" customFormat="false" ht="15" hidden="false" customHeight="false" outlineLevel="0" collapsed="false">
      <c r="A358" s="11"/>
      <c r="B358" s="11"/>
      <c r="C358" s="11"/>
      <c r="D358" s="51"/>
      <c r="E358" s="12"/>
      <c r="F358" s="12"/>
      <c r="G358" s="13"/>
      <c r="H358" s="53" t="str">
        <f aca="false">IF($A358="","",$D358*$E358)</f>
        <v/>
      </c>
      <c r="I358" s="39" t="str">
        <f aca="false">IF($A358="","",$D358*$F358)</f>
        <v/>
      </c>
      <c r="J358" s="41" t="str">
        <f aca="false">IF($A358="","",$H358*$G358)</f>
        <v/>
      </c>
      <c r="L358" s="14" t="str">
        <f aca="false">IF($A358="","",$A358&amp;"#"&amp;COUNTIF($A$7:$A358,$A358))</f>
        <v/>
      </c>
    </row>
    <row r="359" customFormat="false" ht="15" hidden="false" customHeight="false" outlineLevel="0" collapsed="false">
      <c r="A359" s="11"/>
      <c r="B359" s="11"/>
      <c r="C359" s="11"/>
      <c r="D359" s="51"/>
      <c r="E359" s="12"/>
      <c r="F359" s="12"/>
      <c r="G359" s="13"/>
      <c r="H359" s="52" t="str">
        <f aca="false">IF($A359="","",$D359*$E359)</f>
        <v/>
      </c>
      <c r="I359" s="30" t="str">
        <f aca="false">IF($A359="","",$D359*$F359)</f>
        <v/>
      </c>
      <c r="J359" s="32" t="str">
        <f aca="false">IF($A359="","",$H359*$G359)</f>
        <v/>
      </c>
      <c r="L359" s="14" t="str">
        <f aca="false">IF($A359="","",$A359&amp;"#"&amp;COUNTIF($A$7:$A359,$A359))</f>
        <v/>
      </c>
    </row>
    <row r="360" customFormat="false" ht="15" hidden="false" customHeight="false" outlineLevel="0" collapsed="false">
      <c r="A360" s="11"/>
      <c r="B360" s="11"/>
      <c r="C360" s="11"/>
      <c r="D360" s="51"/>
      <c r="E360" s="12"/>
      <c r="F360" s="12"/>
      <c r="G360" s="13"/>
      <c r="H360" s="53" t="str">
        <f aca="false">IF($A360="","",$D360*$E360)</f>
        <v/>
      </c>
      <c r="I360" s="39" t="str">
        <f aca="false">IF($A360="","",$D360*$F360)</f>
        <v/>
      </c>
      <c r="J360" s="41" t="str">
        <f aca="false">IF($A360="","",$H360*$G360)</f>
        <v/>
      </c>
      <c r="L360" s="14" t="str">
        <f aca="false">IF($A360="","",$A360&amp;"#"&amp;COUNTIF($A$7:$A360,$A360))</f>
        <v/>
      </c>
    </row>
    <row r="361" customFormat="false" ht="15" hidden="false" customHeight="false" outlineLevel="0" collapsed="false">
      <c r="A361" s="11"/>
      <c r="B361" s="11"/>
      <c r="C361" s="11"/>
      <c r="D361" s="51"/>
      <c r="E361" s="12"/>
      <c r="F361" s="12"/>
      <c r="G361" s="13"/>
      <c r="H361" s="52" t="str">
        <f aca="false">IF($A361="","",$D361*$E361)</f>
        <v/>
      </c>
      <c r="I361" s="30" t="str">
        <f aca="false">IF($A361="","",$D361*$F361)</f>
        <v/>
      </c>
      <c r="J361" s="32" t="str">
        <f aca="false">IF($A361="","",$H361*$G361)</f>
        <v/>
      </c>
      <c r="L361" s="14" t="str">
        <f aca="false">IF($A361="","",$A361&amp;"#"&amp;COUNTIF($A$7:$A361,$A361))</f>
        <v/>
      </c>
    </row>
    <row r="362" customFormat="false" ht="15" hidden="false" customHeight="false" outlineLevel="0" collapsed="false">
      <c r="A362" s="11"/>
      <c r="B362" s="11"/>
      <c r="C362" s="11"/>
      <c r="D362" s="51"/>
      <c r="E362" s="12"/>
      <c r="F362" s="12"/>
      <c r="G362" s="13"/>
      <c r="H362" s="53" t="str">
        <f aca="false">IF($A362="","",$D362*$E362)</f>
        <v/>
      </c>
      <c r="I362" s="39" t="str">
        <f aca="false">IF($A362="","",$D362*$F362)</f>
        <v/>
      </c>
      <c r="J362" s="41" t="str">
        <f aca="false">IF($A362="","",$H362*$G362)</f>
        <v/>
      </c>
      <c r="L362" s="14" t="str">
        <f aca="false">IF($A362="","",$A362&amp;"#"&amp;COUNTIF($A$7:$A362,$A362))</f>
        <v/>
      </c>
    </row>
    <row r="363" customFormat="false" ht="15" hidden="false" customHeight="false" outlineLevel="0" collapsed="false">
      <c r="A363" s="11"/>
      <c r="B363" s="11"/>
      <c r="C363" s="11"/>
      <c r="D363" s="51"/>
      <c r="E363" s="12"/>
      <c r="F363" s="12"/>
      <c r="G363" s="13"/>
      <c r="H363" s="52" t="str">
        <f aca="false">IF($A363="","",$D363*$E363)</f>
        <v/>
      </c>
      <c r="I363" s="30" t="str">
        <f aca="false">IF($A363="","",$D363*$F363)</f>
        <v/>
      </c>
      <c r="J363" s="32" t="str">
        <f aca="false">IF($A363="","",$H363*$G363)</f>
        <v/>
      </c>
      <c r="L363" s="14" t="str">
        <f aca="false">IF($A363="","",$A363&amp;"#"&amp;COUNTIF($A$7:$A363,$A363))</f>
        <v/>
      </c>
    </row>
    <row r="364" customFormat="false" ht="15" hidden="false" customHeight="false" outlineLevel="0" collapsed="false">
      <c r="A364" s="11"/>
      <c r="B364" s="11"/>
      <c r="C364" s="11"/>
      <c r="D364" s="51"/>
      <c r="E364" s="12"/>
      <c r="F364" s="12"/>
      <c r="G364" s="13"/>
      <c r="H364" s="53" t="str">
        <f aca="false">IF($A364="","",$D364*$E364)</f>
        <v/>
      </c>
      <c r="I364" s="39" t="str">
        <f aca="false">IF($A364="","",$D364*$F364)</f>
        <v/>
      </c>
      <c r="J364" s="41" t="str">
        <f aca="false">IF($A364="","",$H364*$G364)</f>
        <v/>
      </c>
      <c r="L364" s="14" t="str">
        <f aca="false">IF($A364="","",$A364&amp;"#"&amp;COUNTIF($A$7:$A364,$A364))</f>
        <v/>
      </c>
    </row>
    <row r="365" customFormat="false" ht="15" hidden="false" customHeight="false" outlineLevel="0" collapsed="false">
      <c r="A365" s="11"/>
      <c r="B365" s="11"/>
      <c r="C365" s="11"/>
      <c r="D365" s="51"/>
      <c r="E365" s="12"/>
      <c r="F365" s="12"/>
      <c r="G365" s="13"/>
      <c r="H365" s="52" t="str">
        <f aca="false">IF($A365="","",$D365*$E365)</f>
        <v/>
      </c>
      <c r="I365" s="30" t="str">
        <f aca="false">IF($A365="","",$D365*$F365)</f>
        <v/>
      </c>
      <c r="J365" s="32" t="str">
        <f aca="false">IF($A365="","",$H365*$G365)</f>
        <v/>
      </c>
      <c r="L365" s="14" t="str">
        <f aca="false">IF($A365="","",$A365&amp;"#"&amp;COUNTIF($A$7:$A365,$A365))</f>
        <v/>
      </c>
    </row>
    <row r="366" customFormat="false" ht="15" hidden="false" customHeight="false" outlineLevel="0" collapsed="false">
      <c r="A366" s="11"/>
      <c r="B366" s="11"/>
      <c r="C366" s="11"/>
      <c r="D366" s="51"/>
      <c r="E366" s="12"/>
      <c r="F366" s="12"/>
      <c r="G366" s="13"/>
      <c r="H366" s="53" t="str">
        <f aca="false">IF($A366="","",$D366*$E366)</f>
        <v/>
      </c>
      <c r="I366" s="39" t="str">
        <f aca="false">IF($A366="","",$D366*$F366)</f>
        <v/>
      </c>
      <c r="J366" s="41" t="str">
        <f aca="false">IF($A366="","",$H366*$G366)</f>
        <v/>
      </c>
      <c r="L366" s="14" t="str">
        <f aca="false">IF($A366="","",$A366&amp;"#"&amp;COUNTIF($A$7:$A366,$A366))</f>
        <v/>
      </c>
    </row>
    <row r="367" customFormat="false" ht="15" hidden="false" customHeight="false" outlineLevel="0" collapsed="false">
      <c r="A367" s="11"/>
      <c r="B367" s="11"/>
      <c r="C367" s="11"/>
      <c r="D367" s="51"/>
      <c r="E367" s="12"/>
      <c r="F367" s="12"/>
      <c r="G367" s="13"/>
      <c r="H367" s="52" t="str">
        <f aca="false">IF($A367="","",$D367*$E367)</f>
        <v/>
      </c>
      <c r="I367" s="30" t="str">
        <f aca="false">IF($A367="","",$D367*$F367)</f>
        <v/>
      </c>
      <c r="J367" s="32" t="str">
        <f aca="false">IF($A367="","",$H367*$G367)</f>
        <v/>
      </c>
      <c r="L367" s="14" t="str">
        <f aca="false">IF($A367="","",$A367&amp;"#"&amp;COUNTIF($A$7:$A367,$A367))</f>
        <v/>
      </c>
    </row>
    <row r="368" customFormat="false" ht="15" hidden="false" customHeight="false" outlineLevel="0" collapsed="false">
      <c r="A368" s="11"/>
      <c r="B368" s="11"/>
      <c r="C368" s="11"/>
      <c r="D368" s="51"/>
      <c r="E368" s="12"/>
      <c r="F368" s="12"/>
      <c r="G368" s="13"/>
      <c r="H368" s="53" t="str">
        <f aca="false">IF($A368="","",$D368*$E368)</f>
        <v/>
      </c>
      <c r="I368" s="39" t="str">
        <f aca="false">IF($A368="","",$D368*$F368)</f>
        <v/>
      </c>
      <c r="J368" s="41" t="str">
        <f aca="false">IF($A368="","",$H368*$G368)</f>
        <v/>
      </c>
      <c r="L368" s="14" t="str">
        <f aca="false">IF($A368="","",$A368&amp;"#"&amp;COUNTIF($A$7:$A368,$A368))</f>
        <v/>
      </c>
    </row>
    <row r="369" customFormat="false" ht="15" hidden="false" customHeight="false" outlineLevel="0" collapsed="false">
      <c r="A369" s="11"/>
      <c r="B369" s="11"/>
      <c r="C369" s="11"/>
      <c r="D369" s="51"/>
      <c r="E369" s="12"/>
      <c r="F369" s="12"/>
      <c r="G369" s="13"/>
      <c r="H369" s="52" t="str">
        <f aca="false">IF($A369="","",$D369*$E369)</f>
        <v/>
      </c>
      <c r="I369" s="30" t="str">
        <f aca="false">IF($A369="","",$D369*$F369)</f>
        <v/>
      </c>
      <c r="J369" s="32" t="str">
        <f aca="false">IF($A369="","",$H369*$G369)</f>
        <v/>
      </c>
      <c r="L369" s="14" t="str">
        <f aca="false">IF($A369="","",$A369&amp;"#"&amp;COUNTIF($A$7:$A369,$A369))</f>
        <v/>
      </c>
    </row>
    <row r="370" customFormat="false" ht="15" hidden="false" customHeight="false" outlineLevel="0" collapsed="false">
      <c r="A370" s="11"/>
      <c r="B370" s="11"/>
      <c r="C370" s="11"/>
      <c r="D370" s="51"/>
      <c r="E370" s="12"/>
      <c r="F370" s="12"/>
      <c r="G370" s="13"/>
      <c r="H370" s="53" t="str">
        <f aca="false">IF($A370="","",$D370*$E370)</f>
        <v/>
      </c>
      <c r="I370" s="39" t="str">
        <f aca="false">IF($A370="","",$D370*$F370)</f>
        <v/>
      </c>
      <c r="J370" s="41" t="str">
        <f aca="false">IF($A370="","",$H370*$G370)</f>
        <v/>
      </c>
      <c r="L370" s="14" t="str">
        <f aca="false">IF($A370="","",$A370&amp;"#"&amp;COUNTIF($A$7:$A370,$A370))</f>
        <v/>
      </c>
    </row>
    <row r="371" customFormat="false" ht="15" hidden="false" customHeight="false" outlineLevel="0" collapsed="false">
      <c r="A371" s="11"/>
      <c r="B371" s="11"/>
      <c r="C371" s="11"/>
      <c r="D371" s="51"/>
      <c r="E371" s="12"/>
      <c r="F371" s="12"/>
      <c r="G371" s="13"/>
      <c r="H371" s="52" t="str">
        <f aca="false">IF($A371="","",$D371*$E371)</f>
        <v/>
      </c>
      <c r="I371" s="30" t="str">
        <f aca="false">IF($A371="","",$D371*$F371)</f>
        <v/>
      </c>
      <c r="J371" s="32" t="str">
        <f aca="false">IF($A371="","",$H371*$G371)</f>
        <v/>
      </c>
      <c r="L371" s="14" t="str">
        <f aca="false">IF($A371="","",$A371&amp;"#"&amp;COUNTIF($A$7:$A371,$A371))</f>
        <v/>
      </c>
    </row>
    <row r="372" customFormat="false" ht="15" hidden="false" customHeight="false" outlineLevel="0" collapsed="false">
      <c r="A372" s="11"/>
      <c r="B372" s="11"/>
      <c r="C372" s="11"/>
      <c r="D372" s="51"/>
      <c r="E372" s="12"/>
      <c r="F372" s="12"/>
      <c r="G372" s="13"/>
      <c r="H372" s="53" t="str">
        <f aca="false">IF($A372="","",$D372*$E372)</f>
        <v/>
      </c>
      <c r="I372" s="39" t="str">
        <f aca="false">IF($A372="","",$D372*$F372)</f>
        <v/>
      </c>
      <c r="J372" s="41" t="str">
        <f aca="false">IF($A372="","",$H372*$G372)</f>
        <v/>
      </c>
      <c r="L372" s="14" t="str">
        <f aca="false">IF($A372="","",$A372&amp;"#"&amp;COUNTIF($A$7:$A372,$A372))</f>
        <v/>
      </c>
    </row>
    <row r="373" customFormat="false" ht="15" hidden="false" customHeight="false" outlineLevel="0" collapsed="false">
      <c r="A373" s="11"/>
      <c r="B373" s="11"/>
      <c r="C373" s="11"/>
      <c r="D373" s="51"/>
      <c r="E373" s="12"/>
      <c r="F373" s="12"/>
      <c r="G373" s="13"/>
      <c r="H373" s="52" t="str">
        <f aca="false">IF($A373="","",$D373*$E373)</f>
        <v/>
      </c>
      <c r="I373" s="30" t="str">
        <f aca="false">IF($A373="","",$D373*$F373)</f>
        <v/>
      </c>
      <c r="J373" s="32" t="str">
        <f aca="false">IF($A373="","",$H373*$G373)</f>
        <v/>
      </c>
      <c r="L373" s="14" t="str">
        <f aca="false">IF($A373="","",$A373&amp;"#"&amp;COUNTIF($A$7:$A373,$A373))</f>
        <v/>
      </c>
    </row>
    <row r="374" customFormat="false" ht="15" hidden="false" customHeight="false" outlineLevel="0" collapsed="false">
      <c r="A374" s="11"/>
      <c r="B374" s="11"/>
      <c r="C374" s="11"/>
      <c r="D374" s="51"/>
      <c r="E374" s="12"/>
      <c r="F374" s="12"/>
      <c r="G374" s="13"/>
      <c r="H374" s="53" t="str">
        <f aca="false">IF($A374="","",$D374*$E374)</f>
        <v/>
      </c>
      <c r="I374" s="39" t="str">
        <f aca="false">IF($A374="","",$D374*$F374)</f>
        <v/>
      </c>
      <c r="J374" s="41" t="str">
        <f aca="false">IF($A374="","",$H374*$G374)</f>
        <v/>
      </c>
      <c r="L374" s="14" t="str">
        <f aca="false">IF($A374="","",$A374&amp;"#"&amp;COUNTIF($A$7:$A374,$A374))</f>
        <v/>
      </c>
    </row>
    <row r="375" customFormat="false" ht="15" hidden="false" customHeight="false" outlineLevel="0" collapsed="false">
      <c r="A375" s="11"/>
      <c r="B375" s="11"/>
      <c r="C375" s="11"/>
      <c r="D375" s="51"/>
      <c r="E375" s="12"/>
      <c r="F375" s="12"/>
      <c r="G375" s="13"/>
      <c r="H375" s="52" t="str">
        <f aca="false">IF($A375="","",$D375*$E375)</f>
        <v/>
      </c>
      <c r="I375" s="30" t="str">
        <f aca="false">IF($A375="","",$D375*$F375)</f>
        <v/>
      </c>
      <c r="J375" s="32" t="str">
        <f aca="false">IF($A375="","",$H375*$G375)</f>
        <v/>
      </c>
      <c r="L375" s="14" t="str">
        <f aca="false">IF($A375="","",$A375&amp;"#"&amp;COUNTIF($A$7:$A375,$A375))</f>
        <v/>
      </c>
    </row>
    <row r="376" customFormat="false" ht="15" hidden="false" customHeight="false" outlineLevel="0" collapsed="false">
      <c r="A376" s="11"/>
      <c r="B376" s="11"/>
      <c r="C376" s="11"/>
      <c r="D376" s="51"/>
      <c r="E376" s="12"/>
      <c r="F376" s="12"/>
      <c r="G376" s="13"/>
      <c r="H376" s="53" t="str">
        <f aca="false">IF($A376="","",$D376*$E376)</f>
        <v/>
      </c>
      <c r="I376" s="39" t="str">
        <f aca="false">IF($A376="","",$D376*$F376)</f>
        <v/>
      </c>
      <c r="J376" s="41" t="str">
        <f aca="false">IF($A376="","",$H376*$G376)</f>
        <v/>
      </c>
      <c r="L376" s="14" t="str">
        <f aca="false">IF($A376="","",$A376&amp;"#"&amp;COUNTIF($A$7:$A376,$A376))</f>
        <v/>
      </c>
    </row>
    <row r="377" customFormat="false" ht="15" hidden="false" customHeight="false" outlineLevel="0" collapsed="false">
      <c r="A377" s="11"/>
      <c r="B377" s="11"/>
      <c r="C377" s="11"/>
      <c r="D377" s="51"/>
      <c r="E377" s="12"/>
      <c r="F377" s="12"/>
      <c r="G377" s="13"/>
      <c r="H377" s="52" t="str">
        <f aca="false">IF($A377="","",$D377*$E377)</f>
        <v/>
      </c>
      <c r="I377" s="30" t="str">
        <f aca="false">IF($A377="","",$D377*$F377)</f>
        <v/>
      </c>
      <c r="J377" s="32" t="str">
        <f aca="false">IF($A377="","",$H377*$G377)</f>
        <v/>
      </c>
      <c r="L377" s="14" t="str">
        <f aca="false">IF($A377="","",$A377&amp;"#"&amp;COUNTIF($A$7:$A377,$A377))</f>
        <v/>
      </c>
    </row>
    <row r="378" customFormat="false" ht="15" hidden="false" customHeight="false" outlineLevel="0" collapsed="false">
      <c r="A378" s="11"/>
      <c r="B378" s="11"/>
      <c r="C378" s="11"/>
      <c r="D378" s="51"/>
      <c r="E378" s="12"/>
      <c r="F378" s="12"/>
      <c r="G378" s="13"/>
      <c r="H378" s="53" t="str">
        <f aca="false">IF($A378="","",$D378*$E378)</f>
        <v/>
      </c>
      <c r="I378" s="39" t="str">
        <f aca="false">IF($A378="","",$D378*$F378)</f>
        <v/>
      </c>
      <c r="J378" s="41" t="str">
        <f aca="false">IF($A378="","",$H378*$G378)</f>
        <v/>
      </c>
      <c r="L378" s="14" t="str">
        <f aca="false">IF($A378="","",$A378&amp;"#"&amp;COUNTIF($A$7:$A378,$A378))</f>
        <v/>
      </c>
    </row>
    <row r="379" customFormat="false" ht="15" hidden="false" customHeight="false" outlineLevel="0" collapsed="false">
      <c r="A379" s="11"/>
      <c r="B379" s="11"/>
      <c r="C379" s="11"/>
      <c r="D379" s="51"/>
      <c r="E379" s="12"/>
      <c r="F379" s="12"/>
      <c r="G379" s="13"/>
      <c r="H379" s="52" t="str">
        <f aca="false">IF($A379="","",$D379*$E379)</f>
        <v/>
      </c>
      <c r="I379" s="30" t="str">
        <f aca="false">IF($A379="","",$D379*$F379)</f>
        <v/>
      </c>
      <c r="J379" s="32" t="str">
        <f aca="false">IF($A379="","",$H379*$G379)</f>
        <v/>
      </c>
      <c r="L379" s="14" t="str">
        <f aca="false">IF($A379="","",$A379&amp;"#"&amp;COUNTIF($A$7:$A379,$A379))</f>
        <v/>
      </c>
    </row>
    <row r="380" customFormat="false" ht="15" hidden="false" customHeight="false" outlineLevel="0" collapsed="false">
      <c r="A380" s="11"/>
      <c r="B380" s="11"/>
      <c r="C380" s="11"/>
      <c r="D380" s="51"/>
      <c r="E380" s="12"/>
      <c r="F380" s="12"/>
      <c r="G380" s="13"/>
      <c r="H380" s="53" t="str">
        <f aca="false">IF($A380="","",$D380*$E380)</f>
        <v/>
      </c>
      <c r="I380" s="39" t="str">
        <f aca="false">IF($A380="","",$D380*$F380)</f>
        <v/>
      </c>
      <c r="J380" s="41" t="str">
        <f aca="false">IF($A380="","",$H380*$G380)</f>
        <v/>
      </c>
      <c r="L380" s="14" t="str">
        <f aca="false">IF($A380="","",$A380&amp;"#"&amp;COUNTIF($A$7:$A380,$A380))</f>
        <v/>
      </c>
    </row>
    <row r="381" customFormat="false" ht="15" hidden="false" customHeight="false" outlineLevel="0" collapsed="false">
      <c r="A381" s="11"/>
      <c r="B381" s="11"/>
      <c r="C381" s="11"/>
      <c r="D381" s="51"/>
      <c r="E381" s="12"/>
      <c r="F381" s="12"/>
      <c r="G381" s="13"/>
      <c r="H381" s="52" t="str">
        <f aca="false">IF($A381="","",$D381*$E381)</f>
        <v/>
      </c>
      <c r="I381" s="30" t="str">
        <f aca="false">IF($A381="","",$D381*$F381)</f>
        <v/>
      </c>
      <c r="J381" s="32" t="str">
        <f aca="false">IF($A381="","",$H381*$G381)</f>
        <v/>
      </c>
      <c r="L381" s="14" t="str">
        <f aca="false">IF($A381="","",$A381&amp;"#"&amp;COUNTIF($A$7:$A381,$A381))</f>
        <v/>
      </c>
    </row>
    <row r="382" customFormat="false" ht="15" hidden="false" customHeight="false" outlineLevel="0" collapsed="false">
      <c r="A382" s="11"/>
      <c r="B382" s="11"/>
      <c r="C382" s="11"/>
      <c r="D382" s="51"/>
      <c r="E382" s="12"/>
      <c r="F382" s="12"/>
      <c r="G382" s="13"/>
      <c r="H382" s="53" t="str">
        <f aca="false">IF($A382="","",$D382*$E382)</f>
        <v/>
      </c>
      <c r="I382" s="39" t="str">
        <f aca="false">IF($A382="","",$D382*$F382)</f>
        <v/>
      </c>
      <c r="J382" s="41" t="str">
        <f aca="false">IF($A382="","",$H382*$G382)</f>
        <v/>
      </c>
      <c r="L382" s="14" t="str">
        <f aca="false">IF($A382="","",$A382&amp;"#"&amp;COUNTIF($A$7:$A382,$A382))</f>
        <v/>
      </c>
    </row>
    <row r="383" customFormat="false" ht="15" hidden="false" customHeight="false" outlineLevel="0" collapsed="false">
      <c r="A383" s="11"/>
      <c r="B383" s="11"/>
      <c r="C383" s="11"/>
      <c r="D383" s="51"/>
      <c r="E383" s="12"/>
      <c r="F383" s="12"/>
      <c r="G383" s="13"/>
      <c r="H383" s="52" t="str">
        <f aca="false">IF($A383="","",$D383*$E383)</f>
        <v/>
      </c>
      <c r="I383" s="30" t="str">
        <f aca="false">IF($A383="","",$D383*$F383)</f>
        <v/>
      </c>
      <c r="J383" s="32" t="str">
        <f aca="false">IF($A383="","",$H383*$G383)</f>
        <v/>
      </c>
      <c r="L383" s="14" t="str">
        <f aca="false">IF($A383="","",$A383&amp;"#"&amp;COUNTIF($A$7:$A383,$A383))</f>
        <v/>
      </c>
    </row>
    <row r="384" customFormat="false" ht="15" hidden="false" customHeight="false" outlineLevel="0" collapsed="false">
      <c r="A384" s="11"/>
      <c r="B384" s="11"/>
      <c r="C384" s="11"/>
      <c r="D384" s="51"/>
      <c r="E384" s="12"/>
      <c r="F384" s="12"/>
      <c r="G384" s="13"/>
      <c r="H384" s="53" t="str">
        <f aca="false">IF($A384="","",$D384*$E384)</f>
        <v/>
      </c>
      <c r="I384" s="39" t="str">
        <f aca="false">IF($A384="","",$D384*$F384)</f>
        <v/>
      </c>
      <c r="J384" s="41" t="str">
        <f aca="false">IF($A384="","",$H384*$G384)</f>
        <v/>
      </c>
      <c r="L384" s="14" t="str">
        <f aca="false">IF($A384="","",$A384&amp;"#"&amp;COUNTIF($A$7:$A384,$A384))</f>
        <v/>
      </c>
    </row>
    <row r="385" customFormat="false" ht="15" hidden="false" customHeight="false" outlineLevel="0" collapsed="false">
      <c r="A385" s="11"/>
      <c r="B385" s="11"/>
      <c r="C385" s="11"/>
      <c r="D385" s="51"/>
      <c r="E385" s="12"/>
      <c r="F385" s="12"/>
      <c r="G385" s="13"/>
      <c r="H385" s="52" t="str">
        <f aca="false">IF($A385="","",$D385*$E385)</f>
        <v/>
      </c>
      <c r="I385" s="30" t="str">
        <f aca="false">IF($A385="","",$D385*$F385)</f>
        <v/>
      </c>
      <c r="J385" s="32" t="str">
        <f aca="false">IF($A385="","",$H385*$G385)</f>
        <v/>
      </c>
      <c r="L385" s="14" t="str">
        <f aca="false">IF($A385="","",$A385&amp;"#"&amp;COUNTIF($A$7:$A385,$A385))</f>
        <v/>
      </c>
    </row>
    <row r="386" customFormat="false" ht="15" hidden="false" customHeight="false" outlineLevel="0" collapsed="false">
      <c r="A386" s="11"/>
      <c r="B386" s="11"/>
      <c r="C386" s="11"/>
      <c r="D386" s="51"/>
      <c r="E386" s="12"/>
      <c r="F386" s="12"/>
      <c r="G386" s="13"/>
      <c r="H386" s="53" t="str">
        <f aca="false">IF($A386="","",$D386*$E386)</f>
        <v/>
      </c>
      <c r="I386" s="39" t="str">
        <f aca="false">IF($A386="","",$D386*$F386)</f>
        <v/>
      </c>
      <c r="J386" s="41" t="str">
        <f aca="false">IF($A386="","",$H386*$G386)</f>
        <v/>
      </c>
      <c r="L386" s="14" t="str">
        <f aca="false">IF($A386="","",$A386&amp;"#"&amp;COUNTIF($A$7:$A386,$A386))</f>
        <v/>
      </c>
    </row>
    <row r="387" customFormat="false" ht="15" hidden="false" customHeight="false" outlineLevel="0" collapsed="false">
      <c r="A387" s="11"/>
      <c r="B387" s="11"/>
      <c r="C387" s="11"/>
      <c r="D387" s="51"/>
      <c r="E387" s="12"/>
      <c r="F387" s="12"/>
      <c r="G387" s="13"/>
      <c r="H387" s="52" t="str">
        <f aca="false">IF($A387="","",$D387*$E387)</f>
        <v/>
      </c>
      <c r="I387" s="30" t="str">
        <f aca="false">IF($A387="","",$D387*$F387)</f>
        <v/>
      </c>
      <c r="J387" s="32" t="str">
        <f aca="false">IF($A387="","",$H387*$G387)</f>
        <v/>
      </c>
      <c r="L387" s="14" t="str">
        <f aca="false">IF($A387="","",$A387&amp;"#"&amp;COUNTIF($A$7:$A387,$A387))</f>
        <v/>
      </c>
    </row>
    <row r="388" customFormat="false" ht="15" hidden="false" customHeight="false" outlineLevel="0" collapsed="false">
      <c r="A388" s="11"/>
      <c r="B388" s="11"/>
      <c r="C388" s="11"/>
      <c r="D388" s="51"/>
      <c r="E388" s="12"/>
      <c r="F388" s="12"/>
      <c r="G388" s="13"/>
      <c r="H388" s="53" t="str">
        <f aca="false">IF($A388="","",$D388*$E388)</f>
        <v/>
      </c>
      <c r="I388" s="39" t="str">
        <f aca="false">IF($A388="","",$D388*$F388)</f>
        <v/>
      </c>
      <c r="J388" s="41" t="str">
        <f aca="false">IF($A388="","",$H388*$G388)</f>
        <v/>
      </c>
      <c r="L388" s="14" t="str">
        <f aca="false">IF($A388="","",$A388&amp;"#"&amp;COUNTIF($A$7:$A388,$A388))</f>
        <v/>
      </c>
    </row>
    <row r="389" customFormat="false" ht="15" hidden="false" customHeight="false" outlineLevel="0" collapsed="false">
      <c r="A389" s="11"/>
      <c r="B389" s="11"/>
      <c r="C389" s="11"/>
      <c r="D389" s="51"/>
      <c r="E389" s="12"/>
      <c r="F389" s="12"/>
      <c r="G389" s="13"/>
      <c r="H389" s="52" t="str">
        <f aca="false">IF($A389="","",$D389*$E389)</f>
        <v/>
      </c>
      <c r="I389" s="30" t="str">
        <f aca="false">IF($A389="","",$D389*$F389)</f>
        <v/>
      </c>
      <c r="J389" s="32" t="str">
        <f aca="false">IF($A389="","",$H389*$G389)</f>
        <v/>
      </c>
      <c r="L389" s="14" t="str">
        <f aca="false">IF($A389="","",$A389&amp;"#"&amp;COUNTIF($A$7:$A389,$A389))</f>
        <v/>
      </c>
    </row>
    <row r="390" customFormat="false" ht="15" hidden="false" customHeight="false" outlineLevel="0" collapsed="false">
      <c r="A390" s="11"/>
      <c r="B390" s="11"/>
      <c r="C390" s="11"/>
      <c r="D390" s="51"/>
      <c r="E390" s="12"/>
      <c r="F390" s="12"/>
      <c r="G390" s="13"/>
      <c r="H390" s="53" t="str">
        <f aca="false">IF($A390="","",$D390*$E390)</f>
        <v/>
      </c>
      <c r="I390" s="39" t="str">
        <f aca="false">IF($A390="","",$D390*$F390)</f>
        <v/>
      </c>
      <c r="J390" s="41" t="str">
        <f aca="false">IF($A390="","",$H390*$G390)</f>
        <v/>
      </c>
      <c r="L390" s="14" t="str">
        <f aca="false">IF($A390="","",$A390&amp;"#"&amp;COUNTIF($A$7:$A390,$A390))</f>
        <v/>
      </c>
    </row>
    <row r="391" customFormat="false" ht="15" hidden="false" customHeight="false" outlineLevel="0" collapsed="false">
      <c r="A391" s="11"/>
      <c r="B391" s="11"/>
      <c r="C391" s="11"/>
      <c r="D391" s="51"/>
      <c r="E391" s="12"/>
      <c r="F391" s="12"/>
      <c r="G391" s="13"/>
      <c r="H391" s="52" t="str">
        <f aca="false">IF($A391="","",$D391*$E391)</f>
        <v/>
      </c>
      <c r="I391" s="30" t="str">
        <f aca="false">IF($A391="","",$D391*$F391)</f>
        <v/>
      </c>
      <c r="J391" s="32" t="str">
        <f aca="false">IF($A391="","",$H391*$G391)</f>
        <v/>
      </c>
      <c r="L391" s="14" t="str">
        <f aca="false">IF($A391="","",$A391&amp;"#"&amp;COUNTIF($A$7:$A391,$A391))</f>
        <v/>
      </c>
    </row>
    <row r="392" customFormat="false" ht="15" hidden="false" customHeight="false" outlineLevel="0" collapsed="false">
      <c r="A392" s="11"/>
      <c r="B392" s="11"/>
      <c r="C392" s="11"/>
      <c r="D392" s="51"/>
      <c r="E392" s="12"/>
      <c r="F392" s="12"/>
      <c r="G392" s="13"/>
      <c r="H392" s="53" t="str">
        <f aca="false">IF($A392="","",$D392*$E392)</f>
        <v/>
      </c>
      <c r="I392" s="39" t="str">
        <f aca="false">IF($A392="","",$D392*$F392)</f>
        <v/>
      </c>
      <c r="J392" s="41" t="str">
        <f aca="false">IF($A392="","",$H392*$G392)</f>
        <v/>
      </c>
      <c r="L392" s="14" t="str">
        <f aca="false">IF($A392="","",$A392&amp;"#"&amp;COUNTIF($A$7:$A392,$A392))</f>
        <v/>
      </c>
    </row>
    <row r="393" customFormat="false" ht="15" hidden="false" customHeight="false" outlineLevel="0" collapsed="false">
      <c r="A393" s="11"/>
      <c r="B393" s="11"/>
      <c r="C393" s="11"/>
      <c r="D393" s="51"/>
      <c r="E393" s="12"/>
      <c r="F393" s="12"/>
      <c r="G393" s="13"/>
      <c r="H393" s="52" t="str">
        <f aca="false">IF($A393="","",$D393*$E393)</f>
        <v/>
      </c>
      <c r="I393" s="30" t="str">
        <f aca="false">IF($A393="","",$D393*$F393)</f>
        <v/>
      </c>
      <c r="J393" s="32" t="str">
        <f aca="false">IF($A393="","",$H393*$G393)</f>
        <v/>
      </c>
      <c r="L393" s="14" t="str">
        <f aca="false">IF($A393="","",$A393&amp;"#"&amp;COUNTIF($A$7:$A393,$A393))</f>
        <v/>
      </c>
    </row>
    <row r="394" customFormat="false" ht="15" hidden="false" customHeight="false" outlineLevel="0" collapsed="false">
      <c r="A394" s="11"/>
      <c r="B394" s="11"/>
      <c r="C394" s="11"/>
      <c r="D394" s="51"/>
      <c r="E394" s="12"/>
      <c r="F394" s="12"/>
      <c r="G394" s="13"/>
      <c r="H394" s="53" t="str">
        <f aca="false">IF($A394="","",$D394*$E394)</f>
        <v/>
      </c>
      <c r="I394" s="39" t="str">
        <f aca="false">IF($A394="","",$D394*$F394)</f>
        <v/>
      </c>
      <c r="J394" s="41" t="str">
        <f aca="false">IF($A394="","",$H394*$G394)</f>
        <v/>
      </c>
      <c r="L394" s="14" t="str">
        <f aca="false">IF($A394="","",$A394&amp;"#"&amp;COUNTIF($A$7:$A394,$A394))</f>
        <v/>
      </c>
    </row>
    <row r="395" customFormat="false" ht="15" hidden="false" customHeight="false" outlineLevel="0" collapsed="false">
      <c r="A395" s="11"/>
      <c r="B395" s="11"/>
      <c r="C395" s="11"/>
      <c r="D395" s="51"/>
      <c r="E395" s="12"/>
      <c r="F395" s="12"/>
      <c r="G395" s="13"/>
      <c r="H395" s="52" t="str">
        <f aca="false">IF($A395="","",$D395*$E395)</f>
        <v/>
      </c>
      <c r="I395" s="30" t="str">
        <f aca="false">IF($A395="","",$D395*$F395)</f>
        <v/>
      </c>
      <c r="J395" s="32" t="str">
        <f aca="false">IF($A395="","",$H395*$G395)</f>
        <v/>
      </c>
      <c r="L395" s="14" t="str">
        <f aca="false">IF($A395="","",$A395&amp;"#"&amp;COUNTIF($A$7:$A395,$A395))</f>
        <v/>
      </c>
    </row>
    <row r="396" customFormat="false" ht="15" hidden="false" customHeight="false" outlineLevel="0" collapsed="false">
      <c r="A396" s="11"/>
      <c r="B396" s="11"/>
      <c r="C396" s="11"/>
      <c r="D396" s="51"/>
      <c r="E396" s="12"/>
      <c r="F396" s="12"/>
      <c r="G396" s="13"/>
      <c r="H396" s="53" t="str">
        <f aca="false">IF($A396="","",$D396*$E396)</f>
        <v/>
      </c>
      <c r="I396" s="39" t="str">
        <f aca="false">IF($A396="","",$D396*$F396)</f>
        <v/>
      </c>
      <c r="J396" s="41" t="str">
        <f aca="false">IF($A396="","",$H396*$G396)</f>
        <v/>
      </c>
      <c r="L396" s="14" t="str">
        <f aca="false">IF($A396="","",$A396&amp;"#"&amp;COUNTIF($A$7:$A396,$A396))</f>
        <v/>
      </c>
    </row>
    <row r="397" customFormat="false" ht="15" hidden="false" customHeight="false" outlineLevel="0" collapsed="false">
      <c r="A397" s="11"/>
      <c r="B397" s="11"/>
      <c r="C397" s="11"/>
      <c r="D397" s="51"/>
      <c r="E397" s="12"/>
      <c r="F397" s="12"/>
      <c r="G397" s="13"/>
      <c r="H397" s="52" t="str">
        <f aca="false">IF($A397="","",$D397*$E397)</f>
        <v/>
      </c>
      <c r="I397" s="30" t="str">
        <f aca="false">IF($A397="","",$D397*$F397)</f>
        <v/>
      </c>
      <c r="J397" s="32" t="str">
        <f aca="false">IF($A397="","",$H397*$G397)</f>
        <v/>
      </c>
      <c r="L397" s="14" t="str">
        <f aca="false">IF($A397="","",$A397&amp;"#"&amp;COUNTIF($A$7:$A397,$A397))</f>
        <v/>
      </c>
    </row>
    <row r="398" customFormat="false" ht="15" hidden="false" customHeight="false" outlineLevel="0" collapsed="false">
      <c r="A398" s="11"/>
      <c r="B398" s="11"/>
      <c r="C398" s="11"/>
      <c r="D398" s="51"/>
      <c r="E398" s="12"/>
      <c r="F398" s="12"/>
      <c r="G398" s="13"/>
      <c r="H398" s="53" t="str">
        <f aca="false">IF($A398="","",$D398*$E398)</f>
        <v/>
      </c>
      <c r="I398" s="39" t="str">
        <f aca="false">IF($A398="","",$D398*$F398)</f>
        <v/>
      </c>
      <c r="J398" s="41" t="str">
        <f aca="false">IF($A398="","",$H398*$G398)</f>
        <v/>
      </c>
      <c r="L398" s="14" t="str">
        <f aca="false">IF($A398="","",$A398&amp;"#"&amp;COUNTIF($A$7:$A398,$A398))</f>
        <v/>
      </c>
    </row>
    <row r="399" customFormat="false" ht="15" hidden="false" customHeight="false" outlineLevel="0" collapsed="false">
      <c r="A399" s="11"/>
      <c r="B399" s="11"/>
      <c r="C399" s="11"/>
      <c r="D399" s="51"/>
      <c r="E399" s="12"/>
      <c r="F399" s="12"/>
      <c r="G399" s="13"/>
      <c r="H399" s="52" t="str">
        <f aca="false">IF($A399="","",$D399*$E399)</f>
        <v/>
      </c>
      <c r="I399" s="30" t="str">
        <f aca="false">IF($A399="","",$D399*$F399)</f>
        <v/>
      </c>
      <c r="J399" s="32" t="str">
        <f aca="false">IF($A399="","",$H399*$G399)</f>
        <v/>
      </c>
      <c r="L399" s="14" t="str">
        <f aca="false">IF($A399="","",$A399&amp;"#"&amp;COUNTIF($A$7:$A399,$A399))</f>
        <v/>
      </c>
    </row>
    <row r="400" customFormat="false" ht="15" hidden="false" customHeight="false" outlineLevel="0" collapsed="false">
      <c r="A400" s="11"/>
      <c r="B400" s="11"/>
      <c r="C400" s="11"/>
      <c r="D400" s="51"/>
      <c r="E400" s="12"/>
      <c r="F400" s="12"/>
      <c r="G400" s="13"/>
      <c r="H400" s="53" t="str">
        <f aca="false">IF($A400="","",$D400*$E400)</f>
        <v/>
      </c>
      <c r="I400" s="39" t="str">
        <f aca="false">IF($A400="","",$D400*$F400)</f>
        <v/>
      </c>
      <c r="J400" s="41" t="str">
        <f aca="false">IF($A400="","",$H400*$G400)</f>
        <v/>
      </c>
      <c r="L400" s="14" t="str">
        <f aca="false">IF($A400="","",$A400&amp;"#"&amp;COUNTIF($A$7:$A400,$A400))</f>
        <v/>
      </c>
    </row>
  </sheetData>
  <sheetProtection sheet="true" password="df10" objects="true" scenarios="true" autoFilter="false"/>
  <autoFilter ref="A6:J400"/>
  <dataValidations count="3">
    <dataValidation allowBlank="true" error="Pick a lot from the list." errorStyle="stop" errorTitle="Lot" operator="between" showDropDown="false" showErrorMessage="false" showInputMessage="false" sqref="A7:A2000" type="list">
      <formula1>LotList</formula1>
      <formula2>0</formula2>
    </dataValidation>
    <dataValidation allowBlank="true" error="Pick a spec from the list." errorStyle="stop" errorTitle="Spec" operator="between" showDropDown="false" showErrorMessage="false" showInputMessage="false" sqref="B7:B2000" type="list">
      <formula1>SpecList</formula1>
      <formula2>0</formula2>
    </dataValidation>
    <dataValidation allowBlank="true" error="Pick a grade from the list." errorStyle="stop" errorTitle="Grade" operator="between" showDropDown="false" showErrorMessage="false" showInputMessage="false" sqref="C7:C2000" type="list">
      <formula1>GradeList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6"/>
  </cols>
  <sheetData>
    <row r="1" customFormat="false" ht="33.75" hidden="false" customHeight="true" outlineLevel="0" collapsed="false">
      <c r="B1" s="54" t="s">
        <v>129</v>
      </c>
      <c r="E1" s="55" t="s">
        <v>130</v>
      </c>
      <c r="F1" s="55"/>
      <c r="G1" s="55"/>
      <c r="H1" s="56" t="n">
        <f aca="false">IFERROR(MATCH($F$5,Lots!$A$8:$A$200,0),"")</f>
        <v>1</v>
      </c>
    </row>
    <row r="2" customFormat="false" ht="15" hidden="false" customHeight="false" outlineLevel="0" collapsed="false">
      <c r="E2" s="55" t="s">
        <v>131</v>
      </c>
      <c r="F2" s="55"/>
      <c r="G2" s="55"/>
    </row>
    <row r="3" customFormat="false" ht="15" hidden="false" customHeight="false" outlineLevel="0" collapsed="false">
      <c r="E3" s="55" t="s">
        <v>132</v>
      </c>
      <c r="F3" s="55"/>
      <c r="G3" s="55"/>
    </row>
    <row r="4" customFormat="false" ht="4.5" hidden="false" customHeight="true" outlineLevel="0" collapsed="false">
      <c r="A4" s="57"/>
      <c r="B4" s="57"/>
      <c r="C4" s="57"/>
      <c r="D4" s="57"/>
      <c r="E4" s="57"/>
      <c r="F4" s="57"/>
      <c r="G4" s="57"/>
    </row>
    <row r="5" customFormat="false" ht="24" hidden="false" customHeight="true" outlineLevel="0" collapsed="false">
      <c r="A5" s="58" t="s">
        <v>133</v>
      </c>
      <c r="F5" s="59" t="s">
        <v>116</v>
      </c>
      <c r="G5" s="59"/>
    </row>
    <row r="6" customFormat="false" ht="15" hidden="false" customHeight="false" outlineLevel="0" collapsed="false">
      <c r="A6" s="60" t="s">
        <v>134</v>
      </c>
      <c r="F6" s="61" t="s">
        <v>135</v>
      </c>
      <c r="G6" s="61"/>
    </row>
    <row r="8" customFormat="false" ht="12.75" hidden="false" customHeight="true" outlineLevel="0" collapsed="false">
      <c r="A8" s="48" t="s">
        <v>136</v>
      </c>
      <c r="B8" s="62" t="n">
        <f aca="false">IF($H$1="","",INDEX(Lots!$C$8:$C$200,$H$1))</f>
        <v>46253</v>
      </c>
      <c r="C8" s="62"/>
      <c r="E8" s="63" t="s">
        <v>137</v>
      </c>
      <c r="F8" s="63"/>
      <c r="G8" s="64" t="n">
        <f aca="false">IF($H$1="","",INDEX(Lots!$F$8:$F$200,$H$1))</f>
        <v>5991</v>
      </c>
    </row>
    <row r="9" customFormat="false" ht="12.75" hidden="false" customHeight="true" outlineLevel="0" collapsed="false">
      <c r="A9" s="48" t="s">
        <v>84</v>
      </c>
      <c r="B9" s="65" t="str">
        <f aca="false">IF($H$1="","",IF(INDEX(Lots!$D$8:$D$200,$H$1)=0,"",INDEX(Lots!$D$8:$D$200,$H$1)))</f>
        <v>FRIENDS FISHERIES KARWAR</v>
      </c>
      <c r="C9" s="65"/>
      <c r="E9" s="63" t="s">
        <v>138</v>
      </c>
      <c r="F9" s="63"/>
      <c r="G9" s="66" t="n">
        <f aca="false">IF($H$1="","",INDEX(Lots!$G$8:$G$200,$H$1))</f>
        <v>1258110</v>
      </c>
    </row>
    <row r="10" customFormat="false" ht="12.75" hidden="false" customHeight="true" outlineLevel="0" collapsed="false">
      <c r="A10" s="48" t="s">
        <v>85</v>
      </c>
      <c r="B10" s="65" t="str">
        <f aca="false">IF($H$1="","",IF(INDEX(Lots!$E$8:$E$200,$H$1)=0,"",INDEX(Lots!$E$8:$E$200,$H$1)))</f>
        <v/>
      </c>
      <c r="C10" s="65"/>
      <c r="E10" s="63" t="s">
        <v>139</v>
      </c>
      <c r="F10" s="63"/>
      <c r="G10" s="67" t="n">
        <f aca="false">IF($H$1="","",INDEX(Lots!$H$8:$H$200,$H$1))</f>
        <v>45</v>
      </c>
    </row>
    <row r="11" customFormat="false" ht="12.75" hidden="false" customHeight="true" outlineLevel="0" collapsed="false">
      <c r="A11" s="48" t="s">
        <v>140</v>
      </c>
      <c r="B11" s="62" t="n">
        <f aca="false">IF($H$1="","",INDEX(Lots!$B$8:$B$200,$H$1))</f>
        <v>46258</v>
      </c>
      <c r="C11" s="62"/>
      <c r="E11" s="63" t="s">
        <v>141</v>
      </c>
      <c r="F11" s="63"/>
      <c r="G11" s="66" t="n">
        <f aca="false">IF($H$1="","",INDEX(Lots!$J$8:$J$200,$H$1))</f>
        <v>269595</v>
      </c>
    </row>
    <row r="12" customFormat="false" ht="15" hidden="false" customHeight="false" outlineLevel="0" collapsed="false">
      <c r="E12" s="63" t="s">
        <v>142</v>
      </c>
      <c r="F12" s="63"/>
      <c r="G12" s="66" t="n">
        <f aca="false">IF($H$1="","",INDEX(Lots!$K$8:$K$200,$H$1))</f>
        <v>1527705</v>
      </c>
    </row>
    <row r="13" customFormat="false" ht="15" hidden="false" customHeight="false" outlineLevel="0" collapsed="false">
      <c r="E13" s="63" t="s">
        <v>143</v>
      </c>
      <c r="F13" s="63"/>
      <c r="G13" s="67" t="n">
        <f aca="false">IF($H$1="","",INDEX(Lots!$L$8:$L$200,$H$1))</f>
        <v>255</v>
      </c>
    </row>
    <row r="15" customFormat="false" ht="12.75" hidden="false" customHeight="true" outlineLevel="0" collapsed="false">
      <c r="A15" s="68" t="s">
        <v>144</v>
      </c>
      <c r="B15" s="68" t="s">
        <v>145</v>
      </c>
      <c r="C15" s="68"/>
      <c r="D15" s="68" t="s">
        <v>146</v>
      </c>
      <c r="E15" s="68"/>
      <c r="F15" s="69" t="s">
        <v>147</v>
      </c>
      <c r="G15" s="69"/>
    </row>
    <row r="16" customFormat="false" ht="21.75" hidden="false" customHeight="true" outlineLevel="0" collapsed="false">
      <c r="A16" s="70" t="n">
        <f aca="false">IF($H$1="","",INDEX(Lots!$O$8:$O$200,$H$1))</f>
        <v>0.49204640293774</v>
      </c>
      <c r="B16" s="71" t="n">
        <f aca="false">IF($H$1="","",INDEX(Lots!$V$8:$V$200,$H$1))</f>
        <v>6.20210315473211</v>
      </c>
      <c r="C16" s="71"/>
      <c r="D16" s="72" t="n">
        <f aca="false">IF($H$1="","",INDEX(Lots!$Q$8:$Q$200,$H$1))</f>
        <v>1672290</v>
      </c>
      <c r="E16" s="72"/>
      <c r="F16" s="73" t="n">
        <f aca="false">IF($H$1="","",INDEX(Lots!$U$8:$U$200,$H$1))</f>
        <v>37156.8000000001</v>
      </c>
      <c r="G16" s="73"/>
    </row>
    <row r="18" customFormat="false" ht="15.75" hidden="false" customHeight="true" outlineLevel="0" collapsed="false">
      <c r="A18" s="74" t="s">
        <v>148</v>
      </c>
      <c r="B18" s="74"/>
      <c r="C18" s="74"/>
      <c r="D18" s="74"/>
      <c r="E18" s="74"/>
      <c r="F18" s="74"/>
      <c r="G18" s="74"/>
    </row>
    <row r="19" customFormat="false" ht="19.5" hidden="false" customHeight="true" outlineLevel="0" collapsed="false">
      <c r="A19" s="75" t="s">
        <v>38</v>
      </c>
      <c r="B19" s="75" t="s">
        <v>39</v>
      </c>
      <c r="C19" s="76" t="s">
        <v>122</v>
      </c>
      <c r="D19" s="76" t="s">
        <v>126</v>
      </c>
      <c r="E19" s="76" t="s">
        <v>94</v>
      </c>
      <c r="F19" s="76" t="s">
        <v>149</v>
      </c>
      <c r="G19" s="76" t="s">
        <v>127</v>
      </c>
    </row>
    <row r="20" customFormat="false" ht="12.75" hidden="false" customHeight="true" outlineLevel="0" collapsed="false">
      <c r="A20" s="77" t="str">
        <f aca="false">IF($H20="","",INDEX('Lot Entry'!$B$7:$B$2000,$H20))</f>
        <v>PVN PMS</v>
      </c>
      <c r="B20" s="77" t="str">
        <f aca="false">IF($H20="","",INDEX('Lot Entry'!$C$7:$C$2000,$H20))</f>
        <v>80/120</v>
      </c>
      <c r="C20" s="78" t="n">
        <f aca="false">IF($H20="","",INDEX('Lot Entry'!$D$7:$D$2000,$H20))</f>
        <v>617</v>
      </c>
      <c r="D20" s="78" t="n">
        <f aca="false">IF($H20="","",INDEX('Lot Entry'!$H$7:$H$2000,$H20))</f>
        <v>1234</v>
      </c>
      <c r="E20" s="79" t="n">
        <f aca="false">IF($H20="","",INDEX('Lot Entry'!$I$7:$I$2000,$H20))</f>
        <v>1326.55</v>
      </c>
      <c r="F20" s="80" t="n">
        <f aca="false">IF($H20="","",INDEX('Lot Entry'!$G$7:$G$2000,$H20))</f>
        <v>7</v>
      </c>
      <c r="G20" s="81" t="n">
        <f aca="false">IF($H20="","",INDEX('Lot Entry'!$J$7:$J$2000,$H20))</f>
        <v>8638</v>
      </c>
      <c r="H20" s="56" t="n">
        <f aca="false">IFERROR(MATCH($F$5&amp;"#"&amp;1,'Lot Entry'!$L$7:$L$2000,0),"")</f>
        <v>1</v>
      </c>
    </row>
    <row r="21" customFormat="false" ht="12.75" hidden="false" customHeight="true" outlineLevel="0" collapsed="false">
      <c r="A21" s="77" t="str">
        <f aca="false">IF($H21="","",INDEX('Lot Entry'!$B$7:$B$2000,$H21))</f>
        <v>PVN BD</v>
      </c>
      <c r="B21" s="77" t="str">
        <f aca="false">IF($H21="","",INDEX('Lot Entry'!$C$7:$C$2000,$H21))</f>
        <v>100/200 PD</v>
      </c>
      <c r="C21" s="78" t="n">
        <f aca="false">IF($H21="","",INDEX('Lot Entry'!$D$7:$D$2000,$H21))</f>
        <v>629</v>
      </c>
      <c r="D21" s="78" t="n">
        <f aca="false">IF($H21="","",INDEX('Lot Entry'!$H$7:$H$2000,$H21))</f>
        <v>1258</v>
      </c>
      <c r="E21" s="79" t="n">
        <f aca="false">IF($H21="","",INDEX('Lot Entry'!$I$7:$I$2000,$H21))</f>
        <v>1383.8</v>
      </c>
      <c r="F21" s="80" t="n">
        <f aca="false">IF($H21="","",INDEX('Lot Entry'!$G$7:$G$2000,$H21))</f>
        <v>7</v>
      </c>
      <c r="G21" s="81" t="n">
        <f aca="false">IF($H21="","",INDEX('Lot Entry'!$J$7:$J$2000,$H21))</f>
        <v>8806</v>
      </c>
      <c r="H21" s="56" t="n">
        <f aca="false">IFERROR(MATCH($F$5&amp;"#"&amp;2,'Lot Entry'!$L$7:$L$2000,0),"")</f>
        <v>2</v>
      </c>
    </row>
    <row r="22" customFormat="false" ht="12.75" hidden="false" customHeight="true" outlineLevel="0" collapsed="false">
      <c r="A22" s="77" t="str">
        <f aca="false">IF($H22="","",INDEX('Lot Entry'!$B$7:$B$2000,$H22))</f>
        <v>PVN BD</v>
      </c>
      <c r="B22" s="77" t="str">
        <f aca="false">IF($H22="","",INDEX('Lot Entry'!$C$7:$C$2000,$H22))</f>
        <v>200/300 PUD</v>
      </c>
      <c r="C22" s="78" t="n">
        <f aca="false">IF($H22="","",INDEX('Lot Entry'!$D$7:$D$2000,$H22))</f>
        <v>86</v>
      </c>
      <c r="D22" s="78" t="n">
        <f aca="false">IF($H22="","",INDEX('Lot Entry'!$H$7:$H$2000,$H22))</f>
        <v>172</v>
      </c>
      <c r="E22" s="79" t="n">
        <f aca="false">IF($H22="","",INDEX('Lot Entry'!$I$7:$I$2000,$H22))</f>
        <v>189.2</v>
      </c>
      <c r="F22" s="80" t="n">
        <f aca="false">IF($H22="","",INDEX('Lot Entry'!$G$7:$G$2000,$H22))</f>
        <v>6</v>
      </c>
      <c r="G22" s="81" t="n">
        <f aca="false">IF($H22="","",INDEX('Lot Entry'!$J$7:$J$2000,$H22))</f>
        <v>1032</v>
      </c>
      <c r="H22" s="56" t="n">
        <f aca="false">IFERROR(MATCH($F$5&amp;"#"&amp;3,'Lot Entry'!$L$7:$L$2000,0),"")</f>
        <v>3</v>
      </c>
    </row>
    <row r="23" customFormat="false" ht="12.75" hidden="false" customHeight="true" outlineLevel="0" collapsed="false">
      <c r="A23" s="77" t="str">
        <f aca="false">IF($H23="","",INDEX('Lot Entry'!$B$7:$B$2000,$H23))</f>
        <v>EU</v>
      </c>
      <c r="B23" s="77" t="str">
        <f aca="false">IF($H23="","",INDEX('Lot Entry'!$C$7:$C$2000,$H23))</f>
        <v>BKN</v>
      </c>
      <c r="C23" s="78" t="n">
        <f aca="false">IF($H23="","",INDEX('Lot Entry'!$D$7:$D$2000,$H23))</f>
        <v>21</v>
      </c>
      <c r="D23" s="78" t="n">
        <f aca="false">IF($H23="","",INDEX('Lot Entry'!$H$7:$H$2000,$H23))</f>
        <v>42</v>
      </c>
      <c r="E23" s="79" t="n">
        <f aca="false">IF($H23="","",INDEX('Lot Entry'!$I$7:$I$2000,$H23))</f>
        <v>48.3</v>
      </c>
      <c r="F23" s="80" t="n">
        <f aca="false">IF($H23="","",INDEX('Lot Entry'!$G$7:$G$2000,$H23))</f>
        <v>2.5</v>
      </c>
      <c r="G23" s="81" t="n">
        <f aca="false">IF($H23="","",INDEX('Lot Entry'!$J$7:$J$2000,$H23))</f>
        <v>105</v>
      </c>
      <c r="H23" s="56" t="n">
        <f aca="false">IFERROR(MATCH($F$5&amp;"#"&amp;4,'Lot Entry'!$L$7:$L$2000,0),"")</f>
        <v>4</v>
      </c>
    </row>
    <row r="24" customFormat="false" ht="12.75" hidden="false" customHeight="true" outlineLevel="0" collapsed="false">
      <c r="A24" s="77" t="str">
        <f aca="false">IF($H24="","",INDEX('Lot Entry'!$B$7:$B$2000,$H24))</f>
        <v/>
      </c>
      <c r="B24" s="77" t="str">
        <f aca="false">IF($H24="","",INDEX('Lot Entry'!$C$7:$C$2000,$H24))</f>
        <v/>
      </c>
      <c r="C24" s="78" t="str">
        <f aca="false">IF($H24="","",INDEX('Lot Entry'!$D$7:$D$2000,$H24))</f>
        <v/>
      </c>
      <c r="D24" s="78" t="str">
        <f aca="false">IF($H24="","",INDEX('Lot Entry'!$H$7:$H$2000,$H24))</f>
        <v/>
      </c>
      <c r="E24" s="79" t="str">
        <f aca="false">IF($H24="","",INDEX('Lot Entry'!$I$7:$I$2000,$H24))</f>
        <v/>
      </c>
      <c r="F24" s="80" t="str">
        <f aca="false">IF($H24="","",INDEX('Lot Entry'!$G$7:$G$2000,$H24))</f>
        <v/>
      </c>
      <c r="G24" s="81" t="str">
        <f aca="false">IF($H24="","",INDEX('Lot Entry'!$J$7:$J$2000,$H24))</f>
        <v/>
      </c>
      <c r="H24" s="56" t="str">
        <f aca="false">IFERROR(MATCH($F$5&amp;"#"&amp;5,'Lot Entry'!$L$7:$L$2000,0),"")</f>
        <v/>
      </c>
    </row>
    <row r="25" customFormat="false" ht="12.75" hidden="false" customHeight="true" outlineLevel="0" collapsed="false">
      <c r="A25" s="77" t="str">
        <f aca="false">IF($H25="","",INDEX('Lot Entry'!$B$7:$B$2000,$H25))</f>
        <v/>
      </c>
      <c r="B25" s="77" t="str">
        <f aca="false">IF($H25="","",INDEX('Lot Entry'!$C$7:$C$2000,$H25))</f>
        <v/>
      </c>
      <c r="C25" s="78" t="str">
        <f aca="false">IF($H25="","",INDEX('Lot Entry'!$D$7:$D$2000,$H25))</f>
        <v/>
      </c>
      <c r="D25" s="78" t="str">
        <f aca="false">IF($H25="","",INDEX('Lot Entry'!$H$7:$H$2000,$H25))</f>
        <v/>
      </c>
      <c r="E25" s="79" t="str">
        <f aca="false">IF($H25="","",INDEX('Lot Entry'!$I$7:$I$2000,$H25))</f>
        <v/>
      </c>
      <c r="F25" s="80" t="str">
        <f aca="false">IF($H25="","",INDEX('Lot Entry'!$G$7:$G$2000,$H25))</f>
        <v/>
      </c>
      <c r="G25" s="81" t="str">
        <f aca="false">IF($H25="","",INDEX('Lot Entry'!$J$7:$J$2000,$H25))</f>
        <v/>
      </c>
      <c r="H25" s="56" t="str">
        <f aca="false">IFERROR(MATCH($F$5&amp;"#"&amp;6,'Lot Entry'!$L$7:$L$2000,0),"")</f>
        <v/>
      </c>
    </row>
    <row r="26" customFormat="false" ht="12.75" hidden="false" customHeight="true" outlineLevel="0" collapsed="false">
      <c r="A26" s="77" t="str">
        <f aca="false">IF($H26="","",INDEX('Lot Entry'!$B$7:$B$2000,$H26))</f>
        <v/>
      </c>
      <c r="B26" s="77" t="str">
        <f aca="false">IF($H26="","",INDEX('Lot Entry'!$C$7:$C$2000,$H26))</f>
        <v/>
      </c>
      <c r="C26" s="78" t="str">
        <f aca="false">IF($H26="","",INDEX('Lot Entry'!$D$7:$D$2000,$H26))</f>
        <v/>
      </c>
      <c r="D26" s="78" t="str">
        <f aca="false">IF($H26="","",INDEX('Lot Entry'!$H$7:$H$2000,$H26))</f>
        <v/>
      </c>
      <c r="E26" s="79" t="str">
        <f aca="false">IF($H26="","",INDEX('Lot Entry'!$I$7:$I$2000,$H26))</f>
        <v/>
      </c>
      <c r="F26" s="80" t="str">
        <f aca="false">IF($H26="","",INDEX('Lot Entry'!$G$7:$G$2000,$H26))</f>
        <v/>
      </c>
      <c r="G26" s="81" t="str">
        <f aca="false">IF($H26="","",INDEX('Lot Entry'!$J$7:$J$2000,$H26))</f>
        <v/>
      </c>
      <c r="H26" s="56" t="str">
        <f aca="false">IFERROR(MATCH($F$5&amp;"#"&amp;7,'Lot Entry'!$L$7:$L$2000,0),"")</f>
        <v/>
      </c>
    </row>
    <row r="27" customFormat="false" ht="12.75" hidden="false" customHeight="true" outlineLevel="0" collapsed="false">
      <c r="A27" s="77" t="str">
        <f aca="false">IF($H27="","",INDEX('Lot Entry'!$B$7:$B$2000,$H27))</f>
        <v/>
      </c>
      <c r="B27" s="77" t="str">
        <f aca="false">IF($H27="","",INDEX('Lot Entry'!$C$7:$C$2000,$H27))</f>
        <v/>
      </c>
      <c r="C27" s="78" t="str">
        <f aca="false">IF($H27="","",INDEX('Lot Entry'!$D$7:$D$2000,$H27))</f>
        <v/>
      </c>
      <c r="D27" s="78" t="str">
        <f aca="false">IF($H27="","",INDEX('Lot Entry'!$H$7:$H$2000,$H27))</f>
        <v/>
      </c>
      <c r="E27" s="79" t="str">
        <f aca="false">IF($H27="","",INDEX('Lot Entry'!$I$7:$I$2000,$H27))</f>
        <v/>
      </c>
      <c r="F27" s="80" t="str">
        <f aca="false">IF($H27="","",INDEX('Lot Entry'!$G$7:$G$2000,$H27))</f>
        <v/>
      </c>
      <c r="G27" s="81" t="str">
        <f aca="false">IF($H27="","",INDEX('Lot Entry'!$J$7:$J$2000,$H27))</f>
        <v/>
      </c>
      <c r="H27" s="56" t="str">
        <f aca="false">IFERROR(MATCH($F$5&amp;"#"&amp;8,'Lot Entry'!$L$7:$L$2000,0),"")</f>
        <v/>
      </c>
    </row>
    <row r="28" customFormat="false" ht="12.75" hidden="false" customHeight="true" outlineLevel="0" collapsed="false">
      <c r="A28" s="77" t="str">
        <f aca="false">IF($H28="","",INDEX('Lot Entry'!$B$7:$B$2000,$H28))</f>
        <v/>
      </c>
      <c r="B28" s="77" t="str">
        <f aca="false">IF($H28="","",INDEX('Lot Entry'!$C$7:$C$2000,$H28))</f>
        <v/>
      </c>
      <c r="C28" s="78" t="str">
        <f aca="false">IF($H28="","",INDEX('Lot Entry'!$D$7:$D$2000,$H28))</f>
        <v/>
      </c>
      <c r="D28" s="78" t="str">
        <f aca="false">IF($H28="","",INDEX('Lot Entry'!$H$7:$H$2000,$H28))</f>
        <v/>
      </c>
      <c r="E28" s="79" t="str">
        <f aca="false">IF($H28="","",INDEX('Lot Entry'!$I$7:$I$2000,$H28))</f>
        <v/>
      </c>
      <c r="F28" s="80" t="str">
        <f aca="false">IF($H28="","",INDEX('Lot Entry'!$G$7:$G$2000,$H28))</f>
        <v/>
      </c>
      <c r="G28" s="81" t="str">
        <f aca="false">IF($H28="","",INDEX('Lot Entry'!$J$7:$J$2000,$H28))</f>
        <v/>
      </c>
      <c r="H28" s="56" t="str">
        <f aca="false">IFERROR(MATCH($F$5&amp;"#"&amp;9,'Lot Entry'!$L$7:$L$2000,0),"")</f>
        <v/>
      </c>
    </row>
    <row r="29" customFormat="false" ht="12.75" hidden="false" customHeight="true" outlineLevel="0" collapsed="false">
      <c r="A29" s="77" t="str">
        <f aca="false">IF($H29="","",INDEX('Lot Entry'!$B$7:$B$2000,$H29))</f>
        <v/>
      </c>
      <c r="B29" s="77" t="str">
        <f aca="false">IF($H29="","",INDEX('Lot Entry'!$C$7:$C$2000,$H29))</f>
        <v/>
      </c>
      <c r="C29" s="78" t="str">
        <f aca="false">IF($H29="","",INDEX('Lot Entry'!$D$7:$D$2000,$H29))</f>
        <v/>
      </c>
      <c r="D29" s="78" t="str">
        <f aca="false">IF($H29="","",INDEX('Lot Entry'!$H$7:$H$2000,$H29))</f>
        <v/>
      </c>
      <c r="E29" s="79" t="str">
        <f aca="false">IF($H29="","",INDEX('Lot Entry'!$I$7:$I$2000,$H29))</f>
        <v/>
      </c>
      <c r="F29" s="80" t="str">
        <f aca="false">IF($H29="","",INDEX('Lot Entry'!$G$7:$G$2000,$H29))</f>
        <v/>
      </c>
      <c r="G29" s="81" t="str">
        <f aca="false">IF($H29="","",INDEX('Lot Entry'!$J$7:$J$2000,$H29))</f>
        <v/>
      </c>
      <c r="H29" s="56" t="str">
        <f aca="false">IFERROR(MATCH($F$5&amp;"#"&amp;10,'Lot Entry'!$L$7:$L$2000,0),"")</f>
        <v/>
      </c>
    </row>
    <row r="30" customFormat="false" ht="12.75" hidden="false" customHeight="true" outlineLevel="0" collapsed="false">
      <c r="A30" s="77" t="str">
        <f aca="false">IF($H30="","",INDEX('Lot Entry'!$B$7:$B$2000,$H30))</f>
        <v/>
      </c>
      <c r="B30" s="77" t="str">
        <f aca="false">IF($H30="","",INDEX('Lot Entry'!$C$7:$C$2000,$H30))</f>
        <v/>
      </c>
      <c r="C30" s="78" t="str">
        <f aca="false">IF($H30="","",INDEX('Lot Entry'!$D$7:$D$2000,$H30))</f>
        <v/>
      </c>
      <c r="D30" s="78" t="str">
        <f aca="false">IF($H30="","",INDEX('Lot Entry'!$H$7:$H$2000,$H30))</f>
        <v/>
      </c>
      <c r="E30" s="79" t="str">
        <f aca="false">IF($H30="","",INDEX('Lot Entry'!$I$7:$I$2000,$H30))</f>
        <v/>
      </c>
      <c r="F30" s="80" t="str">
        <f aca="false">IF($H30="","",INDEX('Lot Entry'!$G$7:$G$2000,$H30))</f>
        <v/>
      </c>
      <c r="G30" s="81" t="str">
        <f aca="false">IF($H30="","",INDEX('Lot Entry'!$J$7:$J$2000,$H30))</f>
        <v/>
      </c>
      <c r="H30" s="56" t="str">
        <f aca="false">IFERROR(MATCH($F$5&amp;"#"&amp;11,'Lot Entry'!$L$7:$L$2000,0),"")</f>
        <v/>
      </c>
    </row>
    <row r="31" customFormat="false" ht="12.75" hidden="false" customHeight="true" outlineLevel="0" collapsed="false">
      <c r="A31" s="77" t="str">
        <f aca="false">IF($H31="","",INDEX('Lot Entry'!$B$7:$B$2000,$H31))</f>
        <v/>
      </c>
      <c r="B31" s="77" t="str">
        <f aca="false">IF($H31="","",INDEX('Lot Entry'!$C$7:$C$2000,$H31))</f>
        <v/>
      </c>
      <c r="C31" s="78" t="str">
        <f aca="false">IF($H31="","",INDEX('Lot Entry'!$D$7:$D$2000,$H31))</f>
        <v/>
      </c>
      <c r="D31" s="78" t="str">
        <f aca="false">IF($H31="","",INDEX('Lot Entry'!$H$7:$H$2000,$H31))</f>
        <v/>
      </c>
      <c r="E31" s="79" t="str">
        <f aca="false">IF($H31="","",INDEX('Lot Entry'!$I$7:$I$2000,$H31))</f>
        <v/>
      </c>
      <c r="F31" s="80" t="str">
        <f aca="false">IF($H31="","",INDEX('Lot Entry'!$G$7:$G$2000,$H31))</f>
        <v/>
      </c>
      <c r="G31" s="81" t="str">
        <f aca="false">IF($H31="","",INDEX('Lot Entry'!$J$7:$J$2000,$H31))</f>
        <v/>
      </c>
      <c r="H31" s="56" t="str">
        <f aca="false">IFERROR(MATCH($F$5&amp;"#"&amp;12,'Lot Entry'!$L$7:$L$2000,0),"")</f>
        <v/>
      </c>
    </row>
    <row r="32" customFormat="false" ht="15" hidden="false" customHeight="false" outlineLevel="0" collapsed="false">
      <c r="A32" s="82" t="s">
        <v>78</v>
      </c>
      <c r="B32" s="82"/>
      <c r="C32" s="83" t="n">
        <f aca="false">SUM(C20:C31)</f>
        <v>1353</v>
      </c>
      <c r="D32" s="83" t="n">
        <f aca="false">SUM(D20:D31)</f>
        <v>2706</v>
      </c>
      <c r="E32" s="84" t="n">
        <f aca="false">SUM(E20:E31)</f>
        <v>2947.85</v>
      </c>
      <c r="F32" s="82"/>
      <c r="G32" s="85" t="n">
        <f aca="false">SUM(G20:G31)</f>
        <v>18581</v>
      </c>
    </row>
    <row r="33" customFormat="false" ht="15" hidden="false" customHeight="false" outlineLevel="0" collapsed="false">
      <c r="A33" s="86" t="str">
        <f aca="false">IF($H$1="","",IF(COUNTIF('Lot Entry'!$A$7:$A$2000,$F$5)&gt;12,"Note: "&amp;(COUNTIF('Lot Entry'!$A$7:$A$2000,$F$5)-12)&amp;" further grade line(s) — see Lot Entry.",""))</f>
        <v/>
      </c>
      <c r="B33" s="86"/>
      <c r="C33" s="86"/>
      <c r="D33" s="86"/>
      <c r="E33" s="86"/>
      <c r="F33" s="86"/>
      <c r="G33" s="86"/>
    </row>
    <row r="34" customFormat="false" ht="15.75" hidden="false" customHeight="true" outlineLevel="0" collapsed="false">
      <c r="A34" s="74" t="s">
        <v>150</v>
      </c>
      <c r="B34" s="74"/>
      <c r="C34" s="74"/>
      <c r="D34" s="74"/>
      <c r="E34" s="74"/>
      <c r="F34" s="74"/>
      <c r="G34" s="74"/>
    </row>
    <row r="35" customFormat="false" ht="19.5" hidden="false" customHeight="true" outlineLevel="0" collapsed="false">
      <c r="A35" s="75" t="s">
        <v>63</v>
      </c>
      <c r="B35" s="75"/>
      <c r="C35" s="76" t="s">
        <v>151</v>
      </c>
      <c r="D35" s="76" t="s">
        <v>152</v>
      </c>
      <c r="E35" s="76"/>
      <c r="F35" s="76"/>
      <c r="G35" s="76"/>
    </row>
    <row r="36" customFormat="false" ht="12" hidden="false" customHeight="true" outlineLevel="0" collapsed="false">
      <c r="A36" s="87" t="s">
        <v>65</v>
      </c>
      <c r="B36" s="87"/>
      <c r="C36" s="88" t="n">
        <f aca="false">IF($H$1="","",IF(INDEX(Lots!$W$8:$W$200,$H$1)="",Expenses!$B$6,INDEX(Lots!$W$8:$W$200,$H$1)))</f>
        <v>15</v>
      </c>
      <c r="D36" s="89" t="n">
        <f aca="false">IF($H$1="","",$C36*INDEX(Lots!$M$8:$M$200,$H$1))</f>
        <v>40590</v>
      </c>
      <c r="F36" s="90" t="s">
        <v>153</v>
      </c>
      <c r="G36" s="91" t="n">
        <f aca="false">IF($H$1="","",INDEX(Lots!$Q$8:$Q$200,$H$1))</f>
        <v>1672290</v>
      </c>
    </row>
    <row r="37" customFormat="false" ht="12" hidden="false" customHeight="true" outlineLevel="0" collapsed="false">
      <c r="A37" s="92" t="s">
        <v>66</v>
      </c>
      <c r="B37" s="92"/>
      <c r="C37" s="93" t="n">
        <f aca="false">IF($H$1="","",IF(INDEX(Lots!$X$8:$X$200,$H$1)="",Expenses!$B$7,INDEX(Lots!$X$8:$X$200,$H$1)))</f>
        <v>1.94</v>
      </c>
      <c r="D37" s="94" t="n">
        <f aca="false">IF($H$1="","",$C37*INDEX(Lots!$M$8:$M$200,$H$1))</f>
        <v>5249.64</v>
      </c>
      <c r="F37" s="95" t="s">
        <v>154</v>
      </c>
      <c r="G37" s="96" t="n">
        <f aca="false">IF($H$1="","",INDEX(Lots!$K$8:$K$200,$H$1))</f>
        <v>1527705</v>
      </c>
    </row>
    <row r="38" customFormat="false" ht="12" hidden="false" customHeight="true" outlineLevel="0" collapsed="false">
      <c r="A38" s="87" t="s">
        <v>67</v>
      </c>
      <c r="B38" s="87"/>
      <c r="C38" s="88" t="n">
        <f aca="false">IF($H$1="","",IF(INDEX(Lots!$Y$8:$Y$200,$H$1)="",Expenses!$B$8,INDEX(Lots!$Y$8:$Y$200,$H$1)))</f>
        <v>2.6</v>
      </c>
      <c r="D38" s="89" t="n">
        <f aca="false">IF($H$1="","",$C38*INDEX(Lots!$M$8:$M$200,$H$1))</f>
        <v>7035.6</v>
      </c>
      <c r="F38" s="90" t="s">
        <v>155</v>
      </c>
      <c r="G38" s="91" t="n">
        <f aca="false">IF($H$1="","",INDEX(Lots!$S$8:$S$200,$H$1))</f>
        <v>107428.2</v>
      </c>
    </row>
    <row r="39" customFormat="false" ht="12" hidden="false" customHeight="true" outlineLevel="0" collapsed="false">
      <c r="A39" s="92" t="s">
        <v>68</v>
      </c>
      <c r="B39" s="92"/>
      <c r="C39" s="93" t="n">
        <f aca="false">IF($H$1="","",IF(INDEX(Lots!$Z$8:$Z$200,$H$1)="",Expenses!$B$9,INDEX(Lots!$Z$8:$Z$200,$H$1)))</f>
        <v>0.15</v>
      </c>
      <c r="D39" s="94" t="n">
        <f aca="false">IF($H$1="","",$C39*INDEX(Lots!$M$8:$M$200,$H$1))</f>
        <v>405.9</v>
      </c>
      <c r="F39" s="95" t="s">
        <v>156</v>
      </c>
      <c r="G39" s="96" t="n">
        <f aca="false">IF($H$1="","",INDEX(Lots!$T$8:$T$200,$H$1))</f>
        <v>1635133.2</v>
      </c>
    </row>
    <row r="40" customFormat="false" ht="12" hidden="false" customHeight="true" outlineLevel="0" collapsed="false">
      <c r="A40" s="87" t="s">
        <v>69</v>
      </c>
      <c r="B40" s="87"/>
      <c r="C40" s="88" t="n">
        <f aca="false">IF($H$1="","",IF(INDEX(Lots!$AA$8:$AA$200,$H$1)="",Expenses!$B$10,INDEX(Lots!$AA$8:$AA$200,$H$1)))</f>
        <v>0.75</v>
      </c>
      <c r="D40" s="89" t="n">
        <f aca="false">IF($H$1="","",$C40*INDEX(Lots!$M$8:$M$200,$H$1))</f>
        <v>2029.5</v>
      </c>
      <c r="F40" s="97" t="s">
        <v>147</v>
      </c>
      <c r="G40" s="98" t="n">
        <f aca="false">IF($H$1="","",INDEX(Lots!$U$8:$U$200,$H$1))</f>
        <v>37156.8000000001</v>
      </c>
    </row>
    <row r="41" customFormat="false" ht="12" hidden="false" customHeight="true" outlineLevel="0" collapsed="false">
      <c r="A41" s="92" t="s">
        <v>70</v>
      </c>
      <c r="B41" s="92"/>
      <c r="C41" s="93" t="n">
        <f aca="false">IF($H$1="","",IF(INDEX(Lots!$AB$8:$AB$200,$H$1)="",Expenses!$B$11,INDEX(Lots!$AB$8:$AB$200,$H$1)))</f>
        <v>10</v>
      </c>
      <c r="D41" s="94" t="n">
        <f aca="false">IF($H$1="","",$C41*INDEX(Lots!$M$8:$M$200,$H$1))</f>
        <v>27060</v>
      </c>
      <c r="F41" s="95" t="s">
        <v>157</v>
      </c>
      <c r="G41" s="99" t="n">
        <f aca="false">IF($H$1="","",INDEX(Lots!$V$8:$V$200,$H$1))</f>
        <v>6.20210315473211</v>
      </c>
    </row>
    <row r="42" customFormat="false" ht="12" hidden="false" customHeight="true" outlineLevel="0" collapsed="false">
      <c r="A42" s="87" t="s">
        <v>71</v>
      </c>
      <c r="B42" s="87"/>
      <c r="C42" s="88" t="n">
        <f aca="false">IF($H$1="","",IF(INDEX(Lots!$AC$8:$AC$200,$H$1)="",Expenses!$B$12,INDEX(Lots!$AC$8:$AC$200,$H$1)))</f>
        <v>1.75</v>
      </c>
      <c r="D42" s="89" t="n">
        <f aca="false">IF($H$1="","",$C42*INDEX(Lots!$M$8:$M$200,$H$1))</f>
        <v>4735.5</v>
      </c>
    </row>
    <row r="43" customFormat="false" ht="12" hidden="false" customHeight="true" outlineLevel="0" collapsed="false">
      <c r="A43" s="92" t="s">
        <v>72</v>
      </c>
      <c r="B43" s="92"/>
      <c r="C43" s="93" t="n">
        <f aca="false">IF($H$1="","",IF(INDEX(Lots!$AD$8:$AD$200,$H$1)="",Expenses!$B$13,INDEX(Lots!$AD$8:$AD$200,$H$1)))</f>
        <v>0.25</v>
      </c>
      <c r="D43" s="94" t="n">
        <f aca="false">IF($H$1="","",$C43*INDEX(Lots!$M$8:$M$200,$H$1))</f>
        <v>676.5</v>
      </c>
    </row>
    <row r="44" customFormat="false" ht="12" hidden="false" customHeight="true" outlineLevel="0" collapsed="false">
      <c r="A44" s="87" t="s">
        <v>73</v>
      </c>
      <c r="B44" s="87"/>
      <c r="C44" s="88" t="n">
        <f aca="false">IF($H$1="","",IF(INDEX(Lots!$AE$8:$AE$200,$H$1)="",Expenses!$B$14,INDEX(Lots!$AE$8:$AE$200,$H$1)))</f>
        <v>0.06</v>
      </c>
      <c r="D44" s="89" t="n">
        <f aca="false">IF($H$1="","",$C44*INDEX(Lots!$M$8:$M$200,$H$1))</f>
        <v>162.36</v>
      </c>
    </row>
    <row r="45" customFormat="false" ht="12" hidden="false" customHeight="true" outlineLevel="0" collapsed="false">
      <c r="A45" s="92" t="s">
        <v>74</v>
      </c>
      <c r="B45" s="92"/>
      <c r="C45" s="93" t="n">
        <f aca="false">IF($H$1="","",IF(INDEX(Lots!$AF$8:$AF$200,$H$1)="",Expenses!$B$15,INDEX(Lots!$AF$8:$AF$200,$H$1)))</f>
        <v>0.1</v>
      </c>
      <c r="D45" s="94" t="n">
        <f aca="false">IF($H$1="","",$C45*INDEX(Lots!$M$8:$M$200,$H$1))</f>
        <v>270.6</v>
      </c>
    </row>
    <row r="46" customFormat="false" ht="12" hidden="false" customHeight="true" outlineLevel="0" collapsed="false">
      <c r="A46" s="87" t="s">
        <v>75</v>
      </c>
      <c r="B46" s="87"/>
      <c r="C46" s="88" t="n">
        <f aca="false">IF($H$1="","",IF(INDEX(Lots!$AG$8:$AG$200,$H$1)="",Expenses!$B$16,INDEX(Lots!$AG$8:$AG$200,$H$1)))</f>
        <v>0.1</v>
      </c>
      <c r="D46" s="89" t="n">
        <f aca="false">IF($H$1="","",$C46*INDEX(Lots!$M$8:$M$200,$H$1))</f>
        <v>270.6</v>
      </c>
    </row>
    <row r="47" customFormat="false" ht="12" hidden="false" customHeight="true" outlineLevel="0" collapsed="false">
      <c r="A47" s="92" t="s">
        <v>76</v>
      </c>
      <c r="B47" s="92"/>
      <c r="C47" s="93" t="n">
        <f aca="false">IF($H$1="","",IF(INDEX(Lots!$AH$8:$AH$200,$H$1)="",Expenses!$B$17,INDEX(Lots!$AH$8:$AH$200,$H$1)))</f>
        <v>5</v>
      </c>
      <c r="D47" s="94" t="n">
        <f aca="false">IF($H$1="","",$C47*INDEX(Lots!$M$8:$M$200,$H$1))</f>
        <v>13530</v>
      </c>
    </row>
    <row r="48" customFormat="false" ht="12" hidden="false" customHeight="true" outlineLevel="0" collapsed="false">
      <c r="A48" s="87" t="s">
        <v>77</v>
      </c>
      <c r="B48" s="87"/>
      <c r="C48" s="88" t="n">
        <f aca="false">IF($H$1="","",IF(INDEX(Lots!$AI$8:$AI$200,$H$1)="",Expenses!$B$18,INDEX(Lots!$AI$8:$AI$200,$H$1)))</f>
        <v>2</v>
      </c>
      <c r="D48" s="89" t="n">
        <f aca="false">IF($H$1="","",$C48*INDEX(Lots!$M$8:$M$200,$H$1))</f>
        <v>5412</v>
      </c>
    </row>
    <row r="49" customFormat="false" ht="15" hidden="false" customHeight="false" outlineLevel="0" collapsed="false">
      <c r="A49" s="82" t="s">
        <v>158</v>
      </c>
      <c r="B49" s="82"/>
      <c r="C49" s="100" t="n">
        <f aca="false">SUM(C36:C48)</f>
        <v>39.7</v>
      </c>
      <c r="D49" s="101" t="n">
        <f aca="false">SUM(D36:D48)</f>
        <v>107428.2</v>
      </c>
    </row>
    <row r="51" customFormat="false" ht="15" hidden="false" customHeight="false" outlineLevel="0" collapsed="false">
      <c r="A51" s="102" t="s">
        <v>159</v>
      </c>
      <c r="B51" s="102"/>
      <c r="C51" s="102"/>
      <c r="D51" s="102"/>
      <c r="E51" s="102"/>
      <c r="F51" s="102"/>
      <c r="G51" s="102"/>
    </row>
    <row r="52" customFormat="false" ht="15" hidden="false" customHeight="false" outlineLevel="0" collapsed="false">
      <c r="A52" s="103" t="str">
        <f aca="false">IF($H$1="","No lot of that number is on the Lots sheet — check cell F5.","")</f>
        <v/>
      </c>
      <c r="B52" s="103"/>
      <c r="C52" s="103"/>
      <c r="D52" s="103"/>
      <c r="E52" s="103"/>
      <c r="F52" s="103"/>
      <c r="G52" s="103"/>
    </row>
  </sheetData>
  <sheetProtection sheet="true" password="df10" objects="true" scenarios="true" autoFilter="false"/>
  <mergeCells count="40">
    <mergeCell ref="E1:G1"/>
    <mergeCell ref="E2:G2"/>
    <mergeCell ref="E3:G3"/>
    <mergeCell ref="F5:G5"/>
    <mergeCell ref="F6:G6"/>
    <mergeCell ref="B8:C8"/>
    <mergeCell ref="E8:F8"/>
    <mergeCell ref="B9:C9"/>
    <mergeCell ref="E9:F9"/>
    <mergeCell ref="B10:C10"/>
    <mergeCell ref="E10:F10"/>
    <mergeCell ref="B11:C11"/>
    <mergeCell ref="E11:F11"/>
    <mergeCell ref="E12:F12"/>
    <mergeCell ref="E13:F13"/>
    <mergeCell ref="B15:C15"/>
    <mergeCell ref="D15:E15"/>
    <mergeCell ref="F15:G15"/>
    <mergeCell ref="B16:C16"/>
    <mergeCell ref="D16:E16"/>
    <mergeCell ref="F16:G16"/>
    <mergeCell ref="A18:G18"/>
    <mergeCell ref="A33:G33"/>
    <mergeCell ref="A34:G34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1:G51"/>
    <mergeCell ref="A52:G52"/>
  </mergeCells>
  <conditionalFormatting sqref="A20:G31">
    <cfRule type="expression" priority="2" aboveAverage="0" equalAverage="0" bottom="0" percent="0" rank="0" text="" dxfId="8">
      <formula>$A20&lt;&gt;""</formula>
    </cfRule>
  </conditionalFormatting>
  <dataValidations count="1">
    <dataValidation allowBlank="true" errorStyle="stop" operator="between" showDropDown="false" showErrorMessage="false" showInputMessage="false" sqref="F5" type="list">
      <formula1>LotList</formula1>
      <formula2>0</formula2>
    </dataValidation>
  </dataValidation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5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160</v>
      </c>
    </row>
    <row r="6" customFormat="false" ht="27.75" hidden="false" customHeight="true" outlineLevel="0" collapsed="false">
      <c r="A6" s="8" t="s">
        <v>81</v>
      </c>
      <c r="B6" s="8" t="s">
        <v>136</v>
      </c>
      <c r="C6" s="8" t="s">
        <v>84</v>
      </c>
      <c r="D6" s="9" t="s">
        <v>161</v>
      </c>
      <c r="E6" s="9" t="s">
        <v>95</v>
      </c>
      <c r="F6" s="9" t="s">
        <v>162</v>
      </c>
      <c r="G6" s="9" t="s">
        <v>153</v>
      </c>
      <c r="H6" s="9" t="s">
        <v>163</v>
      </c>
      <c r="I6" s="9" t="s">
        <v>102</v>
      </c>
    </row>
    <row r="7" customFormat="false" ht="12.75" hidden="false" customHeight="true" outlineLevel="0" collapsed="false">
      <c r="A7" s="87" t="str">
        <f aca="false">IF(Lots!$A$8="","",Lots!$A$8)</f>
        <v>C 1374</v>
      </c>
      <c r="B7" s="104" t="n">
        <f aca="false">IF(Lots!$A$8="","",Lots!$C$8)</f>
        <v>46253</v>
      </c>
      <c r="C7" s="87" t="str">
        <f aca="false">IF(Lots!$A$8="","",Lots!$D$8)</f>
        <v>FRIENDS FISHERIES KARWAR</v>
      </c>
      <c r="D7" s="105" t="n">
        <f aca="false">IF(Lots!$A$8="","",Lots!$F$8)</f>
        <v>5991</v>
      </c>
      <c r="E7" s="106" t="n">
        <f aca="false">IF(Lots!$A$8="","",Lots!$O$8)</f>
        <v>0.49204640293774</v>
      </c>
      <c r="F7" s="88" t="n">
        <f aca="false">IF(Lots!$A$8="","",Lots!$L$8)</f>
        <v>255</v>
      </c>
      <c r="G7" s="89" t="n">
        <f aca="false">IF(Lots!$A$8="","",Lots!$Q$8)</f>
        <v>1672290</v>
      </c>
      <c r="H7" s="91" t="n">
        <f aca="false">IF(Lots!$A$8="","",Lots!$U$8)</f>
        <v>37156.8000000001</v>
      </c>
      <c r="I7" s="88" t="n">
        <f aca="false">IF(Lots!$A$8="","",Lots!$V$8)</f>
        <v>6.20210315473211</v>
      </c>
    </row>
    <row r="8" customFormat="false" ht="12.75" hidden="false" customHeight="true" outlineLevel="0" collapsed="false">
      <c r="A8" s="92" t="str">
        <f aca="false">IF(Lots!$A$9="","",Lots!$A$9)</f>
        <v/>
      </c>
      <c r="B8" s="107" t="str">
        <f aca="false">IF(Lots!$A$9="","",Lots!$C$9)</f>
        <v/>
      </c>
      <c r="C8" s="92" t="str">
        <f aca="false">IF(Lots!$A$9="","",Lots!$D$9)</f>
        <v/>
      </c>
      <c r="D8" s="108" t="str">
        <f aca="false">IF(Lots!$A$9="","",Lots!$F$9)</f>
        <v/>
      </c>
      <c r="E8" s="109" t="str">
        <f aca="false">IF(Lots!$A$9="","",Lots!$O$9)</f>
        <v/>
      </c>
      <c r="F8" s="93" t="str">
        <f aca="false">IF(Lots!$A$9="","",Lots!$L$9)</f>
        <v/>
      </c>
      <c r="G8" s="94" t="str">
        <f aca="false">IF(Lots!$A$9="","",Lots!$Q$9)</f>
        <v/>
      </c>
      <c r="H8" s="96" t="str">
        <f aca="false">IF(Lots!$A$9="","",Lots!$U$9)</f>
        <v/>
      </c>
      <c r="I8" s="93" t="str">
        <f aca="false">IF(Lots!$A$9="","",Lots!$V$9)</f>
        <v/>
      </c>
    </row>
    <row r="9" customFormat="false" ht="12.75" hidden="false" customHeight="true" outlineLevel="0" collapsed="false">
      <c r="A9" s="87" t="str">
        <f aca="false">IF(Lots!$A$10="","",Lots!$A$10)</f>
        <v/>
      </c>
      <c r="B9" s="104" t="str">
        <f aca="false">IF(Lots!$A$10="","",Lots!$C$10)</f>
        <v/>
      </c>
      <c r="C9" s="87" t="str">
        <f aca="false">IF(Lots!$A$10="","",Lots!$D$10)</f>
        <v/>
      </c>
      <c r="D9" s="105" t="str">
        <f aca="false">IF(Lots!$A$10="","",Lots!$F$10)</f>
        <v/>
      </c>
      <c r="E9" s="106" t="str">
        <f aca="false">IF(Lots!$A$10="","",Lots!$O$10)</f>
        <v/>
      </c>
      <c r="F9" s="88" t="str">
        <f aca="false">IF(Lots!$A$10="","",Lots!$L$10)</f>
        <v/>
      </c>
      <c r="G9" s="89" t="str">
        <f aca="false">IF(Lots!$A$10="","",Lots!$Q$10)</f>
        <v/>
      </c>
      <c r="H9" s="91" t="str">
        <f aca="false">IF(Lots!$A$10="","",Lots!$U$10)</f>
        <v/>
      </c>
      <c r="I9" s="88" t="str">
        <f aca="false">IF(Lots!$A$10="","",Lots!$V$10)</f>
        <v/>
      </c>
    </row>
    <row r="10" customFormat="false" ht="12.75" hidden="false" customHeight="true" outlineLevel="0" collapsed="false">
      <c r="A10" s="92" t="str">
        <f aca="false">IF(Lots!$A$11="","",Lots!$A$11)</f>
        <v/>
      </c>
      <c r="B10" s="107" t="str">
        <f aca="false">IF(Lots!$A$11="","",Lots!$C$11)</f>
        <v/>
      </c>
      <c r="C10" s="92" t="str">
        <f aca="false">IF(Lots!$A$11="","",Lots!$D$11)</f>
        <v/>
      </c>
      <c r="D10" s="108" t="str">
        <f aca="false">IF(Lots!$A$11="","",Lots!$F$11)</f>
        <v/>
      </c>
      <c r="E10" s="109" t="str">
        <f aca="false">IF(Lots!$A$11="","",Lots!$O$11)</f>
        <v/>
      </c>
      <c r="F10" s="93" t="str">
        <f aca="false">IF(Lots!$A$11="","",Lots!$L$11)</f>
        <v/>
      </c>
      <c r="G10" s="94" t="str">
        <f aca="false">IF(Lots!$A$11="","",Lots!$Q$11)</f>
        <v/>
      </c>
      <c r="H10" s="96" t="str">
        <f aca="false">IF(Lots!$A$11="","",Lots!$U$11)</f>
        <v/>
      </c>
      <c r="I10" s="93" t="str">
        <f aca="false">IF(Lots!$A$11="","",Lots!$V$11)</f>
        <v/>
      </c>
    </row>
    <row r="11" customFormat="false" ht="12.75" hidden="false" customHeight="true" outlineLevel="0" collapsed="false">
      <c r="A11" s="87" t="str">
        <f aca="false">IF(Lots!$A$12="","",Lots!$A$12)</f>
        <v/>
      </c>
      <c r="B11" s="104" t="str">
        <f aca="false">IF(Lots!$A$12="","",Lots!$C$12)</f>
        <v/>
      </c>
      <c r="C11" s="87" t="str">
        <f aca="false">IF(Lots!$A$12="","",Lots!$D$12)</f>
        <v/>
      </c>
      <c r="D11" s="105" t="str">
        <f aca="false">IF(Lots!$A$12="","",Lots!$F$12)</f>
        <v/>
      </c>
      <c r="E11" s="106" t="str">
        <f aca="false">IF(Lots!$A$12="","",Lots!$O$12)</f>
        <v/>
      </c>
      <c r="F11" s="88" t="str">
        <f aca="false">IF(Lots!$A$12="","",Lots!$L$12)</f>
        <v/>
      </c>
      <c r="G11" s="89" t="str">
        <f aca="false">IF(Lots!$A$12="","",Lots!$Q$12)</f>
        <v/>
      </c>
      <c r="H11" s="91" t="str">
        <f aca="false">IF(Lots!$A$12="","",Lots!$U$12)</f>
        <v/>
      </c>
      <c r="I11" s="88" t="str">
        <f aca="false">IF(Lots!$A$12="","",Lots!$V$12)</f>
        <v/>
      </c>
    </row>
    <row r="12" customFormat="false" ht="12.75" hidden="false" customHeight="true" outlineLevel="0" collapsed="false">
      <c r="A12" s="92" t="str">
        <f aca="false">IF(Lots!$A$13="","",Lots!$A$13)</f>
        <v/>
      </c>
      <c r="B12" s="107" t="str">
        <f aca="false">IF(Lots!$A$13="","",Lots!$C$13)</f>
        <v/>
      </c>
      <c r="C12" s="92" t="str">
        <f aca="false">IF(Lots!$A$13="","",Lots!$D$13)</f>
        <v/>
      </c>
      <c r="D12" s="108" t="str">
        <f aca="false">IF(Lots!$A$13="","",Lots!$F$13)</f>
        <v/>
      </c>
      <c r="E12" s="109" t="str">
        <f aca="false">IF(Lots!$A$13="","",Lots!$O$13)</f>
        <v/>
      </c>
      <c r="F12" s="93" t="str">
        <f aca="false">IF(Lots!$A$13="","",Lots!$L$13)</f>
        <v/>
      </c>
      <c r="G12" s="94" t="str">
        <f aca="false">IF(Lots!$A$13="","",Lots!$Q$13)</f>
        <v/>
      </c>
      <c r="H12" s="96" t="str">
        <f aca="false">IF(Lots!$A$13="","",Lots!$U$13)</f>
        <v/>
      </c>
      <c r="I12" s="93" t="str">
        <f aca="false">IF(Lots!$A$13="","",Lots!$V$13)</f>
        <v/>
      </c>
    </row>
    <row r="13" customFormat="false" ht="12.75" hidden="false" customHeight="true" outlineLevel="0" collapsed="false">
      <c r="A13" s="87" t="str">
        <f aca="false">IF(Lots!$A$14="","",Lots!$A$14)</f>
        <v/>
      </c>
      <c r="B13" s="104" t="str">
        <f aca="false">IF(Lots!$A$14="","",Lots!$C$14)</f>
        <v/>
      </c>
      <c r="C13" s="87" t="str">
        <f aca="false">IF(Lots!$A$14="","",Lots!$D$14)</f>
        <v/>
      </c>
      <c r="D13" s="105" t="str">
        <f aca="false">IF(Lots!$A$14="","",Lots!$F$14)</f>
        <v/>
      </c>
      <c r="E13" s="106" t="str">
        <f aca="false">IF(Lots!$A$14="","",Lots!$O$14)</f>
        <v/>
      </c>
      <c r="F13" s="88" t="str">
        <f aca="false">IF(Lots!$A$14="","",Lots!$L$14)</f>
        <v/>
      </c>
      <c r="G13" s="89" t="str">
        <f aca="false">IF(Lots!$A$14="","",Lots!$Q$14)</f>
        <v/>
      </c>
      <c r="H13" s="91" t="str">
        <f aca="false">IF(Lots!$A$14="","",Lots!$U$14)</f>
        <v/>
      </c>
      <c r="I13" s="88" t="str">
        <f aca="false">IF(Lots!$A$14="","",Lots!$V$14)</f>
        <v/>
      </c>
    </row>
    <row r="14" customFormat="false" ht="12.75" hidden="false" customHeight="true" outlineLevel="0" collapsed="false">
      <c r="A14" s="92" t="str">
        <f aca="false">IF(Lots!$A$15="","",Lots!$A$15)</f>
        <v/>
      </c>
      <c r="B14" s="107" t="str">
        <f aca="false">IF(Lots!$A$15="","",Lots!$C$15)</f>
        <v/>
      </c>
      <c r="C14" s="92" t="str">
        <f aca="false">IF(Lots!$A$15="","",Lots!$D$15)</f>
        <v/>
      </c>
      <c r="D14" s="108" t="str">
        <f aca="false">IF(Lots!$A$15="","",Lots!$F$15)</f>
        <v/>
      </c>
      <c r="E14" s="109" t="str">
        <f aca="false">IF(Lots!$A$15="","",Lots!$O$15)</f>
        <v/>
      </c>
      <c r="F14" s="93" t="str">
        <f aca="false">IF(Lots!$A$15="","",Lots!$L$15)</f>
        <v/>
      </c>
      <c r="G14" s="94" t="str">
        <f aca="false">IF(Lots!$A$15="","",Lots!$Q$15)</f>
        <v/>
      </c>
      <c r="H14" s="96" t="str">
        <f aca="false">IF(Lots!$A$15="","",Lots!$U$15)</f>
        <v/>
      </c>
      <c r="I14" s="93" t="str">
        <f aca="false">IF(Lots!$A$15="","",Lots!$V$15)</f>
        <v/>
      </c>
    </row>
    <row r="15" customFormat="false" ht="12.75" hidden="false" customHeight="true" outlineLevel="0" collapsed="false">
      <c r="A15" s="87" t="str">
        <f aca="false">IF(Lots!$A$16="","",Lots!$A$16)</f>
        <v/>
      </c>
      <c r="B15" s="104" t="str">
        <f aca="false">IF(Lots!$A$16="","",Lots!$C$16)</f>
        <v/>
      </c>
      <c r="C15" s="87" t="str">
        <f aca="false">IF(Lots!$A$16="","",Lots!$D$16)</f>
        <v/>
      </c>
      <c r="D15" s="105" t="str">
        <f aca="false">IF(Lots!$A$16="","",Lots!$F$16)</f>
        <v/>
      </c>
      <c r="E15" s="106" t="str">
        <f aca="false">IF(Lots!$A$16="","",Lots!$O$16)</f>
        <v/>
      </c>
      <c r="F15" s="88" t="str">
        <f aca="false">IF(Lots!$A$16="","",Lots!$L$16)</f>
        <v/>
      </c>
      <c r="G15" s="89" t="str">
        <f aca="false">IF(Lots!$A$16="","",Lots!$Q$16)</f>
        <v/>
      </c>
      <c r="H15" s="91" t="str">
        <f aca="false">IF(Lots!$A$16="","",Lots!$U$16)</f>
        <v/>
      </c>
      <c r="I15" s="88" t="str">
        <f aca="false">IF(Lots!$A$16="","",Lots!$V$16)</f>
        <v/>
      </c>
    </row>
    <row r="16" customFormat="false" ht="12.75" hidden="false" customHeight="true" outlineLevel="0" collapsed="false">
      <c r="A16" s="92" t="str">
        <f aca="false">IF(Lots!$A$17="","",Lots!$A$17)</f>
        <v/>
      </c>
      <c r="B16" s="107" t="str">
        <f aca="false">IF(Lots!$A$17="","",Lots!$C$17)</f>
        <v/>
      </c>
      <c r="C16" s="92" t="str">
        <f aca="false">IF(Lots!$A$17="","",Lots!$D$17)</f>
        <v/>
      </c>
      <c r="D16" s="108" t="str">
        <f aca="false">IF(Lots!$A$17="","",Lots!$F$17)</f>
        <v/>
      </c>
      <c r="E16" s="109" t="str">
        <f aca="false">IF(Lots!$A$17="","",Lots!$O$17)</f>
        <v/>
      </c>
      <c r="F16" s="93" t="str">
        <f aca="false">IF(Lots!$A$17="","",Lots!$L$17)</f>
        <v/>
      </c>
      <c r="G16" s="94" t="str">
        <f aca="false">IF(Lots!$A$17="","",Lots!$Q$17)</f>
        <v/>
      </c>
      <c r="H16" s="96" t="str">
        <f aca="false">IF(Lots!$A$17="","",Lots!$U$17)</f>
        <v/>
      </c>
      <c r="I16" s="93" t="str">
        <f aca="false">IF(Lots!$A$17="","",Lots!$V$17)</f>
        <v/>
      </c>
    </row>
    <row r="17" customFormat="false" ht="12.75" hidden="false" customHeight="true" outlineLevel="0" collapsed="false">
      <c r="A17" s="87" t="str">
        <f aca="false">IF(Lots!$A$18="","",Lots!$A$18)</f>
        <v/>
      </c>
      <c r="B17" s="104" t="str">
        <f aca="false">IF(Lots!$A$18="","",Lots!$C$18)</f>
        <v/>
      </c>
      <c r="C17" s="87" t="str">
        <f aca="false">IF(Lots!$A$18="","",Lots!$D$18)</f>
        <v/>
      </c>
      <c r="D17" s="105" t="str">
        <f aca="false">IF(Lots!$A$18="","",Lots!$F$18)</f>
        <v/>
      </c>
      <c r="E17" s="106" t="str">
        <f aca="false">IF(Lots!$A$18="","",Lots!$O$18)</f>
        <v/>
      </c>
      <c r="F17" s="88" t="str">
        <f aca="false">IF(Lots!$A$18="","",Lots!$L$18)</f>
        <v/>
      </c>
      <c r="G17" s="89" t="str">
        <f aca="false">IF(Lots!$A$18="","",Lots!$Q$18)</f>
        <v/>
      </c>
      <c r="H17" s="91" t="str">
        <f aca="false">IF(Lots!$A$18="","",Lots!$U$18)</f>
        <v/>
      </c>
      <c r="I17" s="88" t="str">
        <f aca="false">IF(Lots!$A$18="","",Lots!$V$18)</f>
        <v/>
      </c>
    </row>
    <row r="18" customFormat="false" ht="12.75" hidden="false" customHeight="true" outlineLevel="0" collapsed="false">
      <c r="A18" s="92" t="str">
        <f aca="false">IF(Lots!$A$19="","",Lots!$A$19)</f>
        <v/>
      </c>
      <c r="B18" s="107" t="str">
        <f aca="false">IF(Lots!$A$19="","",Lots!$C$19)</f>
        <v/>
      </c>
      <c r="C18" s="92" t="str">
        <f aca="false">IF(Lots!$A$19="","",Lots!$D$19)</f>
        <v/>
      </c>
      <c r="D18" s="108" t="str">
        <f aca="false">IF(Lots!$A$19="","",Lots!$F$19)</f>
        <v/>
      </c>
      <c r="E18" s="109" t="str">
        <f aca="false">IF(Lots!$A$19="","",Lots!$O$19)</f>
        <v/>
      </c>
      <c r="F18" s="93" t="str">
        <f aca="false">IF(Lots!$A$19="","",Lots!$L$19)</f>
        <v/>
      </c>
      <c r="G18" s="94" t="str">
        <f aca="false">IF(Lots!$A$19="","",Lots!$Q$19)</f>
        <v/>
      </c>
      <c r="H18" s="96" t="str">
        <f aca="false">IF(Lots!$A$19="","",Lots!$U$19)</f>
        <v/>
      </c>
      <c r="I18" s="93" t="str">
        <f aca="false">IF(Lots!$A$19="","",Lots!$V$19)</f>
        <v/>
      </c>
    </row>
    <row r="19" customFormat="false" ht="12.75" hidden="false" customHeight="true" outlineLevel="0" collapsed="false">
      <c r="A19" s="87" t="str">
        <f aca="false">IF(Lots!$A$20="","",Lots!$A$20)</f>
        <v/>
      </c>
      <c r="B19" s="104" t="str">
        <f aca="false">IF(Lots!$A$20="","",Lots!$C$20)</f>
        <v/>
      </c>
      <c r="C19" s="87" t="str">
        <f aca="false">IF(Lots!$A$20="","",Lots!$D$20)</f>
        <v/>
      </c>
      <c r="D19" s="105" t="str">
        <f aca="false">IF(Lots!$A$20="","",Lots!$F$20)</f>
        <v/>
      </c>
      <c r="E19" s="106" t="str">
        <f aca="false">IF(Lots!$A$20="","",Lots!$O$20)</f>
        <v/>
      </c>
      <c r="F19" s="88" t="str">
        <f aca="false">IF(Lots!$A$20="","",Lots!$L$20)</f>
        <v/>
      </c>
      <c r="G19" s="89" t="str">
        <f aca="false">IF(Lots!$A$20="","",Lots!$Q$20)</f>
        <v/>
      </c>
      <c r="H19" s="91" t="str">
        <f aca="false">IF(Lots!$A$20="","",Lots!$U$20)</f>
        <v/>
      </c>
      <c r="I19" s="88" t="str">
        <f aca="false">IF(Lots!$A$20="","",Lots!$V$20)</f>
        <v/>
      </c>
    </row>
    <row r="20" customFormat="false" ht="12.75" hidden="false" customHeight="true" outlineLevel="0" collapsed="false">
      <c r="A20" s="92" t="str">
        <f aca="false">IF(Lots!$A$21="","",Lots!$A$21)</f>
        <v/>
      </c>
      <c r="B20" s="107" t="str">
        <f aca="false">IF(Lots!$A$21="","",Lots!$C$21)</f>
        <v/>
      </c>
      <c r="C20" s="92" t="str">
        <f aca="false">IF(Lots!$A$21="","",Lots!$D$21)</f>
        <v/>
      </c>
      <c r="D20" s="108" t="str">
        <f aca="false">IF(Lots!$A$21="","",Lots!$F$21)</f>
        <v/>
      </c>
      <c r="E20" s="109" t="str">
        <f aca="false">IF(Lots!$A$21="","",Lots!$O$21)</f>
        <v/>
      </c>
      <c r="F20" s="93" t="str">
        <f aca="false">IF(Lots!$A$21="","",Lots!$L$21)</f>
        <v/>
      </c>
      <c r="G20" s="94" t="str">
        <f aca="false">IF(Lots!$A$21="","",Lots!$Q$21)</f>
        <v/>
      </c>
      <c r="H20" s="96" t="str">
        <f aca="false">IF(Lots!$A$21="","",Lots!$U$21)</f>
        <v/>
      </c>
      <c r="I20" s="93" t="str">
        <f aca="false">IF(Lots!$A$21="","",Lots!$V$21)</f>
        <v/>
      </c>
    </row>
    <row r="21" customFormat="false" ht="12.75" hidden="false" customHeight="true" outlineLevel="0" collapsed="false">
      <c r="A21" s="87" t="str">
        <f aca="false">IF(Lots!$A$22="","",Lots!$A$22)</f>
        <v/>
      </c>
      <c r="B21" s="104" t="str">
        <f aca="false">IF(Lots!$A$22="","",Lots!$C$22)</f>
        <v/>
      </c>
      <c r="C21" s="87" t="str">
        <f aca="false">IF(Lots!$A$22="","",Lots!$D$22)</f>
        <v/>
      </c>
      <c r="D21" s="105" t="str">
        <f aca="false">IF(Lots!$A$22="","",Lots!$F$22)</f>
        <v/>
      </c>
      <c r="E21" s="106" t="str">
        <f aca="false">IF(Lots!$A$22="","",Lots!$O$22)</f>
        <v/>
      </c>
      <c r="F21" s="88" t="str">
        <f aca="false">IF(Lots!$A$22="","",Lots!$L$22)</f>
        <v/>
      </c>
      <c r="G21" s="89" t="str">
        <f aca="false">IF(Lots!$A$22="","",Lots!$Q$22)</f>
        <v/>
      </c>
      <c r="H21" s="91" t="str">
        <f aca="false">IF(Lots!$A$22="","",Lots!$U$22)</f>
        <v/>
      </c>
      <c r="I21" s="88" t="str">
        <f aca="false">IF(Lots!$A$22="","",Lots!$V$22)</f>
        <v/>
      </c>
    </row>
    <row r="22" customFormat="false" ht="12.75" hidden="false" customHeight="true" outlineLevel="0" collapsed="false">
      <c r="A22" s="92" t="str">
        <f aca="false">IF(Lots!$A$23="","",Lots!$A$23)</f>
        <v/>
      </c>
      <c r="B22" s="107" t="str">
        <f aca="false">IF(Lots!$A$23="","",Lots!$C$23)</f>
        <v/>
      </c>
      <c r="C22" s="92" t="str">
        <f aca="false">IF(Lots!$A$23="","",Lots!$D$23)</f>
        <v/>
      </c>
      <c r="D22" s="108" t="str">
        <f aca="false">IF(Lots!$A$23="","",Lots!$F$23)</f>
        <v/>
      </c>
      <c r="E22" s="109" t="str">
        <f aca="false">IF(Lots!$A$23="","",Lots!$O$23)</f>
        <v/>
      </c>
      <c r="F22" s="93" t="str">
        <f aca="false">IF(Lots!$A$23="","",Lots!$L$23)</f>
        <v/>
      </c>
      <c r="G22" s="94" t="str">
        <f aca="false">IF(Lots!$A$23="","",Lots!$Q$23)</f>
        <v/>
      </c>
      <c r="H22" s="96" t="str">
        <f aca="false">IF(Lots!$A$23="","",Lots!$U$23)</f>
        <v/>
      </c>
      <c r="I22" s="93" t="str">
        <f aca="false">IF(Lots!$A$23="","",Lots!$V$23)</f>
        <v/>
      </c>
    </row>
    <row r="23" customFormat="false" ht="12.75" hidden="false" customHeight="true" outlineLevel="0" collapsed="false">
      <c r="A23" s="87" t="str">
        <f aca="false">IF(Lots!$A$24="","",Lots!$A$24)</f>
        <v/>
      </c>
      <c r="B23" s="104" t="str">
        <f aca="false">IF(Lots!$A$24="","",Lots!$C$24)</f>
        <v/>
      </c>
      <c r="C23" s="87" t="str">
        <f aca="false">IF(Lots!$A$24="","",Lots!$D$24)</f>
        <v/>
      </c>
      <c r="D23" s="105" t="str">
        <f aca="false">IF(Lots!$A$24="","",Lots!$F$24)</f>
        <v/>
      </c>
      <c r="E23" s="106" t="str">
        <f aca="false">IF(Lots!$A$24="","",Lots!$O$24)</f>
        <v/>
      </c>
      <c r="F23" s="88" t="str">
        <f aca="false">IF(Lots!$A$24="","",Lots!$L$24)</f>
        <v/>
      </c>
      <c r="G23" s="89" t="str">
        <f aca="false">IF(Lots!$A$24="","",Lots!$Q$24)</f>
        <v/>
      </c>
      <c r="H23" s="91" t="str">
        <f aca="false">IF(Lots!$A$24="","",Lots!$U$24)</f>
        <v/>
      </c>
      <c r="I23" s="88" t="str">
        <f aca="false">IF(Lots!$A$24="","",Lots!$V$24)</f>
        <v/>
      </c>
    </row>
    <row r="24" customFormat="false" ht="12.75" hidden="false" customHeight="true" outlineLevel="0" collapsed="false">
      <c r="A24" s="92" t="str">
        <f aca="false">IF(Lots!$A$25="","",Lots!$A$25)</f>
        <v/>
      </c>
      <c r="B24" s="107" t="str">
        <f aca="false">IF(Lots!$A$25="","",Lots!$C$25)</f>
        <v/>
      </c>
      <c r="C24" s="92" t="str">
        <f aca="false">IF(Lots!$A$25="","",Lots!$D$25)</f>
        <v/>
      </c>
      <c r="D24" s="108" t="str">
        <f aca="false">IF(Lots!$A$25="","",Lots!$F$25)</f>
        <v/>
      </c>
      <c r="E24" s="109" t="str">
        <f aca="false">IF(Lots!$A$25="","",Lots!$O$25)</f>
        <v/>
      </c>
      <c r="F24" s="93" t="str">
        <f aca="false">IF(Lots!$A$25="","",Lots!$L$25)</f>
        <v/>
      </c>
      <c r="G24" s="94" t="str">
        <f aca="false">IF(Lots!$A$25="","",Lots!$Q$25)</f>
        <v/>
      </c>
      <c r="H24" s="96" t="str">
        <f aca="false">IF(Lots!$A$25="","",Lots!$U$25)</f>
        <v/>
      </c>
      <c r="I24" s="93" t="str">
        <f aca="false">IF(Lots!$A$25="","",Lots!$V$25)</f>
        <v/>
      </c>
    </row>
    <row r="25" customFormat="false" ht="12.75" hidden="false" customHeight="true" outlineLevel="0" collapsed="false">
      <c r="A25" s="87" t="str">
        <f aca="false">IF(Lots!$A$26="","",Lots!$A$26)</f>
        <v/>
      </c>
      <c r="B25" s="104" t="str">
        <f aca="false">IF(Lots!$A$26="","",Lots!$C$26)</f>
        <v/>
      </c>
      <c r="C25" s="87" t="str">
        <f aca="false">IF(Lots!$A$26="","",Lots!$D$26)</f>
        <v/>
      </c>
      <c r="D25" s="105" t="str">
        <f aca="false">IF(Lots!$A$26="","",Lots!$F$26)</f>
        <v/>
      </c>
      <c r="E25" s="106" t="str">
        <f aca="false">IF(Lots!$A$26="","",Lots!$O$26)</f>
        <v/>
      </c>
      <c r="F25" s="88" t="str">
        <f aca="false">IF(Lots!$A$26="","",Lots!$L$26)</f>
        <v/>
      </c>
      <c r="G25" s="89" t="str">
        <f aca="false">IF(Lots!$A$26="","",Lots!$Q$26)</f>
        <v/>
      </c>
      <c r="H25" s="91" t="str">
        <f aca="false">IF(Lots!$A$26="","",Lots!$U$26)</f>
        <v/>
      </c>
      <c r="I25" s="88" t="str">
        <f aca="false">IF(Lots!$A$26="","",Lots!$V$26)</f>
        <v/>
      </c>
    </row>
    <row r="26" customFormat="false" ht="12.75" hidden="false" customHeight="true" outlineLevel="0" collapsed="false">
      <c r="A26" s="92" t="str">
        <f aca="false">IF(Lots!$A$27="","",Lots!$A$27)</f>
        <v/>
      </c>
      <c r="B26" s="107" t="str">
        <f aca="false">IF(Lots!$A$27="","",Lots!$C$27)</f>
        <v/>
      </c>
      <c r="C26" s="92" t="str">
        <f aca="false">IF(Lots!$A$27="","",Lots!$D$27)</f>
        <v/>
      </c>
      <c r="D26" s="108" t="str">
        <f aca="false">IF(Lots!$A$27="","",Lots!$F$27)</f>
        <v/>
      </c>
      <c r="E26" s="109" t="str">
        <f aca="false">IF(Lots!$A$27="","",Lots!$O$27)</f>
        <v/>
      </c>
      <c r="F26" s="93" t="str">
        <f aca="false">IF(Lots!$A$27="","",Lots!$L$27)</f>
        <v/>
      </c>
      <c r="G26" s="94" t="str">
        <f aca="false">IF(Lots!$A$27="","",Lots!$Q$27)</f>
        <v/>
      </c>
      <c r="H26" s="96" t="str">
        <f aca="false">IF(Lots!$A$27="","",Lots!$U$27)</f>
        <v/>
      </c>
      <c r="I26" s="93" t="str">
        <f aca="false">IF(Lots!$A$27="","",Lots!$V$27)</f>
        <v/>
      </c>
    </row>
    <row r="27" customFormat="false" ht="12.75" hidden="false" customHeight="true" outlineLevel="0" collapsed="false">
      <c r="A27" s="87" t="str">
        <f aca="false">IF(Lots!$A$28="","",Lots!$A$28)</f>
        <v/>
      </c>
      <c r="B27" s="104" t="str">
        <f aca="false">IF(Lots!$A$28="","",Lots!$C$28)</f>
        <v/>
      </c>
      <c r="C27" s="87" t="str">
        <f aca="false">IF(Lots!$A$28="","",Lots!$D$28)</f>
        <v/>
      </c>
      <c r="D27" s="105" t="str">
        <f aca="false">IF(Lots!$A$28="","",Lots!$F$28)</f>
        <v/>
      </c>
      <c r="E27" s="106" t="str">
        <f aca="false">IF(Lots!$A$28="","",Lots!$O$28)</f>
        <v/>
      </c>
      <c r="F27" s="88" t="str">
        <f aca="false">IF(Lots!$A$28="","",Lots!$L$28)</f>
        <v/>
      </c>
      <c r="G27" s="89" t="str">
        <f aca="false">IF(Lots!$A$28="","",Lots!$Q$28)</f>
        <v/>
      </c>
      <c r="H27" s="91" t="str">
        <f aca="false">IF(Lots!$A$28="","",Lots!$U$28)</f>
        <v/>
      </c>
      <c r="I27" s="88" t="str">
        <f aca="false">IF(Lots!$A$28="","",Lots!$V$28)</f>
        <v/>
      </c>
    </row>
    <row r="28" customFormat="false" ht="12.75" hidden="false" customHeight="true" outlineLevel="0" collapsed="false">
      <c r="A28" s="92" t="str">
        <f aca="false">IF(Lots!$A$29="","",Lots!$A$29)</f>
        <v/>
      </c>
      <c r="B28" s="107" t="str">
        <f aca="false">IF(Lots!$A$29="","",Lots!$C$29)</f>
        <v/>
      </c>
      <c r="C28" s="92" t="str">
        <f aca="false">IF(Lots!$A$29="","",Lots!$D$29)</f>
        <v/>
      </c>
      <c r="D28" s="108" t="str">
        <f aca="false">IF(Lots!$A$29="","",Lots!$F$29)</f>
        <v/>
      </c>
      <c r="E28" s="109" t="str">
        <f aca="false">IF(Lots!$A$29="","",Lots!$O$29)</f>
        <v/>
      </c>
      <c r="F28" s="93" t="str">
        <f aca="false">IF(Lots!$A$29="","",Lots!$L$29)</f>
        <v/>
      </c>
      <c r="G28" s="94" t="str">
        <f aca="false">IF(Lots!$A$29="","",Lots!$Q$29)</f>
        <v/>
      </c>
      <c r="H28" s="96" t="str">
        <f aca="false">IF(Lots!$A$29="","",Lots!$U$29)</f>
        <v/>
      </c>
      <c r="I28" s="93" t="str">
        <f aca="false">IF(Lots!$A$29="","",Lots!$V$29)</f>
        <v/>
      </c>
    </row>
    <row r="29" customFormat="false" ht="12.75" hidden="false" customHeight="true" outlineLevel="0" collapsed="false">
      <c r="A29" s="87" t="str">
        <f aca="false">IF(Lots!$A$30="","",Lots!$A$30)</f>
        <v/>
      </c>
      <c r="B29" s="104" t="str">
        <f aca="false">IF(Lots!$A$30="","",Lots!$C$30)</f>
        <v/>
      </c>
      <c r="C29" s="87" t="str">
        <f aca="false">IF(Lots!$A$30="","",Lots!$D$30)</f>
        <v/>
      </c>
      <c r="D29" s="105" t="str">
        <f aca="false">IF(Lots!$A$30="","",Lots!$F$30)</f>
        <v/>
      </c>
      <c r="E29" s="106" t="str">
        <f aca="false">IF(Lots!$A$30="","",Lots!$O$30)</f>
        <v/>
      </c>
      <c r="F29" s="88" t="str">
        <f aca="false">IF(Lots!$A$30="","",Lots!$L$30)</f>
        <v/>
      </c>
      <c r="G29" s="89" t="str">
        <f aca="false">IF(Lots!$A$30="","",Lots!$Q$30)</f>
        <v/>
      </c>
      <c r="H29" s="91" t="str">
        <f aca="false">IF(Lots!$A$30="","",Lots!$U$30)</f>
        <v/>
      </c>
      <c r="I29" s="88" t="str">
        <f aca="false">IF(Lots!$A$30="","",Lots!$V$30)</f>
        <v/>
      </c>
    </row>
    <row r="30" customFormat="false" ht="12.75" hidden="false" customHeight="true" outlineLevel="0" collapsed="false">
      <c r="A30" s="92" t="str">
        <f aca="false">IF(Lots!$A$31="","",Lots!$A$31)</f>
        <v/>
      </c>
      <c r="B30" s="107" t="str">
        <f aca="false">IF(Lots!$A$31="","",Lots!$C$31)</f>
        <v/>
      </c>
      <c r="C30" s="92" t="str">
        <f aca="false">IF(Lots!$A$31="","",Lots!$D$31)</f>
        <v/>
      </c>
      <c r="D30" s="108" t="str">
        <f aca="false">IF(Lots!$A$31="","",Lots!$F$31)</f>
        <v/>
      </c>
      <c r="E30" s="109" t="str">
        <f aca="false">IF(Lots!$A$31="","",Lots!$O$31)</f>
        <v/>
      </c>
      <c r="F30" s="93" t="str">
        <f aca="false">IF(Lots!$A$31="","",Lots!$L$31)</f>
        <v/>
      </c>
      <c r="G30" s="94" t="str">
        <f aca="false">IF(Lots!$A$31="","",Lots!$Q$31)</f>
        <v/>
      </c>
      <c r="H30" s="96" t="str">
        <f aca="false">IF(Lots!$A$31="","",Lots!$U$31)</f>
        <v/>
      </c>
      <c r="I30" s="93" t="str">
        <f aca="false">IF(Lots!$A$31="","",Lots!$V$31)</f>
        <v/>
      </c>
    </row>
    <row r="31" customFormat="false" ht="12.75" hidden="false" customHeight="true" outlineLevel="0" collapsed="false">
      <c r="A31" s="87" t="str">
        <f aca="false">IF(Lots!$A$32="","",Lots!$A$32)</f>
        <v/>
      </c>
      <c r="B31" s="104" t="str">
        <f aca="false">IF(Lots!$A$32="","",Lots!$C$32)</f>
        <v/>
      </c>
      <c r="C31" s="87" t="str">
        <f aca="false">IF(Lots!$A$32="","",Lots!$D$32)</f>
        <v/>
      </c>
      <c r="D31" s="105" t="str">
        <f aca="false">IF(Lots!$A$32="","",Lots!$F$32)</f>
        <v/>
      </c>
      <c r="E31" s="106" t="str">
        <f aca="false">IF(Lots!$A$32="","",Lots!$O$32)</f>
        <v/>
      </c>
      <c r="F31" s="88" t="str">
        <f aca="false">IF(Lots!$A$32="","",Lots!$L$32)</f>
        <v/>
      </c>
      <c r="G31" s="89" t="str">
        <f aca="false">IF(Lots!$A$32="","",Lots!$Q$32)</f>
        <v/>
      </c>
      <c r="H31" s="91" t="str">
        <f aca="false">IF(Lots!$A$32="","",Lots!$U$32)</f>
        <v/>
      </c>
      <c r="I31" s="88" t="str">
        <f aca="false">IF(Lots!$A$32="","",Lots!$V$32)</f>
        <v/>
      </c>
    </row>
    <row r="32" customFormat="false" ht="12.75" hidden="false" customHeight="true" outlineLevel="0" collapsed="false">
      <c r="A32" s="92" t="str">
        <f aca="false">IF(Lots!$A$33="","",Lots!$A$33)</f>
        <v/>
      </c>
      <c r="B32" s="107" t="str">
        <f aca="false">IF(Lots!$A$33="","",Lots!$C$33)</f>
        <v/>
      </c>
      <c r="C32" s="92" t="str">
        <f aca="false">IF(Lots!$A$33="","",Lots!$D$33)</f>
        <v/>
      </c>
      <c r="D32" s="108" t="str">
        <f aca="false">IF(Lots!$A$33="","",Lots!$F$33)</f>
        <v/>
      </c>
      <c r="E32" s="109" t="str">
        <f aca="false">IF(Lots!$A$33="","",Lots!$O$33)</f>
        <v/>
      </c>
      <c r="F32" s="93" t="str">
        <f aca="false">IF(Lots!$A$33="","",Lots!$L$33)</f>
        <v/>
      </c>
      <c r="G32" s="94" t="str">
        <f aca="false">IF(Lots!$A$33="","",Lots!$Q$33)</f>
        <v/>
      </c>
      <c r="H32" s="96" t="str">
        <f aca="false">IF(Lots!$A$33="","",Lots!$U$33)</f>
        <v/>
      </c>
      <c r="I32" s="93" t="str">
        <f aca="false">IF(Lots!$A$33="","",Lots!$V$33)</f>
        <v/>
      </c>
    </row>
    <row r="33" customFormat="false" ht="12.75" hidden="false" customHeight="true" outlineLevel="0" collapsed="false">
      <c r="A33" s="87" t="str">
        <f aca="false">IF(Lots!$A$34="","",Lots!$A$34)</f>
        <v/>
      </c>
      <c r="B33" s="104" t="str">
        <f aca="false">IF(Lots!$A$34="","",Lots!$C$34)</f>
        <v/>
      </c>
      <c r="C33" s="87" t="str">
        <f aca="false">IF(Lots!$A$34="","",Lots!$D$34)</f>
        <v/>
      </c>
      <c r="D33" s="105" t="str">
        <f aca="false">IF(Lots!$A$34="","",Lots!$F$34)</f>
        <v/>
      </c>
      <c r="E33" s="106" t="str">
        <f aca="false">IF(Lots!$A$34="","",Lots!$O$34)</f>
        <v/>
      </c>
      <c r="F33" s="88" t="str">
        <f aca="false">IF(Lots!$A$34="","",Lots!$L$34)</f>
        <v/>
      </c>
      <c r="G33" s="89" t="str">
        <f aca="false">IF(Lots!$A$34="","",Lots!$Q$34)</f>
        <v/>
      </c>
      <c r="H33" s="91" t="str">
        <f aca="false">IF(Lots!$A$34="","",Lots!$U$34)</f>
        <v/>
      </c>
      <c r="I33" s="88" t="str">
        <f aca="false">IF(Lots!$A$34="","",Lots!$V$34)</f>
        <v/>
      </c>
    </row>
    <row r="34" customFormat="false" ht="12.75" hidden="false" customHeight="true" outlineLevel="0" collapsed="false">
      <c r="A34" s="92" t="str">
        <f aca="false">IF(Lots!$A$35="","",Lots!$A$35)</f>
        <v/>
      </c>
      <c r="B34" s="107" t="str">
        <f aca="false">IF(Lots!$A$35="","",Lots!$C$35)</f>
        <v/>
      </c>
      <c r="C34" s="92" t="str">
        <f aca="false">IF(Lots!$A$35="","",Lots!$D$35)</f>
        <v/>
      </c>
      <c r="D34" s="108" t="str">
        <f aca="false">IF(Lots!$A$35="","",Lots!$F$35)</f>
        <v/>
      </c>
      <c r="E34" s="109" t="str">
        <f aca="false">IF(Lots!$A$35="","",Lots!$O$35)</f>
        <v/>
      </c>
      <c r="F34" s="93" t="str">
        <f aca="false">IF(Lots!$A$35="","",Lots!$L$35)</f>
        <v/>
      </c>
      <c r="G34" s="94" t="str">
        <f aca="false">IF(Lots!$A$35="","",Lots!$Q$35)</f>
        <v/>
      </c>
      <c r="H34" s="96" t="str">
        <f aca="false">IF(Lots!$A$35="","",Lots!$U$35)</f>
        <v/>
      </c>
      <c r="I34" s="93" t="str">
        <f aca="false">IF(Lots!$A$35="","",Lots!$V$35)</f>
        <v/>
      </c>
    </row>
    <row r="35" customFormat="false" ht="12.75" hidden="false" customHeight="true" outlineLevel="0" collapsed="false">
      <c r="A35" s="87" t="str">
        <f aca="false">IF(Lots!$A$36="","",Lots!$A$36)</f>
        <v/>
      </c>
      <c r="B35" s="104" t="str">
        <f aca="false">IF(Lots!$A$36="","",Lots!$C$36)</f>
        <v/>
      </c>
      <c r="C35" s="87" t="str">
        <f aca="false">IF(Lots!$A$36="","",Lots!$D$36)</f>
        <v/>
      </c>
      <c r="D35" s="105" t="str">
        <f aca="false">IF(Lots!$A$36="","",Lots!$F$36)</f>
        <v/>
      </c>
      <c r="E35" s="106" t="str">
        <f aca="false">IF(Lots!$A$36="","",Lots!$O$36)</f>
        <v/>
      </c>
      <c r="F35" s="88" t="str">
        <f aca="false">IF(Lots!$A$36="","",Lots!$L$36)</f>
        <v/>
      </c>
      <c r="G35" s="89" t="str">
        <f aca="false">IF(Lots!$A$36="","",Lots!$Q$36)</f>
        <v/>
      </c>
      <c r="H35" s="91" t="str">
        <f aca="false">IF(Lots!$A$36="","",Lots!$U$36)</f>
        <v/>
      </c>
      <c r="I35" s="88" t="str">
        <f aca="false">IF(Lots!$A$36="","",Lots!$V$36)</f>
        <v/>
      </c>
    </row>
    <row r="36" customFormat="false" ht="12.75" hidden="false" customHeight="true" outlineLevel="0" collapsed="false">
      <c r="A36" s="92" t="str">
        <f aca="false">IF(Lots!$A$37="","",Lots!$A$37)</f>
        <v/>
      </c>
      <c r="B36" s="107" t="str">
        <f aca="false">IF(Lots!$A$37="","",Lots!$C$37)</f>
        <v/>
      </c>
      <c r="C36" s="92" t="str">
        <f aca="false">IF(Lots!$A$37="","",Lots!$D$37)</f>
        <v/>
      </c>
      <c r="D36" s="108" t="str">
        <f aca="false">IF(Lots!$A$37="","",Lots!$F$37)</f>
        <v/>
      </c>
      <c r="E36" s="109" t="str">
        <f aca="false">IF(Lots!$A$37="","",Lots!$O$37)</f>
        <v/>
      </c>
      <c r="F36" s="93" t="str">
        <f aca="false">IF(Lots!$A$37="","",Lots!$L$37)</f>
        <v/>
      </c>
      <c r="G36" s="94" t="str">
        <f aca="false">IF(Lots!$A$37="","",Lots!$Q$37)</f>
        <v/>
      </c>
      <c r="H36" s="96" t="str">
        <f aca="false">IF(Lots!$A$37="","",Lots!$U$37)</f>
        <v/>
      </c>
      <c r="I36" s="93" t="str">
        <f aca="false">IF(Lots!$A$37="","",Lots!$V$37)</f>
        <v/>
      </c>
    </row>
    <row r="37" customFormat="false" ht="12.75" hidden="false" customHeight="true" outlineLevel="0" collapsed="false">
      <c r="A37" s="87" t="str">
        <f aca="false">IF(Lots!$A$38="","",Lots!$A$38)</f>
        <v/>
      </c>
      <c r="B37" s="104" t="str">
        <f aca="false">IF(Lots!$A$38="","",Lots!$C$38)</f>
        <v/>
      </c>
      <c r="C37" s="87" t="str">
        <f aca="false">IF(Lots!$A$38="","",Lots!$D$38)</f>
        <v/>
      </c>
      <c r="D37" s="105" t="str">
        <f aca="false">IF(Lots!$A$38="","",Lots!$F$38)</f>
        <v/>
      </c>
      <c r="E37" s="106" t="str">
        <f aca="false">IF(Lots!$A$38="","",Lots!$O$38)</f>
        <v/>
      </c>
      <c r="F37" s="88" t="str">
        <f aca="false">IF(Lots!$A$38="","",Lots!$L$38)</f>
        <v/>
      </c>
      <c r="G37" s="89" t="str">
        <f aca="false">IF(Lots!$A$38="","",Lots!$Q$38)</f>
        <v/>
      </c>
      <c r="H37" s="91" t="str">
        <f aca="false">IF(Lots!$A$38="","",Lots!$U$38)</f>
        <v/>
      </c>
      <c r="I37" s="88" t="str">
        <f aca="false">IF(Lots!$A$38="","",Lots!$V$38)</f>
        <v/>
      </c>
    </row>
    <row r="38" customFormat="false" ht="12.75" hidden="false" customHeight="true" outlineLevel="0" collapsed="false">
      <c r="A38" s="92" t="str">
        <f aca="false">IF(Lots!$A$39="","",Lots!$A$39)</f>
        <v/>
      </c>
      <c r="B38" s="107" t="str">
        <f aca="false">IF(Lots!$A$39="","",Lots!$C$39)</f>
        <v/>
      </c>
      <c r="C38" s="92" t="str">
        <f aca="false">IF(Lots!$A$39="","",Lots!$D$39)</f>
        <v/>
      </c>
      <c r="D38" s="108" t="str">
        <f aca="false">IF(Lots!$A$39="","",Lots!$F$39)</f>
        <v/>
      </c>
      <c r="E38" s="109" t="str">
        <f aca="false">IF(Lots!$A$39="","",Lots!$O$39)</f>
        <v/>
      </c>
      <c r="F38" s="93" t="str">
        <f aca="false">IF(Lots!$A$39="","",Lots!$L$39)</f>
        <v/>
      </c>
      <c r="G38" s="94" t="str">
        <f aca="false">IF(Lots!$A$39="","",Lots!$Q$39)</f>
        <v/>
      </c>
      <c r="H38" s="96" t="str">
        <f aca="false">IF(Lots!$A$39="","",Lots!$U$39)</f>
        <v/>
      </c>
      <c r="I38" s="93" t="str">
        <f aca="false">IF(Lots!$A$39="","",Lots!$V$39)</f>
        <v/>
      </c>
    </row>
    <row r="39" customFormat="false" ht="12.75" hidden="false" customHeight="true" outlineLevel="0" collapsed="false">
      <c r="A39" s="87" t="str">
        <f aca="false">IF(Lots!$A$40="","",Lots!$A$40)</f>
        <v/>
      </c>
      <c r="B39" s="104" t="str">
        <f aca="false">IF(Lots!$A$40="","",Lots!$C$40)</f>
        <v/>
      </c>
      <c r="C39" s="87" t="str">
        <f aca="false">IF(Lots!$A$40="","",Lots!$D$40)</f>
        <v/>
      </c>
      <c r="D39" s="105" t="str">
        <f aca="false">IF(Lots!$A$40="","",Lots!$F$40)</f>
        <v/>
      </c>
      <c r="E39" s="106" t="str">
        <f aca="false">IF(Lots!$A$40="","",Lots!$O$40)</f>
        <v/>
      </c>
      <c r="F39" s="88" t="str">
        <f aca="false">IF(Lots!$A$40="","",Lots!$L$40)</f>
        <v/>
      </c>
      <c r="G39" s="89" t="str">
        <f aca="false">IF(Lots!$A$40="","",Lots!$Q$40)</f>
        <v/>
      </c>
      <c r="H39" s="91" t="str">
        <f aca="false">IF(Lots!$A$40="","",Lots!$U$40)</f>
        <v/>
      </c>
      <c r="I39" s="88" t="str">
        <f aca="false">IF(Lots!$A$40="","",Lots!$V$40)</f>
        <v/>
      </c>
    </row>
    <row r="40" customFormat="false" ht="12.75" hidden="false" customHeight="true" outlineLevel="0" collapsed="false">
      <c r="A40" s="92" t="str">
        <f aca="false">IF(Lots!$A$41="","",Lots!$A$41)</f>
        <v/>
      </c>
      <c r="B40" s="107" t="str">
        <f aca="false">IF(Lots!$A$41="","",Lots!$C$41)</f>
        <v/>
      </c>
      <c r="C40" s="92" t="str">
        <f aca="false">IF(Lots!$A$41="","",Lots!$D$41)</f>
        <v/>
      </c>
      <c r="D40" s="108" t="str">
        <f aca="false">IF(Lots!$A$41="","",Lots!$F$41)</f>
        <v/>
      </c>
      <c r="E40" s="109" t="str">
        <f aca="false">IF(Lots!$A$41="","",Lots!$O$41)</f>
        <v/>
      </c>
      <c r="F40" s="93" t="str">
        <f aca="false">IF(Lots!$A$41="","",Lots!$L$41)</f>
        <v/>
      </c>
      <c r="G40" s="94" t="str">
        <f aca="false">IF(Lots!$A$41="","",Lots!$Q$41)</f>
        <v/>
      </c>
      <c r="H40" s="96" t="str">
        <f aca="false">IF(Lots!$A$41="","",Lots!$U$41)</f>
        <v/>
      </c>
      <c r="I40" s="93" t="str">
        <f aca="false">IF(Lots!$A$41="","",Lots!$V$41)</f>
        <v/>
      </c>
    </row>
    <row r="41" customFormat="false" ht="12.75" hidden="false" customHeight="true" outlineLevel="0" collapsed="false">
      <c r="A41" s="87" t="str">
        <f aca="false">IF(Lots!$A$42="","",Lots!$A$42)</f>
        <v/>
      </c>
      <c r="B41" s="104" t="str">
        <f aca="false">IF(Lots!$A$42="","",Lots!$C$42)</f>
        <v/>
      </c>
      <c r="C41" s="87" t="str">
        <f aca="false">IF(Lots!$A$42="","",Lots!$D$42)</f>
        <v/>
      </c>
      <c r="D41" s="105" t="str">
        <f aca="false">IF(Lots!$A$42="","",Lots!$F$42)</f>
        <v/>
      </c>
      <c r="E41" s="106" t="str">
        <f aca="false">IF(Lots!$A$42="","",Lots!$O$42)</f>
        <v/>
      </c>
      <c r="F41" s="88" t="str">
        <f aca="false">IF(Lots!$A$42="","",Lots!$L$42)</f>
        <v/>
      </c>
      <c r="G41" s="89" t="str">
        <f aca="false">IF(Lots!$A$42="","",Lots!$Q$42)</f>
        <v/>
      </c>
      <c r="H41" s="91" t="str">
        <f aca="false">IF(Lots!$A$42="","",Lots!$U$42)</f>
        <v/>
      </c>
      <c r="I41" s="88" t="str">
        <f aca="false">IF(Lots!$A$42="","",Lots!$V$42)</f>
        <v/>
      </c>
    </row>
    <row r="42" customFormat="false" ht="12.75" hidden="false" customHeight="true" outlineLevel="0" collapsed="false">
      <c r="A42" s="92" t="str">
        <f aca="false">IF(Lots!$A$43="","",Lots!$A$43)</f>
        <v/>
      </c>
      <c r="B42" s="107" t="str">
        <f aca="false">IF(Lots!$A$43="","",Lots!$C$43)</f>
        <v/>
      </c>
      <c r="C42" s="92" t="str">
        <f aca="false">IF(Lots!$A$43="","",Lots!$D$43)</f>
        <v/>
      </c>
      <c r="D42" s="108" t="str">
        <f aca="false">IF(Lots!$A$43="","",Lots!$F$43)</f>
        <v/>
      </c>
      <c r="E42" s="109" t="str">
        <f aca="false">IF(Lots!$A$43="","",Lots!$O$43)</f>
        <v/>
      </c>
      <c r="F42" s="93" t="str">
        <f aca="false">IF(Lots!$A$43="","",Lots!$L$43)</f>
        <v/>
      </c>
      <c r="G42" s="94" t="str">
        <f aca="false">IF(Lots!$A$43="","",Lots!$Q$43)</f>
        <v/>
      </c>
      <c r="H42" s="96" t="str">
        <f aca="false">IF(Lots!$A$43="","",Lots!$U$43)</f>
        <v/>
      </c>
      <c r="I42" s="93" t="str">
        <f aca="false">IF(Lots!$A$43="","",Lots!$V$43)</f>
        <v/>
      </c>
    </row>
    <row r="43" customFormat="false" ht="12.75" hidden="false" customHeight="true" outlineLevel="0" collapsed="false">
      <c r="A43" s="87" t="str">
        <f aca="false">IF(Lots!$A$44="","",Lots!$A$44)</f>
        <v/>
      </c>
      <c r="B43" s="104" t="str">
        <f aca="false">IF(Lots!$A$44="","",Lots!$C$44)</f>
        <v/>
      </c>
      <c r="C43" s="87" t="str">
        <f aca="false">IF(Lots!$A$44="","",Lots!$D$44)</f>
        <v/>
      </c>
      <c r="D43" s="105" t="str">
        <f aca="false">IF(Lots!$A$44="","",Lots!$F$44)</f>
        <v/>
      </c>
      <c r="E43" s="106" t="str">
        <f aca="false">IF(Lots!$A$44="","",Lots!$O$44)</f>
        <v/>
      </c>
      <c r="F43" s="88" t="str">
        <f aca="false">IF(Lots!$A$44="","",Lots!$L$44)</f>
        <v/>
      </c>
      <c r="G43" s="89" t="str">
        <f aca="false">IF(Lots!$A$44="","",Lots!$Q$44)</f>
        <v/>
      </c>
      <c r="H43" s="91" t="str">
        <f aca="false">IF(Lots!$A$44="","",Lots!$U$44)</f>
        <v/>
      </c>
      <c r="I43" s="88" t="str">
        <f aca="false">IF(Lots!$A$44="","",Lots!$V$44)</f>
        <v/>
      </c>
    </row>
    <row r="44" customFormat="false" ht="12.75" hidden="false" customHeight="true" outlineLevel="0" collapsed="false">
      <c r="A44" s="92" t="str">
        <f aca="false">IF(Lots!$A$45="","",Lots!$A$45)</f>
        <v/>
      </c>
      <c r="B44" s="107" t="str">
        <f aca="false">IF(Lots!$A$45="","",Lots!$C$45)</f>
        <v/>
      </c>
      <c r="C44" s="92" t="str">
        <f aca="false">IF(Lots!$A$45="","",Lots!$D$45)</f>
        <v/>
      </c>
      <c r="D44" s="108" t="str">
        <f aca="false">IF(Lots!$A$45="","",Lots!$F$45)</f>
        <v/>
      </c>
      <c r="E44" s="109" t="str">
        <f aca="false">IF(Lots!$A$45="","",Lots!$O$45)</f>
        <v/>
      </c>
      <c r="F44" s="93" t="str">
        <f aca="false">IF(Lots!$A$45="","",Lots!$L$45)</f>
        <v/>
      </c>
      <c r="G44" s="94" t="str">
        <f aca="false">IF(Lots!$A$45="","",Lots!$Q$45)</f>
        <v/>
      </c>
      <c r="H44" s="96" t="str">
        <f aca="false">IF(Lots!$A$45="","",Lots!$U$45)</f>
        <v/>
      </c>
      <c r="I44" s="93" t="str">
        <f aca="false">IF(Lots!$A$45="","",Lots!$V$45)</f>
        <v/>
      </c>
    </row>
    <row r="45" customFormat="false" ht="12.75" hidden="false" customHeight="true" outlineLevel="0" collapsed="false">
      <c r="A45" s="87" t="str">
        <f aca="false">IF(Lots!$A$46="","",Lots!$A$46)</f>
        <v/>
      </c>
      <c r="B45" s="104" t="str">
        <f aca="false">IF(Lots!$A$46="","",Lots!$C$46)</f>
        <v/>
      </c>
      <c r="C45" s="87" t="str">
        <f aca="false">IF(Lots!$A$46="","",Lots!$D$46)</f>
        <v/>
      </c>
      <c r="D45" s="105" t="str">
        <f aca="false">IF(Lots!$A$46="","",Lots!$F$46)</f>
        <v/>
      </c>
      <c r="E45" s="106" t="str">
        <f aca="false">IF(Lots!$A$46="","",Lots!$O$46)</f>
        <v/>
      </c>
      <c r="F45" s="88" t="str">
        <f aca="false">IF(Lots!$A$46="","",Lots!$L$46)</f>
        <v/>
      </c>
      <c r="G45" s="89" t="str">
        <f aca="false">IF(Lots!$A$46="","",Lots!$Q$46)</f>
        <v/>
      </c>
      <c r="H45" s="91" t="str">
        <f aca="false">IF(Lots!$A$46="","",Lots!$U$46)</f>
        <v/>
      </c>
      <c r="I45" s="88" t="str">
        <f aca="false">IF(Lots!$A$46="","",Lots!$V$46)</f>
        <v/>
      </c>
    </row>
    <row r="46" customFormat="false" ht="12.75" hidden="false" customHeight="true" outlineLevel="0" collapsed="false">
      <c r="A46" s="92" t="str">
        <f aca="false">IF(Lots!$A$47="","",Lots!$A$47)</f>
        <v/>
      </c>
      <c r="B46" s="107" t="str">
        <f aca="false">IF(Lots!$A$47="","",Lots!$C$47)</f>
        <v/>
      </c>
      <c r="C46" s="92" t="str">
        <f aca="false">IF(Lots!$A$47="","",Lots!$D$47)</f>
        <v/>
      </c>
      <c r="D46" s="108" t="str">
        <f aca="false">IF(Lots!$A$47="","",Lots!$F$47)</f>
        <v/>
      </c>
      <c r="E46" s="109" t="str">
        <f aca="false">IF(Lots!$A$47="","",Lots!$O$47)</f>
        <v/>
      </c>
      <c r="F46" s="93" t="str">
        <f aca="false">IF(Lots!$A$47="","",Lots!$L$47)</f>
        <v/>
      </c>
      <c r="G46" s="94" t="str">
        <f aca="false">IF(Lots!$A$47="","",Lots!$Q$47)</f>
        <v/>
      </c>
      <c r="H46" s="96" t="str">
        <f aca="false">IF(Lots!$A$47="","",Lots!$U$47)</f>
        <v/>
      </c>
      <c r="I46" s="93" t="str">
        <f aca="false">IF(Lots!$A$47="","",Lots!$V$47)</f>
        <v/>
      </c>
    </row>
    <row r="47" customFormat="false" ht="12.75" hidden="false" customHeight="true" outlineLevel="0" collapsed="false">
      <c r="A47" s="87" t="str">
        <f aca="false">IF(Lots!$A$48="","",Lots!$A$48)</f>
        <v/>
      </c>
      <c r="B47" s="104" t="str">
        <f aca="false">IF(Lots!$A$48="","",Lots!$C$48)</f>
        <v/>
      </c>
      <c r="C47" s="87" t="str">
        <f aca="false">IF(Lots!$A$48="","",Lots!$D$48)</f>
        <v/>
      </c>
      <c r="D47" s="105" t="str">
        <f aca="false">IF(Lots!$A$48="","",Lots!$F$48)</f>
        <v/>
      </c>
      <c r="E47" s="106" t="str">
        <f aca="false">IF(Lots!$A$48="","",Lots!$O$48)</f>
        <v/>
      </c>
      <c r="F47" s="88" t="str">
        <f aca="false">IF(Lots!$A$48="","",Lots!$L$48)</f>
        <v/>
      </c>
      <c r="G47" s="89" t="str">
        <f aca="false">IF(Lots!$A$48="","",Lots!$Q$48)</f>
        <v/>
      </c>
      <c r="H47" s="91" t="str">
        <f aca="false">IF(Lots!$A$48="","",Lots!$U$48)</f>
        <v/>
      </c>
      <c r="I47" s="88" t="str">
        <f aca="false">IF(Lots!$A$48="","",Lots!$V$48)</f>
        <v/>
      </c>
    </row>
    <row r="48" customFormat="false" ht="12.75" hidden="false" customHeight="true" outlineLevel="0" collapsed="false">
      <c r="A48" s="92" t="str">
        <f aca="false">IF(Lots!$A$49="","",Lots!$A$49)</f>
        <v/>
      </c>
      <c r="B48" s="107" t="str">
        <f aca="false">IF(Lots!$A$49="","",Lots!$C$49)</f>
        <v/>
      </c>
      <c r="C48" s="92" t="str">
        <f aca="false">IF(Lots!$A$49="","",Lots!$D$49)</f>
        <v/>
      </c>
      <c r="D48" s="108" t="str">
        <f aca="false">IF(Lots!$A$49="","",Lots!$F$49)</f>
        <v/>
      </c>
      <c r="E48" s="109" t="str">
        <f aca="false">IF(Lots!$A$49="","",Lots!$O$49)</f>
        <v/>
      </c>
      <c r="F48" s="93" t="str">
        <f aca="false">IF(Lots!$A$49="","",Lots!$L$49)</f>
        <v/>
      </c>
      <c r="G48" s="94" t="str">
        <f aca="false">IF(Lots!$A$49="","",Lots!$Q$49)</f>
        <v/>
      </c>
      <c r="H48" s="96" t="str">
        <f aca="false">IF(Lots!$A$49="","",Lots!$U$49)</f>
        <v/>
      </c>
      <c r="I48" s="93" t="str">
        <f aca="false">IF(Lots!$A$49="","",Lots!$V$49)</f>
        <v/>
      </c>
    </row>
    <row r="49" customFormat="false" ht="12.75" hidden="false" customHeight="true" outlineLevel="0" collapsed="false">
      <c r="A49" s="87" t="str">
        <f aca="false">IF(Lots!$A$50="","",Lots!$A$50)</f>
        <v/>
      </c>
      <c r="B49" s="104" t="str">
        <f aca="false">IF(Lots!$A$50="","",Lots!$C$50)</f>
        <v/>
      </c>
      <c r="C49" s="87" t="str">
        <f aca="false">IF(Lots!$A$50="","",Lots!$D$50)</f>
        <v/>
      </c>
      <c r="D49" s="105" t="str">
        <f aca="false">IF(Lots!$A$50="","",Lots!$F$50)</f>
        <v/>
      </c>
      <c r="E49" s="106" t="str">
        <f aca="false">IF(Lots!$A$50="","",Lots!$O$50)</f>
        <v/>
      </c>
      <c r="F49" s="88" t="str">
        <f aca="false">IF(Lots!$A$50="","",Lots!$L$50)</f>
        <v/>
      </c>
      <c r="G49" s="89" t="str">
        <f aca="false">IF(Lots!$A$50="","",Lots!$Q$50)</f>
        <v/>
      </c>
      <c r="H49" s="91" t="str">
        <f aca="false">IF(Lots!$A$50="","",Lots!$U$50)</f>
        <v/>
      </c>
      <c r="I49" s="88" t="str">
        <f aca="false">IF(Lots!$A$50="","",Lots!$V$50)</f>
        <v/>
      </c>
    </row>
    <row r="50" customFormat="false" ht="12.75" hidden="false" customHeight="true" outlineLevel="0" collapsed="false">
      <c r="A50" s="92" t="str">
        <f aca="false">IF(Lots!$A$51="","",Lots!$A$51)</f>
        <v/>
      </c>
      <c r="B50" s="107" t="str">
        <f aca="false">IF(Lots!$A$51="","",Lots!$C$51)</f>
        <v/>
      </c>
      <c r="C50" s="92" t="str">
        <f aca="false">IF(Lots!$A$51="","",Lots!$D$51)</f>
        <v/>
      </c>
      <c r="D50" s="108" t="str">
        <f aca="false">IF(Lots!$A$51="","",Lots!$F$51)</f>
        <v/>
      </c>
      <c r="E50" s="109" t="str">
        <f aca="false">IF(Lots!$A$51="","",Lots!$O$51)</f>
        <v/>
      </c>
      <c r="F50" s="93" t="str">
        <f aca="false">IF(Lots!$A$51="","",Lots!$L$51)</f>
        <v/>
      </c>
      <c r="G50" s="94" t="str">
        <f aca="false">IF(Lots!$A$51="","",Lots!$Q$51)</f>
        <v/>
      </c>
      <c r="H50" s="96" t="str">
        <f aca="false">IF(Lots!$A$51="","",Lots!$U$51)</f>
        <v/>
      </c>
      <c r="I50" s="93" t="str">
        <f aca="false">IF(Lots!$A$51="","",Lots!$V$51)</f>
        <v/>
      </c>
    </row>
    <row r="51" customFormat="false" ht="12.75" hidden="false" customHeight="true" outlineLevel="0" collapsed="false">
      <c r="A51" s="87" t="str">
        <f aca="false">IF(Lots!$A$52="","",Lots!$A$52)</f>
        <v/>
      </c>
      <c r="B51" s="104" t="str">
        <f aca="false">IF(Lots!$A$52="","",Lots!$C$52)</f>
        <v/>
      </c>
      <c r="C51" s="87" t="str">
        <f aca="false">IF(Lots!$A$52="","",Lots!$D$52)</f>
        <v/>
      </c>
      <c r="D51" s="105" t="str">
        <f aca="false">IF(Lots!$A$52="","",Lots!$F$52)</f>
        <v/>
      </c>
      <c r="E51" s="106" t="str">
        <f aca="false">IF(Lots!$A$52="","",Lots!$O$52)</f>
        <v/>
      </c>
      <c r="F51" s="88" t="str">
        <f aca="false">IF(Lots!$A$52="","",Lots!$L$52)</f>
        <v/>
      </c>
      <c r="G51" s="89" t="str">
        <f aca="false">IF(Lots!$A$52="","",Lots!$Q$52)</f>
        <v/>
      </c>
      <c r="H51" s="91" t="str">
        <f aca="false">IF(Lots!$A$52="","",Lots!$U$52)</f>
        <v/>
      </c>
      <c r="I51" s="88" t="str">
        <f aca="false">IF(Lots!$A$52="","",Lots!$V$52)</f>
        <v/>
      </c>
    </row>
    <row r="52" customFormat="false" ht="12.75" hidden="false" customHeight="true" outlineLevel="0" collapsed="false">
      <c r="A52" s="92" t="str">
        <f aca="false">IF(Lots!$A$53="","",Lots!$A$53)</f>
        <v/>
      </c>
      <c r="B52" s="107" t="str">
        <f aca="false">IF(Lots!$A$53="","",Lots!$C$53)</f>
        <v/>
      </c>
      <c r="C52" s="92" t="str">
        <f aca="false">IF(Lots!$A$53="","",Lots!$D$53)</f>
        <v/>
      </c>
      <c r="D52" s="108" t="str">
        <f aca="false">IF(Lots!$A$53="","",Lots!$F$53)</f>
        <v/>
      </c>
      <c r="E52" s="109" t="str">
        <f aca="false">IF(Lots!$A$53="","",Lots!$O$53)</f>
        <v/>
      </c>
      <c r="F52" s="93" t="str">
        <f aca="false">IF(Lots!$A$53="","",Lots!$L$53)</f>
        <v/>
      </c>
      <c r="G52" s="94" t="str">
        <f aca="false">IF(Lots!$A$53="","",Lots!$Q$53)</f>
        <v/>
      </c>
      <c r="H52" s="96" t="str">
        <f aca="false">IF(Lots!$A$53="","",Lots!$U$53)</f>
        <v/>
      </c>
      <c r="I52" s="93" t="str">
        <f aca="false">IF(Lots!$A$53="","",Lots!$V$53)</f>
        <v/>
      </c>
    </row>
    <row r="53" customFormat="false" ht="12.75" hidden="false" customHeight="true" outlineLevel="0" collapsed="false">
      <c r="A53" s="87" t="str">
        <f aca="false">IF(Lots!$A$54="","",Lots!$A$54)</f>
        <v/>
      </c>
      <c r="B53" s="104" t="str">
        <f aca="false">IF(Lots!$A$54="","",Lots!$C$54)</f>
        <v/>
      </c>
      <c r="C53" s="87" t="str">
        <f aca="false">IF(Lots!$A$54="","",Lots!$D$54)</f>
        <v/>
      </c>
      <c r="D53" s="105" t="str">
        <f aca="false">IF(Lots!$A$54="","",Lots!$F$54)</f>
        <v/>
      </c>
      <c r="E53" s="106" t="str">
        <f aca="false">IF(Lots!$A$54="","",Lots!$O$54)</f>
        <v/>
      </c>
      <c r="F53" s="88" t="str">
        <f aca="false">IF(Lots!$A$54="","",Lots!$L$54)</f>
        <v/>
      </c>
      <c r="G53" s="89" t="str">
        <f aca="false">IF(Lots!$A$54="","",Lots!$Q$54)</f>
        <v/>
      </c>
      <c r="H53" s="91" t="str">
        <f aca="false">IF(Lots!$A$54="","",Lots!$U$54)</f>
        <v/>
      </c>
      <c r="I53" s="88" t="str">
        <f aca="false">IF(Lots!$A$54="","",Lots!$V$54)</f>
        <v/>
      </c>
    </row>
    <row r="54" customFormat="false" ht="12.75" hidden="false" customHeight="true" outlineLevel="0" collapsed="false">
      <c r="A54" s="92" t="str">
        <f aca="false">IF(Lots!$A$55="","",Lots!$A$55)</f>
        <v/>
      </c>
      <c r="B54" s="107" t="str">
        <f aca="false">IF(Lots!$A$55="","",Lots!$C$55)</f>
        <v/>
      </c>
      <c r="C54" s="92" t="str">
        <f aca="false">IF(Lots!$A$55="","",Lots!$D$55)</f>
        <v/>
      </c>
      <c r="D54" s="108" t="str">
        <f aca="false">IF(Lots!$A$55="","",Lots!$F$55)</f>
        <v/>
      </c>
      <c r="E54" s="109" t="str">
        <f aca="false">IF(Lots!$A$55="","",Lots!$O$55)</f>
        <v/>
      </c>
      <c r="F54" s="93" t="str">
        <f aca="false">IF(Lots!$A$55="","",Lots!$L$55)</f>
        <v/>
      </c>
      <c r="G54" s="94" t="str">
        <f aca="false">IF(Lots!$A$55="","",Lots!$Q$55)</f>
        <v/>
      </c>
      <c r="H54" s="96" t="str">
        <f aca="false">IF(Lots!$A$55="","",Lots!$U$55)</f>
        <v/>
      </c>
      <c r="I54" s="93" t="str">
        <f aca="false">IF(Lots!$A$55="","",Lots!$V$55)</f>
        <v/>
      </c>
    </row>
    <row r="55" customFormat="false" ht="12.75" hidden="false" customHeight="true" outlineLevel="0" collapsed="false">
      <c r="A55" s="87" t="str">
        <f aca="false">IF(Lots!$A$56="","",Lots!$A$56)</f>
        <v/>
      </c>
      <c r="B55" s="104" t="str">
        <f aca="false">IF(Lots!$A$56="","",Lots!$C$56)</f>
        <v/>
      </c>
      <c r="C55" s="87" t="str">
        <f aca="false">IF(Lots!$A$56="","",Lots!$D$56)</f>
        <v/>
      </c>
      <c r="D55" s="105" t="str">
        <f aca="false">IF(Lots!$A$56="","",Lots!$F$56)</f>
        <v/>
      </c>
      <c r="E55" s="106" t="str">
        <f aca="false">IF(Lots!$A$56="","",Lots!$O$56)</f>
        <v/>
      </c>
      <c r="F55" s="88" t="str">
        <f aca="false">IF(Lots!$A$56="","",Lots!$L$56)</f>
        <v/>
      </c>
      <c r="G55" s="89" t="str">
        <f aca="false">IF(Lots!$A$56="","",Lots!$Q$56)</f>
        <v/>
      </c>
      <c r="H55" s="91" t="str">
        <f aca="false">IF(Lots!$A$56="","",Lots!$U$56)</f>
        <v/>
      </c>
      <c r="I55" s="88" t="str">
        <f aca="false">IF(Lots!$A$56="","",Lots!$V$56)</f>
        <v/>
      </c>
    </row>
    <row r="56" customFormat="false" ht="12.75" hidden="false" customHeight="true" outlineLevel="0" collapsed="false">
      <c r="A56" s="92" t="str">
        <f aca="false">IF(Lots!$A$57="","",Lots!$A$57)</f>
        <v/>
      </c>
      <c r="B56" s="107" t="str">
        <f aca="false">IF(Lots!$A$57="","",Lots!$C$57)</f>
        <v/>
      </c>
      <c r="C56" s="92" t="str">
        <f aca="false">IF(Lots!$A$57="","",Lots!$D$57)</f>
        <v/>
      </c>
      <c r="D56" s="108" t="str">
        <f aca="false">IF(Lots!$A$57="","",Lots!$F$57)</f>
        <v/>
      </c>
      <c r="E56" s="109" t="str">
        <f aca="false">IF(Lots!$A$57="","",Lots!$O$57)</f>
        <v/>
      </c>
      <c r="F56" s="93" t="str">
        <f aca="false">IF(Lots!$A$57="","",Lots!$L$57)</f>
        <v/>
      </c>
      <c r="G56" s="94" t="str">
        <f aca="false">IF(Lots!$A$57="","",Lots!$Q$57)</f>
        <v/>
      </c>
      <c r="H56" s="96" t="str">
        <f aca="false">IF(Lots!$A$57="","",Lots!$U$57)</f>
        <v/>
      </c>
      <c r="I56" s="93" t="str">
        <f aca="false">IF(Lots!$A$57="","",Lots!$V$57)</f>
        <v/>
      </c>
    </row>
    <row r="57" customFormat="false" ht="12.75" hidden="false" customHeight="true" outlineLevel="0" collapsed="false">
      <c r="A57" s="87" t="str">
        <f aca="false">IF(Lots!$A$58="","",Lots!$A$58)</f>
        <v/>
      </c>
      <c r="B57" s="104" t="str">
        <f aca="false">IF(Lots!$A$58="","",Lots!$C$58)</f>
        <v/>
      </c>
      <c r="C57" s="87" t="str">
        <f aca="false">IF(Lots!$A$58="","",Lots!$D$58)</f>
        <v/>
      </c>
      <c r="D57" s="105" t="str">
        <f aca="false">IF(Lots!$A$58="","",Lots!$F$58)</f>
        <v/>
      </c>
      <c r="E57" s="106" t="str">
        <f aca="false">IF(Lots!$A$58="","",Lots!$O$58)</f>
        <v/>
      </c>
      <c r="F57" s="88" t="str">
        <f aca="false">IF(Lots!$A$58="","",Lots!$L$58)</f>
        <v/>
      </c>
      <c r="G57" s="89" t="str">
        <f aca="false">IF(Lots!$A$58="","",Lots!$Q$58)</f>
        <v/>
      </c>
      <c r="H57" s="91" t="str">
        <f aca="false">IF(Lots!$A$58="","",Lots!$U$58)</f>
        <v/>
      </c>
      <c r="I57" s="88" t="str">
        <f aca="false">IF(Lots!$A$58="","",Lots!$V$58)</f>
        <v/>
      </c>
    </row>
    <row r="58" customFormat="false" ht="12.75" hidden="false" customHeight="true" outlineLevel="0" collapsed="false">
      <c r="A58" s="92" t="str">
        <f aca="false">IF(Lots!$A$59="","",Lots!$A$59)</f>
        <v/>
      </c>
      <c r="B58" s="107" t="str">
        <f aca="false">IF(Lots!$A$59="","",Lots!$C$59)</f>
        <v/>
      </c>
      <c r="C58" s="92" t="str">
        <f aca="false">IF(Lots!$A$59="","",Lots!$D$59)</f>
        <v/>
      </c>
      <c r="D58" s="108" t="str">
        <f aca="false">IF(Lots!$A$59="","",Lots!$F$59)</f>
        <v/>
      </c>
      <c r="E58" s="109" t="str">
        <f aca="false">IF(Lots!$A$59="","",Lots!$O$59)</f>
        <v/>
      </c>
      <c r="F58" s="93" t="str">
        <f aca="false">IF(Lots!$A$59="","",Lots!$L$59)</f>
        <v/>
      </c>
      <c r="G58" s="94" t="str">
        <f aca="false">IF(Lots!$A$59="","",Lots!$Q$59)</f>
        <v/>
      </c>
      <c r="H58" s="96" t="str">
        <f aca="false">IF(Lots!$A$59="","",Lots!$U$59)</f>
        <v/>
      </c>
      <c r="I58" s="93" t="str">
        <f aca="false">IF(Lots!$A$59="","",Lots!$V$59)</f>
        <v/>
      </c>
    </row>
    <row r="59" customFormat="false" ht="12.75" hidden="false" customHeight="true" outlineLevel="0" collapsed="false">
      <c r="A59" s="87" t="str">
        <f aca="false">IF(Lots!$A$60="","",Lots!$A$60)</f>
        <v/>
      </c>
      <c r="B59" s="104" t="str">
        <f aca="false">IF(Lots!$A$60="","",Lots!$C$60)</f>
        <v/>
      </c>
      <c r="C59" s="87" t="str">
        <f aca="false">IF(Lots!$A$60="","",Lots!$D$60)</f>
        <v/>
      </c>
      <c r="D59" s="105" t="str">
        <f aca="false">IF(Lots!$A$60="","",Lots!$F$60)</f>
        <v/>
      </c>
      <c r="E59" s="106" t="str">
        <f aca="false">IF(Lots!$A$60="","",Lots!$O$60)</f>
        <v/>
      </c>
      <c r="F59" s="88" t="str">
        <f aca="false">IF(Lots!$A$60="","",Lots!$L$60)</f>
        <v/>
      </c>
      <c r="G59" s="89" t="str">
        <f aca="false">IF(Lots!$A$60="","",Lots!$Q$60)</f>
        <v/>
      </c>
      <c r="H59" s="91" t="str">
        <f aca="false">IF(Lots!$A$60="","",Lots!$U$60)</f>
        <v/>
      </c>
      <c r="I59" s="88" t="str">
        <f aca="false">IF(Lots!$A$60="","",Lots!$V$60)</f>
        <v/>
      </c>
    </row>
    <row r="60" customFormat="false" ht="12.75" hidden="false" customHeight="true" outlineLevel="0" collapsed="false">
      <c r="A60" s="92" t="str">
        <f aca="false">IF(Lots!$A$61="","",Lots!$A$61)</f>
        <v/>
      </c>
      <c r="B60" s="107" t="str">
        <f aca="false">IF(Lots!$A$61="","",Lots!$C$61)</f>
        <v/>
      </c>
      <c r="C60" s="92" t="str">
        <f aca="false">IF(Lots!$A$61="","",Lots!$D$61)</f>
        <v/>
      </c>
      <c r="D60" s="108" t="str">
        <f aca="false">IF(Lots!$A$61="","",Lots!$F$61)</f>
        <v/>
      </c>
      <c r="E60" s="109" t="str">
        <f aca="false">IF(Lots!$A$61="","",Lots!$O$61)</f>
        <v/>
      </c>
      <c r="F60" s="93" t="str">
        <f aca="false">IF(Lots!$A$61="","",Lots!$L$61)</f>
        <v/>
      </c>
      <c r="G60" s="94" t="str">
        <f aca="false">IF(Lots!$A$61="","",Lots!$Q$61)</f>
        <v/>
      </c>
      <c r="H60" s="96" t="str">
        <f aca="false">IF(Lots!$A$61="","",Lots!$U$61)</f>
        <v/>
      </c>
      <c r="I60" s="93" t="str">
        <f aca="false">IF(Lots!$A$61="","",Lots!$V$61)</f>
        <v/>
      </c>
    </row>
    <row r="61" customFormat="false" ht="12.75" hidden="false" customHeight="true" outlineLevel="0" collapsed="false">
      <c r="A61" s="87" t="str">
        <f aca="false">IF(Lots!$A$62="","",Lots!$A$62)</f>
        <v/>
      </c>
      <c r="B61" s="104" t="str">
        <f aca="false">IF(Lots!$A$62="","",Lots!$C$62)</f>
        <v/>
      </c>
      <c r="C61" s="87" t="str">
        <f aca="false">IF(Lots!$A$62="","",Lots!$D$62)</f>
        <v/>
      </c>
      <c r="D61" s="105" t="str">
        <f aca="false">IF(Lots!$A$62="","",Lots!$F$62)</f>
        <v/>
      </c>
      <c r="E61" s="106" t="str">
        <f aca="false">IF(Lots!$A$62="","",Lots!$O$62)</f>
        <v/>
      </c>
      <c r="F61" s="88" t="str">
        <f aca="false">IF(Lots!$A$62="","",Lots!$L$62)</f>
        <v/>
      </c>
      <c r="G61" s="89" t="str">
        <f aca="false">IF(Lots!$A$62="","",Lots!$Q$62)</f>
        <v/>
      </c>
      <c r="H61" s="91" t="str">
        <f aca="false">IF(Lots!$A$62="","",Lots!$U$62)</f>
        <v/>
      </c>
      <c r="I61" s="88" t="str">
        <f aca="false">IF(Lots!$A$62="","",Lots!$V$62)</f>
        <v/>
      </c>
    </row>
    <row r="62" customFormat="false" ht="12.75" hidden="false" customHeight="true" outlineLevel="0" collapsed="false">
      <c r="A62" s="92" t="str">
        <f aca="false">IF(Lots!$A$63="","",Lots!$A$63)</f>
        <v/>
      </c>
      <c r="B62" s="107" t="str">
        <f aca="false">IF(Lots!$A$63="","",Lots!$C$63)</f>
        <v/>
      </c>
      <c r="C62" s="92" t="str">
        <f aca="false">IF(Lots!$A$63="","",Lots!$D$63)</f>
        <v/>
      </c>
      <c r="D62" s="108" t="str">
        <f aca="false">IF(Lots!$A$63="","",Lots!$F$63)</f>
        <v/>
      </c>
      <c r="E62" s="109" t="str">
        <f aca="false">IF(Lots!$A$63="","",Lots!$O$63)</f>
        <v/>
      </c>
      <c r="F62" s="93" t="str">
        <f aca="false">IF(Lots!$A$63="","",Lots!$L$63)</f>
        <v/>
      </c>
      <c r="G62" s="94" t="str">
        <f aca="false">IF(Lots!$A$63="","",Lots!$Q$63)</f>
        <v/>
      </c>
      <c r="H62" s="96" t="str">
        <f aca="false">IF(Lots!$A$63="","",Lots!$U$63)</f>
        <v/>
      </c>
      <c r="I62" s="93" t="str">
        <f aca="false">IF(Lots!$A$63="","",Lots!$V$63)</f>
        <v/>
      </c>
    </row>
    <row r="63" customFormat="false" ht="12.75" hidden="false" customHeight="true" outlineLevel="0" collapsed="false">
      <c r="A63" s="87" t="str">
        <f aca="false">IF(Lots!$A$64="","",Lots!$A$64)</f>
        <v/>
      </c>
      <c r="B63" s="104" t="str">
        <f aca="false">IF(Lots!$A$64="","",Lots!$C$64)</f>
        <v/>
      </c>
      <c r="C63" s="87" t="str">
        <f aca="false">IF(Lots!$A$64="","",Lots!$D$64)</f>
        <v/>
      </c>
      <c r="D63" s="105" t="str">
        <f aca="false">IF(Lots!$A$64="","",Lots!$F$64)</f>
        <v/>
      </c>
      <c r="E63" s="106" t="str">
        <f aca="false">IF(Lots!$A$64="","",Lots!$O$64)</f>
        <v/>
      </c>
      <c r="F63" s="88" t="str">
        <f aca="false">IF(Lots!$A$64="","",Lots!$L$64)</f>
        <v/>
      </c>
      <c r="G63" s="89" t="str">
        <f aca="false">IF(Lots!$A$64="","",Lots!$Q$64)</f>
        <v/>
      </c>
      <c r="H63" s="91" t="str">
        <f aca="false">IF(Lots!$A$64="","",Lots!$U$64)</f>
        <v/>
      </c>
      <c r="I63" s="88" t="str">
        <f aca="false">IF(Lots!$A$64="","",Lots!$V$64)</f>
        <v/>
      </c>
    </row>
    <row r="64" customFormat="false" ht="12.75" hidden="false" customHeight="true" outlineLevel="0" collapsed="false">
      <c r="A64" s="92" t="str">
        <f aca="false">IF(Lots!$A$65="","",Lots!$A$65)</f>
        <v/>
      </c>
      <c r="B64" s="107" t="str">
        <f aca="false">IF(Lots!$A$65="","",Lots!$C$65)</f>
        <v/>
      </c>
      <c r="C64" s="92" t="str">
        <f aca="false">IF(Lots!$A$65="","",Lots!$D$65)</f>
        <v/>
      </c>
      <c r="D64" s="108" t="str">
        <f aca="false">IF(Lots!$A$65="","",Lots!$F$65)</f>
        <v/>
      </c>
      <c r="E64" s="109" t="str">
        <f aca="false">IF(Lots!$A$65="","",Lots!$O$65)</f>
        <v/>
      </c>
      <c r="F64" s="93" t="str">
        <f aca="false">IF(Lots!$A$65="","",Lots!$L$65)</f>
        <v/>
      </c>
      <c r="G64" s="94" t="str">
        <f aca="false">IF(Lots!$A$65="","",Lots!$Q$65)</f>
        <v/>
      </c>
      <c r="H64" s="96" t="str">
        <f aca="false">IF(Lots!$A$65="","",Lots!$U$65)</f>
        <v/>
      </c>
      <c r="I64" s="93" t="str">
        <f aca="false">IF(Lots!$A$65="","",Lots!$V$65)</f>
        <v/>
      </c>
    </row>
    <row r="65" customFormat="false" ht="12.75" hidden="false" customHeight="true" outlineLevel="0" collapsed="false">
      <c r="A65" s="87" t="str">
        <f aca="false">IF(Lots!$A$66="","",Lots!$A$66)</f>
        <v/>
      </c>
      <c r="B65" s="104" t="str">
        <f aca="false">IF(Lots!$A$66="","",Lots!$C$66)</f>
        <v/>
      </c>
      <c r="C65" s="87" t="str">
        <f aca="false">IF(Lots!$A$66="","",Lots!$D$66)</f>
        <v/>
      </c>
      <c r="D65" s="105" t="str">
        <f aca="false">IF(Lots!$A$66="","",Lots!$F$66)</f>
        <v/>
      </c>
      <c r="E65" s="106" t="str">
        <f aca="false">IF(Lots!$A$66="","",Lots!$O$66)</f>
        <v/>
      </c>
      <c r="F65" s="88" t="str">
        <f aca="false">IF(Lots!$A$66="","",Lots!$L$66)</f>
        <v/>
      </c>
      <c r="G65" s="89" t="str">
        <f aca="false">IF(Lots!$A$66="","",Lots!$Q$66)</f>
        <v/>
      </c>
      <c r="H65" s="91" t="str">
        <f aca="false">IF(Lots!$A$66="","",Lots!$U$66)</f>
        <v/>
      </c>
      <c r="I65" s="88" t="str">
        <f aca="false">IF(Lots!$A$66="","",Lots!$V$66)</f>
        <v/>
      </c>
    </row>
    <row r="66" customFormat="false" ht="12.75" hidden="false" customHeight="true" outlineLevel="0" collapsed="false">
      <c r="A66" s="92" t="str">
        <f aca="false">IF(Lots!$A$67="","",Lots!$A$67)</f>
        <v/>
      </c>
      <c r="B66" s="107" t="str">
        <f aca="false">IF(Lots!$A$67="","",Lots!$C$67)</f>
        <v/>
      </c>
      <c r="C66" s="92" t="str">
        <f aca="false">IF(Lots!$A$67="","",Lots!$D$67)</f>
        <v/>
      </c>
      <c r="D66" s="108" t="str">
        <f aca="false">IF(Lots!$A$67="","",Lots!$F$67)</f>
        <v/>
      </c>
      <c r="E66" s="109" t="str">
        <f aca="false">IF(Lots!$A$67="","",Lots!$O$67)</f>
        <v/>
      </c>
      <c r="F66" s="93" t="str">
        <f aca="false">IF(Lots!$A$67="","",Lots!$L$67)</f>
        <v/>
      </c>
      <c r="G66" s="94" t="str">
        <f aca="false">IF(Lots!$A$67="","",Lots!$Q$67)</f>
        <v/>
      </c>
      <c r="H66" s="96" t="str">
        <f aca="false">IF(Lots!$A$67="","",Lots!$U$67)</f>
        <v/>
      </c>
      <c r="I66" s="93" t="str">
        <f aca="false">IF(Lots!$A$67="","",Lots!$V$67)</f>
        <v/>
      </c>
    </row>
    <row r="67" customFormat="false" ht="15" hidden="false" customHeight="false" outlineLevel="0" collapsed="false">
      <c r="A67" s="110" t="s">
        <v>164</v>
      </c>
      <c r="B67" s="110"/>
      <c r="C67" s="110"/>
      <c r="D67" s="111" t="n">
        <f aca="false">SUM(D7:D66)</f>
        <v>5991</v>
      </c>
      <c r="E67" s="112" t="n">
        <f aca="false">IF(SUM(D7:D66)=0,"",SUMPRODUCT(D7:D66,IF(E7:E66="",0,E7:E66))/SUM(D7:D66))</f>
        <v>0.49204640293774</v>
      </c>
      <c r="F67" s="110"/>
      <c r="G67" s="113" t="n">
        <f aca="false">SUM(G7:G66)</f>
        <v>1672290</v>
      </c>
      <c r="H67" s="113" t="n">
        <f aca="false">SUM(H7:H66)</f>
        <v>37156.8000000001</v>
      </c>
      <c r="I67" s="114" t="n">
        <f aca="false">IF(SUM(D7:D66)=0,"",H67/D67)</f>
        <v>6.20210315473211</v>
      </c>
    </row>
    <row r="69" customFormat="false" ht="15" hidden="false" customHeight="false" outlineLevel="0" collapsed="false">
      <c r="A69" s="7" t="s">
        <v>165</v>
      </c>
    </row>
  </sheetData>
  <sheetProtection sheet="true" password="df10" objects="true" scenarios="true" autoFilter="false"/>
  <conditionalFormatting sqref="A7:I66">
    <cfRule type="expression" priority="2" aboveAverage="0" equalAverage="0" bottom="0" percent="0" rank="0" text="" dxfId="9">
      <formula>$A7=""</formula>
    </cfRule>
  </conditionalFormatting>
  <conditionalFormatting sqref="H7:H66">
    <cfRule type="expression" priority="3" aboveAverage="0" equalAverage="0" bottom="0" percent="0" rank="0" text="" dxfId="10">
      <formula>AND($A7&lt;&gt;"",$H7&lt;0)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2026-08-24T11:02:44Z</dcterms:created>
  <dc:creator>openpyxl</dc:creator>
  <dc:description/>
  <dc:language>en-US</dc:language>
  <cp:lastModifiedBy/>
  <dcterms:modified xsi:type="dcterms:W3CDTF">2026-08-24T11:02:45Z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